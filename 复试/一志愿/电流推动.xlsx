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当前阶段" sheetId="1" r:id="rId1"/>
    <sheet name="第五阶段" sheetId="11" r:id="rId2"/>
    <sheet name="阅读书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<sst xmlns="http://schemas.openxmlformats.org/spreadsheetml/2006/main" count="266" uniqueCount="235">
  <si>
    <t>模板记忆</t>
  </si>
  <si>
    <t>算法动作</t>
  </si>
  <si>
    <t>力扣冒险</t>
  </si>
  <si>
    <t>游戏编程</t>
  </si>
  <si>
    <t>书籍理论</t>
  </si>
  <si>
    <t>汇总</t>
  </si>
  <si>
    <t>数据结构</t>
  </si>
  <si>
    <t>算法状态</t>
  </si>
  <si>
    <t>计算思维</t>
  </si>
  <si>
    <t>新记忆卡</t>
  </si>
  <si>
    <t>清记忆卡</t>
  </si>
  <si>
    <t>程序设计</t>
  </si>
  <si>
    <t>算法流程+DS</t>
  </si>
  <si>
    <t>复试宝典</t>
  </si>
  <si>
    <t>离散数学</t>
  </si>
  <si>
    <t>扫盲对齐</t>
  </si>
  <si>
    <t>翻译训练</t>
  </si>
  <si>
    <t>记忆保温</t>
  </si>
  <si>
    <t>滚动练习</t>
  </si>
  <si>
    <t>上机实操</t>
  </si>
  <si>
    <t>类型</t>
  </si>
  <si>
    <t>权重</t>
  </si>
  <si>
    <t>日期</t>
  </si>
  <si>
    <t>第一进度</t>
  </si>
  <si>
    <t>第二进度</t>
  </si>
  <si>
    <t>第三进度</t>
  </si>
  <si>
    <t>滚动任务</t>
  </si>
  <si>
    <t>每日进度</t>
  </si>
  <si>
    <t>总进度</t>
  </si>
  <si>
    <t>目标</t>
  </si>
  <si>
    <t>日均目标</t>
  </si>
  <si>
    <t>剩余目标</t>
  </si>
  <si>
    <t>每日目标量</t>
  </si>
  <si>
    <t>总量</t>
  </si>
  <si>
    <t>总计</t>
  </si>
  <si>
    <t>语言基础简介</t>
  </si>
  <si>
    <t>算法基础简介</t>
  </si>
  <si>
    <t>搜索部分简介</t>
  </si>
  <si>
    <t>动态规划部分简介</t>
  </si>
  <si>
    <t>字符串部分简介</t>
  </si>
  <si>
    <t>数学部分简介</t>
  </si>
  <si>
    <t>数据结构部分简介</t>
  </si>
  <si>
    <t>图论部分简介</t>
  </si>
  <si>
    <t>计算几何部分简介</t>
  </si>
  <si>
    <t>杂项简介</t>
  </si>
  <si>
    <t>RMQ</t>
  </si>
  <si>
    <t>C++ 基础</t>
  </si>
  <si>
    <t>复杂度</t>
  </si>
  <si>
    <t>DFS（搜索）</t>
  </si>
  <si>
    <t>动态规划基础</t>
  </si>
  <si>
    <t>字符串基础</t>
  </si>
  <si>
    <t>布尔代数</t>
  </si>
  <si>
    <t>栈</t>
  </si>
  <si>
    <t>图论相关概念</t>
  </si>
  <si>
    <t>二维计算几何基础</t>
  </si>
  <si>
    <t>离散化</t>
  </si>
  <si>
    <t>并查集应用</t>
  </si>
  <si>
    <t>C++ 标准库</t>
  </si>
  <si>
    <t>枚举</t>
  </si>
  <si>
    <t>BFS（搜索）</t>
  </si>
  <si>
    <t>记忆化搜索</t>
  </si>
  <si>
    <t>标准库</t>
  </si>
  <si>
    <t>数字系统</t>
  </si>
  <si>
    <t>队列</t>
  </si>
  <si>
    <t>图的存储</t>
  </si>
  <si>
    <t>三维计算几何基础</t>
  </si>
  <si>
    <t>双指针</t>
  </si>
  <si>
    <t>括号序列</t>
  </si>
  <si>
    <t>C++ 进阶</t>
  </si>
  <si>
    <t>模拟</t>
  </si>
  <si>
    <t>双向搜索</t>
  </si>
  <si>
    <t>背包 DP</t>
  </si>
  <si>
    <t>字符串匹配</t>
  </si>
  <si>
    <t>位操作</t>
  </si>
  <si>
    <t>链表</t>
  </si>
  <si>
    <t>DFS（图论）</t>
  </si>
  <si>
    <t>距离</t>
  </si>
  <si>
    <t>离线算法</t>
  </si>
  <si>
    <t>线段树与离线询问</t>
  </si>
  <si>
    <t>C++ 与其他常用语言的区别</t>
  </si>
  <si>
    <t>递归 &amp; 分治</t>
  </si>
  <si>
    <t>启发式搜索</t>
  </si>
  <si>
    <t>区间 DP</t>
  </si>
  <si>
    <t>字符串哈希</t>
  </si>
  <si>
    <t>二进制集合操作</t>
  </si>
  <si>
    <t>哈希表</t>
  </si>
  <si>
    <t>BFS（图论）</t>
  </si>
  <si>
    <t>Pick 定理</t>
  </si>
  <si>
    <t>分数规划</t>
  </si>
  <si>
    <t>贪心</t>
  </si>
  <si>
    <t>A*</t>
  </si>
  <si>
    <t>DAG 上的 DP</t>
  </si>
  <si>
    <t>字典树 (Trie)</t>
  </si>
  <si>
    <t>高精度计算</t>
  </si>
  <si>
    <t>并查集</t>
  </si>
  <si>
    <t>树上问题</t>
  </si>
  <si>
    <t>三角剖分</t>
  </si>
  <si>
    <t>随机化</t>
  </si>
  <si>
    <t>排序</t>
  </si>
  <si>
    <t>迭代加深搜索</t>
  </si>
  <si>
    <t>树形 DP</t>
  </si>
  <si>
    <t>前缀函数与 KMP 算法</t>
  </si>
  <si>
    <t>快速幂</t>
  </si>
  <si>
    <t>堆</t>
  </si>
  <si>
    <t>有向无环图</t>
  </si>
  <si>
    <t>凸包</t>
  </si>
  <si>
    <t>悬线法</t>
  </si>
  <si>
    <t>前缀和 &amp; 差分</t>
  </si>
  <si>
    <t>IDA*</t>
  </si>
  <si>
    <t>状压 DP</t>
  </si>
  <si>
    <t>Boyer–Moore 算法</t>
  </si>
  <si>
    <t>置换和排列</t>
  </si>
  <si>
    <t>块状数据结构</t>
  </si>
  <si>
    <t>拓扑排序</t>
  </si>
  <si>
    <t>扫描线</t>
  </si>
  <si>
    <t>有限状态自动机</t>
  </si>
  <si>
    <t>二分</t>
  </si>
  <si>
    <t>回溯法</t>
  </si>
  <si>
    <t>数位 DP</t>
  </si>
  <si>
    <t>Z 函数（扩展 KMP）</t>
  </si>
  <si>
    <t>弧度制与坐标系</t>
  </si>
  <si>
    <t>单调栈</t>
  </si>
  <si>
    <t>最短路问题</t>
  </si>
  <si>
    <t>旋转卡壳</t>
  </si>
  <si>
    <t>计算理论基础</t>
  </si>
  <si>
    <t>倍增</t>
  </si>
  <si>
    <t>Dancing Links</t>
  </si>
  <si>
    <t>插头 DP</t>
  </si>
  <si>
    <t>AC 自动机</t>
  </si>
  <si>
    <t>复数</t>
  </si>
  <si>
    <t>单调队列</t>
  </si>
  <si>
    <t>生成树问题</t>
  </si>
  <si>
    <t>半平面交</t>
  </si>
  <si>
    <t>字节顺序</t>
  </si>
  <si>
    <t>构造</t>
  </si>
  <si>
    <t>Alpha–Beta 剪枝</t>
  </si>
  <si>
    <t>计数 DP</t>
  </si>
  <si>
    <t>后缀数组 (SA)</t>
  </si>
  <si>
    <t>数论</t>
  </si>
  <si>
    <t>ST 表</t>
  </si>
  <si>
    <t>斯坦纳树</t>
  </si>
  <si>
    <t>平面最近点对</t>
  </si>
  <si>
    <t>约瑟夫问题</t>
  </si>
  <si>
    <t>优化</t>
  </si>
  <si>
    <t>动态 DP</t>
  </si>
  <si>
    <t>后缀自动机 (SAM)</t>
  </si>
  <si>
    <t>多项式与生成函数</t>
  </si>
  <si>
    <t>树状数组</t>
  </si>
  <si>
    <t>拆点</t>
  </si>
  <si>
    <t>随机增量法</t>
  </si>
  <si>
    <t>表达式求值</t>
  </si>
  <si>
    <t>概率 DP</t>
  </si>
  <si>
    <t>后缀平衡树</t>
  </si>
  <si>
    <t>组合数学</t>
  </si>
  <si>
    <t>线段树</t>
  </si>
  <si>
    <t>连通性相关</t>
  </si>
  <si>
    <t>反演变换</t>
  </si>
  <si>
    <t>在一台机器上规划任务</t>
  </si>
  <si>
    <t>DP 套 DP</t>
  </si>
  <si>
    <t>广义后缀自动机</t>
  </si>
  <si>
    <t>线性代数</t>
  </si>
  <si>
    <t>划分树</t>
  </si>
  <si>
    <t>环计数问题</t>
  </si>
  <si>
    <t>计算几何杂项</t>
  </si>
  <si>
    <t>主元素问题</t>
  </si>
  <si>
    <t>DP 优化</t>
  </si>
  <si>
    <t>后缀树</t>
  </si>
  <si>
    <t>线性规划</t>
  </si>
  <si>
    <t>二叉搜索树 &amp; 平衡树</t>
  </si>
  <si>
    <t>最小环</t>
  </si>
  <si>
    <t>Garsia–Wachs 算法</t>
  </si>
  <si>
    <t>其它 DP 方法</t>
  </si>
  <si>
    <t>Manacher</t>
  </si>
  <si>
    <t>抽象代数</t>
  </si>
  <si>
    <t>跳表</t>
  </si>
  <si>
    <t>2-SAT</t>
  </si>
  <si>
    <t>15-puzzle</t>
  </si>
  <si>
    <t>回文树</t>
  </si>
  <si>
    <t>概率论</t>
  </si>
  <si>
    <t>可持久化数据结构</t>
  </si>
  <si>
    <t>欧拉图</t>
  </si>
  <si>
    <t>Kahan 求和</t>
  </si>
  <si>
    <t>序列自动机</t>
  </si>
  <si>
    <t>博弈论</t>
  </si>
  <si>
    <t>树套树</t>
  </si>
  <si>
    <t>哈密顿图</t>
  </si>
  <si>
    <t>珂朵莉树/颜色段均摊</t>
  </si>
  <si>
    <t>最小表示法</t>
  </si>
  <si>
    <t>数值算法</t>
  </si>
  <si>
    <t>K-D Tree</t>
  </si>
  <si>
    <t>二分图</t>
  </si>
  <si>
    <t>空间优化简介</t>
  </si>
  <si>
    <t>Lyndon 分解</t>
  </si>
  <si>
    <t>序理论</t>
  </si>
  <si>
    <t>动态树</t>
  </si>
  <si>
    <t>平面图</t>
  </si>
  <si>
    <t>Main–Lorentz 算法</t>
  </si>
  <si>
    <t>杨氏矩阵</t>
  </si>
  <si>
    <t>析合树</t>
  </si>
  <si>
    <t>弦图</t>
  </si>
  <si>
    <t>拟阵</t>
  </si>
  <si>
    <t>PQ 树</t>
  </si>
  <si>
    <t>图的着色</t>
  </si>
  <si>
    <t>Berlekamp–Massey 算法</t>
  </si>
  <si>
    <t>手指树</t>
  </si>
  <si>
    <t>网络流</t>
  </si>
  <si>
    <t>霍夫曼树</t>
  </si>
  <si>
    <t>图的匹配</t>
  </si>
  <si>
    <t>Prüfer 序列</t>
  </si>
  <si>
    <t>矩阵树定理</t>
  </si>
  <si>
    <t>LGV 引理</t>
  </si>
  <si>
    <t>最大团搜索算法</t>
  </si>
  <si>
    <t>支配树</t>
  </si>
  <si>
    <t>图上随机游走</t>
  </si>
  <si>
    <t>福大复试</t>
  </si>
  <si>
    <t>计算</t>
  </si>
  <si>
    <t>入门</t>
  </si>
  <si>
    <t>力量</t>
  </si>
  <si>
    <t>面试</t>
  </si>
  <si>
    <t>上机</t>
  </si>
  <si>
    <t>计算之魂</t>
  </si>
  <si>
    <t>面向对象</t>
  </si>
  <si>
    <t>离散世界</t>
  </si>
  <si>
    <t>码农数学</t>
  </si>
  <si>
    <t>软件可靠</t>
  </si>
  <si>
    <t>形式方法</t>
  </si>
  <si>
    <t>契约设计</t>
  </si>
  <si>
    <t>出入</t>
  </si>
  <si>
    <t>翻译</t>
  </si>
  <si>
    <t>自测</t>
  </si>
  <si>
    <t>断言</t>
  </si>
  <si>
    <t>合计</t>
  </si>
  <si>
    <t>DP模板（131）</t>
  </si>
  <si>
    <t>综合</t>
  </si>
  <si>
    <t>额外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</si>
</sst>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9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0">
      <alignment vertical="center"/>
    </xf>
    <xf numFmtId="0" fontId="10" fillId="0" borderId="10">
      <alignment vertical="center"/>
    </xf>
    <xf numFmtId="0" fontId="11" fillId="0" borderId="11">
      <alignment vertical="center"/>
    </xf>
    <xf numFmtId="0" fontId="11" fillId="0" borderId="0">
      <alignment vertical="center"/>
    </xf>
    <xf numFmtId="0" fontId="12" fillId="3" borderId="12">
      <alignment vertical="center"/>
    </xf>
    <xf numFmtId="0" fontId="13" fillId="4" borderId="13">
      <alignment vertical="center"/>
    </xf>
    <xf numFmtId="0" fontId="14" fillId="4" borderId="12">
      <alignment vertical="center"/>
    </xf>
    <xf numFmtId="0" fontId="15" fillId="5" borderId="14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36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当前阶段!$A$20</c:f>
              <c:strCache>
                <c:ptCount val="1"/>
                <c:pt idx="0">
                  <c:v>每日进度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当前阶段!$B$15:$ZZ$15</c:f>
              <c:numCache>
                <c:formatCode>[$-409]yyyy\-mm\-dd;@</c:formatCode>
                <c:ptCount val="684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</c:numCache>
            </c:numRef>
          </c:xVal>
          <c:yVal>
            <c:numRef>
              <c:f>当前阶段!$B$20:$ZZ$20</c:f>
              <c:numCache>
                <c:formatCode>0.00%</c:formatCode>
                <c:ptCount val="684"/>
                <c:pt idx="0">
                  <c:v>0.103598531898355</c:v>
                </c:pt>
                <c:pt idx="1">
                  <c:v>0.219292020264638</c:v>
                </c:pt>
                <c:pt idx="2">
                  <c:v>0.0789153611828361</c:v>
                </c:pt>
                <c:pt idx="3">
                  <c:v>0.0953177000830724</c:v>
                </c:pt>
                <c:pt idx="4">
                  <c:v>0.0852697344707438</c:v>
                </c:pt>
                <c:pt idx="5">
                  <c:v>0.0861719843956199</c:v>
                </c:pt>
                <c:pt idx="6">
                  <c:v>0.0797064671542406</c:v>
                </c:pt>
                <c:pt idx="7">
                  <c:v>0.0787987510955302</c:v>
                </c:pt>
                <c:pt idx="8">
                  <c:v>0.0779064291254897</c:v>
                </c:pt>
                <c:pt idx="9">
                  <c:v>0.0775957140842374</c:v>
                </c:pt>
                <c:pt idx="10">
                  <c:v>0.0775551983539343</c:v>
                </c:pt>
                <c:pt idx="11">
                  <c:v>0.0781332164767747</c:v>
                </c:pt>
                <c:pt idx="12">
                  <c:v>0.0655419222903885</c:v>
                </c:pt>
                <c:pt idx="13">
                  <c:v>0.0742757966349266</c:v>
                </c:pt>
                <c:pt idx="14">
                  <c:v>0.0742757966349266</c:v>
                </c:pt>
                <c:pt idx="15">
                  <c:v>0.0742757966349266</c:v>
                </c:pt>
                <c:pt idx="16">
                  <c:v>0.0742757966349266</c:v>
                </c:pt>
                <c:pt idx="17">
                  <c:v>0.0742757966349266</c:v>
                </c:pt>
                <c:pt idx="18">
                  <c:v>0.0742757966349266</c:v>
                </c:pt>
                <c:pt idx="19">
                  <c:v>0.0742757966349266</c:v>
                </c:pt>
                <c:pt idx="20">
                  <c:v>0.0742757966349266</c:v>
                </c:pt>
                <c:pt idx="21">
                  <c:v>0.0742757966349266</c:v>
                </c:pt>
                <c:pt idx="22">
                  <c:v>0.0742757966349266</c:v>
                </c:pt>
                <c:pt idx="23">
                  <c:v>0.0742757966349266</c:v>
                </c:pt>
                <c:pt idx="24">
                  <c:v>0.0742757966349266</c:v>
                </c:pt>
                <c:pt idx="25">
                  <c:v>0.073740464729145</c:v>
                </c:pt>
                <c:pt idx="26">
                  <c:v>0.0742251393032805</c:v>
                </c:pt>
                <c:pt idx="27">
                  <c:v>0.0742251393032805</c:v>
                </c:pt>
                <c:pt idx="28">
                  <c:v>0.0765708819819578</c:v>
                </c:pt>
                <c:pt idx="29">
                  <c:v>0.0765708819819578</c:v>
                </c:pt>
                <c:pt idx="30">
                  <c:v>0.0765708819819578</c:v>
                </c:pt>
                <c:pt idx="31">
                  <c:v>0.0637032349231342</c:v>
                </c:pt>
                <c:pt idx="32">
                  <c:v>0.0291471233485915</c:v>
                </c:pt>
                <c:pt idx="33">
                  <c:v>0.0291471233485915</c:v>
                </c:pt>
                <c:pt idx="34">
                  <c:v>0.0192904925242188</c:v>
                </c:pt>
                <c:pt idx="35">
                  <c:v>0.0151297697472335</c:v>
                </c:pt>
                <c:pt idx="36">
                  <c:v>0.00119617224880383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当前阶段!$A$22</c:f>
              <c:strCache>
                <c:ptCount val="1"/>
                <c:pt idx="0">
                  <c:v>目标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当前阶段!$B$15:$ZZ$15</c:f>
              <c:numCache>
                <c:formatCode>[$-409]yyyy\-mm\-dd;@</c:formatCode>
                <c:ptCount val="684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</c:numCache>
            </c:numRef>
          </c:xVal>
          <c:yVal>
            <c:numRef>
              <c:f>当前阶段!$B$22:$ZZ$22</c:f>
              <c:numCache>
                <c:formatCode>0.00%</c:formatCode>
                <c:ptCount val="684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当前阶段!$A$21</c:f>
              <c:strCache>
                <c:ptCount val="1"/>
                <c:pt idx="0">
                  <c:v>总进度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当前阶段!$B$15:$ZZ$15</c:f>
              <c:numCache>
                <c:formatCode>[$-409]yyyy\-mm\-dd;@</c:formatCode>
                <c:ptCount val="684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</c:numCache>
            </c:numRef>
          </c:xVal>
          <c:yVal>
            <c:numRef>
              <c:f>当前阶段!$B$21:$ZZ$21</c:f>
              <c:numCache>
                <c:formatCode>0.00%</c:formatCode>
                <c:ptCount val="684"/>
                <c:pt idx="0">
                  <c:v>2.00064816360356</c:v>
                </c:pt>
                <c:pt idx="1">
                  <c:v>2.2199401838682</c:v>
                </c:pt>
                <c:pt idx="2">
                  <c:v>2.29885554505103</c:v>
                </c:pt>
                <c:pt idx="3">
                  <c:v>2.39417324513411</c:v>
                </c:pt>
                <c:pt idx="4">
                  <c:v>2.47944297960485</c:v>
                </c:pt>
                <c:pt idx="5">
                  <c:v>2.56561496400047</c:v>
                </c:pt>
                <c:pt idx="6">
                  <c:v>2.64532143115471</c:v>
                </c:pt>
                <c:pt idx="7">
                  <c:v>2.72412018225024</c:v>
                </c:pt>
                <c:pt idx="8">
                  <c:v>2.80202661137573</c:v>
                </c:pt>
                <c:pt idx="9">
                  <c:v>2.87962232545997</c:v>
                </c:pt>
                <c:pt idx="10">
                  <c:v>2.9571775238139</c:v>
                </c:pt>
                <c:pt idx="11">
                  <c:v>3.03531074029068</c:v>
                </c:pt>
                <c:pt idx="12">
                  <c:v>3.10085266258107</c:v>
                </c:pt>
                <c:pt idx="13">
                  <c:v>3.17512845921599</c:v>
                </c:pt>
                <c:pt idx="14">
                  <c:v>3.24940425585092</c:v>
                </c:pt>
                <c:pt idx="15">
                  <c:v>3.32368005248585</c:v>
                </c:pt>
                <c:pt idx="16">
                  <c:v>3.39795584912077</c:v>
                </c:pt>
                <c:pt idx="17">
                  <c:v>3.4722316457557</c:v>
                </c:pt>
                <c:pt idx="18">
                  <c:v>3.54650744239062</c:v>
                </c:pt>
                <c:pt idx="19">
                  <c:v>3.62078323902555</c:v>
                </c:pt>
                <c:pt idx="20">
                  <c:v>3.69505903566048</c:v>
                </c:pt>
                <c:pt idx="21">
                  <c:v>3.7693348322954</c:v>
                </c:pt>
                <c:pt idx="22">
                  <c:v>3.84361062893033</c:v>
                </c:pt>
                <c:pt idx="23">
                  <c:v>3.91788642556526</c:v>
                </c:pt>
                <c:pt idx="24">
                  <c:v>3.99216222220018</c:v>
                </c:pt>
                <c:pt idx="25">
                  <c:v>4.06590268692933</c:v>
                </c:pt>
                <c:pt idx="26">
                  <c:v>4.14012782623261</c:v>
                </c:pt>
                <c:pt idx="27">
                  <c:v>4.21435296553589</c:v>
                </c:pt>
                <c:pt idx="28">
                  <c:v>4.29092384751785</c:v>
                </c:pt>
                <c:pt idx="29">
                  <c:v>4.36749472949981</c:v>
                </c:pt>
                <c:pt idx="30">
                  <c:v>4.44406561148176</c:v>
                </c:pt>
                <c:pt idx="31">
                  <c:v>4.5077688464049</c:v>
                </c:pt>
                <c:pt idx="32">
                  <c:v>4.53691596975349</c:v>
                </c:pt>
                <c:pt idx="33">
                  <c:v>4.56606309310208</c:v>
                </c:pt>
                <c:pt idx="34">
                  <c:v>4.5853535856263</c:v>
                </c:pt>
                <c:pt idx="35">
                  <c:v>4.60048335537354</c:v>
                </c:pt>
                <c:pt idx="36">
                  <c:v>4.60167952762234</c:v>
                </c:pt>
                <c:pt idx="37">
                  <c:v>4.60167952762234</c:v>
                </c:pt>
                <c:pt idx="38">
                  <c:v>4.60167952762234</c:v>
                </c:pt>
                <c:pt idx="39">
                  <c:v>4.60167952762234</c:v>
                </c:pt>
                <c:pt idx="40">
                  <c:v>4.60167952762234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当前阶段!$A$23</c:f>
              <c:strCache>
                <c:ptCount val="1"/>
                <c:pt idx="0">
                  <c:v>日均目标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当前阶段!$B$15:$ZZ$15</c:f>
              <c:numCache>
                <c:formatCode>[$-409]yyyy\-mm\-dd;@</c:formatCode>
                <c:ptCount val="684"/>
                <c:pt idx="0">
                  <c:v>46037</c:v>
                </c:pt>
                <c:pt idx="1">
                  <c:v>46038</c:v>
                </c:pt>
                <c:pt idx="2">
                  <c:v>46039</c:v>
                </c:pt>
                <c:pt idx="3">
                  <c:v>46040</c:v>
                </c:pt>
                <c:pt idx="4">
                  <c:v>46041</c:v>
                </c:pt>
                <c:pt idx="5">
                  <c:v>46042</c:v>
                </c:pt>
                <c:pt idx="6">
                  <c:v>46043</c:v>
                </c:pt>
                <c:pt idx="7">
                  <c:v>46044</c:v>
                </c:pt>
                <c:pt idx="8">
                  <c:v>46045</c:v>
                </c:pt>
                <c:pt idx="9">
                  <c:v>46046</c:v>
                </c:pt>
                <c:pt idx="10">
                  <c:v>46047</c:v>
                </c:pt>
                <c:pt idx="11">
                  <c:v>46048</c:v>
                </c:pt>
                <c:pt idx="12">
                  <c:v>46049</c:v>
                </c:pt>
                <c:pt idx="13">
                  <c:v>46050</c:v>
                </c:pt>
                <c:pt idx="14">
                  <c:v>46051</c:v>
                </c:pt>
                <c:pt idx="15">
                  <c:v>46052</c:v>
                </c:pt>
                <c:pt idx="16">
                  <c:v>46053</c:v>
                </c:pt>
                <c:pt idx="17">
                  <c:v>46054</c:v>
                </c:pt>
                <c:pt idx="18">
                  <c:v>46055</c:v>
                </c:pt>
                <c:pt idx="19">
                  <c:v>46056</c:v>
                </c:pt>
                <c:pt idx="20">
                  <c:v>46057</c:v>
                </c:pt>
                <c:pt idx="21">
                  <c:v>46058</c:v>
                </c:pt>
                <c:pt idx="22">
                  <c:v>46059</c:v>
                </c:pt>
                <c:pt idx="23">
                  <c:v>46060</c:v>
                </c:pt>
                <c:pt idx="24">
                  <c:v>46061</c:v>
                </c:pt>
                <c:pt idx="25">
                  <c:v>46062</c:v>
                </c:pt>
                <c:pt idx="26">
                  <c:v>46063</c:v>
                </c:pt>
                <c:pt idx="27">
                  <c:v>46064</c:v>
                </c:pt>
                <c:pt idx="28">
                  <c:v>46065</c:v>
                </c:pt>
                <c:pt idx="29">
                  <c:v>46066</c:v>
                </c:pt>
                <c:pt idx="30">
                  <c:v>46067</c:v>
                </c:pt>
                <c:pt idx="31">
                  <c:v>46068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46074</c:v>
                </c:pt>
                <c:pt idx="38">
                  <c:v>46075</c:v>
                </c:pt>
                <c:pt idx="39">
                  <c:v>46076</c:v>
                </c:pt>
                <c:pt idx="40">
                  <c:v>46077</c:v>
                </c:pt>
              </c:numCache>
            </c:numRef>
          </c:xVal>
          <c:yVal>
            <c:numRef>
              <c:f>当前阶段!$B$23:$ZZ$23</c:f>
              <c:numCache>
                <c:formatCode>0.00%</c:formatCode>
                <c:ptCount val="684"/>
                <c:pt idx="0">
                  <c:v>0.153846153846154</c:v>
                </c:pt>
                <c:pt idx="1">
                  <c:v>0.153846153846154</c:v>
                </c:pt>
                <c:pt idx="2">
                  <c:v>0.0769230769230769</c:v>
                </c:pt>
                <c:pt idx="3">
                  <c:v>0.0769230769230769</c:v>
                </c:pt>
                <c:pt idx="4">
                  <c:v>0.0769230769230769</c:v>
                </c:pt>
                <c:pt idx="5">
                  <c:v>0.0769230769230769</c:v>
                </c:pt>
                <c:pt idx="6">
                  <c:v>0.0769230769230769</c:v>
                </c:pt>
                <c:pt idx="7">
                  <c:v>0.0769230769230769</c:v>
                </c:pt>
                <c:pt idx="8">
                  <c:v>0.0769230769230769</c:v>
                </c:pt>
                <c:pt idx="9">
                  <c:v>0.0769230769230769</c:v>
                </c:pt>
                <c:pt idx="10">
                  <c:v>0.0769230769230769</c:v>
                </c:pt>
                <c:pt idx="11">
                  <c:v>0.0769230769230769</c:v>
                </c:pt>
                <c:pt idx="12">
                  <c:v>0.0769230769230769</c:v>
                </c:pt>
                <c:pt idx="13">
                  <c:v>0.0769230769230769</c:v>
                </c:pt>
                <c:pt idx="14">
                  <c:v>0.0769230769230769</c:v>
                </c:pt>
                <c:pt idx="15">
                  <c:v>0.0769230769230769</c:v>
                </c:pt>
                <c:pt idx="16">
                  <c:v>0.0769230769230769</c:v>
                </c:pt>
                <c:pt idx="17">
                  <c:v>0.0769230769230769</c:v>
                </c:pt>
                <c:pt idx="18">
                  <c:v>0.0769230769230769</c:v>
                </c:pt>
                <c:pt idx="19">
                  <c:v>0.0769230769230769</c:v>
                </c:pt>
                <c:pt idx="20">
                  <c:v>0.0769230769230769</c:v>
                </c:pt>
                <c:pt idx="21">
                  <c:v>0.0769230769230769</c:v>
                </c:pt>
                <c:pt idx="22">
                  <c:v>0.0769230769230769</c:v>
                </c:pt>
                <c:pt idx="23">
                  <c:v>0.0769230769230769</c:v>
                </c:pt>
                <c:pt idx="24">
                  <c:v>0.0769230769230769</c:v>
                </c:pt>
                <c:pt idx="25">
                  <c:v>0.0769230769230769</c:v>
                </c:pt>
                <c:pt idx="26">
                  <c:v>0.0769230769230769</c:v>
                </c:pt>
                <c:pt idx="27">
                  <c:v>0.0769230769230769</c:v>
                </c:pt>
                <c:pt idx="28">
                  <c:v>0.0769230769230769</c:v>
                </c:pt>
                <c:pt idx="29">
                  <c:v>0.0769230769230769</c:v>
                </c:pt>
                <c:pt idx="30">
                  <c:v>0.0769230769230769</c:v>
                </c:pt>
                <c:pt idx="31">
                  <c:v>0.0769230769230769</c:v>
                </c:pt>
                <c:pt idx="32">
                  <c:v>0.0384615384615385</c:v>
                </c:pt>
                <c:pt idx="33">
                  <c:v>0.0384615384615385</c:v>
                </c:pt>
                <c:pt idx="34">
                  <c:v>0.0384615384615385</c:v>
                </c:pt>
                <c:pt idx="35">
                  <c:v>0.0384615384615385</c:v>
                </c:pt>
                <c:pt idx="36">
                  <c:v>0.0384615384615385</c:v>
                </c:pt>
                <c:pt idx="37">
                  <c:v>0.0384615384615385</c:v>
                </c:pt>
                <c:pt idx="38">
                  <c:v>0.0384615384615385</c:v>
                </c:pt>
                <c:pt idx="39">
                  <c:v>0.0384615384615385</c:v>
                </c:pt>
                <c:pt idx="40">
                  <c:v>0.0384615384615385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986520"/>
        <c:axId val="78795352"/>
      </c:scatterChart>
      <c:valAx>
        <c:axId val="8898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yyyy&quot;年&quot;m&quot;月&quot;d&quot;日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795352"/>
        <c:crosses val="autoZero"/>
        <c:crossBetween val="midCat"/>
        <c:majorUnit val="2"/>
        <c:minorUnit val="1"/>
      </c:valAx>
      <c:valAx>
        <c:axId val="78795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8652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d09e9b-4b4e-49ff-9257-415282a9bd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15240</xdr:colOff>
      <xdr:row>26</xdr:row>
      <xdr:rowOff>132080</xdr:rowOff>
    </xdr:from>
    <xdr:to>
      <xdr:col>50</xdr:col>
      <xdr:colOff>611505</xdr:colOff>
      <xdr:row>69</xdr:row>
      <xdr:rowOff>158115</xdr:rowOff>
    </xdr:to>
    <xdr:graphicFrame>
      <xdr:nvGraphicFramePr>
        <xdr:cNvPr id="3" name="图表 2"/>
        <xdr:cNvGraphicFramePr/>
      </xdr:nvGraphicFramePr>
      <xdr:xfrm>
        <a:off x="1082040" y="4934585"/>
        <a:ext cx="35236785" cy="7889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29"/>
  <sheetViews>
    <sheetView zoomScale="85" zoomScaleNormal="85" workbookViewId="0">
      <pane xSplit="1" topLeftCell="AU1" activePane="topRight" state="frozen"/>
      <selection/>
      <selection pane="topRight" activeCell="BB3" sqref="BB3"/>
    </sheetView>
  </sheetViews>
  <sheetFormatPr defaultColWidth="15.7777777777778" defaultRowHeight="14.4"/>
  <cols>
    <col min="1" max="1" width="15.7777777777778" style="3" customWidth="1"/>
    <col min="2" max="18" width="15.7777777777778" style="3" hidden="1" customWidth="1"/>
    <col min="19" max="16384" width="15.7777777777778" style="3" customWidth="1"/>
  </cols>
  <sheetData>
    <row r="1" s="7" customFormat="1" spans="1:59">
      <c r="A1" s="12" t="s">
        <v>0</v>
      </c>
      <c r="J1" s="13"/>
      <c r="K1" s="7" t="s">
        <v>1</v>
      </c>
      <c r="L1" s="7"/>
      <c r="R1" s="13"/>
      <c r="S1" s="3" t="s">
        <v>2</v>
      </c>
      <c r="AE1" s="12" t="s">
        <v>3</v>
      </c>
      <c r="AF1" s="7"/>
      <c r="AG1" s="7"/>
      <c r="AH1" s="7"/>
      <c r="AI1" s="10"/>
      <c r="AT1" s="12" t="s">
        <v>4</v>
      </c>
      <c r="AU1" s="7"/>
      <c r="AX1" s="13"/>
    </row>
    <row r="2" s="8" customFormat="1" spans="1:59">
      <c r="A2" s="14" t="s">
        <v>5</v>
      </c>
      <c r="B2" s="8">
        <v>46020</v>
      </c>
      <c r="C2" s="8">
        <v>46021</v>
      </c>
      <c r="D2" s="8">
        <v>46022</v>
      </c>
      <c r="E2" s="8">
        <v>46023</v>
      </c>
      <c r="F2" s="8">
        <v>46024</v>
      </c>
      <c r="G2" s="8">
        <v>46025</v>
      </c>
      <c r="H2" s="8">
        <v>46026</v>
      </c>
      <c r="I2" s="8">
        <v>46027</v>
      </c>
      <c r="J2" s="15">
        <v>46028</v>
      </c>
      <c r="K2" s="16">
        <v>46029</v>
      </c>
      <c r="L2" s="16">
        <v>46030</v>
      </c>
      <c r="M2" s="8">
        <v>46031</v>
      </c>
      <c r="N2" s="8">
        <v>46032</v>
      </c>
      <c r="O2" s="8">
        <v>46033</v>
      </c>
      <c r="P2" s="8">
        <v>46034</v>
      </c>
      <c r="Q2" s="16">
        <v>46035</v>
      </c>
      <c r="R2" s="15">
        <v>46036</v>
      </c>
      <c r="S2" s="16">
        <v>46037</v>
      </c>
      <c r="T2" s="16">
        <v>46038</v>
      </c>
      <c r="U2" s="16">
        <v>46039</v>
      </c>
      <c r="V2" s="8">
        <v>46040</v>
      </c>
      <c r="W2" s="8">
        <v>46041</v>
      </c>
      <c r="X2" s="8">
        <v>46042</v>
      </c>
      <c r="Y2" s="8">
        <v>46043</v>
      </c>
      <c r="Z2" s="8">
        <v>46044</v>
      </c>
      <c r="AA2" s="8">
        <v>46045</v>
      </c>
      <c r="AB2" s="8">
        <v>46046</v>
      </c>
      <c r="AC2" s="8">
        <v>46047</v>
      </c>
      <c r="AD2" s="8">
        <v>46048</v>
      </c>
      <c r="AE2" s="14">
        <v>46049</v>
      </c>
      <c r="AF2" s="16">
        <v>46050</v>
      </c>
      <c r="AG2" s="16">
        <v>46051</v>
      </c>
      <c r="AH2" s="16">
        <v>46052</v>
      </c>
      <c r="AI2" s="16">
        <v>46053</v>
      </c>
      <c r="AJ2" s="8">
        <v>46054</v>
      </c>
      <c r="AK2" s="8">
        <v>46055</v>
      </c>
      <c r="AL2" s="8">
        <v>46056</v>
      </c>
      <c r="AM2" s="8">
        <v>46057</v>
      </c>
      <c r="AN2" s="8">
        <v>46058</v>
      </c>
      <c r="AO2" s="8">
        <v>46059</v>
      </c>
      <c r="AP2" s="8">
        <v>46060</v>
      </c>
      <c r="AQ2" s="8">
        <v>46061</v>
      </c>
      <c r="AR2" s="8">
        <v>46062</v>
      </c>
      <c r="AS2" s="8">
        <v>46063</v>
      </c>
      <c r="AT2" s="14">
        <v>46064</v>
      </c>
      <c r="AU2" s="16">
        <v>46065</v>
      </c>
      <c r="AV2" s="8">
        <v>46066</v>
      </c>
      <c r="AW2" s="8">
        <v>46067</v>
      </c>
      <c r="AX2" s="15">
        <v>46068</v>
      </c>
      <c r="AY2" s="8">
        <v>46069</v>
      </c>
      <c r="AZ2" s="8">
        <v>46070</v>
      </c>
      <c r="BA2" s="8">
        <v>46071</v>
      </c>
      <c r="BB2" s="8">
        <v>46072</v>
      </c>
      <c r="BC2" s="8">
        <v>46073</v>
      </c>
      <c r="BD2" s="8">
        <v>46074</v>
      </c>
      <c r="BE2" s="8">
        <v>46075</v>
      </c>
      <c r="BF2" s="8">
        <v>46076</v>
      </c>
      <c r="BG2" s="8">
        <v>46077</v>
      </c>
    </row>
    <row r="3" spans="1:59">
      <c r="A3" s="17">
        <f>SUM(B3:ZZ3)</f>
        <v>5701</v>
      </c>
      <c r="B3" s="3">
        <v>25</v>
      </c>
      <c r="C3" s="3">
        <v>25</v>
      </c>
      <c r="D3" s="3">
        <v>15</v>
      </c>
      <c r="E3" s="3">
        <v>15</v>
      </c>
      <c r="F3" s="3">
        <v>15</v>
      </c>
      <c r="G3" s="3">
        <v>15</v>
      </c>
      <c r="H3" s="3">
        <v>15</v>
      </c>
      <c r="I3" s="3">
        <v>90</v>
      </c>
      <c r="J3" s="18">
        <v>22</v>
      </c>
      <c r="K3" s="10">
        <v>21</v>
      </c>
      <c r="L3" s="10">
        <v>26</v>
      </c>
      <c r="M3" s="3">
        <v>50</v>
      </c>
      <c r="N3" s="3">
        <v>28</v>
      </c>
      <c r="O3" s="3">
        <v>25</v>
      </c>
      <c r="P3" s="3">
        <v>25</v>
      </c>
      <c r="Q3" s="10">
        <v>26</v>
      </c>
      <c r="R3" s="18">
        <v>69</v>
      </c>
      <c r="S3" s="10">
        <v>52</v>
      </c>
      <c r="T3" s="10">
        <v>15</v>
      </c>
      <c r="U3" s="10">
        <v>8</v>
      </c>
      <c r="V3" s="3">
        <v>0</v>
      </c>
      <c r="W3" s="3">
        <v>6</v>
      </c>
      <c r="X3" s="3">
        <v>8</v>
      </c>
      <c r="Y3" s="3">
        <v>8</v>
      </c>
      <c r="Z3" s="3">
        <v>6</v>
      </c>
      <c r="AA3" s="3">
        <v>16</v>
      </c>
      <c r="AB3" s="3">
        <v>16</v>
      </c>
      <c r="AC3" s="3">
        <v>25</v>
      </c>
      <c r="AD3" s="3">
        <v>18</v>
      </c>
      <c r="AE3" s="17">
        <v>14</v>
      </c>
      <c r="AF3" s="10">
        <v>1</v>
      </c>
      <c r="AG3" s="10">
        <v>1</v>
      </c>
      <c r="AH3" s="10">
        <v>1</v>
      </c>
      <c r="AI3" s="10">
        <v>1</v>
      </c>
      <c r="AJ3" s="3">
        <v>1</v>
      </c>
      <c r="AK3" s="3">
        <v>1</v>
      </c>
      <c r="AL3" s="3">
        <v>1</v>
      </c>
      <c r="AM3" s="3">
        <v>1</v>
      </c>
      <c r="AN3" s="3">
        <v>1</v>
      </c>
      <c r="AO3" s="3">
        <v>1</v>
      </c>
      <c r="AP3" s="3">
        <v>1</v>
      </c>
      <c r="AQ3" s="3">
        <v>1</v>
      </c>
      <c r="AR3" s="3">
        <v>1</v>
      </c>
      <c r="AS3" s="19">
        <v>1</v>
      </c>
      <c r="AT3" s="20">
        <v>1</v>
      </c>
      <c r="AU3" s="10">
        <f>AU26</f>
        <v>162</v>
      </c>
      <c r="AV3" s="19">
        <f>AU3+AU26</f>
        <v>324</v>
      </c>
      <c r="AW3" s="19">
        <v>486</v>
      </c>
      <c r="AX3" s="21">
        <v>648</v>
      </c>
      <c r="AY3" s="19">
        <v>729</v>
      </c>
      <c r="AZ3" s="19">
        <v>810</v>
      </c>
      <c r="BA3" s="19">
        <v>891</v>
      </c>
      <c r="BB3" s="22">
        <v>937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</row>
    <row r="4" spans="1:59">
      <c r="A4" s="17" t="s">
        <v>6</v>
      </c>
      <c r="J4" s="18"/>
      <c r="K4" s="10" t="s">
        <v>7</v>
      </c>
      <c r="L4" s="10"/>
      <c r="Q4" s="10"/>
      <c r="R4" s="18"/>
      <c r="S4" s="3" t="s">
        <v>8</v>
      </c>
      <c r="T4" s="10"/>
      <c r="U4" s="10"/>
      <c r="AE4" s="17" t="s">
        <v>9</v>
      </c>
      <c r="AF4" s="10"/>
      <c r="AG4" s="10"/>
      <c r="AH4" s="10"/>
      <c r="AI4" s="10"/>
      <c r="AT4" s="17" t="s">
        <v>10</v>
      </c>
      <c r="AU4" s="10"/>
      <c r="AX4" s="18"/>
      <c r="BB4" s="3">
        <f>BA3+AY26</f>
        <v>972</v>
      </c>
    </row>
    <row r="5" spans="1:59">
      <c r="A5" s="17" t="s">
        <v>5</v>
      </c>
      <c r="B5" s="8">
        <f t="shared" ref="B5:P5" si="0">B2</f>
        <v>46020</v>
      </c>
      <c r="C5" s="8">
        <f t="shared" si="0"/>
        <v>46021</v>
      </c>
      <c r="D5" s="8">
        <f t="shared" si="0"/>
        <v>46022</v>
      </c>
      <c r="E5" s="8">
        <f t="shared" si="0"/>
        <v>46023</v>
      </c>
      <c r="F5" s="8">
        <f t="shared" si="0"/>
        <v>46024</v>
      </c>
      <c r="G5" s="8">
        <f t="shared" si="0"/>
        <v>46025</v>
      </c>
      <c r="H5" s="8">
        <f t="shared" si="0"/>
        <v>46026</v>
      </c>
      <c r="I5" s="8">
        <f t="shared" si="0"/>
        <v>46027</v>
      </c>
      <c r="J5" s="15">
        <f t="shared" si="0"/>
        <v>46028</v>
      </c>
      <c r="K5" s="16">
        <f t="shared" si="0"/>
        <v>46029</v>
      </c>
      <c r="L5" s="16">
        <f t="shared" si="0"/>
        <v>46030</v>
      </c>
      <c r="M5" s="8">
        <f t="shared" si="0"/>
        <v>46031</v>
      </c>
      <c r="N5" s="8">
        <f t="shared" si="0"/>
        <v>46032</v>
      </c>
      <c r="O5" s="8">
        <f t="shared" si="0"/>
        <v>46033</v>
      </c>
      <c r="P5" s="8">
        <f t="shared" si="0"/>
        <v>46034</v>
      </c>
      <c r="Q5" s="16">
        <f t="shared" ref="Q5:BG5" si="1">Q2</f>
        <v>46035</v>
      </c>
      <c r="R5" s="15">
        <f t="shared" si="1"/>
        <v>46036</v>
      </c>
      <c r="S5" s="16">
        <f t="shared" si="1"/>
        <v>46037</v>
      </c>
      <c r="T5" s="16">
        <f t="shared" si="1"/>
        <v>46038</v>
      </c>
      <c r="U5" s="16">
        <f t="shared" si="1"/>
        <v>46039</v>
      </c>
      <c r="V5" s="8">
        <f t="shared" si="1"/>
        <v>46040</v>
      </c>
      <c r="W5" s="8">
        <f t="shared" si="1"/>
        <v>46041</v>
      </c>
      <c r="X5" s="8">
        <f t="shared" si="1"/>
        <v>46042</v>
      </c>
      <c r="Y5" s="8">
        <f t="shared" si="1"/>
        <v>46043</v>
      </c>
      <c r="Z5" s="8">
        <f t="shared" si="1"/>
        <v>46044</v>
      </c>
      <c r="AA5" s="8">
        <f t="shared" si="1"/>
        <v>46045</v>
      </c>
      <c r="AB5" s="8">
        <f t="shared" si="1"/>
        <v>46046</v>
      </c>
      <c r="AC5" s="8">
        <f t="shared" si="1"/>
        <v>46047</v>
      </c>
      <c r="AD5" s="8">
        <f t="shared" si="1"/>
        <v>46048</v>
      </c>
      <c r="AE5" s="14">
        <f t="shared" si="1"/>
        <v>46049</v>
      </c>
      <c r="AF5" s="16">
        <f t="shared" si="1"/>
        <v>46050</v>
      </c>
      <c r="AG5" s="16">
        <f t="shared" si="1"/>
        <v>46051</v>
      </c>
      <c r="AH5" s="16">
        <f t="shared" si="1"/>
        <v>46052</v>
      </c>
      <c r="AI5" s="16">
        <f t="shared" si="1"/>
        <v>46053</v>
      </c>
      <c r="AJ5" s="8">
        <f t="shared" si="1"/>
        <v>46054</v>
      </c>
      <c r="AK5" s="8">
        <f t="shared" si="1"/>
        <v>46055</v>
      </c>
      <c r="AL5" s="8">
        <f t="shared" si="1"/>
        <v>46056</v>
      </c>
      <c r="AM5" s="8">
        <f t="shared" si="1"/>
        <v>46057</v>
      </c>
      <c r="AN5" s="8">
        <f t="shared" si="1"/>
        <v>46058</v>
      </c>
      <c r="AO5" s="8">
        <f t="shared" si="1"/>
        <v>46059</v>
      </c>
      <c r="AP5" s="8">
        <f t="shared" si="1"/>
        <v>46060</v>
      </c>
      <c r="AQ5" s="8">
        <f t="shared" si="1"/>
        <v>46061</v>
      </c>
      <c r="AR5" s="8">
        <f t="shared" si="1"/>
        <v>46062</v>
      </c>
      <c r="AS5" s="8">
        <f t="shared" si="1"/>
        <v>46063</v>
      </c>
      <c r="AT5" s="14">
        <f t="shared" si="1"/>
        <v>46064</v>
      </c>
      <c r="AU5" s="16">
        <f t="shared" si="1"/>
        <v>46065</v>
      </c>
      <c r="AV5" s="8">
        <f t="shared" si="1"/>
        <v>46066</v>
      </c>
      <c r="AW5" s="8">
        <f t="shared" si="1"/>
        <v>46067</v>
      </c>
      <c r="AX5" s="15">
        <f t="shared" si="1"/>
        <v>46068</v>
      </c>
      <c r="AY5" s="8">
        <f t="shared" si="1"/>
        <v>46069</v>
      </c>
      <c r="AZ5" s="8">
        <f t="shared" si="1"/>
        <v>46070</v>
      </c>
      <c r="BA5" s="8">
        <f t="shared" si="1"/>
        <v>46071</v>
      </c>
      <c r="BB5" s="8">
        <f t="shared" si="1"/>
        <v>46072</v>
      </c>
      <c r="BC5" s="8">
        <f t="shared" si="1"/>
        <v>46073</v>
      </c>
      <c r="BD5" s="8">
        <f t="shared" si="1"/>
        <v>46074</v>
      </c>
      <c r="BE5" s="8">
        <f t="shared" si="1"/>
        <v>46075</v>
      </c>
      <c r="BF5" s="8">
        <f t="shared" si="1"/>
        <v>46076</v>
      </c>
      <c r="BG5" s="8">
        <f t="shared" si="1"/>
        <v>46077</v>
      </c>
    </row>
    <row r="6" spans="1:59">
      <c r="A6" s="17">
        <f>MAX(B6:ZZ6)</f>
        <v>410</v>
      </c>
      <c r="B6" s="3">
        <v>38</v>
      </c>
      <c r="C6" s="3">
        <v>81</v>
      </c>
      <c r="D6" s="3">
        <v>105</v>
      </c>
      <c r="E6" s="3">
        <v>134</v>
      </c>
      <c r="F6" s="3">
        <v>166</v>
      </c>
      <c r="G6" s="3">
        <v>189</v>
      </c>
      <c r="H6" s="3">
        <v>216</v>
      </c>
      <c r="I6" s="3">
        <v>262</v>
      </c>
      <c r="J6" s="18">
        <v>0</v>
      </c>
      <c r="K6" s="10">
        <v>0</v>
      </c>
      <c r="L6" s="10">
        <v>20</v>
      </c>
      <c r="M6" s="3">
        <v>20</v>
      </c>
      <c r="N6" s="3">
        <v>20</v>
      </c>
      <c r="O6" s="3">
        <v>20</v>
      </c>
      <c r="P6" s="3">
        <v>20</v>
      </c>
      <c r="Q6" s="10">
        <v>20</v>
      </c>
      <c r="R6" s="18">
        <v>40</v>
      </c>
      <c r="S6" s="10">
        <v>40</v>
      </c>
      <c r="T6" s="10">
        <f>36+172</f>
        <v>208</v>
      </c>
      <c r="U6" s="10">
        <v>250</v>
      </c>
      <c r="V6" s="3">
        <v>336</v>
      </c>
      <c r="W6" s="3">
        <v>410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17">
        <v>0</v>
      </c>
      <c r="AF6" s="10">
        <v>156</v>
      </c>
      <c r="AG6" s="10">
        <f>13+37+38+68</f>
        <v>156</v>
      </c>
      <c r="AH6" s="10">
        <v>156</v>
      </c>
      <c r="AI6" s="10">
        <f>13+37+38+68</f>
        <v>156</v>
      </c>
      <c r="AJ6" s="3">
        <f>9+42+40+65</f>
        <v>156</v>
      </c>
      <c r="AK6" s="3">
        <v>156</v>
      </c>
      <c r="AL6" s="3">
        <f>1+38+49+68</f>
        <v>156</v>
      </c>
      <c r="AM6" s="3">
        <v>156</v>
      </c>
      <c r="AN6" s="3">
        <v>156</v>
      </c>
      <c r="AO6" s="3">
        <f>13+37+38+68</f>
        <v>156</v>
      </c>
      <c r="AP6" s="3">
        <v>156</v>
      </c>
      <c r="AQ6" s="3">
        <v>156</v>
      </c>
      <c r="AR6" s="3">
        <v>156</v>
      </c>
      <c r="AS6" s="3">
        <f>156+156</f>
        <v>312</v>
      </c>
      <c r="AT6" s="20">
        <f>156+17+139</f>
        <v>312</v>
      </c>
      <c r="AU6" s="10">
        <f>27+4+6+20+6+13+58+37+38</f>
        <v>209</v>
      </c>
      <c r="AV6" s="19">
        <v>209</v>
      </c>
      <c r="AW6" s="19">
        <v>209</v>
      </c>
      <c r="AX6" s="21">
        <v>209</v>
      </c>
      <c r="AY6" s="19">
        <v>105</v>
      </c>
      <c r="AZ6" s="19">
        <v>105</v>
      </c>
      <c r="BA6" s="19">
        <v>105</v>
      </c>
      <c r="BB6" s="19">
        <v>105</v>
      </c>
      <c r="BC6" s="23">
        <f>118-105</f>
        <v>13</v>
      </c>
      <c r="BD6" s="3">
        <v>0</v>
      </c>
      <c r="BE6" s="3">
        <v>0</v>
      </c>
      <c r="BF6" s="3">
        <v>0</v>
      </c>
      <c r="BG6" s="3">
        <v>0</v>
      </c>
    </row>
    <row r="7" spans="1:59">
      <c r="A7" s="17" t="s">
        <v>11</v>
      </c>
      <c r="J7" s="18"/>
      <c r="K7" s="10" t="s">
        <v>12</v>
      </c>
      <c r="L7" s="10"/>
      <c r="Q7" s="10"/>
      <c r="R7" s="18"/>
      <c r="S7" s="3" t="s">
        <v>13</v>
      </c>
      <c r="T7" s="10"/>
      <c r="U7" s="10"/>
      <c r="AE7" s="17" t="s">
        <v>14</v>
      </c>
      <c r="AF7" s="10"/>
      <c r="AG7" s="10"/>
      <c r="AH7" s="10"/>
      <c r="AI7" s="10"/>
      <c r="AT7" s="17" t="s">
        <v>15</v>
      </c>
      <c r="AU7" s="10"/>
      <c r="AX7" s="18"/>
      <c r="BC7" s="3">
        <v>105</v>
      </c>
    </row>
    <row r="8" spans="1:59">
      <c r="A8" s="17" t="s">
        <v>5</v>
      </c>
      <c r="B8" s="8">
        <f t="shared" ref="B8:P8" si="2">B5</f>
        <v>46020</v>
      </c>
      <c r="C8" s="8">
        <f t="shared" si="2"/>
        <v>46021</v>
      </c>
      <c r="D8" s="8">
        <f t="shared" si="2"/>
        <v>46022</v>
      </c>
      <c r="E8" s="8">
        <f t="shared" si="2"/>
        <v>46023</v>
      </c>
      <c r="F8" s="8">
        <f t="shared" si="2"/>
        <v>46024</v>
      </c>
      <c r="G8" s="8">
        <f t="shared" si="2"/>
        <v>46025</v>
      </c>
      <c r="H8" s="8">
        <f t="shared" si="2"/>
        <v>46026</v>
      </c>
      <c r="I8" s="8">
        <f t="shared" si="2"/>
        <v>46027</v>
      </c>
      <c r="J8" s="15">
        <f t="shared" si="2"/>
        <v>46028</v>
      </c>
      <c r="K8" s="16">
        <f t="shared" si="2"/>
        <v>46029</v>
      </c>
      <c r="L8" s="16">
        <f t="shared" si="2"/>
        <v>46030</v>
      </c>
      <c r="M8" s="8">
        <f t="shared" si="2"/>
        <v>46031</v>
      </c>
      <c r="N8" s="8">
        <f t="shared" si="2"/>
        <v>46032</v>
      </c>
      <c r="O8" s="8">
        <f t="shared" si="2"/>
        <v>46033</v>
      </c>
      <c r="P8" s="8">
        <f t="shared" si="2"/>
        <v>46034</v>
      </c>
      <c r="Q8" s="16">
        <f t="shared" ref="Q8:BG8" si="3">Q5</f>
        <v>46035</v>
      </c>
      <c r="R8" s="15">
        <f t="shared" si="3"/>
        <v>46036</v>
      </c>
      <c r="S8" s="16">
        <f t="shared" si="3"/>
        <v>46037</v>
      </c>
      <c r="T8" s="16">
        <f t="shared" si="3"/>
        <v>46038</v>
      </c>
      <c r="U8" s="16">
        <f t="shared" si="3"/>
        <v>46039</v>
      </c>
      <c r="V8" s="8">
        <f t="shared" si="3"/>
        <v>46040</v>
      </c>
      <c r="W8" s="8">
        <f t="shared" si="3"/>
        <v>46041</v>
      </c>
      <c r="X8" s="8">
        <f t="shared" si="3"/>
        <v>46042</v>
      </c>
      <c r="Y8" s="8">
        <f t="shared" si="3"/>
        <v>46043</v>
      </c>
      <c r="Z8" s="8">
        <f t="shared" si="3"/>
        <v>46044</v>
      </c>
      <c r="AA8" s="8">
        <f t="shared" si="3"/>
        <v>46045</v>
      </c>
      <c r="AB8" s="8">
        <f t="shared" si="3"/>
        <v>46046</v>
      </c>
      <c r="AC8" s="8">
        <f t="shared" si="3"/>
        <v>46047</v>
      </c>
      <c r="AD8" s="8">
        <f t="shared" si="3"/>
        <v>46048</v>
      </c>
      <c r="AE8" s="14">
        <f t="shared" si="3"/>
        <v>46049</v>
      </c>
      <c r="AF8" s="16">
        <f t="shared" si="3"/>
        <v>46050</v>
      </c>
      <c r="AG8" s="16">
        <f t="shared" si="3"/>
        <v>46051</v>
      </c>
      <c r="AH8" s="16">
        <f t="shared" si="3"/>
        <v>46052</v>
      </c>
      <c r="AI8" s="16">
        <f t="shared" si="3"/>
        <v>46053</v>
      </c>
      <c r="AJ8" s="8">
        <f t="shared" si="3"/>
        <v>46054</v>
      </c>
      <c r="AK8" s="8">
        <f t="shared" si="3"/>
        <v>46055</v>
      </c>
      <c r="AL8" s="8">
        <f t="shared" si="3"/>
        <v>46056</v>
      </c>
      <c r="AM8" s="8">
        <f t="shared" si="3"/>
        <v>46057</v>
      </c>
      <c r="AN8" s="8">
        <f t="shared" si="3"/>
        <v>46058</v>
      </c>
      <c r="AO8" s="8">
        <f t="shared" si="3"/>
        <v>46059</v>
      </c>
      <c r="AP8" s="8">
        <f t="shared" si="3"/>
        <v>46060</v>
      </c>
      <c r="AQ8" s="8">
        <f t="shared" si="3"/>
        <v>46061</v>
      </c>
      <c r="AR8" s="8">
        <f t="shared" si="3"/>
        <v>46062</v>
      </c>
      <c r="AS8" s="8">
        <f t="shared" si="3"/>
        <v>46063</v>
      </c>
      <c r="AT8" s="14">
        <f t="shared" si="3"/>
        <v>46064</v>
      </c>
      <c r="AU8" s="16">
        <f t="shared" si="3"/>
        <v>46065</v>
      </c>
      <c r="AV8" s="8">
        <f t="shared" si="3"/>
        <v>46066</v>
      </c>
      <c r="AW8" s="8">
        <f t="shared" si="3"/>
        <v>46067</v>
      </c>
      <c r="AX8" s="15">
        <f t="shared" si="3"/>
        <v>46068</v>
      </c>
      <c r="AY8" s="8">
        <f t="shared" si="3"/>
        <v>46069</v>
      </c>
      <c r="AZ8" s="8">
        <f t="shared" si="3"/>
        <v>46070</v>
      </c>
      <c r="BA8" s="8">
        <f t="shared" si="3"/>
        <v>46071</v>
      </c>
      <c r="BB8" s="8">
        <f t="shared" si="3"/>
        <v>46072</v>
      </c>
      <c r="BC8" s="8">
        <f t="shared" si="3"/>
        <v>46073</v>
      </c>
      <c r="BD8" s="8">
        <f t="shared" si="3"/>
        <v>46074</v>
      </c>
      <c r="BE8" s="8">
        <f t="shared" si="3"/>
        <v>46075</v>
      </c>
      <c r="BF8" s="8">
        <f t="shared" si="3"/>
        <v>46076</v>
      </c>
      <c r="BG8" s="8">
        <f t="shared" si="3"/>
        <v>46077</v>
      </c>
    </row>
    <row r="9" spans="1:59">
      <c r="A9" s="17">
        <f>MAX(B9:ZZ9)</f>
        <v>467</v>
      </c>
      <c r="B9" s="3">
        <v>37</v>
      </c>
      <c r="C9" s="3">
        <v>50</v>
      </c>
      <c r="D9" s="3">
        <v>80</v>
      </c>
      <c r="E9" s="3">
        <v>110</v>
      </c>
      <c r="F9" s="3">
        <v>189</v>
      </c>
      <c r="G9" s="3">
        <v>210</v>
      </c>
      <c r="H9" s="3">
        <v>214</v>
      </c>
      <c r="I9" s="3">
        <v>285</v>
      </c>
      <c r="J9" s="18">
        <v>0</v>
      </c>
      <c r="K9" s="10">
        <v>0</v>
      </c>
      <c r="L9" s="10">
        <v>18</v>
      </c>
      <c r="M9" s="3">
        <v>32</v>
      </c>
      <c r="N9" s="3">
        <v>19</v>
      </c>
      <c r="O9" s="3">
        <v>18</v>
      </c>
      <c r="P9" s="3">
        <v>18</v>
      </c>
      <c r="Q9" s="10">
        <v>18</v>
      </c>
      <c r="R9" s="18">
        <v>62</v>
      </c>
      <c r="S9" s="10">
        <v>24</v>
      </c>
      <c r="T9" s="10">
        <v>0</v>
      </c>
      <c r="U9" s="10">
        <v>28</v>
      </c>
      <c r="V9" s="3">
        <v>72</v>
      </c>
      <c r="W9" s="3">
        <v>120</v>
      </c>
      <c r="X9" s="3">
        <v>209</v>
      </c>
      <c r="Y9" s="3">
        <v>286</v>
      </c>
      <c r="Z9" s="3">
        <v>373</v>
      </c>
      <c r="AA9" s="3">
        <v>417</v>
      </c>
      <c r="AB9" s="3">
        <v>459</v>
      </c>
      <c r="AC9" s="3">
        <v>464</v>
      </c>
      <c r="AD9" s="3">
        <v>0</v>
      </c>
      <c r="AE9" s="17">
        <v>0</v>
      </c>
      <c r="AF9" s="10">
        <v>36</v>
      </c>
      <c r="AG9" s="10">
        <v>72</v>
      </c>
      <c r="AH9" s="10">
        <v>108</v>
      </c>
      <c r="AI9" s="10">
        <v>144</v>
      </c>
      <c r="AJ9" s="3">
        <v>180</v>
      </c>
      <c r="AK9" s="3">
        <v>216</v>
      </c>
      <c r="AL9" s="3">
        <v>252</v>
      </c>
      <c r="AM9" s="3">
        <v>288</v>
      </c>
      <c r="AN9" s="3">
        <v>324</v>
      </c>
      <c r="AO9" s="3">
        <f>324+36</f>
        <v>360</v>
      </c>
      <c r="AP9" s="3">
        <f>360+36</f>
        <v>396</v>
      </c>
      <c r="AQ9" s="3">
        <f>396+36</f>
        <v>432</v>
      </c>
      <c r="AR9" s="3">
        <f>432+35</f>
        <v>467</v>
      </c>
      <c r="AS9" s="3">
        <v>0</v>
      </c>
      <c r="AT9" s="17">
        <v>0</v>
      </c>
      <c r="AU9" s="10">
        <f>11+10</f>
        <v>21</v>
      </c>
      <c r="AV9" s="19">
        <f>12+10-1</f>
        <v>21</v>
      </c>
      <c r="AW9" s="19">
        <v>21</v>
      </c>
      <c r="AX9" s="21">
        <v>21</v>
      </c>
      <c r="AY9" s="19">
        <v>11</v>
      </c>
      <c r="AZ9" s="19">
        <v>11</v>
      </c>
      <c r="BA9" s="2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</row>
    <row r="10" spans="1:59">
      <c r="A10" s="17" t="s">
        <v>16</v>
      </c>
      <c r="J10" s="18"/>
      <c r="K10" s="10" t="s">
        <v>16</v>
      </c>
      <c r="L10" s="10"/>
      <c r="Q10" s="10"/>
      <c r="R10" s="18"/>
      <c r="S10" s="3" t="s">
        <v>17</v>
      </c>
      <c r="T10" s="10"/>
      <c r="U10" s="10"/>
      <c r="AE10" s="17" t="s">
        <v>18</v>
      </c>
      <c r="AF10" s="10"/>
      <c r="AG10" s="10"/>
      <c r="AH10" s="10"/>
      <c r="AI10" s="10"/>
      <c r="AT10" s="17" t="s">
        <v>19</v>
      </c>
      <c r="AU10" s="10"/>
      <c r="AX10" s="18"/>
    </row>
    <row r="11" spans="1:59">
      <c r="A11" s="17" t="s">
        <v>5</v>
      </c>
      <c r="B11" s="8">
        <f t="shared" ref="B11:P11" si="4">B8</f>
        <v>46020</v>
      </c>
      <c r="C11" s="8">
        <f t="shared" si="4"/>
        <v>46021</v>
      </c>
      <c r="D11" s="8">
        <f t="shared" si="4"/>
        <v>46022</v>
      </c>
      <c r="E11" s="8">
        <f t="shared" si="4"/>
        <v>46023</v>
      </c>
      <c r="F11" s="8">
        <f t="shared" si="4"/>
        <v>46024</v>
      </c>
      <c r="G11" s="8">
        <f t="shared" si="4"/>
        <v>46025</v>
      </c>
      <c r="H11" s="8">
        <f t="shared" si="4"/>
        <v>46026</v>
      </c>
      <c r="I11" s="8">
        <f t="shared" si="4"/>
        <v>46027</v>
      </c>
      <c r="J11" s="15">
        <f t="shared" si="4"/>
        <v>46028</v>
      </c>
      <c r="K11" s="16">
        <f t="shared" si="4"/>
        <v>46029</v>
      </c>
      <c r="L11" s="16">
        <f t="shared" si="4"/>
        <v>46030</v>
      </c>
      <c r="M11" s="8">
        <f t="shared" si="4"/>
        <v>46031</v>
      </c>
      <c r="N11" s="8">
        <f t="shared" si="4"/>
        <v>46032</v>
      </c>
      <c r="O11" s="8">
        <f t="shared" si="4"/>
        <v>46033</v>
      </c>
      <c r="P11" s="8">
        <f t="shared" si="4"/>
        <v>46034</v>
      </c>
      <c r="Q11" s="16">
        <f t="shared" ref="Q11:BG11" si="5">Q8</f>
        <v>46035</v>
      </c>
      <c r="R11" s="15">
        <f t="shared" si="5"/>
        <v>46036</v>
      </c>
      <c r="S11" s="16">
        <f t="shared" si="5"/>
        <v>46037</v>
      </c>
      <c r="T11" s="16">
        <f t="shared" si="5"/>
        <v>46038</v>
      </c>
      <c r="U11" s="16">
        <f t="shared" si="5"/>
        <v>46039</v>
      </c>
      <c r="V11" s="8">
        <f t="shared" si="5"/>
        <v>46040</v>
      </c>
      <c r="W11" s="8">
        <f t="shared" si="5"/>
        <v>46041</v>
      </c>
      <c r="X11" s="8">
        <f t="shared" si="5"/>
        <v>46042</v>
      </c>
      <c r="Y11" s="8">
        <f t="shared" si="5"/>
        <v>46043</v>
      </c>
      <c r="Z11" s="8">
        <f t="shared" si="5"/>
        <v>46044</v>
      </c>
      <c r="AA11" s="8">
        <f t="shared" si="5"/>
        <v>46045</v>
      </c>
      <c r="AB11" s="8">
        <f t="shared" si="5"/>
        <v>46046</v>
      </c>
      <c r="AC11" s="8">
        <f t="shared" si="5"/>
        <v>46047</v>
      </c>
      <c r="AD11" s="8">
        <f t="shared" si="5"/>
        <v>46048</v>
      </c>
      <c r="AE11" s="14">
        <f t="shared" si="5"/>
        <v>46049</v>
      </c>
      <c r="AF11" s="16">
        <f t="shared" si="5"/>
        <v>46050</v>
      </c>
      <c r="AG11" s="16">
        <f t="shared" si="5"/>
        <v>46051</v>
      </c>
      <c r="AH11" s="16">
        <f t="shared" si="5"/>
        <v>46052</v>
      </c>
      <c r="AI11" s="16">
        <f t="shared" si="5"/>
        <v>46053</v>
      </c>
      <c r="AJ11" s="8">
        <f t="shared" si="5"/>
        <v>46054</v>
      </c>
      <c r="AK11" s="8">
        <f t="shared" si="5"/>
        <v>46055</v>
      </c>
      <c r="AL11" s="8">
        <f t="shared" si="5"/>
        <v>46056</v>
      </c>
      <c r="AM11" s="8">
        <f t="shared" si="5"/>
        <v>46057</v>
      </c>
      <c r="AN11" s="8">
        <f t="shared" si="5"/>
        <v>46058</v>
      </c>
      <c r="AO11" s="8">
        <f t="shared" si="5"/>
        <v>46059</v>
      </c>
      <c r="AP11" s="8">
        <f t="shared" si="5"/>
        <v>46060</v>
      </c>
      <c r="AQ11" s="8">
        <f t="shared" si="5"/>
        <v>46061</v>
      </c>
      <c r="AR11" s="8">
        <f t="shared" si="5"/>
        <v>46062</v>
      </c>
      <c r="AS11" s="8">
        <f t="shared" si="5"/>
        <v>46063</v>
      </c>
      <c r="AT11" s="14">
        <f t="shared" si="5"/>
        <v>46064</v>
      </c>
      <c r="AU11" s="16">
        <f t="shared" si="5"/>
        <v>46065</v>
      </c>
      <c r="AV11" s="8">
        <f t="shared" si="5"/>
        <v>46066</v>
      </c>
      <c r="AW11" s="8">
        <f t="shared" si="5"/>
        <v>46067</v>
      </c>
      <c r="AX11" s="15">
        <f t="shared" si="5"/>
        <v>46068</v>
      </c>
      <c r="AY11" s="8">
        <f t="shared" si="5"/>
        <v>46069</v>
      </c>
      <c r="AZ11" s="8">
        <f t="shared" si="5"/>
        <v>46070</v>
      </c>
      <c r="BA11" s="8">
        <f t="shared" si="5"/>
        <v>46071</v>
      </c>
      <c r="BB11" s="8">
        <f t="shared" si="5"/>
        <v>46072</v>
      </c>
      <c r="BC11" s="8">
        <f t="shared" si="5"/>
        <v>46073</v>
      </c>
      <c r="BD11" s="8">
        <f t="shared" si="5"/>
        <v>46074</v>
      </c>
      <c r="BE11" s="8">
        <f t="shared" si="5"/>
        <v>46075</v>
      </c>
      <c r="BF11" s="8">
        <f t="shared" si="5"/>
        <v>46076</v>
      </c>
      <c r="BG11" s="8">
        <f t="shared" si="5"/>
        <v>46077</v>
      </c>
    </row>
    <row r="12" s="9" customFormat="1" ht="15.15" spans="1:59">
      <c r="A12" s="24">
        <f>SUM(B12:ZZ12)</f>
        <v>2177.2</v>
      </c>
      <c r="B12" s="9">
        <v>0</v>
      </c>
      <c r="C12" s="9">
        <v>12.5</v>
      </c>
      <c r="D12" s="9">
        <v>24.7</v>
      </c>
      <c r="E12" s="9">
        <v>27.3</v>
      </c>
      <c r="F12" s="9">
        <v>25</v>
      </c>
      <c r="G12" s="9">
        <v>24</v>
      </c>
      <c r="H12" s="9">
        <v>26</v>
      </c>
      <c r="I12" s="9">
        <v>20</v>
      </c>
      <c r="J12" s="25">
        <v>42</v>
      </c>
      <c r="K12" s="9">
        <v>44</v>
      </c>
      <c r="L12" s="9">
        <v>24.2</v>
      </c>
      <c r="M12" s="9">
        <v>23.2</v>
      </c>
      <c r="N12" s="9">
        <v>28</v>
      </c>
      <c r="O12" s="9">
        <v>23</v>
      </c>
      <c r="P12" s="9">
        <v>23</v>
      </c>
      <c r="Q12" s="9">
        <v>23</v>
      </c>
      <c r="R12" s="25">
        <v>42.8</v>
      </c>
      <c r="S12" s="9">
        <v>0</v>
      </c>
      <c r="T12" s="9">
        <v>74</v>
      </c>
      <c r="U12" s="9">
        <v>25</v>
      </c>
      <c r="V12" s="9">
        <v>25</v>
      </c>
      <c r="W12" s="9">
        <v>0</v>
      </c>
      <c r="X12" s="9">
        <v>25</v>
      </c>
      <c r="Y12" s="9">
        <v>25</v>
      </c>
      <c r="Z12" s="9">
        <v>23</v>
      </c>
      <c r="AA12" s="9">
        <v>21</v>
      </c>
      <c r="AB12" s="9">
        <v>22</v>
      </c>
      <c r="AC12" s="9">
        <v>20</v>
      </c>
      <c r="AD12" s="9">
        <v>46</v>
      </c>
      <c r="AE12" s="17">
        <v>42</v>
      </c>
      <c r="AF12" s="10">
        <f>34+9+7+7+7</f>
        <v>64</v>
      </c>
      <c r="AG12" s="10">
        <f>32+8+8+7+9</f>
        <v>64</v>
      </c>
      <c r="AH12" s="26">
        <f>33+8+6+7+10</f>
        <v>64</v>
      </c>
      <c r="AI12" s="26">
        <f>33+8+6+9+8</f>
        <v>64</v>
      </c>
      <c r="AJ12" s="27">
        <f>30+8+8+10+8</f>
        <v>64</v>
      </c>
      <c r="AK12" s="27">
        <f>32+8+7+9+8</f>
        <v>64</v>
      </c>
      <c r="AL12" s="27">
        <f>33+8+6+9+8</f>
        <v>64</v>
      </c>
      <c r="AM12" s="27">
        <f>32+8+8+8+8</f>
        <v>64</v>
      </c>
      <c r="AN12" s="27">
        <f>34+8+5+9+8</f>
        <v>64</v>
      </c>
      <c r="AO12" s="27">
        <f>34+7+6+9+8</f>
        <v>64</v>
      </c>
      <c r="AP12" s="27">
        <f>32+8+6+10+8</f>
        <v>64</v>
      </c>
      <c r="AQ12" s="27">
        <f>31+8+8+9+8</f>
        <v>64</v>
      </c>
      <c r="AR12" s="27">
        <f>31+8+7+10+8</f>
        <v>64</v>
      </c>
      <c r="AS12" s="27">
        <f>35+7+7+7+8</f>
        <v>64</v>
      </c>
      <c r="AT12" s="28">
        <f>30+8+8+10+8</f>
        <v>64</v>
      </c>
      <c r="AU12" s="27">
        <v>131</v>
      </c>
      <c r="AV12" s="27">
        <v>131</v>
      </c>
      <c r="AW12" s="27">
        <v>131</v>
      </c>
      <c r="AX12" s="29">
        <v>43.5</v>
      </c>
      <c r="AY12" s="30">
        <v>0</v>
      </c>
      <c r="AZ12" s="30">
        <v>0</v>
      </c>
      <c r="BA12" s="30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</row>
    <row r="13" s="10" customFormat="1" spans="1:59">
      <c r="A13" s="17" t="s">
        <v>20</v>
      </c>
      <c r="B13" s="10" t="str">
        <f>A1</f>
        <v>模板记忆</v>
      </c>
      <c r="C13" s="10" t="str">
        <f>A4</f>
        <v>数据结构</v>
      </c>
      <c r="D13" s="10" t="str">
        <f>A7</f>
        <v>程序设计</v>
      </c>
      <c r="E13" s="18" t="str">
        <f>A10</f>
        <v>翻译训练</v>
      </c>
      <c r="K13" s="17" t="s">
        <v>20</v>
      </c>
      <c r="L13" s="10" t="str">
        <f>K1</f>
        <v>算法动作</v>
      </c>
      <c r="M13" s="10" t="str">
        <f>K4</f>
        <v>算法状态</v>
      </c>
      <c r="N13" s="10" t="str">
        <f>K7</f>
        <v>算法流程+DS</v>
      </c>
      <c r="O13" s="18" t="str">
        <f>K10</f>
        <v>翻译训练</v>
      </c>
      <c r="S13" s="17" t="s">
        <v>20</v>
      </c>
      <c r="T13" s="10" t="str">
        <f>S1</f>
        <v>力扣冒险</v>
      </c>
      <c r="U13" s="10" t="str">
        <f>S4</f>
        <v>计算思维</v>
      </c>
      <c r="V13" s="10" t="str">
        <f>S7</f>
        <v>复试宝典</v>
      </c>
      <c r="W13" s="18" t="str">
        <f>S10</f>
        <v>记忆保温</v>
      </c>
      <c r="AE13" s="12" t="s">
        <v>20</v>
      </c>
      <c r="AF13" s="7" t="s">
        <v>3</v>
      </c>
      <c r="AG13" s="7" t="s">
        <v>9</v>
      </c>
      <c r="AH13" s="7" t="s">
        <v>14</v>
      </c>
      <c r="AI13" s="13" t="s">
        <v>18</v>
      </c>
      <c r="AT13" s="12" t="s">
        <v>20</v>
      </c>
      <c r="AU13" s="7" t="str">
        <f>AT1</f>
        <v>书籍理论</v>
      </c>
      <c r="AV13" s="7" t="str">
        <f>AT4</f>
        <v>清记忆卡</v>
      </c>
      <c r="AW13" s="7" t="str">
        <f>AT7</f>
        <v>扫盲对齐</v>
      </c>
      <c r="AX13" s="13" t="str">
        <f>AT10</f>
        <v>上机实操</v>
      </c>
    </row>
    <row r="14" s="10" customFormat="1" ht="15.15" spans="1:59">
      <c r="A14" s="17" t="s">
        <v>21</v>
      </c>
      <c r="B14" s="10">
        <v>153</v>
      </c>
      <c r="C14" s="10">
        <v>262</v>
      </c>
      <c r="D14" s="10">
        <v>285</v>
      </c>
      <c r="E14" s="18">
        <f>ROUND(AVERAGE(B14:D14),0)</f>
        <v>233</v>
      </c>
      <c r="K14" s="24" t="s">
        <v>21</v>
      </c>
      <c r="L14" s="9">
        <v>331</v>
      </c>
      <c r="M14" s="9">
        <v>260</v>
      </c>
      <c r="N14" s="9">
        <v>232</v>
      </c>
      <c r="O14" s="25">
        <f>ROUND(AVERAGE(L14:N14),0)</f>
        <v>274</v>
      </c>
      <c r="S14" s="24" t="s">
        <v>21</v>
      </c>
      <c r="T14" s="9">
        <v>105</v>
      </c>
      <c r="U14" s="3">
        <f>184+226</f>
        <v>410</v>
      </c>
      <c r="V14" s="3">
        <f>306+158</f>
        <v>464</v>
      </c>
      <c r="W14" s="25">
        <v>326</v>
      </c>
      <c r="AE14" s="24" t="s">
        <v>21</v>
      </c>
      <c r="AF14" s="9">
        <v>15</v>
      </c>
      <c r="AG14" s="9">
        <v>2029</v>
      </c>
      <c r="AH14" s="10">
        <f>230+237</f>
        <v>467</v>
      </c>
      <c r="AI14" s="25">
        <f>ROUND(AVERAGE(AF14:AH14),0)</f>
        <v>837</v>
      </c>
      <c r="AT14" s="24" t="s">
        <v>21</v>
      </c>
      <c r="AU14" s="9">
        <v>2103</v>
      </c>
      <c r="AV14" s="9">
        <v>2717</v>
      </c>
      <c r="AW14" s="9">
        <v>279</v>
      </c>
      <c r="AX14" s="25">
        <f>ROUND(AVERAGE(AU14:AW14),0)</f>
        <v>1700</v>
      </c>
    </row>
    <row r="15" s="7" customFormat="1" spans="1:59">
      <c r="A15" s="12" t="s">
        <v>22</v>
      </c>
      <c r="B15" s="31">
        <f t="shared" ref="B15:P15" si="6">B11</f>
        <v>46020</v>
      </c>
      <c r="C15" s="31">
        <f t="shared" si="6"/>
        <v>46021</v>
      </c>
      <c r="D15" s="31">
        <f t="shared" si="6"/>
        <v>46022</v>
      </c>
      <c r="E15" s="31">
        <f t="shared" si="6"/>
        <v>46023</v>
      </c>
      <c r="F15" s="31">
        <f t="shared" si="6"/>
        <v>46024</v>
      </c>
      <c r="G15" s="31">
        <f t="shared" si="6"/>
        <v>46025</v>
      </c>
      <c r="H15" s="31">
        <f t="shared" si="6"/>
        <v>46026</v>
      </c>
      <c r="I15" s="31">
        <f t="shared" si="6"/>
        <v>46027</v>
      </c>
      <c r="J15" s="31">
        <f t="shared" si="6"/>
        <v>46028</v>
      </c>
      <c r="K15" s="31">
        <f t="shared" si="6"/>
        <v>46029</v>
      </c>
      <c r="L15" s="31">
        <f t="shared" si="6"/>
        <v>46030</v>
      </c>
      <c r="M15" s="31">
        <f t="shared" si="6"/>
        <v>46031</v>
      </c>
      <c r="N15" s="31">
        <f t="shared" si="6"/>
        <v>46032</v>
      </c>
      <c r="O15" s="31">
        <f t="shared" si="6"/>
        <v>46033</v>
      </c>
      <c r="P15" s="31">
        <f t="shared" si="6"/>
        <v>46034</v>
      </c>
      <c r="Q15" s="31">
        <f t="shared" ref="Q15:AY15" si="7">Q11</f>
        <v>46035</v>
      </c>
      <c r="R15" s="31">
        <f t="shared" si="7"/>
        <v>46036</v>
      </c>
      <c r="S15" s="31">
        <f t="shared" si="7"/>
        <v>46037</v>
      </c>
      <c r="T15" s="31">
        <f t="shared" si="7"/>
        <v>46038</v>
      </c>
      <c r="U15" s="31">
        <f t="shared" si="7"/>
        <v>46039</v>
      </c>
      <c r="V15" s="31">
        <f t="shared" si="7"/>
        <v>46040</v>
      </c>
      <c r="W15" s="31">
        <f t="shared" si="7"/>
        <v>46041</v>
      </c>
      <c r="X15" s="31">
        <f t="shared" si="7"/>
        <v>46042</v>
      </c>
      <c r="Y15" s="31">
        <f t="shared" si="7"/>
        <v>46043</v>
      </c>
      <c r="Z15" s="31">
        <f t="shared" si="7"/>
        <v>46044</v>
      </c>
      <c r="AA15" s="31">
        <f t="shared" si="7"/>
        <v>46045</v>
      </c>
      <c r="AB15" s="31">
        <f t="shared" si="7"/>
        <v>46046</v>
      </c>
      <c r="AC15" s="31">
        <f t="shared" si="7"/>
        <v>46047</v>
      </c>
      <c r="AD15" s="31">
        <f t="shared" si="7"/>
        <v>46048</v>
      </c>
      <c r="AE15" s="31">
        <f t="shared" si="7"/>
        <v>46049</v>
      </c>
      <c r="AF15" s="31">
        <f t="shared" si="7"/>
        <v>46050</v>
      </c>
      <c r="AG15" s="31">
        <f t="shared" si="7"/>
        <v>46051</v>
      </c>
      <c r="AH15" s="31">
        <f t="shared" si="7"/>
        <v>46052</v>
      </c>
      <c r="AI15" s="31">
        <f t="shared" si="7"/>
        <v>46053</v>
      </c>
      <c r="AJ15" s="31">
        <f t="shared" si="7"/>
        <v>46054</v>
      </c>
      <c r="AK15" s="31">
        <f t="shared" si="7"/>
        <v>46055</v>
      </c>
      <c r="AL15" s="31">
        <f t="shared" si="7"/>
        <v>46056</v>
      </c>
      <c r="AM15" s="31">
        <f t="shared" si="7"/>
        <v>46057</v>
      </c>
      <c r="AN15" s="31">
        <f t="shared" si="7"/>
        <v>46058</v>
      </c>
      <c r="AO15" s="31">
        <f t="shared" si="7"/>
        <v>46059</v>
      </c>
      <c r="AP15" s="31">
        <f t="shared" si="7"/>
        <v>46060</v>
      </c>
      <c r="AQ15" s="31">
        <f t="shared" si="7"/>
        <v>46061</v>
      </c>
      <c r="AR15" s="31">
        <f t="shared" si="7"/>
        <v>46062</v>
      </c>
      <c r="AS15" s="31">
        <f t="shared" si="7"/>
        <v>46063</v>
      </c>
      <c r="AT15" s="31">
        <f t="shared" si="7"/>
        <v>46064</v>
      </c>
      <c r="AU15" s="31">
        <f t="shared" si="7"/>
        <v>46065</v>
      </c>
      <c r="AV15" s="31">
        <f t="shared" si="7"/>
        <v>46066</v>
      </c>
      <c r="AW15" s="31">
        <f t="shared" si="7"/>
        <v>46067</v>
      </c>
      <c r="AX15" s="31">
        <f t="shared" si="7"/>
        <v>46068</v>
      </c>
      <c r="AY15" s="31">
        <f t="shared" si="7"/>
        <v>46069</v>
      </c>
      <c r="AZ15" s="31">
        <f t="shared" ref="AZ15:BG15" si="8">AZ11</f>
        <v>46070</v>
      </c>
      <c r="BA15" s="31">
        <f t="shared" si="8"/>
        <v>46071</v>
      </c>
      <c r="BB15" s="31">
        <f t="shared" si="8"/>
        <v>46072</v>
      </c>
      <c r="BC15" s="31">
        <f t="shared" si="8"/>
        <v>46073</v>
      </c>
      <c r="BD15" s="31">
        <f t="shared" si="8"/>
        <v>46074</v>
      </c>
      <c r="BE15" s="31">
        <f t="shared" si="8"/>
        <v>46075</v>
      </c>
      <c r="BF15" s="31">
        <f t="shared" si="8"/>
        <v>46076</v>
      </c>
      <c r="BG15" s="31">
        <f t="shared" si="8"/>
        <v>46077</v>
      </c>
    </row>
    <row r="16" s="10" customFormat="1" spans="1:59">
      <c r="A16" s="17" t="s">
        <v>23</v>
      </c>
      <c r="B16" s="32">
        <f t="shared" ref="B16:K16" si="9">B3/$B$14</f>
        <v>0.163398692810458</v>
      </c>
      <c r="C16" s="32">
        <f t="shared" si="9"/>
        <v>0.163398692810458</v>
      </c>
      <c r="D16" s="32">
        <f t="shared" si="9"/>
        <v>0.0980392156862745</v>
      </c>
      <c r="E16" s="32">
        <f t="shared" si="9"/>
        <v>0.0980392156862745</v>
      </c>
      <c r="F16" s="32">
        <f t="shared" si="9"/>
        <v>0.0980392156862745</v>
      </c>
      <c r="G16" s="32">
        <f t="shared" si="9"/>
        <v>0.0980392156862745</v>
      </c>
      <c r="H16" s="32">
        <f t="shared" si="9"/>
        <v>0.0980392156862745</v>
      </c>
      <c r="I16" s="32">
        <f t="shared" si="9"/>
        <v>0.588235294117647</v>
      </c>
      <c r="J16" s="32">
        <f t="shared" si="9"/>
        <v>0.143790849673203</v>
      </c>
      <c r="K16" s="32">
        <f t="shared" si="9"/>
        <v>0.137254901960784</v>
      </c>
      <c r="L16" s="32">
        <f t="shared" ref="L16:AA16" si="10">L3/$L$14</f>
        <v>0.0785498489425982</v>
      </c>
      <c r="M16" s="32">
        <f t="shared" si="10"/>
        <v>0.151057401812689</v>
      </c>
      <c r="N16" s="32">
        <f t="shared" si="10"/>
        <v>0.0845921450151057</v>
      </c>
      <c r="O16" s="32">
        <f t="shared" si="10"/>
        <v>0.0755287009063444</v>
      </c>
      <c r="P16" s="32">
        <f t="shared" si="10"/>
        <v>0.0755287009063444</v>
      </c>
      <c r="Q16" s="32">
        <f t="shared" si="10"/>
        <v>0.0785498489425982</v>
      </c>
      <c r="R16" s="32">
        <f t="shared" si="10"/>
        <v>0.208459214501511</v>
      </c>
      <c r="S16" s="32">
        <f t="shared" si="10"/>
        <v>0.157099697885196</v>
      </c>
      <c r="T16" s="32">
        <f t="shared" ref="T16:AE16" si="11">T3/$T$14</f>
        <v>0.142857142857143</v>
      </c>
      <c r="U16" s="32">
        <f t="shared" si="11"/>
        <v>0.0761904761904762</v>
      </c>
      <c r="V16" s="32">
        <f t="shared" si="11"/>
        <v>0</v>
      </c>
      <c r="W16" s="32">
        <f t="shared" si="11"/>
        <v>0.0571428571428571</v>
      </c>
      <c r="X16" s="32">
        <f t="shared" si="11"/>
        <v>0.0761904761904762</v>
      </c>
      <c r="Y16" s="32">
        <f t="shared" si="11"/>
        <v>0.0761904761904762</v>
      </c>
      <c r="Z16" s="32">
        <f t="shared" si="11"/>
        <v>0.0571428571428571</v>
      </c>
      <c r="AA16" s="32">
        <f t="shared" si="11"/>
        <v>0.152380952380952</v>
      </c>
      <c r="AB16" s="32">
        <f t="shared" si="11"/>
        <v>0.152380952380952</v>
      </c>
      <c r="AC16" s="32">
        <f t="shared" si="11"/>
        <v>0.238095238095238</v>
      </c>
      <c r="AD16" s="32">
        <f t="shared" si="11"/>
        <v>0.171428571428571</v>
      </c>
      <c r="AE16" s="32">
        <f t="shared" si="11"/>
        <v>0.133333333333333</v>
      </c>
      <c r="AF16" s="32">
        <f>AF3/$AF$14</f>
        <v>0.0666666666666667</v>
      </c>
      <c r="AG16" s="32">
        <f t="shared" ref="AF16:AY16" si="12">AG3/$AF$14</f>
        <v>0.0666666666666667</v>
      </c>
      <c r="AH16" s="32">
        <f t="shared" si="12"/>
        <v>0.0666666666666667</v>
      </c>
      <c r="AI16" s="32">
        <f t="shared" si="12"/>
        <v>0.0666666666666667</v>
      </c>
      <c r="AJ16" s="32">
        <f t="shared" si="12"/>
        <v>0.0666666666666667</v>
      </c>
      <c r="AK16" s="32">
        <f t="shared" si="12"/>
        <v>0.0666666666666667</v>
      </c>
      <c r="AL16" s="32">
        <f t="shared" si="12"/>
        <v>0.0666666666666667</v>
      </c>
      <c r="AM16" s="32">
        <f t="shared" si="12"/>
        <v>0.0666666666666667</v>
      </c>
      <c r="AN16" s="32">
        <f t="shared" si="12"/>
        <v>0.0666666666666667</v>
      </c>
      <c r="AO16" s="32">
        <f t="shared" si="12"/>
        <v>0.0666666666666667</v>
      </c>
      <c r="AP16" s="32">
        <f t="shared" si="12"/>
        <v>0.0666666666666667</v>
      </c>
      <c r="AQ16" s="32">
        <f t="shared" si="12"/>
        <v>0.0666666666666667</v>
      </c>
      <c r="AR16" s="32">
        <f t="shared" si="12"/>
        <v>0.0666666666666667</v>
      </c>
      <c r="AS16" s="32">
        <f t="shared" si="12"/>
        <v>0.0666666666666667</v>
      </c>
      <c r="AT16" s="32">
        <f t="shared" si="12"/>
        <v>0.0666666666666667</v>
      </c>
      <c r="AU16" s="32">
        <f>AU3/$AU$14</f>
        <v>0.0770328102710414</v>
      </c>
      <c r="AV16" s="32">
        <f>MAX((AV3-AU3),0)/$AU$14</f>
        <v>0.0770328102710414</v>
      </c>
      <c r="AW16" s="32">
        <f>MAX((AW3-AV3),0)/$AU$14</f>
        <v>0.0770328102710414</v>
      </c>
      <c r="AX16" s="32">
        <f t="shared" ref="AV16:BG16" si="13">MAX((AX3-AW3),0)/$AU$14</f>
        <v>0.0770328102710414</v>
      </c>
      <c r="AY16" s="32">
        <f t="shared" si="13"/>
        <v>0.0385164051355207</v>
      </c>
      <c r="AZ16" s="32">
        <f t="shared" si="13"/>
        <v>0.0385164051355207</v>
      </c>
      <c r="BA16" s="32">
        <f t="shared" si="13"/>
        <v>0.0385164051355207</v>
      </c>
      <c r="BB16" s="32">
        <f t="shared" si="13"/>
        <v>0.0218735140275796</v>
      </c>
      <c r="BC16" s="32">
        <f t="shared" si="13"/>
        <v>0</v>
      </c>
      <c r="BD16" s="32">
        <f t="shared" si="13"/>
        <v>0</v>
      </c>
      <c r="BE16" s="32">
        <f t="shared" si="13"/>
        <v>0</v>
      </c>
      <c r="BF16" s="32">
        <f t="shared" si="13"/>
        <v>0</v>
      </c>
      <c r="BG16" s="32">
        <f t="shared" si="13"/>
        <v>0</v>
      </c>
    </row>
    <row r="17" s="3" customFormat="1" spans="1:59">
      <c r="A17" s="17" t="s">
        <v>24</v>
      </c>
      <c r="B17" s="4">
        <f>B6/$C$14</f>
        <v>0.145038167938931</v>
      </c>
      <c r="C17" s="4">
        <f t="shared" ref="C17:K17" si="14">MAX((C6-B6),0)/$C$14</f>
        <v>0.16412213740458</v>
      </c>
      <c r="D17" s="4">
        <f t="shared" si="14"/>
        <v>0.0916030534351145</v>
      </c>
      <c r="E17" s="4">
        <f t="shared" si="14"/>
        <v>0.110687022900763</v>
      </c>
      <c r="F17" s="4">
        <f t="shared" si="14"/>
        <v>0.122137404580153</v>
      </c>
      <c r="G17" s="4">
        <f t="shared" si="14"/>
        <v>0.0877862595419847</v>
      </c>
      <c r="H17" s="4">
        <f t="shared" si="14"/>
        <v>0.103053435114504</v>
      </c>
      <c r="I17" s="4">
        <f t="shared" si="14"/>
        <v>0.175572519083969</v>
      </c>
      <c r="J17" s="4">
        <f t="shared" si="14"/>
        <v>0</v>
      </c>
      <c r="K17" s="4">
        <f t="shared" si="14"/>
        <v>0</v>
      </c>
      <c r="L17" s="4">
        <f t="shared" ref="L17:AA17" si="15">L6/$M$14</f>
        <v>0.0769230769230769</v>
      </c>
      <c r="M17" s="4">
        <f t="shared" si="15"/>
        <v>0.0769230769230769</v>
      </c>
      <c r="N17" s="4">
        <f t="shared" si="15"/>
        <v>0.0769230769230769</v>
      </c>
      <c r="O17" s="4">
        <f t="shared" si="15"/>
        <v>0.0769230769230769</v>
      </c>
      <c r="P17" s="4">
        <f t="shared" si="15"/>
        <v>0.0769230769230769</v>
      </c>
      <c r="Q17" s="4">
        <f t="shared" si="15"/>
        <v>0.0769230769230769</v>
      </c>
      <c r="R17" s="4">
        <f t="shared" si="15"/>
        <v>0.153846153846154</v>
      </c>
      <c r="S17" s="4">
        <f t="shared" si="15"/>
        <v>0.153846153846154</v>
      </c>
      <c r="T17" s="4">
        <f>T6/$U$14</f>
        <v>0.507317073170732</v>
      </c>
      <c r="U17" s="4">
        <f t="shared" ref="U17:AE17" si="16">MAX((U6-T6),0)/$U$14</f>
        <v>0.102439024390244</v>
      </c>
      <c r="V17" s="4">
        <f t="shared" si="16"/>
        <v>0.209756097560976</v>
      </c>
      <c r="W17" s="4">
        <f t="shared" si="16"/>
        <v>0.180487804878049</v>
      </c>
      <c r="X17" s="4">
        <f t="shared" si="16"/>
        <v>0</v>
      </c>
      <c r="Y17" s="4">
        <f t="shared" si="16"/>
        <v>0</v>
      </c>
      <c r="Z17" s="4">
        <f t="shared" si="16"/>
        <v>0</v>
      </c>
      <c r="AA17" s="4">
        <f t="shared" si="16"/>
        <v>0</v>
      </c>
      <c r="AB17" s="4">
        <f t="shared" si="16"/>
        <v>0</v>
      </c>
      <c r="AC17" s="4">
        <f t="shared" si="16"/>
        <v>0</v>
      </c>
      <c r="AD17" s="4">
        <f t="shared" si="16"/>
        <v>0</v>
      </c>
      <c r="AE17" s="4">
        <f t="shared" si="16"/>
        <v>0</v>
      </c>
      <c r="AF17" s="32">
        <f>AF6/$AG$14</f>
        <v>0.0768851651059635</v>
      </c>
      <c r="AG17" s="32">
        <f t="shared" ref="AF17:AY17" si="17">AG6/$AG$14</f>
        <v>0.0768851651059635</v>
      </c>
      <c r="AH17" s="32">
        <f t="shared" si="17"/>
        <v>0.0768851651059635</v>
      </c>
      <c r="AI17" s="32">
        <f t="shared" si="17"/>
        <v>0.0768851651059635</v>
      </c>
      <c r="AJ17" s="32">
        <f t="shared" si="17"/>
        <v>0.0768851651059635</v>
      </c>
      <c r="AK17" s="32">
        <f t="shared" si="17"/>
        <v>0.0768851651059635</v>
      </c>
      <c r="AL17" s="32">
        <f t="shared" si="17"/>
        <v>0.0768851651059635</v>
      </c>
      <c r="AM17" s="32">
        <f t="shared" si="17"/>
        <v>0.0768851651059635</v>
      </c>
      <c r="AN17" s="32">
        <f t="shared" si="17"/>
        <v>0.0768851651059635</v>
      </c>
      <c r="AO17" s="32">
        <f t="shared" si="17"/>
        <v>0.0768851651059635</v>
      </c>
      <c r="AP17" s="32">
        <f t="shared" si="17"/>
        <v>0.0768851651059635</v>
      </c>
      <c r="AQ17" s="32">
        <f t="shared" si="17"/>
        <v>0.0768851651059635</v>
      </c>
      <c r="AR17" s="32">
        <f t="shared" si="17"/>
        <v>0.0768851651059635</v>
      </c>
      <c r="AS17" s="32">
        <f t="shared" si="17"/>
        <v>0.153770330211927</v>
      </c>
      <c r="AT17" s="32">
        <f t="shared" si="17"/>
        <v>0.153770330211927</v>
      </c>
      <c r="AU17" s="32">
        <f t="shared" ref="AU17:BG17" si="18">AU6/$AV$14</f>
        <v>0.0769230769230769</v>
      </c>
      <c r="AV17" s="32">
        <f t="shared" si="18"/>
        <v>0.0769230769230769</v>
      </c>
      <c r="AW17" s="32">
        <f t="shared" si="18"/>
        <v>0.0769230769230769</v>
      </c>
      <c r="AX17" s="32">
        <f t="shared" si="18"/>
        <v>0.0769230769230769</v>
      </c>
      <c r="AY17" s="32">
        <f t="shared" si="18"/>
        <v>0.0386455649613544</v>
      </c>
      <c r="AZ17" s="32">
        <f t="shared" si="18"/>
        <v>0.0386455649613544</v>
      </c>
      <c r="BA17" s="32">
        <f t="shared" si="18"/>
        <v>0.0386455649613544</v>
      </c>
      <c r="BB17" s="32">
        <f t="shared" si="18"/>
        <v>0.0386455649613544</v>
      </c>
      <c r="BC17" s="32">
        <f t="shared" si="18"/>
        <v>0.00478468899521531</v>
      </c>
      <c r="BD17" s="32">
        <f t="shared" si="18"/>
        <v>0</v>
      </c>
      <c r="BE17" s="32">
        <f t="shared" si="18"/>
        <v>0</v>
      </c>
      <c r="BF17" s="32">
        <f t="shared" si="18"/>
        <v>0</v>
      </c>
      <c r="BG17" s="32">
        <f t="shared" si="18"/>
        <v>0</v>
      </c>
    </row>
    <row r="18" s="3" customFormat="1" spans="1:59">
      <c r="A18" s="17" t="s">
        <v>25</v>
      </c>
      <c r="B18" s="4">
        <f>B9/$D$14</f>
        <v>0.129824561403509</v>
      </c>
      <c r="C18" s="4">
        <f t="shared" ref="C18:K18" si="19">MAX((C9-B9),0)/$D$14</f>
        <v>0.0456140350877193</v>
      </c>
      <c r="D18" s="4">
        <f t="shared" si="19"/>
        <v>0.105263157894737</v>
      </c>
      <c r="E18" s="4">
        <f t="shared" si="19"/>
        <v>0.105263157894737</v>
      </c>
      <c r="F18" s="4">
        <f t="shared" si="19"/>
        <v>0.27719298245614</v>
      </c>
      <c r="G18" s="4">
        <f t="shared" si="19"/>
        <v>0.0736842105263158</v>
      </c>
      <c r="H18" s="4">
        <f t="shared" si="19"/>
        <v>0.0140350877192982</v>
      </c>
      <c r="I18" s="4">
        <f t="shared" si="19"/>
        <v>0.249122807017544</v>
      </c>
      <c r="J18" s="4">
        <f t="shared" si="19"/>
        <v>0</v>
      </c>
      <c r="K18" s="4">
        <f t="shared" si="19"/>
        <v>0</v>
      </c>
      <c r="L18" s="4">
        <f t="shared" ref="L18:S18" si="20">L9/$N$14</f>
        <v>0.0775862068965517</v>
      </c>
      <c r="M18" s="4">
        <f t="shared" si="20"/>
        <v>0.137931034482759</v>
      </c>
      <c r="N18" s="4">
        <f t="shared" si="20"/>
        <v>0.0818965517241379</v>
      </c>
      <c r="O18" s="4">
        <f t="shared" si="20"/>
        <v>0.0775862068965517</v>
      </c>
      <c r="P18" s="4">
        <f t="shared" si="20"/>
        <v>0.0775862068965517</v>
      </c>
      <c r="Q18" s="4">
        <f t="shared" si="20"/>
        <v>0.0775862068965517</v>
      </c>
      <c r="R18" s="4">
        <f t="shared" si="20"/>
        <v>0.267241379310345</v>
      </c>
      <c r="S18" s="4">
        <f t="shared" si="20"/>
        <v>0.103448275862069</v>
      </c>
      <c r="T18" s="4">
        <f>T9/$V$14</f>
        <v>0</v>
      </c>
      <c r="U18" s="4">
        <f t="shared" ref="U18:AE18" si="21">MAX((U9-T9),0)/$V$14</f>
        <v>0.0603448275862069</v>
      </c>
      <c r="V18" s="4">
        <f t="shared" si="21"/>
        <v>0.0948275862068965</v>
      </c>
      <c r="W18" s="4">
        <f t="shared" si="21"/>
        <v>0.103448275862069</v>
      </c>
      <c r="X18" s="4">
        <f t="shared" si="21"/>
        <v>0.191810344827586</v>
      </c>
      <c r="Y18" s="4">
        <f t="shared" si="21"/>
        <v>0.165948275862069</v>
      </c>
      <c r="Z18" s="4">
        <f t="shared" si="21"/>
        <v>0.1875</v>
      </c>
      <c r="AA18" s="4">
        <f t="shared" si="21"/>
        <v>0.0948275862068965</v>
      </c>
      <c r="AB18" s="4">
        <f t="shared" si="21"/>
        <v>0.0905172413793103</v>
      </c>
      <c r="AC18" s="4">
        <f t="shared" si="21"/>
        <v>0.0107758620689655</v>
      </c>
      <c r="AD18" s="4">
        <f t="shared" si="21"/>
        <v>0</v>
      </c>
      <c r="AE18" s="4">
        <f t="shared" si="21"/>
        <v>0</v>
      </c>
      <c r="AF18" s="4">
        <f>AF9/$AH$14</f>
        <v>0.0770877944325482</v>
      </c>
      <c r="AG18" s="4">
        <f t="shared" ref="AG18:AY18" si="22">MAX((AG9-AF9),0)/$AH$14</f>
        <v>0.0770877944325482</v>
      </c>
      <c r="AH18" s="4">
        <f t="shared" si="22"/>
        <v>0.0770877944325482</v>
      </c>
      <c r="AI18" s="4">
        <f t="shared" si="22"/>
        <v>0.0770877944325482</v>
      </c>
      <c r="AJ18" s="4">
        <f t="shared" si="22"/>
        <v>0.0770877944325482</v>
      </c>
      <c r="AK18" s="4">
        <f t="shared" si="22"/>
        <v>0.0770877944325482</v>
      </c>
      <c r="AL18" s="4">
        <f t="shared" si="22"/>
        <v>0.0770877944325482</v>
      </c>
      <c r="AM18" s="4">
        <f t="shared" si="22"/>
        <v>0.0770877944325482</v>
      </c>
      <c r="AN18" s="4">
        <f t="shared" si="22"/>
        <v>0.0770877944325482</v>
      </c>
      <c r="AO18" s="4">
        <f t="shared" si="22"/>
        <v>0.0770877944325482</v>
      </c>
      <c r="AP18" s="4">
        <f t="shared" si="22"/>
        <v>0.0770877944325482</v>
      </c>
      <c r="AQ18" s="4">
        <f t="shared" si="22"/>
        <v>0.0770877944325482</v>
      </c>
      <c r="AR18" s="4">
        <f t="shared" si="22"/>
        <v>0.0749464668094218</v>
      </c>
      <c r="AS18" s="4">
        <f t="shared" si="22"/>
        <v>0</v>
      </c>
      <c r="AT18" s="4">
        <f t="shared" si="22"/>
        <v>0</v>
      </c>
      <c r="AU18" s="32">
        <f t="shared" ref="AU18:BG18" si="23">AU9/$AW$14</f>
        <v>0.0752688172043011</v>
      </c>
      <c r="AV18" s="32">
        <f t="shared" si="23"/>
        <v>0.0752688172043011</v>
      </c>
      <c r="AW18" s="32">
        <f t="shared" si="23"/>
        <v>0.0752688172043011</v>
      </c>
      <c r="AX18" s="32">
        <f t="shared" si="23"/>
        <v>0.0752688172043011</v>
      </c>
      <c r="AY18" s="32">
        <f t="shared" si="23"/>
        <v>0.039426523297491</v>
      </c>
      <c r="AZ18" s="32">
        <f t="shared" si="23"/>
        <v>0.039426523297491</v>
      </c>
      <c r="BA18" s="32">
        <f t="shared" si="23"/>
        <v>0</v>
      </c>
      <c r="BB18" s="32">
        <f t="shared" si="23"/>
        <v>0</v>
      </c>
      <c r="BC18" s="32">
        <f t="shared" si="23"/>
        <v>0</v>
      </c>
      <c r="BD18" s="32">
        <f t="shared" si="23"/>
        <v>0</v>
      </c>
      <c r="BE18" s="32">
        <f t="shared" si="23"/>
        <v>0</v>
      </c>
      <c r="BF18" s="32">
        <f t="shared" si="23"/>
        <v>0</v>
      </c>
      <c r="BG18" s="32">
        <f t="shared" si="23"/>
        <v>0</v>
      </c>
    </row>
    <row r="19" s="9" customFormat="1" ht="15.15" spans="1:59">
      <c r="A19" s="24" t="s">
        <v>26</v>
      </c>
      <c r="B19" s="33">
        <f t="shared" ref="B19:K19" si="24">B12/$E$14</f>
        <v>0</v>
      </c>
      <c r="C19" s="33">
        <f t="shared" si="24"/>
        <v>0.0536480686695279</v>
      </c>
      <c r="D19" s="33">
        <f t="shared" si="24"/>
        <v>0.106008583690987</v>
      </c>
      <c r="E19" s="33">
        <f t="shared" si="24"/>
        <v>0.117167381974249</v>
      </c>
      <c r="F19" s="33">
        <f t="shared" si="24"/>
        <v>0.107296137339056</v>
      </c>
      <c r="G19" s="33">
        <f t="shared" si="24"/>
        <v>0.103004291845494</v>
      </c>
      <c r="H19" s="33">
        <f t="shared" si="24"/>
        <v>0.111587982832618</v>
      </c>
      <c r="I19" s="33">
        <f t="shared" si="24"/>
        <v>0.0858369098712446</v>
      </c>
      <c r="J19" s="33">
        <f t="shared" si="24"/>
        <v>0.180257510729614</v>
      </c>
      <c r="K19" s="33">
        <f t="shared" si="24"/>
        <v>0.188841201716738</v>
      </c>
      <c r="L19" s="33">
        <f t="shared" ref="L19:AA19" si="25">L12/$O$14</f>
        <v>0.0883211678832117</v>
      </c>
      <c r="M19" s="33">
        <f t="shared" si="25"/>
        <v>0.0846715328467153</v>
      </c>
      <c r="N19" s="33">
        <f t="shared" si="25"/>
        <v>0.102189781021898</v>
      </c>
      <c r="O19" s="33">
        <f t="shared" si="25"/>
        <v>0.0839416058394161</v>
      </c>
      <c r="P19" s="33">
        <f t="shared" si="25"/>
        <v>0.0839416058394161</v>
      </c>
      <c r="Q19" s="33">
        <f t="shared" si="25"/>
        <v>0.0839416058394161</v>
      </c>
      <c r="R19" s="33">
        <f t="shared" si="25"/>
        <v>0.156204379562044</v>
      </c>
      <c r="S19" s="33">
        <f t="shared" si="25"/>
        <v>0</v>
      </c>
      <c r="T19" s="33">
        <f t="shared" ref="T19:AE19" si="26">T12/$W$14</f>
        <v>0.226993865030675</v>
      </c>
      <c r="U19" s="33">
        <f t="shared" si="26"/>
        <v>0.0766871165644172</v>
      </c>
      <c r="V19" s="33">
        <f t="shared" si="26"/>
        <v>0.0766871165644172</v>
      </c>
      <c r="W19" s="33">
        <f t="shared" si="26"/>
        <v>0</v>
      </c>
      <c r="X19" s="33">
        <f t="shared" si="26"/>
        <v>0.0766871165644172</v>
      </c>
      <c r="Y19" s="33">
        <f t="shared" si="26"/>
        <v>0.0766871165644172</v>
      </c>
      <c r="Z19" s="33">
        <f t="shared" si="26"/>
        <v>0.0705521472392638</v>
      </c>
      <c r="AA19" s="33">
        <f t="shared" si="26"/>
        <v>0.0644171779141104</v>
      </c>
      <c r="AB19" s="33">
        <f t="shared" si="26"/>
        <v>0.0674846625766871</v>
      </c>
      <c r="AC19" s="33">
        <f t="shared" si="26"/>
        <v>0.0613496932515337</v>
      </c>
      <c r="AD19" s="33">
        <f t="shared" si="26"/>
        <v>0.141104294478528</v>
      </c>
      <c r="AE19" s="33">
        <f t="shared" si="26"/>
        <v>0.128834355828221</v>
      </c>
      <c r="AF19" s="33">
        <f>AF12/$AI$14</f>
        <v>0.0764635603345281</v>
      </c>
      <c r="AG19" s="33">
        <f t="shared" ref="AF19:AY19" si="27">AG12/$AI$14</f>
        <v>0.0764635603345281</v>
      </c>
      <c r="AH19" s="33">
        <f t="shared" si="27"/>
        <v>0.0764635603345281</v>
      </c>
      <c r="AI19" s="33">
        <f t="shared" si="27"/>
        <v>0.0764635603345281</v>
      </c>
      <c r="AJ19" s="33">
        <f t="shared" si="27"/>
        <v>0.0764635603345281</v>
      </c>
      <c r="AK19" s="33">
        <f t="shared" si="27"/>
        <v>0.0764635603345281</v>
      </c>
      <c r="AL19" s="33">
        <f t="shared" si="27"/>
        <v>0.0764635603345281</v>
      </c>
      <c r="AM19" s="33">
        <f t="shared" si="27"/>
        <v>0.0764635603345281</v>
      </c>
      <c r="AN19" s="33">
        <f t="shared" si="27"/>
        <v>0.0764635603345281</v>
      </c>
      <c r="AO19" s="33">
        <f t="shared" si="27"/>
        <v>0.0764635603345281</v>
      </c>
      <c r="AP19" s="33">
        <f t="shared" si="27"/>
        <v>0.0764635603345281</v>
      </c>
      <c r="AQ19" s="33">
        <f t="shared" si="27"/>
        <v>0.0764635603345281</v>
      </c>
      <c r="AR19" s="33">
        <f t="shared" si="27"/>
        <v>0.0764635603345281</v>
      </c>
      <c r="AS19" s="33">
        <f t="shared" si="27"/>
        <v>0.0764635603345281</v>
      </c>
      <c r="AT19" s="33">
        <f t="shared" si="27"/>
        <v>0.0764635603345281</v>
      </c>
      <c r="AU19" s="33">
        <f t="shared" ref="AU19:BG19" si="28">AU12/$AX$14</f>
        <v>0.0770588235294118</v>
      </c>
      <c r="AV19" s="33">
        <f t="shared" si="28"/>
        <v>0.0770588235294118</v>
      </c>
      <c r="AW19" s="33">
        <f t="shared" si="28"/>
        <v>0.0770588235294118</v>
      </c>
      <c r="AX19" s="33">
        <f t="shared" si="28"/>
        <v>0.0255882352941176</v>
      </c>
      <c r="AY19" s="33">
        <f t="shared" si="28"/>
        <v>0</v>
      </c>
      <c r="AZ19" s="33">
        <f t="shared" si="28"/>
        <v>0</v>
      </c>
      <c r="BA19" s="33">
        <f t="shared" si="28"/>
        <v>0</v>
      </c>
      <c r="BB19" s="33">
        <f t="shared" si="28"/>
        <v>0</v>
      </c>
      <c r="BC19" s="33">
        <f t="shared" si="28"/>
        <v>0</v>
      </c>
      <c r="BD19" s="33">
        <f t="shared" si="28"/>
        <v>0</v>
      </c>
      <c r="BE19" s="33">
        <f t="shared" si="28"/>
        <v>0</v>
      </c>
      <c r="BF19" s="33">
        <f t="shared" si="28"/>
        <v>0</v>
      </c>
      <c r="BG19" s="33">
        <f t="shared" si="28"/>
        <v>0</v>
      </c>
    </row>
    <row r="20" s="11" customFormat="1" spans="1:59">
      <c r="A20" s="34" t="s">
        <v>27</v>
      </c>
      <c r="B20" s="11">
        <f t="shared" ref="B20:AY20" si="29">AVERAGE(B16:B19)</f>
        <v>0.109565355538225</v>
      </c>
      <c r="C20" s="11">
        <f t="shared" si="29"/>
        <v>0.106695733493071</v>
      </c>
      <c r="D20" s="11">
        <f t="shared" si="29"/>
        <v>0.100228502676778</v>
      </c>
      <c r="E20" s="11">
        <f t="shared" si="29"/>
        <v>0.107789194614006</v>
      </c>
      <c r="F20" s="11">
        <f t="shared" si="29"/>
        <v>0.151166435015406</v>
      </c>
      <c r="G20" s="11">
        <f t="shared" si="29"/>
        <v>0.0906284944000172</v>
      </c>
      <c r="H20" s="11">
        <f t="shared" si="29"/>
        <v>0.0816789303381737</v>
      </c>
      <c r="I20" s="11">
        <f t="shared" si="29"/>
        <v>0.274691882522601</v>
      </c>
      <c r="J20" s="11">
        <f t="shared" si="29"/>
        <v>0.0810120901007042</v>
      </c>
      <c r="K20" s="11">
        <f t="shared" si="29"/>
        <v>0.0815240259193805</v>
      </c>
      <c r="L20" s="11">
        <f t="shared" si="29"/>
        <v>0.0803450751613596</v>
      </c>
      <c r="M20" s="11">
        <f t="shared" si="29"/>
        <v>0.11264576151631</v>
      </c>
      <c r="N20" s="11">
        <f t="shared" si="29"/>
        <v>0.0864003886710546</v>
      </c>
      <c r="O20" s="11">
        <f t="shared" si="29"/>
        <v>0.0784948976413473</v>
      </c>
      <c r="P20" s="11">
        <f t="shared" si="29"/>
        <v>0.0784948976413473</v>
      </c>
      <c r="Q20" s="11">
        <f t="shared" si="29"/>
        <v>0.0792501846504107</v>
      </c>
      <c r="R20" s="11">
        <f t="shared" si="29"/>
        <v>0.196437781805014</v>
      </c>
      <c r="S20" s="11">
        <f t="shared" si="29"/>
        <v>0.103598531898355</v>
      </c>
      <c r="T20" s="11">
        <f t="shared" si="29"/>
        <v>0.219292020264638</v>
      </c>
      <c r="U20" s="11">
        <f t="shared" si="29"/>
        <v>0.0789153611828361</v>
      </c>
      <c r="V20" s="11">
        <f t="shared" si="29"/>
        <v>0.0953177000830724</v>
      </c>
      <c r="W20" s="11">
        <f t="shared" si="29"/>
        <v>0.0852697344707438</v>
      </c>
      <c r="X20" s="11">
        <f t="shared" si="29"/>
        <v>0.0861719843956199</v>
      </c>
      <c r="Y20" s="11">
        <f t="shared" si="29"/>
        <v>0.0797064671542406</v>
      </c>
      <c r="Z20" s="11">
        <f t="shared" si="29"/>
        <v>0.0787987510955302</v>
      </c>
      <c r="AA20" s="11">
        <f t="shared" si="29"/>
        <v>0.0779064291254897</v>
      </c>
      <c r="AB20" s="11">
        <f t="shared" si="29"/>
        <v>0.0775957140842374</v>
      </c>
      <c r="AC20" s="11">
        <f t="shared" si="29"/>
        <v>0.0775551983539343</v>
      </c>
      <c r="AD20" s="11">
        <f t="shared" si="29"/>
        <v>0.0781332164767747</v>
      </c>
      <c r="AE20" s="11">
        <f t="shared" si="29"/>
        <v>0.0655419222903885</v>
      </c>
      <c r="AF20" s="11">
        <f t="shared" si="29"/>
        <v>0.0742757966349266</v>
      </c>
      <c r="AG20" s="11">
        <f t="shared" si="29"/>
        <v>0.0742757966349266</v>
      </c>
      <c r="AH20" s="11">
        <f t="shared" si="29"/>
        <v>0.0742757966349266</v>
      </c>
      <c r="AI20" s="11">
        <f t="shared" si="29"/>
        <v>0.0742757966349266</v>
      </c>
      <c r="AJ20" s="11">
        <f t="shared" si="29"/>
        <v>0.0742757966349266</v>
      </c>
      <c r="AK20" s="11">
        <f t="shared" si="29"/>
        <v>0.0742757966349266</v>
      </c>
      <c r="AL20" s="11">
        <f t="shared" si="29"/>
        <v>0.0742757966349266</v>
      </c>
      <c r="AM20" s="11">
        <f t="shared" si="29"/>
        <v>0.0742757966349266</v>
      </c>
      <c r="AN20" s="11">
        <f t="shared" si="29"/>
        <v>0.0742757966349266</v>
      </c>
      <c r="AO20" s="11">
        <f t="shared" si="29"/>
        <v>0.0742757966349266</v>
      </c>
      <c r="AP20" s="11">
        <f t="shared" si="29"/>
        <v>0.0742757966349266</v>
      </c>
      <c r="AQ20" s="11">
        <f t="shared" si="29"/>
        <v>0.0742757966349266</v>
      </c>
      <c r="AR20" s="11">
        <f t="shared" si="29"/>
        <v>0.073740464729145</v>
      </c>
      <c r="AS20" s="11">
        <f t="shared" si="29"/>
        <v>0.0742251393032805</v>
      </c>
      <c r="AT20" s="11">
        <f t="shared" si="29"/>
        <v>0.0742251393032805</v>
      </c>
      <c r="AU20" s="11">
        <f t="shared" si="29"/>
        <v>0.0765708819819578</v>
      </c>
      <c r="AV20" s="11">
        <f t="shared" si="29"/>
        <v>0.0765708819819578</v>
      </c>
      <c r="AW20" s="11">
        <f t="shared" si="29"/>
        <v>0.0765708819819578</v>
      </c>
      <c r="AX20" s="11">
        <f t="shared" si="29"/>
        <v>0.0637032349231342</v>
      </c>
      <c r="AY20" s="11">
        <f t="shared" si="29"/>
        <v>0.0291471233485915</v>
      </c>
      <c r="AZ20" s="11">
        <f t="shared" ref="AZ20:BG20" si="30">AVERAGE(AZ16:AZ19)</f>
        <v>0.0291471233485915</v>
      </c>
      <c r="BA20" s="11">
        <f t="shared" si="30"/>
        <v>0.0192904925242188</v>
      </c>
      <c r="BB20" s="11">
        <f t="shared" si="30"/>
        <v>0.0151297697472335</v>
      </c>
      <c r="BC20" s="11">
        <f t="shared" si="30"/>
        <v>0.00119617224880383</v>
      </c>
      <c r="BD20" s="11">
        <f t="shared" si="30"/>
        <v>0</v>
      </c>
      <c r="BE20" s="11">
        <f t="shared" si="30"/>
        <v>0</v>
      </c>
      <c r="BF20" s="11">
        <f t="shared" si="30"/>
        <v>0</v>
      </c>
      <c r="BG20" s="11">
        <f t="shared" si="30"/>
        <v>0</v>
      </c>
    </row>
    <row r="21" s="4" customFormat="1" spans="1:59">
      <c r="A21" s="35" t="s">
        <v>28</v>
      </c>
      <c r="B21" s="4">
        <f>B20</f>
        <v>0.109565355538225</v>
      </c>
      <c r="C21" s="4">
        <f>SUM($B20:C20)</f>
        <v>0.216261089031296</v>
      </c>
      <c r="D21" s="4">
        <f>SUM($B20:D20)</f>
        <v>0.316489591708074</v>
      </c>
      <c r="E21" s="4">
        <f>SUM($B20:E20)</f>
        <v>0.42427878632208</v>
      </c>
      <c r="F21" s="4">
        <f>SUM($B20:F20)</f>
        <v>0.575445221337486</v>
      </c>
      <c r="G21" s="4">
        <f>SUM($B20:G20)</f>
        <v>0.666073715737503</v>
      </c>
      <c r="H21" s="4">
        <f>SUM($B20:H20)</f>
        <v>0.747752646075677</v>
      </c>
      <c r="I21" s="4">
        <f>SUM($B20:I20)</f>
        <v>1.02244452859828</v>
      </c>
      <c r="J21" s="4">
        <f>SUM($B20:J20)</f>
        <v>1.10345661869898</v>
      </c>
      <c r="K21" s="4">
        <f>SUM($B20:K20)</f>
        <v>1.18498064461836</v>
      </c>
      <c r="L21" s="4">
        <f>SUM($B20:L20)</f>
        <v>1.26532571977972</v>
      </c>
      <c r="M21" s="4">
        <f>SUM($B20:M20)</f>
        <v>1.37797148129603</v>
      </c>
      <c r="N21" s="4">
        <f>SUM($B20:N20)</f>
        <v>1.46437186996709</v>
      </c>
      <c r="O21" s="4">
        <f>SUM($B20:O20)</f>
        <v>1.54286676760843</v>
      </c>
      <c r="P21" s="4">
        <f>SUM($B20:P20)</f>
        <v>1.62136166524978</v>
      </c>
      <c r="Q21" s="4">
        <f>SUM($B20:Q20)</f>
        <v>1.70061184990019</v>
      </c>
      <c r="R21" s="4">
        <f>SUM($B20:R20)</f>
        <v>1.89704963170521</v>
      </c>
      <c r="S21" s="4">
        <f>SUM($B20:S20)</f>
        <v>2.00064816360356</v>
      </c>
      <c r="T21" s="4">
        <f>SUM($B20:T20)</f>
        <v>2.2199401838682</v>
      </c>
      <c r="U21" s="4">
        <f>SUM($B20:U20)</f>
        <v>2.29885554505103</v>
      </c>
      <c r="V21" s="4">
        <f>SUM($B20:V20)</f>
        <v>2.39417324513411</v>
      </c>
      <c r="W21" s="4">
        <f>SUM($B20:W20)</f>
        <v>2.47944297960485</v>
      </c>
      <c r="X21" s="4">
        <f>SUM($B20:X20)</f>
        <v>2.56561496400047</v>
      </c>
      <c r="Y21" s="4">
        <f>SUM($B20:Y20)</f>
        <v>2.64532143115471</v>
      </c>
      <c r="Z21" s="4">
        <f>SUM($B20:Z20)</f>
        <v>2.72412018225024</v>
      </c>
      <c r="AA21" s="4">
        <f>SUM($B20:AA20)</f>
        <v>2.80202661137573</v>
      </c>
      <c r="AB21" s="4">
        <f>SUM($B20:AB20)</f>
        <v>2.87962232545997</v>
      </c>
      <c r="AC21" s="4">
        <f>SUM($B20:AC20)</f>
        <v>2.9571775238139</v>
      </c>
      <c r="AD21" s="4">
        <f>SUM($B20:AD20)</f>
        <v>3.03531074029068</v>
      </c>
      <c r="AE21" s="4">
        <f>SUM($B20:AE20)</f>
        <v>3.10085266258107</v>
      </c>
      <c r="AF21" s="4">
        <f>SUM($B20:AF20)</f>
        <v>3.17512845921599</v>
      </c>
      <c r="AG21" s="4">
        <f>SUM($B20:AG20)</f>
        <v>3.24940425585092</v>
      </c>
      <c r="AH21" s="4">
        <f>SUM($B20:AH20)</f>
        <v>3.32368005248585</v>
      </c>
      <c r="AI21" s="4">
        <f>SUM($B20:AI20)</f>
        <v>3.39795584912077</v>
      </c>
      <c r="AJ21" s="4">
        <f>SUM($B20:AJ20)</f>
        <v>3.4722316457557</v>
      </c>
      <c r="AK21" s="4">
        <f>SUM($B20:AK20)</f>
        <v>3.54650744239062</v>
      </c>
      <c r="AL21" s="4">
        <f>SUM($B20:AL20)</f>
        <v>3.62078323902555</v>
      </c>
      <c r="AM21" s="4">
        <f>SUM($B20:AM20)</f>
        <v>3.69505903566048</v>
      </c>
      <c r="AN21" s="4">
        <f>SUM($B20:AN20)</f>
        <v>3.7693348322954</v>
      </c>
      <c r="AO21" s="4">
        <f>SUM($B20:AO20)</f>
        <v>3.84361062893033</v>
      </c>
      <c r="AP21" s="4">
        <f>SUM($B20:AP20)</f>
        <v>3.91788642556526</v>
      </c>
      <c r="AQ21" s="4">
        <f>SUM($B20:AQ20)</f>
        <v>3.99216222220018</v>
      </c>
      <c r="AR21" s="4">
        <f>SUM($B20:AR20)</f>
        <v>4.06590268692933</v>
      </c>
      <c r="AS21" s="4">
        <f>SUM($B20:AS20)</f>
        <v>4.14012782623261</v>
      </c>
      <c r="AT21" s="4">
        <f>SUM($B20:AT20)</f>
        <v>4.21435296553589</v>
      </c>
      <c r="AU21" s="4">
        <f>SUM($B20:AU20)</f>
        <v>4.29092384751785</v>
      </c>
      <c r="AV21" s="4">
        <f>SUM($B20:AV20)</f>
        <v>4.36749472949981</v>
      </c>
      <c r="AW21" s="4">
        <f>SUM($B20:AW20)</f>
        <v>4.44406561148176</v>
      </c>
      <c r="AX21" s="4">
        <f>SUM($B20:AX20)</f>
        <v>4.5077688464049</v>
      </c>
      <c r="AY21" s="4">
        <f>SUM($B20:AY20)</f>
        <v>4.53691596975349</v>
      </c>
      <c r="AZ21" s="4">
        <f>SUM($B20:AZ20)</f>
        <v>4.56606309310208</v>
      </c>
      <c r="BA21" s="4">
        <f>SUM($B20:BA20)</f>
        <v>4.5853535856263</v>
      </c>
      <c r="BB21" s="4">
        <f>SUM($B20:BB20)</f>
        <v>4.60048335537354</v>
      </c>
      <c r="BC21" s="4">
        <f>SUM($B20:BC20)</f>
        <v>4.60167952762234</v>
      </c>
      <c r="BD21" s="4">
        <f>SUM($B20:BD20)</f>
        <v>4.60167952762234</v>
      </c>
      <c r="BE21" s="4">
        <f>SUM($B20:BE20)</f>
        <v>4.60167952762234</v>
      </c>
      <c r="BF21" s="4">
        <f>SUM($B20:BF20)</f>
        <v>4.60167952762234</v>
      </c>
      <c r="BG21" s="4">
        <f>SUM($B20:BG20)</f>
        <v>4.60167952762234</v>
      </c>
    </row>
    <row r="22" spans="1:59">
      <c r="A22" s="17" t="s">
        <v>29</v>
      </c>
      <c r="B22" s="4">
        <v>1</v>
      </c>
      <c r="C22" s="4">
        <f t="shared" ref="C22:AY22" si="31">B22</f>
        <v>1</v>
      </c>
      <c r="D22" s="4">
        <f t="shared" si="31"/>
        <v>1</v>
      </c>
      <c r="E22" s="4">
        <f t="shared" si="31"/>
        <v>1</v>
      </c>
      <c r="F22" s="4">
        <f t="shared" si="31"/>
        <v>1</v>
      </c>
      <c r="G22" s="4">
        <f t="shared" si="31"/>
        <v>1</v>
      </c>
      <c r="H22" s="4">
        <f t="shared" si="31"/>
        <v>1</v>
      </c>
      <c r="I22" s="4">
        <f t="shared" si="31"/>
        <v>1</v>
      </c>
      <c r="J22" s="4">
        <v>2</v>
      </c>
      <c r="K22" s="4">
        <f t="shared" si="31"/>
        <v>2</v>
      </c>
      <c r="L22" s="4">
        <f t="shared" si="31"/>
        <v>2</v>
      </c>
      <c r="M22" s="4">
        <f t="shared" si="31"/>
        <v>2</v>
      </c>
      <c r="N22" s="4">
        <f t="shared" si="31"/>
        <v>2</v>
      </c>
      <c r="O22" s="4">
        <f t="shared" si="31"/>
        <v>2</v>
      </c>
      <c r="P22" s="4">
        <f t="shared" si="31"/>
        <v>2</v>
      </c>
      <c r="Q22" s="4">
        <f t="shared" si="31"/>
        <v>2</v>
      </c>
      <c r="R22" s="4">
        <f t="shared" si="31"/>
        <v>2</v>
      </c>
      <c r="S22" s="4">
        <f t="shared" si="31"/>
        <v>2</v>
      </c>
      <c r="T22" s="4">
        <v>3</v>
      </c>
      <c r="U22" s="4">
        <f t="shared" si="31"/>
        <v>3</v>
      </c>
      <c r="V22" s="4">
        <f t="shared" si="31"/>
        <v>3</v>
      </c>
      <c r="W22" s="4">
        <f t="shared" si="31"/>
        <v>3</v>
      </c>
      <c r="X22" s="4">
        <f t="shared" si="31"/>
        <v>3</v>
      </c>
      <c r="Y22" s="4">
        <f t="shared" si="31"/>
        <v>3</v>
      </c>
      <c r="Z22" s="4">
        <f t="shared" si="31"/>
        <v>3</v>
      </c>
      <c r="AA22" s="4">
        <f t="shared" si="31"/>
        <v>3</v>
      </c>
      <c r="AB22" s="4">
        <f t="shared" si="31"/>
        <v>3</v>
      </c>
      <c r="AC22" s="4">
        <f t="shared" si="31"/>
        <v>3</v>
      </c>
      <c r="AD22" s="4">
        <f t="shared" si="31"/>
        <v>3</v>
      </c>
      <c r="AE22" s="4">
        <v>4</v>
      </c>
      <c r="AF22" s="4">
        <f t="shared" si="31"/>
        <v>4</v>
      </c>
      <c r="AG22" s="4">
        <f t="shared" si="31"/>
        <v>4</v>
      </c>
      <c r="AH22" s="4">
        <f t="shared" si="31"/>
        <v>4</v>
      </c>
      <c r="AI22" s="4">
        <f t="shared" si="31"/>
        <v>4</v>
      </c>
      <c r="AJ22" s="4">
        <f t="shared" si="31"/>
        <v>4</v>
      </c>
      <c r="AK22" s="4">
        <f t="shared" si="31"/>
        <v>4</v>
      </c>
      <c r="AL22" s="4">
        <f t="shared" si="31"/>
        <v>4</v>
      </c>
      <c r="AM22" s="4">
        <f t="shared" si="31"/>
        <v>4</v>
      </c>
      <c r="AN22" s="4">
        <f t="shared" si="31"/>
        <v>4</v>
      </c>
      <c r="AO22" s="4">
        <f t="shared" si="31"/>
        <v>4</v>
      </c>
      <c r="AP22" s="4">
        <f t="shared" si="31"/>
        <v>4</v>
      </c>
      <c r="AQ22" s="4">
        <f t="shared" si="31"/>
        <v>4</v>
      </c>
      <c r="AR22" s="4">
        <f t="shared" si="31"/>
        <v>4</v>
      </c>
      <c r="AS22" s="4">
        <f t="shared" si="31"/>
        <v>4</v>
      </c>
      <c r="AT22" s="4">
        <v>5</v>
      </c>
      <c r="AU22" s="4">
        <f t="shared" si="31"/>
        <v>5</v>
      </c>
      <c r="AV22" s="4">
        <f t="shared" si="31"/>
        <v>5</v>
      </c>
      <c r="AW22" s="4">
        <f t="shared" si="31"/>
        <v>5</v>
      </c>
      <c r="AX22" s="4">
        <f t="shared" si="31"/>
        <v>5</v>
      </c>
      <c r="AY22" s="4">
        <f t="shared" si="31"/>
        <v>5</v>
      </c>
      <c r="AZ22" s="4">
        <f t="shared" ref="AZ22:BG22" si="32">AY22</f>
        <v>5</v>
      </c>
      <c r="BA22" s="4">
        <f t="shared" si="32"/>
        <v>5</v>
      </c>
      <c r="BB22" s="4">
        <f t="shared" si="32"/>
        <v>5</v>
      </c>
      <c r="BC22" s="4">
        <f t="shared" si="32"/>
        <v>5</v>
      </c>
      <c r="BD22" s="4">
        <f t="shared" si="32"/>
        <v>5</v>
      </c>
      <c r="BE22" s="4">
        <f t="shared" si="32"/>
        <v>5</v>
      </c>
      <c r="BF22" s="4">
        <f t="shared" si="32"/>
        <v>5</v>
      </c>
      <c r="BG22" s="4">
        <f t="shared" si="32"/>
        <v>5</v>
      </c>
    </row>
    <row r="23" spans="1:59">
      <c r="A23" s="17" t="s">
        <v>30</v>
      </c>
      <c r="B23" s="4">
        <f>2/26</f>
        <v>0.0769230769230769</v>
      </c>
      <c r="C23" s="4">
        <f t="shared" ref="C23:AY23" si="33">B23</f>
        <v>0.0769230769230769</v>
      </c>
      <c r="D23" s="4">
        <f t="shared" si="33"/>
        <v>0.0769230769230769</v>
      </c>
      <c r="E23" s="4">
        <f t="shared" si="33"/>
        <v>0.0769230769230769</v>
      </c>
      <c r="F23" s="4">
        <f t="shared" si="33"/>
        <v>0.0769230769230769</v>
      </c>
      <c r="G23" s="4">
        <f t="shared" si="33"/>
        <v>0.0769230769230769</v>
      </c>
      <c r="H23" s="4">
        <f t="shared" si="33"/>
        <v>0.0769230769230769</v>
      </c>
      <c r="I23" s="4">
        <f t="shared" si="33"/>
        <v>0.0769230769230769</v>
      </c>
      <c r="J23" s="4">
        <f t="shared" si="33"/>
        <v>0.0769230769230769</v>
      </c>
      <c r="K23" s="4">
        <f t="shared" si="33"/>
        <v>0.0769230769230769</v>
      </c>
      <c r="L23" s="4">
        <f t="shared" si="33"/>
        <v>0.0769230769230769</v>
      </c>
      <c r="M23" s="4">
        <f t="shared" si="33"/>
        <v>0.0769230769230769</v>
      </c>
      <c r="N23" s="4">
        <f t="shared" si="33"/>
        <v>0.0769230769230769</v>
      </c>
      <c r="O23" s="4">
        <f t="shared" si="33"/>
        <v>0.0769230769230769</v>
      </c>
      <c r="P23" s="4">
        <f t="shared" si="33"/>
        <v>0.0769230769230769</v>
      </c>
      <c r="Q23" s="4">
        <f t="shared" si="33"/>
        <v>0.0769230769230769</v>
      </c>
      <c r="R23" s="4">
        <f>4/26</f>
        <v>0.153846153846154</v>
      </c>
      <c r="S23" s="4">
        <f t="shared" si="33"/>
        <v>0.153846153846154</v>
      </c>
      <c r="T23" s="4">
        <f t="shared" si="33"/>
        <v>0.153846153846154</v>
      </c>
      <c r="U23" s="4">
        <f>2/26</f>
        <v>0.0769230769230769</v>
      </c>
      <c r="V23" s="4">
        <f t="shared" si="33"/>
        <v>0.0769230769230769</v>
      </c>
      <c r="W23" s="4">
        <f t="shared" si="33"/>
        <v>0.0769230769230769</v>
      </c>
      <c r="X23" s="4">
        <f t="shared" si="33"/>
        <v>0.0769230769230769</v>
      </c>
      <c r="Y23" s="4">
        <f t="shared" si="33"/>
        <v>0.0769230769230769</v>
      </c>
      <c r="Z23" s="4">
        <f t="shared" si="33"/>
        <v>0.0769230769230769</v>
      </c>
      <c r="AA23" s="4">
        <f t="shared" si="33"/>
        <v>0.0769230769230769</v>
      </c>
      <c r="AB23" s="4">
        <f t="shared" si="33"/>
        <v>0.0769230769230769</v>
      </c>
      <c r="AC23" s="4">
        <f t="shared" si="33"/>
        <v>0.0769230769230769</v>
      </c>
      <c r="AD23" s="4">
        <f t="shared" si="33"/>
        <v>0.0769230769230769</v>
      </c>
      <c r="AE23" s="4">
        <f t="shared" si="33"/>
        <v>0.0769230769230769</v>
      </c>
      <c r="AF23" s="4">
        <f t="shared" si="33"/>
        <v>0.0769230769230769</v>
      </c>
      <c r="AG23" s="4">
        <f t="shared" si="33"/>
        <v>0.0769230769230769</v>
      </c>
      <c r="AH23" s="4">
        <f t="shared" si="33"/>
        <v>0.0769230769230769</v>
      </c>
      <c r="AI23" s="4">
        <f t="shared" si="33"/>
        <v>0.0769230769230769</v>
      </c>
      <c r="AJ23" s="4">
        <f t="shared" si="33"/>
        <v>0.0769230769230769</v>
      </c>
      <c r="AK23" s="4">
        <f t="shared" si="33"/>
        <v>0.0769230769230769</v>
      </c>
      <c r="AL23" s="4">
        <f t="shared" si="33"/>
        <v>0.0769230769230769</v>
      </c>
      <c r="AM23" s="4">
        <f t="shared" si="33"/>
        <v>0.0769230769230769</v>
      </c>
      <c r="AN23" s="4">
        <f t="shared" si="33"/>
        <v>0.0769230769230769</v>
      </c>
      <c r="AO23" s="4">
        <f t="shared" si="33"/>
        <v>0.0769230769230769</v>
      </c>
      <c r="AP23" s="4">
        <f t="shared" si="33"/>
        <v>0.0769230769230769</v>
      </c>
      <c r="AQ23" s="4">
        <f t="shared" si="33"/>
        <v>0.0769230769230769</v>
      </c>
      <c r="AR23" s="4">
        <f t="shared" si="33"/>
        <v>0.0769230769230769</v>
      </c>
      <c r="AS23" s="4">
        <f t="shared" si="33"/>
        <v>0.0769230769230769</v>
      </c>
      <c r="AT23" s="4">
        <f t="shared" si="33"/>
        <v>0.0769230769230769</v>
      </c>
      <c r="AU23" s="4">
        <f t="shared" si="33"/>
        <v>0.0769230769230769</v>
      </c>
      <c r="AV23" s="4">
        <f t="shared" si="33"/>
        <v>0.0769230769230769</v>
      </c>
      <c r="AW23" s="4">
        <f t="shared" si="33"/>
        <v>0.0769230769230769</v>
      </c>
      <c r="AX23" s="4">
        <f t="shared" si="33"/>
        <v>0.0769230769230769</v>
      </c>
      <c r="AY23" s="4">
        <f>1/26</f>
        <v>0.0384615384615385</v>
      </c>
      <c r="AZ23" s="4">
        <f t="shared" ref="AZ23:BG23" si="34">AY23</f>
        <v>0.0384615384615385</v>
      </c>
      <c r="BA23" s="4">
        <f t="shared" si="34"/>
        <v>0.0384615384615385</v>
      </c>
      <c r="BB23" s="4">
        <f t="shared" si="34"/>
        <v>0.0384615384615385</v>
      </c>
      <c r="BC23" s="4">
        <f t="shared" si="34"/>
        <v>0.0384615384615385</v>
      </c>
      <c r="BD23" s="4">
        <f t="shared" si="34"/>
        <v>0.0384615384615385</v>
      </c>
      <c r="BE23" s="4">
        <f t="shared" si="34"/>
        <v>0.0384615384615385</v>
      </c>
      <c r="BF23" s="4">
        <f t="shared" si="34"/>
        <v>0.0384615384615385</v>
      </c>
      <c r="BG23" s="4">
        <f t="shared" si="34"/>
        <v>0.0384615384615385</v>
      </c>
    </row>
    <row r="24" s="9" customFormat="1" ht="15.15" spans="1:59">
      <c r="A24" s="24" t="s">
        <v>31</v>
      </c>
      <c r="B24" s="33">
        <f t="shared" ref="B24:AY24" si="35">B23-B20</f>
        <v>-0.0326422786151476</v>
      </c>
      <c r="C24" s="33">
        <f t="shared" si="35"/>
        <v>-0.0297726565699944</v>
      </c>
      <c r="D24" s="33">
        <f t="shared" si="35"/>
        <v>-0.0233054257537013</v>
      </c>
      <c r="E24" s="33">
        <f t="shared" si="35"/>
        <v>-0.030866117690929</v>
      </c>
      <c r="F24" s="33">
        <f t="shared" si="35"/>
        <v>-0.074243358092329</v>
      </c>
      <c r="G24" s="33">
        <f t="shared" si="35"/>
        <v>-0.0137054174769403</v>
      </c>
      <c r="H24" s="33">
        <f t="shared" si="35"/>
        <v>-0.00475585341509677</v>
      </c>
      <c r="I24" s="33">
        <f t="shared" si="35"/>
        <v>-0.197768805599524</v>
      </c>
      <c r="J24" s="33">
        <f t="shared" si="35"/>
        <v>-0.00408901317762735</v>
      </c>
      <c r="K24" s="33">
        <f t="shared" si="35"/>
        <v>-0.00460094899630359</v>
      </c>
      <c r="L24" s="33">
        <f t="shared" si="35"/>
        <v>-0.00342199823828272</v>
      </c>
      <c r="M24" s="33">
        <f t="shared" si="35"/>
        <v>-0.0357226845932331</v>
      </c>
      <c r="N24" s="33">
        <f t="shared" si="35"/>
        <v>-0.00947731174797772</v>
      </c>
      <c r="O24" s="33">
        <f t="shared" si="35"/>
        <v>-0.00157182071827039</v>
      </c>
      <c r="P24" s="33">
        <f t="shared" si="35"/>
        <v>-0.00157182071827039</v>
      </c>
      <c r="Q24" s="33">
        <f t="shared" si="35"/>
        <v>-0.00232710772733383</v>
      </c>
      <c r="R24" s="33">
        <f t="shared" si="35"/>
        <v>-0.0425916279588595</v>
      </c>
      <c r="S24" s="33">
        <f t="shared" si="35"/>
        <v>0.0502476219477992</v>
      </c>
      <c r="T24" s="32">
        <f t="shared" si="35"/>
        <v>-0.0654458664184835</v>
      </c>
      <c r="U24" s="32">
        <f t="shared" si="35"/>
        <v>-0.00199228425975917</v>
      </c>
      <c r="V24" s="32">
        <f t="shared" si="35"/>
        <v>-0.0183946231599955</v>
      </c>
      <c r="W24" s="32">
        <f t="shared" si="35"/>
        <v>-0.00834665754766686</v>
      </c>
      <c r="X24" s="32">
        <f t="shared" si="35"/>
        <v>-0.00924890747254301</v>
      </c>
      <c r="Y24" s="32">
        <f t="shared" si="35"/>
        <v>-0.0027833902311637</v>
      </c>
      <c r="Z24" s="32">
        <f t="shared" si="35"/>
        <v>-0.00187567417245332</v>
      </c>
      <c r="AA24" s="32">
        <f t="shared" si="35"/>
        <v>-0.000983352202412843</v>
      </c>
      <c r="AB24" s="33">
        <f t="shared" si="35"/>
        <v>-0.000672637161160464</v>
      </c>
      <c r="AC24" s="33">
        <f t="shared" si="35"/>
        <v>-0.000632121430857405</v>
      </c>
      <c r="AD24" s="33">
        <f t="shared" si="35"/>
        <v>-0.00121013955369785</v>
      </c>
      <c r="AE24" s="33">
        <f t="shared" si="35"/>
        <v>0.0113811546326884</v>
      </c>
      <c r="AF24" s="32">
        <f t="shared" si="35"/>
        <v>0.00264728028815028</v>
      </c>
      <c r="AG24" s="32">
        <f t="shared" si="35"/>
        <v>0.00264728028815028</v>
      </c>
      <c r="AH24" s="32">
        <f t="shared" si="35"/>
        <v>0.00264728028815028</v>
      </c>
      <c r="AI24" s="32">
        <f t="shared" si="35"/>
        <v>0.00264728028815028</v>
      </c>
      <c r="AJ24" s="33">
        <f t="shared" si="35"/>
        <v>0.00264728028815028</v>
      </c>
      <c r="AK24" s="33">
        <f t="shared" si="35"/>
        <v>0.00264728028815028</v>
      </c>
      <c r="AL24" s="33">
        <f t="shared" si="35"/>
        <v>0.00264728028815028</v>
      </c>
      <c r="AM24" s="33">
        <f t="shared" si="35"/>
        <v>0.00264728028815028</v>
      </c>
      <c r="AN24" s="33">
        <f t="shared" si="35"/>
        <v>0.00264728028815028</v>
      </c>
      <c r="AO24" s="33">
        <f t="shared" si="35"/>
        <v>0.00264728028815028</v>
      </c>
      <c r="AP24" s="33">
        <f t="shared" si="35"/>
        <v>0.00264728028815028</v>
      </c>
      <c r="AQ24" s="33">
        <f t="shared" si="35"/>
        <v>0.00264728028815028</v>
      </c>
      <c r="AR24" s="33">
        <f t="shared" si="35"/>
        <v>0.00318261219393187</v>
      </c>
      <c r="AS24" s="33">
        <f t="shared" si="35"/>
        <v>0.00269793761979645</v>
      </c>
      <c r="AT24" s="33">
        <f t="shared" si="35"/>
        <v>0.00269793761979645</v>
      </c>
      <c r="AU24" s="32">
        <f t="shared" si="35"/>
        <v>0.000352194941119127</v>
      </c>
      <c r="AV24" s="32">
        <f t="shared" si="35"/>
        <v>0.000352194941119127</v>
      </c>
      <c r="AW24" s="32">
        <f t="shared" si="35"/>
        <v>0.000352194941119127</v>
      </c>
      <c r="AX24" s="32">
        <f t="shared" si="35"/>
        <v>0.0132198419999427</v>
      </c>
      <c r="AY24" s="32">
        <f t="shared" si="35"/>
        <v>0.00931441511294698</v>
      </c>
      <c r="AZ24" s="32">
        <f t="shared" ref="AZ24:BG24" si="36">AZ23-AZ20</f>
        <v>0.00931441511294698</v>
      </c>
      <c r="BA24" s="32">
        <f t="shared" si="36"/>
        <v>0.0191710459373197</v>
      </c>
      <c r="BB24" s="32">
        <f t="shared" si="36"/>
        <v>0.023331768714305</v>
      </c>
      <c r="BC24" s="33">
        <f t="shared" si="36"/>
        <v>0.0372653662127347</v>
      </c>
      <c r="BD24" s="33">
        <f t="shared" si="36"/>
        <v>0.0384615384615385</v>
      </c>
      <c r="BE24" s="33">
        <f t="shared" si="36"/>
        <v>0.0384615384615385</v>
      </c>
      <c r="BF24" s="33">
        <f t="shared" si="36"/>
        <v>0.0384615384615385</v>
      </c>
      <c r="BG24" s="33">
        <f t="shared" si="36"/>
        <v>0.0384615384615385</v>
      </c>
    </row>
    <row r="25" spans="1:59">
      <c r="A25" s="12" t="s">
        <v>20</v>
      </c>
      <c r="B25" s="7" t="str">
        <f>B13</f>
        <v>模板记忆</v>
      </c>
      <c r="C25" s="7" t="str">
        <f>C13</f>
        <v>数据结构</v>
      </c>
      <c r="D25" s="7" t="str">
        <f>D13</f>
        <v>程序设计</v>
      </c>
      <c r="E25" s="13" t="str">
        <f>E13</f>
        <v>翻译训练</v>
      </c>
      <c r="K25" s="12" t="s">
        <v>20</v>
      </c>
      <c r="L25" s="7" t="str">
        <f t="shared" ref="L25:O25" si="37">L13</f>
        <v>算法动作</v>
      </c>
      <c r="M25" s="7" t="str">
        <f t="shared" si="37"/>
        <v>算法状态</v>
      </c>
      <c r="N25" s="7" t="str">
        <f t="shared" si="37"/>
        <v>算法流程+DS</v>
      </c>
      <c r="O25" s="13" t="str">
        <f t="shared" si="37"/>
        <v>翻译训练</v>
      </c>
      <c r="P25" s="7" t="str">
        <f t="shared" ref="P25:W25" si="38">L13</f>
        <v>算法动作</v>
      </c>
      <c r="Q25" s="7" t="str">
        <f t="shared" si="38"/>
        <v>算法状态</v>
      </c>
      <c r="R25" s="7" t="str">
        <f t="shared" si="38"/>
        <v>算法流程+DS</v>
      </c>
      <c r="S25" s="7" t="str">
        <f t="shared" si="38"/>
        <v>翻译训练</v>
      </c>
      <c r="T25" s="12" t="str">
        <f t="shared" ref="T25:AA25" si="39">T13</f>
        <v>力扣冒险</v>
      </c>
      <c r="U25" s="7" t="str">
        <f t="shared" si="39"/>
        <v>计算思维</v>
      </c>
      <c r="V25" s="7" t="str">
        <f t="shared" si="39"/>
        <v>复试宝典</v>
      </c>
      <c r="W25" s="7" t="str">
        <f t="shared" si="39"/>
        <v>记忆保温</v>
      </c>
      <c r="X25" s="12" t="s">
        <v>2</v>
      </c>
      <c r="Y25" s="7" t="s">
        <v>8</v>
      </c>
      <c r="Z25" s="7" t="s">
        <v>13</v>
      </c>
      <c r="AA25" s="13" t="s">
        <v>17</v>
      </c>
      <c r="AF25" s="12" t="str">
        <f t="shared" ref="AF25:AI25" si="40">AF13</f>
        <v>游戏编程</v>
      </c>
      <c r="AG25" s="7" t="str">
        <f t="shared" si="40"/>
        <v>新记忆卡</v>
      </c>
      <c r="AH25" s="7" t="str">
        <f t="shared" si="40"/>
        <v>离散数学</v>
      </c>
      <c r="AI25" s="13" t="str">
        <f t="shared" si="40"/>
        <v>滚动练习</v>
      </c>
      <c r="AU25" s="12" t="str">
        <f t="shared" ref="AU25:BB25" si="41">AU13</f>
        <v>书籍理论</v>
      </c>
      <c r="AV25" s="7" t="str">
        <f t="shared" si="41"/>
        <v>清记忆卡</v>
      </c>
      <c r="AW25" s="7" t="str">
        <f t="shared" si="41"/>
        <v>扫盲对齐</v>
      </c>
      <c r="AX25" s="7" t="str">
        <f t="shared" si="41"/>
        <v>上机实操</v>
      </c>
      <c r="AY25" s="12" t="str">
        <f t="shared" ref="AY25:BB25" si="42">AU13</f>
        <v>书籍理论</v>
      </c>
      <c r="AZ25" s="7" t="str">
        <f t="shared" si="42"/>
        <v>清记忆卡</v>
      </c>
      <c r="BA25" s="7" t="str">
        <f t="shared" si="42"/>
        <v>扫盲对齐</v>
      </c>
      <c r="BB25" s="13" t="str">
        <f t="shared" si="42"/>
        <v>上机实操</v>
      </c>
    </row>
    <row r="26" ht="15.15" spans="1:59">
      <c r="A26" s="24" t="s">
        <v>32</v>
      </c>
      <c r="B26" s="9">
        <f>ROUND($B$23*B14,0)</f>
        <v>12</v>
      </c>
      <c r="C26" s="9">
        <f>ROUND($B$23*C14,0)</f>
        <v>20</v>
      </c>
      <c r="D26" s="9">
        <f>ROUND($B$23*D14,0)</f>
        <v>22</v>
      </c>
      <c r="E26" s="25">
        <f>ROUND($B$23*E14,0)</f>
        <v>18</v>
      </c>
      <c r="K26" s="24" t="s">
        <v>32</v>
      </c>
      <c r="L26" s="9">
        <f>ROUND($B$23*L14,0)</f>
        <v>25</v>
      </c>
      <c r="M26" s="9">
        <f t="shared" ref="L26:O26" si="43">ROUND($B$23*M14,0)</f>
        <v>20</v>
      </c>
      <c r="N26" s="9">
        <f t="shared" si="43"/>
        <v>18</v>
      </c>
      <c r="O26" s="25">
        <f t="shared" si="43"/>
        <v>21</v>
      </c>
      <c r="P26" s="9">
        <f>ROUND($R$23*L14,0)</f>
        <v>51</v>
      </c>
      <c r="Q26" s="9">
        <f>ROUND($R$23*M14,0)</f>
        <v>40</v>
      </c>
      <c r="R26" s="9">
        <f>ROUND($R$23*N14,0)</f>
        <v>36</v>
      </c>
      <c r="S26" s="9">
        <f>ROUND($R$23*O14,0)</f>
        <v>42</v>
      </c>
      <c r="T26" s="24">
        <f t="shared" ref="T26:AA26" si="44">ROUND($R$23*T14,0)</f>
        <v>16</v>
      </c>
      <c r="U26" s="9">
        <f t="shared" si="44"/>
        <v>63</v>
      </c>
      <c r="V26" s="9">
        <f t="shared" si="44"/>
        <v>71</v>
      </c>
      <c r="W26" s="9">
        <f t="shared" si="44"/>
        <v>50</v>
      </c>
      <c r="X26" s="24">
        <f>ROUND($U$23*T14,0)</f>
        <v>8</v>
      </c>
      <c r="Y26" s="9">
        <f t="shared" ref="X26:AA26" si="45">ROUND($U$23*U14,0)</f>
        <v>32</v>
      </c>
      <c r="Z26" s="9">
        <f t="shared" si="45"/>
        <v>36</v>
      </c>
      <c r="AA26" s="25">
        <f t="shared" si="45"/>
        <v>25</v>
      </c>
      <c r="AF26" s="24">
        <f>ROUND($AF$23*AF14,0)</f>
        <v>1</v>
      </c>
      <c r="AG26" s="9">
        <f t="shared" ref="AF26:AI26" si="46">ROUND($AF$23*AG14,0)</f>
        <v>156</v>
      </c>
      <c r="AH26" s="9">
        <f t="shared" si="46"/>
        <v>36</v>
      </c>
      <c r="AI26" s="25">
        <f t="shared" si="46"/>
        <v>64</v>
      </c>
      <c r="AU26" s="24">
        <f t="shared" ref="AU26:BB26" si="47">ROUND($AU$23*AU14,0)</f>
        <v>162</v>
      </c>
      <c r="AV26" s="9">
        <f t="shared" si="47"/>
        <v>209</v>
      </c>
      <c r="AW26" s="9">
        <f t="shared" si="47"/>
        <v>21</v>
      </c>
      <c r="AX26" s="9">
        <f t="shared" si="47"/>
        <v>131</v>
      </c>
      <c r="AY26" s="24">
        <f t="shared" ref="AY26:BB26" si="48">ROUND($AY$23*AU14,0)</f>
        <v>81</v>
      </c>
      <c r="AZ26" s="9">
        <f t="shared" si="48"/>
        <v>105</v>
      </c>
      <c r="BA26" s="9">
        <f t="shared" si="48"/>
        <v>11</v>
      </c>
      <c r="BB26" s="25">
        <f t="shared" si="48"/>
        <v>65</v>
      </c>
    </row>
    <row r="27" spans="1:59">
      <c r="AZ27"/>
    </row>
    <row r="28" spans="1:59">
      <c r="AZ28"/>
    </row>
    <row r="29" spans="1:59">
      <c r="AZ29"/>
    </row>
  </sheetData>
  <pageMargins left="0.7" right="0.7" top="0.75" bottom="0.75" header="0.3" footer="0.3"/>
  <pageSetup paperSize="9" orientation="portrait"/>
  <headerFooter/>
  <ignoredErrors>
    <ignoredError sqref="AY23 A23:AX24 A1:AS1 AU1:AY1 A2:AX2 A3:AT3 A4:AS4 AU4:AV4 A5:AY5 A6:AT6 A7:AS7 AU7:AY7 A8:AY8 A9:AT9 A10:AS10 AU10:AY10 A11:AY11 A12:AE12 AY12:AY14 A13:AS14 A15:AX15 A16:AT17 A19:AT19 A20:AX21 A22:AS22 AU22:AX22 A25:AT26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7"/>
  <sheetViews>
    <sheetView tabSelected="1" topLeftCell="A4" workbookViewId="0">
      <selection activeCell="I23" sqref="I23"/>
    </sheetView>
  </sheetViews>
  <sheetFormatPr defaultColWidth="8.88888888888889" defaultRowHeight="14.4"/>
  <cols>
    <col min="1" max="21" width="10.7777777777778" customWidth="1"/>
  </cols>
  <sheetData>
    <row r="1" spans="1:21">
      <c r="B1" t="s">
        <v>33</v>
      </c>
      <c r="K1" s="2">
        <f>2*3.84615384615385%</f>
        <v>0.076923076923077</v>
      </c>
    </row>
    <row r="2" spans="1:21">
      <c r="A2" t="s">
        <v>4</v>
      </c>
      <c r="B2">
        <f>SUM(C2:J2)</f>
        <v>2103</v>
      </c>
      <c r="C2">
        <v>440</v>
      </c>
      <c r="D2">
        <v>390</v>
      </c>
      <c r="E2">
        <v>240</v>
      </c>
      <c r="F2">
        <v>278</v>
      </c>
      <c r="G2">
        <v>484</v>
      </c>
      <c r="H2">
        <v>271</v>
      </c>
      <c r="K2">
        <f>ROUND(B2*$K$1,0)</f>
        <v>162</v>
      </c>
      <c r="M2" s="3"/>
      <c r="N2" s="3">
        <v>209</v>
      </c>
      <c r="O2" s="3"/>
      <c r="P2" s="3"/>
      <c r="Q2" s="3"/>
      <c r="R2" s="3"/>
      <c r="S2" s="3"/>
      <c r="T2" s="3"/>
      <c r="U2" s="3"/>
    </row>
    <row r="3" spans="1:21">
      <c r="A3" t="s">
        <v>10</v>
      </c>
      <c r="B3">
        <f>SUM(C3:J3)</f>
        <v>2717</v>
      </c>
      <c r="C3">
        <v>169</v>
      </c>
      <c r="D3">
        <v>752</v>
      </c>
      <c r="E3">
        <v>485</v>
      </c>
      <c r="F3">
        <v>489</v>
      </c>
      <c r="G3">
        <v>259</v>
      </c>
      <c r="H3">
        <v>331</v>
      </c>
      <c r="I3">
        <v>79</v>
      </c>
      <c r="J3">
        <v>153</v>
      </c>
      <c r="K3">
        <f>ROUND(B3*$K$1,0)</f>
        <v>209</v>
      </c>
      <c r="M3" s="3">
        <f>SUM(N3:U3)</f>
        <v>2717</v>
      </c>
      <c r="N3" s="3">
        <v>169</v>
      </c>
      <c r="O3" s="3">
        <v>752</v>
      </c>
      <c r="P3" s="3">
        <v>485</v>
      </c>
      <c r="Q3" s="3">
        <v>489</v>
      </c>
      <c r="R3" s="3">
        <v>259</v>
      </c>
      <c r="S3" s="3">
        <v>331</v>
      </c>
      <c r="T3" s="3">
        <v>79</v>
      </c>
      <c r="U3" s="3">
        <v>153</v>
      </c>
    </row>
    <row r="4" spans="1:21">
      <c r="A4" t="s">
        <v>15</v>
      </c>
      <c r="B4">
        <f>SUM(C4:J4)</f>
        <v>279</v>
      </c>
      <c r="C4">
        <v>100</v>
      </c>
      <c r="D4">
        <v>179</v>
      </c>
      <c r="K4">
        <f>ROUND(B4*$K$1,0)</f>
        <v>21</v>
      </c>
      <c r="M4" s="3"/>
      <c r="N4" s="4">
        <f t="shared" ref="N4:U4" si="0">N3/$M$3</f>
        <v>0.062200956937799</v>
      </c>
      <c r="O4" s="4">
        <f t="shared" si="0"/>
        <v>0.276775855723224</v>
      </c>
      <c r="P4" s="4">
        <f t="shared" si="0"/>
        <v>0.178505704821494</v>
      </c>
      <c r="Q4" s="4">
        <f t="shared" si="0"/>
        <v>0.179977916820022</v>
      </c>
      <c r="R4" s="4">
        <f t="shared" si="0"/>
        <v>0.0953257269046743</v>
      </c>
      <c r="S4" s="4">
        <f t="shared" si="0"/>
        <v>0.121825542878174</v>
      </c>
      <c r="T4" s="4">
        <f t="shared" si="0"/>
        <v>0.0290761869709238</v>
      </c>
      <c r="U4" s="4">
        <f t="shared" si="0"/>
        <v>0.0563121089436879</v>
      </c>
    </row>
    <row r="5" spans="1:21">
      <c r="A5" t="s">
        <v>19</v>
      </c>
      <c r="B5">
        <f>ROUND(AVERAGE(B2:B4),0)</f>
        <v>1700</v>
      </c>
      <c r="C5">
        <f t="shared" ref="C5:F5" si="1">ROUND($B$5/4,0)</f>
        <v>425</v>
      </c>
      <c r="D5">
        <f t="shared" si="1"/>
        <v>425</v>
      </c>
      <c r="E5">
        <f t="shared" si="1"/>
        <v>425</v>
      </c>
      <c r="F5">
        <f t="shared" si="1"/>
        <v>425</v>
      </c>
      <c r="K5">
        <f>ROUND(B5*$K$1,0)</f>
        <v>131</v>
      </c>
      <c r="M5" s="3"/>
      <c r="N5" s="3">
        <f t="shared" ref="N5:U5" si="2">ROUND(N4*$N$2,0)</f>
        <v>13</v>
      </c>
      <c r="O5" s="3">
        <f t="shared" si="2"/>
        <v>58</v>
      </c>
      <c r="P5" s="3">
        <f t="shared" si="2"/>
        <v>37</v>
      </c>
      <c r="Q5" s="3">
        <f t="shared" si="2"/>
        <v>38</v>
      </c>
      <c r="R5" s="3">
        <f t="shared" si="2"/>
        <v>20</v>
      </c>
      <c r="S5" s="3">
        <f t="shared" si="2"/>
        <v>25</v>
      </c>
      <c r="T5" s="3">
        <f t="shared" si="2"/>
        <v>6</v>
      </c>
      <c r="U5" s="3">
        <f t="shared" si="2"/>
        <v>12</v>
      </c>
    </row>
    <row r="6" spans="1:21">
      <c r="K6">
        <f>ROUND(K5/4,0)</f>
        <v>33</v>
      </c>
    </row>
    <row r="7" spans="1:21">
      <c r="B7" t="s">
        <v>34</v>
      </c>
      <c r="C7">
        <f>COUNTA(A8:K37)</f>
        <v>179</v>
      </c>
      <c r="M7" s="3"/>
      <c r="N7" s="3">
        <v>105</v>
      </c>
      <c r="O7" s="3"/>
      <c r="P7" s="3"/>
      <c r="Q7" s="3"/>
      <c r="R7" s="3"/>
      <c r="S7" s="3"/>
      <c r="T7" s="3"/>
      <c r="U7" s="3"/>
    </row>
    <row r="8" spans="1:21">
      <c r="A8" s="5" t="s">
        <v>35</v>
      </c>
      <c r="B8" s="6" t="s">
        <v>36</v>
      </c>
      <c r="C8" s="5" t="s">
        <v>37</v>
      </c>
      <c r="D8" s="6" t="s">
        <v>38</v>
      </c>
      <c r="E8" s="5" t="s">
        <v>39</v>
      </c>
      <c r="F8" s="5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M8" s="3">
        <f>SUM(N8:U8)</f>
        <v>2717</v>
      </c>
      <c r="N8" s="3">
        <v>169</v>
      </c>
      <c r="O8" s="3">
        <v>752</v>
      </c>
      <c r="P8" s="3">
        <v>485</v>
      </c>
      <c r="Q8" s="3">
        <v>489</v>
      </c>
      <c r="R8" s="3">
        <v>259</v>
      </c>
      <c r="S8" s="3">
        <v>331</v>
      </c>
      <c r="T8" s="3">
        <v>79</v>
      </c>
      <c r="U8" s="3">
        <v>153</v>
      </c>
    </row>
    <row r="9" spans="1:21">
      <c r="A9" s="6" t="s">
        <v>46</v>
      </c>
      <c r="B9" s="6" t="s">
        <v>47</v>
      </c>
      <c r="C9" s="5" t="s">
        <v>48</v>
      </c>
      <c r="D9" s="6" t="s">
        <v>49</v>
      </c>
      <c r="E9" s="5" t="s">
        <v>50</v>
      </c>
      <c r="F9" s="5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M9" s="3"/>
      <c r="N9" s="4">
        <f t="shared" ref="N9:U9" si="3">N8/$M$3</f>
        <v>0.062200956937799</v>
      </c>
      <c r="O9" s="4">
        <f t="shared" si="3"/>
        <v>0.276775855723224</v>
      </c>
      <c r="P9" s="4">
        <f t="shared" si="3"/>
        <v>0.178505704821494</v>
      </c>
      <c r="Q9" s="4">
        <f t="shared" si="3"/>
        <v>0.179977916820022</v>
      </c>
      <c r="R9" s="4">
        <f t="shared" si="3"/>
        <v>0.0953257269046743</v>
      </c>
      <c r="S9" s="4">
        <f t="shared" si="3"/>
        <v>0.121825542878174</v>
      </c>
      <c r="T9" s="4">
        <f t="shared" si="3"/>
        <v>0.0290761869709238</v>
      </c>
      <c r="U9" s="4">
        <f t="shared" si="3"/>
        <v>0.0563121089436879</v>
      </c>
    </row>
    <row r="10" spans="1:21">
      <c r="A10" s="6" t="s">
        <v>57</v>
      </c>
      <c r="B10" s="6" t="s">
        <v>58</v>
      </c>
      <c r="C10" s="5" t="s">
        <v>59</v>
      </c>
      <c r="D10" s="6" t="s">
        <v>60</v>
      </c>
      <c r="E10" s="5" t="s">
        <v>61</v>
      </c>
      <c r="F10" s="5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M10" s="3"/>
      <c r="N10" s="3">
        <f t="shared" ref="N10:U10" si="4">ROUND(N9*$N$7,0)</f>
        <v>7</v>
      </c>
      <c r="O10" s="3">
        <f t="shared" si="4"/>
        <v>29</v>
      </c>
      <c r="P10" s="3">
        <f t="shared" si="4"/>
        <v>19</v>
      </c>
      <c r="Q10" s="3">
        <f t="shared" si="4"/>
        <v>19</v>
      </c>
      <c r="R10" s="3">
        <f t="shared" si="4"/>
        <v>10</v>
      </c>
      <c r="S10" s="3">
        <f t="shared" si="4"/>
        <v>13</v>
      </c>
      <c r="T10" s="3">
        <f t="shared" si="4"/>
        <v>3</v>
      </c>
      <c r="U10" s="3">
        <f t="shared" si="4"/>
        <v>6</v>
      </c>
    </row>
    <row r="11" spans="1:21">
      <c r="A11" s="6" t="s">
        <v>68</v>
      </c>
      <c r="B11" s="6" t="s">
        <v>69</v>
      </c>
      <c r="C11" s="5" t="s">
        <v>70</v>
      </c>
      <c r="D11" s="6" t="s">
        <v>71</v>
      </c>
      <c r="E11" s="5" t="s">
        <v>72</v>
      </c>
      <c r="F11" s="5" t="s">
        <v>73</v>
      </c>
      <c r="G11" t="s">
        <v>74</v>
      </c>
      <c r="H11" t="s">
        <v>75</v>
      </c>
      <c r="I11" t="s">
        <v>76</v>
      </c>
      <c r="J11" t="s">
        <v>77</v>
      </c>
      <c r="K11" t="s">
        <v>78</v>
      </c>
    </row>
    <row r="12" spans="1:21">
      <c r="A12" s="6" t="s">
        <v>79</v>
      </c>
      <c r="B12" s="6" t="s">
        <v>80</v>
      </c>
      <c r="C12" s="5" t="s">
        <v>81</v>
      </c>
      <c r="D12" s="6" t="s">
        <v>82</v>
      </c>
      <c r="E12" s="5" t="s">
        <v>83</v>
      </c>
      <c r="F12" s="6" t="s">
        <v>84</v>
      </c>
      <c r="G12" t="s">
        <v>85</v>
      </c>
      <c r="H12" t="s">
        <v>86</v>
      </c>
      <c r="I12" t="s">
        <v>87</v>
      </c>
      <c r="J12" t="s">
        <v>88</v>
      </c>
    </row>
    <row r="13" spans="1:21">
      <c r="B13" s="6" t="s">
        <v>89</v>
      </c>
      <c r="C13" s="5" t="s">
        <v>90</v>
      </c>
      <c r="D13" s="6" t="s">
        <v>91</v>
      </c>
      <c r="E13" s="5" t="s">
        <v>92</v>
      </c>
      <c r="F13" s="6" t="s">
        <v>93</v>
      </c>
      <c r="G13" t="s">
        <v>94</v>
      </c>
      <c r="H13" t="s">
        <v>95</v>
      </c>
      <c r="I13" t="s">
        <v>96</v>
      </c>
      <c r="J13" t="s">
        <v>97</v>
      </c>
    </row>
    <row r="14" spans="1:21">
      <c r="B14" s="6" t="s">
        <v>98</v>
      </c>
      <c r="C14" s="5" t="s">
        <v>99</v>
      </c>
      <c r="D14" s="6" t="s">
        <v>100</v>
      </c>
      <c r="E14" s="5" t="s">
        <v>101</v>
      </c>
      <c r="F14" s="6" t="s">
        <v>102</v>
      </c>
      <c r="G14" t="s">
        <v>103</v>
      </c>
      <c r="H14" t="s">
        <v>104</v>
      </c>
      <c r="I14" t="s">
        <v>105</v>
      </c>
      <c r="J14" t="s">
        <v>106</v>
      </c>
    </row>
    <row r="15" spans="1:21">
      <c r="B15" s="6" t="s">
        <v>107</v>
      </c>
      <c r="C15" s="5" t="s">
        <v>108</v>
      </c>
      <c r="D15" s="6" t="s">
        <v>109</v>
      </c>
      <c r="E15" s="5" t="s">
        <v>110</v>
      </c>
      <c r="F15" s="5" t="s">
        <v>111</v>
      </c>
      <c r="G15" t="s">
        <v>112</v>
      </c>
      <c r="H15" t="s">
        <v>113</v>
      </c>
      <c r="I15" t="s">
        <v>114</v>
      </c>
      <c r="J15" t="s">
        <v>115</v>
      </c>
    </row>
    <row r="16" spans="1:21">
      <c r="B16" s="6" t="s">
        <v>116</v>
      </c>
      <c r="C16" s="5" t="s">
        <v>117</v>
      </c>
      <c r="D16" s="6" t="s">
        <v>118</v>
      </c>
      <c r="E16" s="6" t="s">
        <v>119</v>
      </c>
      <c r="F16" s="5" t="s">
        <v>120</v>
      </c>
      <c r="G16" t="s">
        <v>121</v>
      </c>
      <c r="H16" t="s">
        <v>122</v>
      </c>
      <c r="I16" t="s">
        <v>123</v>
      </c>
      <c r="J16" t="s">
        <v>124</v>
      </c>
    </row>
    <row r="17" spans="2:10">
      <c r="B17" s="6" t="s">
        <v>125</v>
      </c>
      <c r="C17" s="5" t="s">
        <v>126</v>
      </c>
      <c r="D17" s="6" t="s">
        <v>127</v>
      </c>
      <c r="E17" s="6" t="s">
        <v>128</v>
      </c>
      <c r="F17" s="5" t="s">
        <v>129</v>
      </c>
      <c r="G17" t="s">
        <v>130</v>
      </c>
      <c r="H17" t="s">
        <v>131</v>
      </c>
      <c r="I17" t="s">
        <v>132</v>
      </c>
      <c r="J17" t="s">
        <v>133</v>
      </c>
    </row>
    <row r="18" spans="2:10">
      <c r="B18" s="6" t="s">
        <v>134</v>
      </c>
      <c r="C18" s="5" t="s">
        <v>135</v>
      </c>
      <c r="D18" s="6" t="s">
        <v>136</v>
      </c>
      <c r="E18" s="6" t="s">
        <v>137</v>
      </c>
      <c r="F18" s="5" t="s">
        <v>138</v>
      </c>
      <c r="G18" t="s">
        <v>139</v>
      </c>
      <c r="H18" t="s">
        <v>140</v>
      </c>
      <c r="I18" t="s">
        <v>141</v>
      </c>
      <c r="J18" t="s">
        <v>142</v>
      </c>
    </row>
    <row r="19" spans="2:10">
      <c r="C19" s="5" t="s">
        <v>143</v>
      </c>
      <c r="D19" s="6" t="s">
        <v>144</v>
      </c>
      <c r="E19" s="6" t="s">
        <v>145</v>
      </c>
      <c r="F19" t="s">
        <v>146</v>
      </c>
      <c r="G19" t="s">
        <v>147</v>
      </c>
      <c r="H19" t="s">
        <v>148</v>
      </c>
      <c r="I19" t="s">
        <v>149</v>
      </c>
      <c r="J19" t="s">
        <v>150</v>
      </c>
    </row>
    <row r="20" spans="2:10">
      <c r="D20" s="6" t="s">
        <v>151</v>
      </c>
      <c r="E20" s="6" t="s">
        <v>152</v>
      </c>
      <c r="F20" t="s">
        <v>153</v>
      </c>
      <c r="G20" t="s">
        <v>154</v>
      </c>
      <c r="H20" t="s">
        <v>155</v>
      </c>
      <c r="I20" t="s">
        <v>156</v>
      </c>
      <c r="J20" t="s">
        <v>157</v>
      </c>
    </row>
    <row r="21" spans="2:10">
      <c r="D21" s="6" t="s">
        <v>158</v>
      </c>
      <c r="E21" s="6" t="s">
        <v>159</v>
      </c>
      <c r="F21" t="s">
        <v>160</v>
      </c>
      <c r="G21" t="s">
        <v>161</v>
      </c>
      <c r="H21" t="s">
        <v>162</v>
      </c>
      <c r="I21" t="s">
        <v>163</v>
      </c>
      <c r="J21" t="s">
        <v>164</v>
      </c>
    </row>
    <row r="22" spans="2:10">
      <c r="D22" s="6" t="s">
        <v>165</v>
      </c>
      <c r="E22" s="6" t="s">
        <v>166</v>
      </c>
      <c r="F22" t="s">
        <v>167</v>
      </c>
      <c r="G22" t="s">
        <v>168</v>
      </c>
      <c r="H22" t="s">
        <v>169</v>
      </c>
      <c r="J22" t="s">
        <v>170</v>
      </c>
    </row>
    <row r="23" spans="2:10">
      <c r="D23" s="6" t="s">
        <v>171</v>
      </c>
      <c r="E23" s="6" t="s">
        <v>172</v>
      </c>
      <c r="F23" t="s">
        <v>173</v>
      </c>
      <c r="G23" t="s">
        <v>174</v>
      </c>
      <c r="H23" t="s">
        <v>175</v>
      </c>
      <c r="J23" t="s">
        <v>176</v>
      </c>
    </row>
    <row r="24" spans="2:10">
      <c r="E24" s="6" t="s">
        <v>177</v>
      </c>
      <c r="F24" t="s">
        <v>178</v>
      </c>
      <c r="G24" t="s">
        <v>179</v>
      </c>
      <c r="H24" t="s">
        <v>180</v>
      </c>
      <c r="J24" t="s">
        <v>181</v>
      </c>
    </row>
    <row r="25" spans="2:10">
      <c r="E25" s="6" t="s">
        <v>182</v>
      </c>
      <c r="F25" t="s">
        <v>183</v>
      </c>
      <c r="G25" t="s">
        <v>184</v>
      </c>
      <c r="H25" t="s">
        <v>185</v>
      </c>
      <c r="J25" t="s">
        <v>186</v>
      </c>
    </row>
    <row r="26" spans="2:10">
      <c r="E26" s="6" t="s">
        <v>187</v>
      </c>
      <c r="F26" t="s">
        <v>188</v>
      </c>
      <c r="G26" t="s">
        <v>189</v>
      </c>
      <c r="H26" t="s">
        <v>190</v>
      </c>
      <c r="J26" t="s">
        <v>191</v>
      </c>
    </row>
    <row r="27" spans="2:10">
      <c r="E27" s="6" t="s">
        <v>192</v>
      </c>
      <c r="F27" t="s">
        <v>193</v>
      </c>
      <c r="G27" t="s">
        <v>194</v>
      </c>
      <c r="H27" t="s">
        <v>195</v>
      </c>
    </row>
    <row r="28" spans="2:10">
      <c r="E28" s="6" t="s">
        <v>196</v>
      </c>
      <c r="F28" t="s">
        <v>197</v>
      </c>
      <c r="G28" t="s">
        <v>198</v>
      </c>
      <c r="H28" t="s">
        <v>199</v>
      </c>
    </row>
    <row r="29" spans="2:10">
      <c r="F29" t="s">
        <v>200</v>
      </c>
      <c r="G29" t="s">
        <v>201</v>
      </c>
      <c r="H29" t="s">
        <v>202</v>
      </c>
    </row>
    <row r="30" spans="2:10">
      <c r="F30" t="s">
        <v>203</v>
      </c>
      <c r="G30" t="s">
        <v>204</v>
      </c>
      <c r="H30" t="s">
        <v>205</v>
      </c>
    </row>
    <row r="31" spans="2:10">
      <c r="G31" t="s">
        <v>206</v>
      </c>
      <c r="H31" t="s">
        <v>207</v>
      </c>
    </row>
    <row r="32" spans="2:10">
      <c r="H32" t="s">
        <v>208</v>
      </c>
    </row>
    <row r="33" spans="8:8">
      <c r="H33" t="s">
        <v>209</v>
      </c>
    </row>
    <row r="34" spans="8:8">
      <c r="H34" t="s">
        <v>210</v>
      </c>
    </row>
    <row r="35" spans="8:8">
      <c r="H35" t="s">
        <v>211</v>
      </c>
    </row>
    <row r="36" spans="8:8">
      <c r="H36" t="s">
        <v>212</v>
      </c>
    </row>
    <row r="37" spans="8:8">
      <c r="H37" t="s">
        <v>213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workbookViewId="0">
      <selection activeCell="H3" sqref="H3"/>
    </sheetView>
  </sheetViews>
  <sheetFormatPr defaultColWidth="8.88888888888889" defaultRowHeight="14.4" outlineLevelCol="7"/>
  <cols>
    <col min="1" max="1" width="10.7777777777778"/>
  </cols>
  <sheetData>
    <row r="1" spans="1:8">
      <c r="A1" t="s">
        <v>8</v>
      </c>
      <c r="B1">
        <f>SUM(A3:B3)</f>
        <v>410</v>
      </c>
      <c r="C1" t="s">
        <v>214</v>
      </c>
      <c r="D1">
        <f>SUM(C3:D3)</f>
        <v>464</v>
      </c>
      <c r="G1" t="s">
        <v>215</v>
      </c>
      <c r="H1">
        <v>322</v>
      </c>
    </row>
    <row r="2" spans="1:8">
      <c r="A2" t="s">
        <v>216</v>
      </c>
      <c r="B2" t="s">
        <v>217</v>
      </c>
      <c r="C2" t="s">
        <v>218</v>
      </c>
      <c r="D2" t="s">
        <v>219</v>
      </c>
      <c r="G2" t="s">
        <v>220</v>
      </c>
      <c r="H2">
        <v>93</v>
      </c>
    </row>
    <row r="3" spans="1:8">
      <c r="A3">
        <v>184</v>
      </c>
      <c r="B3">
        <v>226</v>
      </c>
      <c r="C3">
        <v>158</v>
      </c>
      <c r="D3">
        <v>306</v>
      </c>
      <c r="G3" t="s">
        <v>221</v>
      </c>
      <c r="H3">
        <v>57</v>
      </c>
    </row>
    <row r="4" spans="1:8">
      <c r="A4" t="s">
        <v>222</v>
      </c>
      <c r="B4" t="s">
        <v>223</v>
      </c>
      <c r="G4" t="s">
        <v>224</v>
      </c>
      <c r="H4">
        <v>215</v>
      </c>
    </row>
    <row r="5" spans="1:8">
      <c r="A5">
        <v>230</v>
      </c>
      <c r="B5">
        <v>237</v>
      </c>
      <c r="C5">
        <f>SUM(A5:B5)</f>
        <v>467</v>
      </c>
      <c r="G5" t="s">
        <v>225</v>
      </c>
      <c r="H5">
        <v>200</v>
      </c>
    </row>
    <row r="6" spans="1:8">
      <c r="G6" t="s">
        <v>226</v>
      </c>
      <c r="H6">
        <v>50</v>
      </c>
    </row>
    <row r="7" spans="1:8">
      <c r="B7" t="s">
        <v>227</v>
      </c>
      <c r="C7" t="s">
        <v>228</v>
      </c>
      <c r="D7" t="s">
        <v>229</v>
      </c>
      <c r="E7" t="s">
        <v>230</v>
      </c>
      <c r="G7" t="s">
        <v>231</v>
      </c>
      <c r="H7">
        <f>SUM(H1:H6)</f>
        <v>937</v>
      </c>
    </row>
    <row r="8" spans="1:8">
      <c r="A8" s="1">
        <v>46065</v>
      </c>
      <c r="B8">
        <v>8.5</v>
      </c>
      <c r="C8">
        <v>10</v>
      </c>
      <c r="D8">
        <v>5.5</v>
      </c>
      <c r="E8">
        <v>8</v>
      </c>
    </row>
    <row r="9" spans="1:8">
      <c r="A9">
        <f>SUM(B8:E9)</f>
        <v>65.5</v>
      </c>
      <c r="B9">
        <v>8.5</v>
      </c>
      <c r="C9">
        <v>10</v>
      </c>
      <c r="D9">
        <v>8</v>
      </c>
      <c r="E9">
        <v>7</v>
      </c>
    </row>
    <row r="10" spans="1:8">
      <c r="A10">
        <f t="shared" ref="A10:A15" si="0">A9+SUM(B10:E10)</f>
        <v>98</v>
      </c>
      <c r="B10">
        <v>10</v>
      </c>
      <c r="C10">
        <v>10</v>
      </c>
      <c r="D10">
        <v>6.5</v>
      </c>
      <c r="E10">
        <v>6</v>
      </c>
    </row>
    <row r="11" spans="1:8">
      <c r="A11">
        <f t="shared" si="0"/>
        <v>130</v>
      </c>
      <c r="B11">
        <v>10</v>
      </c>
      <c r="C11">
        <v>10</v>
      </c>
      <c r="D11">
        <v>5</v>
      </c>
      <c r="E11">
        <v>7</v>
      </c>
    </row>
    <row r="12" spans="1:8">
      <c r="A12" s="1">
        <v>46066</v>
      </c>
      <c r="B12">
        <v>9</v>
      </c>
      <c r="C12">
        <v>10</v>
      </c>
      <c r="D12">
        <v>8</v>
      </c>
      <c r="E12">
        <v>9</v>
      </c>
    </row>
    <row r="13" spans="1:8">
      <c r="A13">
        <f>SUM(B12:E13)</f>
        <v>71.5</v>
      </c>
      <c r="B13">
        <v>9</v>
      </c>
      <c r="C13">
        <v>10</v>
      </c>
      <c r="D13">
        <v>7.5</v>
      </c>
      <c r="E13">
        <v>9</v>
      </c>
    </row>
    <row r="14" spans="1:8">
      <c r="A14">
        <f t="shared" si="0"/>
        <v>106.5</v>
      </c>
      <c r="B14">
        <v>10</v>
      </c>
      <c r="C14">
        <v>10</v>
      </c>
      <c r="D14">
        <v>6</v>
      </c>
      <c r="E14">
        <v>9</v>
      </c>
    </row>
    <row r="15" spans="1:8">
      <c r="A15">
        <f t="shared" si="0"/>
        <v>135.5</v>
      </c>
      <c r="B15">
        <v>10</v>
      </c>
      <c r="C15">
        <v>10</v>
      </c>
      <c r="E15">
        <v>9</v>
      </c>
    </row>
    <row r="16" spans="1:8">
      <c r="B16" t="s">
        <v>232</v>
      </c>
    </row>
    <row r="17" spans="1:6">
      <c r="A17" s="1">
        <v>46067</v>
      </c>
      <c r="B17">
        <v>131</v>
      </c>
    </row>
    <row r="18" spans="1:6">
      <c r="A18" s="1"/>
      <c r="B18" t="s">
        <v>227</v>
      </c>
      <c r="C18" t="s">
        <v>229</v>
      </c>
      <c r="D18" t="s">
        <v>230</v>
      </c>
      <c r="E18" t="s">
        <v>233</v>
      </c>
      <c r="F18" t="s">
        <v>234</v>
      </c>
    </row>
    <row r="19" spans="1:6">
      <c r="A19" s="1">
        <v>46068</v>
      </c>
      <c r="B19">
        <v>10</v>
      </c>
      <c r="F19">
        <v>3.5</v>
      </c>
    </row>
    <row r="20" spans="1:6">
      <c r="A20">
        <f>SUM(B19:F20)</f>
        <v>23.5</v>
      </c>
      <c r="B20">
        <v>10</v>
      </c>
    </row>
    <row r="21" spans="1:6">
      <c r="A21">
        <f>A20+SUM(B21:F21)</f>
        <v>33.5</v>
      </c>
      <c r="B21">
        <v>10</v>
      </c>
    </row>
    <row r="22" spans="1:6">
      <c r="A22">
        <f>A21+SUM(B22:F22)</f>
        <v>43.5</v>
      </c>
      <c r="B22">
        <v>10</v>
      </c>
    </row>
    <row r="23" spans="1:6">
      <c r="A23" s="1">
        <v>46069</v>
      </c>
    </row>
    <row r="24" spans="1:6">
      <c r="A24" s="1">
        <v>46070</v>
      </c>
    </row>
    <row r="25" spans="1:6">
      <c r="A25" s="1">
        <v>46071</v>
      </c>
    </row>
    <row r="26" spans="1:6">
      <c r="A26" s="1">
        <v>46072</v>
      </c>
    </row>
    <row r="27" spans="1:6">
      <c r="A27" s="1">
        <v>46073</v>
      </c>
    </row>
    <row r="28" spans="1:6">
      <c r="A28" s="1">
        <v>46074</v>
      </c>
    </row>
    <row r="29" spans="1:6">
      <c r="A29" s="1">
        <v>46075</v>
      </c>
    </row>
    <row r="30" spans="1:6">
      <c r="A30" s="1">
        <v>46076</v>
      </c>
    </row>
    <row r="31" spans="1:6">
      <c r="A31" s="1">
        <v>46077</v>
      </c>
    </row>
    <row r="32" spans="1:6">
      <c r="A32" s="1">
        <v>46078</v>
      </c>
    </row>
    <row r="33" spans="1:1">
      <c r="A33" s="1">
        <v>46079</v>
      </c>
    </row>
    <row r="34" spans="1:1">
      <c r="A34" s="1">
        <v>46080</v>
      </c>
    </row>
    <row r="35" spans="1:1">
      <c r="A35" s="1">
        <v>46081</v>
      </c>
    </row>
    <row r="36" spans="1:1">
      <c r="A36" s="1">
        <v>46082</v>
      </c>
    </row>
    <row r="37" spans="1:1">
      <c r="A37" s="1">
        <v>46083</v>
      </c>
    </row>
    <row r="38" spans="1:1">
      <c r="A38" s="1">
        <v>46084</v>
      </c>
    </row>
    <row r="39" spans="1:1">
      <c r="A39" s="1">
        <v>46085</v>
      </c>
    </row>
  </sheetData>
  <pageMargins left="0.75" right="0.75" top="1" bottom="1" header="0.5" footer="0.5"/>
  <headerFooter/>
  <ignoredErrors>
    <ignoredError sqref="A1:D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当前阶段</vt:lpstr>
      <vt:lpstr>第五阶段</vt:lpstr>
      <vt:lpstr>阅读书签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Scrooge</cp:lastModifiedBy>
  <dcterms:created xsi:type="dcterms:W3CDTF">2023-05-12T11:15:00Z</dcterms:created>
  <dcterms:modified xsi:type="dcterms:W3CDTF">2026-03-04T05:49:18Z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52C9626267BE4F95ABF321A732E9F92C_12</vt:lpwstr>
  </property>
  <property fmtid="{D5CDD505-2E9C-101B-9397-08002B2CF9AE}" pid="4" name="CalculationRule">
    <vt:i4>0</vt:i4>
  </property>
</Properties>
</file>