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<sst xmlns="http://schemas.openxmlformats.org/spreadsheetml/2006/main" count="207" uniqueCount="114">
  <si>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</si>
  <si>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</si>
  <si>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</si>
  <si>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</si>
  <si>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</si>
  <si>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</si>
  <si>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</si>
  <si>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</si>
  <si>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</si>
  <si>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</si>
  <si>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</si>
  <si>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</si>
  <si>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</si>
  <si>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</si>
  <si>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</si>
  <si>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</si>
  <si>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</si>
  <si>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</si>
  <si>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</si>
  <si>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</si>
  <si>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</si>
  <si>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</si>
  <si>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</si>
  <si>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</si>
  <si>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</si>
  <si>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</si>
  <si>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</si>
  <si>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</si>
  <si>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</si>
  <si>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</si>
  <si>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</si>
  <si>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</si>
  <si>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</si>
  <si>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</si>
  <si>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</si>
  <si>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</si>
  <si>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</si>
  <si>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</si>
  <si>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控制信号</t>
  </si>
  <si>
    <t>通信原理</t>
  </si>
  <si>
    <t>复试针对</t>
  </si>
  <si>
    <t>农大辅导</t>
  </si>
  <si>
    <t>面试准备</t>
  </si>
  <si>
    <t>库的实现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</si>
  <si>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</si>
  <si>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</si>
  <si>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</si>
  <si>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</si>
  <si>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</si>
  <si>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</si>
  <si>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</si>
  <si>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</si>
  <si>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</si>
  <si>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</si>
  <si>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</si>
  <si>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</si>
  <si>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</si>
  <si>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</si>
  <si>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</si>
  <si>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</si>
  <si>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</si>
  <si>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</si>
  <si>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</si>
  <si>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</si>
  <si>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</si>
  <si>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</si>
  <si>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</si>
  <si>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</si>
  <si>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</si>
  <si>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</si>
  <si>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</si>
  <si>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</si>
  <si>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</si>
  <si>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</si>
  <si>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</si>
  <si>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</si>
  <si>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</si>
  <si>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</si>
  <si>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信号</t>
  </si>
  <si>
    <t>控制</t>
  </si>
  <si>
    <t>面试</t>
  </si>
  <si>
    <t>上机</t>
  </si>
  <si>
    <t>视频</t>
  </si>
  <si>
    <t>视频#</t>
  </si>
  <si>
    <t>3-8</t>
  </si>
  <si>
    <t>农大准备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</si>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</sst>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4">
      <alignment vertical="center"/>
    </xf>
    <xf numFmtId="0" fontId="9" fillId="0" borderId="14">
      <alignment vertical="center"/>
    </xf>
    <xf numFmtId="0" fontId="10" fillId="0" borderId="15">
      <alignment vertical="center"/>
    </xf>
    <xf numFmtId="0" fontId="10" fillId="0" borderId="0">
      <alignment vertical="center"/>
    </xf>
    <xf numFmtId="0" fontId="11" fillId="4" borderId="16">
      <alignment vertical="center"/>
    </xf>
    <xf numFmtId="0" fontId="12" fillId="5" borderId="17">
      <alignment vertical="center"/>
    </xf>
    <xf numFmtId="0" fontId="13" fillId="5" borderId="16">
      <alignment vertical="center"/>
    </xf>
    <xf numFmtId="0" fontId="14" fillId="6" borderId="18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3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0"/>
  <sheetViews>
    <sheetView tabSelected="1" topLeftCell="A28" workbookViewId="0">
      <selection activeCell="I42" sqref="I42"/>
    </sheetView>
  </sheetViews>
  <sheetFormatPr defaultColWidth="15.7777777777778" defaultRowHeight="14.4"/>
  <cols>
    <col min="1" max="16384" width="15.7777777777778" style="1" customWidth="1"/>
  </cols>
  <sheetData>
    <row r="1" spans="1:3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</row>
    <row r="2" spans="1:3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29">
        <v>0.159785932721713</v>
      </c>
      <c r="Q2" s="29">
        <v>0.159785932721713</v>
      </c>
      <c r="R2" s="29">
        <v>0.159785932721713</v>
      </c>
      <c r="S2" s="29">
        <v>0.159785932721713</v>
      </c>
      <c r="T2" s="29">
        <v>0.159785932721713</v>
      </c>
      <c r="U2" s="29">
        <v>0.159785932721713</v>
      </c>
      <c r="V2" s="29">
        <v>0.0412844036697248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</v>
      </c>
      <c r="AE2" s="29">
        <v>0</v>
      </c>
      <c r="AF2" s="29">
        <v>0</v>
      </c>
      <c r="AG2" s="29">
        <v>0</v>
      </c>
      <c r="AH2" s="29">
        <v>0</v>
      </c>
    </row>
    <row r="3" spans="1:3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2.15978593272171</v>
      </c>
      <c r="Q3" s="29">
        <f>SUM($B2:Q2)</f>
        <v>2.31957186544343</v>
      </c>
      <c r="R3" s="29">
        <f>SUM($B2:R2)</f>
        <v>2.47935779816514</v>
      </c>
      <c r="S3" s="29">
        <f>SUM($B2:S2)</f>
        <v>2.63914373088685</v>
      </c>
      <c r="T3" s="29">
        <f>SUM($B2:T2)</f>
        <v>2.79892966360857</v>
      </c>
      <c r="U3" s="29">
        <f>SUM($B2:U2)</f>
        <v>2.95871559633028</v>
      </c>
      <c r="V3" s="29">
        <f>SUM($B2:V2)</f>
        <v>3</v>
      </c>
      <c r="W3" s="29">
        <f>SUM($B2:W2)</f>
        <v>3.15603183736095</v>
      </c>
      <c r="X3" s="29">
        <f>SUM($B2:X2)</f>
        <v>3.31206367472191</v>
      </c>
      <c r="Y3" s="29">
        <f>SUM($B2:Y2)</f>
        <v>3.46809551208286</v>
      </c>
      <c r="Z3" s="29">
        <f>SUM($B2:Z2)</f>
        <v>3.62412734944381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</v>
      </c>
      <c r="AE3" s="29">
        <f>SUM($B2:AE2)</f>
        <v>4</v>
      </c>
      <c r="AF3" s="29">
        <f>SUM($B2:AF2)</f>
        <v>4</v>
      </c>
      <c r="AG3" s="29">
        <f>SUM($B2:AG2)</f>
        <v>4</v>
      </c>
      <c r="AH3" s="29">
        <f>SUM($B2:AH2)</f>
        <v>4</v>
      </c>
    </row>
    <row r="4" spans="1:3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0.143985728848114</v>
      </c>
      <c r="Q4" s="29">
        <f>AVERAGE($B2:Q2)</f>
        <v>0.144973241590214</v>
      </c>
      <c r="R4" s="29">
        <f>AVERAGE($B2:R2)</f>
        <v>0.145844576362655</v>
      </c>
      <c r="S4" s="29">
        <f>AVERAGE($B2:S2)</f>
        <v>0.146619096160381</v>
      </c>
      <c r="T4" s="29">
        <f>AVERAGE($B2:T2)</f>
        <v>0.147312087558346</v>
      </c>
      <c r="U4" s="29">
        <f>AVERAGE($B2:U2)</f>
        <v>0.147935779816514</v>
      </c>
      <c r="V4" s="29">
        <f>AVERAGE($B2:V2)</f>
        <v>0.142857142857143</v>
      </c>
      <c r="W4" s="29">
        <f>AVERAGE($B2:W2)</f>
        <v>0.143455992607316</v>
      </c>
      <c r="X4" s="29">
        <f>AVERAGE($B2:X2)</f>
        <v>0.14400276846617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0.137931034482759</v>
      </c>
      <c r="AE4" s="29">
        <f>AVERAGE($B2:AE2)</f>
        <v>0.133333333333333</v>
      </c>
      <c r="AF4" s="29">
        <f>AVERAGE($B2:AF2)</f>
        <v>0.129032258064516</v>
      </c>
      <c r="AG4" s="29">
        <f>AVERAGE($B2:AG2)</f>
        <v>0.125</v>
      </c>
      <c r="AH4" s="29">
        <f>AVERAGE($B2:AH2)</f>
        <v>0.121212121212121</v>
      </c>
    </row>
    <row r="5" spans="1:34">
      <c r="A5" s="1" t="s">
        <v>4</v>
      </c>
      <c r="B5" s="29">
        <f>4/26</f>
        <v>0.153846153846154</v>
      </c>
      <c r="C5" s="29">
        <f t="shared" ref="C5:AH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</row>
    <row r="6" spans="1:34">
      <c r="A6" s="1" t="s">
        <v>5</v>
      </c>
      <c r="B6" s="29">
        <f t="shared" ref="B6:AH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-0.00593977887555899</v>
      </c>
      <c r="Q6" s="29">
        <f t="shared" si="1"/>
        <v>-0.00593977887555899</v>
      </c>
      <c r="R6" s="29">
        <f t="shared" si="1"/>
        <v>-0.00593977887555899</v>
      </c>
      <c r="S6" s="29">
        <f t="shared" si="1"/>
        <v>-0.00593977887555899</v>
      </c>
      <c r="T6" s="29">
        <f t="shared" si="1"/>
        <v>-0.00593977887555899</v>
      </c>
      <c r="U6" s="29">
        <f t="shared" si="1"/>
        <v>-0.00593977887555899</v>
      </c>
      <c r="V6" s="29">
        <f t="shared" si="1"/>
        <v>0.112561750176429</v>
      </c>
      <c r="W6" s="29">
        <f t="shared" si="1"/>
        <v>-0.002185683514797</v>
      </c>
      <c r="X6" s="29">
        <f t="shared" si="1"/>
        <v>-0.002185683514797</v>
      </c>
      <c r="Y6" s="29">
        <f t="shared" si="1"/>
        <v>-0.002185683514797</v>
      </c>
      <c r="Z6" s="29">
        <f t="shared" si="1"/>
        <v>-0.002185683514797</v>
      </c>
      <c r="AA6" s="29">
        <f t="shared" si="1"/>
        <v>-0.002185683514797</v>
      </c>
      <c r="AB6" s="29">
        <f t="shared" si="1"/>
        <v>-0.002185683514797</v>
      </c>
      <c r="AC6" s="29">
        <f t="shared" si="1"/>
        <v>0.0900371780118617</v>
      </c>
      <c r="AD6" s="29">
        <f t="shared" si="1"/>
        <v>0.153846153846154</v>
      </c>
      <c r="AE6" s="29">
        <f t="shared" si="1"/>
        <v>0.153846153846154</v>
      </c>
      <c r="AF6" s="29">
        <f t="shared" si="1"/>
        <v>0.153846153846154</v>
      </c>
      <c r="AG6" s="29">
        <f t="shared" si="1"/>
        <v>0.153846153846154</v>
      </c>
      <c r="AH6" s="29">
        <f t="shared" si="1"/>
        <v>0.153846153846154</v>
      </c>
    </row>
    <row r="8" spans="1:34">
      <c r="A8" s="1" t="s">
        <v>6</v>
      </c>
    </row>
    <row r="9" spans="1:3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3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3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34">
      <c r="A13" s="1" t="s">
        <v>18</v>
      </c>
    </row>
    <row r="14" spans="1:3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3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1">
        <f t="shared" ref="I15:I20" si="5">MIN($J$14*D15,J15)</f>
        <v>257</v>
      </c>
      <c r="J15" s="1">
        <v>257</v>
      </c>
    </row>
    <row r="16" spans="1:3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1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1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1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1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1">
        <f t="shared" si="5"/>
        <v>278</v>
      </c>
      <c r="J20" s="1">
        <v>278</v>
      </c>
    </row>
    <row r="21" spans="1:10">
      <c r="C21" s="29"/>
      <c r="E21" s="29"/>
      <c r="F21" s="29"/>
    </row>
    <row r="22" spans="1:10">
      <c r="A22" s="1" t="s">
        <v>25</v>
      </c>
      <c r="C22" s="29"/>
      <c r="E22" s="29"/>
      <c r="F22" s="29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1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1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1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1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1">
        <f t="shared" si="10"/>
        <v>464</v>
      </c>
      <c r="J28" s="1">
        <v>464</v>
      </c>
    </row>
    <row r="29" spans="1:10">
      <c r="C29" s="29"/>
      <c r="E29" s="29"/>
      <c r="F29" s="29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1">
        <f t="shared" ref="I32:I35" si="16">MIN($J$31*D32,J32)</f>
        <v>132</v>
      </c>
      <c r="J32" s="1">
        <v>132</v>
      </c>
    </row>
    <row r="33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1">
        <f t="shared" si="16"/>
        <v>30</v>
      </c>
      <c r="J33" s="1">
        <v>30</v>
      </c>
    </row>
    <row r="34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1">
        <f t="shared" si="16"/>
        <v>395</v>
      </c>
      <c r="J34" s="1">
        <v>395</v>
      </c>
    </row>
    <row r="35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1">
        <f t="shared" si="16"/>
        <v>66</v>
      </c>
      <c r="J35" s="1">
        <v>66</v>
      </c>
    </row>
    <row r="37" spans="1:10">
      <c r="A37" s="1" t="s">
        <v>36</v>
      </c>
      <c r="C37" s="29"/>
      <c r="E37" s="29"/>
      <c r="F37" s="29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29">
        <f t="shared" ref="C39:C41" si="17"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1">
        <f t="shared" ref="I39:I41" si="18">MIN($J$38*D39,J39)</f>
        <v>15</v>
      </c>
      <c r="J39" s="1">
        <v>23</v>
      </c>
    </row>
    <row r="40" spans="1:10">
      <c r="A40" s="1" t="s">
        <v>38</v>
      </c>
      <c r="B40" s="1">
        <f>26+83</f>
        <v>109</v>
      </c>
      <c r="C40" s="29">
        <f t="shared" si="17"/>
        <v>0.153846153846154</v>
      </c>
      <c r="D40" s="1">
        <f>ROUND(B40*C40,0)</f>
        <v>17</v>
      </c>
      <c r="E40" s="29">
        <f>AVERAGE(F$39:F40)</f>
        <v>0.152981651376147</v>
      </c>
      <c r="F40" s="29">
        <f>G40/B40</f>
        <v>0.155963302752294</v>
      </c>
      <c r="G40" s="1">
        <f>I40-H40</f>
        <v>17</v>
      </c>
      <c r="I40" s="31">
        <f t="shared" si="18"/>
        <v>17</v>
      </c>
      <c r="J40" s="1">
        <v>26</v>
      </c>
    </row>
    <row r="41" spans="1:10">
      <c r="A41" s="1" t="s">
        <v>39</v>
      </c>
      <c r="B41" s="1">
        <v>148</v>
      </c>
      <c r="C41" s="29">
        <f t="shared" si="17"/>
        <v>0.153846153846154</v>
      </c>
      <c r="D41" s="1">
        <f>ROUND(B41*C41,0)</f>
        <v>23</v>
      </c>
      <c r="E41" s="29">
        <f>AVERAGE(F$39:F41)</f>
        <v>0.101987767584098</v>
      </c>
      <c r="F41" s="29">
        <f>G41/B41</f>
        <v>0</v>
      </c>
      <c r="G41" s="1">
        <f>I41-H41</f>
        <v>0</v>
      </c>
      <c r="I41" s="32">
        <f t="shared" si="18"/>
        <v>0</v>
      </c>
      <c r="J41" s="1">
        <v>0</v>
      </c>
    </row>
    <row r="43" spans="1:10">
      <c r="A43" s="1" t="s">
        <v>40</v>
      </c>
      <c r="C43" s="29"/>
      <c r="E43" s="29"/>
      <c r="F43" s="29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41</v>
      </c>
      <c r="B45" s="1">
        <f>212+52+63</f>
        <v>327</v>
      </c>
      <c r="C45" s="29">
        <f>4/26</f>
        <v>0.153846153846154</v>
      </c>
      <c r="D45" s="1">
        <f>ROUND(B45*C45,0)</f>
        <v>50</v>
      </c>
      <c r="E45" s="29">
        <f>AVERAGE(F$45:F45)</f>
        <v>0.0825688073394495</v>
      </c>
      <c r="F45" s="29">
        <f>G45/B45</f>
        <v>0.0825688073394495</v>
      </c>
      <c r="G45" s="1">
        <f>I45-H45</f>
        <v>27</v>
      </c>
      <c r="H45" s="1">
        <v>300</v>
      </c>
      <c r="I45" s="31">
        <f>MIN($J$44*D45,J45)</f>
        <v>327</v>
      </c>
      <c r="J45" s="1">
        <v>327</v>
      </c>
    </row>
    <row r="46" spans="1:10">
      <c r="A46" s="1" t="s">
        <v>42</v>
      </c>
      <c r="B46" s="1">
        <f>16+14</f>
        <v>30</v>
      </c>
      <c r="C46" s="29">
        <f>C45</f>
        <v>0.153846153846154</v>
      </c>
      <c r="D46" s="1">
        <f>ROUND(B46*C46,0)</f>
        <v>5</v>
      </c>
      <c r="E46" s="29">
        <f>AVERAGE(F$45:F46)</f>
        <v>0.0412844036697248</v>
      </c>
      <c r="F46" s="29">
        <f>G46/B46</f>
        <v>0</v>
      </c>
      <c r="G46" s="1">
        <f>I46-H46</f>
        <v>0</v>
      </c>
      <c r="H46" s="1">
        <v>30</v>
      </c>
      <c r="I46" s="31">
        <f>MIN($J$44*D46,J46)</f>
        <v>30</v>
      </c>
      <c r="J46" s="1">
        <v>30</v>
      </c>
    </row>
    <row r="48" spans="1:10">
      <c r="A48" s="1" t="s">
        <v>40</v>
      </c>
      <c r="C48" s="29"/>
      <c r="E48" s="29"/>
      <c r="F48" s="29"/>
    </row>
    <row r="49" spans="1:10">
      <c r="A49" s="1" t="s">
        <v>7</v>
      </c>
      <c r="B49" s="1" t="s">
        <v>8</v>
      </c>
      <c r="C49" s="1" t="s">
        <v>9</v>
      </c>
      <c r="D49" s="1" t="s">
        <v>10</v>
      </c>
      <c r="E49" s="1" t="s">
        <v>11</v>
      </c>
      <c r="F49" s="1" t="s">
        <v>12</v>
      </c>
      <c r="G49" s="1" t="s">
        <v>13</v>
      </c>
      <c r="H49" s="1" t="s">
        <v>14</v>
      </c>
      <c r="I49" s="1" t="s">
        <v>15</v>
      </c>
      <c r="J49" s="1">
        <v>1</v>
      </c>
    </row>
    <row r="50" spans="1:10">
      <c r="A50" s="1" t="s">
        <v>43</v>
      </c>
      <c r="B50" s="1">
        <v>523</v>
      </c>
      <c r="C50" s="29">
        <f>4/26</f>
        <v>0.153846153846154</v>
      </c>
      <c r="D50" s="1">
        <f>ROUND(B50*C50,0)</f>
        <v>80</v>
      </c>
      <c r="E50" s="29">
        <f>AVERAGE(F$50:F50)</f>
        <v>0.0611854684512428</v>
      </c>
      <c r="F50" s="29">
        <f>G50/B50</f>
        <v>0.0611854684512428</v>
      </c>
      <c r="G50" s="1">
        <f>I50-H50</f>
        <v>32</v>
      </c>
      <c r="I50" s="32">
        <f>MIN($J$49*D50,J50)</f>
        <v>32</v>
      </c>
      <c r="J50" s="1">
        <v>32</v>
      </c>
    </row>
  </sheetData>
  <pageMargins left="0.7" right="0.7" top="0.75" bottom="0.75" header="0.3" footer="0.3"/>
  <pageSetup paperSize="9" orientation="portrait"/>
  <headerFooter/>
  <ignoredErrors>
    <ignoredError sqref="A36:AH39 A40 C40:AH40 A41:AH50 I32:I35 A32:G35 K31:AH35 A31:I31 A3:AH30 A2:AA2 A1:AH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zoomScale="130" zoomScaleNormal="130" topLeftCell="A9" workbookViewId="0">
      <selection activeCell="B15" sqref="B15:B18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44</v>
      </c>
      <c r="D1" s="1" t="s">
        <v>45</v>
      </c>
      <c r="E1" s="1" t="s">
        <v>46</v>
      </c>
    </row>
    <row r="2" spans="1:5">
      <c r="A2" s="1" t="s">
        <v>19</v>
      </c>
      <c r="B2" s="1">
        <v>202</v>
      </c>
      <c r="D2" s="1" t="s">
        <v>47</v>
      </c>
      <c r="E2" s="26" t="s">
        <v>48</v>
      </c>
    </row>
    <row r="3" spans="1:5">
      <c r="A3" s="1" t="s">
        <v>20</v>
      </c>
      <c r="B3" s="1">
        <v>390</v>
      </c>
      <c r="D3" s="1" t="s">
        <v>49</v>
      </c>
      <c r="E3" s="26" t="s">
        <v>50</v>
      </c>
    </row>
    <row r="4" spans="1:5">
      <c r="A4" s="1" t="s">
        <v>21</v>
      </c>
      <c r="B4" s="1">
        <v>484</v>
      </c>
      <c r="D4" s="1" t="s">
        <v>51</v>
      </c>
      <c r="E4" s="26" t="s">
        <v>52</v>
      </c>
    </row>
    <row r="5" spans="1:5">
      <c r="A5" s="1" t="s">
        <v>22</v>
      </c>
      <c r="B5" s="1">
        <v>240</v>
      </c>
      <c r="D5" s="1" t="s">
        <v>53</v>
      </c>
      <c r="E5" s="26" t="s">
        <v>54</v>
      </c>
    </row>
    <row r="6" spans="1:5">
      <c r="A6" s="1" t="s">
        <v>23</v>
      </c>
      <c r="B6" s="1">
        <v>271</v>
      </c>
      <c r="D6" s="1" t="s">
        <v>55</v>
      </c>
      <c r="E6" s="26" t="s">
        <v>56</v>
      </c>
    </row>
    <row r="7" spans="1:5">
      <c r="A7" s="1" t="s">
        <v>24</v>
      </c>
      <c r="B7" s="1">
        <v>278</v>
      </c>
      <c r="D7" s="1" t="s">
        <v>57</v>
      </c>
      <c r="E7" s="26" t="s">
        <v>58</v>
      </c>
    </row>
    <row r="8" spans="1:5">
      <c r="D8" s="1" t="s">
        <v>59</v>
      </c>
      <c r="E8" s="26" t="s">
        <v>60</v>
      </c>
    </row>
    <row r="9" spans="1:5">
      <c r="A9" s="1" t="s">
        <v>26</v>
      </c>
      <c r="B9" s="1">
        <v>440</v>
      </c>
      <c r="D9" s="1" t="s">
        <v>61</v>
      </c>
      <c r="E9" s="26" t="s">
        <v>62</v>
      </c>
    </row>
    <row r="10" spans="1:5">
      <c r="A10" s="1" t="s">
        <v>27</v>
      </c>
      <c r="B10" s="1">
        <v>378</v>
      </c>
      <c r="D10" s="1" t="s">
        <v>63</v>
      </c>
      <c r="E10" s="26" t="s">
        <v>64</v>
      </c>
    </row>
    <row r="11" spans="1:5">
      <c r="A11" s="1" t="s">
        <v>28</v>
      </c>
      <c r="B11" s="1">
        <v>209</v>
      </c>
      <c r="D11" s="1" t="s">
        <v>65</v>
      </c>
      <c r="E11" s="26" t="s">
        <v>66</v>
      </c>
    </row>
    <row r="12" spans="1:5">
      <c r="A12" s="1" t="s">
        <v>29</v>
      </c>
      <c r="B12" s="1">
        <v>62</v>
      </c>
      <c r="D12" s="1" t="s">
        <v>67</v>
      </c>
      <c r="E12" s="26" t="s">
        <v>68</v>
      </c>
    </row>
    <row r="13" spans="1:5">
      <c r="A13" s="1" t="s">
        <v>30</v>
      </c>
      <c r="B13" s="1">
        <v>464</v>
      </c>
      <c r="D13" s="1" t="s">
        <v>69</v>
      </c>
      <c r="E13" s="26" t="s">
        <v>70</v>
      </c>
    </row>
    <row r="14" spans="1:5">
      <c r="D14" s="1" t="s">
        <v>71</v>
      </c>
      <c r="E14" s="26" t="s">
        <v>72</v>
      </c>
    </row>
    <row r="15" spans="1:5">
      <c r="A15" s="1" t="s">
        <v>32</v>
      </c>
      <c r="B15" s="1">
        <v>132</v>
      </c>
      <c r="D15" s="1" t="s">
        <v>73</v>
      </c>
      <c r="E15" s="26" t="s">
        <v>74</v>
      </c>
    </row>
    <row r="16" spans="1:5">
      <c r="A16" s="1" t="s">
        <v>33</v>
      </c>
      <c r="B16" s="1">
        <v>30</v>
      </c>
      <c r="D16" s="1" t="s">
        <v>75</v>
      </c>
      <c r="E16" s="26"/>
    </row>
    <row r="17" spans="1:6">
      <c r="A17" s="1" t="s">
        <v>34</v>
      </c>
      <c r="B17" s="1">
        <v>395</v>
      </c>
      <c r="D17" s="1" t="s">
        <v>76</v>
      </c>
    </row>
    <row r="18" spans="1:6">
      <c r="A18" s="1" t="s">
        <v>77</v>
      </c>
      <c r="B18" s="1">
        <v>66</v>
      </c>
    </row>
    <row r="20" spans="1:6">
      <c r="A20" s="1" t="s">
        <v>37</v>
      </c>
      <c r="B20" s="1">
        <v>23</v>
      </c>
      <c r="C20" s="1" t="s">
        <v>78</v>
      </c>
      <c r="D20" s="1" t="s">
        <v>79</v>
      </c>
    </row>
    <row r="21" spans="1:6">
      <c r="A21" s="1" t="s">
        <v>38</v>
      </c>
      <c r="B21" s="1">
        <f>C21+D21</f>
        <v>26</v>
      </c>
      <c r="C21" s="1">
        <v>10</v>
      </c>
      <c r="D21" s="1">
        <v>16</v>
      </c>
    </row>
    <row r="22" spans="1:6">
      <c r="A22" s="1" t="s">
        <v>39</v>
      </c>
      <c r="B22" s="1">
        <v>0</v>
      </c>
    </row>
    <row r="23" spans="1:6">
      <c r="C23" s="1" t="s">
        <v>80</v>
      </c>
      <c r="D23" s="1" t="s">
        <v>81</v>
      </c>
      <c r="E23" s="1" t="s">
        <v>82</v>
      </c>
      <c r="F23" s="1" t="s">
        <v>83</v>
      </c>
    </row>
    <row r="24" spans="1:6">
      <c r="A24" s="1" t="s">
        <v>41</v>
      </c>
      <c r="B24" s="1">
        <f>SUM(C24:E24)</f>
        <v>327</v>
      </c>
      <c r="C24" s="1">
        <v>212</v>
      </c>
      <c r="D24" s="1">
        <v>52</v>
      </c>
      <c r="E24" s="1">
        <v>63</v>
      </c>
      <c r="F24" s="27" t="s">
        <v>84</v>
      </c>
    </row>
    <row r="25" spans="1:6">
      <c r="A25" s="1" t="s">
        <v>85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45</v>
      </c>
      <c r="D26" s="1" t="s">
        <v>46</v>
      </c>
    </row>
    <row r="27" spans="1:6">
      <c r="A27" s="1" t="s">
        <v>43</v>
      </c>
      <c r="B27" s="1">
        <v>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86</v>
      </c>
      <c r="B1" s="3" t="s">
        <v>87</v>
      </c>
      <c r="C1" s="4" t="s">
        <v>88</v>
      </c>
      <c r="D1" s="5" t="s">
        <v>89</v>
      </c>
    </row>
    <row r="2" ht="15.15" spans="1:4">
      <c r="A2" s="6" t="s">
        <v>90</v>
      </c>
      <c r="B2" s="4" t="s">
        <v>90</v>
      </c>
      <c r="C2" s="4" t="s">
        <v>90</v>
      </c>
      <c r="D2" s="5" t="s">
        <v>90</v>
      </c>
    </row>
    <row r="3" ht="15.15" spans="1:4">
      <c r="A3" s="5" t="s">
        <v>91</v>
      </c>
      <c r="B3" s="7" t="s">
        <v>92</v>
      </c>
      <c r="C3" s="3" t="s">
        <v>93</v>
      </c>
      <c r="D3" s="2" t="s">
        <v>94</v>
      </c>
    </row>
    <row r="4" ht="15.15" spans="1:4">
      <c r="A4" s="8"/>
      <c r="B4" s="9" t="s">
        <v>95</v>
      </c>
      <c r="C4" s="10" t="s">
        <v>96</v>
      </c>
      <c r="D4" s="11" t="s">
        <v>97</v>
      </c>
    </row>
    <row r="5" ht="15.15" spans="1:4">
      <c r="A5" s="2" t="s">
        <v>98</v>
      </c>
      <c r="B5" s="12" t="s">
        <v>99</v>
      </c>
      <c r="C5" s="13" t="s">
        <v>100</v>
      </c>
      <c r="D5" s="12" t="s">
        <v>101</v>
      </c>
    </row>
    <row r="6" ht="15.15" spans="1:4">
      <c r="A6" s="8" t="s">
        <v>102</v>
      </c>
      <c r="B6" s="14" t="s">
        <v>103</v>
      </c>
      <c r="C6" s="15" t="s">
        <v>104</v>
      </c>
      <c r="D6" s="14" t="s">
        <v>105</v>
      </c>
    </row>
    <row r="7" ht="15.15" spans="1:4">
      <c r="A7" s="16" t="s">
        <v>106</v>
      </c>
      <c r="B7" s="17"/>
      <c r="C7" s="17"/>
      <c r="D7" s="18"/>
    </row>
    <row r="8" ht="15.15" spans="1:4">
      <c r="A8" s="2" t="s">
        <v>86</v>
      </c>
      <c r="B8" s="19" t="s">
        <v>107</v>
      </c>
      <c r="C8" s="16" t="s">
        <v>108</v>
      </c>
      <c r="D8" s="19" t="s">
        <v>109</v>
      </c>
    </row>
    <row r="9" ht="15.15" spans="1:4">
      <c r="A9" s="20" t="s">
        <v>90</v>
      </c>
      <c r="B9" s="20" t="s">
        <v>90</v>
      </c>
      <c r="C9" s="3" t="s">
        <v>90</v>
      </c>
      <c r="D9" s="2" t="s">
        <v>90</v>
      </c>
    </row>
    <row r="10" spans="1:4">
      <c r="A10" s="5" t="s">
        <v>91</v>
      </c>
      <c r="B10" s="21" t="s">
        <v>93</v>
      </c>
      <c r="C10" s="4" t="s">
        <v>91</v>
      </c>
      <c r="D10" s="5" t="s">
        <v>91</v>
      </c>
    </row>
    <row r="11" ht="15.15" spans="1:4">
      <c r="A11" s="8"/>
      <c r="B11" s="22"/>
      <c r="C11" s="23"/>
      <c r="D11" s="8"/>
    </row>
    <row r="12" ht="15.15" spans="1:4">
      <c r="A12" s="2" t="s">
        <v>98</v>
      </c>
      <c r="B12" s="24" t="s">
        <v>110</v>
      </c>
      <c r="C12" s="3" t="s">
        <v>98</v>
      </c>
      <c r="D12" s="2" t="s">
        <v>98</v>
      </c>
    </row>
    <row r="13" ht="15.15" spans="1:4">
      <c r="A13" s="8" t="s">
        <v>102</v>
      </c>
      <c r="B13" s="25" t="s">
        <v>111</v>
      </c>
      <c r="C13" s="13" t="s">
        <v>112</v>
      </c>
      <c r="D13" s="12" t="s">
        <v>113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16413</cp:lastModifiedBy>
  <dcterms:created xsi:type="dcterms:W3CDTF">2023-05-12T11:15:00Z</dcterms:created>
  <dcterms:modified xsi:type="dcterms:W3CDTF">2026-04-06T14:38:33Z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