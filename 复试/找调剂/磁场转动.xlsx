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进度" sheetId="1" r:id="rId1"/>
    <sheet name="书签" sheetId="2" r:id="rId2"/>
    <sheet name="虚拟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<sst xmlns="http://schemas.openxmlformats.org/spreadsheetml/2006/main" count="224" uniqueCount="121">
  <si>
    <t>日期</t>
  </si>
  <si>
    <t>日进度</t>
  </si>
  <si>
    <t>总进度</t>
  </si>
  <si>
    <t>日均进度</t>
  </si>
  <si>
    <t>目标日均</t>
  </si>
  <si>
    <t>剩余进度</t>
  </si>
  <si>
    <t>模板</t>
  </si>
  <si>
    <t>任务名称</t>
  </si>
  <si>
    <t>任务总量</t>
  </si>
  <si>
    <t>计划日进度</t>
  </si>
  <si>
    <t>计划日完成</t>
  </si>
  <si>
    <t>任务平均日进度</t>
  </si>
  <si>
    <t>今日进度</t>
  </si>
  <si>
    <t>今日完成量</t>
  </si>
  <si>
    <t>先前总量</t>
  </si>
  <si>
    <t>更新总量</t>
  </si>
  <si>
    <t>任务1</t>
  </si>
  <si>
    <t>任务2</t>
  </si>
  <si>
    <t>算法收尾</t>
  </si>
  <si>
    <t>智力游戏</t>
  </si>
  <si>
    <t>计算之魂</t>
  </si>
  <si>
    <t>面向对象</t>
  </si>
  <si>
    <t>软件可靠</t>
  </si>
  <si>
    <t>形式方法</t>
  </si>
  <si>
    <t>契约设计</t>
  </si>
  <si>
    <t>计算组成</t>
  </si>
  <si>
    <t>计算历史</t>
  </si>
  <si>
    <t>汇编学习</t>
  </si>
  <si>
    <t>逆向工程</t>
  </si>
  <si>
    <t>实时调度</t>
  </si>
  <si>
    <t>安卓移植</t>
  </si>
  <si>
    <t>操作系统</t>
  </si>
  <si>
    <t>安卓框架</t>
  </si>
  <si>
    <t>系统建模</t>
  </si>
  <si>
    <t>可靠系统</t>
  </si>
  <si>
    <t>系统理论</t>
  </si>
  <si>
    <t>网络安全</t>
  </si>
  <si>
    <t>华为认证</t>
  </si>
  <si>
    <t>通信原理</t>
  </si>
  <si>
    <t>复试针对</t>
  </si>
  <si>
    <t>农大辅导</t>
  </si>
  <si>
    <t>库的实现</t>
  </si>
  <si>
    <t>数据系统</t>
  </si>
  <si>
    <t>控制信号</t>
  </si>
  <si>
    <t>青岛科技</t>
  </si>
  <si>
    <t>矩阵理论</t>
  </si>
  <si>
    <t>人工智能</t>
  </si>
  <si>
    <t>算法设计</t>
  </si>
  <si>
    <t>高级密码</t>
  </si>
  <si>
    <t>数据科学</t>
  </si>
  <si>
    <t>边缘智能</t>
  </si>
  <si>
    <t>软件系统</t>
  </si>
  <si>
    <t>页码</t>
  </si>
  <si>
    <t>简历</t>
  </si>
  <si>
    <t>导师</t>
  </si>
  <si>
    <t>LMS</t>
  </si>
  <si>
    <t>A review of visual perception technology for intelligent fruit harvesting robots</t>
  </si>
  <si>
    <t>CDCGAN</t>
  </si>
  <si>
    <t>AI-empowered Channel Estimation for Block-based Active IRS-enhanced Hybrid-field IoT Network</t>
  </si>
  <si>
    <t>LabVIEW</t>
  </si>
  <si>
    <t>GLN-LRF global learning network based on large receptive fields for hyperspectral image classification</t>
  </si>
  <si>
    <t>LCD Panel</t>
  </si>
  <si>
    <t>GPI-Net Gestalt-Guided Parallel Interaction Network via Orthogonal Geometric Consistency for Robust Point Cloud Registration</t>
  </si>
  <si>
    <t>OpenCog</t>
  </si>
  <si>
    <t>Multiple attribute group decision making based on nucleolus weight and continuous optimal distance measure</t>
  </si>
  <si>
    <t>OpenNARS</t>
  </si>
  <si>
    <t>Semantic Communication for Efficient Point Cloud Transmission</t>
  </si>
  <si>
    <t>YOLO</t>
  </si>
  <si>
    <t>Discrete comprehensive learning particle swarm optimization algorithm with Metropolis acceptance criterion for traveling salesman problem</t>
  </si>
  <si>
    <t>FaceNet</t>
  </si>
  <si>
    <t>Discrete pigeon-inspired optimization algorithm with Metropolis acceptance criterion for large-scale traveling salesman problem</t>
  </si>
  <si>
    <t>BCI</t>
  </si>
  <si>
    <t>List-based Simulated Annealing Algorithm with Hybrid Greedy Repair and Optimization Operator for 0-1 Knapsack Problem</t>
  </si>
  <si>
    <t>MedImg</t>
  </si>
  <si>
    <t>Noising methods with hybrid greedy repair operator for 0–1 knapsack problem</t>
  </si>
  <si>
    <t>BioInfo</t>
  </si>
  <si>
    <t>A Dual-Population Hybrid Evolutionary Algorithm for Solving the Colored Traveling Salesman Problem</t>
  </si>
  <si>
    <t>SigInt</t>
  </si>
  <si>
    <t>An Adaptive Multi-meme Memetic Algorithm for the Prize-Collecting Generalized Minimum Spanning Tree Problem</t>
  </si>
  <si>
    <t>IC Layout</t>
  </si>
  <si>
    <t>Enhanced List-Based Simulated Annealing Algorithm for Large-Scale Traveling Salesman Problem</t>
  </si>
  <si>
    <t>SoftTST</t>
  </si>
  <si>
    <t>Low-latency Virtual Network function Scheduling Algorithm Based on Deep Reinforcement Learning</t>
  </si>
  <si>
    <t>Godot2D</t>
  </si>
  <si>
    <t>OpenGL</t>
  </si>
  <si>
    <t>三论概述</t>
  </si>
  <si>
    <t>面试</t>
  </si>
  <si>
    <t>上机</t>
  </si>
  <si>
    <t>视频</t>
  </si>
  <si>
    <t>视频#</t>
  </si>
  <si>
    <t>3-8</t>
  </si>
  <si>
    <t>信号</t>
  </si>
  <si>
    <t>控制</t>
  </si>
  <si>
    <t>正常电脑</t>
  </si>
  <si>
    <t>KVM</t>
  </si>
  <si>
    <t>Docker</t>
  </si>
  <si>
    <t>WSL1</t>
  </si>
  <si>
    <t>硬件</t>
  </si>
  <si>
    <t>系统内核</t>
  </si>
  <si>
    <t>宿主机 Linux 内核</t>
  </si>
  <si>
    <t>Linux 内核</t>
  </si>
  <si>
    <t>NT内核</t>
  </si>
  <si>
    <t>客户机内核</t>
  </si>
  <si>
    <t>容器对应命名空间</t>
  </si>
  <si>
    <t>syscall 翻译驱动</t>
  </si>
  <si>
    <t>API库</t>
  </si>
  <si>
    <t>客户机 API 库</t>
  </si>
  <si>
    <t>容器内 API 库</t>
  </si>
  <si>
    <t>Linux API 库（如 libc）</t>
  </si>
  <si>
    <t>用户程序</t>
  </si>
  <si>
    <t>客户机用户程序</t>
  </si>
  <si>
    <t>容器内用户程序</t>
  </si>
  <si>
    <t>Linux 程序</t>
  </si>
  <si>
    <t>染成黄色的是虚拟器/容器</t>
  </si>
  <si>
    <t>Wine</t>
  </si>
  <si>
    <t>QEMU</t>
  </si>
  <si>
    <t>VirtualBox</t>
  </si>
  <si>
    <t>Wine 特制 Win32 API 库</t>
  </si>
  <si>
    <t>Win32 程序</t>
  </si>
  <si>
    <t>用户程序（虚拟硬件）</t>
  </si>
  <si>
    <t>用户程序（虚拟内核）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</si>
</sst>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4">
      <alignment vertical="center"/>
    </xf>
    <xf numFmtId="0" fontId="10" fillId="0" borderId="14">
      <alignment vertical="center"/>
    </xf>
    <xf numFmtId="0" fontId="11" fillId="0" borderId="15">
      <alignment vertical="center"/>
    </xf>
    <xf numFmtId="0" fontId="11" fillId="0" borderId="0">
      <alignment vertical="center"/>
    </xf>
    <xf numFmtId="0" fontId="12" fillId="4" borderId="16">
      <alignment vertical="center"/>
    </xf>
    <xf numFmtId="0" fontId="13" fillId="5" borderId="17">
      <alignment vertical="center"/>
    </xf>
    <xf numFmtId="0" fontId="14" fillId="5" borderId="16">
      <alignment vertical="center"/>
    </xf>
    <xf numFmtId="0" fontId="15" fillId="6" borderId="18">
      <alignment vertical="center"/>
    </xf>
    <xf numFmtId="0" fontId="16" fillId="0" borderId="19">
      <alignment vertical="center"/>
    </xf>
    <xf numFmtId="0" fontId="17" fillId="0" borderId="2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3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60"/>
  <sheetViews>
    <sheetView tabSelected="1" workbookViewId="0">
      <selection activeCell="L46" sqref="L46"/>
    </sheetView>
  </sheetViews>
  <sheetFormatPr defaultColWidth="15.7777777777778" defaultRowHeight="14.4"/>
  <cols>
    <col min="1" max="16384" width="15.7777777777778" style="1" customWidth="1"/>
  </cols>
  <sheetData>
    <row r="1" spans="1:44">
      <c r="A1" s="1" t="s">
        <v>0</v>
      </c>
      <c r="B1" s="28">
        <v>46081</v>
      </c>
      <c r="C1" s="28">
        <v>46082</v>
      </c>
      <c r="D1" s="28">
        <v>46083</v>
      </c>
      <c r="E1" s="28">
        <v>46084</v>
      </c>
      <c r="F1" s="28">
        <v>46085</v>
      </c>
      <c r="G1" s="28">
        <v>46086</v>
      </c>
      <c r="H1" s="28">
        <v>46087</v>
      </c>
      <c r="I1" s="28">
        <v>46088</v>
      </c>
      <c r="J1" s="28">
        <v>46089</v>
      </c>
      <c r="K1" s="28">
        <v>46090</v>
      </c>
      <c r="L1" s="28">
        <v>46091</v>
      </c>
      <c r="M1" s="28">
        <v>46092</v>
      </c>
      <c r="N1" s="28">
        <v>46093</v>
      </c>
      <c r="O1" s="28">
        <v>46094</v>
      </c>
      <c r="P1" s="28">
        <v>46095</v>
      </c>
      <c r="Q1" s="28">
        <v>46096</v>
      </c>
      <c r="R1" s="28">
        <v>46097</v>
      </c>
      <c r="S1" s="28">
        <v>46098</v>
      </c>
      <c r="T1" s="28">
        <v>46099</v>
      </c>
      <c r="U1" s="28">
        <v>46100</v>
      </c>
      <c r="V1" s="28">
        <v>46101</v>
      </c>
      <c r="W1" s="28">
        <v>46102</v>
      </c>
      <c r="X1" s="28">
        <v>46103</v>
      </c>
      <c r="Y1" s="28">
        <v>46104</v>
      </c>
      <c r="Z1" s="28">
        <v>46105</v>
      </c>
      <c r="AA1" s="28">
        <v>46106</v>
      </c>
      <c r="AB1" s="28">
        <v>46107</v>
      </c>
      <c r="AC1" s="28">
        <v>46108</v>
      </c>
      <c r="AD1" s="28">
        <v>46109</v>
      </c>
      <c r="AE1" s="28">
        <v>46110</v>
      </c>
      <c r="AF1" s="28">
        <v>46111</v>
      </c>
      <c r="AG1" s="28">
        <v>46112</v>
      </c>
      <c r="AH1" s="28">
        <v>46113</v>
      </c>
      <c r="AI1" s="28">
        <v>46114</v>
      </c>
      <c r="AJ1" s="28">
        <v>46115</v>
      </c>
      <c r="AK1" s="28">
        <v>46116</v>
      </c>
      <c r="AL1" s="28">
        <v>46117</v>
      </c>
      <c r="AM1" s="28">
        <v>46118</v>
      </c>
      <c r="AN1" s="28">
        <v>46119</v>
      </c>
      <c r="AO1" s="28">
        <v>46120</v>
      </c>
      <c r="AP1" s="28">
        <v>46121</v>
      </c>
      <c r="AQ1" s="28">
        <v>46122</v>
      </c>
      <c r="AR1" s="28">
        <v>46123</v>
      </c>
    </row>
    <row r="2" spans="1:44">
      <c r="A2" s="1" t="s">
        <v>1</v>
      </c>
      <c r="B2" s="29">
        <v>0.15436753577515</v>
      </c>
      <c r="C2" s="29">
        <v>0.15436753577515</v>
      </c>
      <c r="D2" s="29">
        <v>0.15436753577515</v>
      </c>
      <c r="E2" s="29">
        <v>0.15436753577515</v>
      </c>
      <c r="F2" s="29">
        <v>0.15436753577515</v>
      </c>
      <c r="G2" s="30">
        <v>0.15436753577515</v>
      </c>
      <c r="H2" s="29">
        <v>0.073794785349101</v>
      </c>
      <c r="I2" s="30">
        <v>0.155080443958291</v>
      </c>
      <c r="J2" s="30">
        <v>0.155080443958291</v>
      </c>
      <c r="K2" s="29">
        <v>0.155080443958291</v>
      </c>
      <c r="L2" s="29">
        <v>0.155080443958291</v>
      </c>
      <c r="M2" s="29">
        <v>0.155080443958291</v>
      </c>
      <c r="N2" s="29">
        <v>0.155080443958291</v>
      </c>
      <c r="O2" s="29">
        <v>0.0695173362502559</v>
      </c>
      <c r="P2" s="30">
        <v>0.15406162464986</v>
      </c>
      <c r="Q2" s="29">
        <v>0.15406162464986</v>
      </c>
      <c r="R2" s="29">
        <v>0.15406162464986</v>
      </c>
      <c r="S2" s="29">
        <v>0.15406162464986</v>
      </c>
      <c r="T2" s="29">
        <v>0.15406162464986</v>
      </c>
      <c r="U2" s="29">
        <v>0.15406162464986</v>
      </c>
      <c r="V2" s="29">
        <v>0.0756302521008403</v>
      </c>
      <c r="W2" s="29">
        <v>0.156031837360951</v>
      </c>
      <c r="X2" s="29">
        <v>0.156031837360951</v>
      </c>
      <c r="Y2" s="29">
        <v>0.156031837360951</v>
      </c>
      <c r="Z2" s="29">
        <v>0.156031837360951</v>
      </c>
      <c r="AA2" s="29">
        <v>0.156031837360951</v>
      </c>
      <c r="AB2" s="29">
        <v>0.156031837360951</v>
      </c>
      <c r="AC2" s="29">
        <v>0.0638089758342923</v>
      </c>
      <c r="AD2" s="29">
        <v>0.154434951354911</v>
      </c>
      <c r="AE2" s="29">
        <v>0</v>
      </c>
      <c r="AF2" s="29">
        <v>0</v>
      </c>
      <c r="AG2" s="29">
        <v>0</v>
      </c>
      <c r="AH2" s="29">
        <v>0</v>
      </c>
      <c r="AI2" s="29">
        <v>0</v>
      </c>
      <c r="AJ2" s="29">
        <v>0</v>
      </c>
      <c r="AK2" s="29">
        <v>0</v>
      </c>
      <c r="AL2" s="29">
        <v>0</v>
      </c>
      <c r="AM2" s="29">
        <v>0</v>
      </c>
      <c r="AN2" s="29">
        <v>0</v>
      </c>
      <c r="AO2" s="29">
        <v>0</v>
      </c>
      <c r="AP2" s="29">
        <v>0</v>
      </c>
      <c r="AQ2" s="29">
        <v>0</v>
      </c>
      <c r="AR2" s="29">
        <v>0</v>
      </c>
    </row>
    <row r="3" spans="1:44">
      <c r="A3" s="1" t="s">
        <v>2</v>
      </c>
      <c r="B3" s="29">
        <f>SUM($B2:B2)</f>
        <v>0.15436753577515</v>
      </c>
      <c r="C3" s="29">
        <f>SUM($B2:C2)</f>
        <v>0.3087350715503</v>
      </c>
      <c r="D3" s="29">
        <f>SUM($B2:D2)</f>
        <v>0.463102607325449</v>
      </c>
      <c r="E3" s="29">
        <f>SUM($B2:E2)</f>
        <v>0.617470143100599</v>
      </c>
      <c r="F3" s="29">
        <f>SUM($B2:F2)</f>
        <v>0.771837678875749</v>
      </c>
      <c r="G3" s="29">
        <f>SUM($B2:G2)</f>
        <v>0.926205214650899</v>
      </c>
      <c r="H3" s="29">
        <f>SUM($B2:H2)</f>
        <v>1</v>
      </c>
      <c r="I3" s="29">
        <f>SUM($B2:I2)</f>
        <v>1.15508044395829</v>
      </c>
      <c r="J3" s="29">
        <f>SUM($B2:J2)</f>
        <v>1.31016088791658</v>
      </c>
      <c r="K3" s="29">
        <f>SUM($B2:K2)</f>
        <v>1.46524133187487</v>
      </c>
      <c r="L3" s="29">
        <f>SUM($B2:L2)</f>
        <v>1.62032177583316</v>
      </c>
      <c r="M3" s="29">
        <f>SUM($B2:M2)</f>
        <v>1.77540221979145</v>
      </c>
      <c r="N3" s="29">
        <f>SUM($B2:N2)</f>
        <v>1.93048266374974</v>
      </c>
      <c r="O3" s="29">
        <f>SUM($B2:O2)</f>
        <v>2</v>
      </c>
      <c r="P3" s="29">
        <f>SUM($B2:P2)</f>
        <v>2.15406162464986</v>
      </c>
      <c r="Q3" s="29">
        <f>SUM($B2:Q2)</f>
        <v>2.30812324929972</v>
      </c>
      <c r="R3" s="29">
        <f>SUM($B2:R2)</f>
        <v>2.46218487394958</v>
      </c>
      <c r="S3" s="29">
        <f>SUM($B2:S2)</f>
        <v>2.61624649859944</v>
      </c>
      <c r="T3" s="29">
        <f>SUM($B2:T2)</f>
        <v>2.7703081232493</v>
      </c>
      <c r="U3" s="29">
        <f>SUM($B2:U2)</f>
        <v>2.92436974789916</v>
      </c>
      <c r="V3" s="29">
        <f>SUM($B2:V2)</f>
        <v>3</v>
      </c>
      <c r="W3" s="29">
        <f>SUM($B2:Y2)</f>
        <v>3.46809551208285</v>
      </c>
      <c r="X3" s="29">
        <f>SUM($B2:Y2)</f>
        <v>3.46809551208285</v>
      </c>
      <c r="Y3" s="29">
        <f>SUM($B2:Y2)</f>
        <v>3.46809551208285</v>
      </c>
      <c r="Z3" s="29">
        <f>SUM($B2:Z2)</f>
        <v>3.6241273494438</v>
      </c>
      <c r="AA3" s="29">
        <f>SUM($B2:AA2)</f>
        <v>3.78015918680476</v>
      </c>
      <c r="AB3" s="29">
        <f>SUM($B2:AB2)</f>
        <v>3.93619102416571</v>
      </c>
      <c r="AC3" s="29">
        <f>SUM($B2:AC2)</f>
        <v>4</v>
      </c>
      <c r="AD3" s="29">
        <f>SUM($B2:AD2)</f>
        <v>4.15443495135491</v>
      </c>
      <c r="AE3" s="29">
        <f>SUM($B2:AE2)</f>
        <v>4.15443495135491</v>
      </c>
      <c r="AF3" s="29">
        <f>SUM($B2:AF2)</f>
        <v>4.15443495135491</v>
      </c>
      <c r="AG3" s="29">
        <f>SUM($B2:AG2)</f>
        <v>4.15443495135491</v>
      </c>
      <c r="AH3" s="29">
        <f>SUM($B2:AH2)</f>
        <v>4.15443495135491</v>
      </c>
      <c r="AI3" s="29">
        <f>SUM($B2:AI2)</f>
        <v>4.15443495135491</v>
      </c>
      <c r="AJ3" s="29">
        <f>SUM($B2:AJ2)</f>
        <v>4.15443495135491</v>
      </c>
      <c r="AK3" s="29">
        <f>SUM($B2:AK2)</f>
        <v>4.15443495135491</v>
      </c>
      <c r="AL3" s="29">
        <f>SUM($B2:AL2)</f>
        <v>4.15443495135491</v>
      </c>
      <c r="AM3" s="29">
        <f>SUM($B2:AM2)</f>
        <v>4.15443495135491</v>
      </c>
      <c r="AN3" s="29">
        <f>SUM($B2:AN2)</f>
        <v>4.15443495135491</v>
      </c>
      <c r="AO3" s="29">
        <f>SUM($B2:AO2)</f>
        <v>4.15443495135491</v>
      </c>
      <c r="AP3" s="29">
        <f>SUM($B2:AP2)</f>
        <v>4.15443495135491</v>
      </c>
      <c r="AQ3" s="29">
        <f>SUM($B2:AQ2)</f>
        <v>4.15443495135491</v>
      </c>
      <c r="AR3" s="29">
        <f>SUM($B2:AR2)</f>
        <v>4.15443495135491</v>
      </c>
    </row>
    <row r="4" spans="1:44">
      <c r="A4" s="1" t="s">
        <v>3</v>
      </c>
      <c r="B4" s="29">
        <f>AVERAGE($B2:B2)</f>
        <v>0.15436753577515</v>
      </c>
      <c r="C4" s="29">
        <f>AVERAGE($B2:C2)</f>
        <v>0.15436753577515</v>
      </c>
      <c r="D4" s="29">
        <f>AVERAGE($B2:D2)</f>
        <v>0.15436753577515</v>
      </c>
      <c r="E4" s="29">
        <f>AVERAGE($B2:E2)</f>
        <v>0.15436753577515</v>
      </c>
      <c r="F4" s="29">
        <f>AVERAGE($B2:F2)</f>
        <v>0.15436753577515</v>
      </c>
      <c r="G4" s="29">
        <f>AVERAGE($B2:G2)</f>
        <v>0.15436753577515</v>
      </c>
      <c r="H4" s="29">
        <f>AVERAGE($B2:H2)</f>
        <v>0.142857142857143</v>
      </c>
      <c r="I4" s="29">
        <f>AVERAGE($B2:I2)</f>
        <v>0.144385055494786</v>
      </c>
      <c r="J4" s="29">
        <f>AVERAGE($B2:J2)</f>
        <v>0.145573431990731</v>
      </c>
      <c r="K4" s="29">
        <f>AVERAGE($B2:K2)</f>
        <v>0.146524133187487</v>
      </c>
      <c r="L4" s="29">
        <f>AVERAGE($B2:L2)</f>
        <v>0.147301979621197</v>
      </c>
      <c r="M4" s="29">
        <f>AVERAGE($B2:M2)</f>
        <v>0.147950184982621</v>
      </c>
      <c r="N4" s="29">
        <f>AVERAGE($B2:N2)</f>
        <v>0.148498666442288</v>
      </c>
      <c r="O4" s="29">
        <f>AVERAGE($B2:O2)</f>
        <v>0.142857142857143</v>
      </c>
      <c r="P4" s="29">
        <f>AVERAGE($B2:P2)</f>
        <v>0.143604108309991</v>
      </c>
      <c r="Q4" s="29">
        <f>AVERAGE($B2:Q2)</f>
        <v>0.144257703081233</v>
      </c>
      <c r="R4" s="29">
        <f>AVERAGE($B2:R2)</f>
        <v>0.144834404349975</v>
      </c>
      <c r="S4" s="29">
        <f>AVERAGE($B2:S2)</f>
        <v>0.145347027699969</v>
      </c>
      <c r="T4" s="29">
        <f>AVERAGE($B2:T2)</f>
        <v>0.145805690697332</v>
      </c>
      <c r="U4" s="29">
        <f>AVERAGE($B2:U2)</f>
        <v>0.146218487394958</v>
      </c>
      <c r="V4" s="29">
        <f>AVERAGE($B2:V2)</f>
        <v>0.142857142857143</v>
      </c>
      <c r="W4" s="29">
        <f>AVERAGE($B2:Y2)</f>
        <v>0.144503979670119</v>
      </c>
      <c r="X4" s="29">
        <f>AVERAGE($B2:Y2)</f>
        <v>0.144503979670119</v>
      </c>
      <c r="Y4" s="29">
        <f>AVERAGE($B2:Y2)</f>
        <v>0.144503979670119</v>
      </c>
      <c r="Z4" s="29">
        <f>AVERAGE($B2:Z2)</f>
        <v>0.144965093977752</v>
      </c>
      <c r="AA4" s="29">
        <f>AVERAGE($B2:AA2)</f>
        <v>0.145390737954029</v>
      </c>
      <c r="AB4" s="29">
        <f>AVERAGE($B2:AB2)</f>
        <v>0.145784852746878</v>
      </c>
      <c r="AC4" s="29">
        <f>AVERAGE($B2:AC2)</f>
        <v>0.142857142857143</v>
      </c>
      <c r="AD4" s="29">
        <f>AVERAGE($B2:AD2)</f>
        <v>0.143256377632928</v>
      </c>
      <c r="AE4" s="29">
        <f>AVERAGE($B2:AE2)</f>
        <v>0.138481165045164</v>
      </c>
      <c r="AF4" s="29">
        <f>AVERAGE($B2:AF2)</f>
        <v>0.134014030688868</v>
      </c>
      <c r="AG4" s="29">
        <f>AVERAGE($B2:AG2)</f>
        <v>0.129826092229841</v>
      </c>
      <c r="AH4" s="29">
        <f>AVERAGE($B2:AH2)</f>
        <v>0.125891968222876</v>
      </c>
      <c r="AI4" s="29">
        <f>AVERAGE($B2:AI2)</f>
        <v>0.122189263275144</v>
      </c>
      <c r="AJ4" s="29">
        <f>AVERAGE($B2:AJ2)</f>
        <v>0.118698141467283</v>
      </c>
      <c r="AK4" s="29">
        <f>AVERAGE($B2:AK2)</f>
        <v>0.11540097087097</v>
      </c>
      <c r="AL4" s="29">
        <f>AVERAGE($B2:AL2)</f>
        <v>0.112282025712295</v>
      </c>
      <c r="AM4" s="29">
        <f>AVERAGE($B2:AM2)</f>
        <v>0.109327235561971</v>
      </c>
      <c r="AN4" s="29">
        <f>AVERAGE($B2:AN2)</f>
        <v>0.106523973111664</v>
      </c>
      <c r="AO4" s="29">
        <f>AVERAGE($B2:AO2)</f>
        <v>0.103860873783873</v>
      </c>
      <c r="AP4" s="29">
        <f>AVERAGE($B2:AP2)</f>
        <v>0.101327681740364</v>
      </c>
      <c r="AQ4" s="29">
        <f>AVERAGE($B2:AQ2)</f>
        <v>0.0989151178894026</v>
      </c>
      <c r="AR4" s="29">
        <f>AVERAGE($B2:AR2)</f>
        <v>0.0966147663105793</v>
      </c>
    </row>
    <row r="5" spans="1:44">
      <c r="A5" s="1" t="s">
        <v>4</v>
      </c>
      <c r="B5" s="29">
        <f>4/26</f>
        <v>0.153846153846154</v>
      </c>
      <c r="C5" s="29">
        <f t="shared" ref="C5:AR5" si="0">B5</f>
        <v>0.153846153846154</v>
      </c>
      <c r="D5" s="29">
        <f t="shared" si="0"/>
        <v>0.153846153846154</v>
      </c>
      <c r="E5" s="29">
        <f t="shared" si="0"/>
        <v>0.153846153846154</v>
      </c>
      <c r="F5" s="29">
        <f t="shared" si="0"/>
        <v>0.153846153846154</v>
      </c>
      <c r="G5" s="29">
        <f t="shared" si="0"/>
        <v>0.153846153846154</v>
      </c>
      <c r="H5" s="29">
        <f t="shared" si="0"/>
        <v>0.153846153846154</v>
      </c>
      <c r="I5" s="29">
        <f t="shared" si="0"/>
        <v>0.153846153846154</v>
      </c>
      <c r="J5" s="29">
        <f t="shared" si="0"/>
        <v>0.153846153846154</v>
      </c>
      <c r="K5" s="29">
        <f t="shared" si="0"/>
        <v>0.153846153846154</v>
      </c>
      <c r="L5" s="29">
        <f t="shared" si="0"/>
        <v>0.153846153846154</v>
      </c>
      <c r="M5" s="29">
        <f t="shared" si="0"/>
        <v>0.153846153846154</v>
      </c>
      <c r="N5" s="29">
        <f t="shared" si="0"/>
        <v>0.153846153846154</v>
      </c>
      <c r="O5" s="29">
        <f t="shared" si="0"/>
        <v>0.153846153846154</v>
      </c>
      <c r="P5" s="29">
        <f t="shared" si="0"/>
        <v>0.153846153846154</v>
      </c>
      <c r="Q5" s="29">
        <f t="shared" si="0"/>
        <v>0.153846153846154</v>
      </c>
      <c r="R5" s="29">
        <f t="shared" si="0"/>
        <v>0.153846153846154</v>
      </c>
      <c r="S5" s="29">
        <f t="shared" si="0"/>
        <v>0.153846153846154</v>
      </c>
      <c r="T5" s="29">
        <f t="shared" si="0"/>
        <v>0.153846153846154</v>
      </c>
      <c r="U5" s="29">
        <f t="shared" si="0"/>
        <v>0.153846153846154</v>
      </c>
      <c r="V5" s="29">
        <f t="shared" si="0"/>
        <v>0.153846153846154</v>
      </c>
      <c r="W5" s="29">
        <f t="shared" si="0"/>
        <v>0.153846153846154</v>
      </c>
      <c r="X5" s="29">
        <f t="shared" si="0"/>
        <v>0.153846153846154</v>
      </c>
      <c r="Y5" s="29">
        <f t="shared" si="0"/>
        <v>0.153846153846154</v>
      </c>
      <c r="Z5" s="29">
        <f t="shared" si="0"/>
        <v>0.153846153846154</v>
      </c>
      <c r="AA5" s="29">
        <f t="shared" si="0"/>
        <v>0.153846153846154</v>
      </c>
      <c r="AB5" s="29">
        <f t="shared" si="0"/>
        <v>0.153846153846154</v>
      </c>
      <c r="AC5" s="29">
        <f t="shared" si="0"/>
        <v>0.153846153846154</v>
      </c>
      <c r="AD5" s="29">
        <f t="shared" si="0"/>
        <v>0.153846153846154</v>
      </c>
      <c r="AE5" s="29">
        <f t="shared" si="0"/>
        <v>0.153846153846154</v>
      </c>
      <c r="AF5" s="29">
        <f t="shared" si="0"/>
        <v>0.153846153846154</v>
      </c>
      <c r="AG5" s="29">
        <f t="shared" si="0"/>
        <v>0.153846153846154</v>
      </c>
      <c r="AH5" s="29">
        <f t="shared" si="0"/>
        <v>0.153846153846154</v>
      </c>
      <c r="AI5" s="29">
        <f t="shared" si="0"/>
        <v>0.153846153846154</v>
      </c>
      <c r="AJ5" s="29">
        <f t="shared" si="0"/>
        <v>0.153846153846154</v>
      </c>
      <c r="AK5" s="29">
        <f t="shared" si="0"/>
        <v>0.153846153846154</v>
      </c>
      <c r="AL5" s="29">
        <f t="shared" si="0"/>
        <v>0.153846153846154</v>
      </c>
      <c r="AM5" s="29">
        <f t="shared" si="0"/>
        <v>0.153846153846154</v>
      </c>
      <c r="AN5" s="29">
        <f t="shared" si="0"/>
        <v>0.153846153846154</v>
      </c>
      <c r="AO5" s="29">
        <f t="shared" si="0"/>
        <v>0.153846153846154</v>
      </c>
      <c r="AP5" s="29">
        <f t="shared" si="0"/>
        <v>0.153846153846154</v>
      </c>
      <c r="AQ5" s="29">
        <f t="shared" si="0"/>
        <v>0.153846153846154</v>
      </c>
      <c r="AR5" s="29">
        <f t="shared" si="0"/>
        <v>0.153846153846154</v>
      </c>
    </row>
    <row r="6" spans="1:44">
      <c r="A6" s="1" t="s">
        <v>5</v>
      </c>
      <c r="B6" s="29">
        <f t="shared" ref="B6:AR6" si="1">B5-B2</f>
        <v>-0.000521381928996006</v>
      </c>
      <c r="C6" s="29">
        <f t="shared" si="1"/>
        <v>-0.000521381928996006</v>
      </c>
      <c r="D6" s="29">
        <f t="shared" si="1"/>
        <v>-0.000521381928996006</v>
      </c>
      <c r="E6" s="29">
        <f t="shared" si="1"/>
        <v>-0.000521381928996006</v>
      </c>
      <c r="F6" s="29">
        <f t="shared" si="1"/>
        <v>-0.000521381928996006</v>
      </c>
      <c r="G6" s="29">
        <f t="shared" si="1"/>
        <v>-0.000521381928996006</v>
      </c>
      <c r="H6" s="29">
        <f t="shared" si="1"/>
        <v>0.080051368497053</v>
      </c>
      <c r="I6" s="29">
        <f t="shared" si="1"/>
        <v>-0.00123429011213699</v>
      </c>
      <c r="J6" s="29">
        <f t="shared" si="1"/>
        <v>-0.00123429011213699</v>
      </c>
      <c r="K6" s="29">
        <f t="shared" si="1"/>
        <v>-0.00123429011213699</v>
      </c>
      <c r="L6" s="29">
        <f t="shared" si="1"/>
        <v>-0.00123429011213699</v>
      </c>
      <c r="M6" s="29">
        <f t="shared" si="1"/>
        <v>-0.00123429011213699</v>
      </c>
      <c r="N6" s="29">
        <f t="shared" si="1"/>
        <v>-0.00123429011213699</v>
      </c>
      <c r="O6" s="29">
        <f t="shared" si="1"/>
        <v>0.0843288175958981</v>
      </c>
      <c r="P6" s="29">
        <f t="shared" si="1"/>
        <v>-0.000215470803706014</v>
      </c>
      <c r="Q6" s="29">
        <f t="shared" si="1"/>
        <v>-0.000215470803706014</v>
      </c>
      <c r="R6" s="29">
        <f t="shared" si="1"/>
        <v>-0.000215470803706014</v>
      </c>
      <c r="S6" s="29">
        <f t="shared" si="1"/>
        <v>-0.000215470803706014</v>
      </c>
      <c r="T6" s="29">
        <f t="shared" si="1"/>
        <v>-0.000215470803706014</v>
      </c>
      <c r="U6" s="29">
        <f t="shared" si="1"/>
        <v>-0.000215470803706014</v>
      </c>
      <c r="V6" s="29">
        <f t="shared" si="1"/>
        <v>0.0782159017453137</v>
      </c>
      <c r="W6" s="29">
        <f t="shared" si="1"/>
        <v>-0.002185683514797</v>
      </c>
      <c r="X6" s="29">
        <f t="shared" si="1"/>
        <v>-0.002185683514797</v>
      </c>
      <c r="Y6" s="29">
        <f t="shared" si="1"/>
        <v>-0.002185683514797</v>
      </c>
      <c r="Z6" s="29">
        <f t="shared" si="1"/>
        <v>-0.002185683514797</v>
      </c>
      <c r="AA6" s="29">
        <f t="shared" si="1"/>
        <v>-0.002185683514797</v>
      </c>
      <c r="AB6" s="29">
        <f t="shared" si="1"/>
        <v>-0.002185683514797</v>
      </c>
      <c r="AC6" s="29">
        <f t="shared" si="1"/>
        <v>0.0900371780118617</v>
      </c>
      <c r="AD6" s="29">
        <f t="shared" si="1"/>
        <v>-0.000588797508756844</v>
      </c>
      <c r="AE6" s="29">
        <f t="shared" si="1"/>
        <v>0.153846153846154</v>
      </c>
      <c r="AF6" s="29">
        <f t="shared" si="1"/>
        <v>0.153846153846154</v>
      </c>
      <c r="AG6" s="29">
        <f t="shared" si="1"/>
        <v>0.153846153846154</v>
      </c>
      <c r="AH6" s="29">
        <f t="shared" si="1"/>
        <v>0.153846153846154</v>
      </c>
      <c r="AI6" s="29">
        <f t="shared" si="1"/>
        <v>0.153846153846154</v>
      </c>
      <c r="AJ6" s="29">
        <f t="shared" si="1"/>
        <v>0.153846153846154</v>
      </c>
      <c r="AK6" s="29">
        <f t="shared" si="1"/>
        <v>0.153846153846154</v>
      </c>
      <c r="AL6" s="29">
        <f t="shared" si="1"/>
        <v>0.153846153846154</v>
      </c>
      <c r="AM6" s="29">
        <f t="shared" si="1"/>
        <v>0.153846153846154</v>
      </c>
      <c r="AN6" s="29">
        <f t="shared" si="1"/>
        <v>0.153846153846154</v>
      </c>
      <c r="AO6" s="29">
        <f t="shared" si="1"/>
        <v>0.153846153846154</v>
      </c>
      <c r="AP6" s="29">
        <f t="shared" si="1"/>
        <v>0.153846153846154</v>
      </c>
      <c r="AQ6" s="29">
        <f t="shared" si="1"/>
        <v>0.153846153846154</v>
      </c>
      <c r="AR6" s="29">
        <f t="shared" si="1"/>
        <v>0.153846153846154</v>
      </c>
    </row>
    <row r="7" hidden="1"/>
    <row r="8" hidden="1" spans="1:44">
      <c r="A8" s="1" t="s">
        <v>6</v>
      </c>
    </row>
    <row r="9" hidden="1" spans="1:44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</row>
    <row r="10" hidden="1" spans="1:44">
      <c r="A10" s="1" t="s">
        <v>16</v>
      </c>
      <c r="B10" s="1">
        <v>100</v>
      </c>
      <c r="C10" s="29">
        <f>4/26</f>
        <v>0.153846153846154</v>
      </c>
      <c r="D10" s="1">
        <v>50</v>
      </c>
      <c r="E10" s="29">
        <f>AVERAGE(F$10:F10)</f>
        <v>0</v>
      </c>
      <c r="F10" s="29">
        <f t="shared" ref="F10:F20" si="2">G10/B10</f>
        <v>0</v>
      </c>
      <c r="G10" s="1">
        <f t="shared" ref="G10:G20" si="3">I10-H10</f>
        <v>0</v>
      </c>
      <c r="H10" s="1">
        <v>0</v>
      </c>
      <c r="I10" s="1">
        <v>0</v>
      </c>
    </row>
    <row r="11" hidden="1" spans="1:44">
      <c r="A11" s="1" t="s">
        <v>17</v>
      </c>
      <c r="B11" s="1">
        <v>50</v>
      </c>
      <c r="C11" s="29">
        <f>C10</f>
        <v>0.153846153846154</v>
      </c>
      <c r="D11" s="1">
        <v>25</v>
      </c>
      <c r="E11" s="29">
        <f>AVERAGE(F$10:F11)</f>
        <v>0</v>
      </c>
      <c r="F11" s="29">
        <f t="shared" si="2"/>
        <v>0</v>
      </c>
      <c r="G11" s="1">
        <f t="shared" si="3"/>
        <v>0</v>
      </c>
      <c r="H11" s="1">
        <v>0</v>
      </c>
      <c r="I11" s="1">
        <v>0</v>
      </c>
    </row>
    <row r="12" hidden="1"/>
    <row r="13" hidden="1" spans="1:44">
      <c r="A13" s="1" t="s">
        <v>18</v>
      </c>
    </row>
    <row r="14" hidden="1" spans="1:44">
      <c r="A14" s="1" t="s">
        <v>7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>
        <v>7</v>
      </c>
    </row>
    <row r="15" hidden="1" spans="1:44">
      <c r="A15" s="1" t="s">
        <v>19</v>
      </c>
      <c r="B15" s="1">
        <v>257</v>
      </c>
      <c r="C15" s="29">
        <f>4/26</f>
        <v>0.153846153846154</v>
      </c>
      <c r="D15" s="1">
        <f t="shared" ref="D10:D20" si="4">ROUND(B15*C15,0)</f>
        <v>40</v>
      </c>
      <c r="E15" s="29">
        <f>AVERAGE(F$15:F15)</f>
        <v>0.066147859922179</v>
      </c>
      <c r="F15" s="29">
        <f t="shared" si="2"/>
        <v>0.066147859922179</v>
      </c>
      <c r="G15" s="1">
        <f t="shared" si="3"/>
        <v>17</v>
      </c>
      <c r="H15" s="1">
        <v>240</v>
      </c>
      <c r="I15" s="31">
        <f t="shared" ref="I15:I20" si="5">MIN($J$14*D15,J15)</f>
        <v>257</v>
      </c>
      <c r="J15" s="1">
        <v>257</v>
      </c>
    </row>
    <row r="16" hidden="1" spans="1:44">
      <c r="A16" s="1" t="s">
        <v>20</v>
      </c>
      <c r="B16" s="1">
        <v>390</v>
      </c>
      <c r="C16" s="29">
        <f t="shared" ref="C16:C20" si="6">C15</f>
        <v>0.153846153846154</v>
      </c>
      <c r="D16" s="1">
        <f t="shared" si="4"/>
        <v>60</v>
      </c>
      <c r="E16" s="29">
        <f>AVERAGE(F$15:F16)</f>
        <v>0.071535468422628</v>
      </c>
      <c r="F16" s="29">
        <f t="shared" si="2"/>
        <v>0.0769230769230769</v>
      </c>
      <c r="G16" s="1">
        <f t="shared" si="3"/>
        <v>30</v>
      </c>
      <c r="H16" s="1">
        <v>360</v>
      </c>
      <c r="I16" s="31">
        <f t="shared" si="5"/>
        <v>390</v>
      </c>
      <c r="J16" s="1">
        <v>390</v>
      </c>
    </row>
    <row r="17" hidden="1" spans="1:10">
      <c r="A17" s="1" t="s">
        <v>21</v>
      </c>
      <c r="B17" s="1">
        <v>484</v>
      </c>
      <c r="C17" s="29">
        <f t="shared" si="6"/>
        <v>0.153846153846154</v>
      </c>
      <c r="D17" s="1">
        <f t="shared" si="4"/>
        <v>74</v>
      </c>
      <c r="E17" s="29">
        <f>AVERAGE(F$15:F17)</f>
        <v>0.0752385216481432</v>
      </c>
      <c r="F17" s="29">
        <f t="shared" si="2"/>
        <v>0.0826446280991736</v>
      </c>
      <c r="G17" s="1">
        <f t="shared" si="3"/>
        <v>40</v>
      </c>
      <c r="H17" s="1">
        <v>444</v>
      </c>
      <c r="I17" s="31">
        <f t="shared" si="5"/>
        <v>484</v>
      </c>
      <c r="J17" s="1">
        <v>484</v>
      </c>
    </row>
    <row r="18" hidden="1" spans="1:10">
      <c r="A18" s="1" t="s">
        <v>22</v>
      </c>
      <c r="B18" s="1">
        <v>240</v>
      </c>
      <c r="C18" s="29">
        <f t="shared" si="6"/>
        <v>0.153846153846154</v>
      </c>
      <c r="D18" s="1">
        <f t="shared" si="4"/>
        <v>37</v>
      </c>
      <c r="E18" s="29">
        <f>AVERAGE(F$15:F18)</f>
        <v>0.0751788912361074</v>
      </c>
      <c r="F18" s="29">
        <f t="shared" si="2"/>
        <v>0.075</v>
      </c>
      <c r="G18" s="1">
        <f t="shared" si="3"/>
        <v>18</v>
      </c>
      <c r="H18" s="1">
        <v>222</v>
      </c>
      <c r="I18" s="31">
        <f t="shared" si="5"/>
        <v>240</v>
      </c>
      <c r="J18" s="1">
        <v>240</v>
      </c>
    </row>
    <row r="19" hidden="1" spans="1:10">
      <c r="A19" s="1" t="s">
        <v>23</v>
      </c>
      <c r="B19" s="1">
        <v>271</v>
      </c>
      <c r="C19" s="29">
        <f t="shared" si="6"/>
        <v>0.153846153846154</v>
      </c>
      <c r="D19" s="1">
        <f t="shared" si="4"/>
        <v>42</v>
      </c>
      <c r="E19" s="29">
        <f>AVERAGE(F$15:F19)</f>
        <v>0.0741652532102881</v>
      </c>
      <c r="F19" s="29">
        <f t="shared" si="2"/>
        <v>0.0701107011070111</v>
      </c>
      <c r="G19" s="1">
        <f t="shared" si="3"/>
        <v>19</v>
      </c>
      <c r="H19" s="1">
        <v>252</v>
      </c>
      <c r="I19" s="31">
        <f t="shared" si="5"/>
        <v>271</v>
      </c>
      <c r="J19" s="1">
        <v>271</v>
      </c>
    </row>
    <row r="20" hidden="1" spans="1:10">
      <c r="A20" s="1" t="s">
        <v>24</v>
      </c>
      <c r="B20" s="1">
        <v>278</v>
      </c>
      <c r="C20" s="29">
        <f t="shared" si="6"/>
        <v>0.153846153846154</v>
      </c>
      <c r="D20" s="1">
        <f t="shared" si="4"/>
        <v>43</v>
      </c>
      <c r="E20" s="29">
        <f>AVERAGE(F$15:F20)</f>
        <v>0.073794785349101</v>
      </c>
      <c r="F20" s="29">
        <f t="shared" si="2"/>
        <v>0.0719424460431655</v>
      </c>
      <c r="G20" s="1">
        <f t="shared" si="3"/>
        <v>20</v>
      </c>
      <c r="H20" s="1">
        <v>258</v>
      </c>
      <c r="I20" s="31">
        <f t="shared" si="5"/>
        <v>278</v>
      </c>
      <c r="J20" s="1">
        <v>278</v>
      </c>
    </row>
    <row r="21" hidden="1" spans="1:10">
      <c r="C21" s="29"/>
      <c r="E21" s="29"/>
      <c r="F21" s="29"/>
    </row>
    <row r="22" hidden="1" spans="1:10">
      <c r="A22" s="1" t="s">
        <v>25</v>
      </c>
      <c r="C22" s="29"/>
      <c r="E22" s="29"/>
      <c r="F22" s="29"/>
    </row>
    <row r="23" hidden="1" spans="1:10">
      <c r="A23" s="1" t="s">
        <v>7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>
        <v>7</v>
      </c>
    </row>
    <row r="24" hidden="1" spans="1:10">
      <c r="A24" s="1" t="s">
        <v>26</v>
      </c>
      <c r="B24" s="1">
        <v>440</v>
      </c>
      <c r="C24" s="29">
        <f>4/26</f>
        <v>0.153846153846154</v>
      </c>
      <c r="D24" s="1">
        <f t="shared" ref="D24:D28" si="7">ROUND(B24*C24,0)</f>
        <v>68</v>
      </c>
      <c r="E24" s="29">
        <f>AVERAGE(F$24:F24)</f>
        <v>0.0727272727272727</v>
      </c>
      <c r="F24" s="29">
        <f t="shared" ref="F24:F28" si="8">G24/B24</f>
        <v>0.0727272727272727</v>
      </c>
      <c r="G24" s="1">
        <f t="shared" ref="G24:G28" si="9">I24-H24</f>
        <v>32</v>
      </c>
      <c r="H24" s="1">
        <v>408</v>
      </c>
      <c r="I24" s="31">
        <f t="shared" ref="I24:I28" si="10">MIN($J$23*D24,J24)</f>
        <v>440</v>
      </c>
      <c r="J24" s="1">
        <v>440</v>
      </c>
    </row>
    <row r="25" hidden="1" spans="1:10">
      <c r="A25" s="1" t="s">
        <v>27</v>
      </c>
      <c r="B25" s="1">
        <v>378</v>
      </c>
      <c r="C25" s="29">
        <f t="shared" ref="C25:C28" si="11">C24</f>
        <v>0.153846153846154</v>
      </c>
      <c r="D25" s="1">
        <f t="shared" si="7"/>
        <v>58</v>
      </c>
      <c r="E25" s="29">
        <f>AVERAGE(F$24:F25)</f>
        <v>0.076046176046176</v>
      </c>
      <c r="F25" s="29">
        <f t="shared" si="8"/>
        <v>0.0793650793650794</v>
      </c>
      <c r="G25" s="1">
        <f t="shared" si="9"/>
        <v>30</v>
      </c>
      <c r="H25" s="1">
        <v>348</v>
      </c>
      <c r="I25" s="31">
        <f t="shared" si="10"/>
        <v>378</v>
      </c>
      <c r="J25" s="1">
        <v>378</v>
      </c>
    </row>
    <row r="26" hidden="1" spans="1:10">
      <c r="A26" s="1" t="s">
        <v>28</v>
      </c>
      <c r="B26" s="1">
        <v>209</v>
      </c>
      <c r="C26" s="29">
        <f t="shared" si="11"/>
        <v>0.153846153846154</v>
      </c>
      <c r="D26" s="1">
        <f t="shared" si="7"/>
        <v>32</v>
      </c>
      <c r="E26" s="29">
        <f>AVERAGE(F$24:F26)</f>
        <v>0.0778106883370041</v>
      </c>
      <c r="F26" s="29">
        <f t="shared" si="8"/>
        <v>0.0813397129186603</v>
      </c>
      <c r="G26" s="1">
        <f t="shared" si="9"/>
        <v>17</v>
      </c>
      <c r="H26" s="1">
        <v>192</v>
      </c>
      <c r="I26" s="31">
        <f t="shared" si="10"/>
        <v>209</v>
      </c>
      <c r="J26" s="1">
        <v>209</v>
      </c>
    </row>
    <row r="27" hidden="1" spans="1:10">
      <c r="A27" s="1" t="s">
        <v>29</v>
      </c>
      <c r="B27" s="1">
        <v>62</v>
      </c>
      <c r="C27" s="29">
        <f t="shared" si="11"/>
        <v>0.153846153846154</v>
      </c>
      <c r="D27" s="1">
        <f t="shared" si="7"/>
        <v>10</v>
      </c>
      <c r="E27" s="29">
        <f>AVERAGE(F$24:F27)</f>
        <v>0.0664225323817854</v>
      </c>
      <c r="F27" s="29">
        <f t="shared" si="8"/>
        <v>0.032258064516129</v>
      </c>
      <c r="G27" s="1">
        <f t="shared" si="9"/>
        <v>2</v>
      </c>
      <c r="H27" s="1">
        <v>60</v>
      </c>
      <c r="I27" s="31">
        <f t="shared" si="10"/>
        <v>62</v>
      </c>
      <c r="J27" s="1">
        <v>62</v>
      </c>
    </row>
    <row r="28" hidden="1" spans="1:10">
      <c r="A28" s="1" t="s">
        <v>30</v>
      </c>
      <c r="B28" s="1">
        <v>464</v>
      </c>
      <c r="C28" s="29">
        <f t="shared" si="11"/>
        <v>0.153846153846154</v>
      </c>
      <c r="D28" s="1">
        <f t="shared" si="7"/>
        <v>71</v>
      </c>
      <c r="E28" s="29">
        <f>AVERAGE(F$24:F28)</f>
        <v>0.0695173362502559</v>
      </c>
      <c r="F28" s="29">
        <f t="shared" si="8"/>
        <v>0.0818965517241379</v>
      </c>
      <c r="G28" s="1">
        <f t="shared" si="9"/>
        <v>38</v>
      </c>
      <c r="H28" s="1">
        <v>426</v>
      </c>
      <c r="I28" s="31">
        <f t="shared" si="10"/>
        <v>464</v>
      </c>
      <c r="J28" s="1">
        <v>464</v>
      </c>
    </row>
    <row r="29" hidden="1" spans="1:10">
      <c r="C29" s="29"/>
      <c r="E29" s="29"/>
      <c r="F29" s="29"/>
    </row>
    <row r="30" hidden="1" spans="1:10">
      <c r="A30" s="1" t="s">
        <v>31</v>
      </c>
    </row>
    <row r="31" hidden="1" spans="1:10">
      <c r="A31" s="1" t="s">
        <v>7</v>
      </c>
      <c r="B31" s="1" t="s">
        <v>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>
        <v>7</v>
      </c>
    </row>
    <row r="32" hidden="1" spans="1:10">
      <c r="A32" s="1" t="s">
        <v>32</v>
      </c>
      <c r="B32" s="1">
        <v>132</v>
      </c>
      <c r="C32" s="29">
        <f t="shared" ref="C32:C35" si="12">4/26</f>
        <v>0.153846153846154</v>
      </c>
      <c r="D32" s="1">
        <f t="shared" ref="D32:D35" si="13">ROUND(B32*C32,0)</f>
        <v>20</v>
      </c>
      <c r="E32" s="29">
        <f>AVERAGE(F$32:F32)</f>
        <v>0.0909090909090909</v>
      </c>
      <c r="F32" s="29">
        <f t="shared" ref="F32:F35" si="14">G32/B32</f>
        <v>0.0909090909090909</v>
      </c>
      <c r="G32" s="1">
        <f t="shared" ref="G32:G35" si="15">I32-H32</f>
        <v>12</v>
      </c>
      <c r="H32" s="1">
        <v>120</v>
      </c>
      <c r="I32" s="31">
        <f t="shared" ref="I32:I35" si="16">MIN($J$31*D32,J32)</f>
        <v>132</v>
      </c>
      <c r="J32" s="1">
        <v>132</v>
      </c>
    </row>
    <row r="33" hidden="1" spans="1:10">
      <c r="A33" s="1" t="s">
        <v>33</v>
      </c>
      <c r="B33" s="1">
        <v>30</v>
      </c>
      <c r="C33" s="29">
        <f t="shared" si="12"/>
        <v>0.153846153846154</v>
      </c>
      <c r="D33" s="1">
        <f t="shared" si="13"/>
        <v>5</v>
      </c>
      <c r="E33" s="29">
        <f>AVERAGE(F$32:F33)</f>
        <v>0.0454545454545455</v>
      </c>
      <c r="F33" s="29">
        <f t="shared" si="14"/>
        <v>0</v>
      </c>
      <c r="G33" s="1">
        <f t="shared" si="15"/>
        <v>0</v>
      </c>
      <c r="H33" s="1">
        <v>30</v>
      </c>
      <c r="I33" s="31">
        <f t="shared" si="16"/>
        <v>30</v>
      </c>
      <c r="J33" s="1">
        <v>30</v>
      </c>
    </row>
    <row r="34" hidden="1" spans="1:10">
      <c r="A34" s="1" t="s">
        <v>34</v>
      </c>
      <c r="B34" s="1">
        <v>395</v>
      </c>
      <c r="C34" s="29">
        <f t="shared" si="12"/>
        <v>0.153846153846154</v>
      </c>
      <c r="D34" s="1">
        <f t="shared" si="13"/>
        <v>61</v>
      </c>
      <c r="E34" s="29">
        <f>AVERAGE(F$32:F34)</f>
        <v>0.0547756041426928</v>
      </c>
      <c r="F34" s="29">
        <f t="shared" si="14"/>
        <v>0.0734177215189873</v>
      </c>
      <c r="G34" s="1">
        <f t="shared" si="15"/>
        <v>29</v>
      </c>
      <c r="H34" s="1">
        <v>366</v>
      </c>
      <c r="I34" s="31">
        <f t="shared" si="16"/>
        <v>395</v>
      </c>
      <c r="J34" s="1">
        <v>395</v>
      </c>
    </row>
    <row r="35" hidden="1" spans="1:10">
      <c r="A35" s="1" t="s">
        <v>35</v>
      </c>
      <c r="B35" s="1">
        <v>66</v>
      </c>
      <c r="C35" s="29">
        <f t="shared" si="12"/>
        <v>0.153846153846154</v>
      </c>
      <c r="D35" s="1">
        <f t="shared" si="13"/>
        <v>10</v>
      </c>
      <c r="E35" s="29">
        <f>AVERAGE(F$32:F35)</f>
        <v>0.0638089758342923</v>
      </c>
      <c r="F35" s="29">
        <f t="shared" si="14"/>
        <v>0.0909090909090909</v>
      </c>
      <c r="G35" s="1">
        <f t="shared" si="15"/>
        <v>6</v>
      </c>
      <c r="H35" s="1">
        <v>60</v>
      </c>
      <c r="I35" s="31">
        <f t="shared" si="16"/>
        <v>66</v>
      </c>
      <c r="J35" s="1">
        <v>66</v>
      </c>
    </row>
    <row r="37" spans="1:10">
      <c r="A37" s="32" t="s">
        <v>36</v>
      </c>
      <c r="C37" s="29"/>
      <c r="E37" s="29"/>
      <c r="F37" s="29"/>
    </row>
    <row r="38" spans="1:10">
      <c r="A38" s="32" t="s">
        <v>7</v>
      </c>
      <c r="B38" s="1" t="s">
        <v>8</v>
      </c>
      <c r="C38" s="1" t="s">
        <v>9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>
        <v>1</v>
      </c>
    </row>
    <row r="39" spans="1:10">
      <c r="A39" s="32" t="s">
        <v>37</v>
      </c>
      <c r="B39" s="1">
        <v>100</v>
      </c>
      <c r="C39" s="29">
        <f>4/26</f>
        <v>0.153846153846154</v>
      </c>
      <c r="D39" s="1">
        <f>ROUND(B39*C39,0)</f>
        <v>15</v>
      </c>
      <c r="E39" s="29">
        <f>AVERAGE(F$39:F39)</f>
        <v>0.15</v>
      </c>
      <c r="F39" s="29">
        <f>G39/B39</f>
        <v>0.15</v>
      </c>
      <c r="G39" s="1">
        <f>I39-H39</f>
        <v>15</v>
      </c>
      <c r="I39" s="31">
        <f>MIN($J$38*D39,J39)</f>
        <v>15</v>
      </c>
      <c r="J39" s="1">
        <v>23</v>
      </c>
    </row>
    <row r="40" spans="1:10">
      <c r="A40" s="32" t="s">
        <v>38</v>
      </c>
      <c r="B40" s="1">
        <v>148</v>
      </c>
      <c r="C40" s="29">
        <f>4/26</f>
        <v>0.153846153846154</v>
      </c>
      <c r="D40" s="1">
        <f>ROUND(B40*C40,0)</f>
        <v>23</v>
      </c>
      <c r="E40" s="29">
        <f>AVERAGE(F$39:F40)</f>
        <v>0.075</v>
      </c>
      <c r="F40" s="29">
        <f>G40/B40</f>
        <v>0</v>
      </c>
      <c r="G40" s="1">
        <f>I40-H40</f>
        <v>0</v>
      </c>
      <c r="I40" s="33">
        <f>MIN($J$38*D40,J40)</f>
        <v>0</v>
      </c>
      <c r="J40" s="1">
        <v>0</v>
      </c>
    </row>
    <row r="41" hidden="1"/>
    <row r="42" hidden="1" spans="1:10">
      <c r="A42" s="1" t="s">
        <v>39</v>
      </c>
      <c r="C42" s="29"/>
      <c r="E42" s="29"/>
      <c r="F42" s="29"/>
    </row>
    <row r="43" hidden="1" spans="1:10">
      <c r="A43" s="1" t="s">
        <v>7</v>
      </c>
      <c r="B43" s="1" t="s">
        <v>8</v>
      </c>
      <c r="C43" s="1" t="s">
        <v>9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>
        <v>7</v>
      </c>
    </row>
    <row r="44" hidden="1" spans="1:10">
      <c r="A44" s="1" t="s">
        <v>40</v>
      </c>
      <c r="B44" s="1">
        <f>212+52+63+30</f>
        <v>357</v>
      </c>
      <c r="C44" s="29">
        <f t="shared" ref="C44:C49" si="17">4/26</f>
        <v>0.153846153846154</v>
      </c>
      <c r="D44" s="1">
        <f>ROUND(B44*C44,0)</f>
        <v>55</v>
      </c>
      <c r="E44" s="29">
        <f>AVERAGE(F$44:F44)</f>
        <v>0.0756302521008403</v>
      </c>
      <c r="F44" s="29">
        <f>G44/B44</f>
        <v>0.0756302521008403</v>
      </c>
      <c r="G44" s="1">
        <f>I44-H44</f>
        <v>27</v>
      </c>
      <c r="H44" s="1">
        <v>330</v>
      </c>
      <c r="I44" s="31">
        <f>MIN($J$43*D44,J44)</f>
        <v>357</v>
      </c>
      <c r="J44" s="1">
        <f>327+30</f>
        <v>357</v>
      </c>
    </row>
    <row r="46" spans="1:10">
      <c r="A46" s="1" t="s">
        <v>39</v>
      </c>
      <c r="C46" s="29"/>
      <c r="E46" s="29"/>
      <c r="F46" s="29"/>
    </row>
    <row r="47" spans="1:10">
      <c r="A47" s="1" t="s">
        <v>7</v>
      </c>
      <c r="B47" s="1" t="s">
        <v>8</v>
      </c>
      <c r="C47" s="1" t="s">
        <v>9</v>
      </c>
      <c r="D47" s="1" t="s">
        <v>10</v>
      </c>
      <c r="E47" s="1" t="s">
        <v>11</v>
      </c>
      <c r="F47" s="1" t="s">
        <v>12</v>
      </c>
      <c r="G47" s="1" t="s">
        <v>13</v>
      </c>
      <c r="H47" s="1" t="s">
        <v>14</v>
      </c>
      <c r="I47" s="1" t="s">
        <v>15</v>
      </c>
      <c r="J47" s="1">
        <v>2</v>
      </c>
    </row>
    <row r="48" spans="1:10">
      <c r="A48" s="1" t="s">
        <v>41</v>
      </c>
      <c r="B48" s="1">
        <v>523</v>
      </c>
      <c r="C48" s="29">
        <f t="shared" si="17"/>
        <v>0.153846153846154</v>
      </c>
      <c r="D48" s="1">
        <f t="shared" ref="D48:D54" si="18">ROUND(B48*C48,0)</f>
        <v>80</v>
      </c>
      <c r="E48" s="29">
        <f>AVERAGE(F$48:F48)</f>
        <v>0.152963671128107</v>
      </c>
      <c r="F48" s="29">
        <f t="shared" ref="F48:F54" si="19">G48/B48</f>
        <v>0.152963671128107</v>
      </c>
      <c r="G48" s="1">
        <f t="shared" ref="G48:G54" si="20">I48-H48</f>
        <v>80</v>
      </c>
      <c r="H48" s="1">
        <v>80</v>
      </c>
      <c r="I48" s="31">
        <f t="shared" ref="I48:I54" si="21">MIN($J$47*D48,J48)</f>
        <v>160</v>
      </c>
      <c r="J48" s="1">
        <v>174</v>
      </c>
    </row>
    <row r="49" spans="1:10">
      <c r="A49" s="1" t="s">
        <v>42</v>
      </c>
      <c r="B49" s="1">
        <v>434</v>
      </c>
      <c r="C49" s="29">
        <f t="shared" si="17"/>
        <v>0.153846153846154</v>
      </c>
      <c r="D49" s="1">
        <f t="shared" si="18"/>
        <v>67</v>
      </c>
      <c r="E49" s="29">
        <f>AVERAGE(F$48:F49)</f>
        <v>0.104131605149307</v>
      </c>
      <c r="F49" s="29">
        <f t="shared" si="19"/>
        <v>0.0552995391705069</v>
      </c>
      <c r="G49" s="1">
        <f t="shared" si="20"/>
        <v>24</v>
      </c>
      <c r="H49" s="1">
        <v>67</v>
      </c>
      <c r="I49" s="33">
        <f t="shared" si="21"/>
        <v>91</v>
      </c>
      <c r="J49" s="1">
        <v>91</v>
      </c>
    </row>
    <row r="50" spans="1:10">
      <c r="A50" s="1" t="s">
        <v>43</v>
      </c>
      <c r="B50" s="1">
        <f>26+83</f>
        <v>109</v>
      </c>
      <c r="C50" s="29">
        <f t="shared" ref="C50:C60" si="22">4/26</f>
        <v>0.153846153846154</v>
      </c>
      <c r="D50" s="1">
        <f t="shared" si="18"/>
        <v>17</v>
      </c>
      <c r="E50" s="29">
        <f>AVERAGE(F$48:F50)</f>
        <v>0.103060213830425</v>
      </c>
      <c r="F50" s="29">
        <f t="shared" si="19"/>
        <v>0.100917431192661</v>
      </c>
      <c r="G50" s="1">
        <f t="shared" si="20"/>
        <v>11</v>
      </c>
      <c r="H50" s="1">
        <v>17</v>
      </c>
      <c r="I50" s="33">
        <f t="shared" si="21"/>
        <v>28</v>
      </c>
      <c r="J50" s="1">
        <v>28</v>
      </c>
    </row>
    <row r="51" spans="1:10">
      <c r="C51" s="29"/>
      <c r="D51" s="1"/>
      <c r="E51" s="29"/>
      <c r="F51" s="29"/>
      <c r="G51" s="1"/>
      <c r="I51" s="33"/>
    </row>
    <row r="52" spans="1:10">
      <c r="A52" s="1" t="s">
        <v>44</v>
      </c>
      <c r="B52" s="1"/>
      <c r="C52" s="29"/>
      <c r="D52" s="1"/>
      <c r="E52" s="29"/>
      <c r="F52" s="29"/>
    </row>
    <row r="53" spans="1:10">
      <c r="A53" s="1" t="s">
        <v>7</v>
      </c>
      <c r="B53" s="1" t="s">
        <v>8</v>
      </c>
      <c r="C53" s="1" t="s">
        <v>9</v>
      </c>
      <c r="D53" s="1" t="s">
        <v>10</v>
      </c>
      <c r="E53" s="1" t="s">
        <v>11</v>
      </c>
      <c r="F53" s="1" t="s">
        <v>12</v>
      </c>
      <c r="G53" s="1" t="s">
        <v>13</v>
      </c>
      <c r="H53" s="1" t="s">
        <v>14</v>
      </c>
      <c r="I53" s="1" t="s">
        <v>15</v>
      </c>
      <c r="J53" s="1">
        <v>1</v>
      </c>
    </row>
    <row r="54" spans="1:10">
      <c r="A54" s="1" t="s">
        <v>45</v>
      </c>
      <c r="B54" s="1">
        <v>999</v>
      </c>
      <c r="C54" s="29">
        <f t="shared" si="22"/>
        <v>0.153846153846154</v>
      </c>
      <c r="D54" s="1">
        <f t="shared" ref="D54:D60" si="23">ROUND(B54*C54,0)</f>
        <v>154</v>
      </c>
      <c r="E54" s="29">
        <f>AVERAGE(F$54:F54)</f>
        <v>0.032032032032032</v>
      </c>
      <c r="F54" s="29">
        <f t="shared" ref="F54:F60" si="24">G54/B54</f>
        <v>0.032032032032032</v>
      </c>
      <c r="G54" s="1">
        <f t="shared" ref="G54:G60" si="25">I54-H54</f>
        <v>32</v>
      </c>
      <c r="I54" s="33">
        <f t="shared" ref="I54:I60" si="26">MIN($J$53*D54,J54)</f>
        <v>32</v>
      </c>
      <c r="J54" s="1">
        <v>32</v>
      </c>
    </row>
    <row r="55" spans="1:10">
      <c r="A55" s="1" t="s">
        <v>46</v>
      </c>
      <c r="B55" s="1">
        <v>999</v>
      </c>
      <c r="C55" s="29">
        <f t="shared" si="22"/>
        <v>0.153846153846154</v>
      </c>
      <c r="D55" s="1">
        <f t="shared" si="23"/>
        <v>154</v>
      </c>
      <c r="E55" s="29">
        <f>AVERAGE(F$54:F55)</f>
        <v>0.049049049049049</v>
      </c>
      <c r="F55" s="29">
        <f t="shared" si="24"/>
        <v>0.0660660660660661</v>
      </c>
      <c r="G55" s="1">
        <f t="shared" si="25"/>
        <v>66</v>
      </c>
      <c r="I55" s="33">
        <f t="shared" si="26"/>
        <v>66</v>
      </c>
      <c r="J55" s="1">
        <v>66</v>
      </c>
    </row>
    <row r="56" spans="1:10">
      <c r="A56" s="1" t="s">
        <v>47</v>
      </c>
      <c r="B56" s="1">
        <v>999</v>
      </c>
      <c r="C56" s="29">
        <f t="shared" si="22"/>
        <v>0.153846153846154</v>
      </c>
      <c r="D56" s="1">
        <f t="shared" si="23"/>
        <v>154</v>
      </c>
      <c r="E56" s="29">
        <f>AVERAGE(F$54:F56)</f>
        <v>0.042042042042042</v>
      </c>
      <c r="F56" s="29">
        <f t="shared" si="24"/>
        <v>0.028028028028028</v>
      </c>
      <c r="G56" s="1">
        <f t="shared" si="25"/>
        <v>28</v>
      </c>
      <c r="I56" s="33">
        <f t="shared" si="26"/>
        <v>28</v>
      </c>
      <c r="J56" s="1">
        <v>28</v>
      </c>
    </row>
    <row r="57" spans="1:10">
      <c r="A57" s="1" t="s">
        <v>48</v>
      </c>
      <c r="B57" s="1">
        <v>999</v>
      </c>
      <c r="C57" s="29">
        <f t="shared" si="22"/>
        <v>0.153846153846154</v>
      </c>
      <c r="D57" s="1">
        <f t="shared" si="23"/>
        <v>154</v>
      </c>
      <c r="E57" s="29">
        <f>AVERAGE(F$54:F57)</f>
        <v>0.0315315315315315</v>
      </c>
      <c r="F57" s="29">
        <f t="shared" si="24"/>
        <v>0</v>
      </c>
      <c r="G57" s="1">
        <f t="shared" si="25"/>
        <v>0</v>
      </c>
      <c r="I57" s="33">
        <f t="shared" si="26"/>
        <v>0</v>
      </c>
      <c r="J57" s="1">
        <v>0</v>
      </c>
    </row>
    <row r="58" spans="1:10">
      <c r="A58" s="1" t="s">
        <v>49</v>
      </c>
      <c r="B58" s="1">
        <v>999</v>
      </c>
      <c r="C58" s="29">
        <f t="shared" si="22"/>
        <v>0.153846153846154</v>
      </c>
      <c r="D58" s="1">
        <f t="shared" si="23"/>
        <v>154</v>
      </c>
      <c r="E58" s="29">
        <f>AVERAGE(F$54:F58)</f>
        <v>0.0252252252252252</v>
      </c>
      <c r="F58" s="29">
        <f t="shared" si="24"/>
        <v>0</v>
      </c>
      <c r="G58" s="1">
        <f t="shared" si="25"/>
        <v>0</v>
      </c>
      <c r="I58" s="33">
        <f t="shared" si="26"/>
        <v>0</v>
      </c>
      <c r="J58" s="1">
        <v>0</v>
      </c>
    </row>
    <row r="59" spans="1:10">
      <c r="A59" s="1" t="s">
        <v>50</v>
      </c>
      <c r="B59" s="1">
        <v>999</v>
      </c>
      <c r="C59" s="29">
        <f t="shared" si="22"/>
        <v>0.153846153846154</v>
      </c>
      <c r="D59" s="1">
        <f t="shared" si="23"/>
        <v>154</v>
      </c>
      <c r="E59" s="29">
        <f>AVERAGE(F$54:F59)</f>
        <v>0.021021021021021</v>
      </c>
      <c r="F59" s="29">
        <f t="shared" si="24"/>
        <v>0</v>
      </c>
      <c r="G59" s="1">
        <f t="shared" si="25"/>
        <v>0</v>
      </c>
      <c r="I59" s="33">
        <f t="shared" si="26"/>
        <v>0</v>
      </c>
      <c r="J59" s="1">
        <v>0</v>
      </c>
    </row>
    <row r="60" spans="1:10">
      <c r="A60" s="1" t="s">
        <v>51</v>
      </c>
      <c r="B60" s="1">
        <v>999</v>
      </c>
      <c r="C60" s="29">
        <f t="shared" si="22"/>
        <v>0.153846153846154</v>
      </c>
      <c r="D60" s="1">
        <f t="shared" si="23"/>
        <v>154</v>
      </c>
      <c r="E60" s="29">
        <f>AVERAGE(F$54:F60)</f>
        <v>0.018018018018018</v>
      </c>
      <c r="F60" s="29">
        <f t="shared" si="24"/>
        <v>0</v>
      </c>
      <c r="G60" s="1">
        <f t="shared" si="25"/>
        <v>0</v>
      </c>
      <c r="I60" s="33">
        <f t="shared" si="26"/>
        <v>0</v>
      </c>
      <c r="J60" s="1">
        <v>0</v>
      </c>
    </row>
  </sheetData>
  <pageMargins left="0.7" right="0.7" top="0.75" bottom="0.75" header="0.3" footer="0.3"/>
  <pageSetup paperSize="9" orientation="portrait"/>
  <headerFooter/>
  <ignoredErrors>
    <ignoredError sqref="A45:AH46 A47:I47 K47:AH48 A48:G48 I48 A36:AH39 K40:AH41 I32:I35 A32:G35 K31:AH35 A31:I31 A3:AG6 A7:AH30 A2:O2 A1:AG1 A44 A42:AH42 A43:I43 K43:AH44 C44:G44 I4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zoomScale="130" zoomScaleNormal="130" topLeftCell="A9" workbookViewId="0">
      <selection activeCell="B22" sqref="B22:B24"/>
    </sheetView>
  </sheetViews>
  <sheetFormatPr defaultColWidth="10.7777777777778" defaultRowHeight="14.4" outlineLevelCol="7"/>
  <cols>
    <col min="1" max="16384" width="10.7777777777778" style="1" customWidth="1"/>
  </cols>
  <sheetData>
    <row r="1" spans="1:5">
      <c r="A1" s="1" t="s">
        <v>7</v>
      </c>
      <c r="B1" s="1" t="s">
        <v>52</v>
      </c>
      <c r="D1" s="1" t="s">
        <v>53</v>
      </c>
      <c r="E1" s="1" t="s">
        <v>54</v>
      </c>
    </row>
    <row r="2" spans="1:5">
      <c r="A2" s="1" t="s">
        <v>19</v>
      </c>
      <c r="B2" s="1">
        <v>202</v>
      </c>
      <c r="D2" s="1" t="s">
        <v>55</v>
      </c>
      <c r="E2" s="26" t="s">
        <v>56</v>
      </c>
    </row>
    <row r="3" spans="1:5">
      <c r="A3" s="1" t="s">
        <v>20</v>
      </c>
      <c r="B3" s="1">
        <v>390</v>
      </c>
      <c r="D3" s="1" t="s">
        <v>57</v>
      </c>
      <c r="E3" s="26" t="s">
        <v>58</v>
      </c>
    </row>
    <row r="4" spans="1:5">
      <c r="A4" s="1" t="s">
        <v>21</v>
      </c>
      <c r="B4" s="1">
        <v>484</v>
      </c>
      <c r="D4" s="1" t="s">
        <v>59</v>
      </c>
      <c r="E4" s="26" t="s">
        <v>60</v>
      </c>
    </row>
    <row r="5" spans="1:5">
      <c r="A5" s="1" t="s">
        <v>22</v>
      </c>
      <c r="B5" s="1">
        <v>240</v>
      </c>
      <c r="D5" s="1" t="s">
        <v>61</v>
      </c>
      <c r="E5" s="26" t="s">
        <v>62</v>
      </c>
    </row>
    <row r="6" spans="1:5">
      <c r="A6" s="1" t="s">
        <v>23</v>
      </c>
      <c r="B6" s="1">
        <v>271</v>
      </c>
      <c r="D6" s="1" t="s">
        <v>63</v>
      </c>
      <c r="E6" s="26" t="s">
        <v>64</v>
      </c>
    </row>
    <row r="7" spans="1:5">
      <c r="A7" s="1" t="s">
        <v>24</v>
      </c>
      <c r="B7" s="1">
        <v>278</v>
      </c>
      <c r="D7" s="1" t="s">
        <v>65</v>
      </c>
      <c r="E7" s="26" t="s">
        <v>66</v>
      </c>
    </row>
    <row r="8" spans="1:5">
      <c r="D8" s="1" t="s">
        <v>67</v>
      </c>
      <c r="E8" s="26" t="s">
        <v>68</v>
      </c>
    </row>
    <row r="9" spans="1:5">
      <c r="A9" s="1" t="s">
        <v>26</v>
      </c>
      <c r="B9" s="1">
        <v>440</v>
      </c>
      <c r="D9" s="1" t="s">
        <v>69</v>
      </c>
      <c r="E9" s="26" t="s">
        <v>70</v>
      </c>
    </row>
    <row r="10" spans="1:5">
      <c r="A10" s="1" t="s">
        <v>27</v>
      </c>
      <c r="B10" s="1">
        <v>378</v>
      </c>
      <c r="D10" s="1" t="s">
        <v>71</v>
      </c>
      <c r="E10" s="26" t="s">
        <v>72</v>
      </c>
    </row>
    <row r="11" spans="1:5">
      <c r="A11" s="1" t="s">
        <v>28</v>
      </c>
      <c r="B11" s="1">
        <v>209</v>
      </c>
      <c r="D11" s="1" t="s">
        <v>73</v>
      </c>
      <c r="E11" s="26" t="s">
        <v>74</v>
      </c>
    </row>
    <row r="12" spans="1:5">
      <c r="A12" s="1" t="s">
        <v>29</v>
      </c>
      <c r="B12" s="1">
        <v>62</v>
      </c>
      <c r="D12" s="1" t="s">
        <v>75</v>
      </c>
      <c r="E12" s="26" t="s">
        <v>76</v>
      </c>
    </row>
    <row r="13" spans="1:5">
      <c r="A13" s="1" t="s">
        <v>30</v>
      </c>
      <c r="B13" s="1">
        <v>464</v>
      </c>
      <c r="D13" s="1" t="s">
        <v>77</v>
      </c>
      <c r="E13" s="26" t="s">
        <v>78</v>
      </c>
    </row>
    <row r="14" spans="1:5">
      <c r="D14" s="1" t="s">
        <v>79</v>
      </c>
      <c r="E14" s="26" t="s">
        <v>80</v>
      </c>
    </row>
    <row r="15" spans="1:5">
      <c r="A15" s="1" t="s">
        <v>32</v>
      </c>
      <c r="B15" s="1">
        <v>132</v>
      </c>
      <c r="D15" s="1" t="s">
        <v>81</v>
      </c>
      <c r="E15" s="26" t="s">
        <v>82</v>
      </c>
    </row>
    <row r="16" spans="1:5">
      <c r="A16" s="1" t="s">
        <v>33</v>
      </c>
      <c r="B16" s="1">
        <v>30</v>
      </c>
      <c r="D16" s="1" t="s">
        <v>83</v>
      </c>
      <c r="E16" s="26"/>
    </row>
    <row r="17" spans="1:8">
      <c r="A17" s="1" t="s">
        <v>34</v>
      </c>
      <c r="B17" s="1">
        <v>395</v>
      </c>
      <c r="D17" s="1" t="s">
        <v>84</v>
      </c>
    </row>
    <row r="18" spans="1:8">
      <c r="A18" s="1" t="s">
        <v>85</v>
      </c>
      <c r="B18" s="1">
        <v>66</v>
      </c>
    </row>
    <row r="19" spans="1:8">
      <c r="C19" s="1" t="s">
        <v>86</v>
      </c>
      <c r="D19" s="1" t="s">
        <v>87</v>
      </c>
      <c r="E19" s="1" t="s">
        <v>88</v>
      </c>
      <c r="F19" s="1" t="s">
        <v>89</v>
      </c>
      <c r="G19" s="1" t="s">
        <v>53</v>
      </c>
      <c r="H19" s="1" t="s">
        <v>54</v>
      </c>
    </row>
    <row r="20" spans="1:8">
      <c r="A20" s="1" t="s">
        <v>40</v>
      </c>
      <c r="B20" s="1">
        <f>SUM(C20:H20)</f>
        <v>357</v>
      </c>
      <c r="C20" s="1">
        <v>212</v>
      </c>
      <c r="D20" s="1">
        <v>52</v>
      </c>
      <c r="E20" s="1">
        <v>63</v>
      </c>
      <c r="F20" s="27" t="s">
        <v>90</v>
      </c>
      <c r="G20" s="1">
        <v>16</v>
      </c>
      <c r="H20" s="1">
        <v>14</v>
      </c>
    </row>
    <row r="22" spans="1:8">
      <c r="A22" s="1" t="s">
        <v>41</v>
      </c>
      <c r="B22" s="1">
        <v>174</v>
      </c>
    </row>
    <row r="23" spans="1:8">
      <c r="A23" s="1" t="s">
        <v>42</v>
      </c>
      <c r="B23" s="1">
        <v>91</v>
      </c>
      <c r="C23" s="1" t="s">
        <v>91</v>
      </c>
      <c r="D23" s="1" t="s">
        <v>92</v>
      </c>
    </row>
    <row r="24" spans="1:8">
      <c r="A24" s="1" t="s">
        <v>43</v>
      </c>
      <c r="B24" s="1">
        <f>C24+D24</f>
        <v>28</v>
      </c>
      <c r="C24" s="1">
        <v>10</v>
      </c>
      <c r="D24" s="1">
        <v>18</v>
      </c>
    </row>
    <row r="26" spans="1:8">
      <c r="A26" s="1" t="s">
        <v>37</v>
      </c>
      <c r="B26" s="1">
        <v>23</v>
      </c>
    </row>
    <row r="27" spans="1:8">
      <c r="A27" s="1" t="s">
        <v>38</v>
      </c>
      <c r="B27" s="1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zoomScale="145" zoomScaleNormal="145" workbookViewId="0">
      <selection activeCell="E9" sqref="E9"/>
    </sheetView>
  </sheetViews>
  <sheetFormatPr defaultColWidth="8.88888888888889" defaultRowHeight="14.4" outlineLevelCol="3"/>
  <cols>
    <col min="1" max="1" width="9.66666666666667" style="1" customWidth="1"/>
    <col min="2" max="2" width="25.4444444444444" style="1" customWidth="1"/>
    <col min="3" max="3" width="23.1111111111111" style="1" customWidth="1"/>
    <col min="4" max="4" width="26.5555555555556" style="1" customWidth="1"/>
    <col min="5" max="5" width="23.1111111111111" style="1" customWidth="1"/>
    <col min="6" max="6" width="26.5555555555556" style="1" customWidth="1"/>
    <col min="7" max="7" width="25.4444444444444" style="1" customWidth="1"/>
    <col min="8" max="8" width="23.1111111111111" style="1" customWidth="1"/>
    <col min="9" max="16384" width="8.88888888888889" style="1"/>
  </cols>
  <sheetData>
    <row r="1" ht="15.15" spans="1:4">
      <c r="A1" s="2" t="s">
        <v>93</v>
      </c>
      <c r="B1" s="3" t="s">
        <v>94</v>
      </c>
      <c r="C1" s="4" t="s">
        <v>95</v>
      </c>
      <c r="D1" s="5" t="s">
        <v>96</v>
      </c>
    </row>
    <row r="2" ht="15.15" spans="1:4">
      <c r="A2" s="6" t="s">
        <v>97</v>
      </c>
      <c r="B2" s="4" t="s">
        <v>97</v>
      </c>
      <c r="C2" s="4" t="s">
        <v>97</v>
      </c>
      <c r="D2" s="5" t="s">
        <v>97</v>
      </c>
    </row>
    <row r="3" ht="15.15" spans="1:4">
      <c r="A3" s="5" t="s">
        <v>98</v>
      </c>
      <c r="B3" s="7" t="s">
        <v>99</v>
      </c>
      <c r="C3" s="3" t="s">
        <v>100</v>
      </c>
      <c r="D3" s="2" t="s">
        <v>101</v>
      </c>
    </row>
    <row r="4" ht="15.15" spans="1:4">
      <c r="A4" s="8"/>
      <c r="B4" s="9" t="s">
        <v>102</v>
      </c>
      <c r="C4" s="10" t="s">
        <v>103</v>
      </c>
      <c r="D4" s="11" t="s">
        <v>104</v>
      </c>
    </row>
    <row r="5" ht="15.15" spans="1:4">
      <c r="A5" s="2" t="s">
        <v>105</v>
      </c>
      <c r="B5" s="12" t="s">
        <v>106</v>
      </c>
      <c r="C5" s="13" t="s">
        <v>107</v>
      </c>
      <c r="D5" s="12" t="s">
        <v>108</v>
      </c>
    </row>
    <row r="6" ht="15.15" spans="1:4">
      <c r="A6" s="8" t="s">
        <v>109</v>
      </c>
      <c r="B6" s="14" t="s">
        <v>110</v>
      </c>
      <c r="C6" s="15" t="s">
        <v>111</v>
      </c>
      <c r="D6" s="14" t="s">
        <v>112</v>
      </c>
    </row>
    <row r="7" ht="15.15" spans="1:4">
      <c r="A7" s="16" t="s">
        <v>113</v>
      </c>
      <c r="B7" s="17"/>
      <c r="C7" s="17"/>
      <c r="D7" s="18"/>
    </row>
    <row r="8" ht="15.15" spans="1:4">
      <c r="A8" s="2" t="s">
        <v>93</v>
      </c>
      <c r="B8" s="19" t="s">
        <v>114</v>
      </c>
      <c r="C8" s="16" t="s">
        <v>115</v>
      </c>
      <c r="D8" s="19" t="s">
        <v>116</v>
      </c>
    </row>
    <row r="9" ht="15.15" spans="1:4">
      <c r="A9" s="20" t="s">
        <v>97</v>
      </c>
      <c r="B9" s="20" t="s">
        <v>97</v>
      </c>
      <c r="C9" s="3" t="s">
        <v>97</v>
      </c>
      <c r="D9" s="2" t="s">
        <v>97</v>
      </c>
    </row>
    <row r="10" spans="1:4">
      <c r="A10" s="5" t="s">
        <v>98</v>
      </c>
      <c r="B10" s="21" t="s">
        <v>100</v>
      </c>
      <c r="C10" s="4" t="s">
        <v>98</v>
      </c>
      <c r="D10" s="5" t="s">
        <v>98</v>
      </c>
    </row>
    <row r="11" ht="15.15" spans="1:4">
      <c r="A11" s="8"/>
      <c r="B11" s="22"/>
      <c r="C11" s="23"/>
      <c r="D11" s="8"/>
    </row>
    <row r="12" ht="15.15" spans="1:4">
      <c r="A12" s="2" t="s">
        <v>105</v>
      </c>
      <c r="B12" s="24" t="s">
        <v>117</v>
      </c>
      <c r="C12" s="3" t="s">
        <v>105</v>
      </c>
      <c r="D12" s="2" t="s">
        <v>105</v>
      </c>
    </row>
    <row r="13" ht="15.15" spans="1:4">
      <c r="A13" s="8" t="s">
        <v>109</v>
      </c>
      <c r="B13" s="25" t="s">
        <v>118</v>
      </c>
      <c r="C13" s="13" t="s">
        <v>119</v>
      </c>
      <c r="D13" s="12" t="s">
        <v>120</v>
      </c>
    </row>
  </sheetData>
  <mergeCells count="6">
    <mergeCell ref="A7:D7"/>
    <mergeCell ref="A3:A4"/>
    <mergeCell ref="A10:A11"/>
    <mergeCell ref="B10:B11"/>
    <mergeCell ref="C10:C11"/>
    <mergeCell ref="D10:D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进度</vt:lpstr>
      <vt:lpstr>书签</vt:lpstr>
      <vt:lpstr>虚拟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Scrooge</cp:lastModifiedBy>
  <dcterms:created xsi:type="dcterms:W3CDTF">2023-05-12T11:15:00Z</dcterms:created>
  <dcterms:modified xsi:type="dcterms:W3CDTF">2026-04-11T11:43:58Z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A68C8425929A4EE58BE4F651A31060FC_12</vt:lpwstr>
  </property>
  <property fmtid="{D5CDD505-2E9C-101B-9397-08002B2CF9AE}" pid="4" name="CalculationRule">
    <vt:i4>0</vt:i4>
  </property>
</Properties>
</file>