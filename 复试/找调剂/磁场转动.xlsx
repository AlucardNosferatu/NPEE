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<sst xmlns="http://schemas.openxmlformats.org/spreadsheetml/2006/main" count="358" uniqueCount="209">
  <si>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</si>
  <si>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</si>
  <si>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</si>
  <si>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</si>
  <si>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</si>
  <si>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</si>
  <si>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</si>
  <si>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</si>
  <si>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</si>
  <si>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</si>
  <si>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</si>
  <si>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</si>
  <si>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</si>
  <si>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</si>
  <si>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</si>
  <si>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</si>
  <si>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</si>
  <si>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</si>
  <si>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</si>
  <si>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</si>
  <si>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</si>
  <si>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</si>
  <si>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</si>
  <si>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</si>
  <si>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</si>
  <si>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</si>
  <si>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</si>
  <si>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</si>
  <si>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</si>
  <si>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</si>
  <si>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</si>
  <si>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</si>
  <si>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</si>
  <si>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</si>
  <si>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</si>
  <si>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</si>
  <si>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</si>
  <si>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</si>
  <si>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</si>
  <si>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</si>
  <si>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</si>
  <si>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</si>
  <si>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</si>
  <si>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</si>
  <si>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</si>
  <si>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</si>
  <si>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</si>
  <si>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</si>
  <si>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</si>
  <si>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</si>
  <si>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</si>
  <si>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</si>
  <si>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</si>
  <si>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</si>
  <si>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</si>
  <si>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</si>
  <si>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</si>
  <si>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</si>
  <si>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</si>
  <si>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</si>
  <si>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</si>
  <si>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</si>
  <si>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</si>
  <si>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</si>
  <si>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</si>
  <si>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</si>
  <si>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</si>
  <si>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</si>
  <si>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</si>
  <si>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</si>
  <si>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</si>
  <si>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</si>
  <si>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</si>
  <si>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</si>
  <si>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</si>
  <si>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</si>
  <si>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</si>
  <si>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</si>
  <si>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</si>
  <si>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</si>
  <si>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</si>
  <si>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</si>
  <si>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</si>
  <si>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</si>
  <si>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</si>
  <si>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</si>
  <si>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</si>
  <si>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</si>
  <si>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</si>
  <si>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</si>
  <si>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</si>
  <si>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</si>
  <si>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</si>
  <si>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</si>
  <si>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</si>
  <si>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</si>
  <si>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</si>
  <si>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</si>
  <si>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</si>
  <si>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</si>
  <si>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</si>
  <si>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</si>
  <si>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</si>
  <si>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</si>
  <si>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</si>
  <si>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</si>
  <si>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</si>
  <si>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</si>
  <si>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</si>
  <si>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</si>
  <si>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</si>
  <si>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论文4</t>
  </si>
  <si>
    <t>QUST_NLP_at_SemEval-2025_Task_7_A_Three-Stage_Retr</t>
  </si>
  <si>
    <t>Optimizing_feature_map_matching_for_marine_benthic</t>
  </si>
  <si>
    <t>论文5</t>
  </si>
  <si>
    <t>Team_QUST_at_SemEval-2025_Task_10_Evaluating_Large</t>
  </si>
  <si>
    <t>Semi-supervised_medical_image_segmentation_with_di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</si>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</sst>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5" borderId="20">
      <alignment vertical="center"/>
    </xf>
    <xf numFmtId="0" fontId="15" fillId="6" borderId="21">
      <alignment vertical="center"/>
    </xf>
    <xf numFmtId="0" fontId="16" fillId="6" borderId="20">
      <alignment vertical="center"/>
    </xf>
    <xf numFmtId="0" fontId="17" fillId="7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42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tabSelected="1" workbookViewId="0">
      <selection activeCell="I39" sqref="I39"/>
    </sheetView>
  </sheetViews>
  <sheetFormatPr defaultColWidth="15.7777777777778" defaultRowHeight="14.4"/>
  <cols>
    <col min="1" max="10" width="15.7777777777778" style="6" customWidth="1"/>
    <col min="11" max="36" width="15.7777777777778" style="6" hidden="1" customWidth="1"/>
    <col min="37" max="16384" width="15.7777777777778" style="6" customWidth="1"/>
  </cols>
  <sheetData>
    <row r="1" spans="1:44">
      <c r="A1" s="6" t="s">
        <v>0</v>
      </c>
      <c r="B1" s="35">
        <v>46081</v>
      </c>
      <c r="C1" s="35">
        <v>46082</v>
      </c>
      <c r="D1" s="35">
        <v>46083</v>
      </c>
      <c r="E1" s="35">
        <v>46084</v>
      </c>
      <c r="F1" s="35">
        <v>46085</v>
      </c>
      <c r="G1" s="35">
        <v>46086</v>
      </c>
      <c r="H1" s="35">
        <v>46087</v>
      </c>
      <c r="I1" s="35">
        <v>46088</v>
      </c>
      <c r="J1" s="35">
        <v>46089</v>
      </c>
      <c r="K1" s="35">
        <v>46090</v>
      </c>
      <c r="L1" s="35">
        <v>46091</v>
      </c>
      <c r="M1" s="35">
        <v>46092</v>
      </c>
      <c r="N1" s="35">
        <v>46093</v>
      </c>
      <c r="O1" s="35">
        <v>46094</v>
      </c>
      <c r="P1" s="35">
        <v>46095</v>
      </c>
      <c r="Q1" s="35">
        <v>46096</v>
      </c>
      <c r="R1" s="35">
        <v>46097</v>
      </c>
      <c r="S1" s="35">
        <v>46098</v>
      </c>
      <c r="T1" s="35">
        <v>46099</v>
      </c>
      <c r="U1" s="35">
        <v>46100</v>
      </c>
      <c r="V1" s="35">
        <v>46101</v>
      </c>
      <c r="W1" s="35">
        <v>46102</v>
      </c>
      <c r="X1" s="35">
        <v>46103</v>
      </c>
      <c r="Y1" s="35">
        <v>46104</v>
      </c>
      <c r="Z1" s="35">
        <v>46105</v>
      </c>
      <c r="AA1" s="35">
        <v>46106</v>
      </c>
      <c r="AB1" s="35">
        <v>46107</v>
      </c>
      <c r="AC1" s="35">
        <v>46108</v>
      </c>
      <c r="AD1" s="35">
        <v>46109</v>
      </c>
      <c r="AE1" s="35">
        <v>46110</v>
      </c>
      <c r="AF1" s="35">
        <v>46111</v>
      </c>
      <c r="AG1" s="35">
        <v>46112</v>
      </c>
      <c r="AH1" s="35">
        <v>46113</v>
      </c>
      <c r="AI1" s="35">
        <v>46114</v>
      </c>
      <c r="AJ1" s="35">
        <v>46115</v>
      </c>
      <c r="AK1" s="35">
        <v>46116</v>
      </c>
      <c r="AL1" s="35">
        <v>46117</v>
      </c>
      <c r="AM1" s="35">
        <v>46118</v>
      </c>
      <c r="AN1" s="35">
        <v>46119</v>
      </c>
      <c r="AO1" s="35">
        <v>46120</v>
      </c>
      <c r="AP1" s="35">
        <v>46121</v>
      </c>
      <c r="AQ1" s="35">
        <v>46122</v>
      </c>
      <c r="AR1" s="35">
        <v>46123</v>
      </c>
    </row>
    <row r="2" spans="1:44">
      <c r="A2" s="6" t="s">
        <v>1</v>
      </c>
      <c r="B2" s="36">
        <v>0.15436753577515</v>
      </c>
      <c r="C2" s="36">
        <v>0.15436753577515</v>
      </c>
      <c r="D2" s="36">
        <v>0.15436753577515</v>
      </c>
      <c r="E2" s="36">
        <v>0.15436753577515</v>
      </c>
      <c r="F2" s="36">
        <v>0.15436753577515</v>
      </c>
      <c r="G2" s="37">
        <v>0.15436753577515</v>
      </c>
      <c r="H2" s="36">
        <v>0.073794785349101</v>
      </c>
      <c r="I2" s="37">
        <v>0.155080443958291</v>
      </c>
      <c r="J2" s="37">
        <v>0.155080443958291</v>
      </c>
      <c r="K2" s="36">
        <v>0.155080443958291</v>
      </c>
      <c r="L2" s="36">
        <v>0.155080443958291</v>
      </c>
      <c r="M2" s="36">
        <v>0.155080443958291</v>
      </c>
      <c r="N2" s="36">
        <v>0.155080443958291</v>
      </c>
      <c r="O2" s="36">
        <v>0.0695173362502559</v>
      </c>
      <c r="P2" s="37">
        <v>0.15406162464986</v>
      </c>
      <c r="Q2" s="36">
        <v>0.15406162464986</v>
      </c>
      <c r="R2" s="36">
        <v>0.15406162464986</v>
      </c>
      <c r="S2" s="36">
        <v>0.15406162464986</v>
      </c>
      <c r="T2" s="36">
        <v>0.15406162464986</v>
      </c>
      <c r="U2" s="36">
        <v>0.15406162464986</v>
      </c>
      <c r="V2" s="36">
        <v>0.0756302521008403</v>
      </c>
      <c r="W2" s="36">
        <v>0.156031837360951</v>
      </c>
      <c r="X2" s="36">
        <v>0.156031837360951</v>
      </c>
      <c r="Y2" s="36">
        <v>0.156031837360951</v>
      </c>
      <c r="Z2" s="36">
        <v>0.156031837360951</v>
      </c>
      <c r="AA2" s="36">
        <v>0.156031837360951</v>
      </c>
      <c r="AB2" s="36">
        <v>0.156031837360951</v>
      </c>
      <c r="AC2" s="36">
        <v>0.0638089758342923</v>
      </c>
      <c r="AD2" s="36">
        <v>0.154434951354911</v>
      </c>
      <c r="AE2" s="36">
        <v>0.154434951354911</v>
      </c>
      <c r="AF2" s="36">
        <v>0.154434951354911</v>
      </c>
      <c r="AG2" s="36">
        <v>0.154434951354911</v>
      </c>
      <c r="AH2" s="36">
        <v>0.154434951354911</v>
      </c>
      <c r="AI2" s="36">
        <v>0.154434951354911</v>
      </c>
      <c r="AJ2" s="36">
        <v>0.0733902918705351</v>
      </c>
      <c r="AK2" s="36">
        <v>0.151612903225806</v>
      </c>
      <c r="AL2" s="36">
        <v>0</v>
      </c>
      <c r="AM2" s="36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</row>
    <row r="3" spans="1:44">
      <c r="A3" s="6" t="s">
        <v>2</v>
      </c>
      <c r="B3" s="36">
        <f>SUM($B2:B2)</f>
        <v>0.15436753577515</v>
      </c>
      <c r="C3" s="36">
        <f>SUM($B2:C2)</f>
        <v>0.3087350715503</v>
      </c>
      <c r="D3" s="36">
        <f>SUM($B2:D2)</f>
        <v>0.463102607325449</v>
      </c>
      <c r="E3" s="36">
        <f>SUM($B2:E2)</f>
        <v>0.617470143100599</v>
      </c>
      <c r="F3" s="36">
        <f>SUM($B2:F2)</f>
        <v>0.771837678875749</v>
      </c>
      <c r="G3" s="36">
        <f>SUM($B2:G2)</f>
        <v>0.926205214650899</v>
      </c>
      <c r="H3" s="36">
        <f>SUM($B2:H2)</f>
        <v>1</v>
      </c>
      <c r="I3" s="36">
        <f>SUM($B2:I2)</f>
        <v>1.15508044395829</v>
      </c>
      <c r="J3" s="36">
        <f>SUM($B2:J2)</f>
        <v>1.31016088791658</v>
      </c>
      <c r="K3" s="36">
        <f>SUM($B2:K2)</f>
        <v>1.46524133187487</v>
      </c>
      <c r="L3" s="36">
        <f>SUM($B2:L2)</f>
        <v>1.62032177583316</v>
      </c>
      <c r="M3" s="36">
        <f>SUM($B2:M2)</f>
        <v>1.77540221979145</v>
      </c>
      <c r="N3" s="36">
        <f>SUM($B2:N2)</f>
        <v>1.93048266374974</v>
      </c>
      <c r="O3" s="36">
        <f>SUM($B2:O2)</f>
        <v>2</v>
      </c>
      <c r="P3" s="36">
        <f>SUM($B2:P2)</f>
        <v>2.15406162464986</v>
      </c>
      <c r="Q3" s="36">
        <f>SUM($B2:Q2)</f>
        <v>2.30812324929972</v>
      </c>
      <c r="R3" s="36">
        <f>SUM($B2:R2)</f>
        <v>2.46218487394958</v>
      </c>
      <c r="S3" s="36">
        <f>SUM($B2:S2)</f>
        <v>2.61624649859944</v>
      </c>
      <c r="T3" s="36">
        <f>SUM($B2:T2)</f>
        <v>2.7703081232493</v>
      </c>
      <c r="U3" s="36">
        <f>SUM($B2:U2)</f>
        <v>2.92436974789916</v>
      </c>
      <c r="V3" s="36">
        <f>SUM($B2:V2)</f>
        <v>3</v>
      </c>
      <c r="W3" s="36">
        <f>SUM($B2:Y2)</f>
        <v>3.46809551208285</v>
      </c>
      <c r="X3" s="36">
        <f>SUM($B2:Y2)</f>
        <v>3.46809551208285</v>
      </c>
      <c r="Y3" s="36">
        <f>SUM($B2:Y2)</f>
        <v>3.46809551208285</v>
      </c>
      <c r="Z3" s="36">
        <f>SUM($B2:Z2)</f>
        <v>3.6241273494438</v>
      </c>
      <c r="AA3" s="36">
        <f>SUM($B2:AA2)</f>
        <v>3.78015918680476</v>
      </c>
      <c r="AB3" s="36">
        <f>SUM($B2:AB2)</f>
        <v>3.93619102416571</v>
      </c>
      <c r="AC3" s="36">
        <f>SUM($B2:AC2)</f>
        <v>4</v>
      </c>
      <c r="AD3" s="36">
        <f>SUM($B2:AD2)</f>
        <v>4.15443495135491</v>
      </c>
      <c r="AE3" s="36">
        <f>SUM($B2:AE2)</f>
        <v>4.30886990270982</v>
      </c>
      <c r="AF3" s="36">
        <f>SUM($B2:AF2)</f>
        <v>4.46330485406473</v>
      </c>
      <c r="AG3" s="36">
        <f>SUM($B2:AG2)</f>
        <v>4.61773980541964</v>
      </c>
      <c r="AH3" s="36">
        <f>SUM($B2:AH2)</f>
        <v>4.77217475677455</v>
      </c>
      <c r="AI3" s="36">
        <f>SUM($B2:AI2)</f>
        <v>4.92660970812946</v>
      </c>
      <c r="AJ3" s="36">
        <f>SUM($B2:AJ2)</f>
        <v>5</v>
      </c>
      <c r="AK3" s="36">
        <f>SUM($B2:AK2)</f>
        <v>5.1516129032258</v>
      </c>
      <c r="AL3" s="36">
        <f>SUM($B2:AL2)</f>
        <v>5.1516129032258</v>
      </c>
      <c r="AM3" s="36">
        <f>SUM($B2:AM2)</f>
        <v>5.1516129032258</v>
      </c>
      <c r="AN3" s="36">
        <f>SUM($B2:AN2)</f>
        <v>5.1516129032258</v>
      </c>
      <c r="AO3" s="36">
        <f>SUM($B2:AO2)</f>
        <v>5.1516129032258</v>
      </c>
      <c r="AP3" s="36">
        <f>SUM($B2:AP2)</f>
        <v>5.1516129032258</v>
      </c>
      <c r="AQ3" s="36">
        <f>SUM($B2:AQ2)</f>
        <v>5.1516129032258</v>
      </c>
      <c r="AR3" s="36">
        <f>SUM($B2:AR2)</f>
        <v>5.1516129032258</v>
      </c>
    </row>
    <row r="4" spans="1:44">
      <c r="A4" s="6" t="s">
        <v>3</v>
      </c>
      <c r="B4" s="36">
        <f>AVERAGE($B2:B2)</f>
        <v>0.15436753577515</v>
      </c>
      <c r="C4" s="36">
        <f>AVERAGE($B2:C2)</f>
        <v>0.15436753577515</v>
      </c>
      <c r="D4" s="36">
        <f>AVERAGE($B2:D2)</f>
        <v>0.15436753577515</v>
      </c>
      <c r="E4" s="36">
        <f>AVERAGE($B2:E2)</f>
        <v>0.15436753577515</v>
      </c>
      <c r="F4" s="36">
        <f>AVERAGE($B2:F2)</f>
        <v>0.15436753577515</v>
      </c>
      <c r="G4" s="36">
        <f>AVERAGE($B2:G2)</f>
        <v>0.15436753577515</v>
      </c>
      <c r="H4" s="36">
        <f>AVERAGE($B2:H2)</f>
        <v>0.142857142857143</v>
      </c>
      <c r="I4" s="36">
        <f>AVERAGE($B2:I2)</f>
        <v>0.144385055494786</v>
      </c>
      <c r="J4" s="36">
        <f>AVERAGE($B2:J2)</f>
        <v>0.145573431990731</v>
      </c>
      <c r="K4" s="36">
        <f>AVERAGE($B2:K2)</f>
        <v>0.146524133187487</v>
      </c>
      <c r="L4" s="36">
        <f>AVERAGE($B2:L2)</f>
        <v>0.147301979621197</v>
      </c>
      <c r="M4" s="36">
        <f>AVERAGE($B2:M2)</f>
        <v>0.147950184982621</v>
      </c>
      <c r="N4" s="36">
        <f>AVERAGE($B2:N2)</f>
        <v>0.148498666442288</v>
      </c>
      <c r="O4" s="36">
        <f>AVERAGE($B2:O2)</f>
        <v>0.142857142857143</v>
      </c>
      <c r="P4" s="36">
        <f>AVERAGE($B2:P2)</f>
        <v>0.143604108309991</v>
      </c>
      <c r="Q4" s="36">
        <f>AVERAGE($B2:Q2)</f>
        <v>0.144257703081233</v>
      </c>
      <c r="R4" s="36">
        <f>AVERAGE($B2:R2)</f>
        <v>0.144834404349975</v>
      </c>
      <c r="S4" s="36">
        <f>AVERAGE($B2:S2)</f>
        <v>0.145347027699969</v>
      </c>
      <c r="T4" s="36">
        <f>AVERAGE($B2:T2)</f>
        <v>0.145805690697332</v>
      </c>
      <c r="U4" s="36">
        <f>AVERAGE($B2:U2)</f>
        <v>0.146218487394958</v>
      </c>
      <c r="V4" s="36">
        <f>AVERAGE($B2:V2)</f>
        <v>0.142857142857143</v>
      </c>
      <c r="W4" s="36">
        <f>AVERAGE($B2:Y2)</f>
        <v>0.144503979670119</v>
      </c>
      <c r="X4" s="36">
        <f>AVERAGE($B2:Y2)</f>
        <v>0.144503979670119</v>
      </c>
      <c r="Y4" s="36">
        <f>AVERAGE($B2:Y2)</f>
        <v>0.144503979670119</v>
      </c>
      <c r="Z4" s="36">
        <f>AVERAGE($B2:Z2)</f>
        <v>0.144965093977752</v>
      </c>
      <c r="AA4" s="36">
        <f>AVERAGE($B2:AA2)</f>
        <v>0.145390737954029</v>
      </c>
      <c r="AB4" s="36">
        <f>AVERAGE($B2:AB2)</f>
        <v>0.145784852746878</v>
      </c>
      <c r="AC4" s="36">
        <f>AVERAGE($B2:AC2)</f>
        <v>0.142857142857143</v>
      </c>
      <c r="AD4" s="36">
        <f>AVERAGE($B2:AD2)</f>
        <v>0.143256377632928</v>
      </c>
      <c r="AE4" s="36">
        <f>AVERAGE($B2:AE2)</f>
        <v>0.143628996756994</v>
      </c>
      <c r="AF4" s="36">
        <f>AVERAGE($B2:AF2)</f>
        <v>0.143977575937572</v>
      </c>
      <c r="AG4" s="36">
        <f>AVERAGE($B2:AG2)</f>
        <v>0.144304368919364</v>
      </c>
      <c r="AH4" s="36">
        <f>AVERAGE($B2:AH2)</f>
        <v>0.144611356265896</v>
      </c>
      <c r="AI4" s="36">
        <f>AVERAGE($B2:AI2)</f>
        <v>0.144900285533219</v>
      </c>
      <c r="AJ4" s="36">
        <f>AVERAGE($B2:AJ2)</f>
        <v>0.142857142857143</v>
      </c>
      <c r="AK4" s="36">
        <f>AVERAGE($B2:AK2)</f>
        <v>0.143100358422939</v>
      </c>
      <c r="AL4" s="36">
        <f>AVERAGE($B2:AL2)</f>
        <v>0.139232781168265</v>
      </c>
      <c r="AM4" s="36">
        <f>AVERAGE($B2:AM2)</f>
        <v>0.135568760611205</v>
      </c>
      <c r="AN4" s="36">
        <f>AVERAGE($B2:AN2)</f>
        <v>0.132092638544251</v>
      </c>
      <c r="AO4" s="36">
        <f>AVERAGE($B2:AO2)</f>
        <v>0.128790322580645</v>
      </c>
      <c r="AP4" s="36">
        <f>AVERAGE($B2:AP2)</f>
        <v>0.125649095200629</v>
      </c>
      <c r="AQ4" s="36">
        <f>AVERAGE($B2:AQ2)</f>
        <v>0.122657450076805</v>
      </c>
      <c r="AR4" s="36">
        <f>AVERAGE($B2:AR2)</f>
        <v>0.119804951237809</v>
      </c>
    </row>
    <row r="5" spans="1:44">
      <c r="A5" s="6" t="s">
        <v>4</v>
      </c>
      <c r="B5" s="36">
        <f>4/26</f>
        <v>0.153846153846154</v>
      </c>
      <c r="C5" s="36">
        <f t="shared" ref="C5:AR5" si="0">B5</f>
        <v>0.153846153846154</v>
      </c>
      <c r="D5" s="36">
        <f t="shared" si="0"/>
        <v>0.153846153846154</v>
      </c>
      <c r="E5" s="36">
        <f t="shared" si="0"/>
        <v>0.153846153846154</v>
      </c>
      <c r="F5" s="36">
        <f t="shared" si="0"/>
        <v>0.153846153846154</v>
      </c>
      <c r="G5" s="36">
        <f t="shared" si="0"/>
        <v>0.153846153846154</v>
      </c>
      <c r="H5" s="36">
        <f t="shared" si="0"/>
        <v>0.153846153846154</v>
      </c>
      <c r="I5" s="36">
        <f t="shared" si="0"/>
        <v>0.153846153846154</v>
      </c>
      <c r="J5" s="36">
        <f t="shared" si="0"/>
        <v>0.153846153846154</v>
      </c>
      <c r="K5" s="36">
        <f t="shared" si="0"/>
        <v>0.153846153846154</v>
      </c>
      <c r="L5" s="36">
        <f t="shared" si="0"/>
        <v>0.153846153846154</v>
      </c>
      <c r="M5" s="36">
        <f t="shared" si="0"/>
        <v>0.153846153846154</v>
      </c>
      <c r="N5" s="36">
        <f t="shared" si="0"/>
        <v>0.153846153846154</v>
      </c>
      <c r="O5" s="36">
        <f t="shared" si="0"/>
        <v>0.153846153846154</v>
      </c>
      <c r="P5" s="36">
        <f t="shared" si="0"/>
        <v>0.153846153846154</v>
      </c>
      <c r="Q5" s="36">
        <f t="shared" si="0"/>
        <v>0.153846153846154</v>
      </c>
      <c r="R5" s="36">
        <f t="shared" si="0"/>
        <v>0.153846153846154</v>
      </c>
      <c r="S5" s="36">
        <f t="shared" si="0"/>
        <v>0.153846153846154</v>
      </c>
      <c r="T5" s="36">
        <f t="shared" si="0"/>
        <v>0.153846153846154</v>
      </c>
      <c r="U5" s="36">
        <f t="shared" si="0"/>
        <v>0.153846153846154</v>
      </c>
      <c r="V5" s="36">
        <f t="shared" si="0"/>
        <v>0.153846153846154</v>
      </c>
      <c r="W5" s="36">
        <f t="shared" si="0"/>
        <v>0.153846153846154</v>
      </c>
      <c r="X5" s="36">
        <f t="shared" si="0"/>
        <v>0.153846153846154</v>
      </c>
      <c r="Y5" s="36">
        <f t="shared" si="0"/>
        <v>0.153846153846154</v>
      </c>
      <c r="Z5" s="36">
        <f t="shared" si="0"/>
        <v>0.153846153846154</v>
      </c>
      <c r="AA5" s="36">
        <f t="shared" si="0"/>
        <v>0.153846153846154</v>
      </c>
      <c r="AB5" s="36">
        <f t="shared" si="0"/>
        <v>0.153846153846154</v>
      </c>
      <c r="AC5" s="36">
        <f t="shared" si="0"/>
        <v>0.153846153846154</v>
      </c>
      <c r="AD5" s="36">
        <f t="shared" si="0"/>
        <v>0.153846153846154</v>
      </c>
      <c r="AE5" s="36">
        <f t="shared" si="0"/>
        <v>0.153846153846154</v>
      </c>
      <c r="AF5" s="36">
        <f t="shared" si="0"/>
        <v>0.153846153846154</v>
      </c>
      <c r="AG5" s="36">
        <f t="shared" si="0"/>
        <v>0.153846153846154</v>
      </c>
      <c r="AH5" s="36">
        <f t="shared" si="0"/>
        <v>0.153846153846154</v>
      </c>
      <c r="AI5" s="36">
        <f t="shared" si="0"/>
        <v>0.153846153846154</v>
      </c>
      <c r="AJ5" s="36">
        <f t="shared" si="0"/>
        <v>0.153846153846154</v>
      </c>
      <c r="AK5" s="36">
        <f t="shared" si="0"/>
        <v>0.153846153846154</v>
      </c>
      <c r="AL5" s="36">
        <f t="shared" si="0"/>
        <v>0.153846153846154</v>
      </c>
      <c r="AM5" s="36">
        <f t="shared" si="0"/>
        <v>0.153846153846154</v>
      </c>
      <c r="AN5" s="36">
        <f t="shared" si="0"/>
        <v>0.153846153846154</v>
      </c>
      <c r="AO5" s="36">
        <f t="shared" si="0"/>
        <v>0.153846153846154</v>
      </c>
      <c r="AP5" s="36">
        <f t="shared" si="0"/>
        <v>0.153846153846154</v>
      </c>
      <c r="AQ5" s="36">
        <f t="shared" si="0"/>
        <v>0.153846153846154</v>
      </c>
      <c r="AR5" s="36">
        <f t="shared" si="0"/>
        <v>0.153846153846154</v>
      </c>
    </row>
    <row r="6" spans="1:44">
      <c r="A6" s="6" t="s">
        <v>5</v>
      </c>
      <c r="B6" s="36">
        <f t="shared" ref="B6:AR6" si="1">B5-B2</f>
        <v>-0.000521381928996006</v>
      </c>
      <c r="C6" s="36">
        <f t="shared" si="1"/>
        <v>-0.000521381928996006</v>
      </c>
      <c r="D6" s="36">
        <f t="shared" si="1"/>
        <v>-0.000521381928996006</v>
      </c>
      <c r="E6" s="36">
        <f t="shared" si="1"/>
        <v>-0.000521381928996006</v>
      </c>
      <c r="F6" s="36">
        <f t="shared" si="1"/>
        <v>-0.000521381928996006</v>
      </c>
      <c r="G6" s="36">
        <f t="shared" si="1"/>
        <v>-0.000521381928996006</v>
      </c>
      <c r="H6" s="36">
        <f t="shared" si="1"/>
        <v>0.080051368497053</v>
      </c>
      <c r="I6" s="36">
        <f t="shared" si="1"/>
        <v>-0.00123429011213699</v>
      </c>
      <c r="J6" s="36">
        <f t="shared" si="1"/>
        <v>-0.00123429011213699</v>
      </c>
      <c r="K6" s="36">
        <f t="shared" si="1"/>
        <v>-0.00123429011213699</v>
      </c>
      <c r="L6" s="36">
        <f t="shared" si="1"/>
        <v>-0.00123429011213699</v>
      </c>
      <c r="M6" s="36">
        <f t="shared" si="1"/>
        <v>-0.00123429011213699</v>
      </c>
      <c r="N6" s="36">
        <f t="shared" si="1"/>
        <v>-0.00123429011213699</v>
      </c>
      <c r="O6" s="36">
        <f t="shared" si="1"/>
        <v>0.0843288175958981</v>
      </c>
      <c r="P6" s="36">
        <f t="shared" si="1"/>
        <v>-0.000215470803706014</v>
      </c>
      <c r="Q6" s="36">
        <f t="shared" si="1"/>
        <v>-0.000215470803706014</v>
      </c>
      <c r="R6" s="36">
        <f t="shared" si="1"/>
        <v>-0.000215470803706014</v>
      </c>
      <c r="S6" s="36">
        <f t="shared" si="1"/>
        <v>-0.000215470803706014</v>
      </c>
      <c r="T6" s="36">
        <f t="shared" si="1"/>
        <v>-0.000215470803706014</v>
      </c>
      <c r="U6" s="36">
        <f t="shared" si="1"/>
        <v>-0.000215470803706014</v>
      </c>
      <c r="V6" s="36">
        <f t="shared" si="1"/>
        <v>0.0782159017453137</v>
      </c>
      <c r="W6" s="36">
        <f t="shared" si="1"/>
        <v>-0.002185683514797</v>
      </c>
      <c r="X6" s="36">
        <f t="shared" si="1"/>
        <v>-0.002185683514797</v>
      </c>
      <c r="Y6" s="36">
        <f t="shared" si="1"/>
        <v>-0.002185683514797</v>
      </c>
      <c r="Z6" s="36">
        <f t="shared" si="1"/>
        <v>-0.002185683514797</v>
      </c>
      <c r="AA6" s="36">
        <f t="shared" si="1"/>
        <v>-0.002185683514797</v>
      </c>
      <c r="AB6" s="36">
        <f t="shared" si="1"/>
        <v>-0.002185683514797</v>
      </c>
      <c r="AC6" s="36">
        <f t="shared" si="1"/>
        <v>0.0900371780118617</v>
      </c>
      <c r="AD6" s="36">
        <f t="shared" si="1"/>
        <v>-0.000588797508757011</v>
      </c>
      <c r="AE6" s="36">
        <f t="shared" si="1"/>
        <v>-0.000588797508757011</v>
      </c>
      <c r="AF6" s="36">
        <f t="shared" si="1"/>
        <v>-0.000588797508757011</v>
      </c>
      <c r="AG6" s="36">
        <f t="shared" si="1"/>
        <v>-0.000588797508757011</v>
      </c>
      <c r="AH6" s="36">
        <f t="shared" si="1"/>
        <v>-0.000588797508757011</v>
      </c>
      <c r="AI6" s="36">
        <f t="shared" si="1"/>
        <v>-0.000588797508757011</v>
      </c>
      <c r="AJ6" s="36">
        <f t="shared" si="1"/>
        <v>0.0804558619756189</v>
      </c>
      <c r="AK6" s="36">
        <f t="shared" si="1"/>
        <v>0.00223325062034754</v>
      </c>
      <c r="AL6" s="36">
        <f t="shared" si="1"/>
        <v>0.153846153846154</v>
      </c>
      <c r="AM6" s="36">
        <f t="shared" si="1"/>
        <v>0.153846153846154</v>
      </c>
      <c r="AN6" s="36">
        <f t="shared" si="1"/>
        <v>0.153846153846154</v>
      </c>
      <c r="AO6" s="36">
        <f t="shared" si="1"/>
        <v>0.153846153846154</v>
      </c>
      <c r="AP6" s="36">
        <f t="shared" si="1"/>
        <v>0.153846153846154</v>
      </c>
      <c r="AQ6" s="36">
        <f t="shared" si="1"/>
        <v>0.153846153846154</v>
      </c>
      <c r="AR6" s="36">
        <f t="shared" si="1"/>
        <v>0.153846153846154</v>
      </c>
    </row>
    <row r="7" hidden="1"/>
    <row r="8" hidden="1" spans="1:44">
      <c r="A8" s="6" t="s">
        <v>6</v>
      </c>
    </row>
    <row r="9" hidden="1" spans="1:44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44">
      <c r="A10" s="6" t="s">
        <v>16</v>
      </c>
      <c r="B10" s="6">
        <v>100</v>
      </c>
      <c r="C10" s="36">
        <f>4/26</f>
        <v>0.153846153846154</v>
      </c>
      <c r="D10" s="6">
        <v>50</v>
      </c>
      <c r="E10" s="36">
        <f>AVERAGE(F$10:F10)</f>
        <v>0</v>
      </c>
      <c r="F10" s="36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44">
      <c r="A11" s="6" t="s">
        <v>17</v>
      </c>
      <c r="B11" s="6">
        <v>50</v>
      </c>
      <c r="C11" s="36">
        <f>C10</f>
        <v>0.153846153846154</v>
      </c>
      <c r="D11" s="6">
        <v>25</v>
      </c>
      <c r="E11" s="36">
        <f>AVERAGE(F$10:F11)</f>
        <v>0</v>
      </c>
      <c r="F11" s="36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44">
      <c r="A13" s="6" t="s">
        <v>18</v>
      </c>
    </row>
    <row r="14" hidden="1" spans="1:44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44">
      <c r="A15" s="6" t="s">
        <v>19</v>
      </c>
      <c r="B15" s="6">
        <v>257</v>
      </c>
      <c r="C15" s="36">
        <f>4/26</f>
        <v>0.153846153846154</v>
      </c>
      <c r="D15" s="6">
        <f t="shared" ref="D10:D20" si="4">ROUND(B15*C15,0)</f>
        <v>40</v>
      </c>
      <c r="E15" s="36">
        <f>AVERAGE(F$15:F15)</f>
        <v>0.066147859922179</v>
      </c>
      <c r="F15" s="36">
        <f t="shared" si="2"/>
        <v>0.066147859922179</v>
      </c>
      <c r="G15" s="6">
        <f t="shared" si="3"/>
        <v>17</v>
      </c>
      <c r="H15" s="6">
        <v>240</v>
      </c>
      <c r="I15" s="38">
        <f t="shared" ref="I15:I20" si="5">MIN($J$14*D15,J15)</f>
        <v>257</v>
      </c>
      <c r="J15" s="6">
        <v>257</v>
      </c>
    </row>
    <row r="16" hidden="1" spans="1:44">
      <c r="A16" s="6" t="s">
        <v>20</v>
      </c>
      <c r="B16" s="6">
        <v>390</v>
      </c>
      <c r="C16" s="36">
        <f t="shared" ref="C16:C20" si="6">C15</f>
        <v>0.153846153846154</v>
      </c>
      <c r="D16" s="6">
        <f t="shared" si="4"/>
        <v>60</v>
      </c>
      <c r="E16" s="36">
        <f>AVERAGE(F$15:F16)</f>
        <v>0.071535468422628</v>
      </c>
      <c r="F16" s="36">
        <f t="shared" si="2"/>
        <v>0.0769230769230769</v>
      </c>
      <c r="G16" s="6">
        <f t="shared" si="3"/>
        <v>30</v>
      </c>
      <c r="H16" s="6">
        <v>360</v>
      </c>
      <c r="I16" s="38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6">
        <f t="shared" si="6"/>
        <v>0.153846153846154</v>
      </c>
      <c r="D17" s="6">
        <f t="shared" si="4"/>
        <v>74</v>
      </c>
      <c r="E17" s="36">
        <f>AVERAGE(F$15:F17)</f>
        <v>0.0752385216481432</v>
      </c>
      <c r="F17" s="36">
        <f t="shared" si="2"/>
        <v>0.0826446280991736</v>
      </c>
      <c r="G17" s="6">
        <f t="shared" si="3"/>
        <v>40</v>
      </c>
      <c r="H17" s="6">
        <v>444</v>
      </c>
      <c r="I17" s="38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6">
        <f t="shared" si="6"/>
        <v>0.153846153846154</v>
      </c>
      <c r="D18" s="6">
        <f t="shared" si="4"/>
        <v>37</v>
      </c>
      <c r="E18" s="36">
        <f>AVERAGE(F$15:F18)</f>
        <v>0.0751788912361074</v>
      </c>
      <c r="F18" s="36">
        <f t="shared" si="2"/>
        <v>0.075</v>
      </c>
      <c r="G18" s="6">
        <f t="shared" si="3"/>
        <v>18</v>
      </c>
      <c r="H18" s="6">
        <v>222</v>
      </c>
      <c r="I18" s="38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6">
        <f t="shared" si="6"/>
        <v>0.153846153846154</v>
      </c>
      <c r="D19" s="6">
        <f t="shared" si="4"/>
        <v>42</v>
      </c>
      <c r="E19" s="36">
        <f>AVERAGE(F$15:F19)</f>
        <v>0.0741652532102881</v>
      </c>
      <c r="F19" s="36">
        <f t="shared" si="2"/>
        <v>0.0701107011070111</v>
      </c>
      <c r="G19" s="6">
        <f t="shared" si="3"/>
        <v>19</v>
      </c>
      <c r="H19" s="6">
        <v>252</v>
      </c>
      <c r="I19" s="38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6">
        <f t="shared" si="6"/>
        <v>0.153846153846154</v>
      </c>
      <c r="D20" s="6">
        <f t="shared" si="4"/>
        <v>43</v>
      </c>
      <c r="E20" s="36">
        <f>AVERAGE(F$15:F20)</f>
        <v>0.073794785349101</v>
      </c>
      <c r="F20" s="36">
        <f t="shared" si="2"/>
        <v>0.0719424460431655</v>
      </c>
      <c r="G20" s="6">
        <f t="shared" si="3"/>
        <v>20</v>
      </c>
      <c r="H20" s="6">
        <v>258</v>
      </c>
      <c r="I20" s="38">
        <f t="shared" si="5"/>
        <v>278</v>
      </c>
      <c r="J20" s="6">
        <v>278</v>
      </c>
    </row>
    <row r="21" hidden="1" spans="1:10">
      <c r="C21" s="36"/>
      <c r="E21" s="36"/>
      <c r="F21" s="36"/>
    </row>
    <row r="22" hidden="1" spans="1:10">
      <c r="A22" s="6" t="s">
        <v>25</v>
      </c>
      <c r="C22" s="36"/>
      <c r="E22" s="36"/>
      <c r="F22" s="36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6">
        <f>4/26</f>
        <v>0.153846153846154</v>
      </c>
      <c r="D24" s="6">
        <f t="shared" ref="D24:D28" si="7">ROUND(B24*C24,0)</f>
        <v>68</v>
      </c>
      <c r="E24" s="36">
        <f>AVERAGE(F$24:F24)</f>
        <v>0.0727272727272727</v>
      </c>
      <c r="F24" s="36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8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6">
        <f t="shared" ref="C25:C28" si="11">C24</f>
        <v>0.153846153846154</v>
      </c>
      <c r="D25" s="6">
        <f t="shared" si="7"/>
        <v>58</v>
      </c>
      <c r="E25" s="36">
        <f>AVERAGE(F$24:F25)</f>
        <v>0.076046176046176</v>
      </c>
      <c r="F25" s="36">
        <f t="shared" si="8"/>
        <v>0.0793650793650794</v>
      </c>
      <c r="G25" s="6">
        <f t="shared" si="9"/>
        <v>30</v>
      </c>
      <c r="H25" s="6">
        <v>348</v>
      </c>
      <c r="I25" s="38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6">
        <f t="shared" si="11"/>
        <v>0.153846153846154</v>
      </c>
      <c r="D26" s="6">
        <f t="shared" si="7"/>
        <v>32</v>
      </c>
      <c r="E26" s="36">
        <f>AVERAGE(F$24:F26)</f>
        <v>0.0778106883370041</v>
      </c>
      <c r="F26" s="36">
        <f t="shared" si="8"/>
        <v>0.0813397129186603</v>
      </c>
      <c r="G26" s="6">
        <f t="shared" si="9"/>
        <v>17</v>
      </c>
      <c r="H26" s="6">
        <v>192</v>
      </c>
      <c r="I26" s="38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6">
        <f t="shared" si="11"/>
        <v>0.153846153846154</v>
      </c>
      <c r="D27" s="6">
        <f t="shared" si="7"/>
        <v>10</v>
      </c>
      <c r="E27" s="36">
        <f>AVERAGE(F$24:F27)</f>
        <v>0.0664225323817854</v>
      </c>
      <c r="F27" s="36">
        <f t="shared" si="8"/>
        <v>0.032258064516129</v>
      </c>
      <c r="G27" s="6">
        <f t="shared" si="9"/>
        <v>2</v>
      </c>
      <c r="H27" s="6">
        <v>60</v>
      </c>
      <c r="I27" s="38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6">
        <f t="shared" si="11"/>
        <v>0.153846153846154</v>
      </c>
      <c r="D28" s="6">
        <f t="shared" si="7"/>
        <v>71</v>
      </c>
      <c r="E28" s="36">
        <f>AVERAGE(F$24:F28)</f>
        <v>0.0695173362502559</v>
      </c>
      <c r="F28" s="36">
        <f t="shared" si="8"/>
        <v>0.0818965517241379</v>
      </c>
      <c r="G28" s="6">
        <f t="shared" si="9"/>
        <v>38</v>
      </c>
      <c r="H28" s="6">
        <v>426</v>
      </c>
      <c r="I28" s="38">
        <f t="shared" si="10"/>
        <v>464</v>
      </c>
      <c r="J28" s="6">
        <v>464</v>
      </c>
    </row>
    <row r="29" hidden="1" spans="1:10">
      <c r="C29" s="36"/>
      <c r="E29" s="36"/>
      <c r="F29" s="36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6">
        <f t="shared" ref="C32:C35" si="12">4/26</f>
        <v>0.153846153846154</v>
      </c>
      <c r="D32" s="6">
        <f t="shared" ref="D32:D35" si="13">ROUND(B32*C32,0)</f>
        <v>20</v>
      </c>
      <c r="E32" s="36">
        <f>AVERAGE(F$32:F32)</f>
        <v>0.0909090909090909</v>
      </c>
      <c r="F32" s="36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8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6">
        <f t="shared" si="12"/>
        <v>0.153846153846154</v>
      </c>
      <c r="D33" s="6">
        <f t="shared" si="13"/>
        <v>5</v>
      </c>
      <c r="E33" s="36">
        <f>AVERAGE(F$32:F33)</f>
        <v>0.0454545454545455</v>
      </c>
      <c r="F33" s="36">
        <f t="shared" si="14"/>
        <v>0</v>
      </c>
      <c r="G33" s="6">
        <f t="shared" si="15"/>
        <v>0</v>
      </c>
      <c r="H33" s="6">
        <v>30</v>
      </c>
      <c r="I33" s="38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6">
        <f t="shared" si="12"/>
        <v>0.153846153846154</v>
      </c>
      <c r="D34" s="6">
        <f t="shared" si="13"/>
        <v>61</v>
      </c>
      <c r="E34" s="36">
        <f>AVERAGE(F$32:F34)</f>
        <v>0.0547756041426928</v>
      </c>
      <c r="F34" s="36">
        <f t="shared" si="14"/>
        <v>0.0734177215189873</v>
      </c>
      <c r="G34" s="6">
        <f t="shared" si="15"/>
        <v>29</v>
      </c>
      <c r="H34" s="6">
        <v>366</v>
      </c>
      <c r="I34" s="38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6">
        <f t="shared" si="12"/>
        <v>0.153846153846154</v>
      </c>
      <c r="D35" s="6">
        <f t="shared" si="13"/>
        <v>10</v>
      </c>
      <c r="E35" s="36">
        <f>AVERAGE(F$32:F35)</f>
        <v>0.0638089758342923</v>
      </c>
      <c r="F35" s="36">
        <f t="shared" si="14"/>
        <v>0.0909090909090909</v>
      </c>
      <c r="G35" s="6">
        <f t="shared" si="15"/>
        <v>6</v>
      </c>
      <c r="H35" s="6">
        <v>60</v>
      </c>
      <c r="I35" s="38">
        <f t="shared" si="16"/>
        <v>66</v>
      </c>
      <c r="J35" s="6">
        <v>66</v>
      </c>
    </row>
    <row r="37" spans="1:10">
      <c r="A37" s="33" t="s">
        <v>36</v>
      </c>
      <c r="C37" s="36"/>
      <c r="E37" s="36"/>
      <c r="F37" s="36"/>
    </row>
    <row r="38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2</v>
      </c>
    </row>
    <row r="39" spans="1:10">
      <c r="A39" s="33" t="s">
        <v>37</v>
      </c>
      <c r="B39" s="6">
        <f>100+148</f>
        <v>248</v>
      </c>
      <c r="C39" s="36">
        <f>4/26</f>
        <v>0.153846153846154</v>
      </c>
      <c r="D39" s="6">
        <f>ROUND(B39*C39,0)</f>
        <v>38</v>
      </c>
      <c r="E39" s="36">
        <f>AVERAGE(F$39:F39)</f>
        <v>0.0725806451612903</v>
      </c>
      <c r="F39" s="36">
        <f>G39/B39</f>
        <v>0.0725806451612903</v>
      </c>
      <c r="G39" s="6">
        <f>I39-H39</f>
        <v>18</v>
      </c>
      <c r="H39" s="6">
        <v>38</v>
      </c>
      <c r="I39" s="39">
        <f>MIN($J$38*D39,J39)</f>
        <v>56</v>
      </c>
      <c r="J39" s="6">
        <v>56</v>
      </c>
    </row>
    <row r="40" spans="1:10">
      <c r="A40" s="33" t="s">
        <v>38</v>
      </c>
      <c r="B40" s="6">
        <v>40</v>
      </c>
      <c r="C40" s="36">
        <f>4/26</f>
        <v>0.153846153846154</v>
      </c>
      <c r="D40" s="6">
        <f>ROUND(B40*C40,0)</f>
        <v>6</v>
      </c>
      <c r="E40" s="36">
        <f>AVERAGE(F$39:F40)</f>
        <v>0.111290322580645</v>
      </c>
      <c r="F40" s="36">
        <f>G40/B40</f>
        <v>0.15</v>
      </c>
      <c r="G40" s="6">
        <f>I40-H40</f>
        <v>6</v>
      </c>
      <c r="H40" s="6">
        <v>6</v>
      </c>
      <c r="I40" s="38">
        <f>MIN($J$38*D40,J40)</f>
        <v>12</v>
      </c>
      <c r="J40" s="6">
        <v>13</v>
      </c>
    </row>
    <row r="41" hidden="1"/>
    <row r="42" hidden="1" spans="1:10">
      <c r="A42" s="6" t="s">
        <v>39</v>
      </c>
      <c r="C42" s="36"/>
      <c r="E42" s="36"/>
      <c r="F42" s="36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6">
        <f t="shared" ref="C44:C49" si="17">4/26</f>
        <v>0.153846153846154</v>
      </c>
      <c r="D44" s="6">
        <f>ROUND(B44*C44,0)</f>
        <v>55</v>
      </c>
      <c r="E44" s="36">
        <f>AVERAGE(F$44:F44)</f>
        <v>0.0756302521008403</v>
      </c>
      <c r="F44" s="36">
        <f>G44/B44</f>
        <v>0.0756302521008403</v>
      </c>
      <c r="G44" s="6">
        <f>I44-H44</f>
        <v>27</v>
      </c>
      <c r="H44" s="6">
        <v>330</v>
      </c>
      <c r="I44" s="38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6"/>
      <c r="E46" s="36"/>
      <c r="F46" s="36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6">
        <f t="shared" si="17"/>
        <v>0.153846153846154</v>
      </c>
      <c r="D48" s="6">
        <f t="shared" ref="D48:D54" si="18">ROUND(B48*C48,0)</f>
        <v>80</v>
      </c>
      <c r="E48" s="36">
        <f>AVERAGE(F$48:F48)</f>
        <v>0.0822179732313576</v>
      </c>
      <c r="F48" s="36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8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6">
        <f t="shared" si="17"/>
        <v>0.153846153846154</v>
      </c>
      <c r="D49" s="6">
        <f t="shared" si="18"/>
        <v>67</v>
      </c>
      <c r="E49" s="36">
        <f>AVERAGE(F$48:F49)</f>
        <v>0.0779753460626834</v>
      </c>
      <c r="F49" s="36">
        <f t="shared" si="19"/>
        <v>0.0737327188940092</v>
      </c>
      <c r="G49" s="6">
        <f t="shared" si="20"/>
        <v>32</v>
      </c>
      <c r="H49" s="6">
        <v>402</v>
      </c>
      <c r="I49" s="38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6">
        <f t="shared" ref="C50:C60" si="22">4/26</f>
        <v>0.153846153846154</v>
      </c>
      <c r="D50" s="6">
        <f t="shared" si="18"/>
        <v>17</v>
      </c>
      <c r="E50" s="36">
        <f>AVERAGE(F$48:F50)</f>
        <v>0.0733902918705351</v>
      </c>
      <c r="F50" s="36">
        <f t="shared" si="19"/>
        <v>0.0642201834862385</v>
      </c>
      <c r="G50" s="6">
        <f t="shared" si="20"/>
        <v>7</v>
      </c>
      <c r="H50" s="6">
        <v>102</v>
      </c>
      <c r="I50" s="38">
        <f t="shared" si="21"/>
        <v>109</v>
      </c>
      <c r="J50" s="6">
        <v>109</v>
      </c>
    </row>
    <row r="51" spans="1:10">
      <c r="C51" s="36"/>
      <c r="E51" s="36"/>
      <c r="F51" s="36"/>
      <c r="I51" s="39"/>
    </row>
    <row r="52" spans="1:10">
      <c r="A52" s="6" t="s">
        <v>44</v>
      </c>
      <c r="C52" s="36"/>
      <c r="E52" s="36"/>
      <c r="F52" s="36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40" t="s">
        <v>45</v>
      </c>
      <c r="B54" s="6">
        <v>999</v>
      </c>
      <c r="C54" s="36">
        <f t="shared" si="22"/>
        <v>0.153846153846154</v>
      </c>
      <c r="D54" s="6">
        <f t="shared" ref="D54:D60" si="23">ROUND(B54*C54,0)</f>
        <v>154</v>
      </c>
      <c r="E54" s="36">
        <f>AVERAGE(F$54:F54)</f>
        <v>0</v>
      </c>
      <c r="F54" s="36">
        <f t="shared" ref="F54:F60" si="24">G54/B54</f>
        <v>0</v>
      </c>
      <c r="G54" s="6">
        <f t="shared" ref="G54:G60" si="25">I54-H54</f>
        <v>0</v>
      </c>
      <c r="I54" s="39">
        <f t="shared" ref="I54:I60" si="26">MIN($J$53*D54,J54)</f>
        <v>0</v>
      </c>
      <c r="J54" s="6">
        <v>0</v>
      </c>
    </row>
    <row r="55" spans="1:10">
      <c r="A55" s="40" t="s">
        <v>46</v>
      </c>
      <c r="B55" s="6">
        <v>999</v>
      </c>
      <c r="C55" s="36">
        <f t="shared" si="22"/>
        <v>0.153846153846154</v>
      </c>
      <c r="D55" s="6">
        <f t="shared" si="23"/>
        <v>154</v>
      </c>
      <c r="E55" s="36">
        <f>AVERAGE(F$54:F55)</f>
        <v>0</v>
      </c>
      <c r="F55" s="36">
        <f t="shared" si="24"/>
        <v>0</v>
      </c>
      <c r="G55" s="6">
        <f t="shared" si="25"/>
        <v>0</v>
      </c>
      <c r="I55" s="39">
        <f t="shared" si="26"/>
        <v>0</v>
      </c>
      <c r="J55" s="6">
        <v>0</v>
      </c>
    </row>
    <row r="56" spans="1:10">
      <c r="A56" s="40" t="s">
        <v>47</v>
      </c>
      <c r="B56" s="6">
        <v>999</v>
      </c>
      <c r="C56" s="36">
        <f t="shared" si="22"/>
        <v>0.153846153846154</v>
      </c>
      <c r="D56" s="6">
        <f t="shared" si="23"/>
        <v>154</v>
      </c>
      <c r="E56" s="36">
        <f>AVERAGE(F$54:F56)</f>
        <v>0</v>
      </c>
      <c r="F56" s="36">
        <f t="shared" si="24"/>
        <v>0</v>
      </c>
      <c r="G56" s="6">
        <f t="shared" si="25"/>
        <v>0</v>
      </c>
      <c r="I56" s="39">
        <f t="shared" si="26"/>
        <v>0</v>
      </c>
      <c r="J56" s="6">
        <v>0</v>
      </c>
    </row>
    <row r="57" spans="1:10">
      <c r="A57" s="40" t="s">
        <v>48</v>
      </c>
      <c r="B57" s="6">
        <v>999</v>
      </c>
      <c r="C57" s="36">
        <f t="shared" si="22"/>
        <v>0.153846153846154</v>
      </c>
      <c r="D57" s="6">
        <f t="shared" si="23"/>
        <v>154</v>
      </c>
      <c r="E57" s="36">
        <f>AVERAGE(F$54:F57)</f>
        <v>0</v>
      </c>
      <c r="F57" s="36">
        <f t="shared" si="24"/>
        <v>0</v>
      </c>
      <c r="G57" s="6">
        <f t="shared" si="25"/>
        <v>0</v>
      </c>
      <c r="I57" s="39">
        <f t="shared" si="26"/>
        <v>0</v>
      </c>
      <c r="J57" s="6">
        <v>0</v>
      </c>
    </row>
    <row r="58" spans="1:10">
      <c r="A58" s="41" t="s">
        <v>49</v>
      </c>
      <c r="B58" s="6">
        <v>999</v>
      </c>
      <c r="C58" s="36">
        <f t="shared" si="22"/>
        <v>0.153846153846154</v>
      </c>
      <c r="D58" s="6">
        <f t="shared" si="23"/>
        <v>154</v>
      </c>
      <c r="E58" s="36">
        <f>AVERAGE(F$54:F58)</f>
        <v>0</v>
      </c>
      <c r="F58" s="36">
        <f t="shared" si="24"/>
        <v>0</v>
      </c>
      <c r="G58" s="6">
        <f t="shared" si="25"/>
        <v>0</v>
      </c>
      <c r="I58" s="39">
        <f t="shared" si="26"/>
        <v>0</v>
      </c>
      <c r="J58" s="6">
        <v>0</v>
      </c>
    </row>
    <row r="59" spans="1:10">
      <c r="A59" s="41" t="s">
        <v>50</v>
      </c>
      <c r="B59" s="6">
        <v>999</v>
      </c>
      <c r="C59" s="36">
        <f t="shared" si="22"/>
        <v>0.153846153846154</v>
      </c>
      <c r="D59" s="6">
        <f t="shared" si="23"/>
        <v>154</v>
      </c>
      <c r="E59" s="36">
        <f>AVERAGE(F$54:F59)</f>
        <v>0</v>
      </c>
      <c r="F59" s="36">
        <f t="shared" si="24"/>
        <v>0</v>
      </c>
      <c r="G59" s="6">
        <f t="shared" si="25"/>
        <v>0</v>
      </c>
      <c r="I59" s="39">
        <f t="shared" si="26"/>
        <v>0</v>
      </c>
      <c r="J59" s="6">
        <v>0</v>
      </c>
    </row>
    <row r="60" spans="1:10">
      <c r="A60" s="41" t="s">
        <v>51</v>
      </c>
      <c r="B60" s="6">
        <v>999</v>
      </c>
      <c r="C60" s="36">
        <f t="shared" si="22"/>
        <v>0.153846153846154</v>
      </c>
      <c r="D60" s="6">
        <f t="shared" si="23"/>
        <v>154</v>
      </c>
      <c r="E60" s="36">
        <f>AVERAGE(F$54:F60)</f>
        <v>0</v>
      </c>
      <c r="F60" s="36">
        <f t="shared" si="24"/>
        <v>0</v>
      </c>
      <c r="G60" s="6">
        <f t="shared" si="25"/>
        <v>0</v>
      </c>
      <c r="I60" s="39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A41:AR46 I39:I40 C39:G40 K38:AR40 A38:I38 A3:AR37 AL2:AR2 A2:AH2 A1:AR1 A47:I47 K48:AH48 A48:G50 I48:I50 B58:AR60 A57:AR57 K54:AR56 A54:I56 A51:AR5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zoomScale="130" zoomScaleNormal="130" topLeftCell="A22" workbookViewId="0">
      <selection activeCell="B26" sqref="B26:B27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0">
      <c r="A17" s="6" t="s">
        <v>34</v>
      </c>
      <c r="B17" s="6">
        <v>395</v>
      </c>
      <c r="D17" s="6" t="s">
        <v>84</v>
      </c>
    </row>
    <row r="18" hidden="1" spans="1:10">
      <c r="A18" s="6" t="s">
        <v>85</v>
      </c>
      <c r="B18" s="6">
        <v>66</v>
      </c>
    </row>
    <row r="19" hidden="1" spans="1:10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0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spans="1:10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</row>
    <row r="23" spans="1:10">
      <c r="A23" s="6" t="s">
        <v>42</v>
      </c>
      <c r="B23" s="6">
        <v>434</v>
      </c>
      <c r="C23" s="6" t="s">
        <v>95</v>
      </c>
      <c r="D23" s="6" t="s">
        <v>96</v>
      </c>
      <c r="F23" s="6" t="s">
        <v>97</v>
      </c>
      <c r="G23" s="32" t="s">
        <v>98</v>
      </c>
      <c r="H23" s="32" t="s">
        <v>99</v>
      </c>
      <c r="I23" s="32" t="s">
        <v>100</v>
      </c>
    </row>
    <row r="24" spans="1:10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101</v>
      </c>
      <c r="G24" s="32" t="s">
        <v>102</v>
      </c>
      <c r="H24" s="32" t="s">
        <v>103</v>
      </c>
      <c r="I24" s="32" t="s">
        <v>104</v>
      </c>
    </row>
    <row r="25" spans="1:10">
      <c r="C25" s="6" t="s">
        <v>105</v>
      </c>
      <c r="D25" s="6" t="s">
        <v>106</v>
      </c>
      <c r="F25" s="6" t="s">
        <v>107</v>
      </c>
      <c r="G25" s="32" t="s">
        <v>108</v>
      </c>
      <c r="H25" s="32" t="s">
        <v>109</v>
      </c>
      <c r="I25" s="32" t="s">
        <v>110</v>
      </c>
    </row>
    <row r="26" spans="1:10">
      <c r="A26" s="33" t="s">
        <v>37</v>
      </c>
      <c r="B26" s="6">
        <f>SUM(C26:D26)</f>
        <v>56</v>
      </c>
      <c r="C26" s="6">
        <v>38</v>
      </c>
      <c r="D26" s="6">
        <v>18</v>
      </c>
      <c r="F26" s="6" t="s">
        <v>111</v>
      </c>
      <c r="G26" s="32" t="s">
        <v>112</v>
      </c>
      <c r="H26" s="32" t="s">
        <v>113</v>
      </c>
    </row>
    <row r="27" spans="1:10">
      <c r="A27" s="33" t="s">
        <v>38</v>
      </c>
      <c r="B27" s="6">
        <v>13</v>
      </c>
      <c r="F27" s="6" t="s">
        <v>114</v>
      </c>
      <c r="G27" s="32" t="s">
        <v>115</v>
      </c>
      <c r="H27" s="34" t="s">
        <v>116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117</v>
      </c>
      <c r="B1" s="8" t="s">
        <v>118</v>
      </c>
      <c r="C1" s="9" t="s">
        <v>119</v>
      </c>
      <c r="D1" s="10" t="s">
        <v>120</v>
      </c>
    </row>
    <row r="2" ht="15.15" spans="1:4">
      <c r="A2" s="11" t="s">
        <v>121</v>
      </c>
      <c r="B2" s="9" t="s">
        <v>121</v>
      </c>
      <c r="C2" s="9" t="s">
        <v>121</v>
      </c>
      <c r="D2" s="10" t="s">
        <v>121</v>
      </c>
    </row>
    <row r="3" ht="15.15" spans="1:4">
      <c r="A3" s="10" t="s">
        <v>122</v>
      </c>
      <c r="B3" s="12" t="s">
        <v>123</v>
      </c>
      <c r="C3" s="8" t="s">
        <v>124</v>
      </c>
      <c r="D3" s="7" t="s">
        <v>125</v>
      </c>
    </row>
    <row r="4" ht="15.15" spans="1:4">
      <c r="A4" s="13"/>
      <c r="B4" s="14" t="s">
        <v>126</v>
      </c>
      <c r="C4" s="15" t="s">
        <v>127</v>
      </c>
      <c r="D4" s="16" t="s">
        <v>128</v>
      </c>
    </row>
    <row r="5" ht="15.15" spans="1:4">
      <c r="A5" s="7" t="s">
        <v>129</v>
      </c>
      <c r="B5" s="17" t="s">
        <v>130</v>
      </c>
      <c r="C5" s="18" t="s">
        <v>131</v>
      </c>
      <c r="D5" s="17" t="s">
        <v>132</v>
      </c>
    </row>
    <row r="6" ht="15.15" spans="1:4">
      <c r="A6" s="13" t="s">
        <v>133</v>
      </c>
      <c r="B6" s="19" t="s">
        <v>134</v>
      </c>
      <c r="C6" s="20" t="s">
        <v>135</v>
      </c>
      <c r="D6" s="19" t="s">
        <v>136</v>
      </c>
    </row>
    <row r="7" ht="15.15" spans="1:4">
      <c r="A7" s="21" t="s">
        <v>137</v>
      </c>
      <c r="B7" s="22"/>
      <c r="C7" s="22"/>
      <c r="D7" s="23"/>
    </row>
    <row r="8" ht="15.15" spans="1:4">
      <c r="A8" s="7" t="s">
        <v>117</v>
      </c>
      <c r="B8" s="24" t="s">
        <v>138</v>
      </c>
      <c r="C8" s="21" t="s">
        <v>139</v>
      </c>
      <c r="D8" s="24" t="s">
        <v>140</v>
      </c>
    </row>
    <row r="9" ht="15.15" spans="1:4">
      <c r="A9" s="25" t="s">
        <v>121</v>
      </c>
      <c r="B9" s="25" t="s">
        <v>121</v>
      </c>
      <c r="C9" s="8" t="s">
        <v>121</v>
      </c>
      <c r="D9" s="7" t="s">
        <v>121</v>
      </c>
    </row>
    <row r="10" spans="1:4">
      <c r="A10" s="10" t="s">
        <v>122</v>
      </c>
      <c r="B10" s="26" t="s">
        <v>124</v>
      </c>
      <c r="C10" s="9" t="s">
        <v>122</v>
      </c>
      <c r="D10" s="10" t="s">
        <v>122</v>
      </c>
    </row>
    <row r="11" ht="15.15" spans="1:4">
      <c r="A11" s="13"/>
      <c r="B11" s="27"/>
      <c r="C11" s="28"/>
      <c r="D11" s="13"/>
    </row>
    <row r="12" ht="15.15" spans="1:4">
      <c r="A12" s="7" t="s">
        <v>129</v>
      </c>
      <c r="B12" s="29" t="s">
        <v>141</v>
      </c>
      <c r="C12" s="8" t="s">
        <v>129</v>
      </c>
      <c r="D12" s="7" t="s">
        <v>129</v>
      </c>
    </row>
    <row r="13" ht="15.15" spans="1:4">
      <c r="A13" s="13" t="s">
        <v>133</v>
      </c>
      <c r="B13" s="30" t="s">
        <v>142</v>
      </c>
      <c r="C13" s="18" t="s">
        <v>143</v>
      </c>
      <c r="D13" s="17" t="s">
        <v>144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145</v>
      </c>
      <c r="B1" s="1" t="s">
        <v>146</v>
      </c>
      <c r="C1" s="1" t="s">
        <v>147</v>
      </c>
    </row>
    <row r="2" ht="15.15" spans="1:7">
      <c r="A2" s="2" t="s">
        <v>148</v>
      </c>
      <c r="B2" s="2" t="s">
        <v>149</v>
      </c>
      <c r="C2" s="2" t="s">
        <v>150</v>
      </c>
    </row>
    <row r="3" ht="15.15" spans="1:7">
      <c r="A3" s="2" t="s">
        <v>151</v>
      </c>
      <c r="B3" s="2" t="s">
        <v>152</v>
      </c>
      <c r="C3" s="2" t="s">
        <v>153</v>
      </c>
    </row>
    <row r="4" ht="15.15" spans="1:7">
      <c r="A4" s="2" t="s">
        <v>154</v>
      </c>
      <c r="B4" s="2" t="s">
        <v>155</v>
      </c>
      <c r="C4" s="2" t="s">
        <v>156</v>
      </c>
    </row>
    <row r="5" ht="15.15" spans="1:7">
      <c r="A5" s="2" t="s">
        <v>157</v>
      </c>
      <c r="B5" s="2" t="s">
        <v>158</v>
      </c>
      <c r="C5" s="2" t="s">
        <v>159</v>
      </c>
    </row>
    <row r="6" ht="15.15" spans="1:7">
      <c r="A6" s="2" t="s">
        <v>160</v>
      </c>
      <c r="B6" s="2" t="s">
        <v>161</v>
      </c>
      <c r="C6" s="2" t="s">
        <v>162</v>
      </c>
    </row>
    <row r="7" ht="15.15"/>
    <row r="8" ht="15.15" spans="1:7">
      <c r="A8" s="1" t="s">
        <v>163</v>
      </c>
      <c r="B8" s="1" t="s">
        <v>164</v>
      </c>
      <c r="C8" s="1" t="s">
        <v>165</v>
      </c>
      <c r="D8" s="1" t="s">
        <v>166</v>
      </c>
      <c r="E8" s="1" t="s">
        <v>167</v>
      </c>
      <c r="F8" s="1" t="s">
        <v>168</v>
      </c>
      <c r="G8" s="1" t="s">
        <v>169</v>
      </c>
    </row>
    <row r="9" ht="15.15" spans="1:7">
      <c r="A9" s="3" t="s">
        <v>170</v>
      </c>
      <c r="B9" s="2" t="s">
        <v>171</v>
      </c>
      <c r="C9" s="2">
        <v>25</v>
      </c>
      <c r="D9" s="2" t="s">
        <v>172</v>
      </c>
      <c r="E9" s="2">
        <v>26.8</v>
      </c>
      <c r="F9" s="2">
        <v>39.9</v>
      </c>
      <c r="G9" s="2" t="s">
        <v>173</v>
      </c>
    </row>
    <row r="10" ht="15.15" spans="1:7">
      <c r="A10" s="4"/>
      <c r="B10" s="2" t="s">
        <v>174</v>
      </c>
      <c r="C10" s="2">
        <v>25</v>
      </c>
      <c r="D10" s="2" t="s">
        <v>175</v>
      </c>
      <c r="E10" s="2">
        <v>31.6</v>
      </c>
      <c r="F10" s="2">
        <v>40.1</v>
      </c>
      <c r="G10" s="2" t="s">
        <v>176</v>
      </c>
    </row>
    <row r="11" ht="15.15" spans="1:7">
      <c r="A11" s="4"/>
      <c r="B11" s="2" t="s">
        <v>177</v>
      </c>
      <c r="C11" s="2">
        <v>25</v>
      </c>
      <c r="D11" s="2" t="s">
        <v>178</v>
      </c>
      <c r="E11" s="2">
        <v>26.3</v>
      </c>
      <c r="F11" s="2">
        <v>39.2</v>
      </c>
      <c r="G11" s="2" t="s">
        <v>176</v>
      </c>
    </row>
    <row r="12" ht="15.15" spans="1:7">
      <c r="A12" s="5"/>
      <c r="B12" s="2" t="s">
        <v>179</v>
      </c>
      <c r="C12" s="2">
        <v>75</v>
      </c>
      <c r="D12" s="2" t="s">
        <v>180</v>
      </c>
      <c r="E12" s="2">
        <v>26.3</v>
      </c>
      <c r="F12" s="2">
        <v>40.1</v>
      </c>
      <c r="G12" s="2" t="s">
        <v>176</v>
      </c>
    </row>
    <row r="13" ht="15.15" spans="1:7">
      <c r="A13" s="3" t="s">
        <v>181</v>
      </c>
      <c r="B13" s="2" t="s">
        <v>171</v>
      </c>
      <c r="C13" s="2">
        <v>25</v>
      </c>
      <c r="D13" s="2" t="s">
        <v>182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174</v>
      </c>
      <c r="C14" s="2">
        <v>25</v>
      </c>
      <c r="D14" s="2" t="s">
        <v>183</v>
      </c>
      <c r="E14" s="2">
        <v>10.3</v>
      </c>
      <c r="F14" s="2">
        <v>17.1</v>
      </c>
      <c r="G14" s="2" t="s">
        <v>176</v>
      </c>
    </row>
    <row r="15" ht="15.15" spans="1:7">
      <c r="A15" s="4"/>
      <c r="B15" s="2" t="s">
        <v>177</v>
      </c>
      <c r="C15" s="2">
        <v>25</v>
      </c>
      <c r="D15" s="2" t="s">
        <v>184</v>
      </c>
      <c r="E15" s="2">
        <v>11.2</v>
      </c>
      <c r="F15" s="2">
        <v>19.3</v>
      </c>
      <c r="G15" s="2" t="s">
        <v>176</v>
      </c>
    </row>
    <row r="16" ht="15.15" spans="1:7">
      <c r="A16" s="5"/>
      <c r="B16" s="2" t="s">
        <v>179</v>
      </c>
      <c r="C16" s="2">
        <v>75</v>
      </c>
      <c r="D16" s="2" t="s">
        <v>185</v>
      </c>
      <c r="E16" s="2">
        <v>8.2</v>
      </c>
      <c r="F16" s="2">
        <v>19.3</v>
      </c>
      <c r="G16" s="2" t="s">
        <v>176</v>
      </c>
    </row>
    <row r="17" ht="15.15"/>
    <row r="18" ht="15.15" spans="1:7">
      <c r="A18" s="1" t="s">
        <v>163</v>
      </c>
      <c r="B18" s="1" t="s">
        <v>164</v>
      </c>
      <c r="C18" s="1" t="s">
        <v>165</v>
      </c>
      <c r="D18" s="1" t="s">
        <v>166</v>
      </c>
      <c r="E18" s="1" t="s">
        <v>167</v>
      </c>
      <c r="F18" s="1" t="s">
        <v>168</v>
      </c>
      <c r="G18" s="1" t="s">
        <v>169</v>
      </c>
    </row>
    <row r="19" ht="15.15" spans="1:7">
      <c r="A19" s="3" t="s">
        <v>186</v>
      </c>
      <c r="B19" s="2" t="s">
        <v>187</v>
      </c>
      <c r="C19" s="2">
        <v>25</v>
      </c>
      <c r="D19" s="2" t="s">
        <v>188</v>
      </c>
      <c r="E19" s="2">
        <v>20.55</v>
      </c>
      <c r="F19" s="2">
        <v>47.12</v>
      </c>
      <c r="G19" s="2" t="s">
        <v>189</v>
      </c>
    </row>
    <row r="20" ht="15.15" spans="1:7">
      <c r="A20" s="4"/>
      <c r="B20" s="2" t="s">
        <v>190</v>
      </c>
      <c r="C20" s="2">
        <v>25</v>
      </c>
      <c r="D20" s="2" t="s">
        <v>191</v>
      </c>
      <c r="E20" s="2">
        <v>29.18</v>
      </c>
      <c r="F20" s="2">
        <v>48.1</v>
      </c>
      <c r="G20" s="2" t="s">
        <v>176</v>
      </c>
    </row>
    <row r="21" ht="15.15" spans="1:7">
      <c r="A21" s="4"/>
      <c r="B21" s="2" t="s">
        <v>192</v>
      </c>
      <c r="C21" s="2">
        <v>25</v>
      </c>
      <c r="D21" s="2" t="s">
        <v>193</v>
      </c>
      <c r="E21" s="2">
        <v>33.77</v>
      </c>
      <c r="F21" s="2">
        <v>56.1</v>
      </c>
      <c r="G21" s="2" t="s">
        <v>176</v>
      </c>
    </row>
    <row r="22" ht="15.15" spans="1:7">
      <c r="A22" s="5"/>
      <c r="B22" s="2" t="s">
        <v>194</v>
      </c>
      <c r="C22" s="2">
        <v>75</v>
      </c>
      <c r="D22" s="2" t="s">
        <v>195</v>
      </c>
      <c r="E22" s="2">
        <v>20.55</v>
      </c>
      <c r="F22" s="2">
        <v>56.1</v>
      </c>
      <c r="G22" s="2" t="s">
        <v>176</v>
      </c>
    </row>
    <row r="23" ht="15.15"/>
    <row r="24" ht="15.15" spans="1:7">
      <c r="A24" s="1" t="s">
        <v>196</v>
      </c>
      <c r="B24" s="1" t="s">
        <v>197</v>
      </c>
      <c r="C24" s="1" t="s">
        <v>198</v>
      </c>
      <c r="D24" s="1" t="s">
        <v>199</v>
      </c>
      <c r="E24" s="1" t="s">
        <v>200</v>
      </c>
      <c r="F24" s="1" t="s">
        <v>169</v>
      </c>
    </row>
    <row r="25" ht="15.15" spans="1:7">
      <c r="A25" s="3" t="s">
        <v>186</v>
      </c>
      <c r="B25" s="2" t="s">
        <v>201</v>
      </c>
      <c r="C25" s="2" t="s">
        <v>202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201</v>
      </c>
      <c r="C26" s="2" t="s">
        <v>203</v>
      </c>
      <c r="D26" s="2">
        <v>-5.3084</v>
      </c>
      <c r="E26" s="2">
        <v>1.63428</v>
      </c>
      <c r="F26" s="2" t="s">
        <v>204</v>
      </c>
    </row>
    <row r="27" ht="15.15" spans="1:7">
      <c r="A27" s="4"/>
      <c r="B27" s="2" t="s">
        <v>202</v>
      </c>
      <c r="C27" s="2" t="s">
        <v>201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202</v>
      </c>
      <c r="C28" s="2" t="s">
        <v>203</v>
      </c>
      <c r="D28" s="2">
        <v>-4.8208</v>
      </c>
      <c r="E28" s="2">
        <v>1.63428</v>
      </c>
      <c r="F28" s="2" t="s">
        <v>205</v>
      </c>
    </row>
    <row r="29" ht="15.15" spans="1:7">
      <c r="A29" s="4"/>
      <c r="B29" s="2" t="s">
        <v>203</v>
      </c>
      <c r="C29" s="2" t="s">
        <v>201</v>
      </c>
      <c r="D29" s="2">
        <v>5.3084</v>
      </c>
      <c r="E29" s="2">
        <v>1.63428</v>
      </c>
      <c r="F29" s="2" t="s">
        <v>204</v>
      </c>
    </row>
    <row r="30" ht="15.15" spans="1:7">
      <c r="A30" s="5"/>
      <c r="B30" s="2" t="s">
        <v>203</v>
      </c>
      <c r="C30" s="2" t="s">
        <v>202</v>
      </c>
      <c r="D30" s="2">
        <v>4.8208</v>
      </c>
      <c r="E30" s="2">
        <v>1.63428</v>
      </c>
      <c r="F30" s="2" t="s">
        <v>205</v>
      </c>
    </row>
    <row r="31" ht="15.15" spans="1:7">
      <c r="A31" s="3" t="s">
        <v>206</v>
      </c>
      <c r="B31" s="2" t="s">
        <v>201</v>
      </c>
      <c r="C31" s="2" t="s">
        <v>202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201</v>
      </c>
      <c r="C32" s="2" t="s">
        <v>203</v>
      </c>
      <c r="D32" s="2">
        <v>2.26</v>
      </c>
      <c r="E32" s="2">
        <v>0.81249</v>
      </c>
      <c r="F32" s="2" t="s">
        <v>207</v>
      </c>
    </row>
    <row r="33" ht="15.15" spans="1:6">
      <c r="A33" s="4"/>
      <c r="B33" s="2" t="s">
        <v>202</v>
      </c>
      <c r="C33" s="2" t="s">
        <v>201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202</v>
      </c>
      <c r="C34" s="2" t="s">
        <v>203</v>
      </c>
      <c r="D34" s="2">
        <v>2.712</v>
      </c>
      <c r="E34" s="2">
        <v>0.81249</v>
      </c>
      <c r="F34" s="2" t="s">
        <v>208</v>
      </c>
    </row>
    <row r="35" ht="15.15" spans="1:6">
      <c r="A35" s="4"/>
      <c r="B35" s="2" t="s">
        <v>203</v>
      </c>
      <c r="C35" s="2" t="s">
        <v>201</v>
      </c>
      <c r="D35" s="2">
        <v>-2.26</v>
      </c>
      <c r="E35" s="2">
        <v>0.81249</v>
      </c>
      <c r="F35" s="2" t="s">
        <v>207</v>
      </c>
    </row>
    <row r="36" ht="15.15" spans="1:6">
      <c r="A36" s="5"/>
      <c r="B36" s="2" t="s">
        <v>203</v>
      </c>
      <c r="C36" s="2" t="s">
        <v>202</v>
      </c>
      <c r="D36" s="2">
        <v>-2.712</v>
      </c>
      <c r="E36" s="2">
        <v>0.81249</v>
      </c>
      <c r="F36" s="2" t="s">
        <v>208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2026-04-27T00:46:25Z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