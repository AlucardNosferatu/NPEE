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福大机试" sheetId="1" r:id="rId1"/>
    <sheet name="语言翻译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<sst xmlns="http://schemas.openxmlformats.org/spreadsheetml/2006/main" count="18" uniqueCount="13">
  <si>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模板记忆</t>
  </si>
  <si>
    <t>汇总</t>
  </si>
  <si>
    <t>数据结构</t>
  </si>
  <si>
    <t>程序设计</t>
  </si>
  <si>
    <t>语言翻译</t>
  </si>
  <si>
    <t>类型</t>
  </si>
  <si>
    <t>权重</t>
  </si>
  <si>
    <t>日期</t>
  </si>
  <si>
    <t>每日进度</t>
  </si>
  <si>
    <t>总进度</t>
  </si>
  <si>
    <t>目标</t>
  </si>
  <si>
    <t>日均目标</t>
  </si>
  <si>
    <t>剩余目标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</si>
</sst>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福大机试!$A$20</c:f>
              <c:strCache>
                <c:ptCount val="1"/>
                <c:pt idx="0">
                  <c:v>每日进度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福大机试!$B$15:$AI$15</c:f>
              <c:numCache>
                <c:formatCode>[$-409]yyyy\-mm\-dd;@</c:formatCode>
                <c:ptCount val="34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  <c:pt idx="32">
                  <c:v>46052</c:v>
                </c:pt>
                <c:pt idx="33">
                  <c:v>46053</c:v>
                </c:pt>
              </c:numCache>
            </c:numRef>
          </c:xVal>
          <c:yVal>
            <c:numRef>
              <c:f>福大机试!$B$20:$AI$20</c:f>
              <c:numCache>
                <c:formatCode>0.00%</c:formatCode>
                <c:ptCount val="34"/>
                <c:pt idx="0">
                  <c:v>0.109565355538224</c:v>
                </c:pt>
                <c:pt idx="1">
                  <c:v>0.106695733493071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福大机试!$A$22</c:f>
              <c:strCache>
                <c:ptCount val="1"/>
                <c:pt idx="0">
                  <c:v>目标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福大机试!$B$15:$AI$15</c:f>
              <c:numCache>
                <c:formatCode>[$-409]yyyy\-mm\-dd;@</c:formatCode>
                <c:ptCount val="34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  <c:pt idx="32">
                  <c:v>46052</c:v>
                </c:pt>
                <c:pt idx="33">
                  <c:v>46053</c:v>
                </c:pt>
              </c:numCache>
            </c:numRef>
          </c:xVal>
          <c:yVal>
            <c:numRef>
              <c:f>福大机试!$B$22:$AI$22</c:f>
              <c:numCache>
                <c:formatCode>0.00%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福大机试!$A$21</c:f>
              <c:strCache>
                <c:ptCount val="1"/>
                <c:pt idx="0">
                  <c:v>总进度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福大机试!$B$15:$AI$15</c:f>
              <c:numCache>
                <c:formatCode>[$-409]yyyy\-mm\-dd;@</c:formatCode>
                <c:ptCount val="34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  <c:pt idx="32">
                  <c:v>46052</c:v>
                </c:pt>
                <c:pt idx="33">
                  <c:v>46053</c:v>
                </c:pt>
              </c:numCache>
            </c:numRef>
          </c:xVal>
          <c:yVal>
            <c:numRef>
              <c:f>福大机试!$B$21:$AI$21</c:f>
              <c:numCache>
                <c:formatCode>0.00%</c:formatCode>
                <c:ptCount val="34"/>
                <c:pt idx="0">
                  <c:v>0.109565355538224</c:v>
                </c:pt>
                <c:pt idx="1">
                  <c:v>0.216261089031296</c:v>
                </c:pt>
                <c:pt idx="2">
                  <c:v>0.216261089031296</c:v>
                </c:pt>
                <c:pt idx="3">
                  <c:v>0.216261089031296</c:v>
                </c:pt>
                <c:pt idx="4">
                  <c:v>0.216261089031296</c:v>
                </c:pt>
                <c:pt idx="5">
                  <c:v>0.216261089031296</c:v>
                </c:pt>
                <c:pt idx="6">
                  <c:v>0.216261089031296</c:v>
                </c:pt>
                <c:pt idx="7">
                  <c:v>0.216261089031296</c:v>
                </c:pt>
                <c:pt idx="8">
                  <c:v>0.216261089031296</c:v>
                </c:pt>
                <c:pt idx="9">
                  <c:v>0.216261089031296</c:v>
                </c:pt>
                <c:pt idx="10">
                  <c:v>0.216261089031296</c:v>
                </c:pt>
                <c:pt idx="11">
                  <c:v>0.216261089031296</c:v>
                </c:pt>
                <c:pt idx="12">
                  <c:v>0.216261089031296</c:v>
                </c:pt>
                <c:pt idx="13">
                  <c:v>0.216261089031296</c:v>
                </c:pt>
                <c:pt idx="14">
                  <c:v>0.216261089031296</c:v>
                </c:pt>
                <c:pt idx="15">
                  <c:v>0.216261089031296</c:v>
                </c:pt>
                <c:pt idx="16">
                  <c:v>0.216261089031296</c:v>
                </c:pt>
                <c:pt idx="17">
                  <c:v>0.216261089031296</c:v>
                </c:pt>
                <c:pt idx="18">
                  <c:v>0.216261089031296</c:v>
                </c:pt>
                <c:pt idx="19">
                  <c:v>0.216261089031296</c:v>
                </c:pt>
                <c:pt idx="20">
                  <c:v>0.216261089031296</c:v>
                </c:pt>
                <c:pt idx="21">
                  <c:v>0.216261089031296</c:v>
                </c:pt>
                <c:pt idx="22">
                  <c:v>0.216261089031296</c:v>
                </c:pt>
                <c:pt idx="23">
                  <c:v>0.216261089031296</c:v>
                </c:pt>
                <c:pt idx="24">
                  <c:v>0.216261089031296</c:v>
                </c:pt>
                <c:pt idx="25">
                  <c:v>0.216261089031296</c:v>
                </c:pt>
                <c:pt idx="26">
                  <c:v>0.216261089031296</c:v>
                </c:pt>
                <c:pt idx="27">
                  <c:v>0.216261089031296</c:v>
                </c:pt>
                <c:pt idx="28">
                  <c:v>0.216261089031296</c:v>
                </c:pt>
                <c:pt idx="29">
                  <c:v>0.216261089031296</c:v>
                </c:pt>
                <c:pt idx="30">
                  <c:v>0.216261089031296</c:v>
                </c:pt>
                <c:pt idx="31">
                  <c:v>0.216261089031296</c:v>
                </c:pt>
                <c:pt idx="32">
                  <c:v>0.216261089031296</c:v>
                </c:pt>
                <c:pt idx="33">
                  <c:v>0.216261089031296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86520"/>
        <c:axId val="78795352"/>
      </c:scatterChart>
      <c:valAx>
        <c:axId val="88986520"/>
        <c:scaling>
          <c:orientation val="minMax"/>
          <c:max val="46054"/>
          <c:min val="46019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&quot;年&quot;m&quot;月&quot;d&quot;日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95352"/>
        <c:crosses val="autoZero"/>
        <c:crossBetween val="midCat"/>
        <c:majorUnit val="2"/>
        <c:minorUnit val="1"/>
      </c:valAx>
      <c:valAx>
        <c:axId val="7879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865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</xdr:colOff>
      <xdr:row>25</xdr:row>
      <xdr:rowOff>24130</xdr:rowOff>
    </xdr:from>
    <xdr:to>
      <xdr:col>33</xdr:col>
      <xdr:colOff>1028700</xdr:colOff>
      <xdr:row>66</xdr:row>
      <xdr:rowOff>126365</xdr:rowOff>
    </xdr:to>
    <xdr:graphicFrame>
      <xdr:nvGraphicFramePr>
        <xdr:cNvPr id="3" name="图表 2"/>
        <xdr:cNvGraphicFramePr/>
      </xdr:nvGraphicFramePr>
      <xdr:xfrm>
        <a:off x="1113155" y="4596130"/>
        <a:ext cx="35622865" cy="7600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4"/>
  <sheetViews>
    <sheetView tabSelected="1" zoomScale="115" zoomScaleNormal="115" workbookViewId="0">
      <selection activeCell="C24" sqref="C24"/>
    </sheetView>
  </sheetViews>
  <sheetFormatPr defaultColWidth="9" defaultRowHeight="14.4"/>
  <cols>
    <col min="1" max="35" width="15.7777777777778" customWidth="1"/>
  </cols>
  <sheetData>
    <row r="1" spans="1:35">
      <c r="A1" t="s">
        <v>0</v>
      </c>
    </row>
    <row r="2" s="2" customFormat="1" spans="1:35">
      <c r="A2" s="2" t="s">
        <v>1</v>
      </c>
      <c r="B2" s="2">
        <v>46020</v>
      </c>
      <c r="C2" s="2">
        <v>46021</v>
      </c>
      <c r="D2" s="2">
        <v>46022</v>
      </c>
      <c r="E2" s="2">
        <v>46023</v>
      </c>
      <c r="F2" s="2">
        <v>46024</v>
      </c>
      <c r="G2" s="2">
        <v>46025</v>
      </c>
      <c r="H2" s="2">
        <v>46026</v>
      </c>
      <c r="I2" s="2">
        <v>46027</v>
      </c>
      <c r="J2" s="2">
        <v>46028</v>
      </c>
      <c r="K2" s="2">
        <v>46029</v>
      </c>
      <c r="L2" s="2">
        <v>46030</v>
      </c>
      <c r="M2" s="2">
        <v>46031</v>
      </c>
      <c r="N2" s="2">
        <v>46032</v>
      </c>
      <c r="O2" s="2">
        <v>46033</v>
      </c>
      <c r="P2" s="2">
        <v>46034</v>
      </c>
      <c r="Q2" s="2">
        <v>46035</v>
      </c>
      <c r="R2" s="2">
        <v>46036</v>
      </c>
      <c r="S2" s="2">
        <v>46037</v>
      </c>
      <c r="T2" s="2">
        <v>46038</v>
      </c>
      <c r="U2" s="2">
        <v>46039</v>
      </c>
      <c r="V2" s="2">
        <v>46040</v>
      </c>
      <c r="W2" s="2">
        <v>46041</v>
      </c>
      <c r="X2" s="2">
        <v>46042</v>
      </c>
      <c r="Y2" s="2">
        <v>46043</v>
      </c>
      <c r="Z2" s="2">
        <v>46044</v>
      </c>
      <c r="AA2" s="2">
        <v>46045</v>
      </c>
      <c r="AB2" s="2">
        <v>46046</v>
      </c>
      <c r="AC2" s="2">
        <v>46047</v>
      </c>
      <c r="AD2" s="2">
        <v>46048</v>
      </c>
      <c r="AE2" s="2">
        <v>46049</v>
      </c>
      <c r="AF2" s="2">
        <v>46050</v>
      </c>
      <c r="AG2" s="2">
        <v>46051</v>
      </c>
      <c r="AH2" s="2">
        <v>46052</v>
      </c>
      <c r="AI2" s="2">
        <v>46053</v>
      </c>
    </row>
    <row r="3" spans="1:35">
      <c r="A3">
        <f>SUM(B3:AZ3)</f>
        <v>50</v>
      </c>
      <c r="B3">
        <v>25</v>
      </c>
      <c r="C3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 t="s">
        <v>2</v>
      </c>
    </row>
    <row r="5" spans="1:35">
      <c r="A5" t="s">
        <v>1</v>
      </c>
      <c r="B5" s="2">
        <f t="shared" ref="B5:P5" si="0">B2</f>
        <v>46020</v>
      </c>
      <c r="C5" s="2">
        <f t="shared" si="0"/>
        <v>46021</v>
      </c>
      <c r="D5" s="2">
        <f t="shared" si="0"/>
        <v>46022</v>
      </c>
      <c r="E5" s="2">
        <f t="shared" si="0"/>
        <v>46023</v>
      </c>
      <c r="F5" s="2">
        <f t="shared" si="0"/>
        <v>46024</v>
      </c>
      <c r="G5" s="2">
        <f t="shared" si="0"/>
        <v>46025</v>
      </c>
      <c r="H5" s="2">
        <f t="shared" si="0"/>
        <v>46026</v>
      </c>
      <c r="I5" s="2">
        <f t="shared" si="0"/>
        <v>46027</v>
      </c>
      <c r="J5" s="2">
        <f t="shared" si="0"/>
        <v>46028</v>
      </c>
      <c r="K5" s="2">
        <f t="shared" si="0"/>
        <v>46029</v>
      </c>
      <c r="L5" s="2">
        <f t="shared" si="0"/>
        <v>46030</v>
      </c>
      <c r="M5" s="2">
        <f t="shared" si="0"/>
        <v>46031</v>
      </c>
      <c r="N5" s="2">
        <f t="shared" si="0"/>
        <v>46032</v>
      </c>
      <c r="O5" s="2">
        <f t="shared" si="0"/>
        <v>46033</v>
      </c>
      <c r="P5" s="2">
        <f t="shared" si="0"/>
        <v>46034</v>
      </c>
      <c r="Q5" s="2">
        <f t="shared" ref="Q5:AI5" si="1">Q2</f>
        <v>46035</v>
      </c>
      <c r="R5" s="2">
        <f t="shared" si="1"/>
        <v>46036</v>
      </c>
      <c r="S5" s="2">
        <f t="shared" si="1"/>
        <v>46037</v>
      </c>
      <c r="T5" s="2">
        <f t="shared" si="1"/>
        <v>46038</v>
      </c>
      <c r="U5" s="2">
        <f t="shared" si="1"/>
        <v>46039</v>
      </c>
      <c r="V5" s="2">
        <f t="shared" si="1"/>
        <v>46040</v>
      </c>
      <c r="W5" s="2">
        <f t="shared" si="1"/>
        <v>46041</v>
      </c>
      <c r="X5" s="2">
        <f t="shared" si="1"/>
        <v>46042</v>
      </c>
      <c r="Y5" s="2">
        <f t="shared" si="1"/>
        <v>46043</v>
      </c>
      <c r="Z5" s="2">
        <f t="shared" si="1"/>
        <v>46044</v>
      </c>
      <c r="AA5" s="2">
        <f t="shared" si="1"/>
        <v>46045</v>
      </c>
      <c r="AB5" s="2">
        <f t="shared" si="1"/>
        <v>46046</v>
      </c>
      <c r="AC5" s="2">
        <f t="shared" si="1"/>
        <v>46047</v>
      </c>
      <c r="AD5" s="2">
        <f t="shared" si="1"/>
        <v>46048</v>
      </c>
      <c r="AE5" s="2">
        <f t="shared" si="1"/>
        <v>46049</v>
      </c>
      <c r="AF5" s="2">
        <f t="shared" si="1"/>
        <v>46050</v>
      </c>
      <c r="AG5" s="2">
        <f t="shared" si="1"/>
        <v>46051</v>
      </c>
      <c r="AH5" s="2">
        <f t="shared" si="1"/>
        <v>46052</v>
      </c>
      <c r="AI5" s="2">
        <f t="shared" si="1"/>
        <v>46053</v>
      </c>
    </row>
    <row r="6" spans="1:35">
      <c r="A6">
        <f>MAX(B6:AZ6)</f>
        <v>81</v>
      </c>
      <c r="B6">
        <v>38</v>
      </c>
      <c r="C6">
        <v>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3</v>
      </c>
    </row>
    <row r="8" spans="1:35">
      <c r="A8" t="s">
        <v>1</v>
      </c>
      <c r="B8" s="2">
        <f t="shared" ref="B8:P8" si="2">B5</f>
        <v>46020</v>
      </c>
      <c r="C8" s="2">
        <f t="shared" si="2"/>
        <v>46021</v>
      </c>
      <c r="D8" s="2">
        <f t="shared" si="2"/>
        <v>46022</v>
      </c>
      <c r="E8" s="2">
        <f t="shared" si="2"/>
        <v>46023</v>
      </c>
      <c r="F8" s="2">
        <f t="shared" si="2"/>
        <v>46024</v>
      </c>
      <c r="G8" s="2">
        <f t="shared" si="2"/>
        <v>46025</v>
      </c>
      <c r="H8" s="2">
        <f t="shared" si="2"/>
        <v>46026</v>
      </c>
      <c r="I8" s="2">
        <f t="shared" si="2"/>
        <v>46027</v>
      </c>
      <c r="J8" s="2">
        <f t="shared" si="2"/>
        <v>46028</v>
      </c>
      <c r="K8" s="2">
        <f t="shared" si="2"/>
        <v>46029</v>
      </c>
      <c r="L8" s="2">
        <f t="shared" si="2"/>
        <v>46030</v>
      </c>
      <c r="M8" s="2">
        <f t="shared" si="2"/>
        <v>46031</v>
      </c>
      <c r="N8" s="2">
        <f t="shared" si="2"/>
        <v>46032</v>
      </c>
      <c r="O8" s="2">
        <f t="shared" si="2"/>
        <v>46033</v>
      </c>
      <c r="P8" s="2">
        <f t="shared" si="2"/>
        <v>46034</v>
      </c>
      <c r="Q8" s="2">
        <f t="shared" ref="Q8:AI8" si="3">Q5</f>
        <v>46035</v>
      </c>
      <c r="R8" s="2">
        <f t="shared" si="3"/>
        <v>46036</v>
      </c>
      <c r="S8" s="2">
        <f t="shared" si="3"/>
        <v>46037</v>
      </c>
      <c r="T8" s="2">
        <f t="shared" si="3"/>
        <v>46038</v>
      </c>
      <c r="U8" s="2">
        <f t="shared" si="3"/>
        <v>46039</v>
      </c>
      <c r="V8" s="2">
        <f t="shared" si="3"/>
        <v>46040</v>
      </c>
      <c r="W8" s="2">
        <f t="shared" si="3"/>
        <v>46041</v>
      </c>
      <c r="X8" s="2">
        <f t="shared" si="3"/>
        <v>46042</v>
      </c>
      <c r="Y8" s="2">
        <f t="shared" si="3"/>
        <v>46043</v>
      </c>
      <c r="Z8" s="2">
        <f t="shared" si="3"/>
        <v>46044</v>
      </c>
      <c r="AA8" s="2">
        <f t="shared" si="3"/>
        <v>46045</v>
      </c>
      <c r="AB8" s="2">
        <f t="shared" si="3"/>
        <v>46046</v>
      </c>
      <c r="AC8" s="2">
        <f t="shared" si="3"/>
        <v>46047</v>
      </c>
      <c r="AD8" s="2">
        <f t="shared" si="3"/>
        <v>46048</v>
      </c>
      <c r="AE8" s="2">
        <f t="shared" si="3"/>
        <v>46049</v>
      </c>
      <c r="AF8" s="2">
        <f t="shared" si="3"/>
        <v>46050</v>
      </c>
      <c r="AG8" s="2">
        <f t="shared" si="3"/>
        <v>46051</v>
      </c>
      <c r="AH8" s="2">
        <f t="shared" si="3"/>
        <v>46052</v>
      </c>
      <c r="AI8" s="2">
        <f t="shared" si="3"/>
        <v>46053</v>
      </c>
    </row>
    <row r="9" spans="1:35">
      <c r="A9">
        <f>MAX(B9:AZ9)</f>
        <v>50</v>
      </c>
      <c r="B9">
        <v>37</v>
      </c>
      <c r="C9">
        <v>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t="s">
        <v>4</v>
      </c>
    </row>
    <row r="11" spans="1:35">
      <c r="A11" t="s">
        <v>1</v>
      </c>
      <c r="B11" s="2">
        <f t="shared" ref="B11:P11" si="4">B8</f>
        <v>46020</v>
      </c>
      <c r="C11" s="2">
        <f t="shared" si="4"/>
        <v>46021</v>
      </c>
      <c r="D11" s="2">
        <f t="shared" si="4"/>
        <v>46022</v>
      </c>
      <c r="E11" s="2">
        <f t="shared" si="4"/>
        <v>46023</v>
      </c>
      <c r="F11" s="2">
        <f t="shared" si="4"/>
        <v>46024</v>
      </c>
      <c r="G11" s="2">
        <f t="shared" si="4"/>
        <v>46025</v>
      </c>
      <c r="H11" s="2">
        <f t="shared" si="4"/>
        <v>46026</v>
      </c>
      <c r="I11" s="2">
        <f t="shared" si="4"/>
        <v>46027</v>
      </c>
      <c r="J11" s="2">
        <f t="shared" si="4"/>
        <v>46028</v>
      </c>
      <c r="K11" s="2">
        <f t="shared" si="4"/>
        <v>46029</v>
      </c>
      <c r="L11" s="2">
        <f t="shared" si="4"/>
        <v>46030</v>
      </c>
      <c r="M11" s="2">
        <f t="shared" si="4"/>
        <v>46031</v>
      </c>
      <c r="N11" s="2">
        <f t="shared" si="4"/>
        <v>46032</v>
      </c>
      <c r="O11" s="2">
        <f t="shared" si="4"/>
        <v>46033</v>
      </c>
      <c r="P11" s="2">
        <f t="shared" si="4"/>
        <v>46034</v>
      </c>
      <c r="Q11" s="2">
        <f t="shared" ref="Q11:AI11" si="5">Q8</f>
        <v>46035</v>
      </c>
      <c r="R11" s="2">
        <f t="shared" si="5"/>
        <v>46036</v>
      </c>
      <c r="S11" s="2">
        <f t="shared" si="5"/>
        <v>46037</v>
      </c>
      <c r="T11" s="2">
        <f t="shared" si="5"/>
        <v>46038</v>
      </c>
      <c r="U11" s="2">
        <f t="shared" si="5"/>
        <v>46039</v>
      </c>
      <c r="V11" s="2">
        <f t="shared" si="5"/>
        <v>46040</v>
      </c>
      <c r="W11" s="2">
        <f t="shared" si="5"/>
        <v>46041</v>
      </c>
      <c r="X11" s="2">
        <f t="shared" si="5"/>
        <v>46042</v>
      </c>
      <c r="Y11" s="2">
        <f t="shared" si="5"/>
        <v>46043</v>
      </c>
      <c r="Z11" s="2">
        <f t="shared" si="5"/>
        <v>46044</v>
      </c>
      <c r="AA11" s="2">
        <f t="shared" si="5"/>
        <v>46045</v>
      </c>
      <c r="AB11" s="2">
        <f t="shared" si="5"/>
        <v>46046</v>
      </c>
      <c r="AC11" s="2">
        <f t="shared" si="5"/>
        <v>46047</v>
      </c>
      <c r="AD11" s="2">
        <f t="shared" si="5"/>
        <v>46048</v>
      </c>
      <c r="AE11" s="2">
        <f t="shared" si="5"/>
        <v>46049</v>
      </c>
      <c r="AF11" s="2">
        <f t="shared" si="5"/>
        <v>46050</v>
      </c>
      <c r="AG11" s="2">
        <f t="shared" si="5"/>
        <v>46051</v>
      </c>
      <c r="AH11" s="2">
        <f t="shared" si="5"/>
        <v>46052</v>
      </c>
      <c r="AI11" s="2">
        <f t="shared" si="5"/>
        <v>46053</v>
      </c>
    </row>
    <row r="12" spans="1:35">
      <c r="A12">
        <f>SUM(B12:AZ12)</f>
        <v>12.5</v>
      </c>
      <c r="B12">
        <v>0</v>
      </c>
      <c r="C12">
        <v>12.5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t="s">
        <v>5</v>
      </c>
      <c r="B13" t="str">
        <f>A1</f>
        <v>模板记忆</v>
      </c>
      <c r="C13" t="str">
        <f>A4</f>
        <v>数据结构</v>
      </c>
      <c r="D13" t="str">
        <f>A7</f>
        <v>程序设计</v>
      </c>
      <c r="E13" t="str">
        <f>A10</f>
        <v>语言翻译</v>
      </c>
    </row>
    <row r="14" spans="1:35">
      <c r="A14" t="s">
        <v>6</v>
      </c>
      <c r="B14">
        <v>153</v>
      </c>
      <c r="C14">
        <v>262</v>
      </c>
      <c r="D14">
        <v>285</v>
      </c>
      <c r="E14">
        <f>ROUND(AVERAGE(B14:D14),0)</f>
        <v>233</v>
      </c>
    </row>
    <row r="15" spans="1:35">
      <c r="A15" t="s">
        <v>7</v>
      </c>
      <c r="B15" s="2">
        <f t="shared" ref="B15:P15" si="6">B11</f>
        <v>46020</v>
      </c>
      <c r="C15" s="2">
        <f t="shared" si="6"/>
        <v>46021</v>
      </c>
      <c r="D15" s="2">
        <f t="shared" si="6"/>
        <v>46022</v>
      </c>
      <c r="E15" s="2">
        <f t="shared" si="6"/>
        <v>46023</v>
      </c>
      <c r="F15" s="2">
        <f t="shared" si="6"/>
        <v>46024</v>
      </c>
      <c r="G15" s="2">
        <f t="shared" si="6"/>
        <v>46025</v>
      </c>
      <c r="H15" s="2">
        <f t="shared" si="6"/>
        <v>46026</v>
      </c>
      <c r="I15" s="2">
        <f t="shared" si="6"/>
        <v>46027</v>
      </c>
      <c r="J15" s="2">
        <f t="shared" si="6"/>
        <v>46028</v>
      </c>
      <c r="K15" s="2">
        <f t="shared" si="6"/>
        <v>46029</v>
      </c>
      <c r="L15" s="2">
        <f t="shared" si="6"/>
        <v>46030</v>
      </c>
      <c r="M15" s="2">
        <f t="shared" si="6"/>
        <v>46031</v>
      </c>
      <c r="N15" s="2">
        <f t="shared" si="6"/>
        <v>46032</v>
      </c>
      <c r="O15" s="2">
        <f t="shared" si="6"/>
        <v>46033</v>
      </c>
      <c r="P15" s="2">
        <f t="shared" si="6"/>
        <v>46034</v>
      </c>
      <c r="Q15" s="2">
        <f t="shared" ref="Q15:AI15" si="7">Q11</f>
        <v>46035</v>
      </c>
      <c r="R15" s="2">
        <f t="shared" si="7"/>
        <v>46036</v>
      </c>
      <c r="S15" s="2">
        <f t="shared" si="7"/>
        <v>46037</v>
      </c>
      <c r="T15" s="2">
        <f t="shared" si="7"/>
        <v>46038</v>
      </c>
      <c r="U15" s="2">
        <f t="shared" si="7"/>
        <v>46039</v>
      </c>
      <c r="V15" s="2">
        <f t="shared" si="7"/>
        <v>46040</v>
      </c>
      <c r="W15" s="2">
        <f t="shared" si="7"/>
        <v>46041</v>
      </c>
      <c r="X15" s="2">
        <f t="shared" si="7"/>
        <v>46042</v>
      </c>
      <c r="Y15" s="2">
        <f t="shared" si="7"/>
        <v>46043</v>
      </c>
      <c r="Z15" s="2">
        <f t="shared" si="7"/>
        <v>46044</v>
      </c>
      <c r="AA15" s="2">
        <f t="shared" si="7"/>
        <v>46045</v>
      </c>
      <c r="AB15" s="2">
        <f t="shared" si="7"/>
        <v>46046</v>
      </c>
      <c r="AC15" s="2">
        <f t="shared" si="7"/>
        <v>46047</v>
      </c>
      <c r="AD15" s="2">
        <f t="shared" si="7"/>
        <v>46048</v>
      </c>
      <c r="AE15" s="2">
        <f t="shared" si="7"/>
        <v>46049</v>
      </c>
      <c r="AF15" s="2">
        <f t="shared" si="7"/>
        <v>46050</v>
      </c>
      <c r="AG15" s="2">
        <f t="shared" si="7"/>
        <v>46051</v>
      </c>
      <c r="AH15" s="2">
        <f t="shared" si="7"/>
        <v>46052</v>
      </c>
      <c r="AI15" s="2">
        <f t="shared" si="7"/>
        <v>46053</v>
      </c>
    </row>
    <row r="16" customFormat="1" spans="1:35">
      <c r="A16" t="str">
        <f>B13</f>
        <v>模板记忆</v>
      </c>
      <c r="B16" s="3">
        <f>B3/$B$14</f>
        <v>0.163398692810458</v>
      </c>
      <c r="C16" s="3">
        <f>C3/$B$14</f>
        <v>0.163398692810458</v>
      </c>
      <c r="D16" s="3">
        <f t="shared" ref="C16:AI16" si="8">D3/$B$14</f>
        <v>0</v>
      </c>
      <c r="E16" s="3">
        <f t="shared" si="8"/>
        <v>0</v>
      </c>
      <c r="F16" s="3">
        <f t="shared" si="8"/>
        <v>0</v>
      </c>
      <c r="G16" s="3">
        <f t="shared" si="8"/>
        <v>0</v>
      </c>
      <c r="H16" s="3">
        <f t="shared" si="8"/>
        <v>0</v>
      </c>
      <c r="I16" s="3">
        <f t="shared" si="8"/>
        <v>0</v>
      </c>
      <c r="J16" s="3">
        <f t="shared" si="8"/>
        <v>0</v>
      </c>
      <c r="K16" s="3">
        <f t="shared" si="8"/>
        <v>0</v>
      </c>
      <c r="L16" s="3">
        <f t="shared" si="8"/>
        <v>0</v>
      </c>
      <c r="M16" s="3">
        <f t="shared" si="8"/>
        <v>0</v>
      </c>
      <c r="N16" s="3">
        <f t="shared" si="8"/>
        <v>0</v>
      </c>
      <c r="O16" s="3">
        <f t="shared" si="8"/>
        <v>0</v>
      </c>
      <c r="P16" s="3">
        <f t="shared" si="8"/>
        <v>0</v>
      </c>
      <c r="Q16" s="3">
        <f t="shared" si="8"/>
        <v>0</v>
      </c>
      <c r="R16" s="3">
        <f t="shared" si="8"/>
        <v>0</v>
      </c>
      <c r="S16" s="3">
        <f t="shared" si="8"/>
        <v>0</v>
      </c>
      <c r="T16" s="3">
        <f t="shared" si="8"/>
        <v>0</v>
      </c>
      <c r="U16" s="3">
        <f t="shared" si="8"/>
        <v>0</v>
      </c>
      <c r="V16" s="3">
        <f t="shared" si="8"/>
        <v>0</v>
      </c>
      <c r="W16" s="3">
        <f t="shared" si="8"/>
        <v>0</v>
      </c>
      <c r="X16" s="3">
        <f t="shared" si="8"/>
        <v>0</v>
      </c>
      <c r="Y16" s="3">
        <f t="shared" si="8"/>
        <v>0</v>
      </c>
      <c r="Z16" s="3">
        <f t="shared" si="8"/>
        <v>0</v>
      </c>
      <c r="AA16" s="3">
        <f t="shared" si="8"/>
        <v>0</v>
      </c>
      <c r="AB16" s="3">
        <f t="shared" si="8"/>
        <v>0</v>
      </c>
      <c r="AC16" s="3">
        <f t="shared" si="8"/>
        <v>0</v>
      </c>
      <c r="AD16" s="3">
        <f t="shared" si="8"/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3">
        <f t="shared" si="8"/>
        <v>0</v>
      </c>
      <c r="AI16" s="3">
        <f t="shared" si="8"/>
        <v>0</v>
      </c>
    </row>
    <row r="17" customFormat="1" spans="1:35">
      <c r="A17" t="str">
        <f>C13</f>
        <v>数据结构</v>
      </c>
      <c r="B17" s="3">
        <f>B6/$C$14</f>
        <v>0.145038167938931</v>
      </c>
      <c r="C17" s="3">
        <f>MAX((C6-B6),0)/$C$14</f>
        <v>0.16412213740458</v>
      </c>
      <c r="D17" s="3">
        <f t="shared" ref="C17:AI17" si="9">MAX((D6-C6),0)/$C$14</f>
        <v>0</v>
      </c>
      <c r="E17" s="3">
        <f t="shared" si="9"/>
        <v>0</v>
      </c>
      <c r="F17" s="3">
        <f t="shared" si="9"/>
        <v>0</v>
      </c>
      <c r="G17" s="3">
        <f t="shared" si="9"/>
        <v>0</v>
      </c>
      <c r="H17" s="3">
        <f t="shared" si="9"/>
        <v>0</v>
      </c>
      <c r="I17" s="3">
        <f t="shared" si="9"/>
        <v>0</v>
      </c>
      <c r="J17" s="3">
        <f t="shared" si="9"/>
        <v>0</v>
      </c>
      <c r="K17" s="3">
        <f t="shared" si="9"/>
        <v>0</v>
      </c>
      <c r="L17" s="3">
        <f t="shared" si="9"/>
        <v>0</v>
      </c>
      <c r="M17" s="3">
        <f t="shared" si="9"/>
        <v>0</v>
      </c>
      <c r="N17" s="3">
        <f t="shared" si="9"/>
        <v>0</v>
      </c>
      <c r="O17" s="3">
        <f t="shared" si="9"/>
        <v>0</v>
      </c>
      <c r="P17" s="3">
        <f t="shared" si="9"/>
        <v>0</v>
      </c>
      <c r="Q17" s="3">
        <f t="shared" si="9"/>
        <v>0</v>
      </c>
      <c r="R17" s="3">
        <f t="shared" si="9"/>
        <v>0</v>
      </c>
      <c r="S17" s="3">
        <f t="shared" si="9"/>
        <v>0</v>
      </c>
      <c r="T17" s="3">
        <f t="shared" si="9"/>
        <v>0</v>
      </c>
      <c r="U17" s="3">
        <f t="shared" si="9"/>
        <v>0</v>
      </c>
      <c r="V17" s="3">
        <f t="shared" si="9"/>
        <v>0</v>
      </c>
      <c r="W17" s="3">
        <f t="shared" si="9"/>
        <v>0</v>
      </c>
      <c r="X17" s="3">
        <f t="shared" si="9"/>
        <v>0</v>
      </c>
      <c r="Y17" s="3">
        <f t="shared" si="9"/>
        <v>0</v>
      </c>
      <c r="Z17" s="3">
        <f t="shared" si="9"/>
        <v>0</v>
      </c>
      <c r="AA17" s="3">
        <f t="shared" si="9"/>
        <v>0</v>
      </c>
      <c r="AB17" s="3">
        <f t="shared" si="9"/>
        <v>0</v>
      </c>
      <c r="AC17" s="3">
        <f t="shared" si="9"/>
        <v>0</v>
      </c>
      <c r="AD17" s="3">
        <f t="shared" si="9"/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3">
        <f t="shared" si="9"/>
        <v>0</v>
      </c>
      <c r="AI17" s="3">
        <f t="shared" si="9"/>
        <v>0</v>
      </c>
    </row>
    <row r="18" customFormat="1" spans="1:35">
      <c r="A18" t="str">
        <f>D13</f>
        <v>程序设计</v>
      </c>
      <c r="B18" s="3">
        <f>B9/$D$14</f>
        <v>0.129824561403509</v>
      </c>
      <c r="C18" s="3">
        <f t="shared" ref="C18:AI18" si="10">MAX((C9-B9),0)/$D$14</f>
        <v>0.0456140350877193</v>
      </c>
      <c r="D18" s="3">
        <f t="shared" si="10"/>
        <v>0</v>
      </c>
      <c r="E18" s="3">
        <f t="shared" si="10"/>
        <v>0</v>
      </c>
      <c r="F18" s="3">
        <f t="shared" si="10"/>
        <v>0</v>
      </c>
      <c r="G18" s="3">
        <f t="shared" si="10"/>
        <v>0</v>
      </c>
      <c r="H18" s="3">
        <f t="shared" si="10"/>
        <v>0</v>
      </c>
      <c r="I18" s="3">
        <f t="shared" si="10"/>
        <v>0</v>
      </c>
      <c r="J18" s="3">
        <f t="shared" si="10"/>
        <v>0</v>
      </c>
      <c r="K18" s="3">
        <f t="shared" si="10"/>
        <v>0</v>
      </c>
      <c r="L18" s="3">
        <f t="shared" si="10"/>
        <v>0</v>
      </c>
      <c r="M18" s="3">
        <f t="shared" si="10"/>
        <v>0</v>
      </c>
      <c r="N18" s="3">
        <f t="shared" si="10"/>
        <v>0</v>
      </c>
      <c r="O18" s="3">
        <f t="shared" si="10"/>
        <v>0</v>
      </c>
      <c r="P18" s="3">
        <f t="shared" si="10"/>
        <v>0</v>
      </c>
      <c r="Q18" s="3">
        <f t="shared" si="10"/>
        <v>0</v>
      </c>
      <c r="R18" s="3">
        <f t="shared" si="10"/>
        <v>0</v>
      </c>
      <c r="S18" s="3">
        <f t="shared" si="10"/>
        <v>0</v>
      </c>
      <c r="T18" s="3">
        <f t="shared" si="10"/>
        <v>0</v>
      </c>
      <c r="U18" s="3">
        <f t="shared" si="10"/>
        <v>0</v>
      </c>
      <c r="V18" s="3">
        <f t="shared" si="10"/>
        <v>0</v>
      </c>
      <c r="W18" s="3">
        <f t="shared" si="10"/>
        <v>0</v>
      </c>
      <c r="X18" s="3">
        <f t="shared" si="10"/>
        <v>0</v>
      </c>
      <c r="Y18" s="3">
        <f t="shared" si="10"/>
        <v>0</v>
      </c>
      <c r="Z18" s="3">
        <f t="shared" si="10"/>
        <v>0</v>
      </c>
      <c r="AA18" s="3">
        <f t="shared" si="10"/>
        <v>0</v>
      </c>
      <c r="AB18" s="3">
        <f t="shared" si="10"/>
        <v>0</v>
      </c>
      <c r="AC18" s="3">
        <f t="shared" si="10"/>
        <v>0</v>
      </c>
      <c r="AD18" s="3">
        <f t="shared" si="10"/>
        <v>0</v>
      </c>
      <c r="AE18" s="3">
        <f t="shared" si="10"/>
        <v>0</v>
      </c>
      <c r="AF18" s="3">
        <f t="shared" si="10"/>
        <v>0</v>
      </c>
      <c r="AG18" s="3">
        <f t="shared" si="10"/>
        <v>0</v>
      </c>
      <c r="AH18" s="3">
        <f t="shared" si="10"/>
        <v>0</v>
      </c>
      <c r="AI18" s="3">
        <f t="shared" si="10"/>
        <v>0</v>
      </c>
    </row>
    <row r="19" customFormat="1" spans="1:35">
      <c r="A19" t="str">
        <f>E13</f>
        <v>语言翻译</v>
      </c>
      <c r="B19" s="3">
        <f>B12/$E$14</f>
        <v>0</v>
      </c>
      <c r="C19" s="3">
        <f t="shared" ref="C19:AI19" si="11">C12/$E$14</f>
        <v>0.0536480686695279</v>
      </c>
      <c r="D19" s="3">
        <f t="shared" si="11"/>
        <v>0</v>
      </c>
      <c r="E19" s="3">
        <f t="shared" si="11"/>
        <v>0</v>
      </c>
      <c r="F19" s="3">
        <f t="shared" si="11"/>
        <v>0</v>
      </c>
      <c r="G19" s="3">
        <f t="shared" si="11"/>
        <v>0</v>
      </c>
      <c r="H19" s="3">
        <f t="shared" si="11"/>
        <v>0</v>
      </c>
      <c r="I19" s="3">
        <f t="shared" si="11"/>
        <v>0</v>
      </c>
      <c r="J19" s="3">
        <f t="shared" si="11"/>
        <v>0</v>
      </c>
      <c r="K19" s="3">
        <f t="shared" si="11"/>
        <v>0</v>
      </c>
      <c r="L19" s="3">
        <f t="shared" si="11"/>
        <v>0</v>
      </c>
      <c r="M19" s="3">
        <f t="shared" si="11"/>
        <v>0</v>
      </c>
      <c r="N19" s="3">
        <f t="shared" si="11"/>
        <v>0</v>
      </c>
      <c r="O19" s="3">
        <f t="shared" si="11"/>
        <v>0</v>
      </c>
      <c r="P19" s="3">
        <f t="shared" si="11"/>
        <v>0</v>
      </c>
      <c r="Q19" s="3">
        <f t="shared" si="11"/>
        <v>0</v>
      </c>
      <c r="R19" s="3">
        <f t="shared" si="11"/>
        <v>0</v>
      </c>
      <c r="S19" s="3">
        <f t="shared" si="11"/>
        <v>0</v>
      </c>
      <c r="T19" s="3">
        <f t="shared" si="11"/>
        <v>0</v>
      </c>
      <c r="U19" s="3">
        <f t="shared" si="11"/>
        <v>0</v>
      </c>
      <c r="V19" s="3">
        <f t="shared" si="11"/>
        <v>0</v>
      </c>
      <c r="W19" s="3">
        <f t="shared" si="11"/>
        <v>0</v>
      </c>
      <c r="X19" s="3">
        <f t="shared" si="11"/>
        <v>0</v>
      </c>
      <c r="Y19" s="3">
        <f t="shared" si="11"/>
        <v>0</v>
      </c>
      <c r="Z19" s="3">
        <f t="shared" si="11"/>
        <v>0</v>
      </c>
      <c r="AA19" s="3">
        <f t="shared" si="11"/>
        <v>0</v>
      </c>
      <c r="AB19" s="3">
        <f t="shared" si="11"/>
        <v>0</v>
      </c>
      <c r="AC19" s="3">
        <f t="shared" si="11"/>
        <v>0</v>
      </c>
      <c r="AD19" s="3">
        <f t="shared" si="11"/>
        <v>0</v>
      </c>
      <c r="AE19" s="3">
        <f t="shared" si="11"/>
        <v>0</v>
      </c>
      <c r="AF19" s="3">
        <f t="shared" si="11"/>
        <v>0</v>
      </c>
      <c r="AG19" s="3">
        <f t="shared" si="11"/>
        <v>0</v>
      </c>
      <c r="AH19" s="3">
        <f t="shared" si="11"/>
        <v>0</v>
      </c>
      <c r="AI19" s="3">
        <f t="shared" si="11"/>
        <v>0</v>
      </c>
    </row>
    <row r="20" s="3" customFormat="1" spans="1:35">
      <c r="A20" s="3" t="s">
        <v>8</v>
      </c>
      <c r="B20" s="3">
        <f t="shared" ref="B20:AI20" si="12">AVERAGE(B16:B19)</f>
        <v>0.109565355538224</v>
      </c>
      <c r="C20" s="3">
        <f t="shared" si="12"/>
        <v>0.106695733493071</v>
      </c>
      <c r="D20" s="3">
        <f t="shared" si="12"/>
        <v>0</v>
      </c>
      <c r="E20" s="3">
        <f t="shared" si="12"/>
        <v>0</v>
      </c>
      <c r="F20" s="3">
        <f t="shared" si="12"/>
        <v>0</v>
      </c>
      <c r="G20" s="3">
        <f t="shared" si="12"/>
        <v>0</v>
      </c>
      <c r="H20" s="3">
        <f t="shared" si="12"/>
        <v>0</v>
      </c>
      <c r="I20" s="3">
        <f t="shared" si="12"/>
        <v>0</v>
      </c>
      <c r="J20" s="3">
        <f t="shared" si="12"/>
        <v>0</v>
      </c>
      <c r="K20" s="3">
        <f t="shared" si="12"/>
        <v>0</v>
      </c>
      <c r="L20" s="3">
        <f t="shared" si="12"/>
        <v>0</v>
      </c>
      <c r="M20" s="3">
        <f t="shared" si="12"/>
        <v>0</v>
      </c>
      <c r="N20" s="3">
        <f t="shared" si="12"/>
        <v>0</v>
      </c>
      <c r="O20" s="3">
        <f t="shared" si="12"/>
        <v>0</v>
      </c>
      <c r="P20" s="3">
        <f t="shared" si="12"/>
        <v>0</v>
      </c>
      <c r="Q20" s="3">
        <f t="shared" si="12"/>
        <v>0</v>
      </c>
      <c r="R20" s="3">
        <f t="shared" si="12"/>
        <v>0</v>
      </c>
      <c r="S20" s="3">
        <f t="shared" si="12"/>
        <v>0</v>
      </c>
      <c r="T20" s="3">
        <f t="shared" si="12"/>
        <v>0</v>
      </c>
      <c r="U20" s="3">
        <f t="shared" si="12"/>
        <v>0</v>
      </c>
      <c r="V20" s="3">
        <f t="shared" si="12"/>
        <v>0</v>
      </c>
      <c r="W20" s="3">
        <f t="shared" si="12"/>
        <v>0</v>
      </c>
      <c r="X20" s="3">
        <f t="shared" si="12"/>
        <v>0</v>
      </c>
      <c r="Y20" s="3">
        <f t="shared" si="12"/>
        <v>0</v>
      </c>
      <c r="Z20" s="3">
        <f t="shared" si="12"/>
        <v>0</v>
      </c>
      <c r="AA20" s="3">
        <f t="shared" si="12"/>
        <v>0</v>
      </c>
      <c r="AB20" s="3">
        <f t="shared" si="12"/>
        <v>0</v>
      </c>
      <c r="AC20" s="3">
        <f t="shared" si="12"/>
        <v>0</v>
      </c>
      <c r="AD20" s="3">
        <f t="shared" si="12"/>
        <v>0</v>
      </c>
      <c r="AE20" s="3">
        <f t="shared" si="12"/>
        <v>0</v>
      </c>
      <c r="AF20" s="3">
        <f t="shared" si="12"/>
        <v>0</v>
      </c>
      <c r="AG20" s="3">
        <f t="shared" si="12"/>
        <v>0</v>
      </c>
      <c r="AH20" s="3">
        <f t="shared" si="12"/>
        <v>0</v>
      </c>
      <c r="AI20" s="3">
        <f t="shared" si="12"/>
        <v>0</v>
      </c>
    </row>
    <row r="21" s="3" customFormat="1" spans="1:35">
      <c r="A21" s="3" t="s">
        <v>9</v>
      </c>
      <c r="B21" s="3">
        <f>B20</f>
        <v>0.109565355538224</v>
      </c>
      <c r="C21" s="3">
        <f>SUM($B20:C20)</f>
        <v>0.216261089031296</v>
      </c>
      <c r="D21" s="3">
        <f>SUM($B20:D20)</f>
        <v>0.216261089031296</v>
      </c>
      <c r="E21" s="3">
        <f>SUM($B20:E20)</f>
        <v>0.216261089031296</v>
      </c>
      <c r="F21" s="3">
        <f>SUM($B20:F20)</f>
        <v>0.216261089031296</v>
      </c>
      <c r="G21" s="3">
        <f>SUM($B20:G20)</f>
        <v>0.216261089031296</v>
      </c>
      <c r="H21" s="3">
        <f>SUM($B20:H20)</f>
        <v>0.216261089031296</v>
      </c>
      <c r="I21" s="3">
        <f>SUM($B20:I20)</f>
        <v>0.216261089031296</v>
      </c>
      <c r="J21" s="3">
        <f>SUM($B20:J20)</f>
        <v>0.216261089031296</v>
      </c>
      <c r="K21" s="3">
        <f>SUM($B20:K20)</f>
        <v>0.216261089031296</v>
      </c>
      <c r="L21" s="3">
        <f>SUM($B20:L20)</f>
        <v>0.216261089031296</v>
      </c>
      <c r="M21" s="3">
        <f>SUM($B20:M20)</f>
        <v>0.216261089031296</v>
      </c>
      <c r="N21" s="3">
        <f>SUM($B20:N20)</f>
        <v>0.216261089031296</v>
      </c>
      <c r="O21" s="3">
        <f>SUM($B20:O20)</f>
        <v>0.216261089031296</v>
      </c>
      <c r="P21" s="3">
        <f>SUM($B20:P20)</f>
        <v>0.216261089031296</v>
      </c>
      <c r="Q21" s="3">
        <f>SUM($B20:Q20)</f>
        <v>0.216261089031296</v>
      </c>
      <c r="R21" s="3">
        <f>SUM($B20:R20)</f>
        <v>0.216261089031296</v>
      </c>
      <c r="S21" s="3">
        <f>SUM($B20:S20)</f>
        <v>0.216261089031296</v>
      </c>
      <c r="T21" s="3">
        <f>SUM($B20:T20)</f>
        <v>0.216261089031296</v>
      </c>
      <c r="U21" s="3">
        <f>SUM($B20:U20)</f>
        <v>0.216261089031296</v>
      </c>
      <c r="V21" s="3">
        <f>SUM($B20:V20)</f>
        <v>0.216261089031296</v>
      </c>
      <c r="W21" s="3">
        <f>SUM($B20:W20)</f>
        <v>0.216261089031296</v>
      </c>
      <c r="X21" s="3">
        <f>SUM($B20:X20)</f>
        <v>0.216261089031296</v>
      </c>
      <c r="Y21" s="3">
        <f>SUM($B20:Y20)</f>
        <v>0.216261089031296</v>
      </c>
      <c r="Z21" s="3">
        <f>SUM($B20:Z20)</f>
        <v>0.216261089031296</v>
      </c>
      <c r="AA21" s="3">
        <f>SUM($B20:AA20)</f>
        <v>0.216261089031296</v>
      </c>
      <c r="AB21" s="3">
        <f>SUM($B20:AB20)</f>
        <v>0.216261089031296</v>
      </c>
      <c r="AC21" s="3">
        <f>SUM($B20:AC20)</f>
        <v>0.216261089031296</v>
      </c>
      <c r="AD21" s="3">
        <f>SUM($B20:AD20)</f>
        <v>0.216261089031296</v>
      </c>
      <c r="AE21" s="3">
        <f>SUM($B20:AE20)</f>
        <v>0.216261089031296</v>
      </c>
      <c r="AF21" s="3">
        <f>SUM($B20:AF20)</f>
        <v>0.216261089031296</v>
      </c>
      <c r="AG21" s="3">
        <f>SUM($B20:AG20)</f>
        <v>0.216261089031296</v>
      </c>
      <c r="AH21" s="3">
        <f>SUM($B20:AH20)</f>
        <v>0.216261089031296</v>
      </c>
      <c r="AI21" s="3">
        <f>SUM($B20:AI20)</f>
        <v>0.216261089031296</v>
      </c>
    </row>
    <row r="22" spans="1:35">
      <c r="A22" t="s">
        <v>10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</row>
    <row r="23" spans="1:35">
      <c r="A23" t="s">
        <v>11</v>
      </c>
      <c r="B23" s="3">
        <f>3/30</f>
        <v>0.1</v>
      </c>
      <c r="C23" s="3">
        <f t="shared" ref="C23:AI23" si="13">B23</f>
        <v>0.1</v>
      </c>
      <c r="D23" s="3">
        <f t="shared" si="13"/>
        <v>0.1</v>
      </c>
      <c r="E23" s="3">
        <f t="shared" si="13"/>
        <v>0.1</v>
      </c>
      <c r="F23" s="3">
        <f t="shared" si="13"/>
        <v>0.1</v>
      </c>
      <c r="G23" s="3">
        <f t="shared" si="13"/>
        <v>0.1</v>
      </c>
      <c r="H23" s="3">
        <f t="shared" si="13"/>
        <v>0.1</v>
      </c>
      <c r="I23" s="3">
        <f t="shared" si="13"/>
        <v>0.1</v>
      </c>
      <c r="J23" s="3">
        <f t="shared" si="13"/>
        <v>0.1</v>
      </c>
      <c r="K23" s="3">
        <f t="shared" si="13"/>
        <v>0.1</v>
      </c>
      <c r="L23" s="3">
        <f t="shared" si="13"/>
        <v>0.1</v>
      </c>
      <c r="M23" s="3">
        <f t="shared" si="13"/>
        <v>0.1</v>
      </c>
      <c r="N23" s="3">
        <f t="shared" si="13"/>
        <v>0.1</v>
      </c>
      <c r="O23" s="3">
        <f t="shared" si="13"/>
        <v>0.1</v>
      </c>
      <c r="P23" s="3">
        <f t="shared" si="13"/>
        <v>0.1</v>
      </c>
      <c r="Q23" s="3">
        <f t="shared" si="13"/>
        <v>0.1</v>
      </c>
      <c r="R23" s="3">
        <f t="shared" si="13"/>
        <v>0.1</v>
      </c>
      <c r="S23" s="3">
        <f t="shared" si="13"/>
        <v>0.1</v>
      </c>
      <c r="T23" s="3">
        <f t="shared" si="13"/>
        <v>0.1</v>
      </c>
      <c r="U23" s="3">
        <f t="shared" si="13"/>
        <v>0.1</v>
      </c>
      <c r="V23" s="3">
        <f t="shared" si="13"/>
        <v>0.1</v>
      </c>
      <c r="W23" s="3">
        <f t="shared" si="13"/>
        <v>0.1</v>
      </c>
      <c r="X23" s="3">
        <f t="shared" si="13"/>
        <v>0.1</v>
      </c>
      <c r="Y23" s="3">
        <f t="shared" si="13"/>
        <v>0.1</v>
      </c>
      <c r="Z23" s="3">
        <f t="shared" si="13"/>
        <v>0.1</v>
      </c>
      <c r="AA23" s="3">
        <f t="shared" si="13"/>
        <v>0.1</v>
      </c>
      <c r="AB23" s="3">
        <f t="shared" si="13"/>
        <v>0.1</v>
      </c>
      <c r="AC23" s="3">
        <f t="shared" si="13"/>
        <v>0.1</v>
      </c>
      <c r="AD23" s="3">
        <f t="shared" si="13"/>
        <v>0.1</v>
      </c>
      <c r="AE23" s="3">
        <f t="shared" si="13"/>
        <v>0.1</v>
      </c>
      <c r="AF23" s="3">
        <f t="shared" si="13"/>
        <v>0.1</v>
      </c>
      <c r="AG23" s="3">
        <f t="shared" si="13"/>
        <v>0.1</v>
      </c>
      <c r="AH23" s="3">
        <f t="shared" si="13"/>
        <v>0.1</v>
      </c>
      <c r="AI23" s="3">
        <f t="shared" si="13"/>
        <v>0.1</v>
      </c>
    </row>
    <row r="24" spans="1:35">
      <c r="A24" t="s">
        <v>12</v>
      </c>
      <c r="B24" s="3">
        <f t="shared" ref="B24:AI24" si="14">B23-B20</f>
        <v>-0.00956535553822438</v>
      </c>
      <c r="C24" s="3">
        <f t="shared" si="14"/>
        <v>-0.0066957334930712</v>
      </c>
      <c r="D24" s="3">
        <f t="shared" si="14"/>
        <v>0.1</v>
      </c>
      <c r="E24" s="3">
        <f t="shared" si="14"/>
        <v>0.1</v>
      </c>
      <c r="F24" s="3">
        <f t="shared" si="14"/>
        <v>0.1</v>
      </c>
      <c r="G24" s="3">
        <f t="shared" si="14"/>
        <v>0.1</v>
      </c>
      <c r="H24" s="3">
        <f t="shared" si="14"/>
        <v>0.1</v>
      </c>
      <c r="I24" s="3">
        <f t="shared" si="14"/>
        <v>0.1</v>
      </c>
      <c r="J24" s="3">
        <f t="shared" si="14"/>
        <v>0.1</v>
      </c>
      <c r="K24" s="3">
        <f t="shared" si="14"/>
        <v>0.1</v>
      </c>
      <c r="L24" s="3">
        <f t="shared" si="14"/>
        <v>0.1</v>
      </c>
      <c r="M24" s="3">
        <f t="shared" si="14"/>
        <v>0.1</v>
      </c>
      <c r="N24" s="3">
        <f t="shared" si="14"/>
        <v>0.1</v>
      </c>
      <c r="O24" s="3">
        <f t="shared" si="14"/>
        <v>0.1</v>
      </c>
      <c r="P24" s="3">
        <f t="shared" si="14"/>
        <v>0.1</v>
      </c>
      <c r="Q24" s="3">
        <f t="shared" si="14"/>
        <v>0.1</v>
      </c>
      <c r="R24" s="3">
        <f t="shared" si="14"/>
        <v>0.1</v>
      </c>
      <c r="S24" s="3">
        <f t="shared" si="14"/>
        <v>0.1</v>
      </c>
      <c r="T24" s="3">
        <f t="shared" si="14"/>
        <v>0.1</v>
      </c>
      <c r="U24" s="3">
        <f t="shared" si="14"/>
        <v>0.1</v>
      </c>
      <c r="V24" s="3">
        <f t="shared" si="14"/>
        <v>0.1</v>
      </c>
      <c r="W24" s="3">
        <f t="shared" si="14"/>
        <v>0.1</v>
      </c>
      <c r="X24" s="3">
        <f t="shared" si="14"/>
        <v>0.1</v>
      </c>
      <c r="Y24" s="3">
        <f t="shared" si="14"/>
        <v>0.1</v>
      </c>
      <c r="Z24" s="3">
        <f t="shared" si="14"/>
        <v>0.1</v>
      </c>
      <c r="AA24" s="3">
        <f t="shared" si="14"/>
        <v>0.1</v>
      </c>
      <c r="AB24" s="3">
        <f t="shared" si="14"/>
        <v>0.1</v>
      </c>
      <c r="AC24" s="3">
        <f t="shared" si="14"/>
        <v>0.1</v>
      </c>
      <c r="AD24" s="3">
        <f t="shared" si="14"/>
        <v>0.1</v>
      </c>
      <c r="AE24" s="3">
        <f t="shared" si="14"/>
        <v>0.1</v>
      </c>
      <c r="AF24" s="3">
        <f t="shared" si="14"/>
        <v>0.1</v>
      </c>
      <c r="AG24" s="3">
        <f t="shared" si="14"/>
        <v>0.1</v>
      </c>
      <c r="AH24" s="3">
        <f t="shared" si="14"/>
        <v>0.1</v>
      </c>
      <c r="AI24" s="3">
        <f t="shared" si="14"/>
        <v>0.1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F2" sqref="F2"/>
    </sheetView>
  </sheetViews>
  <sheetFormatPr defaultColWidth="8.88888888888889" defaultRowHeight="14.4" outlineLevelCol="4"/>
  <cols>
    <col min="1" max="1" width="11.8888888888889"/>
  </cols>
  <sheetData>
    <row r="1" spans="1:5">
      <c r="A1" t="s">
        <v>7</v>
      </c>
      <c r="B1" t="s">
        <v>1</v>
      </c>
    </row>
    <row r="2" spans="1:5">
      <c r="A2" s="1">
        <v>46021</v>
      </c>
      <c r="B2">
        <f t="shared" ref="B2:B16" si="0">SUM(C2:AZ2)</f>
        <v>12.5</v>
      </c>
      <c r="C2">
        <v>2.5</v>
      </c>
      <c r="D2">
        <v>5</v>
      </c>
      <c r="E2">
        <v>5</v>
      </c>
    </row>
    <row r="3" spans="1:5">
      <c r="A3" s="1">
        <v>46022</v>
      </c>
      <c r="B3">
        <f t="shared" si="0"/>
        <v>0</v>
      </c>
    </row>
    <row r="4" spans="1:5">
      <c r="A4" s="1">
        <v>46023</v>
      </c>
      <c r="B4">
        <f t="shared" si="0"/>
        <v>0</v>
      </c>
    </row>
    <row r="5" spans="1:5">
      <c r="A5" s="1">
        <v>46024</v>
      </c>
      <c r="B5">
        <f t="shared" si="0"/>
        <v>0</v>
      </c>
    </row>
    <row r="6" spans="1:5">
      <c r="A6" s="1">
        <v>46025</v>
      </c>
      <c r="B6">
        <f t="shared" si="0"/>
        <v>0</v>
      </c>
    </row>
    <row r="7" spans="1:5">
      <c r="A7" s="1">
        <v>46026</v>
      </c>
      <c r="B7">
        <f t="shared" si="0"/>
        <v>0</v>
      </c>
    </row>
    <row r="8" spans="1:5">
      <c r="A8" s="1">
        <v>46027</v>
      </c>
      <c r="B8">
        <f t="shared" si="0"/>
        <v>0</v>
      </c>
    </row>
    <row r="9" spans="1:5">
      <c r="A9" s="1">
        <v>46028</v>
      </c>
      <c r="B9">
        <f t="shared" si="0"/>
        <v>0</v>
      </c>
    </row>
    <row r="10" spans="1:5">
      <c r="A10" s="1">
        <v>46029</v>
      </c>
      <c r="B10">
        <f t="shared" si="0"/>
        <v>0</v>
      </c>
    </row>
    <row r="11" spans="1:5">
      <c r="A11" s="1">
        <v>46030</v>
      </c>
      <c r="B11">
        <f t="shared" si="0"/>
        <v>0</v>
      </c>
    </row>
    <row r="12" spans="1:5">
      <c r="A12" s="1">
        <v>46031</v>
      </c>
      <c r="B12">
        <f t="shared" si="0"/>
        <v>0</v>
      </c>
    </row>
    <row r="13" spans="1:5">
      <c r="A13" s="1">
        <v>46032</v>
      </c>
      <c r="B13">
        <f t="shared" si="0"/>
        <v>0</v>
      </c>
    </row>
    <row r="14" spans="1:5">
      <c r="A14" s="1">
        <v>46033</v>
      </c>
      <c r="B14">
        <f t="shared" si="0"/>
        <v>0</v>
      </c>
    </row>
    <row r="15" spans="1:5">
      <c r="A15" s="1">
        <v>46034</v>
      </c>
      <c r="B15">
        <f t="shared" si="0"/>
        <v>0</v>
      </c>
    </row>
    <row r="16" spans="1:5">
      <c r="A16" s="1">
        <v>46035</v>
      </c>
      <c r="B16">
        <f t="shared" si="0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福大机试</vt:lpstr>
      <vt:lpstr>语言翻译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2025-12-30T15:33:23Z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52C9626267BE4F95ABF321A732E9F92C_12</vt:lpwstr>
  </property>
  <property fmtid="{D5CDD505-2E9C-101B-9397-08002B2CF9AE}" pid="4" name="CalculationRule">
    <vt:i4>0</vt:i4>
  </property>
</Properties>
</file>