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当前阶段" sheetId="1" r:id="rId1"/>
    <sheet name="第三阶段" sheetId="8" r:id="rId2"/>
    <sheet name="第四阶段" sheetId="9" r:id="rId3"/>
    <sheet name="阅读书签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<sst xmlns="http://schemas.openxmlformats.org/spreadsheetml/2006/main" count="60" uniqueCount="40">
  <si>
    <t>模板记忆</t>
  </si>
  <si>
    <t>算法动作</t>
  </si>
  <si>
    <t>力扣冒险</t>
  </si>
  <si>
    <t>汇总</t>
  </si>
  <si>
    <t>数据结构</t>
  </si>
  <si>
    <t>算法状态</t>
  </si>
  <si>
    <t>计算思维</t>
  </si>
  <si>
    <t>程序设计</t>
  </si>
  <si>
    <t>算法流程+DS</t>
  </si>
  <si>
    <t>复试宝典</t>
  </si>
  <si>
    <t>翻译训练</t>
  </si>
  <si>
    <t>记忆保温</t>
  </si>
  <si>
    <t>类型</t>
  </si>
  <si>
    <t>权重</t>
  </si>
  <si>
    <t>日期</t>
  </si>
  <si>
    <t>第一进度</t>
  </si>
  <si>
    <t>第二进度</t>
  </si>
  <si>
    <t>第三进度</t>
  </si>
  <si>
    <t>滚动任务</t>
  </si>
  <si>
    <t>每日进度</t>
  </si>
  <si>
    <t>总进度</t>
  </si>
  <si>
    <t>目标</t>
  </si>
  <si>
    <t>日均目标</t>
  </si>
  <si>
    <t>剩余目标</t>
  </si>
  <si>
    <t>思维力量</t>
  </si>
  <si>
    <t>思维入门</t>
  </si>
  <si>
    <t>每日目标量</t>
  </si>
  <si>
    <t>日期：</t>
  </si>
  <si>
    <t>任务：</t>
  </si>
  <si>
    <t>←日均</t>
  </si>
  <si>
    <t>比例↑</t>
  </si>
  <si>
    <t>生动学习</t>
  </si>
  <si>
    <t>图论记忆</t>
  </si>
  <si>
    <t>优化记忆</t>
  </si>
  <si>
    <t>规则提取</t>
  </si>
  <si>
    <t>福大复试</t>
  </si>
  <si>
    <t>入门</t>
  </si>
  <si>
    <t>力量</t>
  </si>
  <si>
    <t>面试</t>
  </si>
  <si>
    <t>上机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</si>
</sst>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yyyy\-mm\-d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9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0">
      <alignment vertical="center"/>
    </xf>
    <xf numFmtId="0" fontId="7" fillId="0" borderId="10">
      <alignment vertical="center"/>
    </xf>
    <xf numFmtId="0" fontId="8" fillId="0" borderId="11">
      <alignment vertical="center"/>
    </xf>
    <xf numFmtId="0" fontId="8" fillId="0" borderId="0">
      <alignment vertical="center"/>
    </xf>
    <xf numFmtId="0" fontId="9" fillId="3" borderId="12">
      <alignment vertical="center"/>
    </xf>
    <xf numFmtId="0" fontId="10" fillId="4" borderId="13">
      <alignment vertical="center"/>
    </xf>
    <xf numFmtId="0" fontId="11" fillId="4" borderId="12">
      <alignment vertical="center"/>
    </xf>
    <xf numFmtId="0" fontId="12" fillId="5" borderId="14">
      <alignment vertical="center"/>
    </xf>
    <xf numFmtId="0" fontId="13" fillId="0" borderId="15">
      <alignment vertical="center"/>
    </xf>
    <xf numFmtId="0" fontId="14" fillId="0" borderId="16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当前阶段!$A$20</c:f>
              <c:strCache>
                <c:ptCount val="1"/>
                <c:pt idx="0">
                  <c:v>每日进度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当前阶段!$B$15:$ZZ$15</c:f>
              <c:numCache>
                <c:formatCode>[$-409]yyyy\-mm\-dd;@</c:formatCode>
                <c:ptCount val="684"/>
                <c:pt idx="0">
                  <c:v>46037</c:v>
                </c:pt>
                <c:pt idx="1">
                  <c:v>46038</c:v>
                </c:pt>
                <c:pt idx="2">
                  <c:v>46039</c:v>
                </c:pt>
                <c:pt idx="3">
                  <c:v>46040</c:v>
                </c:pt>
                <c:pt idx="4">
                  <c:v>46041</c:v>
                </c:pt>
                <c:pt idx="5">
                  <c:v>46042</c:v>
                </c:pt>
                <c:pt idx="6">
                  <c:v>46043</c:v>
                </c:pt>
                <c:pt idx="7">
                  <c:v>46044</c:v>
                </c:pt>
                <c:pt idx="8">
                  <c:v>46045</c:v>
                </c:pt>
                <c:pt idx="9">
                  <c:v>46046</c:v>
                </c:pt>
                <c:pt idx="10">
                  <c:v>46047</c:v>
                </c:pt>
                <c:pt idx="11">
                  <c:v>46048</c:v>
                </c:pt>
                <c:pt idx="12">
                  <c:v>46049</c:v>
                </c:pt>
                <c:pt idx="13">
                  <c:v>46050</c:v>
                </c:pt>
                <c:pt idx="14">
                  <c:v>46051</c:v>
                </c:pt>
                <c:pt idx="15">
                  <c:v>46052</c:v>
                </c:pt>
                <c:pt idx="16">
                  <c:v>46053</c:v>
                </c:pt>
                <c:pt idx="17">
                  <c:v>46054</c:v>
                </c:pt>
                <c:pt idx="18">
                  <c:v>46055</c:v>
                </c:pt>
                <c:pt idx="19">
                  <c:v>46056</c:v>
                </c:pt>
                <c:pt idx="20">
                  <c:v>46057</c:v>
                </c:pt>
                <c:pt idx="21">
                  <c:v>46058</c:v>
                </c:pt>
                <c:pt idx="22">
                  <c:v>46059</c:v>
                </c:pt>
                <c:pt idx="23">
                  <c:v>46060</c:v>
                </c:pt>
                <c:pt idx="24">
                  <c:v>46061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46067</c:v>
                </c:pt>
                <c:pt idx="31">
                  <c:v>46068</c:v>
                </c:pt>
                <c:pt idx="32">
                  <c:v>46069</c:v>
                </c:pt>
              </c:numCache>
            </c:numRef>
          </c:xVal>
          <c:yVal>
            <c:numRef>
              <c:f>当前阶段!$B$20:$ZZ$20</c:f>
              <c:numCache>
                <c:formatCode>0.00%</c:formatCode>
                <c:ptCount val="684"/>
                <c:pt idx="0">
                  <c:v>0.103598531898355</c:v>
                </c:pt>
                <c:pt idx="1">
                  <c:v>0.219292020264637</c:v>
                </c:pt>
                <c:pt idx="2">
                  <c:v>0.078915361182836</c:v>
                </c:pt>
                <c:pt idx="3">
                  <c:v>0.0953177000830723</c:v>
                </c:pt>
                <c:pt idx="4">
                  <c:v>0.0167247386759582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当前阶段!$A$22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当前阶段!$B$15:$ZZ$15</c:f>
              <c:numCache>
                <c:formatCode>[$-409]yyyy\-mm\-dd;@</c:formatCode>
                <c:ptCount val="684"/>
                <c:pt idx="0">
                  <c:v>46037</c:v>
                </c:pt>
                <c:pt idx="1">
                  <c:v>46038</c:v>
                </c:pt>
                <c:pt idx="2">
                  <c:v>46039</c:v>
                </c:pt>
                <c:pt idx="3">
                  <c:v>46040</c:v>
                </c:pt>
                <c:pt idx="4">
                  <c:v>46041</c:v>
                </c:pt>
                <c:pt idx="5">
                  <c:v>46042</c:v>
                </c:pt>
                <c:pt idx="6">
                  <c:v>46043</c:v>
                </c:pt>
                <c:pt idx="7">
                  <c:v>46044</c:v>
                </c:pt>
                <c:pt idx="8">
                  <c:v>46045</c:v>
                </c:pt>
                <c:pt idx="9">
                  <c:v>46046</c:v>
                </c:pt>
                <c:pt idx="10">
                  <c:v>46047</c:v>
                </c:pt>
                <c:pt idx="11">
                  <c:v>46048</c:v>
                </c:pt>
                <c:pt idx="12">
                  <c:v>46049</c:v>
                </c:pt>
                <c:pt idx="13">
                  <c:v>46050</c:v>
                </c:pt>
                <c:pt idx="14">
                  <c:v>46051</c:v>
                </c:pt>
                <c:pt idx="15">
                  <c:v>46052</c:v>
                </c:pt>
                <c:pt idx="16">
                  <c:v>46053</c:v>
                </c:pt>
                <c:pt idx="17">
                  <c:v>46054</c:v>
                </c:pt>
                <c:pt idx="18">
                  <c:v>46055</c:v>
                </c:pt>
                <c:pt idx="19">
                  <c:v>46056</c:v>
                </c:pt>
                <c:pt idx="20">
                  <c:v>46057</c:v>
                </c:pt>
                <c:pt idx="21">
                  <c:v>46058</c:v>
                </c:pt>
                <c:pt idx="22">
                  <c:v>46059</c:v>
                </c:pt>
                <c:pt idx="23">
                  <c:v>46060</c:v>
                </c:pt>
                <c:pt idx="24">
                  <c:v>46061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46067</c:v>
                </c:pt>
                <c:pt idx="31">
                  <c:v>46068</c:v>
                </c:pt>
                <c:pt idx="32">
                  <c:v>46069</c:v>
                </c:pt>
              </c:numCache>
            </c:numRef>
          </c:xVal>
          <c:yVal>
            <c:numRef>
              <c:f>当前阶段!$B$22:$ZZ$22</c:f>
              <c:numCache>
                <c:formatCode>0.00%</c:formatCode>
                <c:ptCount val="684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当前阶段!$A$21</c:f>
              <c:strCache>
                <c:ptCount val="1"/>
                <c:pt idx="0">
                  <c:v>总进度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当前阶段!$B$15:$ZZ$15</c:f>
              <c:numCache>
                <c:formatCode>[$-409]yyyy\-mm\-dd;@</c:formatCode>
                <c:ptCount val="684"/>
                <c:pt idx="0">
                  <c:v>46037</c:v>
                </c:pt>
                <c:pt idx="1">
                  <c:v>46038</c:v>
                </c:pt>
                <c:pt idx="2">
                  <c:v>46039</c:v>
                </c:pt>
                <c:pt idx="3">
                  <c:v>46040</c:v>
                </c:pt>
                <c:pt idx="4">
                  <c:v>46041</c:v>
                </c:pt>
                <c:pt idx="5">
                  <c:v>46042</c:v>
                </c:pt>
                <c:pt idx="6">
                  <c:v>46043</c:v>
                </c:pt>
                <c:pt idx="7">
                  <c:v>46044</c:v>
                </c:pt>
                <c:pt idx="8">
                  <c:v>46045</c:v>
                </c:pt>
                <c:pt idx="9">
                  <c:v>46046</c:v>
                </c:pt>
                <c:pt idx="10">
                  <c:v>46047</c:v>
                </c:pt>
                <c:pt idx="11">
                  <c:v>46048</c:v>
                </c:pt>
                <c:pt idx="12">
                  <c:v>46049</c:v>
                </c:pt>
                <c:pt idx="13">
                  <c:v>46050</c:v>
                </c:pt>
                <c:pt idx="14">
                  <c:v>46051</c:v>
                </c:pt>
                <c:pt idx="15">
                  <c:v>46052</c:v>
                </c:pt>
                <c:pt idx="16">
                  <c:v>46053</c:v>
                </c:pt>
                <c:pt idx="17">
                  <c:v>46054</c:v>
                </c:pt>
                <c:pt idx="18">
                  <c:v>46055</c:v>
                </c:pt>
                <c:pt idx="19">
                  <c:v>46056</c:v>
                </c:pt>
                <c:pt idx="20">
                  <c:v>46057</c:v>
                </c:pt>
                <c:pt idx="21">
                  <c:v>46058</c:v>
                </c:pt>
                <c:pt idx="22">
                  <c:v>46059</c:v>
                </c:pt>
                <c:pt idx="23">
                  <c:v>46060</c:v>
                </c:pt>
                <c:pt idx="24">
                  <c:v>46061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46067</c:v>
                </c:pt>
                <c:pt idx="31">
                  <c:v>46068</c:v>
                </c:pt>
                <c:pt idx="32">
                  <c:v>46069</c:v>
                </c:pt>
              </c:numCache>
            </c:numRef>
          </c:xVal>
          <c:yVal>
            <c:numRef>
              <c:f>当前阶段!$B$21:$ZZ$21</c:f>
              <c:numCache>
                <c:formatCode>0.00%</c:formatCode>
                <c:ptCount val="684"/>
                <c:pt idx="0">
                  <c:v>2.00064816360356</c:v>
                </c:pt>
                <c:pt idx="1">
                  <c:v>2.2199401838682</c:v>
                </c:pt>
                <c:pt idx="2">
                  <c:v>2.29885554505103</c:v>
                </c:pt>
                <c:pt idx="3">
                  <c:v>2.39417324513411</c:v>
                </c:pt>
                <c:pt idx="4">
                  <c:v>2.41089798381006</c:v>
                </c:pt>
                <c:pt idx="5">
                  <c:v>2.41089798381006</c:v>
                </c:pt>
                <c:pt idx="6">
                  <c:v>2.41089798381006</c:v>
                </c:pt>
                <c:pt idx="7">
                  <c:v>2.41089798381006</c:v>
                </c:pt>
                <c:pt idx="8">
                  <c:v>2.41089798381006</c:v>
                </c:pt>
                <c:pt idx="9">
                  <c:v>2.41089798381006</c:v>
                </c:pt>
                <c:pt idx="10">
                  <c:v>2.41089798381006</c:v>
                </c:pt>
                <c:pt idx="11">
                  <c:v>2.41089798381006</c:v>
                </c:pt>
                <c:pt idx="12">
                  <c:v>2.41089798381006</c:v>
                </c:pt>
                <c:pt idx="13">
                  <c:v>2.41089798381006</c:v>
                </c:pt>
                <c:pt idx="14">
                  <c:v>2.41089798381006</c:v>
                </c:pt>
                <c:pt idx="15">
                  <c:v>2.41089798381006</c:v>
                </c:pt>
                <c:pt idx="16">
                  <c:v>2.41089798381006</c:v>
                </c:pt>
                <c:pt idx="17">
                  <c:v>2.41089798381006</c:v>
                </c:pt>
                <c:pt idx="18">
                  <c:v>2.41089798381006</c:v>
                </c:pt>
                <c:pt idx="19">
                  <c:v>2.41089798381006</c:v>
                </c:pt>
                <c:pt idx="20">
                  <c:v>2.41089798381006</c:v>
                </c:pt>
                <c:pt idx="21">
                  <c:v>2.41089798381006</c:v>
                </c:pt>
                <c:pt idx="22">
                  <c:v>2.41089798381006</c:v>
                </c:pt>
                <c:pt idx="23">
                  <c:v>2.41089798381006</c:v>
                </c:pt>
                <c:pt idx="24">
                  <c:v>2.41089798381006</c:v>
                </c:pt>
                <c:pt idx="25">
                  <c:v>2.41089798381006</c:v>
                </c:pt>
                <c:pt idx="26">
                  <c:v>2.41089798381006</c:v>
                </c:pt>
                <c:pt idx="27">
                  <c:v>2.41089798381006</c:v>
                </c:pt>
                <c:pt idx="28">
                  <c:v>2.41089798381006</c:v>
                </c:pt>
                <c:pt idx="29">
                  <c:v>2.41089798381006</c:v>
                </c:pt>
                <c:pt idx="30">
                  <c:v>2.41089798381006</c:v>
                </c:pt>
                <c:pt idx="31">
                  <c:v>2.41089798381006</c:v>
                </c:pt>
                <c:pt idx="32">
                  <c:v>2.41089798381006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当前阶段!$A$23</c:f>
              <c:strCache>
                <c:ptCount val="1"/>
                <c:pt idx="0">
                  <c:v>日均目标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当前阶段!$B$15:$ZZ$15</c:f>
              <c:numCache>
                <c:formatCode>[$-409]yyyy\-mm\-dd;@</c:formatCode>
                <c:ptCount val="684"/>
                <c:pt idx="0">
                  <c:v>46037</c:v>
                </c:pt>
                <c:pt idx="1">
                  <c:v>46038</c:v>
                </c:pt>
                <c:pt idx="2">
                  <c:v>46039</c:v>
                </c:pt>
                <c:pt idx="3">
                  <c:v>46040</c:v>
                </c:pt>
                <c:pt idx="4">
                  <c:v>46041</c:v>
                </c:pt>
                <c:pt idx="5">
                  <c:v>46042</c:v>
                </c:pt>
                <c:pt idx="6">
                  <c:v>46043</c:v>
                </c:pt>
                <c:pt idx="7">
                  <c:v>46044</c:v>
                </c:pt>
                <c:pt idx="8">
                  <c:v>46045</c:v>
                </c:pt>
                <c:pt idx="9">
                  <c:v>46046</c:v>
                </c:pt>
                <c:pt idx="10">
                  <c:v>46047</c:v>
                </c:pt>
                <c:pt idx="11">
                  <c:v>46048</c:v>
                </c:pt>
                <c:pt idx="12">
                  <c:v>46049</c:v>
                </c:pt>
                <c:pt idx="13">
                  <c:v>46050</c:v>
                </c:pt>
                <c:pt idx="14">
                  <c:v>46051</c:v>
                </c:pt>
                <c:pt idx="15">
                  <c:v>46052</c:v>
                </c:pt>
                <c:pt idx="16">
                  <c:v>46053</c:v>
                </c:pt>
                <c:pt idx="17">
                  <c:v>46054</c:v>
                </c:pt>
                <c:pt idx="18">
                  <c:v>46055</c:v>
                </c:pt>
                <c:pt idx="19">
                  <c:v>46056</c:v>
                </c:pt>
                <c:pt idx="20">
                  <c:v>46057</c:v>
                </c:pt>
                <c:pt idx="21">
                  <c:v>46058</c:v>
                </c:pt>
                <c:pt idx="22">
                  <c:v>46059</c:v>
                </c:pt>
                <c:pt idx="23">
                  <c:v>46060</c:v>
                </c:pt>
                <c:pt idx="24">
                  <c:v>46061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46067</c:v>
                </c:pt>
                <c:pt idx="31">
                  <c:v>46068</c:v>
                </c:pt>
                <c:pt idx="32">
                  <c:v>46069</c:v>
                </c:pt>
              </c:numCache>
            </c:numRef>
          </c:xVal>
          <c:yVal>
            <c:numRef>
              <c:f>当前阶段!$B$23:$ZZ$23</c:f>
              <c:numCache>
                <c:formatCode>0.00%</c:formatCode>
                <c:ptCount val="684"/>
                <c:pt idx="0">
                  <c:v>0.153846153846154</c:v>
                </c:pt>
                <c:pt idx="1">
                  <c:v>0.153846153846154</c:v>
                </c:pt>
                <c:pt idx="2">
                  <c:v>0.0769230769230769</c:v>
                </c:pt>
                <c:pt idx="3">
                  <c:v>0.0769230769230769</c:v>
                </c:pt>
                <c:pt idx="4">
                  <c:v>0.0769230769230769</c:v>
                </c:pt>
                <c:pt idx="5">
                  <c:v>0.0769230769230769</c:v>
                </c:pt>
                <c:pt idx="6">
                  <c:v>0.0769230769230769</c:v>
                </c:pt>
                <c:pt idx="7">
                  <c:v>0.0769230769230769</c:v>
                </c:pt>
                <c:pt idx="8">
                  <c:v>0.0769230769230769</c:v>
                </c:pt>
                <c:pt idx="9">
                  <c:v>0.0769230769230769</c:v>
                </c:pt>
                <c:pt idx="10">
                  <c:v>0.0769230769230769</c:v>
                </c:pt>
                <c:pt idx="11">
                  <c:v>0.0769230769230769</c:v>
                </c:pt>
                <c:pt idx="12">
                  <c:v>0.0769230769230769</c:v>
                </c:pt>
                <c:pt idx="13">
                  <c:v>0.0769230769230769</c:v>
                </c:pt>
                <c:pt idx="14">
                  <c:v>0.0769230769230769</c:v>
                </c:pt>
                <c:pt idx="15">
                  <c:v>0.0769230769230769</c:v>
                </c:pt>
                <c:pt idx="16">
                  <c:v>0.0769230769230769</c:v>
                </c:pt>
                <c:pt idx="17">
                  <c:v>0.0769230769230769</c:v>
                </c:pt>
                <c:pt idx="18">
                  <c:v>0.0769230769230769</c:v>
                </c:pt>
                <c:pt idx="19">
                  <c:v>0.0769230769230769</c:v>
                </c:pt>
                <c:pt idx="20">
                  <c:v>0.0769230769230769</c:v>
                </c:pt>
                <c:pt idx="21">
                  <c:v>0.0769230769230769</c:v>
                </c:pt>
                <c:pt idx="22">
                  <c:v>0.0769230769230769</c:v>
                </c:pt>
                <c:pt idx="23">
                  <c:v>0.0769230769230769</c:v>
                </c:pt>
                <c:pt idx="24">
                  <c:v>0.0769230769230769</c:v>
                </c:pt>
                <c:pt idx="25">
                  <c:v>0.0769230769230769</c:v>
                </c:pt>
                <c:pt idx="26">
                  <c:v>0.0769230769230769</c:v>
                </c:pt>
                <c:pt idx="27">
                  <c:v>0.0769230769230769</c:v>
                </c:pt>
                <c:pt idx="28">
                  <c:v>0.0769230769230769</c:v>
                </c:pt>
                <c:pt idx="29">
                  <c:v>0.0769230769230769</c:v>
                </c:pt>
                <c:pt idx="30">
                  <c:v>0.0769230769230769</c:v>
                </c:pt>
                <c:pt idx="31">
                  <c:v>0.0769230769230769</c:v>
                </c:pt>
                <c:pt idx="32">
                  <c:v>0.0769230769230769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86520"/>
        <c:axId val="78795352"/>
      </c:scatterChart>
      <c:valAx>
        <c:axId val="88986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yyyy&quot;年&quot;m&quot;月&quot;d&quot;日&quot;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8795352"/>
        <c:crosses val="autoZero"/>
        <c:crossBetween val="midCat"/>
        <c:majorUnit val="2"/>
        <c:minorUnit val="1"/>
      </c:valAx>
      <c:valAx>
        <c:axId val="78795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986520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6d09e9b-4b4e-49ff-9257-415282a9bd7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15240</xdr:colOff>
      <xdr:row>26</xdr:row>
      <xdr:rowOff>132080</xdr:rowOff>
    </xdr:from>
    <xdr:to>
      <xdr:col>50</xdr:col>
      <xdr:colOff>611505</xdr:colOff>
      <xdr:row>69</xdr:row>
      <xdr:rowOff>158115</xdr:rowOff>
    </xdr:to>
    <xdr:graphicFrame>
      <xdr:nvGraphicFramePr>
        <xdr:cNvPr id="3" name="图表 2"/>
        <xdr:cNvGraphicFramePr/>
      </xdr:nvGraphicFramePr>
      <xdr:xfrm>
        <a:off x="1082040" y="4934585"/>
        <a:ext cx="35236785" cy="78898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26"/>
  <sheetViews>
    <sheetView tabSelected="1" zoomScale="85" zoomScaleNormal="85" workbookViewId="0">
      <pane xSplit="1" topLeftCell="B1" activePane="topRight" state="frozen"/>
      <selection/>
      <selection pane="topRight" activeCell="W7" sqref="W7"/>
    </sheetView>
  </sheetViews>
  <sheetFormatPr defaultColWidth="15.7777777777778" defaultRowHeight="14.4"/>
  <cols>
    <col min="1" max="1" width="15.7777777777778" style="6" customWidth="1"/>
    <col min="2" max="18" width="15.7777777777778" style="6" hidden="1" customWidth="1"/>
    <col min="19" max="16384" width="15.7777777777778" style="6" customWidth="1"/>
  </cols>
  <sheetData>
    <row r="1" s="2" customFormat="1" spans="1:51">
      <c r="A1" s="9" t="s">
        <v>0</v>
      </c>
      <c r="J1" s="10"/>
      <c r="K1" s="2" t="s">
        <v>1</v>
      </c>
      <c r="L1" s="2"/>
      <c r="R1" s="10"/>
      <c r="S1" s="6" t="s">
        <v>2</v>
      </c>
    </row>
    <row r="2" s="3" customFormat="1" spans="1:51">
      <c r="A2" s="11" t="s">
        <v>3</v>
      </c>
      <c r="B2" s="3">
        <v>46020</v>
      </c>
      <c r="C2" s="3">
        <v>46021</v>
      </c>
      <c r="D2" s="3">
        <v>46022</v>
      </c>
      <c r="E2" s="3">
        <v>46023</v>
      </c>
      <c r="F2" s="3">
        <v>46024</v>
      </c>
      <c r="G2" s="3">
        <v>46025</v>
      </c>
      <c r="H2" s="3">
        <v>46026</v>
      </c>
      <c r="I2" s="3">
        <v>46027</v>
      </c>
      <c r="J2" s="12">
        <v>46028</v>
      </c>
      <c r="K2" s="13">
        <v>46029</v>
      </c>
      <c r="L2" s="13">
        <v>46030</v>
      </c>
      <c r="M2" s="3">
        <v>46031</v>
      </c>
      <c r="N2" s="3">
        <v>46032</v>
      </c>
      <c r="O2" s="3">
        <v>46033</v>
      </c>
      <c r="P2" s="3">
        <v>46034</v>
      </c>
      <c r="Q2" s="13">
        <v>46035</v>
      </c>
      <c r="R2" s="12">
        <v>46036</v>
      </c>
      <c r="S2" s="13">
        <v>46037</v>
      </c>
      <c r="T2" s="13">
        <v>46038</v>
      </c>
      <c r="U2" s="13">
        <v>46039</v>
      </c>
      <c r="V2" s="3">
        <v>46040</v>
      </c>
      <c r="W2" s="3">
        <v>46041</v>
      </c>
      <c r="X2" s="3">
        <v>46042</v>
      </c>
      <c r="Y2" s="3">
        <v>46043</v>
      </c>
      <c r="Z2" s="3">
        <v>46044</v>
      </c>
      <c r="AA2" s="3">
        <v>46045</v>
      </c>
      <c r="AB2" s="3">
        <v>46046</v>
      </c>
      <c r="AC2" s="3">
        <v>46047</v>
      </c>
      <c r="AD2" s="3">
        <v>46048</v>
      </c>
      <c r="AE2" s="3">
        <v>46049</v>
      </c>
      <c r="AF2" s="3">
        <v>46050</v>
      </c>
      <c r="AG2" s="3">
        <v>46051</v>
      </c>
      <c r="AH2" s="3">
        <v>46052</v>
      </c>
      <c r="AI2" s="3">
        <v>46053</v>
      </c>
      <c r="AJ2" s="3">
        <v>46054</v>
      </c>
      <c r="AK2" s="3">
        <v>46055</v>
      </c>
      <c r="AL2" s="3">
        <v>46056</v>
      </c>
      <c r="AM2" s="3">
        <v>46057</v>
      </c>
      <c r="AN2" s="3">
        <v>46058</v>
      </c>
      <c r="AO2" s="3">
        <v>46059</v>
      </c>
      <c r="AP2" s="3">
        <v>46060</v>
      </c>
      <c r="AQ2" s="3">
        <v>46061</v>
      </c>
      <c r="AR2" s="3">
        <v>46062</v>
      </c>
      <c r="AS2" s="3">
        <v>46063</v>
      </c>
      <c r="AT2" s="3">
        <v>46064</v>
      </c>
      <c r="AU2" s="3">
        <v>46065</v>
      </c>
      <c r="AV2" s="3">
        <v>46066</v>
      </c>
      <c r="AW2" s="3">
        <v>46067</v>
      </c>
      <c r="AX2" s="3">
        <v>46068</v>
      </c>
      <c r="AY2" s="3">
        <v>46069</v>
      </c>
    </row>
    <row r="3" spans="1:51">
      <c r="A3" s="14">
        <f>SUM(B3:ZZ3)</f>
        <v>588</v>
      </c>
      <c r="B3" s="6">
        <v>25</v>
      </c>
      <c r="C3" s="6">
        <v>25</v>
      </c>
      <c r="D3" s="6">
        <v>15</v>
      </c>
      <c r="E3" s="6">
        <v>15</v>
      </c>
      <c r="F3" s="6">
        <v>15</v>
      </c>
      <c r="G3" s="6">
        <v>15</v>
      </c>
      <c r="H3" s="6">
        <v>15</v>
      </c>
      <c r="I3" s="6">
        <v>90</v>
      </c>
      <c r="J3" s="15">
        <v>22</v>
      </c>
      <c r="K3" s="5">
        <v>21</v>
      </c>
      <c r="L3" s="5">
        <v>26</v>
      </c>
      <c r="M3" s="6">
        <v>50</v>
      </c>
      <c r="N3" s="6">
        <v>28</v>
      </c>
      <c r="O3" s="6">
        <v>25</v>
      </c>
      <c r="P3" s="6">
        <v>25</v>
      </c>
      <c r="Q3" s="5">
        <v>26</v>
      </c>
      <c r="R3" s="15">
        <v>69</v>
      </c>
      <c r="S3" s="5">
        <v>52</v>
      </c>
      <c r="T3" s="5">
        <v>15</v>
      </c>
      <c r="U3" s="5">
        <v>8</v>
      </c>
      <c r="V3" s="6">
        <v>0</v>
      </c>
      <c r="W3" s="6">
        <v>6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AN3" s="6">
        <v>0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>
        <v>0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</row>
    <row r="4" spans="1:51">
      <c r="A4" s="14" t="s">
        <v>4</v>
      </c>
      <c r="J4" s="15"/>
      <c r="K4" s="5" t="s">
        <v>5</v>
      </c>
      <c r="L4" s="5"/>
      <c r="Q4" s="5"/>
      <c r="R4" s="15"/>
      <c r="S4" s="6" t="s">
        <v>6</v>
      </c>
      <c r="T4" s="5"/>
      <c r="U4" s="5"/>
    </row>
    <row r="5" spans="1:51">
      <c r="A5" s="14" t="s">
        <v>3</v>
      </c>
      <c r="B5" s="3">
        <f t="shared" ref="B5:P5" si="0">B2</f>
        <v>46020</v>
      </c>
      <c r="C5" s="3">
        <f t="shared" si="0"/>
        <v>46021</v>
      </c>
      <c r="D5" s="3">
        <f t="shared" si="0"/>
        <v>46022</v>
      </c>
      <c r="E5" s="3">
        <f t="shared" si="0"/>
        <v>46023</v>
      </c>
      <c r="F5" s="3">
        <f t="shared" si="0"/>
        <v>46024</v>
      </c>
      <c r="G5" s="3">
        <f t="shared" si="0"/>
        <v>46025</v>
      </c>
      <c r="H5" s="3">
        <f t="shared" si="0"/>
        <v>46026</v>
      </c>
      <c r="I5" s="3">
        <f t="shared" si="0"/>
        <v>46027</v>
      </c>
      <c r="J5" s="12">
        <f t="shared" si="0"/>
        <v>46028</v>
      </c>
      <c r="K5" s="13">
        <f t="shared" si="0"/>
        <v>46029</v>
      </c>
      <c r="L5" s="13">
        <f t="shared" si="0"/>
        <v>46030</v>
      </c>
      <c r="M5" s="3">
        <f t="shared" si="0"/>
        <v>46031</v>
      </c>
      <c r="N5" s="3">
        <f t="shared" si="0"/>
        <v>46032</v>
      </c>
      <c r="O5" s="3">
        <f t="shared" si="0"/>
        <v>46033</v>
      </c>
      <c r="P5" s="3">
        <f t="shared" si="0"/>
        <v>46034</v>
      </c>
      <c r="Q5" s="13">
        <f t="shared" ref="Q5:AY5" si="1">Q2</f>
        <v>46035</v>
      </c>
      <c r="R5" s="12">
        <f t="shared" si="1"/>
        <v>46036</v>
      </c>
      <c r="S5" s="13">
        <f t="shared" si="1"/>
        <v>46037</v>
      </c>
      <c r="T5" s="13">
        <f t="shared" si="1"/>
        <v>46038</v>
      </c>
      <c r="U5" s="13">
        <f t="shared" si="1"/>
        <v>46039</v>
      </c>
      <c r="V5" s="3">
        <f t="shared" si="1"/>
        <v>46040</v>
      </c>
      <c r="W5" s="3">
        <f t="shared" si="1"/>
        <v>46041</v>
      </c>
      <c r="X5" s="3">
        <f t="shared" si="1"/>
        <v>46042</v>
      </c>
      <c r="Y5" s="3">
        <f t="shared" si="1"/>
        <v>46043</v>
      </c>
      <c r="Z5" s="3">
        <f t="shared" si="1"/>
        <v>46044</v>
      </c>
      <c r="AA5" s="3">
        <f t="shared" si="1"/>
        <v>46045</v>
      </c>
      <c r="AB5" s="3">
        <f t="shared" si="1"/>
        <v>46046</v>
      </c>
      <c r="AC5" s="3">
        <f t="shared" si="1"/>
        <v>46047</v>
      </c>
      <c r="AD5" s="3">
        <f t="shared" si="1"/>
        <v>46048</v>
      </c>
      <c r="AE5" s="3">
        <f t="shared" si="1"/>
        <v>46049</v>
      </c>
      <c r="AF5" s="3">
        <f t="shared" si="1"/>
        <v>46050</v>
      </c>
      <c r="AG5" s="3">
        <f t="shared" si="1"/>
        <v>46051</v>
      </c>
      <c r="AH5" s="3">
        <f t="shared" si="1"/>
        <v>46052</v>
      </c>
      <c r="AI5" s="3">
        <f t="shared" si="1"/>
        <v>46053</v>
      </c>
      <c r="AJ5" s="3">
        <f t="shared" si="1"/>
        <v>46054</v>
      </c>
      <c r="AK5" s="3">
        <f t="shared" si="1"/>
        <v>46055</v>
      </c>
      <c r="AL5" s="3">
        <f t="shared" si="1"/>
        <v>46056</v>
      </c>
      <c r="AM5" s="3">
        <f t="shared" si="1"/>
        <v>46057</v>
      </c>
      <c r="AN5" s="3">
        <f t="shared" si="1"/>
        <v>46058</v>
      </c>
      <c r="AO5" s="3">
        <f t="shared" si="1"/>
        <v>46059</v>
      </c>
      <c r="AP5" s="3">
        <f t="shared" si="1"/>
        <v>46060</v>
      </c>
      <c r="AQ5" s="3">
        <f t="shared" si="1"/>
        <v>46061</v>
      </c>
      <c r="AR5" s="3">
        <f t="shared" si="1"/>
        <v>46062</v>
      </c>
      <c r="AS5" s="3">
        <f t="shared" si="1"/>
        <v>46063</v>
      </c>
      <c r="AT5" s="3">
        <f t="shared" si="1"/>
        <v>46064</v>
      </c>
      <c r="AU5" s="3">
        <f t="shared" si="1"/>
        <v>46065</v>
      </c>
      <c r="AV5" s="3">
        <f t="shared" si="1"/>
        <v>46066</v>
      </c>
      <c r="AW5" s="3">
        <f t="shared" si="1"/>
        <v>46067</v>
      </c>
      <c r="AX5" s="3">
        <f t="shared" si="1"/>
        <v>46068</v>
      </c>
      <c r="AY5" s="3">
        <f t="shared" si="1"/>
        <v>46069</v>
      </c>
    </row>
    <row r="6" spans="1:51">
      <c r="A6" s="14">
        <f>MAX(B6:ZZ6)</f>
        <v>340</v>
      </c>
      <c r="B6" s="6">
        <v>38</v>
      </c>
      <c r="C6" s="6">
        <v>81</v>
      </c>
      <c r="D6" s="6">
        <v>105</v>
      </c>
      <c r="E6" s="6">
        <v>134</v>
      </c>
      <c r="F6" s="6">
        <v>166</v>
      </c>
      <c r="G6" s="6">
        <v>189</v>
      </c>
      <c r="H6" s="6">
        <v>216</v>
      </c>
      <c r="I6" s="6">
        <v>262</v>
      </c>
      <c r="J6" s="15">
        <v>0</v>
      </c>
      <c r="K6" s="5">
        <v>0</v>
      </c>
      <c r="L6" s="5">
        <v>20</v>
      </c>
      <c r="M6" s="6">
        <v>20</v>
      </c>
      <c r="N6" s="6">
        <v>20</v>
      </c>
      <c r="O6" s="6">
        <v>20</v>
      </c>
      <c r="P6" s="6">
        <v>20</v>
      </c>
      <c r="Q6" s="5">
        <v>20</v>
      </c>
      <c r="R6" s="15">
        <v>40</v>
      </c>
      <c r="S6" s="5">
        <v>40</v>
      </c>
      <c r="T6" s="5">
        <f>36+172</f>
        <v>208</v>
      </c>
      <c r="U6" s="5">
        <v>250</v>
      </c>
      <c r="V6" s="6">
        <v>336</v>
      </c>
      <c r="W6" s="6">
        <v>340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6">
        <v>0</v>
      </c>
      <c r="AW6" s="6">
        <v>0</v>
      </c>
      <c r="AX6" s="6">
        <v>0</v>
      </c>
      <c r="AY6" s="6">
        <v>0</v>
      </c>
    </row>
    <row r="7" spans="1:51">
      <c r="A7" s="14" t="s">
        <v>7</v>
      </c>
      <c r="J7" s="15"/>
      <c r="K7" s="5" t="s">
        <v>8</v>
      </c>
      <c r="L7" s="5"/>
      <c r="Q7" s="5"/>
      <c r="R7" s="15"/>
      <c r="S7" s="6" t="s">
        <v>9</v>
      </c>
      <c r="T7" s="5"/>
      <c r="U7" s="5"/>
    </row>
    <row r="8" spans="1:51">
      <c r="A8" s="14" t="s">
        <v>3</v>
      </c>
      <c r="B8" s="3">
        <f t="shared" ref="B8:P8" si="2">B5</f>
        <v>46020</v>
      </c>
      <c r="C8" s="3">
        <f t="shared" si="2"/>
        <v>46021</v>
      </c>
      <c r="D8" s="3">
        <f t="shared" si="2"/>
        <v>46022</v>
      </c>
      <c r="E8" s="3">
        <f t="shared" si="2"/>
        <v>46023</v>
      </c>
      <c r="F8" s="3">
        <f t="shared" si="2"/>
        <v>46024</v>
      </c>
      <c r="G8" s="3">
        <f t="shared" si="2"/>
        <v>46025</v>
      </c>
      <c r="H8" s="3">
        <f t="shared" si="2"/>
        <v>46026</v>
      </c>
      <c r="I8" s="3">
        <f t="shared" si="2"/>
        <v>46027</v>
      </c>
      <c r="J8" s="12">
        <f t="shared" si="2"/>
        <v>46028</v>
      </c>
      <c r="K8" s="13">
        <f t="shared" si="2"/>
        <v>46029</v>
      </c>
      <c r="L8" s="13">
        <f t="shared" si="2"/>
        <v>46030</v>
      </c>
      <c r="M8" s="3">
        <f t="shared" si="2"/>
        <v>46031</v>
      </c>
      <c r="N8" s="3">
        <f t="shared" si="2"/>
        <v>46032</v>
      </c>
      <c r="O8" s="3">
        <f t="shared" si="2"/>
        <v>46033</v>
      </c>
      <c r="P8" s="3">
        <f t="shared" si="2"/>
        <v>46034</v>
      </c>
      <c r="Q8" s="13">
        <f t="shared" ref="Q8:AY8" si="3">Q5</f>
        <v>46035</v>
      </c>
      <c r="R8" s="12">
        <f t="shared" si="3"/>
        <v>46036</v>
      </c>
      <c r="S8" s="13">
        <f t="shared" si="3"/>
        <v>46037</v>
      </c>
      <c r="T8" s="13">
        <f t="shared" si="3"/>
        <v>46038</v>
      </c>
      <c r="U8" s="13">
        <f t="shared" si="3"/>
        <v>46039</v>
      </c>
      <c r="V8" s="3">
        <f t="shared" si="3"/>
        <v>46040</v>
      </c>
      <c r="W8" s="3">
        <f t="shared" si="3"/>
        <v>46041</v>
      </c>
      <c r="X8" s="3">
        <f t="shared" si="3"/>
        <v>46042</v>
      </c>
      <c r="Y8" s="3">
        <f t="shared" si="3"/>
        <v>46043</v>
      </c>
      <c r="Z8" s="3">
        <f t="shared" si="3"/>
        <v>46044</v>
      </c>
      <c r="AA8" s="3">
        <f t="shared" si="3"/>
        <v>46045</v>
      </c>
      <c r="AB8" s="3">
        <f t="shared" si="3"/>
        <v>46046</v>
      </c>
      <c r="AC8" s="3">
        <f t="shared" si="3"/>
        <v>46047</v>
      </c>
      <c r="AD8" s="3">
        <f t="shared" si="3"/>
        <v>46048</v>
      </c>
      <c r="AE8" s="3">
        <f t="shared" si="3"/>
        <v>46049</v>
      </c>
      <c r="AF8" s="3">
        <f t="shared" si="3"/>
        <v>46050</v>
      </c>
      <c r="AG8" s="3">
        <f t="shared" si="3"/>
        <v>46051</v>
      </c>
      <c r="AH8" s="3">
        <f t="shared" si="3"/>
        <v>46052</v>
      </c>
      <c r="AI8" s="3">
        <f t="shared" si="3"/>
        <v>46053</v>
      </c>
      <c r="AJ8" s="3">
        <f t="shared" si="3"/>
        <v>46054</v>
      </c>
      <c r="AK8" s="3">
        <f t="shared" si="3"/>
        <v>46055</v>
      </c>
      <c r="AL8" s="3">
        <f t="shared" si="3"/>
        <v>46056</v>
      </c>
      <c r="AM8" s="3">
        <f t="shared" si="3"/>
        <v>46057</v>
      </c>
      <c r="AN8" s="3">
        <f t="shared" si="3"/>
        <v>46058</v>
      </c>
      <c r="AO8" s="3">
        <f t="shared" si="3"/>
        <v>46059</v>
      </c>
      <c r="AP8" s="3">
        <f t="shared" si="3"/>
        <v>46060</v>
      </c>
      <c r="AQ8" s="3">
        <f t="shared" si="3"/>
        <v>46061</v>
      </c>
      <c r="AR8" s="3">
        <f t="shared" si="3"/>
        <v>46062</v>
      </c>
      <c r="AS8" s="3">
        <f t="shared" si="3"/>
        <v>46063</v>
      </c>
      <c r="AT8" s="3">
        <f t="shared" si="3"/>
        <v>46064</v>
      </c>
      <c r="AU8" s="3">
        <f t="shared" si="3"/>
        <v>46065</v>
      </c>
      <c r="AV8" s="3">
        <f t="shared" si="3"/>
        <v>46066</v>
      </c>
      <c r="AW8" s="3">
        <f t="shared" si="3"/>
        <v>46067</v>
      </c>
      <c r="AX8" s="3">
        <f t="shared" si="3"/>
        <v>46068</v>
      </c>
      <c r="AY8" s="3">
        <f t="shared" si="3"/>
        <v>46069</v>
      </c>
    </row>
    <row r="9" spans="1:51">
      <c r="A9" s="14">
        <f>MAX(B9:ZZ9)</f>
        <v>285</v>
      </c>
      <c r="B9" s="6">
        <v>37</v>
      </c>
      <c r="C9" s="6">
        <v>50</v>
      </c>
      <c r="D9" s="6">
        <v>80</v>
      </c>
      <c r="E9" s="6">
        <v>110</v>
      </c>
      <c r="F9" s="6">
        <v>189</v>
      </c>
      <c r="G9" s="6">
        <v>210</v>
      </c>
      <c r="H9" s="6">
        <v>214</v>
      </c>
      <c r="I9" s="6">
        <v>285</v>
      </c>
      <c r="J9" s="15">
        <v>0</v>
      </c>
      <c r="K9" s="5">
        <v>0</v>
      </c>
      <c r="L9" s="5">
        <v>18</v>
      </c>
      <c r="M9" s="6">
        <v>32</v>
      </c>
      <c r="N9" s="6">
        <v>19</v>
      </c>
      <c r="O9" s="6">
        <v>18</v>
      </c>
      <c r="P9" s="6">
        <v>18</v>
      </c>
      <c r="Q9" s="5">
        <v>18</v>
      </c>
      <c r="R9" s="15">
        <v>62</v>
      </c>
      <c r="S9" s="5">
        <v>24</v>
      </c>
      <c r="T9" s="5">
        <v>0</v>
      </c>
      <c r="U9" s="5">
        <v>28</v>
      </c>
      <c r="V9" s="6">
        <v>72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</row>
    <row r="10" spans="1:51">
      <c r="A10" s="14" t="s">
        <v>10</v>
      </c>
      <c r="J10" s="15"/>
      <c r="K10" s="5" t="s">
        <v>10</v>
      </c>
      <c r="L10" s="5"/>
      <c r="Q10" s="5"/>
      <c r="R10" s="15"/>
      <c r="S10" s="6" t="s">
        <v>11</v>
      </c>
      <c r="T10" s="5"/>
      <c r="U10" s="5"/>
    </row>
    <row r="11" spans="1:51">
      <c r="A11" s="14" t="s">
        <v>3</v>
      </c>
      <c r="B11" s="3">
        <f t="shared" ref="B11:P11" si="4">B8</f>
        <v>46020</v>
      </c>
      <c r="C11" s="3">
        <f t="shared" si="4"/>
        <v>46021</v>
      </c>
      <c r="D11" s="3">
        <f t="shared" si="4"/>
        <v>46022</v>
      </c>
      <c r="E11" s="3">
        <f t="shared" si="4"/>
        <v>46023</v>
      </c>
      <c r="F11" s="3">
        <f t="shared" si="4"/>
        <v>46024</v>
      </c>
      <c r="G11" s="3">
        <f t="shared" si="4"/>
        <v>46025</v>
      </c>
      <c r="H11" s="3">
        <f t="shared" si="4"/>
        <v>46026</v>
      </c>
      <c r="I11" s="3">
        <f t="shared" si="4"/>
        <v>46027</v>
      </c>
      <c r="J11" s="12">
        <f t="shared" si="4"/>
        <v>46028</v>
      </c>
      <c r="K11" s="13">
        <f t="shared" si="4"/>
        <v>46029</v>
      </c>
      <c r="L11" s="13">
        <f t="shared" si="4"/>
        <v>46030</v>
      </c>
      <c r="M11" s="3">
        <f t="shared" si="4"/>
        <v>46031</v>
      </c>
      <c r="N11" s="3">
        <f t="shared" si="4"/>
        <v>46032</v>
      </c>
      <c r="O11" s="3">
        <f t="shared" si="4"/>
        <v>46033</v>
      </c>
      <c r="P11" s="3">
        <f t="shared" si="4"/>
        <v>46034</v>
      </c>
      <c r="Q11" s="13">
        <f t="shared" ref="Q11:AY11" si="5">Q8</f>
        <v>46035</v>
      </c>
      <c r="R11" s="12">
        <f t="shared" si="5"/>
        <v>46036</v>
      </c>
      <c r="S11" s="13">
        <f t="shared" si="5"/>
        <v>46037</v>
      </c>
      <c r="T11" s="13">
        <f t="shared" si="5"/>
        <v>46038</v>
      </c>
      <c r="U11" s="13">
        <f t="shared" si="5"/>
        <v>46039</v>
      </c>
      <c r="V11" s="3">
        <f t="shared" si="5"/>
        <v>46040</v>
      </c>
      <c r="W11" s="3">
        <f t="shared" si="5"/>
        <v>46041</v>
      </c>
      <c r="X11" s="3">
        <f t="shared" si="5"/>
        <v>46042</v>
      </c>
      <c r="Y11" s="3">
        <f t="shared" si="5"/>
        <v>46043</v>
      </c>
      <c r="Z11" s="3">
        <f t="shared" si="5"/>
        <v>46044</v>
      </c>
      <c r="AA11" s="3">
        <f t="shared" si="5"/>
        <v>46045</v>
      </c>
      <c r="AB11" s="3">
        <f t="shared" si="5"/>
        <v>46046</v>
      </c>
      <c r="AC11" s="3">
        <f t="shared" si="5"/>
        <v>46047</v>
      </c>
      <c r="AD11" s="3">
        <f t="shared" si="5"/>
        <v>46048</v>
      </c>
      <c r="AE11" s="3">
        <f t="shared" si="5"/>
        <v>46049</v>
      </c>
      <c r="AF11" s="3">
        <f t="shared" si="5"/>
        <v>46050</v>
      </c>
      <c r="AG11" s="3">
        <f t="shared" si="5"/>
        <v>46051</v>
      </c>
      <c r="AH11" s="3">
        <f t="shared" si="5"/>
        <v>46052</v>
      </c>
      <c r="AI11" s="3">
        <f t="shared" si="5"/>
        <v>46053</v>
      </c>
      <c r="AJ11" s="3">
        <f t="shared" si="5"/>
        <v>46054</v>
      </c>
      <c r="AK11" s="3">
        <f t="shared" si="5"/>
        <v>46055</v>
      </c>
      <c r="AL11" s="3">
        <f t="shared" si="5"/>
        <v>46056</v>
      </c>
      <c r="AM11" s="3">
        <f t="shared" si="5"/>
        <v>46057</v>
      </c>
      <c r="AN11" s="3">
        <f t="shared" si="5"/>
        <v>46058</v>
      </c>
      <c r="AO11" s="3">
        <f t="shared" si="5"/>
        <v>46059</v>
      </c>
      <c r="AP11" s="3">
        <f t="shared" si="5"/>
        <v>46060</v>
      </c>
      <c r="AQ11" s="3">
        <f t="shared" si="5"/>
        <v>46061</v>
      </c>
      <c r="AR11" s="3">
        <f t="shared" si="5"/>
        <v>46062</v>
      </c>
      <c r="AS11" s="3">
        <f t="shared" si="5"/>
        <v>46063</v>
      </c>
      <c r="AT11" s="3">
        <f t="shared" si="5"/>
        <v>46064</v>
      </c>
      <c r="AU11" s="3">
        <f t="shared" si="5"/>
        <v>46065</v>
      </c>
      <c r="AV11" s="3">
        <f t="shared" si="5"/>
        <v>46066</v>
      </c>
      <c r="AW11" s="3">
        <f t="shared" si="5"/>
        <v>46067</v>
      </c>
      <c r="AX11" s="3">
        <f t="shared" si="5"/>
        <v>46068</v>
      </c>
      <c r="AY11" s="3">
        <f t="shared" si="5"/>
        <v>46069</v>
      </c>
    </row>
    <row r="12" s="4" customFormat="1" ht="15.15" spans="1:51">
      <c r="A12" s="16">
        <f>SUM(B12:ZZ12)</f>
        <v>556.7</v>
      </c>
      <c r="B12" s="4">
        <v>0</v>
      </c>
      <c r="C12" s="4">
        <v>12.5</v>
      </c>
      <c r="D12" s="4">
        <v>24.7</v>
      </c>
      <c r="E12" s="4">
        <v>27.3</v>
      </c>
      <c r="F12" s="4">
        <v>25</v>
      </c>
      <c r="G12" s="4">
        <v>24</v>
      </c>
      <c r="H12" s="4">
        <v>26</v>
      </c>
      <c r="I12" s="4">
        <v>20</v>
      </c>
      <c r="J12" s="17">
        <v>42</v>
      </c>
      <c r="K12" s="4">
        <v>44</v>
      </c>
      <c r="L12" s="4">
        <v>24.2</v>
      </c>
      <c r="M12" s="4">
        <v>23.2</v>
      </c>
      <c r="N12" s="4">
        <v>28</v>
      </c>
      <c r="O12" s="4">
        <v>23</v>
      </c>
      <c r="P12" s="4">
        <v>23</v>
      </c>
      <c r="Q12" s="4">
        <v>23</v>
      </c>
      <c r="R12" s="17">
        <v>42.8</v>
      </c>
      <c r="S12" s="4">
        <v>0</v>
      </c>
      <c r="T12" s="4">
        <v>74</v>
      </c>
      <c r="U12" s="4">
        <v>25</v>
      </c>
      <c r="V12" s="4">
        <v>25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</row>
    <row r="13" s="5" customFormat="1" spans="1:51">
      <c r="A13" s="14" t="s">
        <v>12</v>
      </c>
      <c r="B13" s="5" t="str">
        <f>A1</f>
        <v>模板记忆</v>
      </c>
      <c r="C13" s="5" t="str">
        <f>A4</f>
        <v>数据结构</v>
      </c>
      <c r="D13" s="5" t="str">
        <f>A7</f>
        <v>程序设计</v>
      </c>
      <c r="E13" s="15" t="str">
        <f>A10</f>
        <v>翻译训练</v>
      </c>
      <c r="K13" s="14" t="s">
        <v>12</v>
      </c>
      <c r="L13" s="5" t="str">
        <f>K1</f>
        <v>算法动作</v>
      </c>
      <c r="M13" s="5" t="str">
        <f>K4</f>
        <v>算法状态</v>
      </c>
      <c r="N13" s="5" t="str">
        <f>K7</f>
        <v>算法流程+DS</v>
      </c>
      <c r="O13" s="15" t="str">
        <f>K10</f>
        <v>翻译训练</v>
      </c>
      <c r="S13" s="14" t="s">
        <v>12</v>
      </c>
      <c r="T13" s="5" t="str">
        <f>S1</f>
        <v>力扣冒险</v>
      </c>
      <c r="U13" s="5" t="str">
        <f>S4</f>
        <v>计算思维</v>
      </c>
      <c r="V13" s="5" t="str">
        <f>S7</f>
        <v>复试宝典</v>
      </c>
      <c r="W13" s="15" t="str">
        <f>S10</f>
        <v>记忆保温</v>
      </c>
    </row>
    <row r="14" s="5" customFormat="1" ht="15.15" spans="1:51">
      <c r="A14" s="14" t="s">
        <v>13</v>
      </c>
      <c r="B14" s="5">
        <v>153</v>
      </c>
      <c r="C14" s="5">
        <v>262</v>
      </c>
      <c r="D14" s="5">
        <v>285</v>
      </c>
      <c r="E14" s="15">
        <f>ROUND(AVERAGE(B14:D14),0)</f>
        <v>233</v>
      </c>
      <c r="K14" s="16" t="s">
        <v>13</v>
      </c>
      <c r="L14" s="4">
        <v>331</v>
      </c>
      <c r="M14" s="4">
        <v>260</v>
      </c>
      <c r="N14" s="4">
        <v>232</v>
      </c>
      <c r="O14" s="17">
        <f>ROUND(AVERAGE(L14:N14),0)</f>
        <v>274</v>
      </c>
      <c r="S14" s="16" t="s">
        <v>13</v>
      </c>
      <c r="T14" s="4">
        <v>105</v>
      </c>
      <c r="U14" s="6">
        <f>184+226</f>
        <v>410</v>
      </c>
      <c r="V14" s="6">
        <f>306+158</f>
        <v>464</v>
      </c>
      <c r="W14" s="17">
        <v>326</v>
      </c>
    </row>
    <row r="15" s="2" customFormat="1" spans="1:51">
      <c r="A15" s="9" t="s">
        <v>14</v>
      </c>
      <c r="B15" s="18">
        <f t="shared" ref="B15:P15" si="6">B11</f>
        <v>46020</v>
      </c>
      <c r="C15" s="18">
        <f t="shared" si="6"/>
        <v>46021</v>
      </c>
      <c r="D15" s="18">
        <f t="shared" si="6"/>
        <v>46022</v>
      </c>
      <c r="E15" s="18">
        <f t="shared" si="6"/>
        <v>46023</v>
      </c>
      <c r="F15" s="18">
        <f t="shared" si="6"/>
        <v>46024</v>
      </c>
      <c r="G15" s="18">
        <f t="shared" si="6"/>
        <v>46025</v>
      </c>
      <c r="H15" s="18">
        <f t="shared" si="6"/>
        <v>46026</v>
      </c>
      <c r="I15" s="18">
        <f t="shared" si="6"/>
        <v>46027</v>
      </c>
      <c r="J15" s="18">
        <f t="shared" si="6"/>
        <v>46028</v>
      </c>
      <c r="K15" s="18">
        <f t="shared" si="6"/>
        <v>46029</v>
      </c>
      <c r="L15" s="18">
        <f t="shared" si="6"/>
        <v>46030</v>
      </c>
      <c r="M15" s="18">
        <f t="shared" si="6"/>
        <v>46031</v>
      </c>
      <c r="N15" s="18">
        <f t="shared" si="6"/>
        <v>46032</v>
      </c>
      <c r="O15" s="18">
        <f t="shared" si="6"/>
        <v>46033</v>
      </c>
      <c r="P15" s="18">
        <f t="shared" si="6"/>
        <v>46034</v>
      </c>
      <c r="Q15" s="18">
        <f t="shared" ref="Q15:AY15" si="7">Q11</f>
        <v>46035</v>
      </c>
      <c r="R15" s="18">
        <f t="shared" si="7"/>
        <v>46036</v>
      </c>
      <c r="S15" s="18">
        <f t="shared" si="7"/>
        <v>46037</v>
      </c>
      <c r="T15" s="18">
        <f t="shared" si="7"/>
        <v>46038</v>
      </c>
      <c r="U15" s="18">
        <f t="shared" si="7"/>
        <v>46039</v>
      </c>
      <c r="V15" s="18">
        <f t="shared" si="7"/>
        <v>46040</v>
      </c>
      <c r="W15" s="18">
        <f t="shared" si="7"/>
        <v>46041</v>
      </c>
      <c r="X15" s="18">
        <f t="shared" si="7"/>
        <v>46042</v>
      </c>
      <c r="Y15" s="18">
        <f t="shared" si="7"/>
        <v>46043</v>
      </c>
      <c r="Z15" s="18">
        <f t="shared" si="7"/>
        <v>46044</v>
      </c>
      <c r="AA15" s="18">
        <f t="shared" si="7"/>
        <v>46045</v>
      </c>
      <c r="AB15" s="18">
        <f t="shared" si="7"/>
        <v>46046</v>
      </c>
      <c r="AC15" s="18">
        <f t="shared" si="7"/>
        <v>46047</v>
      </c>
      <c r="AD15" s="18">
        <f t="shared" si="7"/>
        <v>46048</v>
      </c>
      <c r="AE15" s="18">
        <f t="shared" si="7"/>
        <v>46049</v>
      </c>
      <c r="AF15" s="18">
        <f t="shared" si="7"/>
        <v>46050</v>
      </c>
      <c r="AG15" s="18">
        <f t="shared" si="7"/>
        <v>46051</v>
      </c>
      <c r="AH15" s="18">
        <f t="shared" si="7"/>
        <v>46052</v>
      </c>
      <c r="AI15" s="18">
        <f t="shared" si="7"/>
        <v>46053</v>
      </c>
      <c r="AJ15" s="18">
        <f t="shared" si="7"/>
        <v>46054</v>
      </c>
      <c r="AK15" s="18">
        <f t="shared" si="7"/>
        <v>46055</v>
      </c>
      <c r="AL15" s="18">
        <f t="shared" si="7"/>
        <v>46056</v>
      </c>
      <c r="AM15" s="18">
        <f t="shared" si="7"/>
        <v>46057</v>
      </c>
      <c r="AN15" s="18">
        <f t="shared" si="7"/>
        <v>46058</v>
      </c>
      <c r="AO15" s="18">
        <f t="shared" si="7"/>
        <v>46059</v>
      </c>
      <c r="AP15" s="18">
        <f t="shared" si="7"/>
        <v>46060</v>
      </c>
      <c r="AQ15" s="18">
        <f t="shared" si="7"/>
        <v>46061</v>
      </c>
      <c r="AR15" s="18">
        <f t="shared" si="7"/>
        <v>46062</v>
      </c>
      <c r="AS15" s="18">
        <f t="shared" si="7"/>
        <v>46063</v>
      </c>
      <c r="AT15" s="18">
        <f t="shared" si="7"/>
        <v>46064</v>
      </c>
      <c r="AU15" s="18">
        <f t="shared" si="7"/>
        <v>46065</v>
      </c>
      <c r="AV15" s="18">
        <f t="shared" si="7"/>
        <v>46066</v>
      </c>
      <c r="AW15" s="18">
        <f t="shared" si="7"/>
        <v>46067</v>
      </c>
      <c r="AX15" s="18">
        <f t="shared" si="7"/>
        <v>46068</v>
      </c>
      <c r="AY15" s="18">
        <f t="shared" si="7"/>
        <v>46069</v>
      </c>
    </row>
    <row r="16" s="5" customFormat="1" spans="1:51">
      <c r="A16" s="14" t="s">
        <v>15</v>
      </c>
      <c r="B16" s="19">
        <f t="shared" ref="B16:K16" si="8">B3/$B$14</f>
        <v>0.163398692810458</v>
      </c>
      <c r="C16" s="19">
        <f t="shared" si="8"/>
        <v>0.163398692810458</v>
      </c>
      <c r="D16" s="19">
        <f t="shared" si="8"/>
        <v>0.0980392156862745</v>
      </c>
      <c r="E16" s="19">
        <f t="shared" si="8"/>
        <v>0.0980392156862745</v>
      </c>
      <c r="F16" s="19">
        <f t="shared" si="8"/>
        <v>0.0980392156862745</v>
      </c>
      <c r="G16" s="19">
        <f t="shared" si="8"/>
        <v>0.0980392156862745</v>
      </c>
      <c r="H16" s="19">
        <f t="shared" si="8"/>
        <v>0.0980392156862745</v>
      </c>
      <c r="I16" s="19">
        <f t="shared" si="8"/>
        <v>0.588235294117647</v>
      </c>
      <c r="J16" s="19">
        <f t="shared" si="8"/>
        <v>0.143790849673203</v>
      </c>
      <c r="K16" s="19">
        <f t="shared" si="8"/>
        <v>0.137254901960784</v>
      </c>
      <c r="L16" s="19">
        <f t="shared" ref="L16:AA16" si="9">L3/$L$14</f>
        <v>0.0785498489425982</v>
      </c>
      <c r="M16" s="19">
        <f t="shared" si="9"/>
        <v>0.151057401812689</v>
      </c>
      <c r="N16" s="19">
        <f t="shared" si="9"/>
        <v>0.0845921450151057</v>
      </c>
      <c r="O16" s="19">
        <f t="shared" si="9"/>
        <v>0.0755287009063444</v>
      </c>
      <c r="P16" s="19">
        <f t="shared" si="9"/>
        <v>0.0755287009063444</v>
      </c>
      <c r="Q16" s="19">
        <f t="shared" si="9"/>
        <v>0.0785498489425982</v>
      </c>
      <c r="R16" s="19">
        <f t="shared" si="9"/>
        <v>0.208459214501511</v>
      </c>
      <c r="S16" s="19">
        <f t="shared" si="9"/>
        <v>0.157099697885196</v>
      </c>
      <c r="T16" s="19">
        <f t="shared" ref="T16:AY16" si="10">T3/$T$14</f>
        <v>0.142857142857143</v>
      </c>
      <c r="U16" s="19">
        <f t="shared" si="10"/>
        <v>0.0761904761904762</v>
      </c>
      <c r="V16" s="19">
        <f t="shared" si="10"/>
        <v>0</v>
      </c>
      <c r="W16" s="19">
        <f t="shared" si="10"/>
        <v>0.0571428571428571</v>
      </c>
      <c r="X16" s="19">
        <f t="shared" si="10"/>
        <v>0</v>
      </c>
      <c r="Y16" s="19">
        <f t="shared" si="10"/>
        <v>0</v>
      </c>
      <c r="Z16" s="19">
        <f t="shared" si="10"/>
        <v>0</v>
      </c>
      <c r="AA16" s="19">
        <f t="shared" si="10"/>
        <v>0</v>
      </c>
      <c r="AB16" s="19">
        <f t="shared" si="10"/>
        <v>0</v>
      </c>
      <c r="AC16" s="19">
        <f t="shared" si="10"/>
        <v>0</v>
      </c>
      <c r="AD16" s="19">
        <f t="shared" si="10"/>
        <v>0</v>
      </c>
      <c r="AE16" s="19">
        <f t="shared" si="10"/>
        <v>0</v>
      </c>
      <c r="AF16" s="19">
        <f t="shared" si="10"/>
        <v>0</v>
      </c>
      <c r="AG16" s="19">
        <f t="shared" si="10"/>
        <v>0</v>
      </c>
      <c r="AH16" s="19">
        <f t="shared" si="10"/>
        <v>0</v>
      </c>
      <c r="AI16" s="19">
        <f t="shared" si="10"/>
        <v>0</v>
      </c>
      <c r="AJ16" s="19">
        <f t="shared" si="10"/>
        <v>0</v>
      </c>
      <c r="AK16" s="19">
        <f t="shared" si="10"/>
        <v>0</v>
      </c>
      <c r="AL16" s="19">
        <f t="shared" si="10"/>
        <v>0</v>
      </c>
      <c r="AM16" s="19">
        <f t="shared" si="10"/>
        <v>0</v>
      </c>
      <c r="AN16" s="19">
        <f t="shared" si="10"/>
        <v>0</v>
      </c>
      <c r="AO16" s="19">
        <f t="shared" si="10"/>
        <v>0</v>
      </c>
      <c r="AP16" s="19">
        <f t="shared" si="10"/>
        <v>0</v>
      </c>
      <c r="AQ16" s="19">
        <f t="shared" si="10"/>
        <v>0</v>
      </c>
      <c r="AR16" s="19">
        <f t="shared" si="10"/>
        <v>0</v>
      </c>
      <c r="AS16" s="19">
        <f t="shared" si="10"/>
        <v>0</v>
      </c>
      <c r="AT16" s="19">
        <f t="shared" si="10"/>
        <v>0</v>
      </c>
      <c r="AU16" s="19">
        <f t="shared" si="10"/>
        <v>0</v>
      </c>
      <c r="AV16" s="19">
        <f t="shared" si="10"/>
        <v>0</v>
      </c>
      <c r="AW16" s="19">
        <f t="shared" si="10"/>
        <v>0</v>
      </c>
      <c r="AX16" s="19">
        <f t="shared" si="10"/>
        <v>0</v>
      </c>
      <c r="AY16" s="19">
        <f t="shared" si="10"/>
        <v>0</v>
      </c>
    </row>
    <row r="17" s="6" customFormat="1" spans="1:51">
      <c r="A17" s="14" t="s">
        <v>16</v>
      </c>
      <c r="B17" s="8">
        <f>B6/$C$14</f>
        <v>0.145038167938931</v>
      </c>
      <c r="C17" s="8">
        <f t="shared" ref="C17:K17" si="11">MAX((C6-B6),0)/$C$14</f>
        <v>0.16412213740458</v>
      </c>
      <c r="D17" s="8">
        <f t="shared" si="11"/>
        <v>0.0916030534351145</v>
      </c>
      <c r="E17" s="8">
        <f t="shared" si="11"/>
        <v>0.110687022900763</v>
      </c>
      <c r="F17" s="8">
        <f t="shared" si="11"/>
        <v>0.122137404580153</v>
      </c>
      <c r="G17" s="8">
        <f t="shared" si="11"/>
        <v>0.0877862595419847</v>
      </c>
      <c r="H17" s="8">
        <f t="shared" si="11"/>
        <v>0.103053435114504</v>
      </c>
      <c r="I17" s="8">
        <f t="shared" si="11"/>
        <v>0.175572519083969</v>
      </c>
      <c r="J17" s="8">
        <f t="shared" si="11"/>
        <v>0</v>
      </c>
      <c r="K17" s="8">
        <f t="shared" si="11"/>
        <v>0</v>
      </c>
      <c r="L17" s="8">
        <f t="shared" ref="L17:AA17" si="12">L6/$M$14</f>
        <v>0.0769230769230769</v>
      </c>
      <c r="M17" s="8">
        <f t="shared" si="12"/>
        <v>0.0769230769230769</v>
      </c>
      <c r="N17" s="8">
        <f t="shared" si="12"/>
        <v>0.0769230769230769</v>
      </c>
      <c r="O17" s="8">
        <f t="shared" si="12"/>
        <v>0.0769230769230769</v>
      </c>
      <c r="P17" s="8">
        <f t="shared" si="12"/>
        <v>0.0769230769230769</v>
      </c>
      <c r="Q17" s="8">
        <f t="shared" si="12"/>
        <v>0.0769230769230769</v>
      </c>
      <c r="R17" s="8">
        <f t="shared" si="12"/>
        <v>0.153846153846154</v>
      </c>
      <c r="S17" s="8">
        <f t="shared" si="12"/>
        <v>0.153846153846154</v>
      </c>
      <c r="T17" s="8">
        <f>T6/$U$14</f>
        <v>0.507317073170732</v>
      </c>
      <c r="U17" s="8">
        <f t="shared" ref="U17:AY17" si="13">MAX((U6-T6),0)/$U$14</f>
        <v>0.102439024390244</v>
      </c>
      <c r="V17" s="8">
        <f t="shared" si="13"/>
        <v>0.209756097560976</v>
      </c>
      <c r="W17" s="8">
        <f t="shared" si="13"/>
        <v>0.00975609756097561</v>
      </c>
      <c r="X17" s="8">
        <f t="shared" si="13"/>
        <v>0</v>
      </c>
      <c r="Y17" s="8">
        <f t="shared" si="13"/>
        <v>0</v>
      </c>
      <c r="Z17" s="8">
        <f t="shared" si="13"/>
        <v>0</v>
      </c>
      <c r="AA17" s="8">
        <f t="shared" si="13"/>
        <v>0</v>
      </c>
      <c r="AB17" s="8">
        <f t="shared" si="13"/>
        <v>0</v>
      </c>
      <c r="AC17" s="8">
        <f t="shared" si="13"/>
        <v>0</v>
      </c>
      <c r="AD17" s="8">
        <f t="shared" si="13"/>
        <v>0</v>
      </c>
      <c r="AE17" s="8">
        <f t="shared" si="13"/>
        <v>0</v>
      </c>
      <c r="AF17" s="8">
        <f t="shared" si="13"/>
        <v>0</v>
      </c>
      <c r="AG17" s="8">
        <f t="shared" si="13"/>
        <v>0</v>
      </c>
      <c r="AH17" s="8">
        <f t="shared" si="13"/>
        <v>0</v>
      </c>
      <c r="AI17" s="8">
        <f t="shared" si="13"/>
        <v>0</v>
      </c>
      <c r="AJ17" s="8">
        <f t="shared" si="13"/>
        <v>0</v>
      </c>
      <c r="AK17" s="8">
        <f t="shared" si="13"/>
        <v>0</v>
      </c>
      <c r="AL17" s="8">
        <f t="shared" si="13"/>
        <v>0</v>
      </c>
      <c r="AM17" s="8">
        <f t="shared" si="13"/>
        <v>0</v>
      </c>
      <c r="AN17" s="8">
        <f t="shared" si="13"/>
        <v>0</v>
      </c>
      <c r="AO17" s="8">
        <f t="shared" si="13"/>
        <v>0</v>
      </c>
      <c r="AP17" s="8">
        <f t="shared" si="13"/>
        <v>0</v>
      </c>
      <c r="AQ17" s="8">
        <f t="shared" si="13"/>
        <v>0</v>
      </c>
      <c r="AR17" s="8">
        <f t="shared" si="13"/>
        <v>0</v>
      </c>
      <c r="AS17" s="8">
        <f t="shared" si="13"/>
        <v>0</v>
      </c>
      <c r="AT17" s="8">
        <f t="shared" si="13"/>
        <v>0</v>
      </c>
      <c r="AU17" s="8">
        <f t="shared" si="13"/>
        <v>0</v>
      </c>
      <c r="AV17" s="8">
        <f t="shared" si="13"/>
        <v>0</v>
      </c>
      <c r="AW17" s="8">
        <f t="shared" si="13"/>
        <v>0</v>
      </c>
      <c r="AX17" s="8">
        <f t="shared" si="13"/>
        <v>0</v>
      </c>
      <c r="AY17" s="8">
        <f t="shared" si="13"/>
        <v>0</v>
      </c>
    </row>
    <row r="18" s="6" customFormat="1" spans="1:51">
      <c r="A18" s="14" t="s">
        <v>17</v>
      </c>
      <c r="B18" s="8">
        <f>B9/$D$14</f>
        <v>0.129824561403509</v>
      </c>
      <c r="C18" s="8">
        <f t="shared" ref="C18:K18" si="14">MAX((C9-B9),0)/$D$14</f>
        <v>0.0456140350877193</v>
      </c>
      <c r="D18" s="8">
        <f t="shared" si="14"/>
        <v>0.105263157894737</v>
      </c>
      <c r="E18" s="8">
        <f t="shared" si="14"/>
        <v>0.105263157894737</v>
      </c>
      <c r="F18" s="8">
        <f t="shared" si="14"/>
        <v>0.27719298245614</v>
      </c>
      <c r="G18" s="8">
        <f t="shared" si="14"/>
        <v>0.0736842105263158</v>
      </c>
      <c r="H18" s="8">
        <f t="shared" si="14"/>
        <v>0.0140350877192982</v>
      </c>
      <c r="I18" s="8">
        <f t="shared" si="14"/>
        <v>0.249122807017544</v>
      </c>
      <c r="J18" s="8">
        <f t="shared" si="14"/>
        <v>0</v>
      </c>
      <c r="K18" s="8">
        <f t="shared" si="14"/>
        <v>0</v>
      </c>
      <c r="L18" s="8">
        <f t="shared" ref="L18:S18" si="15">L9/$N$14</f>
        <v>0.0775862068965517</v>
      </c>
      <c r="M18" s="8">
        <f t="shared" si="15"/>
        <v>0.137931034482759</v>
      </c>
      <c r="N18" s="8">
        <f t="shared" si="15"/>
        <v>0.0818965517241379</v>
      </c>
      <c r="O18" s="8">
        <f t="shared" si="15"/>
        <v>0.0775862068965517</v>
      </c>
      <c r="P18" s="8">
        <f t="shared" si="15"/>
        <v>0.0775862068965517</v>
      </c>
      <c r="Q18" s="8">
        <f t="shared" si="15"/>
        <v>0.0775862068965517</v>
      </c>
      <c r="R18" s="8">
        <f t="shared" si="15"/>
        <v>0.267241379310345</v>
      </c>
      <c r="S18" s="8">
        <f t="shared" si="15"/>
        <v>0.103448275862069</v>
      </c>
      <c r="T18" s="8">
        <f>T9/$V$14</f>
        <v>0</v>
      </c>
      <c r="U18" s="8">
        <f t="shared" ref="U18:AY18" si="16">MAX((U9-T9),0)/$V$14</f>
        <v>0.0603448275862069</v>
      </c>
      <c r="V18" s="8">
        <f t="shared" si="16"/>
        <v>0.0948275862068965</v>
      </c>
      <c r="W18" s="8">
        <f t="shared" si="16"/>
        <v>0</v>
      </c>
      <c r="X18" s="8">
        <f t="shared" si="16"/>
        <v>0</v>
      </c>
      <c r="Y18" s="8">
        <f t="shared" si="16"/>
        <v>0</v>
      </c>
      <c r="Z18" s="8">
        <f t="shared" si="16"/>
        <v>0</v>
      </c>
      <c r="AA18" s="8">
        <f t="shared" si="16"/>
        <v>0</v>
      </c>
      <c r="AB18" s="8">
        <f t="shared" si="16"/>
        <v>0</v>
      </c>
      <c r="AC18" s="8">
        <f t="shared" si="16"/>
        <v>0</v>
      </c>
      <c r="AD18" s="8">
        <f t="shared" si="16"/>
        <v>0</v>
      </c>
      <c r="AE18" s="8">
        <f t="shared" si="16"/>
        <v>0</v>
      </c>
      <c r="AF18" s="8">
        <f t="shared" si="16"/>
        <v>0</v>
      </c>
      <c r="AG18" s="8">
        <f t="shared" si="16"/>
        <v>0</v>
      </c>
      <c r="AH18" s="8">
        <f t="shared" si="16"/>
        <v>0</v>
      </c>
      <c r="AI18" s="8">
        <f t="shared" si="16"/>
        <v>0</v>
      </c>
      <c r="AJ18" s="8">
        <f t="shared" si="16"/>
        <v>0</v>
      </c>
      <c r="AK18" s="8">
        <f t="shared" si="16"/>
        <v>0</v>
      </c>
      <c r="AL18" s="8">
        <f t="shared" si="16"/>
        <v>0</v>
      </c>
      <c r="AM18" s="8">
        <f t="shared" si="16"/>
        <v>0</v>
      </c>
      <c r="AN18" s="8">
        <f t="shared" si="16"/>
        <v>0</v>
      </c>
      <c r="AO18" s="8">
        <f t="shared" si="16"/>
        <v>0</v>
      </c>
      <c r="AP18" s="8">
        <f t="shared" si="16"/>
        <v>0</v>
      </c>
      <c r="AQ18" s="8">
        <f t="shared" si="16"/>
        <v>0</v>
      </c>
      <c r="AR18" s="8">
        <f t="shared" si="16"/>
        <v>0</v>
      </c>
      <c r="AS18" s="8">
        <f t="shared" si="16"/>
        <v>0</v>
      </c>
      <c r="AT18" s="8">
        <f t="shared" si="16"/>
        <v>0</v>
      </c>
      <c r="AU18" s="8">
        <f t="shared" si="16"/>
        <v>0</v>
      </c>
      <c r="AV18" s="8">
        <f t="shared" si="16"/>
        <v>0</v>
      </c>
      <c r="AW18" s="8">
        <f t="shared" si="16"/>
        <v>0</v>
      </c>
      <c r="AX18" s="8">
        <f t="shared" si="16"/>
        <v>0</v>
      </c>
      <c r="AY18" s="8">
        <f t="shared" si="16"/>
        <v>0</v>
      </c>
    </row>
    <row r="19" s="4" customFormat="1" ht="15.15" spans="1:51">
      <c r="A19" s="16" t="s">
        <v>18</v>
      </c>
      <c r="B19" s="20">
        <f t="shared" ref="B19:K19" si="17">B12/$E$14</f>
        <v>0</v>
      </c>
      <c r="C19" s="20">
        <f t="shared" si="17"/>
        <v>0.0536480686695279</v>
      </c>
      <c r="D19" s="20">
        <f t="shared" si="17"/>
        <v>0.106008583690987</v>
      </c>
      <c r="E19" s="20">
        <f t="shared" si="17"/>
        <v>0.117167381974249</v>
      </c>
      <c r="F19" s="20">
        <f t="shared" si="17"/>
        <v>0.107296137339056</v>
      </c>
      <c r="G19" s="20">
        <f t="shared" si="17"/>
        <v>0.103004291845494</v>
      </c>
      <c r="H19" s="20">
        <f t="shared" si="17"/>
        <v>0.111587982832618</v>
      </c>
      <c r="I19" s="20">
        <f t="shared" si="17"/>
        <v>0.0858369098712446</v>
      </c>
      <c r="J19" s="20">
        <f t="shared" si="17"/>
        <v>0.180257510729614</v>
      </c>
      <c r="K19" s="20">
        <f t="shared" si="17"/>
        <v>0.188841201716738</v>
      </c>
      <c r="L19" s="20">
        <f t="shared" ref="L19:AA19" si="18">L12/$O$14</f>
        <v>0.0883211678832117</v>
      </c>
      <c r="M19" s="20">
        <f t="shared" si="18"/>
        <v>0.0846715328467153</v>
      </c>
      <c r="N19" s="20">
        <f t="shared" si="18"/>
        <v>0.102189781021898</v>
      </c>
      <c r="O19" s="20">
        <f t="shared" si="18"/>
        <v>0.0839416058394161</v>
      </c>
      <c r="P19" s="20">
        <f t="shared" si="18"/>
        <v>0.0839416058394161</v>
      </c>
      <c r="Q19" s="20">
        <f t="shared" si="18"/>
        <v>0.0839416058394161</v>
      </c>
      <c r="R19" s="20">
        <f t="shared" si="18"/>
        <v>0.156204379562044</v>
      </c>
      <c r="S19" s="20">
        <f t="shared" si="18"/>
        <v>0</v>
      </c>
      <c r="T19" s="20">
        <f t="shared" ref="T19:AY19" si="19">T12/$W$14</f>
        <v>0.226993865030675</v>
      </c>
      <c r="U19" s="20">
        <f t="shared" si="19"/>
        <v>0.0766871165644172</v>
      </c>
      <c r="V19" s="20">
        <f t="shared" si="19"/>
        <v>0.0766871165644172</v>
      </c>
      <c r="W19" s="20">
        <f t="shared" si="19"/>
        <v>0</v>
      </c>
      <c r="X19" s="20">
        <f t="shared" si="19"/>
        <v>0</v>
      </c>
      <c r="Y19" s="20">
        <f t="shared" si="19"/>
        <v>0</v>
      </c>
      <c r="Z19" s="20">
        <f t="shared" si="19"/>
        <v>0</v>
      </c>
      <c r="AA19" s="20">
        <f t="shared" si="19"/>
        <v>0</v>
      </c>
      <c r="AB19" s="20">
        <f t="shared" si="19"/>
        <v>0</v>
      </c>
      <c r="AC19" s="20">
        <f t="shared" si="19"/>
        <v>0</v>
      </c>
      <c r="AD19" s="20">
        <f t="shared" si="19"/>
        <v>0</v>
      </c>
      <c r="AE19" s="20">
        <f t="shared" si="19"/>
        <v>0</v>
      </c>
      <c r="AF19" s="20">
        <f t="shared" si="19"/>
        <v>0</v>
      </c>
      <c r="AG19" s="20">
        <f t="shared" si="19"/>
        <v>0</v>
      </c>
      <c r="AH19" s="20">
        <f t="shared" si="19"/>
        <v>0</v>
      </c>
      <c r="AI19" s="20">
        <f t="shared" si="19"/>
        <v>0</v>
      </c>
      <c r="AJ19" s="20">
        <f t="shared" si="19"/>
        <v>0</v>
      </c>
      <c r="AK19" s="20">
        <f t="shared" si="19"/>
        <v>0</v>
      </c>
      <c r="AL19" s="20">
        <f t="shared" si="19"/>
        <v>0</v>
      </c>
      <c r="AM19" s="20">
        <f t="shared" si="19"/>
        <v>0</v>
      </c>
      <c r="AN19" s="20">
        <f t="shared" si="19"/>
        <v>0</v>
      </c>
      <c r="AO19" s="20">
        <f t="shared" si="19"/>
        <v>0</v>
      </c>
      <c r="AP19" s="20">
        <f t="shared" si="19"/>
        <v>0</v>
      </c>
      <c r="AQ19" s="20">
        <f t="shared" si="19"/>
        <v>0</v>
      </c>
      <c r="AR19" s="20">
        <f t="shared" si="19"/>
        <v>0</v>
      </c>
      <c r="AS19" s="20">
        <f t="shared" si="19"/>
        <v>0</v>
      </c>
      <c r="AT19" s="20">
        <f t="shared" si="19"/>
        <v>0</v>
      </c>
      <c r="AU19" s="20">
        <f t="shared" si="19"/>
        <v>0</v>
      </c>
      <c r="AV19" s="20">
        <f t="shared" si="19"/>
        <v>0</v>
      </c>
      <c r="AW19" s="20">
        <f t="shared" si="19"/>
        <v>0</v>
      </c>
      <c r="AX19" s="20">
        <f t="shared" si="19"/>
        <v>0</v>
      </c>
      <c r="AY19" s="20">
        <f t="shared" si="19"/>
        <v>0</v>
      </c>
    </row>
    <row r="20" s="7" customFormat="1" spans="1:51">
      <c r="A20" s="21" t="s">
        <v>19</v>
      </c>
      <c r="B20" s="7">
        <f t="shared" ref="B20:AY20" si="20">AVERAGE(B16:B19)</f>
        <v>0.109565355538224</v>
      </c>
      <c r="C20" s="7">
        <f t="shared" si="20"/>
        <v>0.106695733493071</v>
      </c>
      <c r="D20" s="7">
        <f t="shared" si="20"/>
        <v>0.100228502676778</v>
      </c>
      <c r="E20" s="7">
        <f t="shared" si="20"/>
        <v>0.107789194614006</v>
      </c>
      <c r="F20" s="7">
        <f t="shared" si="20"/>
        <v>0.151166435015406</v>
      </c>
      <c r="G20" s="7">
        <f t="shared" si="20"/>
        <v>0.0906284944000171</v>
      </c>
      <c r="H20" s="7">
        <f t="shared" si="20"/>
        <v>0.0816789303381736</v>
      </c>
      <c r="I20" s="7">
        <f t="shared" si="20"/>
        <v>0.274691882522601</v>
      </c>
      <c r="J20" s="7">
        <f t="shared" si="20"/>
        <v>0.0810120901007041</v>
      </c>
      <c r="K20" s="7">
        <f t="shared" si="20"/>
        <v>0.0815240259193806</v>
      </c>
      <c r="L20" s="7">
        <f t="shared" si="20"/>
        <v>0.0803450751613596</v>
      </c>
      <c r="M20" s="7">
        <f t="shared" si="20"/>
        <v>0.11264576151631</v>
      </c>
      <c r="N20" s="7">
        <f t="shared" si="20"/>
        <v>0.0864003886710547</v>
      </c>
      <c r="O20" s="7">
        <f t="shared" si="20"/>
        <v>0.0784948976413473</v>
      </c>
      <c r="P20" s="7">
        <f t="shared" si="20"/>
        <v>0.0784948976413473</v>
      </c>
      <c r="Q20" s="7">
        <f t="shared" si="20"/>
        <v>0.0792501846504107</v>
      </c>
      <c r="R20" s="7">
        <f t="shared" si="20"/>
        <v>0.196437781805013</v>
      </c>
      <c r="S20" s="7">
        <f t="shared" si="20"/>
        <v>0.103598531898355</v>
      </c>
      <c r="T20" s="7">
        <f t="shared" si="20"/>
        <v>0.219292020264637</v>
      </c>
      <c r="U20" s="7">
        <f t="shared" si="20"/>
        <v>0.078915361182836</v>
      </c>
      <c r="V20" s="7">
        <f t="shared" si="20"/>
        <v>0.0953177000830723</v>
      </c>
      <c r="W20" s="7">
        <f t="shared" si="20"/>
        <v>0.0167247386759582</v>
      </c>
      <c r="X20" s="7">
        <f t="shared" si="20"/>
        <v>0</v>
      </c>
      <c r="Y20" s="7">
        <f t="shared" si="20"/>
        <v>0</v>
      </c>
      <c r="Z20" s="7">
        <f t="shared" si="20"/>
        <v>0</v>
      </c>
      <c r="AA20" s="7">
        <f t="shared" si="20"/>
        <v>0</v>
      </c>
      <c r="AB20" s="7">
        <f t="shared" si="20"/>
        <v>0</v>
      </c>
      <c r="AC20" s="7">
        <f t="shared" si="20"/>
        <v>0</v>
      </c>
      <c r="AD20" s="7">
        <f t="shared" si="20"/>
        <v>0</v>
      </c>
      <c r="AE20" s="7">
        <f t="shared" si="20"/>
        <v>0</v>
      </c>
      <c r="AF20" s="7">
        <f t="shared" si="20"/>
        <v>0</v>
      </c>
      <c r="AG20" s="7">
        <f t="shared" si="20"/>
        <v>0</v>
      </c>
      <c r="AH20" s="7">
        <f t="shared" si="20"/>
        <v>0</v>
      </c>
      <c r="AI20" s="7">
        <f t="shared" si="20"/>
        <v>0</v>
      </c>
      <c r="AJ20" s="7">
        <f t="shared" si="20"/>
        <v>0</v>
      </c>
      <c r="AK20" s="7">
        <f t="shared" si="20"/>
        <v>0</v>
      </c>
      <c r="AL20" s="7">
        <f t="shared" si="20"/>
        <v>0</v>
      </c>
      <c r="AM20" s="7">
        <f t="shared" si="20"/>
        <v>0</v>
      </c>
      <c r="AN20" s="7">
        <f t="shared" si="20"/>
        <v>0</v>
      </c>
      <c r="AO20" s="7">
        <f t="shared" si="20"/>
        <v>0</v>
      </c>
      <c r="AP20" s="7">
        <f t="shared" si="20"/>
        <v>0</v>
      </c>
      <c r="AQ20" s="7">
        <f t="shared" si="20"/>
        <v>0</v>
      </c>
      <c r="AR20" s="7">
        <f t="shared" si="20"/>
        <v>0</v>
      </c>
      <c r="AS20" s="7">
        <f t="shared" si="20"/>
        <v>0</v>
      </c>
      <c r="AT20" s="7">
        <f t="shared" si="20"/>
        <v>0</v>
      </c>
      <c r="AU20" s="7">
        <f t="shared" si="20"/>
        <v>0</v>
      </c>
      <c r="AV20" s="7">
        <f t="shared" si="20"/>
        <v>0</v>
      </c>
      <c r="AW20" s="7">
        <f t="shared" si="20"/>
        <v>0</v>
      </c>
      <c r="AX20" s="7">
        <f t="shared" si="20"/>
        <v>0</v>
      </c>
      <c r="AY20" s="7">
        <f t="shared" si="20"/>
        <v>0</v>
      </c>
    </row>
    <row r="21" s="8" customFormat="1" spans="1:51">
      <c r="A21" s="22" t="s">
        <v>20</v>
      </c>
      <c r="B21" s="8">
        <f>B20</f>
        <v>0.109565355538224</v>
      </c>
      <c r="C21" s="8">
        <f>SUM($B20:C20)</f>
        <v>0.216261089031296</v>
      </c>
      <c r="D21" s="8">
        <f>SUM($B20:D20)</f>
        <v>0.316489591708074</v>
      </c>
      <c r="E21" s="8">
        <f>SUM($B20:E20)</f>
        <v>0.42427878632208</v>
      </c>
      <c r="F21" s="8">
        <f>SUM($B20:F20)</f>
        <v>0.575445221337486</v>
      </c>
      <c r="G21" s="8">
        <f>SUM($B20:G20)</f>
        <v>0.666073715737503</v>
      </c>
      <c r="H21" s="8">
        <f>SUM($B20:H20)</f>
        <v>0.747752646075676</v>
      </c>
      <c r="I21" s="8">
        <f>SUM($B20:I20)</f>
        <v>1.02244452859828</v>
      </c>
      <c r="J21" s="8">
        <f>SUM($B20:J20)</f>
        <v>1.10345661869898</v>
      </c>
      <c r="K21" s="8">
        <f>SUM($B20:K20)</f>
        <v>1.18498064461836</v>
      </c>
      <c r="L21" s="8">
        <f>SUM($B20:L20)</f>
        <v>1.26532571977972</v>
      </c>
      <c r="M21" s="8">
        <f>SUM($B20:M20)</f>
        <v>1.37797148129603</v>
      </c>
      <c r="N21" s="8">
        <f>SUM($B20:N20)</f>
        <v>1.46437186996709</v>
      </c>
      <c r="O21" s="8">
        <f>SUM($B20:O20)</f>
        <v>1.54286676760843</v>
      </c>
      <c r="P21" s="8">
        <f>SUM($B20:P20)</f>
        <v>1.62136166524978</v>
      </c>
      <c r="Q21" s="8">
        <f>SUM($B20:Q20)</f>
        <v>1.70061184990019</v>
      </c>
      <c r="R21" s="8">
        <f>SUM($B20:R20)</f>
        <v>1.8970496317052</v>
      </c>
      <c r="S21" s="8">
        <f>SUM($B20:S20)</f>
        <v>2.00064816360356</v>
      </c>
      <c r="T21" s="8">
        <f>SUM($B20:T20)</f>
        <v>2.2199401838682</v>
      </c>
      <c r="U21" s="8">
        <f>SUM($B20:U20)</f>
        <v>2.29885554505103</v>
      </c>
      <c r="V21" s="8">
        <f>SUM($B20:V20)</f>
        <v>2.39417324513411</v>
      </c>
      <c r="W21" s="8">
        <f>SUM($B20:W20)</f>
        <v>2.41089798381006</v>
      </c>
      <c r="X21" s="8">
        <f>SUM($B20:X20)</f>
        <v>2.41089798381006</v>
      </c>
      <c r="Y21" s="8">
        <f>SUM($B20:Y20)</f>
        <v>2.41089798381006</v>
      </c>
      <c r="Z21" s="8">
        <f>SUM($B20:Z20)</f>
        <v>2.41089798381006</v>
      </c>
      <c r="AA21" s="8">
        <f>SUM($B20:AA20)</f>
        <v>2.41089798381006</v>
      </c>
      <c r="AB21" s="8">
        <f>SUM($B20:AB20)</f>
        <v>2.41089798381006</v>
      </c>
      <c r="AC21" s="8">
        <f>SUM($B20:AC20)</f>
        <v>2.41089798381006</v>
      </c>
      <c r="AD21" s="8">
        <f>SUM($B20:AD20)</f>
        <v>2.41089798381006</v>
      </c>
      <c r="AE21" s="8">
        <f>SUM($B20:AE20)</f>
        <v>2.41089798381006</v>
      </c>
      <c r="AF21" s="8">
        <f>SUM($B20:AF20)</f>
        <v>2.41089798381006</v>
      </c>
      <c r="AG21" s="8">
        <f>SUM($B20:AG20)</f>
        <v>2.41089798381006</v>
      </c>
      <c r="AH21" s="8">
        <f>SUM($B20:AH20)</f>
        <v>2.41089798381006</v>
      </c>
      <c r="AI21" s="8">
        <f>SUM($B20:AI20)</f>
        <v>2.41089798381006</v>
      </c>
      <c r="AJ21" s="8">
        <f>SUM($B20:AJ20)</f>
        <v>2.41089798381006</v>
      </c>
      <c r="AK21" s="8">
        <f>SUM($B20:AK20)</f>
        <v>2.41089798381006</v>
      </c>
      <c r="AL21" s="8">
        <f>SUM($B20:AL20)</f>
        <v>2.41089798381006</v>
      </c>
      <c r="AM21" s="8">
        <f>SUM($B20:AM20)</f>
        <v>2.41089798381006</v>
      </c>
      <c r="AN21" s="8">
        <f>SUM($B20:AN20)</f>
        <v>2.41089798381006</v>
      </c>
      <c r="AO21" s="8">
        <f>SUM($B20:AO20)</f>
        <v>2.41089798381006</v>
      </c>
      <c r="AP21" s="8">
        <f>SUM($B20:AP20)</f>
        <v>2.41089798381006</v>
      </c>
      <c r="AQ21" s="8">
        <f>SUM($B20:AQ20)</f>
        <v>2.41089798381006</v>
      </c>
      <c r="AR21" s="8">
        <f>SUM($B20:AR20)</f>
        <v>2.41089798381006</v>
      </c>
      <c r="AS21" s="8">
        <f>SUM($B20:AS20)</f>
        <v>2.41089798381006</v>
      </c>
      <c r="AT21" s="8">
        <f>SUM($B20:AT20)</f>
        <v>2.41089798381006</v>
      </c>
      <c r="AU21" s="8">
        <f>SUM($B20:AU20)</f>
        <v>2.41089798381006</v>
      </c>
      <c r="AV21" s="8">
        <f>SUM($B20:AV20)</f>
        <v>2.41089798381006</v>
      </c>
      <c r="AW21" s="8">
        <f>SUM($B20:AW20)</f>
        <v>2.41089798381006</v>
      </c>
      <c r="AX21" s="8">
        <f>SUM($B20:AX20)</f>
        <v>2.41089798381006</v>
      </c>
      <c r="AY21" s="8">
        <f>SUM($B20:AY20)</f>
        <v>2.41089798381006</v>
      </c>
    </row>
    <row r="22" spans="1:51">
      <c r="A22" s="14" t="s">
        <v>21</v>
      </c>
      <c r="B22" s="8">
        <v>1</v>
      </c>
      <c r="C22" s="8">
        <f t="shared" ref="C22:AY22" si="21">B22</f>
        <v>1</v>
      </c>
      <c r="D22" s="8">
        <f t="shared" si="21"/>
        <v>1</v>
      </c>
      <c r="E22" s="8">
        <f t="shared" si="21"/>
        <v>1</v>
      </c>
      <c r="F22" s="8">
        <f t="shared" si="21"/>
        <v>1</v>
      </c>
      <c r="G22" s="8">
        <f t="shared" si="21"/>
        <v>1</v>
      </c>
      <c r="H22" s="8">
        <f t="shared" si="21"/>
        <v>1</v>
      </c>
      <c r="I22" s="8">
        <f t="shared" si="21"/>
        <v>1</v>
      </c>
      <c r="J22" s="8">
        <v>2</v>
      </c>
      <c r="K22" s="8">
        <f t="shared" si="21"/>
        <v>2</v>
      </c>
      <c r="L22" s="8">
        <f t="shared" si="21"/>
        <v>2</v>
      </c>
      <c r="M22" s="8">
        <f t="shared" si="21"/>
        <v>2</v>
      </c>
      <c r="N22" s="8">
        <f t="shared" si="21"/>
        <v>2</v>
      </c>
      <c r="O22" s="8">
        <f t="shared" si="21"/>
        <v>2</v>
      </c>
      <c r="P22" s="8">
        <f t="shared" si="21"/>
        <v>2</v>
      </c>
      <c r="Q22" s="8">
        <f t="shared" si="21"/>
        <v>2</v>
      </c>
      <c r="R22" s="8">
        <f t="shared" si="21"/>
        <v>2</v>
      </c>
      <c r="S22" s="8">
        <f t="shared" si="21"/>
        <v>2</v>
      </c>
      <c r="T22" s="8">
        <v>3</v>
      </c>
      <c r="U22" s="8">
        <f t="shared" si="21"/>
        <v>3</v>
      </c>
      <c r="V22" s="8">
        <f t="shared" si="21"/>
        <v>3</v>
      </c>
      <c r="W22" s="8">
        <f t="shared" si="21"/>
        <v>3</v>
      </c>
      <c r="X22" s="8">
        <f t="shared" si="21"/>
        <v>3</v>
      </c>
      <c r="Y22" s="8">
        <f t="shared" si="21"/>
        <v>3</v>
      </c>
      <c r="Z22" s="8">
        <f t="shared" si="21"/>
        <v>3</v>
      </c>
      <c r="AA22" s="8">
        <f t="shared" si="21"/>
        <v>3</v>
      </c>
      <c r="AB22" s="8">
        <f t="shared" si="21"/>
        <v>3</v>
      </c>
      <c r="AC22" s="8">
        <f t="shared" si="21"/>
        <v>3</v>
      </c>
      <c r="AD22" s="8">
        <f t="shared" si="21"/>
        <v>3</v>
      </c>
      <c r="AE22" s="8">
        <f t="shared" si="21"/>
        <v>3</v>
      </c>
      <c r="AF22" s="8">
        <f t="shared" si="21"/>
        <v>3</v>
      </c>
      <c r="AG22" s="8">
        <f t="shared" si="21"/>
        <v>3</v>
      </c>
      <c r="AH22" s="8">
        <f t="shared" si="21"/>
        <v>3</v>
      </c>
      <c r="AI22" s="8">
        <f t="shared" si="21"/>
        <v>3</v>
      </c>
      <c r="AJ22" s="8">
        <f t="shared" si="21"/>
        <v>3</v>
      </c>
      <c r="AK22" s="8">
        <f t="shared" si="21"/>
        <v>3</v>
      </c>
      <c r="AL22" s="8">
        <f t="shared" si="21"/>
        <v>3</v>
      </c>
      <c r="AM22" s="8">
        <f t="shared" si="21"/>
        <v>3</v>
      </c>
      <c r="AN22" s="8">
        <f t="shared" si="21"/>
        <v>3</v>
      </c>
      <c r="AO22" s="8">
        <f t="shared" si="21"/>
        <v>3</v>
      </c>
      <c r="AP22" s="8">
        <f t="shared" si="21"/>
        <v>3</v>
      </c>
      <c r="AQ22" s="8">
        <f t="shared" si="21"/>
        <v>3</v>
      </c>
      <c r="AR22" s="8">
        <f t="shared" si="21"/>
        <v>3</v>
      </c>
      <c r="AS22" s="8">
        <f t="shared" si="21"/>
        <v>3</v>
      </c>
      <c r="AT22" s="8">
        <f t="shared" si="21"/>
        <v>3</v>
      </c>
      <c r="AU22" s="8">
        <f t="shared" si="21"/>
        <v>3</v>
      </c>
      <c r="AV22" s="8">
        <f t="shared" si="21"/>
        <v>3</v>
      </c>
      <c r="AW22" s="8">
        <f t="shared" si="21"/>
        <v>3</v>
      </c>
      <c r="AX22" s="8">
        <f t="shared" si="21"/>
        <v>3</v>
      </c>
      <c r="AY22" s="8">
        <f t="shared" si="21"/>
        <v>3</v>
      </c>
    </row>
    <row r="23" spans="1:51">
      <c r="A23" s="14" t="s">
        <v>22</v>
      </c>
      <c r="B23" s="8">
        <f>2/26</f>
        <v>0.0769230769230769</v>
      </c>
      <c r="C23" s="8">
        <f t="shared" ref="C23:AY23" si="22">B23</f>
        <v>0.0769230769230769</v>
      </c>
      <c r="D23" s="8">
        <f t="shared" si="22"/>
        <v>0.0769230769230769</v>
      </c>
      <c r="E23" s="8">
        <f t="shared" si="22"/>
        <v>0.0769230769230769</v>
      </c>
      <c r="F23" s="8">
        <f t="shared" si="22"/>
        <v>0.0769230769230769</v>
      </c>
      <c r="G23" s="8">
        <f t="shared" si="22"/>
        <v>0.0769230769230769</v>
      </c>
      <c r="H23" s="8">
        <f t="shared" si="22"/>
        <v>0.0769230769230769</v>
      </c>
      <c r="I23" s="8">
        <f t="shared" si="22"/>
        <v>0.0769230769230769</v>
      </c>
      <c r="J23" s="8">
        <f t="shared" si="22"/>
        <v>0.0769230769230769</v>
      </c>
      <c r="K23" s="8">
        <f t="shared" si="22"/>
        <v>0.0769230769230769</v>
      </c>
      <c r="L23" s="8">
        <f t="shared" si="22"/>
        <v>0.0769230769230769</v>
      </c>
      <c r="M23" s="8">
        <f t="shared" si="22"/>
        <v>0.0769230769230769</v>
      </c>
      <c r="N23" s="8">
        <f t="shared" si="22"/>
        <v>0.0769230769230769</v>
      </c>
      <c r="O23" s="8">
        <f t="shared" si="22"/>
        <v>0.0769230769230769</v>
      </c>
      <c r="P23" s="8">
        <f t="shared" si="22"/>
        <v>0.0769230769230769</v>
      </c>
      <c r="Q23" s="8">
        <f t="shared" si="22"/>
        <v>0.0769230769230769</v>
      </c>
      <c r="R23" s="8">
        <f>4/26</f>
        <v>0.153846153846154</v>
      </c>
      <c r="S23" s="8">
        <f t="shared" si="22"/>
        <v>0.153846153846154</v>
      </c>
      <c r="T23" s="8">
        <f t="shared" si="22"/>
        <v>0.153846153846154</v>
      </c>
      <c r="U23" s="8">
        <f>2/26</f>
        <v>0.0769230769230769</v>
      </c>
      <c r="V23" s="8">
        <f t="shared" si="22"/>
        <v>0.0769230769230769</v>
      </c>
      <c r="W23" s="8">
        <f t="shared" si="22"/>
        <v>0.0769230769230769</v>
      </c>
      <c r="X23" s="8">
        <f t="shared" si="22"/>
        <v>0.0769230769230769</v>
      </c>
      <c r="Y23" s="8">
        <f t="shared" si="22"/>
        <v>0.0769230769230769</v>
      </c>
      <c r="Z23" s="8">
        <f t="shared" si="22"/>
        <v>0.0769230769230769</v>
      </c>
      <c r="AA23" s="8">
        <f t="shared" si="22"/>
        <v>0.0769230769230769</v>
      </c>
      <c r="AB23" s="8">
        <f t="shared" si="22"/>
        <v>0.0769230769230769</v>
      </c>
      <c r="AC23" s="8">
        <f t="shared" si="22"/>
        <v>0.0769230769230769</v>
      </c>
      <c r="AD23" s="8">
        <f t="shared" si="22"/>
        <v>0.0769230769230769</v>
      </c>
      <c r="AE23" s="8">
        <f t="shared" si="22"/>
        <v>0.0769230769230769</v>
      </c>
      <c r="AF23" s="8">
        <f t="shared" si="22"/>
        <v>0.0769230769230769</v>
      </c>
      <c r="AG23" s="8">
        <f t="shared" si="22"/>
        <v>0.0769230769230769</v>
      </c>
      <c r="AH23" s="8">
        <f t="shared" si="22"/>
        <v>0.0769230769230769</v>
      </c>
      <c r="AI23" s="8">
        <f t="shared" si="22"/>
        <v>0.0769230769230769</v>
      </c>
      <c r="AJ23" s="8">
        <f t="shared" si="22"/>
        <v>0.0769230769230769</v>
      </c>
      <c r="AK23" s="8">
        <f t="shared" si="22"/>
        <v>0.0769230769230769</v>
      </c>
      <c r="AL23" s="8">
        <f t="shared" si="22"/>
        <v>0.0769230769230769</v>
      </c>
      <c r="AM23" s="8">
        <f t="shared" si="22"/>
        <v>0.0769230769230769</v>
      </c>
      <c r="AN23" s="8">
        <f t="shared" si="22"/>
        <v>0.0769230769230769</v>
      </c>
      <c r="AO23" s="8">
        <f t="shared" si="22"/>
        <v>0.0769230769230769</v>
      </c>
      <c r="AP23" s="8">
        <f t="shared" si="22"/>
        <v>0.0769230769230769</v>
      </c>
      <c r="AQ23" s="8">
        <f t="shared" si="22"/>
        <v>0.0769230769230769</v>
      </c>
      <c r="AR23" s="8">
        <f t="shared" si="22"/>
        <v>0.0769230769230769</v>
      </c>
      <c r="AS23" s="8">
        <f t="shared" si="22"/>
        <v>0.0769230769230769</v>
      </c>
      <c r="AT23" s="8">
        <f t="shared" si="22"/>
        <v>0.0769230769230769</v>
      </c>
      <c r="AU23" s="8">
        <f t="shared" si="22"/>
        <v>0.0769230769230769</v>
      </c>
      <c r="AV23" s="8">
        <f t="shared" si="22"/>
        <v>0.0769230769230769</v>
      </c>
      <c r="AW23" s="8">
        <f t="shared" si="22"/>
        <v>0.0769230769230769</v>
      </c>
      <c r="AX23" s="8">
        <f t="shared" si="22"/>
        <v>0.0769230769230769</v>
      </c>
      <c r="AY23" s="8">
        <f t="shared" si="22"/>
        <v>0.0769230769230769</v>
      </c>
    </row>
    <row r="24" s="4" customFormat="1" ht="15.15" spans="1:51">
      <c r="A24" s="16" t="s">
        <v>23</v>
      </c>
      <c r="B24" s="20">
        <f t="shared" ref="B24:AY24" si="23">B23-B20</f>
        <v>-0.0326422786151475</v>
      </c>
      <c r="C24" s="20">
        <f t="shared" si="23"/>
        <v>-0.0297726565699943</v>
      </c>
      <c r="D24" s="20">
        <f t="shared" si="23"/>
        <v>-0.0233054257537013</v>
      </c>
      <c r="E24" s="20">
        <f t="shared" si="23"/>
        <v>-0.030866117690929</v>
      </c>
      <c r="F24" s="20">
        <f t="shared" si="23"/>
        <v>-0.0742433580923289</v>
      </c>
      <c r="G24" s="20">
        <f t="shared" si="23"/>
        <v>-0.0137054174769402</v>
      </c>
      <c r="H24" s="20">
        <f t="shared" si="23"/>
        <v>-0.00475585341509671</v>
      </c>
      <c r="I24" s="20">
        <f t="shared" si="23"/>
        <v>-0.197768805599524</v>
      </c>
      <c r="J24" s="20">
        <f t="shared" si="23"/>
        <v>-0.00408901317762717</v>
      </c>
      <c r="K24" s="20">
        <f t="shared" si="23"/>
        <v>-0.0046009489963037</v>
      </c>
      <c r="L24" s="20">
        <f t="shared" si="23"/>
        <v>-0.00342199823828274</v>
      </c>
      <c r="M24" s="20">
        <f t="shared" si="23"/>
        <v>-0.0357226845932331</v>
      </c>
      <c r="N24" s="20">
        <f t="shared" si="23"/>
        <v>-0.00947731174797775</v>
      </c>
      <c r="O24" s="20">
        <f t="shared" si="23"/>
        <v>-0.00157182071827039</v>
      </c>
      <c r="P24" s="20">
        <f t="shared" si="23"/>
        <v>-0.00157182071827039</v>
      </c>
      <c r="Q24" s="20">
        <f t="shared" si="23"/>
        <v>-0.00232710772733383</v>
      </c>
      <c r="R24" s="20">
        <f t="shared" si="23"/>
        <v>-0.0425916279588594</v>
      </c>
      <c r="S24" s="20">
        <f t="shared" si="23"/>
        <v>0.0502476219477992</v>
      </c>
      <c r="T24" s="19">
        <f t="shared" si="23"/>
        <v>-0.0654458664184835</v>
      </c>
      <c r="U24" s="19">
        <f t="shared" si="23"/>
        <v>-0.00199228425975914</v>
      </c>
      <c r="V24" s="19">
        <f t="shared" si="23"/>
        <v>-0.0183946231599954</v>
      </c>
      <c r="W24" s="19">
        <f t="shared" si="23"/>
        <v>0.0601983382471187</v>
      </c>
      <c r="X24" s="19">
        <f t="shared" si="23"/>
        <v>0.0769230769230769</v>
      </c>
      <c r="Y24" s="19">
        <f t="shared" si="23"/>
        <v>0.0769230769230769</v>
      </c>
      <c r="Z24" s="19">
        <f t="shared" si="23"/>
        <v>0.0769230769230769</v>
      </c>
      <c r="AA24" s="19">
        <f t="shared" si="23"/>
        <v>0.0769230769230769</v>
      </c>
      <c r="AB24" s="20">
        <f t="shared" si="23"/>
        <v>0.0769230769230769</v>
      </c>
      <c r="AC24" s="20">
        <f t="shared" si="23"/>
        <v>0.0769230769230769</v>
      </c>
      <c r="AD24" s="20">
        <f t="shared" si="23"/>
        <v>0.0769230769230769</v>
      </c>
      <c r="AE24" s="20">
        <f t="shared" si="23"/>
        <v>0.0769230769230769</v>
      </c>
      <c r="AF24" s="20">
        <f t="shared" si="23"/>
        <v>0.0769230769230769</v>
      </c>
      <c r="AG24" s="20">
        <f t="shared" si="23"/>
        <v>0.0769230769230769</v>
      </c>
      <c r="AH24" s="20">
        <f t="shared" si="23"/>
        <v>0.0769230769230769</v>
      </c>
      <c r="AI24" s="20">
        <f t="shared" si="23"/>
        <v>0.0769230769230769</v>
      </c>
      <c r="AJ24" s="20">
        <f t="shared" si="23"/>
        <v>0.0769230769230769</v>
      </c>
      <c r="AK24" s="20">
        <f t="shared" si="23"/>
        <v>0.0769230769230769</v>
      </c>
      <c r="AL24" s="20">
        <f t="shared" si="23"/>
        <v>0.0769230769230769</v>
      </c>
      <c r="AM24" s="20">
        <f t="shared" si="23"/>
        <v>0.0769230769230769</v>
      </c>
      <c r="AN24" s="20">
        <f t="shared" si="23"/>
        <v>0.0769230769230769</v>
      </c>
      <c r="AO24" s="20">
        <f t="shared" si="23"/>
        <v>0.0769230769230769</v>
      </c>
      <c r="AP24" s="20">
        <f t="shared" si="23"/>
        <v>0.0769230769230769</v>
      </c>
      <c r="AQ24" s="20">
        <f t="shared" si="23"/>
        <v>0.0769230769230769</v>
      </c>
      <c r="AR24" s="20">
        <f t="shared" si="23"/>
        <v>0.0769230769230769</v>
      </c>
      <c r="AS24" s="20">
        <f t="shared" si="23"/>
        <v>0.0769230769230769</v>
      </c>
      <c r="AT24" s="20">
        <f t="shared" si="23"/>
        <v>0.0769230769230769</v>
      </c>
      <c r="AU24" s="20">
        <f t="shared" si="23"/>
        <v>0.0769230769230769</v>
      </c>
      <c r="AV24" s="20">
        <f t="shared" si="23"/>
        <v>0.0769230769230769</v>
      </c>
      <c r="AW24" s="20">
        <f t="shared" si="23"/>
        <v>0.0769230769230769</v>
      </c>
      <c r="AX24" s="20">
        <f t="shared" si="23"/>
        <v>0.0769230769230769</v>
      </c>
      <c r="AY24" s="20">
        <f t="shared" si="23"/>
        <v>0.0769230769230769</v>
      </c>
    </row>
    <row r="25" spans="1:51">
      <c r="A25" s="9" t="s">
        <v>12</v>
      </c>
      <c r="B25" s="2" t="str">
        <f>B13</f>
        <v>模板记忆</v>
      </c>
      <c r="C25" s="2" t="str">
        <f>C13</f>
        <v>数据结构</v>
      </c>
      <c r="D25" s="2" t="str">
        <f>D13</f>
        <v>程序设计</v>
      </c>
      <c r="E25" s="10" t="str">
        <f>E13</f>
        <v>翻译训练</v>
      </c>
      <c r="K25" s="9" t="s">
        <v>12</v>
      </c>
      <c r="L25" s="2" t="str">
        <f t="shared" ref="L25:O25" si="24">L13</f>
        <v>算法动作</v>
      </c>
      <c r="M25" s="2" t="str">
        <f t="shared" si="24"/>
        <v>算法状态</v>
      </c>
      <c r="N25" s="2" t="str">
        <f t="shared" si="24"/>
        <v>算法流程+DS</v>
      </c>
      <c r="O25" s="10" t="str">
        <f t="shared" si="24"/>
        <v>翻译训练</v>
      </c>
      <c r="P25" s="2" t="str">
        <f t="shared" ref="P25:W25" si="25">L13</f>
        <v>算法动作</v>
      </c>
      <c r="Q25" s="2" t="str">
        <f t="shared" si="25"/>
        <v>算法状态</v>
      </c>
      <c r="R25" s="2" t="str">
        <f t="shared" si="25"/>
        <v>算法流程+DS</v>
      </c>
      <c r="S25" s="2" t="str">
        <f t="shared" si="25"/>
        <v>翻译训练</v>
      </c>
      <c r="T25" s="9" t="str">
        <f t="shared" ref="T25:AA25" si="26">T13</f>
        <v>力扣冒险</v>
      </c>
      <c r="U25" s="2" t="str">
        <f t="shared" si="26"/>
        <v>计算思维</v>
      </c>
      <c r="V25" s="2" t="str">
        <f t="shared" si="26"/>
        <v>复试宝典</v>
      </c>
      <c r="W25" s="2" t="str">
        <f t="shared" si="26"/>
        <v>记忆保温</v>
      </c>
      <c r="X25" s="9" t="s">
        <v>2</v>
      </c>
      <c r="Y25" s="2" t="s">
        <v>24</v>
      </c>
      <c r="Z25" s="2" t="s">
        <v>25</v>
      </c>
      <c r="AA25" s="10" t="s">
        <v>11</v>
      </c>
    </row>
    <row r="26" ht="15.15" spans="1:51">
      <c r="A26" s="16" t="s">
        <v>26</v>
      </c>
      <c r="B26" s="4">
        <f>ROUND($B$23*B14,0)</f>
        <v>12</v>
      </c>
      <c r="C26" s="4">
        <f>ROUND($B$23*C14,0)</f>
        <v>20</v>
      </c>
      <c r="D26" s="4">
        <f>ROUND($B$23*D14,0)</f>
        <v>22</v>
      </c>
      <c r="E26" s="17">
        <f>ROUND($B$23*E14,0)</f>
        <v>18</v>
      </c>
      <c r="K26" s="16" t="s">
        <v>26</v>
      </c>
      <c r="L26" s="4">
        <f>ROUND($B$23*L14,0)</f>
        <v>25</v>
      </c>
      <c r="M26" s="4">
        <f t="shared" ref="L26:O26" si="27">ROUND($B$23*M14,0)</f>
        <v>20</v>
      </c>
      <c r="N26" s="4">
        <f t="shared" si="27"/>
        <v>18</v>
      </c>
      <c r="O26" s="17">
        <f t="shared" si="27"/>
        <v>21</v>
      </c>
      <c r="P26" s="4">
        <f>ROUND($R$23*L14,0)</f>
        <v>51</v>
      </c>
      <c r="Q26" s="4">
        <f>ROUND($R$23*M14,0)</f>
        <v>40</v>
      </c>
      <c r="R26" s="4">
        <f>ROUND($R$23*N14,0)</f>
        <v>36</v>
      </c>
      <c r="S26" s="4">
        <f>ROUND($R$23*O14,0)</f>
        <v>42</v>
      </c>
      <c r="T26" s="16">
        <f t="shared" ref="T26:AA26" si="28">ROUND($R$23*T14,0)</f>
        <v>16</v>
      </c>
      <c r="U26" s="4">
        <f t="shared" si="28"/>
        <v>63</v>
      </c>
      <c r="V26" s="4">
        <f t="shared" si="28"/>
        <v>71</v>
      </c>
      <c r="W26" s="4">
        <f t="shared" si="28"/>
        <v>50</v>
      </c>
      <c r="X26" s="16">
        <f>ROUND($U$23*T14,0)</f>
        <v>8</v>
      </c>
      <c r="Y26" s="4">
        <f t="shared" ref="X26:AA26" si="29">ROUND($U$23*U14,0)</f>
        <v>32</v>
      </c>
      <c r="Z26" s="4">
        <f t="shared" si="29"/>
        <v>36</v>
      </c>
      <c r="AA26" s="17">
        <f t="shared" si="29"/>
        <v>25</v>
      </c>
    </row>
  </sheetData>
  <pageMargins left="0.7" right="0.7" top="0.75" bottom="0.75" header="0.3" footer="0.3"/>
  <pageSetup paperSize="9" orientation="portrait"/>
  <headerFooter/>
  <ignoredErrors>
    <ignoredError sqref="Y26:AY26 A26:W26 A15:AY25 X14:AY14 A14:T14 A13:AY13 W12:AY12 B12:S12 A10:AY11 W9:AY9 B9:S9 A8:AY8 T7:AY7 A7:R7 X6:AY6 V3 X3:AY3 B3:S3 A1:AY2 A5:AY5 T4:AY4 A4:R4 B6:S6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C3" sqref="C3"/>
    </sheetView>
  </sheetViews>
  <sheetFormatPr defaultColWidth="10.7777777777778" defaultRowHeight="14.4" outlineLevelRow="7" outlineLevelCol="6"/>
  <cols>
    <col min="1" max="16384" width="10.7777777777778" customWidth="1"/>
  </cols>
  <sheetData>
    <row r="1" spans="1:7">
      <c r="A1" t="s">
        <v>27</v>
      </c>
      <c r="B1" s="1">
        <v>46037</v>
      </c>
      <c r="C1" s="1">
        <v>46062</v>
      </c>
    </row>
    <row r="2" spans="1:7">
      <c r="A2" t="s">
        <v>28</v>
      </c>
      <c r="B2" t="s">
        <v>2</v>
      </c>
      <c r="C2" t="s">
        <v>6</v>
      </c>
      <c r="D2" t="s">
        <v>9</v>
      </c>
      <c r="E2" t="s">
        <v>11</v>
      </c>
      <c r="F2" t="s">
        <v>29</v>
      </c>
    </row>
    <row r="3" spans="1:7">
      <c r="B3">
        <f>35*3</f>
        <v>105</v>
      </c>
      <c r="C3">
        <f>184+226</f>
        <v>410</v>
      </c>
      <c r="D3">
        <f>306+158</f>
        <v>464</v>
      </c>
      <c r="E3">
        <f>ROUND(AVERAGE(B3:D3),0)</f>
        <v>326</v>
      </c>
      <c r="F3">
        <f>ROUND(E3*2/26,0)</f>
        <v>25</v>
      </c>
      <c r="G3">
        <f>SUM(G4:G7)</f>
        <v>823</v>
      </c>
    </row>
    <row r="4" spans="1:7">
      <c r="E4">
        <f>G4/$G$3</f>
        <v>0.31591737545565</v>
      </c>
      <c r="F4">
        <f t="shared" ref="F4:F7" si="0">ROUND($F$3*E4,0)</f>
        <v>8</v>
      </c>
      <c r="G4">
        <v>260</v>
      </c>
    </row>
    <row r="5" spans="1:7">
      <c r="E5">
        <f>G5/$G$3</f>
        <v>0.402187120291616</v>
      </c>
      <c r="F5">
        <f t="shared" si="0"/>
        <v>10</v>
      </c>
      <c r="G5">
        <v>331</v>
      </c>
    </row>
    <row r="6" spans="1:7">
      <c r="E6">
        <f>G6/$G$3</f>
        <v>0.0959902794653706</v>
      </c>
      <c r="F6">
        <f t="shared" si="0"/>
        <v>2</v>
      </c>
      <c r="G6">
        <v>79</v>
      </c>
    </row>
    <row r="7" spans="1:7">
      <c r="E7">
        <f>G7/$G$3</f>
        <v>0.185905224787363</v>
      </c>
      <c r="F7">
        <f t="shared" si="0"/>
        <v>5</v>
      </c>
      <c r="G7">
        <v>153</v>
      </c>
    </row>
    <row r="8" spans="1:7">
      <c r="E8" t="s">
        <v>30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E3" sqref="E3"/>
    </sheetView>
  </sheetViews>
  <sheetFormatPr defaultColWidth="10.7777777777778" defaultRowHeight="14.4" outlineLevelRow="2" outlineLevelCol="4"/>
  <cols>
    <col min="1" max="16384" width="10.7777777777778" customWidth="1"/>
  </cols>
  <sheetData>
    <row r="1" spans="1:5">
      <c r="A1" t="s">
        <v>27</v>
      </c>
      <c r="B1" s="1">
        <v>46063</v>
      </c>
      <c r="C1" s="1">
        <v>46088</v>
      </c>
    </row>
    <row r="2" spans="1:5">
      <c r="A2" t="s">
        <v>28</v>
      </c>
      <c r="B2" t="s">
        <v>31</v>
      </c>
      <c r="C2" t="s">
        <v>32</v>
      </c>
      <c r="D2" t="s">
        <v>33</v>
      </c>
      <c r="E2" t="s">
        <v>34</v>
      </c>
    </row>
    <row r="3" spans="1:5">
      <c r="B3">
        <v>15</v>
      </c>
      <c r="E3">
        <f>ROUND(AVERAGE(B3:D3),0)</f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5" sqref="D5"/>
    </sheetView>
  </sheetViews>
  <sheetFormatPr defaultColWidth="8.88888888888889" defaultRowHeight="14.4" outlineLevelRow="2" outlineLevelCol="3"/>
  <sheetData>
    <row r="1" spans="1:4">
      <c r="A1" t="s">
        <v>6</v>
      </c>
      <c r="B1">
        <f>SUM(A3:B3)</f>
        <v>340</v>
      </c>
      <c r="C1" t="s">
        <v>35</v>
      </c>
      <c r="D1">
        <f>SUM(C3:D3)</f>
        <v>72</v>
      </c>
    </row>
    <row r="2" spans="1:4">
      <c r="A2" t="s">
        <v>36</v>
      </c>
      <c r="B2" t="s">
        <v>37</v>
      </c>
      <c r="C2" t="s">
        <v>38</v>
      </c>
      <c r="D2" t="s">
        <v>39</v>
      </c>
    </row>
    <row r="3" spans="1:4">
      <c r="A3">
        <v>184</v>
      </c>
      <c r="B3">
        <v>156</v>
      </c>
      <c r="C3">
        <v>72</v>
      </c>
      <c r="D3">
        <v>0</v>
      </c>
    </row>
  </sheetData>
  <pageMargins left="0.75" right="0.75" top="1" bottom="1" header="0.5" footer="0.5"/>
  <headerFooter/>
  <ignoredErrors>
    <ignoredError sqref="D3 A1:D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当前阶段</vt:lpstr>
      <vt:lpstr>第三阶段</vt:lpstr>
      <vt:lpstr>第四阶段</vt:lpstr>
      <vt:lpstr>阅读书签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2026-01-19T06:33:28Z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52C9626267BE4F95ABF321A732E9F92C_12</vt:lpwstr>
  </property>
  <property fmtid="{D5CDD505-2E9C-101B-9397-08002B2CF9AE}" pid="4" name="CalculationRule">
    <vt:i4>0</vt:i4>
  </property>
</Properties>
</file>