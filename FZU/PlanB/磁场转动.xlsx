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<sst xmlns="http://schemas.openxmlformats.org/spreadsheetml/2006/main" count="83" uniqueCount="35">
  <si>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</si>
  <si>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</si>
  <si>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</si>
  <si>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</si>
  <si>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</si>
  <si>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</si>
  <si>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</si>
  <si>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</si>
  <si>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</si>
  <si>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</si>
  <si>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</si>
  <si>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</si>
  <si>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</si>
  <si>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</si>
  <si>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</si>
  <si>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</si>
  <si>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</si>
  <si>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</si>
  <si>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</si>
  <si>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</si>
  <si>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</si>
  <si>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</si>
  <si>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</si>
  <si>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</si>
  <si>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</si>
  <si>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计组复试</t>
  </si>
  <si>
    <t>计算历史</t>
  </si>
  <si>
    <t>汇编学习</t>
  </si>
  <si>
    <t>逆向工程</t>
  </si>
  <si>
    <t>系统工作</t>
  </si>
  <si>
    <t>实时调度</t>
  </si>
  <si>
    <t>安卓移植</t>
  </si>
  <si>
    <t>网络经验</t>
  </si>
  <si>
    <t>华为认证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</si>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</sst>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topLeftCell="A19" workbookViewId="0">
      <selection activeCell="J26" sqref="J26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3">
        <v>0.15311004784689</v>
      </c>
      <c r="J2" s="5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1.15311004784689</v>
      </c>
      <c r="J3" s="3">
        <f>SUM($B2:J2)</f>
        <v>1.15311004784689</v>
      </c>
      <c r="K3" s="3">
        <f>SUM($B2:K2)</f>
        <v>1.15311004784689</v>
      </c>
      <c r="L3" s="3">
        <f>SUM($B2:L2)</f>
        <v>1.15311004784689</v>
      </c>
      <c r="M3" s="3">
        <f>SUM($B2:M2)</f>
        <v>1.15311004784689</v>
      </c>
      <c r="N3" s="3">
        <f>SUM($B2:N2)</f>
        <v>1.15311004784689</v>
      </c>
      <c r="O3" s="3">
        <f>SUM($B2:O2)</f>
        <v>1.15311004784689</v>
      </c>
      <c r="P3" s="3">
        <f>SUM($B2:P2)</f>
        <v>1.15311004784689</v>
      </c>
      <c r="Q3" s="3">
        <f>SUM($B2:Q2)</f>
        <v>1.15311004784689</v>
      </c>
      <c r="R3" s="3">
        <f>SUM($B2:R2)</f>
        <v>1.15311004784689</v>
      </c>
      <c r="S3" s="3">
        <f>SUM($B2:S2)</f>
        <v>1.15311004784689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0.144138755980861</v>
      </c>
      <c r="J4" s="3">
        <f>AVERAGE($B2:J2)</f>
        <v>0.128123338649655</v>
      </c>
      <c r="K4" s="3">
        <f>AVERAGE($B2:K2)</f>
        <v>0.115311004784689</v>
      </c>
      <c r="L4" s="3">
        <f>AVERAGE($B2:L2)</f>
        <v>0.104828186167899</v>
      </c>
      <c r="M4" s="3">
        <f>AVERAGE($B2:M2)</f>
        <v>0.0960925039872409</v>
      </c>
      <c r="N4" s="3">
        <f>AVERAGE($B2:N2)</f>
        <v>0.0887007729112993</v>
      </c>
      <c r="O4" s="3">
        <f>AVERAGE($B2:O2)</f>
        <v>0.0823650034176351</v>
      </c>
      <c r="P4" s="3">
        <f>AVERAGE($B2:P2)</f>
        <v>0.0768740031897927</v>
      </c>
      <c r="Q4" s="3">
        <f>AVERAGE($B2:Q2)</f>
        <v>0.0720693779904307</v>
      </c>
      <c r="R4" s="3">
        <f>AVERAGE($B2:R2)</f>
        <v>0.067830002814523</v>
      </c>
      <c r="S4" s="3">
        <f>AVERAGE($B2:S2)</f>
        <v>0.0640616693248273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-0.000521381928996006</v>
      </c>
      <c r="C6" s="3">
        <f t="shared" si="1"/>
        <v>-0.000521381928996006</v>
      </c>
      <c r="D6" s="3">
        <f t="shared" si="1"/>
        <v>-0.000521381928996006</v>
      </c>
      <c r="E6" s="3">
        <f t="shared" si="1"/>
        <v>-0.000521381928996006</v>
      </c>
      <c r="F6" s="3">
        <f t="shared" si="1"/>
        <v>-0.000521381928996006</v>
      </c>
      <c r="G6" s="3">
        <f t="shared" si="1"/>
        <v>-0.000521381928996006</v>
      </c>
      <c r="H6" s="3">
        <f t="shared" si="1"/>
        <v>0.080051368497053</v>
      </c>
      <c r="I6" s="3">
        <f t="shared" si="1"/>
        <v>0.000736105999264047</v>
      </c>
      <c r="J6" s="3">
        <f t="shared" si="1"/>
        <v>0.153846153846154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2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>ROUND(B24*C24,0)</f>
        <v>68</v>
      </c>
      <c r="E24" s="3">
        <f>AVERAGE(F$15:F24)</f>
        <v>0.0853305952342944</v>
      </c>
      <c r="F24" s="3">
        <f>G24/B24</f>
        <v>0.154545454545455</v>
      </c>
      <c r="G24" s="1">
        <f>I24-H24</f>
        <v>68</v>
      </c>
      <c r="H24" s="1">
        <v>68</v>
      </c>
      <c r="I24" s="6">
        <f>MIN($J$23*D24,J24)</f>
        <v>136</v>
      </c>
      <c r="J24" s="1">
        <v>322</v>
      </c>
    </row>
    <row r="25" spans="1:10">
      <c r="A25" s="1" t="s">
        <v>27</v>
      </c>
      <c r="B25" s="1">
        <v>378</v>
      </c>
      <c r="C25" s="3">
        <f>C24</f>
        <v>0.153846153846154</v>
      </c>
      <c r="D25" s="1">
        <f>ROUND(B25*C25,0)</f>
        <v>58</v>
      </c>
      <c r="E25" s="3">
        <f>AVERAGE(F25:F$26)</f>
        <v>0.0921179210652895</v>
      </c>
      <c r="F25" s="3">
        <f>G25/B25</f>
        <v>0.0502645502645503</v>
      </c>
      <c r="G25" s="1">
        <f>I25-H25</f>
        <v>19</v>
      </c>
      <c r="H25" s="1">
        <v>58</v>
      </c>
      <c r="I25" s="7">
        <f>MIN($J$23*D25,J25)</f>
        <v>77</v>
      </c>
      <c r="J25" s="1">
        <v>77</v>
      </c>
    </row>
    <row r="26" spans="1:10">
      <c r="A26" s="1" t="s">
        <v>28</v>
      </c>
      <c r="B26" s="1">
        <v>209</v>
      </c>
      <c r="C26" s="3">
        <f>C25</f>
        <v>0.153846153846154</v>
      </c>
      <c r="D26" s="1">
        <f>ROUND(B26*C26,0)</f>
        <v>32</v>
      </c>
      <c r="E26" s="3">
        <f>AVERAGE(F26:F$26)</f>
        <v>0.133971291866029</v>
      </c>
      <c r="F26" s="3">
        <f>G26/B26</f>
        <v>0.133971291866029</v>
      </c>
      <c r="G26" s="1">
        <f>I26-H26</f>
        <v>28</v>
      </c>
      <c r="H26" s="1">
        <v>32</v>
      </c>
      <c r="I26" s="7">
        <f>MIN($J$23*D26,J26)</f>
        <v>60</v>
      </c>
      <c r="J26" s="1">
        <v>60</v>
      </c>
    </row>
    <row r="27" spans="1:10">
      <c r="C27" s="3"/>
    </row>
    <row r="28" spans="1:10">
      <c r="A28" s="1" t="s">
        <v>29</v>
      </c>
    </row>
    <row r="29" spans="1:10">
      <c r="A29" s="1" t="s">
        <v>7</v>
      </c>
      <c r="B29" s="1" t="s">
        <v>8</v>
      </c>
      <c r="C29" s="1" t="s">
        <v>9</v>
      </c>
      <c r="D29" s="1" t="s">
        <v>10</v>
      </c>
      <c r="E29" s="1" t="s">
        <v>11</v>
      </c>
      <c r="F29" s="1" t="s">
        <v>12</v>
      </c>
      <c r="G29" s="1" t="s">
        <v>13</v>
      </c>
      <c r="H29" s="1" t="s">
        <v>14</v>
      </c>
      <c r="I29" s="1" t="s">
        <v>15</v>
      </c>
      <c r="J29" s="1">
        <v>1</v>
      </c>
    </row>
    <row r="30" spans="1:10">
      <c r="A30" s="1" t="s">
        <v>30</v>
      </c>
      <c r="B30" s="1">
        <v>62</v>
      </c>
      <c r="C30" s="3">
        <f>4/26</f>
        <v>0.153846153846154</v>
      </c>
      <c r="D30" s="1">
        <f t="shared" ref="D30:D36" si="7">ROUND(B30*C30,0)</f>
        <v>10</v>
      </c>
      <c r="E30" s="3">
        <f>AVERAGE(F$30:F30)</f>
        <v>0.161290322580645</v>
      </c>
      <c r="F30" s="3">
        <f t="shared" ref="F30:F35" si="8">G30/B30</f>
        <v>0.161290322580645</v>
      </c>
      <c r="G30" s="1">
        <f t="shared" ref="G30:G35" si="9">I30-H30</f>
        <v>10</v>
      </c>
      <c r="I30" s="6">
        <f>MIN($J$29*D30,J30)</f>
        <v>10</v>
      </c>
      <c r="J30" s="1">
        <v>40</v>
      </c>
    </row>
    <row r="31" spans="1:10">
      <c r="A31" s="1" t="s">
        <v>31</v>
      </c>
      <c r="B31" s="1">
        <v>464</v>
      </c>
      <c r="C31" s="3">
        <f>C30</f>
        <v>0.153846153846154</v>
      </c>
      <c r="D31" s="1">
        <f t="shared" si="7"/>
        <v>71</v>
      </c>
      <c r="E31" s="3">
        <f>AVERAGE(F$30:F31)</f>
        <v>0.0806451612903226</v>
      </c>
      <c r="F31" s="3">
        <f t="shared" si="8"/>
        <v>0</v>
      </c>
      <c r="G31" s="1">
        <f t="shared" si="9"/>
        <v>0</v>
      </c>
      <c r="I31" s="1">
        <v>0</v>
      </c>
      <c r="J31" s="1">
        <v>0</v>
      </c>
    </row>
    <row r="33" spans="1:9">
      <c r="A33" s="1" t="s">
        <v>32</v>
      </c>
    </row>
    <row r="34" spans="1:9">
      <c r="A34" s="1" t="s">
        <v>7</v>
      </c>
      <c r="B34" s="1" t="s">
        <v>8</v>
      </c>
      <c r="C34" s="1" t="s">
        <v>9</v>
      </c>
      <c r="D34" s="1" t="s">
        <v>10</v>
      </c>
      <c r="E34" s="1" t="s">
        <v>11</v>
      </c>
      <c r="F34" s="1" t="s">
        <v>12</v>
      </c>
      <c r="G34" s="1" t="s">
        <v>13</v>
      </c>
      <c r="H34" s="1" t="s">
        <v>14</v>
      </c>
      <c r="I34" s="1" t="s">
        <v>15</v>
      </c>
    </row>
    <row r="35" spans="1:9">
      <c r="A35" s="1" t="s">
        <v>33</v>
      </c>
      <c r="B35" s="1">
        <v>1</v>
      </c>
      <c r="C35" s="3">
        <f>4/26</f>
        <v>0.153846153846154</v>
      </c>
      <c r="D35" s="1">
        <f t="shared" si="7"/>
        <v>0</v>
      </c>
      <c r="E35" s="3">
        <f>AVERAGE(F$35:F35)</f>
        <v>0</v>
      </c>
      <c r="F35" s="3">
        <f t="shared" si="8"/>
        <v>0</v>
      </c>
      <c r="G35" s="1">
        <f t="shared" si="9"/>
        <v>0</v>
      </c>
      <c r="I35" s="1">
        <v>0</v>
      </c>
    </row>
    <row r="36" spans="1:9">
      <c r="C36" s="3"/>
    </row>
  </sheetData>
  <pageMargins left="0.7" right="0.7" top="0.75" bottom="0.75" header="0.3" footer="0.3"/>
  <pageSetup paperSize="9" orientation="portrait"/>
  <headerFooter/>
  <ignoredErrors>
    <ignoredError sqref="A17:D20 A16 C15:D16 K9:S20 A12:D14 A10:C11 A9:D9 A3:S8 A2 A1:S1 J2:S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B12" sqref="B12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34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77</v>
      </c>
    </row>
    <row r="11" spans="1:2">
      <c r="A11" s="1" t="s">
        <v>28</v>
      </c>
      <c r="B11" s="1">
        <v>60</v>
      </c>
    </row>
    <row r="13" spans="1:2">
      <c r="A13" s="1" t="s">
        <v>30</v>
      </c>
      <c r="B13" s="1">
        <v>40</v>
      </c>
    </row>
    <row r="14" spans="1:2">
      <c r="A14" s="1" t="s">
        <v>31</v>
      </c>
      <c r="B14" s="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2026-03-14T13:15:44Z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