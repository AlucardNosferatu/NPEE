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<sst xmlns="http://schemas.openxmlformats.org/spreadsheetml/2006/main" count="161" uniqueCount="83">
  <si>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</si>
  <si>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</si>
  <si>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</si>
  <si>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</si>
  <si>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</si>
  <si>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</si>
  <si>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</si>
  <si>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</si>
  <si>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</si>
  <si>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</si>
  <si>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</si>
  <si>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</si>
  <si>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</si>
  <si>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</si>
  <si>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</si>
  <si>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</si>
  <si>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</si>
  <si>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</si>
  <si>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</si>
  <si>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</si>
  <si>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</si>
  <si>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</si>
  <si>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</si>
  <si>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</si>
  <si>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</si>
  <si>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</si>
  <si>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</si>
  <si>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</si>
  <si>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</si>
  <si>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</si>
  <si>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</si>
  <si>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</si>
  <si>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</si>
  <si>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</si>
  <si>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</si>
  <si>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</si>
  <si>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</si>
  <si>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</si>
  <si>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</si>
  <si>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</si>
  <si>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</si>
  <si>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调剂准备</t>
  </si>
  <si>
    <t>库的实现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</si>
  <si>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</si>
  <si>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</si>
  <si>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</si>
  <si>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</si>
  <si>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</si>
  <si>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</si>
  <si>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</si>
  <si>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</si>
  <si>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</si>
  <si>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</si>
  <si>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</si>
  <si>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</si>
  <si>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</si>
  <si>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</si>
  <si>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</si>
  <si>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</si>
  <si>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</si>
  <si>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</si>
  <si>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</si>
  <si>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</si>
  <si>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</si>
  <si>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</si>
  <si>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</si>
  <si>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</si>
  <si>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</si>
  <si>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</si>
  <si>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</si>
  <si>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</si>
  <si>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</si>
  <si>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</si>
  <si>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</si>
  <si>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</si>
  <si>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</si>
  <si>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</si>
  <si>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</si>
  <si>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</si>
  <si>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</si>
  <si>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</si>
  <si>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</si>
  <si>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农大准备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</si>
</sst>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0"/>
  <sheetViews>
    <sheetView tabSelected="1" topLeftCell="A16" workbookViewId="0">
      <selection activeCell="K34" sqref="K34"/>
    </sheetView>
  </sheetViews>
  <sheetFormatPr defaultColWidth="15.7777777777778" defaultRowHeight="14.4"/>
  <cols>
    <col min="1" max="16384" width="15.7777777777778" style="1" customWidth="1"/>
  </cols>
  <sheetData>
    <row r="1" spans="1:2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  <c r="T1" s="4">
        <v>46099</v>
      </c>
      <c r="U1" s="4">
        <v>46100</v>
      </c>
      <c r="V1" s="4">
        <v>46101</v>
      </c>
      <c r="W1" s="4">
        <v>46102</v>
      </c>
      <c r="X1" s="4">
        <v>46103</v>
      </c>
      <c r="Y1" s="4">
        <v>46104</v>
      </c>
      <c r="Z1" s="4">
        <v>46105</v>
      </c>
      <c r="AA1" s="4">
        <v>46106</v>
      </c>
      <c r="AB1" s="4">
        <v>46107</v>
      </c>
      <c r="AC1" s="4">
        <v>46108</v>
      </c>
    </row>
    <row r="2" spans="1:2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0.159785932721713</v>
      </c>
      <c r="Q2" s="5">
        <v>0.159785932721713</v>
      </c>
      <c r="R2" s="5">
        <v>0.159785932721713</v>
      </c>
      <c r="S2" s="5">
        <v>0.159785932721713</v>
      </c>
      <c r="T2" s="5">
        <v>0.159785932721713</v>
      </c>
      <c r="U2" s="5">
        <v>0.159785932721713</v>
      </c>
      <c r="V2" s="5">
        <v>0.0412844036697248</v>
      </c>
      <c r="W2" s="5">
        <v>0.156031837360951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</row>
    <row r="3" spans="1:2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2.15978593272171</v>
      </c>
      <c r="Q3" s="5">
        <f>SUM($B2:Q2)</f>
        <v>2.31957186544343</v>
      </c>
      <c r="R3" s="5">
        <f>SUM($B2:R2)</f>
        <v>2.47935779816514</v>
      </c>
      <c r="S3" s="5">
        <f>SUM($B2:S2)</f>
        <v>2.63914373088685</v>
      </c>
      <c r="T3" s="5">
        <f>SUM($B2:T2)</f>
        <v>2.79892966360857</v>
      </c>
      <c r="U3" s="5">
        <f>SUM($B2:U2)</f>
        <v>2.95871559633028</v>
      </c>
      <c r="V3" s="5">
        <f>SUM($B2:V2)</f>
        <v>3</v>
      </c>
      <c r="W3" s="5">
        <f>SUM($B2:W2)</f>
        <v>3.15603183736095</v>
      </c>
      <c r="X3" s="5">
        <f>SUM($B2:X2)</f>
        <v>3.15603183736095</v>
      </c>
      <c r="Y3" s="5">
        <f>SUM($B2:Y2)</f>
        <v>3.15603183736095</v>
      </c>
      <c r="Z3" s="5">
        <f>SUM($B2:Z2)</f>
        <v>3.15603183736095</v>
      </c>
      <c r="AA3" s="5">
        <f>SUM($B2:AA2)</f>
        <v>3.15603183736095</v>
      </c>
      <c r="AB3" s="5">
        <f>SUM($B2:AB2)</f>
        <v>3.15603183736095</v>
      </c>
      <c r="AC3" s="5">
        <f>SUM($B2:AC2)</f>
        <v>3.15603183736095</v>
      </c>
    </row>
    <row r="4" spans="1:2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0.143985728848114</v>
      </c>
      <c r="Q4" s="5">
        <f>AVERAGE($B2:Q2)</f>
        <v>0.144973241590214</v>
      </c>
      <c r="R4" s="5">
        <f>AVERAGE($B2:R2)</f>
        <v>0.145844576362655</v>
      </c>
      <c r="S4" s="5">
        <f>AVERAGE($B2:S2)</f>
        <v>0.146619096160381</v>
      </c>
      <c r="T4" s="5">
        <f>AVERAGE($B2:T2)</f>
        <v>0.147312087558346</v>
      </c>
      <c r="U4" s="5">
        <f>AVERAGE($B2:U2)</f>
        <v>0.147935779816514</v>
      </c>
      <c r="V4" s="5">
        <f>AVERAGE($B2:V2)</f>
        <v>0.142857142857143</v>
      </c>
      <c r="W4" s="5">
        <f>AVERAGE($B2:W2)</f>
        <v>0.143455992607316</v>
      </c>
      <c r="X4" s="5">
        <f>AVERAGE($B2:X2)</f>
        <v>0.137218775537433</v>
      </c>
      <c r="Y4" s="5">
        <f>AVERAGE($B2:Y2)</f>
        <v>0.131501326556706</v>
      </c>
      <c r="Z4" s="5">
        <f>AVERAGE($B2:Z2)</f>
        <v>0.126241273494438</v>
      </c>
      <c r="AA4" s="5">
        <f>AVERAGE($B2:AA2)</f>
        <v>0.121385839898498</v>
      </c>
      <c r="AB4" s="5">
        <f>AVERAGE($B2:AB2)</f>
        <v>0.116890068050406</v>
      </c>
      <c r="AC4" s="5">
        <f>AVERAGE($B2:AC2)</f>
        <v>0.112715422762891</v>
      </c>
    </row>
    <row r="5" spans="1:2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  <c r="T5" s="5">
        <f>S5</f>
        <v>0.153846153846154</v>
      </c>
      <c r="U5" s="5">
        <f>T5</f>
        <v>0.153846153846154</v>
      </c>
      <c r="V5" s="5">
        <f>U5</f>
        <v>0.153846153846154</v>
      </c>
      <c r="W5" s="5">
        <f>V5</f>
        <v>0.153846153846154</v>
      </c>
      <c r="X5" s="5">
        <f>W5</f>
        <v>0.153846153846154</v>
      </c>
      <c r="Y5" s="5">
        <f>X5</f>
        <v>0.153846153846154</v>
      </c>
      <c r="Z5" s="5">
        <f>Y5</f>
        <v>0.153846153846154</v>
      </c>
      <c r="AA5" s="5">
        <f>Z5</f>
        <v>0.153846153846154</v>
      </c>
      <c r="AB5" s="5">
        <f>AA5</f>
        <v>0.153846153846154</v>
      </c>
      <c r="AC5" s="5">
        <f>AB5</f>
        <v>0.153846153846154</v>
      </c>
    </row>
    <row r="6" spans="1:2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-0.00123429011213699</v>
      </c>
      <c r="J6" s="5">
        <f t="shared" si="1"/>
        <v>-0.00123429011213699</v>
      </c>
      <c r="K6" s="5">
        <f t="shared" si="1"/>
        <v>-0.00123429011213699</v>
      </c>
      <c r="L6" s="5">
        <f t="shared" si="1"/>
        <v>-0.00123429011213699</v>
      </c>
      <c r="M6" s="5">
        <f t="shared" si="1"/>
        <v>-0.00123429011213699</v>
      </c>
      <c r="N6" s="5">
        <f t="shared" si="1"/>
        <v>-0.00123429011213699</v>
      </c>
      <c r="O6" s="5">
        <f t="shared" si="1"/>
        <v>0.0843288175958981</v>
      </c>
      <c r="P6" s="5">
        <f t="shared" si="1"/>
        <v>-0.00593977887555855</v>
      </c>
      <c r="Q6" s="5">
        <f t="shared" si="1"/>
        <v>-0.00593977887555855</v>
      </c>
      <c r="R6" s="5">
        <f t="shared" si="1"/>
        <v>-0.00593977887555855</v>
      </c>
      <c r="S6" s="5">
        <f t="shared" si="1"/>
        <v>-0.00593977887555855</v>
      </c>
      <c r="T6" s="5">
        <f>T5-T2</f>
        <v>-0.00593977887555855</v>
      </c>
      <c r="U6" s="5">
        <f>U5-U2</f>
        <v>-0.00593977887555855</v>
      </c>
      <c r="V6" s="5">
        <f>V5-V2</f>
        <v>0.112561750176429</v>
      </c>
      <c r="W6" s="5">
        <f>W5-W2</f>
        <v>-0.00218568351479728</v>
      </c>
      <c r="X6" s="5">
        <f>X5-X2</f>
        <v>0.153846153846154</v>
      </c>
      <c r="Y6" s="5">
        <f>Y5-Y2</f>
        <v>0.153846153846154</v>
      </c>
      <c r="Z6" s="5">
        <f>Z5-Z2</f>
        <v>0.153846153846154</v>
      </c>
      <c r="AA6" s="5">
        <f>AA5-AA2</f>
        <v>0.153846153846154</v>
      </c>
      <c r="AB6" s="5">
        <f>AB5-AB2</f>
        <v>0.153846153846154</v>
      </c>
      <c r="AC6" s="5">
        <f>AC5-AC2</f>
        <v>0.153846153846154</v>
      </c>
    </row>
    <row r="8" spans="1:29">
      <c r="A8" s="1" t="s">
        <v>6</v>
      </c>
    </row>
    <row r="9" spans="1:2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2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2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29">
      <c r="A13" s="1" t="s">
        <v>18</v>
      </c>
    </row>
    <row r="14" spans="1:2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2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2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2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0.151515151515152</v>
      </c>
      <c r="F32" s="5">
        <f t="shared" ref="F32:F35" si="14">G32/B32</f>
        <v>0.151515151515152</v>
      </c>
      <c r="G32" s="1">
        <f t="shared" ref="G32:G35" si="15">I32-H32</f>
        <v>20</v>
      </c>
      <c r="H32" s="1">
        <v>20</v>
      </c>
      <c r="I32" s="7">
        <f t="shared" ref="I32:I35" si="16">MIN($J$31*D32,J32)</f>
        <v>40</v>
      </c>
      <c r="J32" s="1">
        <v>43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0.159090909090909</v>
      </c>
      <c r="F33" s="5">
        <f t="shared" si="14"/>
        <v>0.166666666666667</v>
      </c>
      <c r="G33" s="1">
        <f t="shared" si="15"/>
        <v>5</v>
      </c>
      <c r="H33" s="1">
        <v>5</v>
      </c>
      <c r="I33" s="7">
        <f t="shared" si="16"/>
        <v>10</v>
      </c>
      <c r="J33" s="1">
        <v>11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0.152474108170311</v>
      </c>
      <c r="F34" s="5">
        <f t="shared" si="14"/>
        <v>0.139240506329114</v>
      </c>
      <c r="G34" s="1">
        <f t="shared" si="15"/>
        <v>55</v>
      </c>
      <c r="H34" s="1">
        <v>61</v>
      </c>
      <c r="I34" s="8">
        <f t="shared" si="16"/>
        <v>116</v>
      </c>
      <c r="J34" s="1">
        <v>116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0.152234369006521</v>
      </c>
      <c r="F35" s="5">
        <f t="shared" si="14"/>
        <v>0.151515151515152</v>
      </c>
      <c r="G35" s="1">
        <f t="shared" si="15"/>
        <v>10</v>
      </c>
      <c r="H35" s="1">
        <v>10</v>
      </c>
      <c r="I35" s="7">
        <f t="shared" si="16"/>
        <v>20</v>
      </c>
      <c r="J35" s="1">
        <v>32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40</v>
      </c>
      <c r="B45" s="1">
        <f>212+52+63</f>
        <v>327</v>
      </c>
      <c r="C45" s="5">
        <f>4/26</f>
        <v>0.153846153846154</v>
      </c>
      <c r="D45" s="1">
        <f>ROUND(B45*C45,0)</f>
        <v>50</v>
      </c>
      <c r="E45" s="5">
        <f>AVERAGE(F$45:F45)</f>
        <v>0.0825688073394495</v>
      </c>
      <c r="F45" s="5">
        <f>G45/B45</f>
        <v>0.0825688073394495</v>
      </c>
      <c r="G45" s="1">
        <f>I45-H45</f>
        <v>27</v>
      </c>
      <c r="H45" s="1">
        <v>300</v>
      </c>
      <c r="I45" s="7">
        <f>MIN($J$44*D45,J45)</f>
        <v>327</v>
      </c>
      <c r="J45" s="1">
        <v>327</v>
      </c>
    </row>
    <row r="46" spans="1:10">
      <c r="A46" s="1" t="s">
        <v>41</v>
      </c>
      <c r="B46" s="1">
        <f>16+14</f>
        <v>30</v>
      </c>
      <c r="C46" s="5">
        <f>C45</f>
        <v>0.153846153846154</v>
      </c>
      <c r="D46" s="1">
        <f>ROUND(B46*C46,0)</f>
        <v>5</v>
      </c>
      <c r="E46" s="5">
        <f>AVERAGE(F$45:F46)</f>
        <v>0.0412844036697248</v>
      </c>
      <c r="F46" s="5">
        <f>G46/B46</f>
        <v>0</v>
      </c>
      <c r="G46" s="1">
        <f>I46-H46</f>
        <v>0</v>
      </c>
      <c r="H46" s="1">
        <v>30</v>
      </c>
      <c r="I46" s="7">
        <f>MIN($J$44*D46,J46)</f>
        <v>30</v>
      </c>
      <c r="J46" s="1">
        <v>30</v>
      </c>
    </row>
    <row r="48" spans="1:10">
      <c r="A48" s="1" t="s">
        <v>39</v>
      </c>
      <c r="C48" s="5"/>
      <c r="E48" s="5"/>
      <c r="F48" s="5"/>
    </row>
    <row r="49" spans="1:10">
      <c r="A49" s="1" t="s">
        <v>7</v>
      </c>
      <c r="B49" s="1" t="s">
        <v>8</v>
      </c>
      <c r="C49" s="1" t="s">
        <v>9</v>
      </c>
      <c r="D49" s="1" t="s">
        <v>10</v>
      </c>
      <c r="E49" s="1" t="s">
        <v>11</v>
      </c>
      <c r="F49" s="1" t="s">
        <v>12</v>
      </c>
      <c r="G49" s="1" t="s">
        <v>13</v>
      </c>
      <c r="H49" s="1" t="s">
        <v>14</v>
      </c>
      <c r="I49" s="1" t="s">
        <v>15</v>
      </c>
      <c r="J49" s="1">
        <v>1</v>
      </c>
    </row>
    <row r="50" spans="1:10">
      <c r="A50" s="1" t="s">
        <v>42</v>
      </c>
      <c r="B50" s="1">
        <v>523</v>
      </c>
      <c r="C50" s="5">
        <f>4/26</f>
        <v>0.153846153846154</v>
      </c>
      <c r="D50" s="1">
        <f>ROUND(B50*C50,0)</f>
        <v>80</v>
      </c>
      <c r="E50" s="5">
        <f>AVERAGE(F$50:F50)</f>
        <v>0.0611854684512428</v>
      </c>
      <c r="F50" s="5">
        <f>G50/B50</f>
        <v>0.0611854684512428</v>
      </c>
      <c r="G50" s="1">
        <f>I50-H50</f>
        <v>32</v>
      </c>
      <c r="I50" s="8">
        <f>MIN($J$49*D50,J50)</f>
        <v>32</v>
      </c>
      <c r="J50" s="1">
        <v>32</v>
      </c>
    </row>
  </sheetData>
  <pageMargins left="0.7" right="0.7" top="0.75" bottom="0.75" header="0.3" footer="0.3"/>
  <pageSetup paperSize="9" orientation="portrait"/>
  <headerFooter/>
  <ignoredErrors>
    <ignoredError sqref="A36:AC43 A1:AC1 A2:O2 X2:AC2 A3:AC30 A31:I31 K31:AC35 A32:G35 I32:I35 A44:I44 K44:AC46 A45 C45:G46 I45:I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zoomScale="130" zoomScaleNormal="130" topLeftCell="A5" workbookViewId="0">
      <selection activeCell="C17" sqref="C17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43</v>
      </c>
      <c r="D1" s="1" t="s">
        <v>44</v>
      </c>
      <c r="E1" s="1" t="s">
        <v>45</v>
      </c>
    </row>
    <row r="2" spans="1:5">
      <c r="A2" s="1" t="s">
        <v>19</v>
      </c>
      <c r="B2" s="1">
        <v>202</v>
      </c>
      <c r="D2" s="1" t="s">
        <v>46</v>
      </c>
      <c r="E2" s="2" t="s">
        <v>47</v>
      </c>
    </row>
    <row r="3" spans="1:5">
      <c r="A3" s="1" t="s">
        <v>20</v>
      </c>
      <c r="B3" s="1">
        <v>390</v>
      </c>
      <c r="D3" s="1" t="s">
        <v>48</v>
      </c>
      <c r="E3" s="2" t="s">
        <v>49</v>
      </c>
    </row>
    <row r="4" spans="1:5">
      <c r="A4" s="1" t="s">
        <v>21</v>
      </c>
      <c r="B4" s="1">
        <v>484</v>
      </c>
      <c r="D4" s="1" t="s">
        <v>50</v>
      </c>
      <c r="E4" s="2" t="s">
        <v>51</v>
      </c>
    </row>
    <row r="5" spans="1:5">
      <c r="A5" s="1" t="s">
        <v>22</v>
      </c>
      <c r="B5" s="1">
        <v>240</v>
      </c>
      <c r="D5" s="1" t="s">
        <v>52</v>
      </c>
      <c r="E5" s="2" t="s">
        <v>53</v>
      </c>
    </row>
    <row r="6" spans="1:5">
      <c r="A6" s="1" t="s">
        <v>23</v>
      </c>
      <c r="B6" s="1">
        <v>271</v>
      </c>
      <c r="D6" s="1" t="s">
        <v>54</v>
      </c>
      <c r="E6" s="2" t="s">
        <v>55</v>
      </c>
    </row>
    <row r="7" spans="1:5">
      <c r="A7" s="1" t="s">
        <v>24</v>
      </c>
      <c r="B7" s="1">
        <v>278</v>
      </c>
      <c r="D7" s="1" t="s">
        <v>56</v>
      </c>
      <c r="E7" s="2" t="s">
        <v>57</v>
      </c>
    </row>
    <row r="8" spans="1:5">
      <c r="D8" s="1" t="s">
        <v>58</v>
      </c>
      <c r="E8" s="2" t="s">
        <v>59</v>
      </c>
    </row>
    <row r="9" spans="1:5">
      <c r="A9" s="1" t="s">
        <v>26</v>
      </c>
      <c r="B9" s="1">
        <v>440</v>
      </c>
      <c r="D9" s="1" t="s">
        <v>60</v>
      </c>
      <c r="E9" s="2" t="s">
        <v>61</v>
      </c>
    </row>
    <row r="10" spans="1:5">
      <c r="A10" s="1" t="s">
        <v>27</v>
      </c>
      <c r="B10" s="1">
        <v>378</v>
      </c>
      <c r="D10" s="1" t="s">
        <v>62</v>
      </c>
      <c r="E10" s="2" t="s">
        <v>63</v>
      </c>
    </row>
    <row r="11" spans="1:5">
      <c r="A11" s="1" t="s">
        <v>28</v>
      </c>
      <c r="B11" s="1">
        <v>209</v>
      </c>
      <c r="D11" s="1" t="s">
        <v>64</v>
      </c>
      <c r="E11" s="2" t="s">
        <v>65</v>
      </c>
    </row>
    <row r="12" spans="1:5">
      <c r="A12" s="1" t="s">
        <v>29</v>
      </c>
      <c r="B12" s="1">
        <v>62</v>
      </c>
      <c r="D12" s="1" t="s">
        <v>66</v>
      </c>
      <c r="E12" s="2" t="s">
        <v>67</v>
      </c>
    </row>
    <row r="13" spans="1:5">
      <c r="A13" s="1" t="s">
        <v>30</v>
      </c>
      <c r="B13" s="1">
        <v>464</v>
      </c>
      <c r="D13" s="1" t="s">
        <v>68</v>
      </c>
      <c r="E13" s="2" t="s">
        <v>69</v>
      </c>
    </row>
    <row r="14" spans="1:5">
      <c r="D14" s="1" t="s">
        <v>70</v>
      </c>
      <c r="E14" s="2" t="s">
        <v>71</v>
      </c>
    </row>
    <row r="15" spans="1:5">
      <c r="A15" s="1" t="s">
        <v>32</v>
      </c>
      <c r="B15" s="1">
        <v>43</v>
      </c>
      <c r="D15" s="1" t="s">
        <v>72</v>
      </c>
      <c r="E15" s="2" t="s">
        <v>73</v>
      </c>
    </row>
    <row r="16" spans="1:5">
      <c r="A16" s="1" t="s">
        <v>33</v>
      </c>
      <c r="B16" s="1">
        <v>11</v>
      </c>
      <c r="D16" s="1" t="s">
        <v>74</v>
      </c>
      <c r="E16" s="2"/>
    </row>
    <row r="17" spans="1:6">
      <c r="A17" s="1" t="s">
        <v>34</v>
      </c>
      <c r="B17" s="1">
        <v>116</v>
      </c>
      <c r="D17" s="1" t="s">
        <v>75</v>
      </c>
    </row>
    <row r="18" spans="1:6">
      <c r="A18" s="1" t="s">
        <v>76</v>
      </c>
      <c r="B18" s="1">
        <v>32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77</v>
      </c>
      <c r="D23" s="1" t="s">
        <v>78</v>
      </c>
      <c r="E23" s="1" t="s">
        <v>79</v>
      </c>
      <c r="F23" s="1" t="s">
        <v>80</v>
      </c>
    </row>
    <row r="24" spans="1:6">
      <c r="A24" s="1" t="s">
        <v>40</v>
      </c>
      <c r="B24" s="1">
        <f>SUM(C24:E24)</f>
        <v>327</v>
      </c>
      <c r="C24" s="1">
        <v>212</v>
      </c>
      <c r="D24" s="1">
        <v>52</v>
      </c>
      <c r="E24" s="1">
        <v>63</v>
      </c>
      <c r="F24" s="3" t="s">
        <v>81</v>
      </c>
    </row>
    <row r="25" spans="1:6">
      <c r="A25" s="1" t="s">
        <v>82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44</v>
      </c>
      <c r="D26" s="1" t="s">
        <v>45</v>
      </c>
    </row>
    <row r="28" spans="1:6">
      <c r="A28" s="1" t="s">
        <v>42</v>
      </c>
      <c r="B28" s="1">
        <v>32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2026-04-01T02:46:41Z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