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<sst xmlns="http://schemas.openxmlformats.org/spreadsheetml/2006/main" count="81" uniqueCount="35">
  <si>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</si>
  <si>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</si>
  <si>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</si>
  <si>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</si>
  <si>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</si>
  <si>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</si>
  <si>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</si>
  <si>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</si>
  <si>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</si>
  <si>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</si>
  <si>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</si>
  <si>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</si>
  <si>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</si>
  <si>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</si>
  <si>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</si>
  <si>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</si>
  <si>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</si>
  <si>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</si>
  <si>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</si>
  <si>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</si>
  <si>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</si>
  <si>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</si>
  <si>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</si>
  <si>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</si>
  <si>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</si>
  <si>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计组复试</t>
  </si>
  <si>
    <t>计算历史</t>
  </si>
  <si>
    <t>汇编学习</t>
  </si>
  <si>
    <t>逆向工程</t>
  </si>
  <si>
    <t>系统工作</t>
  </si>
  <si>
    <t>实时调度</t>
  </si>
  <si>
    <t>安卓移植</t>
  </si>
  <si>
    <t>网络经验</t>
  </si>
  <si>
    <t>华为认证</t>
  </si>
  <si>
    <t>页码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</si>
</sst>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"/>
  <sheetViews>
    <sheetView topLeftCell="A10" workbookViewId="0">
      <selection activeCell="A24" sqref="A24:A26"/>
    </sheetView>
  </sheetViews>
  <sheetFormatPr defaultColWidth="15.7777777777778" defaultRowHeight="14.4"/>
  <cols>
    <col min="1" max="16384" width="15.7777777777778" style="1" customWidth="1"/>
  </cols>
  <sheetData>
    <row r="1" spans="1:19">
      <c r="A1" s="1" t="s">
        <v>0</v>
      </c>
      <c r="B1" s="2">
        <v>46081</v>
      </c>
      <c r="C1" s="2">
        <v>46082</v>
      </c>
      <c r="D1" s="2">
        <v>46083</v>
      </c>
      <c r="E1" s="2">
        <v>46084</v>
      </c>
      <c r="F1" s="2">
        <v>46085</v>
      </c>
      <c r="G1" s="2">
        <v>46086</v>
      </c>
      <c r="H1" s="2">
        <v>46087</v>
      </c>
      <c r="I1" s="2">
        <v>46088</v>
      </c>
      <c r="J1" s="2">
        <v>46089</v>
      </c>
      <c r="K1" s="2">
        <v>46090</v>
      </c>
      <c r="L1" s="2">
        <v>46091</v>
      </c>
      <c r="M1" s="2">
        <v>46092</v>
      </c>
      <c r="N1" s="2">
        <v>46093</v>
      </c>
      <c r="O1" s="2">
        <v>46094</v>
      </c>
      <c r="P1" s="2">
        <v>46095</v>
      </c>
      <c r="Q1" s="2">
        <v>46096</v>
      </c>
      <c r="R1" s="2">
        <v>46097</v>
      </c>
      <c r="S1" s="2">
        <v>46098</v>
      </c>
    </row>
    <row r="2" spans="1:19">
      <c r="A2" s="1" t="s">
        <v>1</v>
      </c>
      <c r="B2" s="3">
        <v>0.15436753577515</v>
      </c>
      <c r="C2" s="3">
        <v>0.15436753577515</v>
      </c>
      <c r="D2" s="3">
        <v>0.15436753577515</v>
      </c>
      <c r="E2" s="3">
        <v>0.15436753577515</v>
      </c>
      <c r="F2" s="3">
        <v>0.15436753577515</v>
      </c>
      <c r="G2" s="4">
        <v>0.15436753577515</v>
      </c>
      <c r="H2" s="3">
        <v>0.073794785349101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</row>
    <row r="3" spans="1:19">
      <c r="A3" s="1" t="s">
        <v>2</v>
      </c>
      <c r="B3" s="3">
        <f>SUM($B2:B2)</f>
        <v>0.15436753577515</v>
      </c>
      <c r="C3" s="3">
        <f>SUM($B2:C2)</f>
        <v>0.3087350715503</v>
      </c>
      <c r="D3" s="3">
        <f>SUM($B2:D2)</f>
        <v>0.463102607325449</v>
      </c>
      <c r="E3" s="3">
        <f>SUM($B2:E2)</f>
        <v>0.617470143100599</v>
      </c>
      <c r="F3" s="3">
        <f>SUM($B2:F2)</f>
        <v>0.771837678875749</v>
      </c>
      <c r="G3" s="3">
        <f>SUM($B2:G2)</f>
        <v>0.926205214650899</v>
      </c>
      <c r="H3" s="3">
        <f>SUM($B2:H2)</f>
        <v>1</v>
      </c>
      <c r="I3" s="3">
        <f>SUM($B2:I2)</f>
        <v>1</v>
      </c>
      <c r="J3" s="3">
        <f>SUM($B2:J2)</f>
        <v>1</v>
      </c>
      <c r="K3" s="3">
        <f>SUM($B2:K2)</f>
        <v>1</v>
      </c>
      <c r="L3" s="3">
        <f>SUM($B2:L2)</f>
        <v>1</v>
      </c>
      <c r="M3" s="3">
        <f>SUM($B2:M2)</f>
        <v>1</v>
      </c>
      <c r="N3" s="3">
        <f>SUM($B2:N2)</f>
        <v>1</v>
      </c>
      <c r="O3" s="3">
        <f>SUM($B2:O2)</f>
        <v>1</v>
      </c>
      <c r="P3" s="3">
        <f>SUM($B2:P2)</f>
        <v>1</v>
      </c>
      <c r="Q3" s="3">
        <f>SUM($B2:Q2)</f>
        <v>1</v>
      </c>
      <c r="R3" s="3">
        <f>SUM($B2:R2)</f>
        <v>1</v>
      </c>
      <c r="S3" s="3">
        <f>SUM($B2:S2)</f>
        <v>1</v>
      </c>
    </row>
    <row r="4" spans="1:19">
      <c r="A4" s="1" t="s">
        <v>3</v>
      </c>
      <c r="B4" s="3">
        <f>AVERAGE($B2:B2)</f>
        <v>0.15436753577515</v>
      </c>
      <c r="C4" s="3">
        <f>AVERAGE($B2:C2)</f>
        <v>0.15436753577515</v>
      </c>
      <c r="D4" s="3">
        <f>AVERAGE($B2:D2)</f>
        <v>0.15436753577515</v>
      </c>
      <c r="E4" s="3">
        <f>AVERAGE($B2:E2)</f>
        <v>0.15436753577515</v>
      </c>
      <c r="F4" s="3">
        <f>AVERAGE($B2:F2)</f>
        <v>0.15436753577515</v>
      </c>
      <c r="G4" s="3">
        <f>AVERAGE($B2:G2)</f>
        <v>0.15436753577515</v>
      </c>
      <c r="H4" s="3">
        <f>AVERAGE($B2:H2)</f>
        <v>0.142857142857143</v>
      </c>
      <c r="I4" s="3">
        <f>AVERAGE($B2:I2)</f>
        <v>0.125</v>
      </c>
      <c r="J4" s="3">
        <f>AVERAGE($B2:J2)</f>
        <v>0.111111111111111</v>
      </c>
      <c r="K4" s="3">
        <f>AVERAGE($B2:K2)</f>
        <v>0.1</v>
      </c>
      <c r="L4" s="3">
        <f>AVERAGE($B2:L2)</f>
        <v>0.0909090909090909</v>
      </c>
      <c r="M4" s="3">
        <f>AVERAGE($B2:M2)</f>
        <v>0.0833333333333333</v>
      </c>
      <c r="N4" s="3">
        <f>AVERAGE($B2:N2)</f>
        <v>0.0769230769230769</v>
      </c>
      <c r="O4" s="3">
        <f>AVERAGE($B2:O2)</f>
        <v>0.0714285714285714</v>
      </c>
      <c r="P4" s="3">
        <f>AVERAGE($B2:P2)</f>
        <v>0.0666666666666667</v>
      </c>
      <c r="Q4" s="3">
        <f>AVERAGE($B2:Q2)</f>
        <v>0.0625</v>
      </c>
      <c r="R4" s="3">
        <f>AVERAGE($B2:R2)</f>
        <v>0.0588235294117647</v>
      </c>
      <c r="S4" s="3">
        <f>AVERAGE($B2:S2)</f>
        <v>0.0555555555555556</v>
      </c>
    </row>
    <row r="5" spans="1:19">
      <c r="A5" s="1" t="s">
        <v>4</v>
      </c>
      <c r="B5" s="3">
        <f>4/26</f>
        <v>0.153846153846154</v>
      </c>
      <c r="C5" s="3">
        <f t="shared" ref="C5:S5" si="0">B5</f>
        <v>0.153846153846154</v>
      </c>
      <c r="D5" s="3">
        <f t="shared" si="0"/>
        <v>0.153846153846154</v>
      </c>
      <c r="E5" s="3">
        <f t="shared" si="0"/>
        <v>0.153846153846154</v>
      </c>
      <c r="F5" s="3">
        <f t="shared" si="0"/>
        <v>0.153846153846154</v>
      </c>
      <c r="G5" s="3">
        <f t="shared" si="0"/>
        <v>0.153846153846154</v>
      </c>
      <c r="H5" s="3">
        <f t="shared" si="0"/>
        <v>0.153846153846154</v>
      </c>
      <c r="I5" s="3">
        <f t="shared" si="0"/>
        <v>0.153846153846154</v>
      </c>
      <c r="J5" s="3">
        <f t="shared" si="0"/>
        <v>0.153846153846154</v>
      </c>
      <c r="K5" s="3">
        <f t="shared" si="0"/>
        <v>0.153846153846154</v>
      </c>
      <c r="L5" s="3">
        <f t="shared" si="0"/>
        <v>0.153846153846154</v>
      </c>
      <c r="M5" s="3">
        <f t="shared" si="0"/>
        <v>0.153846153846154</v>
      </c>
      <c r="N5" s="3">
        <f t="shared" si="0"/>
        <v>0.153846153846154</v>
      </c>
      <c r="O5" s="3">
        <f t="shared" si="0"/>
        <v>0.153846153846154</v>
      </c>
      <c r="P5" s="3">
        <f t="shared" si="0"/>
        <v>0.153846153846154</v>
      </c>
      <c r="Q5" s="3">
        <f t="shared" si="0"/>
        <v>0.153846153846154</v>
      </c>
      <c r="R5" s="3">
        <f t="shared" si="0"/>
        <v>0.153846153846154</v>
      </c>
      <c r="S5" s="3">
        <f t="shared" si="0"/>
        <v>0.153846153846154</v>
      </c>
    </row>
    <row r="6" spans="1:19">
      <c r="A6" s="1" t="s">
        <v>5</v>
      </c>
      <c r="B6" s="3">
        <f t="shared" ref="B6:S6" si="1">B5-B2</f>
        <v>-0.000521381928995979</v>
      </c>
      <c r="C6" s="3">
        <f t="shared" si="1"/>
        <v>-0.000521381928995979</v>
      </c>
      <c r="D6" s="3">
        <f t="shared" si="1"/>
        <v>-0.000521381928995979</v>
      </c>
      <c r="E6" s="3">
        <f t="shared" si="1"/>
        <v>-0.000521381928995979</v>
      </c>
      <c r="F6" s="3">
        <f t="shared" si="1"/>
        <v>-0.000521381928995979</v>
      </c>
      <c r="G6" s="3">
        <f t="shared" si="1"/>
        <v>-0.000521381928995979</v>
      </c>
      <c r="H6" s="3">
        <f t="shared" si="1"/>
        <v>0.0800513684970529</v>
      </c>
      <c r="I6" s="3">
        <f t="shared" si="1"/>
        <v>0.153846153846154</v>
      </c>
      <c r="J6" s="3">
        <f t="shared" si="1"/>
        <v>0.153846153846154</v>
      </c>
      <c r="K6" s="3">
        <f t="shared" si="1"/>
        <v>0.153846153846154</v>
      </c>
      <c r="L6" s="3">
        <f t="shared" si="1"/>
        <v>0.153846153846154</v>
      </c>
      <c r="M6" s="3">
        <f t="shared" si="1"/>
        <v>0.153846153846154</v>
      </c>
      <c r="N6" s="3">
        <f t="shared" si="1"/>
        <v>0.153846153846154</v>
      </c>
      <c r="O6" s="3">
        <f t="shared" si="1"/>
        <v>0.153846153846154</v>
      </c>
      <c r="P6" s="3">
        <f t="shared" si="1"/>
        <v>0.153846153846154</v>
      </c>
      <c r="Q6" s="3">
        <f t="shared" si="1"/>
        <v>0.153846153846154</v>
      </c>
      <c r="R6" s="3">
        <f t="shared" si="1"/>
        <v>0.153846153846154</v>
      </c>
      <c r="S6" s="3">
        <f t="shared" si="1"/>
        <v>0.153846153846154</v>
      </c>
    </row>
    <row r="8" spans="1:19">
      <c r="A8" s="1" t="s">
        <v>6</v>
      </c>
    </row>
    <row r="9" spans="1:1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19">
      <c r="A10" s="1" t="s">
        <v>16</v>
      </c>
      <c r="B10" s="1">
        <v>100</v>
      </c>
      <c r="C10" s="3">
        <f>4/26</f>
        <v>0.153846153846154</v>
      </c>
      <c r="D10" s="1">
        <v>50</v>
      </c>
      <c r="E10" s="3">
        <f>AVERAGE(F$10:F10)</f>
        <v>0</v>
      </c>
      <c r="F10" s="3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19">
      <c r="A11" s="1" t="s">
        <v>17</v>
      </c>
      <c r="B11" s="1">
        <v>50</v>
      </c>
      <c r="C11" s="3">
        <f>C10</f>
        <v>0.153846153846154</v>
      </c>
      <c r="D11" s="1">
        <v>25</v>
      </c>
      <c r="E11" s="3">
        <f>AVERAGE(F$10:F11)</f>
        <v>0</v>
      </c>
      <c r="F11" s="3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19">
      <c r="A13" s="1" t="s">
        <v>18</v>
      </c>
    </row>
    <row r="14" spans="1:1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19">
      <c r="A15" s="1" t="s">
        <v>19</v>
      </c>
      <c r="B15" s="1">
        <v>257</v>
      </c>
      <c r="C15" s="3">
        <f>4/26</f>
        <v>0.153846153846154</v>
      </c>
      <c r="D15" s="1">
        <f t="shared" ref="D10:D20" si="4">ROUND(B15*C15,0)</f>
        <v>40</v>
      </c>
      <c r="E15" s="3">
        <f>AVERAGE(F$15:F15)</f>
        <v>0.066147859922179</v>
      </c>
      <c r="F15" s="3">
        <f t="shared" si="2"/>
        <v>0.066147859922179</v>
      </c>
      <c r="G15" s="1">
        <f t="shared" si="3"/>
        <v>17</v>
      </c>
      <c r="H15" s="1">
        <v>240</v>
      </c>
      <c r="I15" s="5">
        <f t="shared" ref="I15:I20" si="5">MIN($J$14*D15,J15)</f>
        <v>257</v>
      </c>
      <c r="J15" s="1">
        <v>257</v>
      </c>
    </row>
    <row r="16" spans="1:19">
      <c r="A16" s="1" t="s">
        <v>20</v>
      </c>
      <c r="B16" s="1">
        <v>390</v>
      </c>
      <c r="C16" s="3">
        <f t="shared" ref="C16:C20" si="6">C15</f>
        <v>0.153846153846154</v>
      </c>
      <c r="D16" s="1">
        <f t="shared" si="4"/>
        <v>60</v>
      </c>
      <c r="E16" s="3">
        <f>AVERAGE(F$15:F16)</f>
        <v>0.071535468422628</v>
      </c>
      <c r="F16" s="3">
        <f t="shared" si="2"/>
        <v>0.0769230769230769</v>
      </c>
      <c r="G16" s="1">
        <f t="shared" si="3"/>
        <v>30</v>
      </c>
      <c r="H16" s="1">
        <v>360</v>
      </c>
      <c r="I16" s="5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3">
        <f t="shared" si="6"/>
        <v>0.153846153846154</v>
      </c>
      <c r="D17" s="1">
        <f t="shared" si="4"/>
        <v>74</v>
      </c>
      <c r="E17" s="3">
        <f>AVERAGE(F$15:F17)</f>
        <v>0.0752385216481432</v>
      </c>
      <c r="F17" s="3">
        <f t="shared" si="2"/>
        <v>0.0826446280991736</v>
      </c>
      <c r="G17" s="1">
        <f t="shared" si="3"/>
        <v>40</v>
      </c>
      <c r="H17" s="1">
        <v>444</v>
      </c>
      <c r="I17" s="5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3">
        <f t="shared" si="6"/>
        <v>0.153846153846154</v>
      </c>
      <c r="D18" s="1">
        <f t="shared" si="4"/>
        <v>37</v>
      </c>
      <c r="E18" s="3">
        <f>AVERAGE(F$15:F18)</f>
        <v>0.0751788912361074</v>
      </c>
      <c r="F18" s="3">
        <f t="shared" si="2"/>
        <v>0.075</v>
      </c>
      <c r="G18" s="1">
        <f t="shared" si="3"/>
        <v>18</v>
      </c>
      <c r="H18" s="1">
        <v>222</v>
      </c>
      <c r="I18" s="5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3">
        <f t="shared" si="6"/>
        <v>0.153846153846154</v>
      </c>
      <c r="D19" s="1">
        <f t="shared" si="4"/>
        <v>42</v>
      </c>
      <c r="E19" s="3">
        <f>AVERAGE(F$15:F19)</f>
        <v>0.0741652532102881</v>
      </c>
      <c r="F19" s="3">
        <f t="shared" si="2"/>
        <v>0.0701107011070111</v>
      </c>
      <c r="G19" s="1">
        <f t="shared" si="3"/>
        <v>19</v>
      </c>
      <c r="H19" s="1">
        <v>252</v>
      </c>
      <c r="I19" s="5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3">
        <f t="shared" si="6"/>
        <v>0.153846153846154</v>
      </c>
      <c r="D20" s="1">
        <f t="shared" si="4"/>
        <v>43</v>
      </c>
      <c r="E20" s="3">
        <f>AVERAGE(F$15:F20)</f>
        <v>0.073794785349101</v>
      </c>
      <c r="F20" s="3">
        <f t="shared" si="2"/>
        <v>0.0719424460431655</v>
      </c>
      <c r="G20" s="1">
        <f t="shared" si="3"/>
        <v>20</v>
      </c>
      <c r="H20" s="1">
        <v>258</v>
      </c>
      <c r="I20" s="5">
        <f t="shared" si="5"/>
        <v>278</v>
      </c>
      <c r="J20" s="1">
        <v>278</v>
      </c>
    </row>
    <row r="21" spans="1:10">
      <c r="C21" s="3"/>
      <c r="E21" s="3"/>
      <c r="F21" s="3"/>
    </row>
    <row r="22" spans="1:10">
      <c r="A22" s="1" t="s">
        <v>25</v>
      </c>
      <c r="C22" s="3"/>
      <c r="E22" s="3"/>
      <c r="F22" s="3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1</v>
      </c>
    </row>
    <row r="24" spans="1:10">
      <c r="A24" s="1" t="s">
        <v>26</v>
      </c>
      <c r="B24" s="1">
        <v>440</v>
      </c>
      <c r="C24" s="3">
        <f>4/26</f>
        <v>0.153846153846154</v>
      </c>
      <c r="D24" s="1">
        <f>ROUND(B24*C24,0)</f>
        <v>68</v>
      </c>
      <c r="E24" s="3">
        <f>AVERAGE(F$15:F24)</f>
        <v>0.0853305952342944</v>
      </c>
      <c r="F24" s="3">
        <f>G24/B24</f>
        <v>0.154545454545455</v>
      </c>
      <c r="G24" s="1">
        <f>I24-H24</f>
        <v>68</v>
      </c>
      <c r="I24" s="6">
        <f>MIN($J$23*D24,J24)</f>
        <v>68</v>
      </c>
      <c r="J24" s="1">
        <v>322</v>
      </c>
    </row>
    <row r="25" spans="1:10">
      <c r="A25" s="1" t="s">
        <v>27</v>
      </c>
      <c r="B25" s="1">
        <v>378</v>
      </c>
      <c r="C25" s="3">
        <f>C24</f>
        <v>0.153846153846154</v>
      </c>
      <c r="D25" s="1">
        <f>ROUND(B25*C25,0)</f>
        <v>58</v>
      </c>
      <c r="E25" s="3">
        <f>AVERAGE(F25:F$26)</f>
        <v>0.0767195767195767</v>
      </c>
      <c r="F25" s="3">
        <f>G25/B25</f>
        <v>0.153439153439153</v>
      </c>
      <c r="G25" s="1">
        <f>I25-H25</f>
        <v>58</v>
      </c>
      <c r="I25" s="6">
        <f>MIN($J$23*D25,J25)</f>
        <v>58</v>
      </c>
      <c r="J25" s="1">
        <v>77</v>
      </c>
    </row>
    <row r="26" spans="1:10">
      <c r="A26" s="1" t="s">
        <v>28</v>
      </c>
      <c r="B26" s="1">
        <v>209</v>
      </c>
      <c r="C26" s="3">
        <f>C25</f>
        <v>0.153846153846154</v>
      </c>
      <c r="D26" s="1">
        <f>ROUND(B26*C26,0)</f>
        <v>32</v>
      </c>
      <c r="E26" s="3">
        <f>AVERAGE(F26:F$26)</f>
        <v>0</v>
      </c>
      <c r="F26" s="3">
        <f>G26/B26</f>
        <v>0</v>
      </c>
      <c r="G26" s="1">
        <f>I26-H26</f>
        <v>0</v>
      </c>
      <c r="I26" s="6">
        <f>MIN($J$23*D26,J26)</f>
        <v>0</v>
      </c>
      <c r="J26" s="1">
        <v>0</v>
      </c>
    </row>
    <row r="27" spans="1:10">
      <c r="C27" s="3"/>
    </row>
    <row r="28" spans="1:10">
      <c r="A28" s="1" t="s">
        <v>29</v>
      </c>
    </row>
    <row r="29" spans="1:10">
      <c r="A29" s="1" t="s">
        <v>7</v>
      </c>
      <c r="B29" s="1" t="s">
        <v>8</v>
      </c>
      <c r="C29" s="1" t="s">
        <v>9</v>
      </c>
      <c r="D29" s="1" t="s">
        <v>10</v>
      </c>
      <c r="E29" s="1" t="s">
        <v>11</v>
      </c>
      <c r="F29" s="1" t="s">
        <v>12</v>
      </c>
      <c r="G29" s="1" t="s">
        <v>13</v>
      </c>
      <c r="H29" s="1" t="s">
        <v>14</v>
      </c>
      <c r="I29" s="1" t="s">
        <v>15</v>
      </c>
    </row>
    <row r="30" spans="1:10">
      <c r="A30" s="1" t="s">
        <v>30</v>
      </c>
      <c r="B30" s="1">
        <v>1</v>
      </c>
      <c r="C30" s="3">
        <f>4/26</f>
        <v>0.153846153846154</v>
      </c>
      <c r="D30" s="1">
        <f t="shared" ref="D30:D36" si="7">ROUND(B30*C30,0)</f>
        <v>0</v>
      </c>
      <c r="E30" s="3">
        <f>AVERAGE(F$30:F30)</f>
        <v>0</v>
      </c>
      <c r="F30" s="3">
        <f t="shared" ref="F30:F35" si="8">G30/B30</f>
        <v>0</v>
      </c>
      <c r="G30" s="1">
        <f t="shared" ref="G30:G35" si="9">I30-H30</f>
        <v>0</v>
      </c>
      <c r="I30" s="1">
        <v>0</v>
      </c>
    </row>
    <row r="31" spans="1:10">
      <c r="A31" s="1" t="s">
        <v>31</v>
      </c>
      <c r="B31" s="1">
        <v>1</v>
      </c>
      <c r="C31" s="3">
        <f>C30</f>
        <v>0.153846153846154</v>
      </c>
      <c r="D31" s="1">
        <f t="shared" si="7"/>
        <v>0</v>
      </c>
      <c r="E31" s="3">
        <f>AVERAGE(F$30:F31)</f>
        <v>0</v>
      </c>
      <c r="F31" s="3">
        <f t="shared" si="8"/>
        <v>0</v>
      </c>
      <c r="G31" s="1">
        <f t="shared" si="9"/>
        <v>0</v>
      </c>
      <c r="I31" s="1">
        <v>0</v>
      </c>
    </row>
    <row r="33" spans="1:9">
      <c r="A33" s="1" t="s">
        <v>32</v>
      </c>
    </row>
    <row r="34" spans="1:9">
      <c r="A34" s="1" t="s">
        <v>7</v>
      </c>
      <c r="B34" s="1" t="s">
        <v>8</v>
      </c>
      <c r="C34" s="1" t="s">
        <v>9</v>
      </c>
      <c r="D34" s="1" t="s">
        <v>10</v>
      </c>
      <c r="E34" s="1" t="s">
        <v>11</v>
      </c>
      <c r="F34" s="1" t="s">
        <v>12</v>
      </c>
      <c r="G34" s="1" t="s">
        <v>13</v>
      </c>
      <c r="H34" s="1" t="s">
        <v>14</v>
      </c>
      <c r="I34" s="1" t="s">
        <v>15</v>
      </c>
    </row>
    <row r="35" spans="1:9">
      <c r="A35" s="1" t="s">
        <v>33</v>
      </c>
      <c r="B35" s="1">
        <v>1</v>
      </c>
      <c r="C35" s="3">
        <f>4/26</f>
        <v>0.153846153846154</v>
      </c>
      <c r="D35" s="1">
        <f t="shared" si="7"/>
        <v>0</v>
      </c>
      <c r="E35" s="3">
        <f>AVERAGE(F$35:F35)</f>
        <v>0</v>
      </c>
      <c r="F35" s="3">
        <f t="shared" si="8"/>
        <v>0</v>
      </c>
      <c r="G35" s="1">
        <f t="shared" si="9"/>
        <v>0</v>
      </c>
      <c r="I35" s="1">
        <v>0</v>
      </c>
    </row>
    <row r="36" spans="1:9">
      <c r="C36" s="3"/>
    </row>
  </sheetData>
  <pageMargins left="0.7" right="0.7" top="0.75" bottom="0.75" header="0.3" footer="0.3"/>
  <pageSetup paperSize="9" orientation="portrait"/>
  <headerFooter/>
  <ignoredErrors>
    <ignoredError sqref="J2:S2 A1:S1 A2 A3:S8 A9:D9 A10:C11 A12:D14 K9:S20 C15:D16 A16 A17:D2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"/>
  <sheetViews>
    <sheetView tabSelected="1" workbookViewId="0">
      <selection activeCell="B11" sqref="B11"/>
    </sheetView>
  </sheetViews>
  <sheetFormatPr defaultColWidth="10.7777777777778" defaultRowHeight="14.4" outlineLevelCol="1"/>
  <cols>
    <col min="1" max="16384" width="10.7777777777778" style="1" customWidth="1"/>
  </cols>
  <sheetData>
    <row r="1" spans="1:2">
      <c r="A1" s="1" t="s">
        <v>7</v>
      </c>
      <c r="B1" s="1" t="s">
        <v>34</v>
      </c>
    </row>
    <row r="2" spans="1:2">
      <c r="A2" s="1" t="s">
        <v>19</v>
      </c>
      <c r="B2" s="1">
        <v>202</v>
      </c>
    </row>
    <row r="3" spans="1:2">
      <c r="A3" s="1" t="s">
        <v>20</v>
      </c>
      <c r="B3" s="1">
        <v>390</v>
      </c>
    </row>
    <row r="4" spans="1:2">
      <c r="A4" s="1" t="s">
        <v>21</v>
      </c>
      <c r="B4" s="1">
        <v>484</v>
      </c>
    </row>
    <row r="5" spans="1:2">
      <c r="A5" s="1" t="s">
        <v>22</v>
      </c>
      <c r="B5" s="1">
        <v>240</v>
      </c>
    </row>
    <row r="6" spans="1:2">
      <c r="A6" s="1" t="s">
        <v>23</v>
      </c>
      <c r="B6" s="1">
        <v>271</v>
      </c>
    </row>
    <row r="7" spans="1:2">
      <c r="A7" s="1" t="s">
        <v>24</v>
      </c>
      <c r="B7" s="1">
        <v>278</v>
      </c>
    </row>
    <row r="9" spans="1:2">
      <c r="A9" s="1" t="s">
        <v>26</v>
      </c>
      <c r="B9" s="1">
        <v>322</v>
      </c>
    </row>
    <row r="10" spans="1:2">
      <c r="A10" s="1" t="s">
        <v>27</v>
      </c>
      <c r="B10" s="1">
        <v>77</v>
      </c>
    </row>
    <row r="11" spans="1:2">
      <c r="A11" s="1" t="s">
        <v>28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2026-03-13T07:45:31Z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