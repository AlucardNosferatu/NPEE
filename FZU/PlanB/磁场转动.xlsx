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进度" sheetId="1" r:id="rId1"/>
    <sheet name="书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<sst xmlns="http://schemas.openxmlformats.org/spreadsheetml/2006/main" count="147" uniqueCount="79">
  <si>
    <t>日期</t>
  </si>
  <si>
    <t>日进度</t>
  </si>
  <si>
    <t>总进度</t>
  </si>
  <si>
    <t>日均进度</t>
  </si>
  <si>
    <t>目标日均</t>
  </si>
  <si>
    <t>剩余进度</t>
  </si>
  <si>
    <t>模板</t>
  </si>
  <si>
    <t>任务名称</t>
  </si>
  <si>
    <t>任务总量</t>
  </si>
  <si>
    <t>计划日进度</t>
  </si>
  <si>
    <t>计划日完成</t>
  </si>
  <si>
    <t>任务平均日进度</t>
  </si>
  <si>
    <t>今日进度</t>
  </si>
  <si>
    <t>今日完成量</t>
  </si>
  <si>
    <t>先前总量</t>
  </si>
  <si>
    <t>更新总量</t>
  </si>
  <si>
    <t>任务1</t>
  </si>
  <si>
    <t>任务2</t>
  </si>
  <si>
    <t>算法收尾</t>
  </si>
  <si>
    <t>智力游戏</t>
  </si>
  <si>
    <t>计算之魂</t>
  </si>
  <si>
    <t>面向对象</t>
  </si>
  <si>
    <t>软件可靠</t>
  </si>
  <si>
    <t>形式方法</t>
  </si>
  <si>
    <t>契约设计</t>
  </si>
  <si>
    <t>计算组成</t>
  </si>
  <si>
    <t>计算历史</t>
  </si>
  <si>
    <t>汇编学习</t>
  </si>
  <si>
    <t>逆向工程</t>
  </si>
  <si>
    <t>实时调度</t>
  </si>
  <si>
    <t>安卓移植</t>
  </si>
  <si>
    <t>操作系统</t>
  </si>
  <si>
    <t>安卓框架</t>
  </si>
  <si>
    <t>系统建模</t>
  </si>
  <si>
    <t>可靠系统</t>
  </si>
  <si>
    <t>系统理论</t>
  </si>
  <si>
    <t>网络安全</t>
  </si>
  <si>
    <t>华为认证</t>
  </si>
  <si>
    <t>渗透测试</t>
  </si>
  <si>
    <t>复试针对</t>
  </si>
  <si>
    <t>农大辅导</t>
  </si>
  <si>
    <t>农大准备</t>
  </si>
  <si>
    <t>页码</t>
  </si>
  <si>
    <t>简历</t>
  </si>
  <si>
    <t>导师</t>
  </si>
  <si>
    <t>LMS</t>
  </si>
  <si>
    <t>A review of visual perception technology for intelligent fruit harvesting robots</t>
  </si>
  <si>
    <t>CDCGAN</t>
  </si>
  <si>
    <t>AI-empowered Channel Estimation for Block-based Active IRS-enhanced Hybrid-field IoT Network</t>
  </si>
  <si>
    <t>LabVIEW</t>
  </si>
  <si>
    <t>GLN-LRF global learning network based on large receptive fields for hyperspectral image classification</t>
  </si>
  <si>
    <t>LCD Panel</t>
  </si>
  <si>
    <t>GPI-Net Gestalt-Guided Parallel Interaction Network via Orthogonal Geometric Consistency for Robust Point Cloud Registration</t>
  </si>
  <si>
    <t>OpenCog</t>
  </si>
  <si>
    <t>Multiple attribute group decision making based on nucleolus weight and continuous optimal distance measure</t>
  </si>
  <si>
    <t>OpenNARS</t>
  </si>
  <si>
    <t>Semantic Communication for Efficient Point Cloud Transmission</t>
  </si>
  <si>
    <t>YOLO</t>
  </si>
  <si>
    <t>Discrete comprehensive learning particle swarm optimization algorithm with Metropolis acceptance criterion for traveling salesman problem</t>
  </si>
  <si>
    <t>FaceNet</t>
  </si>
  <si>
    <t>Discrete pigeon-inspired optimization algorithm with Metropolis acceptance criterion for large-scale traveling salesman problem</t>
  </si>
  <si>
    <t>BCI</t>
  </si>
  <si>
    <t>List-based Simulated Annealing Algorithm with Hybrid Greedy Repair and Optimization Operator for 0-1 Knapsack Problem</t>
  </si>
  <si>
    <t>MedImg</t>
  </si>
  <si>
    <t>Noising methods with hybrid greedy repair operator for 0–1 knapsack problem</t>
  </si>
  <si>
    <t>BioInfo</t>
  </si>
  <si>
    <t>A Dual-Population Hybrid Evolutionary Algorithm for Solving the Colored Traveling Salesman Problem</t>
  </si>
  <si>
    <t>SigInt</t>
  </si>
  <si>
    <t>An Adaptive Multi-meme Memetic Algorithm for the Prize-Collecting Generalized Minimum Spanning Tree Problem</t>
  </si>
  <si>
    <t>IC Layout</t>
  </si>
  <si>
    <t>SoftTST</t>
  </si>
  <si>
    <t>Godot2D</t>
  </si>
  <si>
    <t>OpenGL</t>
  </si>
  <si>
    <t>三论概述</t>
  </si>
  <si>
    <t>面试</t>
  </si>
  <si>
    <t>上机</t>
  </si>
  <si>
    <t>视频</t>
  </si>
  <si>
    <t>视频#</t>
  </si>
  <si>
    <t>3-8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</si>
</sst>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topLeftCell="A22" workbookViewId="0">
      <selection activeCell="K44" sqref="K44"/>
    </sheetView>
  </sheetViews>
  <sheetFormatPr defaultColWidth="15.7777777777778" defaultRowHeight="14.4"/>
  <cols>
    <col min="1" max="16384" width="15.7777777777778" style="1" customWidth="1"/>
  </cols>
  <sheetData>
    <row r="1" spans="1:29">
      <c r="A1" s="1" t="s">
        <v>0</v>
      </c>
      <c r="B1" s="4">
        <v>46081</v>
      </c>
      <c r="C1" s="4">
        <v>46082</v>
      </c>
      <c r="D1" s="4">
        <v>46083</v>
      </c>
      <c r="E1" s="4">
        <v>46084</v>
      </c>
      <c r="F1" s="4">
        <v>46085</v>
      </c>
      <c r="G1" s="4">
        <v>46086</v>
      </c>
      <c r="H1" s="4">
        <v>46087</v>
      </c>
      <c r="I1" s="4">
        <v>46088</v>
      </c>
      <c r="J1" s="4">
        <v>46089</v>
      </c>
      <c r="K1" s="4">
        <v>46090</v>
      </c>
      <c r="L1" s="4">
        <v>46091</v>
      </c>
      <c r="M1" s="4">
        <v>46092</v>
      </c>
      <c r="N1" s="4">
        <v>46093</v>
      </c>
      <c r="O1" s="4">
        <v>46094</v>
      </c>
      <c r="P1" s="4">
        <v>46095</v>
      </c>
      <c r="Q1" s="4">
        <v>46096</v>
      </c>
      <c r="R1" s="4">
        <v>46097</v>
      </c>
      <c r="S1" s="4">
        <v>46098</v>
      </c>
      <c r="T1" s="4">
        <v>46099</v>
      </c>
      <c r="U1" s="4">
        <v>46100</v>
      </c>
      <c r="V1" s="4">
        <v>46101</v>
      </c>
      <c r="W1" s="4">
        <v>46102</v>
      </c>
      <c r="X1" s="4">
        <v>46103</v>
      </c>
      <c r="Y1" s="4">
        <v>46104</v>
      </c>
      <c r="Z1" s="4">
        <v>46105</v>
      </c>
      <c r="AA1" s="4">
        <v>46106</v>
      </c>
      <c r="AB1" s="4">
        <v>46107</v>
      </c>
      <c r="AC1" s="4">
        <v>46108</v>
      </c>
    </row>
    <row r="2" spans="1:29">
      <c r="A2" s="1" t="s">
        <v>1</v>
      </c>
      <c r="B2" s="5">
        <v>0.15436753577515</v>
      </c>
      <c r="C2" s="5">
        <v>0.15436753577515</v>
      </c>
      <c r="D2" s="5">
        <v>0.15436753577515</v>
      </c>
      <c r="E2" s="5">
        <v>0.15436753577515</v>
      </c>
      <c r="F2" s="5">
        <v>0.15436753577515</v>
      </c>
      <c r="G2" s="6">
        <v>0.15436753577515</v>
      </c>
      <c r="H2" s="5">
        <v>0.073794785349101</v>
      </c>
      <c r="I2" s="6">
        <v>0.155080443958291</v>
      </c>
      <c r="J2" s="6">
        <v>0.155080443958291</v>
      </c>
      <c r="K2" s="5">
        <v>0.155080443958291</v>
      </c>
      <c r="L2" s="5">
        <v>0.155080443958291</v>
      </c>
      <c r="M2" s="5">
        <v>0.155080443958291</v>
      </c>
      <c r="N2" s="5">
        <v>0.155080443958291</v>
      </c>
      <c r="O2" s="5">
        <v>0.0695173362502559</v>
      </c>
      <c r="P2" s="5">
        <v>0.156916347731001</v>
      </c>
      <c r="Q2" s="5">
        <v>0.156916347731001</v>
      </c>
      <c r="R2" s="5">
        <v>0.156916347731001</v>
      </c>
      <c r="S2" s="5">
        <v>0.156916347731001</v>
      </c>
      <c r="T2" s="5">
        <v>0.156916347731001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</row>
    <row r="3" spans="1:29">
      <c r="A3" s="1" t="s">
        <v>2</v>
      </c>
      <c r="B3" s="5">
        <f>SUM($B2:B2)</f>
        <v>0.15436753577515</v>
      </c>
      <c r="C3" s="5">
        <f>SUM($B2:C2)</f>
        <v>0.3087350715503</v>
      </c>
      <c r="D3" s="5">
        <f>SUM($B2:D2)</f>
        <v>0.463102607325449</v>
      </c>
      <c r="E3" s="5">
        <f>SUM($B2:E2)</f>
        <v>0.617470143100599</v>
      </c>
      <c r="F3" s="5">
        <f>SUM($B2:F2)</f>
        <v>0.771837678875749</v>
      </c>
      <c r="G3" s="5">
        <f>SUM($B2:G2)</f>
        <v>0.926205214650899</v>
      </c>
      <c r="H3" s="5">
        <f>SUM($B2:H2)</f>
        <v>1</v>
      </c>
      <c r="I3" s="5">
        <f>SUM($B2:I2)</f>
        <v>1.15508044395829</v>
      </c>
      <c r="J3" s="5">
        <f>SUM($B2:J2)</f>
        <v>1.31016088791658</v>
      </c>
      <c r="K3" s="5">
        <f>SUM($B2:K2)</f>
        <v>1.46524133187487</v>
      </c>
      <c r="L3" s="5">
        <f>SUM($B2:L2)</f>
        <v>1.62032177583316</v>
      </c>
      <c r="M3" s="5">
        <f>SUM($B2:M2)</f>
        <v>1.77540221979145</v>
      </c>
      <c r="N3" s="5">
        <f>SUM($B2:N2)</f>
        <v>1.93048266374974</v>
      </c>
      <c r="O3" s="5">
        <f>SUM($B2:O2)</f>
        <v>2</v>
      </c>
      <c r="P3" s="5">
        <f>SUM($B2:P2)</f>
        <v>2.156916347731</v>
      </c>
      <c r="Q3" s="5">
        <f>SUM($B2:Q2)</f>
        <v>2.313832695462</v>
      </c>
      <c r="R3" s="5">
        <f>SUM($B2:R2)</f>
        <v>2.470749043193</v>
      </c>
      <c r="S3" s="5">
        <f>SUM($B2:S2)</f>
        <v>2.627665390924</v>
      </c>
      <c r="T3" s="5">
        <f>SUM($B2:T2)</f>
        <v>2.78458173865501</v>
      </c>
      <c r="U3" s="5">
        <f>SUM($B2:U2)</f>
        <v>2.78458173865501</v>
      </c>
      <c r="V3" s="5">
        <f>SUM($B2:V2)</f>
        <v>2.78458173865501</v>
      </c>
      <c r="W3" s="5">
        <f>SUM($B2:W2)</f>
        <v>2.78458173865501</v>
      </c>
      <c r="X3" s="5">
        <f>SUM($B2:X2)</f>
        <v>2.78458173865501</v>
      </c>
      <c r="Y3" s="5">
        <f>SUM($B2:Y2)</f>
        <v>2.78458173865501</v>
      </c>
      <c r="Z3" s="5">
        <f>SUM($B2:Z2)</f>
        <v>2.78458173865501</v>
      </c>
      <c r="AA3" s="5">
        <f>SUM($B2:AA2)</f>
        <v>2.78458173865501</v>
      </c>
      <c r="AB3" s="5">
        <f>SUM($B2:AB2)</f>
        <v>2.78458173865501</v>
      </c>
      <c r="AC3" s="5">
        <f>SUM($B2:AC2)</f>
        <v>2.78458173865501</v>
      </c>
    </row>
    <row r="4" spans="1:29">
      <c r="A4" s="1" t="s">
        <v>3</v>
      </c>
      <c r="B4" s="5">
        <f>AVERAGE($B2:B2)</f>
        <v>0.15436753577515</v>
      </c>
      <c r="C4" s="5">
        <f>AVERAGE($B2:C2)</f>
        <v>0.15436753577515</v>
      </c>
      <c r="D4" s="5">
        <f>AVERAGE($B2:D2)</f>
        <v>0.15436753577515</v>
      </c>
      <c r="E4" s="5">
        <f>AVERAGE($B2:E2)</f>
        <v>0.15436753577515</v>
      </c>
      <c r="F4" s="5">
        <f>AVERAGE($B2:F2)</f>
        <v>0.15436753577515</v>
      </c>
      <c r="G4" s="5">
        <f>AVERAGE($B2:G2)</f>
        <v>0.15436753577515</v>
      </c>
      <c r="H4" s="5">
        <f>AVERAGE($B2:H2)</f>
        <v>0.142857142857143</v>
      </c>
      <c r="I4" s="5">
        <f>AVERAGE($B2:I2)</f>
        <v>0.144385055494786</v>
      </c>
      <c r="J4" s="5">
        <f>AVERAGE($B2:J2)</f>
        <v>0.145573431990731</v>
      </c>
      <c r="K4" s="5">
        <f>AVERAGE($B2:K2)</f>
        <v>0.146524133187487</v>
      </c>
      <c r="L4" s="5">
        <f>AVERAGE($B2:L2)</f>
        <v>0.147301979621197</v>
      </c>
      <c r="M4" s="5">
        <f>AVERAGE($B2:M2)</f>
        <v>0.147950184982621</v>
      </c>
      <c r="N4" s="5">
        <f>AVERAGE($B2:N2)</f>
        <v>0.148498666442288</v>
      </c>
      <c r="O4" s="5">
        <f>AVERAGE($B2:O2)</f>
        <v>0.142857142857143</v>
      </c>
      <c r="P4" s="5">
        <f>AVERAGE($B2:P2)</f>
        <v>0.143794423182067</v>
      </c>
      <c r="Q4" s="5">
        <f>AVERAGE($B2:Q2)</f>
        <v>0.144614543466375</v>
      </c>
      <c r="R4" s="5">
        <f>AVERAGE($B2:R2)</f>
        <v>0.145338179011353</v>
      </c>
      <c r="S4" s="5">
        <f>AVERAGE($B2:S2)</f>
        <v>0.145981410606889</v>
      </c>
      <c r="T4" s="5">
        <f>AVERAGE($B2:T2)</f>
        <v>0.146556933613421</v>
      </c>
      <c r="U4" s="5">
        <f>AVERAGE($B2:U2)</f>
        <v>0.13922908693275</v>
      </c>
      <c r="V4" s="5">
        <f>AVERAGE($B2:V2)</f>
        <v>0.132599130412143</v>
      </c>
      <c r="W4" s="5">
        <f>AVERAGE($B2:W2)</f>
        <v>0.126571897211591</v>
      </c>
      <c r="X4" s="5">
        <f>AVERAGE($B2:X2)</f>
        <v>0.12106877124587</v>
      </c>
      <c r="Y4" s="5">
        <f>AVERAGE($B2:Y2)</f>
        <v>0.116024239110625</v>
      </c>
      <c r="Z4" s="5">
        <f>AVERAGE($B2:Z2)</f>
        <v>0.1113832695462</v>
      </c>
      <c r="AA4" s="5">
        <f>AVERAGE($B2:AA2)</f>
        <v>0.107099297640577</v>
      </c>
      <c r="AB4" s="5">
        <f>AVERAGE($B2:AB2)</f>
        <v>0.103132656987222</v>
      </c>
      <c r="AC4" s="5">
        <f>AVERAGE($B2:AC2)</f>
        <v>0.0994493478091073</v>
      </c>
    </row>
    <row r="5" spans="1:29">
      <c r="A5" s="1" t="s">
        <v>4</v>
      </c>
      <c r="B5" s="5">
        <f>4/26</f>
        <v>0.153846153846154</v>
      </c>
      <c r="C5" s="5">
        <f t="shared" ref="C5:S5" si="0">B5</f>
        <v>0.153846153846154</v>
      </c>
      <c r="D5" s="5">
        <f t="shared" si="0"/>
        <v>0.153846153846154</v>
      </c>
      <c r="E5" s="5">
        <f t="shared" si="0"/>
        <v>0.153846153846154</v>
      </c>
      <c r="F5" s="5">
        <f t="shared" si="0"/>
        <v>0.153846153846154</v>
      </c>
      <c r="G5" s="5">
        <f t="shared" si="0"/>
        <v>0.153846153846154</v>
      </c>
      <c r="H5" s="5">
        <f t="shared" si="0"/>
        <v>0.153846153846154</v>
      </c>
      <c r="I5" s="5">
        <f t="shared" si="0"/>
        <v>0.153846153846154</v>
      </c>
      <c r="J5" s="5">
        <f t="shared" si="0"/>
        <v>0.153846153846154</v>
      </c>
      <c r="K5" s="5">
        <f t="shared" si="0"/>
        <v>0.153846153846154</v>
      </c>
      <c r="L5" s="5">
        <f t="shared" si="0"/>
        <v>0.153846153846154</v>
      </c>
      <c r="M5" s="5">
        <f t="shared" si="0"/>
        <v>0.153846153846154</v>
      </c>
      <c r="N5" s="5">
        <f t="shared" si="0"/>
        <v>0.153846153846154</v>
      </c>
      <c r="O5" s="5">
        <f t="shared" si="0"/>
        <v>0.153846153846154</v>
      </c>
      <c r="P5" s="5">
        <f t="shared" si="0"/>
        <v>0.153846153846154</v>
      </c>
      <c r="Q5" s="5">
        <f t="shared" si="0"/>
        <v>0.153846153846154</v>
      </c>
      <c r="R5" s="5">
        <f t="shared" si="0"/>
        <v>0.153846153846154</v>
      </c>
      <c r="S5" s="5">
        <f t="shared" si="0"/>
        <v>0.153846153846154</v>
      </c>
      <c r="T5" s="5">
        <f>S5</f>
        <v>0.153846153846154</v>
      </c>
      <c r="U5" s="5">
        <f>T5</f>
        <v>0.153846153846154</v>
      </c>
      <c r="V5" s="5">
        <f>U5</f>
        <v>0.153846153846154</v>
      </c>
      <c r="W5" s="5">
        <f>V5</f>
        <v>0.153846153846154</v>
      </c>
      <c r="X5" s="5">
        <f>W5</f>
        <v>0.153846153846154</v>
      </c>
      <c r="Y5" s="5">
        <f>X5</f>
        <v>0.153846153846154</v>
      </c>
      <c r="Z5" s="5">
        <f>Y5</f>
        <v>0.153846153846154</v>
      </c>
      <c r="AA5" s="5">
        <f>Z5</f>
        <v>0.153846153846154</v>
      </c>
      <c r="AB5" s="5">
        <f>AA5</f>
        <v>0.153846153846154</v>
      </c>
      <c r="AC5" s="5">
        <f>AB5</f>
        <v>0.153846153846154</v>
      </c>
    </row>
    <row r="6" spans="1:29">
      <c r="A6" s="1" t="s">
        <v>5</v>
      </c>
      <c r="B6" s="5">
        <f t="shared" ref="B6:S6" si="1">B5-B2</f>
        <v>-0.000521381928996006</v>
      </c>
      <c r="C6" s="5">
        <f t="shared" si="1"/>
        <v>-0.000521381928996006</v>
      </c>
      <c r="D6" s="5">
        <f t="shared" si="1"/>
        <v>-0.000521381928996006</v>
      </c>
      <c r="E6" s="5">
        <f t="shared" si="1"/>
        <v>-0.000521381928996006</v>
      </c>
      <c r="F6" s="5">
        <f t="shared" si="1"/>
        <v>-0.000521381928996006</v>
      </c>
      <c r="G6" s="5">
        <f t="shared" si="1"/>
        <v>-0.000521381928996006</v>
      </c>
      <c r="H6" s="5">
        <f t="shared" si="1"/>
        <v>0.080051368497053</v>
      </c>
      <c r="I6" s="5">
        <f t="shared" si="1"/>
        <v>-0.00123429011213699</v>
      </c>
      <c r="J6" s="5">
        <f t="shared" si="1"/>
        <v>-0.00123429011213699</v>
      </c>
      <c r="K6" s="5">
        <f t="shared" si="1"/>
        <v>-0.00123429011213699</v>
      </c>
      <c r="L6" s="5">
        <f t="shared" si="1"/>
        <v>-0.00123429011213699</v>
      </c>
      <c r="M6" s="5">
        <f t="shared" si="1"/>
        <v>-0.00123429011213699</v>
      </c>
      <c r="N6" s="5">
        <f t="shared" si="1"/>
        <v>-0.00123429011213699</v>
      </c>
      <c r="O6" s="5">
        <f t="shared" si="1"/>
        <v>0.0843288175958981</v>
      </c>
      <c r="P6" s="5">
        <f t="shared" si="1"/>
        <v>-0.00307019388484656</v>
      </c>
      <c r="Q6" s="5">
        <f t="shared" si="1"/>
        <v>-0.00307019388484656</v>
      </c>
      <c r="R6" s="5">
        <f t="shared" si="1"/>
        <v>-0.00307019388484656</v>
      </c>
      <c r="S6" s="5">
        <f t="shared" si="1"/>
        <v>-0.00307019388484656</v>
      </c>
      <c r="T6" s="5">
        <f>T5-T2</f>
        <v>-0.00307019388484656</v>
      </c>
      <c r="U6" s="5">
        <f>U5-U2</f>
        <v>0.153846153846154</v>
      </c>
      <c r="V6" s="5">
        <f>V5-V2</f>
        <v>0.153846153846154</v>
      </c>
      <c r="W6" s="5">
        <f>W5-W2</f>
        <v>0.153846153846154</v>
      </c>
      <c r="X6" s="5">
        <f>X5-X2</f>
        <v>0.153846153846154</v>
      </c>
      <c r="Y6" s="5">
        <f>Y5-Y2</f>
        <v>0.153846153846154</v>
      </c>
      <c r="Z6" s="5">
        <f>Z5-Z2</f>
        <v>0.153846153846154</v>
      </c>
      <c r="AA6" s="5">
        <f>AA5-AA2</f>
        <v>0.153846153846154</v>
      </c>
      <c r="AB6" s="5">
        <f>AB5-AB2</f>
        <v>0.153846153846154</v>
      </c>
      <c r="AC6" s="5">
        <f>AC5-AC2</f>
        <v>0.153846153846154</v>
      </c>
    </row>
    <row r="8" spans="1:29">
      <c r="A8" s="1" t="s">
        <v>6</v>
      </c>
    </row>
    <row r="9" spans="1:29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</row>
    <row r="10" spans="1:29">
      <c r="A10" s="1" t="s">
        <v>16</v>
      </c>
      <c r="B10" s="1">
        <v>100</v>
      </c>
      <c r="C10" s="5">
        <f>4/26</f>
        <v>0.153846153846154</v>
      </c>
      <c r="D10" s="1">
        <v>50</v>
      </c>
      <c r="E10" s="5">
        <f>AVERAGE(F$10:F10)</f>
        <v>0</v>
      </c>
      <c r="F10" s="5">
        <f t="shared" ref="F10:F20" si="2">G10/B10</f>
        <v>0</v>
      </c>
      <c r="G10" s="1">
        <f t="shared" ref="G10:G20" si="3">I10-H10</f>
        <v>0</v>
      </c>
      <c r="H10" s="1">
        <v>0</v>
      </c>
      <c r="I10" s="1">
        <v>0</v>
      </c>
    </row>
    <row r="11" spans="1:29">
      <c r="A11" s="1" t="s">
        <v>17</v>
      </c>
      <c r="B11" s="1">
        <v>50</v>
      </c>
      <c r="C11" s="5">
        <f>C10</f>
        <v>0.153846153846154</v>
      </c>
      <c r="D11" s="1">
        <v>25</v>
      </c>
      <c r="E11" s="5">
        <f>AVERAGE(F$10:F11)</f>
        <v>0</v>
      </c>
      <c r="F11" s="5">
        <f t="shared" si="2"/>
        <v>0</v>
      </c>
      <c r="G11" s="1">
        <f t="shared" si="3"/>
        <v>0</v>
      </c>
      <c r="H11" s="1">
        <v>0</v>
      </c>
      <c r="I11" s="1">
        <v>0</v>
      </c>
    </row>
    <row r="13" spans="1:29">
      <c r="A13" s="1" t="s">
        <v>18</v>
      </c>
    </row>
    <row r="14" spans="1:29">
      <c r="A14" s="1" t="s">
        <v>7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>
        <v>7</v>
      </c>
    </row>
    <row r="15" spans="1:29">
      <c r="A15" s="1" t="s">
        <v>19</v>
      </c>
      <c r="B15" s="1">
        <v>257</v>
      </c>
      <c r="C15" s="5">
        <f>4/26</f>
        <v>0.153846153846154</v>
      </c>
      <c r="D15" s="1">
        <f t="shared" ref="D10:D20" si="4">ROUND(B15*C15,0)</f>
        <v>40</v>
      </c>
      <c r="E15" s="5">
        <f>AVERAGE(F$15:F15)</f>
        <v>0.066147859922179</v>
      </c>
      <c r="F15" s="5">
        <f t="shared" si="2"/>
        <v>0.066147859922179</v>
      </c>
      <c r="G15" s="1">
        <f t="shared" si="3"/>
        <v>17</v>
      </c>
      <c r="H15" s="1">
        <v>240</v>
      </c>
      <c r="I15" s="7">
        <f t="shared" ref="I15:I20" si="5">MIN($J$14*D15,J15)</f>
        <v>257</v>
      </c>
      <c r="J15" s="1">
        <v>257</v>
      </c>
    </row>
    <row r="16" spans="1:29">
      <c r="A16" s="1" t="s">
        <v>20</v>
      </c>
      <c r="B16" s="1">
        <v>390</v>
      </c>
      <c r="C16" s="5">
        <f t="shared" ref="C16:C20" si="6">C15</f>
        <v>0.153846153846154</v>
      </c>
      <c r="D16" s="1">
        <f t="shared" si="4"/>
        <v>60</v>
      </c>
      <c r="E16" s="5">
        <f>AVERAGE(F$15:F16)</f>
        <v>0.071535468422628</v>
      </c>
      <c r="F16" s="5">
        <f t="shared" si="2"/>
        <v>0.0769230769230769</v>
      </c>
      <c r="G16" s="1">
        <f t="shared" si="3"/>
        <v>30</v>
      </c>
      <c r="H16" s="1">
        <v>360</v>
      </c>
      <c r="I16" s="7">
        <f t="shared" si="5"/>
        <v>390</v>
      </c>
      <c r="J16" s="1">
        <v>390</v>
      </c>
    </row>
    <row r="17" spans="1:10">
      <c r="A17" s="1" t="s">
        <v>21</v>
      </c>
      <c r="B17" s="1">
        <v>484</v>
      </c>
      <c r="C17" s="5">
        <f t="shared" si="6"/>
        <v>0.153846153846154</v>
      </c>
      <c r="D17" s="1">
        <f t="shared" si="4"/>
        <v>74</v>
      </c>
      <c r="E17" s="5">
        <f>AVERAGE(F$15:F17)</f>
        <v>0.0752385216481432</v>
      </c>
      <c r="F17" s="5">
        <f t="shared" si="2"/>
        <v>0.0826446280991736</v>
      </c>
      <c r="G17" s="1">
        <f t="shared" si="3"/>
        <v>40</v>
      </c>
      <c r="H17" s="1">
        <v>444</v>
      </c>
      <c r="I17" s="7">
        <f t="shared" si="5"/>
        <v>484</v>
      </c>
      <c r="J17" s="1">
        <v>484</v>
      </c>
    </row>
    <row r="18" spans="1:10">
      <c r="A18" s="1" t="s">
        <v>22</v>
      </c>
      <c r="B18" s="1">
        <v>240</v>
      </c>
      <c r="C18" s="5">
        <f t="shared" si="6"/>
        <v>0.153846153846154</v>
      </c>
      <c r="D18" s="1">
        <f t="shared" si="4"/>
        <v>37</v>
      </c>
      <c r="E18" s="5">
        <f>AVERAGE(F$15:F18)</f>
        <v>0.0751788912361074</v>
      </c>
      <c r="F18" s="5">
        <f t="shared" si="2"/>
        <v>0.075</v>
      </c>
      <c r="G18" s="1">
        <f t="shared" si="3"/>
        <v>18</v>
      </c>
      <c r="H18" s="1">
        <v>222</v>
      </c>
      <c r="I18" s="7">
        <f t="shared" si="5"/>
        <v>240</v>
      </c>
      <c r="J18" s="1">
        <v>240</v>
      </c>
    </row>
    <row r="19" spans="1:10">
      <c r="A19" s="1" t="s">
        <v>23</v>
      </c>
      <c r="B19" s="1">
        <v>271</v>
      </c>
      <c r="C19" s="5">
        <f t="shared" si="6"/>
        <v>0.153846153846154</v>
      </c>
      <c r="D19" s="1">
        <f t="shared" si="4"/>
        <v>42</v>
      </c>
      <c r="E19" s="5">
        <f>AVERAGE(F$15:F19)</f>
        <v>0.0741652532102881</v>
      </c>
      <c r="F19" s="5">
        <f t="shared" si="2"/>
        <v>0.0701107011070111</v>
      </c>
      <c r="G19" s="1">
        <f t="shared" si="3"/>
        <v>19</v>
      </c>
      <c r="H19" s="1">
        <v>252</v>
      </c>
      <c r="I19" s="7">
        <f t="shared" si="5"/>
        <v>271</v>
      </c>
      <c r="J19" s="1">
        <v>271</v>
      </c>
    </row>
    <row r="20" spans="1:10">
      <c r="A20" s="1" t="s">
        <v>24</v>
      </c>
      <c r="B20" s="1">
        <v>278</v>
      </c>
      <c r="C20" s="5">
        <f t="shared" si="6"/>
        <v>0.153846153846154</v>
      </c>
      <c r="D20" s="1">
        <f t="shared" si="4"/>
        <v>43</v>
      </c>
      <c r="E20" s="5">
        <f>AVERAGE(F$15:F20)</f>
        <v>0.073794785349101</v>
      </c>
      <c r="F20" s="5">
        <f t="shared" si="2"/>
        <v>0.0719424460431655</v>
      </c>
      <c r="G20" s="1">
        <f t="shared" si="3"/>
        <v>20</v>
      </c>
      <c r="H20" s="1">
        <v>258</v>
      </c>
      <c r="I20" s="7">
        <f t="shared" si="5"/>
        <v>278</v>
      </c>
      <c r="J20" s="1">
        <v>278</v>
      </c>
    </row>
    <row r="21" spans="1:10">
      <c r="C21" s="5"/>
      <c r="E21" s="5"/>
      <c r="F21" s="5"/>
    </row>
    <row r="22" spans="1:10">
      <c r="A22" s="1" t="s">
        <v>25</v>
      </c>
      <c r="C22" s="5"/>
      <c r="E22" s="5"/>
      <c r="F22" s="5"/>
    </row>
    <row r="23" spans="1:10">
      <c r="A23" s="1" t="s">
        <v>7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>
        <v>7</v>
      </c>
    </row>
    <row r="24" spans="1:10">
      <c r="A24" s="1" t="s">
        <v>26</v>
      </c>
      <c r="B24" s="1">
        <v>440</v>
      </c>
      <c r="C24" s="5">
        <f>4/26</f>
        <v>0.153846153846154</v>
      </c>
      <c r="D24" s="1">
        <f t="shared" ref="D24:D28" si="7">ROUND(B24*C24,0)</f>
        <v>68</v>
      </c>
      <c r="E24" s="5">
        <f>AVERAGE(F$24:F24)</f>
        <v>0.0727272727272727</v>
      </c>
      <c r="F24" s="5">
        <f t="shared" ref="F24:F28" si="8">G24/B24</f>
        <v>0.0727272727272727</v>
      </c>
      <c r="G24" s="1">
        <f t="shared" ref="G24:G28" si="9">I24-H24</f>
        <v>32</v>
      </c>
      <c r="H24" s="1">
        <v>408</v>
      </c>
      <c r="I24" s="7">
        <f t="shared" ref="I24:I28" si="10">MIN($J$23*D24,J24)</f>
        <v>440</v>
      </c>
      <c r="J24" s="1">
        <v>440</v>
      </c>
    </row>
    <row r="25" spans="1:10">
      <c r="A25" s="1" t="s">
        <v>27</v>
      </c>
      <c r="B25" s="1">
        <v>378</v>
      </c>
      <c r="C25" s="5">
        <f t="shared" ref="C25:C28" si="11">C24</f>
        <v>0.153846153846154</v>
      </c>
      <c r="D25" s="1">
        <f t="shared" si="7"/>
        <v>58</v>
      </c>
      <c r="E25" s="5">
        <f>AVERAGE(F$24:F25)</f>
        <v>0.076046176046176</v>
      </c>
      <c r="F25" s="5">
        <f t="shared" si="8"/>
        <v>0.0793650793650794</v>
      </c>
      <c r="G25" s="1">
        <f t="shared" si="9"/>
        <v>30</v>
      </c>
      <c r="H25" s="1">
        <v>348</v>
      </c>
      <c r="I25" s="7">
        <f t="shared" si="10"/>
        <v>378</v>
      </c>
      <c r="J25" s="1">
        <v>378</v>
      </c>
    </row>
    <row r="26" spans="1:10">
      <c r="A26" s="1" t="s">
        <v>28</v>
      </c>
      <c r="B26" s="1">
        <v>209</v>
      </c>
      <c r="C26" s="5">
        <f t="shared" si="11"/>
        <v>0.153846153846154</v>
      </c>
      <c r="D26" s="1">
        <f t="shared" si="7"/>
        <v>32</v>
      </c>
      <c r="E26" s="5">
        <f>AVERAGE(F$24:F26)</f>
        <v>0.0778106883370041</v>
      </c>
      <c r="F26" s="5">
        <f t="shared" si="8"/>
        <v>0.0813397129186603</v>
      </c>
      <c r="G26" s="1">
        <f t="shared" si="9"/>
        <v>17</v>
      </c>
      <c r="H26" s="1">
        <v>192</v>
      </c>
      <c r="I26" s="7">
        <f t="shared" si="10"/>
        <v>209</v>
      </c>
      <c r="J26" s="1">
        <v>209</v>
      </c>
    </row>
    <row r="27" spans="1:10">
      <c r="A27" s="1" t="s">
        <v>29</v>
      </c>
      <c r="B27" s="1">
        <v>62</v>
      </c>
      <c r="C27" s="5">
        <f t="shared" si="11"/>
        <v>0.153846153846154</v>
      </c>
      <c r="D27" s="1">
        <f t="shared" si="7"/>
        <v>10</v>
      </c>
      <c r="E27" s="5">
        <f>AVERAGE(F$24:F27)</f>
        <v>0.0664225323817854</v>
      </c>
      <c r="F27" s="5">
        <f t="shared" si="8"/>
        <v>0.032258064516129</v>
      </c>
      <c r="G27" s="1">
        <f t="shared" si="9"/>
        <v>2</v>
      </c>
      <c r="H27" s="1">
        <v>60</v>
      </c>
      <c r="I27" s="7">
        <f t="shared" si="10"/>
        <v>62</v>
      </c>
      <c r="J27" s="1">
        <v>62</v>
      </c>
    </row>
    <row r="28" spans="1:10">
      <c r="A28" s="1" t="s">
        <v>30</v>
      </c>
      <c r="B28" s="1">
        <v>464</v>
      </c>
      <c r="C28" s="5">
        <f t="shared" si="11"/>
        <v>0.153846153846154</v>
      </c>
      <c r="D28" s="1">
        <f t="shared" si="7"/>
        <v>71</v>
      </c>
      <c r="E28" s="5">
        <f>AVERAGE(F$24:F28)</f>
        <v>0.0695173362502559</v>
      </c>
      <c r="F28" s="5">
        <f t="shared" si="8"/>
        <v>0.0818965517241379</v>
      </c>
      <c r="G28" s="1">
        <f t="shared" si="9"/>
        <v>38</v>
      </c>
      <c r="H28" s="1">
        <v>426</v>
      </c>
      <c r="I28" s="7">
        <f t="shared" si="10"/>
        <v>464</v>
      </c>
      <c r="J28" s="1">
        <v>464</v>
      </c>
    </row>
    <row r="29" spans="1:10">
      <c r="C29" s="5"/>
      <c r="E29" s="5"/>
      <c r="F29" s="5"/>
    </row>
    <row r="30" spans="1:10">
      <c r="A30" s="1" t="s">
        <v>31</v>
      </c>
    </row>
    <row r="31" spans="1:10">
      <c r="A31" s="1" t="s">
        <v>7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>
        <v>1</v>
      </c>
    </row>
    <row r="32" spans="1:10">
      <c r="A32" s="1" t="s">
        <v>32</v>
      </c>
      <c r="B32" s="1">
        <v>132</v>
      </c>
      <c r="C32" s="5">
        <f t="shared" ref="C32:C35" si="12">4/26</f>
        <v>0.153846153846154</v>
      </c>
      <c r="D32" s="1">
        <f t="shared" ref="D32:D35" si="13">ROUND(B32*C32,0)</f>
        <v>20</v>
      </c>
      <c r="E32" s="5">
        <f>AVERAGE(F$32:F32)</f>
        <v>0</v>
      </c>
      <c r="F32" s="5">
        <f t="shared" ref="F32:F35" si="14">G32/B32</f>
        <v>0</v>
      </c>
      <c r="G32" s="1">
        <f t="shared" ref="G32:G35" si="15">I32-H32</f>
        <v>0</v>
      </c>
      <c r="I32" s="7">
        <f t="shared" ref="I32:I35" si="16">MIN($J$31*D32,J32)</f>
        <v>0</v>
      </c>
      <c r="J32" s="1">
        <v>0</v>
      </c>
    </row>
    <row r="33" spans="1:10">
      <c r="A33" s="1" t="s">
        <v>33</v>
      </c>
      <c r="B33" s="1">
        <v>30</v>
      </c>
      <c r="C33" s="5">
        <f t="shared" si="12"/>
        <v>0.153846153846154</v>
      </c>
      <c r="D33" s="1">
        <f t="shared" si="13"/>
        <v>5</v>
      </c>
      <c r="E33" s="5">
        <f>AVERAGE(F$32:F33)</f>
        <v>0.0333333333333333</v>
      </c>
      <c r="F33" s="5">
        <f t="shared" si="14"/>
        <v>0.0666666666666667</v>
      </c>
      <c r="G33" s="1">
        <f t="shared" si="15"/>
        <v>2</v>
      </c>
      <c r="I33" s="7">
        <f t="shared" si="16"/>
        <v>2</v>
      </c>
      <c r="J33" s="1">
        <v>2</v>
      </c>
    </row>
    <row r="34" spans="1:10">
      <c r="A34" s="1" t="s">
        <v>34</v>
      </c>
      <c r="B34" s="1">
        <v>395</v>
      </c>
      <c r="C34" s="5">
        <f t="shared" si="12"/>
        <v>0.153846153846154</v>
      </c>
      <c r="D34" s="1">
        <f t="shared" si="13"/>
        <v>61</v>
      </c>
      <c r="E34" s="5">
        <f>AVERAGE(F$32:F34)</f>
        <v>0.0222222222222222</v>
      </c>
      <c r="F34" s="5">
        <f t="shared" si="14"/>
        <v>0</v>
      </c>
      <c r="G34" s="1">
        <f t="shared" si="15"/>
        <v>0</v>
      </c>
      <c r="I34" s="7">
        <f t="shared" si="16"/>
        <v>0</v>
      </c>
      <c r="J34" s="1">
        <v>0</v>
      </c>
    </row>
    <row r="35" spans="1:10">
      <c r="A35" s="1" t="s">
        <v>35</v>
      </c>
      <c r="B35" s="1">
        <v>66</v>
      </c>
      <c r="C35" s="5">
        <f t="shared" si="12"/>
        <v>0.153846153846154</v>
      </c>
      <c r="D35" s="1">
        <f t="shared" si="13"/>
        <v>10</v>
      </c>
      <c r="E35" s="5">
        <f>AVERAGE(F$32:F35)</f>
        <v>0.0166666666666667</v>
      </c>
      <c r="F35" s="5">
        <f t="shared" si="14"/>
        <v>0</v>
      </c>
      <c r="G35" s="1">
        <f t="shared" si="15"/>
        <v>0</v>
      </c>
      <c r="I35" s="7">
        <f t="shared" si="16"/>
        <v>0</v>
      </c>
      <c r="J35" s="1">
        <v>0</v>
      </c>
    </row>
    <row r="37" spans="1:10">
      <c r="A37" s="1" t="s">
        <v>36</v>
      </c>
      <c r="C37" s="5"/>
      <c r="E37" s="5"/>
      <c r="F37" s="5"/>
    </row>
    <row r="38" spans="1:10">
      <c r="A38" s="1" t="s">
        <v>7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>
        <v>1</v>
      </c>
    </row>
    <row r="39" spans="1:10">
      <c r="A39" s="1" t="s">
        <v>37</v>
      </c>
      <c r="B39" s="1">
        <v>100</v>
      </c>
      <c r="C39" s="5">
        <f t="shared" ref="C39:C41" si="17">4/26</f>
        <v>0.153846153846154</v>
      </c>
      <c r="D39" s="1">
        <f>ROUND(B39*C39,0)</f>
        <v>15</v>
      </c>
      <c r="E39" s="5">
        <f>AVERAGE(F$39:F39)</f>
        <v>0.15</v>
      </c>
      <c r="F39" s="5">
        <f>G39/B39</f>
        <v>0.15</v>
      </c>
      <c r="G39" s="1">
        <f>I39-H39</f>
        <v>15</v>
      </c>
      <c r="I39" s="7">
        <f>MIN($J$38*D39,J39)</f>
        <v>15</v>
      </c>
      <c r="J39" s="1">
        <v>23</v>
      </c>
    </row>
    <row r="40" spans="1:10">
      <c r="A40" s="1" t="s">
        <v>38</v>
      </c>
      <c r="B40" s="1">
        <v>298</v>
      </c>
      <c r="C40" s="5">
        <f t="shared" si="17"/>
        <v>0.153846153846154</v>
      </c>
      <c r="D40" s="1">
        <f>ROUND(B40*C40,0)</f>
        <v>46</v>
      </c>
      <c r="E40" s="5">
        <f>AVERAGE(F$39:F40)</f>
        <v>0.075</v>
      </c>
      <c r="F40" s="5">
        <f>G40/B40</f>
        <v>0</v>
      </c>
      <c r="G40" s="1">
        <f>I40-H40</f>
        <v>0</v>
      </c>
      <c r="I40" s="1">
        <v>0</v>
      </c>
      <c r="J40" s="1">
        <v>0</v>
      </c>
    </row>
    <row r="41" spans="1:10">
      <c r="A41" s="1" t="s">
        <v>36</v>
      </c>
      <c r="B41" s="1">
        <v>99</v>
      </c>
      <c r="C41" s="5">
        <f t="shared" si="17"/>
        <v>0.153846153846154</v>
      </c>
      <c r="D41" s="1">
        <f>ROUND(B41*C41,0)</f>
        <v>15</v>
      </c>
      <c r="E41" s="5">
        <f>AVERAGE(F$39:F41)</f>
        <v>0.05</v>
      </c>
      <c r="F41" s="5">
        <f>G41/B41</f>
        <v>0</v>
      </c>
      <c r="G41" s="1">
        <f>I41-H41</f>
        <v>0</v>
      </c>
      <c r="I41" s="1">
        <v>0</v>
      </c>
      <c r="J41" s="1">
        <v>0</v>
      </c>
    </row>
    <row r="43" spans="1:10">
      <c r="A43" s="1" t="s">
        <v>39</v>
      </c>
      <c r="C43" s="5"/>
      <c r="E43" s="5"/>
      <c r="F43" s="5"/>
    </row>
    <row r="44" spans="1:10">
      <c r="A44" s="1" t="s">
        <v>7</v>
      </c>
      <c r="B44" s="1" t="s">
        <v>8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>
        <v>6</v>
      </c>
    </row>
    <row r="45" spans="1:10">
      <c r="A45" s="1" t="s">
        <v>40</v>
      </c>
      <c r="B45" s="1">
        <f>212+52+31</f>
        <v>295</v>
      </c>
      <c r="C45" s="5">
        <f>4/26</f>
        <v>0.153846153846154</v>
      </c>
      <c r="D45" s="1">
        <f>ROUND(B45*C45,0)</f>
        <v>45</v>
      </c>
      <c r="E45" s="5">
        <f>AVERAGE(F$45:F45)</f>
        <v>0.152542372881356</v>
      </c>
      <c r="F45" s="5">
        <f>G45/B45</f>
        <v>0.152542372881356</v>
      </c>
      <c r="G45" s="1">
        <f>I45-H45</f>
        <v>45</v>
      </c>
      <c r="H45" s="1">
        <v>225</v>
      </c>
      <c r="I45" s="7">
        <f>MIN($J$44*D45,J45)</f>
        <v>270</v>
      </c>
      <c r="J45" s="1">
        <v>295</v>
      </c>
    </row>
    <row r="46" spans="1:10">
      <c r="A46" s="1" t="s">
        <v>41</v>
      </c>
      <c r="B46" s="1">
        <f>16+14</f>
        <v>30</v>
      </c>
      <c r="C46" s="5">
        <f>C45</f>
        <v>0.153846153846154</v>
      </c>
      <c r="D46" s="1">
        <f>ROUND(B46*C46,0)</f>
        <v>5</v>
      </c>
      <c r="E46" s="5">
        <f>AVERAGE(F$45:F46)</f>
        <v>0.126271186440678</v>
      </c>
      <c r="F46" s="5">
        <f>G46/B46</f>
        <v>0.1</v>
      </c>
      <c r="G46" s="1">
        <f>I46-H46</f>
        <v>3</v>
      </c>
      <c r="H46" s="1">
        <v>25</v>
      </c>
      <c r="I46" s="8">
        <f>MIN($J$44*D46,J46)</f>
        <v>28</v>
      </c>
      <c r="J46" s="1">
        <v>28</v>
      </c>
    </row>
  </sheetData>
  <pageMargins left="0.7" right="0.7" top="0.75" bottom="0.75" header="0.3" footer="0.3"/>
  <pageSetup paperSize="9" orientation="portrait"/>
  <headerFooter/>
  <ignoredErrors>
    <ignoredError sqref="A1:AC1 A2:S2 U2:AC2 A3:AC43 A44:I44 K44:AC46 A45:G45 I45:I46 A46 C46:G4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130" zoomScaleNormal="130" topLeftCell="A11" workbookViewId="0">
      <selection activeCell="E25" sqref="E25"/>
    </sheetView>
  </sheetViews>
  <sheetFormatPr defaultColWidth="10.7777777777778" defaultRowHeight="14.4" outlineLevelCol="5"/>
  <cols>
    <col min="1" max="16384" width="10.7777777777778" style="1" customWidth="1"/>
  </cols>
  <sheetData>
    <row r="1" spans="1:5">
      <c r="A1" s="1" t="s">
        <v>7</v>
      </c>
      <c r="B1" s="1" t="s">
        <v>42</v>
      </c>
      <c r="D1" s="1" t="s">
        <v>43</v>
      </c>
      <c r="E1" s="1" t="s">
        <v>44</v>
      </c>
    </row>
    <row r="2" spans="1:5">
      <c r="A2" s="1" t="s">
        <v>19</v>
      </c>
      <c r="B2" s="1">
        <v>202</v>
      </c>
      <c r="D2" s="1" t="s">
        <v>45</v>
      </c>
      <c r="E2" s="2" t="s">
        <v>46</v>
      </c>
    </row>
    <row r="3" spans="1:5">
      <c r="A3" s="1" t="s">
        <v>20</v>
      </c>
      <c r="B3" s="1">
        <v>390</v>
      </c>
      <c r="D3" s="1" t="s">
        <v>47</v>
      </c>
      <c r="E3" s="2" t="s">
        <v>48</v>
      </c>
    </row>
    <row r="4" spans="1:5">
      <c r="A4" s="1" t="s">
        <v>21</v>
      </c>
      <c r="B4" s="1">
        <v>484</v>
      </c>
      <c r="D4" s="1" t="s">
        <v>49</v>
      </c>
      <c r="E4" s="2" t="s">
        <v>50</v>
      </c>
    </row>
    <row r="5" spans="1:5">
      <c r="A5" s="1" t="s">
        <v>22</v>
      </c>
      <c r="B5" s="1">
        <v>240</v>
      </c>
      <c r="D5" s="1" t="s">
        <v>51</v>
      </c>
      <c r="E5" s="2" t="s">
        <v>52</v>
      </c>
    </row>
    <row r="6" spans="1:5">
      <c r="A6" s="1" t="s">
        <v>23</v>
      </c>
      <c r="B6" s="1">
        <v>271</v>
      </c>
      <c r="D6" s="1" t="s">
        <v>53</v>
      </c>
      <c r="E6" s="2" t="s">
        <v>54</v>
      </c>
    </row>
    <row r="7" spans="1:5">
      <c r="A7" s="1" t="s">
        <v>24</v>
      </c>
      <c r="B7" s="1">
        <v>278</v>
      </c>
      <c r="D7" s="1" t="s">
        <v>55</v>
      </c>
      <c r="E7" s="2" t="s">
        <v>56</v>
      </c>
    </row>
    <row r="8" spans="1:5">
      <c r="D8" s="1" t="s">
        <v>57</v>
      </c>
      <c r="E8" s="2" t="s">
        <v>58</v>
      </c>
    </row>
    <row r="9" spans="1:5">
      <c r="A9" s="1" t="s">
        <v>26</v>
      </c>
      <c r="B9" s="1">
        <v>440</v>
      </c>
      <c r="D9" s="1" t="s">
        <v>59</v>
      </c>
      <c r="E9" s="2" t="s">
        <v>60</v>
      </c>
    </row>
    <row r="10" spans="1:5">
      <c r="A10" s="1" t="s">
        <v>27</v>
      </c>
      <c r="B10" s="1">
        <v>378</v>
      </c>
      <c r="D10" s="1" t="s">
        <v>61</v>
      </c>
      <c r="E10" s="2" t="s">
        <v>62</v>
      </c>
    </row>
    <row r="11" spans="1:5">
      <c r="A11" s="1" t="s">
        <v>28</v>
      </c>
      <c r="B11" s="1">
        <v>209</v>
      </c>
      <c r="D11" s="1" t="s">
        <v>63</v>
      </c>
      <c r="E11" s="2" t="s">
        <v>64</v>
      </c>
    </row>
    <row r="12" spans="1:5">
      <c r="A12" s="1" t="s">
        <v>29</v>
      </c>
      <c r="B12" s="1">
        <v>62</v>
      </c>
      <c r="D12" s="1" t="s">
        <v>65</v>
      </c>
      <c r="E12" s="2" t="s">
        <v>66</v>
      </c>
    </row>
    <row r="13" spans="1:5">
      <c r="A13" s="1" t="s">
        <v>30</v>
      </c>
      <c r="B13" s="1">
        <v>464</v>
      </c>
      <c r="D13" s="1" t="s">
        <v>67</v>
      </c>
      <c r="E13" s="2" t="s">
        <v>68</v>
      </c>
    </row>
    <row r="14" spans="1:5">
      <c r="D14" s="1" t="s">
        <v>69</v>
      </c>
      <c r="E14" s="2"/>
    </row>
    <row r="15" spans="1:5">
      <c r="A15" s="1" t="s">
        <v>32</v>
      </c>
      <c r="B15" s="1">
        <v>0</v>
      </c>
      <c r="D15" s="1" t="s">
        <v>70</v>
      </c>
      <c r="E15" s="2"/>
    </row>
    <row r="16" spans="1:5">
      <c r="A16" s="1" t="s">
        <v>33</v>
      </c>
      <c r="B16" s="1">
        <v>2</v>
      </c>
      <c r="D16" s="1" t="s">
        <v>71</v>
      </c>
      <c r="E16" s="2"/>
    </row>
    <row r="17" spans="1:6">
      <c r="A17" s="1" t="s">
        <v>34</v>
      </c>
      <c r="B17" s="1">
        <v>0</v>
      </c>
      <c r="D17" s="1" t="s">
        <v>72</v>
      </c>
    </row>
    <row r="18" spans="1:6">
      <c r="A18" s="1" t="s">
        <v>73</v>
      </c>
      <c r="B18" s="1">
        <v>0</v>
      </c>
    </row>
    <row r="20" spans="1:6">
      <c r="A20" s="1" t="s">
        <v>37</v>
      </c>
      <c r="B20" s="1">
        <v>23</v>
      </c>
    </row>
    <row r="21" spans="1:6">
      <c r="A21" s="1" t="s">
        <v>38</v>
      </c>
      <c r="B21" s="1">
        <v>0</v>
      </c>
    </row>
    <row r="22" spans="1:6">
      <c r="A22" s="1" t="s">
        <v>36</v>
      </c>
      <c r="B22" s="1">
        <v>0</v>
      </c>
    </row>
    <row r="23" spans="1:6">
      <c r="C23" s="1" t="s">
        <v>74</v>
      </c>
      <c r="D23" s="1" t="s">
        <v>75</v>
      </c>
      <c r="E23" s="1" t="s">
        <v>76</v>
      </c>
      <c r="F23" s="1" t="s">
        <v>77</v>
      </c>
    </row>
    <row r="24" spans="1:6">
      <c r="A24" s="1" t="s">
        <v>40</v>
      </c>
      <c r="B24" s="1">
        <f>SUM(C24:E24)</f>
        <v>295</v>
      </c>
      <c r="C24" s="1">
        <v>212</v>
      </c>
      <c r="D24" s="1">
        <v>52</v>
      </c>
      <c r="E24" s="1">
        <v>31</v>
      </c>
      <c r="F24" s="3" t="s">
        <v>78</v>
      </c>
    </row>
    <row r="25" spans="1:6">
      <c r="A25" s="1" t="s">
        <v>41</v>
      </c>
      <c r="B25" s="1">
        <f>SUM(C25:D25)</f>
        <v>28</v>
      </c>
      <c r="C25" s="1">
        <v>16</v>
      </c>
      <c r="D25" s="1">
        <v>12</v>
      </c>
    </row>
    <row r="26" spans="1:6">
      <c r="C26" s="1" t="s">
        <v>43</v>
      </c>
      <c r="D26" s="1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</vt:lpstr>
      <vt:lpstr>书签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2026-03-28T00:07:18Z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A68C8425929A4EE58BE4F651A31060FC_12</vt:lpwstr>
  </property>
  <property fmtid="{D5CDD505-2E9C-101B-9397-08002B2CF9AE}" pid="4" name="CalculationRule">
    <vt:i4>0</vt:i4>
  </property>
</Properties>
</file>