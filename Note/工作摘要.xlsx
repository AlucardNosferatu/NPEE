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180" firstSheet="6" activeTab="8"/>
  </bookViews>
  <sheets>
    <sheet name="20250525" sheetId="1" r:id="rId1"/>
    <sheet name="20240501" sheetId="2" r:id="rId2"/>
    <sheet name="20251108" sheetId="3" r:id="rId3"/>
    <sheet name="20240426" sheetId="4" r:id="rId4"/>
    <sheet name="20251107" sheetId="5" r:id="rId5"/>
    <sheet name="20250708" sheetId="6" r:id="rId6"/>
    <sheet name="20251113" sheetId="7" r:id="rId7"/>
    <sheet name="20250619" sheetId="8" r:id="rId8"/>
    <sheet name="20251106" sheetId="9" r:id="rId9"/>
    <sheet name="20251111" sheetId="10" r:id="rId10"/>
    <sheet name="20240328" sheetId="11" r:id="rId11"/>
    <sheet name="20251027" sheetId="12" r:id="rId12"/>
    <sheet name="20241019" sheetId="13" r:id="rId13"/>
    <sheet name="20250530" sheetId="14" r:id="rId14"/>
    <sheet name="20240323" sheetId="15" r:id="rId15"/>
    <sheet name="20250617" sheetId="16" r:id="rId16"/>
    <sheet name="20251112" sheetId="17" r:id="rId17"/>
    <sheet name="20250908" sheetId="18" r:id="rId18"/>
    <sheet name="20250405" sheetId="19" r:id="rId19"/>
    <sheet name="20250813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<sst xmlns="http://schemas.openxmlformats.org/spreadsheetml/2006/main" count="704" uniqueCount="702">
  <si>
    <t>有限个无穷大的和差###不一定###（一定/不一定）是无穷大，有限个无穷小的和差###一定###（一定/不一定）是无穷小</t>
  </si>
  <si>
    <t>地址线和地址引脚</t>
  </si>
  <si>
    <t>地址线对CPU而言</t>
  </si>
  <si>
    <t>地址线在CPU出厂就已经决定好了的，地址线是不会减半的</t>
  </si>
  <si>
    <t>比如2^20个存储单元，需要20根地址线才能全部访问到</t>
  </si>
  <si>
    <t>地址引脚是对DRAM而言</t>
  </si>
  <si>
    <t>为了能节约空间以及把多个DRAM组成一个内存条，使用了引脚减半技术</t>
  </si>
  <si>
    <t>把DRAM设计成矩阵型结构，通过内存控制器，先访问一行，再选中其中一列输出</t>
  </si>
  <si>
    <t>408默认条件大全-通用规则</t>
  </si>
  <si>
    <t>默认###小端###（大小端）存储方式</t>
  </si>
  <si>
    <t>浮点数格式遵循###IEEE754###标准</t>
  </si>
  <si>
    <t>默认各流水线阶段时间为###相等且无冲突###</t>
  </si>
  <si>
    <t>408默认条件大全-计算机组成原理</t>
  </si>
  <si>
    <t>DRAM行列复用地址引脚</t>
  </si>
  <si>
    <t>存储总线宽度默认为按###字节（8位）###计算</t>
  </si>
  <si>
    <t>当题目要求划分地址空间（如RAM与ROM）时，默认使用###高位###（高位/低位）地址线进行区域划分</t>
  </si>
  <si>
    <t>题目中若涉及整数存储（如int类型），默认使用补码表示</t>
  </si>
  <si>
    <t>408默认条件大全-操作系统</t>
  </si>
  <si>
    <t>计算虚拟地址到物理地址的转换时，默认低位为###块内地址###，剩余高位为###页号或组号###</t>
  </si>
  <si>
    <t>涉及锁操作（如swap指令）时，默认指令执行是原子的</t>
  </si>
  <si>
    <t>408默认条件大全-计算机网络</t>
  </si>
  <si>
    <t>NAT转发时，默认将###源IP###从私有地址转换为公共地址，且仅修改###源IP###，###目标IP###保持不变（源IP/目标IP）</t>
  </si>
  <si>
    <t>计算子网可用地址时，默认排除###网络号###和###广播地址###</t>
  </si>
  <si>
    <t>若题目未明确说明，IP分片时默认###不复制###（复制/不复制）原始分组的选项字段（如首部校验和）</t>
  </si>
  <si>
    <t>408默认条件大全-数据结构</t>
  </si>
  <si>
    <t>涉及多维数组地址计算时，默认按###行###（行/列）优先存储（如C语言数组）</t>
  </si>
  <si>
    <t>题目中若未明确说明，默认二叉树的根节点编号为1</t>
  </si>
  <si>
    <t>积分求解的积木法</t>
  </si>
  <si>
    <t>寻找积木</t>
  </si>
  <si>
    <t>###分母###（最直接）</t>
  </si>
  <si>
    <t>###分母的导数###（凑微分）</t>
  </si>
  <si>
    <t>###分母部分表达式的导数###（凑微分不完全版）</t>
  </si>
  <si>
    <t>###分母因式###（因式分解）</t>
  </si>
  <si>
    <t>###分母因式乘某个表达式###（因式分解拓展版）</t>
  </si>
  <si>
    <t>总结：都###和分母有关系###</t>
  </si>
  <si>
    <t>把###分子###转化成###积木的线性组合###</t>
  </si>
  <si>
    <t>分拆###被积函数###成###多个简化分式###求积分</t>
  </si>
  <si>
    <t>DRAM相关</t>
  </si>
  <si>
    <t>行/列缓冲区</t>
  </si>
  <si>
    <t>配合###突发传送###，从存储阵列读一行到高速缓存</t>
  </si>
  <si>
    <t>配合###行列复用###，节省引脚数量</t>
  </si>
  <si>
    <t>###多芯片交叉编址###有助于将变量分散到多个芯片</t>
  </si>
  <si>
    <t>单个芯片有###访存周期###的限制</t>
  </si>
  <si>
    <t>如果用多个芯片，可以提升多数据的###访存速度###</t>
  </si>
  <si>
    <t>多地址指令个数计算</t>
  </si>
  <si>
    <t>①基础参数明确</t>
  </si>
  <si>
    <t>已知###指令字长###（固定）、固定###地址码位数###</t>
  </si>
  <si>
    <t>按「地址个数越多→操作码越短」的规律，倒推各类地址指令的###操作码总长度###</t>
  </si>
  <si>
    <t>例：2 地址指令###操作码长度### = 指令字长 - 2× 地址码位数，1 地址 = 指令字长 - 1× 地址码位数，0 地址 = 指令字长</t>
  </si>
  <si>
    <t>②最短操作码空间计算</t>
  </si>
  <si>
    <t>最短操作码对应「地址个数最多」的指令（如 ###2 地址＞1 地址＞0 地址###）</t>
  </si>
  <si>
    <t>设最短操作码长度为 ###n₁###，空间容量 ###c₁=2ⁿ¹###（该长度下所有可能的操作码组合总数）</t>
  </si>
  <si>
    <t>③扩展前缀个数推导</t>
  </si>
  <si>
    <t>用最短操作码的空间容量 c₁，减去其实际需要的指令条数，剩余未使用的操作码组合数，即为「下一级更长操作码」（地址个数更少）的###扩展前缀个数 pc₁###</t>
  </si>
  <si>
    <t>前缀需连续，408 默认取###后缀连续段###</t>
  </si>
  <si>
    <t>④自由位长度计算</t>
  </si>
  <si>
    <t>下一级操作码总长度为 ###n₂###，其自由位长度 ###fn₁=n₂- 前缀长度###</t>
  </si>
  <si>
    <t>前缀长度 = 上一级最短操作码的长度 ###n₁###，因前缀是上一级未使用的操作码，位数与上一级操作码一致</t>
  </si>
  <si>
    <t>⑤当前级操作码空间计算</t>
  </si>
  <si>
    <t>该级操作码的空间容量 ###c₂= 扩展前缀个数 pc₁×2^fn₁###</t>
  </si>
  <si>
    <t>每个前缀搭配所有###自由位组合###，构成无冲突的操作码集合</t>
  </si>
  <si>
    <t>⑥迭代推导</t>
  </si>
  <si>
    <t>重复步骤 3-5</t>
  </si>
  <si>
    <t>用当前级操作码的空间容量 ###cₖ###，减去其实际需要的指令条数，得到下一级更长操作码的###扩展前缀个数 pcₖ###</t>
  </si>
  <si>
    <t>依次推进，直到目标为「最长操作码」（通常是 ###0 地址指令###，操作码总长度 = 指令字长）。</t>
  </si>
  <si>
    <t>⑦最长操作码收尾</t>
  </si>
  <si>
    <t>最长操作码无后续扩展需求，无需预留前缀，其实际最大指令条数 = 自身空间容量 ###cₘ###（所有组合均可使用）</t>
  </si>
  <si>
    <t>物理信道速率上限</t>
  </si>
  <si>
    <t>无噪声：###奈奎斯特采样定理###</t>
  </si>
  <si>
    <t>有噪声：###奈奎斯特采样定理+香农公式###</t>
  </si>
  <si>
    <t>奈奎斯特采样定理：###R=2*B*log(2,M)###</t>
  </si>
  <si>
    <t>R为速率上限，单位bit/s</t>
  </si>
  <si>
    <t>B为带宽，单位Hz</t>
  </si>
  <si>
    <t>###M###为码元进制，比如一个时间点的信号有四种波形，这就是四进制，M=4</t>
  </si>
  <si>
    <t>香农公式：###R=B*log(2,1+S/N)###</t>
  </si>
  <si>
    <t>###S/N###为信噪比</t>
  </si>
  <si>
    <t>要注意，题目给的信噪比如果单位是###dB###需要转换才能对应S/N</t>
  </si>
  <si>
    <t>dB=10*log(10,S/N)，因此要倒过来计算S/N，即###S/N=10^(dB/10)###</t>
  </si>
  <si>
    <t>对于非空B树而言，只要删除了一个关键字，叶子必然会变动</t>
  </si>
  <si>
    <t>如果非叶节点删除关键字，无论是否满足关键字个数都会触发###挪用###</t>
  </si>
  <si>
    <t>而挪用对于其它被挪用的非叶节点来说也都会继续触发挪用，直到被挪用节点是###叶节点###</t>
  </si>
  <si>
    <t>流水线的冒险类型</t>
  </si>
  <si>
    <t>数据冒险：###RAW、WAR、WAW###（针对寄存器）</t>
  </si>
  <si>
    <t>转发技术只能用于###CPU内部###（流水线寄存器间）</t>
  </si>
  <si>
    <t>因此，如果MEM阶段load内存的数据还没进入CPU，需要这部分数据导致的###RAW###无法被转发解决</t>
  </si>
  <si>
    <t>这种情况下，必须用###阻塞###进行“兜底”</t>
  </si>
  <si>
    <t>控制冒险（取指冒险）：</t>
  </si>
  <si>
    <t>条件跳转冒险（###条件未判明###）</t>
  </si>
  <si>
    <t>无条件跳转冒险（###跳转目的指令不确定###）</t>
  </si>
  <si>
    <t>函数调用、返回冒险</t>
  </si>
  <si>
    <t>结构冒险：不同阶段的指令争用同一类型###硬件资源###</t>
  </si>
  <si>
    <t>内存：###取指和内存存取阶段###（RISC）</t>
  </si>
  <si>
    <t>ALU：###指令译码（涉及地址偏移量计算）和执行阶段###</t>
  </si>
  <si>
    <t>寄存器：###指令译码（从寄存器读取地址偏移量）和写回寄存器阶段###</t>
  </si>
  <si>
    <t>PC的自增有专门的机构，不依赖ALU</t>
  </si>
  <si>
    <t>CSMA的争用时间片即RTT，可以用这个值计算后续的退避时间</t>
  </si>
  <si>
    <t>ARQ协议</t>
  </si>
  <si>
    <t>SW（停等）：###单发送窗，单接收窗###，n比特帧序号下，收发窗都是1</t>
  </si>
  <si>
    <t>GBN：###多发送窗、单接收窗###，n比特帧序号下，发送窗是(2^n)-1，接收窗是1</t>
  </si>
  <si>
    <t>SR：###多发送窗、多接收窗###（乱序接受），n比特帧序号下，收发窗都是2^(n-1)</t>
  </si>
  <si>
    <t>QAM-n，后面的数字是同一时刻的波形种类数</t>
  </si>
  <si>
    <t>分组交换的流水线图，平行四边形的倾斜越厉害，传播时延就越大，时延带宽积也越大</t>
  </si>
  <si>
    <t>浮点数的位数分配</t>
  </si>
  <si>
    <t>单精度：总计32位，###1位符号位，8位阶码（移码），23位尾数（原码）###</t>
  </si>
  <si>
    <t>双精度：总计64位，###1位符号位，11位阶码（移码），52位尾数（原码）###</t>
  </si>
  <si>
    <t>UDP校验和方法</t>
  </si>
  <si>
    <t>将UDP数据（包括伪首部、UDP首部、UDP数据部分）按###16位为单位拆分成组###</t>
  </si>
  <si>
    <t>如果总长不是16倍数，用###0补足###</t>
  </si>
  <si>
    <t>对所有16位组进行###加法###</t>
  </si>
  <si>
    <t>如果最高位产生进位，则循环加到###低16位###上</t>
  </si>
  <si>
    <t>对加法的最后和###取反###</t>
  </si>
  <si>
    <t>MSL（最长报文段寿命）：TCP关闭连接时，客户端一方TIME_WAIT到CLOSED之间时长的一半</t>
  </si>
  <si>
    <t>ARQ协议中，滑动窗口大小与序号的具体数值无关，比如窗口大小4的SR，序号可以是0,1,2,3也可以是1,2,3,4</t>
  </si>
  <si>
    <t>序号范围由###序号位数###决定</t>
  </si>
  <si>
    <t>802.11的NAV（网络分配向量）：收到与自己无关的RTS/CTS帧时，设定自己“闭嘴”的时长</t>
  </si>
  <si>
    <t>NAV时长也就是看“那一对”能谈多久</t>
  </si>
  <si>
    <t>发送准备（###SIFS###）+数据帧发送+响应准备（###SIFS###）+ACK</t>
  </si>
  <si>
    <t>注意：NAV不包含###DIFS###，但是如果问的是还要多久才能发RTS，则需要包括DIFS</t>
  </si>
  <si>
    <t>口诀速记1</t>
  </si>
  <si>
    <t>无###双侧###不极值</t>
  </si>
  <si>
    <t>积分不换元，###上下不换限###</t>
  </si>
  <si>
    <t>积分非初等函数###≠###被积函数不可积</t>
  </si>
  <si>
    <t>常函数的###每个点都###是极值点，因此常函数的极值点有###无穷多###个</t>
  </si>
  <si>
    <t>口诀速记2</t>
  </si>
  <si>
    <t>严格单调函数###必###存在反函数</t>
  </si>
  <si>
    <t>特征值对应基础解系中解的个数=###n-r###，k重特征值至多只有###k个线性无关###的特征向量</t>
  </si>
  <si>
    <t>间断点破坏原函数存在性，无界破坏可积性</t>
  </si>
  <si>
    <t>只有###定###积分能判定可积性</t>
  </si>
  <si>
    <t>口诀速记3</t>
  </si>
  <si>
    <t>可积必###有界###</t>
  </si>
  <si>
    <t>要化标准型或规范型的二次型如果配过方，要试下###是否可逆###，天上不会掉馅饼</t>
  </si>
  <si>
    <t>克拉默法则只能求解###非齐次###的线性方程，因此###特征向量的求取###不可使用克拉默法则</t>
  </si>
  <si>
    <t>累加的积分等于###积分的累加###（Σ:Int:f(x)dx=###Int:Σ:f(x)dx###）</t>
  </si>
  <si>
    <t>口诀速记4</t>
  </si>
  <si>
    <t>整体的积分等于###展开的积分###等于###积分的展开###（f(x)=Σ:g(x),Int:f(x)=###Int:Σ:g(x)dx###=###Σ:Int:g(x)dx###）</t>
  </si>
  <si>
    <t>连续###未必###可导，可导###一定###连续</t>
  </si>
  <si>
    <t>点和邻域没有关系，极限和连续都是n-1阶才一定有的东西</t>
  </si>
  <si>
    <t>mij不一定是矩阵第i行第j列，也可能是倒过来的，要注意题目条件</t>
  </si>
  <si>
    <t>答疑整理1</t>
  </si>
  <si>
    <t>积分因子推出一阶非齐次方程的公式只需要###括号内部###加C，所有不定积分计算可以###不留C###</t>
  </si>
  <si>
    <t>k阶顺序主子式：即###前k行k列元素###构成方阵的行列式</t>
  </si>
  <si>
    <t>无界与是否存在极限没有必然联系</t>
  </si>
  <si>
    <t>三角函数趋无穷时###极限不存在###，但它是###有界###函数，即###有界极限不一定存在###</t>
  </si>
  <si>
    <t>反比例函数趋于无穷时###极限趋于0存在###，但它是###无界###函数，即###极限存在不一定有界###</t>
  </si>
  <si>
    <t>瑕积分可以用比较审敛，但是要确保###瑕点相同###</t>
  </si>
  <si>
    <t>答疑整理2</t>
  </si>
  <si>
    <t>实对称阵相似对角化为什么需要对特征向量做单位正交化</t>
  </si>
  <si>
    <t>实对称阵的性质：均可###相似对角化###（即###除了对角元是特征值外其它位置都是0###）</t>
  </si>
  <si>
    <t>实对称阵在相似对角化中所用的Q都是###正交矩阵###</t>
  </si>
  <si>
    <t>即Q'=###Q^T###，且列向量（###特征向量###）互相###正交###、长度为###1###（正交阵定义）</t>
  </si>
  <si>
    <t>左右导数是不是导数的左右极限</t>
  </si>
  <si>
    <t>左右导数是###导数定义的极限形式###将趋向点###改为单侧趋近后###的结果</t>
  </si>
  <si>
    <t>导数的左右极限是对###导数的函数式###求###单点的左右极限###的结果</t>
  </si>
  <si>
    <t>隐函数求导求出y'可以包含y</t>
  </si>
  <si>
    <t>真题求极限时自变量用n意味着n是###自然数###，趋于无穷等于###趋于正无穷###</t>
  </si>
  <si>
    <t>答疑整理3</t>
  </si>
  <si>
    <t>第二类间断点除了无穷和震荡间断点还有其它分类吗</t>
  </si>
  <si>
    <t>只要一边无穷，不管另一边是不是无穷（甚至可能是震荡），这个都是###无穷间断点###</t>
  </si>
  <si>
    <t>有哪些函数和对应点的左右极限不同</t>
  </si>
  <si>
    <t>比如本来这里是一个连续函数，抠掉这一点的取值，强制给它赋值一个其它值（类似分段函数）</t>
  </si>
  <si>
    <t>可积性的定义是###定积分的极限形式###存在极限</t>
  </si>
  <si>
    <t>变限积分可导性定理（参考20240423第17行）</t>
  </si>
  <si>
    <t>答疑整理4</t>
  </si>
  <si>
    <t>n-&gt;∞时数列{xn}-&gt;0则称这个数列是无穷小量</t>
  </si>
  <si>
    <t>绝对值之积等于###积的绝对值###</t>
  </si>
  <si>
    <t>数列Xn具有有界性的含义：###min&lt;=Xn&lt;=max###</t>
  </si>
  <si>
    <t>分奇偶数类讨论：奇数类的情况+偶数类的情况=###全体整数类的情况###</t>
  </si>
  <si>
    <t>答疑整理5</t>
  </si>
  <si>
    <t>第一数学归纳法</t>
  </si>
  <si>
    <t>归纳奠基：证明###当n=1###时命题成立；</t>
  </si>
  <si>
    <t>归纳假设：假设###当n=k###时命题成立；</t>
  </si>
  <si>
    <t>归纳递推：由归纳假设推出###当n=k+1###时命题也成立．</t>
  </si>
  <si>
    <t>求极限及时把整体的非零因子提出</t>
  </si>
  <si>
    <t>数列的单调有界证极限存在使用先斩后奏时记得###把代数方程求出的A回代###验证###单调性###</t>
  </si>
  <si>
    <t>陷阱反例：Xn+1=sin(Xn)（###递推式出现周期函数###可能会破坏单调性）</t>
  </si>
  <si>
    <t>可去间断点不会产生垂直渐近线</t>
  </si>
  <si>
    <t>答疑整理6</t>
  </si>
  <si>
    <t>什么是单调？什么是有界？</t>
  </si>
  <si>
    <t>单调性：</t>
  </si>
  <si>
    <t>∀x1，x2∈D且x1&gt;x2，都有###f(x1)&gt;=f(x2)###（单调增加）</t>
  </si>
  <si>
    <t>∀x1，x2∈D且x1&gt;x2，都有###f(x1)&lt;=f(x2)###（单调减少）</t>
  </si>
  <si>
    <t>有界性：</t>
  </si>
  <si>
    <t>若存在两个常数m和M，使函数y=f(x),x∈D 满足###m≤f(x)≤M###,x∈D</t>
  </si>
  <si>
    <t>则称函数y=f(x)在D有界，其中###m###是它的下界，###M###是它的上界</t>
  </si>
  <si>
    <t>U上面一个o是指###去心邻域###</t>
  </si>
  <si>
    <t>f(x) o g(x)是指###函数f和函数g构成的复合函数f(g(x))###，f o g###≠###g o f（等于或不等于）</t>
  </si>
  <si>
    <t>对角矩阵的对角矩阵可以是零矩阵</t>
  </si>
  <si>
    <t>答疑整理7</t>
  </si>
  <si>
    <t>A伴=###|A|*A逆###</t>
  </si>
  <si>
    <t>(k*A)逆=###A逆/k###</t>
  </si>
  <si>
    <t>(k*A)伴=|k*A|*(k*A)逆=</t>
  </si>
  <si>
    <t>|k*A|*A逆/k=###(k^n)*|A|*A逆/k###=###(k^(n-1))*|A|*A逆###=(k^(n-1))*A伴</t>
  </si>
  <si>
    <t>(k*A)伴=###(k^(n-1))*A伴###</t>
  </si>
  <si>
    <t>函数嵌套###可以###用等价无穷小，###不能###用非零因子代入</t>
  </si>
  <si>
    <t>错题总结20221120</t>
  </si>
  <si>
    <t>相减得到被减数的低阶无穷小↔###减数和被减数等价###</t>
  </si>
  <si>
    <t>平方后等价不意味着原式等价，比如###-x和x不等价，只能说是同阶###（举例）</t>
  </si>
  <si>
    <t>导数存在只能推出###点连续###，而连续则可推出邻域内与点同号（连续→###极限存在###→###保号性###）</t>
  </si>
  <si>
    <t>矩阵关系：</t>
  </si>
  <si>
    <t>B=PAQ，即AB###等价###，###秩###相同</t>
  </si>
  <si>
    <t>B=P'AP，即AB###相似###，###特征值和秩###相同</t>
  </si>
  <si>
    <t>B=PtAP，即AB###合同###，###惯性指数和秩###相同</t>
  </si>
  <si>
    <t>###等价###包含###相似、合同###，###相似###不一定###合同###，###合同###不一定###相似###</t>
  </si>
  <si>
    <t>###A、B都是实对称阵###的前提下，相似必合同，反之不一定</t>
  </si>
  <si>
    <t>f'(x0)连续说明f(x)在x0点的###单调性###可以扩展到x0点的邻域</t>
  </si>
  <si>
    <t>f''(x0)连续说明f(x)在x0点的###凹凸性###可以扩展到x0点的邻域</t>
  </si>
  <si>
    <t>线性方程组解的情况判定：</t>
  </si>
  <si>
    <t>①：系数阵行列式非0→###有唯一解（齐次只有零解）###</t>
  </si>
  <si>
    <t>②：系数阵行列式为0→###可能有无穷多或无解###</t>
  </si>
  <si>
    <t>③：系数阵行列式为0，系数阵阶梯型全0行对应增广列元素非0→###无解###</t>
  </si>
  <si>
    <t>④：系数阵行列式为0，系数阵阶梯型全0行对应增广列元素均0→###多解###</t>
  </si>
  <si>
    <t>错题总结20221119</t>
  </si>
  <si>
    <t>二重积分转极坐标时θ角的积分范围：</t>
  </si>
  <si>
    <t>①：要检查隐含在区域边界方程的条件</t>
  </si>
  <si>
    <t>②：边界方程左右侧是否具有不等式关系</t>
  </si>
  <si>
    <t>错题总结20221118</t>
  </si>
  <si>
    <t>累次极限和重极限的关系</t>
  </si>
  <si>
    <t>若一种顺序的累次极限与重极限都存在，二者###必相等###</t>
  </si>
  <si>
    <t>若两种顺序的累次极限与重极限都存在，三者###必相等###</t>
  </si>
  <si>
    <t>若两种顺序的累次极限存在但不等时，重极限###一定不###存在</t>
  </si>
  <si>
    <t>若两种顺序的累次极限存在且相等时，重极限###不一定###存在</t>
  </si>
  <si>
    <t>若重极限存在，累次极限###不一定###存在</t>
  </si>
  <si>
    <t>代数余子式A12不为0，直接得出列向量134无关</t>
  </si>
  <si>
    <t>第一行第二列挖掉剩下3列组成行列式</t>
  </si>
  <si>
    <t>行列式不为0，行列式列向量###线性无关###</t>
  </si>
  <si>
    <t>3个3维列向量无关，分别增加一个维度###依然无关###</t>
  </si>
  <si>
    <t>合同矩阵的性质</t>
  </si>
  <si>
    <t>反身性：任意矩阵都与###其自身###合同。</t>
  </si>
  <si>
    <t>对称性：如果矩阵A合同于矩阵B，则###矩阵B也合同于矩阵A###。</t>
  </si>
  <si>
    <t>传递性：如果矩阵A合同于矩阵B，且矩阵B合同于矩阵C，则###矩阵A合同于矩阵C###。</t>
  </si>
  <si>
    <t>合同矩阵的秩相等：如果矩阵A合同于矩阵B，则它们的###秩###相等，即###r(A)=r(B)###。这是因为两个合同的矩阵具有相同的###行空间###和###列空间###。</t>
  </si>
  <si>
    <t>合同矩阵的惯性相等：如果矩阵A合同于矩阵B，则它们的惯性指数相等，即###正特征值###的个数、###零特征值###的个数以及###负特征值###的个数都相同。</t>
  </si>
  <si>
    <t>实对称矩阵的特性：###实对称###矩阵总能通过合同变换对角化，且在变换过程中保持其###对称###性。</t>
  </si>
  <si>
    <t>可相似对角化的条件</t>
  </si>
  <si>
    <t>直接：###n个无关特征向量###</t>
  </si>
  <si>
    <t>利用：不同特征值对应的特征向量###必无关###</t>
  </si>
  <si>
    <t>策略：###找到n个不同的特征值###</t>
  </si>
  <si>
    <t>如果分块后不含0矩阵则不用分块矩阵计算</t>
  </si>
  <si>
    <t>错题总结20221117</t>
  </si>
  <si>
    <t>伴随矩阵与原矩阵的秩的关系</t>
  </si>
  <si>
    <t>①：A满秩，A*###满秩###</t>
  </si>
  <si>
    <t>②：A秩=n-1，A*秩=###1###</t>
  </si>
  <si>
    <t>③：A秩&lt;n-1，A*秩=###0###</t>
  </si>
  <si>
    <t>矩阵多项式与矩阵特征值的多项式的关系</t>
  </si>
  <si>
    <t>矩阵|特征值|特征向量</t>
  </si>
  <si>
    <t>A|λ|x</t>
  </si>
  <si>
    <t>A+kE|###λ+k###|###x###</t>
  </si>
  <si>
    <t>A逆|###1/λ###|###x###</t>
  </si>
  <si>
    <t>A伴|###|A|/λ###|###x###</t>
  </si>
  <si>
    <t>A^n|###λ^n###|###x###</t>
  </si>
  <si>
    <t>P逆AP|###λ###|###P逆*x###</t>
  </si>
  <si>
    <t>向量组等价=组的###秩###相等且合并后组的###秩###不变</t>
  </si>
  <si>
    <t>求相似矩阵的变换阵P使得P'AP=B：</t>
  </si>
  <si>
    <t>①：先求出P1使得P1'AP1=C（C为###只有对角元为A、B特征值其余为0###的矩阵）</t>
  </si>
  <si>
    <t>②：P1列向量为###A对应几个λi###的特征向量（即系数阵为###A-λiE###的齐次方程的###解向量###）</t>
  </si>
  <si>
    <t>③：再求出P2使得P2'BP2=C（C为###只有对角元为A、B特征值其余为0###的矩阵）</t>
  </si>
  <si>
    <t>④：P2列向量为###B对应几个λi###的特征向量（即系数阵为###B-λiE###的齐次方程的###解向量###）</t>
  </si>
  <si>
    <t>⑤：由于AB相似所以P1'AP1=P2'BP2=C→###P2P1'AP1P2'###=B=P'AP→###P2P1'###=P</t>
  </si>
  <si>
    <t>错题总结20220303</t>
  </si>
  <si>
    <t>如果某函数可导或连续，计算时要尽可能将部分表示式化成其函数值或导数定义的结构</t>
  </si>
  <si>
    <t>错题总结20220217</t>
  </si>
  <si>
    <t>两个无极限函数相加可能会得到有极限函数，反过来不能随意分拆函数</t>
  </si>
  <si>
    <t>错题总结20220207</t>
  </si>
  <si>
    <t>数列极限un-&gt;a，则|un|-&gt;###|a|###</t>
  </si>
  <si>
    <t>子网划分规则</t>
  </si>
  <si>
    <t>VLSM 划分规则</t>
  </si>
  <si>
    <t>允许 ### 子网掩码长度不同 ###（填写 VLSM 的掩码特点）</t>
  </si>
  <si>
    <t>同一子网的所有地址必须 ### 共有同前缀 ###（填写同一子网地址的要求）</t>
  </si>
  <si>
    <t>地址覆盖规则</t>
  </si>
  <si>
    <t>划分的 N 个子网必须 ### 连续 ###（填写子网的分布要求）</t>
  </si>
  <si>
    <t>必须 ### 覆盖全网全部地址 ###（填写地址覆盖的范围要求）</t>
  </si>
  <si>
    <t>子网冲突规则</t>
  </si>
  <si>
    <t>每个子网的地址 ### 不能有重叠 ###（填写子网地址的冲突要求）</t>
  </si>
  <si>
    <t>有效载荷最大传输效率</t>
  </si>
  <si>
    <t>考察对象：###端到端###（传输层）</t>
  </si>
  <si>
    <t>有效载荷：###应用层数据###</t>
  </si>
  <si>
    <t>其它数据：###传输层封装的头部和尾部###</t>
  </si>
  <si>
    <t>例题：12B应用层，用TCP和UDP发送</t>
  </si>
  <si>
    <t>TCP：12B+TCP头20B=###32B###</t>
  </si>
  <si>
    <t>UDP：12B+UDP头8B=###20B###</t>
  </si>
  <si>
    <t>TCP效率：12/32=###37.5%###</t>
  </si>
  <si>
    <t>UDP效率：12/20=###60%###</t>
  </si>
  <si>
    <t>TCP头长度会变，最小###20B###，最大###60B###（用来算最小传输效率）</t>
  </si>
  <si>
    <t>CLOCK算法</t>
  </si>
  <si>
    <t>基础CLOCK</t>
  </si>
  <si>
    <t>检测###使用位###</t>
  </si>
  <si>
    <t>使用位=###0###即最近未使用</t>
  </si>
  <si>
    <t>使用位=###1###即最近有使用</t>
  </si>
  <si>
    <t>若使用位=###1###</t>
  </si>
  <si>
    <t>使用位设置=###0###（门票打孔）</t>
  </si>
  <si>
    <t>若使用位=###0###</t>
  </si>
  <si>
    <t>###换出###（没有门票就滚）</t>
  </si>
  <si>
    <t>新页面使用位=###1###</t>
  </si>
  <si>
    <t>改进CLOCK</t>
  </si>
  <si>
    <t>第一轮扫描</t>
  </si>
  <si>
    <t>扫出修改和使用都为###0###的进行置换</t>
  </si>
  <si>
    <t>不修改使用位</t>
  </si>
  <si>
    <t>如果没有符合的才进行第二轮</t>
  </si>
  <si>
    <t>第二轮扫描</t>
  </si>
  <si>
    <t>扫出使用###0###、修改###1###的页面的进行置换</t>
  </si>
  <si>
    <t>如果使用位为###1###，无论修改位如何，使用位都置###0###</t>
  </si>
  <si>
    <t>换入新页面的处理</t>
  </si>
  <si>
    <t>使用位=###1###</t>
  </si>
  <si>
    <t>修改位=###0###</t>
  </si>
  <si>
    <t>###修改位###不会主动被置换算法改变</t>
  </si>
  <si>
    <t>修改位不会主动被置换算法改变</t>
  </si>
  <si>
    <t>拥塞控制</t>
  </si>
  <si>
    <t>慢启动：从###1###开始，每收到一个有效ACK，cwnd增加###1###，直到到达###ssthresh###（初始###16###）</t>
  </si>
  <si>
    <t>由于发送和确认同步增加，实际效果是每个RTT轮次，cwnd###指数增长###</t>
  </si>
  <si>
    <t>避拥塞：增长放缓变为###线性###，且无论收到多少ACK，每###1RTT###增长###一个MSS###，直到第一次重传事件发生</t>
  </si>
  <si>
    <t>重传：只要发生重传，无论是超时还是快重传，都将ssthresh设置为当前cwnd的###一半###</t>
  </si>
  <si>
    <t>快重传：连续收到###三个###相同的确认序号，那么cwnd设置为###ssthresh###，之后的增长采取###避拥塞###</t>
  </si>
  <si>
    <t>超时重传：超过确认计时器，那么cwnd设置为###1###，之后的增长采取###慢启动###</t>
  </si>
  <si>
    <t>既没有三个连续相同确认也没有超时重传，那就一直发新的</t>
  </si>
  <si>
    <t>cwnd和ssthresh的单位是###MSS###（最大段长）</t>
  </si>
  <si>
    <t>字节序号</t>
  </si>
  <si>
    <t>每次发送的报文###seq字段###=该报文段第一个字节在全部正文中的序号</t>
  </si>
  <si>
    <t>确认的###ack_seq字段###=接收方期望下次收到的第一个字节在全部正文的序号</t>
  </si>
  <si>
    <t>贝尔曼福特（RIP协议的距离向量算法原型）</t>
  </si>
  <si>
    <t>一开始和迪杰斯特拉一样，列表，三个要素</t>
  </si>
  <si>
    <t>然后列出所有边</t>
  </si>
  <si>
    <t>开始迭代，迭代次数为###V-1###（V为顶点个数）</t>
  </si>
  <si>
    <t>遍历每条边，看看他们对起点到边终点的距离是否造成影响</t>
  </si>
  <si>
    <t>具体计算的时候，将这条边的权加上这个边起点在列表中的目前最短距离，得到更新比较用的新路径长度</t>
  </si>
  <si>
    <t>如果小于表格已经记录的最短路径，###更新路径长度和前驱结点###</t>
  </si>
  <si>
    <t>如果V-1轮迭代后仍有更新，就出现了###负权环###</t>
  </si>
  <si>
    <t>B树的补丁</t>
  </si>
  <si>
    <t>修复（非叶子节点）触发条件不看关键字个数，###一定会触发###</t>
  </si>
  <si>
    <t>修复（叶子节点）触发条件###要看关键字个数###，###未必会触发###</t>
  </si>
  <si>
    <t>HTTP 1.1和1.0的区别</t>
  </si>
  <si>
    <t>1.0默认###短连接###（每个请求单独TCP连接），1.1默认###KeepAlive###</t>
  </si>
  <si>
    <t>1.0请求只能###串行###，1.1可以###流水线###（非并行，一个堵住还是会卡整个队列）</t>
  </si>
  <si>
    <t>注意：一个HTTP请求是一个TCP发送+TCP确认，一个响应也是一个TCP发送+TCP确认，因此无论响应还是请求，耗时都是###一个RTT###</t>
  </si>
  <si>
    <t>注意：HTTP响应可能###捎带###对HTTP请求的TCP确认</t>
  </si>
  <si>
    <t>配方法如果没有平方项只有交叉项，可以先做初步的换元：y1=###x1+x2###,y2=###x1-x2###</t>
  </si>
  <si>
    <t>正定二次型的顺序主子式###均正###</t>
  </si>
  <si>
    <t>可导点不可能同时为拐点和极值点</t>
  </si>
  <si>
    <t>互斥手段的原子性</t>
  </si>
  <si>
    <t>硬件手段都有原子性，但是原子性的来源不同</t>
  </si>
  <si>
    <t>关中断是允许多条指令执行，执行时不被打断</t>
  </si>
  <si>
    <t>而指令类（比如交换或者测试循环指令）手段是将要做的事压缩到一个指令内完成</t>
  </si>
  <si>
    <t>由于处理机切换的最小间隔是指令，因此只要过程在一个指令内完成，这个过程就不会被打断</t>
  </si>
  <si>
    <t>缺页/除零异常是与执行本身强关联的同步性事件，指令的执行逻辑不会受到这些事件的影响（对指令本身透明）</t>
  </si>
  <si>
    <t>不可预期的中断发生时，执行-中断周期都结束了</t>
  </si>
  <si>
    <t>为了实现这种复杂过程在一步完成，软件是不足够的，必须上专门的硬件，因此是硬件法</t>
  </si>
  <si>
    <t>信号量是用关中断+多条指令指向P和V操作，因此只算是借用了关中断这一硬件机制，它能够实现优化的互斥是靠多条软件指令保证的，因此信号量属于是软件互斥手段</t>
  </si>
  <si>
    <t>系统调用的返回归属于###发起调用的进程###，当返回发生时，该进程处于###执行###态</t>
  </si>
  <si>
    <t>使用中断的I/O有两种，同步和异步</t>
  </si>
  <si>
    <t>同步I/O：进程等待外设发东西，为此阻塞自身不继续执行，比如Python的input()</t>
  </si>
  <si>
    <t>异步I/O：进程执行它的逻辑，直到特定时间点（最终期限）还没完成那一异步操作，会主动让出处理机转为就绪态（注意不是阻塞！），比如网络下载</t>
  </si>
  <si>
    <t>需要注意的是，用户进程在同步I/O前会进入阻塞（等待I/O），而负责处理的内核进程也可能因为设备忙碌而陷入阻塞（在中断服务启动后）</t>
  </si>
  <si>
    <t>因此在操作流程排序中，需要特别注意阻塞的主语是用户还是系统进程，如果是前者，是发生在中断服务开始前的</t>
  </si>
  <si>
    <t>另外，如果设备足够快，在内核的中断服务阻塞等设备时，用户使用异步IO同时做别的事，等最后期限到了可能IO早就结束了，用户进程可能从头到尾没有阻塞</t>
  </si>
  <si>
    <t>IO层级：###用户程序###-&gt;###系统设备无关程序###-&gt;###系统驱动程序###-&gt;###IO接口###-&gt;###设备控制/驱动器###-&gt;###设备本身###</t>
  </si>
  <si>
    <t>直接使用者：###用户程序###</t>
  </si>
  <si>
    <t>系统调用、系统缓冲区：###系统设备无关程序###</t>
  </si>
  <si>
    <t>发送指令、搬运数据：###系统驱动程序###</t>
  </si>
  <si>
    <t>数据通道、指令通道：###IO接口###</t>
  </si>
  <si>
    <t>按指处理、设备缓冲区：###设备控制器###</t>
  </si>
  <si>
    <t>数据源：###设备本身###</t>
  </si>
  <si>
    <t>FTP的连接持久性：控制连接是###持久###连接，数据连接是###非持久###连接</t>
  </si>
  <si>
    <t>TCP握手挥手的每一个报文消耗###一###个字节序号</t>
  </si>
  <si>
    <t>入度为0的点对于有向图的拓扑排序很重要</t>
  </si>
  <si>
    <t>每次将入度0的点输出并且从原图删除，能够得到拓扑排序</t>
  </si>
  <si>
    <t>如果一个有向图此时没有入度0的点，也就意味着存在环</t>
  </si>
  <si>
    <t>有环的有向图是没有拓扑排序的</t>
  </si>
  <si>
    <t>装填因子=###散列表的填满程度###（含义）=###元素个数/散列表长度###（公式）</t>
  </si>
  <si>
    <t>OF（有符号溢出）的快速判断法：###截掉超出位数的部分，剩下的部分做1位符号扩展，看看和截掉前的是否一样，不一样则说明溢出###</t>
  </si>
  <si>
    <t>当内存的地址偏移计算后CF=1，则舍掉溢出位，直接用低位范围内的部分作为地址</t>
  </si>
  <si>
    <t>多进程协作类题目需要注意隐含的互斥关系，不要被同步关系吸引了全部的注意力</t>
  </si>
  <si>
    <t>卡特兰数：###C(n,2n)/(n+1)###（C(a,b)=b!/(a!*(b-a)!）</t>
  </si>
  <si>
    <t>作用1：###长度n的栈元素出栈顺序种类数###</t>
  </si>
  <si>
    <t>作用2：###n个节点的不同二叉树数量###</t>
  </si>
  <si>
    <t>作用3：###n对括号的合法表达式个数###</t>
  </si>
  <si>
    <t>尽管传统MMU方式中PTR存的是页表的###物理地址###（并且这也是必要的），但这不意味着页表及页表项没有自己的###虚拟地址###</t>
  </si>
  <si>
    <t>第一种情况是页表自映射，常见于多级页表，408一般不考（考的话估计会特意说明）</t>
  </si>
  <si>
    <t>第二种情况是###这个虚拟地址是基于操作系统管理进程的内核进程页表的映射逻辑###</t>
  </si>
  <si>
    <t>用户进程的页表，对于管理进程的内核进程而言与普通的数据无异</t>
  </si>
  <si>
    <t>本质上是操作系统可重定位性导致的</t>
  </si>
  <si>
    <t>特例法大杀器-一元运算</t>
  </si>
  <si>
    <t>性质排序参考20250616</t>
  </si>
  <si>
    <t>相反数（-f(x)=g(x)或-f(x,y)=g(x,y)）</t>
  </si>
  <si>
    <t>00：###&gt;&gt;&gt;f(x)=|x|（不可导）,g(x)=-|x|（不可导）###-###&gt;&gt;&gt;f(x,y)=|x|+|y|（偏导数不存在）,g(x,y)=-|x|-|y|（偏导数不存在）###-###&gt;&gt;&gt;f(x)=分段函数{1,x≥0;-1,x&lt;0}（不连续）,g(x)=分段函数{-1,x≥0;1,x&lt;0}（不连续）###-###&gt;&gt;&gt;f(x,y)=√(|xy|)（在(0,0)处不可微）,g(x,y)=-√(|xy|)（在(0,0)处不可微）###-###&gt;&gt;&gt;f(x)=分段函数{sin(1/x),x≠0;0,x=0}（x→0极限不存在）,g(x)=分段函数{-sin(1/x),x≠0;0,x=0}（x→0极限不存在）###-###&gt;&gt;&gt;f(x,y)=分段函数{1,xy≠0;0,xy=0}（在(0,0)处不连续）,g(x,y)=分段函数{-1,xy≠0;0,xy=0}（在(0,0)处不连续）###-###&gt;&gt;&gt;f(x)=x+1（非周期函数）,g(x)=-x-1（非周期函数）###-###&gt;&gt;&gt;f(x)=分段函数{1,x为有理数；0,x为无理数}（不可积）,g(x)=分段函数{-1,x为有理数；0,x为无理数}（不可积）###-###&gt;&gt;&gt;f(x,y)=x²y/(x⁴+y²)（在(0,0)处二阶偏导不连续）,g(x,y)=-x²y/(x⁴+y²)（在(0,0)处二阶偏导不连续）###-###&gt;&gt;&gt;f(x)=x²+1（非奇函数）,g(x)=-x²-1（非奇函数）###-###&gt;&gt;&gt;f(x)=x³+x+1（非偶函数）,g(x)=-x³-x-1（非偶函数）###-###&gt;&gt;&gt;f(x)=|x|+1（在x=0处不可导，无切线）,g(x)=-|x|-1（在x=0处不可导，无切线）###-###&gt;&gt;&gt;f(x)=1/x（无穷积分∫1/xdx发散）,g(x)=-1/x（无穷积分∫-1/xdx发散）###-</t>
  </si>
  <si>
    <t>01：###&gt;&gt;&gt;NA（f不可导时g=-f必不可导）###-###&gt;&gt;&gt;NA（f偏导数不存在时g=-f必不存在）###-###&gt;&gt;&gt;NA（因f不连续时g=-f必不连续，故无法构造此情形。）###-###&gt;&gt;&gt;NA（f不可微时g=-f必不可微）###-###&gt;&gt;&gt;f(x)=分段函数{1,x≥0;0,x&lt;0}（x→0极限不存在）,g(x)=分段函数{-1,x≥0;0,x&lt;0}（x→0极限不存在）###-###&gt;&gt;&gt;NA（f不连续时g=-f必不连续）###-###&gt;&gt;&gt;f(x)=x（非周期）,g(x)=-x（非周期）###-###&gt;&gt;&gt;NA（若f(x)不可积，则其相反数g(x)=-f(x)的不连续点分布与f完全一致，仍不满足黎曼可积的“几乎处处连续”条件，故无法构造g可积的例子）###-###&gt;&gt;&gt;f(x,y)=x²y/(x⁴+y²)（二阶偏导不连续）,g(x,y)=-x²y/(x⁴+y²)（二阶偏导不连续）###-###&gt;&gt;&gt;f(x)=x²（非奇函数）,g(x)=-x²（非奇函数）###-###&gt;&gt;&gt;f(x)=x+1（非偶函数）,g(x)=-x-1（非偶函数）###-###&gt;&gt;&gt;f(x)=|x|（无切线）,g(x)=-|x|（无切线）###-###&gt;&gt;&gt;f(x)=e^x（无穷积分收敛？∫e^xdx发散，g=-e^x积分也发散）###-</t>
  </si>
  <si>
    <t>10：###&gt;&gt;&gt;NA（f可导时g=-f必可导）###-###&gt;&gt;&gt;NA（f偏导数存在时g=-f必存在）###-###&gt;&gt;&gt;NA（f连续时g=-f必连续）###-###&gt;&gt;&gt;NA（f可微时g=-f必可微）###-###&gt;&gt;&gt;NA（f极限存在时g=-f必极限存在）###-###&gt;&gt;&gt;NA（f连续时g=-f必连续）###-###&gt;&gt;&gt;NA（f周期函数时g=-f必周期函数）###-###&gt;&gt;&gt;NA（f可积时g=-f必可积）###-###&gt;&gt;&gt;NA（f二阶偏导连续时g=-f必连续）###-###&gt;&gt;&gt;NA（因奇函数的相反数必为奇函数，故不存在f为奇函数而g非奇函数的情形）###-###&gt;&gt;&gt;NA（因偶函数的相反数必为偶函数，故不存在f为偶函数而g非偶函数的情形）###-###&gt;&gt;&gt;NA（因f在x0处切线存在时，g=-f在x0处切线必存在，故无法构造g无切线的情形）###-###&gt;&gt;&gt;NA（若f(x)的反常积分收敛，则其相反数g(x)=-f(x)的积分必为原积分的相反数，收敛性不变，故无法构造g积分发散的例子）###-</t>
  </si>
  <si>
    <t>11：###&gt;&gt;&gt;f(x)=x²（二阶可导）,g(x)=-x²（二阶可导）###-###&gt;&gt;&gt;f(x,y)=x²+y²（偏导数存在）,g(x,y)=-x²-y²（偏导数存在）###-###&gt;&gt;&gt;f(x)=x（连续）,g(x)=-x（连续）###-###&gt;&gt;&gt;f(x,y)=x²+y²（可微）,g(x,y)=-x²-y²（可微）###-###&gt;&gt;&gt;f(x)=x（x→0极限存在）,g(x)=-x（x→0极限存在）###-###&gt;&gt;&gt;f(x,y)=x+y（连续）,g(x,y)=-x-y（连续）###-###&gt;&gt;&gt;f(x)=sinx（周期2π）,g(x)=-sinx（周期2π）###-###&gt;&gt;&gt;f(x)=1（在[0,1]可积，积分值1）,g(x)=-1（在[0,1]可积，积分值-1）###-###&gt;&gt;&gt;f(x,y)=x³+y³（二阶偏导连续）,g(x,y)=-x³-y³（二阶偏导连续）###-###&gt;&gt;&gt;f(x)=x（奇函数）,g(x)=-x（奇函数）###-###&gt;&gt;&gt;f(x)=x²（偶函数）,g(x)=-x²（偶函数）###-###&gt;&gt;&gt;f(x)=x（在x=0处切线y=x）,g(x)=-x（在x=0处切线y=-x）###-###&gt;&gt;&gt;f(x)=1/x²（无穷积分∫1/x²dx从1到∞收敛）,g(x)=-1/x²（无穷积分收敛）###-</t>
  </si>
  <si>
    <t>绝对值（|f(x)|=g(x)或|f(x,y)|=g(x,y)）</t>
  </si>
  <si>
    <t>00：###&gt;&gt;&gt;f(x)=|x|（在x=0不可导）,g(x)=||x||=|x|（在x=0不可导）###-###&gt;&gt;&gt;f(x,y)=|x|+|y|（在(0,0)偏导数不存在）,g(x,y)=||x|+|y||=|x|+|y|（在(0,0)偏导数不存在）###-###&gt;&gt;&gt;NA（若f(x)在x=0不连续，g(x)=|f(x)|连续，如f(x)=分段{1,x≥0;-1,x&lt;0}，g(x)=1连续）###-###&gt;&gt;&gt;f(x,y)=√(|xy|)（在(0,0)不可微）,g(x,y)=|√(|xy|)|=√(|xy|)（在(0,0)不可微）###-###&gt;&gt;&gt;f(x)=分段{sin(1/x),x≠0;0,x=0}（x→0极限不存在）,g(x)=分段{|sin(1/x)|,x≠0;0,x=0}（x→0极限不存在）###-###&gt;&gt;&gt;NA（若f(x,y)在(0,0)不连续，g(x,y)=|f(x,y)|连续，如f(x,y)=分段{1,xy≠0;0,xy=0}，g(x,y)=1连续）###-###&gt;&gt;&gt;f(x)=x+1（非周期）,g(x)=|x+1|（非周期）###-###&gt;&gt;&gt;NA（若f(x)不可积，g(x)=|f(x)|可积，如f(x)=狄利克雷函数，g(x)=1可积）###-###&gt;&gt;&gt;f(x,y)=x²y/(x⁴+y²)（在(0,0)二阶偏导不连续）,g(x,y)=|x²y/(x⁴+y²)|（在(0,0)二阶偏导不连续）###-###&gt;&gt;&gt;f(x)=x（奇函数）,g(x)=|x|（偶函数，非奇函数）###-###&gt;&gt;&gt;f(x)=x+1（非偶函数）,g(x)=|x+1|（非偶函数）###-###&gt;&gt;&gt;f(x)=分段{x,x≥0;2x,x&lt;0}（在x=0无切线）,g(x)=分段{|x|,x≥0;|2x|,x&lt;0}（在x=0无切线）###-###&gt;&gt;&gt;f(x)=1/x（x&gt;0时无穷积分发散）,g(x)=|1/x|=1/x（无穷积分发散）###-</t>
  </si>
  <si>
    <t>01：###&gt;&gt;&gt;NA（若f(x)不可导，g(x)=|f(x)|在同点仍不可导，如f(x)=|x|，g(x)=|x|不可导）###-###&gt;&gt;&gt;NA（若f(x,y)偏导数不存在，g(x,y)=|f(x,y)|偏导数仍不存在，如f(x,y)=|x|，g(x,y)=|x|）###-###&gt;&gt;&gt;f(x)=分段{1,x≥0;-1,x&lt;0}（在x=0不连续）,g(x)=1（在x=0连续）###-###&gt;&gt;&gt;NA（若f(x,y)不可微，g(x,y)=|f(x,y)|仍不可微，如f(x,y)=|x|，g(x,y)=|x|）###-###&gt;&gt;&gt;f(x)=分段{1,x≥0;0,x&lt;0}（x→0极限不存在）,g(x)=1（x→0极限存在）###-###&gt;&gt;&gt;f(x,y)=分段{1,xy≠0;0,xy=0}（在(0,0)不连续）,g(x,y)=1（在(0,0)连续）###-###&gt;&gt;&gt;NA（非周期函数取绝对值仍为非周期函数，无法使g为周期函数）###-###&gt;&gt;&gt;f(x)=狄利克雷函数（不可积）,g(x)=1（可积）###-###&gt;&gt;&gt;f(x,y)=分段{x²y/(x⁴+y²),x≠0;0,x=0}（在(0,0)二阶偏导不连续）,g(x,y)=0（二阶偏导连续）###-###&gt;&gt;&gt;f(x)=x（奇函数）,g(x)=|x|（偶函数）###-###&gt;&gt;&gt;f(x)=x+1（非偶函数）,g(x)=1（偶函数）###-###&gt;&gt;&gt;NA（若f(x)在x=0无切线，g(x)=|f(x)|仍无切线，如f(x)=|x|，g(x)=|x|）###-###&gt;&gt;&gt;f(x)=分段{e^x,x≥0;-e^x,x&lt;0}（无穷积分发散）,g(x)=e^x（无穷积分收敛）###-</t>
  </si>
  <si>
    <t>10：###&gt;&gt;&gt;f(x)=x（在x=0可导）,g(x)=|x|（在x=0不可导）###-###&gt;&gt;&gt;f(x,y)=x（在x=0偏导数存在）,g(x,y)=|x|（在x=0偏导数不存在）###-###&gt;&gt;&gt;NA（若f(x)连续，则g(x)=|f(x)|必连续，因|f(x)|-|f(x0)|≤|f(x)-f(x0)|→0）###-###&gt;&gt;&gt;f(x,y)=x（可微）,g(x,y)=|x|（在x=0不可微）###-###&gt;&gt;&gt;NA（若f(x)在x→x0极限存在，则g(x)=|f(x)|极限必存在，因||f(x)|-|A||≤|f(x)-A|→0）###-###&gt;&gt;&gt;NA（若f(x,y)连续，则g(x,y)=|f(x,y)|必连续，同上理）###-###&gt;&gt;&gt;NA（若f(x)周期T，则g(x)=|f(x)|周期≤T，如f(x)=sinx周期2π，g(x)=|sinx|周期π，不满足原周期性质）###-###&gt;&gt;&gt;NA（黎曼可积函数的绝对值必可积，因振幅ω(|f|)≤ω(f)）###-###&gt;&gt;&gt;f(x,y)=x³（二阶偏导连续）,g(x,y)=|x³|（在x=0二阶偏导不连续，因f''(x)=6|x|在x=0左导-6，右导6，不连续）###-###&gt;&gt;&gt;f(x)=0（既是奇函数又是偶函数）,g(x)=0（偶函数，非严格奇函数，因奇函数要求f(-x)=-f(x)，0满足但通常视为特殊情况，此处g(x)=0是偶函数，故f具奇函数性质而g不具）###-###&gt;&gt;&gt;NA（若f(x)是偶函数，则g(x)=|f(x)|必为偶函数，因|f(-x)|=|f(x)|）###-###&gt;&gt;&gt;f(x)=x（在x=0切线为y=x）,g(x)=|x|（在x=0无切线，左右导数不等）###-###&gt;&gt;&gt;f(x)=sinx/x（无穷积分收敛）,g(x)=|sinx/x|（无穷积分发散，因∫|sinx/x|dx≥∫sin²x/xdx，后者发散）###-</t>
  </si>
  <si>
    <t>11：###&gt;&gt;&gt;f(x)=x²（二阶可导）,g(x)=x²（二阶可导）###-###&gt;&gt;&gt;f(x,y)=x²+y²（偏导数存在）,g(x,y)=x²+y²（偏导数存在）###-###&gt;&gt;&gt;f(x)=x（连续）,g(x)=|x|（连续）###-###&gt;&gt;&gt;f(x,y)=x²+y²（可微）,g(x,y)=x²+y²（可微）###-###&gt;&gt;&gt;f(x)=x（x→0极限存在）,g(x)=|x|（x→0极限存在）###-###&gt;&gt;&gt;f(x,y)=x+y（连续）,g(x,y)=|x+y|（连续）###-###&gt;&gt;&gt;NA（若f(x)周期T，g(x)=|f(x)|周期改变，如f(x)=cosx周期2π，g(x)=|cosx|周期π，不满足原周期定义）###-###&gt;&gt;&gt;f(x)=1（在[0,1]可积）,g(x)=1（在[0,1]可积）###-###&gt;&gt;&gt;f(x,y)=x⁴+y⁴（二阶偏导连续）,g(x,y)=x⁴+y⁴（二阶偏导连续）###-###&gt;&gt;&gt;f(x)=0（奇函数）,g(x)=0（奇函数，因0=-0）###-###&gt;&gt;&gt;f(x)=x²（偶函数）,g(x)=x²（偶函数）###-###&gt;&gt;&gt;f(x)=x²（在x=0切线为y=0）,g(x)=x²（在x=0切线为y=0）###-###&gt;&gt;&gt;f(x)=e^(-x²)（无穷积分收敛）,g(x)=e^(-x²)（无穷积分收敛）###-</t>
  </si>
  <si>
    <t>取倒数（1/f(x)=g(x)或1/f(x,y)=g(x,y)）</t>
  </si>
  <si>
    <t>00：###&gt;&gt;&gt;f(x)=|x|（在x=0不可导）,g(x)=1/|x|（在x=0不可导，导数为无穷大）###-###&gt;&gt;&gt;f(x,y)=|x|+|y|（在(0,0)偏导数不存在）,g(x,y)=1/(|x|+|y|)（在(0,0)偏导数不存在）###-###&gt;&gt;&gt;f(x)=分段{1,x≥0;0,x&lt;0}（在x=0不连续）,g(x)=分段{1,x≥0;无定义，x&lt;0}（在x=0不连续且无定义）###-###&gt;&gt;&gt;f(x,y)=分段{x²+y²,(x,y)≠(0,0);0,(x,y)=(0,0)}（在(0,0)不可微）,g(x,y)=分段{1/(x²+y²),(x,y)≠(0,0);无定义，(x,y)=(0,0)}（在(0,0)不可微）###-###&gt;&gt;&gt;f(x)=分段{sin(1/x),x≠0;0,x=0}（x→0极限不存在）,g(x)=分段{1/sin(1/x),x≠0;无定义，x=0}（x→0极限不存在）###-###&gt;&gt;&gt;f(x,y)=分段{1,xy≠0;0,xy=0}（在(0,0)不连续）,g(x,y)=分段{1,xy≠0;无定义，xy=0}（在(0,0)不连续）###-###&gt;&gt;&gt;f(x)=x+1（非周期函数）,g(x)=1/(x+1)（非周期函数）###-###&gt;&gt;&gt;f(x)=狄利克雷函数（不可积）,g(x)=分段{1,x∈Q;无定义，x∉Q}（不可积）###-###&gt;&gt;&gt;f(x,y)=x²y/(x⁴+y²)（在(0,0)二阶偏导不连续）,g(x,y)=(x⁴+y²)/(x²y)（在(0,0)二阶偏导不连续）###-###&gt;&gt;&gt;f(x)=x²+1（非奇函数）,g(x)=1/(x²+1)（非奇函数）###-###&gt;&gt;&gt;f(x)=x+1（非偶函数）,g(x)=1/(x+1)（非偶函数）###-###&gt;&gt;&gt;f(x)=|x|（在x=0无切线）,g(x)=1/|x|（在x=0无定义，无切线）###-###&gt;&gt;&gt;f(x)=1/x（无穷积分∫1/xdx从1到∞发散）,g(x)=x（无穷积分∫xdx从1到∞发散）###-</t>
  </si>
  <si>
    <t>01：###&gt;&gt;&gt;NA（若f(x)在x0不可导且f(x0)≠0，则g(x)=1/f(x)在x0必不可导，因导数公式含f²分母）###-###&gt;&gt;&gt;NA（若f(x,y)在某点偏导数不存在且f≠0，则g=1/f偏导数必不存在，偏导公式依赖f的导数）###-###&gt;&gt;&gt;NA（若f(x)在x0不连续且f(x0)≠0，则g=1/f在x0必不连续，因极限不存在）###-###&gt;&gt;&gt;NA（若f(x,y)在某点不可微且f≠0，则g=1/f不可微，因可微性要求偏导存在）###-###&gt;&gt;&gt;NA（若f(x)在x→x0极限不存在且f≠0，则g=1/f极限必不存在，极限运算不保持）###-###&gt;&gt;&gt;NA（若f(x,y)在某点不连续且f≠0，则g=1/f必不连续，连续性依赖f的连续性）###-###&gt;&gt;&gt;NA（非周期函数取倒数仍为非周期函数，无法构造g为周期函数）###-###&gt;&gt;&gt;NA（若f(x)不可积且f≠0，则g=1/f可能仍不可积，如狄利克雷函数）###-###&gt;&gt;&gt;NA（若f(x,y)二阶偏导不连续且f≠0，则g=1/f的二阶偏导必不连续，依赖f的导数连续性）###-###&gt;&gt;&gt;NA（若f(x)非奇函数且f≠0，g=1/f必非奇函数，因1/f(-x)≠-1/f(x)）###-###&gt;&gt;&gt;NA（若f(x)非偶函数且f≠0，g=1/f必非偶函数，因1/f(-x)≠1/f(x)）###-###&gt;&gt;&gt;NA（若f(x)在x0无切线且f(x0)≠0，则g=1/f在x0无定义或导数不存在，无切线）###-###&gt;&gt;&gt;f(x)=e^(-x²)（无穷积分∫e^(-x²)dx收敛）,g(x)=e^(x²)（无穷积分∫e^(x²)dx发散，因被积函数指数增长）###-</t>
  </si>
  <si>
    <t>10：###&gt;&gt;&gt;f(x)=x（在x0=0可导）,g(x)=1/x（在x0=0不可导，分母为0）###-###&gt;&gt;&gt;f(x,y)=x（偏导数存在）,g(x,y)=1/x（在x=0偏导数不存在，分母为0）###-###&gt;&gt;&gt;NA（若f(x)在区间连续且f≠0，则g=1/f必连续，连续函数倒数在非零点连续）###-###&gt;&gt;&gt;f(x,y)=x²+y²+1（可微）,g(x,y)=1/(x²+y²+1)（可微）###-###&gt;&gt;&gt;NA（若f(x)在x→x0极限存在且f≠0，则g=1/f极限必存在，为1/limf(x)）###-###&gt;&gt;&gt;NA（若f(x,y)连续且f≠0，则g=1/f必连续，连续性定理）###-###&gt;&gt;&gt;NA（若f(x)周期T，则g=1/f必周期T，因f(x+T)=f(x)⇒g(x+T)=g(x)）###-###&gt;&gt;&gt;NA（若f(x)可积且f≠0，则g=1/f可能不可积，如f(x)=x在[-1,1]可积，g=1/x不可积）###-###&gt;&gt;&gt;f(x,y)=x²+y²+1（二阶偏导连续）,g(x,y)=1/(x²+y²+1)（二阶偏导连续）###-###&gt;&gt;&gt;NA（若f(x)是奇函数且f≠0，则g=1/f必为奇函数，因1/f(-x)=-1/f(x)）###-###&gt;&gt;&gt;NA（若f(x)是偶函数且f≠0，则g=1/f必为偶函数，因1/f(-x)=1/f(x)）###-###&gt;&gt;&gt;f(x)=x+1（在x=0切线存在）,g(x)=1/(x+1)（在x=0切线存在，导数为-1）###-###&gt;&gt;&gt;f(x)=1/x²（无穷积分∫1/x²dx收敛）,g(x)=x²（无穷积分∫x²dx发散，因被积函数趋于无穷）###-</t>
  </si>
  <si>
    <t>11：###&gt;&gt;&gt;NA（若f(x)可导且f≠0，则g=1/f必可导，导数为-f’/f²，故无法构造f可导但g不可导的11情况）###-###&gt;&gt;&gt;NA（若f(x,y)偏导数存在且f≠0，则g=1/f偏导数必存在，偏导公式保证）###-###&gt;&gt;&gt;NA（若f(x)连续且f≠0，则g=1/f必连续，连续函数倒数性质）###-###&gt;&gt;&gt;NA（若f(x,y)可微且f≠0，则g=1/f必可微，复合函数可微性）###-###&gt;&gt;&gt;NA（若f(x)极限存在且f≠0，则g=1/f极限必存在，极限运算性质）###-###&gt;&gt;&gt;NA（若f(x,y)连续且f≠0，则g=1/f必连续，同连续性逻辑）###-###&gt;&gt;&gt;NA（若f(x)周期T，则g=1/f必周期T，周期函数性质）###-###&gt;&gt;&gt;NA（若f(x)可积且f≠0，则g=1/f可能不可积，如f(x)=x在[-1,1]可积，g=1/x不可积）###-###&gt;&gt;&gt;NA（若f(x,y)二阶偏导连续且f≠0，则g=1/f二阶偏导必连续，导数连续性传递）###-###&gt;&gt;&gt;NA（若f(x)是奇函数且f≠0，则g=1/f必为奇函数，奇偶性保持）###-###&gt;&gt;&gt;NA（若f(x)是偶函数且f≠0，则g=1/f必为偶函数，奇偶性保持）###-###&gt;&gt;&gt;NA（若f(x)在x0切线存在且f≠0，则g=1/f在x0切线存在，导数公式保证）###-###&gt;&gt;&gt;NA（若f(x)反常积分收敛且f≠0，则g=1/f反常积分必发散，因f→0时1/f→∞或f→c≠0时1/f不趋于0）###-</t>
  </si>
  <si>
    <t>平方（f(x)²=g(x)或f(x,y)²=g(x,y)）</t>
  </si>
  <si>
    <t>00：###&gt;&gt;&gt;f(x)=分段{x,x≠0;1,x=0}（在x=0不可导）,g(x)=分段{x²,x≠0;1,x=0}（在x=0不可导）###-###&gt;&gt;&gt;f(x,y)=|x|+|y|（在(0,0)偏导数不存在）,g(x,y)=(|x|+|y|)²（在(0,0)偏导数不存在）###-###&gt;&gt;&gt;f(x)=分段{1,x≥0;0,x&lt;0}（在x=0不连续）,g(x)=分段{1,x≥0;0,x&lt;0}（在x=0不连续）###-###&gt;&gt;&gt;f(x,y)=分段{1,x≥0;0,x&lt;0}（在x=0不可微）,g(x,y)=分段{1,x≥0;0,x&lt;0}（在x=0不可微）###-###&gt;&gt;&gt;f(x)=分段{sin(1/x),x≠0;0,x=0}（x→0极限不存在）,g(x)=分段{sin²(1/x),x≠0;0,x=0}（x→0极限不存在）###-###&gt;&gt;&gt;f(x,y)=分段{1,xy≠0;0,xy=0}（在(0,0)不连续）,g(x,y)=分段{1,xy≠0;0,xy=0}（在(0,0)不连续）###-###&gt;&gt;&gt;f(x)=x+1（非周期函数）,g(x)=(x+1)²（非周期函数）###-###&gt;&gt;&gt;f(x)=狄利克雷函数（不可积）,g(x)=分段{1,x∈Q;0,x∉Q}（不可积）###-###&gt;&gt;&gt;f(x,y)=x²y/(x⁴+y²)（在(0,0)二阶偏导不连续）,g(x,y)=[x²y/(x⁴+y²)]²（在(0,0)二阶偏导不连续）###-###&gt;&gt;&gt;f(x)=x+1（非奇函数）,g(x)=(x+1)²（非奇函数）###-###&gt;&gt;&gt;f(x)=x+1（非偶函数）,g(x)=(x+1)²（非偶函数）###-###&gt;&gt;&gt;f(x)=分段{x,x≥0;2x,x&lt;0}（在x=0无切线）,g(x)=分段{x²,x≥0;4x²,x&lt;0}（在x=0无切线）###-###&gt;&gt;&gt;f(x)=1/x（无穷积分∫1/xdx从1到∞发散）,g(x)=1/x²（无穷积分∫1/x²dx从1到∞收敛）###-</t>
  </si>
  <si>
    <t>01：###&gt;&gt;&gt;NA（若f(x)在x0处不可导且不连续，则g(x)=f(x)²在x0处因函数值跳跃而不连续，必然不可导，故无法构造此情形）###-###&gt;&gt;&gt;f(x,y)=|x|（在(0,0)处对x的偏导数不存在）,g(x,y)=|x|²=x²（在(0,0)处对x的偏导数存在，为0）###-###&gt;&gt;&gt;NA（若f(x)在x0处不连续，则g(x)=f(x)²在x0处的左右极限必为f(x)左右极限的平方，若f(x)左右极限不等或与函数值不等，g(x)必不连续，故无法构造f不连续但g连续的情形）###-###&gt;&gt;&gt;f(x,y)=|x|（在(0,0)处不可微，因对x的偏导数不存在）,g(x,y)=|x|²=x²（在(0,0)处可微，因偏导数存在且满足全微分条件）###-###&gt;&gt;&gt;f(x)=分段{1,x&gt;0;-1,x&lt;0;0,x=0}（x→0时左极限为-1，右极限为1，极限不存在，不满足性质E）,g(x)=f(x)²=分段{1,x≠0;0,x=0}（x→0时左右极限均为1，极限存在，满足性质E）###-###&gt;&gt;&gt;f(x,y)=分段{2,xy≠0;0,xy=0}（在(0,0)处不连续，不满足性质F），g(x,y)=4（在(0,0)处连续，满足性质F）###-###&gt;&gt;&gt;f(x)=|sin(x)|,g(x)=sin(x)²###-###&gt;&gt;&gt;f(x)=分段{1,x∈Q;-1,x∉Q}（不可积）,g(x)=分段{1,x∈Q;1,x∉Q}（可积，因g几乎处处为1，满足黎曼可积的“几乎处处连续”条件）###-###&gt;&gt;&gt;NA（f(x,y)在(0,0)处二阶偏导不连续，其平方后g(x,y)=[x²y/(x⁴+y²)]²在该点附近沿不同路径（如y=kx²）极限值随k变化而不同，导致g(x,y)在(0,0)处不连续，进而二阶偏导必不连续，无法满足性质I）###-###&gt;&gt;&gt;NA（若f(x)非奇函数，g(x)=f²(x)可能为偶函数，如f(x)=x+1非奇函数，g(x)=(x+1)²非奇函数，无法使g为奇函数）###-###&gt;&gt;&gt;f(x)=x（非偶函数，不满足性质K），g(x)=x²（偶函数，满足性质K）###-###&gt;&gt;&gt;f(x)=|x|（在x=0处无切线，不满足性质L），g(x)=x²（在x=0处切线为y=0，满足性质L）###-###&gt;&gt;&gt;f(x)=1/x（无穷积分∫1/xdx从1到∞发散）,g(x)=1/x²（无穷积分∫1/x²dx从1到∞收敛）###-</t>
  </si>
  <si>
    <t>10：###&gt;&gt;&gt;f(x)=x（在x=0可导）,g(x)=x²（在x=0可导）###-###&gt;&gt;&gt;f(x,y)=x（偏导数存在）,g(x,y)=x²（偏导数存在）###-###&gt;&gt;&gt;NA（若f(x)连续，则g(x)=f²(x)必连续）###-###&gt;&gt;&gt;f(x,y)=x（可微）,g(x,y)=x²（可微）###-###&gt;&gt;&gt;NA（若f(x)在x→x0极限存在，则g(x)=f²(x)极限必存在）###-###&gt;&gt;&gt;NA（若f(x,y)连续，则g(x,y)=f²(x,y)必连续）###-###&gt;&gt;&gt;NA（若f(x)周期T，则g(x)=f²(x)周期≤T，如f(x)=sinx周期2π，g(x)=sin²x也有周期2π）###-###&gt;&gt;&gt;NA（若f(x)可积，则g(x)=f²(x)必可积）###-###&gt;&gt;&gt;f(x,y)=x³（二阶偏导连续）,g(x,y)=x⁶（二阶偏导连续）###-###&gt;&gt;&gt;f(x)=x（奇函数）,g(x)=x²（偶函数）###-###&gt;&gt;&gt;f(x)=x²（偶函数）,g(x)=x⁴（偶函数）###-###&gt;&gt;&gt;f(x)=x（在x=0切线存在）,g(x)=x²（在x=0切线存在）###-###&gt;&gt;&gt;f(x)=1/x²（无穷积分∫1/x²dx从1到∞收敛）,g(x)=1/x⁴（无穷积分∫1/x⁴dx从1到∞收敛）###-</t>
  </si>
  <si>
    <t>11：###&gt;&gt;&gt;f(x)=x²（二阶可导）,g(x)=x⁴（二阶可导）###-###&gt;&gt;&gt;f(x,y)=x²+y²（偏导数存在）,g(x,y)=(x²+y²)²（偏导数存在）###-###&gt;&gt;&gt;f(x)=x（连续）,g(x)=x²（连续）###-###&gt;&gt;&gt;f(x,y)=x（可微）,g(x,y)=x²（可微）###-###&gt;&gt;&gt;f(x)=x（极限存在）,g(x)=x²（极限存在）###-###&gt;&gt;&gt;f(x,y)=x+y（连续）,g(x,y)=(x+y)²（连续）###-###&gt;&gt;&gt;f(x)=sinx周期2π，g(x)=sin²x也有周期2π###-###&gt;&gt;&gt;f(x)=1（可积）,g(x)=1（可积）###-###&gt;&gt;&gt;f(x,y)=x⁴+y⁴（二阶偏导连续）,g(x,y)=(x⁴+y⁴)²（二阶偏导连续）###-###&gt;&gt;&gt;f(x)=x（奇函数）,g(x)=x²（偶函数）###-###&gt;&gt;&gt;f(x)=x²（偶函数）,g(x)=x⁴（偶函数）###-###&gt;&gt;&gt;f(x)=x（在x=0切线存在）,g(x)=x²（在x=0切线存在）###-###&gt;&gt;&gt;f(x)=e^(-x)（无穷积分∫e^(-x)dx从0到∞收敛）,g(x)=e^(-2x)（无穷积分∫e^(-2x)dx从0到∞收敛）###-</t>
  </si>
  <si>
    <t>立方（f(x)³=g(x)或f(x,y)³=g(x,y)）</t>
  </si>
  <si>
    <t>00：###&gt;&gt;&gt;f(x)=|x|（在x=0不可导）,g(x)=|x|³（在x=0不可导，因左右导数均为0但f'''(0)不存在）###-###&gt;&gt;&gt;f(x,y)=|x|+|y|（在(0,0)偏导数不存在）,g(x,y)=(|x|+|y|)³（在(0,0)偏导数不存在）###-###&gt;&gt;&gt;f(x)=分段{1,x≥0;0,x&lt;0}（在x=0不连续）,g(x)=分段{1,x≥0;0,x&lt;0}（在x=0不连续）###-###&gt;&gt;&gt;f(x,y)=分段{1,x≥0;0,x&lt;0}（在x=0不可微）,g(x,y)=分段{1,x≥0;0,x&lt;0}（在x=0不可微）###-###&gt;&gt;&gt;f(x)=分段{sin(1/x),x≠0;0,x=0}（x→0极限不存在）,g(x)=分段{sin³(1/x),x≠0;0,x=0}（x→0极限不存在）###-###&gt;&gt;&gt;f(x,y)=分段{1,xy≠0;0,xy=0}（在(0,0)不连续）,g(x,y)=分段{1,xy≠0;0,xy=0}（在(0,0)不连续）###-###&gt;&gt;&gt;f(x)=x+1（非周期函数）,g(x)=(x+1)³（非周期函数）###-###&gt;&gt;&gt;f(x)=狄利克雷函数（不可积）,g(x)=分段{1,x∈Q;0,x∉Q}（不可积）###-###&gt;&gt;&gt;f(x,y)=x²y/(x⁴+y²)（在(0,0)二阶偏导不连续）,g(x,y)=[x²y/(x⁴+y²)]³（在(0,0)二阶偏导不连续）###-###&gt;&gt;&gt;f(x)=x+1（非奇函数）,g(x)=(x+1)³（非奇函数）###-###&gt;&gt;&gt;f(x)=x+1（非偶函数）,g(x)=(x+1)³（非偶函数）###-###&gt;&gt;&gt;f(x)=分段{x,x≥0;2x,x&lt;0}（在x=0无切线）,g(x)=分段{x³,x≥0;8x³,x&lt;0}（在x=0无切线）###-###&gt;&gt;&gt;f(x)=1/x（无穷积分∫1/xdx从1到∞发散）,g(x)=1/x³（无穷积分∫1/x³dx从1到∞收敛）###-</t>
  </si>
  <si>
    <t>01：###&gt;&gt;&gt;NA（若f(x)在x0不可导，则g(x)=f³(x)在x0仍不可导，如f(x)=|x|，g(x)=|x|³不可导）###-###&gt;&gt;&gt;NA（若f(x,y)在某点偏导数不存在，则g(x)=f³(x,y)偏导数仍不存在，如f(x,y)=|x|+|y|）###-###&gt;&gt;&gt;NA（若f(x)在x0不连续，则g(x)=f³(x)在x0必不连续，因连续性要求极限等于函数值）###-###&gt;&gt;&gt;NA（若f(x,y)在某点不可微，则g(x)=f³(x,y)不可微，因可微性要求偏导存在且满足全微分条件）###-###&gt;&gt;&gt;NA（若f(x)在x→x0极限不存在，则g(x)=f³(x)极限必不存在，因极限运算性质）###-###&gt;&gt;&gt;NA（若f(x,y)在某点不连续，则g(x)=f³(x,y)必不连续，同连续性逻辑）###-###&gt;&gt;&gt;NA（非周期函数立方仍为非周期函数，无法使g为周期函数）###-###&gt;&gt;&gt;NA（若f(x)不可积，则g(x)=f³(x)仍不可积，如狄利克雷函数）###-###&gt;&gt;&gt;NA（若f(x,y)二阶偏导不连续，则g(x)=f³(x,y)的二阶偏导依赖f的导数连续性，必不连续）###-###&gt;&gt;&gt;NA（若f(x)非奇函数，则g(x)=f³(x)仍非奇函数，如f(x)=x+1）###-###&gt;&gt;&gt;NA（若f(x)非偶函数，则g(x)=f³(x)仍非偶函数，如f(x)=x+1）###-###&gt;&gt;&gt;NA（若f(x)在x0无切线，则g(x)=f³(x)在x0无定义或导数不存在，无切线）###-###&gt;&gt;&gt;f(x)=1/x（无穷积分∫1/xdx从1到∞发散）,g(x)=1/x³（无穷积分∫1/x³dx从1到∞收敛）###-</t>
  </si>
  <si>
    <t>10：###&gt;&gt;&gt;f(x)=x（在x=0可导）,g(x)=x³（在x=0可导）###-###&gt;&gt;&gt;f(x,y)=x（偏导数存在）,g(x,y)=x³（偏导数存在）###-###&gt;&gt;&gt;NA（若f(x)在区间连续，则g(x)=f³(x)必连续，因连续函数的立方仍连续）###-###&gt;&gt;&gt;f(x,y)=x（可微）,g(x,y)=x³（可微）###-###&gt;&gt;&gt;NA（若f(x)在x→x0极限存在，则g(x)=f³(x)极限必存在，为[limf(x)]³）###-###&gt;&gt;&gt;NA（若f(x,y)连续，则g(x)=f³(x,y)必连续，同连续性定理）###-###&gt;&gt;&gt;NA（若f(x)周期T，则g(x)=f³(x)必周期T，因f(x+T)=f(x)⇒g(x+T)=g(x)）###-###&gt;&gt;&gt;NA（若f(x)可积，则g(x)=f³(x)必可积，因可积函数的立方仍可积）###-###&gt;&gt;&gt;f(x,y)=x³（二阶偏导连续）,g(x,y)=x⁹（二阶偏导连续）###-###&gt;&gt;&gt;f(x)=x（奇函数）,g(x)=x³（奇函数）###-###&gt;&gt;&gt;f(x)=x²（偶函数）,g(x)=x⁶（偶函数）###-###&gt;&gt;&gt;f(x)=x（在x=0切线存在）,g(x)=x³（在x=0切线存在）###-###&gt;&gt;&gt;f(x)=1/x²（无穷积分∫1/x²dx从1到∞收敛）,g(x)=1/x⁶（无穷积分∫1/x⁶dx从1到∞收敛）###-</t>
  </si>
  <si>
    <t>11：###&gt;&gt;&gt;f(x)=x²（二阶可导）,g(x)=x⁶（二阶可导）###-###&gt;&gt;&gt;f(x,y)=x²+y²（偏导数存在）,g(x,y)=(x²+y²)³（偏导数存在）###-###&gt;&gt;&gt;f(x)=x（连续）,g(x)=x³（连续）###-###&gt;&gt;&gt;f(x,y)=x（可微）,g(x,y)=x³（可微）###-###&gt;&gt;&gt;f(x)=x（极限存在）,g(x)=x³（极限存在）###-###&gt;&gt;&gt;f(x,y)=x+y（连续）,g(x,y)=(x+y)³（连续）###-###&gt;&gt;&gt;NA（若f(x)周期T，则g(x)=f³(x)周期T，但g(x)=sin³x周期2π与f(x)=sinx周期2π相同，符合原周期定义）###-###&gt;&gt;&gt;f(x)=1（可积）,g(x)=1（可积）###-###&gt;&gt;&gt;f(x,y)=x⁴+y⁴（二阶偏导连续）,g(x,y)=(x⁴+y⁴)³（二阶偏导连续）###-###&gt;&gt;&gt;f(x)=x（奇函数）,g(x)=x³（奇函数）###-###&gt;&gt;&gt;f(x)=x²（偶函数）,g(x)=x⁶（偶函数）###-###&gt;&gt;&gt;f(x)=x（在x=0切线存在）,g(x)=x³（在x=0切线存在）###-###&gt;&gt;&gt;f(x)=e^(-x)（无穷积分∫e^(-x)dx从0到∞收敛）,g(x)=e^(-3x)（无穷积分∫e^(-3x)dx从0到∞收敛）###-</t>
  </si>
  <si>
    <t>平方根（sqrt(f(x))=g(x)或sqrt(f(x,y))=g(x,y)）</t>
  </si>
  <si>
    <t>00：###&gt;&gt;&gt;f(x)=|x|（在x=0不可导）,g(x)=sqrt(|x|)（在x=0不可导，导数为无穷大）###-###&gt;&gt;&gt;f(x,y)=|x|+|y|（在(0,0)偏导数不存在）,g(x,y)=sqrt(|x|+|y|)（在(0,0)偏导数不存在）###-###&gt;&gt;&gt;f(x)=分段{1,x≥0;0,x&lt;0}（在x=0不连续）,g(x)=分段{1,x≥0;0,x&lt;0}（在x=0不连续）###-###&gt;&gt;&gt;f(x,y)=分段{1,x≥0;0,x&lt;0}（在x=0不可微）,g(x,y)=分段{1,x≥0;0,x&lt;0}（在x=0不可微）###-###&gt;&gt;&gt;f(x)=分段{sin²(1/x),x≠0;0,x=0}（x→0极限不存在）,g(x)=分段{|sin(1/x)|,x≠0;0,x=0}（x→0极限不存在）###-###&gt;&gt;&gt;f(x,y)=分段{1,xy≠0;0,xy=0}（在(0,0)不连续）,g(x,y)=分段{1,xy≠0;0,xy=0}（在(0,0)不连续）###-###&gt;&gt;&gt;f(x)=x²+1（非周期函数）,g(x)=sqrt(x²+1)（非周期函数）###-###&gt;&gt;&gt;f(x)=狄利克雷函数（不可积）,g(x)=分段{1,x∈Q;0,x∉Q}（不可积）###-###&gt;&gt;&gt;f(x,y)=x²y²/(x⁴+y⁴)（在(0,0)二阶偏导不连续）,g(x,y)=|xy|/sqrt(x⁴+y⁴)（在(0,0)二阶偏导不连续）###-###&gt;&gt;&gt;f(x)=x²（偶函数）,g(x)=|x|（偶函数）###-###&gt;&gt;&gt;f(x)=x²+1（非奇函数）,g(x)=sqrt(x²+1)（非奇函数）###-###&gt;&gt;&gt;f(x)=分段{x²,x≥0;2x²,x&lt;0}（在x=0无切线）,g(x)=分段{|x|,x≥0;|x|sqrt(2),x&lt;0}（在x=0无切线）###-###&gt;&gt;&gt;f(x)=1/x⁴（无穷积分∫1/x⁴dx从1到∞收敛）,g(x)=1/x²（无穷积分∫1/x²dx从1到∞收敛）###-</t>
  </si>
  <si>
    <t>01：###&gt;&gt;&gt;NA（若f(x)在x0不可导且f(x0)&gt;0，则g(x)=sqrt(f(x))在x0可能仍不可导，如f(x)=|x|，g(x)=sqrt(|x|)不可导）###-###&gt;&gt;&gt;NA（若f(x,y)在某点偏导数不存在且f&gt;0，则g=sqrt(f)偏导数仍不存在，如f(x,y)=|x|+|y|）###-###&gt;&gt;&gt;NA（若f(x)在x0不连续且f(x0)≥0，则g=sqrt(f)在x0必不连续，因连续性要求极限等于函数值）###-###&gt;&gt;&gt;NA（若f(x,y)在某点不可微且f&gt;0，则g=sqrt(f)不可微，因可微性要求偏导存在且满足全微分条件）###-###&gt;&gt;&gt;NA（若f(x)在x→x0极限不存在且f(x)≥0，则g=sqrt(f)极限必不存在，因极限运算性质）###-###&gt;&gt;&gt;NA（若f(x,y)在某点不连续且f≥0，则g=sqrt(f)必不连续，同连续性逻辑）###-###&gt;&gt;&gt;NA（非周期函数的平方根仍为非周期函数，无法使g为周期函数）###-###&gt;&gt;&gt;NA（若f(x)不可积且f(x)≥0，则g=sqrt(f)可能仍不可积，如狄利克雷函数）###-###&gt;&gt;&gt;NA（若f(x,y)二阶偏导不连续且f&gt;0，则g=sqrt(f)的二阶偏导依赖f的导数连续性，必不连续）###-###&gt;&gt;&gt;NA（若f(x)非偶函数且f(x)≥0，则g=sqrt(f)可能仍非偶函数，如f(x)=x²+1）###-###&gt;&gt;&gt;NA（若f(x)非奇函数且f(x)≥0，则g=sqrt(f)可能仍非奇函数，如f(x)=x²+1）###-###&gt;&gt;&gt;NA（若f(x)在x0无切线且f(x0)&gt;0，则g=sqrt(f)在x0无定义或导数不存在，无切线）###-###&gt;&gt;&gt;f(x)=1/x⁴（无穷积分∫1/x⁴dx从1到∞收敛）,g(x)=1/x²（无穷积分∫1/x²dx从1到∞收敛）###-</t>
  </si>
  <si>
    <t>10：###&gt;&gt;&gt;f(x)=x²（在x=0可导）,g(x)=|x|（在x=0不可导）###-###&gt;&gt;&gt;f(x,y)=x²+y²（偏导数存在）,g(x)=sqrt(x²+y²)（在(0,0)偏导数不存在）###-###&gt;&gt;&gt;NA（若f(x)在区间连续且f(x)≥0，则g=sqrt(f)必连续，因连续函数的平方根仍连续）###-###&gt;&gt;&gt;f(x,y)=x²+y²（可微）,g(x)=sqrt(x²+y²)（在(0,0)不可微）###-###&gt;&gt;&gt;NA（若f(x)在x→x0极限存在且f(x)≥0，则g=sqrt(f)极限必存在，为sqrt(limf(x))）###-###&gt;&gt;&gt;NA（若f(x,y)连续且f(x,y)≥0，则g=sqrt(f)必连续，同连续性定理）###-###&gt;&gt;&gt;NA（若f(x)周期T，则g=sqrt(f)周期≤T，如f(x)=sin²x周期π，g(x)=|sinx|周期π）###-###&gt;&gt;&gt;NA（若f(x)可积且f(x)≥0，则g=sqrt(f)必可积，因可积函数的平方根仍可积）###-###&gt;&gt;&gt;f(x,y)=x⁴+y⁴（二阶偏导连续）,g(x)=sqrt(x⁴+y⁴)（在(0,0)二阶偏导不连续）###-###&gt;&gt;&gt;f(x)=x²（偶函数）,g(x)=|x|（偶函数）###-###&gt;&gt;&gt;f(x)=x²（偶函数）,g(x)=|x|（偶函数）###-###&gt;&gt;&gt;f(x)=x²（在x=0切线存在）,g(x)=|x|（在x=0无切线）###-###&gt;&gt;&gt;f(x)=1/x⁴（无穷积分∫1/x⁴dx从1到∞收敛）,g(x)=1/x²（无穷积分∫1/x²dx从1到∞收敛）###-</t>
  </si>
  <si>
    <t>11：###&gt;&gt;&gt;NA（若f(x)在x0二阶可导且f(x0)&gt;0，则g=sqrt(f)在x0的二阶导数可能不存在，如f(x)=x²，g=|x|二阶导数不存在）###-###&gt;&gt;&gt;NA（若f(x,y)在某点偏导数存在且f&gt;0，则g=sqrt(f)偏导数可能不存在，如f(x,y)=x²+y²）###-###&gt;&gt;&gt;NA（若f(x)在区间连续且f(x)≥0，则g=sqrt(f)必连续，因连续函数的平方根仍连续）###-###&gt;&gt;&gt;NA（若f(x,y)在某点可微且f&gt;0，则g=sqrt(f)可能不可微，如f(x,y)=x²+y²）###-###&gt;&gt;&gt;NA（若f(x)在x→x0极限存在且f(x)≥0，则g=sqrt(f)极限必存在，为sqrt(limf(x))）###-###&gt;&gt;&gt;NA（若f(x,y)连续且f(x,y)≥0，则g=sqrt(f)必连续，同连续性定理）###-###&gt;&gt;&gt;NA（若f(x)周期T，则g=sqrt(f)周期≤T，如f(x)=sin²x周期π，g(x)=|sinx|周期π）###-###&gt;&gt;&gt;NA（若f(x)可积且f(x)≥0，则g=sqrt(f)必可积，因可积函数的平方根仍可积）###-###&gt;&gt;&gt;NA（若f(x,y)二阶偏导连续且f&gt;0，则g=sqrt(f)的二阶偏导可能不连续，如f(x,y)=x⁴+y⁴）###-###&gt;&gt;&gt;NA（若f(x)是偶函数且f(x)≥0，则g=sqrt(f)必为偶函数，因sqrt(f(-x))=sqrt(f(x))）###-###&gt;&gt;&gt;NA（若f(x)是偶函数且f(x)≥0，则g=sqrt(f)必为偶函数，同上）###-###&gt;&gt;&gt;NA（若f(x)在x0切线存在且f(x0)&gt;0，则g=sqrt(f)在x0可能无切线，如f(x)=x²）###-###&gt;&gt;&gt;NA（若f(x)为反常积分收敛且f(x)≥0，则g=sqrt(f)的反常积分可能发散，如f(x)=1/x⁴收敛，g=1/x²发散）###-</t>
  </si>
  <si>
    <t>立方根（curt(f(x))=g(x)或curt(f(x,y))=g(x,y)）</t>
  </si>
  <si>
    <t>00：###&gt;&gt;&gt;f(x)=|x|（在x=0不可导）,g(x)=curt(|x|)（在x=0导数为无穷大，不可导）###-###&gt;&gt;&gt;f(x,y)=|x|+|y|（在(0,0)偏导数不存在）,g(x,y)=curt(|x|+|y|)（在(0,0)偏导数不存在）###-###&gt;&gt;&gt;f(x)=分段{1,x≥0;0,x&lt;0}（在x=0不连续）,g(x)=分段{curt(1),x≥0;curt(0),x&lt;0}={1,x≥0;0,x&lt;0}（在x=0不连续）###-###&gt;&gt;&gt;f(x,y)=分段{1,x≥0;0,x&lt;0}（在x=0不可微）,g(x,y)=分段{1,x≥0;0,x&lt;0}（在x=0不可微）###-###&gt;&gt;&gt;f(x)=分段{sin(1/x),x≠0;0,x=0}（x→0极限不存在）,g(x)=分段{curt(sin(1/x)),x≠0;0,x=0}（x→0极限不存在）###-###&gt;&gt;&gt;f(x,y)=分段{1,xy≠0;0,xy=0}（在(0,0)不连续）,g(x,y)=分段{1,xy≠0;0,xy=0}（在(0,0)不连续）###-###&gt;&gt;&gt;f(x)=x+1（非周期函数）,g(x)=curt(x+1)（非周期函数）###-###&gt;&gt;&gt;f(x)=狄利克雷函数（不可积）,g(x)=分段{1,x∈Q;0,x∉Q}（不可积）###-###&gt;&gt;&gt;f(x,y)=x²y/(x⁴+y²)（在(0,0)二阶偏导不连续）,g(x,y)=curt(x²y/(x⁴+y²))（在(0,0)二阶偏导不连续）###-###&gt;&gt;&gt;f(x)=x²+1（非奇函数）,g(x)=curt(x²+1)（非奇函数）###-###&gt;&gt;&gt;f(x)=x+1（非偶函数）,g(x)=curt(x+1)（非偶函数）###-###&gt;&gt;&gt;f(x)=|x|（在x=0无切线）,g(x)=curt(|x|)（在x=0无切线，导数无穷大）###-###&gt;&gt;&gt;f(x)=1/x（无穷积分∫1/xdx从1到∞发散）,g(x)=1/x^(1/3)（无穷积分∫1/x^(1/3)dx从1到∞发散）###-</t>
  </si>
  <si>
    <t>01：###&gt;&gt;&gt;NA（若f(x)在x0不可导且f(x0)≠0，g(x)=curt(f(x))在x0可能仍不可导，如f(x)=|x|，g(x)不可导）###-###&gt;&gt;&gt;NA（若f(x,y)在某点偏导数不存在且f≠0，g=curt(f)偏导数仍不存在，如f(x,y)=|x|+|y|）###-###&gt;&gt;&gt;NA（若f(x)在x0不连续，则g=curt(f)在x0必不连续，因f极限不存在则g极限也不存在）###-###&gt;&gt;&gt;NA（若f(x,y)在某点不可微且f≠0，则g=curt(f)不可微，因偏导不存在）###-###&gt;&gt;&gt;NA（若f(x)在x→x0极限不存在，则g=curt(f)极限必不存在，因立方根保持极限不存在性）###-###&gt;&gt;&gt;NA（若f(x,y)在某点不连续，则g=curt(f)必不连续，同极限逻辑）###-###&gt;&gt;&gt;NA（非周期函数的立方根仍为非周期函数，无法使g为周期函数）###-###&gt;&gt;&gt;NA（若f(x)不可积且f(x)为有界函数，则g=curt(f)可能仍不可积，如狄利克雷函数）###-###&gt;&gt;&gt;NA（若f(x,y)二阶偏导不连续且f≠0，则g=curt(f)的二阶偏导依赖f的导数连续性，必不连续）###-###&gt;&gt;&gt;NA（若f(x)非奇函数且f(x)≠-f(-x)，则g=curt(f)可能仍非奇函数，如f(x)=x²+1）###-###&gt;&gt;&gt;NA（若f(x)非偶函数且f(x)≠f(-x)，则g=curt(f)可能仍非偶函数，如f(x)=x+1）###-###&gt;&gt;&gt;NA（若f(x)在x0无切线且f(x0)≠0，则g=curt(f)在x0无定义或导数不存在，无切线）###-###&gt;&gt;&gt;f(x)=1/x³（无穷积分∫1/x³dx从1到∞收敛）,g(x)=1/x（无穷积分∫1/xdx从1到∞发散）###-</t>
  </si>
  <si>
    <t>10：###&gt;&gt;&gt;f(x)=x²（在x=0可导）,g(x)=curt(x²)=|x|^(2/3)（在x=0导数不存在）###-###&gt;&gt;&gt;f(x,y)=x²+y²（偏导数存在）,g(x,y)=curt(x²+y²)（在(0,0)偏导数存在但二阶偏导不连续）###-###&gt;&gt;&gt;NA（若f(x)连续，则g=curt(f)必连续，因立方根函数连续）###-###&gt;&gt;&gt;f(x,y)=x³（可微）,g(x,y)=x（可微）###-###&gt;&gt;&gt;NA（若f(x)在x→x0极限存在，则g=curt(f)极限必存在，为curt(limf(x))）###-###&gt;&gt;&gt;NA（若f(x,y)连续，则g=curt(f)必连续，同连续性定理）###-###&gt;&gt;&gt;NA（若f(x)周期T，则g=curt(f)必周期T，因f(x+T)=f(x)⇒g(x+T)=g(x)）###-###&gt;&gt;&gt;NA（若f(x)可积，则g=curt(f)必可积，因可积函数的立方根仍可积（有界时））###-###&gt;&gt;&gt;f(x,y)=x⁶+y⁶（二阶偏导连续）,g(x,y)=x²+y²（二阶偏导连续）###-###&gt;&gt;&gt;f(x)=x³（奇函数）,g(x)=x（奇函数）###-###&gt;&gt;&gt;f(x)=x⁶（偶函数）,g(x)=x²（偶函数）###-###&gt;&gt;&gt;f(x)=x³（在x=0切线存在）,g(x)=x（在x=0切线存在）###-###&gt;&gt;&gt;f(x)=1/x⁶（无穷积分∫1/x⁶dx从1到∞收敛）,g(x)=1/x²（无穷积分∫1/x²dx从1到∞收敛）###-</t>
  </si>
  <si>
    <t>11：###&gt;&gt;&gt;f(x)=x³（二阶可导）,g(x)=x（二阶可导）###-###&gt;&gt;&gt;f(x,y)=x³+y³（偏导数存在）,g(x,y)=x+y（偏导数存在）###-###&gt;&gt;&gt;f(x)=x（连续）,g(x)=curt(x)（连续）###-###&gt;&gt;&gt;f(x,y)=x³+y³（可微）,g(x,y)=x+y（可微）###-###&gt;&gt;&gt;f(x)=x（极限存在）,g(x)=curt(x)（极限存在）###-###&gt;&gt;&gt;f(x,y)=x+y（连续）,g(x,y)=curt(x+y)（连续）###-###&gt;&gt;&gt;f(x)=sinx（周期2π）,g(x)=curt(sinx)（周期2π）###-###&gt;&gt;&gt;f(x)=1（可积）,g(x)=1（可积）###-###&gt;&gt;&gt;f(x,y)=x⁶+y⁶（二阶偏导连续）,g(x,y)=x²+y²（二阶偏导连续）###-###&gt;&gt;&gt;f(x)=x³（奇函数）,g(x)=x（奇函数）###-###&gt;&gt;&gt;f(x)=x⁶（偶函数）,g(x)=x²（偶函数）###-###&gt;&gt;&gt;f(x)=x³（在x=0切线存在）,g(x)=x（在x=0切线存在）###-###&gt;&gt;&gt;f(x)=e^(-3x)（无穷积分∫e^(-3x)dx从0到∞收敛）,g(x)=e^(-x)（无穷积分∫e^(-x)dx从0到∞收敛）###-</t>
  </si>
  <si>
    <t>向上取整（ceil(f(x))=g(x)或ceil(f(x,y))=g(x,y)）</t>
  </si>
  <si>
    <t>00：###&gt;&gt;&gt;f(x)=|x|（在x=0不可导）,g(x)=ceil(|x|)（在x=0不可导，因ceil(0)=0，ceil(|x|)在x→0+时为1，跳跃间断）###-###&gt;&gt;&gt;f(x,y)=|x|+|y|（在(0,0)偏导数不存在）,g(x,y)=ceil(|x|+|y|)（在(0,0)偏导数不存在，因(x,y)→(0,0)时g→1，跳跃）###-###&gt;&gt;&gt;f(x)=分段{0.5,x≥0;-0.5,x&lt;0}（在x=0处不连续，不满足性质C），g(x)=ceil(f(x))=分段{1,x≥0;0,x&lt;0}（在x=0处不连续，不满足性质C）###-###&gt;&gt;&gt;f(x,y)=分段{0.5,xy&lt;0;1.5,xy≥0}（在(0,0)不可微）,g(x,y)=分段{1,xy&lt;0;2,xy≥0}（在(0,0)不可微，跳跃）###-###&gt;&gt;&gt;f(x)=分段{sin(1/x),x≠0;0,x=0}（x→0极限不存在）,g(x)=分段{ceil(sin(1/x)),x≠0;0,x=0}（x→0极限不存在，因sin(1/x)在-1到1间震荡，ceil后在0到1间震荡）###-###&gt;&gt;&gt;f(x,y)=分段{1-|xy|,xy≠0;0,xy=0}（在(0,0)不连续）,g(x,y)=分段{1,xy≠0;0,xy=0}（在(0,0)不连续）###-###&gt;&gt;&gt;f(x)=x+sinx（非周期函数）,g(x)=ceil(x+sinx)（非周期函数，因x递增时g无重复周期）###-###&gt;&gt;&gt;f(x)=分段{1.5,x∈Q;1,x∉Q}（不可积，不满足性质H），g(x)=ceil(f(x))=分段{2,x∈Q;1,x∉Q}（不可积，不满足性质H）###-###&gt;&gt;&gt;f(x,y)=x²y/(x⁴+y²)+1（在(0,0)处二阶偏导不连续，不满足性质I），g(x,y)=ceil(x²y/(x⁴+y²)+1)（在(0,0)处因沿y=kx²路径时f(x,y)趋近于1+k/(1+k²)，其值在(1,2)内波动，导致g(x,y)在1和2之间跳跃，二阶偏导不连续，不满足性质I）###-###&gt;&gt;&gt;f(x)=x（奇函数）,g(x)=ceil(x)（非奇函数，如ceil(1)=1，ceil(-1)=-1，但ceil(0.5)=1，ceil(-0.5)=0，不满足f(-x)=-f(x)）###-###&gt;&gt;&gt;f(x)=x²（偶函数）,g(x)=ceil(x²)（偶函数，因ceil(x²)=ceil((-x)²)）###-###&gt;&gt;&gt;f(x)=x（在x=0切线存在）,g(x)=ceil(x)（在x=0无切线，因x=0处左右导数不存在，跳跃）###-###&gt;&gt;&gt;f(x)=1/x（无穷积分∫1/xdx发散）,g(x)=ceil(1/x)（x≥1时1/x∈(0,1]，ceil(1/x)=1，无穷积分∫1dx发散）###-</t>
  </si>
  <si>
    <t>01：###&gt;&gt;&gt;f(x)=|x|（在x=0不可导）,g(x)=ceil(|x|+0.5)（在x=0可导，因|x|+0.5∈(0.5,1.5)，ceil后为1，常数函数）###-###&gt;&gt;&gt;f(x,y)=|x|（在x=0偏导数不存在）,g(x,y)=ceil(|x|+0.5)（在x=0偏导数存在，因|x|+0.5∈(0.5,1.5)，ceil后为1，偏导为0）###-###&gt;&gt;&gt;f(x)=分段{2.2,x&lt;0;2.8,x≥0}（在x=0处不连续，不满足性质C），g(x)=ceil(f(x))=2（在x=0处连续，满足性质C）###-###&gt;&gt;&gt;f(x,y)=|x|（在x=0不可微）,g(x,y)=ceil(|x|+0.5)（在x=0可微，常数函数）###-###&gt;&gt;&gt;f(x)=分段{0.5,x&lt;0;1.5,x≥0}（x→0极限不存在）,g(x)=分段{1,x&lt;0;2,x≥0}（x→0极限不存在，NA）###-###&gt;&gt;&gt;f(x,y)=分段{0.5,xy&lt;0;1.5,xy≥0}（在(0,0)不连续）,g(x,y)=分段{1,xy&lt;0;2,xy≥0}（在(0,0)不连续，NA）###-###&gt;&gt;&gt;f(x)=|0.5*sin(x)|+0.5,g(x)=1###-###&gt;&gt;&gt;f(x)=狄利克雷函数（不可积）,g(x)=1（可积，因几乎处处为1）###-###&gt;&gt;&gt;f(x,y)=x²y²/(x⁴+y⁴)（在(0,0)处二阶偏导不连续，不满足性质I），g(x,y)=ceil(x²y²/(x⁴+y⁴))=0（在全平面二阶偏导连续，满足性质I，因x²y²/(x⁴+y⁴)≤0.5恒成立，向上取整后为0）###-###&gt;&gt;&gt;f(x)=x+1（非奇函数）,g(x)=ceil(x+1)（非奇函数，如ceil(1+1)=2，ceil(-1+1)=0）###-###&gt;&gt;&gt;f(x)=x+1（非偶函数）,g(x)=ceil(x+1)（非偶函数，如ceil(1+1)=2，ceil(-1+1)=0）###-###&gt;&gt;&gt;f(x)=|x|（在x=0无切线）,g(x)=ceil(|x|+0.5)（在x=0有切线，常数函数导数为0）###-###&gt;&gt;&gt;f(x)=1/x+1（x≥1时1/x+1∈(1,2]，无穷积分∫(1/x+1)dx发散）,g(x)=2（无穷积分∫2dx发散）###-</t>
  </si>
  <si>
    <t>10：###&gt;&gt;&gt;f(x)=x（在x=0可导）,g(x)=ceil(x)（在x=0不可导，因ceil(0)=0，ceil(x)在x→0+时为1，跳跃）###-###&gt;&gt;&gt;f(x,y)=x（偏导数存在）,g(x,y)=ceil(x)（在x=0偏导数不存在，跳跃）###-###&gt;&gt;&gt;NA（若f(x)连续，则g(x)=ceil(f(x))在f(x)为整数处可能不连续，如f(x)=x在x=1连续，g(1)=1，g(1-ε)=1，g(1+ε)=2，不连续）###-###&gt;&gt;&gt;f(x,y)=x（可微）,g(x,y)=ceil(x)（在x=0不可微，跳跃）###-###&gt;&gt;&gt;NA（若f(x)在x→x0极限存在，则g(x)=ceil(f(x))在f(x0)为整数时可能极限不存在，如f(x)=x→1，g(x)→2（x→1+）和1（x→1-））###-###&gt;&gt;&gt;NA（若f(x,y)连续，则g(x,y)=ceil(f(x,y))在f=整数处不连续，如f(x,y)=x+y在(0,1)连续，g(0,1)=1，g(0,1+ε)=2）###-###&gt;&gt;&gt;NA（若f(x)周期T，g(x)=ceil(f(x))周期必为T，因f(x+T)=f(x)⇒g(x+T)=g(x)，但g在整数点间断，仍为周期函数）###-###&gt;&gt;&gt;NA（若f(x)可积，g(x)=ceil(f(x))在f(x)值域不含整数时可积，如f(x)=x+0.5在[0,1]可积，g(x)=1可积，无法构造g不可积的例子）###-###&gt;&gt;&gt;f(x,y)=x³（二阶偏导连续）,g(x,y)=ceil(x³)（在x=0二阶偏导不存在，跳跃）###-###&gt;&gt;&gt;f(x)=x（奇函数）,g(x)=ceil(x)（非奇函数，如ceil(1)=1，ceil(-1)=-1，但ceil(0.5)=1，ceil(-0.5)=0≠-1）###-###&gt;&gt;&gt;f(x)=x²（偶函数）,g(x)=ceil(x²)（偶函数，因x²=(-x)²）###-###&gt;&gt;&gt;f(x)=x（在x=0切线存在）,g(x)=ceil(x)（在x=0无切线，跳跃）###-###&gt;&gt;&gt;f(x)=e^(-x)（无穷积分收敛）,g(x)=ceil(e^(-x))=1（无穷积分发散）###-</t>
  </si>
  <si>
    <t>11：###&gt;&gt;&gt;NA（若f(x)可导，则g(x)=ceil(f(x))在f(x)为整数处不可导，因跳跃，故无法构造f可导且g可导的11情况）###-###&gt;&gt;&gt;NA（若f(x,y)偏导数存在，则g(x,y)=ceil(f(x,y))在f为整数处偏导数不存在，跳跃）###-###&gt;&gt;&gt;NA（若f(x)连续，则g(x)=ceil(f(x))在f(x)为整数处不连续，无法同时连续）###-###&gt;&gt;&gt;NA（若f(x,y)可微，则g(x,y)=ceil(f(x,y))在f为整数处不可微，跳跃）###-###&gt;&gt;&gt;NA（若f(x)在x→x0极限存在，则g(x)=ceil(f(x))在f(x0)为整数时左右极限不同，极限不存在）###-###&gt;&gt;&gt;NA（若f(x,y)连续，则g(x,y)=ceil(f(x,y))在f为整数处不连续，无法同时连续）###-###&gt;&gt;&gt;f(x)=sinx（周期2π，满足性质G），g(x)=ceil(sinx)（周期2π，满足性质G）###-###&gt;&gt;&gt;NA（若f(x)可积，则g(x)=ceil(f(x))可能可积（如f(x)值域不含整数），但需f和g都可积，如f(x)=x+0.5在[0,1]可积，g(x)=1可积）###-###&gt;&gt;&gt;NA（若f(x,y)二阶偏导连续，则g(x,y)=ceil(f(x,y))在f为整数处二阶偏导不存在，跳跃）###-###&gt;&gt;&gt;NA（若f(x)是奇函数且g(x)=ceil(f(x))，则g(-x)=ceil(-f(x))≠-ceil(f(x))，如f(x)=x，g(-x)=ceil(-x)≠-ceil(x)）###-###&gt;&gt;&gt;NA（若f(x)是偶函数，则g(x)=ceil(f(x))是偶函数，因f(-x)=f(x)⇒g(-x)=g(x)，但需f和g都为偶函数，如f(x)=x²，g(x)=ceil(x²)）###-###&gt;&gt;&gt;NA（若f(x)在x0切线存在，则g(x)=ceil(f(x))在x0无切线，因跳跃）###-###&gt;&gt;&gt;NA（若f(x)反常积分收敛，则g(x)=ceil(f(x))因f(x)→0时ceil(f(x))在0附近为0或1，积分可能发散，如f(x)=e^(-x)收敛，g(x)=1（x≥0）发散）###-</t>
  </si>
  <si>
    <t>向下取整（floor(f(x))=g(x)或floor(f(x,y))=g(x,y)）</t>
  </si>
  <si>
    <t>00：###&gt;&gt;&gt;f(x)=|x|（在x=0不可导）,g(x)=floor(|x|)（在x=0不可导，跳跃间断）###-###&gt;&gt;&gt;f(x,y)=|x|+|y|（在(0,0)偏导数不存在）,g(x,y)=floor(|x|+|y|)（在(0,0)偏导数不存在，跳跃）###-###&gt;&gt;&gt;f(x)=分段{0.5,x&lt;0;1.5,x≥0}（在x=0不连续）,g(x)=分段{0,x&lt;0;1,x≥0}（在x=0不连续）###-###&gt;&gt;&gt;f(x,y)=分段{0.5,xy&lt;0;1.5,xy≥0}（在(0,0)不可微）,g(x,y)=分段{0,xy&lt;0;1,xy≥0}（在(0,0)不可微，跳跃）###-###&gt;&gt;&gt;f(x)=分段{sin(1/x),x≠0;0,x=0}（x→0极限不存在）,g(x)=分段{floor(sin(1/x)),x≠0;0,x=0}（x→0极限不存在，震荡）###-###&gt;&gt;&gt;f(x,y)=分段{1-|xy|,xy≠0;0,xy=0}（在(0,0)不连续）,g(x,y)=0（在(0,0)连续，因floor将(0,1)内的f值统一映射为0，消除了跳跃间断）###-###&gt;&gt;&gt;f(x)=x+sinx（非周期函数）,g(x)=floor(x+sinx)（非周期函数）###-###&gt;&gt;&gt;f(x)=分段{1.5,x∈Q;1,x∉Q}（类狄利克雷不可积），g(x)=1（可积，因floor将f(x)恒映射为1，满足可积条件）###-###&gt;&gt;&gt;f(x,y)=x²y/(x⁴+y²)（在(0,0)二阶偏导不连续）,g(x,y)=0（二阶偏导连续，因floor将f(x,y)在(0,0)附近的值强制映射为0，导数恒为0）###-###&gt;&gt;&gt;f(x)=x+1（非奇函数）,g(x)=floor(x+1)（非奇函数）###-###&gt;&gt;&gt;f(x)=x+1（非偶函数）,g(x)=floor(x+1)（非偶函数）###-###&gt;&gt;&gt;f(x)=|x|（在x=0无切线）,g(x)=floor(|x|)（在x=0无切线，分段常数）###-###&gt;&gt;&gt;NA（floor函数对f(x)=1/x（x≥1）取整后恒为0，导致g(x)在积分区间内几乎处处为0，其积分必然收敛，与f(x)的发散性无关，故无法通过f发散推断g必发散）###-</t>
  </si>
  <si>
    <t>01：###&gt;&gt;&gt;f(x)=|x|+0.5（在x=0处因不可导无切线，不满足性质L）,g(x)=floor(|x|+0.5)=1（在x=0处为常数函数，切线存在且为y=1，满足性质L）###-###&gt;&gt;&gt;f(x,y)=|x|+0.5（在x=0处对x的偏导数不存在，不满足性质B）,g(x,y)=floor(|x|+0.5)=1（在全平面偏导数存在，满足性质B，因常数函数偏导恒为0）###-###&gt;&gt;&gt;f(x)=分段{2.2,x&lt;0;2.8,x≥0}（在x=0处左极限2.2，右极限2.8，不连续）,g(x)=floor(f(x))=2（在x=0处左右极限均为2，连续）###-###&gt;&gt;&gt;f(x,y)=|x|+0.5（在(0,0)处因偏导数不存在-&gt;不可微，不满足性质D）,g(x,y)=floor(|x|+0.5)=0（在全平面可微，满足性质D，因常数函数必可微）###-###&gt;&gt;&gt;NA（若f(x)在x→x0极限不存在，g(x)=floor(f(x))可能仍极限不存在，如分段函数，故无需NA）###-###&gt;&gt;&gt;f(x,y)=分段{0.5,xy&lt;0;0.25,xy≥0}（在(0,0)处不连续，不满足性质F），g(x,y)=0（在(0,0)处连续，满足性质F）###-###&gt;&gt;&gt;NA（非周期函数取floor仍为非周期，无法构造g为周期函数）###-###&gt;&gt;&gt;f(x)=狄利克雷函数（不可积）,g(x)=1（可积）###-###&gt;&gt;&gt;f(x,y)=x²y/(x⁴+y²)（在(0,0)处二阶偏导不连续，不满足性质I），g(x,y)=0（分母比分子高阶，绝对值在0-1之间，向下取整全部拉到0。二阶偏导连续，满足性质I）###-###&gt;&gt;&gt;f(x)=分段{1.5,x&gt;0;0.5,x=0;-0.5,x&lt;0},g(x)=分段{1,x&gt;0;0,x=0;-1,x&lt;0}###-###&gt;&gt;&gt;f(x)=分段{0,x≠1;0.5,x=1}（非偶函数，不满足性质K），g(x)=0（偶函数，满足性质K）###-###&gt;&gt;&gt;f(x)=|x|+0.5（在x=0处无切线，不满足性质L），g(x)=floor(|x|+0.5)=0（在x=0处有切线，满足性质L）###-###&gt;&gt;&gt;f(x)=1/x+1（x≥1时floor(1/x+1)=1，无穷积分发散）,g(x)=1（无穷积分发散）###-</t>
  </si>
  <si>
    <t>10：###&gt;&gt;&gt;f(x)=x（在x=0处可导，满足性质A）,g(x)=floor(x)（在x=0处因跳跃间断不可导，不满足性质A）###-###&gt;&gt;&gt;f(x,y)=x（在全平面偏导数存在，满足性质B）,g(x,y)=floor(x)（在x=0处因整数点跳跃导致左右偏导数不存在，不满足性质B）###-###&gt;&gt;&gt;NA（若f(x)连续，则g(x)=floor(f(x))在f(x)∈Z处必间断，因floor函数在整数点跳跃）###-###&gt;&gt;&gt;f(x,y)=x（在全平面可微，满足性质D）,g(x,y)=floor(x)（在x=0处因整数点跳跃不连续，不满足可微性要求，故不满足性质D）###-###&gt;&gt;&gt;NA（若f(x)在x→x0极限存在且f(x0)∈Z，则g(x)左右极限不同，极限不存在）###-###&gt;&gt;&gt;NA（若f(x,y)连续且f(x,y)∈Z，则g(x,y)在该点间断，因floor跳跃）###-###&gt;&gt;&gt;NA（若f(x)周期T，g(x)=floor(f(x))周期必为T，因f(x+T)=f(x)⇒g(x+T)=g(x)，但g在整数点间断，仍为周期函数）###-###&gt;&gt;&gt;NA（若f(x)可积，g(x)=floor(f(x))在f(x)值域不含整数时可积，如f(x)=x+0.5在[0,1]可积，g(x)=0可积，无法构造g不可积的例子）###-###&gt;&gt;&gt;f(x,y)=x³二阶偏导连续，g(x,y)=floor(x³)在x=0处二阶偏导不存在###-###&gt;&gt;&gt;NA（若f(x)是奇函数，g(x)=floor(f(x))非奇函数，因floor(-f(x))≠-floor(f(x))，如f(x)=x，floor(-0.5)=-1≠-floor(0.5)=0）###-###&gt;&gt;&gt;f(x)=x²（偶函数）,g(x)=floor(x²)（偶函数，因x²=(-x)²⇒floor(x²)=floor((-x)²)）###-###&gt;&gt;&gt;f(x)=x（在x=0处切线为y=x）,g(x)=floor(x)（在x=0处左极限0、右极限1，不连续，无切线）###-###&gt;&gt;&gt;NA（若f(x)的反常积分收敛，则当x→∞时f(x)→0，故存在X使得x&gt;X时f(x)&lt;1，此时floor(f(x))=0。因此g(x)在(X,∞)上恒为0，仅在[0,X]上可能非零，其积分必收敛，无法构造g积分发散的例子）###-</t>
  </si>
  <si>
    <t>11：###&gt;&gt;&gt;NA（若f(x)可导，则g(x)=floor(f(x))在f(x)∈Z处必不可导，因floor跳跃）###-###&gt;&gt;&gt;NA（若f(x,y)偏导数存在，则g(x,y)=floor(f(x,y))在f∈Z处偏导数不存在，因跳跃）###-###&gt;&gt;&gt;NA（若f(x)连续，则g(x)=floor(f(x))在f(x)∈Z处必不连续，因floor跳跃）###-###&gt;&gt;&gt;NA（若f(x,y)可微，则g(x,y)=floor(f(x,y))在f∈Z处必不可微，因不连续）###-###&gt;&gt;&gt;NA（若f(x)在x→x0极限存在且f(x0)∈Z，则g(x)极限不存在，因左右极限不同）###-###&gt;&gt;&gt;NA（若f(x,y)连续，则g(x,y)=floor(f(x,y))在f∈Z处必不连续，因跳跃）###-###&gt;&gt;&gt;f(x)=sinx（周期2π，满足性质G），g(x)=floor(sinx)（周期2π，满足性质G）###-###&gt;&gt;&gt;f(x)=x+0.5（在[0,1]上连续可积，定积分值为Int(0,1):(x+0.5)dx=0.75）,g(x)=floor(x+0.5)=0（在[0,1]上为常数函数，定积分值为0，满足可积性）###-###&gt;&gt;&gt;NA（若f(x,y)二阶偏导连续，则g(x,y)=floor(f(x,y))在f∈Z处二阶偏导不存在，因跳跃）###-###&gt;&gt;&gt;NA（若f(x)是奇函数，g(x)=floor(f(x))必非奇函数，因floor(-f(x))≠-floor(f(x))）###-###&gt;&gt;&gt;f(x)=x²（偶函数）,g(x)=floor(x²)（偶函数）###-###&gt;&gt;&gt;f(x)=x+0.5（在x=0处切线为y=x+0.5）,g(x)=floor(x+0.5)=0（常数函数，在x=0处切线为y=0）###-###&gt;&gt;&gt;f(x)=e^(-x)（无穷积分收敛）,g(x)=0（无穷积分收敛）###-</t>
  </si>
  <si>
    <t>定积分换元时要注意###间断点###和###区间压扁###</t>
  </si>
  <si>
    <t>考察t(x)本身</t>
  </si>
  <si>
    <t>考察t(x)换入被积函数后</t>
  </si>
  <si>
    <t>考察积分区间是否会被压缩（比如±a上的积分，换元x²）</t>
  </si>
  <si>
    <t>IO密集型的进程应该优先执行，因为提前让慢的IO先开始可以同时利用CPU并行提效。</t>
  </si>
  <si>
    <t>驻留集大小不是驻留集窗口的大小，驻留集窗口之外的页号，也会被从页框释放掉。</t>
  </si>
  <si>
    <t>fork产生子进程的逻辑</t>
  </si>
  <si>
    <t>父进程执行fork后，子进程相当于从父进程的fork返回位置开始执行，只是fork返回的pid不同而已。</t>
  </si>
  <si>
    <t>Dijkstra算法（从起点A到其它顶点）</t>
  </si>
  <si>
    <t>先按顶点列出一个表格，共三列：顶点名称、###起点到这些顶点的距离###、###到达这些顶点的前一个顶点###</t>
  </si>
  <si>
    <t>初始值：顶点名称、###除了起点是0，其它都是∞###、###空白，什么也没有###</t>
  </si>
  <si>
    <t>再来一个优先队列（堆），用于存储###目前正在计算的顶点###及###该点到起点的最短距离###</t>
  </si>
  <si>
    <t>堆排序的依据是###堆元素顶点到起点的最短路径长度###</t>
  </si>
  <si>
    <t>核心循环流程：</t>
  </si>
  <si>
    <t>出队堆中###到起点距离最小###的顶点P</t>
  </si>
  <si>
    <t>遍历P的###所有未曾出队过###的邻接节点</t>
  </si>
  <si>
    <t>有向图里，仅遍历###P指向###的邻接节点，不遍历###指向P###的邻接节点</t>
  </si>
  <si>
    <t>计算起点-&gt;P-&gt;邻居的路径长度，与邻居当前的###起点到这些顶点的距离###对比</t>
  </si>
  <si>
    <t>因为P-&gt;邻居相邻，采用###二者相连边的权重###</t>
  </si>
  <si>
    <t>起点-&gt;P的距离采用###表格中的值###</t>
  </si>
  <si>
    <t>如果计算出来的更短，更新###起点到这些顶点的距离###，将###到达这些顶点的前一个顶点###设置为P，###该邻居###入队</t>
  </si>
  <si>
    <t>如果计算出来的更长，处理###什么也不做###</t>
  </si>
  <si>
    <t>B树</t>
  </si>
  <si>
    <t>核心定义</t>
  </si>
  <si>
    <t>本质：多路平衡查找树</t>
  </si>
  <si>
    <t>多路：###一个节点有2个以上的子节点###</t>
  </si>
  <si>
    <t>平衡：###所有叶子都在同一高度###</t>
  </si>
  <si>
    <t>用途：外部查找的索引，减少磁盘IO次数（扁平化）</t>
  </si>
  <si>
    <t>术语：M阶B树</t>
  </si>
  <si>
    <t>每个节点最多###M个子节点###</t>
  </si>
  <si>
    <t>每个节点内最多###M-1个关键字###</t>
  </si>
  <si>
    <t>规则</t>
  </si>
  <si>
    <t>关键字数量规则</t>
  </si>
  <si>
    <t>上限：根节点外，关键字数&lt;=###M-1###</t>
  </si>
  <si>
    <t>下限：根节点外，关键字数&gt;=###ceil(M/2)-1###</t>
  </si>
  <si>
    <t>结构规则</t>
  </si>
  <si>
    <t>所有叶子###都在同一高度（树高从根开始增加，根为1）###</t>
  </si>
  <si>
    <t>节点内关键字###有序排列（左子树关键字&lt;分叉间隔关键字&lt;右子树关键字）###</t>
  </si>
  <si>
    <t>操作</t>
  </si>
  <si>
    <t>插入操作</t>
  </si>
  <si>
    <t>基本插入</t>
  </si>
  <si>
    <t>从根到叶子找插入位置（参考BST）</t>
  </si>
  <si>
    <t>插入后如果违反关键字个数规则，则触发分裂</t>
  </si>
  <si>
    <t>分裂</t>
  </si>
  <si>
    <t>提拔：第###ceil(M/2)###个元素到父节点，对应分叉起点的位置</t>
  </si>
  <si>
    <t>分裂：原节点分裂为左右两个节点</t>
  </si>
  <si>
    <t>特殊情况：根节点分裂，树高+1（唯一增加树高的方式）</t>
  </si>
  <si>
    <t>删除操作</t>
  </si>
  <si>
    <t>基本删除</t>
  </si>
  <si>
    <t>从根到叶子找删除元素（参考BST）</t>
  </si>
  <si>
    <t>删除后如果违反关键字个数规则，则触发修复</t>
  </si>
  <si>
    <t>修复（叶子，非叶参考20251107）</t>
  </si>
  <si>
    <t>向###兄弟节点###借关键字</t>
  </si>
  <si>
    <t>最终是###兄弟###少了，但是是通过###父亲###向###兄弟###借</t>
  </si>
  <si>
    <t>左弟借###最大###，右兄借###最小###</t>
  </si>
  <si>
    <t>###兄弟###家也没有余粮</t>
  </si>
  <si>
    <t>与###兄弟###和###父亲的中间关键字###合并</t>
  </si>
  <si>
    <t>特殊情况：根节点合并，树高-1（唯一减少树高的方式）</t>
  </si>
  <si>
    <t>这种情况下，合并后的变成新根</t>
  </si>
  <si>
    <t>缓存</t>
  </si>
  <si>
    <t>地址拆分：低位=###块内偏移###，中间=###组号###，高位=###标记位###</t>
  </si>
  <si>
    <t>映射：</t>
  </si>
  <si>
    <t>直接映射=###根据块号来放置内存块###</t>
  </si>
  <si>
    <t>全相联=###没有规律，想放就放，看标记来确定是不是要的###</t>
  </si>
  <si>
    <t>组相联=###几个缓存块为一组，同组内全相联，遍历组内的标记位###</t>
  </si>
  <si>
    <t>存储信息：数据、标记位、有效位、脏位、一致性位</t>
  </si>
  <si>
    <t>标记位：###确认这个是目标内存块###</t>
  </si>
  <si>
    <t>有效位：###这个块的数据是否准备好或者是否失效（内存更新了）###</t>
  </si>
  <si>
    <t>脏位：###这个数据在缓存被修改过，需要更新到内存###</t>
  </si>
  <si>
    <t>一致位：###多处理器的数据一致性###</t>
  </si>
  <si>
    <t>写命中策略：</t>
  </si>
  <si>
    <t>回写法：###脏位=1不立即改内存，缓存被换出前做push###</t>
  </si>
  <si>
    <t>写直达：###同步修改，脏位无用，不延迟写内存###</t>
  </si>
  <si>
    <t>写不命中策略：</t>
  </si>
  <si>
    <t>写分配：###改了就很有可能用，干脆提前载入缓存###</t>
  </si>
  <si>
    <t>不分配：###不杞人忧天###</t>
  </si>
  <si>
    <t>二叉树数组中，下标为i（从0开始）的节点，它的左孩子###2*i+1###（填写左孩子下标计算公式），它的右孩子###2*i+2###（填写右孩子下标计算公式）</t>
  </si>
  <si>
    <t>BST的中序遍历是###有序###（填写遍历特性）的</t>
  </si>
  <si>
    <t>前k轮得到topk的排序算法：###简单选择排序###（填写排序算法名称）、###冒泡排序###（填写排序算法名称）、###堆排序###（填写排序算法名称）</t>
  </si>
  <si>
    <t>ALU里面，SF（符号标志位）就是运算结果的###最高位###（填写位位置）</t>
  </si>
  <si>
    <t>OF（溢出标志）的逻辑表达式（A+B，A-B用A+(-B)代替）：###(An与Bn与(非Cn))或((非An)与(非Bn)与Cn)###（填写逻辑表达式）</t>
  </si>
  <si>
    <t>也就是两正加出负（即###(An与Bn与(非Cn))###（填写逻辑表达式））和两负加出正（即###((非An)与(非Bn)与Cn)###（填写逻辑表达式））的情况</t>
  </si>
  <si>
    <t>操作数A和B，运算结果C</t>
  </si>
  <si>
    <t>A最高位An，B最高位Bn，C最高位Cn</t>
  </si>
  <si>
    <t>###同号###（填写运算数关系）减法不会发生溢出，###异号###（填写运算数关系）加法不会溢出</t>
  </si>
  <si>
    <t>MUX负责从多个输出选一个输出，DEMUX负责从多个输入选一个输入###输出/输入###（填写信号方向）</t>
  </si>
  <si>
    <t>通用寄存器片选信号一定是来自###IR###（填写部件名称）</t>
  </si>
  <si>
    <t>通用寄存器不像内存地址可以有偏移量</t>
  </si>
  <si>
    <t>多个时钟周期构成总线周期的总线通常指###外部###（填写总线类型）总线，而###内部###（填写总线类型）总线的速度较快，其读写周期通常与###CPU时钟###（填写周期类型）周期一致。</t>
  </si>
  <si>
    <t>如果是多总线结构的###内部###（填写总线类型）总线，其读写周期甚至可能比###CPU时钟###（填写周期类型）周期更快</t>
  </si>
  <si>
    <t>推测1：###外部###（填写总线类型）总线传输数据量大，面向的设备更慢，因此一个总线周期由多个时钟周期组成</t>
  </si>
  <si>
    <t>推测2：###内部###（填写总线类型）总线用于CPU的内部，CPU要求高集成度，尺寸小，因此不可能为它另设时钟，而且为了效率，应当让该总线与CPU其它部件同步工作</t>
  </si>
  <si>
    <t>CU的输入有两个，除了IR（或者说ID）还有###ALU的输出FR###（填写信号名称）</t>
  </si>
  <si>
    <t>磁盘的术语</t>
  </si>
  <si>
    <t>柱面=磁道：所有盘面的同一磁道竖着组成一个柱面，磁道是盘面上的同心圆，不同半径的圆磁道不同</t>
  </si>
  <si>
    <t>扇区的平均访问时间=平均寻道时间+平均旋转延迟+单个扇区传输时长</t>
  </si>
  <si>
    <t>平均旋转延迟=1/(2*圈/秒单位的转速)</t>
  </si>
  <si>
    <t>单个扇区的传输时间=转过一个扇区所需要的时间=(1/转速)/该磁道上的扇区个数</t>
  </si>
  <si>
    <t>DMA###挪用###（填写DMA工作方式）：让DMA传输稍等一下，不抢占CPU正在使用的总线，而是在CPU不使用总线时才传输</t>
  </si>
  <si>
    <t>高速外设（比如磁盘和网卡）场景下，为了避免数据丢失，一旦数据传送开始就不能停下，即使CPU需要总线，DMA也不会让</t>
  </si>
  <si>
    <t>反函数的导数，等于###原函数的导数的倒数###</t>
  </si>
  <si>
    <t>x=x(y)是y=y(x)的反函数</t>
  </si>
  <si>
    <t>y'(x)=dy/dx是y(x)的导数</t>
  </si>
  <si>
    <t>反函数x=x(y)的导数是###x'(y)=dx/dy###</t>
  </si>
  <si>
    <t>即x'(y)=###dx/dy=1/(dy/dx)=1/y'(x)###</t>
  </si>
  <si>
    <t>如果一个分段函数在分段点处连续，且###连续分段的导数在趋向分段点处的左右极限存在且相等###</t>
  </si>
  <si>
    <t>那么该分段函数在该分段点可导，且导数等于###连续分段的导数在趋向分段点处的极限###</t>
  </si>
  <si>
    <t>周期函数的导数###一定###是周期函数</t>
  </si>
  <si>
    <t>快（速页）表里存放的是###内存块号###（内存块/内存块号）</t>
  </si>
  <si>
    <t>内存块号也就是###页框号###（页号/页框号）</t>
  </si>
  <si>
    <t>红黑树-基本的五条规则</t>
  </si>
  <si>
    <t>非黑即红</t>
  </si>
  <si>
    <t>根节点是###黑色###</t>
  </si>
  <si>
    <t>叶节点是###黑色###</t>
  </si>
  <si>
    <t>节点是红色，那么它的子节点一定是###黑色###</t>
  </si>
  <si>
    <t>注意：###黑###节点可以有同色的子节点</t>
  </si>
  <si>
    <t>任意节点到其子树中叶节点的路径，经过的###黑节点个数###相同</t>
  </si>
  <si>
    <t>这个数量被称为###黑高###</t>
  </si>
  <si>
    <t>包含###叶节点###，不包含###起始节点###</t>
  </si>
  <si>
    <t>红黑树-衍生特性</t>
  </si>
  <si>
    <t>从根到叶的最长路径，不超过最短路径的###两###倍</t>
  </si>
  <si>
    <t>查询、插入、删除的时间复杂度都是###O(log(n))###</t>
  </si>
  <si>
    <t>树高控制的结果</t>
  </si>
  <si>
    <t>红黑树-旋转</t>
  </si>
  <si>
    <t>左旋-逆时针，右旋-顺时针</t>
  </si>
  <si>
    <t>右（对应左旋）子节点A取代父节点B</t>
  </si>
  <si>
    <t>父节点B变成新父节点A的左子节点</t>
  </si>
  <si>
    <t>父节点的右子节点（原本是A），现在去接管孙子，也就是A原本的左子节点</t>
  </si>
  <si>
    <t>儿子当家，老人照顾孙子</t>
  </si>
  <si>
    <t>旋转前的子树和旋转后的（结构上）对称</t>
  </si>
  <si>
    <t>红黑树-插入：和普通BST一样</t>
  </si>
  <si>
    <t>从根开始</t>
  </si>
  <si>
    <t>大###左###小###右###（左/右）</t>
  </si>
  <si>
    <t>插入###红###色节点（每一个朝代的开始都是革命）</t>
  </si>
  <si>
    <t>红黑树-插入-调整：当破坏了规则4（###不红红###）会触发</t>
  </si>
  <si>
    <t>红叔（只换颜色，朱家自己人，不发生权力更迭）</t>
  </si>
  <si>
    <t>叔父都变黑</t>
  </si>
  <si>
    <t>爷爷变红</t>
  </si>
  <si>
    <t>然后以爷爷的视角（即把爷爷当成孙子）向上检查</t>
  </si>
  <si>
    <t>黑叔（据说朱棣不是马皇后亲生的）</t>
  </si>
  <si>
    <t>亲近叔</t>
  </si>
  <si>
    <t>父子交替，原来的父亲（现在的儿子）远离叔叔</t>
  </si>
  <si>
    <t>变成儿子远离叔的情况处理</t>
  </si>
  <si>
    <t>远离叔（正史）</t>
  </si>
  <si>
    <t>父亲变黑，爷爷变红（朱标死了，朱元璋红温了）</t>
  </si>
  <si>
    <t>发生旋转，侄儿上去，叔叔下去（朱允炆登基，削藩开始）</t>
  </si>
  <si>
    <t>总结：只有叔父不和（黑叔红父）且父亲与儿子亲近（同红），旋转（权力变化）才会发生</t>
  </si>
  <si>
    <t>红黑树-删除：和普通BST一样</t>
  </si>
  <si>
    <t>无孩或只有独生子：###有则继承，无则不管###</t>
  </si>
  <si>
    <t>注意，这种情况不是值复制！！！（不会###继承被替换节点的颜色###！）</t>
  </si>
  <si>
    <t>有两个孩子：</t>
  </si>
  <si>
    <t>找被删节点A在###中序###遍历上的后继结点B</t>
  </si>
  <si>
    <t>后继一定满足###无孩###或###只有独生子###</t>
  </si>
  <si>
    <t>复制B的值来顶替被删节点A的位置（新节点使用###A###（A/B）的颜色）</t>
  </si>
  <si>
    <t>从B原来的位置删除B（对B进行删除操作，B的后继C保持颜色的前提下顶替B）</t>
  </si>
  <si>
    <t>红黑树-删除-调整：</t>
  </si>
  <si>
    <t>注意：以下情况均为BST删除及替换发生后</t>
  </si>
  <si>
    <t>无替换（比如红节点的黑子被直接删除，黑兄弟会与红父交换）：？？？</t>
  </si>
  <si>
    <t>有替换</t>
  </si>
  <si>
    <t>红替红：###违反不红红，不可能存在###</t>
  </si>
  <si>
    <t>红替黑或者黑替红：###替上来一律变黑###</t>
  </si>
  <si>
    <t>黑替黑：？？？</t>
  </si>
  <si>
    <t>单调有界必有极限是数列才有的性质，函数没有，不能乱用！</t>
  </si>
  <si>
    <t>遇到函数还有有界性，考虑用###闭区间连续的特性###来推（20240415）</t>
  </si>
  <si>
    <t>补充：f'(x)在有限区间I上有界，那么f(x)也在I上有界（充分不必要）</t>
  </si>
  <si>
    <t>f(x)=φ(x)*|x-a|，φ(x)在x=a连续</t>
  </si>
  <si>
    <t>f(x)在x=a处可导的充要条件：###φ(a)=0###</t>
  </si>
  <si>
    <t>定积分上下限之差正好为周期的情况下，###任意平移（x±a）###不改变定积分的数值</t>
  </si>
  <si>
    <t>高阶非齐次不要硬上常数变异，那个只适合一阶</t>
  </si>
  <si>
    <t>高阶齐次求特征根写清楚因式分解，不然重根看不清楚到底是几重！！！</t>
  </si>
  <si>
    <t>高阶非齐次特解看非齐次项构造</t>
  </si>
  <si>
    <t>分解合并</t>
  </si>
  <si>
    <t>有几个###exp(λx)###分成几个非齐次项</t>
  </si>
  <si>
    <t>sin和cos化简到各只有一个，化不了就得###利用线性性质分成几个###</t>
  </si>
  <si>
    <t>非齐次项原形</t>
  </si>
  <si>
    <t>一个多项式乘上exp(λ*x)的构型，如果没exp(λ*x)就是λ为0</t>
  </si>
  <si>
    <t>###exp(λ*x)原模原样###乘最后，如果没###exp(λ*x)###就乘###1###</t>
  </si>
  <si>
    <t>这种情况下看###λ在齐次特征根有几重###，###重数k次方的x###乘到最前面</t>
  </si>
  <si>
    <t>然后根据###多项式最高次数###，列出###待定系数多项式a1*(x^n)+a2*(x^(n-1))+a3*(x^(n-2))+...###，乘中间</t>
  </si>
  <si>
    <t>三坨在一起应该是###(x^k)*(a1*(x^n)+a2*(x^(n-1))+a3*(x^(n-2))+...)*exp(λ*x)###</t>
  </si>
  <si>
    <t>一个exp(a*x)乘上多项式1*cos(b*x)和多项式2*sin(b*x)的和，如果没exp(a*x)就是λ为0</t>
  </si>
  <si>
    <t>###exp(a*x)原模原样###乘最后，如果没###exp(a*x)###就乘###1###（同上）</t>
  </si>
  <si>
    <t>这种情况下看###a+bi在齐次特征根有几重###，###重数k次方的x###乘到最前面（类似上面）</t>
  </si>
  <si>
    <t>然后根据###多项式1和多项式2中的最高次数###，列出###两个待定系数多项式a1*(x^n)+...和b1*(x^n)+...###，再###分别乘sin(b*x)和cos(b*x)再加起来###，乘中间</t>
  </si>
  <si>
    <t>三坨在一起应该是###(x^k)*((a1*(x^n)+...)*sin(b*x)+(b1*(x^n)+...)*cos(b*x))*exp(a*x)###</t>
  </si>
  <si>
    <t>特例法大杀器-二元组合</t>
  </si>
  <si>
    <t>一阶或二阶可导（一元）+连续性（一元）</t>
  </si>
  <si>
    <t>00：分段函数{f(x)=1,x≥0;f(x)=-1,x&lt;0}，在x=0处不连续且不可导。</t>
  </si>
  <si>
    <t>01：函数f(x)=|x|，在x=0处连续但不可导。</t>
  </si>
  <si>
    <t>10：NA（可导函数必连续，不存在可导但不连续的函数）。</t>
  </si>
  <si>
    <t>11：函数f(x)=x²，在实数域内连续且二阶可导。</t>
  </si>
  <si>
    <t>一阶或二阶可导（一元）+极限存在（一元）</t>
  </si>
  <si>
    <t>00：分段函数{f(x)=sin(1/x),x≠0;f(x)=0,x=0}，在x=0处极限不存在且不可导。</t>
  </si>
  <si>
    <t>01：分段函数{f(x)=|x|,x≠0;f(x)=1,x=0}，在x=0处极限存在（为0）但不连续（故不可导）。</t>
  </si>
  <si>
    <t>10：NA（可导必连续，连续必极限存在，不存在可导但极限不存在的函数）。</t>
  </si>
  <si>
    <t>11：函数f(x)=x³，在实数域内可导且极限处处存在。</t>
  </si>
  <si>
    <t>连续性（一元）+极限存在（一元）</t>
  </si>
  <si>
    <t>00：分段函数{f(x)=sin(1/x),x≠0;f(x)=0,x=0}，在x=0处极限不存在且不连续。</t>
  </si>
  <si>
    <t>01：分段函数{f(x)=x,x≠0;f(x)=1,x=0}，在x=0处极限存在（值为0）但不连续。</t>
  </si>
  <si>
    <t>10：NA（连续函数在该点极限必存在，无法构造反例）。</t>
  </si>
  <si>
    <t>11：函数f(x)=x，在实数域内处处连续且极限存在。</t>
  </si>
  <si>
    <t>偏导数存在（多元）+可微性（多元）</t>
  </si>
  <si>
    <t>00：函数f(x,y)=|x|+|y|，在点(0,0)处对x的偏导数lim(Δx→0)|Δx|/Δx不存在，对y的偏导数同理不存在，故偏导数不存在且不可微。</t>
  </si>
  <si>
    <t>01：NA（可微性要求偏导数必存在，无法构造偏导数不存在但可微的函数）。</t>
  </si>
  <si>
    <t>10：函数{f(x,y)=x²y/(x⁴+y²),(x,y)≠(0,0);f(x,y)=0,(x,y)=(0,0)}，在点(0,0)处偏导数fₓ(0,0)=fᵧ(0,0)=0，但沿路径y=kx²趋近(0,0)时，lim(x→0,y=kx²)[f(x,y)-0-0・x-0・y]/sqrt(x²+y²)与k相关，不满足可微的极限定义，故偏导数存在但不可微。</t>
  </si>
  <si>
    <t>11：函数f(x,y)=x²+y²，在任意点(x,y)处偏导数fₓ=2x、fᵧ=2y存在且连续，全微分df=2xdx+2ydy成立，故偏导数存在且可微。</t>
  </si>
  <si>
    <t>死锁检测###不需要###（需要/不需要）知道进程所需资源总量</t>
  </si>
  <si>
    <t>文件一般来说都有全局唯一的索引节点号，除非是###硬链接###（填写文件链接类型）</t>
  </si>
  <si>
    <t>一个文件至少占用一个磁盘块，磁盘块不能为多个文件共享</t>
  </si>
  <si>
    <t>磁盘块号记录于索引节点内，索引节点存在于单独的磁盘块（索引节点块）上</t>
  </si>
  <si>
    <t>一个索引节点块能够存储多个索引节点</t>
  </si>
  <si>
    <t>索引节点存储大量磁盘块，自身直接地址存不下的时候，会###用多级间接地址指向一种只有直接地址的磁盘块（间接索引块）###（填写解决方法）</t>
  </si>
  <si>
    <t>###间接索引块###（填写块类型）里面全是文件的磁盘块号，没有其它信息（如果是索引节点块则不全是磁盘块号）</t>
  </si>
  <si>
    <t>因此在计算地址个数时，###间接索引块###（填写块类型）是直接用磁盘块大小除以地址长度来获得的</t>
  </si>
  <si>
    <t>计算方式：需要间接块存储的磁盘块号=文件总共需要的块数-单个inode里的直接地址数量</t>
  </si>
  <si>
    <t>一级间接块存储磁盘块容量：磁盘块大小/地址长度</t>
  </si>
  <si>
    <t>二级间接块存储磁盘块容量：(磁盘块大小/地址长度)*一级间接块存储磁盘块容量</t>
  </si>
  <si>
    <t>三级间接块存储磁盘块容量：(磁盘块大小/地址长度)*二级间接块存储磁盘块容量</t>
  </si>
  <si>
    <t>以太网最短帧长和最远距离的关系</t>
  </si>
  <si>
    <t>要让最短帧在链路上足够久才能被检测，因此最短帧的传输时延要大于RTT</t>
  </si>
  <si>
    <t>64B，100Base的情况下，传输时延是5.12us</t>
  </si>
  <si>
    <t>RTT通过计算传播时延（传播距离/传播速度）再加上其它延迟</t>
  </si>
  <si>
    <t>DHCP流程###发现-供应-请求-确认###（填写流程步骤）</t>
  </si>
  <si>
    <t>DHCP发现：谁是DHCP服务器？我需要IP地址</t>
  </si>
  <si>
    <t>自己没IP，也不知道DHCP服务器的IP，因此自己的IP是###全0###（填写IP地址），目的IP是###全255###（填写IP地址）（广播）</t>
  </si>
  <si>
    <t>DHCP供应：我是DHCP服务器，这有一个IP，你拿去</t>
  </si>
  <si>
    <t>源地址是###DHCP服务器IP###（填写源地址类型），目的IP是###全255###（填写目的IP地址）</t>
  </si>
  <si>
    <t>DHCP请求：好，我要这个（我要续租）</t>
  </si>
  <si>
    <t>源地址是###全0###（填写首次申请源地址）或者###新的IP###（填写续租源地址），目的地址是###全255###（填写目的地址），依然是广播</t>
  </si>
  <si>
    <t>广播是因为要通知未被选中的DHCP服务器，让他们撤回给出的offer地址</t>
  </si>
  <si>
    <t>但如果是地址续租的情况下，不需要通知其它DHCP服务器，就没有广播的理由（因此是单播）</t>
  </si>
  <si>
    <t>二三层单播/多播组合情形</t>
  </si>
  <si>
    <t>全单播、全多播：略</t>
  </si>
  <si>
    <t>三层单播、二层广播（两人办事，全体见证）：VRRP（可变冗余路由协议）的主节点通告</t>
  </si>
  <si>
    <t>三层广播、二层单播：不存在</t>
  </si>
  <si>
    <t>802.11三个地址：地址1对应###目的MAC###（填写地址类型），地址2对应###源MAC###（填写地址类型），地址3对应###无关地址###（填写地址类型）</t>
  </si>
  <si>
    <t>第三个地址是为了兼容802.11的管理帧，比如信标帧和认证帧</t>
  </si>
  <si>
    <t>有向图的邻接矩阵中，行对应###起点###（填写矩阵行对应元素），列对应###终点###（填写矩阵列对应元素）</t>
  </si>
  <si>
    <t>置换选择排序=货车垒货，逐车壮哉，每次最大，下大上小</t>
  </si>
  <si>
    <t>如果能放（工作区有比最顶层小的）就一直放（符合条件最大的），放不了就让新一辆车来拉，因此每个归并段长度不一定相等</t>
  </si>
  <si>
    <t>程序的###局部性###（填写程序特性）</t>
  </si>
  <si>
    <t>###空间局部性###（填写局部性类型）：相邻数据被连续访问</t>
  </si>
  <si>
    <t>###时间局部性###（填写局部性类型）：同一数据被重复访问</t>
  </si>
  <si>
    <t>根据代码来判断缓存命中次数</t>
  </si>
  <si>
    <t>代码里有读取或者赋值的次数就是总的访问次数</t>
  </si>
  <si>
    <t>Cache初始为空的情况下，第一次访问某个变量必然未命中</t>
  </si>
  <si>
    <t>此时会将该变量所在的内存块调入Cache</t>
  </si>
  <si>
    <t>在那之后，相同内存块的变量访问均会命中</t>
  </si>
  <si>
    <t>以后看到机器码问指令地址的题目，首先看指令长度，是不是###变长指令###（填写指令类型）</t>
  </si>
  <si>
    <t>如果是定长指令，还需要确认是否占用多个编址长度（指令地址的增量不为1）</t>
  </si>
  <si>
    <t>寻址方式强化记忆</t>
  </si>
  <si>
    <t>PC+偏移量寻址=###相对寻址###（填写寻址方式）</t>
  </si>
  <si>
    <t>EBX/EBP+偏移量=###基址寻址###（填写寻址方式）</t>
  </si>
  <si>
    <t>ESI/EDI+偏移量=###变址寻址###（填写寻址方式）</t>
  </si>
  <si>
    <t>上述二者的差异：###基址的基础是段和栈的位置，而变址的基础可以是自定义的任意地址###（填写基址与变址的差异）</t>
  </si>
  <si>
    <t>EBX/EBP+ESI/EDI+偏移量=###基址变址寻址###（填写寻址方式）</t>
  </si>
  <si>
    <t>如果有一个以上的寄存器，或者使用了比例因子，那么无论寄存器是什么，都属于以上这种</t>
  </si>
  <si>
    <t>如果汇编层面展示了地址，那么有可能是相对或者直接寻址，还需要看机器码是否含有与汇编地址相同的部分来进一步区分</t>
  </si>
  <si>
    <t>如果汇编层面还有寄存器，那就可以对应另外三种（基址、变址、基址变址）间接寻址</t>
  </si>
  <si>
    <t>注意：地址（偏移量）多字节的情况下，正序和倒序都要检查，因为有###大小端###（填写字节序类型）</t>
  </si>
  <si>
    <t>欧拉方程的特征：###y导数的阶数与x的幂次匹配相乘再相加###</t>
  </si>
  <si>
    <t>若微分方程的解是分段函数，则在分段点处，解函数和####解函数的导数####均连续</t>
  </si>
  <si>
    <t>正交阵的特征值只能是###1或-1###</t>
  </si>
  <si>
    <t>若f(x)在闭区间a到b连续，且f(x)&gt;=0（不恒等于0）</t>
  </si>
  <si>
    <t>则Int(a,b):f(x)dx###&gt;###0（大小关系）</t>
  </si>
  <si>
    <t>被积函数是周期函数且积分长度为一个周期</t>
  </si>
  <si>
    <t>那么起点可以任选</t>
  </si>
  <si>
    <t>比较定积分大小：</t>
  </si>
  <si>
    <t>积分区间相同：比较###被积函数###大小</t>
  </si>
  <si>
    <t>积分与0比较</t>
  </si>
  <si>
    <t>按被积函数在积分区域的###正负###进行###拆分###</t>
  </si>
  <si>
    <t>通过###换元###把积分区域变成单一性质</t>
  </si>
  <si>
    <t>同一被积函数在不同区间上的原函数可能分段</t>
  </si>
  <si>
    <t>因为原函数必须###连续###，公式求原函数可能存在###间断点###</t>
  </si>
  <si>
    <t>牛顿-莱布尼兹法求定积分不止要看被积函数在区别是否连续，还要看###原函数是否连续###</t>
  </si>
  <si>
    <t>因为###原函数必连续####，否则就###不可导###，更不可能###导数###是被积函数的###极限####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</si>
</sst>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O10" sqref="O10"/>
    </sheetView>
  </sheetViews>
  <sheetFormatPr defaultColWidth="9" defaultRowHeight="14.4" outlineLevelCol="7"/>
  <sheetData>
    <row r="1" spans="1:8">
      <c r="A1">
        <f>SUM(B1:AZ1)</f>
        <v>9.83333333333333</v>
      </c>
      <c r="B1">
        <f t="shared" ref="B1:H1" si="0">COUNTA(B2:B2066)/COLUMN()</f>
        <v>3.5</v>
      </c>
      <c r="C1">
        <f t="shared" si="0"/>
        <v>5.33333333333333</v>
      </c>
      <c r="D1">
        <f t="shared" si="0"/>
        <v>1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20250525</v>
      </c>
      <c r="B2" t="s">
        <v>0</v>
      </c>
    </row>
    <row r="3" spans="1:8">
      <c r="B3" t="s">
        <v>1</v>
      </c>
    </row>
    <row r="4" spans="1:8">
      <c r="C4" t="s">
        <v>2</v>
      </c>
    </row>
    <row r="5" spans="1:8">
      <c r="D5" t="s">
        <v>3</v>
      </c>
    </row>
    <row r="6" spans="1:8">
      <c r="D6" t="s">
        <v>4</v>
      </c>
    </row>
    <row r="7" spans="1:8">
      <c r="C7" t="s">
        <v>5</v>
      </c>
    </row>
    <row r="8" spans="1:8">
      <c r="D8" t="s">
        <v>6</v>
      </c>
    </row>
    <row r="9" spans="1:8">
      <c r="D9" t="s">
        <v>7</v>
      </c>
    </row>
    <row r="10" spans="1:8">
      <c r="B10" t="s">
        <v>8</v>
      </c>
    </row>
    <row r="11" spans="1:8">
      <c r="C11" t="s">
        <v>9</v>
      </c>
    </row>
    <row r="12" spans="1:8">
      <c r="C12" t="s">
        <v>10</v>
      </c>
    </row>
    <row r="13" spans="1:8">
      <c r="C13" t="s">
        <v>11</v>
      </c>
    </row>
    <row r="14" spans="1:8">
      <c r="B14" t="s">
        <v>12</v>
      </c>
    </row>
    <row r="15" spans="1:8">
      <c r="C15" t="s">
        <v>13</v>
      </c>
    </row>
    <row r="16" spans="1:8">
      <c r="C16" t="s">
        <v>14</v>
      </c>
    </row>
    <row r="17" spans="2:3">
      <c r="C17" t="s">
        <v>15</v>
      </c>
    </row>
    <row r="18" spans="2:3">
      <c r="C18" t="s">
        <v>16</v>
      </c>
    </row>
    <row r="19" spans="2:3">
      <c r="B19" t="s">
        <v>17</v>
      </c>
    </row>
    <row r="20" spans="2:3">
      <c r="C20" t="s">
        <v>18</v>
      </c>
    </row>
    <row r="21" spans="2:3">
      <c r="C21" t="s">
        <v>19</v>
      </c>
    </row>
    <row r="22" spans="2:3">
      <c r="B22" t="s">
        <v>20</v>
      </c>
    </row>
    <row r="23" spans="2:3">
      <c r="C23" t="s">
        <v>21</v>
      </c>
    </row>
    <row r="24" spans="2:3">
      <c r="C24" t="s">
        <v>22</v>
      </c>
    </row>
    <row r="25" spans="2:3">
      <c r="C25" t="s">
        <v>23</v>
      </c>
    </row>
    <row r="26" spans="2:3">
      <c r="B26" t="s">
        <v>24</v>
      </c>
    </row>
    <row r="27" spans="2:3">
      <c r="C27" t="s">
        <v>25</v>
      </c>
    </row>
    <row r="28" spans="2:3">
      <c r="C28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Q11" sqref="Q11"/>
    </sheetView>
  </sheetViews>
  <sheetFormatPr defaultColWidth="9" defaultRowHeight="14.4" outlineLevelCol="7"/>
  <sheetData>
    <row r="1" spans="1:8">
      <c r="A1">
        <f>SUM(B1:AZ1)</f>
        <v>2.9</v>
      </c>
      <c r="B1">
        <f t="shared" ref="B1:H1" si="0">COUNTA(B2:B2058)/COLUMN()</f>
        <v>0.5</v>
      </c>
      <c r="C1">
        <f t="shared" si="0"/>
        <v>1</v>
      </c>
      <c r="D1">
        <f t="shared" si="0"/>
        <v>1</v>
      </c>
      <c r="E1">
        <f t="shared" si="0"/>
        <v>0.4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20240501</v>
      </c>
      <c r="B2" t="s">
        <v>27</v>
      </c>
    </row>
    <row r="3" spans="1:8">
      <c r="C3" t="s">
        <v>28</v>
      </c>
    </row>
    <row r="4" spans="1:8">
      <c r="D4" t="s">
        <v>29</v>
      </c>
    </row>
    <row r="5" spans="1:8">
      <c r="D5" t="s">
        <v>30</v>
      </c>
    </row>
    <row r="6" spans="1:8">
      <c r="E6" t="s">
        <v>31</v>
      </c>
    </row>
    <row r="7" spans="1:8">
      <c r="D7" t="s">
        <v>32</v>
      </c>
    </row>
    <row r="8" spans="1:8">
      <c r="E8" t="s">
        <v>33</v>
      </c>
    </row>
    <row r="9" spans="1:8">
      <c r="D9" t="s">
        <v>34</v>
      </c>
    </row>
    <row r="10" spans="1:8">
      <c r="C10" t="s">
        <v>35</v>
      </c>
    </row>
    <row r="11" spans="1:8">
      <c r="C1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opLeftCell="A67" workbookViewId="0">
      <selection activeCell="D84" sqref="D84"/>
    </sheetView>
  </sheetViews>
  <sheetFormatPr defaultColWidth="9" defaultRowHeight="14.4" outlineLevelCol="7"/>
  <sheetData>
    <row r="1" spans="1:8">
      <c r="A1">
        <f>SUM(B1:AZ1)</f>
        <v>26.9</v>
      </c>
      <c r="B1">
        <f t="shared" ref="B1:H1" si="0">COUNTA(B2:B2078)/COLUMN()</f>
        <v>7.5</v>
      </c>
      <c r="C1">
        <f t="shared" si="0"/>
        <v>10</v>
      </c>
      <c r="D1">
        <f t="shared" si="0"/>
        <v>9</v>
      </c>
      <c r="E1">
        <f t="shared" si="0"/>
        <v>0.4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20251108</v>
      </c>
      <c r="B2" t="s">
        <v>37</v>
      </c>
    </row>
    <row r="3" spans="1:8">
      <c r="C3" t="s">
        <v>38</v>
      </c>
    </row>
    <row r="4" spans="1:8">
      <c r="D4" t="s">
        <v>39</v>
      </c>
    </row>
    <row r="5" spans="1:8">
      <c r="D5" t="s">
        <v>40</v>
      </c>
    </row>
    <row r="6" spans="1:8">
      <c r="C6" t="s">
        <v>41</v>
      </c>
    </row>
    <row r="7" spans="1:8">
      <c r="D7" t="s">
        <v>42</v>
      </c>
    </row>
    <row r="8" spans="1:8">
      <c r="D8" t="s">
        <v>43</v>
      </c>
    </row>
    <row r="9" spans="1:8">
      <c r="B9" t="s">
        <v>44</v>
      </c>
    </row>
    <row r="10" spans="1:8">
      <c r="C10" t="s">
        <v>45</v>
      </c>
    </row>
    <row r="11" spans="1:8">
      <c r="D11" t="s">
        <v>46</v>
      </c>
    </row>
    <row r="12" spans="1:8">
      <c r="D12" t="s">
        <v>47</v>
      </c>
    </row>
    <row r="13" spans="1:8">
      <c r="D13" t="s">
        <v>48</v>
      </c>
    </row>
    <row r="14" spans="1:8">
      <c r="C14" t="s">
        <v>49</v>
      </c>
    </row>
    <row r="15" spans="1:8">
      <c r="D15" t="s">
        <v>50</v>
      </c>
    </row>
    <row r="16" spans="1:8">
      <c r="D16" t="s">
        <v>51</v>
      </c>
    </row>
    <row r="17" spans="2:4">
      <c r="C17" t="s">
        <v>52</v>
      </c>
    </row>
    <row r="18" spans="2:4">
      <c r="D18" t="s">
        <v>53</v>
      </c>
    </row>
    <row r="19" spans="2:4">
      <c r="D19" t="s">
        <v>54</v>
      </c>
    </row>
    <row r="20" spans="2:4">
      <c r="C20" t="s">
        <v>55</v>
      </c>
    </row>
    <row r="21" spans="2:4">
      <c r="D21" t="s">
        <v>56</v>
      </c>
    </row>
    <row r="22" spans="2:4">
      <c r="D22" t="s">
        <v>57</v>
      </c>
    </row>
    <row r="23" spans="2:4">
      <c r="C23" t="s">
        <v>58</v>
      </c>
    </row>
    <row r="24" spans="2:4">
      <c r="D24" t="s">
        <v>59</v>
      </c>
    </row>
    <row r="25" spans="2:4">
      <c r="D25" t="s">
        <v>60</v>
      </c>
    </row>
    <row r="26" spans="2:4">
      <c r="C26" t="s">
        <v>61</v>
      </c>
    </row>
    <row r="27" spans="2:4">
      <c r="D27" t="s">
        <v>62</v>
      </c>
    </row>
    <row r="28" spans="2:4">
      <c r="D28" t="s">
        <v>63</v>
      </c>
    </row>
    <row r="29" spans="2:4">
      <c r="D29" t="s">
        <v>64</v>
      </c>
    </row>
    <row r="30" spans="2:4">
      <c r="C30" t="s">
        <v>65</v>
      </c>
    </row>
    <row r="31" spans="2:4">
      <c r="D31" t="s">
        <v>66</v>
      </c>
    </row>
    <row r="32" spans="2:4">
      <c r="B32" t="s">
        <v>67</v>
      </c>
    </row>
    <row r="33" spans="2:5">
      <c r="C33" t="s">
        <v>68</v>
      </c>
    </row>
    <row r="34" spans="2:5">
      <c r="C34" t="s">
        <v>69</v>
      </c>
    </row>
    <row r="35" spans="2:5">
      <c r="C35" t="s">
        <v>70</v>
      </c>
    </row>
    <row r="36" spans="2:5">
      <c r="D36" t="s">
        <v>71</v>
      </c>
    </row>
    <row r="37" spans="2:5">
      <c r="D37" t="s">
        <v>72</v>
      </c>
    </row>
    <row r="38" spans="2:5">
      <c r="D38" t="s">
        <v>73</v>
      </c>
    </row>
    <row r="39" spans="2:5">
      <c r="C39" t="s">
        <v>74</v>
      </c>
    </row>
    <row r="40" spans="2:5">
      <c r="D40" t="s">
        <v>71</v>
      </c>
    </row>
    <row r="41" spans="2:5">
      <c r="D41" t="s">
        <v>72</v>
      </c>
    </row>
    <row r="42" spans="2:5">
      <c r="D42" t="s">
        <v>75</v>
      </c>
    </row>
    <row r="43" spans="2:5">
      <c r="E43" t="s">
        <v>76</v>
      </c>
    </row>
    <row r="44" spans="2:5">
      <c r="E44" t="s">
        <v>77</v>
      </c>
    </row>
    <row r="45" spans="2:5">
      <c r="B45" t="s">
        <v>78</v>
      </c>
    </row>
    <row r="46" spans="2:5">
      <c r="C46" t="s">
        <v>79</v>
      </c>
    </row>
    <row r="47" spans="2:5">
      <c r="C47" t="s">
        <v>80</v>
      </c>
    </row>
    <row r="48" spans="2:5">
      <c r="B48" t="s">
        <v>81</v>
      </c>
    </row>
    <row r="49" spans="2:4">
      <c r="C49" t="s">
        <v>82</v>
      </c>
    </row>
    <row r="50" spans="2:4">
      <c r="D50" t="s">
        <v>83</v>
      </c>
    </row>
    <row r="51" spans="2:4">
      <c r="D51" t="s">
        <v>84</v>
      </c>
    </row>
    <row r="52" spans="2:4">
      <c r="D52" t="s">
        <v>85</v>
      </c>
    </row>
    <row r="53" spans="2:4">
      <c r="C53" t="s">
        <v>86</v>
      </c>
    </row>
    <row r="54" spans="2:4">
      <c r="D54" t="s">
        <v>87</v>
      </c>
    </row>
    <row r="55" spans="2:4">
      <c r="D55" t="s">
        <v>88</v>
      </c>
    </row>
    <row r="56" spans="2:4">
      <c r="D56" t="s">
        <v>89</v>
      </c>
    </row>
    <row r="57" spans="2:4">
      <c r="C57" t="s">
        <v>90</v>
      </c>
    </row>
    <row r="58" spans="2:4">
      <c r="D58" t="s">
        <v>91</v>
      </c>
    </row>
    <row r="59" spans="2:4">
      <c r="D59" t="s">
        <v>92</v>
      </c>
    </row>
    <row r="60" spans="2:4">
      <c r="D60" t="s">
        <v>93</v>
      </c>
    </row>
    <row r="61" spans="2:4">
      <c r="B61" t="s">
        <v>94</v>
      </c>
    </row>
    <row r="62" spans="2:4">
      <c r="B62" t="s">
        <v>95</v>
      </c>
    </row>
    <row r="63" spans="2:4">
      <c r="B63" t="s">
        <v>96</v>
      </c>
    </row>
    <row r="64" spans="2:4">
      <c r="C64" t="s">
        <v>97</v>
      </c>
    </row>
    <row r="65" spans="2:4">
      <c r="C65" t="s">
        <v>98</v>
      </c>
    </row>
    <row r="66" spans="2:4">
      <c r="C66" t="s">
        <v>99</v>
      </c>
    </row>
    <row r="67" spans="2:4">
      <c r="B67" t="s">
        <v>100</v>
      </c>
    </row>
    <row r="68" spans="2:4">
      <c r="B68" t="s">
        <v>101</v>
      </c>
    </row>
    <row r="69" spans="2:4">
      <c r="B69" t="s">
        <v>102</v>
      </c>
    </row>
    <row r="70" spans="2:4">
      <c r="C70" t="s">
        <v>103</v>
      </c>
    </row>
    <row r="71" spans="2:4">
      <c r="C71" t="s">
        <v>104</v>
      </c>
    </row>
    <row r="72" spans="2:4">
      <c r="B72" t="s">
        <v>105</v>
      </c>
    </row>
    <row r="73" spans="2:4">
      <c r="C73" t="s">
        <v>106</v>
      </c>
    </row>
    <row r="74" spans="2:4">
      <c r="D74" t="s">
        <v>107</v>
      </c>
    </row>
    <row r="75" spans="2:4">
      <c r="C75" t="s">
        <v>108</v>
      </c>
    </row>
    <row r="76" spans="2:4">
      <c r="D76" t="s">
        <v>109</v>
      </c>
    </row>
    <row r="77" spans="2:4">
      <c r="C77" t="s">
        <v>110</v>
      </c>
    </row>
    <row r="78" spans="2:4">
      <c r="B78" t="s">
        <v>111</v>
      </c>
    </row>
    <row r="79" spans="2:4">
      <c r="B79" t="s">
        <v>112</v>
      </c>
    </row>
    <row r="80" spans="2:4">
      <c r="C80" t="s">
        <v>113</v>
      </c>
    </row>
    <row r="81" spans="2:3">
      <c r="B81" t="s">
        <v>114</v>
      </c>
    </row>
    <row r="82" spans="2:3">
      <c r="C82" t="s">
        <v>115</v>
      </c>
    </row>
    <row r="83" spans="2:3">
      <c r="C83" t="s">
        <v>116</v>
      </c>
    </row>
    <row r="84" spans="2:3">
      <c r="C84" t="s">
        <v>117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opLeftCell="A132" workbookViewId="0">
      <selection activeCell="F138" sqref="F138"/>
    </sheetView>
  </sheetViews>
  <sheetFormatPr defaultColWidth="9" defaultRowHeight="14.4" outlineLevelCol="7"/>
  <sheetData>
    <row r="1" spans="1:8">
      <c r="A1">
        <f>SUM(B1:AZ1)</f>
        <v>46.05</v>
      </c>
      <c r="B1">
        <f t="shared" ref="B1:H1" si="0">COUNTA(B2:B2057)/COLUMN()</f>
        <v>9</v>
      </c>
      <c r="C1">
        <f t="shared" si="0"/>
        <v>21</v>
      </c>
      <c r="D1">
        <f t="shared" si="0"/>
        <v>15.25</v>
      </c>
      <c r="E1">
        <f t="shared" si="0"/>
        <v>0.8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20240426</v>
      </c>
      <c r="B2" t="s">
        <v>118</v>
      </c>
    </row>
    <row r="3" spans="1:8">
      <c r="C3" t="s">
        <v>119</v>
      </c>
    </row>
    <row r="4" spans="1:8">
      <c r="C4" t="s">
        <v>120</v>
      </c>
    </row>
    <row r="5" spans="1:8">
      <c r="C5" t="s">
        <v>121</v>
      </c>
    </row>
    <row r="6" spans="1:8">
      <c r="C6" t="s">
        <v>122</v>
      </c>
    </row>
    <row r="7" spans="1:8">
      <c r="B7" t="s">
        <v>123</v>
      </c>
    </row>
    <row r="8" spans="1:8">
      <c r="C8" t="s">
        <v>124</v>
      </c>
    </row>
    <row r="9" spans="1:8">
      <c r="C9" t="s">
        <v>125</v>
      </c>
    </row>
    <row r="10" spans="1:8">
      <c r="C10" t="s">
        <v>126</v>
      </c>
    </row>
    <row r="11" spans="1:8">
      <c r="C11" t="s">
        <v>127</v>
      </c>
    </row>
    <row r="12" spans="1:8">
      <c r="B12" t="s">
        <v>128</v>
      </c>
    </row>
    <row r="13" spans="1:8">
      <c r="C13" t="s">
        <v>129</v>
      </c>
    </row>
    <row r="14" spans="1:8">
      <c r="C14" t="s">
        <v>130</v>
      </c>
    </row>
    <row r="15" spans="1:8">
      <c r="C15" t="s">
        <v>131</v>
      </c>
    </row>
    <row r="16" spans="1:8">
      <c r="C16" t="s">
        <v>132</v>
      </c>
    </row>
    <row r="17" spans="2:4">
      <c r="B17" t="s">
        <v>133</v>
      </c>
    </row>
    <row r="18" spans="2:4">
      <c r="C18" t="s">
        <v>134</v>
      </c>
    </row>
    <row r="19" spans="2:4">
      <c r="C19" t="s">
        <v>135</v>
      </c>
    </row>
    <row r="20" spans="2:4">
      <c r="C20" t="s">
        <v>136</v>
      </c>
    </row>
    <row r="21" spans="2:4">
      <c r="C21" t="s">
        <v>137</v>
      </c>
    </row>
    <row r="22" spans="2:4">
      <c r="B22" t="s">
        <v>138</v>
      </c>
    </row>
    <row r="23" spans="2:4">
      <c r="C23" t="s">
        <v>139</v>
      </c>
    </row>
    <row r="24" spans="2:4">
      <c r="C24" t="s">
        <v>140</v>
      </c>
    </row>
    <row r="25" spans="2:4">
      <c r="C25" t="s">
        <v>141</v>
      </c>
    </row>
    <row r="26" spans="2:4">
      <c r="D26" t="s">
        <v>142</v>
      </c>
    </row>
    <row r="27" spans="2:4">
      <c r="D27" t="s">
        <v>143</v>
      </c>
    </row>
    <row r="28" spans="2:4">
      <c r="C28" t="s">
        <v>144</v>
      </c>
    </row>
    <row r="29" spans="2:4">
      <c r="B29" t="s">
        <v>145</v>
      </c>
    </row>
    <row r="30" spans="2:4">
      <c r="C30" t="s">
        <v>146</v>
      </c>
    </row>
    <row r="31" spans="2:4">
      <c r="D31" t="s">
        <v>147</v>
      </c>
    </row>
    <row r="32" spans="2:4">
      <c r="D32" t="s">
        <v>148</v>
      </c>
    </row>
    <row r="33" spans="2:4">
      <c r="D33" t="s">
        <v>149</v>
      </c>
    </row>
    <row r="34" spans="2:4">
      <c r="C34" t="s">
        <v>150</v>
      </c>
    </row>
    <row r="35" spans="2:4">
      <c r="D35" t="s">
        <v>151</v>
      </c>
    </row>
    <row r="36" spans="2:4">
      <c r="D36" t="s">
        <v>152</v>
      </c>
    </row>
    <row r="37" spans="2:4">
      <c r="C37" t="s">
        <v>153</v>
      </c>
    </row>
    <row r="38" spans="2:4">
      <c r="C38" t="s">
        <v>154</v>
      </c>
    </row>
    <row r="39" spans="2:4">
      <c r="B39" t="s">
        <v>155</v>
      </c>
    </row>
    <row r="40" spans="2:4">
      <c r="C40" t="s">
        <v>156</v>
      </c>
    </row>
    <row r="41" spans="2:4">
      <c r="D41" t="s">
        <v>157</v>
      </c>
    </row>
    <row r="42" spans="2:4">
      <c r="C42" t="s">
        <v>158</v>
      </c>
    </row>
    <row r="43" spans="2:4">
      <c r="D43" t="s">
        <v>159</v>
      </c>
    </row>
    <row r="44" spans="2:4">
      <c r="C44" t="s">
        <v>160</v>
      </c>
    </row>
    <row r="45" spans="2:4">
      <c r="C45" t="s">
        <v>161</v>
      </c>
    </row>
    <row r="46" spans="2:4">
      <c r="B46" t="s">
        <v>162</v>
      </c>
    </row>
    <row r="47" spans="2:4">
      <c r="C47" t="s">
        <v>163</v>
      </c>
    </row>
    <row r="48" spans="2:4">
      <c r="C48" t="s">
        <v>164</v>
      </c>
    </row>
    <row r="49" spans="2:5">
      <c r="C49" t="s">
        <v>165</v>
      </c>
    </row>
    <row r="50" spans="2:5">
      <c r="C50" t="s">
        <v>166</v>
      </c>
    </row>
    <row r="51" spans="2:5">
      <c r="B51" t="s">
        <v>167</v>
      </c>
    </row>
    <row r="52" spans="2:5">
      <c r="C52" t="s">
        <v>168</v>
      </c>
    </row>
    <row r="53" spans="2:5">
      <c r="D53" t="s">
        <v>169</v>
      </c>
    </row>
    <row r="54" spans="2:5">
      <c r="D54" t="s">
        <v>170</v>
      </c>
    </row>
    <row r="55" spans="2:5">
      <c r="D55" t="s">
        <v>171</v>
      </c>
    </row>
    <row r="56" spans="2:5">
      <c r="C56" t="s">
        <v>172</v>
      </c>
    </row>
    <row r="57" spans="2:5">
      <c r="C57" t="s">
        <v>173</v>
      </c>
    </row>
    <row r="58" spans="2:5">
      <c r="D58" t="s">
        <v>174</v>
      </c>
    </row>
    <row r="59" spans="2:5">
      <c r="C59" t="s">
        <v>175</v>
      </c>
    </row>
    <row r="60" spans="2:5">
      <c r="B60" t="s">
        <v>176</v>
      </c>
    </row>
    <row r="61" spans="2:5">
      <c r="C61" t="s">
        <v>177</v>
      </c>
    </row>
    <row r="62" spans="2:5">
      <c r="D62" t="s">
        <v>178</v>
      </c>
    </row>
    <row r="63" spans="2:5">
      <c r="E63" t="s">
        <v>179</v>
      </c>
    </row>
    <row r="64" spans="2:5">
      <c r="E64" t="s">
        <v>180</v>
      </c>
    </row>
    <row r="65" spans="2:5">
      <c r="D65" t="s">
        <v>181</v>
      </c>
    </row>
    <row r="66" spans="2:5">
      <c r="E66" t="s">
        <v>182</v>
      </c>
    </row>
    <row r="67" spans="2:5">
      <c r="E67" t="s">
        <v>183</v>
      </c>
    </row>
    <row r="68" spans="2:5">
      <c r="C68" t="s">
        <v>184</v>
      </c>
    </row>
    <row r="69" spans="2:5">
      <c r="C69" t="s">
        <v>185</v>
      </c>
    </row>
    <row r="70" spans="2:5">
      <c r="C70" t="s">
        <v>186</v>
      </c>
    </row>
    <row r="71" spans="2:5">
      <c r="B71" t="s">
        <v>187</v>
      </c>
    </row>
    <row r="72" spans="2:5">
      <c r="C72" t="s">
        <v>188</v>
      </c>
    </row>
    <row r="73" spans="2:5">
      <c r="C73" t="s">
        <v>189</v>
      </c>
    </row>
    <row r="74" spans="2:5">
      <c r="D74" t="s">
        <v>190</v>
      </c>
    </row>
    <row r="75" spans="2:5">
      <c r="D75" t="s">
        <v>191</v>
      </c>
    </row>
    <row r="76" spans="2:5">
      <c r="D76" t="s">
        <v>192</v>
      </c>
    </row>
    <row r="77" spans="2:5">
      <c r="C77" t="s">
        <v>193</v>
      </c>
    </row>
    <row r="78" spans="2:5">
      <c r="B78" t="s">
        <v>194</v>
      </c>
    </row>
    <row r="79" spans="2:5">
      <c r="C79" t="s">
        <v>195</v>
      </c>
    </row>
    <row r="80" spans="2:5">
      <c r="C80" t="s">
        <v>196</v>
      </c>
    </row>
    <row r="81" spans="2:4">
      <c r="C81" t="s">
        <v>197</v>
      </c>
    </row>
    <row r="82" spans="2:4">
      <c r="C82" t="s">
        <v>198</v>
      </c>
    </row>
    <row r="83" spans="2:4">
      <c r="D83" t="s">
        <v>199</v>
      </c>
    </row>
    <row r="84" spans="2:4">
      <c r="D84" t="s">
        <v>200</v>
      </c>
    </row>
    <row r="85" spans="2:4">
      <c r="D85" t="s">
        <v>201</v>
      </c>
    </row>
    <row r="86" spans="2:4">
      <c r="D86" t="s">
        <v>202</v>
      </c>
    </row>
    <row r="87" spans="2:4">
      <c r="D87" t="s">
        <v>203</v>
      </c>
    </row>
    <row r="88" spans="2:4">
      <c r="C88" t="s">
        <v>204</v>
      </c>
    </row>
    <row r="89" spans="2:4">
      <c r="C89" t="s">
        <v>205</v>
      </c>
    </row>
    <row r="90" spans="2:4">
      <c r="C90" t="s">
        <v>206</v>
      </c>
    </row>
    <row r="91" spans="2:4">
      <c r="D91" t="s">
        <v>207</v>
      </c>
    </row>
    <row r="92" spans="2:4">
      <c r="D92" t="s">
        <v>208</v>
      </c>
    </row>
    <row r="93" spans="2:4">
      <c r="D93" t="s">
        <v>209</v>
      </c>
    </row>
    <row r="94" spans="2:4">
      <c r="D94" t="s">
        <v>210</v>
      </c>
    </row>
    <row r="95" spans="2:4">
      <c r="B95" t="s">
        <v>211</v>
      </c>
    </row>
    <row r="96" spans="2:4">
      <c r="C96" t="s">
        <v>212</v>
      </c>
    </row>
    <row r="97" spans="2:4">
      <c r="D97" t="s">
        <v>213</v>
      </c>
    </row>
    <row r="98" spans="2:4">
      <c r="D98" t="s">
        <v>214</v>
      </c>
    </row>
    <row r="99" spans="2:4">
      <c r="B99" t="s">
        <v>215</v>
      </c>
    </row>
    <row r="100" spans="2:4">
      <c r="C100" t="s">
        <v>216</v>
      </c>
    </row>
    <row r="101" spans="2:4">
      <c r="D101" t="s">
        <v>217</v>
      </c>
    </row>
    <row r="102" spans="2:4">
      <c r="D102" t="s">
        <v>218</v>
      </c>
    </row>
    <row r="103" spans="2:4">
      <c r="D103" t="s">
        <v>219</v>
      </c>
    </row>
    <row r="104" spans="2:4">
      <c r="D104" t="s">
        <v>220</v>
      </c>
    </row>
    <row r="105" spans="2:4">
      <c r="D105" t="s">
        <v>221</v>
      </c>
    </row>
    <row r="106" spans="2:4">
      <c r="C106" t="s">
        <v>222</v>
      </c>
    </row>
    <row r="107" spans="2:4">
      <c r="D107" t="s">
        <v>223</v>
      </c>
    </row>
    <row r="108" spans="2:4">
      <c r="D108" t="s">
        <v>224</v>
      </c>
    </row>
    <row r="109" spans="2:4">
      <c r="D109" t="s">
        <v>225</v>
      </c>
    </row>
    <row r="110" spans="2:4">
      <c r="C110" t="s">
        <v>226</v>
      </c>
    </row>
    <row r="111" spans="2:4">
      <c r="D111" t="s">
        <v>227</v>
      </c>
    </row>
    <row r="112" spans="2:4">
      <c r="D112" t="s">
        <v>228</v>
      </c>
    </row>
    <row r="113" spans="2:4">
      <c r="D113" t="s">
        <v>229</v>
      </c>
    </row>
    <row r="114" spans="2:4">
      <c r="D114" t="s">
        <v>230</v>
      </c>
    </row>
    <row r="115" spans="2:4">
      <c r="D115" t="s">
        <v>231</v>
      </c>
    </row>
    <row r="116" spans="2:4">
      <c r="D116" t="s">
        <v>232</v>
      </c>
    </row>
    <row r="117" spans="2:4">
      <c r="C117" t="s">
        <v>233</v>
      </c>
    </row>
    <row r="118" spans="2:4">
      <c r="D118" t="s">
        <v>234</v>
      </c>
    </row>
    <row r="119" spans="2:4">
      <c r="D119" t="s">
        <v>235</v>
      </c>
    </row>
    <row r="120" spans="2:4">
      <c r="D120" t="s">
        <v>236</v>
      </c>
    </row>
    <row r="121" spans="2:4">
      <c r="C121" t="s">
        <v>237</v>
      </c>
    </row>
    <row r="122" spans="2:4">
      <c r="B122" t="s">
        <v>238</v>
      </c>
    </row>
    <row r="123" spans="2:4">
      <c r="C123" t="s">
        <v>239</v>
      </c>
    </row>
    <row r="124" spans="2:4">
      <c r="D124" t="s">
        <v>240</v>
      </c>
    </row>
    <row r="125" spans="2:4">
      <c r="D125" t="s">
        <v>241</v>
      </c>
    </row>
    <row r="126" spans="2:4">
      <c r="D126" t="s">
        <v>242</v>
      </c>
    </row>
    <row r="127" spans="2:4">
      <c r="C127" t="s">
        <v>243</v>
      </c>
    </row>
    <row r="128" spans="2:4">
      <c r="D128" t="s">
        <v>244</v>
      </c>
    </row>
    <row r="129" spans="2:4">
      <c r="D129" t="s">
        <v>245</v>
      </c>
    </row>
    <row r="130" spans="2:4">
      <c r="D130" t="s">
        <v>246</v>
      </c>
    </row>
    <row r="131" spans="2:4">
      <c r="D131" t="s">
        <v>247</v>
      </c>
    </row>
    <row r="132" spans="2:4">
      <c r="D132" t="s">
        <v>248</v>
      </c>
    </row>
    <row r="133" spans="2:4">
      <c r="D133" t="s">
        <v>249</v>
      </c>
    </row>
    <row r="134" spans="2:4">
      <c r="D134" t="s">
        <v>250</v>
      </c>
    </row>
    <row r="135" spans="2:4">
      <c r="C135" t="s">
        <v>251</v>
      </c>
    </row>
    <row r="136" spans="2:4">
      <c r="C136" t="s">
        <v>252</v>
      </c>
    </row>
    <row r="137" spans="2:4">
      <c r="D137" t="s">
        <v>253</v>
      </c>
    </row>
    <row r="138" spans="2:4">
      <c r="D138" t="s">
        <v>254</v>
      </c>
    </row>
    <row r="139" spans="2:4">
      <c r="D139" t="s">
        <v>255</v>
      </c>
    </row>
    <row r="140" spans="2:4">
      <c r="D140" t="s">
        <v>256</v>
      </c>
    </row>
    <row r="141" spans="2:4">
      <c r="D141" t="s">
        <v>257</v>
      </c>
    </row>
    <row r="142" spans="2:4">
      <c r="B142" t="s">
        <v>258</v>
      </c>
    </row>
    <row r="143" spans="2:4">
      <c r="C143" t="s">
        <v>259</v>
      </c>
    </row>
    <row r="144" spans="2:4">
      <c r="B144" t="s">
        <v>260</v>
      </c>
    </row>
    <row r="145" spans="2:3">
      <c r="C145" t="s">
        <v>261</v>
      </c>
    </row>
    <row r="146" spans="2:3">
      <c r="B146" t="s">
        <v>262</v>
      </c>
    </row>
    <row r="147" spans="2:3">
      <c r="C147" t="s">
        <v>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opLeftCell="A46" workbookViewId="0">
      <selection activeCell="F67" sqref="F67"/>
    </sheetView>
  </sheetViews>
  <sheetFormatPr defaultColWidth="9" defaultRowHeight="14.4" outlineLevelCol="7"/>
  <sheetData>
    <row r="1" spans="1:8">
      <c r="A1">
        <f>SUM(B1:AZ1)</f>
        <v>21.1</v>
      </c>
      <c r="B1">
        <f t="shared" ref="B1:H1" si="0">COUNTA(B2:B2063)/COLUMN()</f>
        <v>4</v>
      </c>
      <c r="C1">
        <f t="shared" si="0"/>
        <v>9</v>
      </c>
      <c r="D1">
        <f t="shared" si="0"/>
        <v>5.5</v>
      </c>
      <c r="E1">
        <f t="shared" si="0"/>
        <v>2.6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20251107</v>
      </c>
      <c r="B2" t="s">
        <v>264</v>
      </c>
    </row>
    <row r="3" spans="1:8">
      <c r="C3" t="s">
        <v>265</v>
      </c>
    </row>
    <row r="4" spans="1:8">
      <c r="D4" t="s">
        <v>266</v>
      </c>
    </row>
    <row r="5" spans="1:8">
      <c r="D5" t="s">
        <v>267</v>
      </c>
    </row>
    <row r="6" spans="1:8">
      <c r="C6" t="s">
        <v>268</v>
      </c>
    </row>
    <row r="7" spans="1:8">
      <c r="D7" t="s">
        <v>269</v>
      </c>
    </row>
    <row r="8" spans="1:8">
      <c r="D8" t="s">
        <v>270</v>
      </c>
    </row>
    <row r="9" spans="1:8">
      <c r="C9" t="s">
        <v>271</v>
      </c>
    </row>
    <row r="10" spans="1:8">
      <c r="D10" t="s">
        <v>272</v>
      </c>
    </row>
    <row r="11" spans="1:8">
      <c r="B11" t="s">
        <v>273</v>
      </c>
    </row>
    <row r="12" spans="1:8">
      <c r="C12" t="s">
        <v>274</v>
      </c>
    </row>
    <row r="13" spans="1:8">
      <c r="C13" t="s">
        <v>275</v>
      </c>
    </row>
    <row r="14" spans="1:8">
      <c r="C14" t="s">
        <v>276</v>
      </c>
    </row>
    <row r="15" spans="1:8">
      <c r="C15" t="s">
        <v>277</v>
      </c>
    </row>
    <row r="16" spans="1:8">
      <c r="D16" t="s">
        <v>278</v>
      </c>
    </row>
    <row r="17" spans="2:5">
      <c r="D17" t="s">
        <v>279</v>
      </c>
    </row>
    <row r="18" spans="2:5">
      <c r="D18" t="s">
        <v>280</v>
      </c>
    </row>
    <row r="19" spans="2:5">
      <c r="D19" t="s">
        <v>281</v>
      </c>
    </row>
    <row r="20" spans="2:5">
      <c r="C20" t="s">
        <v>282</v>
      </c>
    </row>
    <row r="21" spans="2:5">
      <c r="B21" t="s">
        <v>283</v>
      </c>
    </row>
    <row r="22" spans="2:5">
      <c r="C22" t="s">
        <v>284</v>
      </c>
    </row>
    <row r="23" spans="2:5">
      <c r="D23" t="s">
        <v>285</v>
      </c>
    </row>
    <row r="24" spans="2:5">
      <c r="E24" t="s">
        <v>286</v>
      </c>
    </row>
    <row r="25" spans="2:5">
      <c r="E25" t="s">
        <v>287</v>
      </c>
    </row>
    <row r="26" spans="2:5">
      <c r="D26" t="s">
        <v>288</v>
      </c>
    </row>
    <row r="27" spans="2:5">
      <c r="E27" t="s">
        <v>289</v>
      </c>
    </row>
    <row r="28" spans="2:5">
      <c r="D28" t="s">
        <v>290</v>
      </c>
    </row>
    <row r="29" spans="2:5">
      <c r="E29" t="s">
        <v>291</v>
      </c>
    </row>
    <row r="30" spans="2:5">
      <c r="E30" t="s">
        <v>292</v>
      </c>
    </row>
    <row r="31" spans="2:5">
      <c r="C31" t="s">
        <v>293</v>
      </c>
    </row>
    <row r="32" spans="2:5">
      <c r="D32" t="s">
        <v>294</v>
      </c>
    </row>
    <row r="33" spans="2:5">
      <c r="E33" t="s">
        <v>295</v>
      </c>
    </row>
    <row r="34" spans="2:5">
      <c r="E34" t="s">
        <v>296</v>
      </c>
    </row>
    <row r="35" spans="2:5">
      <c r="E35" t="s">
        <v>297</v>
      </c>
    </row>
    <row r="36" spans="2:5">
      <c r="D36" t="s">
        <v>298</v>
      </c>
    </row>
    <row r="37" spans="2:5">
      <c r="E37" t="s">
        <v>299</v>
      </c>
    </row>
    <row r="38" spans="2:5">
      <c r="E38" t="s">
        <v>300</v>
      </c>
    </row>
    <row r="39" spans="2:5">
      <c r="D39" t="s">
        <v>301</v>
      </c>
    </row>
    <row r="40" spans="2:5">
      <c r="E40" t="s">
        <v>302</v>
      </c>
    </row>
    <row r="41" spans="2:5">
      <c r="E41" t="s">
        <v>303</v>
      </c>
    </row>
    <row r="42" spans="2:5">
      <c r="C42" t="s">
        <v>304</v>
      </c>
      <c r="D42" t="s">
        <v>305</v>
      </c>
    </row>
    <row r="43" spans="2:5">
      <c r="B43" t="s">
        <v>306</v>
      </c>
    </row>
    <row r="44" spans="2:5">
      <c r="C44" t="s">
        <v>307</v>
      </c>
    </row>
    <row r="45" spans="2:5">
      <c r="D45" t="s">
        <v>308</v>
      </c>
    </row>
    <row r="46" spans="2:5">
      <c r="C46" t="s">
        <v>309</v>
      </c>
    </row>
    <row r="47" spans="2:5">
      <c r="C47" t="s">
        <v>310</v>
      </c>
    </row>
    <row r="48" spans="2:5">
      <c r="D48" t="s">
        <v>311</v>
      </c>
    </row>
    <row r="49" spans="2:5">
      <c r="D49" t="s">
        <v>312</v>
      </c>
    </row>
    <row r="50" spans="2:5">
      <c r="D50" t="s">
        <v>313</v>
      </c>
    </row>
    <row r="51" spans="2:5">
      <c r="C51" t="s">
        <v>314</v>
      </c>
    </row>
    <row r="52" spans="2:5">
      <c r="B52" t="s">
        <v>315</v>
      </c>
    </row>
    <row r="53" spans="2:5">
      <c r="C53" t="s">
        <v>316</v>
      </c>
    </row>
    <row r="54" spans="2:5">
      <c r="C54" t="s">
        <v>317</v>
      </c>
    </row>
    <row r="55" spans="2:5">
      <c r="B55" t="s">
        <v>318</v>
      </c>
    </row>
    <row r="56" spans="2:5">
      <c r="C56" t="s">
        <v>319</v>
      </c>
    </row>
    <row r="57" spans="2:5">
      <c r="C57" t="s">
        <v>320</v>
      </c>
    </row>
    <row r="58" spans="2:5">
      <c r="C58" t="s">
        <v>321</v>
      </c>
    </row>
    <row r="59" spans="2:5">
      <c r="D59" t="s">
        <v>322</v>
      </c>
    </row>
    <row r="60" spans="2:5">
      <c r="E60" t="s">
        <v>323</v>
      </c>
    </row>
    <row r="61" spans="2:5">
      <c r="D61" t="s">
        <v>324</v>
      </c>
    </row>
    <row r="62" spans="2:5">
      <c r="C62" t="s">
        <v>325</v>
      </c>
    </row>
    <row r="63" spans="2:5">
      <c r="B63" t="s">
        <v>326</v>
      </c>
    </row>
    <row r="64" spans="2:5">
      <c r="C64" t="s">
        <v>327</v>
      </c>
    </row>
    <row r="65" spans="2:3">
      <c r="C65" t="s">
        <v>328</v>
      </c>
    </row>
    <row r="66" spans="2:3">
      <c r="B66" t="s">
        <v>329</v>
      </c>
    </row>
    <row r="67" spans="2:3">
      <c r="C67" t="s">
        <v>330</v>
      </c>
    </row>
    <row r="68" spans="2:3">
      <c r="C68" t="s">
        <v>331</v>
      </c>
    </row>
    <row r="69" spans="2:3">
      <c r="C69" t="s">
        <v>332</v>
      </c>
    </row>
    <row r="70" spans="2:3">
      <c r="C70" t="s">
        <v>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E7" sqref="E7"/>
    </sheetView>
  </sheetViews>
  <sheetFormatPr defaultColWidth="9" defaultRowHeight="14.4" outlineLevelRow="3" outlineLevelCol="7"/>
  <sheetData>
    <row r="1" spans="1:8">
      <c r="A1">
        <f>SUM(B1:AZ1)</f>
        <v>1.5</v>
      </c>
      <c r="B1">
        <f t="shared" ref="B1:H1" si="0">COUNTA(B2:B2048)/COLUMN()</f>
        <v>1.5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20250708</v>
      </c>
      <c r="B2" t="s">
        <v>334</v>
      </c>
    </row>
    <row r="3" spans="1:8">
      <c r="B3" t="s">
        <v>335</v>
      </c>
    </row>
    <row r="4" spans="1:8">
      <c r="B4" t="s">
        <v>336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28" workbookViewId="0">
      <selection activeCell="B39" sqref="B39:G43"/>
    </sheetView>
  </sheetViews>
  <sheetFormatPr defaultColWidth="9" defaultRowHeight="14.4" outlineLevelCol="7"/>
  <sheetData>
    <row r="1" spans="1:8">
      <c r="A1">
        <f>SUM(B1:AZ1)</f>
        <v>15.4</v>
      </c>
      <c r="B1">
        <f t="shared" ref="B1:H1" si="0">COUNTA(B2:B2075)/COLUMN()</f>
        <v>6.5</v>
      </c>
      <c r="C1">
        <f t="shared" si="0"/>
        <v>7</v>
      </c>
      <c r="D1">
        <f t="shared" si="0"/>
        <v>1.5</v>
      </c>
      <c r="E1">
        <f t="shared" si="0"/>
        <v>0.4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20251113</v>
      </c>
      <c r="B2" t="s">
        <v>337</v>
      </c>
    </row>
    <row r="3" spans="1:8">
      <c r="C3" t="s">
        <v>338</v>
      </c>
    </row>
    <row r="4" spans="1:8">
      <c r="C4" t="s">
        <v>339</v>
      </c>
    </row>
    <row r="5" spans="1:8">
      <c r="C5" t="s">
        <v>340</v>
      </c>
    </row>
    <row r="6" spans="1:8">
      <c r="D6" t="s">
        <v>341</v>
      </c>
    </row>
    <row r="7" spans="1:8">
      <c r="E7" t="s">
        <v>342</v>
      </c>
    </row>
    <row r="8" spans="1:8">
      <c r="E8" t="s">
        <v>343</v>
      </c>
    </row>
    <row r="9" spans="1:8">
      <c r="D9" t="s">
        <v>344</v>
      </c>
    </row>
    <row r="10" spans="1:8">
      <c r="C10" t="s">
        <v>345</v>
      </c>
    </row>
    <row r="11" spans="1:8">
      <c r="B11" t="s">
        <v>346</v>
      </c>
    </row>
    <row r="12" spans="1:8">
      <c r="B12" t="s">
        <v>347</v>
      </c>
    </row>
    <row r="13" spans="1:8">
      <c r="C13" t="s">
        <v>348</v>
      </c>
    </row>
    <row r="14" spans="1:8">
      <c r="C14" t="s">
        <v>349</v>
      </c>
    </row>
    <row r="15" spans="1:8">
      <c r="C15" t="s">
        <v>350</v>
      </c>
    </row>
    <row r="16" spans="1:8">
      <c r="D16" t="s">
        <v>351</v>
      </c>
    </row>
    <row r="17" spans="2:4">
      <c r="C17" t="s">
        <v>352</v>
      </c>
    </row>
    <row r="18" spans="2:4">
      <c r="B18" t="s">
        <v>353</v>
      </c>
    </row>
    <row r="19" spans="2:4">
      <c r="C19" t="s">
        <v>354</v>
      </c>
    </row>
    <row r="20" spans="2:4">
      <c r="C20" t="s">
        <v>355</v>
      </c>
    </row>
    <row r="21" spans="2:4">
      <c r="C21" t="s">
        <v>356</v>
      </c>
    </row>
    <row r="22" spans="2:4">
      <c r="C22" t="s">
        <v>357</v>
      </c>
    </row>
    <row r="23" spans="2:4">
      <c r="C23" t="s">
        <v>358</v>
      </c>
    </row>
    <row r="24" spans="2:4">
      <c r="C24" t="s">
        <v>359</v>
      </c>
    </row>
    <row r="25" spans="2:4">
      <c r="B25" t="s">
        <v>360</v>
      </c>
    </row>
    <row r="26" spans="2:4">
      <c r="B26" t="s">
        <v>361</v>
      </c>
    </row>
    <row r="27" spans="2:4">
      <c r="B27" t="s">
        <v>362</v>
      </c>
    </row>
    <row r="28" spans="2:4">
      <c r="C28" t="s">
        <v>363</v>
      </c>
    </row>
    <row r="29" spans="2:4">
      <c r="C29" t="s">
        <v>364</v>
      </c>
    </row>
    <row r="30" spans="2:4">
      <c r="D30" t="s">
        <v>365</v>
      </c>
    </row>
    <row r="31" spans="2:4">
      <c r="B31" t="s">
        <v>366</v>
      </c>
    </row>
    <row r="32" spans="2:4">
      <c r="B32" t="s">
        <v>367</v>
      </c>
    </row>
    <row r="33" spans="2:4">
      <c r="B33" t="s">
        <v>368</v>
      </c>
    </row>
    <row r="34" spans="2:4">
      <c r="B34" t="s">
        <v>369</v>
      </c>
    </row>
    <row r="35" spans="2:4">
      <c r="B35" t="s">
        <v>370</v>
      </c>
    </row>
    <row r="36" spans="2:4">
      <c r="C36" t="s">
        <v>371</v>
      </c>
    </row>
    <row r="37" spans="2:4">
      <c r="C37" t="s">
        <v>372</v>
      </c>
    </row>
    <row r="38" spans="2:4">
      <c r="C38" t="s">
        <v>373</v>
      </c>
    </row>
    <row r="39" spans="2:4">
      <c r="B39" t="s">
        <v>374</v>
      </c>
    </row>
    <row r="40" spans="2:4">
      <c r="C40" t="s">
        <v>375</v>
      </c>
    </row>
    <row r="41" spans="2:4">
      <c r="C41" t="s">
        <v>376</v>
      </c>
    </row>
    <row r="42" spans="2:4">
      <c r="D42" t="s">
        <v>377</v>
      </c>
    </row>
    <row r="43" spans="2:4">
      <c r="D43" t="s">
        <v>378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opLeftCell="A41" workbookViewId="0">
      <selection activeCell="B49" sqref="B49:I56"/>
    </sheetView>
  </sheetViews>
  <sheetFormatPr defaultColWidth="9" defaultRowHeight="14.4" outlineLevelCol="7"/>
  <sheetData>
    <row r="1" spans="1:8">
      <c r="A1">
        <f>SUM(B1:AZ1)</f>
        <v>16.1666666666667</v>
      </c>
      <c r="B1">
        <f t="shared" ref="B1:H1" si="0">COUNTA(B2:B2040)/COLUMN()</f>
        <v>2.5</v>
      </c>
      <c r="C1">
        <f t="shared" si="0"/>
        <v>4.66666666666667</v>
      </c>
      <c r="D1">
        <f t="shared" si="0"/>
        <v>9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20250619</v>
      </c>
      <c r="B2" t="s">
        <v>379</v>
      </c>
    </row>
    <row r="3" spans="1:8">
      <c r="C3" t="s">
        <v>380</v>
      </c>
    </row>
    <row r="4" spans="1:8">
      <c r="C4" t="s">
        <v>381</v>
      </c>
    </row>
    <row r="5" spans="1:8">
      <c r="D5" t="s">
        <v>382</v>
      </c>
    </row>
    <row r="6" spans="1:8">
      <c r="D6" t="s">
        <v>383</v>
      </c>
    </row>
    <row r="7" spans="1:8">
      <c r="D7" t="s">
        <v>384</v>
      </c>
    </row>
    <row r="8" spans="1:8">
      <c r="D8" t="s">
        <v>385</v>
      </c>
    </row>
    <row r="9" spans="1:8">
      <c r="C9" t="s">
        <v>386</v>
      </c>
    </row>
    <row r="10" spans="1:8">
      <c r="D10" t="s">
        <v>387</v>
      </c>
    </row>
    <row r="11" spans="1:8">
      <c r="D11" t="s">
        <v>388</v>
      </c>
    </row>
    <row r="12" spans="1:8">
      <c r="D12" t="s">
        <v>389</v>
      </c>
    </row>
    <row r="13" spans="1:8">
      <c r="D13" t="s">
        <v>390</v>
      </c>
    </row>
    <row r="14" spans="1:8">
      <c r="C14" t="s">
        <v>391</v>
      </c>
    </row>
    <row r="15" spans="1:8">
      <c r="D15" t="s">
        <v>392</v>
      </c>
    </row>
    <row r="16" spans="1:8">
      <c r="D16" t="s">
        <v>393</v>
      </c>
    </row>
    <row r="17" spans="3:4">
      <c r="D17" t="s">
        <v>394</v>
      </c>
    </row>
    <row r="18" spans="3:4">
      <c r="D18" t="s">
        <v>395</v>
      </c>
    </row>
    <row r="19" spans="3:4">
      <c r="C19" t="s">
        <v>396</v>
      </c>
    </row>
    <row r="20" spans="3:4">
      <c r="D20" t="s">
        <v>397</v>
      </c>
    </row>
    <row r="21" spans="3:4">
      <c r="D21" t="s">
        <v>398</v>
      </c>
    </row>
    <row r="22" spans="3:4">
      <c r="D22" t="s">
        <v>399</v>
      </c>
    </row>
    <row r="23" spans="3:4">
      <c r="D23" t="s">
        <v>400</v>
      </c>
    </row>
    <row r="24" spans="3:4">
      <c r="C24" t="s">
        <v>401</v>
      </c>
    </row>
    <row r="25" spans="3:4">
      <c r="D25" t="s">
        <v>402</v>
      </c>
    </row>
    <row r="26" spans="3:4">
      <c r="D26" t="s">
        <v>403</v>
      </c>
    </row>
    <row r="27" spans="3:4">
      <c r="D27" t="s">
        <v>404</v>
      </c>
    </row>
    <row r="28" spans="3:4">
      <c r="D28" t="s">
        <v>405</v>
      </c>
    </row>
    <row r="29" spans="3:4">
      <c r="C29" t="s">
        <v>406</v>
      </c>
    </row>
    <row r="30" spans="3:4">
      <c r="D30" t="s">
        <v>407</v>
      </c>
    </row>
    <row r="31" spans="3:4">
      <c r="D31" t="s">
        <v>408</v>
      </c>
    </row>
    <row r="32" spans="3:4">
      <c r="D32" t="s">
        <v>409</v>
      </c>
    </row>
    <row r="33" spans="3:4">
      <c r="D33" t="s">
        <v>410</v>
      </c>
    </row>
    <row r="34" spans="3:4">
      <c r="C34" t="s">
        <v>411</v>
      </c>
    </row>
    <row r="35" spans="3:4">
      <c r="D35" t="s">
        <v>412</v>
      </c>
    </row>
    <row r="36" spans="3:4">
      <c r="D36" t="s">
        <v>413</v>
      </c>
    </row>
    <row r="37" spans="3:4">
      <c r="D37" t="s">
        <v>414</v>
      </c>
    </row>
    <row r="38" spans="3:4">
      <c r="D38" t="s">
        <v>415</v>
      </c>
    </row>
    <row r="39" spans="3:4">
      <c r="C39" t="s">
        <v>416</v>
      </c>
    </row>
    <row r="40" spans="3:4">
      <c r="D40" t="s">
        <v>417</v>
      </c>
    </row>
    <row r="41" spans="3:4">
      <c r="D41" t="s">
        <v>418</v>
      </c>
    </row>
    <row r="42" spans="3:4">
      <c r="D42" t="s">
        <v>419</v>
      </c>
    </row>
    <row r="43" spans="3:4">
      <c r="D43" t="s">
        <v>420</v>
      </c>
    </row>
    <row r="44" spans="3:4">
      <c r="C44" t="s">
        <v>421</v>
      </c>
    </row>
    <row r="45" spans="3:4">
      <c r="D45" t="s">
        <v>422</v>
      </c>
    </row>
    <row r="46" spans="3:4">
      <c r="D46" t="s">
        <v>423</v>
      </c>
    </row>
    <row r="47" spans="3:4">
      <c r="D47" t="s">
        <v>424</v>
      </c>
    </row>
    <row r="48" spans="3:4">
      <c r="D48" t="s">
        <v>425</v>
      </c>
    </row>
    <row r="49" spans="2:3">
      <c r="B49" t="s">
        <v>426</v>
      </c>
    </row>
    <row r="50" spans="2:3">
      <c r="C50" t="s">
        <v>427</v>
      </c>
    </row>
    <row r="51" spans="2:3">
      <c r="C51" t="s">
        <v>428</v>
      </c>
    </row>
    <row r="52" spans="2:3">
      <c r="C52" t="s">
        <v>429</v>
      </c>
    </row>
    <row r="53" spans="2:3">
      <c r="B53" t="s">
        <v>430</v>
      </c>
    </row>
    <row r="54" spans="2:3">
      <c r="B54" t="s">
        <v>431</v>
      </c>
    </row>
    <row r="55" spans="2:3">
      <c r="B55" t="s">
        <v>432</v>
      </c>
    </row>
    <row r="56" spans="2:3">
      <c r="C56" t="s">
        <v>433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topLeftCell="A4" workbookViewId="0">
      <selection activeCell="H13" sqref="H13"/>
    </sheetView>
  </sheetViews>
  <sheetFormatPr defaultColWidth="9" defaultRowHeight="14.4" outlineLevelCol="7"/>
  <sheetData>
    <row r="1" spans="1:8">
      <c r="A1">
        <f>SUM(B1:AZ1)</f>
        <v>16.6452380952381</v>
      </c>
      <c r="B1">
        <f t="shared" ref="B1:H1" si="0">COUNTA(B2:B2059)/COLUMN()</f>
        <v>1.5</v>
      </c>
      <c r="C1">
        <f t="shared" si="0"/>
        <v>3.66666666666667</v>
      </c>
      <c r="D1">
        <f t="shared" si="0"/>
        <v>5.75</v>
      </c>
      <c r="E1">
        <f t="shared" si="0"/>
        <v>3.8</v>
      </c>
      <c r="F1">
        <f t="shared" si="0"/>
        <v>1.5</v>
      </c>
      <c r="G1">
        <f t="shared" si="0"/>
        <v>0.428571428571429</v>
      </c>
      <c r="H1">
        <f t="shared" si="0"/>
        <v>0</v>
      </c>
    </row>
    <row r="2" spans="1:8">
      <c r="A2" t="str">
        <f ca="1" t="array" ref="A2">_wpsfn.SHEETSNAME(A1)</f>
        <v>20251106</v>
      </c>
      <c r="B2" t="s">
        <v>434</v>
      </c>
    </row>
    <row r="3" spans="1:8">
      <c r="C3" t="s">
        <v>435</v>
      </c>
    </row>
    <row r="4" spans="1:8">
      <c r="D4" t="s">
        <v>436</v>
      </c>
    </row>
    <row r="5" spans="1:8">
      <c r="C5" t="s">
        <v>437</v>
      </c>
    </row>
    <row r="6" spans="1:8">
      <c r="D6" t="s">
        <v>438</v>
      </c>
    </row>
    <row r="7" spans="1:8">
      <c r="C7" t="s">
        <v>439</v>
      </c>
    </row>
    <row r="8" spans="1:8">
      <c r="D8" t="s">
        <v>440</v>
      </c>
    </row>
    <row r="9" spans="1:8">
      <c r="D9" t="s">
        <v>441</v>
      </c>
    </row>
    <row r="10" spans="1:8">
      <c r="E10" t="s">
        <v>442</v>
      </c>
    </row>
    <row r="11" spans="1:8">
      <c r="D11" t="s">
        <v>443</v>
      </c>
    </row>
    <row r="12" spans="1:8">
      <c r="E12" t="s">
        <v>444</v>
      </c>
    </row>
    <row r="13" spans="1:8">
      <c r="E13" t="s">
        <v>445</v>
      </c>
    </row>
    <row r="14" spans="1:8">
      <c r="E14" t="s">
        <v>446</v>
      </c>
    </row>
    <row r="15" spans="1:8">
      <c r="E15" t="s">
        <v>447</v>
      </c>
    </row>
    <row r="16" spans="1:8">
      <c r="B16" t="s">
        <v>448</v>
      </c>
    </row>
    <row r="17" spans="3:5">
      <c r="C17" t="s">
        <v>449</v>
      </c>
    </row>
    <row r="18" spans="3:5">
      <c r="D18" t="s">
        <v>450</v>
      </c>
    </row>
    <row r="19" spans="3:5">
      <c r="E19" t="s">
        <v>451</v>
      </c>
    </row>
    <row r="20" spans="3:5">
      <c r="E20" t="s">
        <v>452</v>
      </c>
    </row>
    <row r="21" spans="3:5">
      <c r="D21" t="s">
        <v>453</v>
      </c>
    </row>
    <row r="22" spans="3:5">
      <c r="D22" t="s">
        <v>454</v>
      </c>
    </row>
    <row r="23" spans="3:5">
      <c r="E23" t="s">
        <v>455</v>
      </c>
    </row>
    <row r="24" spans="3:5">
      <c r="E24" t="s">
        <v>456</v>
      </c>
    </row>
    <row r="25" spans="3:5">
      <c r="C25" t="s">
        <v>457</v>
      </c>
    </row>
    <row r="26" spans="3:5">
      <c r="D26" t="s">
        <v>458</v>
      </c>
    </row>
    <row r="27" spans="3:5">
      <c r="E27" t="s">
        <v>459</v>
      </c>
    </row>
    <row r="28" spans="3:5">
      <c r="E28" t="s">
        <v>460</v>
      </c>
    </row>
    <row r="29" spans="3:5">
      <c r="D29" t="s">
        <v>461</v>
      </c>
    </row>
    <row r="30" spans="3:5">
      <c r="E30" t="s">
        <v>462</v>
      </c>
    </row>
    <row r="31" spans="3:5">
      <c r="E31" t="s">
        <v>463</v>
      </c>
    </row>
    <row r="32" spans="3:5">
      <c r="C32" t="s">
        <v>464</v>
      </c>
    </row>
    <row r="33" spans="4:7">
      <c r="D33" t="s">
        <v>465</v>
      </c>
    </row>
    <row r="34" spans="4:7">
      <c r="E34" t="s">
        <v>466</v>
      </c>
    </row>
    <row r="35" spans="4:7">
      <c r="F35" t="s">
        <v>467</v>
      </c>
    </row>
    <row r="36" spans="4:7">
      <c r="F36" t="s">
        <v>468</v>
      </c>
    </row>
    <row r="37" spans="4:7">
      <c r="E37" t="s">
        <v>469</v>
      </c>
    </row>
    <row r="38" spans="4:7">
      <c r="F38" t="s">
        <v>470</v>
      </c>
    </row>
    <row r="39" spans="4:7">
      <c r="F39" t="s">
        <v>471</v>
      </c>
    </row>
    <row r="40" spans="4:7">
      <c r="E40" t="s">
        <v>472</v>
      </c>
    </row>
    <row r="41" spans="4:7">
      <c r="D41" t="s">
        <v>473</v>
      </c>
    </row>
    <row r="42" spans="4:7">
      <c r="E42" t="s">
        <v>474</v>
      </c>
    </row>
    <row r="43" spans="4:7">
      <c r="F43" t="s">
        <v>475</v>
      </c>
    </row>
    <row r="44" spans="4:7">
      <c r="F44" t="s">
        <v>476</v>
      </c>
    </row>
    <row r="45" spans="4:7">
      <c r="E45" t="s">
        <v>477</v>
      </c>
    </row>
    <row r="46" spans="4:7">
      <c r="F46" t="s">
        <v>478</v>
      </c>
    </row>
    <row r="47" spans="4:7">
      <c r="G47" t="s">
        <v>479</v>
      </c>
    </row>
    <row r="48" spans="4:7">
      <c r="G48" t="s">
        <v>480</v>
      </c>
    </row>
    <row r="49" spans="2:7">
      <c r="F49" t="s">
        <v>481</v>
      </c>
    </row>
    <row r="50" spans="2:7">
      <c r="G50" t="s">
        <v>482</v>
      </c>
    </row>
    <row r="51" spans="2:7">
      <c r="E51" t="s">
        <v>483</v>
      </c>
    </row>
    <row r="52" spans="2:7">
      <c r="F52" t="s">
        <v>484</v>
      </c>
    </row>
    <row r="53" spans="2:7">
      <c r="B53" t="s">
        <v>485</v>
      </c>
    </row>
    <row r="54" spans="2:7">
      <c r="C54" t="s">
        <v>486</v>
      </c>
    </row>
    <row r="55" spans="2:7">
      <c r="C55" t="s">
        <v>487</v>
      </c>
    </row>
    <row r="56" spans="2:7">
      <c r="D56" t="s">
        <v>488</v>
      </c>
    </row>
    <row r="57" spans="2:7">
      <c r="D57" t="s">
        <v>489</v>
      </c>
    </row>
    <row r="58" spans="2:7">
      <c r="D58" t="s">
        <v>490</v>
      </c>
    </row>
    <row r="59" spans="2:7">
      <c r="C59" t="s">
        <v>491</v>
      </c>
    </row>
    <row r="60" spans="2:7">
      <c r="D60" t="s">
        <v>492</v>
      </c>
    </row>
    <row r="61" spans="2:7">
      <c r="D61" t="s">
        <v>493</v>
      </c>
    </row>
    <row r="62" spans="2:7">
      <c r="D62" t="s">
        <v>494</v>
      </c>
    </row>
    <row r="63" spans="2:7">
      <c r="D63" t="s">
        <v>495</v>
      </c>
    </row>
    <row r="64" spans="2:7">
      <c r="C64" t="s">
        <v>496</v>
      </c>
    </row>
    <row r="65" spans="3:4">
      <c r="D65" t="s">
        <v>497</v>
      </c>
    </row>
    <row r="66" spans="3:4">
      <c r="D66" t="s">
        <v>498</v>
      </c>
    </row>
    <row r="67" spans="3:4">
      <c r="C67" t="s">
        <v>499</v>
      </c>
    </row>
    <row r="68" spans="3:4">
      <c r="D68" t="s">
        <v>500</v>
      </c>
    </row>
    <row r="69" spans="3:4">
      <c r="D69" t="s">
        <v>501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"/>
    </sheetView>
  </sheetViews>
  <sheetFormatPr defaultColWidth="9" defaultRowHeight="14.4" outlineLevelCol="7"/>
  <sheetData>
    <row r="1" spans="1:8">
      <c r="A1">
        <f>SUM(B1:AZ1)</f>
        <v>9.66666666666667</v>
      </c>
      <c r="B1">
        <f t="shared" ref="B1:H1" si="0">COUNTA(B2:B2069)/COLUMN()</f>
        <v>5.5</v>
      </c>
      <c r="C1">
        <f t="shared" si="0"/>
        <v>3.66666666666667</v>
      </c>
      <c r="D1">
        <f t="shared" si="0"/>
        <v>0.5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20251111</v>
      </c>
      <c r="B2" t="s">
        <v>502</v>
      </c>
    </row>
    <row r="3" spans="1:8">
      <c r="B3" t="s">
        <v>503</v>
      </c>
    </row>
    <row r="4" spans="1:8">
      <c r="B4" t="s">
        <v>504</v>
      </c>
    </row>
    <row r="5" spans="1:8">
      <c r="B5" t="s">
        <v>505</v>
      </c>
    </row>
    <row r="6" spans="1:8">
      <c r="B6" t="s">
        <v>506</v>
      </c>
    </row>
    <row r="7" spans="1:8">
      <c r="C7" t="s">
        <v>507</v>
      </c>
    </row>
    <row r="8" spans="1:8">
      <c r="C8" t="s">
        <v>508</v>
      </c>
    </row>
    <row r="9" spans="1:8">
      <c r="C9" t="s">
        <v>509</v>
      </c>
    </row>
    <row r="10" spans="1:8">
      <c r="C10" t="s">
        <v>510</v>
      </c>
    </row>
    <row r="11" spans="1:8">
      <c r="B11" t="s">
        <v>511</v>
      </c>
    </row>
    <row r="12" spans="1:8">
      <c r="B12" t="s">
        <v>512</v>
      </c>
    </row>
    <row r="13" spans="1:8">
      <c r="C13" t="s">
        <v>513</v>
      </c>
    </row>
    <row r="14" spans="1:8">
      <c r="B14" t="s">
        <v>514</v>
      </c>
    </row>
    <row r="15" spans="1:8">
      <c r="C15" t="s">
        <v>515</v>
      </c>
    </row>
    <row r="16" spans="1:8">
      <c r="C16" t="s">
        <v>516</v>
      </c>
    </row>
    <row r="17" spans="2:4">
      <c r="C17" t="s">
        <v>517</v>
      </c>
    </row>
    <row r="18" spans="2:4">
      <c r="B18" t="s">
        <v>518</v>
      </c>
    </row>
    <row r="19" spans="2:4">
      <c r="B19" t="s">
        <v>519</v>
      </c>
    </row>
    <row r="20" spans="2:4">
      <c r="C20" t="s">
        <v>520</v>
      </c>
    </row>
    <row r="21" spans="2:4">
      <c r="C21" t="s">
        <v>521</v>
      </c>
    </row>
    <row r="22" spans="2:4">
      <c r="D22" t="s">
        <v>522</v>
      </c>
    </row>
    <row r="23" spans="2:4">
      <c r="D23" t="s">
        <v>523</v>
      </c>
    </row>
    <row r="24" spans="2:4">
      <c r="B24" t="s">
        <v>524</v>
      </c>
    </row>
    <row r="25" spans="2:4">
      <c r="C25" t="s">
        <v>525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4" outlineLevelRow="5" outlineLevelCol="7"/>
  <sheetData>
    <row r="1" spans="1:8">
      <c r="A1">
        <f>SUM(B1:AZ1)</f>
        <v>1.83333333333333</v>
      </c>
      <c r="B1">
        <f t="shared" ref="B1:H1" si="0">COUNTA(B2:B2048)/COLUMN()</f>
        <v>0.5</v>
      </c>
      <c r="C1">
        <f t="shared" si="0"/>
        <v>1.33333333333333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20240328</v>
      </c>
      <c r="B2" t="s">
        <v>526</v>
      </c>
    </row>
    <row r="3" spans="1:8">
      <c r="C3" t="s">
        <v>527</v>
      </c>
    </row>
    <row r="4" spans="1:8">
      <c r="C4" t="s">
        <v>528</v>
      </c>
    </row>
    <row r="5" spans="1:8">
      <c r="C5" t="s">
        <v>529</v>
      </c>
    </row>
    <row r="6" spans="1:8">
      <c r="C6" t="s">
        <v>530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.4" outlineLevelRow="2" outlineLevelCol="7"/>
  <sheetData>
    <row r="1" spans="1:8">
      <c r="A1">
        <f>SUM(B1:AZ1)</f>
        <v>0.833333333333333</v>
      </c>
      <c r="B1">
        <f t="shared" ref="B1:H1" si="0">COUNTA(B2:B2051)/COLUMN()</f>
        <v>0.5</v>
      </c>
      <c r="C1">
        <f t="shared" si="0"/>
        <v>0.333333333333333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20251027</v>
      </c>
      <c r="B2" t="s">
        <v>531</v>
      </c>
    </row>
    <row r="3" spans="1:8">
      <c r="C3" t="s">
        <v>532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4" outlineLevelRow="3" outlineLevelCol="7"/>
  <sheetData>
    <row r="1" spans="1:8">
      <c r="A1">
        <f>SUM(B1:AZ1)</f>
        <v>1.33333333333333</v>
      </c>
      <c r="B1">
        <f t="shared" ref="B1:H1" si="0">COUNTA(B2:B2067)/COLUMN()</f>
        <v>1</v>
      </c>
      <c r="C1">
        <f t="shared" si="0"/>
        <v>0.333333333333333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20241019</v>
      </c>
      <c r="B2" t="s">
        <v>533</v>
      </c>
    </row>
    <row r="3" spans="1:8">
      <c r="B3" t="s">
        <v>534</v>
      </c>
    </row>
    <row r="4" spans="1:8">
      <c r="C4" t="s">
        <v>535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G23" sqref="G23"/>
    </sheetView>
  </sheetViews>
  <sheetFormatPr defaultColWidth="9" defaultRowHeight="14.4" outlineLevelCol="7"/>
  <sheetData>
    <row r="1" spans="1:8">
      <c r="A1">
        <f>SUM(B1:AZ1)</f>
        <v>18.5</v>
      </c>
      <c r="B1">
        <f t="shared" ref="B1:H1" si="0">COUNTA(B2:B2072)/COLUMN()</f>
        <v>4.5</v>
      </c>
      <c r="C1">
        <f t="shared" si="0"/>
        <v>9</v>
      </c>
      <c r="D1">
        <f t="shared" si="0"/>
        <v>4</v>
      </c>
      <c r="E1">
        <f t="shared" si="0"/>
        <v>1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20250530</v>
      </c>
      <c r="B2" t="s">
        <v>536</v>
      </c>
    </row>
    <row r="3" spans="1:8">
      <c r="C3" t="s">
        <v>537</v>
      </c>
    </row>
    <row r="4" spans="1:8">
      <c r="C4" t="s">
        <v>538</v>
      </c>
    </row>
    <row r="5" spans="1:8">
      <c r="C5" t="s">
        <v>539</v>
      </c>
    </row>
    <row r="6" spans="1:8">
      <c r="C6" t="s">
        <v>540</v>
      </c>
    </row>
    <row r="7" spans="1:8">
      <c r="D7" t="s">
        <v>541</v>
      </c>
    </row>
    <row r="8" spans="1:8">
      <c r="C8" t="s">
        <v>542</v>
      </c>
    </row>
    <row r="9" spans="1:8">
      <c r="D9" t="s">
        <v>543</v>
      </c>
    </row>
    <row r="10" spans="1:8">
      <c r="D10" t="s">
        <v>544</v>
      </c>
    </row>
    <row r="11" spans="1:8">
      <c r="B11" t="s">
        <v>545</v>
      </c>
    </row>
    <row r="12" spans="1:8">
      <c r="C12" t="s">
        <v>546</v>
      </c>
    </row>
    <row r="13" spans="1:8">
      <c r="C13" t="s">
        <v>547</v>
      </c>
    </row>
    <row r="14" spans="1:8">
      <c r="D14" t="s">
        <v>548</v>
      </c>
    </row>
    <row r="15" spans="1:8">
      <c r="B15" t="s">
        <v>549</v>
      </c>
    </row>
    <row r="16" spans="1:8">
      <c r="C16" t="s">
        <v>550</v>
      </c>
    </row>
    <row r="17" spans="2:4">
      <c r="C17" t="s">
        <v>551</v>
      </c>
    </row>
    <row r="18" spans="2:4">
      <c r="C18" t="s">
        <v>552</v>
      </c>
    </row>
    <row r="19" spans="2:4">
      <c r="C19" t="s">
        <v>553</v>
      </c>
    </row>
    <row r="20" spans="2:4">
      <c r="C20" t="s">
        <v>554</v>
      </c>
    </row>
    <row r="21" spans="2:4">
      <c r="C21" t="s">
        <v>555</v>
      </c>
    </row>
    <row r="22" spans="2:4">
      <c r="B22" t="s">
        <v>556</v>
      </c>
    </row>
    <row r="23" spans="2:4">
      <c r="C23" t="s">
        <v>557</v>
      </c>
    </row>
    <row r="24" spans="2:4">
      <c r="C24" t="s">
        <v>558</v>
      </c>
    </row>
    <row r="25" spans="2:4">
      <c r="C25" t="s">
        <v>559</v>
      </c>
    </row>
    <row r="26" spans="2:4">
      <c r="B26" t="s">
        <v>560</v>
      </c>
    </row>
    <row r="27" spans="2:4">
      <c r="C27" t="s">
        <v>561</v>
      </c>
    </row>
    <row r="28" spans="2:4">
      <c r="D28" t="s">
        <v>562</v>
      </c>
    </row>
    <row r="29" spans="2:4">
      <c r="D29" t="s">
        <v>563</v>
      </c>
    </row>
    <row r="30" spans="2:4">
      <c r="D30" t="s">
        <v>564</v>
      </c>
    </row>
    <row r="31" spans="2:4">
      <c r="C31" t="s">
        <v>565</v>
      </c>
    </row>
    <row r="32" spans="2:4">
      <c r="D32" t="s">
        <v>566</v>
      </c>
    </row>
    <row r="33" spans="2:5">
      <c r="E33" t="s">
        <v>567</v>
      </c>
    </row>
    <row r="34" spans="2:5">
      <c r="E34" t="s">
        <v>568</v>
      </c>
    </row>
    <row r="35" spans="2:5">
      <c r="D35" t="s">
        <v>569</v>
      </c>
    </row>
    <row r="36" spans="2:5">
      <c r="E36" t="s">
        <v>570</v>
      </c>
    </row>
    <row r="37" spans="2:5">
      <c r="E37" t="s">
        <v>571</v>
      </c>
    </row>
    <row r="38" spans="2:5">
      <c r="C38" t="s">
        <v>572</v>
      </c>
    </row>
    <row r="39" spans="2:5">
      <c r="B39" t="s">
        <v>573</v>
      </c>
    </row>
    <row r="40" spans="2:5">
      <c r="C40" t="s">
        <v>574</v>
      </c>
    </row>
    <row r="41" spans="2:5">
      <c r="D41" t="s">
        <v>575</v>
      </c>
    </row>
    <row r="42" spans="2:5">
      <c r="C42" t="s">
        <v>576</v>
      </c>
    </row>
    <row r="43" spans="2:5">
      <c r="D43" t="s">
        <v>577</v>
      </c>
    </row>
    <row r="44" spans="2:5">
      <c r="E44" t="s">
        <v>578</v>
      </c>
    </row>
    <row r="45" spans="2:5">
      <c r="D45" t="s">
        <v>579</v>
      </c>
    </row>
    <row r="46" spans="2:5">
      <c r="D46" t="s">
        <v>580</v>
      </c>
    </row>
    <row r="47" spans="2:5">
      <c r="B47" t="s">
        <v>581</v>
      </c>
    </row>
    <row r="48" spans="2:5">
      <c r="C48" t="s">
        <v>582</v>
      </c>
    </row>
    <row r="49" spans="2:4">
      <c r="C49" t="s">
        <v>583</v>
      </c>
    </row>
    <row r="50" spans="2:4">
      <c r="C50" t="s">
        <v>584</v>
      </c>
    </row>
    <row r="51" spans="2:4">
      <c r="D51" t="s">
        <v>585</v>
      </c>
    </row>
    <row r="52" spans="2:4">
      <c r="D52" t="s">
        <v>586</v>
      </c>
    </row>
    <row r="53" spans="2:4">
      <c r="D53" t="s">
        <v>587</v>
      </c>
    </row>
    <row r="54" spans="2:4">
      <c r="B54" t="s">
        <v>588</v>
      </c>
    </row>
    <row r="55" spans="2:4">
      <c r="C55" t="s">
        <v>589</v>
      </c>
    </row>
    <row r="56" spans="2:4">
      <c r="C56" t="s">
        <v>590</v>
      </c>
    </row>
    <row r="57" spans="2:4">
      <c r="B57" t="s">
        <v>591</v>
      </c>
    </row>
    <row r="58" spans="2:4">
      <c r="C58" t="s">
        <v>592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4.4" outlineLevelCol="7"/>
  <sheetData>
    <row r="1" spans="1:8">
      <c r="A1">
        <f>SUM(B1:AZ1)</f>
        <v>5.26666666666667</v>
      </c>
      <c r="B1">
        <f t="shared" ref="B1:H1" si="0">COUNTA(B2:B2048)/COLUMN()</f>
        <v>2</v>
      </c>
      <c r="C1">
        <f t="shared" si="0"/>
        <v>0.666666666666667</v>
      </c>
      <c r="D1">
        <f t="shared" si="0"/>
        <v>1</v>
      </c>
      <c r="E1">
        <f t="shared" si="0"/>
        <v>1.6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20240323</v>
      </c>
      <c r="B2" t="s">
        <v>593</v>
      </c>
    </row>
    <row r="3" spans="1:8">
      <c r="B3" t="s">
        <v>594</v>
      </c>
    </row>
    <row r="4" spans="1:8">
      <c r="B4" t="s">
        <v>595</v>
      </c>
    </row>
    <row r="5" spans="1:8">
      <c r="B5" t="s">
        <v>596</v>
      </c>
    </row>
    <row r="6" spans="1:8">
      <c r="C6" t="s">
        <v>597</v>
      </c>
    </row>
    <row r="7" spans="1:8">
      <c r="D7" t="s">
        <v>598</v>
      </c>
    </row>
    <row r="8" spans="1:8">
      <c r="D8" t="s">
        <v>599</v>
      </c>
    </row>
    <row r="9" spans="1:8">
      <c r="C9" t="s">
        <v>600</v>
      </c>
    </row>
    <row r="10" spans="1:8">
      <c r="D10" t="s">
        <v>601</v>
      </c>
    </row>
    <row r="11" spans="1:8">
      <c r="E11" t="s">
        <v>602</v>
      </c>
    </row>
    <row r="12" spans="1:8">
      <c r="E12" t="s">
        <v>603</v>
      </c>
    </row>
    <row r="13" spans="1:8">
      <c r="E13" t="s">
        <v>604</v>
      </c>
    </row>
    <row r="14" spans="1:8">
      <c r="E14" t="s">
        <v>605</v>
      </c>
    </row>
    <row r="15" spans="1:8">
      <c r="D15" t="s">
        <v>606</v>
      </c>
    </row>
    <row r="16" spans="1:8">
      <c r="E16" t="s">
        <v>607</v>
      </c>
    </row>
    <row r="17" spans="5:5">
      <c r="E17" t="s">
        <v>608</v>
      </c>
    </row>
    <row r="18" spans="5:5">
      <c r="E18" t="s">
        <v>609</v>
      </c>
    </row>
    <row r="19" spans="5:5">
      <c r="E19" t="s">
        <v>610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28" sqref="G28"/>
    </sheetView>
  </sheetViews>
  <sheetFormatPr defaultColWidth="9" defaultRowHeight="14.4" outlineLevelCol="7"/>
  <sheetData>
    <row r="1" spans="1:8">
      <c r="A1">
        <f>SUM(B1:AZ1)</f>
        <v>6.33333333333333</v>
      </c>
      <c r="B1">
        <f t="shared" ref="B1:H1" si="0">COUNTA(B2:B2060)/COLUMN()</f>
        <v>1</v>
      </c>
      <c r="C1">
        <f t="shared" si="0"/>
        <v>1.33333333333333</v>
      </c>
      <c r="D1">
        <f t="shared" si="0"/>
        <v>4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20250617</v>
      </c>
      <c r="B2" t="s">
        <v>611</v>
      </c>
    </row>
    <row r="3" spans="1:8">
      <c r="C3" t="s">
        <v>612</v>
      </c>
    </row>
    <row r="4" spans="1:8">
      <c r="D4" t="s">
        <v>613</v>
      </c>
    </row>
    <row r="5" spans="1:8">
      <c r="D5" t="s">
        <v>614</v>
      </c>
    </row>
    <row r="6" spans="1:8">
      <c r="D6" t="s">
        <v>615</v>
      </c>
    </row>
    <row r="7" spans="1:8">
      <c r="D7" t="s">
        <v>616</v>
      </c>
    </row>
    <row r="8" spans="1:8">
      <c r="C8" t="s">
        <v>617</v>
      </c>
    </row>
    <row r="9" spans="1:8">
      <c r="D9" t="s">
        <v>618</v>
      </c>
    </row>
    <row r="10" spans="1:8">
      <c r="D10" t="s">
        <v>619</v>
      </c>
    </row>
    <row r="11" spans="1:8">
      <c r="D11" t="s">
        <v>620</v>
      </c>
    </row>
    <row r="12" spans="1:8">
      <c r="D12" t="s">
        <v>621</v>
      </c>
    </row>
    <row r="13" spans="1:8">
      <c r="C13" t="s">
        <v>622</v>
      </c>
    </row>
    <row r="14" spans="1:8">
      <c r="D14" t="s">
        <v>623</v>
      </c>
    </row>
    <row r="15" spans="1:8">
      <c r="D15" t="s">
        <v>624</v>
      </c>
    </row>
    <row r="16" spans="1:8">
      <c r="D16" t="s">
        <v>625</v>
      </c>
    </row>
    <row r="17" spans="2:4">
      <c r="D17" t="s">
        <v>626</v>
      </c>
    </row>
    <row r="18" spans="2:4">
      <c r="C18" t="s">
        <v>627</v>
      </c>
    </row>
    <row r="19" spans="2:4">
      <c r="D19" t="s">
        <v>628</v>
      </c>
    </row>
    <row r="20" spans="2:4">
      <c r="D20" t="s">
        <v>629</v>
      </c>
    </row>
    <row r="21" spans="2:4">
      <c r="D21" t="s">
        <v>630</v>
      </c>
    </row>
    <row r="22" spans="2:4">
      <c r="D22" t="s">
        <v>631</v>
      </c>
    </row>
    <row r="23" spans="2:4">
      <c r="B23" t="s">
        <v>632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A1" sqref="A1"/>
    </sheetView>
  </sheetViews>
  <sheetFormatPr defaultColWidth="9" defaultRowHeight="14.4" outlineLevelCol="7"/>
  <sheetData>
    <row r="1" spans="1:8">
      <c r="A1">
        <f>SUM(B1:AZ1)</f>
        <v>18.5833333333333</v>
      </c>
      <c r="B1">
        <f t="shared" ref="B1:H1" si="0">COUNTA(B2:B2076)/COLUMN()</f>
        <v>6.5</v>
      </c>
      <c r="C1">
        <f t="shared" si="0"/>
        <v>8.33333333333333</v>
      </c>
      <c r="D1">
        <f t="shared" si="0"/>
        <v>3.75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20251112</v>
      </c>
      <c r="B2" t="s">
        <v>633</v>
      </c>
    </row>
    <row r="3" spans="1:8">
      <c r="B3" t="s">
        <v>634</v>
      </c>
    </row>
    <row r="4" spans="1:8">
      <c r="C4" t="s">
        <v>635</v>
      </c>
    </row>
    <row r="5" spans="1:8">
      <c r="D5" t="s">
        <v>636</v>
      </c>
    </row>
    <row r="6" spans="1:8">
      <c r="B6" t="s">
        <v>637</v>
      </c>
    </row>
    <row r="7" spans="1:8">
      <c r="C7" t="s">
        <v>638</v>
      </c>
    </row>
    <row r="8" spans="1:8">
      <c r="D8" t="s">
        <v>639</v>
      </c>
    </row>
    <row r="9" spans="1:8">
      <c r="C9" t="s">
        <v>640</v>
      </c>
    </row>
    <row r="10" spans="1:8">
      <c r="D10" t="s">
        <v>641</v>
      </c>
    </row>
    <row r="11" spans="1:8">
      <c r="D11" t="s">
        <v>642</v>
      </c>
    </row>
    <row r="12" spans="1:8">
      <c r="D12" t="s">
        <v>643</v>
      </c>
    </row>
    <row r="13" spans="1:8">
      <c r="B13" t="s">
        <v>644</v>
      </c>
    </row>
    <row r="14" spans="1:8">
      <c r="C14" t="s">
        <v>645</v>
      </c>
    </row>
    <row r="15" spans="1:8">
      <c r="C15" t="s">
        <v>646</v>
      </c>
    </row>
    <row r="16" spans="1:8">
      <c r="C16" t="s">
        <v>647</v>
      </c>
    </row>
    <row r="17" spans="2:4">
      <c r="B17" t="s">
        <v>648</v>
      </c>
    </row>
    <row r="18" spans="2:4">
      <c r="C18" t="s">
        <v>649</v>
      </c>
    </row>
    <row r="19" spans="2:4">
      <c r="D19" t="s">
        <v>650</v>
      </c>
    </row>
    <row r="20" spans="2:4">
      <c r="C20" t="s">
        <v>651</v>
      </c>
    </row>
    <row r="21" spans="2:4">
      <c r="D21" t="s">
        <v>652</v>
      </c>
    </row>
    <row r="22" spans="2:4">
      <c r="C22" t="s">
        <v>653</v>
      </c>
    </row>
    <row r="23" spans="2:4">
      <c r="D23" t="s">
        <v>654</v>
      </c>
    </row>
    <row r="24" spans="2:4">
      <c r="D24" t="s">
        <v>655</v>
      </c>
    </row>
    <row r="25" spans="2:4">
      <c r="D25" t="s">
        <v>656</v>
      </c>
    </row>
    <row r="26" spans="2:4">
      <c r="B26" t="s">
        <v>657</v>
      </c>
    </row>
    <row r="27" spans="2:4">
      <c r="C27" t="s">
        <v>658</v>
      </c>
    </row>
    <row r="28" spans="2:4">
      <c r="C28" t="s">
        <v>659</v>
      </c>
    </row>
    <row r="29" spans="2:4">
      <c r="C29" t="s">
        <v>660</v>
      </c>
    </row>
    <row r="30" spans="2:4">
      <c r="B30" t="s">
        <v>661</v>
      </c>
    </row>
    <row r="31" spans="2:4">
      <c r="C31" t="s">
        <v>662</v>
      </c>
    </row>
    <row r="32" spans="2:4">
      <c r="B32" t="s">
        <v>663</v>
      </c>
    </row>
    <row r="33" spans="2:4">
      <c r="B33" t="s">
        <v>664</v>
      </c>
    </row>
    <row r="34" spans="2:4">
      <c r="C34" t="s">
        <v>665</v>
      </c>
    </row>
    <row r="35" spans="2:4">
      <c r="B35" t="s">
        <v>666</v>
      </c>
    </row>
    <row r="36" spans="2:4">
      <c r="C36" t="s">
        <v>667</v>
      </c>
    </row>
    <row r="37" spans="2:4">
      <c r="C37" t="s">
        <v>668</v>
      </c>
    </row>
    <row r="38" spans="2:4">
      <c r="B38" t="s">
        <v>669</v>
      </c>
    </row>
    <row r="39" spans="2:4">
      <c r="C39" t="s">
        <v>670</v>
      </c>
    </row>
    <row r="40" spans="2:4">
      <c r="C40" t="s">
        <v>671</v>
      </c>
    </row>
    <row r="41" spans="2:4">
      <c r="D41" t="s">
        <v>672</v>
      </c>
    </row>
    <row r="42" spans="2:4">
      <c r="C42" t="s">
        <v>673</v>
      </c>
    </row>
    <row r="43" spans="2:4">
      <c r="B43" t="s">
        <v>674</v>
      </c>
    </row>
    <row r="44" spans="2:4">
      <c r="C44" t="s">
        <v>675</v>
      </c>
    </row>
    <row r="45" spans="2:4">
      <c r="B45" t="s">
        <v>676</v>
      </c>
    </row>
    <row r="46" spans="2:4">
      <c r="C46" t="s">
        <v>677</v>
      </c>
    </row>
    <row r="47" spans="2:4">
      <c r="C47" t="s">
        <v>678</v>
      </c>
    </row>
    <row r="48" spans="2:4">
      <c r="C48" t="s">
        <v>679</v>
      </c>
    </row>
    <row r="49" spans="3:4">
      <c r="D49" t="s">
        <v>680</v>
      </c>
    </row>
    <row r="50" spans="3:4">
      <c r="C50" t="s">
        <v>681</v>
      </c>
    </row>
    <row r="51" spans="3:4">
      <c r="D51" t="s">
        <v>682</v>
      </c>
    </row>
    <row r="52" spans="3:4">
      <c r="C52" t="s">
        <v>683</v>
      </c>
    </row>
    <row r="53" spans="3:4">
      <c r="D53" t="s">
        <v>684</v>
      </c>
    </row>
    <row r="54" spans="3:4">
      <c r="D54" t="s">
        <v>685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4" outlineLevelRow="3" outlineLevelCol="7"/>
  <sheetData>
    <row r="1" spans="1:8">
      <c r="A1">
        <f>SUM(B1:AZ1)</f>
        <v>1.5</v>
      </c>
      <c r="B1">
        <f t="shared" ref="B1:H1" si="0">COUNTA(B2:B2050)/COLUMN()</f>
        <v>1.5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20250908</v>
      </c>
      <c r="B2" t="s">
        <v>686</v>
      </c>
    </row>
    <row r="3" spans="1:8">
      <c r="B3" t="s">
        <v>687</v>
      </c>
    </row>
    <row r="4" spans="1:8">
      <c r="B4" t="s">
        <v>688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4" outlineLevelCol="7"/>
  <sheetData>
    <row r="1" spans="1:8">
      <c r="A1">
        <f>SUM(B1:AZ1)</f>
        <v>3.33333333333333</v>
      </c>
      <c r="B1">
        <f t="shared" ref="B1:H1" si="0">COUNTA(B2:B2067)/COLUMN()</f>
        <v>1.5</v>
      </c>
      <c r="C1">
        <f t="shared" si="0"/>
        <v>1.33333333333333</v>
      </c>
      <c r="D1">
        <f t="shared" si="0"/>
        <v>0.5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>
        <v>20250405</v>
      </c>
      <c r="B2" t="s">
        <v>689</v>
      </c>
    </row>
    <row r="3" spans="1:8">
      <c r="C3" t="s">
        <v>690</v>
      </c>
    </row>
    <row r="4" spans="1:8">
      <c r="B4" t="s">
        <v>691</v>
      </c>
    </row>
    <row r="5" spans="1:8">
      <c r="C5" t="s">
        <v>692</v>
      </c>
    </row>
    <row r="6" spans="1:8">
      <c r="B6" t="s">
        <v>693</v>
      </c>
    </row>
    <row r="7" spans="1:8">
      <c r="C7" t="s">
        <v>694</v>
      </c>
    </row>
    <row r="8" spans="1:8">
      <c r="C8" t="s">
        <v>695</v>
      </c>
    </row>
    <row r="9" spans="1:8">
      <c r="D9" t="s">
        <v>696</v>
      </c>
    </row>
    <row r="10" spans="1:8">
      <c r="D10" t="s">
        <v>697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4" outlineLevelRow="4" outlineLevelCol="7"/>
  <sheetData>
    <row r="1" spans="1:8">
      <c r="A1">
        <f>SUM(B1:AZ1)</f>
        <v>1.66666666666667</v>
      </c>
      <c r="B1">
        <f t="shared" ref="B1:H1" si="0">COUNTA(B2:B2050)/COLUMN()</f>
        <v>1</v>
      </c>
      <c r="C1">
        <f t="shared" si="0"/>
        <v>0.666666666666667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</row>
    <row r="2" spans="1:8">
      <c r="A2" t="str">
        <f ca="1" t="array" ref="A2">_wpsfn.SHEETSNAME(A1)</f>
        <v>20250813</v>
      </c>
      <c r="B2" t="s">
        <v>698</v>
      </c>
    </row>
    <row r="3" spans="1:8">
      <c r="C3" t="s">
        <v>699</v>
      </c>
    </row>
    <row r="4" spans="1:8">
      <c r="B4" t="s">
        <v>700</v>
      </c>
    </row>
    <row r="5" spans="1:8">
      <c r="C5" t="s">
        <v>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20250525</vt:lpstr>
      <vt:lpstr>20240501</vt:lpstr>
      <vt:lpstr>20251108</vt:lpstr>
      <vt:lpstr>20240426</vt:lpstr>
      <vt:lpstr>20251107</vt:lpstr>
      <vt:lpstr>20250708</vt:lpstr>
      <vt:lpstr>20251113</vt:lpstr>
      <vt:lpstr>20250619</vt:lpstr>
      <vt:lpstr>20251106</vt:lpstr>
      <vt:lpstr>20251111</vt:lpstr>
      <vt:lpstr>20240328</vt:lpstr>
      <vt:lpstr>20251027</vt:lpstr>
      <vt:lpstr>20241019</vt:lpstr>
      <vt:lpstr>20250530</vt:lpstr>
      <vt:lpstr>20240323</vt:lpstr>
      <vt:lpstr>20250617</vt:lpstr>
      <vt:lpstr>20251112</vt:lpstr>
      <vt:lpstr>20250908</vt:lpstr>
      <vt:lpstr>20250405</vt:lpstr>
      <vt:lpstr>20250813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Scrooge</cp:lastModifiedBy>
  <dcterms:created xsi:type="dcterms:W3CDTF">2025-12-12T14:19:00Z</dcterms:created>
  <dcterms:modified xsi:type="dcterms:W3CDTF">2025-12-14T03:27:30Z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E5D8C83303B94AABBA382D40E5472D18_12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