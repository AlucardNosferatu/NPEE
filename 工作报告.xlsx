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37" activeTab="140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  <sheet name="20251128" sheetId="144" r:id="rId133"/>
    <sheet name="20251129" sheetId="145" r:id="rId134"/>
    <sheet name="20251130" sheetId="146" r:id="rId135"/>
    <sheet name="20251201" sheetId="147" r:id="rId136"/>
    <sheet name="20251202" sheetId="149" r:id="rId137"/>
    <sheet name="20251203" sheetId="150" r:id="rId138"/>
    <sheet name="20251204" sheetId="151" r:id="rId139"/>
    <sheet name="20251205" sheetId="152" r:id="rId140"/>
    <sheet name="20251206" sheetId="153" r:id="rId141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  <definedName name="_xlnm.Print_Area" localSheetId="132">'20251128'!$A$1:$G$10</definedName>
    <definedName name="_xlnm.Print_Area" localSheetId="133">'20251129'!$A$1:$G$10</definedName>
    <definedName name="_xlnm.Print_Area" localSheetId="134">'20251130'!$A$1:$G$10</definedName>
    <definedName name="_xlnm.Print_Area" localSheetId="135">'20251201'!$A$1:$G$10</definedName>
    <definedName name="_xlnm.Print_Area" localSheetId="136">'20251202'!$A$1:$G$10</definedName>
    <definedName name="_xlnm.Print_Area" localSheetId="137">'20251203'!$A$1:$G$10</definedName>
    <definedName name="_xlnm.Print_Area" localSheetId="138">'20251204'!$A$1:$G$10</definedName>
    <definedName name="_xlnm.Print_Area" localSheetId="139">'20251205'!$A$1:$G$10</definedName>
    <definedName name="_xlnm.Print_Area" localSheetId="140">'20251206'!$A$1:$G$10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<sst xmlns="http://schemas.openxmlformats.org/spreadsheetml/2006/main" count="3026" uniqueCount="455">
  <si>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</si>
  <si>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</si>
  <si>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</si>
  <si>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</si>
  <si>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</si>
  <si>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</si>
  <si>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</si>
  <si>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</si>
  <si>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</si>
  <si>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</si>
  <si>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</si>
  <si>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</si>
  <si>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</si>
  <si>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</si>
  <si>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</si>
  <si>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</si>
  <si>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</si>
  <si>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</si>
  <si>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</si>
  <si>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</si>
  <si>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</si>
  <si>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</si>
  <si>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</si>
  <si>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</si>
  <si>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</si>
  <si>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</si>
  <si>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</si>
  <si>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</si>
  <si>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</si>
  <si>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</si>
  <si>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</si>
  <si>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</si>
  <si>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</si>
  <si>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</si>
  <si>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</si>
  <si>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</si>
  <si>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</si>
  <si>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</si>
  <si>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</si>
  <si>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</si>
  <si>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</si>
  <si>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</si>
  <si>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</si>
  <si>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</si>
  <si>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</si>
  <si>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</si>
  <si>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</si>
  <si>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</si>
  <si>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</si>
  <si>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</si>
  <si>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</si>
  <si>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</si>
  <si>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</si>
  <si>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</si>
  <si>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</si>
  <si>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</si>
  <si>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</si>
  <si>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</si>
  <si>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</si>
  <si>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</si>
  <si>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</si>
  <si>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</si>
  <si>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</si>
  <si>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</si>
  <si>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</si>
  <si>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</si>
  <si>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</si>
  <si>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</si>
  <si>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</si>
  <si>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</si>
  <si>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</si>
  <si>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</si>
  <si>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</si>
  <si>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</si>
  <si>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</si>
  <si>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</si>
  <si>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</si>
  <si>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</si>
  <si>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</si>
  <si>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</si>
  <si>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</si>
  <si>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</si>
  <si>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</si>
  <si>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</si>
  <si>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</si>
  <si>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</si>
  <si>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</si>
  <si>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</si>
  <si>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</si>
  <si>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</si>
  <si>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</si>
  <si>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</si>
  <si>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</si>
  <si>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</si>
  <si>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</si>
  <si>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</si>
  <si>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</si>
  <si>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</si>
  <si>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</si>
  <si>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</si>
  <si>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</si>
  <si>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</si>
  <si>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</si>
  <si>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</si>
  <si>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</si>
  <si>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</si>
  <si>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</si>
  <si>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</si>
  <si>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</si>
  <si>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</si>
  <si>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</si>
  <si>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</si>
  <si>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</si>
  <si>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</si>
  <si>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</si>
  <si>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</si>
  <si>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</si>
  <si>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</si>
  <si>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</si>
  <si>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</si>
  <si>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</si>
  <si>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</si>
  <si>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</si>
  <si>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</si>
  <si>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</si>
  <si>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</si>
  <si>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</si>
  <si>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</si>
  <si>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</si>
  <si>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</si>
  <si>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</si>
  <si>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</si>
  <si>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</si>
  <si>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</si>
  <si>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</si>
  <si>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</si>
  <si>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</si>
  <si>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</si>
  <si>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</si>
  <si>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</si>
  <si>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</si>
  <si>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</si>
  <si>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</si>
  <si>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</si>
  <si>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</si>
  <si>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</si>
  <si>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</si>
  <si>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</si>
  <si>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</si>
  <si>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</si>
  <si>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</si>
  <si>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</si>
  <si>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</si>
  <si>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</si>
  <si>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</si>
  <si>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</si>
  <si>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</si>
  <si>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</si>
  <si>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</si>
  <si>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</si>
  <si>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</si>
  <si>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</si>
  <si>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</si>
  <si>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</si>
  <si>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</si>
  <si>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</si>
  <si>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</si>
  <si>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</si>
  <si>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</si>
  <si>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</si>
  <si>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</si>
  <si>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</si>
  <si>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</si>
  <si>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</si>
  <si>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</si>
  <si>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</si>
  <si>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</si>
  <si>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</si>
  <si>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</si>
  <si>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</si>
  <si>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</si>
  <si>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</si>
  <si>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</si>
  <si>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</si>
  <si>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</si>
  <si>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</si>
  <si>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</si>
  <si>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</si>
  <si>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</si>
  <si>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</si>
  <si>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</si>
  <si>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</si>
  <si>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</si>
  <si>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</si>
  <si>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</si>
  <si>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</si>
  <si>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</si>
  <si>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</si>
  <si>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</si>
  <si>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</si>
  <si>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</si>
  <si>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</si>
  <si>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</si>
  <si>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</si>
  <si>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</si>
  <si>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</si>
  <si>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</si>
  <si>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</si>
  <si>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</si>
  <si>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</si>
  <si>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</si>
  <si>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</si>
  <si>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</si>
  <si>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</si>
  <si>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</si>
  <si>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</si>
  <si>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</si>
  <si>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</si>
  <si>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</si>
  <si>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</si>
  <si>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</si>
  <si>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</si>
  <si>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</si>
  <si>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</si>
  <si>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</si>
  <si>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</si>
  <si>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</si>
  <si>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</si>
  <si>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</si>
  <si>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</si>
  <si>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</si>
  <si>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</si>
  <si>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</si>
  <si>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</si>
  <si>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</si>
  <si>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</si>
  <si>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</si>
  <si>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</si>
  <si>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</si>
  <si>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</si>
  <si>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</si>
  <si>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</si>
  <si>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</si>
  <si>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</si>
  <si>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</si>
  <si>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</si>
  <si>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</si>
  <si>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</si>
  <si>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</si>
  <si>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</si>
  <si>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</si>
  <si>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</si>
  <si>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</si>
  <si>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</si>
  <si>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</si>
  <si>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</si>
  <si>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</si>
  <si>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</si>
  <si>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</si>
  <si>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</si>
  <si>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</si>
  <si>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</si>
  <si>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</si>
  <si>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</si>
  <si>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</si>
  <si>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</si>
  <si>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</si>
  <si>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</si>
  <si>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</si>
  <si>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</si>
  <si>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</si>
  <si>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</si>
  <si>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</si>
  <si>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</si>
  <si>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</si>
  <si>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</si>
  <si>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</si>
  <si>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</si>
  <si>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</si>
  <si>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</si>
  <si>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</si>
  <si>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</si>
  <si>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</si>
  <si>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</si>
  <si>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</si>
  <si>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</si>
  <si>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</si>
  <si>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</si>
  <si>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</si>
  <si>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</si>
  <si>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</si>
  <si>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</si>
  <si>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</si>
  <si>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</si>
  <si>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</si>
  <si>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</si>
  <si>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</si>
  <si>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</si>
  <si>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</si>
  <si>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</si>
  <si>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</si>
  <si>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</si>
  <si>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</si>
  <si>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</si>
  <si>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</si>
  <si>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</si>
  <si>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</si>
  <si>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</si>
  <si>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</si>
  <si>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</si>
  <si>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</si>
  <si>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</si>
  <si>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</si>
  <si>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</si>
  <si>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</si>
  <si>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</si>
  <si>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</si>
  <si>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</si>
  <si>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</si>
  <si>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</si>
  <si>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</si>
  <si>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</si>
  <si>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</si>
  <si>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</si>
  <si>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</si>
  <si>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</si>
  <si>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</si>
  <si>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</si>
  <si>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</si>
  <si>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</si>
  <si>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</si>
  <si>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</si>
  <si>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</si>
  <si>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</si>
  <si>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</si>
  <si>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</si>
  <si>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</si>
  <si>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</si>
  <si>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</si>
  <si>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</si>
  <si>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</si>
  <si>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</si>
  <si>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</si>
  <si>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</si>
  <si>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</si>
  <si>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</si>
  <si>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</si>
  <si>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</si>
  <si>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</si>
  <si>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</si>
  <si>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</si>
  <si>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</si>
  <si>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</si>
  <si>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</si>
  <si>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</si>
  <si>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</si>
  <si>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</si>
  <si>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</si>
  <si>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</si>
  <si>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</si>
  <si>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</si>
  <si>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</si>
  <si>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</si>
  <si>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</si>
  <si>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</si>
  <si>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</si>
  <si>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</si>
  <si>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</si>
  <si>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</si>
  <si>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</si>
  <si>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</si>
  <si>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</si>
  <si>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</si>
  <si>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</si>
  <si>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</si>
  <si>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</si>
  <si>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</si>
  <si>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</si>
  <si>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</si>
  <si>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</si>
  <si>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</si>
  <si>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</si>
  <si>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</si>
  <si>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</si>
  <si>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</si>
  <si>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</si>
  <si>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</si>
  <si>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</si>
  <si>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</si>
  <si>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</si>
  <si>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</si>
  <si>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</si>
  <si>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</si>
  <si>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</si>
  <si>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</si>
  <si>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</si>
  <si>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</si>
  <si>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</si>
  <si>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</si>
  <si>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</si>
  <si>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</si>
  <si>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</si>
  <si>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</si>
  <si>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</si>
  <si>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</si>
  <si>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</si>
  <si>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</si>
  <si>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</si>
  <si>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</si>
  <si>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</si>
  <si>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</si>
  <si>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</si>
  <si>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</si>
  <si>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</si>
  <si>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</si>
  <si>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</si>
  <si>
    <t>肖秀荣
时政
国外</t>
  </si>
  <si>
    <t>肖秀荣
时政
国内</t>
  </si>
  <si>
    <t>660视频
20集</t>
  </si>
  <si>
    <t>Prim
Kruskal
Floyd</t>
  </si>
  <si>
    <t>进程前趋图
死锁检测</t>
  </si>
  <si>
    <t>并查集
线索二叉树</t>
  </si>
  <si>
    <t>肖秀荣
时政
国外
*2</t>
  </si>
  <si>
    <t>数据结构
计算题
生成器
1-4</t>
  </si>
  <si>
    <t>数据结构
计算题
生成器
5-8</t>
  </si>
  <si>
    <t>数据结构
计算题
生成器
9-12</t>
  </si>
  <si>
    <t>肖八
*2</t>
  </si>
  <si>
    <t>660视频
18集</t>
  </si>
  <si>
    <t>数学刷题器
线代基本</t>
  </si>
  <si>
    <t>肖八</t>
  </si>
  <si>
    <t>笔记保温
*40</t>
  </si>
  <si>
    <t>系统计算
*10
数据计算
*10
计组计算
*10
网络计算
*10</t>
  </si>
  <si>
    <t>数学刷题器
常线微分</t>
  </si>
  <si>
    <t>数学刷题器
线代常用</t>
  </si>
  <si>
    <t>政治大题
解题方法</t>
  </si>
  <si>
    <t>系统计算
*10
数据计算
*9</t>
  </si>
  <si>
    <t>政治
大题总结
10题</t>
  </si>
  <si>
    <t>线代基本
*10
线代常用
*10
微分方程
*10</t>
  </si>
  <si>
    <t>二叉树
的公式
h
~
(2^h)-1
以及
n0=n2+1</t>
  </si>
  <si>
    <t>KMP算法
next[i]
看0~i-1
子串的
最长相同前后缀
长度</t>
  </si>
  <si>
    <t>中共抗日
四大作用
率先抗日
统一战线
建立
根据地
正确方向
(持久战)</t>
  </si>
  <si>
    <t>ack_seq
指期望
下次收到
第一个
字节序</t>
  </si>
  <si>
    <t>ip数据报
数据部分
按8字节
为单位
分片
最后分片
无需8倍</t>
  </si>
  <si>
    <t>笔记保温
*34</t>
  </si>
  <si>
    <t>政治
大题总结
5题</t>
  </si>
  <si>
    <t>二进制
指数退避
(2^k)-1
k=
min(r,10)</t>
  </si>
  <si>
    <t>笔记保温
*10</t>
  </si>
  <si>
    <t>专业计算
10</t>
  </si>
  <si>
    <t>数学计算
10</t>
  </si>
  <si>
    <t>卷子
2025
408</t>
  </si>
  <si>
    <t>卷子
2022
数二</t>
  </si>
  <si>
    <t>笔记保温
*20</t>
  </si>
  <si>
    <t>卷子
2024
408</t>
  </si>
  <si>
    <t>卷子
2023
数二</t>
  </si>
  <si>
    <t>笔记保温
*17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</si>
</sst>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5" Type="http://schemas.openxmlformats.org/officeDocument/2006/relationships/styles" Target="styles.xml"/><Relationship Id="rId144" Type="http://schemas.openxmlformats.org/officeDocument/2006/relationships/sheetMetadata" Target="metadata.xml"/><Relationship Id="rId143" Type="http://schemas.openxmlformats.org/officeDocument/2006/relationships/sharedStrings" Target="sharedStrings.xml"/><Relationship Id="rId142" Type="http://schemas.openxmlformats.org/officeDocument/2006/relationships/theme" Target="theme/theme1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I3" sqref="I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7" sqref="D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416</v>
      </c>
      <c r="E7" s="5" t="s">
        <v>417</v>
      </c>
      <c r="F7" s="5" t="s">
        <v>417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416</v>
      </c>
      <c r="E1" s="5" t="s">
        <v>417</v>
      </c>
      <c r="F1" s="5" t="s">
        <v>417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419</v>
      </c>
      <c r="D7" s="5" t="s">
        <v>420</v>
      </c>
      <c r="E7" s="5" t="s">
        <v>421</v>
      </c>
      <c r="F7" s="5" t="s">
        <v>422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
国外</v>
      </c>
      <c r="E9" s="11" t="str" cm="1">
        <f ca="1" t="array" ref="E9">IF(COUNTA(INDIRECT(_xlfn.CONCAT($G2,"!",CHAR(64+COLUMN()),7)))&gt;0,INDIRECT(_xlfn.CONCAT($G2,"!",CHAR(64+COLUMN()),7)),"")</f>
        <v>肖秀荣
时政
国内</v>
      </c>
      <c r="F9" s="11" t="str" cm="1">
        <f ca="1" t="array" ref="F9">IF(COUNTA(INDIRECT(_xlfn.CONCAT($G2,"!",CHAR(64+COLUMN()),7)))&gt;0,INDIRECT(_xlfn.CONCAT($G2,"!",CHAR(64+COLUMN()),7)),"")</f>
        <v>肖秀荣
时政
国内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26.18</v>
      </c>
      <c r="E10" s="12" t="s">
        <v>18</v>
      </c>
      <c r="F10" s="13">
        <f>B10+D10</f>
        <v>29.93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423</v>
      </c>
      <c r="D7" s="5" t="s">
        <v>424</v>
      </c>
      <c r="E7" s="5" t="s">
        <v>425</v>
      </c>
      <c r="F7" s="5" t="s">
        <v>426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Prim
Kruskal
Floyd</v>
      </c>
      <c r="D9" s="11" t="str" cm="1">
        <f ca="1" t="array" ref="D9">IF(COUNTA(INDIRECT(_xlfn.CONCAT($G2,"!",CHAR(64+COLUMN()),7)))&gt;0,INDIRECT(_xlfn.CONCAT($G2,"!",CHAR(64+COLUMN()),7)),"")</f>
        <v>进程前趋图
死锁检测</v>
      </c>
      <c r="E9" s="11" t="str" cm="1">
        <f ca="1" t="array" ref="E9">IF(COUNTA(INDIRECT(_xlfn.CONCAT($G2,"!",CHAR(64+COLUMN()),7)))&gt;0,INDIRECT(_xlfn.CONCAT($G2,"!",CHAR(64+COLUMN()),7)),"")</f>
        <v>并查集
线索二叉树</v>
      </c>
      <c r="F9" s="11" t="str" cm="1">
        <f ca="1" t="array" ref="F9">IF(COUNTA(INDIRECT(_xlfn.CONCAT($G2,"!",CHAR(64+COLUMN()),7)))&gt;0,INDIRECT(_xlfn.CONCAT($G2,"!",CHAR(64+COLUMN()),7)),"")</f>
        <v>肖秀荣
时政
国外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48.95</v>
      </c>
      <c r="E10" s="12" t="s">
        <v>18</v>
      </c>
      <c r="F10" s="13">
        <f>B10+D10</f>
        <v>52.7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423</v>
      </c>
      <c r="D1" s="5" t="s">
        <v>424</v>
      </c>
      <c r="E1" s="5" t="s">
        <v>425</v>
      </c>
      <c r="F1" s="5" t="s">
        <v>426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418</v>
      </c>
      <c r="D7" s="5" t="s">
        <v>427</v>
      </c>
      <c r="E7" s="5" t="s">
        <v>428</v>
      </c>
      <c r="F7" s="5" t="s">
        <v>429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数据结构
计算题
生成器
1-4</v>
      </c>
      <c r="D9" s="11" t="str" cm="1">
        <f ca="1" t="array" ref="D9">IF(COUNTA(INDIRECT(_xlfn.CONCAT($G2,"!",CHAR(64+COLUMN()),7)))&gt;0,INDIRECT(_xlfn.CONCAT($G2,"!",CHAR(64+COLUMN()),7)),"")</f>
        <v>数据结构
计算题
生成器
5-8</v>
      </c>
      <c r="E9" s="11" t="str" cm="1">
        <f ca="1" t="array" ref="E9">IF(COUNTA(INDIRECT(_xlfn.CONCAT($G2,"!",CHAR(64+COLUMN()),7)))&gt;0,INDIRECT(_xlfn.CONCAT($G2,"!",CHAR(64+COLUMN()),7)),"")</f>
        <v>数据结构
计算题
生成器
9-12</v>
      </c>
      <c r="F9" s="11" t="str" cm="1">
        <f ca="1" t="array" ref="F9">IF(COUNTA(INDIRECT(_xlfn.CONCAT($G2,"!",CHAR(64+COLUMN()),7)))&gt;0,INDIRECT(_xlfn.CONCAT($G2,"!",CHAR(64+COLUMN()),7)),"")</f>
        <v>肖八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22.98</v>
      </c>
      <c r="E10" s="12" t="s">
        <v>18</v>
      </c>
      <c r="F10" s="13">
        <f>B10+D10</f>
        <v>26.73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418</v>
      </c>
      <c r="D1" s="5" t="s">
        <v>427</v>
      </c>
      <c r="E1" s="5" t="s">
        <v>428</v>
      </c>
      <c r="F1" s="5" t="s">
        <v>429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20251130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431</v>
      </c>
      <c r="D7" s="5" t="s">
        <v>432</v>
      </c>
      <c r="E7" s="5" t="s">
        <v>433</v>
      </c>
      <c r="F7" s="5" t="s">
        <v>434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660视频
20集</v>
      </c>
      <c r="D9" s="11" t="str" cm="1">
        <f ca="1" t="array" ref="D9">IF(COUNTA(INDIRECT(_xlfn.CONCAT($G2,"!",CHAR(64+COLUMN()),7)))&gt;0,INDIRECT(_xlfn.CONCAT($G2,"!",CHAR(64+COLUMN()),7)),"")</f>
        <v>660视频
18集</v>
      </c>
      <c r="E9" s="11" t="str" cm="1">
        <f ca="1" t="array" ref="E9">IF(COUNTA(INDIRECT(_xlfn.CONCAT($G2,"!",CHAR(64+COLUMN()),7)))&gt;0,INDIRECT(_xlfn.CONCAT($G2,"!",CHAR(64+COLUMN()),7)),"")</f>
        <v>数学刷题器
线代基本</v>
      </c>
      <c r="F9" s="11" t="str" cm="1">
        <f ca="1" t="array" ref="F9">IF(COUNTA(INDIRECT(_xlfn.CONCAT($G2,"!",CHAR(64+COLUMN()),7)))&gt;0,INDIRECT(_xlfn.CONCAT($G2,"!",CHAR(64+COLUMN()),7)),"")</f>
        <v>肖八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B9" sqref="B9: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20251201</v>
      </c>
    </row>
    <row r="5" s="1" customFormat="1" ht="125" customHeight="1" spans="1:7">
      <c r="A5" s="4" t="s">
        <v>193</v>
      </c>
      <c r="B5" s="1" t="s">
        <v>9</v>
      </c>
      <c r="C5" s="1"/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435</v>
      </c>
      <c r="D7" s="5" t="s">
        <v>436</v>
      </c>
      <c r="E7" s="5" t="s">
        <v>436</v>
      </c>
      <c r="F7" s="5" t="s">
        <v>437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*10
计组计算
*10
网络计算
*10</v>
      </c>
      <c r="D9" s="11" t="str" cm="1">
        <f ca="1" t="array" ref="D9">IF(COUNTA(INDIRECT(_xlfn.CONCAT($G2,"!",CHAR(64+COLUMN()),7)))&gt;0,INDIRECT(_xlfn.CONCAT($G2,"!",CHAR(64+COLUMN()),7)),"")</f>
        <v>数学刷题器
常线微分</v>
      </c>
      <c r="E9" s="11" t="str" cm="1">
        <f ca="1" t="array" ref="E9">IF(COUNTA(INDIRECT(_xlfn.CONCAT($G2,"!",CHAR(64+COLUMN()),7)))&gt;0,INDIRECT(_xlfn.CONCAT($G2,"!",CHAR(64+COLUMN()),7)),"")</f>
        <v>数学刷题器
线代常用</v>
      </c>
      <c r="F9" s="11" t="str" cm="1">
        <f ca="1" t="array" ref="F9">IF(COUNTA(INDIRECT(_xlfn.CONCAT($G2,"!",CHAR(64+COLUMN()),7)))&gt;0,INDIRECT(_xlfn.CONCAT($G2,"!",CHAR(64+COLUMN()),7)),"")</f>
        <v>政治大题
解题方法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18.9</v>
      </c>
      <c r="E10" s="12" t="s">
        <v>18</v>
      </c>
      <c r="F10" s="13">
        <f>B10+D10</f>
        <v>22.15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435</v>
      </c>
      <c r="D1" s="5" t="s">
        <v>436</v>
      </c>
      <c r="E1" s="5" t="s">
        <v>436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20251201</v>
      </c>
    </row>
    <row r="3" s="1" customFormat="1" ht="125" customHeight="1" spans="1:7">
      <c r="A3" s="4" t="s">
        <v>3</v>
      </c>
      <c r="B3" s="1" t="s">
        <v>438</v>
      </c>
      <c r="C3" s="1" t="s">
        <v>439</v>
      </c>
      <c r="D3" s="5" t="s">
        <v>440</v>
      </c>
      <c r="E3" s="1" t="s">
        <v>441</v>
      </c>
      <c r="F3" s="5" t="s">
        <v>442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20251202</v>
      </c>
    </row>
    <row r="5" s="1" customFormat="1" ht="125" customHeight="1" spans="1:7">
      <c r="A5" s="4" t="s">
        <v>193</v>
      </c>
      <c r="B5" s="1" t="s">
        <v>9</v>
      </c>
      <c r="D5" s="1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443</v>
      </c>
      <c r="C7" s="5" t="s">
        <v>435</v>
      </c>
      <c r="D7" s="5" t="s">
        <v>436</v>
      </c>
      <c r="E7" s="5" t="s">
        <v>444</v>
      </c>
      <c r="F7" s="5" t="s">
        <v>437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10题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126.88</v>
      </c>
      <c r="E10" s="12" t="s">
        <v>18</v>
      </c>
      <c r="F10" s="13">
        <f>B10+D10</f>
        <v>132.13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443</v>
      </c>
      <c r="C1" s="5" t="s">
        <v>435</v>
      </c>
      <c r="D1" s="5" t="s">
        <v>436</v>
      </c>
      <c r="E1" s="5" t="s">
        <v>444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20251202</v>
      </c>
    </row>
    <row r="3" s="1" customFormat="1" ht="125" customHeight="1" spans="1:7">
      <c r="A3" s="4" t="s">
        <v>3</v>
      </c>
      <c r="B3" s="1" t="s">
        <v>445</v>
      </c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20251203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446</v>
      </c>
      <c r="C7" s="5" t="s">
        <v>447</v>
      </c>
      <c r="D7" s="5" t="s">
        <v>446</v>
      </c>
      <c r="E7" s="5" t="s">
        <v>444</v>
      </c>
      <c r="F7" s="5" t="s">
        <v>448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*34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30.6</v>
      </c>
      <c r="E10" s="12" t="s">
        <v>18</v>
      </c>
      <c r="F10" s="13">
        <f>B10+D10</f>
        <v>34.85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446</v>
      </c>
      <c r="C1" s="5" t="s">
        <v>447</v>
      </c>
      <c r="D1" s="5" t="s">
        <v>446</v>
      </c>
      <c r="E1" s="5" t="s">
        <v>444</v>
      </c>
      <c r="F1" s="5" t="s">
        <v>448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20251203</v>
      </c>
    </row>
    <row r="3" s="1" customFormat="1" ht="125" customHeight="1" spans="1:7">
      <c r="A3" s="4" t="s">
        <v>3</v>
      </c>
      <c r="B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20251204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449</v>
      </c>
      <c r="C7" s="5" t="s">
        <v>449</v>
      </c>
      <c r="D7" s="5" t="s">
        <v>450</v>
      </c>
      <c r="E7" s="5" t="s">
        <v>451</v>
      </c>
      <c r="F7" s="5" t="s">
        <v>450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*10</v>
      </c>
      <c r="C9" s="11" t="str" cm="1">
        <f ca="1" t="array" ref="C9">IF(COUNTA(INDIRECT(_xlfn.CONCAT($G2,"!",CHAR(64+COLUMN()),7)))&gt;0,INDIRECT(_xlfn.CONCAT($G2,"!",CHAR(64+COLUMN()),7)),"")</f>
        <v>专业计算
10</v>
      </c>
      <c r="D9" s="11" t="str" cm="1">
        <f ca="1" t="array" ref="D9">IF(COUNTA(INDIRECT(_xlfn.CONCAT($G2,"!",CHAR(64+COLUMN()),7)))&gt;0,INDIRECT(_xlfn.CONCAT($G2,"!",CHAR(64+COLUMN()),7)),"")</f>
        <v>笔记保温
*10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数学计算
10</v>
      </c>
      <c r="G9" s="10"/>
    </row>
    <row r="10" spans="1:7">
      <c r="A10" s="12" t="s">
        <v>16</v>
      </c>
      <c r="B10" s="13">
        <f>SUM(A8,A6,A4,A2)</f>
        <v>3.75</v>
      </c>
      <c r="C10" s="12" t="s">
        <v>17</v>
      </c>
      <c r="D10" s="13">
        <v>26.13</v>
      </c>
      <c r="E10" s="12" t="s">
        <v>18</v>
      </c>
      <c r="F10" s="13">
        <f>B10+D10</f>
        <v>29.88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449</v>
      </c>
      <c r="C1" s="5" t="s">
        <v>449</v>
      </c>
      <c r="D1" s="5" t="s">
        <v>450</v>
      </c>
      <c r="E1" s="5" t="s">
        <v>451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20251205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452</v>
      </c>
      <c r="C7" s="5" t="s">
        <v>452</v>
      </c>
      <c r="D7" s="5" t="s">
        <v>453</v>
      </c>
      <c r="E7" s="5" t="s">
        <v>454</v>
      </c>
      <c r="F7" s="5" t="s">
        <v>450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2025
408</v>
      </c>
      <c r="C9" s="11" t="str" cm="1">
        <f ca="1" t="array" ref="C9">IF(COUNTA(INDIRECT(_xlfn.CONCAT($G2,"!",CHAR(64+COLUMN()),7)))&gt;0,INDIRECT(_xlfn.CONCAT($G2,"!",CHAR(64+COLUMN()),7)),"")</f>
        <v>卷子
2025
408</v>
      </c>
      <c r="D9" s="11" t="str" cm="1">
        <f ca="1" t="array" ref="D9">IF(COUNTA(INDIRECT(_xlfn.CONCAT($G2,"!",CHAR(64+COLUMN()),7)))&gt;0,INDIRECT(_xlfn.CONCAT($G2,"!",CHAR(64+COLUMN()),7)),"")</f>
        <v>卷子
2022
数二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35.03</v>
      </c>
      <c r="E10" s="12" t="s">
        <v>18</v>
      </c>
      <c r="F10" s="13">
        <f>B10+D10</f>
        <v>38.28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zoomScale="85" zoomScaleNormal="85"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452</v>
      </c>
      <c r="C1" s="5" t="s">
        <v>452</v>
      </c>
      <c r="D1" s="5" t="s">
        <v>453</v>
      </c>
      <c r="E1" s="5" t="s">
        <v>454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20251206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451</v>
      </c>
      <c r="C7" s="5" t="s">
        <v>452</v>
      </c>
      <c r="D7" s="5" t="s">
        <v>453</v>
      </c>
      <c r="E7" s="5" t="s">
        <v>454</v>
      </c>
      <c r="F7" s="5" t="s">
        <v>451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408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38.42</v>
      </c>
      <c r="E10" s="12" t="s">
        <v>18</v>
      </c>
      <c r="F10" s="13">
        <f>B10+D10</f>
        <v>41.17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141</vt:i4>
      </vt:variant>
    </vt:vector>
  </HeadingPairs>
  <TitlesOfParts>
    <vt:vector size="141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  <vt:lpstr>20251128</vt:lpstr>
      <vt:lpstr>20251129</vt:lpstr>
      <vt:lpstr>20251130</vt:lpstr>
      <vt:lpstr>20251201</vt:lpstr>
      <vt:lpstr>20251202</vt:lpstr>
      <vt:lpstr>20251203</vt:lpstr>
      <vt:lpstr>20251204</vt:lpstr>
      <vt:lpstr>20251205</vt:lpstr>
      <vt:lpstr>20251206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2025-12-06T14:48:15Z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42B4D01805574DBF9293A43B2F780FEE_12</vt:lpwstr>
  </property>
</Properties>
</file>