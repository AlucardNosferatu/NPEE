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135" activeTab="137"/>
  </bookViews>
  <sheets>
    <sheet name="20250519" sheetId="1" r:id="rId1"/>
    <sheet name="20250520" sheetId="5" r:id="rId2"/>
    <sheet name="20250521" sheetId="12" r:id="rId3"/>
    <sheet name="20250522" sheetId="13" r:id="rId4"/>
    <sheet name="20250523" sheetId="14" r:id="rId5"/>
    <sheet name="20250525" sheetId="15" r:id="rId6"/>
    <sheet name="20250526" sheetId="16" r:id="rId7"/>
    <sheet name="20250527" sheetId="17" r:id="rId8"/>
    <sheet name="20250528" sheetId="18" r:id="rId9"/>
    <sheet name="20250529" sheetId="19" r:id="rId10"/>
    <sheet name="20250530" sheetId="20" r:id="rId11"/>
    <sheet name="20250531" sheetId="21" r:id="rId12"/>
    <sheet name="20250601" sheetId="22" r:id="rId13"/>
    <sheet name="20250602" sheetId="23" r:id="rId14"/>
    <sheet name="20250603" sheetId="24" r:id="rId15"/>
    <sheet name="20250607" sheetId="25" r:id="rId16"/>
    <sheet name="20250608" sheetId="26" r:id="rId17"/>
    <sheet name="20250609" sheetId="27" r:id="rId18"/>
    <sheet name="20250610" sheetId="28" r:id="rId19"/>
    <sheet name="20250611" sheetId="29" r:id="rId20"/>
    <sheet name="20250612" sheetId="30" r:id="rId21"/>
    <sheet name="20250613" sheetId="31" r:id="rId22"/>
    <sheet name="20250614" sheetId="32" r:id="rId23"/>
    <sheet name="20250615" sheetId="33" r:id="rId24"/>
    <sheet name="20250616" sheetId="34" r:id="rId25"/>
    <sheet name="20250617" sheetId="35" r:id="rId26"/>
    <sheet name="20250618" sheetId="36" r:id="rId27"/>
    <sheet name="20250619" sheetId="37" r:id="rId28"/>
    <sheet name="20250620" sheetId="38" r:id="rId29"/>
    <sheet name="20250621" sheetId="41" r:id="rId30"/>
    <sheet name="20250622" sheetId="42" r:id="rId31"/>
    <sheet name="20250623" sheetId="43" r:id="rId32"/>
    <sheet name="20250624" sheetId="44" r:id="rId33"/>
    <sheet name="20250625" sheetId="45" r:id="rId34"/>
    <sheet name="20250626" sheetId="46" r:id="rId35"/>
    <sheet name="20250629" sheetId="47" r:id="rId36"/>
    <sheet name="20250630" sheetId="48" r:id="rId37"/>
    <sheet name="20250701" sheetId="49" r:id="rId38"/>
    <sheet name="20250702" sheetId="50" r:id="rId39"/>
    <sheet name="20250703" sheetId="51" r:id="rId40"/>
    <sheet name="20250708" sheetId="52" r:id="rId41"/>
    <sheet name="20250709" sheetId="53" r:id="rId42"/>
    <sheet name="20250710" sheetId="54" r:id="rId43"/>
    <sheet name="20250711" sheetId="55" r:id="rId44"/>
    <sheet name="20250712" sheetId="56" r:id="rId45"/>
    <sheet name="20250713" sheetId="57" r:id="rId46"/>
    <sheet name="20250714" sheetId="58" r:id="rId47"/>
    <sheet name="20250724" sheetId="59" r:id="rId48"/>
    <sheet name="20250725" sheetId="60" r:id="rId49"/>
    <sheet name="20250726" sheetId="61" r:id="rId50"/>
    <sheet name="20250731" sheetId="62" r:id="rId51"/>
    <sheet name="20250807" sheetId="63" r:id="rId52"/>
    <sheet name="20250808" sheetId="64" r:id="rId53"/>
    <sheet name="20250809" sheetId="65" r:id="rId54"/>
    <sheet name="20250811" sheetId="66" r:id="rId55"/>
    <sheet name="20250813" sheetId="67" r:id="rId56"/>
    <sheet name="20250814" sheetId="68" r:id="rId57"/>
    <sheet name="20250819" sheetId="69" r:id="rId58"/>
    <sheet name="20250820" sheetId="70" r:id="rId59"/>
    <sheet name="20250821" sheetId="71" r:id="rId60"/>
    <sheet name="20250822" sheetId="72" r:id="rId61"/>
    <sheet name="20250823" sheetId="73" r:id="rId62"/>
    <sheet name="20250824" sheetId="74" r:id="rId63"/>
    <sheet name="20250825" sheetId="75" r:id="rId64"/>
    <sheet name="20250826" sheetId="76" r:id="rId65"/>
    <sheet name="20250827" sheetId="77" r:id="rId66"/>
    <sheet name="20250903" sheetId="78" r:id="rId67"/>
    <sheet name="20250904" sheetId="79" r:id="rId68"/>
    <sheet name="20250905" sheetId="80" r:id="rId69"/>
    <sheet name="20250906" sheetId="81" r:id="rId70"/>
    <sheet name="20250907" sheetId="82" r:id="rId71"/>
    <sheet name="20250908" sheetId="83" r:id="rId72"/>
    <sheet name="20250909" sheetId="84" r:id="rId73"/>
    <sheet name="20250910" sheetId="85" r:id="rId74"/>
    <sheet name="20250911" sheetId="86" r:id="rId75"/>
    <sheet name="20250912" sheetId="87" r:id="rId76"/>
    <sheet name="20250913" sheetId="88" r:id="rId77"/>
    <sheet name="20250914" sheetId="89" r:id="rId78"/>
    <sheet name="20250915" sheetId="90" r:id="rId79"/>
    <sheet name="20250916" sheetId="91" r:id="rId80"/>
    <sheet name="20250917" sheetId="92" r:id="rId81"/>
    <sheet name="20250918" sheetId="93" r:id="rId82"/>
    <sheet name="20250919" sheetId="94" r:id="rId83"/>
    <sheet name="20250920" sheetId="95" r:id="rId84"/>
    <sheet name="20250921" sheetId="96" r:id="rId85"/>
    <sheet name="20250922" sheetId="97" r:id="rId86"/>
    <sheet name="20250927" sheetId="98" r:id="rId87"/>
    <sheet name="20251011" sheetId="99" r:id="rId88"/>
    <sheet name="20251012" sheetId="100" r:id="rId89"/>
    <sheet name="20251013" sheetId="101" r:id="rId90"/>
    <sheet name="20251014" sheetId="102" r:id="rId91"/>
    <sheet name="20251015" sheetId="103" r:id="rId92"/>
    <sheet name="20251016" sheetId="104" r:id="rId93"/>
    <sheet name="20251017" sheetId="105" r:id="rId94"/>
    <sheet name="20251021" sheetId="106" r:id="rId95"/>
    <sheet name="20251022" sheetId="107" r:id="rId96"/>
    <sheet name="20251023" sheetId="108" r:id="rId97"/>
    <sheet name="20251024" sheetId="109" r:id="rId98"/>
    <sheet name="20251025" sheetId="110" r:id="rId99"/>
    <sheet name="20251026" sheetId="111" r:id="rId100"/>
    <sheet name="20251027" sheetId="112" r:id="rId101"/>
    <sheet name="20251028" sheetId="113" r:id="rId102"/>
    <sheet name="20251029" sheetId="114" r:id="rId103"/>
    <sheet name="20251030" sheetId="115" r:id="rId104"/>
    <sheet name="20251031" sheetId="116" r:id="rId105"/>
    <sheet name="20251101" sheetId="117" r:id="rId106"/>
    <sheet name="20251102" sheetId="118" r:id="rId107"/>
    <sheet name="20251103" sheetId="119" r:id="rId108"/>
    <sheet name="20251104" sheetId="120" r:id="rId109"/>
    <sheet name="20251105" sheetId="121" r:id="rId110"/>
    <sheet name="20251106" sheetId="122" r:id="rId111"/>
    <sheet name="20251107" sheetId="123" r:id="rId112"/>
    <sheet name="20251108" sheetId="124" r:id="rId113"/>
    <sheet name="20251109" sheetId="125" r:id="rId114"/>
    <sheet name="20251110" sheetId="126" r:id="rId115"/>
    <sheet name="20251111" sheetId="127" r:id="rId116"/>
    <sheet name="20251112" sheetId="128" r:id="rId117"/>
    <sheet name="20251113" sheetId="129" r:id="rId118"/>
    <sheet name="20251114" sheetId="130" r:id="rId119"/>
    <sheet name="20251115" sheetId="131" r:id="rId120"/>
    <sheet name="20251116" sheetId="132" r:id="rId121"/>
    <sheet name="20251117" sheetId="133" r:id="rId122"/>
    <sheet name="20251118" sheetId="134" r:id="rId123"/>
    <sheet name="20251119" sheetId="135" r:id="rId124"/>
    <sheet name="20251120" sheetId="136" r:id="rId125"/>
    <sheet name="20251121" sheetId="137" r:id="rId126"/>
    <sheet name="20251122" sheetId="138" r:id="rId127"/>
    <sheet name="20251123" sheetId="139" r:id="rId128"/>
    <sheet name="20251124" sheetId="140" r:id="rId129"/>
    <sheet name="20251125" sheetId="141" r:id="rId130"/>
    <sheet name="20251126" sheetId="142" r:id="rId131"/>
    <sheet name="20251127" sheetId="143" r:id="rId132"/>
    <sheet name="20251128" sheetId="144" r:id="rId133"/>
    <sheet name="20251129" sheetId="145" r:id="rId134"/>
    <sheet name="20251130" sheetId="146" r:id="rId135"/>
    <sheet name="20251201" sheetId="147" r:id="rId136"/>
    <sheet name="20251202" sheetId="149" r:id="rId137"/>
    <sheet name="20251203" sheetId="150" r:id="rId138"/>
  </sheets>
  <definedNames>
    <definedName name="_xlnm.Print_Area" localSheetId="28">'20250620'!$A$1:$G$10</definedName>
    <definedName name="_xlnm.Print_Area" localSheetId="29">'20250621'!$A$1:$G$10</definedName>
    <definedName name="_xlnm.Print_Area" localSheetId="30">'20250622'!$A$1:$G$10</definedName>
    <definedName name="_xlnm.Print_Area" localSheetId="31">'20250623'!$A$1:$G$10</definedName>
    <definedName name="_xlnm.Print_Area" localSheetId="32">'20250624'!$A$1:$G$10</definedName>
    <definedName name="_xlnm.Print_Area" localSheetId="33">'20250625'!$A$1:$G$10</definedName>
    <definedName name="_xlnm.Print_Area" localSheetId="34">'20250626'!$A$1:$G$10</definedName>
    <definedName name="_xlnm.Print_Area" localSheetId="35">'20250629'!$A$1:$G$10</definedName>
    <definedName name="_xlnm.Print_Area" localSheetId="36">'20250630'!$A$1:$G$10</definedName>
    <definedName name="_xlnm.Print_Area" localSheetId="37">'20250701'!$A$1:$G$10</definedName>
    <definedName name="_xlnm.Print_Area" localSheetId="38">'20250702'!$A$1:$G$10</definedName>
    <definedName name="_xlnm.Print_Area" localSheetId="39">'20250703'!$A$1:$G$10</definedName>
    <definedName name="_xlnm.Print_Area" localSheetId="40">'20250708'!$A$1:$G$10</definedName>
    <definedName name="_xlnm.Print_Area" localSheetId="41">'20250709'!$A$1:$G$10</definedName>
    <definedName name="_xlnm.Print_Area" localSheetId="42">'20250710'!$A$1:$G$10</definedName>
    <definedName name="_xlnm.Print_Area" localSheetId="43">'20250711'!$A$1:$G$10</definedName>
    <definedName name="_xlnm.Print_Area" localSheetId="44">'20250712'!$A$1:$G$10</definedName>
    <definedName name="_xlnm.Print_Area" localSheetId="45">'20250713'!$A$1:$G$10</definedName>
    <definedName name="_xlnm.Print_Area" localSheetId="46">'20250714'!$A$1:$G$10</definedName>
    <definedName name="_xlnm.Print_Area" localSheetId="47">'20250724'!$A$1:$G$10</definedName>
    <definedName name="_xlnm.Print_Area" localSheetId="48">'20250725'!$A$1:$G$10</definedName>
    <definedName name="_xlnm.Print_Area" localSheetId="49">'20250726'!$A$1:$G$10</definedName>
    <definedName name="_xlnm.Print_Area" localSheetId="50">'20250731'!$A$1:$G$10</definedName>
    <definedName name="_xlnm.Print_Area" localSheetId="51">'20250807'!$A$1:$G$10</definedName>
    <definedName name="_xlnm.Print_Area" localSheetId="52">'20250808'!$A$1:$G$10</definedName>
    <definedName name="_xlnm.Print_Area" localSheetId="53">'20250809'!$A$1:$G$10</definedName>
    <definedName name="_xlnm.Print_Area" localSheetId="54">'20250811'!$A$1:$G$10</definedName>
    <definedName name="_xlnm.Print_Area" localSheetId="55">'20250813'!$A$1:$G$10</definedName>
    <definedName name="_xlnm.Print_Area" localSheetId="56">'20250814'!$A$1:$G$10</definedName>
    <definedName name="_xlnm.Print_Area" localSheetId="57">'20250819'!$A$1:$G$10</definedName>
    <definedName name="_xlnm.Print_Area" localSheetId="58">'20250820'!$A$1:$G$10</definedName>
    <definedName name="_xlnm.Print_Area" localSheetId="59">'20250821'!$A$1:$G$10</definedName>
    <definedName name="_xlnm.Print_Area" localSheetId="60">'20250822'!$A$1:$G$10</definedName>
    <definedName name="_xlnm.Print_Area" localSheetId="61">'20250823'!$A$1:$G$10</definedName>
    <definedName name="_xlnm.Print_Area" localSheetId="62">'20250824'!$A$1:$G$10</definedName>
    <definedName name="_xlnm.Print_Area" localSheetId="63">'20250825'!$A$1:$G$10</definedName>
    <definedName name="_xlnm.Print_Area" localSheetId="64">'20250826'!$A$1:$G$10</definedName>
    <definedName name="_xlnm.Print_Area" localSheetId="65">'20250827'!$A$1:$G$10</definedName>
    <definedName name="_xlnm.Print_Area" localSheetId="66">'20250903'!$A$1:$G$10</definedName>
    <definedName name="_xlnm.Print_Area" localSheetId="67">'20250904'!$A$1:$G$10</definedName>
    <definedName name="_xlnm.Print_Area" localSheetId="68">'20250905'!$A$1:$G$10</definedName>
    <definedName name="_xlnm.Print_Area" localSheetId="69">'20250906'!$A$1:$G$10</definedName>
    <definedName name="_xlnm.Print_Area" localSheetId="70">'20250907'!$A$1:$G$10</definedName>
    <definedName name="_xlnm.Print_Area" localSheetId="71">'20250908'!$A$1:$G$10</definedName>
    <definedName name="_xlnm.Print_Area" localSheetId="72">'20250909'!$A$1:$G$10</definedName>
    <definedName name="_xlnm.Print_Area" localSheetId="73">'20250910'!$A$1:$G$10</definedName>
    <definedName name="_xlnm.Print_Area" localSheetId="74">'20250911'!$A$1:$G$10</definedName>
    <definedName name="_xlnm.Print_Area" localSheetId="75">'20250912'!$A$1:$G$10</definedName>
    <definedName name="_xlnm.Print_Area" localSheetId="76">'20250913'!$A$1:$G$10</definedName>
    <definedName name="_xlnm.Print_Area" localSheetId="77">'20250914'!$A$1:$G$10</definedName>
    <definedName name="_xlnm.Print_Area" localSheetId="78">'20250915'!$A$1:$G$10</definedName>
    <definedName name="_xlnm.Print_Area" localSheetId="79">'20250916'!$A$1:$G$10</definedName>
    <definedName name="_xlnm.Print_Area" localSheetId="80">'20250917'!$A$1:$G$10</definedName>
    <definedName name="_xlnm.Print_Area" localSheetId="81">'20250918'!$A$1:$G$10</definedName>
    <definedName name="_xlnm.Print_Area" localSheetId="82">'20250919'!$A$1:$G$10</definedName>
    <definedName name="_xlnm.Print_Area" localSheetId="83">'20250920'!$A$1:$G$10</definedName>
    <definedName name="_xlnm.Print_Area" localSheetId="84">'20250921'!$A$1:$G$10</definedName>
    <definedName name="_xlnm.Print_Area" localSheetId="85">'20250922'!$A$1:$G$10</definedName>
    <definedName name="_xlnm.Print_Area" localSheetId="86">'20250927'!$A$1:$G$10</definedName>
    <definedName name="_xlnm.Print_Area" localSheetId="87">'20251011'!$A$1:$G$10</definedName>
    <definedName name="_xlnm.Print_Area" localSheetId="88">'20251012'!$A$1:$G$10</definedName>
    <definedName name="_xlnm.Print_Area" localSheetId="89">'20251013'!$A$1:$G$10</definedName>
    <definedName name="_xlnm.Print_Area" localSheetId="90">'20251014'!$A$1:$G$10</definedName>
    <definedName name="_xlnm.Print_Area" localSheetId="91">'20251015'!$A$1:$G$10</definedName>
    <definedName name="_xlnm.Print_Area" localSheetId="92">'20251016'!$A$1:$G$10</definedName>
    <definedName name="_xlnm.Print_Area" localSheetId="93">'20251017'!$A$1:$G$10</definedName>
    <definedName name="_xlnm.Print_Area" localSheetId="94">'20251021'!$A$1:$G$10</definedName>
    <definedName name="_xlnm.Print_Area" localSheetId="95">'20251022'!$A$1:$G$10</definedName>
    <definedName name="_xlnm.Print_Area" localSheetId="96">'20251023'!$A$1:$G$10</definedName>
    <definedName name="_xlnm.Print_Area" localSheetId="97">'20251024'!$A$1:$G$10</definedName>
    <definedName name="_xlnm.Print_Area" localSheetId="98">'20251025'!$A$1:$G$10</definedName>
    <definedName name="_xlnm.Print_Area" localSheetId="99">'20251026'!$A$1:$G$10</definedName>
    <definedName name="_xlnm.Print_Area" localSheetId="100">'20251027'!$A$1:$G$10</definedName>
    <definedName name="_xlnm.Print_Area" localSheetId="101">'20251028'!$A$1:$G$10</definedName>
    <definedName name="_xlnm.Print_Area" localSheetId="102">'20251029'!$A$1:$G$10</definedName>
    <definedName name="_xlnm.Print_Area" localSheetId="103">'20251030'!$A$1:$G$10</definedName>
    <definedName name="_xlnm.Print_Area" localSheetId="104">'20251031'!$A$1:$G$10</definedName>
    <definedName name="_xlnm.Print_Area" localSheetId="105">'20251101'!$A$1:$G$10</definedName>
    <definedName name="_xlnm.Print_Area" localSheetId="106">'20251102'!$A$1:$G$10</definedName>
    <definedName name="_xlnm.Print_Area" localSheetId="107">'20251103'!$A$1:$G$10</definedName>
    <definedName name="_xlnm.Print_Area" localSheetId="108">'20251104'!$A$1:$G$10</definedName>
    <definedName name="_xlnm.Print_Area" localSheetId="109">'20251105'!$A$1:$G$10</definedName>
    <definedName name="_xlnm.Print_Area" localSheetId="110">'20251106'!$A$1:$G$10</definedName>
    <definedName name="_xlnm.Print_Area" localSheetId="111">'20251107'!$A$1:$G$10</definedName>
    <definedName name="_xlnm.Print_Area" localSheetId="112">'20251108'!$A$1:$G$10</definedName>
    <definedName name="_xlnm.Print_Area" localSheetId="113">'20251109'!$A$1:$G$10</definedName>
    <definedName name="_xlnm.Print_Area" localSheetId="114">'20251110'!$A$1:$G$10</definedName>
    <definedName name="_xlnm.Print_Area" localSheetId="115">'20251111'!$A$1:$G$10</definedName>
    <definedName name="_xlnm.Print_Area" localSheetId="116">'20251112'!$A$1:$G$10</definedName>
    <definedName name="_xlnm.Print_Area" localSheetId="117">'20251113'!$A$1:$G$10</definedName>
    <definedName name="_xlnm.Print_Area" localSheetId="118">'20251114'!$A$1:$G$10</definedName>
    <definedName name="_xlnm.Print_Area" localSheetId="119">'20251115'!$A$1:$G$10</definedName>
    <definedName name="_xlnm.Print_Area" localSheetId="120">'20251116'!$A$1:$G$10</definedName>
    <definedName name="_xlnm.Print_Area" localSheetId="121">'20251117'!$A$1:$G$10</definedName>
    <definedName name="_xlnm.Print_Area" localSheetId="122">'20251118'!$A$1:$G$10</definedName>
    <definedName name="_xlnm.Print_Area" localSheetId="123">'20251119'!$A$1:$G$10</definedName>
    <definedName name="_xlnm.Print_Area" localSheetId="124">'20251120'!$A$1:$G$10</definedName>
    <definedName name="_xlnm.Print_Area" localSheetId="125">'20251121'!$A$1:$G$10</definedName>
    <definedName name="_xlnm.Print_Area" localSheetId="126">'20251122'!$A$1:$G$10</definedName>
    <definedName name="_xlnm.Print_Area" localSheetId="127">'20251123'!$A$1:$G$10</definedName>
    <definedName name="_xlnm.Print_Area" localSheetId="128">'20251124'!$A$1:$G$10</definedName>
    <definedName name="_xlnm.Print_Area" localSheetId="129">'20251125'!$A$1:$G$10</definedName>
    <definedName name="_xlnm.Print_Area" localSheetId="130">'20251126'!$A$1:$G$10</definedName>
    <definedName name="_xlnm.Print_Area" localSheetId="131">'20251127'!$A$1:$G$10</definedName>
    <definedName name="_xlnm.Print_Area" localSheetId="132">'20251128'!$A$1:$G$10</definedName>
    <definedName name="_xlnm.Print_Area" localSheetId="133">'20251129'!$A$1:$G$10</definedName>
    <definedName name="_xlnm.Print_Area" localSheetId="134">'20251130'!$A$1:$G$10</definedName>
    <definedName name="_xlnm.Print_Area" localSheetId="135">'20251201'!$A$1:$G$10</definedName>
    <definedName name="_xlnm.Print_Area" localSheetId="136">'20251202'!$A$1:$G$10</definedName>
    <definedName name="_xlnm.Print_Area" localSheetId="137">'20251203'!$A$1:$G$10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<sst xmlns="http://schemas.openxmlformats.org/spreadsheetml/2006/main" count="2951" uniqueCount="449">
  <si>
    <t>今天计划
做什么
能记得就行
核对昨日
去掉没有的
未记起的
若未完成
仅补充到
明天计划</t>
  </si>
  <si>
    <t>没有特别的计划
只是要提高复习完成度到75%以上
（主要是刷题）</t>
  </si>
  <si>
    <t>上次报告</t>
  </si>
  <si>
    <t>今天实际
做什么
计划外的
不重要</t>
  </si>
  <si>
    <t>今天做题
二重积分的坐标转换和积分次序转换
多元函数极值类的习题收尾
边界上找最值的题型非常难受</t>
  </si>
  <si>
    <t>今天解答了别人的问题
关于震荡函数的原函数为何不会震荡
（计划外）</t>
  </si>
  <si>
    <t>屏保界面看笔记
关于有理分式分解成加和的待定系数规则
（计划外）</t>
  </si>
  <si>
    <t>报告时间</t>
  </si>
  <si>
    <t>是否完成了
计划
除了完成
不用填其它的
鼓励集火完成</t>
  </si>
  <si>
    <t>完成</t>
  </si>
  <si>
    <t>最多同时做5件事，多了做不完还会有额外压力</t>
  </si>
  <si>
    <t>明天打算
做什么
旧任务
优先完成
否则占用
计划槽位
鼓励不拖延</t>
  </si>
  <si>
    <t>做完新东方习题
二重积分内容</t>
  </si>
  <si>
    <t>使用
NoteReviewer
进行复习</t>
  </si>
  <si>
    <t>把660视频的
190看完</t>
  </si>
  <si>
    <t>今天本来计划
做什么
根据上次报告
自动生成</t>
  </si>
  <si>
    <t>报告得分</t>
  </si>
  <si>
    <t>日志得分</t>
  </si>
  <si>
    <t>总计得分</t>
  </si>
  <si>
    <t>做新东方的二重积分练习题</t>
  </si>
  <si>
    <t>看完660的前190题</t>
  </si>
  <si>
    <t>NoteReviewer</t>
  </si>
  <si>
    <t>月牙区域积分
要注意
没有经过的象限</t>
  </si>
  <si>
    <t>确认了瑕积分
和无穷积分
的定义</t>
  </si>
  <si>
    <t>做真题
暂时不进行
计分和计时</t>
  </si>
  <si>
    <t>660已对题重做
计算正确率
记录作答时间</t>
  </si>
  <si>
    <t>做真题</t>
  </si>
  <si>
    <t>660计时
计正确</t>
  </si>
  <si>
    <t>ln(f(x))去ln
的小秘诀
凑出来的
加减极限
exp的指数
求完极限
记得代回去</t>
  </si>
  <si>
    <t>不要滥用
拉格朗日
不定积分
记得带C
1/f(x)
记得ln|f(x))|</t>
  </si>
  <si>
    <t>线性微分方程
解组合性质
极坐标下dxdy
转为rdrdθ</t>
  </si>
  <si>
    <t>一道专升本的
分部积分
确认了
莱布尼兹公式
是u的k阶导
乘v的n-k阶导
乘C(n,k)</t>
  </si>
  <si>
    <t>真题解答题
不计时
不计正确率
至少3题</t>
  </si>
  <si>
    <t>真题不会做的
生成笔记
有就行</t>
  </si>
  <si>
    <t>660计时
计正确
至少10题</t>
  </si>
  <si>
    <t>660计时</t>
  </si>
  <si>
    <t>真题不计时</t>
  </si>
  <si>
    <t>总结</t>
  </si>
  <si>
    <t>非常难
没有新方法
题感需要加强</t>
  </si>
  <si>
    <t>总体比660简单
要做非计算题</t>
  </si>
  <si>
    <t>不仅要观察
方法暗示
还要留意
排除暗示
新学会
泰勒展开解
定积分
费曼积分法</t>
  </si>
  <si>
    <t>660按5分钟
计时刷题
牺牲正确率
提高总刷题量
至少刷20题</t>
  </si>
  <si>
    <t>660视频
191题开始看
至少看5集</t>
  </si>
  <si>
    <t>连做20题</t>
  </si>
  <si>
    <t>看660视频</t>
  </si>
  <si>
    <t>（不）定积分
二重积分
数列极限
（f(pi*g(n))）
函数极限
（夹逼同步）
微分方程
（y''、y'、y）</t>
  </si>
  <si>
    <t>重做20题
5分钟限制</t>
  </si>
  <si>
    <t>确定408计算题
题型</t>
  </si>
  <si>
    <t>把笔记导入
伪春菜</t>
  </si>
  <si>
    <t>当前计划
做什么
能记得就行
核对当前计划
去掉没有的
未记起的
若未完成
仅补充到
明天计划</t>
  </si>
  <si>
    <t>660的20题</t>
  </si>
  <si>
    <t>伪春菜导入笔记</t>
  </si>
  <si>
    <t>计组计算题</t>
  </si>
  <si>
    <t>660视频
至少5集</t>
  </si>
  <si>
    <t>有限个
无穷小
的和差
还是无穷小</t>
  </si>
  <si>
    <t>恢复余数法
Cache的两种
平均时间算法</t>
  </si>
  <si>
    <t>被积函数的
性质
对变限积分
的影响
变限积分
与奇偶性
与周期性</t>
  </si>
  <si>
    <t>本次报告</t>
  </si>
  <si>
    <t>计组计算题
至少做11题
属于【恒温】</t>
  </si>
  <si>
    <t>660
无计时
新题目
至少5题</t>
  </si>
  <si>
    <t>计组计算题
指令流水线
微操作
总线带宽计算
中断响应时间</t>
  </si>
  <si>
    <t>当前本来计划
做什么
根据上次报告
自动生成</t>
  </si>
  <si>
    <t>660至少5题</t>
  </si>
  <si>
    <t>计组计算题
题目生成器</t>
  </si>
  <si>
    <t>计组计算题
至少11题</t>
  </si>
  <si>
    <t>实际做了7题
对1/(1+cos(x))
进行不定积分
凑csc/sec
f(x)等于
含有被积函数
为f(x)定积分
表达式</t>
  </si>
  <si>
    <t>修订了原码
转补码的错误
区分地址线
和地址引脚
缓存效率=
Tc/Ta</t>
  </si>
  <si>
    <t>660视频
至少10集</t>
  </si>
  <si>
    <t>660题目
至少5题</t>
  </si>
  <si>
    <t>看下新书</t>
  </si>
  <si>
    <t>计组11题</t>
  </si>
  <si>
    <t>660视频10集</t>
  </si>
  <si>
    <t>看书</t>
  </si>
  <si>
    <t>原码数值位取反
得到反码
反码数值位加一
得到补码
补码数值位取反
得到移码</t>
  </si>
  <si>
    <t>周期函数
的变限积分特性
左连续且右连续
则函数连续
用定积分定义
求取级数</t>
  </si>
  <si>
    <t>660至少5题
从前面开始
（第十页）</t>
  </si>
  <si>
    <t>新东方2021
习题集
至少5题</t>
  </si>
  <si>
    <t>660题目
5题</t>
  </si>
  <si>
    <t>新东方2021习题
至少5题</t>
  </si>
  <si>
    <t>存在x0
|f(x0)-Lim|&lt;ξ
对任意ξ成立
是极限的定义
绝对值不等式
（三角不等式）</t>
  </si>
  <si>
    <t>汉明码的计算
覆盖位做
异或得到
校验位</t>
  </si>
  <si>
    <t>别人发的题目
要掌握展开
ln(x+1)-x
的等价无穷小
幂指函数的
底数内不能
等价或代非零</t>
  </si>
  <si>
    <t>教材涨进度
捡软柿子
至少5题</t>
  </si>
  <si>
    <t>660习题
至少5题</t>
  </si>
  <si>
    <t>新东方讲义
至少5题</t>
  </si>
  <si>
    <t>导数的极限定义
结合其它极限
需要考虑无穷小</t>
  </si>
  <si>
    <t>均值不等式</t>
  </si>
  <si>
    <t>继续捡软柿子捏
至少5题</t>
  </si>
  <si>
    <t>补习红黑树</t>
  </si>
  <si>
    <t>捡软柿子</t>
  </si>
  <si>
    <t>闭区间连续
推出函数有界
单调有界
数列专用
导数在有限区间
有界
原函数也在
相同区间有界</t>
  </si>
  <si>
    <t>五条规则
插入（BST）
调整（爷带孙）</t>
  </si>
  <si>
    <t>捡软柿子
至少5题</t>
  </si>
  <si>
    <t>函数加和的极限
函数乘除的极限
复合函数的极限</t>
  </si>
  <si>
    <t>RISC和CISC
的差异
RISC限制访存
的原因</t>
  </si>
  <si>
    <t>捡软柿子
至少10题</t>
  </si>
  <si>
    <t>笔记复习
至少10大题</t>
  </si>
  <si>
    <t>CRC校验计算</t>
  </si>
  <si>
    <t>指令流水计算</t>
  </si>
  <si>
    <t>尝试清理
相册《红》
里面的题目</t>
  </si>
  <si>
    <t>解决手机相册
《红》</t>
  </si>
  <si>
    <t>CRC校验</t>
  </si>
  <si>
    <t>指令流水线
性能指标</t>
  </si>
  <si>
    <t>笔记复习</t>
  </si>
  <si>
    <t>余数是校验码</t>
  </si>
  <si>
    <t>第一条指令
耗时为
所有阶段耗时
的总和</t>
  </si>
  <si>
    <t>闭区间连续性
有界性
最值存在性
介值性
零点定理</t>
  </si>
  <si>
    <t>用拉格朗日余项
推出函数不等式
特例法解选择题
2-Way时已完成
DR/BDR选举</t>
  </si>
  <si>
    <t>定点数乘除法</t>
  </si>
  <si>
    <t>浮点数表示
浮点数加减</t>
  </si>
  <si>
    <t>660视频</t>
  </si>
  <si>
    <t>定点数</t>
  </si>
  <si>
    <t>全1上溢
全0下溢
下溢可以非规格
对阶往高对
阶码偏移+127</t>
  </si>
  <si>
    <t>Booth乘法
相同无操作
10减
01加
辅助位起始0</t>
  </si>
  <si>
    <t>看了4集
质心公式
需要背
（记入笔记）</t>
  </si>
  <si>
    <t>恢复余数法
需要专门的
余数寄存器
长度等于被除数
从被除数补位</t>
  </si>
  <si>
    <t>组合积分法
的拓展</t>
  </si>
  <si>
    <t>660视频
至少6集</t>
  </si>
  <si>
    <t>小程序刷题
408</t>
  </si>
  <si>
    <t>把变限积分看成
函数
它的导数是
被积函数乘
上限函数的
导数
积分中值定理</t>
  </si>
  <si>
    <t>刷了14题
操作系统的
一些概念性问题
分时系统的
几个性质</t>
  </si>
  <si>
    <t>计组计算题
至少10题</t>
  </si>
  <si>
    <t>笔记复习
至少5题</t>
  </si>
  <si>
    <t>408小程序
至少10题</t>
  </si>
  <si>
    <t>新东方习题
2021</t>
  </si>
  <si>
    <t>408小程序</t>
  </si>
  <si>
    <t>隐函数求导
莱布尼兹定理</t>
  </si>
  <si>
    <t>变限积分周期性
周期定积分为0</t>
  </si>
  <si>
    <t>恢复余数
商算n+1
只取低n位</t>
  </si>
  <si>
    <t>分时系统必交互
微内核效率低</t>
  </si>
  <si>
    <t>新东方习题集
2021
至少5题</t>
  </si>
  <si>
    <t>新东方习题集
2022
至少5题</t>
  </si>
  <si>
    <t>易错题
至少2题</t>
  </si>
  <si>
    <t>严选题
至少2题</t>
  </si>
  <si>
    <t>严选题</t>
  </si>
  <si>
    <t>易错题</t>
  </si>
  <si>
    <t>压缩映射
均值不等式</t>
  </si>
  <si>
    <t>保序性</t>
  </si>
  <si>
    <t>有界充要
（绝对有界）</t>
  </si>
  <si>
    <t>二阶混合连续
则二阶混合相等</t>
  </si>
  <si>
    <t>2021+2022
一共20题</t>
  </si>
  <si>
    <t>严选题+易错题
一共10题</t>
  </si>
  <si>
    <t>计组计算题
2*Booth
2*恢复余数
2*浮点数表示
2*汉明码
2*CRC校验
2*指令流水性能</t>
  </si>
  <si>
    <t>新东方</t>
  </si>
  <si>
    <t>金榜时代</t>
  </si>
  <si>
    <t>小程序</t>
  </si>
  <si>
    <t>分母搅屎棍
恒为c
导致极限退化</t>
  </si>
  <si>
    <t>多用户必分时
分时未必多用户</t>
  </si>
  <si>
    <t>新东方
10</t>
  </si>
  <si>
    <t>金榜时代
10</t>
  </si>
  <si>
    <t>小程序
10</t>
  </si>
  <si>
    <t>660视频
5</t>
  </si>
  <si>
    <t>嵌套变量的
最值问题
夹逼套路</t>
  </si>
  <si>
    <t>二元函数极限
的套路
极坐标
夹逼
可微判定式
的理解记忆</t>
  </si>
  <si>
    <t>中断响应的条件
中断的类型
中断检测的时机</t>
  </si>
  <si>
    <t>单极限确定可微
重极限锁定变量</t>
  </si>
  <si>
    <t>分母震荡趋无穷
整体趋0有极限
绝对值不可导点</t>
  </si>
  <si>
    <t>中断IO
设备速度不能
快于中断
先汇编后链接</t>
  </si>
  <si>
    <t>新东方
2021
10</t>
  </si>
  <si>
    <t>新东方
2022
10</t>
  </si>
  <si>
    <t>408小程序
10
660视频
5</t>
  </si>
  <si>
    <t>新东方
2021</t>
  </si>
  <si>
    <t>新东方
2022</t>
  </si>
  <si>
    <t>660视频
408小程序</t>
  </si>
  <si>
    <t>对数不等式</t>
  </si>
  <si>
    <t>多元性质推导链
命令解释器
即系统命令接口
非抢占优先级
能优化响应时间</t>
  </si>
  <si>
    <t>新东方
2021
10题</t>
  </si>
  <si>
    <t>408+660</t>
  </si>
  <si>
    <t>二元函数极值点
也是剖面线的
极值点
反之不成立</t>
  </si>
  <si>
    <t>柯西中值定理</t>
  </si>
  <si>
    <t>基本不等式
用于区域上
多元极值</t>
  </si>
  <si>
    <t>计网计算题</t>
  </si>
  <si>
    <t>系统计算题</t>
  </si>
  <si>
    <t>数二真题
抽象函数性质
采集</t>
  </si>
  <si>
    <t>2021
至少10题</t>
  </si>
  <si>
    <t>数二选择
抽象函数
性质收集</t>
  </si>
  <si>
    <t>新东方2021
10题</t>
  </si>
  <si>
    <t>确认了
需要运算封闭
验证</t>
  </si>
  <si>
    <t>变限积分求导
有使用前提</t>
  </si>
  <si>
    <t>条件极值转
无条件极值</t>
  </si>
  <si>
    <t>数二选择
抽象函数
组合性质举例
（二元）</t>
  </si>
  <si>
    <t>特例大杀器
二元组合</t>
  </si>
  <si>
    <t>死锁检测
不需要全部资源
需求信息</t>
  </si>
  <si>
    <t>特例大杀器
三元组合</t>
  </si>
  <si>
    <t>660+408</t>
  </si>
  <si>
    <t>狄利克雷函数
是周期函数
周期是所有
有理数</t>
  </si>
  <si>
    <t>特例大杀器
一元运算</t>
  </si>
  <si>
    <t>换元注意
间断点
和区间压扁</t>
  </si>
  <si>
    <t>还缺单调性
和有界性</t>
  </si>
  <si>
    <t>IO密集优先</t>
  </si>
  <si>
    <t>特例大杀器
二元运算</t>
  </si>
  <si>
    <t>当前计划
做什么
核对后
去掉没的
未记起的
若未完成
仅补充到
明天计划</t>
  </si>
  <si>
    <t>估值不等式</t>
  </si>
  <si>
    <t>是否完成
计划
要么完成
要么遗忘
不用填其它的
鼓励集火完成</t>
  </si>
  <si>
    <t>遗忘</t>
  </si>
  <si>
    <t>明天打算
做什么
旧任务
优先完成
否则占用
计划槽位
鼓励不拖</t>
  </si>
  <si>
    <t>2021
4题</t>
  </si>
  <si>
    <t>2021
10题</t>
  </si>
  <si>
    <t>特例
大杀器
表格接口</t>
  </si>
  <si>
    <t>当前
本来计划
做什么
根据
上次报告
自动生成</t>
  </si>
  <si>
    <t>第一积分
中值定理</t>
  </si>
  <si>
    <t>DMA先发送
结束时
才中断</t>
  </si>
  <si>
    <t>特例
大杀器
性质检测
（中止）</t>
  </si>
  <si>
    <t>特例
大杀器</t>
  </si>
  <si>
    <t>摘帽法
和无穷小
运算</t>
  </si>
  <si>
    <t>一元可导
多元可导
一元
极限存在
可微</t>
  </si>
  <si>
    <t>管程wait
和
信号量P的
区别</t>
  </si>
  <si>
    <t>系统
计算题</t>
  </si>
  <si>
    <t>LRU换页
CSCAN调度</t>
  </si>
  <si>
    <t>页表
每个进程
独立</t>
  </si>
  <si>
    <t>网络
计算题</t>
  </si>
  <si>
    <t>向量组的
线性无关</t>
  </si>
  <si>
    <t>三种流控
发送窗口
的差异
IP分片</t>
  </si>
  <si>
    <t>LoRa
解矩阵幂</t>
  </si>
  <si>
    <t>2021
5题</t>
  </si>
  <si>
    <t>网络
计算题
5题</t>
  </si>
  <si>
    <t>系统
计算题
5题</t>
  </si>
  <si>
    <t>408+660
10+5</t>
  </si>
  <si>
    <t>计网</t>
  </si>
  <si>
    <t>AB=0
r(A)+r(B)
&lt;=n</t>
  </si>
  <si>
    <t>进程不是
完整的
程序</t>
  </si>
  <si>
    <t>660视频
10</t>
  </si>
  <si>
    <t>408小程序
10</t>
  </si>
  <si>
    <t>麻省理工
线性代数
5</t>
  </si>
  <si>
    <t>MIT</t>
  </si>
  <si>
    <t>SVD分解</t>
  </si>
  <si>
    <t>用Ax=0
证向量组
相关无关</t>
  </si>
  <si>
    <t>MIT
1集
（助眠）</t>
  </si>
  <si>
    <t>408
10题
（散步）</t>
  </si>
  <si>
    <t>660
5集
（散步）</t>
  </si>
  <si>
    <t>父进程
撤销
不影响
子进程</t>
  </si>
  <si>
    <t>系数阵
的秩
和解存在性</t>
  </si>
  <si>
    <t>图网络的
关联矩阵
零空间
维度</t>
  </si>
  <si>
    <t>2021
10</t>
  </si>
  <si>
    <t>2022
10</t>
  </si>
  <si>
    <t>最后一题
正定定义
自内积
非负性</t>
  </si>
  <si>
    <t>闭区间
连续
端点处
单侧连续</t>
  </si>
  <si>
    <t>确定院校
和导师</t>
  </si>
  <si>
    <t>2022
9</t>
  </si>
  <si>
    <t>五个专业
三个院校
十个导师</t>
  </si>
  <si>
    <t>被积函数
含有对数
尝试
倒代换</t>
  </si>
  <si>
    <t>p积分
审敛法
比较
审敛法</t>
  </si>
  <si>
    <t>旋转体
x轴
从a到b
联想
圆面积
pi*r²</t>
  </si>
  <si>
    <t>被积函数
保序
定积分
不能倒推</t>
  </si>
  <si>
    <t>2022
20</t>
  </si>
  <si>
    <t>矩阵和
的秩
小于
秩的和</t>
  </si>
  <si>
    <t>矩阵积
的秩
小于
最小
因矩阵
的秩</t>
  </si>
  <si>
    <t>满秩矩阵
乘
其他矩阵
不改变
其它矩阵
的秩</t>
  </si>
  <si>
    <t>行满秩的
系数阵
非齐次
方程组
必有解</t>
  </si>
  <si>
    <t>不同特征值
的特征向量
必线性无关</t>
  </si>
  <si>
    <t>实对称阵
不同特征值
的特征向量
必正交</t>
  </si>
  <si>
    <t>所有的
特征向量
均线性无关
则可
相似对角化</t>
  </si>
  <si>
    <t>每行和为k
则有对应
全1向量的
特征值k</t>
  </si>
  <si>
    <t>相似对角化
的过度阵P
由特征向量
构成
特征向量
顺序
决定
对角阵</t>
  </si>
  <si>
    <t>2022
13</t>
  </si>
  <si>
    <t>XDF讲义
17</t>
  </si>
  <si>
    <t>XDF讲义
20</t>
  </si>
  <si>
    <t>XDF讲义
10</t>
  </si>
  <si>
    <t>正定
顺序
主子式
均正</t>
  </si>
  <si>
    <t>可导点
极值
不能是
拐点</t>
  </si>
  <si>
    <t>XDF讲义
3</t>
  </si>
  <si>
    <t>旋转体
公式</t>
  </si>
  <si>
    <t>倒代换解
跷跷板</t>
  </si>
  <si>
    <t>定义法
证单调性</t>
  </si>
  <si>
    <t>极坐标
包围区域
面积计算</t>
  </si>
  <si>
    <t>按行展开
按行替换
克莱默
法则
矩阵乘以
自身伴随
得到行列式
乘以单位阵</t>
  </si>
  <si>
    <t>单位向量
自内积
为1
列向量乘
行向量
得到矩阵
秩1</t>
  </si>
  <si>
    <t>轮换对称
按对称映射
检验奇偶性</t>
  </si>
  <si>
    <t>分块矩阵
可以分块
进行乘法
但不能
分块求取
行列式</t>
  </si>
  <si>
    <t>特征值相同
矩阵
未必相似
甚至
未必等价</t>
  </si>
  <si>
    <t>列向量
与行向量
内积
秩
小于等于1</t>
  </si>
  <si>
    <t>伴随矩阵
是矩阵元素
代数余子式
的转置</t>
  </si>
  <si>
    <t>r(ATA)
=r(A)</t>
  </si>
  <si>
    <t>证明相似
对角标准型
相同
或者Jordan
标准型
相同</t>
  </si>
  <si>
    <t>已知特征值
求原矩阵
特征值构成
对角阵
特征向量
构成
过度矩阵P</t>
  </si>
  <si>
    <t>方程组和
方程同解
即联立后
新方程组
有解</t>
  </si>
  <si>
    <t>原矩阵的0
特征值
对应
伴随矩阵的
特征值为0</t>
  </si>
  <si>
    <t>伪微分方程
求函数
n阶导数</t>
  </si>
  <si>
    <t>小心不可逆
的坐标变换
天上不会
掉馅饼</t>
  </si>
  <si>
    <t>证实对称阵
相似
可分别
对角化
对角阵相同
相似传递</t>
  </si>
  <si>
    <t>660
5题</t>
  </si>
  <si>
    <t>基于
极限定义
的微分方程</t>
  </si>
  <si>
    <t>全微分
形式不变
的应用方式</t>
  </si>
  <si>
    <t>对称映射
与二重积分
化简</t>
  </si>
  <si>
    <t>保号性和
保序性
逆命题的
限制性结论</t>
  </si>
  <si>
    <t>洛必达
不能直接用
于数列极限</t>
  </si>
  <si>
    <t>一阶可导
则极值点
与拐点
二选一</t>
  </si>
  <si>
    <t>函数的
原函数
必定连续</t>
  </si>
  <si>
    <t>可积函数
的变限积分
必连续</t>
  </si>
  <si>
    <t>变限积分
的导数
其实是
被积函数
的极限</t>
  </si>
  <si>
    <t>周期性的
被积函数
积分区间
可以移动</t>
  </si>
  <si>
    <t>1/sin的
不定积分</t>
  </si>
  <si>
    <t>放缩法求
多元极限</t>
  </si>
  <si>
    <t>欧拉微分
方程
使用x=e^t
和dy/dt
进行求解</t>
  </si>
  <si>
    <t>二阶混合
偏导连续
则混合偏导
相等</t>
  </si>
  <si>
    <t>极坐标法
求解极限
需要确定
θ部分有界</t>
  </si>
  <si>
    <t>一阶偏导
可以推
可微
反过来不行</t>
  </si>
  <si>
    <t>利用
分部积分
求解
二重积分</t>
  </si>
  <si>
    <t>摘帽法
从极限估计
抽象函数</t>
  </si>
  <si>
    <t>极限存在
提取不等式</t>
  </si>
  <si>
    <t>定义法
证明一点
非极值
从x和y
两个方向</t>
  </si>
  <si>
    <t>只有两个
对角阵相乘
才能
互相交换</t>
  </si>
  <si>
    <t>伴随矩阵
不仅等于
|A|*A逆
原矩阵
还等于
|A|*A伴逆</t>
  </si>
  <si>
    <t>正定二次型
的主对角元
全部为正</t>
  </si>
  <si>
    <t>坐标变换的
过度矩阵
是右乘原基
而非左乘</t>
  </si>
  <si>
    <t>2019
数二
真题</t>
  </si>
  <si>
    <t>易错题4</t>
  </si>
  <si>
    <t>易错题1</t>
  </si>
  <si>
    <t>易错题3</t>
  </si>
  <si>
    <t>变限积分
要把两个
变量分清楚</t>
  </si>
  <si>
    <t>组合积分
没有奏效</t>
  </si>
  <si>
    <t>tan(x/2)
万能代换</t>
  </si>
  <si>
    <t>对称区间
非奇偶性
解法</t>
  </si>
  <si>
    <t>f(sinx)
和
f(cosx)
在2kpi到
2kpi+pi/2
上积分的
特性</t>
  </si>
  <si>
    <t>倒代换
巧解
跷跷板</t>
  </si>
  <si>
    <t>对称区间
的奇偶性
拆分求解</t>
  </si>
  <si>
    <t>黑塞行列式
求多元极值</t>
  </si>
  <si>
    <t>边界最值
和区域驻点</t>
  </si>
  <si>
    <t>定义法
多路径判定
非极值
适用于
黑塞行列式
等于0</t>
  </si>
  <si>
    <t>定积分之积
看做重积分</t>
  </si>
  <si>
    <t>正交阵
特征值只有
1和-1</t>
  </si>
  <si>
    <t>正交阵
特征值
1或-1</t>
  </si>
  <si>
    <t>正定矩阵
顺序主子式
均正</t>
  </si>
  <si>
    <t>几何重数
判定
可对角化</t>
  </si>
  <si>
    <t>卷子一张</t>
  </si>
  <si>
    <t>大量使用
泰勒展开</t>
  </si>
  <si>
    <t>大量使用
链式求导
和变限积分
求导</t>
  </si>
  <si>
    <t>使用换元
配合
变限积分
求导</t>
  </si>
  <si>
    <t>极限分式
确定
连续函数
在某点的
函数值</t>
  </si>
  <si>
    <t>660视频
*5</t>
  </si>
  <si>
    <t>真题</t>
  </si>
  <si>
    <t>660视频
*10</t>
  </si>
  <si>
    <t>660视频
*2</t>
  </si>
  <si>
    <t>660视频
*7</t>
  </si>
  <si>
    <t>660视频
*4</t>
  </si>
  <si>
    <t>660视频
*9</t>
  </si>
  <si>
    <t>专业真题
不计时
卷子一份</t>
  </si>
  <si>
    <t>王道视频
*6</t>
  </si>
  <si>
    <t>王道视频
*5</t>
  </si>
  <si>
    <t>森林转
二叉树</t>
  </si>
  <si>
    <t>数据通路
包含ALU</t>
  </si>
  <si>
    <t>中断控制器
属于IO接口
而磁盘
驱动器
则不是</t>
  </si>
  <si>
    <t>大根堆建堆
与调整</t>
  </si>
  <si>
    <t>拓扑排序
的定义
遵循
有向顺序
且经过
每个节点</t>
  </si>
  <si>
    <t>ipv6是
128位
基本首部
长度固定</t>
  </si>
  <si>
    <t>希尔排序
即
带有间隔的
插入排序</t>
  </si>
  <si>
    <t>不稳定排序
快速排序
堆排序
基于交换的
选择排序</t>
  </si>
  <si>
    <t>稳定排序
冒泡排序</t>
  </si>
  <si>
    <t>DMA和通道
都能
直接访存
通道额外
带有指令集</t>
  </si>
  <si>
    <t>位示图
占用空间
固定</t>
  </si>
  <si>
    <t>中断靠软件
保存GPRs
和栈指针</t>
  </si>
  <si>
    <t>快速排序
分组间有序</t>
  </si>
  <si>
    <t>中序表达式
低优先级
靠近根节点</t>
  </si>
  <si>
    <t>MMU转换
逻辑地址
不涉及
Cache缺失
检查</t>
  </si>
  <si>
    <t>7种排序
的稳定性
慢：2稳1不
快：2不1稳
基：稳</t>
  </si>
  <si>
    <t>客户端
通过广播
请求DHCP</t>
  </si>
  <si>
    <t>邮件收发
收：POP3
发：SMTP</t>
  </si>
  <si>
    <t>TCP第三次
捎带确认</t>
  </si>
  <si>
    <t>同进程的
各线程
不能互相
访问各自的
线程栈</t>
  </si>
  <si>
    <t>2022真题
选择题</t>
  </si>
  <si>
    <t>2021真题
选择题
难题</t>
  </si>
  <si>
    <t>2022真题
选择题
难题</t>
  </si>
  <si>
    <t>2023真题
选择题
难题</t>
  </si>
  <si>
    <t>插入排序
的一些好处
稳定
基本有序时
更快
元素少更快
空间O(1)</t>
  </si>
  <si>
    <t>AOE网的
时间余量
计算流程
最早最迟
最迟减最早
再减去耗时</t>
  </si>
  <si>
    <t>syscall
切换内核态
是CPU执行
不是OS</t>
  </si>
  <si>
    <t>预处理
编译
汇编
链接</t>
  </si>
  <si>
    <t>败者树
根节点
记录选中
入序的
归并段编号</t>
  </si>
  <si>
    <t>2024真题
选择题
难题</t>
  </si>
  <si>
    <t>缓存</t>
  </si>
  <si>
    <t>AOE</t>
  </si>
  <si>
    <t>B树</t>
  </si>
  <si>
    <t>Dijkstra</t>
  </si>
  <si>
    <t>Dijkstra
和
贝尔曼福特
与RIP协议</t>
  </si>
  <si>
    <t>B树
非叶节点
删除的修正</t>
  </si>
  <si>
    <t>拥塞控制
的四个
策略</t>
  </si>
  <si>
    <t>传输层
应用数据
的传输效率</t>
  </si>
  <si>
    <t>TCP序号
发送的
第一个字节
在正文的
序号</t>
  </si>
  <si>
    <t>2025真题
选择题
难题</t>
  </si>
  <si>
    <t>802.11
NAV的计算</t>
  </si>
  <si>
    <t>ARQ窗口
的计算</t>
  </si>
  <si>
    <t>IEEE754
浮点数
各位数</t>
  </si>
  <si>
    <t>2021真题
大题</t>
  </si>
  <si>
    <t>2022真题
大题</t>
  </si>
  <si>
    <t>2023真题
大题</t>
  </si>
  <si>
    <t>2024真题
大题</t>
  </si>
  <si>
    <t>2025真题
大题</t>
  </si>
  <si>
    <t>王道视频
*10</t>
  </si>
  <si>
    <t>王道视频
*9</t>
  </si>
  <si>
    <t>王道视频
*4</t>
  </si>
  <si>
    <t>政治
历年真题2025</t>
  </si>
  <si>
    <t>政治
历年真题2024</t>
  </si>
  <si>
    <t>政治
历年真题2023</t>
  </si>
  <si>
    <t>政治
历年真题2022</t>
  </si>
  <si>
    <t>剩余价值
理论</t>
  </si>
  <si>
    <t>2026冲刺
徐涛</t>
  </si>
  <si>
    <t>2026冲刺
肖八</t>
  </si>
  <si>
    <t>数学
微分方程卷</t>
  </si>
  <si>
    <t>数学
二重积分卷</t>
  </si>
  <si>
    <t>计组计算
10题</t>
  </si>
  <si>
    <t>系统计算
10题</t>
  </si>
  <si>
    <t>数学
线性方程卷</t>
  </si>
  <si>
    <t>数学
矩阵卷</t>
  </si>
  <si>
    <t>计组计算
5题</t>
  </si>
  <si>
    <t>数学
向量卷</t>
  </si>
  <si>
    <t>数学
特征值卷</t>
  </si>
  <si>
    <t>网络计算
5题</t>
  </si>
  <si>
    <t>肖秀荣
时政</t>
  </si>
  <si>
    <t>系统计算
5题</t>
  </si>
  <si>
    <t>数学
二次型</t>
  </si>
  <si>
    <t>数学
导数和微分</t>
  </si>
  <si>
    <t>数学
中值定理</t>
  </si>
  <si>
    <t>笔记复习
至少10个</t>
  </si>
  <si>
    <t>笔记复习
至少10分</t>
  </si>
  <si>
    <t>KMP算法</t>
  </si>
  <si>
    <t>660视频
10集</t>
  </si>
  <si>
    <t>肖秀荣
时政
国外</t>
  </si>
  <si>
    <t>肖秀荣
时政
国内</t>
  </si>
  <si>
    <t>660视频
20集</t>
  </si>
  <si>
    <t>Prim
Kruskal
Floyd</t>
  </si>
  <si>
    <t>进程前趋图
死锁检测</t>
  </si>
  <si>
    <t>并查集
线索二叉树</t>
  </si>
  <si>
    <t>肖秀荣
时政
国外
*2</t>
  </si>
  <si>
    <t>数据结构
计算题
生成器
1-4</t>
  </si>
  <si>
    <t>数据结构
计算题
生成器
5-8</t>
  </si>
  <si>
    <t>数据结构
计算题
生成器
9-12</t>
  </si>
  <si>
    <t>肖八
*2</t>
  </si>
  <si>
    <t>660视频
18集</t>
  </si>
  <si>
    <t>数学刷题器
线代基本</t>
  </si>
  <si>
    <t>肖八</t>
  </si>
  <si>
    <t>笔记保温
*40</t>
  </si>
  <si>
    <t>系统计算
*10
数据计算
*10
计组计算
*10
网络计算
*10</t>
  </si>
  <si>
    <t>数学刷题器
常线微分</t>
  </si>
  <si>
    <t>数学刷题器
线代常用</t>
  </si>
  <si>
    <t>政治大题
解题方法</t>
  </si>
  <si>
    <t>系统计算
*10
数据计算
*9</t>
  </si>
  <si>
    <t>政治
大题总结
10题</t>
  </si>
  <si>
    <t>线代基本
*10
线代常用
*10
微分方程
*10</t>
  </si>
  <si>
    <t>二叉树
的公式
h
~
(2^h)-1
以及
n0=n2+1</t>
  </si>
  <si>
    <t>KMP算法
next[i]
看0~i-1
子串的
最长相同前后缀
长度</t>
  </si>
  <si>
    <t>中共抗日
四大作用
率先抗日
统一战线
建立
根据地
正确方向
(持久战)</t>
  </si>
  <si>
    <t>ack_seq
指期望
下次收到
第一个
字节序</t>
  </si>
  <si>
    <t>ip数据报
数据部分
按8字节
为单位
分片
最后分片
无需8倍</t>
  </si>
  <si>
    <t>笔记保温
*34</t>
  </si>
  <si>
    <t>政治
大题总结
5题</t>
  </si>
  <si>
    <t>二进制
指数退避
(2^k)-1
k=
min(r,10)</t>
  </si>
  <si>
    <t>笔记保温
*20</t>
  </si>
  <si>
    <t>专业计算
10</t>
  </si>
  <si>
    <t>数学计算
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</si>
</sst>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2" Type="http://schemas.openxmlformats.org/officeDocument/2006/relationships/styles" Target="styles.xml"/><Relationship Id="rId141" Type="http://schemas.openxmlformats.org/officeDocument/2006/relationships/sheetMetadata" Target="metadata.xml"/><Relationship Id="rId14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139" Type="http://schemas.openxmlformats.org/officeDocument/2006/relationships/theme" Target="theme/theme1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6" workbookViewId="0">
      <selection activeCell="H3" sqref="H3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0</v>
      </c>
      <c r="B1" s="5" t="s">
        <v>1</v>
      </c>
      <c r="C1" s="5"/>
      <c r="D1" s="5"/>
      <c r="E1" s="5"/>
      <c r="F1" s="5"/>
      <c r="G1" s="4" t="s">
        <v>2</v>
      </c>
    </row>
    <row r="2" customFormat="1" ht="15.15" spans="1:7">
      <c r="A2" s="6">
        <f t="shared" ref="A2:A6" si="0">SUM(B2:F2)</f>
        <v>0.25</v>
      </c>
      <c r="B2" s="7">
        <f t="shared" ref="B2:F2" si="1">IF(COUNTA(B1)&gt;0,0.25,0)</f>
        <v>0.25</v>
      </c>
      <c r="C2" s="7">
        <f t="shared" si="1"/>
        <v>0</v>
      </c>
      <c r="D2" s="7">
        <f t="shared" si="1"/>
        <v>0</v>
      </c>
      <c r="E2" s="7">
        <f t="shared" si="1"/>
        <v>0</v>
      </c>
      <c r="F2" s="7">
        <f t="shared" si="1"/>
        <v>0</v>
      </c>
      <c r="G2" s="8" t="str">
        <f ca="1">INDEX(_wpsfn.SHEETSNAME(),MAX(1,MATCH(G4,_wpsfn.SHEETSNAME(),0)-1))</f>
        <v>20250519</v>
      </c>
    </row>
    <row r="3" s="1" customFormat="1" ht="150" customHeight="1" spans="1:7">
      <c r="A3" s="4" t="s">
        <v>3</v>
      </c>
      <c r="B3" s="5" t="s">
        <v>4</v>
      </c>
      <c r="C3" s="5" t="s">
        <v>5</v>
      </c>
      <c r="D3" s="5" t="s">
        <v>6</v>
      </c>
      <c r="F3" s="5"/>
      <c r="G3" s="4" t="s">
        <v>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0.25</v>
      </c>
      <c r="D4" s="7">
        <f t="shared" si="2"/>
        <v>0.25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20250519</v>
      </c>
    </row>
    <row r="5" s="1" customFormat="1" ht="150" customHeight="1" spans="1:7">
      <c r="A5" s="4" t="s">
        <v>8</v>
      </c>
      <c r="B5" s="5" t="s">
        <v>9</v>
      </c>
      <c r="C5" s="5"/>
      <c r="D5" s="5"/>
      <c r="E5" s="1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IF(COUNTA(B1)&gt;0,IF(COUNTA(B3)&gt;0,IF(B5="完成",0.5,0.25),0),0)</f>
        <v>0.5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12</v>
      </c>
      <c r="C7" s="1" t="s">
        <v>13</v>
      </c>
      <c r="D7" s="5" t="s">
        <v>14</v>
      </c>
      <c r="E7" s="1"/>
      <c r="F7" s="5"/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0.25</v>
      </c>
      <c r="E8" s="7">
        <f t="shared" si="4"/>
        <v>0</v>
      </c>
      <c r="F8" s="7">
        <f t="shared" si="4"/>
        <v>0</v>
      </c>
      <c r="G8" s="10"/>
    </row>
    <row r="9" s="1" customFormat="1" ht="150" customHeight="1" spans="1:7">
      <c r="A9" s="4" t="s">
        <v>15</v>
      </c>
      <c r="B9" s="11" t="str" cm="1">
        <f ca="1" t="array" ref="B9">IF(COUNTA(INDIRECT(_xlfn.CONCAT($G2,"!",CHAR(64+COLUMN()),7)))&gt;0,INDIRECT(_xlfn.CONCAT($G2,"!",CHAR(64+COLUMN()),7)),"")</f>
        <v>做完新东方习题
二重积分内容</v>
      </c>
      <c r="C9" s="11" t="str" cm="1">
        <f ca="1" t="array" ref="C9">IF(COUNTA(INDIRECT(_xlfn.CONCAT($G2,"!",CHAR(64+COLUMN()),7)))&gt;0,INDIRECT(_xlfn.CONCAT($G2,"!",CHAR(64+COLUMN()),7)),"")</f>
        <v>使用
NoteReviewer
进行复习</v>
      </c>
      <c r="D9" s="11" t="str" cm="1">
        <f ca="1" t="array" ref="D9">IF(COUNTA(INDIRECT(_xlfn.CONCAT($G2,"!",CHAR(64+COLUMN()),7)))&gt;0,INDIRECT(_xlfn.CONCAT($G2,"!",CHAR(64+COLUMN()),7)),"")</f>
        <v>把660视频的
190看完</v>
      </c>
      <c r="E9" s="11" t="str" cm="1">
        <f ca="1" t="array" ref="E9">IF(COUNTA(INDIRECT(_xlfn.CONCAT($G2,"!",CHAR(64+COLUMN()),7)))&gt;0,INDIRECT(_xlfn.CONCAT($G2,"!",CHAR(64+COLUMN()),7)),"")</f>
        <v/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2.5</v>
      </c>
      <c r="C10" s="12" t="s">
        <v>17</v>
      </c>
      <c r="D10" s="13">
        <v>5.75</v>
      </c>
      <c r="E10" s="12" t="s">
        <v>18</v>
      </c>
      <c r="F10" s="13">
        <f>B10+D10</f>
        <v>8.25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F9" sqref="F9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0</v>
      </c>
      <c r="B1" s="5" t="s">
        <v>19</v>
      </c>
      <c r="C1" s="5" t="s">
        <v>20</v>
      </c>
      <c r="D1" s="5" t="s">
        <v>21</v>
      </c>
      <c r="E1" s="5"/>
      <c r="F1" s="5"/>
      <c r="G1" s="4" t="s">
        <v>2</v>
      </c>
    </row>
    <row r="2" customFormat="1" ht="15.15" spans="1:7">
      <c r="A2" s="6">
        <f t="shared" ref="A2:A6" si="0">SUM(B2:F2)</f>
        <v>0.75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</v>
      </c>
      <c r="F2" s="7">
        <f t="shared" si="1"/>
        <v>0</v>
      </c>
      <c r="G2" s="8" t="str">
        <f ca="1">INDEX(_wpsfn.SHEETSNAME(),MAX(1,MATCH(G4,_wpsfn.SHEETSNAME(),0)-1))</f>
        <v>20250519</v>
      </c>
    </row>
    <row r="3" s="1" customFormat="1" ht="150" customHeight="1" spans="1:7">
      <c r="A3" s="4" t="s">
        <v>3</v>
      </c>
      <c r="B3" s="5" t="s">
        <v>22</v>
      </c>
      <c r="C3" s="5" t="s">
        <v>23</v>
      </c>
      <c r="D3" s="5"/>
      <c r="F3" s="5"/>
      <c r="G3" s="4" t="s">
        <v>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20250520</v>
      </c>
    </row>
    <row r="5" s="1" customFormat="1" ht="150" customHeight="1" spans="1:7">
      <c r="A5" s="4" t="s">
        <v>8</v>
      </c>
      <c r="B5" s="5" t="s">
        <v>9</v>
      </c>
      <c r="C5" s="5" t="s">
        <v>9</v>
      </c>
      <c r="D5" s="5"/>
      <c r="E5" s="1"/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IF(COUNTA(B1)&gt;0,IF(COUNTA(B3)&gt;0,IF(B5="完成",0.5,0.25),0),0)</f>
        <v>0.5</v>
      </c>
      <c r="C6" s="7">
        <f t="shared" si="3"/>
        <v>0.5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24</v>
      </c>
      <c r="C7" s="5" t="s">
        <v>25</v>
      </c>
      <c r="D7" s="5" t="s">
        <v>21</v>
      </c>
      <c r="E7" s="5"/>
      <c r="F7" s="5"/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50" customHeight="1" spans="1:7">
      <c r="A9" s="4" t="s">
        <v>15</v>
      </c>
      <c r="B9" s="11" t="str" cm="1">
        <f ca="1" t="array" ref="B9">IF(COUNTA(INDIRECT(_xlfn.CONCAT($G2,"!",CHAR(64+COLUMN()),7)))&gt;0,INDIRECT(_xlfn.CONCAT($G2,"!",CHAR(64+COLUMN()),7)),"")</f>
        <v>做完新东方习题
二重积分内容</v>
      </c>
      <c r="C9" s="11" t="str" cm="1">
        <f ca="1" t="array" ref="C9">IF(COUNTA(INDIRECT(_xlfn.CONCAT($G2,"!",CHAR(64+COLUMN()),7)))&gt;0,INDIRECT(_xlfn.CONCAT($G2,"!",CHAR(64+COLUMN()),7)),"")</f>
        <v>使用
NoteReviewer
进行复习</v>
      </c>
      <c r="D9" s="11" t="str" cm="1">
        <f ca="1" t="array" ref="D9">IF(COUNTA(INDIRECT(_xlfn.CONCAT($G2,"!",CHAR(64+COLUMN()),7)))&gt;0,INDIRECT(_xlfn.CONCAT($G2,"!",CHAR(64+COLUMN()),7)),"")</f>
        <v>把660视频的
190看完</v>
      </c>
      <c r="E9" s="11" t="str" cm="1">
        <f ca="1" t="array" ref="E9">IF(COUNTA(INDIRECT(_xlfn.CONCAT($G2,"!",CHAR(64+COLUMN()),7)))&gt;0,INDIRECT(_xlfn.CONCAT($G2,"!",CHAR(64+COLUMN()),7)),"")</f>
        <v/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3.75</v>
      </c>
      <c r="E10" s="12" t="s">
        <v>18</v>
      </c>
      <c r="F10" s="13">
        <f>B10+D10</f>
        <v>7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7" workbookViewId="0">
      <selection activeCell="E7" sqref="E7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0</v>
      </c>
      <c r="B1" s="5" t="s">
        <v>26</v>
      </c>
      <c r="C1" s="5" t="s">
        <v>27</v>
      </c>
      <c r="D1" s="5" t="s">
        <v>21</v>
      </c>
      <c r="E1" s="5"/>
      <c r="F1" s="5"/>
      <c r="G1" s="4" t="s">
        <v>2</v>
      </c>
    </row>
    <row r="2" customFormat="1" ht="15.15" spans="1:7">
      <c r="A2" s="6">
        <f t="shared" ref="A2:A6" si="0">SUM(B2:F2)</f>
        <v>0.75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</v>
      </c>
      <c r="F2" s="7">
        <f t="shared" si="1"/>
        <v>0</v>
      </c>
      <c r="G2" s="8" t="str">
        <f ca="1">INDEX(_wpsfn.SHEETSNAME(),MAX(1,MATCH(G4,_wpsfn.SHEETSNAME(),0)-1))</f>
        <v>20250520</v>
      </c>
    </row>
    <row r="3" s="1" customFormat="1" ht="150" customHeight="1" spans="1:7">
      <c r="A3" s="4" t="s">
        <v>3</v>
      </c>
      <c r="B3" s="5" t="s">
        <v>28</v>
      </c>
      <c r="C3" s="5" t="s">
        <v>29</v>
      </c>
      <c r="D3" s="5" t="s">
        <v>30</v>
      </c>
      <c r="E3" s="1" t="s">
        <v>31</v>
      </c>
      <c r="F3" s="5"/>
      <c r="G3" s="4" t="s">
        <v>7</v>
      </c>
    </row>
    <row r="4" customFormat="1" ht="15.15" spans="1:7">
      <c r="A4" s="6">
        <f t="shared" si="0"/>
        <v>1.75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0.25</v>
      </c>
      <c r="F4" s="7">
        <f t="shared" si="2"/>
        <v>0</v>
      </c>
      <c r="G4" s="8" t="str" cm="1">
        <f ca="1" t="array" ref="G4">_wpsfn.SHEETSNAME(A1)</f>
        <v>20250521</v>
      </c>
    </row>
    <row r="5" s="1" customFormat="1" ht="150" customHeight="1" spans="1:7">
      <c r="A5" s="4" t="s">
        <v>8</v>
      </c>
      <c r="B5" s="5" t="s">
        <v>9</v>
      </c>
      <c r="C5" s="5" t="s">
        <v>9</v>
      </c>
      <c r="D5" s="5" t="s">
        <v>9</v>
      </c>
      <c r="E5" s="1"/>
      <c r="F5" s="5"/>
      <c r="G5" s="9" t="s">
        <v>10</v>
      </c>
    </row>
    <row r="6" customFormat="1" ht="15.15" spans="1:7">
      <c r="A6" s="6">
        <f t="shared" si="0"/>
        <v>1.5</v>
      </c>
      <c r="B6" s="7">
        <f t="shared" ref="B6:F6" si="3">IF(COUNTA(B1)&gt;0,IF(COUNTA(B3)&gt;0,IF(B5="完成",0.5,0.25),0),0)</f>
        <v>0.5</v>
      </c>
      <c r="C6" s="7">
        <f t="shared" si="3"/>
        <v>0.5</v>
      </c>
      <c r="D6" s="7">
        <f t="shared" si="3"/>
        <v>0.5</v>
      </c>
      <c r="E6" s="7">
        <f t="shared" si="3"/>
        <v>0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32</v>
      </c>
      <c r="C7" s="5" t="s">
        <v>33</v>
      </c>
      <c r="D7" s="5" t="s">
        <v>34</v>
      </c>
      <c r="E7" s="5"/>
      <c r="F7" s="5"/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0.25</v>
      </c>
      <c r="E8" s="7">
        <f t="shared" si="4"/>
        <v>0</v>
      </c>
      <c r="F8" s="7">
        <f t="shared" si="4"/>
        <v>0</v>
      </c>
      <c r="G8" s="10"/>
    </row>
    <row r="9" s="1" customFormat="1" ht="150" customHeight="1" spans="1:7">
      <c r="A9" s="4" t="s">
        <v>15</v>
      </c>
      <c r="B9" s="11" t="str" cm="1">
        <f ca="1" t="array" ref="B9">IF(COUNTA(INDIRECT(_xlfn.CONCAT($G2,"!",CHAR(64+COLUMN()),7)))&gt;0,INDIRECT(_xlfn.CONCAT($G2,"!",CHAR(64+COLUMN()),7)),"")</f>
        <v>做真题
暂时不进行
计分和计时</v>
      </c>
      <c r="C9" s="11" t="str" cm="1">
        <f ca="1" t="array" ref="C9">IF(COUNTA(INDIRECT(_xlfn.CONCAT($G2,"!",CHAR(64+COLUMN()),7)))&gt;0,INDIRECT(_xlfn.CONCAT($G2,"!",CHAR(64+COLUMN()),7)),"")</f>
        <v>660已对题重做
计算正确率
记录作答时间</v>
      </c>
      <c r="D9" s="11" t="str" cm="1">
        <f ca="1" t="array" ref="D9">IF(COUNTA(INDIRECT(_xlfn.CONCAT($G2,"!",CHAR(64+COLUMN()),7)))&gt;0,INDIRECT(_xlfn.CONCAT($G2,"!",CHAR(64+COLUMN()),7)),"")</f>
        <v>NoteReviewer</v>
      </c>
      <c r="E9" s="11" t="str" cm="1">
        <f ca="1" t="array" ref="E9">IF(COUNTA(INDIRECT(_xlfn.CONCAT($G2,"!",CHAR(64+COLUMN()),7)))&gt;0,INDIRECT(_xlfn.CONCAT($G2,"!",CHAR(64+COLUMN()),7)),"")</f>
        <v/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4.75</v>
      </c>
      <c r="C10" s="12" t="s">
        <v>17</v>
      </c>
      <c r="D10" s="13">
        <v>2.67</v>
      </c>
      <c r="E10" s="12" t="s">
        <v>18</v>
      </c>
      <c r="F10" s="13">
        <f>B10+D10</f>
        <v>7.42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I5" sqref="I5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0</v>
      </c>
      <c r="B1" s="5" t="s">
        <v>35</v>
      </c>
      <c r="C1" s="5" t="s">
        <v>36</v>
      </c>
      <c r="D1" s="5" t="s">
        <v>37</v>
      </c>
      <c r="E1" s="5"/>
      <c r="F1" s="5"/>
      <c r="G1" s="4" t="s">
        <v>2</v>
      </c>
    </row>
    <row r="2" customFormat="1" ht="15.15" spans="1:7">
      <c r="A2" s="6">
        <f t="shared" ref="A2:A6" si="0">SUM(B2:F2)</f>
        <v>0.75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</v>
      </c>
      <c r="F2" s="7">
        <f t="shared" si="1"/>
        <v>0</v>
      </c>
      <c r="G2" s="8" t="str">
        <f ca="1">INDEX(_wpsfn.SHEETSNAME(),MAX(1,MATCH(G4,_wpsfn.SHEETSNAME(),0)-1))</f>
        <v>20250521</v>
      </c>
    </row>
    <row r="3" s="1" customFormat="1" ht="150" customHeight="1" spans="1:7">
      <c r="A3" s="4" t="s">
        <v>3</v>
      </c>
      <c r="B3" s="5" t="s">
        <v>38</v>
      </c>
      <c r="C3" s="5" t="s">
        <v>39</v>
      </c>
      <c r="D3" s="5" t="s">
        <v>40</v>
      </c>
      <c r="E3" s="1"/>
      <c r="F3" s="5"/>
      <c r="G3" s="4" t="s">
        <v>7</v>
      </c>
    </row>
    <row r="4" customFormat="1" ht="15.15" spans="1:7">
      <c r="A4" s="6">
        <f t="shared" si="0"/>
        <v>1.5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20250522</v>
      </c>
    </row>
    <row r="5" s="1" customFormat="1" ht="150" customHeight="1" spans="1:7">
      <c r="A5" s="4" t="s">
        <v>8</v>
      </c>
      <c r="B5" s="5" t="s">
        <v>9</v>
      </c>
      <c r="C5" s="5" t="s">
        <v>9</v>
      </c>
      <c r="D5" s="5" t="s">
        <v>9</v>
      </c>
      <c r="F5" s="5"/>
      <c r="G5" s="9" t="s">
        <v>10</v>
      </c>
    </row>
    <row r="6" customFormat="1" ht="15.15" spans="1:7">
      <c r="A6" s="6">
        <f t="shared" si="0"/>
        <v>1.5</v>
      </c>
      <c r="B6" s="7">
        <f t="shared" ref="B6:F6" si="3">IF(COUNTA(B1)&gt;0,IF(COUNTA(B3)&gt;0,IF(B5="完成",0.5,0.25),0),0)</f>
        <v>0.5</v>
      </c>
      <c r="C6" s="7">
        <f t="shared" si="3"/>
        <v>0.5</v>
      </c>
      <c r="D6" s="7">
        <f t="shared" si="3"/>
        <v>0.5</v>
      </c>
      <c r="E6" s="7">
        <f t="shared" si="3"/>
        <v>0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41</v>
      </c>
      <c r="C7" s="5" t="s">
        <v>42</v>
      </c>
      <c r="D7" s="5"/>
      <c r="E7" s="5"/>
      <c r="F7" s="5"/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50" customHeight="1" spans="1:7">
      <c r="A9" s="4" t="s">
        <v>15</v>
      </c>
      <c r="B9" s="11" t="str" cm="1">
        <f ca="1" t="array" ref="B9">IF(COUNTA(INDIRECT(_xlfn.CONCAT($G2,"!",CHAR(64+COLUMN()),7)))&gt;0,INDIRECT(_xlfn.CONCAT($G2,"!",CHAR(64+COLUMN()),7)),"")</f>
        <v>真题解答题
不计时
不计正确率
至少3题</v>
      </c>
      <c r="C9" s="11" t="str" cm="1">
        <f ca="1" t="array" ref="C9">IF(COUNTA(INDIRECT(_xlfn.CONCAT($G2,"!",CHAR(64+COLUMN()),7)))&gt;0,INDIRECT(_xlfn.CONCAT($G2,"!",CHAR(64+COLUMN()),7)),"")</f>
        <v>真题不会做的
生成笔记
有就行</v>
      </c>
      <c r="D9" s="11" t="str" cm="1">
        <f ca="1" t="array" ref="D9">IF(COUNTA(INDIRECT(_xlfn.CONCAT($G2,"!",CHAR(64+COLUMN()),7)))&gt;0,INDIRECT(_xlfn.CONCAT($G2,"!",CHAR(64+COLUMN()),7)),"")</f>
        <v>660计时
计正确
至少10题</v>
      </c>
      <c r="E9" s="11" t="str" cm="1">
        <f ca="1" t="array" ref="E9">IF(COUNTA(INDIRECT(_xlfn.CONCAT($G2,"!",CHAR(64+COLUMN()),7)))&gt;0,INDIRECT(_xlfn.CONCAT($G2,"!",CHAR(64+COLUMN()),7)),"")</f>
        <v/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4.25</v>
      </c>
      <c r="C10" s="12" t="s">
        <v>17</v>
      </c>
      <c r="D10" s="13">
        <v>5.5</v>
      </c>
      <c r="E10" s="12" t="s">
        <v>18</v>
      </c>
      <c r="F10" s="13">
        <f>B10+D10</f>
        <v>9.75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workbookViewId="0">
      <selection activeCell="E8" sqref="E8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0</v>
      </c>
      <c r="B1" s="5" t="s">
        <v>43</v>
      </c>
      <c r="C1" s="5" t="s">
        <v>44</v>
      </c>
      <c r="D1" s="5"/>
      <c r="E1" s="5"/>
      <c r="F1" s="5"/>
      <c r="G1" s="4" t="s">
        <v>2</v>
      </c>
    </row>
    <row r="2" customFormat="1" ht="15.15" spans="1:7">
      <c r="A2" s="6">
        <f t="shared" ref="A2:A6" si="0">SUM(B2:F2)</f>
        <v>0.5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</v>
      </c>
      <c r="E2" s="7">
        <f t="shared" si="1"/>
        <v>0</v>
      </c>
      <c r="F2" s="7">
        <f t="shared" si="1"/>
        <v>0</v>
      </c>
      <c r="G2" s="8" t="str">
        <f ca="1">INDEX(_wpsfn.SHEETSNAME(),MAX(1,MATCH(G4,_wpsfn.SHEETSNAME(),0)-1))</f>
        <v>20250522</v>
      </c>
    </row>
    <row r="3" s="1" customFormat="1" ht="150" customHeight="1" spans="1:7">
      <c r="A3" s="4" t="s">
        <v>3</v>
      </c>
      <c r="B3" s="5" t="s">
        <v>45</v>
      </c>
      <c r="C3" s="5"/>
      <c r="D3" s="5"/>
      <c r="F3" s="5"/>
      <c r="G3" s="4" t="s">
        <v>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20250523</v>
      </c>
    </row>
    <row r="5" s="1" customFormat="1" ht="150" customHeight="1" spans="1:7">
      <c r="A5" s="4" t="s">
        <v>8</v>
      </c>
      <c r="B5" s="5" t="s">
        <v>9</v>
      </c>
      <c r="C5" s="5"/>
      <c r="D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IF(COUNTA(B1)&gt;0,IF(COUNTA(B3)&gt;0,IF(B5="完成",0.5,0.25),0),0)</f>
        <v>0.5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46</v>
      </c>
      <c r="C7" s="5" t="s">
        <v>44</v>
      </c>
      <c r="D7" s="5" t="s">
        <v>47</v>
      </c>
      <c r="E7" s="5" t="s">
        <v>48</v>
      </c>
      <c r="F7" s="5"/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IF(COUNTA(B7)&gt;0,IF(COUNTA(B1)&gt;0,IF(B5="完成",0.25,0),0.25),0)</f>
        <v>0.25</v>
      </c>
      <c r="C8" s="7">
        <f t="shared" si="4"/>
        <v>0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50" customHeight="1" spans="1:7">
      <c r="A9" s="4" t="s">
        <v>15</v>
      </c>
      <c r="B9" s="11" t="str" cm="1">
        <f ca="1" t="array" ref="B9">IF(COUNTA(INDIRECT(_xlfn.CONCAT($G2,"!",CHAR(64+COLUMN()),7)))&gt;0,INDIRECT(_xlfn.CONCAT($G2,"!",CHAR(64+COLUMN()),7)),"")</f>
        <v>660按5分钟
计时刷题
牺牲正确率
提高总刷题量
至少刷20题</v>
      </c>
      <c r="C9" s="11" t="str" cm="1">
        <f ca="1" t="array" ref="C9">IF(COUNTA(INDIRECT(_xlfn.CONCAT($G2,"!",CHAR(64+COLUMN()),7)))&gt;0,INDIRECT(_xlfn.CONCAT($G2,"!",CHAR(64+COLUMN()),7)),"")</f>
        <v>660视频
191题开始看
至少看5集</v>
      </c>
      <c r="D9" s="11" t="str" cm="1">
        <f ca="1" t="array" ref="D9">IF(COUNTA(INDIRECT(_xlfn.CONCAT($G2,"!",CHAR(64+COLUMN()),7)))&gt;0,INDIRECT(_xlfn.CONCAT($G2,"!",CHAR(64+COLUMN()),7)),"")</f>
        <v/>
      </c>
      <c r="E9" s="11" t="str" cm="1">
        <f ca="1" t="array" ref="E9">IF(COUNTA(INDIRECT(_xlfn.CONCAT($G2,"!",CHAR(64+COLUMN()),7)))&gt;0,INDIRECT(_xlfn.CONCAT($G2,"!",CHAR(64+COLUMN()),7)),"")</f>
        <v/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6.2</v>
      </c>
      <c r="E10" s="12" t="s">
        <v>18</v>
      </c>
      <c r="F10" s="13">
        <f>B10+D10</f>
        <v>8.45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J7" sqref="J7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/>
      <c r="G1" s="4" t="s">
        <v>2</v>
      </c>
    </row>
    <row r="2" customFormat="1" ht="15.15" spans="1:7">
      <c r="A2" s="6">
        <f t="shared" ref="A2:A6" si="0">SUM(B2:F2)</f>
        <v>1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</v>
      </c>
      <c r="G2" s="8" t="str">
        <f ca="1">INDEX(_wpsfn.SHEETSNAME(),MAX(1,MATCH(G4,_wpsfn.SHEETSNAME(),0)-1))</f>
        <v>20250523</v>
      </c>
    </row>
    <row r="3" s="1" customFormat="1" ht="150" customHeight="1" spans="1:7">
      <c r="A3" s="4" t="s">
        <v>3</v>
      </c>
      <c r="B3" s="5" t="s">
        <v>54</v>
      </c>
      <c r="C3" s="5"/>
      <c r="D3" s="5" t="s">
        <v>55</v>
      </c>
      <c r="E3" s="1" t="s">
        <v>56</v>
      </c>
      <c r="F3" s="5"/>
      <c r="G3" s="4" t="s">
        <v>57</v>
      </c>
    </row>
    <row r="4" customFormat="1" ht="15.15" spans="1:7">
      <c r="A4" s="6">
        <f t="shared" si="0"/>
        <v>1.5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0.5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20250525</v>
      </c>
    </row>
    <row r="5" s="1" customFormat="1" ht="150" customHeight="1" spans="1:7">
      <c r="A5" s="4" t="s">
        <v>8</v>
      </c>
      <c r="B5" s="5" t="s">
        <v>9</v>
      </c>
      <c r="C5" s="5" t="s">
        <v>9</v>
      </c>
      <c r="D5" s="5"/>
      <c r="E5" s="1" t="s">
        <v>9</v>
      </c>
      <c r="F5" s="5"/>
      <c r="G5" s="9" t="s">
        <v>10</v>
      </c>
    </row>
    <row r="6" customFormat="1" ht="15.15" spans="1:7">
      <c r="A6" s="6">
        <f t="shared" si="0"/>
        <v>1.5</v>
      </c>
      <c r="B6" s="7">
        <f t="shared" ref="B6:F6" si="3">IF(COUNTA(B1)&gt;0,IF(COUNTA(B3)&gt;0,IF(B5="完成",0.5,0.25),IF(B5="完成",0.25,0)),0)</f>
        <v>0.5</v>
      </c>
      <c r="C6" s="7">
        <f t="shared" si="3"/>
        <v>0.25</v>
      </c>
      <c r="D6" s="7">
        <f t="shared" si="3"/>
        <v>0.25</v>
      </c>
      <c r="E6" s="7">
        <f t="shared" si="3"/>
        <v>0.5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58</v>
      </c>
      <c r="C7" s="5" t="s">
        <v>59</v>
      </c>
      <c r="D7" s="5" t="s">
        <v>60</v>
      </c>
      <c r="E7" s="5"/>
      <c r="F7" s="5"/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重做20题
5分钟限制</v>
      </c>
      <c r="C9" s="11" t="str" cm="1">
        <f ca="1" t="array" ref="C9">IF(COUNTA(INDIRECT(_xlfn.CONCAT($G2,"!",CHAR(64+COLUMN()),7)))&gt;0,INDIRECT(_xlfn.CONCAT($G2,"!",CHAR(64+COLUMN()),7)),"")</f>
        <v>看660视频</v>
      </c>
      <c r="D9" s="11" t="str" cm="1">
        <f ca="1" t="array" ref="D9">IF(COUNTA(INDIRECT(_xlfn.CONCAT($G2,"!",CHAR(64+COLUMN()),7)))&gt;0,INDIRECT(_xlfn.CONCAT($G2,"!",CHAR(64+COLUMN()),7)),"")</f>
        <v>确定408计算题
题型</v>
      </c>
      <c r="E9" s="11" t="str" cm="1">
        <f ca="1" t="array" ref="E9">IF(COUNTA(INDIRECT(_xlfn.CONCAT($G2,"!",CHAR(64+COLUMN()),7)))&gt;0,INDIRECT(_xlfn.CONCAT($G2,"!",CHAR(64+COLUMN()),7)),"")</f>
        <v>把笔记导入
伪春菜</v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4.5</v>
      </c>
      <c r="C10" s="12" t="s">
        <v>17</v>
      </c>
      <c r="D10" s="13">
        <v>9.83</v>
      </c>
      <c r="E10" s="12" t="s">
        <v>18</v>
      </c>
      <c r="F10" s="13">
        <f>B10+D10</f>
        <v>14.33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J7" sqref="J7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62</v>
      </c>
      <c r="C1" s="5" t="s">
        <v>63</v>
      </c>
      <c r="D1" s="5" t="s">
        <v>64</v>
      </c>
      <c r="E1" s="5"/>
      <c r="F1" s="5"/>
      <c r="G1" s="4" t="s">
        <v>2</v>
      </c>
    </row>
    <row r="2" customFormat="1" ht="15.15" spans="1:7">
      <c r="A2" s="6">
        <f t="shared" ref="A2:A6" si="0">SUM(B2:F2)</f>
        <v>0.75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</v>
      </c>
      <c r="F2" s="7">
        <f t="shared" si="1"/>
        <v>0</v>
      </c>
      <c r="G2" s="8" t="str">
        <f ca="1">INDEX(_wpsfn.SHEETSNAME(),MAX(1,MATCH(G4,_wpsfn.SHEETSNAME(),0)-1))</f>
        <v>20250525</v>
      </c>
    </row>
    <row r="3" s="1" customFormat="1" ht="150" customHeight="1" spans="1:7">
      <c r="A3" s="4" t="s">
        <v>3</v>
      </c>
      <c r="B3" s="5" t="s">
        <v>65</v>
      </c>
      <c r="C3" s="5"/>
      <c r="D3" s="5" t="s">
        <v>66</v>
      </c>
      <c r="E3" s="1"/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0.5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20250526</v>
      </c>
    </row>
    <row r="5" s="1" customFormat="1" ht="150" customHeight="1" spans="1:7">
      <c r="A5" s="4" t="s">
        <v>8</v>
      </c>
      <c r="B5" s="5" t="s">
        <v>9</v>
      </c>
      <c r="C5" s="5" t="s">
        <v>9</v>
      </c>
      <c r="D5" s="5" t="s">
        <v>9</v>
      </c>
      <c r="E5" s="1"/>
      <c r="F5" s="5"/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IF(COUNTA(B1)&gt;0,IF(COUNTA(B3)&gt;0,IF(B5="完成",0.5,0.25),IF(B5="完成",0.25,0)),0)</f>
        <v>0.5</v>
      </c>
      <c r="C6" s="7">
        <f t="shared" si="3"/>
        <v>0.25</v>
      </c>
      <c r="D6" s="7">
        <f t="shared" si="3"/>
        <v>0.5</v>
      </c>
      <c r="E6" s="7">
        <f t="shared" si="3"/>
        <v>0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64</v>
      </c>
      <c r="C7" s="5" t="s">
        <v>67</v>
      </c>
      <c r="D7" s="5" t="s">
        <v>68</v>
      </c>
      <c r="E7" s="5" t="s">
        <v>69</v>
      </c>
      <c r="F7" s="5"/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计组计算题
至少做11题
属于【恒温】</v>
      </c>
      <c r="C9" s="11" t="str" cm="1">
        <f ca="1" t="array" ref="C9">IF(COUNTA(INDIRECT(_xlfn.CONCAT($G2,"!",CHAR(64+COLUMN()),7)))&gt;0,INDIRECT(_xlfn.CONCAT($G2,"!",CHAR(64+COLUMN()),7)),"")</f>
        <v>660
无计时
新题目
至少5题</v>
      </c>
      <c r="D9" s="11" t="str" cm="1">
        <f ca="1" t="array" ref="D9">IF(COUNTA(INDIRECT(_xlfn.CONCAT($G2,"!",CHAR(64+COLUMN()),7)))&gt;0,INDIRECT(_xlfn.CONCAT($G2,"!",CHAR(64+COLUMN()),7)),"")</f>
        <v>计组计算题
指令流水线
微操作
总线带宽计算
中断响应时间</v>
      </c>
      <c r="E9" s="11" t="str" cm="1">
        <f ca="1" t="array" ref="E9">IF(COUNTA(INDIRECT(_xlfn.CONCAT($G2,"!",CHAR(64+COLUMN()),7)))&gt;0,INDIRECT(_xlfn.CONCAT($G2,"!",CHAR(64+COLUMN()),7)),"")</f>
        <v/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4</v>
      </c>
      <c r="C10" s="12" t="s">
        <v>17</v>
      </c>
      <c r="D10" s="13">
        <v>1.83</v>
      </c>
      <c r="E10" s="12" t="s">
        <v>18</v>
      </c>
      <c r="F10" s="13">
        <f>B10+D10</f>
        <v>5.83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3" workbookViewId="0">
      <selection activeCell="D9" sqref="D9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62</v>
      </c>
      <c r="C1" s="5" t="s">
        <v>70</v>
      </c>
      <c r="D1" s="5" t="s">
        <v>71</v>
      </c>
      <c r="E1" s="5" t="s">
        <v>72</v>
      </c>
      <c r="F1" s="5"/>
      <c r="G1" s="4" t="s">
        <v>2</v>
      </c>
    </row>
    <row r="2" customFormat="1" ht="15.15" spans="1:7">
      <c r="A2" s="6">
        <f t="shared" ref="A2:A6" si="0">SUM(B2:F2)</f>
        <v>1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</v>
      </c>
      <c r="G2" s="8" t="str">
        <f ca="1">INDEX(_wpsfn.SHEETSNAME(),MAX(1,MATCH(G4,_wpsfn.SHEETSNAME(),0)-1))</f>
        <v>20250526</v>
      </c>
    </row>
    <row r="3" s="1" customFormat="1" ht="150" customHeight="1" spans="1:7">
      <c r="A3" s="4" t="s">
        <v>3</v>
      </c>
      <c r="B3" s="5"/>
      <c r="C3" s="5" t="s">
        <v>73</v>
      </c>
      <c r="D3" s="5" t="s">
        <v>74</v>
      </c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</v>
      </c>
      <c r="C4" s="7">
        <f t="shared" si="2"/>
        <v>0.5</v>
      </c>
      <c r="D4" s="7">
        <f t="shared" si="2"/>
        <v>0.5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20250527</v>
      </c>
    </row>
    <row r="5" s="1" customFormat="1" ht="150" customHeight="1" spans="1:7">
      <c r="A5" s="4" t="s">
        <v>8</v>
      </c>
      <c r="B5" s="5"/>
      <c r="C5" s="5" t="s">
        <v>9</v>
      </c>
      <c r="D5" s="5" t="s">
        <v>9</v>
      </c>
      <c r="E5" s="1" t="s">
        <v>9</v>
      </c>
      <c r="F5" s="5"/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IF(COUNTA(B1)&gt;0,IF(COUNTA(B3)&gt;0,IF(B5="完成",0.5,0.25),IF(B5="完成",0.25,0)),0)</f>
        <v>0</v>
      </c>
      <c r="C6" s="7">
        <f t="shared" si="3"/>
        <v>0.5</v>
      </c>
      <c r="D6" s="7">
        <f t="shared" si="3"/>
        <v>0.5</v>
      </c>
      <c r="E6" s="7">
        <f t="shared" si="3"/>
        <v>0.25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75</v>
      </c>
      <c r="C7" s="5" t="s">
        <v>76</v>
      </c>
      <c r="D7" s="5" t="s">
        <v>70</v>
      </c>
      <c r="E7" s="5"/>
      <c r="F7" s="5"/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IF(COUNTA(B7)&gt;0,IF(COUNTA(B1)&gt;0,IF(B5="完成",0.25,0),0.25),0)</f>
        <v>0</v>
      </c>
      <c r="C8" s="7">
        <f t="shared" si="4"/>
        <v>0.25</v>
      </c>
      <c r="D8" s="7">
        <f t="shared" si="4"/>
        <v>0.25</v>
      </c>
      <c r="E8" s="7">
        <f t="shared" si="4"/>
        <v>0</v>
      </c>
      <c r="F8" s="7">
        <f t="shared" si="4"/>
        <v>0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计组计算题
至少11题</v>
      </c>
      <c r="C9" s="11" t="str" cm="1">
        <f ca="1" t="array" ref="C9">IF(COUNTA(INDIRECT(_xlfn.CONCAT($G2,"!",CHAR(64+COLUMN()),7)))&gt;0,INDIRECT(_xlfn.CONCAT($G2,"!",CHAR(64+COLUMN()),7)),"")</f>
        <v>660视频
至少10集</v>
      </c>
      <c r="D9" s="11" t="str" cm="1">
        <f ca="1" t="array" ref="D9">IF(COUNTA(INDIRECT(_xlfn.CONCAT($G2,"!",CHAR(64+COLUMN()),7)))&gt;0,INDIRECT(_xlfn.CONCAT($G2,"!",CHAR(64+COLUMN()),7)),"")</f>
        <v>660题目
至少5题</v>
      </c>
      <c r="E9" s="11" t="str" cm="1">
        <f ca="1" t="array" ref="E9">IF(COUNTA(INDIRECT(_xlfn.CONCAT($G2,"!",CHAR(64+COLUMN()),7)))&gt;0,INDIRECT(_xlfn.CONCAT($G2,"!",CHAR(64+COLUMN()),7)),"")</f>
        <v>看下新书</v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9.2</v>
      </c>
      <c r="E10" s="12" t="s">
        <v>18</v>
      </c>
      <c r="F10" s="13">
        <f>B10+D10</f>
        <v>12.95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7" workbookViewId="0">
      <selection activeCell="C8" sqref="C8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77</v>
      </c>
      <c r="C1" s="5" t="s">
        <v>78</v>
      </c>
      <c r="D1" s="5" t="s">
        <v>70</v>
      </c>
      <c r="E1" s="5"/>
      <c r="F1" s="5"/>
      <c r="G1" s="4" t="s">
        <v>2</v>
      </c>
    </row>
    <row r="2" customFormat="1" ht="15.15" spans="1:7">
      <c r="A2" s="6">
        <f t="shared" ref="A2:A6" si="0">SUM(B2:F2)</f>
        <v>0.75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</v>
      </c>
      <c r="F2" s="7">
        <f t="shared" si="1"/>
        <v>0</v>
      </c>
      <c r="G2" s="8" t="str">
        <f ca="1">INDEX(_wpsfn.SHEETSNAME(),MAX(1,MATCH(G4,_wpsfn.SHEETSNAME(),0)-1))</f>
        <v>20250527</v>
      </c>
    </row>
    <row r="3" s="1" customFormat="1" ht="150" customHeight="1" spans="1:7">
      <c r="A3" s="4" t="s">
        <v>3</v>
      </c>
      <c r="B3" s="5"/>
      <c r="C3" s="5" t="s">
        <v>79</v>
      </c>
      <c r="D3" s="5" t="s">
        <v>80</v>
      </c>
      <c r="E3" s="1" t="s">
        <v>81</v>
      </c>
      <c r="F3" s="5"/>
      <c r="G3" s="4" t="s">
        <v>57</v>
      </c>
    </row>
    <row r="4" customFormat="1" ht="15.15" spans="1:7">
      <c r="A4" s="6">
        <f t="shared" si="0"/>
        <v>1.25</v>
      </c>
      <c r="B4" s="7">
        <f t="shared" ref="B4:F4" si="2">IF(COUNTA(B3)&gt;0,IF(COUNTA(B1),0.5,0.25),0)</f>
        <v>0</v>
      </c>
      <c r="C4" s="7">
        <f t="shared" si="2"/>
        <v>0.5</v>
      </c>
      <c r="D4" s="7">
        <f t="shared" si="2"/>
        <v>0.5</v>
      </c>
      <c r="E4" s="7">
        <f t="shared" si="2"/>
        <v>0.25</v>
      </c>
      <c r="F4" s="7">
        <f t="shared" si="2"/>
        <v>0</v>
      </c>
      <c r="G4" s="8" t="str" cm="1">
        <f ca="1" t="array" ref="G4">_wpsfn.SHEETSNAME(A1)</f>
        <v>20250528</v>
      </c>
    </row>
    <row r="5" s="1" customFormat="1" ht="150" customHeight="1" spans="1:7">
      <c r="A5" s="4" t="s">
        <v>8</v>
      </c>
      <c r="B5" s="5"/>
      <c r="C5" s="5" t="s">
        <v>9</v>
      </c>
      <c r="D5" s="5" t="s">
        <v>9</v>
      </c>
      <c r="E5" s="1"/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IF(COUNTA(B1)&gt;0,IF(COUNTA(B3)&gt;0,IF(B5="完成",0.5,0.25),IF(B5="完成",0.25,0)),0)</f>
        <v>0</v>
      </c>
      <c r="C6" s="7">
        <f t="shared" si="3"/>
        <v>0.5</v>
      </c>
      <c r="D6" s="7">
        <f t="shared" si="3"/>
        <v>0.5</v>
      </c>
      <c r="E6" s="7">
        <f t="shared" si="3"/>
        <v>0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77</v>
      </c>
      <c r="C7" s="5" t="s">
        <v>82</v>
      </c>
      <c r="D7" s="5" t="s">
        <v>70</v>
      </c>
      <c r="E7" s="5"/>
      <c r="F7" s="5"/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IF(COUNTA(B7)&gt;0,IF(COUNTA(B1)&gt;0,IF(B5="完成",0.25,0),0.25),0)</f>
        <v>0</v>
      </c>
      <c r="C8" s="7">
        <f t="shared" si="4"/>
        <v>0.25</v>
      </c>
      <c r="D8" s="7">
        <f t="shared" si="4"/>
        <v>0.25</v>
      </c>
      <c r="E8" s="7">
        <f t="shared" si="4"/>
        <v>0</v>
      </c>
      <c r="F8" s="7">
        <f t="shared" si="4"/>
        <v>0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660至少5题
从前面开始
（第十页）</v>
      </c>
      <c r="C9" s="11" t="str" cm="1">
        <f ca="1" t="array" ref="C9">IF(COUNTA(INDIRECT(_xlfn.CONCAT($G2,"!",CHAR(64+COLUMN()),7)))&gt;0,INDIRECT(_xlfn.CONCAT($G2,"!",CHAR(64+COLUMN()),7)),"")</f>
        <v>新东方2021
习题集
至少5题</v>
      </c>
      <c r="D9" s="11" t="str" cm="1">
        <f ca="1" t="array" ref="D9">IF(COUNTA(INDIRECT(_xlfn.CONCAT($G2,"!",CHAR(64+COLUMN()),7)))&gt;0,INDIRECT(_xlfn.CONCAT($G2,"!",CHAR(64+COLUMN()),7)),"")</f>
        <v>计组11题</v>
      </c>
      <c r="E9" s="11" t="str" cm="1">
        <f ca="1" t="array" ref="E9">IF(COUNTA(INDIRECT(_xlfn.CONCAT($G2,"!",CHAR(64+COLUMN()),7)))&gt;0,INDIRECT(_xlfn.CONCAT($G2,"!",CHAR(64+COLUMN()),7)),"")</f>
        <v/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3.5</v>
      </c>
      <c r="C10" s="12" t="s">
        <v>17</v>
      </c>
      <c r="D10" s="13">
        <v>2</v>
      </c>
      <c r="E10" s="12" t="s">
        <v>18</v>
      </c>
      <c r="F10" s="13">
        <f>B10+D10</f>
        <v>5.5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E7" sqref="E7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83</v>
      </c>
      <c r="C1" s="5" t="s">
        <v>84</v>
      </c>
      <c r="D1" s="5" t="s">
        <v>64</v>
      </c>
      <c r="E1" s="5"/>
      <c r="F1" s="5"/>
      <c r="G1" s="4" t="s">
        <v>2</v>
      </c>
    </row>
    <row r="2" customFormat="1" ht="15.15" spans="1:7">
      <c r="A2" s="6">
        <f t="shared" ref="A2:A6" si="0">SUM(B2:F2)</f>
        <v>0.75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</v>
      </c>
      <c r="F2" s="7">
        <f t="shared" si="1"/>
        <v>0</v>
      </c>
      <c r="G2" s="8" t="str">
        <f ca="1">INDEX(_wpsfn.SHEETSNAME(),MAX(1,MATCH(G4,_wpsfn.SHEETSNAME(),0)-1))</f>
        <v>20250528</v>
      </c>
    </row>
    <row r="3" s="1" customFormat="1" ht="150" customHeight="1" spans="1:7">
      <c r="A3" s="4" t="s">
        <v>3</v>
      </c>
      <c r="B3" s="5" t="s">
        <v>85</v>
      </c>
      <c r="C3" s="5" t="s">
        <v>86</v>
      </c>
      <c r="D3" s="5"/>
      <c r="E3" s="1"/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20250529</v>
      </c>
    </row>
    <row r="5" s="1" customFormat="1" ht="150" customHeight="1" spans="1:7">
      <c r="A5" s="4" t="s">
        <v>8</v>
      </c>
      <c r="B5" s="5" t="s">
        <v>9</v>
      </c>
      <c r="C5" s="5" t="s">
        <v>9</v>
      </c>
      <c r="D5" s="5" t="s">
        <v>9</v>
      </c>
      <c r="F5" s="5"/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IF(COUNTA(B1)&gt;0,IF(COUNTA(B3)&gt;0,IF(B5="完成",0.5,0.25),IF(B5="完成",0.25,0)),0)</f>
        <v>0.5</v>
      </c>
      <c r="C6" s="7">
        <f t="shared" si="3"/>
        <v>0.5</v>
      </c>
      <c r="D6" s="7">
        <f t="shared" si="3"/>
        <v>0.25</v>
      </c>
      <c r="E6" s="7">
        <f t="shared" si="3"/>
        <v>0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87</v>
      </c>
      <c r="C7" s="5" t="s">
        <v>64</v>
      </c>
      <c r="D7" s="5" t="s">
        <v>88</v>
      </c>
      <c r="E7" s="5"/>
      <c r="F7" s="5"/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0.25</v>
      </c>
      <c r="E8" s="7">
        <f t="shared" si="4"/>
        <v>0</v>
      </c>
      <c r="F8" s="7">
        <f t="shared" si="4"/>
        <v>0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660题目
5题</v>
      </c>
      <c r="C9" s="11" t="str" cm="1">
        <f ca="1" t="array" ref="C9">IF(COUNTA(INDIRECT(_xlfn.CONCAT($G2,"!",CHAR(64+COLUMN()),7)))&gt;0,INDIRECT(_xlfn.CONCAT($G2,"!",CHAR(64+COLUMN()),7)),"")</f>
        <v>教材涨进度
捡软柿子
至少5题</v>
      </c>
      <c r="D9" s="11" t="str" cm="1">
        <f ca="1" t="array" ref="D9">IF(COUNTA(INDIRECT(_xlfn.CONCAT($G2,"!",CHAR(64+COLUMN()),7)))&gt;0,INDIRECT(_xlfn.CONCAT($G2,"!",CHAR(64+COLUMN()),7)),"")</f>
        <v>计组11题</v>
      </c>
      <c r="E9" s="11" t="str" cm="1">
        <f ca="1" t="array" ref="E9">IF(COUNTA(INDIRECT(_xlfn.CONCAT($G2,"!",CHAR(64+COLUMN()),7)))&gt;0,INDIRECT(_xlfn.CONCAT($G2,"!",CHAR(64+COLUMN()),7)),"")</f>
        <v/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1.17</v>
      </c>
      <c r="E10" s="12" t="s">
        <v>18</v>
      </c>
      <c r="F10" s="13">
        <f>B10+D10</f>
        <v>4.92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workbookViewId="0">
      <selection activeCell="F9" sqref="F9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89</v>
      </c>
      <c r="C1" s="5" t="s">
        <v>70</v>
      </c>
      <c r="D1" s="5" t="s">
        <v>88</v>
      </c>
      <c r="E1" s="5"/>
      <c r="F1" s="5"/>
      <c r="G1" s="4" t="s">
        <v>2</v>
      </c>
    </row>
    <row r="2" customFormat="1" ht="15.15" spans="1:7">
      <c r="A2" s="6">
        <f t="shared" ref="A2:A6" si="0">SUM(B2:F2)</f>
        <v>0.75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</v>
      </c>
      <c r="F2" s="7">
        <f t="shared" si="1"/>
        <v>0</v>
      </c>
      <c r="G2" s="8" t="str">
        <f ca="1">INDEX(_wpsfn.SHEETSNAME(),MAX(1,MATCH(G4,_wpsfn.SHEETSNAME(),0)-1))</f>
        <v>20250529</v>
      </c>
    </row>
    <row r="3" s="1" customFormat="1" ht="150" customHeight="1" spans="1:7">
      <c r="A3" s="4" t="s">
        <v>3</v>
      </c>
      <c r="B3" s="5" t="s">
        <v>90</v>
      </c>
      <c r="C3" s="5"/>
      <c r="D3" s="5" t="s">
        <v>91</v>
      </c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0.5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20250530</v>
      </c>
    </row>
    <row r="5" s="1" customFormat="1" ht="150" customHeight="1" spans="1:7">
      <c r="A5" s="4" t="s">
        <v>8</v>
      </c>
      <c r="B5" s="5" t="s">
        <v>9</v>
      </c>
      <c r="C5" s="5"/>
      <c r="D5" s="5" t="s">
        <v>9</v>
      </c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IF(COUNTA(B1)&gt;0,IF(COUNTA(B3)&gt;0,IF(B5="完成",0.5,0.25),IF(B5="完成",0.25,0)),0)</f>
        <v>0.5</v>
      </c>
      <c r="C6" s="7">
        <f t="shared" si="3"/>
        <v>0</v>
      </c>
      <c r="D6" s="7">
        <f t="shared" si="3"/>
        <v>0.5</v>
      </c>
      <c r="E6" s="7">
        <f t="shared" si="3"/>
        <v>0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92</v>
      </c>
      <c r="C7" s="5" t="s">
        <v>70</v>
      </c>
      <c r="D7" s="5"/>
      <c r="E7" s="5"/>
      <c r="F7" s="5"/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IF(COUNTA(B7)&gt;0,IF(COUNTA(B1)&gt;0,IF(B5="完成",0.25,0),0.25),0)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继续捡软柿子捏
至少5题</v>
      </c>
      <c r="C9" s="11" t="str" cm="1">
        <f ca="1" t="array" ref="C9">IF(COUNTA(INDIRECT(_xlfn.CONCAT($G2,"!",CHAR(64+COLUMN()),7)))&gt;0,INDIRECT(_xlfn.CONCAT($G2,"!",CHAR(64+COLUMN()),7)),"")</f>
        <v>计组计算题
至少11题</v>
      </c>
      <c r="D9" s="11" t="str" cm="1">
        <f ca="1" t="array" ref="D9">IF(COUNTA(INDIRECT(_xlfn.CONCAT($G2,"!",CHAR(64+COLUMN()),7)))&gt;0,INDIRECT(_xlfn.CONCAT($G2,"!",CHAR(64+COLUMN()),7)),"")</f>
        <v>补习红黑树</v>
      </c>
      <c r="E9" s="11" t="str" cm="1">
        <f ca="1" t="array" ref="E9">IF(COUNTA(INDIRECT(_xlfn.CONCAT($G2,"!",CHAR(64+COLUMN()),7)))&gt;0,INDIRECT(_xlfn.CONCAT($G2,"!",CHAR(64+COLUMN()),7)),"")</f>
        <v/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3</v>
      </c>
      <c r="C10" s="12" t="s">
        <v>17</v>
      </c>
      <c r="D10" s="13">
        <v>18.5</v>
      </c>
      <c r="E10" s="12" t="s">
        <v>18</v>
      </c>
      <c r="F10" s="13">
        <f>B10+D10</f>
        <v>21.5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3" workbookViewId="0">
      <selection activeCell="F8" sqref="F8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92</v>
      </c>
      <c r="C1" s="5" t="s">
        <v>70</v>
      </c>
      <c r="D1" s="5"/>
      <c r="E1" s="5"/>
      <c r="F1" s="5"/>
      <c r="G1" s="4" t="s">
        <v>2</v>
      </c>
    </row>
    <row r="2" customFormat="1" ht="15.15" spans="1:7">
      <c r="A2" s="6">
        <f t="shared" ref="A2:A6" si="0">SUM(B2:F2)</f>
        <v>0.5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</v>
      </c>
      <c r="E2" s="7">
        <f t="shared" si="1"/>
        <v>0</v>
      </c>
      <c r="F2" s="7">
        <f t="shared" si="1"/>
        <v>0</v>
      </c>
      <c r="G2" s="8" t="str">
        <f ca="1">INDEX(_wpsfn.SHEETSNAME(),MAX(1,MATCH(G4,_wpsfn.SHEETSNAME(),0)-1))</f>
        <v>20250530</v>
      </c>
    </row>
    <row r="3" s="1" customFormat="1" ht="150" customHeight="1" spans="1:7">
      <c r="A3" s="4" t="s">
        <v>3</v>
      </c>
      <c r="B3" s="5" t="s">
        <v>93</v>
      </c>
      <c r="C3" s="5"/>
      <c r="D3" s="5" t="s">
        <v>94</v>
      </c>
      <c r="F3" s="5"/>
      <c r="G3" s="4" t="s">
        <v>57</v>
      </c>
    </row>
    <row r="4" customFormat="1" ht="15.15" spans="1:7">
      <c r="A4" s="6">
        <f t="shared" si="0"/>
        <v>0.75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0.25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20250531</v>
      </c>
    </row>
    <row r="5" s="1" customFormat="1" ht="150" customHeight="1" spans="1:7">
      <c r="A5" s="4" t="s">
        <v>8</v>
      </c>
      <c r="B5" s="5" t="s">
        <v>9</v>
      </c>
      <c r="C5" s="5" t="s">
        <v>9</v>
      </c>
      <c r="D5" s="5"/>
      <c r="F5" s="5"/>
      <c r="G5" s="9" t="s">
        <v>10</v>
      </c>
    </row>
    <row r="6" customFormat="1" ht="15.15" spans="1:7">
      <c r="A6" s="6">
        <f t="shared" si="0"/>
        <v>0.75</v>
      </c>
      <c r="B6" s="7">
        <f t="shared" ref="B6:F6" si="3">IF(COUNTA(B1)&gt;0,IF(COUNTA(B3)&gt;0,IF(B5="完成",0.5,0.25),IF(B5="完成",0.25,0)),0)</f>
        <v>0.5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95</v>
      </c>
      <c r="C7" s="5" t="s">
        <v>96</v>
      </c>
      <c r="D7" s="5" t="s">
        <v>97</v>
      </c>
      <c r="E7" s="5" t="s">
        <v>98</v>
      </c>
      <c r="F7" s="5" t="s">
        <v>99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捡软柿子
至少5题</v>
      </c>
      <c r="C9" s="11" t="str" cm="1">
        <f ca="1" t="array" ref="C9">IF(COUNTA(INDIRECT(_xlfn.CONCAT($G2,"!",CHAR(64+COLUMN()),7)))&gt;0,INDIRECT(_xlfn.CONCAT($G2,"!",CHAR(64+COLUMN()),7)),"")</f>
        <v>计组11题</v>
      </c>
      <c r="D9" s="11" t="str" cm="1">
        <f ca="1" t="array" ref="D9">IF(COUNTA(INDIRECT(_xlfn.CONCAT($G2,"!",CHAR(64+COLUMN()),7)))&gt;0,INDIRECT(_xlfn.CONCAT($G2,"!",CHAR(64+COLUMN()),7)),"")</f>
        <v/>
      </c>
      <c r="E9" s="11" t="str" cm="1">
        <f ca="1" t="array" ref="E9">IF(COUNTA(INDIRECT(_xlfn.CONCAT($G2,"!",CHAR(64+COLUMN()),7)))&gt;0,INDIRECT(_xlfn.CONCAT($G2,"!",CHAR(64+COLUMN()),7)),"")</f>
        <v/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6.5</v>
      </c>
      <c r="E10" s="12" t="s">
        <v>18</v>
      </c>
      <c r="F10" s="13">
        <f>B10+D10</f>
        <v>9.75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F10" sqref="F10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100</v>
      </c>
      <c r="C1" s="5" t="s">
        <v>101</v>
      </c>
      <c r="D1" s="5" t="s">
        <v>102</v>
      </c>
      <c r="E1" s="5" t="s">
        <v>89</v>
      </c>
      <c r="F1" s="5" t="s">
        <v>103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20250531</v>
      </c>
    </row>
    <row r="3" s="1" customFormat="1" ht="150" customHeight="1" spans="1:7">
      <c r="A3" s="4" t="s">
        <v>3</v>
      </c>
      <c r="B3" s="5"/>
      <c r="C3" s="5" t="s">
        <v>104</v>
      </c>
      <c r="D3" s="5" t="s">
        <v>105</v>
      </c>
      <c r="E3" s="1" t="s">
        <v>106</v>
      </c>
      <c r="F3" s="5" t="s">
        <v>107</v>
      </c>
      <c r="G3" s="4" t="s">
        <v>57</v>
      </c>
    </row>
    <row r="4" customFormat="1" ht="15.15" spans="1:7">
      <c r="A4" s="6">
        <f t="shared" si="0"/>
        <v>2</v>
      </c>
      <c r="B4" s="7">
        <f t="shared" ref="B4:F4" si="2">IF(COUNTA(B3)&gt;0,IF(COUNTA(B1),0.5,0.25),0)</f>
        <v>0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20250601</v>
      </c>
    </row>
    <row r="5" s="1" customFormat="1" ht="150" customHeight="1" spans="1:7">
      <c r="A5" s="4" t="s">
        <v>8</v>
      </c>
      <c r="B5" s="5"/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2</v>
      </c>
      <c r="B6" s="7">
        <f t="shared" ref="B6:F6" si="3">IF(COUNTA(B1)&gt;0,IF(COUNTA(B3)&gt;0,IF(B5="完成",0.5,0.25),IF(B5="完成",0.25,0)),0)</f>
        <v>0</v>
      </c>
      <c r="C6" s="7">
        <f t="shared" si="3"/>
        <v>0.5</v>
      </c>
      <c r="D6" s="7">
        <f t="shared" si="3"/>
        <v>0.5</v>
      </c>
      <c r="E6" s="7">
        <f t="shared" si="3"/>
        <v>0.5</v>
      </c>
      <c r="F6" s="7">
        <f t="shared" si="3"/>
        <v>0.5</v>
      </c>
      <c r="G6" s="10"/>
    </row>
    <row r="7" s="1" customFormat="1" ht="150" customHeight="1" spans="1:7">
      <c r="A7" s="4" t="s">
        <v>11</v>
      </c>
      <c r="B7" s="5" t="s">
        <v>95</v>
      </c>
      <c r="C7" s="5" t="s">
        <v>108</v>
      </c>
      <c r="D7" s="5" t="s">
        <v>109</v>
      </c>
      <c r="E7" s="5" t="s">
        <v>67</v>
      </c>
      <c r="F7" s="5"/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IF(COUNTA(B7)&gt;0,IF(COUNTA(B1)&gt;0,IF(B5="完成",0.25,0),0.25),0)</f>
        <v>0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捡软柿子
至少10题</v>
      </c>
      <c r="C9" s="11" t="str" cm="1">
        <f ca="1" t="array" ref="C9">IF(COUNTA(INDIRECT(_xlfn.CONCAT($G2,"!",CHAR(64+COLUMN()),7)))&gt;0,INDIRECT(_xlfn.CONCAT($G2,"!",CHAR(64+COLUMN()),7)),"")</f>
        <v>笔记复习
至少10大题</v>
      </c>
      <c r="D9" s="11" t="str" cm="1">
        <f ca="1" t="array" ref="D9">IF(COUNTA(INDIRECT(_xlfn.CONCAT($G2,"!",CHAR(64+COLUMN()),7)))&gt;0,INDIRECT(_xlfn.CONCAT($G2,"!",CHAR(64+COLUMN()),7)),"")</f>
        <v>CRC校验计算</v>
      </c>
      <c r="E9" s="11" t="str" cm="1">
        <f ca="1" t="array" ref="E9">IF(COUNTA(INDIRECT(_xlfn.CONCAT($G2,"!",CHAR(64+COLUMN()),7)))&gt;0,INDIRECT(_xlfn.CONCAT($G2,"!",CHAR(64+COLUMN()),7)),"")</f>
        <v>指令流水计算</v>
      </c>
      <c r="F9" s="11" t="str" cm="1">
        <f ca="1" t="array" ref="F9">IF(COUNTA(INDIRECT(_xlfn.CONCAT($G2,"!",CHAR(64+COLUMN()),7)))&gt;0,INDIRECT(_xlfn.CONCAT($G2,"!",CHAR(64+COLUMN()),7)),"")</f>
        <v>尝试清理
相册《红》
里面的题目</v>
      </c>
      <c r="G9" s="10"/>
    </row>
    <row r="10" ht="15.15" spans="1:7">
      <c r="A10" s="12" t="s">
        <v>16</v>
      </c>
      <c r="B10" s="13">
        <f>SUM(A8,A6,A4,A2)</f>
        <v>6</v>
      </c>
      <c r="C10" s="12" t="s">
        <v>17</v>
      </c>
      <c r="D10" s="13">
        <v>5.08</v>
      </c>
      <c r="E10" s="12" t="s">
        <v>18</v>
      </c>
      <c r="F10" s="13">
        <f>B10+D10</f>
        <v>11.08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3" workbookViewId="0">
      <selection activeCell="B1" sqref="B1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110</v>
      </c>
      <c r="C1" s="5" t="s">
        <v>89</v>
      </c>
      <c r="D1" s="5" t="s">
        <v>109</v>
      </c>
      <c r="E1" s="5" t="s">
        <v>111</v>
      </c>
      <c r="F1" s="5"/>
      <c r="G1" s="4" t="s">
        <v>2</v>
      </c>
    </row>
    <row r="2" customFormat="1" ht="15.15" spans="1:7">
      <c r="A2" s="6">
        <f t="shared" ref="A2:A6" si="0">SUM(B2:F2)</f>
        <v>1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</v>
      </c>
      <c r="G2" s="8" t="str">
        <f ca="1">INDEX(_wpsfn.SHEETSNAME(),MAX(1,MATCH(G4,_wpsfn.SHEETSNAME(),0)-1))</f>
        <v>20250601</v>
      </c>
    </row>
    <row r="3" s="1" customFormat="1" ht="150" customHeight="1" spans="1:7">
      <c r="A3" s="4" t="s">
        <v>3</v>
      </c>
      <c r="B3" s="5"/>
      <c r="C3" s="5"/>
      <c r="D3" s="5" t="s">
        <v>112</v>
      </c>
      <c r="E3" s="1" t="s">
        <v>113</v>
      </c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0.5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20250602</v>
      </c>
    </row>
    <row r="5" s="1" customFormat="1" ht="150" customHeight="1" spans="1:7">
      <c r="A5" s="4" t="s">
        <v>8</v>
      </c>
      <c r="B5" s="5"/>
      <c r="C5" s="5"/>
      <c r="D5" s="5" t="s">
        <v>9</v>
      </c>
      <c r="E5" s="5"/>
      <c r="F5" s="5"/>
      <c r="G5" s="9" t="s">
        <v>10</v>
      </c>
    </row>
    <row r="6" customFormat="1" ht="15.15" spans="1:7">
      <c r="A6" s="6">
        <f t="shared" si="0"/>
        <v>0.75</v>
      </c>
      <c r="B6" s="7">
        <f t="shared" ref="B6:F6" si="3">IF(COUNTA(B1)&gt;0,IF(COUNTA(B3)&gt;0,IF(B5="完成",0.5,0.25),IF(B5="完成",0.25,0)),0)</f>
        <v>0</v>
      </c>
      <c r="C6" s="7">
        <f t="shared" si="3"/>
        <v>0</v>
      </c>
      <c r="D6" s="7">
        <f t="shared" si="3"/>
        <v>0.5</v>
      </c>
      <c r="E6" s="7">
        <f t="shared" si="3"/>
        <v>0.25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110</v>
      </c>
      <c r="C7" s="5" t="s">
        <v>89</v>
      </c>
      <c r="D7" s="5"/>
      <c r="E7" s="5" t="s">
        <v>111</v>
      </c>
      <c r="F7" s="5"/>
      <c r="G7" s="10"/>
    </row>
    <row r="8" customFormat="1" ht="15.15" spans="1:7">
      <c r="A8" s="6">
        <f>SUM(B8:F8)</f>
        <v>0</v>
      </c>
      <c r="B8" s="7">
        <f t="shared" ref="B8:F8" si="4">IF(COUNTA(B7)&gt;0,IF(COUNTA(B1)&gt;0,IF(B5="完成",0.25,0),0.25),0)</f>
        <v>0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捡软柿子
至少10题</v>
      </c>
      <c r="C9" s="11" t="str" cm="1">
        <f ca="1" t="array" ref="C9">IF(COUNTA(INDIRECT(_xlfn.CONCAT($G2,"!",CHAR(64+COLUMN()),7)))&gt;0,INDIRECT(_xlfn.CONCAT($G2,"!",CHAR(64+COLUMN()),7)),"")</f>
        <v>定点数乘除法</v>
      </c>
      <c r="D9" s="11" t="str" cm="1">
        <f ca="1" t="array" ref="D9">IF(COUNTA(INDIRECT(_xlfn.CONCAT($G2,"!",CHAR(64+COLUMN()),7)))&gt;0,INDIRECT(_xlfn.CONCAT($G2,"!",CHAR(64+COLUMN()),7)),"")</f>
        <v>浮点数表示
浮点数加减</v>
      </c>
      <c r="E9" s="11" t="str" cm="1">
        <f ca="1" t="array" ref="E9">IF(COUNTA(INDIRECT(_xlfn.CONCAT($G2,"!",CHAR(64+COLUMN()),7)))&gt;0,INDIRECT(_xlfn.CONCAT($G2,"!",CHAR(64+COLUMN()),7)),"")</f>
        <v>660视频
至少10集</v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2.75</v>
      </c>
      <c r="C10" s="12" t="s">
        <v>17</v>
      </c>
      <c r="D10" s="13">
        <v>7.12</v>
      </c>
      <c r="E10" s="12" t="s">
        <v>18</v>
      </c>
      <c r="F10" s="13">
        <f>B10+D10</f>
        <v>9.87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B8" sqref="B8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110</v>
      </c>
      <c r="C1" s="5" t="s">
        <v>89</v>
      </c>
      <c r="D1" s="5" t="s">
        <v>108</v>
      </c>
      <c r="E1" s="5"/>
      <c r="F1" s="5"/>
      <c r="G1" s="4" t="s">
        <v>2</v>
      </c>
    </row>
    <row r="2" customFormat="1" ht="15.15" spans="1:7">
      <c r="A2" s="6">
        <f t="shared" ref="A2:A6" si="0">SUM(B2:F2)</f>
        <v>0.75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</v>
      </c>
      <c r="F2" s="7">
        <f t="shared" si="1"/>
        <v>0</v>
      </c>
      <c r="G2" s="8" t="str">
        <f ca="1">INDEX(_wpsfn.SHEETSNAME(),MAX(1,MATCH(G4,_wpsfn.SHEETSNAME(),0)-1))</f>
        <v>20250602</v>
      </c>
    </row>
    <row r="3" s="1" customFormat="1" ht="150" customHeight="1" spans="1:7">
      <c r="A3" s="4" t="s">
        <v>3</v>
      </c>
      <c r="B3" s="5" t="s">
        <v>114</v>
      </c>
      <c r="C3" s="5"/>
      <c r="D3" s="5" t="s">
        <v>115</v>
      </c>
      <c r="E3" s="1" t="s">
        <v>116</v>
      </c>
      <c r="F3" s="5"/>
      <c r="G3" s="4" t="s">
        <v>57</v>
      </c>
    </row>
    <row r="4" customFormat="1" ht="15.15" spans="1:7">
      <c r="A4" s="6">
        <f t="shared" si="0"/>
        <v>1.25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0.5</v>
      </c>
      <c r="E4" s="7">
        <f t="shared" si="2"/>
        <v>0.25</v>
      </c>
      <c r="F4" s="7">
        <f t="shared" si="2"/>
        <v>0</v>
      </c>
      <c r="G4" s="8" t="str" cm="1">
        <f ca="1" t="array" ref="G4">_wpsfn.SHEETSNAME(A1)</f>
        <v>20250603</v>
      </c>
    </row>
    <row r="5" s="1" customFormat="1" ht="150" customHeight="1" spans="1:7">
      <c r="A5" s="4" t="s">
        <v>8</v>
      </c>
      <c r="B5" s="5"/>
      <c r="C5" s="5" t="s">
        <v>9</v>
      </c>
      <c r="D5" s="5" t="s">
        <v>9</v>
      </c>
      <c r="E5" s="5"/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IF(COUNTA(B1)&gt;0,IF(COUNTA(B3)&gt;0,IF(B5="完成",0.5,0.25),IF(B5="完成",0.25,0)),0)</f>
        <v>0.25</v>
      </c>
      <c r="C6" s="7">
        <f t="shared" si="3"/>
        <v>0.25</v>
      </c>
      <c r="D6" s="7">
        <f t="shared" si="3"/>
        <v>0.5</v>
      </c>
      <c r="E6" s="7">
        <f t="shared" si="3"/>
        <v>0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117</v>
      </c>
      <c r="C7" s="5" t="s">
        <v>118</v>
      </c>
      <c r="D7" s="5"/>
      <c r="E7" s="5"/>
      <c r="F7" s="5"/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IF(COUNTA(B7)&gt;0,IF(COUNTA(B1)&gt;0,IF(B5="完成",0.25,0),0.25),0)</f>
        <v>0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660视频</v>
      </c>
      <c r="C9" s="11" t="str" cm="1">
        <f ca="1" t="array" ref="C9">IF(COUNTA(INDIRECT(_xlfn.CONCAT($G2,"!",CHAR(64+COLUMN()),7)))&gt;0,INDIRECT(_xlfn.CONCAT($G2,"!",CHAR(64+COLUMN()),7)),"")</f>
        <v>捡软柿子</v>
      </c>
      <c r="D9" s="11" t="str" cm="1">
        <f ca="1" t="array" ref="D9">IF(COUNTA(INDIRECT(_xlfn.CONCAT($G2,"!",CHAR(64+COLUMN()),7)))&gt;0,INDIRECT(_xlfn.CONCAT($G2,"!",CHAR(64+COLUMN()),7)),"")</f>
        <v/>
      </c>
      <c r="E9" s="11" t="str" cm="1">
        <f ca="1" t="array" ref="E9">IF(COUNTA(INDIRECT(_xlfn.CONCAT($G2,"!",CHAR(64+COLUMN()),7)))&gt;0,INDIRECT(_xlfn.CONCAT($G2,"!",CHAR(64+COLUMN()),7)),"")</f>
        <v>定点数</v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5.5</v>
      </c>
      <c r="E10" s="12" t="s">
        <v>18</v>
      </c>
      <c r="F10" s="13">
        <f>B10+D10</f>
        <v>8.75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3" workbookViewId="0">
      <selection activeCell="E9" sqref="E9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117</v>
      </c>
      <c r="C1" s="5" t="s">
        <v>118</v>
      </c>
      <c r="D1" s="5"/>
      <c r="E1" s="5"/>
      <c r="F1" s="5"/>
      <c r="G1" s="4" t="s">
        <v>2</v>
      </c>
    </row>
    <row r="2" customFormat="1" ht="15.15" spans="1:7">
      <c r="A2" s="6">
        <f t="shared" ref="A2:A6" si="0">SUM(B2:F2)</f>
        <v>0.5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</v>
      </c>
      <c r="E2" s="7">
        <f t="shared" si="1"/>
        <v>0</v>
      </c>
      <c r="F2" s="7">
        <f t="shared" si="1"/>
        <v>0</v>
      </c>
      <c r="G2" s="8" t="str">
        <f ca="1">INDEX(_wpsfn.SHEETSNAME(),MAX(1,MATCH(G4,_wpsfn.SHEETSNAME(),0)-1))</f>
        <v>20250603</v>
      </c>
    </row>
    <row r="3" s="1" customFormat="1" ht="150" customHeight="1" spans="1:7">
      <c r="A3" s="4" t="s">
        <v>3</v>
      </c>
      <c r="B3" s="5" t="s">
        <v>119</v>
      </c>
      <c r="C3" s="5" t="s">
        <v>120</v>
      </c>
      <c r="D3" s="5"/>
      <c r="E3" s="1"/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20250607</v>
      </c>
    </row>
    <row r="5" s="1" customFormat="1" ht="150" customHeight="1" spans="1:7">
      <c r="A5" s="4" t="s">
        <v>8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IF(COUNTA(B1)&gt;0,IF(COUNTA(B3)&gt;0,IF(B5="完成",0.5,0.25),IF(B5="完成",0.25,0)),0)</f>
        <v>0.5</v>
      </c>
      <c r="C6" s="7">
        <f t="shared" si="3"/>
        <v>0.5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95</v>
      </c>
      <c r="C7" s="5" t="s">
        <v>121</v>
      </c>
      <c r="D7" s="5" t="s">
        <v>122</v>
      </c>
      <c r="E7" s="5" t="s">
        <v>67</v>
      </c>
      <c r="F7" s="5" t="s">
        <v>123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660视频
至少6集</v>
      </c>
      <c r="C9" s="11" t="str" cm="1">
        <f ca="1" t="array" ref="C9">IF(COUNTA(INDIRECT(_xlfn.CONCAT($G2,"!",CHAR(64+COLUMN()),7)))&gt;0,INDIRECT(_xlfn.CONCAT($G2,"!",CHAR(64+COLUMN()),7)),"")</f>
        <v>小程序刷题
408</v>
      </c>
      <c r="D9" s="11" t="str" cm="1">
        <f ca="1" t="array" ref="D9">IF(COUNTA(INDIRECT(_xlfn.CONCAT($G2,"!",CHAR(64+COLUMN()),7)))&gt;0,INDIRECT(_xlfn.CONCAT($G2,"!",CHAR(64+COLUMN()),7)),"")</f>
        <v/>
      </c>
      <c r="E9" s="11" t="str" cm="1">
        <f ca="1" t="array" ref="E9">IF(COUNTA(INDIRECT(_xlfn.CONCAT($G2,"!",CHAR(64+COLUMN()),7)))&gt;0,INDIRECT(_xlfn.CONCAT($G2,"!",CHAR(64+COLUMN()),7)),"")</f>
        <v/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1.17</v>
      </c>
      <c r="E10" s="12" t="s">
        <v>18</v>
      </c>
      <c r="F10" s="13">
        <f>B10+D10</f>
        <v>4.92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workbookViewId="0">
      <selection activeCell="H3" sqref="H3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124</v>
      </c>
      <c r="C1" s="5" t="s">
        <v>110</v>
      </c>
      <c r="D1" s="5" t="s">
        <v>52</v>
      </c>
      <c r="E1" s="5" t="s">
        <v>103</v>
      </c>
      <c r="F1" s="5" t="s">
        <v>125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20250607</v>
      </c>
    </row>
    <row r="3" s="1" customFormat="1" ht="150" customHeight="1" spans="1:7">
      <c r="A3" s="4" t="s">
        <v>3</v>
      </c>
      <c r="B3" s="5" t="s">
        <v>126</v>
      </c>
      <c r="C3" s="5" t="s">
        <v>127</v>
      </c>
      <c r="D3" s="5" t="s">
        <v>128</v>
      </c>
      <c r="F3" s="5" t="s">
        <v>129</v>
      </c>
      <c r="G3" s="4" t="s">
        <v>57</v>
      </c>
    </row>
    <row r="4" customFormat="1" ht="15.15" spans="1:7">
      <c r="A4" s="6">
        <f t="shared" si="0"/>
        <v>2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</v>
      </c>
      <c r="F4" s="7">
        <f t="shared" si="2"/>
        <v>0.5</v>
      </c>
      <c r="G4" s="8" t="str" cm="1">
        <f ca="1" t="array" ref="G4">_wpsfn.SHEETSNAME(A1)</f>
        <v>20250608</v>
      </c>
    </row>
    <row r="5" s="1" customFormat="1" ht="150" customHeight="1" spans="1:7">
      <c r="A5" s="4" t="s">
        <v>8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2.25</v>
      </c>
      <c r="B6" s="7">
        <f t="shared" ref="B6:F6" si="3">IF(COUNTA(B1)&gt;0,IF(COUNTA(B3)&gt;0,IF(B5="完成",0.5,0.25),IF(B5="完成",0.25,0)),0)</f>
        <v>0.5</v>
      </c>
      <c r="C6" s="7">
        <f t="shared" si="3"/>
        <v>0.5</v>
      </c>
      <c r="D6" s="7">
        <f t="shared" si="3"/>
        <v>0.5</v>
      </c>
      <c r="E6" s="7">
        <f t="shared" si="3"/>
        <v>0.25</v>
      </c>
      <c r="F6" s="7">
        <f t="shared" si="3"/>
        <v>0.5</v>
      </c>
      <c r="G6" s="10"/>
    </row>
    <row r="7" s="1" customFormat="1" ht="150" customHeight="1" spans="1:7">
      <c r="A7" s="4" t="s">
        <v>11</v>
      </c>
      <c r="B7" s="5" t="s">
        <v>130</v>
      </c>
      <c r="C7" s="5" t="s">
        <v>131</v>
      </c>
      <c r="D7" s="5" t="s">
        <v>132</v>
      </c>
      <c r="E7" s="5" t="s">
        <v>133</v>
      </c>
      <c r="F7" s="5" t="s">
        <v>53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捡软柿子
至少10题</v>
      </c>
      <c r="C9" s="11" t="str" cm="1">
        <f ca="1" t="array" ref="C9">IF(COUNTA(INDIRECT(_xlfn.CONCAT($G2,"!",CHAR(64+COLUMN()),7)))&gt;0,INDIRECT(_xlfn.CONCAT($G2,"!",CHAR(64+COLUMN()),7)),"")</f>
        <v>计组计算题
至少10题</v>
      </c>
      <c r="D9" s="11" t="str" cm="1">
        <f ca="1" t="array" ref="D9">IF(COUNTA(INDIRECT(_xlfn.CONCAT($G2,"!",CHAR(64+COLUMN()),7)))&gt;0,INDIRECT(_xlfn.CONCAT($G2,"!",CHAR(64+COLUMN()),7)),"")</f>
        <v>笔记复习
至少5题</v>
      </c>
      <c r="E9" s="11" t="str" cm="1">
        <f ca="1" t="array" ref="E9">IF(COUNTA(INDIRECT(_xlfn.CONCAT($G2,"!",CHAR(64+COLUMN()),7)))&gt;0,INDIRECT(_xlfn.CONCAT($G2,"!",CHAR(64+COLUMN()),7)),"")</f>
        <v>660视频
至少10集</v>
      </c>
      <c r="F9" s="11" t="str" cm="1">
        <f ca="1" t="array" ref="F9">IF(COUNTA(INDIRECT(_xlfn.CONCAT($G2,"!",CHAR(64+COLUMN()),7)))&gt;0,INDIRECT(_xlfn.CONCAT($G2,"!",CHAR(64+COLUMN()),7)),"")</f>
        <v>408小程序
至少10题</v>
      </c>
      <c r="G9" s="10"/>
    </row>
    <row r="10" ht="15.15" spans="1:7">
      <c r="A10" s="12" t="s">
        <v>16</v>
      </c>
      <c r="B10" s="13">
        <f>SUM(A8,A6,A4,A2)</f>
        <v>6.75</v>
      </c>
      <c r="C10" s="12" t="s">
        <v>17</v>
      </c>
      <c r="D10" s="13">
        <v>5.33</v>
      </c>
      <c r="E10" s="12" t="s">
        <v>18</v>
      </c>
      <c r="F10" s="13">
        <f>B10+D10</f>
        <v>12.08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C7" sqref="C7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>
        <v>2021</v>
      </c>
      <c r="C1" s="5">
        <v>2022</v>
      </c>
      <c r="D1" s="5" t="s">
        <v>134</v>
      </c>
      <c r="E1" s="5" t="s">
        <v>135</v>
      </c>
      <c r="F1" s="5" t="s">
        <v>53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20250608</v>
      </c>
    </row>
    <row r="3" s="1" customFormat="1" ht="150" customHeight="1" spans="1:7">
      <c r="A3" s="4" t="s">
        <v>3</v>
      </c>
      <c r="B3" s="5"/>
      <c r="C3" s="5" t="s">
        <v>136</v>
      </c>
      <c r="D3" s="5" t="s">
        <v>137</v>
      </c>
      <c r="E3" s="1" t="s">
        <v>138</v>
      </c>
      <c r="F3" s="5" t="s">
        <v>139</v>
      </c>
      <c r="G3" s="4" t="s">
        <v>57</v>
      </c>
    </row>
    <row r="4" customFormat="1" ht="15.15" spans="1:7">
      <c r="A4" s="6">
        <f t="shared" si="0"/>
        <v>2</v>
      </c>
      <c r="B4" s="7">
        <f t="shared" ref="B4:F4" si="2">IF(COUNTA(B3)&gt;0,IF(COUNTA(B1),0.5,0.25),0)</f>
        <v>0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20250609</v>
      </c>
    </row>
    <row r="5" s="1" customFormat="1" ht="150" customHeight="1" spans="1:7">
      <c r="A5" s="4" t="s">
        <v>8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2.25</v>
      </c>
      <c r="B6" s="7">
        <f t="shared" ref="B6:F6" si="3">IF(COUNTA(B1)&gt;0,IF(COUNTA(B3)&gt;0,IF(B5="完成",0.5,0.25),IF(B5="完成",0.25,0)),0)</f>
        <v>0.25</v>
      </c>
      <c r="C6" s="7">
        <f t="shared" si="3"/>
        <v>0.5</v>
      </c>
      <c r="D6" s="7">
        <f t="shared" si="3"/>
        <v>0.5</v>
      </c>
      <c r="E6" s="7">
        <f t="shared" si="3"/>
        <v>0.5</v>
      </c>
      <c r="F6" s="7">
        <f t="shared" si="3"/>
        <v>0.5</v>
      </c>
      <c r="G6" s="10"/>
    </row>
    <row r="7" s="1" customFormat="1" ht="150" customHeight="1" spans="1:7">
      <c r="A7" s="4" t="s">
        <v>11</v>
      </c>
      <c r="B7" s="5" t="s">
        <v>140</v>
      </c>
      <c r="C7" s="5" t="s">
        <v>141</v>
      </c>
      <c r="D7" s="5" t="s">
        <v>53</v>
      </c>
      <c r="E7" s="5" t="s">
        <v>125</v>
      </c>
      <c r="F7" s="5" t="s">
        <v>142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新东方习题集
2021
至少5题</v>
      </c>
      <c r="C9" s="11" t="str" cm="1">
        <f ca="1" t="array" ref="C9">IF(COUNTA(INDIRECT(_xlfn.CONCAT($G2,"!",CHAR(64+COLUMN()),7)))&gt;0,INDIRECT(_xlfn.CONCAT($G2,"!",CHAR(64+COLUMN()),7)),"")</f>
        <v>新东方习题集
2022
至少5题</v>
      </c>
      <c r="D9" s="11" t="str" cm="1">
        <f ca="1" t="array" ref="D9">IF(COUNTA(INDIRECT(_xlfn.CONCAT($G2,"!",CHAR(64+COLUMN()),7)))&gt;0,INDIRECT(_xlfn.CONCAT($G2,"!",CHAR(64+COLUMN()),7)),"")</f>
        <v>易错题
至少2题</v>
      </c>
      <c r="E9" s="11" t="str" cm="1">
        <f ca="1" t="array" ref="E9">IF(COUNTA(INDIRECT(_xlfn.CONCAT($G2,"!",CHAR(64+COLUMN()),7)))&gt;0,INDIRECT(_xlfn.CONCAT($G2,"!",CHAR(64+COLUMN()),7)),"")</f>
        <v>严选题
至少2题</v>
      </c>
      <c r="F9" s="11" t="str" cm="1">
        <f ca="1" t="array" ref="F9">IF(COUNTA(INDIRECT(_xlfn.CONCAT($G2,"!",CHAR(64+COLUMN()),7)))&gt;0,INDIRECT(_xlfn.CONCAT($G2,"!",CHAR(64+COLUMN()),7)),"")</f>
        <v>660视频
至少5集</v>
      </c>
      <c r="G9" s="10"/>
    </row>
    <row r="10" ht="15.15" spans="1:7">
      <c r="A10" s="12" t="s">
        <v>16</v>
      </c>
      <c r="B10" s="13">
        <f>SUM(A8,A6,A4,A2)</f>
        <v>6.75</v>
      </c>
      <c r="C10" s="12" t="s">
        <v>17</v>
      </c>
      <c r="D10" s="13">
        <v>12.33</v>
      </c>
      <c r="E10" s="12" t="s">
        <v>18</v>
      </c>
      <c r="F10" s="13">
        <f>B10+D10</f>
        <v>19.08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F8" sqref="F8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143</v>
      </c>
      <c r="C1" s="5" t="s">
        <v>144</v>
      </c>
      <c r="D1" s="5" t="s">
        <v>145</v>
      </c>
      <c r="E1" s="5" t="s">
        <v>110</v>
      </c>
      <c r="F1" s="5" t="s">
        <v>142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20250609</v>
      </c>
    </row>
    <row r="3" s="1" customFormat="1" ht="150" customHeight="1" spans="1:7">
      <c r="A3" s="4" t="s">
        <v>3</v>
      </c>
      <c r="B3" s="5"/>
      <c r="C3" s="5" t="s">
        <v>146</v>
      </c>
      <c r="D3" s="5" t="s">
        <v>147</v>
      </c>
      <c r="E3" s="1"/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</v>
      </c>
      <c r="C4" s="7">
        <f t="shared" si="2"/>
        <v>0.5</v>
      </c>
      <c r="D4" s="7">
        <f t="shared" si="2"/>
        <v>0.5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20250610</v>
      </c>
    </row>
    <row r="5" s="1" customFormat="1" ht="150" customHeight="1" spans="1:7">
      <c r="A5" s="4" t="s">
        <v>8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1.5</v>
      </c>
      <c r="B6" s="7">
        <f t="shared" ref="B6:F6" si="3">IF(COUNTA(B1)&gt;0,IF(COUNTA(B3)&gt;0,IF(B5="完成",0.5,0.25),IF(B5="完成",0.25,0)),0)</f>
        <v>0.25</v>
      </c>
      <c r="C6" s="7">
        <f t="shared" si="3"/>
        <v>0.5</v>
      </c>
      <c r="D6" s="7">
        <f t="shared" si="3"/>
        <v>0.5</v>
      </c>
      <c r="E6" s="7">
        <f t="shared" si="3"/>
        <v>0.25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148</v>
      </c>
      <c r="C7" s="5" t="s">
        <v>149</v>
      </c>
      <c r="D7" s="5" t="s">
        <v>150</v>
      </c>
      <c r="E7" s="5" t="s">
        <v>151</v>
      </c>
      <c r="F7" s="5" t="s">
        <v>142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2021+2022
一共20题</v>
      </c>
      <c r="C9" s="11" t="str" cm="1">
        <f ca="1" t="array" ref="C9">IF(COUNTA(INDIRECT(_xlfn.CONCAT($G2,"!",CHAR(64+COLUMN()),7)))&gt;0,INDIRECT(_xlfn.CONCAT($G2,"!",CHAR(64+COLUMN()),7)),"")</f>
        <v>严选题+易错题
一共10题</v>
      </c>
      <c r="D9" s="11" t="str" cm="1">
        <f ca="1" t="array" ref="D9">IF(COUNTA(INDIRECT(_xlfn.CONCAT($G2,"!",CHAR(64+COLUMN()),7)))&gt;0,INDIRECT(_xlfn.CONCAT($G2,"!",CHAR(64+COLUMN()),7)),"")</f>
        <v>660视频
至少5集</v>
      </c>
      <c r="E9" s="11" t="str" cm="1">
        <f ca="1" t="array" ref="E9">IF(COUNTA(INDIRECT(_xlfn.CONCAT($G2,"!",CHAR(64+COLUMN()),7)))&gt;0,INDIRECT(_xlfn.CONCAT($G2,"!",CHAR(64+COLUMN()),7)),"")</f>
        <v>408小程序</v>
      </c>
      <c r="F9" s="11" t="str" cm="1">
        <f ca="1" t="array" ref="F9">IF(COUNTA(INDIRECT(_xlfn.CONCAT($G2,"!",CHAR(64+COLUMN()),7)))&gt;0,INDIRECT(_xlfn.CONCAT($G2,"!",CHAR(64+COLUMN()),7)),"")</f>
        <v>计组计算题
2*Booth
2*恢复余数
2*浮点数表示
2*汉明码
2*CRC校验
2*指令流水性能</v>
      </c>
      <c r="G9" s="10"/>
    </row>
    <row r="10" ht="15.15" spans="1:7">
      <c r="A10" s="12" t="s">
        <v>16</v>
      </c>
      <c r="B10" s="13">
        <f>SUM(A8,A6,A4,A2)</f>
        <v>4.75</v>
      </c>
      <c r="C10" s="12" t="s">
        <v>17</v>
      </c>
      <c r="D10" s="13">
        <v>2.33</v>
      </c>
      <c r="E10" s="12" t="s">
        <v>18</v>
      </c>
      <c r="F10" s="13">
        <f>B10+D10</f>
        <v>7.08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3" workbookViewId="0">
      <selection activeCell="D9" sqref="D9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148</v>
      </c>
      <c r="C1" s="5" t="s">
        <v>149</v>
      </c>
      <c r="D1" s="5" t="s">
        <v>110</v>
      </c>
      <c r="E1" s="5" t="s">
        <v>125</v>
      </c>
      <c r="F1" s="5" t="s">
        <v>142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20250610</v>
      </c>
    </row>
    <row r="3" s="1" customFormat="1" ht="150" customHeight="1" spans="1:7">
      <c r="A3" s="4" t="s">
        <v>3</v>
      </c>
      <c r="B3" s="5"/>
      <c r="C3" s="5" t="s">
        <v>152</v>
      </c>
      <c r="D3" s="5" t="s">
        <v>153</v>
      </c>
      <c r="E3" s="1" t="s">
        <v>154</v>
      </c>
      <c r="F3" s="5"/>
      <c r="G3" s="4" t="s">
        <v>57</v>
      </c>
    </row>
    <row r="4" customFormat="1" ht="15.15" spans="1:7">
      <c r="A4" s="6">
        <f t="shared" si="0"/>
        <v>1.5</v>
      </c>
      <c r="B4" s="7">
        <f t="shared" ref="B4:F4" si="2">IF(COUNTA(B3)&gt;0,IF(COUNTA(B1),0.5,0.25),0)</f>
        <v>0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20250611</v>
      </c>
    </row>
    <row r="5" s="1" customFormat="1" ht="150" customHeight="1" spans="1:7">
      <c r="A5" s="4" t="s">
        <v>8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1.75</v>
      </c>
      <c r="B6" s="7">
        <f t="shared" ref="B6:F6" si="3">IF(COUNTA(B1)&gt;0,IF(COUNTA(B3)&gt;0,IF(B5="完成",0.5,0.25),IF(B5="完成",0.25,0)),0)</f>
        <v>0.25</v>
      </c>
      <c r="C6" s="7">
        <f t="shared" si="3"/>
        <v>0.5</v>
      </c>
      <c r="D6" s="7">
        <f t="shared" si="3"/>
        <v>0.5</v>
      </c>
      <c r="E6" s="7">
        <f t="shared" si="3"/>
        <v>0.5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148</v>
      </c>
      <c r="C7" s="5" t="s">
        <v>149</v>
      </c>
      <c r="D7" s="5" t="s">
        <v>110</v>
      </c>
      <c r="E7" s="5" t="s">
        <v>125</v>
      </c>
      <c r="F7" s="5" t="s">
        <v>142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新东方
10</v>
      </c>
      <c r="C9" s="11" t="str" cm="1">
        <f ca="1" t="array" ref="C9">IF(COUNTA(INDIRECT(_xlfn.CONCAT($G2,"!",CHAR(64+COLUMN()),7)))&gt;0,INDIRECT(_xlfn.CONCAT($G2,"!",CHAR(64+COLUMN()),7)),"")</f>
        <v>金榜时代
10</v>
      </c>
      <c r="D9" s="11" t="str" cm="1">
        <f ca="1" t="array" ref="D9">IF(COUNTA(INDIRECT(_xlfn.CONCAT($G2,"!",CHAR(64+COLUMN()),7)))&gt;0,INDIRECT(_xlfn.CONCAT($G2,"!",CHAR(64+COLUMN()),7)),"")</f>
        <v>小程序
10</v>
      </c>
      <c r="E9" s="11" t="str" cm="1">
        <f ca="1" t="array" ref="E9">IF(COUNTA(INDIRECT(_xlfn.CONCAT($G2,"!",CHAR(64+COLUMN()),7)))&gt;0,INDIRECT(_xlfn.CONCAT($G2,"!",CHAR(64+COLUMN()),7)),"")</f>
        <v>660视频
5</v>
      </c>
      <c r="F9" s="11" t="str" cm="1">
        <f ca="1" t="array" ref="F9">IF(COUNTA(INDIRECT(_xlfn.CONCAT($G2,"!",CHAR(64+COLUMN()),7)))&gt;0,INDIRECT(_xlfn.CONCAT($G2,"!",CHAR(64+COLUMN()),7)),"")</f>
        <v>计组计算题
2*Booth
2*恢复余数
2*浮点数表示
2*汉明码
2*CRC校验
2*指令流水性能</v>
      </c>
      <c r="G9" s="10"/>
    </row>
    <row r="10" ht="15.15" spans="1:7">
      <c r="A10" s="12" t="s">
        <v>16</v>
      </c>
      <c r="B10" s="13">
        <f>SUM(A8,A6,A4,A2)</f>
        <v>5.5</v>
      </c>
      <c r="C10" s="12" t="s">
        <v>17</v>
      </c>
      <c r="D10" s="13">
        <v>4.83</v>
      </c>
      <c r="E10" s="12" t="s">
        <v>18</v>
      </c>
      <c r="F10" s="13">
        <f>B10+D10</f>
        <v>10.33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F8" sqref="F8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52</v>
      </c>
      <c r="C1" s="5" t="s">
        <v>110</v>
      </c>
      <c r="D1" s="5" t="s">
        <v>143</v>
      </c>
      <c r="E1" s="5" t="s">
        <v>144</v>
      </c>
      <c r="F1" s="5" t="s">
        <v>125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20250611</v>
      </c>
    </row>
    <row r="3" s="1" customFormat="1" ht="150" customHeight="1" spans="1:7">
      <c r="A3" s="4" t="s">
        <v>3</v>
      </c>
      <c r="B3" s="5"/>
      <c r="C3" s="5" t="s">
        <v>155</v>
      </c>
      <c r="D3" s="5"/>
      <c r="E3" s="1" t="s">
        <v>156</v>
      </c>
      <c r="F3" s="5" t="s">
        <v>157</v>
      </c>
      <c r="G3" s="4" t="s">
        <v>57</v>
      </c>
    </row>
    <row r="4" customFormat="1" ht="15.15" spans="1:7">
      <c r="A4" s="6">
        <f t="shared" si="0"/>
        <v>1.5</v>
      </c>
      <c r="B4" s="7">
        <f t="shared" ref="B4:F4" si="2">IF(COUNTA(B3)&gt;0,IF(COUNTA(B1),0.5,0.25),0)</f>
        <v>0</v>
      </c>
      <c r="C4" s="7">
        <f t="shared" si="2"/>
        <v>0.5</v>
      </c>
      <c r="D4" s="7">
        <f t="shared" si="2"/>
        <v>0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20250612</v>
      </c>
    </row>
    <row r="5" s="1" customFormat="1" ht="150" customHeight="1" spans="1:7">
      <c r="A5" s="4" t="s">
        <v>8</v>
      </c>
      <c r="B5" s="5"/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1.75</v>
      </c>
      <c r="B6" s="7">
        <f t="shared" ref="B6:F6" si="3">IF(COUNTA(B1)&gt;0,IF(COUNTA(B3)&gt;0,IF(B5="完成",0.5,0.25),IF(B5="完成",0.25,0)),0)</f>
        <v>0</v>
      </c>
      <c r="C6" s="7">
        <f t="shared" si="3"/>
        <v>0.5</v>
      </c>
      <c r="D6" s="7">
        <f t="shared" si="3"/>
        <v>0.25</v>
      </c>
      <c r="E6" s="7">
        <f t="shared" si="3"/>
        <v>0.5</v>
      </c>
      <c r="F6" s="7">
        <f t="shared" si="3"/>
        <v>0.5</v>
      </c>
      <c r="G6" s="10"/>
    </row>
    <row r="7" s="1" customFormat="1" ht="150" customHeight="1" spans="1:7">
      <c r="A7" s="4" t="s">
        <v>11</v>
      </c>
      <c r="B7" s="5" t="s">
        <v>52</v>
      </c>
      <c r="C7" s="5" t="s">
        <v>158</v>
      </c>
      <c r="D7" s="5" t="s">
        <v>159</v>
      </c>
      <c r="E7" s="5" t="s">
        <v>149</v>
      </c>
      <c r="F7" s="5" t="s">
        <v>160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IF(COUNTA(B7)&gt;0,IF(COUNTA(B1)&gt;0,IF(B5="完成",0.25,0),0.25),0)</f>
        <v>0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新东方
10</v>
      </c>
      <c r="C9" s="11" t="str" cm="1">
        <f ca="1" t="array" ref="C9">IF(COUNTA(INDIRECT(_xlfn.CONCAT($G2,"!",CHAR(64+COLUMN()),7)))&gt;0,INDIRECT(_xlfn.CONCAT($G2,"!",CHAR(64+COLUMN()),7)),"")</f>
        <v>金榜时代
10</v>
      </c>
      <c r="D9" s="11" t="str" cm="1">
        <f ca="1" t="array" ref="D9">IF(COUNTA(INDIRECT(_xlfn.CONCAT($G2,"!",CHAR(64+COLUMN()),7)))&gt;0,INDIRECT(_xlfn.CONCAT($G2,"!",CHAR(64+COLUMN()),7)),"")</f>
        <v>660视频</v>
      </c>
      <c r="E9" s="11" t="str" cm="1">
        <f ca="1" t="array" ref="E9">IF(COUNTA(INDIRECT(_xlfn.CONCAT($G2,"!",CHAR(64+COLUMN()),7)))&gt;0,INDIRECT(_xlfn.CONCAT($G2,"!",CHAR(64+COLUMN()),7)),"")</f>
        <v>408小程序</v>
      </c>
      <c r="F9" s="11" t="str" cm="1">
        <f ca="1" t="array" ref="F9">IF(COUNTA(INDIRECT(_xlfn.CONCAT($G2,"!",CHAR(64+COLUMN()),7)))&gt;0,INDIRECT(_xlfn.CONCAT($G2,"!",CHAR(64+COLUMN()),7)),"")</f>
        <v>计组计算题
2*Booth
2*恢复余数
2*浮点数表示
2*汉明码
2*CRC校验
2*指令流水性能</v>
      </c>
      <c r="G9" s="10"/>
    </row>
    <row r="10" ht="15.15" spans="1:7">
      <c r="A10" s="12" t="s">
        <v>16</v>
      </c>
      <c r="B10" s="13">
        <f>SUM(A8,A6,A4,A2)</f>
        <v>5.5</v>
      </c>
      <c r="C10" s="12" t="s">
        <v>17</v>
      </c>
      <c r="D10" s="13">
        <v>9.17</v>
      </c>
      <c r="E10" s="12" t="s">
        <v>18</v>
      </c>
      <c r="F10" s="13">
        <f>B10+D10</f>
        <v>14.67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3" workbookViewId="0">
      <selection activeCell="F8" sqref="F8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161</v>
      </c>
      <c r="C1" s="5" t="s">
        <v>162</v>
      </c>
      <c r="D1" s="5" t="s">
        <v>144</v>
      </c>
      <c r="E1" s="5" t="s">
        <v>163</v>
      </c>
      <c r="F1" s="5" t="s">
        <v>52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20250612</v>
      </c>
    </row>
    <row r="3" s="1" customFormat="1" ht="150" customHeight="1" spans="1:7">
      <c r="A3" s="4" t="s">
        <v>3</v>
      </c>
      <c r="B3" s="5"/>
      <c r="C3" s="5"/>
      <c r="D3" s="5" t="s">
        <v>164</v>
      </c>
      <c r="E3" s="1" t="s">
        <v>165</v>
      </c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0.5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20250613</v>
      </c>
    </row>
    <row r="5" s="1" customFormat="1" ht="150" customHeight="1" spans="1:7">
      <c r="A5" s="4" t="s">
        <v>8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1.5</v>
      </c>
      <c r="B6" s="7">
        <f t="shared" ref="B6:F6" si="3">IF(COUNTA(B1)&gt;0,IF(COUNTA(B3)&gt;0,IF(B5="完成",0.5,0.25),IF(B5="完成",0.25,0)),0)</f>
        <v>0.25</v>
      </c>
      <c r="C6" s="7">
        <f t="shared" si="3"/>
        <v>0.25</v>
      </c>
      <c r="D6" s="7">
        <f t="shared" si="3"/>
        <v>0.5</v>
      </c>
      <c r="E6" s="7">
        <f t="shared" si="3"/>
        <v>0.5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 t="s">
        <v>166</v>
      </c>
      <c r="C7" s="5" t="s">
        <v>166</v>
      </c>
      <c r="D7" s="5" t="s">
        <v>166</v>
      </c>
      <c r="E7" s="5" t="s">
        <v>166</v>
      </c>
      <c r="F7" s="5" t="s">
        <v>163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计组计算题</v>
      </c>
      <c r="C9" s="11" t="str" cm="1">
        <f ca="1" t="array" ref="C9">IF(COUNTA(INDIRECT(_xlfn.CONCAT($G2,"!",CHAR(64+COLUMN()),7)))&gt;0,INDIRECT(_xlfn.CONCAT($G2,"!",CHAR(64+COLUMN()),7)),"")</f>
        <v>新东方
2021
10</v>
      </c>
      <c r="D9" s="11" t="str" cm="1">
        <f ca="1" t="array" ref="D9">IF(COUNTA(INDIRECT(_xlfn.CONCAT($G2,"!",CHAR(64+COLUMN()),7)))&gt;0,INDIRECT(_xlfn.CONCAT($G2,"!",CHAR(64+COLUMN()),7)),"")</f>
        <v>新东方
2022
10</v>
      </c>
      <c r="E9" s="11" t="str" cm="1">
        <f ca="1" t="array" ref="E9">IF(COUNTA(INDIRECT(_xlfn.CONCAT($G2,"!",CHAR(64+COLUMN()),7)))&gt;0,INDIRECT(_xlfn.CONCAT($G2,"!",CHAR(64+COLUMN()),7)),"")</f>
        <v>金榜时代
10</v>
      </c>
      <c r="F9" s="11" t="str" cm="1">
        <f ca="1" t="array" ref="F9">IF(COUNTA(INDIRECT(_xlfn.CONCAT($G2,"!",CHAR(64+COLUMN()),7)))&gt;0,INDIRECT(_xlfn.CONCAT($G2,"!",CHAR(64+COLUMN()),7)),"")</f>
        <v>408小程序
10
660视频
5</v>
      </c>
      <c r="G9" s="10"/>
    </row>
    <row r="10" ht="15.15" spans="1:7">
      <c r="A10" s="12" t="s">
        <v>16</v>
      </c>
      <c r="B10" s="13">
        <f>SUM(A8,A6,A4,A2)</f>
        <v>4.75</v>
      </c>
      <c r="C10" s="12" t="s">
        <v>17</v>
      </c>
      <c r="D10" s="13">
        <v>3.17</v>
      </c>
      <c r="E10" s="12" t="s">
        <v>18</v>
      </c>
      <c r="F10" s="13">
        <f>B10+D10</f>
        <v>7.92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B8" sqref="B8:F8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>
        <v>2021</v>
      </c>
      <c r="C1" s="5">
        <v>2021</v>
      </c>
      <c r="D1" s="5">
        <v>2021</v>
      </c>
      <c r="E1" s="5">
        <v>2021</v>
      </c>
      <c r="F1" s="5" t="s">
        <v>167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20250613</v>
      </c>
    </row>
    <row r="3" s="1" customFormat="1" ht="150" customHeight="1" spans="1:7">
      <c r="A3" s="4" t="s">
        <v>3</v>
      </c>
      <c r="B3" s="5"/>
      <c r="C3" s="5"/>
      <c r="D3" s="5"/>
      <c r="E3" s="1"/>
      <c r="F3" s="5" t="s">
        <v>168</v>
      </c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0.5</v>
      </c>
      <c r="G4" s="8" t="str" cm="1">
        <f ca="1" t="array" ref="G4">_wpsfn.SHEETSNAME(A1)</f>
        <v>20250614</v>
      </c>
    </row>
    <row r="5" s="1" customFormat="1" ht="150" customHeight="1" spans="1:7">
      <c r="A5" s="4" t="s">
        <v>8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1.5</v>
      </c>
      <c r="B6" s="7">
        <f t="shared" ref="B6:F6" si="3">IF(COUNTA(B1)&gt;0,IF(COUNTA(B3)&gt;0,IF(B5="完成",0.5,0.25),IF(B5="完成",0.25,0)),0)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0.5</v>
      </c>
      <c r="G6" s="10"/>
    </row>
    <row r="7" s="1" customFormat="1" ht="150" customHeight="1" spans="1:7">
      <c r="A7" s="4" t="s">
        <v>11</v>
      </c>
      <c r="B7" s="5">
        <v>2021</v>
      </c>
      <c r="C7" s="5">
        <v>2021</v>
      </c>
      <c r="D7" s="5">
        <v>2021</v>
      </c>
      <c r="E7" s="5">
        <v>2021</v>
      </c>
      <c r="F7" s="5" t="s">
        <v>167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IF(COUNTA(B7)&gt;0,IF(COUNTA(B1)&gt;0,IF(B5="完成",0.25,0),0.25),0)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新东方
2021
10题</v>
      </c>
      <c r="C9" s="11" t="str" cm="1">
        <f ca="1" t="array" ref="C9">IF(COUNTA(INDIRECT(_xlfn.CONCAT($G2,"!",CHAR(64+COLUMN()),7)))&gt;0,INDIRECT(_xlfn.CONCAT($G2,"!",CHAR(64+COLUMN()),7)),"")</f>
        <v>新东方
2021
10题</v>
      </c>
      <c r="D9" s="11" t="str" cm="1">
        <f ca="1" t="array" ref="D9">IF(COUNTA(INDIRECT(_xlfn.CONCAT($G2,"!",CHAR(64+COLUMN()),7)))&gt;0,INDIRECT(_xlfn.CONCAT($G2,"!",CHAR(64+COLUMN()),7)),"")</f>
        <v>新东方
2021
10题</v>
      </c>
      <c r="E9" s="11" t="str" cm="1">
        <f ca="1" t="array" ref="E9">IF(COUNTA(INDIRECT(_xlfn.CONCAT($G2,"!",CHAR(64+COLUMN()),7)))&gt;0,INDIRECT(_xlfn.CONCAT($G2,"!",CHAR(64+COLUMN()),7)),"")</f>
        <v>新东方
2021
10题</v>
      </c>
      <c r="F9" s="11" t="str" cm="1">
        <f ca="1" t="array" ref="F9">IF(COUNTA(INDIRECT(_xlfn.CONCAT($G2,"!",CHAR(64+COLUMN()),7)))&gt;0,INDIRECT(_xlfn.CONCAT($G2,"!",CHAR(64+COLUMN()),7)),"")</f>
        <v>660视频
408小程序</v>
      </c>
      <c r="G9" s="10"/>
    </row>
    <row r="10" ht="15.15" spans="1:7">
      <c r="A10" s="12" t="s">
        <v>16</v>
      </c>
      <c r="B10" s="13">
        <f>SUM(A8,A6,A4,A2)</f>
        <v>4.5</v>
      </c>
      <c r="C10" s="12" t="s">
        <v>17</v>
      </c>
      <c r="D10" s="13">
        <v>3.17</v>
      </c>
      <c r="E10" s="12" t="s">
        <v>18</v>
      </c>
      <c r="F10" s="13">
        <f>B10+D10</f>
        <v>7.67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6" workbookViewId="0">
      <selection activeCell="D11" sqref="D11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>
        <v>2021</v>
      </c>
      <c r="C1" s="5">
        <v>2021</v>
      </c>
      <c r="D1" s="5">
        <v>2021</v>
      </c>
      <c r="E1" s="5">
        <v>2021</v>
      </c>
      <c r="F1" s="5" t="s">
        <v>167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20250614</v>
      </c>
    </row>
    <row r="3" s="1" customFormat="1" ht="150" customHeight="1" spans="1:7">
      <c r="A3" s="4" t="s">
        <v>3</v>
      </c>
      <c r="B3" s="5"/>
      <c r="C3" s="5"/>
      <c r="D3" s="5"/>
      <c r="E3" s="1" t="s">
        <v>169</v>
      </c>
      <c r="F3" s="5" t="s">
        <v>170</v>
      </c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20250615</v>
      </c>
    </row>
    <row r="5" s="1" customFormat="1" ht="150" customHeight="1" spans="1:7">
      <c r="A5" s="4" t="s">
        <v>8</v>
      </c>
      <c r="B5" s="5"/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1.5</v>
      </c>
      <c r="B6" s="7">
        <f t="shared" ref="B6:F6" si="3">IF(COUNTA(B1)&gt;0,IF(COUNTA(B3)&gt;0,IF(B5="完成",0.5,0.25),IF(B5="完成",0.25,0)),0)</f>
        <v>0</v>
      </c>
      <c r="C6" s="7">
        <f t="shared" si="3"/>
        <v>0.25</v>
      </c>
      <c r="D6" s="7">
        <f t="shared" si="3"/>
        <v>0.25</v>
      </c>
      <c r="E6" s="7">
        <f t="shared" si="3"/>
        <v>0.5</v>
      </c>
      <c r="F6" s="7">
        <f t="shared" si="3"/>
        <v>0.5</v>
      </c>
      <c r="G6" s="10"/>
    </row>
    <row r="7" s="1" customFormat="1" ht="150" customHeight="1" spans="1:7">
      <c r="A7" s="4" t="s">
        <v>11</v>
      </c>
      <c r="B7" s="5" t="s">
        <v>171</v>
      </c>
      <c r="C7" s="5" t="s">
        <v>172</v>
      </c>
      <c r="D7" s="5" t="s">
        <v>173</v>
      </c>
      <c r="E7" s="5" t="s">
        <v>167</v>
      </c>
      <c r="F7" s="5" t="s">
        <v>174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IF(COUNTA(B7)&gt;0,IF(COUNTA(B1)&gt;0,IF(B5="完成",0.25,0),0.25),0)</f>
        <v>0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50" customHeight="1" spans="1:7">
      <c r="A9" s="4" t="s">
        <v>61</v>
      </c>
      <c r="B9" s="11" cm="1">
        <f ca="1" t="array" ref="B9">IF(COUNTA(INDIRECT(_xlfn.CONCAT($G2,"!",CHAR(64+COLUMN()),7)))&gt;0,INDIRECT(_xlfn.CONCAT($G2,"!",CHAR(64+COLUMN()),7)),"")</f>
        <v>2021</v>
      </c>
      <c r="C9" s="11" cm="1">
        <f ca="1" t="array" ref="C9">IF(COUNTA(INDIRECT(_xlfn.CONCAT($G2,"!",CHAR(64+COLUMN()),7)))&gt;0,INDIRECT(_xlfn.CONCAT($G2,"!",CHAR(64+COLUMN()),7)),"")</f>
        <v>2021</v>
      </c>
      <c r="D9" s="11" cm="1">
        <f ca="1" t="array" ref="D9">IF(COUNTA(INDIRECT(_xlfn.CONCAT($G2,"!",CHAR(64+COLUMN()),7)))&gt;0,INDIRECT(_xlfn.CONCAT($G2,"!",CHAR(64+COLUMN()),7)),"")</f>
        <v>2021</v>
      </c>
      <c r="E9" s="11" cm="1">
        <f ca="1" t="array" ref="E9">IF(COUNTA(INDIRECT(_xlfn.CONCAT($G2,"!",CHAR(64+COLUMN()),7)))&gt;0,INDIRECT(_xlfn.CONCAT($G2,"!",CHAR(64+COLUMN()),7)),"")</f>
        <v>2021</v>
      </c>
      <c r="F9" s="11" t="str" cm="1">
        <f ca="1" t="array" ref="F9">IF(COUNTA(INDIRECT(_xlfn.CONCAT($G2,"!",CHAR(64+COLUMN()),7)))&gt;0,INDIRECT(_xlfn.CONCAT($G2,"!",CHAR(64+COLUMN()),7)),"")</f>
        <v>408+660</v>
      </c>
      <c r="G9" s="10"/>
    </row>
    <row r="10" ht="15.15" spans="1:7">
      <c r="A10" s="12" t="s">
        <v>16</v>
      </c>
      <c r="B10" s="13">
        <f>SUM(A8,A6,A4,A2)</f>
        <v>4.75</v>
      </c>
      <c r="C10" s="12" t="s">
        <v>17</v>
      </c>
      <c r="D10" s="13">
        <v>4.17</v>
      </c>
      <c r="E10" s="12" t="s">
        <v>18</v>
      </c>
      <c r="F10" s="13">
        <f>B10+D10</f>
        <v>8.92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B8" sqref="B8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171</v>
      </c>
      <c r="C1" s="5" t="s">
        <v>172</v>
      </c>
      <c r="D1" s="5" t="s">
        <v>175</v>
      </c>
      <c r="E1" s="5" t="s">
        <v>176</v>
      </c>
      <c r="F1" s="5" t="s">
        <v>167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20250615</v>
      </c>
    </row>
    <row r="3" s="1" customFormat="1" ht="150" customHeight="1" spans="1:7">
      <c r="A3" s="4" t="s">
        <v>3</v>
      </c>
      <c r="B3" s="5"/>
      <c r="C3" s="5"/>
      <c r="D3" s="5" t="s">
        <v>177</v>
      </c>
      <c r="E3" s="1" t="s">
        <v>178</v>
      </c>
      <c r="F3" s="5" t="s">
        <v>179</v>
      </c>
      <c r="G3" s="4" t="s">
        <v>57</v>
      </c>
    </row>
    <row r="4" customFormat="1" ht="15.15" spans="1:7">
      <c r="A4" s="6">
        <f t="shared" si="0"/>
        <v>1.5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20250616</v>
      </c>
    </row>
    <row r="5" s="1" customFormat="1" ht="150" customHeight="1" spans="1:7">
      <c r="A5" s="4" t="s">
        <v>8</v>
      </c>
      <c r="B5" s="5"/>
      <c r="C5" s="5"/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1.5</v>
      </c>
      <c r="B6" s="7">
        <f t="shared" ref="B6:F6" si="3">IF(COUNTA(B1)&gt;0,IF(COUNTA(B3)&gt;0,IF(B5="完成",0.5,0.25),IF(B5="完成",0.25,0)),0)</f>
        <v>0</v>
      </c>
      <c r="C6" s="7">
        <f t="shared" si="3"/>
        <v>0</v>
      </c>
      <c r="D6" s="7">
        <f t="shared" si="3"/>
        <v>0.5</v>
      </c>
      <c r="E6" s="7">
        <f t="shared" si="3"/>
        <v>0.5</v>
      </c>
      <c r="F6" s="7">
        <f t="shared" si="3"/>
        <v>0.5</v>
      </c>
      <c r="G6" s="10"/>
    </row>
    <row r="7" s="1" customFormat="1" ht="150" customHeight="1" spans="1:7">
      <c r="A7" s="4" t="s">
        <v>11</v>
      </c>
      <c r="B7" s="5" t="s">
        <v>176</v>
      </c>
      <c r="C7" s="5" t="s">
        <v>176</v>
      </c>
      <c r="D7" s="5" t="s">
        <v>176</v>
      </c>
      <c r="E7" s="5" t="s">
        <v>180</v>
      </c>
      <c r="F7" s="5" t="s">
        <v>167</v>
      </c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IF(COUNTA(B7)&gt;0,IF(COUNTA(B1)&gt;0,IF(B5="完成",0.25,0),0.25),0)</f>
        <v>0</v>
      </c>
      <c r="C8" s="7">
        <f t="shared" si="4"/>
        <v>0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计网计算题</v>
      </c>
      <c r="C9" s="11" t="str" cm="1">
        <f ca="1" t="array" ref="C9">IF(COUNTA(INDIRECT(_xlfn.CONCAT($G2,"!",CHAR(64+COLUMN()),7)))&gt;0,INDIRECT(_xlfn.CONCAT($G2,"!",CHAR(64+COLUMN()),7)),"")</f>
        <v>系统计算题</v>
      </c>
      <c r="D9" s="11" t="str" cm="1">
        <f ca="1" t="array" ref="D9">IF(COUNTA(INDIRECT(_xlfn.CONCAT($G2,"!",CHAR(64+COLUMN()),7)))&gt;0,INDIRECT(_xlfn.CONCAT($G2,"!",CHAR(64+COLUMN()),7)),"")</f>
        <v>数二真题
抽象函数性质
采集</v>
      </c>
      <c r="E9" s="11" t="str" cm="1">
        <f ca="1" t="array" ref="E9">IF(COUNTA(INDIRECT(_xlfn.CONCAT($G2,"!",CHAR(64+COLUMN()),7)))&gt;0,INDIRECT(_xlfn.CONCAT($G2,"!",CHAR(64+COLUMN()),7)),"")</f>
        <v>408+660</v>
      </c>
      <c r="F9" s="11" t="str" cm="1">
        <f ca="1" t="array" ref="F9">IF(COUNTA(INDIRECT(_xlfn.CONCAT($G2,"!",CHAR(64+COLUMN()),7)))&gt;0,INDIRECT(_xlfn.CONCAT($G2,"!",CHAR(64+COLUMN()),7)),"")</f>
        <v>2021
至少10题</v>
      </c>
      <c r="G9" s="10"/>
    </row>
    <row r="10" ht="15.15" spans="1:7">
      <c r="A10" s="12" t="s">
        <v>16</v>
      </c>
      <c r="B10" s="13">
        <f>SUM(A8,A6,A4,A2)</f>
        <v>5</v>
      </c>
      <c r="C10" s="12" t="s">
        <v>17</v>
      </c>
      <c r="D10" s="13">
        <v>6.83</v>
      </c>
      <c r="E10" s="12" t="s">
        <v>18</v>
      </c>
      <c r="F10" s="13">
        <f>B10+D10</f>
        <v>11.83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D10" sqref="D10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 t="s">
        <v>176</v>
      </c>
      <c r="C1" s="5" t="s">
        <v>176</v>
      </c>
      <c r="D1" s="5" t="s">
        <v>176</v>
      </c>
      <c r="E1" s="5" t="s">
        <v>181</v>
      </c>
      <c r="F1" s="5" t="s">
        <v>167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20250616</v>
      </c>
    </row>
    <row r="3" s="1" customFormat="1" ht="150" customHeight="1" spans="1:7">
      <c r="A3" s="4" t="s">
        <v>3</v>
      </c>
      <c r="B3" s="5"/>
      <c r="C3" s="5"/>
      <c r="D3" s="5"/>
      <c r="E3" s="1"/>
      <c r="F3" s="5" t="s">
        <v>182</v>
      </c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0.5</v>
      </c>
      <c r="G4" s="8" t="str" cm="1">
        <f ca="1" t="array" ref="G4">_wpsfn.SHEETSNAME(A1)</f>
        <v>20250617</v>
      </c>
    </row>
    <row r="5" s="1" customFormat="1" ht="150" customHeight="1" spans="1:7">
      <c r="A5" s="4" t="s">
        <v>8</v>
      </c>
      <c r="B5" s="5"/>
      <c r="C5" s="5"/>
      <c r="D5" s="5"/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0.75</v>
      </c>
      <c r="B6" s="7">
        <f t="shared" ref="B6:F6" si="3">IF(COUNTA(B1)&gt;0,IF(COUNTA(B3)&gt;0,IF(B5="完成",0.5,0.25),IF(B5="完成",0.25,0)),0)</f>
        <v>0</v>
      </c>
      <c r="C6" s="7">
        <f t="shared" si="3"/>
        <v>0</v>
      </c>
      <c r="D6" s="7">
        <f t="shared" si="3"/>
        <v>0</v>
      </c>
      <c r="E6" s="7">
        <f t="shared" si="3"/>
        <v>0.25</v>
      </c>
      <c r="F6" s="7">
        <f t="shared" si="3"/>
        <v>0.5</v>
      </c>
      <c r="G6" s="10"/>
    </row>
    <row r="7" s="1" customFormat="1" ht="150" customHeight="1" spans="1:7">
      <c r="A7" s="4" t="s">
        <v>11</v>
      </c>
      <c r="B7" s="5" t="s">
        <v>176</v>
      </c>
      <c r="C7" s="5" t="s">
        <v>176</v>
      </c>
      <c r="D7" s="5" t="s">
        <v>176</v>
      </c>
      <c r="E7" s="5" t="s">
        <v>183</v>
      </c>
      <c r="F7" s="5" t="s">
        <v>167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IF(COUNTA(B7)&gt;0,IF(COUNTA(B1)&gt;0,IF(B5="完成",0.25,0),0.25),0)</f>
        <v>0</v>
      </c>
      <c r="C8" s="7">
        <f t="shared" si="4"/>
        <v>0</v>
      </c>
      <c r="D8" s="7">
        <f t="shared" si="4"/>
        <v>0</v>
      </c>
      <c r="E8" s="7">
        <f t="shared" si="4"/>
        <v>0.25</v>
      </c>
      <c r="F8" s="7">
        <f t="shared" si="4"/>
        <v>0.25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新东方2021
10题</v>
      </c>
      <c r="C9" s="11" t="str" cm="1">
        <f ca="1" t="array" ref="C9">IF(COUNTA(INDIRECT(_xlfn.CONCAT($G2,"!",CHAR(64+COLUMN()),7)))&gt;0,INDIRECT(_xlfn.CONCAT($G2,"!",CHAR(64+COLUMN()),7)),"")</f>
        <v>新东方2021
10题</v>
      </c>
      <c r="D9" s="11" t="str" cm="1">
        <f ca="1" t="array" ref="D9">IF(COUNTA(INDIRECT(_xlfn.CONCAT($G2,"!",CHAR(64+COLUMN()),7)))&gt;0,INDIRECT(_xlfn.CONCAT($G2,"!",CHAR(64+COLUMN()),7)),"")</f>
        <v>新东方2021
10题</v>
      </c>
      <c r="E9" s="11" t="str" cm="1">
        <f ca="1" t="array" ref="E9">IF(COUNTA(INDIRECT(_xlfn.CONCAT($G2,"!",CHAR(64+COLUMN()),7)))&gt;0,INDIRECT(_xlfn.CONCAT($G2,"!",CHAR(64+COLUMN()),7)),"")</f>
        <v>数二选择
抽象函数
组合性质举例
（二元）</v>
      </c>
      <c r="F9" s="11" t="str" cm="1">
        <f ca="1" t="array" ref="F9">IF(COUNTA(INDIRECT(_xlfn.CONCAT($G2,"!",CHAR(64+COLUMN()),7)))&gt;0,INDIRECT(_xlfn.CONCAT($G2,"!",CHAR(64+COLUMN()),7)),"")</f>
        <v>408+660</v>
      </c>
      <c r="G9" s="10"/>
    </row>
    <row r="10" ht="15.15" spans="1:7">
      <c r="A10" s="12" t="s">
        <v>16</v>
      </c>
      <c r="B10" s="13">
        <f>SUM(A8,A6,A4,A2)</f>
        <v>3</v>
      </c>
      <c r="C10" s="12" t="s">
        <v>17</v>
      </c>
      <c r="D10" s="13">
        <v>6.33</v>
      </c>
      <c r="E10" s="12" t="s">
        <v>18</v>
      </c>
      <c r="F10" s="13">
        <f>B10+D10</f>
        <v>9.33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3" workbookViewId="0">
      <selection activeCell="F7" sqref="F7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>
        <v>2021</v>
      </c>
      <c r="C1" s="5">
        <v>2021</v>
      </c>
      <c r="D1" s="5">
        <v>2021</v>
      </c>
      <c r="E1" s="5" t="s">
        <v>183</v>
      </c>
      <c r="F1" s="5" t="s">
        <v>184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20250617</v>
      </c>
    </row>
    <row r="3" s="1" customFormat="1" ht="150" customHeight="1" spans="1:7">
      <c r="A3" s="4" t="s">
        <v>3</v>
      </c>
      <c r="B3" s="5"/>
      <c r="C3" s="5"/>
      <c r="D3" s="5"/>
      <c r="E3" s="1" t="s">
        <v>185</v>
      </c>
      <c r="F3" s="5"/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20250618</v>
      </c>
    </row>
    <row r="5" s="1" customFormat="1" ht="150" customHeight="1" spans="1:7">
      <c r="A5" s="4" t="s">
        <v>8</v>
      </c>
      <c r="B5" s="5"/>
      <c r="C5" s="5"/>
      <c r="D5" s="5"/>
      <c r="E5" s="5" t="s">
        <v>9</v>
      </c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IF(COUNTA(B1)&gt;0,IF(COUNTA(B3)&gt;0,IF(B5="完成",0.5,0.25),IF(B5="完成",0.25,0)),0)</f>
        <v>0</v>
      </c>
      <c r="C6" s="7">
        <f t="shared" si="3"/>
        <v>0</v>
      </c>
      <c r="D6" s="7">
        <f t="shared" si="3"/>
        <v>0</v>
      </c>
      <c r="E6" s="7">
        <f t="shared" si="3"/>
        <v>0.5</v>
      </c>
      <c r="F6" s="7">
        <f t="shared" si="3"/>
        <v>0</v>
      </c>
      <c r="G6" s="10"/>
    </row>
    <row r="7" s="1" customFormat="1" ht="150" customHeight="1" spans="1:7">
      <c r="A7" s="4" t="s">
        <v>11</v>
      </c>
      <c r="B7" s="5">
        <v>2021</v>
      </c>
      <c r="C7" s="5">
        <v>2021</v>
      </c>
      <c r="D7" s="5">
        <v>2021</v>
      </c>
      <c r="E7" s="5" t="s">
        <v>186</v>
      </c>
      <c r="F7" s="5" t="s">
        <v>184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IF(COUNTA(B7)&gt;0,IF(COUNTA(B1)&gt;0,IF(B5="完成",0.25,0),0.25),0)</f>
        <v>0</v>
      </c>
      <c r="C8" s="7">
        <f t="shared" si="4"/>
        <v>0</v>
      </c>
      <c r="D8" s="7">
        <f t="shared" si="4"/>
        <v>0</v>
      </c>
      <c r="E8" s="7">
        <f t="shared" si="4"/>
        <v>0.25</v>
      </c>
      <c r="F8" s="7">
        <f t="shared" si="4"/>
        <v>0</v>
      </c>
      <c r="G8" s="10"/>
    </row>
    <row r="9" s="1" customFormat="1" ht="150" customHeight="1" spans="1:7">
      <c r="A9" s="4" t="s">
        <v>61</v>
      </c>
      <c r="B9" s="11" t="str" cm="1">
        <f ca="1" t="array" ref="B9">IF(COUNTA(INDIRECT(_xlfn.CONCAT($G2,"!",CHAR(64+COLUMN()),7)))&gt;0,INDIRECT(_xlfn.CONCAT($G2,"!",CHAR(64+COLUMN()),7)),"")</f>
        <v>新东方2021
10题</v>
      </c>
      <c r="C9" s="11" t="str" cm="1">
        <f ca="1" t="array" ref="C9">IF(COUNTA(INDIRECT(_xlfn.CONCAT($G2,"!",CHAR(64+COLUMN()),7)))&gt;0,INDIRECT(_xlfn.CONCAT($G2,"!",CHAR(64+COLUMN()),7)),"")</f>
        <v>新东方2021
10题</v>
      </c>
      <c r="D9" s="11" t="str" cm="1">
        <f ca="1" t="array" ref="D9">IF(COUNTA(INDIRECT(_xlfn.CONCAT($G2,"!",CHAR(64+COLUMN()),7)))&gt;0,INDIRECT(_xlfn.CONCAT($G2,"!",CHAR(64+COLUMN()),7)),"")</f>
        <v>新东方2021
10题</v>
      </c>
      <c r="E9" s="11" t="str" cm="1">
        <f ca="1" t="array" ref="E9">IF(COUNTA(INDIRECT(_xlfn.CONCAT($G2,"!",CHAR(64+COLUMN()),7)))&gt;0,INDIRECT(_xlfn.CONCAT($G2,"!",CHAR(64+COLUMN()),7)),"")</f>
        <v>特例大杀器
三元组合</v>
      </c>
      <c r="F9" s="11" t="str" cm="1">
        <f ca="1" t="array" ref="F9">IF(COUNTA(INDIRECT(_xlfn.CONCAT($G2,"!",CHAR(64+COLUMN()),7)))&gt;0,INDIRECT(_xlfn.CONCAT($G2,"!",CHAR(64+COLUMN()),7)),"")</f>
        <v>408+660</v>
      </c>
      <c r="G9" s="10"/>
    </row>
    <row r="10" ht="15.15" spans="1:7">
      <c r="A10" s="12" t="s">
        <v>16</v>
      </c>
      <c r="B10" s="13">
        <f>SUM(A8,A6,A4,A2)</f>
        <v>2.5</v>
      </c>
      <c r="C10" s="12" t="s">
        <v>17</v>
      </c>
      <c r="D10" s="13">
        <v>12.17</v>
      </c>
      <c r="E10" s="12" t="s">
        <v>18</v>
      </c>
      <c r="F10" s="13">
        <f>B10+D10</f>
        <v>14.67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2" workbookViewId="0">
      <selection activeCell="F1" sqref="F1"/>
    </sheetView>
  </sheetViews>
  <sheetFormatPr defaultColWidth="15.7777777777778" defaultRowHeight="14.4" outlineLevelCol="6"/>
  <cols>
    <col min="1" max="1" width="15.7777777777778" style="2" customWidth="1"/>
    <col min="2" max="6" width="15.7777777777778" style="3" customWidth="1"/>
    <col min="7" max="16384" width="15.7777777777778" customWidth="1"/>
  </cols>
  <sheetData>
    <row r="1" s="1" customFormat="1" ht="150" customHeight="1" spans="1:7">
      <c r="A1" s="4" t="s">
        <v>49</v>
      </c>
      <c r="B1" s="5">
        <v>2021</v>
      </c>
      <c r="C1" s="5">
        <v>2021</v>
      </c>
      <c r="D1" s="5">
        <v>2021</v>
      </c>
      <c r="E1" s="5" t="s">
        <v>186</v>
      </c>
      <c r="F1" s="5" t="s">
        <v>167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20250618</v>
      </c>
    </row>
    <row r="3" s="1" customFormat="1" ht="150" customHeight="1" spans="1:7">
      <c r="A3" s="4" t="s">
        <v>3</v>
      </c>
      <c r="B3" s="5"/>
      <c r="C3" s="5"/>
      <c r="D3" s="5" t="s">
        <v>187</v>
      </c>
      <c r="E3" s="1" t="s">
        <v>188</v>
      </c>
      <c r="F3" s="5" t="s">
        <v>189</v>
      </c>
      <c r="G3" s="4" t="s">
        <v>57</v>
      </c>
    </row>
    <row r="4" customFormat="1" ht="15.15" spans="1:7">
      <c r="A4" s="6">
        <f t="shared" si="0"/>
        <v>1.5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20250619</v>
      </c>
    </row>
    <row r="5" s="1" customFormat="1" ht="150" customHeight="1" spans="1:7">
      <c r="A5" s="4" t="s">
        <v>8</v>
      </c>
      <c r="B5" s="5"/>
      <c r="C5" s="5"/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1.5</v>
      </c>
      <c r="B6" s="7">
        <f t="shared" ref="B6:F6" si="3">IF(COUNTA(B1)&gt;0,IF(COUNTA(B3)&gt;0,IF(B5="完成",0.5,0.25),IF(B5="完成",0.25,0)),0)</f>
        <v>0</v>
      </c>
      <c r="C6" s="7">
        <f t="shared" si="3"/>
        <v>0</v>
      </c>
      <c r="D6" s="7">
        <f t="shared" si="3"/>
        <v>0.5</v>
      </c>
      <c r="E6" s="7">
        <f t="shared" si="3"/>
        <v>0.5</v>
      </c>
      <c r="F6" s="7">
        <f t="shared" si="3"/>
        <v>0.5</v>
      </c>
      <c r="G6" s="10"/>
    </row>
    <row r="7" s="1" customFormat="1" ht="150" customHeight="1" spans="1:7">
      <c r="A7" s="4" t="s">
        <v>11</v>
      </c>
      <c r="B7" s="5">
        <v>2021</v>
      </c>
      <c r="C7" s="5">
        <v>2021</v>
      </c>
      <c r="D7" s="5">
        <v>2021</v>
      </c>
      <c r="E7" s="5" t="s">
        <v>190</v>
      </c>
      <c r="F7" s="5" t="s">
        <v>167</v>
      </c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IF(COUNTA(B7)&gt;0,IF(COUNTA(B1)&gt;0,IF(B5="完成",0.25,0),0.25),0)</f>
        <v>0</v>
      </c>
      <c r="C8" s="7">
        <f t="shared" si="4"/>
        <v>0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50" customHeight="1" spans="1:7">
      <c r="A9" s="4" t="s">
        <v>61</v>
      </c>
      <c r="B9" s="11" cm="1">
        <f ca="1" t="array" ref="B9">IF(COUNTA(INDIRECT(_xlfn.CONCAT($G2,"!",CHAR(64+COLUMN()),7)))&gt;0,INDIRECT(_xlfn.CONCAT($G2,"!",CHAR(64+COLUMN()),7)),"")</f>
        <v>2021</v>
      </c>
      <c r="C9" s="11" cm="1">
        <f ca="1" t="array" ref="C9">IF(COUNTA(INDIRECT(_xlfn.CONCAT($G2,"!",CHAR(64+COLUMN()),7)))&gt;0,INDIRECT(_xlfn.CONCAT($G2,"!",CHAR(64+COLUMN()),7)),"")</f>
        <v>2021</v>
      </c>
      <c r="D9" s="11" cm="1">
        <f ca="1" t="array" ref="D9">IF(COUNTA(INDIRECT(_xlfn.CONCAT($G2,"!",CHAR(64+COLUMN()),7)))&gt;0,INDIRECT(_xlfn.CONCAT($G2,"!",CHAR(64+COLUMN()),7)),"")</f>
        <v>2021</v>
      </c>
      <c r="E9" s="11" t="str" cm="1">
        <f ca="1" t="array" ref="E9">IF(COUNTA(INDIRECT(_xlfn.CONCAT($G2,"!",CHAR(64+COLUMN()),7)))&gt;0,INDIRECT(_xlfn.CONCAT($G2,"!",CHAR(64+COLUMN()),7)),"")</f>
        <v>特例大杀器
一元运算</v>
      </c>
      <c r="F9" s="11" t="str" cm="1">
        <f ca="1" t="array" ref="F9">IF(COUNTA(INDIRECT(_xlfn.CONCAT($G2,"!",CHAR(64+COLUMN()),7)))&gt;0,INDIRECT(_xlfn.CONCAT($G2,"!",CHAR(64+COLUMN()),7)),"")</f>
        <v>660+408</v>
      </c>
      <c r="G9" s="10"/>
    </row>
    <row r="10" ht="15.15" spans="1:7">
      <c r="A10" s="12" t="s">
        <v>16</v>
      </c>
      <c r="B10" s="13">
        <f>SUM(A8,A6,A4,A2)</f>
        <v>5</v>
      </c>
      <c r="C10" s="12" t="s">
        <v>17</v>
      </c>
      <c r="D10" s="13">
        <v>16.17</v>
      </c>
      <c r="E10" s="12" t="s">
        <v>18</v>
      </c>
      <c r="F10" s="13">
        <f>B10+D10</f>
        <v>21.17</v>
      </c>
      <c r="G10" s="14"/>
    </row>
  </sheetData>
  <mergeCells count="1">
    <mergeCell ref="G5:G10"/>
  </mergeCells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G10"/>
  <sheetViews>
    <sheetView zoomScale="85" zoomScaleNormal="85" workbookViewId="0">
      <selection activeCell="D8" sqref="D8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2021</v>
      </c>
      <c r="C1" s="5">
        <v>2021</v>
      </c>
      <c r="D1" s="5">
        <v>2021</v>
      </c>
      <c r="E1" s="5"/>
      <c r="F1" s="5" t="s">
        <v>167</v>
      </c>
      <c r="G1" s="4" t="s">
        <v>2</v>
      </c>
    </row>
    <row r="2" customFormat="1" ht="15.15" spans="1:7">
      <c r="A2" s="6">
        <f t="shared" ref="A2:A6" si="0">SUM(B2:F2)</f>
        <v>1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</v>
      </c>
      <c r="F2" s="7">
        <f t="shared" si="1"/>
        <v>0.25</v>
      </c>
      <c r="G2" s="8" t="str">
        <f ca="1">INDEX(_wpsfn.SHEETSNAME(),MAX(1,MATCH(G4,_wpsfn.SHEETSNAME(),0)-1))</f>
        <v>20250619</v>
      </c>
    </row>
    <row r="3" s="1" customFormat="1" ht="125" customHeight="1" spans="1:7">
      <c r="A3" s="4" t="s">
        <v>3</v>
      </c>
      <c r="B3" s="5"/>
      <c r="C3" s="5"/>
      <c r="D3" s="5" t="s">
        <v>192</v>
      </c>
      <c r="E3" s="1"/>
      <c r="F3" s="5"/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0.5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20250620</v>
      </c>
    </row>
    <row r="5" s="1" customFormat="1" ht="125" customHeight="1" spans="1:7">
      <c r="A5" s="4" t="s">
        <v>193</v>
      </c>
      <c r="B5" s="5"/>
      <c r="C5" s="5"/>
      <c r="D5" s="5"/>
      <c r="E5" s="5" t="s">
        <v>194</v>
      </c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IF(COUNTA(B1)&gt;0,IF(COUNTA(B3)&gt;0,IF(B5="完成",0.5,0.25),IF(B5="完成",0.25,0)),0)</f>
        <v>0</v>
      </c>
      <c r="C6" s="7">
        <f t="shared" si="3"/>
        <v>0</v>
      </c>
      <c r="D6" s="7">
        <f t="shared" si="3"/>
        <v>0.25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196</v>
      </c>
      <c r="C7" s="5" t="s">
        <v>197</v>
      </c>
      <c r="D7" s="5" t="s">
        <v>197</v>
      </c>
      <c r="E7" s="5" t="s">
        <v>198</v>
      </c>
      <c r="F7" s="5" t="s">
        <v>167</v>
      </c>
      <c r="G7" s="10"/>
    </row>
    <row r="8" customFormat="1" ht="15.15" spans="1:7">
      <c r="A8" s="6">
        <f>SUM(B8:F8)</f>
        <v>0</v>
      </c>
      <c r="B8" s="7">
        <f t="shared" ref="B8:F8" si="4">IF(COUNTA(B7)&gt;0,IF(COUNTA(B1)&gt;0,IF(B5="完成",0.25,0),IF(B5="遗忘",0,0.25)),0)</f>
        <v>0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2021</v>
      </c>
      <c r="C9" s="11" cm="1">
        <f ca="1" t="array" ref="C9">IF(COUNTA(INDIRECT(_xlfn.CONCAT($G2,"!",CHAR(64+COLUMN()),7)))&gt;0,INDIRECT(_xlfn.CONCAT($G2,"!",CHAR(64+COLUMN()),7)),"")</f>
        <v>2021</v>
      </c>
      <c r="D9" s="11" cm="1">
        <f ca="1" t="array" ref="D9">IF(COUNTA(INDIRECT(_xlfn.CONCAT($G2,"!",CHAR(64+COLUMN()),7)))&gt;0,INDIRECT(_xlfn.CONCAT($G2,"!",CHAR(64+COLUMN()),7)),"")</f>
        <v>2021</v>
      </c>
      <c r="E9" s="11" t="str" cm="1">
        <f ca="1" t="array" ref="E9">IF(COUNTA(INDIRECT(_xlfn.CONCAT($G2,"!",CHAR(64+COLUMN()),7)))&gt;0,INDIRECT(_xlfn.CONCAT($G2,"!",CHAR(64+COLUMN()),7)),"")</f>
        <v>特例大杀器
二元运算</v>
      </c>
      <c r="F9" s="11" t="str" cm="1">
        <f ca="1" t="array" ref="F9">IF(COUNTA(INDIRECT(_xlfn.CONCAT($G2,"!",CHAR(64+COLUMN()),7)))&gt;0,INDIRECT(_xlfn.CONCAT($G2,"!",CHAR(64+COLUMN()),7)),"")</f>
        <v>408+660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12.83</v>
      </c>
      <c r="E10" s="12" t="s">
        <v>18</v>
      </c>
      <c r="F10" s="13">
        <f>B10+D10</f>
        <v>14.58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3" workbookViewId="0">
      <selection activeCell="F7" sqref="F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196</v>
      </c>
      <c r="C1" s="5" t="s">
        <v>197</v>
      </c>
      <c r="D1" s="5" t="s">
        <v>197</v>
      </c>
      <c r="E1" s="5" t="s">
        <v>198</v>
      </c>
      <c r="F1" s="5" t="s">
        <v>167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20250620</v>
      </c>
    </row>
    <row r="3" s="1" customFormat="1" ht="125" customHeight="1" spans="1:7">
      <c r="A3" s="4" t="s">
        <v>3</v>
      </c>
      <c r="B3" s="5" t="s">
        <v>200</v>
      </c>
      <c r="C3" s="5"/>
      <c r="D3" s="5"/>
      <c r="F3" s="5" t="s">
        <v>201</v>
      </c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0.5</v>
      </c>
      <c r="G4" s="8" t="str" cm="1">
        <f ca="1" t="array" ref="G4">_wpsfn.SHEETSNAME(A1)</f>
        <v>20250621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1.75</v>
      </c>
      <c r="B6" s="7">
        <f t="shared" ref="B6:F6" si="3">IF(COUNTA(B1)&gt;0,IF(COUNTA(B3)&gt;0,IF(B5="完成",0.5,0.25),IF(B5="完成",0.25,0)),0)</f>
        <v>0.5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0.5</v>
      </c>
      <c r="G6" s="10"/>
    </row>
    <row r="7" s="1" customFormat="1" ht="125" customHeight="1" spans="1:7">
      <c r="A7" s="4" t="s">
        <v>195</v>
      </c>
      <c r="B7" s="5" t="s">
        <v>197</v>
      </c>
      <c r="C7" s="5" t="s">
        <v>197</v>
      </c>
      <c r="D7" s="5" t="s">
        <v>197</v>
      </c>
      <c r="E7" s="5" t="s">
        <v>202</v>
      </c>
      <c r="F7" s="5" t="s">
        <v>167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2021
4题</v>
      </c>
      <c r="C9" s="11" t="str" cm="1">
        <f ca="1" t="array" ref="C9">IF(COUNTA(INDIRECT(_xlfn.CONCAT($G2,"!",CHAR(64+COLUMN()),7)))&gt;0,INDIRECT(_xlfn.CONCAT($G2,"!",CHAR(64+COLUMN()),7)),"")</f>
        <v>2021
10题</v>
      </c>
      <c r="D9" s="11" t="str" cm="1">
        <f ca="1" t="array" ref="D9">IF(COUNTA(INDIRECT(_xlfn.CONCAT($G2,"!",CHAR(64+COLUMN()),7)))&gt;0,INDIRECT(_xlfn.CONCAT($G2,"!",CHAR(64+COLUMN()),7)),"")</f>
        <v>2021
10题</v>
      </c>
      <c r="E9" s="11" t="str" cm="1">
        <f ca="1" t="array" ref="E9">IF(COUNTA(INDIRECT(_xlfn.CONCAT($G2,"!",CHAR(64+COLUMN()),7)))&gt;0,INDIRECT(_xlfn.CONCAT($G2,"!",CHAR(64+COLUMN()),7)),"")</f>
        <v>特例
大杀器
表格接口</v>
      </c>
      <c r="F9" s="11" t="str" cm="1">
        <f ca="1" t="array" ref="F9">IF(COUNTA(INDIRECT(_xlfn.CONCAT($G2,"!",CHAR(64+COLUMN()),7)))&gt;0,INDIRECT(_xlfn.CONCAT($G2,"!",CHAR(64+COLUMN()),7)),"")</f>
        <v>408+660</v>
      </c>
      <c r="G9" s="10"/>
    </row>
    <row r="10" ht="15.15" spans="1:7">
      <c r="A10" s="12" t="s">
        <v>16</v>
      </c>
      <c r="B10" s="13">
        <f>SUM(A8,A6,A4,A2)</f>
        <v>5.25</v>
      </c>
      <c r="C10" s="12" t="s">
        <v>17</v>
      </c>
      <c r="D10" s="13">
        <v>6.33</v>
      </c>
      <c r="E10" s="12" t="s">
        <v>18</v>
      </c>
      <c r="F10" s="13">
        <f>B10+D10</f>
        <v>11.58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F10" sqref="F10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197</v>
      </c>
      <c r="C1" s="5" t="s">
        <v>197</v>
      </c>
      <c r="D1" s="5" t="s">
        <v>197</v>
      </c>
      <c r="E1" s="5" t="s">
        <v>203</v>
      </c>
      <c r="F1" s="5" t="s">
        <v>167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20250621</v>
      </c>
    </row>
    <row r="3" s="1" customFormat="1" ht="125" customHeight="1" spans="1:7">
      <c r="A3" s="4" t="s">
        <v>3</v>
      </c>
      <c r="B3" s="5"/>
      <c r="C3" s="5"/>
      <c r="D3" s="5" t="s">
        <v>204</v>
      </c>
      <c r="E3" s="1" t="s">
        <v>205</v>
      </c>
      <c r="F3" s="5" t="s">
        <v>206</v>
      </c>
      <c r="G3" s="4" t="s">
        <v>57</v>
      </c>
    </row>
    <row r="4" customFormat="1" ht="15.15" spans="1:7">
      <c r="A4" s="6">
        <f t="shared" si="0"/>
        <v>1.5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20250622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2</v>
      </c>
      <c r="B6" s="7">
        <f t="shared" ref="B6:F6" si="3">IF(COUNTA(B1)&gt;0,IF(COUNTA(B3)&gt;0,IF(B5="完成",0.5,0.25),IF(B5="完成",0.25,0)),0)</f>
        <v>0.25</v>
      </c>
      <c r="C6" s="7">
        <f t="shared" si="3"/>
        <v>0.25</v>
      </c>
      <c r="D6" s="7">
        <f t="shared" si="3"/>
        <v>0.5</v>
      </c>
      <c r="E6" s="7">
        <f t="shared" si="3"/>
        <v>0.5</v>
      </c>
      <c r="F6" s="7">
        <f t="shared" si="3"/>
        <v>0.5</v>
      </c>
      <c r="G6" s="10"/>
    </row>
    <row r="7" s="1" customFormat="1" ht="125" customHeight="1" spans="1:7">
      <c r="A7" s="4" t="s">
        <v>195</v>
      </c>
      <c r="B7" s="5" t="s">
        <v>197</v>
      </c>
      <c r="C7" s="5" t="s">
        <v>197</v>
      </c>
      <c r="D7" s="5" t="s">
        <v>197</v>
      </c>
      <c r="E7" s="5" t="s">
        <v>207</v>
      </c>
      <c r="F7" s="5" t="s">
        <v>167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2021
10题</v>
      </c>
      <c r="C9" s="11" t="str" cm="1">
        <f ca="1" t="array" ref="C9">IF(COUNTA(INDIRECT(_xlfn.CONCAT($G2,"!",CHAR(64+COLUMN()),7)))&gt;0,INDIRECT(_xlfn.CONCAT($G2,"!",CHAR(64+COLUMN()),7)),"")</f>
        <v>2021
10题</v>
      </c>
      <c r="D9" s="11" t="str" cm="1">
        <f ca="1" t="array" ref="D9">IF(COUNTA(INDIRECT(_xlfn.CONCAT($G2,"!",CHAR(64+COLUMN()),7)))&gt;0,INDIRECT(_xlfn.CONCAT($G2,"!",CHAR(64+COLUMN()),7)),"")</f>
        <v>2021
10题</v>
      </c>
      <c r="E9" s="11" t="str" cm="1">
        <f ca="1" t="array" ref="E9">IF(COUNTA(INDIRECT(_xlfn.CONCAT($G2,"!",CHAR(64+COLUMN()),7)))&gt;0,INDIRECT(_xlfn.CONCAT($G2,"!",CHAR(64+COLUMN()),7)),"")</f>
        <v>特例
大杀器
性质检测
（中止）</v>
      </c>
      <c r="F9" s="11" t="str" cm="1">
        <f ca="1" t="array" ref="F9">IF(COUNTA(INDIRECT(_xlfn.CONCAT($G2,"!",CHAR(64+COLUMN()),7)))&gt;0,INDIRECT(_xlfn.CONCAT($G2,"!",CHAR(64+COLUMN()),7)),"")</f>
        <v>408+660</v>
      </c>
      <c r="G9" s="10"/>
    </row>
    <row r="10" ht="15.15" spans="1:7">
      <c r="A10" s="12" t="s">
        <v>16</v>
      </c>
      <c r="B10" s="13">
        <f>SUM(A8,A6,A4,A2)</f>
        <v>6</v>
      </c>
      <c r="C10" s="12" t="s">
        <v>17</v>
      </c>
      <c r="D10" s="13">
        <v>9.58</v>
      </c>
      <c r="E10" s="12" t="s">
        <v>18</v>
      </c>
      <c r="F10" s="13">
        <f>B10+D10</f>
        <v>15.58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3" workbookViewId="0">
      <selection activeCell="F10" sqref="F10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2021</v>
      </c>
      <c r="C1" s="5">
        <v>2021</v>
      </c>
      <c r="D1" s="5">
        <v>2021</v>
      </c>
      <c r="E1" s="5" t="s">
        <v>207</v>
      </c>
      <c r="F1" s="5" t="s">
        <v>167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20250622</v>
      </c>
    </row>
    <row r="3" s="1" customFormat="1" ht="125" customHeight="1" spans="1:7">
      <c r="A3" s="4" t="s">
        <v>3</v>
      </c>
      <c r="B3" s="5"/>
      <c r="C3" s="5"/>
      <c r="D3" s="5"/>
      <c r="E3" s="1" t="s">
        <v>208</v>
      </c>
      <c r="F3" s="5" t="s">
        <v>209</v>
      </c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20250623</v>
      </c>
    </row>
    <row r="5" s="1" customFormat="1" ht="125" customHeight="1" spans="1:7">
      <c r="A5" s="4" t="s">
        <v>193</v>
      </c>
      <c r="B5" s="5"/>
      <c r="C5" s="5"/>
      <c r="D5" s="5"/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IF(COUNTA(B1)&gt;0,IF(COUNTA(B3)&gt;0,IF(B5="完成",0.5,0.25),IF(B5="完成",0.25,0)),0)</f>
        <v>0</v>
      </c>
      <c r="C6" s="7">
        <f t="shared" si="3"/>
        <v>0</v>
      </c>
      <c r="D6" s="7">
        <f t="shared" si="3"/>
        <v>0</v>
      </c>
      <c r="E6" s="7">
        <f t="shared" si="3"/>
        <v>0.5</v>
      </c>
      <c r="F6" s="7">
        <f t="shared" si="3"/>
        <v>0.5</v>
      </c>
      <c r="G6" s="10"/>
    </row>
    <row r="7" s="1" customFormat="1" ht="125" customHeight="1" spans="1:7">
      <c r="A7" s="4" t="s">
        <v>195</v>
      </c>
      <c r="B7" s="5">
        <v>2021</v>
      </c>
      <c r="C7" s="5">
        <v>2021</v>
      </c>
      <c r="D7" s="5">
        <v>2021</v>
      </c>
      <c r="E7" s="5" t="s">
        <v>210</v>
      </c>
      <c r="F7" s="5" t="s">
        <v>167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</v>
      </c>
      <c r="C8" s="7">
        <f t="shared" si="4"/>
        <v>0</v>
      </c>
      <c r="D8" s="7">
        <f t="shared" si="4"/>
        <v>0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2021
10题</v>
      </c>
      <c r="C9" s="11" t="str" cm="1">
        <f ca="1" t="array" ref="C9">IF(COUNTA(INDIRECT(_xlfn.CONCAT($G2,"!",CHAR(64+COLUMN()),7)))&gt;0,INDIRECT(_xlfn.CONCAT($G2,"!",CHAR(64+COLUMN()),7)),"")</f>
        <v>2021
10题</v>
      </c>
      <c r="D9" s="11" t="str" cm="1">
        <f ca="1" t="array" ref="D9">IF(COUNTA(INDIRECT(_xlfn.CONCAT($G2,"!",CHAR(64+COLUMN()),7)))&gt;0,INDIRECT(_xlfn.CONCAT($G2,"!",CHAR(64+COLUMN()),7)),"")</f>
        <v>2021
10题</v>
      </c>
      <c r="E9" s="11" t="str" cm="1">
        <f ca="1" t="array" ref="E9">IF(COUNTA(INDIRECT(_xlfn.CONCAT($G2,"!",CHAR(64+COLUMN()),7)))&gt;0,INDIRECT(_xlfn.CONCAT($G2,"!",CHAR(64+COLUMN()),7)),"")</f>
        <v>系统
计算题</v>
      </c>
      <c r="F9" s="11" t="str" cm="1">
        <f ca="1" t="array" ref="F9">IF(COUNTA(INDIRECT(_xlfn.CONCAT($G2,"!",CHAR(64+COLUMN()),7)))&gt;0,INDIRECT(_xlfn.CONCAT($G2,"!",CHAR(64+COLUMN()),7)),"")</f>
        <v>408+660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0.5</v>
      </c>
      <c r="E10" s="12" t="s">
        <v>18</v>
      </c>
      <c r="F10" s="13">
        <f>B10+D10</f>
        <v>4.25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3" workbookViewId="0">
      <selection activeCell="E8" sqref="E8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2021</v>
      </c>
      <c r="C1" s="5">
        <v>2021</v>
      </c>
      <c r="D1" s="5">
        <v>2021</v>
      </c>
      <c r="E1" s="5" t="s">
        <v>210</v>
      </c>
      <c r="F1" s="5" t="s">
        <v>167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20250623</v>
      </c>
    </row>
    <row r="3" s="1" customFormat="1" ht="125" customHeight="1" spans="1:7">
      <c r="A3" s="4" t="s">
        <v>3</v>
      </c>
      <c r="B3" s="5" t="s">
        <v>211</v>
      </c>
      <c r="C3" s="5"/>
      <c r="D3" s="5"/>
      <c r="E3" s="1" t="s">
        <v>212</v>
      </c>
      <c r="F3" s="5" t="s">
        <v>213</v>
      </c>
      <c r="G3" s="4" t="s">
        <v>57</v>
      </c>
    </row>
    <row r="4" customFormat="1" ht="15.15" spans="1:7">
      <c r="A4" s="6">
        <f t="shared" si="0"/>
        <v>1.5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20250624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2</v>
      </c>
      <c r="B6" s="7">
        <f t="shared" ref="B6:F6" si="3">IF(COUNTA(B1)&gt;0,IF(COUNTA(B3)&gt;0,IF(B5="完成",0.5,0.25),IF(B5="完成",0.25,0)),0)</f>
        <v>0.5</v>
      </c>
      <c r="C6" s="7">
        <f t="shared" si="3"/>
        <v>0.25</v>
      </c>
      <c r="D6" s="7">
        <f t="shared" si="3"/>
        <v>0.25</v>
      </c>
      <c r="E6" s="7">
        <f t="shared" si="3"/>
        <v>0.5</v>
      </c>
      <c r="F6" s="7">
        <f t="shared" si="3"/>
        <v>0.5</v>
      </c>
      <c r="G6" s="10"/>
    </row>
    <row r="7" s="1" customFormat="1" ht="125" customHeight="1" spans="1:7">
      <c r="A7" s="4" t="s">
        <v>195</v>
      </c>
      <c r="B7" s="5" t="s">
        <v>214</v>
      </c>
      <c r="C7" s="5" t="s">
        <v>215</v>
      </c>
      <c r="D7" s="5" t="s">
        <v>216</v>
      </c>
      <c r="E7" s="5" t="s">
        <v>217</v>
      </c>
      <c r="F7" s="5"/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2021</v>
      </c>
      <c r="C9" s="11" cm="1">
        <f ca="1" t="array" ref="C9">IF(COUNTA(INDIRECT(_xlfn.CONCAT($G2,"!",CHAR(64+COLUMN()),7)))&gt;0,INDIRECT(_xlfn.CONCAT($G2,"!",CHAR(64+COLUMN()),7)),"")</f>
        <v>2021</v>
      </c>
      <c r="D9" s="11" cm="1">
        <f ca="1" t="array" ref="D9">IF(COUNTA(INDIRECT(_xlfn.CONCAT($G2,"!",CHAR(64+COLUMN()),7)))&gt;0,INDIRECT(_xlfn.CONCAT($G2,"!",CHAR(64+COLUMN()),7)),"")</f>
        <v>2021</v>
      </c>
      <c r="E9" s="11" t="str" cm="1">
        <f ca="1" t="array" ref="E9">IF(COUNTA(INDIRECT(_xlfn.CONCAT($G2,"!",CHAR(64+COLUMN()),7)))&gt;0,INDIRECT(_xlfn.CONCAT($G2,"!",CHAR(64+COLUMN()),7)),"")</f>
        <v>网络
计算题</v>
      </c>
      <c r="F9" s="11" t="str" cm="1">
        <f ca="1" t="array" ref="F9">IF(COUNTA(INDIRECT(_xlfn.CONCAT($G2,"!",CHAR(64+COLUMN()),7)))&gt;0,INDIRECT(_xlfn.CONCAT($G2,"!",CHAR(64+COLUMN()),7)),"")</f>
        <v>408+660</v>
      </c>
      <c r="G9" s="10"/>
    </row>
    <row r="10" ht="15.15" spans="1:7">
      <c r="A10" s="12" t="s">
        <v>16</v>
      </c>
      <c r="B10" s="13">
        <f>SUM(A8,A6,A4,A2)</f>
        <v>5.75</v>
      </c>
      <c r="C10" s="12" t="s">
        <v>17</v>
      </c>
      <c r="D10" s="13">
        <v>5.4</v>
      </c>
      <c r="E10" s="12" t="s">
        <v>18</v>
      </c>
      <c r="F10" s="13">
        <f>B10+D10</f>
        <v>11.15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topLeftCell="A5" workbookViewId="0">
      <selection activeCell="M7" sqref="M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214</v>
      </c>
      <c r="C1" s="5" t="s">
        <v>218</v>
      </c>
      <c r="D1" s="5" t="s">
        <v>216</v>
      </c>
      <c r="E1" s="5" t="s">
        <v>217</v>
      </c>
      <c r="F1" s="5"/>
      <c r="G1" s="4" t="s">
        <v>2</v>
      </c>
    </row>
    <row r="2" customFormat="1" ht="15.15" spans="1:7">
      <c r="A2" s="6">
        <f t="shared" ref="A2:A6" si="0">SUM(B2:F2)</f>
        <v>1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</v>
      </c>
      <c r="G2" s="8" t="str">
        <f ca="1">INDEX(_wpsfn.SHEETSNAME(),MAX(1,MATCH(G4,_wpsfn.SHEETSNAME(),0)-1))</f>
        <v>20250624</v>
      </c>
    </row>
    <row r="3" s="1" customFormat="1" ht="125" customHeight="1" spans="1:7">
      <c r="A3" s="4" t="s">
        <v>3</v>
      </c>
      <c r="B3" s="5" t="s">
        <v>219</v>
      </c>
      <c r="C3" s="5"/>
      <c r="D3" s="5"/>
      <c r="E3" s="1" t="s">
        <v>220</v>
      </c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20250625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1.5</v>
      </c>
      <c r="B6" s="7">
        <f t="shared" ref="B6:F6" si="3">IF(COUNTA(B1)&gt;0,IF(COUNTA(B3)&gt;0,IF(B5="完成",0.5,0.25),IF(B5="完成",0.25,0)),0)</f>
        <v>0.5</v>
      </c>
      <c r="C6" s="7">
        <f t="shared" si="3"/>
        <v>0.25</v>
      </c>
      <c r="D6" s="7">
        <f t="shared" si="3"/>
        <v>0.25</v>
      </c>
      <c r="E6" s="7">
        <f t="shared" si="3"/>
        <v>0.5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221</v>
      </c>
      <c r="C7" s="5" t="s">
        <v>222</v>
      </c>
      <c r="D7" s="5" t="s">
        <v>197</v>
      </c>
      <c r="E7" s="5" t="s">
        <v>223</v>
      </c>
      <c r="F7" s="5"/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2021
5题</v>
      </c>
      <c r="C9" s="11" t="str" cm="1">
        <f ca="1" t="array" ref="C9">IF(COUNTA(INDIRECT(_xlfn.CONCAT($G2,"!",CHAR(64+COLUMN()),7)))&gt;0,INDIRECT(_xlfn.CONCAT($G2,"!",CHAR(64+COLUMN()),7)),"")</f>
        <v>网络
计算题
5题</v>
      </c>
      <c r="D9" s="11" t="str" cm="1">
        <f ca="1" t="array" ref="D9">IF(COUNTA(INDIRECT(_xlfn.CONCAT($G2,"!",CHAR(64+COLUMN()),7)))&gt;0,INDIRECT(_xlfn.CONCAT($G2,"!",CHAR(64+COLUMN()),7)),"")</f>
        <v>系统
计算题
5题</v>
      </c>
      <c r="E9" s="11" t="str" cm="1">
        <f ca="1" t="array" ref="E9">IF(COUNTA(INDIRECT(_xlfn.CONCAT($G2,"!",CHAR(64+COLUMN()),7)))&gt;0,INDIRECT(_xlfn.CONCAT($G2,"!",CHAR(64+COLUMN()),7)),"")</f>
        <v>408+660
10+5</v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4.5</v>
      </c>
      <c r="C10" s="12" t="s">
        <v>17</v>
      </c>
      <c r="D10" s="13">
        <v>3.33</v>
      </c>
      <c r="E10" s="12" t="s">
        <v>18</v>
      </c>
      <c r="F10" s="13">
        <f>B10+D10</f>
        <v>7.83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115" zoomScaleNormal="115" topLeftCell="A5" workbookViewId="0">
      <selection activeCell="F7" sqref="F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224</v>
      </c>
      <c r="C1" s="5">
        <v>408</v>
      </c>
      <c r="D1" s="5">
        <v>660</v>
      </c>
      <c r="E1" s="5">
        <v>2021</v>
      </c>
      <c r="F1" s="5"/>
      <c r="G1" s="4" t="s">
        <v>2</v>
      </c>
    </row>
    <row r="2" customFormat="1" ht="15.15" spans="1:7">
      <c r="A2" s="6">
        <f t="shared" ref="A2:A6" si="0">SUM(B2:F2)</f>
        <v>1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</v>
      </c>
      <c r="G2" s="8" t="str">
        <f ca="1">INDEX(_wpsfn.SHEETSNAME(),MAX(1,MATCH(G4,_wpsfn.SHEETSNAME(),0)-1))</f>
        <v>20250625</v>
      </c>
    </row>
    <row r="3" s="1" customFormat="1" ht="125" customHeight="1" spans="1:7">
      <c r="A3" s="4" t="s">
        <v>3</v>
      </c>
      <c r="B3" s="5" t="s">
        <v>225</v>
      </c>
      <c r="C3" s="5"/>
      <c r="D3" s="5" t="s">
        <v>226</v>
      </c>
      <c r="E3" s="1"/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0.5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20250626</v>
      </c>
    </row>
    <row r="5" s="1" customFormat="1" ht="125" customHeight="1" spans="1:7">
      <c r="A5" s="4" t="s">
        <v>193</v>
      </c>
      <c r="B5" s="5"/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IF(COUNTA(B1)&gt;0,IF(COUNTA(B3)&gt;0,IF(B5="完成",0.5,0.25),IF(B5="完成",0.25,0)),0)</f>
        <v>0.25</v>
      </c>
      <c r="C6" s="7">
        <f t="shared" si="3"/>
        <v>0.25</v>
      </c>
      <c r="D6" s="7">
        <f t="shared" si="3"/>
        <v>0.5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227</v>
      </c>
      <c r="C7" s="5" t="s">
        <v>228</v>
      </c>
      <c r="D7" s="5" t="s">
        <v>229</v>
      </c>
      <c r="E7" s="5" t="s">
        <v>197</v>
      </c>
      <c r="F7" s="5" t="s">
        <v>197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10</v>
      </c>
      <c r="C9" s="11" t="str" cm="1">
        <f ca="1" t="array" ref="C9">IF(COUNTA(INDIRECT(_xlfn.CONCAT($G2,"!",CHAR(64+COLUMN()),7)))&gt;0,INDIRECT(_xlfn.CONCAT($G2,"!",CHAR(64+COLUMN()),7)),"")</f>
        <v>408小程序
10</v>
      </c>
      <c r="D9" s="11" t="str" cm="1">
        <f ca="1" t="array" ref="D9">IF(COUNTA(INDIRECT(_xlfn.CONCAT($G2,"!",CHAR(64+COLUMN()),7)))&gt;0,INDIRECT(_xlfn.CONCAT($G2,"!",CHAR(64+COLUMN()),7)),"")</f>
        <v>2021
10题</v>
      </c>
      <c r="E9" s="11" t="str" cm="1">
        <f ca="1" t="array" ref="E9">IF(COUNTA(INDIRECT(_xlfn.CONCAT($G2,"!",CHAR(64+COLUMN()),7)))&gt;0,INDIRECT(_xlfn.CONCAT($G2,"!",CHAR(64+COLUMN()),7)),"")</f>
        <v>麻省理工
线性代数
5</v>
      </c>
      <c r="F9" s="11" t="str" cm="1">
        <f ca="1" t="array" ref="F9">IF(COUNTA(INDIRECT(_xlfn.CONCAT($G2,"!",CHAR(64+COLUMN()),7)))&gt;0,INDIRECT(_xlfn.CONCAT($G2,"!",CHAR(64+COLUMN()),7)),"")</f>
        <v/>
      </c>
      <c r="G9" s="10"/>
    </row>
    <row r="10" ht="15.15" spans="1:7">
      <c r="A10" s="12" t="s">
        <v>16</v>
      </c>
      <c r="B10" s="13">
        <f>SUM(A8,A6,A4,A2)</f>
        <v>4.25</v>
      </c>
      <c r="C10" s="12" t="s">
        <v>17</v>
      </c>
      <c r="D10" s="13">
        <v>1.67</v>
      </c>
      <c r="E10" s="12" t="s">
        <v>18</v>
      </c>
      <c r="F10" s="13">
        <f>B10+D10</f>
        <v>5.92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115" zoomScaleNormal="115" topLeftCell="A6" workbookViewId="0">
      <selection activeCell="D10" sqref="D10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2021</v>
      </c>
      <c r="C1" s="5">
        <v>2021</v>
      </c>
      <c r="D1" s="5">
        <v>408</v>
      </c>
      <c r="E1" s="5">
        <v>660</v>
      </c>
      <c r="F1" s="5" t="s">
        <v>224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20250626</v>
      </c>
    </row>
    <row r="3" s="1" customFormat="1" ht="125" customHeight="1" spans="1:7">
      <c r="A3" s="4" t="s">
        <v>3</v>
      </c>
      <c r="B3" s="5"/>
      <c r="C3" s="5"/>
      <c r="D3" s="5" t="s">
        <v>230</v>
      </c>
      <c r="E3" s="1" t="s">
        <v>231</v>
      </c>
      <c r="F3" s="5" t="s">
        <v>232</v>
      </c>
      <c r="G3" s="4" t="s">
        <v>57</v>
      </c>
    </row>
    <row r="4" customFormat="1" ht="15.15" spans="1:7">
      <c r="A4" s="6">
        <f t="shared" si="0"/>
        <v>1.5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20250629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2</v>
      </c>
      <c r="B6" s="7">
        <f t="shared" ref="B6:F6" si="3">IF(COUNTA(B1)&gt;0,IF(COUNTA(B3)&gt;0,IF(B5="完成",0.5,0.25),IF(B5="完成",0.25,0)),0)</f>
        <v>0.25</v>
      </c>
      <c r="C6" s="7">
        <f t="shared" si="3"/>
        <v>0.25</v>
      </c>
      <c r="D6" s="7">
        <f t="shared" si="3"/>
        <v>0.5</v>
      </c>
      <c r="E6" s="7">
        <f t="shared" si="3"/>
        <v>0.5</v>
      </c>
      <c r="F6" s="7">
        <f t="shared" si="3"/>
        <v>0.5</v>
      </c>
      <c r="G6" s="10"/>
    </row>
    <row r="7" s="1" customFormat="1" ht="125" customHeight="1" spans="1:7">
      <c r="A7" s="4" t="s">
        <v>195</v>
      </c>
      <c r="B7" s="5" t="s">
        <v>233</v>
      </c>
      <c r="C7" s="5" t="s">
        <v>234</v>
      </c>
      <c r="D7" s="5" t="s">
        <v>234</v>
      </c>
      <c r="E7" s="5" t="s">
        <v>234</v>
      </c>
      <c r="F7" s="5" t="s">
        <v>234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MIT
1集
（助眠）</v>
      </c>
      <c r="C9" s="11" t="str" cm="1">
        <f ca="1" t="array" ref="C9">IF(COUNTA(INDIRECT(_xlfn.CONCAT($G2,"!",CHAR(64+COLUMN()),7)))&gt;0,INDIRECT(_xlfn.CONCAT($G2,"!",CHAR(64+COLUMN()),7)),"")</f>
        <v>408
10题
（散步）</v>
      </c>
      <c r="D9" s="11" t="str" cm="1">
        <f ca="1" t="array" ref="D9">IF(COUNTA(INDIRECT(_xlfn.CONCAT($G2,"!",CHAR(64+COLUMN()),7)))&gt;0,INDIRECT(_xlfn.CONCAT($G2,"!",CHAR(64+COLUMN()),7)),"")</f>
        <v>660
5集
（散步）</v>
      </c>
      <c r="E9" s="11" t="str" cm="1">
        <f ca="1" t="array" ref="E9">IF(COUNTA(INDIRECT(_xlfn.CONCAT($G2,"!",CHAR(64+COLUMN()),7)))&gt;0,INDIRECT(_xlfn.CONCAT($G2,"!",CHAR(64+COLUMN()),7)),"")</f>
        <v>2021
10题</v>
      </c>
      <c r="F9" s="11" t="str" cm="1">
        <f ca="1" t="array" ref="F9">IF(COUNTA(INDIRECT(_xlfn.CONCAT($G2,"!",CHAR(64+COLUMN()),7)))&gt;0,INDIRECT(_xlfn.CONCAT($G2,"!",CHAR(64+COLUMN()),7)),"")</f>
        <v>2021
10题</v>
      </c>
      <c r="G9" s="10"/>
    </row>
    <row r="10" ht="15.15" spans="1:7">
      <c r="A10" s="12" t="s">
        <v>16</v>
      </c>
      <c r="B10" s="13">
        <f>SUM(A8,A6,A4,A2)</f>
        <v>6</v>
      </c>
      <c r="C10" s="12" t="s">
        <v>17</v>
      </c>
      <c r="D10" s="13">
        <v>3.83</v>
      </c>
      <c r="E10" s="12" t="s">
        <v>18</v>
      </c>
      <c r="F10" s="13">
        <f>B10+D10</f>
        <v>9.83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115" zoomScaleNormal="115" workbookViewId="0">
      <selection activeCell="C4" sqref="C4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2021</v>
      </c>
      <c r="C1" s="5" t="s">
        <v>234</v>
      </c>
      <c r="D1" s="5" t="s">
        <v>234</v>
      </c>
      <c r="E1" s="5" t="s">
        <v>234</v>
      </c>
      <c r="F1" s="5" t="s">
        <v>234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20250629</v>
      </c>
    </row>
    <row r="3" s="1" customFormat="1" ht="125" customHeight="1" spans="1:7">
      <c r="A3" s="4" t="s">
        <v>3</v>
      </c>
      <c r="B3" s="5" t="s">
        <v>235</v>
      </c>
      <c r="C3" s="5" t="s">
        <v>236</v>
      </c>
      <c r="D3" s="5"/>
      <c r="E3" s="1"/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20250630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1.5</v>
      </c>
      <c r="B6" s="7">
        <f t="shared" ref="B6:F6" si="3">IF(COUNTA(B1)&gt;0,IF(COUNTA(B3)&gt;0,IF(B5="完成",0.5,0.25),IF(B5="完成",0.25,0)),0)</f>
        <v>0.5</v>
      </c>
      <c r="C6" s="7">
        <f t="shared" si="3"/>
        <v>0.5</v>
      </c>
      <c r="D6" s="7">
        <f t="shared" si="3"/>
        <v>0.25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237</v>
      </c>
      <c r="C7" s="5" t="s">
        <v>234</v>
      </c>
      <c r="D7" s="5" t="s">
        <v>234</v>
      </c>
      <c r="E7" s="5" t="s">
        <v>234</v>
      </c>
      <c r="F7" s="5" t="s">
        <v>238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2021
10</v>
      </c>
      <c r="C9" s="11" t="str" cm="1">
        <f ca="1" t="array" ref="C9">IF(COUNTA(INDIRECT(_xlfn.CONCAT($G2,"!",CHAR(64+COLUMN()),7)))&gt;0,INDIRECT(_xlfn.CONCAT($G2,"!",CHAR(64+COLUMN()),7)),"")</f>
        <v>2022
10</v>
      </c>
      <c r="D9" s="11" t="str" cm="1">
        <f ca="1" t="array" ref="D9">IF(COUNTA(INDIRECT(_xlfn.CONCAT($G2,"!",CHAR(64+COLUMN()),7)))&gt;0,INDIRECT(_xlfn.CONCAT($G2,"!",CHAR(64+COLUMN()),7)),"")</f>
        <v>2022
10</v>
      </c>
      <c r="E9" s="11" t="str" cm="1">
        <f ca="1" t="array" ref="E9">IF(COUNTA(INDIRECT(_xlfn.CONCAT($G2,"!",CHAR(64+COLUMN()),7)))&gt;0,INDIRECT(_xlfn.CONCAT($G2,"!",CHAR(64+COLUMN()),7)),"")</f>
        <v>2022
10</v>
      </c>
      <c r="F9" s="11" t="str" cm="1">
        <f ca="1" t="array" ref="F9">IF(COUNTA(INDIRECT(_xlfn.CONCAT($G2,"!",CHAR(64+COLUMN()),7)))&gt;0,INDIRECT(_xlfn.CONCAT($G2,"!",CHAR(64+COLUMN()),7)),"")</f>
        <v>2022
10</v>
      </c>
      <c r="G9" s="10"/>
    </row>
    <row r="10" ht="15.15" spans="1:7">
      <c r="A10" s="12" t="s">
        <v>16</v>
      </c>
      <c r="B10" s="13">
        <f>SUM(A8,A6,A4,A2)</f>
        <v>4.75</v>
      </c>
      <c r="C10" s="12" t="s">
        <v>17</v>
      </c>
      <c r="D10" s="13">
        <v>2.83</v>
      </c>
      <c r="E10" s="12" t="s">
        <v>18</v>
      </c>
      <c r="F10" s="13">
        <f>B10+D10</f>
        <v>7.58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115" zoomScaleNormal="115" topLeftCell="A3" workbookViewId="0">
      <selection activeCell="D7" sqref="D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237</v>
      </c>
      <c r="C1" s="5" t="s">
        <v>238</v>
      </c>
      <c r="D1" s="5" t="s">
        <v>234</v>
      </c>
      <c r="E1" s="5" t="s">
        <v>234</v>
      </c>
      <c r="F1" s="5" t="s">
        <v>234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20250630</v>
      </c>
    </row>
    <row r="3" s="1" customFormat="1" ht="125" customHeight="1" spans="1:7">
      <c r="A3" s="4" t="s">
        <v>3</v>
      </c>
      <c r="B3" s="5" t="s">
        <v>239</v>
      </c>
      <c r="C3" s="5" t="s">
        <v>240</v>
      </c>
      <c r="D3" s="5" t="s">
        <v>241</v>
      </c>
      <c r="E3" s="1" t="s">
        <v>242</v>
      </c>
      <c r="F3" s="5" t="s">
        <v>243</v>
      </c>
      <c r="G3" s="4" t="s">
        <v>57</v>
      </c>
    </row>
    <row r="4" customFormat="1" ht="15.15" spans="1:7">
      <c r="A4" s="6">
        <f t="shared" si="0"/>
        <v>2.5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20250701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244</v>
      </c>
      <c r="C7" s="5" t="s">
        <v>234</v>
      </c>
      <c r="D7" s="5" t="s">
        <v>234</v>
      </c>
      <c r="E7" s="5" t="s">
        <v>234</v>
      </c>
      <c r="F7" s="5" t="s">
        <v>234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确定院校
和导师</v>
      </c>
      <c r="C9" s="11" t="str" cm="1">
        <f ca="1" t="array" ref="C9">IF(COUNTA(INDIRECT(_xlfn.CONCAT($G2,"!",CHAR(64+COLUMN()),7)))&gt;0,INDIRECT(_xlfn.CONCAT($G2,"!",CHAR(64+COLUMN()),7)),"")</f>
        <v>2022
10</v>
      </c>
      <c r="D9" s="11" t="str" cm="1">
        <f ca="1" t="array" ref="D9">IF(COUNTA(INDIRECT(_xlfn.CONCAT($G2,"!",CHAR(64+COLUMN()),7)))&gt;0,INDIRECT(_xlfn.CONCAT($G2,"!",CHAR(64+COLUMN()),7)),"")</f>
        <v>2022
10</v>
      </c>
      <c r="E9" s="11" t="str" cm="1">
        <f ca="1" t="array" ref="E9">IF(COUNTA(INDIRECT(_xlfn.CONCAT($G2,"!",CHAR(64+COLUMN()),7)))&gt;0,INDIRECT(_xlfn.CONCAT($G2,"!",CHAR(64+COLUMN()),7)),"")</f>
        <v>2022
10</v>
      </c>
      <c r="F9" s="11" t="str" cm="1">
        <f ca="1" t="array" ref="F9">IF(COUNTA(INDIRECT(_xlfn.CONCAT($G2,"!",CHAR(64+COLUMN()),7)))&gt;0,INDIRECT(_xlfn.CONCAT($G2,"!",CHAR(64+COLUMN()),7)),"")</f>
        <v>2022
9</v>
      </c>
      <c r="G9" s="10"/>
    </row>
    <row r="10" ht="15.15" spans="1:7">
      <c r="A10" s="12" t="s">
        <v>16</v>
      </c>
      <c r="B10" s="13">
        <f>SUM(A8,A6,A4,A2)</f>
        <v>6.25</v>
      </c>
      <c r="C10" s="12" t="s">
        <v>17</v>
      </c>
      <c r="D10" s="13">
        <v>3.17</v>
      </c>
      <c r="E10" s="12" t="s">
        <v>18</v>
      </c>
      <c r="F10" s="13">
        <f>B10+D10</f>
        <v>9.42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7" workbookViewId="0">
      <selection activeCell="D10" sqref="D10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20</v>
      </c>
      <c r="C1" s="5">
        <v>10</v>
      </c>
      <c r="D1" s="5">
        <v>10</v>
      </c>
      <c r="E1" s="5">
        <v>10</v>
      </c>
      <c r="F1" s="5">
        <v>10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20250701</v>
      </c>
    </row>
    <row r="3" s="1" customFormat="1" ht="125" customHeight="1" spans="1:7">
      <c r="A3" s="4" t="s">
        <v>3</v>
      </c>
      <c r="B3" s="5" t="s">
        <v>245</v>
      </c>
      <c r="C3" s="5" t="s">
        <v>246</v>
      </c>
      <c r="D3" s="5" t="s">
        <v>247</v>
      </c>
      <c r="E3" s="1" t="s">
        <v>248</v>
      </c>
      <c r="F3" s="5"/>
      <c r="G3" s="4" t="s">
        <v>57</v>
      </c>
    </row>
    <row r="4" customFormat="1" ht="15.15" spans="1:7">
      <c r="A4" s="6">
        <f t="shared" si="0"/>
        <v>2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20250702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>
        <v>20</v>
      </c>
      <c r="C7" s="5">
        <v>20</v>
      </c>
      <c r="D7" s="5">
        <v>10</v>
      </c>
      <c r="E7" s="5">
        <v>10</v>
      </c>
      <c r="F7" s="5">
        <v>10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2022
20</v>
      </c>
      <c r="C9" s="11" t="str" cm="1">
        <f ca="1" t="array" ref="C9">IF(COUNTA(INDIRECT(_xlfn.CONCAT($G2,"!",CHAR(64+COLUMN()),7)))&gt;0,INDIRECT(_xlfn.CONCAT($G2,"!",CHAR(64+COLUMN()),7)),"")</f>
        <v>2022
10</v>
      </c>
      <c r="D9" s="11" t="str" cm="1">
        <f ca="1" t="array" ref="D9">IF(COUNTA(INDIRECT(_xlfn.CONCAT($G2,"!",CHAR(64+COLUMN()),7)))&gt;0,INDIRECT(_xlfn.CONCAT($G2,"!",CHAR(64+COLUMN()),7)),"")</f>
        <v>2022
10</v>
      </c>
      <c r="E9" s="11" t="str" cm="1">
        <f ca="1" t="array" ref="E9">IF(COUNTA(INDIRECT(_xlfn.CONCAT($G2,"!",CHAR(64+COLUMN()),7)))&gt;0,INDIRECT(_xlfn.CONCAT($G2,"!",CHAR(64+COLUMN()),7)),"")</f>
        <v>2022
10</v>
      </c>
      <c r="F9" s="11" t="str" cm="1">
        <f ca="1" t="array" ref="F9">IF(COUNTA(INDIRECT(_xlfn.CONCAT($G2,"!",CHAR(64+COLUMN()),7)))&gt;0,INDIRECT(_xlfn.CONCAT($G2,"!",CHAR(64+COLUMN()),7)),"")</f>
        <v>2022
10</v>
      </c>
      <c r="G9" s="10"/>
    </row>
    <row r="10" ht="15.15" spans="1:7">
      <c r="A10" s="12" t="s">
        <v>16</v>
      </c>
      <c r="B10" s="13">
        <f>SUM(A8,A6,A4,A2)</f>
        <v>5.75</v>
      </c>
      <c r="C10" s="12" t="s">
        <v>17</v>
      </c>
      <c r="D10" s="13">
        <v>5.67</v>
      </c>
      <c r="E10" s="12" t="s">
        <v>18</v>
      </c>
      <c r="F10" s="13">
        <f>B10+D10</f>
        <v>11.42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6" workbookViewId="0">
      <selection activeCell="F3" sqref="F3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20</v>
      </c>
      <c r="C1" s="5">
        <v>20</v>
      </c>
      <c r="D1" s="5">
        <v>10</v>
      </c>
      <c r="E1" s="5">
        <v>10</v>
      </c>
      <c r="F1" s="5">
        <v>10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20250702</v>
      </c>
    </row>
    <row r="3" s="1" customFormat="1" ht="125" customHeight="1" spans="1:7">
      <c r="A3" s="4" t="s">
        <v>3</v>
      </c>
      <c r="B3" s="5" t="s">
        <v>249</v>
      </c>
      <c r="C3" s="5" t="s">
        <v>250</v>
      </c>
      <c r="D3" s="5" t="s">
        <v>251</v>
      </c>
      <c r="E3" s="1" t="s">
        <v>252</v>
      </c>
      <c r="F3" s="5" t="s">
        <v>253</v>
      </c>
      <c r="G3" s="4" t="s">
        <v>57</v>
      </c>
    </row>
    <row r="4" customFormat="1" ht="15.15" spans="1:7">
      <c r="A4" s="6">
        <f t="shared" si="0"/>
        <v>2.5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20250703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254</v>
      </c>
      <c r="C7" s="5" t="s">
        <v>255</v>
      </c>
      <c r="D7" s="5" t="s">
        <v>256</v>
      </c>
      <c r="E7" s="5" t="s">
        <v>257</v>
      </c>
      <c r="F7" s="5" t="s">
        <v>257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20</v>
      </c>
      <c r="C9" s="11" cm="1">
        <f ca="1" t="array" ref="C9">IF(COUNTA(INDIRECT(_xlfn.CONCAT($G2,"!",CHAR(64+COLUMN()),7)))&gt;0,INDIRECT(_xlfn.CONCAT($G2,"!",CHAR(64+COLUMN()),7)),"")</f>
        <v>20</v>
      </c>
      <c r="D9" s="11" cm="1">
        <f ca="1" t="array" ref="D9">IF(COUNTA(INDIRECT(_xlfn.CONCAT($G2,"!",CHAR(64+COLUMN()),7)))&gt;0,INDIRECT(_xlfn.CONCAT($G2,"!",CHAR(64+COLUMN()),7)),"")</f>
        <v>10</v>
      </c>
      <c r="E9" s="11" cm="1">
        <f ca="1" t="array" ref="E9">IF(COUNTA(INDIRECT(_xlfn.CONCAT($G2,"!",CHAR(64+COLUMN()),7)))&gt;0,INDIRECT(_xlfn.CONCAT($G2,"!",CHAR(64+COLUMN()),7)),"")</f>
        <v>10</v>
      </c>
      <c r="F9" s="11" cm="1">
        <f ca="1" t="array" ref="F9">IF(COUNTA(INDIRECT(_xlfn.CONCAT($G2,"!",CHAR(64+COLUMN()),7)))&gt;0,INDIRECT(_xlfn.CONCAT($G2,"!",CHAR(64+COLUMN()),7)),"")</f>
        <v>10</v>
      </c>
      <c r="G9" s="10"/>
    </row>
    <row r="10" ht="15.15" spans="1:7">
      <c r="A10" s="12" t="s">
        <v>16</v>
      </c>
      <c r="B10" s="13">
        <f>SUM(A8,A6,A4,A2)</f>
        <v>6.25</v>
      </c>
      <c r="C10" s="12" t="s">
        <v>17</v>
      </c>
      <c r="D10" s="13">
        <v>8.83</v>
      </c>
      <c r="E10" s="12" t="s">
        <v>18</v>
      </c>
      <c r="F10" s="13">
        <f>B10+D10</f>
        <v>15.08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C3" sqref="C3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254</v>
      </c>
      <c r="C1" s="5" t="s">
        <v>255</v>
      </c>
      <c r="D1" s="5" t="s">
        <v>256</v>
      </c>
      <c r="E1" s="5" t="s">
        <v>257</v>
      </c>
      <c r="F1" s="5" t="s">
        <v>257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20250703</v>
      </c>
    </row>
    <row r="3" s="1" customFormat="1" ht="125" customHeight="1" spans="1:7">
      <c r="A3" s="4" t="s">
        <v>3</v>
      </c>
      <c r="B3" s="5" t="s">
        <v>258</v>
      </c>
      <c r="C3" s="5" t="s">
        <v>259</v>
      </c>
      <c r="D3" s="5"/>
      <c r="E3" s="1"/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20250708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256</v>
      </c>
      <c r="C7" s="5" t="s">
        <v>257</v>
      </c>
      <c r="D7" s="5" t="s">
        <v>256</v>
      </c>
      <c r="E7" s="5" t="s">
        <v>257</v>
      </c>
      <c r="F7" s="5" t="s">
        <v>260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2022
13</v>
      </c>
      <c r="C9" s="11" t="str" cm="1">
        <f ca="1" t="array" ref="C9">IF(COUNTA(INDIRECT(_xlfn.CONCAT($G2,"!",CHAR(64+COLUMN()),7)))&gt;0,INDIRECT(_xlfn.CONCAT($G2,"!",CHAR(64+COLUMN()),7)),"")</f>
        <v>XDF讲义
17</v>
      </c>
      <c r="D9" s="11" t="str" cm="1">
        <f ca="1" t="array" ref="D9">IF(COUNTA(INDIRECT(_xlfn.CONCAT($G2,"!",CHAR(64+COLUMN()),7)))&gt;0,INDIRECT(_xlfn.CONCAT($G2,"!",CHAR(64+COLUMN()),7)),"")</f>
        <v>XDF讲义
20</v>
      </c>
      <c r="E9" s="11" t="str" cm="1">
        <f ca="1" t="array" ref="E9">IF(COUNTA(INDIRECT(_xlfn.CONCAT($G2,"!",CHAR(64+COLUMN()),7)))&gt;0,INDIRECT(_xlfn.CONCAT($G2,"!",CHAR(64+COLUMN()),7)),"")</f>
        <v>XDF讲义
10</v>
      </c>
      <c r="F9" s="11" t="str" cm="1">
        <f ca="1" t="array" ref="F9">IF(COUNTA(INDIRECT(_xlfn.CONCAT($G2,"!",CHAR(64+COLUMN()),7)))&gt;0,INDIRECT(_xlfn.CONCAT($G2,"!",CHAR(64+COLUMN()),7)),"")</f>
        <v>XDF讲义
10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1.5</v>
      </c>
      <c r="E10" s="12" t="s">
        <v>18</v>
      </c>
      <c r="F10" s="13">
        <f>B10+D10</f>
        <v>4.75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H9" sqref="H9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3</v>
      </c>
      <c r="C1" s="5">
        <v>20</v>
      </c>
      <c r="D1" s="5">
        <v>20</v>
      </c>
      <c r="E1" s="5">
        <v>10</v>
      </c>
      <c r="F1" s="5">
        <v>10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20250708</v>
      </c>
    </row>
    <row r="3" s="1" customFormat="1" ht="125" customHeight="1" spans="1:7">
      <c r="A3" s="4" t="s">
        <v>3</v>
      </c>
      <c r="B3" s="5" t="s">
        <v>261</v>
      </c>
      <c r="C3" s="5" t="s">
        <v>262</v>
      </c>
      <c r="D3" s="5" t="s">
        <v>263</v>
      </c>
      <c r="E3" s="1" t="s">
        <v>264</v>
      </c>
      <c r="F3" s="5"/>
      <c r="G3" s="4" t="s">
        <v>57</v>
      </c>
    </row>
    <row r="4" customFormat="1" ht="15.15" spans="1:7">
      <c r="A4" s="6">
        <f t="shared" si="0"/>
        <v>2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20250709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>
        <v>20</v>
      </c>
      <c r="C7" s="5">
        <v>20</v>
      </c>
      <c r="D7" s="5">
        <v>10</v>
      </c>
      <c r="E7" s="5">
        <v>10</v>
      </c>
      <c r="F7" s="5">
        <v>10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XDF讲义
20</v>
      </c>
      <c r="C9" s="11" t="str" cm="1">
        <f ca="1" t="array" ref="C9">IF(COUNTA(INDIRECT(_xlfn.CONCAT($G2,"!",CHAR(64+COLUMN()),7)))&gt;0,INDIRECT(_xlfn.CONCAT($G2,"!",CHAR(64+COLUMN()),7)),"")</f>
        <v>XDF讲义
10</v>
      </c>
      <c r="D9" s="11" t="str" cm="1">
        <f ca="1" t="array" ref="D9">IF(COUNTA(INDIRECT(_xlfn.CONCAT($G2,"!",CHAR(64+COLUMN()),7)))&gt;0,INDIRECT(_xlfn.CONCAT($G2,"!",CHAR(64+COLUMN()),7)),"")</f>
        <v>XDF讲义
20</v>
      </c>
      <c r="E9" s="11" t="str" cm="1">
        <f ca="1" t="array" ref="E9">IF(COUNTA(INDIRECT(_xlfn.CONCAT($G2,"!",CHAR(64+COLUMN()),7)))&gt;0,INDIRECT(_xlfn.CONCAT($G2,"!",CHAR(64+COLUMN()),7)),"")</f>
        <v>XDF讲义
10</v>
      </c>
      <c r="F9" s="11" t="str" cm="1">
        <f ca="1" t="array" ref="F9">IF(COUNTA(INDIRECT(_xlfn.CONCAT($G2,"!",CHAR(64+COLUMN()),7)))&gt;0,INDIRECT(_xlfn.CONCAT($G2,"!",CHAR(64+COLUMN()),7)),"")</f>
        <v>XDF讲义
3</v>
      </c>
      <c r="G9" s="10"/>
    </row>
    <row r="10" ht="15.15" spans="1:7">
      <c r="A10" s="12" t="s">
        <v>16</v>
      </c>
      <c r="B10" s="13">
        <f>SUM(A8,A6,A4,A2)</f>
        <v>5.75</v>
      </c>
      <c r="C10" s="12" t="s">
        <v>17</v>
      </c>
      <c r="D10" s="13">
        <v>1.5</v>
      </c>
      <c r="E10" s="12" t="s">
        <v>18</v>
      </c>
      <c r="F10" s="13">
        <f>B10+D10</f>
        <v>7.25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B1" sqref="B1:E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20</v>
      </c>
      <c r="C1" s="5">
        <v>20</v>
      </c>
      <c r="D1" s="5">
        <v>10</v>
      </c>
      <c r="E1" s="5">
        <v>10</v>
      </c>
      <c r="F1" s="5">
        <v>10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20250709</v>
      </c>
    </row>
    <row r="3" s="1" customFormat="1" ht="125" customHeight="1" spans="1:7">
      <c r="A3" s="4" t="s">
        <v>3</v>
      </c>
      <c r="B3" s="5" t="s">
        <v>265</v>
      </c>
      <c r="C3" s="5" t="s">
        <v>266</v>
      </c>
      <c r="D3" s="5" t="s">
        <v>267</v>
      </c>
      <c r="E3" s="1" t="s">
        <v>268</v>
      </c>
      <c r="F3" s="5"/>
      <c r="G3" s="4" t="s">
        <v>57</v>
      </c>
    </row>
    <row r="4" customFormat="1" ht="15.15" spans="1:7">
      <c r="A4" s="6">
        <f t="shared" si="0"/>
        <v>2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20250710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5</v>
      </c>
      <c r="C7" s="5">
        <v>5</v>
      </c>
      <c r="D7" s="5">
        <v>5</v>
      </c>
      <c r="E7" s="5">
        <v>5</v>
      </c>
      <c r="F7" s="5">
        <v>10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20</v>
      </c>
      <c r="C9" s="11" cm="1">
        <f ca="1" t="array" ref="C9">IF(COUNTA(INDIRECT(_xlfn.CONCAT($G2,"!",CHAR(64+COLUMN()),7)))&gt;0,INDIRECT(_xlfn.CONCAT($G2,"!",CHAR(64+COLUMN()),7)),"")</f>
        <v>20</v>
      </c>
      <c r="D9" s="11" cm="1">
        <f ca="1" t="array" ref="D9">IF(COUNTA(INDIRECT(_xlfn.CONCAT($G2,"!",CHAR(64+COLUMN()),7)))&gt;0,INDIRECT(_xlfn.CONCAT($G2,"!",CHAR(64+COLUMN()),7)),"")</f>
        <v>10</v>
      </c>
      <c r="E9" s="11" cm="1">
        <f ca="1" t="array" ref="E9">IF(COUNTA(INDIRECT(_xlfn.CONCAT($G2,"!",CHAR(64+COLUMN()),7)))&gt;0,INDIRECT(_xlfn.CONCAT($G2,"!",CHAR(64+COLUMN()),7)),"")</f>
        <v>10</v>
      </c>
      <c r="F9" s="11" cm="1">
        <f ca="1" t="array" ref="F9">IF(COUNTA(INDIRECT(_xlfn.CONCAT($G2,"!",CHAR(64+COLUMN()),7)))&gt;0,INDIRECT(_xlfn.CONCAT($G2,"!",CHAR(64+COLUMN()),7)),"")</f>
        <v>10</v>
      </c>
      <c r="G9" s="10"/>
    </row>
    <row r="10" ht="15.15" spans="1:7">
      <c r="A10" s="12" t="s">
        <v>16</v>
      </c>
      <c r="B10" s="13">
        <f>SUM(A8,A6,A4,A2)</f>
        <v>5.25</v>
      </c>
      <c r="C10" s="12" t="s">
        <v>17</v>
      </c>
      <c r="D10" s="13">
        <v>8.33</v>
      </c>
      <c r="E10" s="12" t="s">
        <v>18</v>
      </c>
      <c r="F10" s="13">
        <f>B10+D10</f>
        <v>13.58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7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10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20250710</v>
      </c>
    </row>
    <row r="3" s="1" customFormat="1" ht="125" customHeight="1" spans="1:7">
      <c r="A3" s="4" t="s">
        <v>3</v>
      </c>
      <c r="B3" s="5" t="s">
        <v>269</v>
      </c>
      <c r="C3" s="5" t="s">
        <v>270</v>
      </c>
      <c r="D3" s="5" t="s">
        <v>271</v>
      </c>
      <c r="E3" s="1" t="s">
        <v>272</v>
      </c>
      <c r="F3" s="5"/>
      <c r="G3" s="4" t="s">
        <v>57</v>
      </c>
    </row>
    <row r="4" customFormat="1" ht="15.15" spans="1:7">
      <c r="A4" s="6">
        <f t="shared" si="0"/>
        <v>2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20250711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>
        <v>5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5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10</v>
      </c>
      <c r="G9" s="10"/>
    </row>
    <row r="10" ht="15.15" spans="1:7">
      <c r="A10" s="12" t="s">
        <v>16</v>
      </c>
      <c r="B10" s="13">
        <f>SUM(A8,A6,A4,A2)</f>
        <v>5.75</v>
      </c>
      <c r="C10" s="12" t="s">
        <v>17</v>
      </c>
      <c r="D10" s="13">
        <v>3.67</v>
      </c>
      <c r="E10" s="12" t="s">
        <v>18</v>
      </c>
      <c r="F10" s="13">
        <f>B10+D10</f>
        <v>9.42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D10" sqref="D10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5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20250711</v>
      </c>
    </row>
    <row r="3" s="1" customFormat="1" ht="125" customHeight="1" spans="1:7">
      <c r="A3" s="4" t="s">
        <v>3</v>
      </c>
      <c r="B3" s="5" t="s">
        <v>273</v>
      </c>
      <c r="C3" s="5" t="s">
        <v>274</v>
      </c>
      <c r="D3" s="5" t="s">
        <v>275</v>
      </c>
      <c r="E3" s="1" t="s">
        <v>276</v>
      </c>
      <c r="F3" s="5"/>
      <c r="G3" s="4" t="s">
        <v>57</v>
      </c>
    </row>
    <row r="4" customFormat="1" ht="15.15" spans="1:7">
      <c r="A4" s="6">
        <f t="shared" si="0"/>
        <v>2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20250712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>
        <v>5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5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5.75</v>
      </c>
      <c r="C10" s="12" t="s">
        <v>17</v>
      </c>
      <c r="D10" s="13">
        <v>6.5</v>
      </c>
      <c r="E10" s="12" t="s">
        <v>18</v>
      </c>
      <c r="F10" s="13">
        <f>B10+D10</f>
        <v>12.25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K5" sqref="K5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5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20250712</v>
      </c>
    </row>
    <row r="3" s="1" customFormat="1" ht="125" customHeight="1" spans="1:7">
      <c r="A3" s="4" t="s">
        <v>3</v>
      </c>
      <c r="B3" s="5" t="s">
        <v>277</v>
      </c>
      <c r="C3" s="5" t="s">
        <v>278</v>
      </c>
      <c r="D3" s="5" t="s">
        <v>272</v>
      </c>
      <c r="E3" s="1" t="s">
        <v>279</v>
      </c>
      <c r="F3" s="5"/>
      <c r="G3" s="4" t="s">
        <v>57</v>
      </c>
    </row>
    <row r="4" customFormat="1" ht="15.15" spans="1:7">
      <c r="A4" s="6">
        <f t="shared" si="0"/>
        <v>2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20250713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280</v>
      </c>
      <c r="C7" s="5" t="s">
        <v>280</v>
      </c>
      <c r="D7" s="5" t="s">
        <v>280</v>
      </c>
      <c r="E7" s="5" t="s">
        <v>280</v>
      </c>
      <c r="F7" s="5" t="s">
        <v>280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5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5.25</v>
      </c>
      <c r="C10" s="12" t="s">
        <v>17</v>
      </c>
      <c r="D10" s="13">
        <v>3.83</v>
      </c>
      <c r="E10" s="12" t="s">
        <v>18</v>
      </c>
      <c r="F10" s="13">
        <f>B10+D10</f>
        <v>9.08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B1" sqref="B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5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20250713</v>
      </c>
    </row>
    <row r="3" s="1" customFormat="1" ht="125" customHeight="1" spans="1:7">
      <c r="A3" s="4" t="s">
        <v>3</v>
      </c>
      <c r="B3" s="5"/>
      <c r="C3" s="5"/>
      <c r="D3" s="5"/>
      <c r="E3" s="1"/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20250714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/>
      <c r="F5" s="5"/>
      <c r="G5" s="9" t="s">
        <v>10</v>
      </c>
    </row>
    <row r="6" customFormat="1" ht="15.15" spans="1:7">
      <c r="A6" s="6">
        <f t="shared" si="0"/>
        <v>0.75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5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
5题</v>
      </c>
      <c r="C9" s="11" t="str" cm="1">
        <f ca="1" t="array" ref="C9">IF(COUNTA(INDIRECT(_xlfn.CONCAT($G2,"!",CHAR(64+COLUMN()),7)))&gt;0,INDIRECT(_xlfn.CONCAT($G2,"!",CHAR(64+COLUMN()),7)),"")</f>
        <v>660
5题</v>
      </c>
      <c r="D9" s="11" t="str" cm="1">
        <f ca="1" t="array" ref="D9">IF(COUNTA(INDIRECT(_xlfn.CONCAT($G2,"!",CHAR(64+COLUMN()),7)))&gt;0,INDIRECT(_xlfn.CONCAT($G2,"!",CHAR(64+COLUMN()),7)),"")</f>
        <v>660
5题</v>
      </c>
      <c r="E9" s="11" t="str" cm="1">
        <f ca="1" t="array" ref="E9">IF(COUNTA(INDIRECT(_xlfn.CONCAT($G2,"!",CHAR(64+COLUMN()),7)))&gt;0,INDIRECT(_xlfn.CONCAT($G2,"!",CHAR(64+COLUMN()),7)),"")</f>
        <v>660
5题</v>
      </c>
      <c r="F9" s="11" t="str" cm="1">
        <f ca="1" t="array" ref="F9">IF(COUNTA(INDIRECT(_xlfn.CONCAT($G2,"!",CHAR(64+COLUMN()),7)))&gt;0,INDIRECT(_xlfn.CONCAT($G2,"!",CHAR(64+COLUMN()),7)),"")</f>
        <v>660
5题</v>
      </c>
      <c r="G9" s="10"/>
    </row>
    <row r="10" ht="15.15" spans="1:7">
      <c r="A10" s="12" t="s">
        <v>16</v>
      </c>
      <c r="B10" s="13">
        <f>SUM(A8,A6,A4,A2)</f>
        <v>2.75</v>
      </c>
      <c r="C10" s="12" t="s">
        <v>17</v>
      </c>
      <c r="D10" s="13">
        <v>0.5</v>
      </c>
      <c r="E10" s="12" t="s">
        <v>18</v>
      </c>
      <c r="F10" s="13">
        <f>B10+D10</f>
        <v>3.25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I9" sqref="I9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5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20250714</v>
      </c>
    </row>
    <row r="3" s="1" customFormat="1" ht="125" customHeight="1" spans="1:7">
      <c r="A3" s="4" t="s">
        <v>3</v>
      </c>
      <c r="B3" s="5" t="s">
        <v>281</v>
      </c>
      <c r="C3" s="5"/>
      <c r="D3" s="5"/>
      <c r="F3" s="5"/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20250724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3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5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2.75</v>
      </c>
      <c r="C10" s="12" t="s">
        <v>17</v>
      </c>
      <c r="D10" s="13">
        <v>2.7</v>
      </c>
      <c r="E10" s="12" t="s">
        <v>18</v>
      </c>
      <c r="F10" s="13">
        <f>B10+D10</f>
        <v>5.45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C7" sqref="C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3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20250724</v>
      </c>
    </row>
    <row r="3" s="1" customFormat="1" ht="125" customHeight="1" spans="1:7">
      <c r="A3" s="4" t="s">
        <v>3</v>
      </c>
      <c r="B3" s="5" t="s">
        <v>282</v>
      </c>
      <c r="C3" s="5"/>
      <c r="D3" s="5"/>
      <c r="F3" s="5"/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20250725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/>
      <c r="F5" s="5"/>
      <c r="G5" s="9" t="s">
        <v>10</v>
      </c>
    </row>
    <row r="6" customFormat="1" ht="15.15" spans="1:7">
      <c r="A6" s="6">
        <f t="shared" si="0"/>
        <v>0.75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5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3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2.08</v>
      </c>
      <c r="E10" s="12" t="s">
        <v>18</v>
      </c>
      <c r="F10" s="13">
        <f>B10+D10</f>
        <v>5.33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5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20250725</v>
      </c>
    </row>
    <row r="3" s="1" customFormat="1" ht="125" customHeight="1" spans="1:7">
      <c r="A3" s="4" t="s">
        <v>3</v>
      </c>
      <c r="B3" s="5" t="s">
        <v>283</v>
      </c>
      <c r="C3" s="5"/>
      <c r="D3" s="5"/>
      <c r="F3" s="5"/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20250726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3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5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0</v>
      </c>
      <c r="E10" s="12" t="s">
        <v>18</v>
      </c>
      <c r="F10" s="13">
        <f>B10+D10</f>
        <v>3.75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1" sqref="D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3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20250726</v>
      </c>
    </row>
    <row r="3" s="1" customFormat="1" ht="125" customHeight="1" spans="1:7">
      <c r="A3" s="4" t="s">
        <v>3</v>
      </c>
      <c r="B3" s="5" t="s">
        <v>284</v>
      </c>
      <c r="C3" s="5"/>
      <c r="D3" s="5"/>
      <c r="F3" s="5"/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20250731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/>
      <c r="F5" s="5"/>
      <c r="G5" s="9" t="s">
        <v>10</v>
      </c>
    </row>
    <row r="6" customFormat="1" ht="15.15" spans="1:7">
      <c r="A6" s="6">
        <f t="shared" si="0"/>
        <v>0.75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5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3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0.83</v>
      </c>
      <c r="E10" s="12" t="s">
        <v>18</v>
      </c>
      <c r="F10" s="13">
        <f>B10+D10</f>
        <v>4.08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10" sqref="D10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5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20250731</v>
      </c>
    </row>
    <row r="3" s="1" customFormat="1" ht="125" customHeight="1" spans="1:7">
      <c r="A3" s="4" t="s">
        <v>3</v>
      </c>
      <c r="B3" s="5" t="s">
        <v>285</v>
      </c>
      <c r="C3" s="5"/>
      <c r="D3" s="5"/>
      <c r="F3" s="5"/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20250807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5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5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0</v>
      </c>
      <c r="E10" s="12" t="s">
        <v>18</v>
      </c>
      <c r="F10" s="13">
        <f>B10+D10</f>
        <v>2.25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B8" sqref="B8:F8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5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20250807</v>
      </c>
    </row>
    <row r="3" s="1" customFormat="1" ht="125" customHeight="1" spans="1:7">
      <c r="A3" s="4" t="s">
        <v>3</v>
      </c>
      <c r="B3" s="5"/>
      <c r="C3" s="5"/>
      <c r="D3" s="5"/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20250808</v>
      </c>
    </row>
    <row r="5" s="1" customFormat="1" ht="125" customHeight="1" spans="1:7">
      <c r="A5" s="4" t="s">
        <v>193</v>
      </c>
      <c r="B5" s="5"/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</v>
      </c>
      <c r="B6" s="7">
        <f t="shared" ref="B6:F6" si="3">IF(COUNTA(B1)&gt;0,IF(B5="完成",0.25,0),0)</f>
        <v>0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3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0</v>
      </c>
      <c r="B8" s="7">
        <f t="shared" ref="B8:F8" si="4">IF(COUNTA(B7)&gt;0,IF(COUNTA(B1)&gt;0,IF(B5="完成",0.25,0),IF(B5="遗忘",0,0.25)),0)</f>
        <v>0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5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1.25</v>
      </c>
      <c r="C10" s="12" t="s">
        <v>17</v>
      </c>
      <c r="D10" s="13">
        <v>0</v>
      </c>
      <c r="E10" s="12" t="s">
        <v>18</v>
      </c>
      <c r="F10" s="13">
        <f>B10+D10</f>
        <v>1.25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4" sqref="C4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3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20250808</v>
      </c>
    </row>
    <row r="3" s="1" customFormat="1" ht="125" customHeight="1" spans="1:7">
      <c r="A3" s="4" t="s">
        <v>3</v>
      </c>
      <c r="B3" s="5" t="s">
        <v>286</v>
      </c>
      <c r="C3" s="5"/>
      <c r="D3" s="5"/>
      <c r="F3" s="5"/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20250809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>
        <v>5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3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4.25</v>
      </c>
      <c r="C10" s="12" t="s">
        <v>17</v>
      </c>
      <c r="D10" s="13">
        <v>0</v>
      </c>
      <c r="E10" s="12" t="s">
        <v>18</v>
      </c>
      <c r="F10" s="13">
        <f>B10+D10</f>
        <v>4.25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4" sqref="C4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5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>SUM(B2:F2)</f>
        <v>1.25</v>
      </c>
      <c r="B2" s="7">
        <f t="shared" ref="B2:F2" si="0">IF(COUNTA(B1)&gt;0,0.25,0)</f>
        <v>0.25</v>
      </c>
      <c r="C2" s="7">
        <f t="shared" si="0"/>
        <v>0.25</v>
      </c>
      <c r="D2" s="7">
        <f t="shared" si="0"/>
        <v>0.25</v>
      </c>
      <c r="E2" s="7">
        <f t="shared" si="0"/>
        <v>0.25</v>
      </c>
      <c r="F2" s="7">
        <f t="shared" si="0"/>
        <v>0.25</v>
      </c>
      <c r="G2" s="8" t="str">
        <f ca="1">INDEX(_wpsfn.SHEETSNAME(),MAX(1,MATCH(G4,_wpsfn.SHEETSNAME(),0)-1))</f>
        <v>20250809</v>
      </c>
    </row>
    <row r="3" s="1" customFormat="1" ht="125" customHeight="1" spans="1:7">
      <c r="A3" s="4" t="s">
        <v>3</v>
      </c>
      <c r="B3" s="1" t="s">
        <v>287</v>
      </c>
      <c r="C3" s="1" t="s">
        <v>288</v>
      </c>
      <c r="D3" s="1" t="s">
        <v>289</v>
      </c>
      <c r="F3" s="5"/>
      <c r="G3" s="4" t="s">
        <v>57</v>
      </c>
    </row>
    <row r="4" customFormat="1" ht="15.15" spans="1:7">
      <c r="A4" s="6">
        <f>SUM(B4:F4)</f>
        <v>1.5</v>
      </c>
      <c r="B4" s="7">
        <f t="shared" ref="B4:F4" si="1">IF(COUNTA(B3)&gt;0,IF(COUNTA(B1),0.5,0.25),0)</f>
        <v>0.5</v>
      </c>
      <c r="C4" s="7">
        <f t="shared" si="1"/>
        <v>0.5</v>
      </c>
      <c r="D4" s="7">
        <f t="shared" si="1"/>
        <v>0.5</v>
      </c>
      <c r="E4" s="7">
        <f t="shared" si="1"/>
        <v>0</v>
      </c>
      <c r="F4" s="7">
        <f t="shared" si="1"/>
        <v>0</v>
      </c>
      <c r="G4" s="8" t="str" cm="1">
        <f ca="1" t="array" ref="G4">_wpsfn.SHEETSNAME(A1)</f>
        <v>20250811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>SUM(B6:F6)</f>
        <v>1</v>
      </c>
      <c r="B6" s="7">
        <f t="shared" ref="B6:F6" si="2">IF(COUNTA(B1)&gt;0,IF(B5="完成",0.25,0),0)</f>
        <v>0.25</v>
      </c>
      <c r="C6" s="7">
        <f t="shared" si="2"/>
        <v>0.25</v>
      </c>
      <c r="D6" s="7">
        <f t="shared" si="2"/>
        <v>0.25</v>
      </c>
      <c r="E6" s="7">
        <f t="shared" si="2"/>
        <v>0.25</v>
      </c>
      <c r="F6" s="7">
        <f t="shared" si="2"/>
        <v>0</v>
      </c>
      <c r="G6" s="10"/>
    </row>
    <row r="7" s="1" customFormat="1" ht="125" customHeight="1" spans="1:7">
      <c r="A7" s="4" t="s">
        <v>195</v>
      </c>
      <c r="B7" s="5">
        <v>3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1</v>
      </c>
      <c r="B8" s="7">
        <f t="shared" ref="B8:F8" si="3">IF(COUNTA(B7)&gt;0,IF(COUNTA(B1)&gt;0,IF(B5="完成",0.25,0),IF(B5="遗忘",0,0.25)),0)</f>
        <v>0.25</v>
      </c>
      <c r="C8" s="7">
        <f t="shared" si="3"/>
        <v>0.25</v>
      </c>
      <c r="D8" s="7">
        <f t="shared" si="3"/>
        <v>0.25</v>
      </c>
      <c r="E8" s="7">
        <f t="shared" si="3"/>
        <v>0.25</v>
      </c>
      <c r="F8" s="7">
        <f t="shared" si="3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5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4.75</v>
      </c>
      <c r="C10" s="12" t="s">
        <v>17</v>
      </c>
      <c r="D10" s="13">
        <v>4.17</v>
      </c>
      <c r="E10" s="12" t="s">
        <v>18</v>
      </c>
      <c r="F10" s="13">
        <f>B10+D10</f>
        <v>8.92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F7" sqref="F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3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20250811</v>
      </c>
    </row>
    <row r="3" s="1" customFormat="1" ht="125" customHeight="1" spans="1:7">
      <c r="A3" s="4" t="s">
        <v>3</v>
      </c>
      <c r="B3" s="1" t="s">
        <v>290</v>
      </c>
      <c r="C3" s="1"/>
      <c r="D3" s="1"/>
      <c r="F3" s="5"/>
      <c r="G3" s="4" t="s">
        <v>57</v>
      </c>
    </row>
    <row r="4" customFormat="1" ht="15.15" spans="1:7">
      <c r="A4" s="6">
        <f t="shared" si="0"/>
        <v>0.5</v>
      </c>
      <c r="B4" s="7">
        <f>IF(COUNTA(B3)&gt;0,IF(COUNTA(B1),0.5,0.25),0)</f>
        <v>0.5</v>
      </c>
      <c r="C4" s="7">
        <f>IF(COUNTA(C3)&gt;0,IF(COUNTA(C1),0.5,0.25),0)</f>
        <v>0</v>
      </c>
      <c r="D4" s="7">
        <f>IF(COUNTA(D3)&gt;0,IF(COUNTA(D1),0.5,0.25),0)</f>
        <v>0</v>
      </c>
      <c r="E4" s="7">
        <f>IF(COUNTA(E3)&gt;0,IF(COUNTA(E1),0.5,0.25),0)</f>
        <v>0</v>
      </c>
      <c r="F4" s="7">
        <f>IF(COUNTA(F3)&gt;0,IF(COUNTA(F1),0.5,0.25),0)</f>
        <v>0</v>
      </c>
      <c r="G4" s="8" t="str" cm="1">
        <f ca="1" t="array" ref="G4">_wpsfn.SHEETSNAME(A1)</f>
        <v>20250813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/>
      <c r="F5" s="5"/>
      <c r="G5" s="9" t="s">
        <v>10</v>
      </c>
    </row>
    <row r="6" customFormat="1" ht="15.15" spans="1:7">
      <c r="A6" s="6">
        <f t="shared" si="0"/>
        <v>0.75</v>
      </c>
      <c r="B6" s="7">
        <f t="shared" ref="B6:F6" si="2">IF(COUNTA(B1)&gt;0,IF(B5="完成",0.25,0),0)</f>
        <v>0.25</v>
      </c>
      <c r="C6" s="7">
        <f t="shared" si="2"/>
        <v>0.25</v>
      </c>
      <c r="D6" s="7">
        <f t="shared" si="2"/>
        <v>0.25</v>
      </c>
      <c r="E6" s="7">
        <f t="shared" si="2"/>
        <v>0</v>
      </c>
      <c r="F6" s="7">
        <f t="shared" si="2"/>
        <v>0</v>
      </c>
      <c r="G6" s="10"/>
    </row>
    <row r="7" s="1" customFormat="1" ht="125" customHeight="1" spans="1:7">
      <c r="A7" s="4" t="s">
        <v>195</v>
      </c>
      <c r="B7" s="5">
        <v>5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0.75</v>
      </c>
      <c r="B8" s="7">
        <f t="shared" ref="B8:F8" si="3">IF(COUNTA(B7)&gt;0,IF(COUNTA(B1)&gt;0,IF(B5="完成",0.25,0),IF(B5="遗忘",0,0.25)),0)</f>
        <v>0.25</v>
      </c>
      <c r="C8" s="7">
        <f t="shared" si="3"/>
        <v>0.25</v>
      </c>
      <c r="D8" s="7">
        <f t="shared" si="3"/>
        <v>0.25</v>
      </c>
      <c r="E8" s="7">
        <f t="shared" si="3"/>
        <v>0</v>
      </c>
      <c r="F8" s="7">
        <f t="shared" si="3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3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1.67</v>
      </c>
      <c r="E10" s="12" t="s">
        <v>18</v>
      </c>
      <c r="F10" s="13">
        <f>B10+D10</f>
        <v>4.92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D5" sqref="D5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5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20250813</v>
      </c>
    </row>
    <row r="3" s="1" customFormat="1" ht="125" customHeight="1" spans="1:7">
      <c r="A3" s="4" t="s">
        <v>3</v>
      </c>
      <c r="B3" s="1" t="s">
        <v>291</v>
      </c>
      <c r="F3" s="5"/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20250814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20</v>
      </c>
      <c r="C7" s="5">
        <v>20</v>
      </c>
      <c r="D7" s="5">
        <v>20</v>
      </c>
      <c r="E7" s="5">
        <v>20</v>
      </c>
      <c r="F7" s="5">
        <v>20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5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2.75</v>
      </c>
      <c r="C10" s="12" t="s">
        <v>17</v>
      </c>
      <c r="D10" s="13">
        <v>1.17</v>
      </c>
      <c r="E10" s="12" t="s">
        <v>18</v>
      </c>
      <c r="F10" s="13">
        <f>B10+D10</f>
        <v>3.92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20</v>
      </c>
      <c r="C1" s="5">
        <v>20</v>
      </c>
      <c r="D1" s="5">
        <v>20</v>
      </c>
      <c r="E1" s="5">
        <v>20</v>
      </c>
      <c r="F1" s="5">
        <v>20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20250814</v>
      </c>
    </row>
    <row r="3" s="1" customFormat="1" ht="125" customHeight="1" spans="1:7">
      <c r="A3" s="4" t="s">
        <v>3</v>
      </c>
      <c r="B3" s="1" t="s">
        <v>292</v>
      </c>
      <c r="C3" s="1" t="s">
        <v>293</v>
      </c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20250819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19</v>
      </c>
      <c r="C7" s="5">
        <v>20</v>
      </c>
      <c r="D7" s="5">
        <v>20</v>
      </c>
      <c r="E7" s="5">
        <v>20</v>
      </c>
      <c r="F7" s="5">
        <v>20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20</v>
      </c>
      <c r="C9" s="11" cm="1">
        <f ca="1" t="array" ref="C9">IF(COUNTA(INDIRECT(_xlfn.CONCAT($G2,"!",CHAR(64+COLUMN()),7)))&gt;0,INDIRECT(_xlfn.CONCAT($G2,"!",CHAR(64+COLUMN()),7)),"")</f>
        <v>20</v>
      </c>
      <c r="D9" s="11" cm="1">
        <f ca="1" t="array" ref="D9">IF(COUNTA(INDIRECT(_xlfn.CONCAT($G2,"!",CHAR(64+COLUMN()),7)))&gt;0,INDIRECT(_xlfn.CONCAT($G2,"!",CHAR(64+COLUMN()),7)),"")</f>
        <v>20</v>
      </c>
      <c r="E9" s="11" cm="1">
        <f ca="1" t="array" ref="E9">IF(COUNTA(INDIRECT(_xlfn.CONCAT($G2,"!",CHAR(64+COLUMN()),7)))&gt;0,INDIRECT(_xlfn.CONCAT($G2,"!",CHAR(64+COLUMN()),7)),"")</f>
        <v>20</v>
      </c>
      <c r="F9" s="11" cm="1">
        <f ca="1" t="array" ref="F9">IF(COUNTA(INDIRECT(_xlfn.CONCAT($G2,"!",CHAR(64+COLUMN()),7)))&gt;0,INDIRECT(_xlfn.CONCAT($G2,"!",CHAR(64+COLUMN()),7)),"")</f>
        <v>20</v>
      </c>
      <c r="G9" s="10"/>
    </row>
    <row r="10" ht="15.15" spans="1:7">
      <c r="A10" s="12" t="s">
        <v>16</v>
      </c>
      <c r="B10" s="13">
        <f>SUM(A8,A6,A4,A2)</f>
        <v>2.75</v>
      </c>
      <c r="C10" s="12" t="s">
        <v>17</v>
      </c>
      <c r="D10" s="13">
        <v>0</v>
      </c>
      <c r="E10" s="12" t="s">
        <v>18</v>
      </c>
      <c r="F10" s="13">
        <f>B10+D10</f>
        <v>2.75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F9" sqref="F9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19</v>
      </c>
      <c r="C1" s="5">
        <v>20</v>
      </c>
      <c r="D1" s="5">
        <v>20</v>
      </c>
      <c r="E1" s="5">
        <v>20</v>
      </c>
      <c r="F1" s="5">
        <v>20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20250819</v>
      </c>
    </row>
    <row r="3" s="1" customFormat="1" ht="125" customHeight="1" spans="1:7">
      <c r="A3" s="4" t="s">
        <v>3</v>
      </c>
      <c r="B3" s="1" t="s">
        <v>294</v>
      </c>
      <c r="C3" s="1" t="s">
        <v>295</v>
      </c>
      <c r="D3" s="1" t="s">
        <v>296</v>
      </c>
      <c r="F3" s="5"/>
      <c r="G3" s="4" t="s">
        <v>57</v>
      </c>
    </row>
    <row r="4" customFormat="1" ht="15.15" spans="1:7">
      <c r="A4" s="6">
        <f t="shared" si="0"/>
        <v>1.5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20250820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15</v>
      </c>
      <c r="C7" s="5">
        <v>20</v>
      </c>
      <c r="D7" s="5">
        <v>20</v>
      </c>
      <c r="E7" s="5">
        <v>20</v>
      </c>
      <c r="F7" s="5">
        <v>20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19</v>
      </c>
      <c r="C9" s="11" cm="1">
        <f ca="1" t="array" ref="C9">IF(COUNTA(INDIRECT(_xlfn.CONCAT($G2,"!",CHAR(64+COLUMN()),7)))&gt;0,INDIRECT(_xlfn.CONCAT($G2,"!",CHAR(64+COLUMN()),7)),"")</f>
        <v>20</v>
      </c>
      <c r="D9" s="11" cm="1">
        <f ca="1" t="array" ref="D9">IF(COUNTA(INDIRECT(_xlfn.CONCAT($G2,"!",CHAR(64+COLUMN()),7)))&gt;0,INDIRECT(_xlfn.CONCAT($G2,"!",CHAR(64+COLUMN()),7)),"")</f>
        <v>20</v>
      </c>
      <c r="E9" s="11" cm="1">
        <f ca="1" t="array" ref="E9">IF(COUNTA(INDIRECT(_xlfn.CONCAT($G2,"!",CHAR(64+COLUMN()),7)))&gt;0,INDIRECT(_xlfn.CONCAT($G2,"!",CHAR(64+COLUMN()),7)),"")</f>
        <v>20</v>
      </c>
      <c r="F9" s="11" cm="1">
        <f ca="1" t="array" ref="F9">IF(COUNTA(INDIRECT(_xlfn.CONCAT($G2,"!",CHAR(64+COLUMN()),7)))&gt;0,INDIRECT(_xlfn.CONCAT($G2,"!",CHAR(64+COLUMN()),7)),"")</f>
        <v>20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1.33</v>
      </c>
      <c r="E10" s="12" t="s">
        <v>18</v>
      </c>
      <c r="F10" s="13">
        <f>B10+D10</f>
        <v>4.58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7" workbookViewId="0">
      <selection activeCell="D10" sqref="D10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15</v>
      </c>
      <c r="C1" s="5">
        <v>20</v>
      </c>
      <c r="D1" s="5">
        <v>20</v>
      </c>
      <c r="E1" s="5">
        <v>20</v>
      </c>
      <c r="F1" s="5">
        <v>20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20250820</v>
      </c>
    </row>
    <row r="3" s="1" customFormat="1" ht="125" customHeight="1" spans="1:7">
      <c r="A3" s="4" t="s">
        <v>3</v>
      </c>
      <c r="B3" s="1" t="s">
        <v>297</v>
      </c>
      <c r="C3" s="1" t="s">
        <v>298</v>
      </c>
      <c r="D3" s="1" t="s">
        <v>299</v>
      </c>
      <c r="E3" s="1" t="s">
        <v>300</v>
      </c>
      <c r="F3" s="5"/>
      <c r="G3" s="4" t="s">
        <v>57</v>
      </c>
    </row>
    <row r="4" customFormat="1" ht="15.15" spans="1:7">
      <c r="A4" s="6">
        <f t="shared" si="0"/>
        <v>2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20250821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5</v>
      </c>
      <c r="C7" s="5">
        <v>20</v>
      </c>
      <c r="D7" s="5">
        <v>20</v>
      </c>
      <c r="E7" s="5">
        <v>20</v>
      </c>
      <c r="F7" s="5">
        <v>20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15</v>
      </c>
      <c r="C9" s="11" cm="1">
        <f ca="1" t="array" ref="C9">IF(COUNTA(INDIRECT(_xlfn.CONCAT($G2,"!",CHAR(64+COLUMN()),7)))&gt;0,INDIRECT(_xlfn.CONCAT($G2,"!",CHAR(64+COLUMN()),7)),"")</f>
        <v>20</v>
      </c>
      <c r="D9" s="11" cm="1">
        <f ca="1" t="array" ref="D9">IF(COUNTA(INDIRECT(_xlfn.CONCAT($G2,"!",CHAR(64+COLUMN()),7)))&gt;0,INDIRECT(_xlfn.CONCAT($G2,"!",CHAR(64+COLUMN()),7)),"")</f>
        <v>20</v>
      </c>
      <c r="E9" s="11" cm="1">
        <f ca="1" t="array" ref="E9">IF(COUNTA(INDIRECT(_xlfn.CONCAT($G2,"!",CHAR(64+COLUMN()),7)))&gt;0,INDIRECT(_xlfn.CONCAT($G2,"!",CHAR(64+COLUMN()),7)),"")</f>
        <v>20</v>
      </c>
      <c r="F9" s="11" cm="1">
        <f ca="1" t="array" ref="F9">IF(COUNTA(INDIRECT(_xlfn.CONCAT($G2,"!",CHAR(64+COLUMN()),7)))&gt;0,INDIRECT(_xlfn.CONCAT($G2,"!",CHAR(64+COLUMN()),7)),"")</f>
        <v>20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2.33</v>
      </c>
      <c r="E10" s="12" t="s">
        <v>18</v>
      </c>
      <c r="F10" s="13">
        <f>B10+D10</f>
        <v>6.08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7" workbookViewId="0">
      <selection activeCell="C3" sqref="C3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5</v>
      </c>
      <c r="C1" s="5">
        <v>20</v>
      </c>
      <c r="D1" s="5">
        <v>20</v>
      </c>
      <c r="E1" s="5">
        <v>20</v>
      </c>
      <c r="F1" s="5">
        <v>20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20250821</v>
      </c>
    </row>
    <row r="3" s="1" customFormat="1" ht="125" customHeight="1" spans="1:7">
      <c r="A3" s="4" t="s">
        <v>3</v>
      </c>
      <c r="B3" s="1" t="s">
        <v>301</v>
      </c>
      <c r="C3" s="1" t="s">
        <v>302</v>
      </c>
      <c r="D3" s="1"/>
      <c r="E3" s="1"/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20250822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15</v>
      </c>
      <c r="C7" s="5">
        <v>20</v>
      </c>
      <c r="D7" s="5">
        <v>20</v>
      </c>
      <c r="E7" s="5">
        <v>20</v>
      </c>
      <c r="F7" s="5">
        <v>20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5</v>
      </c>
      <c r="C9" s="11" cm="1">
        <f ca="1" t="array" ref="C9">IF(COUNTA(INDIRECT(_xlfn.CONCAT($G2,"!",CHAR(64+COLUMN()),7)))&gt;0,INDIRECT(_xlfn.CONCAT($G2,"!",CHAR(64+COLUMN()),7)),"")</f>
        <v>20</v>
      </c>
      <c r="D9" s="11" cm="1">
        <f ca="1" t="array" ref="D9">IF(COUNTA(INDIRECT(_xlfn.CONCAT($G2,"!",CHAR(64+COLUMN()),7)))&gt;0,INDIRECT(_xlfn.CONCAT($G2,"!",CHAR(64+COLUMN()),7)),"")</f>
        <v>20</v>
      </c>
      <c r="E9" s="11" cm="1">
        <f ca="1" t="array" ref="E9">IF(COUNTA(INDIRECT(_xlfn.CONCAT($G2,"!",CHAR(64+COLUMN()),7)))&gt;0,INDIRECT(_xlfn.CONCAT($G2,"!",CHAR(64+COLUMN()),7)),"")</f>
        <v>20</v>
      </c>
      <c r="F9" s="11" cm="1">
        <f ca="1" t="array" ref="F9">IF(COUNTA(INDIRECT(_xlfn.CONCAT($G2,"!",CHAR(64+COLUMN()),7)))&gt;0,INDIRECT(_xlfn.CONCAT($G2,"!",CHAR(64+COLUMN()),7)),"")</f>
        <v>20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3.17</v>
      </c>
      <c r="E10" s="12" t="s">
        <v>18</v>
      </c>
      <c r="F10" s="13">
        <f>B10+D10</f>
        <v>6.42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L9" sqref="L9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15</v>
      </c>
      <c r="C1" s="5">
        <v>20</v>
      </c>
      <c r="D1" s="5">
        <v>20</v>
      </c>
      <c r="E1" s="5">
        <v>20</v>
      </c>
      <c r="F1" s="5">
        <v>20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20250822</v>
      </c>
    </row>
    <row r="3" s="1" customFormat="1" ht="125" customHeight="1" spans="1:7">
      <c r="A3" s="4" t="s">
        <v>3</v>
      </c>
      <c r="B3" s="1" t="s">
        <v>303</v>
      </c>
      <c r="C3" s="1" t="s">
        <v>304</v>
      </c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20250823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5</v>
      </c>
      <c r="C7" s="5">
        <v>20</v>
      </c>
      <c r="D7" s="5">
        <v>20</v>
      </c>
      <c r="E7" s="5">
        <v>20</v>
      </c>
      <c r="F7" s="5">
        <v>20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15</v>
      </c>
      <c r="C9" s="11" cm="1">
        <f ca="1" t="array" ref="C9">IF(COUNTA(INDIRECT(_xlfn.CONCAT($G2,"!",CHAR(64+COLUMN()),7)))&gt;0,INDIRECT(_xlfn.CONCAT($G2,"!",CHAR(64+COLUMN()),7)),"")</f>
        <v>20</v>
      </c>
      <c r="D9" s="11" cm="1">
        <f ca="1" t="array" ref="D9">IF(COUNTA(INDIRECT(_xlfn.CONCAT($G2,"!",CHAR(64+COLUMN()),7)))&gt;0,INDIRECT(_xlfn.CONCAT($G2,"!",CHAR(64+COLUMN()),7)),"")</f>
        <v>20</v>
      </c>
      <c r="E9" s="11" cm="1">
        <f ca="1" t="array" ref="E9">IF(COUNTA(INDIRECT(_xlfn.CONCAT($G2,"!",CHAR(64+COLUMN()),7)))&gt;0,INDIRECT(_xlfn.CONCAT($G2,"!",CHAR(64+COLUMN()),7)),"")</f>
        <v>20</v>
      </c>
      <c r="F9" s="11" cm="1">
        <f ca="1" t="array" ref="F9">IF(COUNTA(INDIRECT(_xlfn.CONCAT($G2,"!",CHAR(64+COLUMN()),7)))&gt;0,INDIRECT(_xlfn.CONCAT($G2,"!",CHAR(64+COLUMN()),7)),"")</f>
        <v>20</v>
      </c>
      <c r="G9" s="10"/>
    </row>
    <row r="10" ht="15.15" spans="1:7">
      <c r="A10" s="12" t="s">
        <v>16</v>
      </c>
      <c r="B10" s="13">
        <f>SUM(A8,A6,A4,A2)</f>
        <v>2.75</v>
      </c>
      <c r="C10" s="12" t="s">
        <v>17</v>
      </c>
      <c r="D10" s="13">
        <v>2.17</v>
      </c>
      <c r="E10" s="12" t="s">
        <v>18</v>
      </c>
      <c r="F10" s="13">
        <f>B10+D10</f>
        <v>4.92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7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5</v>
      </c>
      <c r="C1" s="5">
        <v>20</v>
      </c>
      <c r="D1" s="5">
        <v>20</v>
      </c>
      <c r="E1" s="5">
        <v>20</v>
      </c>
      <c r="F1" s="5">
        <v>20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20250823</v>
      </c>
    </row>
    <row r="3" s="1" customFormat="1" ht="125" customHeight="1" spans="1:7">
      <c r="A3" s="4" t="s">
        <v>3</v>
      </c>
      <c r="B3" s="1"/>
      <c r="C3" s="1"/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20250824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15</v>
      </c>
      <c r="C7" s="5">
        <v>20</v>
      </c>
      <c r="D7" s="5">
        <v>20</v>
      </c>
      <c r="E7" s="5">
        <v>20</v>
      </c>
      <c r="F7" s="5">
        <v>20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5</v>
      </c>
      <c r="C9" s="11" cm="1">
        <f ca="1" t="array" ref="C9">IF(COUNTA(INDIRECT(_xlfn.CONCAT($G2,"!",CHAR(64+COLUMN()),7)))&gt;0,INDIRECT(_xlfn.CONCAT($G2,"!",CHAR(64+COLUMN()),7)),"")</f>
        <v>20</v>
      </c>
      <c r="D9" s="11" cm="1">
        <f ca="1" t="array" ref="D9">IF(COUNTA(INDIRECT(_xlfn.CONCAT($G2,"!",CHAR(64+COLUMN()),7)))&gt;0,INDIRECT(_xlfn.CONCAT($G2,"!",CHAR(64+COLUMN()),7)),"")</f>
        <v>20</v>
      </c>
      <c r="E9" s="11" cm="1">
        <f ca="1" t="array" ref="E9">IF(COUNTA(INDIRECT(_xlfn.CONCAT($G2,"!",CHAR(64+COLUMN()),7)))&gt;0,INDIRECT(_xlfn.CONCAT($G2,"!",CHAR(64+COLUMN()),7)),"")</f>
        <v>20</v>
      </c>
      <c r="F9" s="11" cm="1">
        <f ca="1" t="array" ref="F9">IF(COUNTA(INDIRECT(_xlfn.CONCAT($G2,"!",CHAR(64+COLUMN()),7)))&gt;0,INDIRECT(_xlfn.CONCAT($G2,"!",CHAR(64+COLUMN()),7)),"")</f>
        <v>20</v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0.83</v>
      </c>
      <c r="E10" s="12" t="s">
        <v>18</v>
      </c>
      <c r="F10" s="13">
        <f>B10+D10</f>
        <v>3.08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F7" sqref="F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15</v>
      </c>
      <c r="C1" s="5">
        <v>20</v>
      </c>
      <c r="D1" s="5">
        <v>20</v>
      </c>
      <c r="E1" s="5">
        <v>20</v>
      </c>
      <c r="F1" s="5">
        <v>20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20250824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20250825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4</v>
      </c>
      <c r="C7" s="5">
        <v>4</v>
      </c>
      <c r="D7" s="5">
        <v>4</v>
      </c>
      <c r="E7" s="5">
        <v>4</v>
      </c>
      <c r="F7" s="5">
        <v>4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15</v>
      </c>
      <c r="C9" s="11" cm="1">
        <f ca="1" t="array" ref="C9">IF(COUNTA(INDIRECT(_xlfn.CONCAT($G2,"!",CHAR(64+COLUMN()),7)))&gt;0,INDIRECT(_xlfn.CONCAT($G2,"!",CHAR(64+COLUMN()),7)),"")</f>
        <v>20</v>
      </c>
      <c r="D9" s="11" cm="1">
        <f ca="1" t="array" ref="D9">IF(COUNTA(INDIRECT(_xlfn.CONCAT($G2,"!",CHAR(64+COLUMN()),7)))&gt;0,INDIRECT(_xlfn.CONCAT($G2,"!",CHAR(64+COLUMN()),7)),"")</f>
        <v>20</v>
      </c>
      <c r="E9" s="11" cm="1">
        <f ca="1" t="array" ref="E9">IF(COUNTA(INDIRECT(_xlfn.CONCAT($G2,"!",CHAR(64+COLUMN()),7)))&gt;0,INDIRECT(_xlfn.CONCAT($G2,"!",CHAR(64+COLUMN()),7)),"")</f>
        <v>20</v>
      </c>
      <c r="F9" s="11" cm="1">
        <f ca="1" t="array" ref="F9">IF(COUNTA(INDIRECT(_xlfn.CONCAT($G2,"!",CHAR(64+COLUMN()),7)))&gt;0,INDIRECT(_xlfn.CONCAT($G2,"!",CHAR(64+COLUMN()),7)),"")</f>
        <v>20</v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1.83</v>
      </c>
      <c r="E10" s="12" t="s">
        <v>18</v>
      </c>
      <c r="F10" s="13">
        <f>B10+D10</f>
        <v>4.08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C7" sqref="C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4</v>
      </c>
      <c r="C1" s="5">
        <v>4</v>
      </c>
      <c r="D1" s="5">
        <v>4</v>
      </c>
      <c r="E1" s="5">
        <v>4</v>
      </c>
      <c r="F1" s="5">
        <v>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20250825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20250826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305</v>
      </c>
      <c r="C7" s="5" t="s">
        <v>306</v>
      </c>
      <c r="D7" s="5" t="s">
        <v>306</v>
      </c>
      <c r="E7" s="5" t="s">
        <v>306</v>
      </c>
      <c r="F7" s="5" t="s">
        <v>307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4</v>
      </c>
      <c r="C9" s="11" cm="1">
        <f ca="1" t="array" ref="C9">IF(COUNTA(INDIRECT(_xlfn.CONCAT($G2,"!",CHAR(64+COLUMN()),7)))&gt;0,INDIRECT(_xlfn.CONCAT($G2,"!",CHAR(64+COLUMN()),7)),"")</f>
        <v>4</v>
      </c>
      <c r="D9" s="11" cm="1">
        <f ca="1" t="array" ref="D9">IF(COUNTA(INDIRECT(_xlfn.CONCAT($G2,"!",CHAR(64+COLUMN()),7)))&gt;0,INDIRECT(_xlfn.CONCAT($G2,"!",CHAR(64+COLUMN()),7)),"")</f>
        <v>4</v>
      </c>
      <c r="E9" s="11" cm="1">
        <f ca="1" t="array" ref="E9">IF(COUNTA(INDIRECT(_xlfn.CONCAT($G2,"!",CHAR(64+COLUMN()),7)))&gt;0,INDIRECT(_xlfn.CONCAT($G2,"!",CHAR(64+COLUMN()),7)),"")</f>
        <v>4</v>
      </c>
      <c r="F9" s="11" cm="1">
        <f ca="1" t="array" ref="F9">IF(COUNTA(INDIRECT(_xlfn.CONCAT($G2,"!",CHAR(64+COLUMN()),7)))&gt;0,INDIRECT(_xlfn.CONCAT($G2,"!",CHAR(64+COLUMN()),7)),"")</f>
        <v>4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0</v>
      </c>
      <c r="E10" s="12" t="s">
        <v>18</v>
      </c>
      <c r="F10" s="13">
        <f>B10+D10</f>
        <v>3.25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K7" sqref="K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305</v>
      </c>
      <c r="C1" s="5" t="s">
        <v>306</v>
      </c>
      <c r="D1" s="5" t="s">
        <v>306</v>
      </c>
      <c r="E1" s="5" t="s">
        <v>306</v>
      </c>
      <c r="F1" s="5" t="s">
        <v>307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20250826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20250827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 t="s">
        <v>9</v>
      </c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306</v>
      </c>
      <c r="C7" s="5" t="s">
        <v>306</v>
      </c>
      <c r="D7" s="5" t="s">
        <v>306</v>
      </c>
      <c r="E7" s="5" t="s">
        <v>306</v>
      </c>
      <c r="F7" s="5" t="s">
        <v>308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2019
数二
真题</v>
      </c>
      <c r="C9" s="11" t="str" cm="1">
        <f ca="1" t="array" ref="C9">IF(COUNTA(INDIRECT(_xlfn.CONCAT($G2,"!",CHAR(64+COLUMN()),7)))&gt;0,INDIRECT(_xlfn.CONCAT($G2,"!",CHAR(64+COLUMN()),7)),"")</f>
        <v>易错题4</v>
      </c>
      <c r="D9" s="11" t="str" cm="1">
        <f ca="1" t="array" ref="D9">IF(COUNTA(INDIRECT(_xlfn.CONCAT($G2,"!",CHAR(64+COLUMN()),7)))&gt;0,INDIRECT(_xlfn.CONCAT($G2,"!",CHAR(64+COLUMN()),7)),"")</f>
        <v>易错题4</v>
      </c>
      <c r="E9" s="11" t="str" cm="1">
        <f ca="1" t="array" ref="E9">IF(COUNTA(INDIRECT(_xlfn.CONCAT($G2,"!",CHAR(64+COLUMN()),7)))&gt;0,INDIRECT(_xlfn.CONCAT($G2,"!",CHAR(64+COLUMN()),7)),"")</f>
        <v>易错题4</v>
      </c>
      <c r="F9" s="11" t="str" cm="1">
        <f ca="1" t="array" ref="F9">IF(COUNTA(INDIRECT(_xlfn.CONCAT($G2,"!",CHAR(64+COLUMN()),7)))&gt;0,INDIRECT(_xlfn.CONCAT($G2,"!",CHAR(64+COLUMN()),7)),"")</f>
        <v>易错题1</v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0</v>
      </c>
      <c r="E10" s="12" t="s">
        <v>18</v>
      </c>
      <c r="F10" s="13">
        <f>B10+D10</f>
        <v>2.25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F7" sqref="E7:F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3</v>
      </c>
      <c r="C1" s="5">
        <v>4</v>
      </c>
      <c r="D1" s="5">
        <v>4</v>
      </c>
      <c r="E1" s="5">
        <v>4</v>
      </c>
      <c r="F1" s="5">
        <v>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20250827</v>
      </c>
    </row>
    <row r="3" s="1" customFormat="1" ht="125" customHeight="1" spans="1:7">
      <c r="A3" s="4" t="s">
        <v>3</v>
      </c>
      <c r="B3" s="1" t="s">
        <v>309</v>
      </c>
      <c r="F3" s="5"/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20250903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4</v>
      </c>
      <c r="C7" s="5">
        <v>4</v>
      </c>
      <c r="D7" s="5">
        <v>4</v>
      </c>
      <c r="E7" s="5">
        <v>4</v>
      </c>
      <c r="F7" s="5">
        <v>1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易错题4</v>
      </c>
      <c r="C9" s="11" t="str" cm="1">
        <f ca="1" t="array" ref="C9">IF(COUNTA(INDIRECT(_xlfn.CONCAT($G2,"!",CHAR(64+COLUMN()),7)))&gt;0,INDIRECT(_xlfn.CONCAT($G2,"!",CHAR(64+COLUMN()),7)),"")</f>
        <v>易错题4</v>
      </c>
      <c r="D9" s="11" t="str" cm="1">
        <f ca="1" t="array" ref="D9">IF(COUNTA(INDIRECT(_xlfn.CONCAT($G2,"!",CHAR(64+COLUMN()),7)))&gt;0,INDIRECT(_xlfn.CONCAT($G2,"!",CHAR(64+COLUMN()),7)),"")</f>
        <v>易错题4</v>
      </c>
      <c r="E9" s="11" t="str" cm="1">
        <f ca="1" t="array" ref="E9">IF(COUNTA(INDIRECT(_xlfn.CONCAT($G2,"!",CHAR(64+COLUMN()),7)))&gt;0,INDIRECT(_xlfn.CONCAT($G2,"!",CHAR(64+COLUMN()),7)),"")</f>
        <v>易错题4</v>
      </c>
      <c r="F9" s="11" t="str" cm="1">
        <f ca="1" t="array" ref="F9">IF(COUNTA(INDIRECT(_xlfn.CONCAT($G2,"!",CHAR(64+COLUMN()),7)))&gt;0,INDIRECT(_xlfn.CONCAT($G2,"!",CHAR(64+COLUMN()),7)),"")</f>
        <v>易错题3</v>
      </c>
      <c r="G9" s="10"/>
    </row>
    <row r="10" ht="15.15" spans="1:7">
      <c r="A10" s="12" t="s">
        <v>16</v>
      </c>
      <c r="B10" s="13">
        <f>SUM(A8,A6,A4,A2)</f>
        <v>2.75</v>
      </c>
      <c r="C10" s="12" t="s">
        <v>17</v>
      </c>
      <c r="D10" s="13">
        <v>0.5</v>
      </c>
      <c r="E10" s="12" t="s">
        <v>18</v>
      </c>
      <c r="F10" s="13">
        <f>B10+D10</f>
        <v>3.25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7" workbookViewId="0">
      <selection activeCell="I22" sqref="I22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1</v>
      </c>
      <c r="C1" s="5">
        <v>4</v>
      </c>
      <c r="D1" s="5">
        <v>4</v>
      </c>
      <c r="E1" s="5">
        <v>4</v>
      </c>
      <c r="F1" s="5">
        <v>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20250903</v>
      </c>
    </row>
    <row r="3" s="1" customFormat="1" ht="125" customHeight="1" spans="1:7">
      <c r="A3" s="4" t="s">
        <v>3</v>
      </c>
      <c r="B3" s="1" t="s">
        <v>310</v>
      </c>
      <c r="C3" s="1" t="s">
        <v>311</v>
      </c>
      <c r="F3" s="5"/>
      <c r="G3" s="4" t="s">
        <v>57</v>
      </c>
    </row>
    <row r="4" customFormat="1" ht="15.15" spans="1:7">
      <c r="A4" s="6">
        <f t="shared" si="0"/>
        <v>1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20250904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2</v>
      </c>
      <c r="C7" s="5">
        <v>4</v>
      </c>
      <c r="D7" s="5">
        <v>4</v>
      </c>
      <c r="E7" s="5">
        <v>4</v>
      </c>
      <c r="F7" s="5">
        <v>4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4</v>
      </c>
      <c r="C9" s="11" cm="1">
        <f ca="1" t="array" ref="C9">IF(COUNTA(INDIRECT(_xlfn.CONCAT($G2,"!",CHAR(64+COLUMN()),7)))&gt;0,INDIRECT(_xlfn.CONCAT($G2,"!",CHAR(64+COLUMN()),7)),"")</f>
        <v>4</v>
      </c>
      <c r="D9" s="11" cm="1">
        <f ca="1" t="array" ref="D9">IF(COUNTA(INDIRECT(_xlfn.CONCAT($G2,"!",CHAR(64+COLUMN()),7)))&gt;0,INDIRECT(_xlfn.CONCAT($G2,"!",CHAR(64+COLUMN()),7)),"")</f>
        <v>4</v>
      </c>
      <c r="E9" s="11" cm="1">
        <f ca="1" t="array" ref="E9">IF(COUNTA(INDIRECT(_xlfn.CONCAT($G2,"!",CHAR(64+COLUMN()),7)))&gt;0,INDIRECT(_xlfn.CONCAT($G2,"!",CHAR(64+COLUMN()),7)),"")</f>
        <v>4</v>
      </c>
      <c r="F9" s="11" cm="1">
        <f ca="1" t="array" ref="F9">IF(COUNTA(INDIRECT(_xlfn.CONCAT($G2,"!",CHAR(64+COLUMN()),7)))&gt;0,INDIRECT(_xlfn.CONCAT($G2,"!",CHAR(64+COLUMN()),7)),"")</f>
        <v>1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0.83</v>
      </c>
      <c r="E10" s="12" t="s">
        <v>18</v>
      </c>
      <c r="F10" s="13">
        <f>B10+D10</f>
        <v>4.08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6" workbookViewId="0">
      <selection activeCell="E4" sqref="E4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</v>
      </c>
      <c r="C1" s="5">
        <v>4</v>
      </c>
      <c r="D1" s="5">
        <v>4</v>
      </c>
      <c r="E1" s="5">
        <v>4</v>
      </c>
      <c r="F1" s="5">
        <v>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20250904</v>
      </c>
    </row>
    <row r="3" s="1" customFormat="1" ht="125" customHeight="1" spans="1:7">
      <c r="A3" s="4" t="s">
        <v>3</v>
      </c>
      <c r="B3" s="1" t="s">
        <v>312</v>
      </c>
      <c r="C3" s="1" t="s">
        <v>313</v>
      </c>
      <c r="D3" s="1" t="s">
        <v>314</v>
      </c>
      <c r="E3" s="1" t="s">
        <v>315</v>
      </c>
      <c r="F3" s="5"/>
      <c r="G3" s="4" t="s">
        <v>57</v>
      </c>
    </row>
    <row r="4" customFormat="1" ht="15.15" spans="1:7">
      <c r="A4" s="6">
        <f t="shared" si="0"/>
        <v>2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20250905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3</v>
      </c>
      <c r="C7" s="5">
        <v>4</v>
      </c>
      <c r="D7" s="5">
        <v>4</v>
      </c>
      <c r="E7" s="5">
        <v>4</v>
      </c>
      <c r="F7" s="5">
        <v>4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2</v>
      </c>
      <c r="C9" s="11" cm="1">
        <f ca="1" t="array" ref="C9">IF(COUNTA(INDIRECT(_xlfn.CONCAT($G2,"!",CHAR(64+COLUMN()),7)))&gt;0,INDIRECT(_xlfn.CONCAT($G2,"!",CHAR(64+COLUMN()),7)),"")</f>
        <v>4</v>
      </c>
      <c r="D9" s="11" cm="1">
        <f ca="1" t="array" ref="D9">IF(COUNTA(INDIRECT(_xlfn.CONCAT($G2,"!",CHAR(64+COLUMN()),7)))&gt;0,INDIRECT(_xlfn.CONCAT($G2,"!",CHAR(64+COLUMN()),7)),"")</f>
        <v>4</v>
      </c>
      <c r="E9" s="11" cm="1">
        <f ca="1" t="array" ref="E9">IF(COUNTA(INDIRECT(_xlfn.CONCAT($G2,"!",CHAR(64+COLUMN()),7)))&gt;0,INDIRECT(_xlfn.CONCAT($G2,"!",CHAR(64+COLUMN()),7)),"")</f>
        <v>4</v>
      </c>
      <c r="F9" s="11" cm="1">
        <f ca="1" t="array" ref="F9">IF(COUNTA(INDIRECT(_xlfn.CONCAT($G2,"!",CHAR(64+COLUMN()),7)))&gt;0,INDIRECT(_xlfn.CONCAT($G2,"!",CHAR(64+COLUMN()),7)),"")</f>
        <v>4</v>
      </c>
      <c r="G9" s="10"/>
    </row>
    <row r="10" ht="15.15" spans="1:7">
      <c r="A10" s="12" t="s">
        <v>16</v>
      </c>
      <c r="B10" s="13">
        <f>SUM(A8,A6,A4,A2)</f>
        <v>4.25</v>
      </c>
      <c r="C10" s="12" t="s">
        <v>17</v>
      </c>
      <c r="D10" s="13">
        <v>2.17</v>
      </c>
      <c r="E10" s="12" t="s">
        <v>18</v>
      </c>
      <c r="F10" s="13">
        <f>B10+D10</f>
        <v>6.42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N7" sqref="N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3</v>
      </c>
      <c r="C1" s="5">
        <v>4</v>
      </c>
      <c r="D1" s="5">
        <v>4</v>
      </c>
      <c r="E1" s="5">
        <v>4</v>
      </c>
      <c r="F1" s="5">
        <v>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20250905</v>
      </c>
    </row>
    <row r="3" s="1" customFormat="1" ht="125" customHeight="1" spans="1:7">
      <c r="A3" s="4" t="s">
        <v>3</v>
      </c>
      <c r="B3" s="1" t="s">
        <v>316</v>
      </c>
      <c r="C3" s="1" t="s">
        <v>317</v>
      </c>
      <c r="D3" s="1" t="s">
        <v>318</v>
      </c>
      <c r="E3" s="1"/>
      <c r="F3" s="5"/>
      <c r="G3" s="4" t="s">
        <v>57</v>
      </c>
    </row>
    <row r="4" customFormat="1" ht="15.15" spans="1:7">
      <c r="A4" s="6">
        <f t="shared" si="0"/>
        <v>1.5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20250906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1</v>
      </c>
      <c r="C7" s="5">
        <v>4</v>
      </c>
      <c r="D7" s="5">
        <v>4</v>
      </c>
      <c r="E7" s="5">
        <v>4</v>
      </c>
      <c r="F7" s="5">
        <v>4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3</v>
      </c>
      <c r="C9" s="11" cm="1">
        <f ca="1" t="array" ref="C9">IF(COUNTA(INDIRECT(_xlfn.CONCAT($G2,"!",CHAR(64+COLUMN()),7)))&gt;0,INDIRECT(_xlfn.CONCAT($G2,"!",CHAR(64+COLUMN()),7)),"")</f>
        <v>4</v>
      </c>
      <c r="D9" s="11" cm="1">
        <f ca="1" t="array" ref="D9">IF(COUNTA(INDIRECT(_xlfn.CONCAT($G2,"!",CHAR(64+COLUMN()),7)))&gt;0,INDIRECT(_xlfn.CONCAT($G2,"!",CHAR(64+COLUMN()),7)),"")</f>
        <v>4</v>
      </c>
      <c r="E9" s="11" cm="1">
        <f ca="1" t="array" ref="E9">IF(COUNTA(INDIRECT(_xlfn.CONCAT($G2,"!",CHAR(64+COLUMN()),7)))&gt;0,INDIRECT(_xlfn.CONCAT($G2,"!",CHAR(64+COLUMN()),7)),"")</f>
        <v>4</v>
      </c>
      <c r="F9" s="11" cm="1">
        <f ca="1" t="array" ref="F9">IF(COUNTA(INDIRECT(_xlfn.CONCAT($G2,"!",CHAR(64+COLUMN()),7)))&gt;0,INDIRECT(_xlfn.CONCAT($G2,"!",CHAR(64+COLUMN()),7)),"")</f>
        <v>4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0</v>
      </c>
      <c r="E10" s="12" t="s">
        <v>18</v>
      </c>
      <c r="F10" s="13">
        <f>B10+D10</f>
        <v>3.75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7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1</v>
      </c>
      <c r="C1" s="5">
        <v>4</v>
      </c>
      <c r="D1" s="5">
        <v>4</v>
      </c>
      <c r="E1" s="5">
        <v>4</v>
      </c>
      <c r="F1" s="5">
        <v>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20250906</v>
      </c>
    </row>
    <row r="3" s="1" customFormat="1" ht="125" customHeight="1" spans="1:7">
      <c r="A3" s="4" t="s">
        <v>3</v>
      </c>
      <c r="B3" s="1" t="s">
        <v>319</v>
      </c>
      <c r="C3" s="1"/>
      <c r="D3" s="1"/>
      <c r="F3" s="5"/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20250907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2</v>
      </c>
      <c r="C7" s="5">
        <v>4</v>
      </c>
      <c r="D7" s="5">
        <v>4</v>
      </c>
      <c r="E7" s="5">
        <v>4</v>
      </c>
      <c r="F7" s="5">
        <v>4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1</v>
      </c>
      <c r="C9" s="11" cm="1">
        <f ca="1" t="array" ref="C9">IF(COUNTA(INDIRECT(_xlfn.CONCAT($G2,"!",CHAR(64+COLUMN()),7)))&gt;0,INDIRECT(_xlfn.CONCAT($G2,"!",CHAR(64+COLUMN()),7)),"")</f>
        <v>4</v>
      </c>
      <c r="D9" s="11" cm="1">
        <f ca="1" t="array" ref="D9">IF(COUNTA(INDIRECT(_xlfn.CONCAT($G2,"!",CHAR(64+COLUMN()),7)))&gt;0,INDIRECT(_xlfn.CONCAT($G2,"!",CHAR(64+COLUMN()),7)),"")</f>
        <v>4</v>
      </c>
      <c r="E9" s="11" cm="1">
        <f ca="1" t="array" ref="E9">IF(COUNTA(INDIRECT(_xlfn.CONCAT($G2,"!",CHAR(64+COLUMN()),7)))&gt;0,INDIRECT(_xlfn.CONCAT($G2,"!",CHAR(64+COLUMN()),7)),"")</f>
        <v>4</v>
      </c>
      <c r="F9" s="11" cm="1">
        <f ca="1" t="array" ref="F9">IF(COUNTA(INDIRECT(_xlfn.CONCAT($G2,"!",CHAR(64+COLUMN()),7)))&gt;0,INDIRECT(_xlfn.CONCAT($G2,"!",CHAR(64+COLUMN()),7)),"")</f>
        <v>4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0.5</v>
      </c>
      <c r="E10" s="12" t="s">
        <v>18</v>
      </c>
      <c r="F10" s="13">
        <f>B10+D10</f>
        <v>4.25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E7" sqref="E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</v>
      </c>
      <c r="C1" s="5">
        <v>4</v>
      </c>
      <c r="D1" s="5">
        <v>4</v>
      </c>
      <c r="E1" s="5">
        <v>4</v>
      </c>
      <c r="F1" s="5">
        <v>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20250907</v>
      </c>
    </row>
    <row r="3" s="1" customFormat="1" ht="125" customHeight="1" spans="1:7">
      <c r="A3" s="4" t="s">
        <v>3</v>
      </c>
      <c r="B3" s="1"/>
      <c r="F3" s="5" t="s">
        <v>320</v>
      </c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0.5</v>
      </c>
      <c r="G4" s="8" t="str" cm="1">
        <f ca="1" t="array" ref="G4">_wpsfn.SHEETSNAME(A1)</f>
        <v>20250908</v>
      </c>
    </row>
    <row r="5" s="1" customFormat="1" ht="125" customHeight="1" spans="1:7">
      <c r="A5" s="4" t="s">
        <v>193</v>
      </c>
      <c r="B5" s="5"/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IF(COUNTA(B1)&gt;0,IF(B5="完成",0.25,0),0)</f>
        <v>0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>
        <v>2</v>
      </c>
      <c r="C7" s="5">
        <v>9</v>
      </c>
      <c r="D7" s="5">
        <v>9</v>
      </c>
      <c r="E7" s="5">
        <v>9</v>
      </c>
      <c r="F7" s="5">
        <v>9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2</v>
      </c>
      <c r="C9" s="11" cm="1">
        <f ca="1" t="array" ref="C9">IF(COUNTA(INDIRECT(_xlfn.CONCAT($G2,"!",CHAR(64+COLUMN()),7)))&gt;0,INDIRECT(_xlfn.CONCAT($G2,"!",CHAR(64+COLUMN()),7)),"")</f>
        <v>4</v>
      </c>
      <c r="D9" s="11" cm="1">
        <f ca="1" t="array" ref="D9">IF(COUNTA(INDIRECT(_xlfn.CONCAT($G2,"!",CHAR(64+COLUMN()),7)))&gt;0,INDIRECT(_xlfn.CONCAT($G2,"!",CHAR(64+COLUMN()),7)),"")</f>
        <v>4</v>
      </c>
      <c r="E9" s="11" cm="1">
        <f ca="1" t="array" ref="E9">IF(COUNTA(INDIRECT(_xlfn.CONCAT($G2,"!",CHAR(64+COLUMN()),7)))&gt;0,INDIRECT(_xlfn.CONCAT($G2,"!",CHAR(64+COLUMN()),7)),"")</f>
        <v>4</v>
      </c>
      <c r="F9" s="11" cm="1">
        <f ca="1" t="array" ref="F9">IF(COUNTA(INDIRECT(_xlfn.CONCAT($G2,"!",CHAR(64+COLUMN()),7)))&gt;0,INDIRECT(_xlfn.CONCAT($G2,"!",CHAR(64+COLUMN()),7)),"")</f>
        <v>4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1.5</v>
      </c>
      <c r="E10" s="12" t="s">
        <v>18</v>
      </c>
      <c r="F10" s="13">
        <f>B10+D10</f>
        <v>5.25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</v>
      </c>
      <c r="C1" s="5">
        <v>9</v>
      </c>
      <c r="D1" s="5">
        <v>9</v>
      </c>
      <c r="E1" s="5">
        <v>9</v>
      </c>
      <c r="F1" s="5">
        <v>9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20250908</v>
      </c>
    </row>
    <row r="3" s="1" customFormat="1" ht="125" customHeight="1" spans="1:7">
      <c r="A3" s="4" t="s">
        <v>3</v>
      </c>
      <c r="B3" s="1" t="s">
        <v>321</v>
      </c>
      <c r="C3" s="1" t="s">
        <v>322</v>
      </c>
      <c r="D3" s="1" t="s">
        <v>323</v>
      </c>
      <c r="F3" s="5"/>
      <c r="G3" s="4" t="s">
        <v>57</v>
      </c>
    </row>
    <row r="4" customFormat="1" ht="15.15" spans="1:7">
      <c r="A4" s="6">
        <f t="shared" si="0"/>
        <v>1.5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20250909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1</v>
      </c>
      <c r="C7" s="5">
        <v>4</v>
      </c>
      <c r="D7" s="5">
        <v>4</v>
      </c>
      <c r="E7" s="5">
        <v>4</v>
      </c>
      <c r="F7" s="5">
        <v>4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2</v>
      </c>
      <c r="C9" s="11" cm="1">
        <f ca="1" t="array" ref="C9">IF(COUNTA(INDIRECT(_xlfn.CONCAT($G2,"!",CHAR(64+COLUMN()),7)))&gt;0,INDIRECT(_xlfn.CONCAT($G2,"!",CHAR(64+COLUMN()),7)),"")</f>
        <v>9</v>
      </c>
      <c r="D9" s="11" cm="1">
        <f ca="1" t="array" ref="D9">IF(COUNTA(INDIRECT(_xlfn.CONCAT($G2,"!",CHAR(64+COLUMN()),7)))&gt;0,INDIRECT(_xlfn.CONCAT($G2,"!",CHAR(64+COLUMN()),7)),"")</f>
        <v>9</v>
      </c>
      <c r="E9" s="11" cm="1">
        <f ca="1" t="array" ref="E9">IF(COUNTA(INDIRECT(_xlfn.CONCAT($G2,"!",CHAR(64+COLUMN()),7)))&gt;0,INDIRECT(_xlfn.CONCAT($G2,"!",CHAR(64+COLUMN()),7)),"")</f>
        <v>9</v>
      </c>
      <c r="F9" s="11" cm="1">
        <f ca="1" t="array" ref="F9">IF(COUNTA(INDIRECT(_xlfn.CONCAT($G2,"!",CHAR(64+COLUMN()),7)))&gt;0,INDIRECT(_xlfn.CONCAT($G2,"!",CHAR(64+COLUMN()),7)),"")</f>
        <v>9</v>
      </c>
      <c r="G9" s="10"/>
    </row>
    <row r="10" ht="15.15" spans="1:7">
      <c r="A10" s="12" t="s">
        <v>16</v>
      </c>
      <c r="B10" s="13">
        <f>SUM(A8,A6,A4,A2)</f>
        <v>4.75</v>
      </c>
      <c r="C10" s="12" t="s">
        <v>17</v>
      </c>
      <c r="D10" s="13">
        <v>2.33</v>
      </c>
      <c r="E10" s="12" t="s">
        <v>18</v>
      </c>
      <c r="F10" s="13">
        <f>B10+D10</f>
        <v>7.08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6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1</v>
      </c>
      <c r="C1" s="5">
        <v>4</v>
      </c>
      <c r="D1" s="5">
        <v>4</v>
      </c>
      <c r="E1" s="5">
        <v>4</v>
      </c>
      <c r="F1" s="5">
        <v>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20250909</v>
      </c>
    </row>
    <row r="3" s="1" customFormat="1" ht="125" customHeight="1" spans="1:7">
      <c r="A3" s="4" t="s">
        <v>3</v>
      </c>
      <c r="B3" s="1"/>
      <c r="C3" s="1"/>
      <c r="D3" s="1"/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20250910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2</v>
      </c>
      <c r="C7" s="5" t="s">
        <v>324</v>
      </c>
      <c r="D7" s="5">
        <v>4</v>
      </c>
      <c r="E7" s="5">
        <v>4</v>
      </c>
      <c r="F7" s="5">
        <v>4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1</v>
      </c>
      <c r="C9" s="11" cm="1">
        <f ca="1" t="array" ref="C9">IF(COUNTA(INDIRECT(_xlfn.CONCAT($G2,"!",CHAR(64+COLUMN()),7)))&gt;0,INDIRECT(_xlfn.CONCAT($G2,"!",CHAR(64+COLUMN()),7)),"")</f>
        <v>4</v>
      </c>
      <c r="D9" s="11" cm="1">
        <f ca="1" t="array" ref="D9">IF(COUNTA(INDIRECT(_xlfn.CONCAT($G2,"!",CHAR(64+COLUMN()),7)))&gt;0,INDIRECT(_xlfn.CONCAT($G2,"!",CHAR(64+COLUMN()),7)),"")</f>
        <v>4</v>
      </c>
      <c r="E9" s="11" cm="1">
        <f ca="1" t="array" ref="E9">IF(COUNTA(INDIRECT(_xlfn.CONCAT($G2,"!",CHAR(64+COLUMN()),7)))&gt;0,INDIRECT(_xlfn.CONCAT($G2,"!",CHAR(64+COLUMN()),7)),"")</f>
        <v>4</v>
      </c>
      <c r="F9" s="11" cm="1">
        <f ca="1" t="array" ref="F9">IF(COUNTA(INDIRECT(_xlfn.CONCAT($G2,"!",CHAR(64+COLUMN()),7)))&gt;0,INDIRECT(_xlfn.CONCAT($G2,"!",CHAR(64+COLUMN()),7)),"")</f>
        <v>4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1.67</v>
      </c>
      <c r="E10" s="12" t="s">
        <v>18</v>
      </c>
      <c r="F10" s="13">
        <f>B10+D10</f>
        <v>4.92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</v>
      </c>
      <c r="C1" s="5" t="s">
        <v>324</v>
      </c>
      <c r="D1" s="5">
        <v>4</v>
      </c>
      <c r="E1" s="5">
        <v>4</v>
      </c>
      <c r="F1" s="5">
        <v>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20250910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20250911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3</v>
      </c>
      <c r="C7" s="5">
        <v>4</v>
      </c>
      <c r="D7" s="5">
        <v>4</v>
      </c>
      <c r="E7" s="5">
        <v>4</v>
      </c>
      <c r="F7" s="5">
        <v>4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2</v>
      </c>
      <c r="C9" s="11" t="str" cm="1">
        <f ca="1" t="array" ref="C9">IF(COUNTA(INDIRECT(_xlfn.CONCAT($G2,"!",CHAR(64+COLUMN()),7)))&gt;0,INDIRECT(_xlfn.CONCAT($G2,"!",CHAR(64+COLUMN()),7)),"")</f>
        <v>卷子一张</v>
      </c>
      <c r="D9" s="11" cm="1">
        <f ca="1" t="array" ref="D9">IF(COUNTA(INDIRECT(_xlfn.CONCAT($G2,"!",CHAR(64+COLUMN()),7)))&gt;0,INDIRECT(_xlfn.CONCAT($G2,"!",CHAR(64+COLUMN()),7)),"")</f>
        <v>4</v>
      </c>
      <c r="E9" s="11" cm="1">
        <f ca="1" t="array" ref="E9">IF(COUNTA(INDIRECT(_xlfn.CONCAT($G2,"!",CHAR(64+COLUMN()),7)))&gt;0,INDIRECT(_xlfn.CONCAT($G2,"!",CHAR(64+COLUMN()),7)),"")</f>
        <v>4</v>
      </c>
      <c r="F9" s="11" cm="1">
        <f ca="1" t="array" ref="F9">IF(COUNTA(INDIRECT(_xlfn.CONCAT($G2,"!",CHAR(64+COLUMN()),7)))&gt;0,INDIRECT(_xlfn.CONCAT($G2,"!",CHAR(64+COLUMN()),7)),"")</f>
        <v>4</v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2.17</v>
      </c>
      <c r="E10" s="12" t="s">
        <v>18</v>
      </c>
      <c r="F10" s="13">
        <f>B10+D10</f>
        <v>4.42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3</v>
      </c>
      <c r="C1" s="5">
        <v>4</v>
      </c>
      <c r="D1" s="5">
        <v>4</v>
      </c>
      <c r="E1" s="5">
        <v>4</v>
      </c>
      <c r="F1" s="5">
        <v>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20250911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20250912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4</v>
      </c>
      <c r="C7" s="5">
        <v>4</v>
      </c>
      <c r="D7" s="5">
        <v>4</v>
      </c>
      <c r="E7" s="5">
        <v>4</v>
      </c>
      <c r="F7" s="5">
        <v>4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3</v>
      </c>
      <c r="C9" s="11" cm="1">
        <f ca="1" t="array" ref="C9">IF(COUNTA(INDIRECT(_xlfn.CONCAT($G2,"!",CHAR(64+COLUMN()),7)))&gt;0,INDIRECT(_xlfn.CONCAT($G2,"!",CHAR(64+COLUMN()),7)),"")</f>
        <v>4</v>
      </c>
      <c r="D9" s="11" cm="1">
        <f ca="1" t="array" ref="D9">IF(COUNTA(INDIRECT(_xlfn.CONCAT($G2,"!",CHAR(64+COLUMN()),7)))&gt;0,INDIRECT(_xlfn.CONCAT($G2,"!",CHAR(64+COLUMN()),7)),"")</f>
        <v>4</v>
      </c>
      <c r="E9" s="11" cm="1">
        <f ca="1" t="array" ref="E9">IF(COUNTA(INDIRECT(_xlfn.CONCAT($G2,"!",CHAR(64+COLUMN()),7)))&gt;0,INDIRECT(_xlfn.CONCAT($G2,"!",CHAR(64+COLUMN()),7)),"")</f>
        <v>4</v>
      </c>
      <c r="F9" s="11" cm="1">
        <f ca="1" t="array" ref="F9">IF(COUNTA(INDIRECT(_xlfn.CONCAT($G2,"!",CHAR(64+COLUMN()),7)))&gt;0,INDIRECT(_xlfn.CONCAT($G2,"!",CHAR(64+COLUMN()),7)),"")</f>
        <v>4</v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0</v>
      </c>
      <c r="E10" s="12" t="s">
        <v>18</v>
      </c>
      <c r="F10" s="13">
        <f>B10+D10</f>
        <v>2.25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4</v>
      </c>
      <c r="C1" s="5">
        <v>4</v>
      </c>
      <c r="D1" s="5">
        <v>4</v>
      </c>
      <c r="E1" s="5">
        <v>4</v>
      </c>
      <c r="F1" s="5">
        <v>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20250912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20250913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4</v>
      </c>
      <c r="C7" s="5">
        <v>4</v>
      </c>
      <c r="D7" s="5">
        <v>4</v>
      </c>
      <c r="E7" s="5">
        <v>4</v>
      </c>
      <c r="F7" s="5">
        <v>4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4</v>
      </c>
      <c r="C9" s="11" cm="1">
        <f ca="1" t="array" ref="C9">IF(COUNTA(INDIRECT(_xlfn.CONCAT($G2,"!",CHAR(64+COLUMN()),7)))&gt;0,INDIRECT(_xlfn.CONCAT($G2,"!",CHAR(64+COLUMN()),7)),"")</f>
        <v>4</v>
      </c>
      <c r="D9" s="11" cm="1">
        <f ca="1" t="array" ref="D9">IF(COUNTA(INDIRECT(_xlfn.CONCAT($G2,"!",CHAR(64+COLUMN()),7)))&gt;0,INDIRECT(_xlfn.CONCAT($G2,"!",CHAR(64+COLUMN()),7)),"")</f>
        <v>4</v>
      </c>
      <c r="E9" s="11" cm="1">
        <f ca="1" t="array" ref="E9">IF(COUNTA(INDIRECT(_xlfn.CONCAT($G2,"!",CHAR(64+COLUMN()),7)))&gt;0,INDIRECT(_xlfn.CONCAT($G2,"!",CHAR(64+COLUMN()),7)),"")</f>
        <v>4</v>
      </c>
      <c r="F9" s="11" cm="1">
        <f ca="1" t="array" ref="F9">IF(COUNTA(INDIRECT(_xlfn.CONCAT($G2,"!",CHAR(64+COLUMN()),7)))&gt;0,INDIRECT(_xlfn.CONCAT($G2,"!",CHAR(64+COLUMN()),7)),"")</f>
        <v>4</v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5.32</v>
      </c>
      <c r="E10" s="12" t="s">
        <v>18</v>
      </c>
      <c r="F10" s="13">
        <f>B10+D10</f>
        <v>7.57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4</v>
      </c>
      <c r="C1" s="5">
        <v>4</v>
      </c>
      <c r="D1" s="5">
        <v>4</v>
      </c>
      <c r="E1" s="5">
        <v>4</v>
      </c>
      <c r="F1" s="5">
        <v>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20250913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20250914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2</v>
      </c>
      <c r="C7" s="5">
        <v>4</v>
      </c>
      <c r="D7" s="5">
        <v>4</v>
      </c>
      <c r="E7" s="5">
        <v>4</v>
      </c>
      <c r="F7" s="5">
        <v>4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4</v>
      </c>
      <c r="C9" s="11" cm="1">
        <f ca="1" t="array" ref="C9">IF(COUNTA(INDIRECT(_xlfn.CONCAT($G2,"!",CHAR(64+COLUMN()),7)))&gt;0,INDIRECT(_xlfn.CONCAT($G2,"!",CHAR(64+COLUMN()),7)),"")</f>
        <v>4</v>
      </c>
      <c r="D9" s="11" cm="1">
        <f ca="1" t="array" ref="D9">IF(COUNTA(INDIRECT(_xlfn.CONCAT($G2,"!",CHAR(64+COLUMN()),7)))&gt;0,INDIRECT(_xlfn.CONCAT($G2,"!",CHAR(64+COLUMN()),7)),"")</f>
        <v>4</v>
      </c>
      <c r="E9" s="11" cm="1">
        <f ca="1" t="array" ref="E9">IF(COUNTA(INDIRECT(_xlfn.CONCAT($G2,"!",CHAR(64+COLUMN()),7)))&gt;0,INDIRECT(_xlfn.CONCAT($G2,"!",CHAR(64+COLUMN()),7)),"")</f>
        <v>4</v>
      </c>
      <c r="F9" s="11" cm="1">
        <f ca="1" t="array" ref="F9">IF(COUNTA(INDIRECT(_xlfn.CONCAT($G2,"!",CHAR(64+COLUMN()),7)))&gt;0,INDIRECT(_xlfn.CONCAT($G2,"!",CHAR(64+COLUMN()),7)),"")</f>
        <v>4</v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1</v>
      </c>
      <c r="E10" s="12" t="s">
        <v>18</v>
      </c>
      <c r="F10" s="13">
        <f>B10+D10</f>
        <v>3.25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I7" sqref="I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</v>
      </c>
      <c r="C1" s="5">
        <v>4</v>
      </c>
      <c r="D1" s="5">
        <v>4</v>
      </c>
      <c r="E1" s="5">
        <v>4</v>
      </c>
      <c r="F1" s="5">
        <v>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20250914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20250915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/>
      <c r="F5" s="5"/>
      <c r="G5" s="9" t="s">
        <v>10</v>
      </c>
    </row>
    <row r="6" customFormat="1" ht="15.15" spans="1:7">
      <c r="A6" s="6">
        <f t="shared" si="0"/>
        <v>0.75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1</v>
      </c>
      <c r="C7" s="5">
        <v>4</v>
      </c>
      <c r="D7" s="5">
        <v>4</v>
      </c>
      <c r="E7" s="5">
        <v>4</v>
      </c>
      <c r="F7" s="5">
        <v>4</v>
      </c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2</v>
      </c>
      <c r="C9" s="11" cm="1">
        <f ca="1" t="array" ref="C9">IF(COUNTA(INDIRECT(_xlfn.CONCAT($G2,"!",CHAR(64+COLUMN()),7)))&gt;0,INDIRECT(_xlfn.CONCAT($G2,"!",CHAR(64+COLUMN()),7)),"")</f>
        <v>4</v>
      </c>
      <c r="D9" s="11" cm="1">
        <f ca="1" t="array" ref="D9">IF(COUNTA(INDIRECT(_xlfn.CONCAT($G2,"!",CHAR(64+COLUMN()),7)))&gt;0,INDIRECT(_xlfn.CONCAT($G2,"!",CHAR(64+COLUMN()),7)),"")</f>
        <v>4</v>
      </c>
      <c r="E9" s="11" cm="1">
        <f ca="1" t="array" ref="E9">IF(COUNTA(INDIRECT(_xlfn.CONCAT($G2,"!",CHAR(64+COLUMN()),7)))&gt;0,INDIRECT(_xlfn.CONCAT($G2,"!",CHAR(64+COLUMN()),7)),"")</f>
        <v>4</v>
      </c>
      <c r="F9" s="11" cm="1">
        <f ca="1" t="array" ref="F9">IF(COUNTA(INDIRECT(_xlfn.CONCAT($G2,"!",CHAR(64+COLUMN()),7)))&gt;0,INDIRECT(_xlfn.CONCAT($G2,"!",CHAR(64+COLUMN()),7)),"")</f>
        <v>4</v>
      </c>
      <c r="G9" s="10"/>
    </row>
    <row r="10" ht="15.15" spans="1:7">
      <c r="A10" s="12" t="s">
        <v>16</v>
      </c>
      <c r="B10" s="13">
        <f>SUM(A8,A6,A4,A2)</f>
        <v>2.75</v>
      </c>
      <c r="C10" s="12" t="s">
        <v>17</v>
      </c>
      <c r="D10" s="13">
        <v>0</v>
      </c>
      <c r="E10" s="12" t="s">
        <v>18</v>
      </c>
      <c r="F10" s="13">
        <f>B10+D10</f>
        <v>2.75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E7" sqref="E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1</v>
      </c>
      <c r="C1" s="5">
        <v>4</v>
      </c>
      <c r="D1" s="5">
        <v>4</v>
      </c>
      <c r="E1" s="5">
        <v>4</v>
      </c>
      <c r="F1" s="5">
        <v>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20250915</v>
      </c>
    </row>
    <row r="3" s="1" customFormat="1" ht="125" customHeight="1" spans="1:7">
      <c r="A3" s="4" t="s">
        <v>3</v>
      </c>
      <c r="B3" s="1" t="s">
        <v>325</v>
      </c>
      <c r="C3" s="1" t="s">
        <v>326</v>
      </c>
      <c r="D3" s="1" t="s">
        <v>327</v>
      </c>
      <c r="E3" s="1" t="s">
        <v>328</v>
      </c>
      <c r="F3" s="5"/>
      <c r="G3" s="4" t="s">
        <v>57</v>
      </c>
    </row>
    <row r="4" customFormat="1" ht="15.15" spans="1:7">
      <c r="A4" s="6">
        <f t="shared" si="0"/>
        <v>2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20250916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>
        <v>1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1</v>
      </c>
      <c r="C9" s="11" cm="1">
        <f ca="1" t="array" ref="C9">IF(COUNTA(INDIRECT(_xlfn.CONCAT($G2,"!",CHAR(64+COLUMN()),7)))&gt;0,INDIRECT(_xlfn.CONCAT($G2,"!",CHAR(64+COLUMN()),7)),"")</f>
        <v>4</v>
      </c>
      <c r="D9" s="11" cm="1">
        <f ca="1" t="array" ref="D9">IF(COUNTA(INDIRECT(_xlfn.CONCAT($G2,"!",CHAR(64+COLUMN()),7)))&gt;0,INDIRECT(_xlfn.CONCAT($G2,"!",CHAR(64+COLUMN()),7)),"")</f>
        <v>4</v>
      </c>
      <c r="E9" s="11" cm="1">
        <f ca="1" t="array" ref="E9">IF(COUNTA(INDIRECT(_xlfn.CONCAT($G2,"!",CHAR(64+COLUMN()),7)))&gt;0,INDIRECT(_xlfn.CONCAT($G2,"!",CHAR(64+COLUMN()),7)),"")</f>
        <v>4</v>
      </c>
      <c r="F9" s="11" cm="1">
        <f ca="1" t="array" ref="F9">IF(COUNTA(INDIRECT(_xlfn.CONCAT($G2,"!",CHAR(64+COLUMN()),7)))&gt;0,INDIRECT(_xlfn.CONCAT($G2,"!",CHAR(64+COLUMN()),7)),"")</f>
        <v>4</v>
      </c>
      <c r="G9" s="10"/>
    </row>
    <row r="10" ht="15.15" spans="1:7">
      <c r="A10" s="12" t="s">
        <v>16</v>
      </c>
      <c r="B10" s="13">
        <f>SUM(A8,A6,A4,A2)</f>
        <v>5.75</v>
      </c>
      <c r="C10" s="12" t="s">
        <v>17</v>
      </c>
      <c r="D10" s="13">
        <v>1</v>
      </c>
      <c r="E10" s="12" t="s">
        <v>18</v>
      </c>
      <c r="F10" s="13">
        <f>B10+D10</f>
        <v>6.75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7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1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20250916</v>
      </c>
    </row>
    <row r="3" s="1" customFormat="1" ht="125" customHeight="1" spans="1:7">
      <c r="A3" s="4" t="s">
        <v>3</v>
      </c>
      <c r="B3" s="1"/>
      <c r="C3" s="1"/>
      <c r="D3" s="1"/>
      <c r="E3" s="1"/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20250917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3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1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2.75</v>
      </c>
      <c r="E10" s="12" t="s">
        <v>18</v>
      </c>
      <c r="F10" s="13">
        <f>B10+D10</f>
        <v>6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3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20250917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20250918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>
        <v>2</v>
      </c>
      <c r="C7" s="5">
        <v>5</v>
      </c>
      <c r="D7" s="5">
        <v>5</v>
      </c>
      <c r="E7" s="5">
        <v>5</v>
      </c>
      <c r="F7" s="5">
        <v>5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3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2</v>
      </c>
      <c r="E10" s="12" t="s">
        <v>18</v>
      </c>
      <c r="F10" s="13">
        <f>B10+D10</f>
        <v>5.25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B7" sqref="B7:F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</v>
      </c>
      <c r="C1" s="5">
        <v>5</v>
      </c>
      <c r="D1" s="5">
        <v>5</v>
      </c>
      <c r="E1" s="5">
        <v>5</v>
      </c>
      <c r="F1" s="5">
        <v>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20250918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20250919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>
        <v>2</v>
      </c>
      <c r="C7" s="5">
        <v>10</v>
      </c>
      <c r="D7" s="5">
        <v>10</v>
      </c>
      <c r="E7" s="5">
        <v>10</v>
      </c>
      <c r="F7" s="5">
        <v>10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2</v>
      </c>
      <c r="C9" s="11" cm="1">
        <f ca="1" t="array" ref="C9">IF(COUNTA(INDIRECT(_xlfn.CONCAT($G2,"!",CHAR(64+COLUMN()),7)))&gt;0,INDIRECT(_xlfn.CONCAT($G2,"!",CHAR(64+COLUMN()),7)),"")</f>
        <v>5</v>
      </c>
      <c r="D9" s="11" cm="1">
        <f ca="1" t="array" ref="D9">IF(COUNTA(INDIRECT(_xlfn.CONCAT($G2,"!",CHAR(64+COLUMN()),7)))&gt;0,INDIRECT(_xlfn.CONCAT($G2,"!",CHAR(64+COLUMN()),7)),"")</f>
        <v>5</v>
      </c>
      <c r="E9" s="11" cm="1">
        <f ca="1" t="array" ref="E9">IF(COUNTA(INDIRECT(_xlfn.CONCAT($G2,"!",CHAR(64+COLUMN()),7)))&gt;0,INDIRECT(_xlfn.CONCAT($G2,"!",CHAR(64+COLUMN()),7)),"")</f>
        <v>5</v>
      </c>
      <c r="F9" s="11" cm="1">
        <f ca="1" t="array" ref="F9">IF(COUNTA(INDIRECT(_xlfn.CONCAT($G2,"!",CHAR(64+COLUMN()),7)))&gt;0,INDIRECT(_xlfn.CONCAT($G2,"!",CHAR(64+COLUMN()),7)),"")</f>
        <v>5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0.5</v>
      </c>
      <c r="E10" s="12" t="s">
        <v>18</v>
      </c>
      <c r="F10" s="13">
        <f>B10+D10</f>
        <v>4.25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B7" sqref="B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2</v>
      </c>
      <c r="C1" s="5">
        <v>10</v>
      </c>
      <c r="D1" s="5">
        <v>10</v>
      </c>
      <c r="E1" s="5">
        <v>10</v>
      </c>
      <c r="F1" s="5">
        <v>10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20250919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20250920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>
        <v>9</v>
      </c>
      <c r="C7" s="5">
        <v>10</v>
      </c>
      <c r="D7" s="5">
        <v>10</v>
      </c>
      <c r="E7" s="5">
        <v>10</v>
      </c>
      <c r="F7" s="5">
        <v>10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2</v>
      </c>
      <c r="C9" s="11" cm="1">
        <f ca="1" t="array" ref="C9">IF(COUNTA(INDIRECT(_xlfn.CONCAT($G2,"!",CHAR(64+COLUMN()),7)))&gt;0,INDIRECT(_xlfn.CONCAT($G2,"!",CHAR(64+COLUMN()),7)),"")</f>
        <v>10</v>
      </c>
      <c r="D9" s="11" cm="1">
        <f ca="1" t="array" ref="D9">IF(COUNTA(INDIRECT(_xlfn.CONCAT($G2,"!",CHAR(64+COLUMN()),7)))&gt;0,INDIRECT(_xlfn.CONCAT($G2,"!",CHAR(64+COLUMN()),7)),"")</f>
        <v>10</v>
      </c>
      <c r="E9" s="11" cm="1">
        <f ca="1" t="array" ref="E9">IF(COUNTA(INDIRECT(_xlfn.CONCAT($G2,"!",CHAR(64+COLUMN()),7)))&gt;0,INDIRECT(_xlfn.CONCAT($G2,"!",CHAR(64+COLUMN()),7)),"")</f>
        <v>10</v>
      </c>
      <c r="F9" s="11" cm="1">
        <f ca="1" t="array" ref="F9">IF(COUNTA(INDIRECT(_xlfn.CONCAT($G2,"!",CHAR(64+COLUMN()),7)))&gt;0,INDIRECT(_xlfn.CONCAT($G2,"!",CHAR(64+COLUMN()),7)),"")</f>
        <v>10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4.33</v>
      </c>
      <c r="E10" s="12" t="s">
        <v>18</v>
      </c>
      <c r="F10" s="13">
        <f>B10+D10</f>
        <v>8.08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2" workbookViewId="0">
      <selection activeCell="K3" sqref="K3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9</v>
      </c>
      <c r="C1" s="5">
        <v>10</v>
      </c>
      <c r="D1" s="5">
        <v>10</v>
      </c>
      <c r="E1" s="5">
        <v>10</v>
      </c>
      <c r="F1" s="5">
        <v>10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20250920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20250921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>
        <v>11</v>
      </c>
      <c r="C7" s="5">
        <v>11</v>
      </c>
      <c r="D7" s="5">
        <v>11</v>
      </c>
      <c r="E7" s="5">
        <v>11</v>
      </c>
      <c r="F7" s="5">
        <v>11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9</v>
      </c>
      <c r="C9" s="11" cm="1">
        <f ca="1" t="array" ref="C9">IF(COUNTA(INDIRECT(_xlfn.CONCAT($G2,"!",CHAR(64+COLUMN()),7)))&gt;0,INDIRECT(_xlfn.CONCAT($G2,"!",CHAR(64+COLUMN()),7)),"")</f>
        <v>10</v>
      </c>
      <c r="D9" s="11" cm="1">
        <f ca="1" t="array" ref="D9">IF(COUNTA(INDIRECT(_xlfn.CONCAT($G2,"!",CHAR(64+COLUMN()),7)))&gt;0,INDIRECT(_xlfn.CONCAT($G2,"!",CHAR(64+COLUMN()),7)),"")</f>
        <v>10</v>
      </c>
      <c r="E9" s="11" cm="1">
        <f ca="1" t="array" ref="E9">IF(COUNTA(INDIRECT(_xlfn.CONCAT($G2,"!",CHAR(64+COLUMN()),7)))&gt;0,INDIRECT(_xlfn.CONCAT($G2,"!",CHAR(64+COLUMN()),7)),"")</f>
        <v>10</v>
      </c>
      <c r="F9" s="11" cm="1">
        <f ca="1" t="array" ref="F9">IF(COUNTA(INDIRECT(_xlfn.CONCAT($G2,"!",CHAR(64+COLUMN()),7)))&gt;0,INDIRECT(_xlfn.CONCAT($G2,"!",CHAR(64+COLUMN()),7)),"")</f>
        <v>10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6</v>
      </c>
      <c r="E10" s="12" t="s">
        <v>18</v>
      </c>
      <c r="F10" s="13">
        <f>B10+D10</f>
        <v>9.75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F7" sqref="F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>
        <v>11</v>
      </c>
      <c r="C1" s="5">
        <v>11</v>
      </c>
      <c r="D1" s="5">
        <v>11</v>
      </c>
      <c r="E1" s="5">
        <v>11</v>
      </c>
      <c r="F1" s="5">
        <v>11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20250921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20250922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329</v>
      </c>
      <c r="C7" s="5" t="s">
        <v>329</v>
      </c>
      <c r="D7" s="5" t="s">
        <v>329</v>
      </c>
      <c r="E7" s="5" t="s">
        <v>329</v>
      </c>
      <c r="F7" s="5" t="s">
        <v>330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cm="1">
        <f ca="1" t="array" ref="B9">IF(COUNTA(INDIRECT(_xlfn.CONCAT($G2,"!",CHAR(64+COLUMN()),7)))&gt;0,INDIRECT(_xlfn.CONCAT($G2,"!",CHAR(64+COLUMN()),7)),"")</f>
        <v>11</v>
      </c>
      <c r="C9" s="11" cm="1">
        <f ca="1" t="array" ref="C9">IF(COUNTA(INDIRECT(_xlfn.CONCAT($G2,"!",CHAR(64+COLUMN()),7)))&gt;0,INDIRECT(_xlfn.CONCAT($G2,"!",CHAR(64+COLUMN()),7)),"")</f>
        <v>11</v>
      </c>
      <c r="D9" s="11" cm="1">
        <f ca="1" t="array" ref="D9">IF(COUNTA(INDIRECT(_xlfn.CONCAT($G2,"!",CHAR(64+COLUMN()),7)))&gt;0,INDIRECT(_xlfn.CONCAT($G2,"!",CHAR(64+COLUMN()),7)),"")</f>
        <v>11</v>
      </c>
      <c r="E9" s="11" cm="1">
        <f ca="1" t="array" ref="E9">IF(COUNTA(INDIRECT(_xlfn.CONCAT($G2,"!",CHAR(64+COLUMN()),7)))&gt;0,INDIRECT(_xlfn.CONCAT($G2,"!",CHAR(64+COLUMN()),7)),"")</f>
        <v>11</v>
      </c>
      <c r="F9" s="11" cm="1">
        <f ca="1" t="array" ref="F9">IF(COUNTA(INDIRECT(_xlfn.CONCAT($G2,"!",CHAR(64+COLUMN()),7)))&gt;0,INDIRECT(_xlfn.CONCAT($G2,"!",CHAR(64+COLUMN()),7)),"")</f>
        <v>11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0.5</v>
      </c>
      <c r="E10" s="12" t="s">
        <v>18</v>
      </c>
      <c r="F10" s="13">
        <f>B10+D10</f>
        <v>4.25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B7" sqref="B7:F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329</v>
      </c>
      <c r="C1" s="5" t="s">
        <v>329</v>
      </c>
      <c r="D1" s="5" t="s">
        <v>329</v>
      </c>
      <c r="E1" s="5" t="s">
        <v>329</v>
      </c>
      <c r="F1" s="5" t="s">
        <v>330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20250922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20250927</v>
      </c>
    </row>
    <row r="5" s="1" customFormat="1" ht="125" customHeight="1" spans="1:7">
      <c r="A5" s="4" t="s">
        <v>193</v>
      </c>
      <c r="B5" s="5"/>
      <c r="C5" s="5"/>
      <c r="D5" s="5"/>
      <c r="E5" s="5"/>
      <c r="F5" s="5" t="s">
        <v>9</v>
      </c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329</v>
      </c>
      <c r="C7" s="5" t="s">
        <v>329</v>
      </c>
      <c r="D7" s="5" t="s">
        <v>329</v>
      </c>
      <c r="E7" s="5" t="s">
        <v>329</v>
      </c>
      <c r="F7" s="5" t="s">
        <v>329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*5</v>
      </c>
      <c r="C9" s="11" t="str" cm="1">
        <f ca="1" t="array" ref="C9">IF(COUNTA(INDIRECT(_xlfn.CONCAT($G2,"!",CHAR(64+COLUMN()),7)))&gt;0,INDIRECT(_xlfn.CONCAT($G2,"!",CHAR(64+COLUMN()),7)),"")</f>
        <v>660视频
*5</v>
      </c>
      <c r="D9" s="11" t="str" cm="1">
        <f ca="1" t="array" ref="D9">IF(COUNTA(INDIRECT(_xlfn.CONCAT($G2,"!",CHAR(64+COLUMN()),7)))&gt;0,INDIRECT(_xlfn.CONCAT($G2,"!",CHAR(64+COLUMN()),7)),"")</f>
        <v>660视频
*5</v>
      </c>
      <c r="E9" s="11" t="str" cm="1">
        <f ca="1" t="array" ref="E9">IF(COUNTA(INDIRECT(_xlfn.CONCAT($G2,"!",CHAR(64+COLUMN()),7)))&gt;0,INDIRECT(_xlfn.CONCAT($G2,"!",CHAR(64+COLUMN()),7)),"")</f>
        <v>660视频
*5</v>
      </c>
      <c r="F9" s="11" t="str" cm="1">
        <f ca="1" t="array" ref="F9">IF(COUNTA(INDIRECT(_xlfn.CONCAT($G2,"!",CHAR(64+COLUMN()),7)))&gt;0,INDIRECT(_xlfn.CONCAT($G2,"!",CHAR(64+COLUMN()),7)),"")</f>
        <v>真题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0.5</v>
      </c>
      <c r="E10" s="12" t="s">
        <v>18</v>
      </c>
      <c r="F10" s="13">
        <f>B10+D10</f>
        <v>2.25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B7" sqref="B7:F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329</v>
      </c>
      <c r="C1" s="5" t="s">
        <v>329</v>
      </c>
      <c r="D1" s="5" t="s">
        <v>329</v>
      </c>
      <c r="E1" s="5" t="s">
        <v>329</v>
      </c>
      <c r="F1" s="5" t="s">
        <v>329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20250927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20251011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331</v>
      </c>
      <c r="C7" s="5" t="s">
        <v>331</v>
      </c>
      <c r="D7" s="5" t="s">
        <v>332</v>
      </c>
      <c r="E7" s="5" t="s">
        <v>329</v>
      </c>
      <c r="F7" s="5" t="s">
        <v>329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*5</v>
      </c>
      <c r="C9" s="11" t="str" cm="1">
        <f ca="1" t="array" ref="C9">IF(COUNTA(INDIRECT(_xlfn.CONCAT($G2,"!",CHAR(64+COLUMN()),7)))&gt;0,INDIRECT(_xlfn.CONCAT($G2,"!",CHAR(64+COLUMN()),7)),"")</f>
        <v>660视频
*5</v>
      </c>
      <c r="D9" s="11" t="str" cm="1">
        <f ca="1" t="array" ref="D9">IF(COUNTA(INDIRECT(_xlfn.CONCAT($G2,"!",CHAR(64+COLUMN()),7)))&gt;0,INDIRECT(_xlfn.CONCAT($G2,"!",CHAR(64+COLUMN()),7)),"")</f>
        <v>660视频
*5</v>
      </c>
      <c r="E9" s="11" t="str" cm="1">
        <f ca="1" t="array" ref="E9">IF(COUNTA(INDIRECT(_xlfn.CONCAT($G2,"!",CHAR(64+COLUMN()),7)))&gt;0,INDIRECT(_xlfn.CONCAT($G2,"!",CHAR(64+COLUMN()),7)),"")</f>
        <v>660视频
*5</v>
      </c>
      <c r="F9" s="11" t="str" cm="1">
        <f ca="1" t="array" ref="F9">IF(COUNTA(INDIRECT(_xlfn.CONCAT($G2,"!",CHAR(64+COLUMN()),7)))&gt;0,INDIRECT(_xlfn.CONCAT($G2,"!",CHAR(64+COLUMN()),7)),"")</f>
        <v>660视频
*5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0</v>
      </c>
      <c r="E10" s="12" t="s">
        <v>18</v>
      </c>
      <c r="F10" s="13">
        <f>B10+D10</f>
        <v>1.75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331</v>
      </c>
      <c r="C1" s="5" t="s">
        <v>331</v>
      </c>
      <c r="D1" s="5" t="s">
        <v>332</v>
      </c>
      <c r="E1" s="5" t="s">
        <v>329</v>
      </c>
      <c r="F1" s="5" t="s">
        <v>329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20251011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20251012</v>
      </c>
    </row>
    <row r="5" s="1" customFormat="1" ht="125" customHeight="1" spans="1:7">
      <c r="A5" s="4" t="s">
        <v>193</v>
      </c>
      <c r="B5" s="5" t="s">
        <v>9</v>
      </c>
      <c r="C5" s="5"/>
      <c r="D5" s="5" t="s">
        <v>9</v>
      </c>
      <c r="E5" s="5"/>
      <c r="F5" s="5" t="s">
        <v>9</v>
      </c>
      <c r="G5" s="9" t="s">
        <v>10</v>
      </c>
    </row>
    <row r="6" customFormat="1" ht="15.15" spans="1:7">
      <c r="A6" s="6">
        <f t="shared" si="0"/>
        <v>0.75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0.25</v>
      </c>
      <c r="E6" s="7">
        <f t="shared" si="3"/>
        <v>0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331</v>
      </c>
      <c r="C7" s="5" t="s">
        <v>331</v>
      </c>
      <c r="D7" s="5" t="s">
        <v>331</v>
      </c>
      <c r="E7" s="5" t="s">
        <v>329</v>
      </c>
      <c r="F7" s="5" t="s">
        <v>331</v>
      </c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0.25</v>
      </c>
      <c r="E8" s="7">
        <f t="shared" si="4"/>
        <v>0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*10</v>
      </c>
      <c r="C9" s="11" t="str" cm="1">
        <f ca="1" t="array" ref="C9">IF(COUNTA(INDIRECT(_xlfn.CONCAT($G2,"!",CHAR(64+COLUMN()),7)))&gt;0,INDIRECT(_xlfn.CONCAT($G2,"!",CHAR(64+COLUMN()),7)),"")</f>
        <v>660视频
*10</v>
      </c>
      <c r="D9" s="11" t="str" cm="1">
        <f ca="1" t="array" ref="D9">IF(COUNTA(INDIRECT(_xlfn.CONCAT($G2,"!",CHAR(64+COLUMN()),7)))&gt;0,INDIRECT(_xlfn.CONCAT($G2,"!",CHAR(64+COLUMN()),7)),"")</f>
        <v>660视频
*2</v>
      </c>
      <c r="E9" s="11" t="str" cm="1">
        <f ca="1" t="array" ref="E9">IF(COUNTA(INDIRECT(_xlfn.CONCAT($G2,"!",CHAR(64+COLUMN()),7)))&gt;0,INDIRECT(_xlfn.CONCAT($G2,"!",CHAR(64+COLUMN()),7)),"")</f>
        <v>660视频
*5</v>
      </c>
      <c r="F9" s="11" t="str" cm="1">
        <f ca="1" t="array" ref="F9">IF(COUNTA(INDIRECT(_xlfn.CONCAT($G2,"!",CHAR(64+COLUMN()),7)))&gt;0,INDIRECT(_xlfn.CONCAT($G2,"!",CHAR(64+COLUMN()),7)),"")</f>
        <v>660视频
*5</v>
      </c>
      <c r="G9" s="10"/>
    </row>
    <row r="10" ht="15.15" spans="1:7">
      <c r="A10" s="12" t="s">
        <v>16</v>
      </c>
      <c r="B10" s="13">
        <f>SUM(A8,A6,A4,A2)</f>
        <v>2.75</v>
      </c>
      <c r="C10" s="12" t="s">
        <v>17</v>
      </c>
      <c r="D10" s="13">
        <v>4.02</v>
      </c>
      <c r="E10" s="12" t="s">
        <v>18</v>
      </c>
      <c r="F10" s="13">
        <f>B10+D10</f>
        <v>6.77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F5" sqref="F5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331</v>
      </c>
      <c r="C1" s="5" t="s">
        <v>331</v>
      </c>
      <c r="D1" s="5" t="s">
        <v>331</v>
      </c>
      <c r="E1" s="5" t="s">
        <v>329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20251012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20251013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 t="s">
        <v>9</v>
      </c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331</v>
      </c>
      <c r="C7" s="5" t="s">
        <v>331</v>
      </c>
      <c r="D7" s="5" t="s">
        <v>331</v>
      </c>
      <c r="E7" s="5" t="s">
        <v>331</v>
      </c>
      <c r="F7" s="5" t="s">
        <v>331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*10</v>
      </c>
      <c r="C9" s="11" t="str" cm="1">
        <f ca="1" t="array" ref="C9">IF(COUNTA(INDIRECT(_xlfn.CONCAT($G2,"!",CHAR(64+COLUMN()),7)))&gt;0,INDIRECT(_xlfn.CONCAT($G2,"!",CHAR(64+COLUMN()),7)),"")</f>
        <v>660视频
*10</v>
      </c>
      <c r="D9" s="11" t="str" cm="1">
        <f ca="1" t="array" ref="D9">IF(COUNTA(INDIRECT(_xlfn.CONCAT($G2,"!",CHAR(64+COLUMN()),7)))&gt;0,INDIRECT(_xlfn.CONCAT($G2,"!",CHAR(64+COLUMN()),7)),"")</f>
        <v>660视频
*10</v>
      </c>
      <c r="E9" s="11" t="str" cm="1">
        <f ca="1" t="array" ref="E9">IF(COUNTA(INDIRECT(_xlfn.CONCAT($G2,"!",CHAR(64+COLUMN()),7)))&gt;0,INDIRECT(_xlfn.CONCAT($G2,"!",CHAR(64+COLUMN()),7)),"")</f>
        <v>660视频
*5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0</v>
      </c>
      <c r="E10" s="12" t="s">
        <v>18</v>
      </c>
      <c r="F10" s="13">
        <f>B10+D10</f>
        <v>2.25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C7" sqref="C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331</v>
      </c>
      <c r="C1" s="5" t="s">
        <v>331</v>
      </c>
      <c r="D1" s="5" t="s">
        <v>331</v>
      </c>
      <c r="E1" s="5" t="s">
        <v>331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20251013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20251014</v>
      </c>
    </row>
    <row r="5" s="1" customFormat="1" ht="125" customHeight="1" spans="1:7">
      <c r="A5" s="4" t="s">
        <v>193</v>
      </c>
      <c r="B5" s="5"/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</v>
      </c>
      <c r="B6" s="7">
        <f t="shared" ref="B6:F6" si="3">IF(COUNTA(B1)&gt;0,IF(B5="完成",0.25,0),0)</f>
        <v>0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329</v>
      </c>
      <c r="C7" s="5" t="s">
        <v>331</v>
      </c>
      <c r="D7" s="5" t="s">
        <v>331</v>
      </c>
      <c r="E7" s="5" t="s">
        <v>331</v>
      </c>
      <c r="F7" s="5" t="s">
        <v>331</v>
      </c>
      <c r="G7" s="10"/>
    </row>
    <row r="8" customFormat="1" ht="15.15" spans="1:7">
      <c r="A8" s="6">
        <f>SUM(B8:F8)</f>
        <v>0</v>
      </c>
      <c r="B8" s="7">
        <f t="shared" ref="B8:F8" si="4">IF(COUNTA(B7)&gt;0,IF(COUNTA(B1)&gt;0,IF(B5="完成",0.25,0),IF(B5="遗忘",0,0.25)),0)</f>
        <v>0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*10</v>
      </c>
      <c r="C9" s="11" t="str" cm="1">
        <f ca="1" t="array" ref="C9">IF(COUNTA(INDIRECT(_xlfn.CONCAT($G2,"!",CHAR(64+COLUMN()),7)))&gt;0,INDIRECT(_xlfn.CONCAT($G2,"!",CHAR(64+COLUMN()),7)),"")</f>
        <v>660视频
*10</v>
      </c>
      <c r="D9" s="11" t="str" cm="1">
        <f ca="1" t="array" ref="D9">IF(COUNTA(INDIRECT(_xlfn.CONCAT($G2,"!",CHAR(64+COLUMN()),7)))&gt;0,INDIRECT(_xlfn.CONCAT($G2,"!",CHAR(64+COLUMN()),7)),"")</f>
        <v>660视频
*10</v>
      </c>
      <c r="E9" s="11" t="str" cm="1">
        <f ca="1" t="array" ref="E9">IF(COUNTA(INDIRECT(_xlfn.CONCAT($G2,"!",CHAR(64+COLUMN()),7)))&gt;0,INDIRECT(_xlfn.CONCAT($G2,"!",CHAR(64+COLUMN()),7)),"")</f>
        <v>660视频
*10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1.25</v>
      </c>
      <c r="C10" s="12" t="s">
        <v>17</v>
      </c>
      <c r="D10" s="13">
        <v>0</v>
      </c>
      <c r="E10" s="12" t="s">
        <v>18</v>
      </c>
      <c r="F10" s="13">
        <f>B10+D10</f>
        <v>1.25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C7" sqref="C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329</v>
      </c>
      <c r="C1" s="5" t="s">
        <v>331</v>
      </c>
      <c r="D1" s="5" t="s">
        <v>331</v>
      </c>
      <c r="E1" s="5" t="s">
        <v>331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20251014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20251015</v>
      </c>
    </row>
    <row r="5" s="1" customFormat="1" ht="125" customHeight="1" spans="1:7">
      <c r="A5" s="4" t="s">
        <v>193</v>
      </c>
      <c r="B5" s="5"/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329</v>
      </c>
      <c r="C7" s="5" t="s">
        <v>331</v>
      </c>
      <c r="D7" s="5" t="s">
        <v>331</v>
      </c>
      <c r="E7" s="5" t="s">
        <v>331</v>
      </c>
      <c r="F7" s="5" t="s">
        <v>331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*5</v>
      </c>
      <c r="C9" s="11" t="str" cm="1">
        <f ca="1" t="array" ref="C9">IF(COUNTA(INDIRECT(_xlfn.CONCAT($G2,"!",CHAR(64+COLUMN()),7)))&gt;0,INDIRECT(_xlfn.CONCAT($G2,"!",CHAR(64+COLUMN()),7)),"")</f>
        <v>660视频
*10</v>
      </c>
      <c r="D9" s="11" t="str" cm="1">
        <f ca="1" t="array" ref="D9">IF(COUNTA(INDIRECT(_xlfn.CONCAT($G2,"!",CHAR(64+COLUMN()),7)))&gt;0,INDIRECT(_xlfn.CONCAT($G2,"!",CHAR(64+COLUMN()),7)),"")</f>
        <v>660视频
*10</v>
      </c>
      <c r="E9" s="11" t="str" cm="1">
        <f ca="1" t="array" ref="E9">IF(COUNTA(INDIRECT(_xlfn.CONCAT($G2,"!",CHAR(64+COLUMN()),7)))&gt;0,INDIRECT(_xlfn.CONCAT($G2,"!",CHAR(64+COLUMN()),7)),"")</f>
        <v>660视频
*10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0</v>
      </c>
      <c r="E10" s="12" t="s">
        <v>18</v>
      </c>
      <c r="F10" s="13">
        <f>B10+D10</f>
        <v>1.75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C8" sqref="C8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329</v>
      </c>
      <c r="C1" s="5" t="s">
        <v>331</v>
      </c>
      <c r="D1" s="5" t="s">
        <v>331</v>
      </c>
      <c r="E1" s="5" t="s">
        <v>331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20251015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20251016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331</v>
      </c>
      <c r="C7" s="5" t="s">
        <v>333</v>
      </c>
      <c r="D7" s="5" t="s">
        <v>331</v>
      </c>
      <c r="E7" s="5" t="s">
        <v>331</v>
      </c>
      <c r="F7" s="5" t="s">
        <v>331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*5</v>
      </c>
      <c r="C9" s="11" t="str" cm="1">
        <f ca="1" t="array" ref="C9">IF(COUNTA(INDIRECT(_xlfn.CONCAT($G2,"!",CHAR(64+COLUMN()),7)))&gt;0,INDIRECT(_xlfn.CONCAT($G2,"!",CHAR(64+COLUMN()),7)),"")</f>
        <v>660视频
*10</v>
      </c>
      <c r="D9" s="11" t="str" cm="1">
        <f ca="1" t="array" ref="D9">IF(COUNTA(INDIRECT(_xlfn.CONCAT($G2,"!",CHAR(64+COLUMN()),7)))&gt;0,INDIRECT(_xlfn.CONCAT($G2,"!",CHAR(64+COLUMN()),7)),"")</f>
        <v>660视频
*10</v>
      </c>
      <c r="E9" s="11" t="str" cm="1">
        <f ca="1" t="array" ref="E9">IF(COUNTA(INDIRECT(_xlfn.CONCAT($G2,"!",CHAR(64+COLUMN()),7)))&gt;0,INDIRECT(_xlfn.CONCAT($G2,"!",CHAR(64+COLUMN()),7)),"")</f>
        <v>660视频
*10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0</v>
      </c>
      <c r="E10" s="12" t="s">
        <v>18</v>
      </c>
      <c r="F10" s="13">
        <f>B10+D10</f>
        <v>1.75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7" sqref="C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331</v>
      </c>
      <c r="C1" s="5" t="s">
        <v>333</v>
      </c>
      <c r="D1" s="5" t="s">
        <v>331</v>
      </c>
      <c r="E1" s="5" t="s">
        <v>331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20251016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20251017</v>
      </c>
    </row>
    <row r="5" s="1" customFormat="1" ht="125" customHeight="1" spans="1:7">
      <c r="A5" s="4" t="s">
        <v>193</v>
      </c>
      <c r="B5" s="5"/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331</v>
      </c>
      <c r="C7" s="5" t="s">
        <v>331</v>
      </c>
      <c r="D7" s="5" t="s">
        <v>331</v>
      </c>
      <c r="E7" s="5" t="s">
        <v>331</v>
      </c>
      <c r="F7" s="5" t="s">
        <v>331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*10</v>
      </c>
      <c r="C9" s="11" t="str" cm="1">
        <f ca="1" t="array" ref="C9">IF(COUNTA(INDIRECT(_xlfn.CONCAT($G2,"!",CHAR(64+COLUMN()),7)))&gt;0,INDIRECT(_xlfn.CONCAT($G2,"!",CHAR(64+COLUMN()),7)),"")</f>
        <v>660视频
*7</v>
      </c>
      <c r="D9" s="11" t="str" cm="1">
        <f ca="1" t="array" ref="D9">IF(COUNTA(INDIRECT(_xlfn.CONCAT($G2,"!",CHAR(64+COLUMN()),7)))&gt;0,INDIRECT(_xlfn.CONCAT($G2,"!",CHAR(64+COLUMN()),7)),"")</f>
        <v>660视频
*10</v>
      </c>
      <c r="E9" s="11" t="str" cm="1">
        <f ca="1" t="array" ref="E9">IF(COUNTA(INDIRECT(_xlfn.CONCAT($G2,"!",CHAR(64+COLUMN()),7)))&gt;0,INDIRECT(_xlfn.CONCAT($G2,"!",CHAR(64+COLUMN()),7)),"")</f>
        <v>660视频
*10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0</v>
      </c>
      <c r="E10" s="12" t="s">
        <v>18</v>
      </c>
      <c r="F10" s="13">
        <f>B10+D10</f>
        <v>1.75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331</v>
      </c>
      <c r="C1" s="5" t="s">
        <v>331</v>
      </c>
      <c r="D1" s="5" t="s">
        <v>331</v>
      </c>
      <c r="E1" s="5" t="s">
        <v>331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20251017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20251021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331</v>
      </c>
      <c r="C7" s="5" t="s">
        <v>331</v>
      </c>
      <c r="D7" s="5" t="s">
        <v>331</v>
      </c>
      <c r="E7" s="5" t="s">
        <v>331</v>
      </c>
      <c r="F7" s="5" t="s">
        <v>331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*10</v>
      </c>
      <c r="C9" s="11" t="str" cm="1">
        <f ca="1" t="array" ref="C9">IF(COUNTA(INDIRECT(_xlfn.CONCAT($G2,"!",CHAR(64+COLUMN()),7)))&gt;0,INDIRECT(_xlfn.CONCAT($G2,"!",CHAR(64+COLUMN()),7)),"")</f>
        <v>660视频
*10</v>
      </c>
      <c r="D9" s="11" t="str" cm="1">
        <f ca="1" t="array" ref="D9">IF(COUNTA(INDIRECT(_xlfn.CONCAT($G2,"!",CHAR(64+COLUMN()),7)))&gt;0,INDIRECT(_xlfn.CONCAT($G2,"!",CHAR(64+COLUMN()),7)),"")</f>
        <v>660视频
*10</v>
      </c>
      <c r="E9" s="11" t="str" cm="1">
        <f ca="1" t="array" ref="E9">IF(COUNTA(INDIRECT(_xlfn.CONCAT($G2,"!",CHAR(64+COLUMN()),7)))&gt;0,INDIRECT(_xlfn.CONCAT($G2,"!",CHAR(64+COLUMN()),7)),"")</f>
        <v>660视频
*10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2.17</v>
      </c>
      <c r="E10" s="12" t="s">
        <v>18</v>
      </c>
      <c r="F10" s="13">
        <f>B10+D10</f>
        <v>4.42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6" workbookViewId="0">
      <selection activeCell="D9" sqref="D9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331</v>
      </c>
      <c r="C1" s="5" t="s">
        <v>331</v>
      </c>
      <c r="D1" s="5" t="s">
        <v>331</v>
      </c>
      <c r="E1" s="5" t="s">
        <v>331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20251021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20251022</v>
      </c>
    </row>
    <row r="5" s="1" customFormat="1" ht="125" customHeight="1" spans="1:7">
      <c r="A5" s="4" t="s">
        <v>193</v>
      </c>
      <c r="B5" s="5"/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</v>
      </c>
      <c r="B6" s="7">
        <f t="shared" ref="B6:F6" si="3">IF(COUNTA(B1)&gt;0,IF(B5="完成",0.25,0),0)</f>
        <v>0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334</v>
      </c>
      <c r="C7" s="5" t="s">
        <v>331</v>
      </c>
      <c r="D7" s="5" t="s">
        <v>331</v>
      </c>
      <c r="E7" s="5" t="s">
        <v>331</v>
      </c>
      <c r="F7" s="5" t="s">
        <v>331</v>
      </c>
      <c r="G7" s="10"/>
    </row>
    <row r="8" customFormat="1" ht="15.15" spans="1:7">
      <c r="A8" s="6">
        <f>SUM(B8:F8)</f>
        <v>0</v>
      </c>
      <c r="B8" s="7">
        <f t="shared" ref="B8:F8" si="4">IF(COUNTA(B7)&gt;0,IF(COUNTA(B1)&gt;0,IF(B5="完成",0.25,0),IF(B5="遗忘",0,0.25)),0)</f>
        <v>0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*10</v>
      </c>
      <c r="C9" s="11" t="str" cm="1">
        <f ca="1" t="array" ref="C9">IF(COUNTA(INDIRECT(_xlfn.CONCAT($G2,"!",CHAR(64+COLUMN()),7)))&gt;0,INDIRECT(_xlfn.CONCAT($G2,"!",CHAR(64+COLUMN()),7)),"")</f>
        <v>660视频
*10</v>
      </c>
      <c r="D9" s="11" t="str" cm="1">
        <f ca="1" t="array" ref="D9">IF(COUNTA(INDIRECT(_xlfn.CONCAT($G2,"!",CHAR(64+COLUMN()),7)))&gt;0,INDIRECT(_xlfn.CONCAT($G2,"!",CHAR(64+COLUMN()),7)),"")</f>
        <v>660视频
*10</v>
      </c>
      <c r="E9" s="11" t="str" cm="1">
        <f ca="1" t="array" ref="E9">IF(COUNTA(INDIRECT(_xlfn.CONCAT($G2,"!",CHAR(64+COLUMN()),7)))&gt;0,INDIRECT(_xlfn.CONCAT($G2,"!",CHAR(64+COLUMN()),7)),"")</f>
        <v>660视频
*10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1.25</v>
      </c>
      <c r="C10" s="12" t="s">
        <v>17</v>
      </c>
      <c r="D10" s="13">
        <v>1.17</v>
      </c>
      <c r="E10" s="12" t="s">
        <v>18</v>
      </c>
      <c r="F10" s="13">
        <f>B10+D10</f>
        <v>2.42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334</v>
      </c>
      <c r="C1" s="5" t="s">
        <v>331</v>
      </c>
      <c r="D1" s="5" t="s">
        <v>331</v>
      </c>
      <c r="E1" s="5" t="s">
        <v>331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20251022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20251023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331</v>
      </c>
      <c r="C7" s="5" t="s">
        <v>335</v>
      </c>
      <c r="D7" s="5" t="s">
        <v>331</v>
      </c>
      <c r="E7" s="5" t="s">
        <v>331</v>
      </c>
      <c r="F7" s="5" t="s">
        <v>331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*4</v>
      </c>
      <c r="C9" s="11" t="str" cm="1">
        <f ca="1" t="array" ref="C9">IF(COUNTA(INDIRECT(_xlfn.CONCAT($G2,"!",CHAR(64+COLUMN()),7)))&gt;0,INDIRECT(_xlfn.CONCAT($G2,"!",CHAR(64+COLUMN()),7)),"")</f>
        <v>660视频
*10</v>
      </c>
      <c r="D9" s="11" t="str" cm="1">
        <f ca="1" t="array" ref="D9">IF(COUNTA(INDIRECT(_xlfn.CONCAT($G2,"!",CHAR(64+COLUMN()),7)))&gt;0,INDIRECT(_xlfn.CONCAT($G2,"!",CHAR(64+COLUMN()),7)),"")</f>
        <v>660视频
*10</v>
      </c>
      <c r="E9" s="11" t="str" cm="1">
        <f ca="1" t="array" ref="E9">IF(COUNTA(INDIRECT(_xlfn.CONCAT($G2,"!",CHAR(64+COLUMN()),7)))&gt;0,INDIRECT(_xlfn.CONCAT($G2,"!",CHAR(64+COLUMN()),7)),"")</f>
        <v>660视频
*10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2</v>
      </c>
      <c r="E10" s="12" t="s">
        <v>18</v>
      </c>
      <c r="F10" s="13">
        <f>B10+D10</f>
        <v>3.75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F7" sqref="F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331</v>
      </c>
      <c r="C1" s="5" t="s">
        <v>335</v>
      </c>
      <c r="D1" s="5" t="s">
        <v>331</v>
      </c>
      <c r="E1" s="5" t="s">
        <v>331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20251023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20251024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331</v>
      </c>
      <c r="C7" s="5" t="s">
        <v>333</v>
      </c>
      <c r="D7" s="5" t="s">
        <v>331</v>
      </c>
      <c r="E7" s="5" t="s">
        <v>331</v>
      </c>
      <c r="F7" s="5" t="s">
        <v>331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*10</v>
      </c>
      <c r="C9" s="11" t="str" cm="1">
        <f ca="1" t="array" ref="C9">IF(COUNTA(INDIRECT(_xlfn.CONCAT($G2,"!",CHAR(64+COLUMN()),7)))&gt;0,INDIRECT(_xlfn.CONCAT($G2,"!",CHAR(64+COLUMN()),7)),"")</f>
        <v>660视频
*9</v>
      </c>
      <c r="D9" s="11" t="str" cm="1">
        <f ca="1" t="array" ref="D9">IF(COUNTA(INDIRECT(_xlfn.CONCAT($G2,"!",CHAR(64+COLUMN()),7)))&gt;0,INDIRECT(_xlfn.CONCAT($G2,"!",CHAR(64+COLUMN()),7)),"")</f>
        <v>660视频
*10</v>
      </c>
      <c r="E9" s="11" t="str" cm="1">
        <f ca="1" t="array" ref="E9">IF(COUNTA(INDIRECT(_xlfn.CONCAT($G2,"!",CHAR(64+COLUMN()),7)))&gt;0,INDIRECT(_xlfn.CONCAT($G2,"!",CHAR(64+COLUMN()),7)),"")</f>
        <v>660视频
*10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0</v>
      </c>
      <c r="E10" s="12" t="s">
        <v>18</v>
      </c>
      <c r="F10" s="13">
        <f>B10+D10</f>
        <v>1.75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8" sqref="B8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331</v>
      </c>
      <c r="C1" s="5" t="s">
        <v>333</v>
      </c>
      <c r="D1" s="5" t="s">
        <v>331</v>
      </c>
      <c r="E1" s="5" t="s">
        <v>331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20251024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20251025</v>
      </c>
    </row>
    <row r="5" s="1" customFormat="1" ht="125" customHeight="1" spans="1:7">
      <c r="A5" s="4" t="s">
        <v>193</v>
      </c>
      <c r="B5" s="5"/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335</v>
      </c>
      <c r="C7" s="5" t="s">
        <v>331</v>
      </c>
      <c r="D7" s="5" t="s">
        <v>331</v>
      </c>
      <c r="E7" s="5" t="s">
        <v>331</v>
      </c>
      <c r="F7" s="5" t="s">
        <v>331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*10</v>
      </c>
      <c r="C9" s="11" t="str" cm="1">
        <f ca="1" t="array" ref="C9">IF(COUNTA(INDIRECT(_xlfn.CONCAT($G2,"!",CHAR(64+COLUMN()),7)))&gt;0,INDIRECT(_xlfn.CONCAT($G2,"!",CHAR(64+COLUMN()),7)),"")</f>
        <v>660视频
*7</v>
      </c>
      <c r="D9" s="11" t="str" cm="1">
        <f ca="1" t="array" ref="D9">IF(COUNTA(INDIRECT(_xlfn.CONCAT($G2,"!",CHAR(64+COLUMN()),7)))&gt;0,INDIRECT(_xlfn.CONCAT($G2,"!",CHAR(64+COLUMN()),7)),"")</f>
        <v>660视频
*10</v>
      </c>
      <c r="E9" s="11" t="str" cm="1">
        <f ca="1" t="array" ref="E9">IF(COUNTA(INDIRECT(_xlfn.CONCAT($G2,"!",CHAR(64+COLUMN()),7)))&gt;0,INDIRECT(_xlfn.CONCAT($G2,"!",CHAR(64+COLUMN()),7)),"")</f>
        <v>660视频
*10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0</v>
      </c>
      <c r="E10" s="12" t="s">
        <v>18</v>
      </c>
      <c r="F10" s="13">
        <f>B10+D10</f>
        <v>1.75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7" sqref="E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335</v>
      </c>
      <c r="C1" s="5" t="s">
        <v>331</v>
      </c>
      <c r="D1" s="5" t="s">
        <v>331</v>
      </c>
      <c r="E1" s="5" t="s">
        <v>331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20251025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20251026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331</v>
      </c>
      <c r="C7" s="5" t="s">
        <v>329</v>
      </c>
      <c r="D7" s="5" t="s">
        <v>331</v>
      </c>
      <c r="E7" s="5" t="s">
        <v>331</v>
      </c>
      <c r="F7" s="5" t="s">
        <v>331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*9</v>
      </c>
      <c r="C9" s="11" t="str" cm="1">
        <f ca="1" t="array" ref="C9">IF(COUNTA(INDIRECT(_xlfn.CONCAT($G2,"!",CHAR(64+COLUMN()),7)))&gt;0,INDIRECT(_xlfn.CONCAT($G2,"!",CHAR(64+COLUMN()),7)),"")</f>
        <v>660视频
*10</v>
      </c>
      <c r="D9" s="11" t="str" cm="1">
        <f ca="1" t="array" ref="D9">IF(COUNTA(INDIRECT(_xlfn.CONCAT($G2,"!",CHAR(64+COLUMN()),7)))&gt;0,INDIRECT(_xlfn.CONCAT($G2,"!",CHAR(64+COLUMN()),7)),"")</f>
        <v>660视频
*10</v>
      </c>
      <c r="E9" s="11" t="str" cm="1">
        <f ca="1" t="array" ref="E9">IF(COUNTA(INDIRECT(_xlfn.CONCAT($G2,"!",CHAR(64+COLUMN()),7)))&gt;0,INDIRECT(_xlfn.CONCAT($G2,"!",CHAR(64+COLUMN()),7)),"")</f>
        <v>660视频
*10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0</v>
      </c>
      <c r="E10" s="12" t="s">
        <v>18</v>
      </c>
      <c r="F10" s="13">
        <f>B10+D10</f>
        <v>1.75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5" sqref="C5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331</v>
      </c>
      <c r="C1" s="5" t="s">
        <v>329</v>
      </c>
      <c r="D1" s="5" t="s">
        <v>331</v>
      </c>
      <c r="E1" s="5" t="s">
        <v>331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20251026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20251027</v>
      </c>
    </row>
    <row r="5" s="1" customFormat="1" ht="125" customHeight="1" spans="1:7">
      <c r="A5" s="4" t="s">
        <v>193</v>
      </c>
      <c r="B5" s="5"/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333</v>
      </c>
      <c r="C7" s="5" t="s">
        <v>331</v>
      </c>
      <c r="D7" s="5" t="s">
        <v>331</v>
      </c>
      <c r="E7" s="5" t="s">
        <v>331</v>
      </c>
      <c r="F7" s="5" t="s">
        <v>331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*10</v>
      </c>
      <c r="C9" s="11" t="str" cm="1">
        <f ca="1" t="array" ref="C9">IF(COUNTA(INDIRECT(_xlfn.CONCAT($G2,"!",CHAR(64+COLUMN()),7)))&gt;0,INDIRECT(_xlfn.CONCAT($G2,"!",CHAR(64+COLUMN()),7)),"")</f>
        <v>660视频
*5</v>
      </c>
      <c r="D9" s="11" t="str" cm="1">
        <f ca="1" t="array" ref="D9">IF(COUNTA(INDIRECT(_xlfn.CONCAT($G2,"!",CHAR(64+COLUMN()),7)))&gt;0,INDIRECT(_xlfn.CONCAT($G2,"!",CHAR(64+COLUMN()),7)),"")</f>
        <v>660视频
*10</v>
      </c>
      <c r="E9" s="11" t="str" cm="1">
        <f ca="1" t="array" ref="E9">IF(COUNTA(INDIRECT(_xlfn.CONCAT($G2,"!",CHAR(64+COLUMN()),7)))&gt;0,INDIRECT(_xlfn.CONCAT($G2,"!",CHAR(64+COLUMN()),7)),"")</f>
        <v>660视频
*10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0.83</v>
      </c>
      <c r="E10" s="12" t="s">
        <v>18</v>
      </c>
      <c r="F10" s="13">
        <f>B10+D10</f>
        <v>2.58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O17" sqref="O1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333</v>
      </c>
      <c r="C1" s="5" t="s">
        <v>331</v>
      </c>
      <c r="D1" s="5" t="s">
        <v>331</v>
      </c>
      <c r="E1" s="5" t="s">
        <v>331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20251027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20251028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335</v>
      </c>
      <c r="C7" s="5" t="s">
        <v>331</v>
      </c>
      <c r="D7" s="5" t="s">
        <v>331</v>
      </c>
      <c r="E7" s="5" t="s">
        <v>331</v>
      </c>
      <c r="F7" s="5" t="s">
        <v>331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*7</v>
      </c>
      <c r="C9" s="11" t="str" cm="1">
        <f ca="1" t="array" ref="C9">IF(COUNTA(INDIRECT(_xlfn.CONCAT($G2,"!",CHAR(64+COLUMN()),7)))&gt;0,INDIRECT(_xlfn.CONCAT($G2,"!",CHAR(64+COLUMN()),7)),"")</f>
        <v>660视频
*10</v>
      </c>
      <c r="D9" s="11" t="str" cm="1">
        <f ca="1" t="array" ref="D9">IF(COUNTA(INDIRECT(_xlfn.CONCAT($G2,"!",CHAR(64+COLUMN()),7)))&gt;0,INDIRECT(_xlfn.CONCAT($G2,"!",CHAR(64+COLUMN()),7)),"")</f>
        <v>660视频
*10</v>
      </c>
      <c r="E9" s="11" t="str" cm="1">
        <f ca="1" t="array" ref="E9">IF(COUNTA(INDIRECT(_xlfn.CONCAT($G2,"!",CHAR(64+COLUMN()),7)))&gt;0,INDIRECT(_xlfn.CONCAT($G2,"!",CHAR(64+COLUMN()),7)),"")</f>
        <v>660视频
*10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0</v>
      </c>
      <c r="E10" s="12" t="s">
        <v>18</v>
      </c>
      <c r="F10" s="13">
        <f>B10+D10</f>
        <v>3.75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2" workbookViewId="0">
      <selection activeCell="B3" sqref="B3:F3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335</v>
      </c>
      <c r="C1" s="5" t="s">
        <v>331</v>
      </c>
      <c r="D1" s="5" t="s">
        <v>331</v>
      </c>
      <c r="E1" s="5" t="s">
        <v>331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20251028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20251029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331</v>
      </c>
      <c r="C7" s="5" t="s">
        <v>331</v>
      </c>
      <c r="D7" s="5" t="s">
        <v>329</v>
      </c>
      <c r="E7" s="5" t="s">
        <v>331</v>
      </c>
      <c r="F7" s="5" t="s">
        <v>331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*9</v>
      </c>
      <c r="C9" s="11" t="str" cm="1">
        <f ca="1" t="array" ref="C9">IF(COUNTA(INDIRECT(_xlfn.CONCAT($G2,"!",CHAR(64+COLUMN()),7)))&gt;0,INDIRECT(_xlfn.CONCAT($G2,"!",CHAR(64+COLUMN()),7)),"")</f>
        <v>660视频
*10</v>
      </c>
      <c r="D9" s="11" t="str" cm="1">
        <f ca="1" t="array" ref="D9">IF(COUNTA(INDIRECT(_xlfn.CONCAT($G2,"!",CHAR(64+COLUMN()),7)))&gt;0,INDIRECT(_xlfn.CONCAT($G2,"!",CHAR(64+COLUMN()),7)),"")</f>
        <v>660视频
*10</v>
      </c>
      <c r="E9" s="11" t="str" cm="1">
        <f ca="1" t="array" ref="E9">IF(COUNTA(INDIRECT(_xlfn.CONCAT($G2,"!",CHAR(64+COLUMN()),7)))&gt;0,INDIRECT(_xlfn.CONCAT($G2,"!",CHAR(64+COLUMN()),7)),"")</f>
        <v>660视频
*10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0</v>
      </c>
      <c r="E10" s="12" t="s">
        <v>18</v>
      </c>
      <c r="F10" s="13">
        <f>B10+D10</f>
        <v>2.25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3" sqref="B3:F3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331</v>
      </c>
      <c r="C1" s="5" t="s">
        <v>331</v>
      </c>
      <c r="D1" s="5" t="s">
        <v>329</v>
      </c>
      <c r="E1" s="5" t="s">
        <v>331</v>
      </c>
      <c r="F1" s="5" t="s">
        <v>331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20251029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20251030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336</v>
      </c>
      <c r="C7" s="5" t="s">
        <v>336</v>
      </c>
      <c r="D7" s="5" t="s">
        <v>336</v>
      </c>
      <c r="E7" s="5" t="s">
        <v>336</v>
      </c>
      <c r="F7" s="5" t="s">
        <v>337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*10</v>
      </c>
      <c r="C9" s="11" t="str" cm="1">
        <f ca="1" t="array" ref="C9">IF(COUNTA(INDIRECT(_xlfn.CONCAT($G2,"!",CHAR(64+COLUMN()),7)))&gt;0,INDIRECT(_xlfn.CONCAT($G2,"!",CHAR(64+COLUMN()),7)),"")</f>
        <v>660视频
*10</v>
      </c>
      <c r="D9" s="11" t="str" cm="1">
        <f ca="1" t="array" ref="D9">IF(COUNTA(INDIRECT(_xlfn.CONCAT($G2,"!",CHAR(64+COLUMN()),7)))&gt;0,INDIRECT(_xlfn.CONCAT($G2,"!",CHAR(64+COLUMN()),7)),"")</f>
        <v>660视频
*5</v>
      </c>
      <c r="E9" s="11" t="str" cm="1">
        <f ca="1" t="array" ref="E9">IF(COUNTA(INDIRECT(_xlfn.CONCAT($G2,"!",CHAR(64+COLUMN()),7)))&gt;0,INDIRECT(_xlfn.CONCAT($G2,"!",CHAR(64+COLUMN()),7)),"")</f>
        <v>660视频
*10</v>
      </c>
      <c r="F9" s="11" t="str" cm="1">
        <f ca="1" t="array" ref="F9">IF(COUNTA(INDIRECT(_xlfn.CONCAT($G2,"!",CHAR(64+COLUMN()),7)))&gt;0,INDIRECT(_xlfn.CONCAT($G2,"!",CHAR(64+COLUMN()),7)),"")</f>
        <v>660视频
*10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0</v>
      </c>
      <c r="E10" s="12" t="s">
        <v>18</v>
      </c>
      <c r="F10" s="13">
        <f>B10+D10</f>
        <v>3.25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3" sqref="B3:F3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336</v>
      </c>
      <c r="C1" s="5" t="s">
        <v>336</v>
      </c>
      <c r="D1" s="5" t="s">
        <v>336</v>
      </c>
      <c r="E1" s="5" t="s">
        <v>336</v>
      </c>
      <c r="F1" s="5" t="s">
        <v>337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20251030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20251031</v>
      </c>
    </row>
    <row r="5" s="1" customFormat="1" ht="125" customHeight="1" spans="1:7">
      <c r="A5" s="4" t="s">
        <v>193</v>
      </c>
      <c r="B5" s="5"/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</v>
      </c>
      <c r="B6" s="7">
        <f t="shared" ref="B6:F6" si="3">IF(COUNTA(B1)&gt;0,IF(B5="完成",0.25,0),0)</f>
        <v>0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336</v>
      </c>
      <c r="C7" s="5" t="s">
        <v>336</v>
      </c>
      <c r="D7" s="5" t="s">
        <v>336</v>
      </c>
      <c r="E7" s="5" t="s">
        <v>336</v>
      </c>
      <c r="F7" s="5" t="s">
        <v>338</v>
      </c>
      <c r="G7" s="10"/>
    </row>
    <row r="8" customFormat="1" ht="15.15" spans="1:7">
      <c r="A8" s="6">
        <f>SUM(B8:F8)</f>
        <v>0</v>
      </c>
      <c r="B8" s="7">
        <f t="shared" ref="B8:F8" si="4">IF(COUNTA(B7)&gt;0,IF(COUNTA(B1)&gt;0,IF(B5="完成",0.25,0),IF(B5="遗忘",0,0.25)),0)</f>
        <v>0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专业真题
不计时
卷子一份</v>
      </c>
      <c r="C9" s="11" t="str" cm="1">
        <f ca="1" t="array" ref="C9">IF(COUNTA(INDIRECT(_xlfn.CONCAT($G2,"!",CHAR(64+COLUMN()),7)))&gt;0,INDIRECT(_xlfn.CONCAT($G2,"!",CHAR(64+COLUMN()),7)),"")</f>
        <v>专业真题
不计时
卷子一份</v>
      </c>
      <c r="D9" s="11" t="str" cm="1">
        <f ca="1" t="array" ref="D9">IF(COUNTA(INDIRECT(_xlfn.CONCAT($G2,"!",CHAR(64+COLUMN()),7)))&gt;0,INDIRECT(_xlfn.CONCAT($G2,"!",CHAR(64+COLUMN()),7)),"")</f>
        <v>专业真题
不计时
卷子一份</v>
      </c>
      <c r="E9" s="11" t="str" cm="1">
        <f ca="1" t="array" ref="E9">IF(COUNTA(INDIRECT(_xlfn.CONCAT($G2,"!",CHAR(64+COLUMN()),7)))&gt;0,INDIRECT(_xlfn.CONCAT($G2,"!",CHAR(64+COLUMN()),7)),"")</f>
        <v>专业真题
不计时
卷子一份</v>
      </c>
      <c r="F9" s="11" t="str" cm="1">
        <f ca="1" t="array" ref="F9">IF(COUNTA(INDIRECT(_xlfn.CONCAT($G2,"!",CHAR(64+COLUMN()),7)))&gt;0,INDIRECT(_xlfn.CONCAT($G2,"!",CHAR(64+COLUMN()),7)),"")</f>
        <v>王道视频
*6</v>
      </c>
      <c r="G9" s="10"/>
    </row>
    <row r="10" ht="15.15" spans="1:7">
      <c r="A10" s="12" t="s">
        <v>16</v>
      </c>
      <c r="B10" s="13">
        <f>SUM(A8,A6,A4,A2)</f>
        <v>1.25</v>
      </c>
      <c r="C10" s="12" t="s">
        <v>17</v>
      </c>
      <c r="D10" s="13">
        <v>1.42</v>
      </c>
      <c r="E10" s="12" t="s">
        <v>18</v>
      </c>
      <c r="F10" s="13">
        <f>B10+D10</f>
        <v>2.67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3" sqref="B3:F3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336</v>
      </c>
      <c r="C1" s="5" t="s">
        <v>336</v>
      </c>
      <c r="D1" s="5" t="s">
        <v>336</v>
      </c>
      <c r="E1" s="5" t="s">
        <v>336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20251031</v>
      </c>
    </row>
    <row r="3" s="1" customFormat="1" ht="125" customHeight="1" spans="1:7">
      <c r="A3" s="4" t="s">
        <v>3</v>
      </c>
      <c r="B3" s="1" t="s">
        <v>339</v>
      </c>
      <c r="C3" s="1" t="s">
        <v>340</v>
      </c>
      <c r="D3" s="1" t="s">
        <v>341</v>
      </c>
      <c r="E3" s="1" t="s">
        <v>342</v>
      </c>
      <c r="F3" s="5" t="s">
        <v>343</v>
      </c>
      <c r="G3" s="4" t="s">
        <v>57</v>
      </c>
    </row>
    <row r="4" customFormat="1" ht="15.15" spans="1:7">
      <c r="A4" s="6">
        <f t="shared" si="0"/>
        <v>2.5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20251101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336</v>
      </c>
      <c r="C7" s="5" t="s">
        <v>336</v>
      </c>
      <c r="D7" s="5" t="s">
        <v>336</v>
      </c>
      <c r="E7" s="5" t="s">
        <v>336</v>
      </c>
      <c r="F7" s="5" t="s">
        <v>338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专业真题
不计时
卷子一份</v>
      </c>
      <c r="C9" s="11" t="str" cm="1">
        <f ca="1" t="array" ref="C9">IF(COUNTA(INDIRECT(_xlfn.CONCAT($G2,"!",CHAR(64+COLUMN()),7)))&gt;0,INDIRECT(_xlfn.CONCAT($G2,"!",CHAR(64+COLUMN()),7)),"")</f>
        <v>专业真题
不计时
卷子一份</v>
      </c>
      <c r="D9" s="11" t="str" cm="1">
        <f ca="1" t="array" ref="D9">IF(COUNTA(INDIRECT(_xlfn.CONCAT($G2,"!",CHAR(64+COLUMN()),7)))&gt;0,INDIRECT(_xlfn.CONCAT($G2,"!",CHAR(64+COLUMN()),7)),"")</f>
        <v>专业真题
不计时
卷子一份</v>
      </c>
      <c r="E9" s="11" t="str" cm="1">
        <f ca="1" t="array" ref="E9">IF(COUNTA(INDIRECT(_xlfn.CONCAT($G2,"!",CHAR(64+COLUMN()),7)))&gt;0,INDIRECT(_xlfn.CONCAT($G2,"!",CHAR(64+COLUMN()),7)),"")</f>
        <v>专业真题
不计时
卷子一份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4.75</v>
      </c>
      <c r="C10" s="12" t="s">
        <v>17</v>
      </c>
      <c r="D10" s="13">
        <v>0</v>
      </c>
      <c r="E10" s="12" t="s">
        <v>18</v>
      </c>
      <c r="F10" s="13">
        <f>B10+D10</f>
        <v>4.75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3" sqref="B3:F3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336</v>
      </c>
      <c r="C1" s="5" t="s">
        <v>336</v>
      </c>
      <c r="D1" s="5" t="s">
        <v>336</v>
      </c>
      <c r="E1" s="5" t="s">
        <v>336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20251101</v>
      </c>
    </row>
    <row r="3" s="1" customFormat="1" ht="125" customHeight="1" spans="1:7">
      <c r="A3" s="4" t="s">
        <v>3</v>
      </c>
      <c r="B3" s="1" t="s">
        <v>344</v>
      </c>
      <c r="C3" s="1" t="s">
        <v>345</v>
      </c>
      <c r="D3" s="1" t="s">
        <v>346</v>
      </c>
      <c r="E3" s="1" t="s">
        <v>347</v>
      </c>
      <c r="F3" s="5" t="s">
        <v>348</v>
      </c>
      <c r="G3" s="4" t="s">
        <v>57</v>
      </c>
    </row>
    <row r="4" customFormat="1" ht="15.15" spans="1:7">
      <c r="A4" s="6">
        <f t="shared" si="0"/>
        <v>2.5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20251102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336</v>
      </c>
      <c r="C7" s="5" t="s">
        <v>336</v>
      </c>
      <c r="D7" s="5" t="s">
        <v>336</v>
      </c>
      <c r="E7" s="5" t="s">
        <v>336</v>
      </c>
      <c r="F7" s="5" t="s">
        <v>338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专业真题
不计时
卷子一份</v>
      </c>
      <c r="C9" s="11" t="str" cm="1">
        <f ca="1" t="array" ref="C9">IF(COUNTA(INDIRECT(_xlfn.CONCAT($G2,"!",CHAR(64+COLUMN()),7)))&gt;0,INDIRECT(_xlfn.CONCAT($G2,"!",CHAR(64+COLUMN()),7)),"")</f>
        <v>专业真题
不计时
卷子一份</v>
      </c>
      <c r="D9" s="11" t="str" cm="1">
        <f ca="1" t="array" ref="D9">IF(COUNTA(INDIRECT(_xlfn.CONCAT($G2,"!",CHAR(64+COLUMN()),7)))&gt;0,INDIRECT(_xlfn.CONCAT($G2,"!",CHAR(64+COLUMN()),7)),"")</f>
        <v>专业真题
不计时
卷子一份</v>
      </c>
      <c r="E9" s="11" t="str" cm="1">
        <f ca="1" t="array" ref="E9">IF(COUNTA(INDIRECT(_xlfn.CONCAT($G2,"!",CHAR(64+COLUMN()),7)))&gt;0,INDIRECT(_xlfn.CONCAT($G2,"!",CHAR(64+COLUMN()),7)),"")</f>
        <v>专业真题
不计时
卷子一份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4.25</v>
      </c>
      <c r="C10" s="12" t="s">
        <v>17</v>
      </c>
      <c r="D10" s="13">
        <v>11.32</v>
      </c>
      <c r="E10" s="12" t="s">
        <v>18</v>
      </c>
      <c r="F10" s="13">
        <f>B10+D10</f>
        <v>15.57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10" sqref="D10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336</v>
      </c>
      <c r="C1" s="5" t="s">
        <v>336</v>
      </c>
      <c r="D1" s="5" t="s">
        <v>336</v>
      </c>
      <c r="E1" s="5" t="s">
        <v>336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20251102</v>
      </c>
    </row>
    <row r="3" s="1" customFormat="1" ht="125" customHeight="1" spans="1:7">
      <c r="A3" s="4" t="s">
        <v>3</v>
      </c>
      <c r="B3" s="1" t="s">
        <v>349</v>
      </c>
      <c r="C3" s="1" t="s">
        <v>350</v>
      </c>
      <c r="D3" s="1" t="s">
        <v>351</v>
      </c>
      <c r="E3" s="1" t="s">
        <v>352</v>
      </c>
      <c r="F3" s="5" t="s">
        <v>353</v>
      </c>
      <c r="G3" s="4" t="s">
        <v>57</v>
      </c>
    </row>
    <row r="4" customFormat="1" ht="15.15" spans="1:7">
      <c r="A4" s="6">
        <f t="shared" si="0"/>
        <v>2.5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20251103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336</v>
      </c>
      <c r="C7" s="5" t="s">
        <v>336</v>
      </c>
      <c r="D7" s="5" t="s">
        <v>336</v>
      </c>
      <c r="E7" s="5" t="s">
        <v>336</v>
      </c>
      <c r="F7" s="5" t="s">
        <v>338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专业真题
不计时
卷子一份</v>
      </c>
      <c r="C9" s="11" t="str" cm="1">
        <f ca="1" t="array" ref="C9">IF(COUNTA(INDIRECT(_xlfn.CONCAT($G2,"!",CHAR(64+COLUMN()),7)))&gt;0,INDIRECT(_xlfn.CONCAT($G2,"!",CHAR(64+COLUMN()),7)),"")</f>
        <v>专业真题
不计时
卷子一份</v>
      </c>
      <c r="D9" s="11" t="str" cm="1">
        <f ca="1" t="array" ref="D9">IF(COUNTA(INDIRECT(_xlfn.CONCAT($G2,"!",CHAR(64+COLUMN()),7)))&gt;0,INDIRECT(_xlfn.CONCAT($G2,"!",CHAR(64+COLUMN()),7)),"")</f>
        <v>专业真题
不计时
卷子一份</v>
      </c>
      <c r="E9" s="11" t="str" cm="1">
        <f ca="1" t="array" ref="E9">IF(COUNTA(INDIRECT(_xlfn.CONCAT($G2,"!",CHAR(64+COLUMN()),7)))&gt;0,INDIRECT(_xlfn.CONCAT($G2,"!",CHAR(64+COLUMN()),7)),"")</f>
        <v>专业真题
不计时
卷子一份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4.25</v>
      </c>
      <c r="C10" s="12" t="s">
        <v>17</v>
      </c>
      <c r="D10" s="13">
        <v>7.33</v>
      </c>
      <c r="E10" s="12" t="s">
        <v>18</v>
      </c>
      <c r="F10" s="13">
        <f>B10+D10</f>
        <v>11.58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3" sqref="B3:F3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336</v>
      </c>
      <c r="C1" s="5" t="s">
        <v>336</v>
      </c>
      <c r="D1" s="5" t="s">
        <v>336</v>
      </c>
      <c r="E1" s="5" t="s">
        <v>336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20251103</v>
      </c>
    </row>
    <row r="3" s="1" customFormat="1" ht="125" customHeight="1" spans="1:7">
      <c r="A3" s="4" t="s">
        <v>3</v>
      </c>
      <c r="B3" s="1" t="s">
        <v>354</v>
      </c>
      <c r="C3" s="1" t="s">
        <v>355</v>
      </c>
      <c r="D3" s="1" t="s">
        <v>356</v>
      </c>
      <c r="E3" s="1" t="s">
        <v>357</v>
      </c>
      <c r="F3" s="5" t="s">
        <v>358</v>
      </c>
      <c r="G3" s="4" t="s">
        <v>57</v>
      </c>
    </row>
    <row r="4" customFormat="1" ht="15.15" spans="1:7">
      <c r="A4" s="6">
        <f t="shared" si="0"/>
        <v>2.5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20251104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359</v>
      </c>
      <c r="C7" s="5" t="s">
        <v>360</v>
      </c>
      <c r="D7" s="5" t="s">
        <v>361</v>
      </c>
      <c r="E7" s="5" t="s">
        <v>362</v>
      </c>
      <c r="F7" s="5" t="s">
        <v>338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专业真题
不计时
卷子一份</v>
      </c>
      <c r="C9" s="11" t="str" cm="1">
        <f ca="1" t="array" ref="C9">IF(COUNTA(INDIRECT(_xlfn.CONCAT($G2,"!",CHAR(64+COLUMN()),7)))&gt;0,INDIRECT(_xlfn.CONCAT($G2,"!",CHAR(64+COLUMN()),7)),"")</f>
        <v>专业真题
不计时
卷子一份</v>
      </c>
      <c r="D9" s="11" t="str" cm="1">
        <f ca="1" t="array" ref="D9">IF(COUNTA(INDIRECT(_xlfn.CONCAT($G2,"!",CHAR(64+COLUMN()),7)))&gt;0,INDIRECT(_xlfn.CONCAT($G2,"!",CHAR(64+COLUMN()),7)),"")</f>
        <v>专业真题
不计时
卷子一份</v>
      </c>
      <c r="E9" s="11" t="str" cm="1">
        <f ca="1" t="array" ref="E9">IF(COUNTA(INDIRECT(_xlfn.CONCAT($G2,"!",CHAR(64+COLUMN()),7)))&gt;0,INDIRECT(_xlfn.CONCAT($G2,"!",CHAR(64+COLUMN()),7)),"")</f>
        <v>专业真题
不计时
卷子一份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4.25</v>
      </c>
      <c r="C10" s="12" t="s">
        <v>17</v>
      </c>
      <c r="D10" s="13">
        <v>6.25</v>
      </c>
      <c r="E10" s="12" t="s">
        <v>18</v>
      </c>
      <c r="F10" s="13">
        <f>B10+D10</f>
        <v>10.5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2" workbookViewId="0">
      <selection activeCell="C7" sqref="C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359</v>
      </c>
      <c r="C1" s="5" t="s">
        <v>360</v>
      </c>
      <c r="D1" s="5" t="s">
        <v>361</v>
      </c>
      <c r="E1" s="5" t="s">
        <v>362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20251104</v>
      </c>
    </row>
    <row r="3" s="1" customFormat="1" ht="125" customHeight="1" spans="1:7">
      <c r="A3" s="4" t="s">
        <v>3</v>
      </c>
      <c r="B3" s="1" t="s">
        <v>363</v>
      </c>
      <c r="C3" s="1" t="s">
        <v>364</v>
      </c>
      <c r="D3" s="1" t="s">
        <v>365</v>
      </c>
      <c r="E3" s="1" t="s">
        <v>366</v>
      </c>
      <c r="F3" s="5" t="s">
        <v>367</v>
      </c>
      <c r="G3" s="4" t="s">
        <v>57</v>
      </c>
    </row>
    <row r="4" customFormat="1" ht="15.15" spans="1:7">
      <c r="A4" s="6">
        <f t="shared" si="0"/>
        <v>2.5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20251105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368</v>
      </c>
      <c r="C7" s="5" t="s">
        <v>360</v>
      </c>
      <c r="D7" s="5" t="s">
        <v>361</v>
      </c>
      <c r="E7" s="5" t="s">
        <v>362</v>
      </c>
      <c r="F7" s="5" t="s">
        <v>338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2022真题
选择题</v>
      </c>
      <c r="C9" s="11" t="str" cm="1">
        <f ca="1" t="array" ref="C9">IF(COUNTA(INDIRECT(_xlfn.CONCAT($G2,"!",CHAR(64+COLUMN()),7)))&gt;0,INDIRECT(_xlfn.CONCAT($G2,"!",CHAR(64+COLUMN()),7)),"")</f>
        <v>2021真题
选择题
难题</v>
      </c>
      <c r="D9" s="11" t="str" cm="1">
        <f ca="1" t="array" ref="D9">IF(COUNTA(INDIRECT(_xlfn.CONCAT($G2,"!",CHAR(64+COLUMN()),7)))&gt;0,INDIRECT(_xlfn.CONCAT($G2,"!",CHAR(64+COLUMN()),7)),"")</f>
        <v>2022真题
选择题
难题</v>
      </c>
      <c r="E9" s="11" t="str" cm="1">
        <f ca="1" t="array" ref="E9">IF(COUNTA(INDIRECT(_xlfn.CONCAT($G2,"!",CHAR(64+COLUMN()),7)))&gt;0,INDIRECT(_xlfn.CONCAT($G2,"!",CHAR(64+COLUMN()),7)),"")</f>
        <v>2023真题
选择题
难题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4.25</v>
      </c>
      <c r="C10" s="12" t="s">
        <v>17</v>
      </c>
      <c r="D10" s="13">
        <v>10.5</v>
      </c>
      <c r="E10" s="12" t="s">
        <v>18</v>
      </c>
      <c r="F10" s="13">
        <f>B10+D10</f>
        <v>14.75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B1" sqref="B1:F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368</v>
      </c>
      <c r="C1" s="5" t="s">
        <v>360</v>
      </c>
      <c r="D1" s="5" t="s">
        <v>361</v>
      </c>
      <c r="E1" s="5" t="s">
        <v>362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20251105</v>
      </c>
    </row>
    <row r="3" s="1" customFormat="1" ht="125" customHeight="1" spans="1:7">
      <c r="A3" s="4" t="s">
        <v>3</v>
      </c>
      <c r="B3" s="1" t="s">
        <v>369</v>
      </c>
      <c r="C3" s="1" t="s">
        <v>370</v>
      </c>
      <c r="D3" s="1" t="s">
        <v>371</v>
      </c>
      <c r="E3" s="1" t="s">
        <v>372</v>
      </c>
      <c r="F3" s="5"/>
      <c r="G3" s="4" t="s">
        <v>57</v>
      </c>
    </row>
    <row r="4" customFormat="1" ht="15.15" spans="1:7">
      <c r="A4" s="6">
        <f t="shared" si="0"/>
        <v>2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</v>
      </c>
      <c r="G4" s="8" t="str" cm="1">
        <f ca="1" t="array" ref="G4">_wpsfn.SHEETSNAME(A1)</f>
        <v>20251106</v>
      </c>
    </row>
    <row r="5" s="1" customFormat="1" ht="125" customHeight="1" spans="1:7">
      <c r="A5" s="4" t="s">
        <v>193</v>
      </c>
      <c r="B5" s="5"/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</v>
      </c>
      <c r="B6" s="7">
        <f t="shared" ref="B6:F6" si="3">IF(COUNTA(B1)&gt;0,IF(B5="完成",0.25,0),0)</f>
        <v>0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368</v>
      </c>
      <c r="C7" s="5" t="s">
        <v>360</v>
      </c>
      <c r="D7" s="5" t="s">
        <v>361</v>
      </c>
      <c r="E7" s="5" t="s">
        <v>362</v>
      </c>
      <c r="F7" s="5" t="s">
        <v>338</v>
      </c>
      <c r="G7" s="10"/>
    </row>
    <row r="8" customFormat="1" ht="15.15" spans="1:7">
      <c r="A8" s="6">
        <f>SUM(B8:F8)</f>
        <v>0</v>
      </c>
      <c r="B8" s="7">
        <f t="shared" ref="B8:F8" si="4">IF(COUNTA(B7)&gt;0,IF(COUNTA(B1)&gt;0,IF(B5="完成",0.25,0),IF(B5="遗忘",0,0.25)),0)</f>
        <v>0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2024真题
选择题
难题</v>
      </c>
      <c r="C9" s="11" t="str" cm="1">
        <f ca="1" t="array" ref="C9">IF(COUNTA(INDIRECT(_xlfn.CONCAT($G2,"!",CHAR(64+COLUMN()),7)))&gt;0,INDIRECT(_xlfn.CONCAT($G2,"!",CHAR(64+COLUMN()),7)),"")</f>
        <v>2021真题
选择题
难题</v>
      </c>
      <c r="D9" s="11" t="str" cm="1">
        <f ca="1" t="array" ref="D9">IF(COUNTA(INDIRECT(_xlfn.CONCAT($G2,"!",CHAR(64+COLUMN()),7)))&gt;0,INDIRECT(_xlfn.CONCAT($G2,"!",CHAR(64+COLUMN()),7)),"")</f>
        <v>2022真题
选择题
难题</v>
      </c>
      <c r="E9" s="11" t="str" cm="1">
        <f ca="1" t="array" ref="E9">IF(COUNTA(INDIRECT(_xlfn.CONCAT($G2,"!",CHAR(64+COLUMN()),7)))&gt;0,INDIRECT(_xlfn.CONCAT($G2,"!",CHAR(64+COLUMN()),7)),"")</f>
        <v>2023真题
选择题
难题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16.65</v>
      </c>
      <c r="E10" s="12" t="s">
        <v>18</v>
      </c>
      <c r="F10" s="13">
        <f>B10+D10</f>
        <v>19.9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9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368</v>
      </c>
      <c r="C1" s="5" t="s">
        <v>360</v>
      </c>
      <c r="D1" s="5" t="s">
        <v>361</v>
      </c>
      <c r="E1" s="5" t="s">
        <v>362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20251106</v>
      </c>
    </row>
    <row r="3" s="1" customFormat="1" ht="125" customHeight="1" spans="1:7">
      <c r="A3" s="4" t="s">
        <v>3</v>
      </c>
      <c r="B3" s="1" t="s">
        <v>373</v>
      </c>
      <c r="C3" s="1" t="s">
        <v>374</v>
      </c>
      <c r="D3" s="1" t="s">
        <v>375</v>
      </c>
      <c r="E3" s="1" t="s">
        <v>376</v>
      </c>
      <c r="F3" s="5" t="s">
        <v>377</v>
      </c>
      <c r="G3" s="4" t="s">
        <v>57</v>
      </c>
    </row>
    <row r="4" customFormat="1" ht="15.15" spans="1:7">
      <c r="A4" s="6">
        <f t="shared" si="0"/>
        <v>2.5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20251107</v>
      </c>
    </row>
    <row r="5" s="1" customFormat="1" ht="125" customHeight="1" spans="1:7">
      <c r="A5" s="4" t="s">
        <v>193</v>
      </c>
      <c r="B5" s="5"/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368</v>
      </c>
      <c r="C7" s="5" t="s">
        <v>378</v>
      </c>
      <c r="D7" s="5" t="s">
        <v>361</v>
      </c>
      <c r="E7" s="5" t="s">
        <v>362</v>
      </c>
      <c r="F7" s="5" t="s">
        <v>338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2024真题
选择题
难题</v>
      </c>
      <c r="C9" s="11" t="str" cm="1">
        <f ca="1" t="array" ref="C9">IF(COUNTA(INDIRECT(_xlfn.CONCAT($G2,"!",CHAR(64+COLUMN()),7)))&gt;0,INDIRECT(_xlfn.CONCAT($G2,"!",CHAR(64+COLUMN()),7)),"")</f>
        <v>2021真题
选择题
难题</v>
      </c>
      <c r="D9" s="11" t="str" cm="1">
        <f ca="1" t="array" ref="D9">IF(COUNTA(INDIRECT(_xlfn.CONCAT($G2,"!",CHAR(64+COLUMN()),7)))&gt;0,INDIRECT(_xlfn.CONCAT($G2,"!",CHAR(64+COLUMN()),7)),"")</f>
        <v>2022真题
选择题
难题</v>
      </c>
      <c r="E9" s="11" t="str" cm="1">
        <f ca="1" t="array" ref="E9">IF(COUNTA(INDIRECT(_xlfn.CONCAT($G2,"!",CHAR(64+COLUMN()),7)))&gt;0,INDIRECT(_xlfn.CONCAT($G2,"!",CHAR(64+COLUMN()),7)),"")</f>
        <v>2023真题
选择题
难题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4.25</v>
      </c>
      <c r="C10" s="12" t="s">
        <v>17</v>
      </c>
      <c r="D10" s="13">
        <v>20.77</v>
      </c>
      <c r="E10" s="12" t="s">
        <v>18</v>
      </c>
      <c r="F10" s="13">
        <f>B10+D10</f>
        <v>25.02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E3" sqref="E3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368</v>
      </c>
      <c r="C1" s="5" t="s">
        <v>378</v>
      </c>
      <c r="D1" s="5" t="s">
        <v>361</v>
      </c>
      <c r="E1" s="5" t="s">
        <v>362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20251107</v>
      </c>
    </row>
    <row r="3" s="1" customFormat="1" ht="125" customHeight="1" spans="1:7">
      <c r="A3" s="4" t="s">
        <v>3</v>
      </c>
      <c r="B3" s="1" t="s">
        <v>379</v>
      </c>
      <c r="C3" s="1" t="s">
        <v>380</v>
      </c>
      <c r="D3" s="1" t="s">
        <v>381</v>
      </c>
      <c r="E3" s="1"/>
      <c r="F3" s="5"/>
      <c r="G3" s="4" t="s">
        <v>57</v>
      </c>
    </row>
    <row r="4" customFormat="1" ht="15.15" spans="1:7">
      <c r="A4" s="6">
        <f t="shared" si="0"/>
        <v>1.5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20251108</v>
      </c>
    </row>
    <row r="5" s="1" customFormat="1" ht="125" customHeight="1" spans="1:7">
      <c r="A5" s="4" t="s">
        <v>193</v>
      </c>
      <c r="B5" s="5" t="s">
        <v>9</v>
      </c>
      <c r="C5" s="5"/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0.75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0.25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382</v>
      </c>
      <c r="C7" s="5" t="s">
        <v>378</v>
      </c>
      <c r="D7" s="5" t="s">
        <v>383</v>
      </c>
      <c r="E7" s="5" t="s">
        <v>384</v>
      </c>
      <c r="F7" s="5" t="s">
        <v>338</v>
      </c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2024真题
选择题
难题</v>
      </c>
      <c r="C9" s="11" t="str" cm="1">
        <f ca="1" t="array" ref="C9">IF(COUNTA(INDIRECT(_xlfn.CONCAT($G2,"!",CHAR(64+COLUMN()),7)))&gt;0,INDIRECT(_xlfn.CONCAT($G2,"!",CHAR(64+COLUMN()),7)),"")</f>
        <v>2025真题
选择题
难题</v>
      </c>
      <c r="D9" s="11" t="str" cm="1">
        <f ca="1" t="array" ref="D9">IF(COUNTA(INDIRECT(_xlfn.CONCAT($G2,"!",CHAR(64+COLUMN()),7)))&gt;0,INDIRECT(_xlfn.CONCAT($G2,"!",CHAR(64+COLUMN()),7)),"")</f>
        <v>2022真题
选择题
难题</v>
      </c>
      <c r="E9" s="11" t="str" cm="1">
        <f ca="1" t="array" ref="E9">IF(COUNTA(INDIRECT(_xlfn.CONCAT($G2,"!",CHAR(64+COLUMN()),7)))&gt;0,INDIRECT(_xlfn.CONCAT($G2,"!",CHAR(64+COLUMN()),7)),"")</f>
        <v>2023真题
选择题
难题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4.25</v>
      </c>
      <c r="C10" s="12" t="s">
        <v>17</v>
      </c>
      <c r="D10" s="13">
        <v>26.9</v>
      </c>
      <c r="E10" s="12" t="s">
        <v>18</v>
      </c>
      <c r="F10" s="13">
        <f>B10+D10</f>
        <v>31.15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F10" sqref="F10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382</v>
      </c>
      <c r="C1" s="5" t="s">
        <v>378</v>
      </c>
      <c r="D1" s="5" t="s">
        <v>383</v>
      </c>
      <c r="E1" s="5" t="s">
        <v>384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20251108</v>
      </c>
    </row>
    <row r="3" s="1" customFormat="1" ht="125" customHeight="1" spans="1:7">
      <c r="A3" s="4" t="s">
        <v>3</v>
      </c>
      <c r="B3" s="1"/>
      <c r="C3" s="1"/>
      <c r="D3" s="1"/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20251109</v>
      </c>
    </row>
    <row r="5" s="1" customFormat="1" ht="125" customHeight="1" spans="1:7">
      <c r="A5" s="4" t="s">
        <v>193</v>
      </c>
      <c r="B5" s="5"/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382</v>
      </c>
      <c r="C7" s="5" t="s">
        <v>385</v>
      </c>
      <c r="D7" s="5" t="s">
        <v>383</v>
      </c>
      <c r="E7" s="5" t="s">
        <v>384</v>
      </c>
      <c r="F7" s="5" t="s">
        <v>338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2021真题
大题</v>
      </c>
      <c r="C9" s="11" t="str" cm="1">
        <f ca="1" t="array" ref="C9">IF(COUNTA(INDIRECT(_xlfn.CONCAT($G2,"!",CHAR(64+COLUMN()),7)))&gt;0,INDIRECT(_xlfn.CONCAT($G2,"!",CHAR(64+COLUMN()),7)),"")</f>
        <v>2025真题
选择题
难题</v>
      </c>
      <c r="D9" s="11" t="str" cm="1">
        <f ca="1" t="array" ref="D9">IF(COUNTA(INDIRECT(_xlfn.CONCAT($G2,"!",CHAR(64+COLUMN()),7)))&gt;0,INDIRECT(_xlfn.CONCAT($G2,"!",CHAR(64+COLUMN()),7)),"")</f>
        <v>2022真题
大题</v>
      </c>
      <c r="E9" s="11" t="str" cm="1">
        <f ca="1" t="array" ref="E9">IF(COUNTA(INDIRECT(_xlfn.CONCAT($G2,"!",CHAR(64+COLUMN()),7)))&gt;0,INDIRECT(_xlfn.CONCAT($G2,"!",CHAR(64+COLUMN()),7)),"")</f>
        <v>2023真题
大题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12.55</v>
      </c>
      <c r="E10" s="12" t="s">
        <v>18</v>
      </c>
      <c r="F10" s="13">
        <f>B10+D10</f>
        <v>14.3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7" workbookViewId="0">
      <selection activeCell="F10" sqref="F10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382</v>
      </c>
      <c r="C1" s="5" t="s">
        <v>385</v>
      </c>
      <c r="D1" s="5" t="s">
        <v>383</v>
      </c>
      <c r="E1" s="5" t="s">
        <v>384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20251109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20251110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386</v>
      </c>
      <c r="C7" s="5" t="s">
        <v>385</v>
      </c>
      <c r="D7" s="5" t="s">
        <v>383</v>
      </c>
      <c r="E7" s="5" t="s">
        <v>384</v>
      </c>
      <c r="F7" s="5" t="s">
        <v>338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2021真题
大题</v>
      </c>
      <c r="C9" s="11" t="str" cm="1">
        <f ca="1" t="array" ref="C9">IF(COUNTA(INDIRECT(_xlfn.CONCAT($G2,"!",CHAR(64+COLUMN()),7)))&gt;0,INDIRECT(_xlfn.CONCAT($G2,"!",CHAR(64+COLUMN()),7)),"")</f>
        <v>2024真题
大题</v>
      </c>
      <c r="D9" s="11" t="str" cm="1">
        <f ca="1" t="array" ref="D9">IF(COUNTA(INDIRECT(_xlfn.CONCAT($G2,"!",CHAR(64+COLUMN()),7)))&gt;0,INDIRECT(_xlfn.CONCAT($G2,"!",CHAR(64+COLUMN()),7)),"")</f>
        <v>2022真题
大题</v>
      </c>
      <c r="E9" s="11" t="str" cm="1">
        <f ca="1" t="array" ref="E9">IF(COUNTA(INDIRECT(_xlfn.CONCAT($G2,"!",CHAR(64+COLUMN()),7)))&gt;0,INDIRECT(_xlfn.CONCAT($G2,"!",CHAR(64+COLUMN()),7)),"")</f>
        <v>2023真题
大题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3.67</v>
      </c>
      <c r="E10" s="12" t="s">
        <v>18</v>
      </c>
      <c r="F10" s="13">
        <f>B10+D10</f>
        <v>5.42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7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386</v>
      </c>
      <c r="C1" s="5" t="s">
        <v>385</v>
      </c>
      <c r="D1" s="5" t="s">
        <v>383</v>
      </c>
      <c r="E1" s="5" t="s">
        <v>384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20251110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20251111</v>
      </c>
    </row>
    <row r="5" s="1" customFormat="1" ht="125" customHeight="1" spans="1:7">
      <c r="A5" s="4" t="s">
        <v>193</v>
      </c>
      <c r="B5" s="5"/>
      <c r="C5" s="5"/>
      <c r="D5" s="5"/>
      <c r="E5" s="5"/>
      <c r="F5" s="5"/>
      <c r="G5" s="9" t="s">
        <v>10</v>
      </c>
    </row>
    <row r="6" customFormat="1" ht="15.15" spans="1:7">
      <c r="A6" s="6">
        <f t="shared" si="0"/>
        <v>0</v>
      </c>
      <c r="B6" s="7">
        <f t="shared" ref="B6:F6" si="3">IF(COUNTA(B1)&gt;0,IF(B5="完成",0.25,0),0)</f>
        <v>0</v>
      </c>
      <c r="C6" s="7">
        <f t="shared" si="3"/>
        <v>0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386</v>
      </c>
      <c r="C7" s="5" t="s">
        <v>385</v>
      </c>
      <c r="D7" s="5" t="s">
        <v>383</v>
      </c>
      <c r="E7" s="5" t="s">
        <v>384</v>
      </c>
      <c r="F7" s="5" t="s">
        <v>338</v>
      </c>
      <c r="G7" s="10"/>
    </row>
    <row r="8" customFormat="1" ht="15.15" spans="1:7">
      <c r="A8" s="6">
        <f>SUM(B8:F8)</f>
        <v>0</v>
      </c>
      <c r="B8" s="7">
        <f t="shared" ref="B8:F8" si="4">IF(COUNTA(B7)&gt;0,IF(COUNTA(B1)&gt;0,IF(B5="完成",0.25,0),IF(B5="遗忘",0,0.25)),0)</f>
        <v>0</v>
      </c>
      <c r="C8" s="7">
        <f t="shared" si="4"/>
        <v>0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2025真题
大题</v>
      </c>
      <c r="C9" s="11" t="str" cm="1">
        <f ca="1" t="array" ref="C9">IF(COUNTA(INDIRECT(_xlfn.CONCAT($G2,"!",CHAR(64+COLUMN()),7)))&gt;0,INDIRECT(_xlfn.CONCAT($G2,"!",CHAR(64+COLUMN()),7)),"")</f>
        <v>2024真题
大题</v>
      </c>
      <c r="D9" s="11" t="str" cm="1">
        <f ca="1" t="array" ref="D9">IF(COUNTA(INDIRECT(_xlfn.CONCAT($G2,"!",CHAR(64+COLUMN()),7)))&gt;0,INDIRECT(_xlfn.CONCAT($G2,"!",CHAR(64+COLUMN()),7)),"")</f>
        <v>2022真题
大题</v>
      </c>
      <c r="E9" s="11" t="str" cm="1">
        <f ca="1" t="array" ref="E9">IF(COUNTA(INDIRECT(_xlfn.CONCAT($G2,"!",CHAR(64+COLUMN()),7)))&gt;0,INDIRECT(_xlfn.CONCAT($G2,"!",CHAR(64+COLUMN()),7)),"")</f>
        <v>2023真题
大题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1.25</v>
      </c>
      <c r="C10" s="12" t="s">
        <v>17</v>
      </c>
      <c r="D10" s="13">
        <v>9.67</v>
      </c>
      <c r="E10" s="12" t="s">
        <v>18</v>
      </c>
      <c r="F10" s="13">
        <f>B10+D10</f>
        <v>10.92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6"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386</v>
      </c>
      <c r="C1" s="5" t="s">
        <v>385</v>
      </c>
      <c r="D1" s="5" t="s">
        <v>383</v>
      </c>
      <c r="E1" s="5" t="s">
        <v>384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20251111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20251112</v>
      </c>
    </row>
    <row r="5" s="1" customFormat="1" ht="125" customHeight="1" spans="1:7">
      <c r="A5" s="4" t="s">
        <v>193</v>
      </c>
      <c r="B5" s="5"/>
      <c r="C5" s="5"/>
      <c r="D5" s="5" t="s">
        <v>9</v>
      </c>
      <c r="E5" s="5"/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</v>
      </c>
      <c r="C6" s="7">
        <f t="shared" si="3"/>
        <v>0</v>
      </c>
      <c r="D6" s="7">
        <f t="shared" si="3"/>
        <v>0.25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386</v>
      </c>
      <c r="C7" s="5" t="s">
        <v>385</v>
      </c>
      <c r="D7" s="5" t="s">
        <v>338</v>
      </c>
      <c r="E7" s="5" t="s">
        <v>384</v>
      </c>
      <c r="F7" s="5" t="s">
        <v>338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</v>
      </c>
      <c r="C8" s="7">
        <f t="shared" si="4"/>
        <v>0</v>
      </c>
      <c r="D8" s="7">
        <f t="shared" si="4"/>
        <v>0.25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2025真题
大题</v>
      </c>
      <c r="C9" s="11" t="str" cm="1">
        <f ca="1" t="array" ref="C9">IF(COUNTA(INDIRECT(_xlfn.CONCAT($G2,"!",CHAR(64+COLUMN()),7)))&gt;0,INDIRECT(_xlfn.CONCAT($G2,"!",CHAR(64+COLUMN()),7)),"")</f>
        <v>2024真题
大题</v>
      </c>
      <c r="D9" s="11" t="str" cm="1">
        <f ca="1" t="array" ref="D9">IF(COUNTA(INDIRECT(_xlfn.CONCAT($G2,"!",CHAR(64+COLUMN()),7)))&gt;0,INDIRECT(_xlfn.CONCAT($G2,"!",CHAR(64+COLUMN()),7)),"")</f>
        <v>2022真题
大题</v>
      </c>
      <c r="E9" s="11" t="str" cm="1">
        <f ca="1" t="array" ref="E9">IF(COUNTA(INDIRECT(_xlfn.CONCAT($G2,"!",CHAR(64+COLUMN()),7)))&gt;0,INDIRECT(_xlfn.CONCAT($G2,"!",CHAR(64+COLUMN()),7)),"")</f>
        <v>2023真题
大题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18.58</v>
      </c>
      <c r="E10" s="12" t="s">
        <v>18</v>
      </c>
      <c r="F10" s="13">
        <f>B10+D10</f>
        <v>20.33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5" sqref="B5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386</v>
      </c>
      <c r="C1" s="5" t="s">
        <v>385</v>
      </c>
      <c r="D1" s="5" t="s">
        <v>338</v>
      </c>
      <c r="E1" s="5" t="s">
        <v>384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20251112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20251113</v>
      </c>
    </row>
    <row r="5" s="1" customFormat="1" ht="125" customHeight="1" spans="1:7">
      <c r="A5" s="4" t="s">
        <v>193</v>
      </c>
      <c r="B5" s="5"/>
      <c r="C5" s="5"/>
      <c r="D5" s="5"/>
      <c r="E5" s="5" t="s">
        <v>9</v>
      </c>
      <c r="F5" s="5"/>
      <c r="G5" s="9" t="s">
        <v>10</v>
      </c>
    </row>
    <row r="6" customFormat="1" ht="15.15" spans="1:7">
      <c r="A6" s="6">
        <f t="shared" si="0"/>
        <v>0.25</v>
      </c>
      <c r="B6" s="7">
        <f t="shared" ref="B6:F6" si="3">IF(COUNTA(B1)&gt;0,IF(B5="完成",0.25,0),0)</f>
        <v>0</v>
      </c>
      <c r="C6" s="7">
        <f t="shared" si="3"/>
        <v>0</v>
      </c>
      <c r="D6" s="7">
        <f t="shared" si="3"/>
        <v>0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386</v>
      </c>
      <c r="C7" s="5" t="s">
        <v>385</v>
      </c>
      <c r="D7" s="5" t="s">
        <v>338</v>
      </c>
      <c r="E7" s="5" t="s">
        <v>338</v>
      </c>
      <c r="F7" s="5" t="s">
        <v>338</v>
      </c>
      <c r="G7" s="10"/>
    </row>
    <row r="8" customFormat="1" ht="15.15" spans="1:7">
      <c r="A8" s="6">
        <f>SUM(B8:F8)</f>
        <v>0.25</v>
      </c>
      <c r="B8" s="7">
        <f t="shared" ref="B8:F8" si="4">IF(COUNTA(B7)&gt;0,IF(COUNTA(B1)&gt;0,IF(B5="完成",0.25,0),IF(B5="遗忘",0,0.25)),0)</f>
        <v>0</v>
      </c>
      <c r="C8" s="7">
        <f t="shared" si="4"/>
        <v>0</v>
      </c>
      <c r="D8" s="7">
        <f t="shared" si="4"/>
        <v>0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2025真题
大题</v>
      </c>
      <c r="C9" s="11" t="str" cm="1">
        <f ca="1" t="array" ref="C9">IF(COUNTA(INDIRECT(_xlfn.CONCAT($G2,"!",CHAR(64+COLUMN()),7)))&gt;0,INDIRECT(_xlfn.CONCAT($G2,"!",CHAR(64+COLUMN()),7)),"")</f>
        <v>2024真题
大题</v>
      </c>
      <c r="D9" s="11" t="str" cm="1">
        <f ca="1" t="array" ref="D9">IF(COUNTA(INDIRECT(_xlfn.CONCAT($G2,"!",CHAR(64+COLUMN()),7)))&gt;0,INDIRECT(_xlfn.CONCAT($G2,"!",CHAR(64+COLUMN()),7)),"")</f>
        <v>王道视频
*5</v>
      </c>
      <c r="E9" s="11" t="str" cm="1">
        <f ca="1" t="array" ref="E9">IF(COUNTA(INDIRECT(_xlfn.CONCAT($G2,"!",CHAR(64+COLUMN()),7)))&gt;0,INDIRECT(_xlfn.CONCAT($G2,"!",CHAR(64+COLUMN()),7)),"")</f>
        <v>2023真题
大题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1.75</v>
      </c>
      <c r="C10" s="12" t="s">
        <v>17</v>
      </c>
      <c r="D10" s="13">
        <v>15.4</v>
      </c>
      <c r="E10" s="12" t="s">
        <v>18</v>
      </c>
      <c r="F10" s="13">
        <f>B10+D10</f>
        <v>17.15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5" sqref="B5:C5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386</v>
      </c>
      <c r="C1" s="5" t="s">
        <v>385</v>
      </c>
      <c r="D1" s="5" t="s">
        <v>338</v>
      </c>
      <c r="E1" s="5" t="s">
        <v>338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20251113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20251114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338</v>
      </c>
      <c r="C7" s="5" t="s">
        <v>338</v>
      </c>
      <c r="D7" s="5" t="s">
        <v>338</v>
      </c>
      <c r="E7" s="5" t="s">
        <v>338</v>
      </c>
      <c r="F7" s="5" t="s">
        <v>338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2025真题
大题</v>
      </c>
      <c r="C9" s="11" t="str" cm="1">
        <f ca="1" t="array" ref="C9">IF(COUNTA(INDIRECT(_xlfn.CONCAT($G2,"!",CHAR(64+COLUMN()),7)))&gt;0,INDIRECT(_xlfn.CONCAT($G2,"!",CHAR(64+COLUMN()),7)),"")</f>
        <v>2024真题
大题</v>
      </c>
      <c r="D9" s="11" t="str" cm="1">
        <f ca="1" t="array" ref="D9">IF(COUNTA(INDIRECT(_xlfn.CONCAT($G2,"!",CHAR(64+COLUMN()),7)))&gt;0,INDIRECT(_xlfn.CONCAT($G2,"!",CHAR(64+COLUMN()),7)),"")</f>
        <v>王道视频
*5</v>
      </c>
      <c r="E9" s="11" t="str" cm="1">
        <f ca="1" t="array" ref="E9">IF(COUNTA(INDIRECT(_xlfn.CONCAT($G2,"!",CHAR(64+COLUMN()),7)))&gt;0,INDIRECT(_xlfn.CONCAT($G2,"!",CHAR(64+COLUMN()),7)),"")</f>
        <v>王道视频
*5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10.12</v>
      </c>
      <c r="E10" s="12" t="s">
        <v>18</v>
      </c>
      <c r="F10" s="13">
        <f>B10+D10</f>
        <v>12.37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B7" sqref="B7:D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338</v>
      </c>
      <c r="C1" s="5" t="s">
        <v>338</v>
      </c>
      <c r="D1" s="5" t="s">
        <v>338</v>
      </c>
      <c r="E1" s="5" t="s">
        <v>338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20251114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20251115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/>
      <c r="F5" s="5"/>
      <c r="G5" s="9" t="s">
        <v>10</v>
      </c>
    </row>
    <row r="6" customFormat="1" ht="15.15" spans="1:7">
      <c r="A6" s="6">
        <f t="shared" si="0"/>
        <v>0.75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387</v>
      </c>
      <c r="C7" s="5" t="s">
        <v>387</v>
      </c>
      <c r="D7" s="5" t="s">
        <v>387</v>
      </c>
      <c r="E7" s="5" t="s">
        <v>338</v>
      </c>
      <c r="F7" s="5" t="s">
        <v>338</v>
      </c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王道视频
*5</v>
      </c>
      <c r="C9" s="11" t="str" cm="1">
        <f ca="1" t="array" ref="C9">IF(COUNTA(INDIRECT(_xlfn.CONCAT($G2,"!",CHAR(64+COLUMN()),7)))&gt;0,INDIRECT(_xlfn.CONCAT($G2,"!",CHAR(64+COLUMN()),7)),"")</f>
        <v>王道视频
*5</v>
      </c>
      <c r="D9" s="11" t="str" cm="1">
        <f ca="1" t="array" ref="D9">IF(COUNTA(INDIRECT(_xlfn.CONCAT($G2,"!",CHAR(64+COLUMN()),7)))&gt;0,INDIRECT(_xlfn.CONCAT($G2,"!",CHAR(64+COLUMN()),7)),"")</f>
        <v>王道视频
*5</v>
      </c>
      <c r="E9" s="11" t="str" cm="1">
        <f ca="1" t="array" ref="E9">IF(COUNTA(INDIRECT(_xlfn.CONCAT($G2,"!",CHAR(64+COLUMN()),7)))&gt;0,INDIRECT(_xlfn.CONCAT($G2,"!",CHAR(64+COLUMN()),7)),"")</f>
        <v>王道视频
*5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2.75</v>
      </c>
      <c r="C10" s="12" t="s">
        <v>17</v>
      </c>
      <c r="D10" s="13">
        <v>4</v>
      </c>
      <c r="E10" s="12" t="s">
        <v>18</v>
      </c>
      <c r="F10" s="13">
        <f>B10+D10</f>
        <v>6.75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F14" sqref="F14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387</v>
      </c>
      <c r="C1" s="5" t="s">
        <v>387</v>
      </c>
      <c r="D1" s="5" t="s">
        <v>387</v>
      </c>
      <c r="E1" s="5" t="s">
        <v>338</v>
      </c>
      <c r="F1" s="5" t="s">
        <v>338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20251115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20251116</v>
      </c>
    </row>
    <row r="5" s="1" customFormat="1" ht="125" customHeight="1" spans="1:7">
      <c r="A5" s="4" t="s">
        <v>193</v>
      </c>
      <c r="B5" s="5"/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IF(COUNTA(B1)&gt;0,IF(B5="完成",0.25,0),0)</f>
        <v>0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388</v>
      </c>
      <c r="C7" s="5" t="s">
        <v>387</v>
      </c>
      <c r="D7" s="5" t="s">
        <v>387</v>
      </c>
      <c r="E7" s="5" t="s">
        <v>387</v>
      </c>
      <c r="F7" s="5" t="s">
        <v>387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王道视频
*10</v>
      </c>
      <c r="C9" s="11" t="str" cm="1">
        <f ca="1" t="array" ref="C9">IF(COUNTA(INDIRECT(_xlfn.CONCAT($G2,"!",CHAR(64+COLUMN()),7)))&gt;0,INDIRECT(_xlfn.CONCAT($G2,"!",CHAR(64+COLUMN()),7)),"")</f>
        <v>王道视频
*10</v>
      </c>
      <c r="D9" s="11" t="str" cm="1">
        <f ca="1" t="array" ref="D9">IF(COUNTA(INDIRECT(_xlfn.CONCAT($G2,"!",CHAR(64+COLUMN()),7)))&gt;0,INDIRECT(_xlfn.CONCAT($G2,"!",CHAR(64+COLUMN()),7)),"")</f>
        <v>王道视频
*10</v>
      </c>
      <c r="E9" s="11" t="str" cm="1">
        <f ca="1" t="array" ref="E9">IF(COUNTA(INDIRECT(_xlfn.CONCAT($G2,"!",CHAR(64+COLUMN()),7)))&gt;0,INDIRECT(_xlfn.CONCAT($G2,"!",CHAR(64+COLUMN()),7)),"")</f>
        <v>王道视频
*5</v>
      </c>
      <c r="F9" s="11" t="str" cm="1">
        <f ca="1" t="array" ref="F9">IF(COUNTA(INDIRECT(_xlfn.CONCAT($G2,"!",CHAR(64+COLUMN()),7)))&gt;0,INDIRECT(_xlfn.CONCAT($G2,"!",CHAR(64+COLUMN()),7)),"")</f>
        <v>王道视频
*5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18.77</v>
      </c>
      <c r="E10" s="12" t="s">
        <v>18</v>
      </c>
      <c r="F10" s="13">
        <f>B10+D10</f>
        <v>22.02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F9" sqref="F9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388</v>
      </c>
      <c r="C1" s="5" t="s">
        <v>387</v>
      </c>
      <c r="D1" s="5" t="s">
        <v>387</v>
      </c>
      <c r="E1" s="5" t="s">
        <v>387</v>
      </c>
      <c r="F1" s="5" t="s">
        <v>387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20251116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20251117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/>
      <c r="F5" s="5"/>
      <c r="G5" s="9" t="s">
        <v>10</v>
      </c>
    </row>
    <row r="6" customFormat="1" ht="15.15" spans="1:7">
      <c r="A6" s="6">
        <f t="shared" si="0"/>
        <v>0.5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389</v>
      </c>
      <c r="C7" s="5" t="s">
        <v>390</v>
      </c>
      <c r="D7" s="5" t="s">
        <v>391</v>
      </c>
      <c r="E7" s="5" t="s">
        <v>392</v>
      </c>
      <c r="F7" s="5" t="s">
        <v>393</v>
      </c>
      <c r="G7" s="10"/>
    </row>
    <row r="8" customFormat="1" ht="15.15" spans="1:7">
      <c r="A8" s="6">
        <f>SUM(B8:F8)</f>
        <v>0.5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王道视频
*9</v>
      </c>
      <c r="C9" s="11" t="str" cm="1">
        <f ca="1" t="array" ref="C9">IF(COUNTA(INDIRECT(_xlfn.CONCAT($G2,"!",CHAR(64+COLUMN()),7)))&gt;0,INDIRECT(_xlfn.CONCAT($G2,"!",CHAR(64+COLUMN()),7)),"")</f>
        <v>王道视频
*10</v>
      </c>
      <c r="D9" s="11" t="str" cm="1">
        <f ca="1" t="array" ref="D9">IF(COUNTA(INDIRECT(_xlfn.CONCAT($G2,"!",CHAR(64+COLUMN()),7)))&gt;0,INDIRECT(_xlfn.CONCAT($G2,"!",CHAR(64+COLUMN()),7)),"")</f>
        <v>王道视频
*10</v>
      </c>
      <c r="E9" s="11" t="str" cm="1">
        <f ca="1" t="array" ref="E9">IF(COUNTA(INDIRECT(_xlfn.CONCAT($G2,"!",CHAR(64+COLUMN()),7)))&gt;0,INDIRECT(_xlfn.CONCAT($G2,"!",CHAR(64+COLUMN()),7)),"")</f>
        <v>王道视频
*10</v>
      </c>
      <c r="F9" s="11" t="str" cm="1">
        <f ca="1" t="array" ref="F9">IF(COUNTA(INDIRECT(_xlfn.CONCAT($G2,"!",CHAR(64+COLUMN()),7)))&gt;0,INDIRECT(_xlfn.CONCAT($G2,"!",CHAR(64+COLUMN()),7)),"")</f>
        <v>王道视频
*10</v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21.17</v>
      </c>
      <c r="E10" s="12" t="s">
        <v>18</v>
      </c>
      <c r="F10" s="13">
        <f>B10+D10</f>
        <v>23.42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3" sqref="D3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389</v>
      </c>
      <c r="C1" s="5" t="s">
        <v>390</v>
      </c>
      <c r="D1" s="5" t="s">
        <v>391</v>
      </c>
      <c r="E1" s="5" t="s">
        <v>392</v>
      </c>
      <c r="F1" s="5" t="s">
        <v>393</v>
      </c>
      <c r="G1" s="4" t="s">
        <v>2</v>
      </c>
    </row>
    <row r="2" customFormat="1" ht="15.15" spans="1:7">
      <c r="A2" s="6">
        <f>SUM(B2:F2)</f>
        <v>1.25</v>
      </c>
      <c r="B2" s="7">
        <f t="shared" ref="B2:F2" si="0">IF(COUNTA(B1)&gt;0,0.25,0)</f>
        <v>0.25</v>
      </c>
      <c r="C2" s="7">
        <f t="shared" si="0"/>
        <v>0.25</v>
      </c>
      <c r="D2" s="7">
        <f t="shared" si="0"/>
        <v>0.25</v>
      </c>
      <c r="E2" s="7">
        <f t="shared" si="0"/>
        <v>0.25</v>
      </c>
      <c r="F2" s="7">
        <f t="shared" si="0"/>
        <v>0.25</v>
      </c>
      <c r="G2" s="8" t="str">
        <f ca="1">INDEX(_wpsfn.SHEETSNAME(),MAX(1,MATCH(G4,_wpsfn.SHEETSNAME(),0)-1))</f>
        <v>20251117</v>
      </c>
    </row>
    <row r="3" s="1" customFormat="1" ht="125" customHeight="1" spans="1:7">
      <c r="A3" s="4" t="s">
        <v>3</v>
      </c>
      <c r="C3" s="1" t="s">
        <v>394</v>
      </c>
      <c r="F3" s="5"/>
      <c r="G3" s="4" t="s">
        <v>57</v>
      </c>
    </row>
    <row r="4" customFormat="1" ht="15.15" spans="1:7">
      <c r="A4" s="6">
        <f>SUM(B4:F4)</f>
        <v>0.5</v>
      </c>
      <c r="B4" s="7">
        <f t="shared" ref="B4:F4" si="1">IF(COUNTA(B3)&gt;0,IF(COUNTA(B1),0.5,0.25),0)</f>
        <v>0</v>
      </c>
      <c r="C4" s="7">
        <f t="shared" si="1"/>
        <v>0.5</v>
      </c>
      <c r="D4" s="7">
        <f t="shared" si="1"/>
        <v>0</v>
      </c>
      <c r="E4" s="7">
        <f t="shared" si="1"/>
        <v>0</v>
      </c>
      <c r="F4" s="7">
        <f t="shared" si="1"/>
        <v>0</v>
      </c>
      <c r="G4" s="8" t="str" cm="1">
        <f ca="1" t="array" ref="G4">_wpsfn.SHEETSNAME(A1)</f>
        <v>20251118</v>
      </c>
    </row>
    <row r="5" s="1" customFormat="1" ht="125" customHeight="1" spans="1:7">
      <c r="A5" s="4" t="s">
        <v>193</v>
      </c>
      <c r="B5" s="5" t="s">
        <v>9</v>
      </c>
      <c r="C5" s="5"/>
      <c r="D5" s="5"/>
      <c r="E5" s="5"/>
      <c r="F5" s="5"/>
      <c r="G5" s="9" t="s">
        <v>10</v>
      </c>
    </row>
    <row r="6" customFormat="1" ht="15.15" spans="1:7">
      <c r="A6" s="6">
        <f>SUM(B6:F6)</f>
        <v>0.25</v>
      </c>
      <c r="B6" s="7">
        <f t="shared" ref="B6:F6" si="2">IF(COUNTA(B1)&gt;0,IF(B5="完成",0.25,0),0)</f>
        <v>0.25</v>
      </c>
      <c r="C6" s="7">
        <f t="shared" si="2"/>
        <v>0</v>
      </c>
      <c r="D6" s="7">
        <f t="shared" si="2"/>
        <v>0</v>
      </c>
      <c r="E6" s="7">
        <f t="shared" si="2"/>
        <v>0</v>
      </c>
      <c r="F6" s="7">
        <f t="shared" si="2"/>
        <v>0</v>
      </c>
      <c r="G6" s="10"/>
    </row>
    <row r="7" s="1" customFormat="1" ht="125" customHeight="1" spans="1:7">
      <c r="A7" s="4" t="s">
        <v>195</v>
      </c>
      <c r="B7" s="5" t="s">
        <v>395</v>
      </c>
      <c r="C7" s="5" t="s">
        <v>396</v>
      </c>
      <c r="D7" s="5" t="s">
        <v>395</v>
      </c>
      <c r="E7" s="5" t="s">
        <v>396</v>
      </c>
      <c r="F7" s="5" t="s">
        <v>395</v>
      </c>
      <c r="G7" s="10"/>
    </row>
    <row r="8" customFormat="1" ht="15.15" spans="1:7">
      <c r="A8" s="6">
        <f>SUM(B8:F8)</f>
        <v>0.25</v>
      </c>
      <c r="B8" s="7">
        <f t="shared" ref="B8:F8" si="3">IF(COUNTA(B7)&gt;0,IF(COUNTA(B1)&gt;0,IF(B5="完成",0.25,0),IF(B5="遗忘",0,0.25)),0)</f>
        <v>0.25</v>
      </c>
      <c r="C8" s="7">
        <f t="shared" si="3"/>
        <v>0</v>
      </c>
      <c r="D8" s="7">
        <f t="shared" si="3"/>
        <v>0</v>
      </c>
      <c r="E8" s="7">
        <f t="shared" si="3"/>
        <v>0</v>
      </c>
      <c r="F8" s="7">
        <f t="shared" si="3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王道视频
*4</v>
      </c>
      <c r="C9" s="11" t="str" cm="1">
        <f ca="1" t="array" ref="C9">IF(COUNTA(INDIRECT(_xlfn.CONCAT($G2,"!",CHAR(64+COLUMN()),7)))&gt;0,INDIRECT(_xlfn.CONCAT($G2,"!",CHAR(64+COLUMN()),7)),"")</f>
        <v>政治
历年真题2025</v>
      </c>
      <c r="D9" s="11" t="str" cm="1">
        <f ca="1" t="array" ref="D9">IF(COUNTA(INDIRECT(_xlfn.CONCAT($G2,"!",CHAR(64+COLUMN()),7)))&gt;0,INDIRECT(_xlfn.CONCAT($G2,"!",CHAR(64+COLUMN()),7)),"")</f>
        <v>政治
历年真题2024</v>
      </c>
      <c r="E9" s="11" t="str" cm="1">
        <f ca="1" t="array" ref="E9">IF(COUNTA(INDIRECT(_xlfn.CONCAT($G2,"!",CHAR(64+COLUMN()),7)))&gt;0,INDIRECT(_xlfn.CONCAT($G2,"!",CHAR(64+COLUMN()),7)),"")</f>
        <v>政治
历年真题2023</v>
      </c>
      <c r="F9" s="11" t="str" cm="1">
        <f ca="1" t="array" ref="F9">IF(COUNTA(INDIRECT(_xlfn.CONCAT($G2,"!",CHAR(64+COLUMN()),7)))&gt;0,INDIRECT(_xlfn.CONCAT($G2,"!",CHAR(64+COLUMN()),7)),"")</f>
        <v>政治
历年真题2022</v>
      </c>
      <c r="G9" s="10"/>
    </row>
    <row r="10" ht="15.15" spans="1:7">
      <c r="A10" s="12" t="s">
        <v>16</v>
      </c>
      <c r="B10" s="13">
        <f>SUM(A8,A6,A4,A2)</f>
        <v>2.25</v>
      </c>
      <c r="C10" s="12" t="s">
        <v>17</v>
      </c>
      <c r="D10" s="13">
        <v>53.97</v>
      </c>
      <c r="E10" s="12" t="s">
        <v>18</v>
      </c>
      <c r="F10" s="13">
        <f>B10+D10</f>
        <v>56.22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9" sqref="E9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395</v>
      </c>
      <c r="C1" s="5" t="s">
        <v>396</v>
      </c>
      <c r="D1" s="5" t="s">
        <v>395</v>
      </c>
      <c r="E1" s="5" t="s">
        <v>396</v>
      </c>
      <c r="F1" s="5" t="s">
        <v>395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20251118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20251119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/>
      <c r="F5" s="5"/>
      <c r="G5" s="9" t="s">
        <v>10</v>
      </c>
    </row>
    <row r="6" customFormat="1" ht="15.15" spans="1:7">
      <c r="A6" s="6">
        <f t="shared" si="0"/>
        <v>0.75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395</v>
      </c>
      <c r="C7" s="5" t="s">
        <v>396</v>
      </c>
      <c r="D7" s="5" t="s">
        <v>395</v>
      </c>
      <c r="E7" s="5" t="s">
        <v>396</v>
      </c>
      <c r="F7" s="5" t="s">
        <v>395</v>
      </c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2026冲刺
徐涛</v>
      </c>
      <c r="C9" s="11" t="str" cm="1">
        <f ca="1" t="array" ref="C9">IF(COUNTA(INDIRECT(_xlfn.CONCAT($G2,"!",CHAR(64+COLUMN()),7)))&gt;0,INDIRECT(_xlfn.CONCAT($G2,"!",CHAR(64+COLUMN()),7)),"")</f>
        <v>2026冲刺
肖八</v>
      </c>
      <c r="D9" s="11" t="str" cm="1">
        <f ca="1" t="array" ref="D9">IF(COUNTA(INDIRECT(_xlfn.CONCAT($G2,"!",CHAR(64+COLUMN()),7)))&gt;0,INDIRECT(_xlfn.CONCAT($G2,"!",CHAR(64+COLUMN()),7)),"")</f>
        <v>2026冲刺
徐涛</v>
      </c>
      <c r="E9" s="11" t="str" cm="1">
        <f ca="1" t="array" ref="E9">IF(COUNTA(INDIRECT(_xlfn.CONCAT($G2,"!",CHAR(64+COLUMN()),7)))&gt;0,INDIRECT(_xlfn.CONCAT($G2,"!",CHAR(64+COLUMN()),7)),"")</f>
        <v>2026冲刺
肖八</v>
      </c>
      <c r="F9" s="11" t="str" cm="1">
        <f ca="1" t="array" ref="F9">IF(COUNTA(INDIRECT(_xlfn.CONCAT($G2,"!",CHAR(64+COLUMN()),7)))&gt;0,INDIRECT(_xlfn.CONCAT($G2,"!",CHAR(64+COLUMN()),7)),"")</f>
        <v>2026冲刺
徐涛</v>
      </c>
      <c r="G9" s="10"/>
    </row>
    <row r="10" ht="15.15" spans="1:7">
      <c r="A10" s="12" t="s">
        <v>16</v>
      </c>
      <c r="B10" s="13">
        <f>SUM(A8,A6,A4,A2)</f>
        <v>2.75</v>
      </c>
      <c r="C10" s="12" t="s">
        <v>17</v>
      </c>
      <c r="D10" s="13">
        <v>69.65</v>
      </c>
      <c r="E10" s="12" t="s">
        <v>18</v>
      </c>
      <c r="F10" s="13">
        <f>B10+D10</f>
        <v>72.4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I3" sqref="I3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395</v>
      </c>
      <c r="C1" s="5" t="s">
        <v>396</v>
      </c>
      <c r="D1" s="5" t="s">
        <v>395</v>
      </c>
      <c r="E1" s="5" t="s">
        <v>396</v>
      </c>
      <c r="F1" s="5" t="s">
        <v>395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20251119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20251120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397</v>
      </c>
      <c r="C7" s="5" t="s">
        <v>398</v>
      </c>
      <c r="D7" s="5" t="s">
        <v>399</v>
      </c>
      <c r="E7" s="5" t="s">
        <v>396</v>
      </c>
      <c r="F7" s="5" t="s">
        <v>400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2026冲刺
徐涛</v>
      </c>
      <c r="C9" s="11" t="str" cm="1">
        <f ca="1" t="array" ref="C9">IF(COUNTA(INDIRECT(_xlfn.CONCAT($G2,"!",CHAR(64+COLUMN()),7)))&gt;0,INDIRECT(_xlfn.CONCAT($G2,"!",CHAR(64+COLUMN()),7)),"")</f>
        <v>2026冲刺
肖八</v>
      </c>
      <c r="D9" s="11" t="str" cm="1">
        <f ca="1" t="array" ref="D9">IF(COUNTA(INDIRECT(_xlfn.CONCAT($G2,"!",CHAR(64+COLUMN()),7)))&gt;0,INDIRECT(_xlfn.CONCAT($G2,"!",CHAR(64+COLUMN()),7)),"")</f>
        <v>2026冲刺
徐涛</v>
      </c>
      <c r="E9" s="11" t="str" cm="1">
        <f ca="1" t="array" ref="E9">IF(COUNTA(INDIRECT(_xlfn.CONCAT($G2,"!",CHAR(64+COLUMN()),7)))&gt;0,INDIRECT(_xlfn.CONCAT($G2,"!",CHAR(64+COLUMN()),7)),"")</f>
        <v>2026冲刺
肖八</v>
      </c>
      <c r="F9" s="11" t="str" cm="1">
        <f ca="1" t="array" ref="F9">IF(COUNTA(INDIRECT(_xlfn.CONCAT($G2,"!",CHAR(64+COLUMN()),7)))&gt;0,INDIRECT(_xlfn.CONCAT($G2,"!",CHAR(64+COLUMN()),7)),"")</f>
        <v>2026冲刺
徐涛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99.35</v>
      </c>
      <c r="E10" s="12" t="s">
        <v>18</v>
      </c>
      <c r="F10" s="13">
        <f>B10+D10</f>
        <v>103.1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9" sqref="E9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397</v>
      </c>
      <c r="C1" s="5" t="s">
        <v>398</v>
      </c>
      <c r="D1" s="5" t="s">
        <v>399</v>
      </c>
      <c r="E1" s="5" t="s">
        <v>396</v>
      </c>
      <c r="F1" s="5" t="s">
        <v>400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20251120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20251121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/>
      <c r="E5" s="5" t="s">
        <v>9</v>
      </c>
      <c r="F5" s="5"/>
      <c r="G5" s="9" t="s">
        <v>10</v>
      </c>
    </row>
    <row r="6" customFormat="1" ht="15.15" spans="1:7">
      <c r="A6" s="6">
        <f t="shared" si="0"/>
        <v>0.75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401</v>
      </c>
      <c r="C7" s="5" t="s">
        <v>402</v>
      </c>
      <c r="D7" s="5" t="s">
        <v>403</v>
      </c>
      <c r="E7" s="5" t="s">
        <v>396</v>
      </c>
      <c r="F7" s="5" t="s">
        <v>400</v>
      </c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数学
微分方程卷</v>
      </c>
      <c r="C9" s="11" t="str" cm="1">
        <f ca="1" t="array" ref="C9">IF(COUNTA(INDIRECT(_xlfn.CONCAT($G2,"!",CHAR(64+COLUMN()),7)))&gt;0,INDIRECT(_xlfn.CONCAT($G2,"!",CHAR(64+COLUMN()),7)),"")</f>
        <v>数学
二重积分卷</v>
      </c>
      <c r="D9" s="11" t="str" cm="1">
        <f ca="1" t="array" ref="D9">IF(COUNTA(INDIRECT(_xlfn.CONCAT($G2,"!",CHAR(64+COLUMN()),7)))&gt;0,INDIRECT(_xlfn.CONCAT($G2,"!",CHAR(64+COLUMN()),7)),"")</f>
        <v>计组计算
10题</v>
      </c>
      <c r="E9" s="11" t="str" cm="1">
        <f ca="1" t="array" ref="E9">IF(COUNTA(INDIRECT(_xlfn.CONCAT($G2,"!",CHAR(64+COLUMN()),7)))&gt;0,INDIRECT(_xlfn.CONCAT($G2,"!",CHAR(64+COLUMN()),7)),"")</f>
        <v>2026冲刺
肖八</v>
      </c>
      <c r="F9" s="11" t="str" cm="1">
        <f ca="1" t="array" ref="F9">IF(COUNTA(INDIRECT(_xlfn.CONCAT($G2,"!",CHAR(64+COLUMN()),7)))&gt;0,INDIRECT(_xlfn.CONCAT($G2,"!",CHAR(64+COLUMN()),7)),"")</f>
        <v>系统计算
10题</v>
      </c>
      <c r="G9" s="10"/>
    </row>
    <row r="10" ht="15.15" spans="1:7">
      <c r="A10" s="12" t="s">
        <v>16</v>
      </c>
      <c r="B10" s="13">
        <f>SUM(A8,A6,A4,A2)</f>
        <v>2.75</v>
      </c>
      <c r="C10" s="12" t="s">
        <v>17</v>
      </c>
      <c r="D10" s="13">
        <v>25.83</v>
      </c>
      <c r="E10" s="12" t="s">
        <v>18</v>
      </c>
      <c r="F10" s="13">
        <f>B10+D10</f>
        <v>28.58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6" workbookViewId="0">
      <selection activeCell="F9" sqref="F9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401</v>
      </c>
      <c r="C1" s="5" t="s">
        <v>402</v>
      </c>
      <c r="D1" s="5" t="s">
        <v>403</v>
      </c>
      <c r="E1" s="5" t="s">
        <v>396</v>
      </c>
      <c r="F1" s="5" t="s">
        <v>400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20251121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20251122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/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404</v>
      </c>
      <c r="C7" s="5" t="s">
        <v>405</v>
      </c>
      <c r="D7" s="5" t="s">
        <v>406</v>
      </c>
      <c r="E7" s="5" t="s">
        <v>407</v>
      </c>
      <c r="F7" s="5" t="s">
        <v>408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数学
线性方程卷</v>
      </c>
      <c r="C9" s="11" t="str" cm="1">
        <f ca="1" t="array" ref="C9">IF(COUNTA(INDIRECT(_xlfn.CONCAT($G2,"!",CHAR(64+COLUMN()),7)))&gt;0,INDIRECT(_xlfn.CONCAT($G2,"!",CHAR(64+COLUMN()),7)),"")</f>
        <v>数学
矩阵卷</v>
      </c>
      <c r="D9" s="11" t="str" cm="1">
        <f ca="1" t="array" ref="D9">IF(COUNTA(INDIRECT(_xlfn.CONCAT($G2,"!",CHAR(64+COLUMN()),7)))&gt;0,INDIRECT(_xlfn.CONCAT($G2,"!",CHAR(64+COLUMN()),7)),"")</f>
        <v>计组计算
5题</v>
      </c>
      <c r="E9" s="11" t="str" cm="1">
        <f ca="1" t="array" ref="E9">IF(COUNTA(INDIRECT(_xlfn.CONCAT($G2,"!",CHAR(64+COLUMN()),7)))&gt;0,INDIRECT(_xlfn.CONCAT($G2,"!",CHAR(64+COLUMN()),7)),"")</f>
        <v>2026冲刺
肖八</v>
      </c>
      <c r="F9" s="11" t="str" cm="1">
        <f ca="1" t="array" ref="F9">IF(COUNTA(INDIRECT(_xlfn.CONCAT($G2,"!",CHAR(64+COLUMN()),7)))&gt;0,INDIRECT(_xlfn.CONCAT($G2,"!",CHAR(64+COLUMN()),7)),"")</f>
        <v>系统计算
10题</v>
      </c>
      <c r="G9" s="10"/>
    </row>
    <row r="10" ht="15.15" spans="1:7">
      <c r="A10" s="12" t="s">
        <v>16</v>
      </c>
      <c r="B10" s="13">
        <f>SUM(A8,A6,A4,A2)</f>
        <v>3.25</v>
      </c>
      <c r="C10" s="12" t="s">
        <v>17</v>
      </c>
      <c r="D10" s="13">
        <v>34.5</v>
      </c>
      <c r="E10" s="12" t="s">
        <v>18</v>
      </c>
      <c r="F10" s="13">
        <f>B10+D10</f>
        <v>37.75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E7" sqref="E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404</v>
      </c>
      <c r="C1" s="5" t="s">
        <v>405</v>
      </c>
      <c r="D1" s="5" t="s">
        <v>406</v>
      </c>
      <c r="E1" s="5" t="s">
        <v>407</v>
      </c>
      <c r="F1" s="5" t="s">
        <v>408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20251122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20251123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409</v>
      </c>
      <c r="C7" s="5" t="s">
        <v>410</v>
      </c>
      <c r="D7" s="5" t="s">
        <v>406</v>
      </c>
      <c r="E7" s="5" t="s">
        <v>407</v>
      </c>
      <c r="F7" s="5" t="s">
        <v>403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数学
向量卷</v>
      </c>
      <c r="C9" s="11" t="str" cm="1">
        <f ca="1" t="array" ref="C9">IF(COUNTA(INDIRECT(_xlfn.CONCAT($G2,"!",CHAR(64+COLUMN()),7)))&gt;0,INDIRECT(_xlfn.CONCAT($G2,"!",CHAR(64+COLUMN()),7)),"")</f>
        <v>数学
特征值卷</v>
      </c>
      <c r="D9" s="11" t="str" cm="1">
        <f ca="1" t="array" ref="D9">IF(COUNTA(INDIRECT(_xlfn.CONCAT($G2,"!",CHAR(64+COLUMN()),7)))&gt;0,INDIRECT(_xlfn.CONCAT($G2,"!",CHAR(64+COLUMN()),7)),"")</f>
        <v>网络计算
5题</v>
      </c>
      <c r="E9" s="11" t="str" cm="1">
        <f ca="1" t="array" ref="E9">IF(COUNTA(INDIRECT(_xlfn.CONCAT($G2,"!",CHAR(64+COLUMN()),7)))&gt;0,INDIRECT(_xlfn.CONCAT($G2,"!",CHAR(64+COLUMN()),7)),"")</f>
        <v>肖秀荣
时政</v>
      </c>
      <c r="F9" s="11" t="str" cm="1">
        <f ca="1" t="array" ref="F9">IF(COUNTA(INDIRECT(_xlfn.CONCAT($G2,"!",CHAR(64+COLUMN()),7)))&gt;0,INDIRECT(_xlfn.CONCAT($G2,"!",CHAR(64+COLUMN()),7)),"")</f>
        <v>系统计算
5题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35.61</v>
      </c>
      <c r="E10" s="12" t="s">
        <v>18</v>
      </c>
      <c r="F10" s="13">
        <f>B10+D10</f>
        <v>39.36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11" sqref="D1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409</v>
      </c>
      <c r="C1" s="5" t="s">
        <v>410</v>
      </c>
      <c r="D1" s="5" t="s">
        <v>406</v>
      </c>
      <c r="E1" s="5" t="s">
        <v>407</v>
      </c>
      <c r="F1" s="5" t="s">
        <v>403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20251123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20251124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411</v>
      </c>
      <c r="C7" s="5" t="s">
        <v>412</v>
      </c>
      <c r="D7" s="5" t="s">
        <v>403</v>
      </c>
      <c r="E7" s="5" t="s">
        <v>407</v>
      </c>
      <c r="F7" s="5" t="s">
        <v>408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数学
二次型</v>
      </c>
      <c r="C9" s="11" t="str" cm="1">
        <f ca="1" t="array" ref="C9">IF(COUNTA(INDIRECT(_xlfn.CONCAT($G2,"!",CHAR(64+COLUMN()),7)))&gt;0,INDIRECT(_xlfn.CONCAT($G2,"!",CHAR(64+COLUMN()),7)),"")</f>
        <v>数学
导数和微分</v>
      </c>
      <c r="D9" s="11" t="str" cm="1">
        <f ca="1" t="array" ref="D9">IF(COUNTA(INDIRECT(_xlfn.CONCAT($G2,"!",CHAR(64+COLUMN()),7)))&gt;0,INDIRECT(_xlfn.CONCAT($G2,"!",CHAR(64+COLUMN()),7)),"")</f>
        <v>网络计算
5题</v>
      </c>
      <c r="E9" s="11" t="str" cm="1">
        <f ca="1" t="array" ref="E9">IF(COUNTA(INDIRECT(_xlfn.CONCAT($G2,"!",CHAR(64+COLUMN()),7)))&gt;0,INDIRECT(_xlfn.CONCAT($G2,"!",CHAR(64+COLUMN()),7)),"")</f>
        <v>肖秀荣
时政</v>
      </c>
      <c r="F9" s="11" t="str" cm="1">
        <f ca="1" t="array" ref="F9">IF(COUNTA(INDIRECT(_xlfn.CONCAT($G2,"!",CHAR(64+COLUMN()),7)))&gt;0,INDIRECT(_xlfn.CONCAT($G2,"!",CHAR(64+COLUMN()),7)),"")</f>
        <v>计组计算
5题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23.92</v>
      </c>
      <c r="E10" s="12" t="s">
        <v>18</v>
      </c>
      <c r="F10" s="13">
        <f>B10+D10</f>
        <v>27.67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3" workbookViewId="0">
      <selection activeCell="I9" sqref="I9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411</v>
      </c>
      <c r="C1" s="5" t="s">
        <v>413</v>
      </c>
      <c r="D1" s="5" t="s">
        <v>403</v>
      </c>
      <c r="E1" s="5" t="s">
        <v>407</v>
      </c>
      <c r="F1" s="5" t="s">
        <v>408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20251124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20251125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414</v>
      </c>
      <c r="C7" s="5" t="s">
        <v>413</v>
      </c>
      <c r="D7" s="5" t="s">
        <v>413</v>
      </c>
      <c r="E7" s="5" t="s">
        <v>407</v>
      </c>
      <c r="F7" s="5" t="s">
        <v>407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数学
中值定理</v>
      </c>
      <c r="C9" s="11" t="str" cm="1">
        <f ca="1" t="array" ref="C9">IF(COUNTA(INDIRECT(_xlfn.CONCAT($G2,"!",CHAR(64+COLUMN()),7)))&gt;0,INDIRECT(_xlfn.CONCAT($G2,"!",CHAR(64+COLUMN()),7)),"")</f>
        <v>笔记复习
至少10个</v>
      </c>
      <c r="D9" s="11" t="str" cm="1">
        <f ca="1" t="array" ref="D9">IF(COUNTA(INDIRECT(_xlfn.CONCAT($G2,"!",CHAR(64+COLUMN()),7)))&gt;0,INDIRECT(_xlfn.CONCAT($G2,"!",CHAR(64+COLUMN()),7)),"")</f>
        <v>计组计算
5题</v>
      </c>
      <c r="E9" s="11" t="str" cm="1">
        <f ca="1" t="array" ref="E9">IF(COUNTA(INDIRECT(_xlfn.CONCAT($G2,"!",CHAR(64+COLUMN()),7)))&gt;0,INDIRECT(_xlfn.CONCAT($G2,"!",CHAR(64+COLUMN()),7)),"")</f>
        <v>肖秀荣
时政</v>
      </c>
      <c r="F9" s="11" t="str" cm="1">
        <f ca="1" t="array" ref="F9">IF(COUNTA(INDIRECT(_xlfn.CONCAT($G2,"!",CHAR(64+COLUMN()),7)))&gt;0,INDIRECT(_xlfn.CONCAT($G2,"!",CHAR(64+COLUMN()),7)),"")</f>
        <v>系统计算
5题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8.67</v>
      </c>
      <c r="E10" s="12" t="s">
        <v>18</v>
      </c>
      <c r="F10" s="13">
        <f>B10+D10</f>
        <v>12.42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7" sqref="D7:F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414</v>
      </c>
      <c r="C1" s="5" t="s">
        <v>413</v>
      </c>
      <c r="D1" s="5" t="s">
        <v>413</v>
      </c>
      <c r="E1" s="5" t="s">
        <v>407</v>
      </c>
      <c r="F1" s="5" t="s">
        <v>407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20251125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20251126</v>
      </c>
    </row>
    <row r="5" s="1" customFormat="1" ht="125" customHeight="1" spans="1:7">
      <c r="A5" s="4" t="s">
        <v>193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415</v>
      </c>
      <c r="C7" s="5" t="s">
        <v>415</v>
      </c>
      <c r="D7" s="5" t="s">
        <v>416</v>
      </c>
      <c r="E7" s="5" t="s">
        <v>417</v>
      </c>
      <c r="F7" s="5" t="s">
        <v>417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KMP算法</v>
      </c>
      <c r="C9" s="11" t="str" cm="1">
        <f ca="1" t="array" ref="C9">IF(COUNTA(INDIRECT(_xlfn.CONCAT($G2,"!",CHAR(64+COLUMN()),7)))&gt;0,INDIRECT(_xlfn.CONCAT($G2,"!",CHAR(64+COLUMN()),7)),"")</f>
        <v>笔记复习
至少10分</v>
      </c>
      <c r="D9" s="11" t="str" cm="1">
        <f ca="1" t="array" ref="D9">IF(COUNTA(INDIRECT(_xlfn.CONCAT($G2,"!",CHAR(64+COLUMN()),7)))&gt;0,INDIRECT(_xlfn.CONCAT($G2,"!",CHAR(64+COLUMN()),7)),"")</f>
        <v>笔记复习
至少10分</v>
      </c>
      <c r="E9" s="11" t="str" cm="1">
        <f ca="1" t="array" ref="E9">IF(COUNTA(INDIRECT(_xlfn.CONCAT($G2,"!",CHAR(64+COLUMN()),7)))&gt;0,INDIRECT(_xlfn.CONCAT($G2,"!",CHAR(64+COLUMN()),7)),"")</f>
        <v>肖秀荣
时政</v>
      </c>
      <c r="F9" s="11" t="str" cm="1">
        <f ca="1" t="array" ref="F9">IF(COUNTA(INDIRECT(_xlfn.CONCAT($G2,"!",CHAR(64+COLUMN()),7)))&gt;0,INDIRECT(_xlfn.CONCAT($G2,"!",CHAR(64+COLUMN()),7)),"")</f>
        <v>肖秀荣
时政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22.43</v>
      </c>
      <c r="E10" s="12" t="s">
        <v>18</v>
      </c>
      <c r="F10" s="13">
        <f>B10+D10</f>
        <v>26.18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5" sqref="B5:E5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415</v>
      </c>
      <c r="C1" s="5" t="s">
        <v>415</v>
      </c>
      <c r="D1" s="5" t="s">
        <v>416</v>
      </c>
      <c r="E1" s="5" t="s">
        <v>417</v>
      </c>
      <c r="F1" s="5" t="s">
        <v>417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20251126</v>
      </c>
    </row>
    <row r="3" s="1" customFormat="1" ht="125" customHeight="1" spans="1:7">
      <c r="A3" s="4" t="s">
        <v>3</v>
      </c>
      <c r="B3" s="1"/>
      <c r="C3" s="1"/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20251127</v>
      </c>
    </row>
    <row r="5" s="1" customFormat="1" ht="125" customHeight="1" spans="1:7">
      <c r="A5" s="4" t="s">
        <v>193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418</v>
      </c>
      <c r="C7" s="5" t="s">
        <v>419</v>
      </c>
      <c r="D7" s="5" t="s">
        <v>420</v>
      </c>
      <c r="E7" s="5" t="s">
        <v>421</v>
      </c>
      <c r="F7" s="5" t="s">
        <v>422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10集</v>
      </c>
      <c r="C9" s="11" t="str" cm="1">
        <f ca="1" t="array" ref="C9">IF(COUNTA(INDIRECT(_xlfn.CONCAT($G2,"!",CHAR(64+COLUMN()),7)))&gt;0,INDIRECT(_xlfn.CONCAT($G2,"!",CHAR(64+COLUMN()),7)),"")</f>
        <v>660视频
10集</v>
      </c>
      <c r="D9" s="11" t="str" cm="1">
        <f ca="1" t="array" ref="D9">IF(COUNTA(INDIRECT(_xlfn.CONCAT($G2,"!",CHAR(64+COLUMN()),7)))&gt;0,INDIRECT(_xlfn.CONCAT($G2,"!",CHAR(64+COLUMN()),7)),"")</f>
        <v>肖秀荣
时政
国外</v>
      </c>
      <c r="E9" s="11" t="str" cm="1">
        <f ca="1" t="array" ref="E9">IF(COUNTA(INDIRECT(_xlfn.CONCAT($G2,"!",CHAR(64+COLUMN()),7)))&gt;0,INDIRECT(_xlfn.CONCAT($G2,"!",CHAR(64+COLUMN()),7)),"")</f>
        <v>肖秀荣
时政
国内</v>
      </c>
      <c r="F9" s="11" t="str" cm="1">
        <f ca="1" t="array" ref="F9">IF(COUNTA(INDIRECT(_xlfn.CONCAT($G2,"!",CHAR(64+COLUMN()),7)))&gt;0,INDIRECT(_xlfn.CONCAT($G2,"!",CHAR(64+COLUMN()),7)),"")</f>
        <v>肖秀荣
时政
国内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26.18</v>
      </c>
      <c r="E10" s="12" t="s">
        <v>18</v>
      </c>
      <c r="F10" s="13">
        <f>B10+D10</f>
        <v>29.93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1" sqref="D1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418</v>
      </c>
      <c r="C1" s="5" t="s">
        <v>419</v>
      </c>
      <c r="D1" s="5" t="s">
        <v>420</v>
      </c>
      <c r="E1" s="5" t="s">
        <v>421</v>
      </c>
      <c r="F1" s="5" t="s">
        <v>422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20251127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20251128</v>
      </c>
    </row>
    <row r="5" s="1" customFormat="1" ht="125" customHeight="1" spans="1:7">
      <c r="A5" s="4" t="s">
        <v>193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418</v>
      </c>
      <c r="C7" s="5" t="s">
        <v>423</v>
      </c>
      <c r="D7" s="5" t="s">
        <v>424</v>
      </c>
      <c r="E7" s="5" t="s">
        <v>425</v>
      </c>
      <c r="F7" s="5" t="s">
        <v>426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20集</v>
      </c>
      <c r="C9" s="11" t="str" cm="1">
        <f ca="1" t="array" ref="C9">IF(COUNTA(INDIRECT(_xlfn.CONCAT($G2,"!",CHAR(64+COLUMN()),7)))&gt;0,INDIRECT(_xlfn.CONCAT($G2,"!",CHAR(64+COLUMN()),7)),"")</f>
        <v>Prim
Kruskal
Floyd</v>
      </c>
      <c r="D9" s="11" t="str" cm="1">
        <f ca="1" t="array" ref="D9">IF(COUNTA(INDIRECT(_xlfn.CONCAT($G2,"!",CHAR(64+COLUMN()),7)))&gt;0,INDIRECT(_xlfn.CONCAT($G2,"!",CHAR(64+COLUMN()),7)),"")</f>
        <v>进程前趋图
死锁检测</v>
      </c>
      <c r="E9" s="11" t="str" cm="1">
        <f ca="1" t="array" ref="E9">IF(COUNTA(INDIRECT(_xlfn.CONCAT($G2,"!",CHAR(64+COLUMN()),7)))&gt;0,INDIRECT(_xlfn.CONCAT($G2,"!",CHAR(64+COLUMN()),7)),"")</f>
        <v>并查集
线索二叉树</v>
      </c>
      <c r="F9" s="11" t="str" cm="1">
        <f ca="1" t="array" ref="F9">IF(COUNTA(INDIRECT(_xlfn.CONCAT($G2,"!",CHAR(64+COLUMN()),7)))&gt;0,INDIRECT(_xlfn.CONCAT($G2,"!",CHAR(64+COLUMN()),7)),"")</f>
        <v>肖秀荣
时政
国外
*2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48.95</v>
      </c>
      <c r="E10" s="12" t="s">
        <v>18</v>
      </c>
      <c r="F10" s="13">
        <f>B10+D10</f>
        <v>52.7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5" sqref="E5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418</v>
      </c>
      <c r="C1" s="5" t="s">
        <v>423</v>
      </c>
      <c r="D1" s="5" t="s">
        <v>424</v>
      </c>
      <c r="E1" s="5" t="s">
        <v>425</v>
      </c>
      <c r="F1" s="5" t="s">
        <v>426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20251128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20251129</v>
      </c>
    </row>
    <row r="5" s="1" customFormat="1" ht="125" customHeight="1" spans="1:7">
      <c r="A5" s="4" t="s">
        <v>193</v>
      </c>
      <c r="B5" s="1" t="s">
        <v>9</v>
      </c>
      <c r="C5" s="1" t="s">
        <v>9</v>
      </c>
      <c r="D5" s="1" t="s">
        <v>9</v>
      </c>
      <c r="E5" s="1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418</v>
      </c>
      <c r="C7" s="5" t="s">
        <v>418</v>
      </c>
      <c r="D7" s="5" t="s">
        <v>427</v>
      </c>
      <c r="E7" s="5" t="s">
        <v>428</v>
      </c>
      <c r="F7" s="5" t="s">
        <v>429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20集</v>
      </c>
      <c r="C9" s="11" t="str" cm="1">
        <f ca="1" t="array" ref="C9">IF(COUNTA(INDIRECT(_xlfn.CONCAT($G2,"!",CHAR(64+COLUMN()),7)))&gt;0,INDIRECT(_xlfn.CONCAT($G2,"!",CHAR(64+COLUMN()),7)),"")</f>
        <v>数据结构
计算题
生成器
1-4</v>
      </c>
      <c r="D9" s="11" t="str" cm="1">
        <f ca="1" t="array" ref="D9">IF(COUNTA(INDIRECT(_xlfn.CONCAT($G2,"!",CHAR(64+COLUMN()),7)))&gt;0,INDIRECT(_xlfn.CONCAT($G2,"!",CHAR(64+COLUMN()),7)),"")</f>
        <v>数据结构
计算题
生成器
5-8</v>
      </c>
      <c r="E9" s="11" t="str" cm="1">
        <f ca="1" t="array" ref="E9">IF(COUNTA(INDIRECT(_xlfn.CONCAT($G2,"!",CHAR(64+COLUMN()),7)))&gt;0,INDIRECT(_xlfn.CONCAT($G2,"!",CHAR(64+COLUMN()),7)),"")</f>
        <v>数据结构
计算题
生成器
9-12</v>
      </c>
      <c r="F9" s="11" t="str" cm="1">
        <f ca="1" t="array" ref="F9">IF(COUNTA(INDIRECT(_xlfn.CONCAT($G2,"!",CHAR(64+COLUMN()),7)))&gt;0,INDIRECT(_xlfn.CONCAT($G2,"!",CHAR(64+COLUMN()),7)),"")</f>
        <v>肖八
*2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22.98</v>
      </c>
      <c r="E10" s="12" t="s">
        <v>18</v>
      </c>
      <c r="F10" s="13">
        <f>B10+D10</f>
        <v>26.73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5" workbookViewId="0">
      <selection activeCell="F7" sqref="F7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418</v>
      </c>
      <c r="C1" s="5" t="s">
        <v>418</v>
      </c>
      <c r="D1" s="5" t="s">
        <v>427</v>
      </c>
      <c r="E1" s="5" t="s">
        <v>428</v>
      </c>
      <c r="F1" s="5" t="s">
        <v>429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20251129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20251130</v>
      </c>
    </row>
    <row r="5" s="1" customFormat="1" ht="125" customHeight="1" spans="1:7">
      <c r="A5" s="4" t="s">
        <v>193</v>
      </c>
      <c r="B5" s="1" t="s">
        <v>9</v>
      </c>
      <c r="C5" s="1" t="s">
        <v>9</v>
      </c>
      <c r="D5" s="1" t="s">
        <v>9</v>
      </c>
      <c r="E5" s="5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430</v>
      </c>
      <c r="C7" s="5" t="s">
        <v>431</v>
      </c>
      <c r="D7" s="5" t="s">
        <v>432</v>
      </c>
      <c r="E7" s="5" t="s">
        <v>433</v>
      </c>
      <c r="F7" s="5" t="s">
        <v>434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660视频
20集</v>
      </c>
      <c r="C9" s="11" t="str" cm="1">
        <f ca="1" t="array" ref="C9">IF(COUNTA(INDIRECT(_xlfn.CONCAT($G2,"!",CHAR(64+COLUMN()),7)))&gt;0,INDIRECT(_xlfn.CONCAT($G2,"!",CHAR(64+COLUMN()),7)),"")</f>
        <v>660视频
20集</v>
      </c>
      <c r="D9" s="11" t="str" cm="1">
        <f ca="1" t="array" ref="D9">IF(COUNTA(INDIRECT(_xlfn.CONCAT($G2,"!",CHAR(64+COLUMN()),7)))&gt;0,INDIRECT(_xlfn.CONCAT($G2,"!",CHAR(64+COLUMN()),7)),"")</f>
        <v>660视频
18集</v>
      </c>
      <c r="E9" s="11" t="str" cm="1">
        <f ca="1" t="array" ref="E9">IF(COUNTA(INDIRECT(_xlfn.CONCAT($G2,"!",CHAR(64+COLUMN()),7)))&gt;0,INDIRECT(_xlfn.CONCAT($G2,"!",CHAR(64+COLUMN()),7)),"")</f>
        <v>数学刷题器
线代基本</v>
      </c>
      <c r="F9" s="11" t="str" cm="1">
        <f ca="1" t="array" ref="F9">IF(COUNTA(INDIRECT(_xlfn.CONCAT($G2,"!",CHAR(64+COLUMN()),7)))&gt;0,INDIRECT(_xlfn.CONCAT($G2,"!",CHAR(64+COLUMN()),7)),"")</f>
        <v>肖八</v>
      </c>
      <c r="G9" s="10"/>
    </row>
    <row r="10" ht="15.15" spans="1:7">
      <c r="A10" s="12" t="s">
        <v>16</v>
      </c>
      <c r="B10" s="13">
        <f>SUM(A8,A6,A4,A2)</f>
        <v>3.75</v>
      </c>
      <c r="C10" s="12" t="s">
        <v>17</v>
      </c>
      <c r="D10" s="13">
        <v>4.17</v>
      </c>
      <c r="E10" s="12" t="s">
        <v>18</v>
      </c>
      <c r="F10" s="13">
        <f>B10+D10</f>
        <v>7.92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115" zoomScaleNormal="115" topLeftCell="A3" workbookViewId="0">
      <selection activeCell="B9" sqref="B9:F9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430</v>
      </c>
      <c r="C1" s="5" t="s">
        <v>431</v>
      </c>
      <c r="D1" s="5" t="s">
        <v>432</v>
      </c>
      <c r="E1" s="5" t="s">
        <v>433</v>
      </c>
      <c r="F1" s="5" t="s">
        <v>434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20251130</v>
      </c>
    </row>
    <row r="3" s="1" customFormat="1" ht="125" customHeight="1" spans="1:7">
      <c r="A3" s="4" t="s">
        <v>3</v>
      </c>
      <c r="F3" s="5"/>
      <c r="G3" s="4" t="s">
        <v>57</v>
      </c>
    </row>
    <row r="4" customFormat="1" ht="15.15" spans="1:7">
      <c r="A4" s="6">
        <f t="shared" si="0"/>
        <v>0</v>
      </c>
      <c r="B4" s="7">
        <f t="shared" ref="B4:F4" si="2">IF(COUNTA(B3)&gt;0,IF(COUNTA(B1),0.5,0.25),0)</f>
        <v>0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20251201</v>
      </c>
    </row>
    <row r="5" s="1" customFormat="1" ht="125" customHeight="1" spans="1:7">
      <c r="A5" s="4" t="s">
        <v>193</v>
      </c>
      <c r="B5" s="1" t="s">
        <v>9</v>
      </c>
      <c r="C5" s="1"/>
      <c r="D5" s="1" t="s">
        <v>9</v>
      </c>
      <c r="E5" s="1" t="s">
        <v>9</v>
      </c>
      <c r="F5" s="5" t="s">
        <v>9</v>
      </c>
      <c r="G5" s="9" t="s">
        <v>10</v>
      </c>
    </row>
    <row r="6" customFormat="1" ht="15.15" spans="1:7">
      <c r="A6" s="6">
        <f t="shared" si="0"/>
        <v>1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430</v>
      </c>
      <c r="C7" s="5" t="s">
        <v>435</v>
      </c>
      <c r="D7" s="5" t="s">
        <v>436</v>
      </c>
      <c r="E7" s="5" t="s">
        <v>436</v>
      </c>
      <c r="F7" s="5" t="s">
        <v>437</v>
      </c>
      <c r="G7" s="10"/>
    </row>
    <row r="8" customFormat="1" ht="15.15" spans="1:7">
      <c r="A8" s="6">
        <f>SUM(B8:F8)</f>
        <v>1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笔记保温
*40</v>
      </c>
      <c r="C9" s="11" t="str" cm="1">
        <f ca="1" t="array" ref="C9">IF(COUNTA(INDIRECT(_xlfn.CONCAT($G2,"!",CHAR(64+COLUMN()),7)))&gt;0,INDIRECT(_xlfn.CONCAT($G2,"!",CHAR(64+COLUMN()),7)),"")</f>
        <v>系统计算
*10
数据计算
*10
计组计算
*10
网络计算
*10</v>
      </c>
      <c r="D9" s="11" t="str" cm="1">
        <f ca="1" t="array" ref="D9">IF(COUNTA(INDIRECT(_xlfn.CONCAT($G2,"!",CHAR(64+COLUMN()),7)))&gt;0,INDIRECT(_xlfn.CONCAT($G2,"!",CHAR(64+COLUMN()),7)),"")</f>
        <v>数学刷题器
常线微分</v>
      </c>
      <c r="E9" s="11" t="str" cm="1">
        <f ca="1" t="array" ref="E9">IF(COUNTA(INDIRECT(_xlfn.CONCAT($G2,"!",CHAR(64+COLUMN()),7)))&gt;0,INDIRECT(_xlfn.CONCAT($G2,"!",CHAR(64+COLUMN()),7)),"")</f>
        <v>数学刷题器
线代常用</v>
      </c>
      <c r="F9" s="11" t="str" cm="1">
        <f ca="1" t="array" ref="F9">IF(COUNTA(INDIRECT(_xlfn.CONCAT($G2,"!",CHAR(64+COLUMN()),7)))&gt;0,INDIRECT(_xlfn.CONCAT($G2,"!",CHAR(64+COLUMN()),7)),"")</f>
        <v>政治大题
解题方法</v>
      </c>
      <c r="G9" s="10"/>
    </row>
    <row r="10" spans="1:7">
      <c r="A10" s="12" t="s">
        <v>16</v>
      </c>
      <c r="B10" s="13">
        <f>SUM(A8,A6,A4,A2)</f>
        <v>3.25</v>
      </c>
      <c r="C10" s="12" t="s">
        <v>17</v>
      </c>
      <c r="D10" s="13">
        <v>18.9</v>
      </c>
      <c r="E10" s="12" t="s">
        <v>18</v>
      </c>
      <c r="F10" s="13">
        <f>B10+D10</f>
        <v>22.15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5" zoomScaleNormal="85" workbookViewId="0">
      <selection activeCell="H3" sqref="H3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430</v>
      </c>
      <c r="C1" s="5" t="s">
        <v>435</v>
      </c>
      <c r="D1" s="5" t="s">
        <v>436</v>
      </c>
      <c r="E1" s="5" t="s">
        <v>436</v>
      </c>
      <c r="F1" s="5" t="s">
        <v>437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20251201</v>
      </c>
    </row>
    <row r="3" s="1" customFormat="1" ht="125" customHeight="1" spans="1:7">
      <c r="A3" s="4" t="s">
        <v>3</v>
      </c>
      <c r="B3" s="1" t="s">
        <v>438</v>
      </c>
      <c r="C3" s="1" t="s">
        <v>439</v>
      </c>
      <c r="D3" s="5" t="s">
        <v>440</v>
      </c>
      <c r="E3" s="1" t="s">
        <v>441</v>
      </c>
      <c r="F3" s="5" t="s">
        <v>442</v>
      </c>
      <c r="G3" s="4" t="s">
        <v>57</v>
      </c>
    </row>
    <row r="4" customFormat="1" ht="15.15" spans="1:7">
      <c r="A4" s="6">
        <f t="shared" si="0"/>
        <v>2.5</v>
      </c>
      <c r="B4" s="7">
        <f t="shared" ref="B4:F4" si="2">IF(COUNTA(B3)&gt;0,IF(COUNTA(B1),0.5,0.25),0)</f>
        <v>0.5</v>
      </c>
      <c r="C4" s="7">
        <f t="shared" si="2"/>
        <v>0.5</v>
      </c>
      <c r="D4" s="7">
        <f t="shared" si="2"/>
        <v>0.5</v>
      </c>
      <c r="E4" s="7">
        <f t="shared" si="2"/>
        <v>0.5</v>
      </c>
      <c r="F4" s="7">
        <f t="shared" si="2"/>
        <v>0.5</v>
      </c>
      <c r="G4" s="8" t="str" cm="1">
        <f ca="1" t="array" ref="G4">_wpsfn.SHEETSNAME(A1)</f>
        <v>20251202</v>
      </c>
    </row>
    <row r="5" s="1" customFormat="1" ht="125" customHeight="1" spans="1:7">
      <c r="A5" s="4" t="s">
        <v>193</v>
      </c>
      <c r="B5" s="1" t="s">
        <v>9</v>
      </c>
      <c r="D5" s="1" t="s">
        <v>9</v>
      </c>
      <c r="E5" s="1" t="s">
        <v>9</v>
      </c>
      <c r="F5" s="5"/>
      <c r="G5" s="9" t="s">
        <v>10</v>
      </c>
    </row>
    <row r="6" customFormat="1" ht="15.15" spans="1:7">
      <c r="A6" s="6">
        <f t="shared" si="0"/>
        <v>0.75</v>
      </c>
      <c r="B6" s="7">
        <f t="shared" ref="B6:F6" si="3">IF(COUNTA(B1)&gt;0,IF(B5="完成",0.25,0),0)</f>
        <v>0.25</v>
      </c>
      <c r="C6" s="7">
        <f t="shared" si="3"/>
        <v>0</v>
      </c>
      <c r="D6" s="7">
        <f t="shared" si="3"/>
        <v>0.25</v>
      </c>
      <c r="E6" s="7">
        <f t="shared" si="3"/>
        <v>0.25</v>
      </c>
      <c r="F6" s="7">
        <f t="shared" si="3"/>
        <v>0</v>
      </c>
      <c r="G6" s="10"/>
    </row>
    <row r="7" s="1" customFormat="1" ht="125" customHeight="1" spans="1:7">
      <c r="A7" s="4" t="s">
        <v>195</v>
      </c>
      <c r="B7" s="5" t="s">
        <v>443</v>
      </c>
      <c r="C7" s="5" t="s">
        <v>435</v>
      </c>
      <c r="D7" s="5" t="s">
        <v>436</v>
      </c>
      <c r="E7" s="5" t="s">
        <v>444</v>
      </c>
      <c r="F7" s="5" t="s">
        <v>437</v>
      </c>
      <c r="G7" s="10"/>
    </row>
    <row r="8" customFormat="1" ht="15.15" spans="1:7">
      <c r="A8" s="6">
        <f>SUM(B8:F8)</f>
        <v>0.75</v>
      </c>
      <c r="B8" s="7">
        <f t="shared" ref="B8:F8" si="4">IF(COUNTA(B7)&gt;0,IF(COUNTA(B1)&gt;0,IF(B5="完成",0.25,0),IF(B5="遗忘",0,0.25)),0)</f>
        <v>0.25</v>
      </c>
      <c r="C8" s="7">
        <f t="shared" si="4"/>
        <v>0</v>
      </c>
      <c r="D8" s="7">
        <f t="shared" si="4"/>
        <v>0.25</v>
      </c>
      <c r="E8" s="7">
        <f t="shared" si="4"/>
        <v>0.25</v>
      </c>
      <c r="F8" s="7">
        <f t="shared" si="4"/>
        <v>0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笔记保温
*40</v>
      </c>
      <c r="C9" s="11" t="str" cm="1">
        <f ca="1" t="array" ref="C9">IF(COUNTA(INDIRECT(_xlfn.CONCAT($G2,"!",CHAR(64+COLUMN()),7)))&gt;0,INDIRECT(_xlfn.CONCAT($G2,"!",CHAR(64+COLUMN()),7)),"")</f>
        <v>系统计算
*10
数据计算
*9</v>
      </c>
      <c r="D9" s="11" t="str" cm="1">
        <f ca="1" t="array" ref="D9">IF(COUNTA(INDIRECT(_xlfn.CONCAT($G2,"!",CHAR(64+COLUMN()),7)))&gt;0,INDIRECT(_xlfn.CONCAT($G2,"!",CHAR(64+COLUMN()),7)),"")</f>
        <v>政治
大题总结
10题</v>
      </c>
      <c r="E9" s="11" t="str" cm="1">
        <f ca="1" t="array" ref="E9">IF(COUNTA(INDIRECT(_xlfn.CONCAT($G2,"!",CHAR(64+COLUMN()),7)))&gt;0,INDIRECT(_xlfn.CONCAT($G2,"!",CHAR(64+COLUMN()),7)),"")</f>
        <v>政治
大题总结
10题</v>
      </c>
      <c r="F9" s="11" t="str" cm="1">
        <f ca="1" t="array" ref="F9">IF(COUNTA(INDIRECT(_xlfn.CONCAT($G2,"!",CHAR(64+COLUMN()),7)))&gt;0,INDIRECT(_xlfn.CONCAT($G2,"!",CHAR(64+COLUMN()),7)),"")</f>
        <v>线代基本
*10
线代常用
*10
微分方程
*10</v>
      </c>
      <c r="G9" s="10"/>
    </row>
    <row r="10" ht="15.15" spans="1:7">
      <c r="A10" s="12" t="s">
        <v>16</v>
      </c>
      <c r="B10" s="13">
        <f>SUM(A8,A6,A4,A2)</f>
        <v>5.25</v>
      </c>
      <c r="C10" s="12" t="s">
        <v>17</v>
      </c>
      <c r="D10" s="13">
        <v>126.88</v>
      </c>
      <c r="E10" s="12" t="s">
        <v>18</v>
      </c>
      <c r="F10" s="13">
        <f>B10+D10</f>
        <v>132.13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85" zoomScaleNormal="85" topLeftCell="A5" workbookViewId="0">
      <selection activeCell="B4" sqref="B4"/>
    </sheetView>
  </sheetViews>
  <sheetFormatPr defaultColWidth="15.7777777777778" defaultRowHeight="14.4" outlineLevelCol="6"/>
  <cols>
    <col min="1" max="1" width="10.7777777777778" style="2" customWidth="1"/>
    <col min="2" max="6" width="10.7777777777778" style="3" customWidth="1"/>
    <col min="7" max="7" width="10.7777777777778" customWidth="1"/>
    <col min="8" max="16384" width="15.7777777777778" customWidth="1"/>
  </cols>
  <sheetData>
    <row r="1" s="1" customFormat="1" ht="125" customHeight="1" spans="1:7">
      <c r="A1" s="4" t="s">
        <v>191</v>
      </c>
      <c r="B1" s="5" t="s">
        <v>443</v>
      </c>
      <c r="C1" s="5" t="s">
        <v>435</v>
      </c>
      <c r="D1" s="5" t="s">
        <v>436</v>
      </c>
      <c r="E1" s="5" t="s">
        <v>444</v>
      </c>
      <c r="F1" s="5" t="s">
        <v>437</v>
      </c>
      <c r="G1" s="4" t="s">
        <v>2</v>
      </c>
    </row>
    <row r="2" customFormat="1" ht="15.15" spans="1:7">
      <c r="A2" s="6">
        <f t="shared" ref="A2:A6" si="0">SUM(B2:F2)</f>
        <v>1.25</v>
      </c>
      <c r="B2" s="7">
        <f t="shared" ref="B2:F2" si="1">IF(COUNTA(B1)&gt;0,0.25,0)</f>
        <v>0.25</v>
      </c>
      <c r="C2" s="7">
        <f t="shared" si="1"/>
        <v>0.25</v>
      </c>
      <c r="D2" s="7">
        <f t="shared" si="1"/>
        <v>0.25</v>
      </c>
      <c r="E2" s="7">
        <f t="shared" si="1"/>
        <v>0.25</v>
      </c>
      <c r="F2" s="7">
        <f t="shared" si="1"/>
        <v>0.25</v>
      </c>
      <c r="G2" s="8" t="str">
        <f ca="1">INDEX(_wpsfn.SHEETSNAME(),MAX(1,MATCH(G4,_wpsfn.SHEETSNAME(),0)-1))</f>
        <v>20251202</v>
      </c>
    </row>
    <row r="3" s="1" customFormat="1" ht="125" customHeight="1" spans="1:7">
      <c r="A3" s="4" t="s">
        <v>3</v>
      </c>
      <c r="B3" s="1" t="s">
        <v>445</v>
      </c>
      <c r="C3" s="1"/>
      <c r="D3" s="1"/>
      <c r="E3" s="1"/>
      <c r="F3" s="5"/>
      <c r="G3" s="4" t="s">
        <v>57</v>
      </c>
    </row>
    <row r="4" customFormat="1" ht="15.15" spans="1:7">
      <c r="A4" s="6">
        <f t="shared" si="0"/>
        <v>0.5</v>
      </c>
      <c r="B4" s="7">
        <f t="shared" ref="B4:F4" si="2">IF(COUNTA(B3)&gt;0,IF(COUNTA(B1),0.5,0.25),0)</f>
        <v>0.5</v>
      </c>
      <c r="C4" s="7">
        <f t="shared" si="2"/>
        <v>0</v>
      </c>
      <c r="D4" s="7">
        <f t="shared" si="2"/>
        <v>0</v>
      </c>
      <c r="E4" s="7">
        <f t="shared" si="2"/>
        <v>0</v>
      </c>
      <c r="F4" s="7">
        <f t="shared" si="2"/>
        <v>0</v>
      </c>
      <c r="G4" s="8" t="str" cm="1">
        <f ca="1" t="array" ref="G4">_wpsfn.SHEETSNAME(A1)</f>
        <v>20251203</v>
      </c>
    </row>
    <row r="5" s="1" customFormat="1" ht="125" customHeight="1" spans="1:7">
      <c r="A5" s="4" t="s">
        <v>193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  <c r="G5" s="9" t="s">
        <v>10</v>
      </c>
    </row>
    <row r="6" customFormat="1" ht="15.15" spans="1:7">
      <c r="A6" s="6">
        <f t="shared" si="0"/>
        <v>1.25</v>
      </c>
      <c r="B6" s="7">
        <f t="shared" ref="B6:F6" si="3">IF(COUNTA(B1)&gt;0,IF(B5="完成",0.25,0),0)</f>
        <v>0.25</v>
      </c>
      <c r="C6" s="7">
        <f t="shared" si="3"/>
        <v>0.25</v>
      </c>
      <c r="D6" s="7">
        <f t="shared" si="3"/>
        <v>0.25</v>
      </c>
      <c r="E6" s="7">
        <f t="shared" si="3"/>
        <v>0.25</v>
      </c>
      <c r="F6" s="7">
        <f t="shared" si="3"/>
        <v>0.25</v>
      </c>
      <c r="G6" s="10"/>
    </row>
    <row r="7" s="1" customFormat="1" ht="125" customHeight="1" spans="1:7">
      <c r="A7" s="4" t="s">
        <v>195</v>
      </c>
      <c r="B7" s="5" t="s">
        <v>446</v>
      </c>
      <c r="C7" s="5" t="s">
        <v>447</v>
      </c>
      <c r="D7" s="5" t="s">
        <v>436</v>
      </c>
      <c r="E7" s="5" t="s">
        <v>444</v>
      </c>
      <c r="F7" s="5" t="s">
        <v>448</v>
      </c>
      <c r="G7" s="10"/>
    </row>
    <row r="8" customFormat="1" ht="15.15" spans="1:7">
      <c r="A8" s="6">
        <f>SUM(B8:F8)</f>
        <v>1.25</v>
      </c>
      <c r="B8" s="7">
        <f t="shared" ref="B8:F8" si="4">IF(COUNTA(B7)&gt;0,IF(COUNTA(B1)&gt;0,IF(B5="完成",0.25,0),IF(B5="遗忘",0,0.25)),0)</f>
        <v>0.25</v>
      </c>
      <c r="C8" s="7">
        <f t="shared" si="4"/>
        <v>0.25</v>
      </c>
      <c r="D8" s="7">
        <f t="shared" si="4"/>
        <v>0.25</v>
      </c>
      <c r="E8" s="7">
        <f t="shared" si="4"/>
        <v>0.25</v>
      </c>
      <c r="F8" s="7">
        <f t="shared" si="4"/>
        <v>0.25</v>
      </c>
      <c r="G8" s="10"/>
    </row>
    <row r="9" s="1" customFormat="1" ht="125" customHeight="1" spans="1:7">
      <c r="A9" s="4" t="s">
        <v>199</v>
      </c>
      <c r="B9" s="11" t="str" cm="1">
        <f ca="1" t="array" ref="B9">IF(COUNTA(INDIRECT(_xlfn.CONCAT($G2,"!",CHAR(64+COLUMN()),7)))&gt;0,INDIRECT(_xlfn.CONCAT($G2,"!",CHAR(64+COLUMN()),7)),"")</f>
        <v>笔记保温
*34</v>
      </c>
      <c r="C9" s="11" t="str" cm="1">
        <f ca="1" t="array" ref="C9">IF(COUNTA(INDIRECT(_xlfn.CONCAT($G2,"!",CHAR(64+COLUMN()),7)))&gt;0,INDIRECT(_xlfn.CONCAT($G2,"!",CHAR(64+COLUMN()),7)),"")</f>
        <v>系统计算
*10
数据计算
*9</v>
      </c>
      <c r="D9" s="11" t="str" cm="1">
        <f ca="1" t="array" ref="D9">IF(COUNTA(INDIRECT(_xlfn.CONCAT($G2,"!",CHAR(64+COLUMN()),7)))&gt;0,INDIRECT(_xlfn.CONCAT($G2,"!",CHAR(64+COLUMN()),7)),"")</f>
        <v>政治
大题总结
10题</v>
      </c>
      <c r="E9" s="11" t="str" cm="1">
        <f ca="1" t="array" ref="E9">IF(COUNTA(INDIRECT(_xlfn.CONCAT($G2,"!",CHAR(64+COLUMN()),7)))&gt;0,INDIRECT(_xlfn.CONCAT($G2,"!",CHAR(64+COLUMN()),7)),"")</f>
        <v>政治
大题总结
5题</v>
      </c>
      <c r="F9" s="11" t="str" cm="1">
        <f ca="1" t="array" ref="F9">IF(COUNTA(INDIRECT(_xlfn.CONCAT($G2,"!",CHAR(64+COLUMN()),7)))&gt;0,INDIRECT(_xlfn.CONCAT($G2,"!",CHAR(64+COLUMN()),7)),"")</f>
        <v>线代基本
*10
线代常用
*10
微分方程
*10</v>
      </c>
      <c r="G9" s="10"/>
    </row>
    <row r="10" ht="15.15" spans="1:7">
      <c r="A10" s="12" t="s">
        <v>16</v>
      </c>
      <c r="B10" s="13">
        <f>SUM(A8,A6,A4,A2)</f>
        <v>4.25</v>
      </c>
      <c r="C10" s="12" t="s">
        <v>17</v>
      </c>
      <c r="D10" s="13">
        <v>30.6</v>
      </c>
      <c r="E10" s="12" t="s">
        <v>18</v>
      </c>
      <c r="F10" s="13">
        <f>B10+D10</f>
        <v>34.85</v>
      </c>
      <c r="G10" s="14"/>
    </row>
  </sheetData>
  <mergeCells count="1">
    <mergeCell ref="G5:G10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138</vt:i4>
      </vt:variant>
    </vt:vector>
  </HeadingPairs>
  <TitlesOfParts>
    <vt:vector size="138" baseType="lpstr">
      <vt:lpstr>20250519</vt:lpstr>
      <vt:lpstr>20250520</vt:lpstr>
      <vt:lpstr>20250521</vt:lpstr>
      <vt:lpstr>20250522</vt:lpstr>
      <vt:lpstr>20250523</vt:lpstr>
      <vt:lpstr>20250525</vt:lpstr>
      <vt:lpstr>20250526</vt:lpstr>
      <vt:lpstr>20250527</vt:lpstr>
      <vt:lpstr>20250528</vt:lpstr>
      <vt:lpstr>20250529</vt:lpstr>
      <vt:lpstr>20250530</vt:lpstr>
      <vt:lpstr>20250531</vt:lpstr>
      <vt:lpstr>20250601</vt:lpstr>
      <vt:lpstr>20250602</vt:lpstr>
      <vt:lpstr>20250603</vt:lpstr>
      <vt:lpstr>20250607</vt:lpstr>
      <vt:lpstr>20250608</vt:lpstr>
      <vt:lpstr>20250609</vt:lpstr>
      <vt:lpstr>20250610</vt:lpstr>
      <vt:lpstr>20250611</vt:lpstr>
      <vt:lpstr>20250612</vt:lpstr>
      <vt:lpstr>20250613</vt:lpstr>
      <vt:lpstr>20250614</vt:lpstr>
      <vt:lpstr>20250615</vt:lpstr>
      <vt:lpstr>20250616</vt:lpstr>
      <vt:lpstr>20250617</vt:lpstr>
      <vt:lpstr>20250618</vt:lpstr>
      <vt:lpstr>20250619</vt:lpstr>
      <vt:lpstr>20250620</vt:lpstr>
      <vt:lpstr>20250621</vt:lpstr>
      <vt:lpstr>20250622</vt:lpstr>
      <vt:lpstr>20250623</vt:lpstr>
      <vt:lpstr>20250624</vt:lpstr>
      <vt:lpstr>20250625</vt:lpstr>
      <vt:lpstr>20250626</vt:lpstr>
      <vt:lpstr>20250629</vt:lpstr>
      <vt:lpstr>20250630</vt:lpstr>
      <vt:lpstr>20250701</vt:lpstr>
      <vt:lpstr>20250702</vt:lpstr>
      <vt:lpstr>20250703</vt:lpstr>
      <vt:lpstr>20250708</vt:lpstr>
      <vt:lpstr>20250709</vt:lpstr>
      <vt:lpstr>20250710</vt:lpstr>
      <vt:lpstr>20250711</vt:lpstr>
      <vt:lpstr>20250712</vt:lpstr>
      <vt:lpstr>20250713</vt:lpstr>
      <vt:lpstr>20250714</vt:lpstr>
      <vt:lpstr>20250724</vt:lpstr>
      <vt:lpstr>20250725</vt:lpstr>
      <vt:lpstr>20250726</vt:lpstr>
      <vt:lpstr>20250731</vt:lpstr>
      <vt:lpstr>20250807</vt:lpstr>
      <vt:lpstr>20250808</vt:lpstr>
      <vt:lpstr>20250809</vt:lpstr>
      <vt:lpstr>20250811</vt:lpstr>
      <vt:lpstr>20250813</vt:lpstr>
      <vt:lpstr>20250814</vt:lpstr>
      <vt:lpstr>20250819</vt:lpstr>
      <vt:lpstr>20250820</vt:lpstr>
      <vt:lpstr>20250821</vt:lpstr>
      <vt:lpstr>20250822</vt:lpstr>
      <vt:lpstr>20250823</vt:lpstr>
      <vt:lpstr>20250824</vt:lpstr>
      <vt:lpstr>20250825</vt:lpstr>
      <vt:lpstr>20250826</vt:lpstr>
      <vt:lpstr>20250827</vt:lpstr>
      <vt:lpstr>20250903</vt:lpstr>
      <vt:lpstr>20250904</vt:lpstr>
      <vt:lpstr>20250905</vt:lpstr>
      <vt:lpstr>20250906</vt:lpstr>
      <vt:lpstr>20250907</vt:lpstr>
      <vt:lpstr>20250908</vt:lpstr>
      <vt:lpstr>20250909</vt:lpstr>
      <vt:lpstr>20250910</vt:lpstr>
      <vt:lpstr>20250911</vt:lpstr>
      <vt:lpstr>20250912</vt:lpstr>
      <vt:lpstr>20250913</vt:lpstr>
      <vt:lpstr>20250914</vt:lpstr>
      <vt:lpstr>20250915</vt:lpstr>
      <vt:lpstr>20250916</vt:lpstr>
      <vt:lpstr>20250917</vt:lpstr>
      <vt:lpstr>20250918</vt:lpstr>
      <vt:lpstr>20250919</vt:lpstr>
      <vt:lpstr>20250920</vt:lpstr>
      <vt:lpstr>20250921</vt:lpstr>
      <vt:lpstr>20250922</vt:lpstr>
      <vt:lpstr>20250927</vt:lpstr>
      <vt:lpstr>20251011</vt:lpstr>
      <vt:lpstr>20251012</vt:lpstr>
      <vt:lpstr>20251013</vt:lpstr>
      <vt:lpstr>20251014</vt:lpstr>
      <vt:lpstr>20251015</vt:lpstr>
      <vt:lpstr>20251016</vt:lpstr>
      <vt:lpstr>20251017</vt:lpstr>
      <vt:lpstr>20251021</vt:lpstr>
      <vt:lpstr>20251022</vt:lpstr>
      <vt:lpstr>20251023</vt:lpstr>
      <vt:lpstr>20251024</vt:lpstr>
      <vt:lpstr>20251025</vt:lpstr>
      <vt:lpstr>20251026</vt:lpstr>
      <vt:lpstr>20251027</vt:lpstr>
      <vt:lpstr>20251028</vt:lpstr>
      <vt:lpstr>20251029</vt:lpstr>
      <vt:lpstr>20251030</vt:lpstr>
      <vt:lpstr>20251031</vt:lpstr>
      <vt:lpstr>20251101</vt:lpstr>
      <vt:lpstr>20251102</vt:lpstr>
      <vt:lpstr>20251103</vt:lpstr>
      <vt:lpstr>20251104</vt:lpstr>
      <vt:lpstr>20251105</vt:lpstr>
      <vt:lpstr>20251106</vt:lpstr>
      <vt:lpstr>20251107</vt:lpstr>
      <vt:lpstr>20251108</vt:lpstr>
      <vt:lpstr>20251109</vt:lpstr>
      <vt:lpstr>20251110</vt:lpstr>
      <vt:lpstr>20251111</vt:lpstr>
      <vt:lpstr>20251112</vt:lpstr>
      <vt:lpstr>20251113</vt:lpstr>
      <vt:lpstr>20251114</vt:lpstr>
      <vt:lpstr>20251115</vt:lpstr>
      <vt:lpstr>20251116</vt:lpstr>
      <vt:lpstr>20251117</vt:lpstr>
      <vt:lpstr>20251118</vt:lpstr>
      <vt:lpstr>20251119</vt:lpstr>
      <vt:lpstr>20251120</vt:lpstr>
      <vt:lpstr>20251121</vt:lpstr>
      <vt:lpstr>20251122</vt:lpstr>
      <vt:lpstr>20251123</vt:lpstr>
      <vt:lpstr>20251124</vt:lpstr>
      <vt:lpstr>20251125</vt:lpstr>
      <vt:lpstr>20251126</vt:lpstr>
      <vt:lpstr>20251127</vt:lpstr>
      <vt:lpstr>20251128</vt:lpstr>
      <vt:lpstr>20251129</vt:lpstr>
      <vt:lpstr>20251130</vt:lpstr>
      <vt:lpstr>20251201</vt:lpstr>
      <vt:lpstr>20251202</vt:lpstr>
      <vt:lpstr>20251203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2023-05-12T11:15:00Z</dcterms:created>
  <dcterms:modified xsi:type="dcterms:W3CDTF">2025-12-03T15:38:35Z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42B4D01805574DBF9293A43B2F780FEE_12</vt:lpwstr>
  </property>
</Properties>
</file>