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37" activeTab="145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  <sheet name="20251203" sheetId="150" r:id="rId138"/>
    <sheet name="20251204" sheetId="151" r:id="rId139"/>
    <sheet name="20251205" sheetId="152" r:id="rId140"/>
    <sheet name="20251206" sheetId="153" r:id="rId141"/>
    <sheet name="20251207" sheetId="154" r:id="rId142"/>
    <sheet name="20251208" sheetId="155" r:id="rId143"/>
    <sheet name="20251209" sheetId="156" r:id="rId144"/>
    <sheet name="20251210" sheetId="157" r:id="rId145"/>
    <sheet name="20251211" sheetId="158" r:id="rId146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  <definedName name="_xlnm.Print_Area" localSheetId="137">'20251203'!$A$1:$G$10</definedName>
    <definedName name="_xlnm.Print_Area" localSheetId="138">'20251204'!$A$1:$G$10</definedName>
    <definedName name="_xlnm.Print_Area" localSheetId="139">'20251205'!$A$1:$G$10</definedName>
    <definedName name="_xlnm.Print_Area" localSheetId="140">'20251206'!$A$1:$G$10</definedName>
    <definedName name="_xlnm.Print_Area" localSheetId="141">'20251207'!$A$1:$G$10</definedName>
    <definedName name="_xlnm.Print_Area" localSheetId="142">'20251208'!$A$1:$G$10</definedName>
    <definedName name="_xlnm.Print_Area" localSheetId="143">'20251209'!$A$1:$G$10</definedName>
    <definedName name="_xlnm.Print_Area" localSheetId="144">'20251210'!$A$1:$G$10</definedName>
    <definedName name="_xlnm.Print_Area" localSheetId="145">'20251211'!$A$1:$G$10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<sst xmlns="http://schemas.openxmlformats.org/spreadsheetml/2006/main" count="3150" uniqueCount="473">
  <si>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</si>
  <si>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</si>
  <si>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</si>
  <si>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</si>
  <si>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</si>
  <si>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</si>
  <si>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</si>
  <si>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</si>
  <si>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</si>
  <si>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</si>
  <si>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</si>
  <si>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</si>
  <si>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</si>
  <si>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</si>
  <si>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</si>
  <si>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</si>
  <si>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</si>
  <si>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</si>
  <si>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</si>
  <si>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</si>
  <si>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</si>
  <si>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</si>
  <si>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</si>
  <si>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</si>
  <si>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</si>
  <si>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</si>
  <si>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</si>
  <si>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</si>
  <si>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</si>
  <si>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</si>
  <si>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</si>
  <si>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</si>
  <si>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</si>
  <si>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</si>
  <si>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</si>
  <si>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</si>
  <si>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</si>
  <si>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</si>
  <si>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</si>
  <si>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</si>
  <si>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</si>
  <si>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</si>
  <si>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</si>
  <si>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</si>
  <si>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</si>
  <si>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</si>
  <si>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</si>
  <si>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</si>
  <si>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</si>
  <si>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</si>
  <si>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</si>
  <si>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</si>
  <si>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</si>
  <si>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</si>
  <si>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</si>
  <si>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</si>
  <si>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</si>
  <si>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</si>
  <si>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</si>
  <si>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</si>
  <si>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</si>
  <si>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</si>
  <si>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</si>
  <si>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</si>
  <si>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</si>
  <si>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</si>
  <si>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</si>
  <si>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</si>
  <si>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</si>
  <si>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</si>
  <si>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</si>
  <si>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</si>
  <si>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</si>
  <si>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</si>
  <si>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</si>
  <si>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</si>
  <si>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</si>
  <si>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</si>
  <si>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</si>
  <si>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</si>
  <si>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</si>
  <si>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</si>
  <si>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</si>
  <si>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</si>
  <si>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</si>
  <si>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</si>
  <si>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</si>
  <si>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</si>
  <si>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</si>
  <si>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</si>
  <si>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</si>
  <si>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</si>
  <si>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</si>
  <si>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</si>
  <si>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</si>
  <si>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</si>
  <si>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</si>
  <si>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</si>
  <si>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</si>
  <si>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</si>
  <si>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</si>
  <si>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</si>
  <si>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</si>
  <si>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</si>
  <si>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</si>
  <si>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</si>
  <si>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</si>
  <si>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</si>
  <si>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</si>
  <si>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</si>
  <si>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</si>
  <si>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</si>
  <si>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</si>
  <si>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</si>
  <si>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</si>
  <si>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</si>
  <si>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</si>
  <si>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</si>
  <si>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</si>
  <si>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</si>
  <si>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</si>
  <si>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</si>
  <si>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</si>
  <si>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</si>
  <si>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</si>
  <si>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</si>
  <si>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</si>
  <si>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</si>
  <si>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</si>
  <si>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</si>
  <si>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</si>
  <si>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</si>
  <si>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</si>
  <si>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</si>
  <si>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</si>
  <si>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</si>
  <si>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</si>
  <si>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</si>
  <si>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</si>
  <si>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</si>
  <si>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</si>
  <si>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</si>
  <si>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</si>
  <si>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</si>
  <si>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</si>
  <si>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</si>
  <si>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</si>
  <si>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</si>
  <si>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</si>
  <si>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</si>
  <si>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</si>
  <si>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</si>
  <si>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</si>
  <si>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</si>
  <si>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</si>
  <si>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</si>
  <si>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</si>
  <si>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</si>
  <si>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</si>
  <si>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</si>
  <si>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</si>
  <si>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</si>
  <si>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</si>
  <si>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</si>
  <si>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</si>
  <si>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</si>
  <si>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</si>
  <si>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</si>
  <si>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</si>
  <si>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</si>
  <si>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</si>
  <si>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</si>
  <si>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</si>
  <si>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</si>
  <si>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</si>
  <si>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</si>
  <si>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</si>
  <si>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</si>
  <si>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</si>
  <si>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</si>
  <si>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</si>
  <si>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</si>
  <si>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</si>
  <si>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</si>
  <si>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</si>
  <si>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</si>
  <si>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</si>
  <si>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</si>
  <si>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</si>
  <si>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</si>
  <si>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</si>
  <si>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</si>
  <si>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</si>
  <si>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</si>
  <si>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</si>
  <si>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</si>
  <si>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</si>
  <si>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</si>
  <si>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</si>
  <si>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</si>
  <si>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</si>
  <si>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</si>
  <si>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</si>
  <si>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</si>
  <si>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</si>
  <si>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</si>
  <si>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</si>
  <si>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</si>
  <si>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</si>
  <si>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</si>
  <si>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</si>
  <si>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</si>
  <si>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</si>
  <si>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</si>
  <si>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</si>
  <si>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</si>
  <si>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</si>
  <si>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</si>
  <si>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</si>
  <si>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</si>
  <si>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</si>
  <si>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</si>
  <si>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</si>
  <si>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</si>
  <si>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</si>
  <si>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</si>
  <si>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</si>
  <si>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</si>
  <si>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</si>
  <si>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</si>
  <si>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</si>
  <si>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</si>
  <si>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</si>
  <si>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</si>
  <si>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</si>
  <si>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</si>
  <si>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</si>
  <si>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</si>
  <si>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</si>
  <si>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</si>
  <si>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</si>
  <si>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</si>
  <si>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</si>
  <si>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</si>
  <si>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</si>
  <si>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</si>
  <si>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</si>
  <si>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</si>
  <si>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</si>
  <si>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</si>
  <si>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</si>
  <si>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</si>
  <si>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</si>
  <si>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</si>
  <si>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</si>
  <si>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</si>
  <si>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</si>
  <si>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</si>
  <si>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</si>
  <si>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</si>
  <si>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</si>
  <si>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</si>
  <si>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</si>
  <si>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</si>
  <si>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</si>
  <si>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</si>
  <si>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</si>
  <si>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</si>
  <si>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</si>
  <si>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</si>
  <si>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</si>
  <si>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</si>
  <si>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</si>
  <si>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</si>
  <si>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</si>
  <si>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</si>
  <si>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</si>
  <si>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</si>
  <si>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</si>
  <si>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</si>
  <si>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</si>
  <si>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</si>
  <si>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</si>
  <si>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</si>
  <si>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</si>
  <si>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</si>
  <si>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</si>
  <si>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</si>
  <si>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</si>
  <si>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</si>
  <si>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</si>
  <si>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</si>
  <si>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</si>
  <si>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</si>
  <si>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</si>
  <si>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</si>
  <si>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</si>
  <si>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</si>
  <si>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</si>
  <si>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</si>
  <si>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</si>
  <si>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</si>
  <si>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</si>
  <si>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</si>
  <si>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</si>
  <si>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</si>
  <si>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</si>
  <si>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</si>
  <si>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</si>
  <si>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</si>
  <si>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</si>
  <si>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</si>
  <si>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</si>
  <si>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</si>
  <si>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</si>
  <si>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</si>
  <si>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</si>
  <si>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</si>
  <si>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</si>
  <si>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</si>
  <si>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</si>
  <si>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</si>
  <si>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</si>
  <si>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</si>
  <si>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</si>
  <si>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</si>
  <si>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</si>
  <si>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</si>
  <si>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</si>
  <si>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</si>
  <si>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</si>
  <si>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</si>
  <si>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</si>
  <si>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</si>
  <si>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</si>
  <si>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</si>
  <si>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</si>
  <si>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</si>
  <si>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</si>
  <si>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</si>
  <si>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</si>
  <si>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</si>
  <si>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</si>
  <si>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</si>
  <si>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</si>
  <si>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</si>
  <si>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</si>
  <si>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</si>
  <si>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</si>
  <si>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</si>
  <si>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</si>
  <si>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</si>
  <si>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</si>
  <si>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</si>
  <si>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</si>
  <si>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</si>
  <si>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</si>
  <si>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</si>
  <si>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</si>
  <si>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</si>
  <si>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</si>
  <si>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</si>
  <si>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</si>
  <si>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</si>
  <si>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</si>
  <si>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</si>
  <si>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</si>
  <si>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</si>
  <si>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</si>
  <si>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</si>
  <si>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</si>
  <si>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</si>
  <si>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</si>
  <si>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</si>
  <si>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</si>
  <si>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</si>
  <si>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</si>
  <si>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</si>
  <si>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</si>
  <si>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</si>
  <si>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</si>
  <si>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</si>
  <si>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</si>
  <si>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</si>
  <si>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</si>
  <si>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</si>
  <si>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</si>
  <si>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</si>
  <si>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</si>
  <si>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</si>
  <si>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</si>
  <si>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</si>
  <si>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</si>
  <si>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</si>
  <si>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</si>
  <si>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</si>
  <si>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</si>
  <si>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</si>
  <si>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</si>
  <si>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</si>
  <si>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</si>
  <si>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</si>
  <si>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</si>
  <si>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</si>
  <si>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</si>
  <si>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</si>
  <si>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</si>
  <si>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</si>
  <si>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</si>
  <si>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</si>
  <si>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</si>
  <si>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</si>
  <si>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</si>
  <si>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</si>
  <si>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</si>
  <si>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</si>
  <si>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</si>
  <si>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</si>
  <si>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</si>
  <si>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</si>
  <si>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</si>
  <si>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</si>
  <si>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</si>
  <si>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</si>
  <si>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</si>
  <si>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</si>
  <si>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</si>
  <si>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</si>
  <si>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</si>
  <si>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</si>
  <si>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</si>
  <si>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</si>
  <si>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</si>
  <si>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</si>
  <si>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</si>
  <si>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</si>
  <si>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
大题总结
10题</t>
  </si>
  <si>
    <t>线代基本
*10
线代常用
*10
微分方程
*10</t>
  </si>
  <si>
    <t>二叉树
的公式
h
~
(2^h)-1
以及
n0=n2+1</t>
  </si>
  <si>
    <t>KMP算法
next[i]
看0~i-1
子串的
最长相同前后缀
长度</t>
  </si>
  <si>
    <t>中共抗日
四大作用
率先抗日
统一战线
建立
根据地
正确方向
(持久战)</t>
  </si>
  <si>
    <t>ack_seq
指期望
下次收到
第一个
字节序</t>
  </si>
  <si>
    <t>ip数据报
数据部分
按8字节
为单位
分片
最后分片
无需8倍</t>
  </si>
  <si>
    <t>笔记保温
*34</t>
  </si>
  <si>
    <t>政治
大题总结
5题</t>
  </si>
  <si>
    <t>二进制
指数退避
(2^k)-1
k=
min(r,10)</t>
  </si>
  <si>
    <t>笔记保温
*10</t>
  </si>
  <si>
    <t>专业计算
10</t>
  </si>
  <si>
    <t>数学计算
10</t>
  </si>
  <si>
    <t>卷子
2025
408</t>
  </si>
  <si>
    <t>卷子
2022
数二</t>
  </si>
  <si>
    <t>笔记保温
*20</t>
  </si>
  <si>
    <t>卷子
2024
408</t>
  </si>
  <si>
    <t>卷子
2023
数二</t>
  </si>
  <si>
    <t>笔记保温
*17</t>
  </si>
  <si>
    <t>笔记保温
*13</t>
  </si>
  <si>
    <t>卷子
2023
408</t>
  </si>
  <si>
    <t>肖四
1</t>
  </si>
  <si>
    <t>卷子
2017
数二</t>
  </si>
  <si>
    <t>卷子
2024
数二</t>
  </si>
  <si>
    <t>卷子
2022
408</t>
  </si>
  <si>
    <t>笔记保温
*14.5</t>
  </si>
  <si>
    <t>卷子
2021
数二</t>
  </si>
  <si>
    <t>肖四
选择
2、3、4</t>
  </si>
  <si>
    <t>肖四
大题
1</t>
  </si>
  <si>
    <t>肖四
大题
2</t>
  </si>
  <si>
    <t>卷子
2025
数二</t>
  </si>
  <si>
    <t>笔记浓缩</t>
  </si>
  <si>
    <t>肖四
选择
4</t>
  </si>
  <si>
    <t>肖四
大题
3</t>
  </si>
  <si>
    <t>一页纸</t>
  </si>
  <si>
    <t>笔记保温
20</t>
  </si>
  <si>
    <t>肖四
大题
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</si>
</sst>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0" Type="http://schemas.openxmlformats.org/officeDocument/2006/relationships/styles" Target="styles.xml"/><Relationship Id="rId15" Type="http://schemas.openxmlformats.org/officeDocument/2006/relationships/worksheet" Target="worksheets/sheet15.xml"/><Relationship Id="rId149" Type="http://schemas.openxmlformats.org/officeDocument/2006/relationships/sheetMetadata" Target="metadata.xml"/><Relationship Id="rId148" Type="http://schemas.openxmlformats.org/officeDocument/2006/relationships/sharedStrings" Target="sharedStrings.xml"/><Relationship Id="rId147" Type="http://schemas.openxmlformats.org/officeDocument/2006/relationships/theme" Target="theme/theme1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B9" sqref="B9: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436</v>
      </c>
      <c r="F7" s="5" t="s">
        <v>437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435</v>
      </c>
      <c r="D1" s="5" t="s">
        <v>436</v>
      </c>
      <c r="E1" s="5" t="s">
        <v>436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B3" s="1" t="s">
        <v>438</v>
      </c>
      <c r="C3" s="1" t="s">
        <v>439</v>
      </c>
      <c r="D3" s="5" t="s">
        <v>440</v>
      </c>
      <c r="E3" s="1" t="s">
        <v>441</v>
      </c>
      <c r="F3" s="5" t="s">
        <v>442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 t="s">
        <v>9</v>
      </c>
      <c r="D5" s="1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443</v>
      </c>
      <c r="C7" s="5" t="s">
        <v>435</v>
      </c>
      <c r="D7" s="5" t="s">
        <v>436</v>
      </c>
      <c r="E7" s="5" t="s">
        <v>444</v>
      </c>
      <c r="F7" s="5" t="s">
        <v>437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10题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126.88</v>
      </c>
      <c r="E10" s="12" t="s">
        <v>18</v>
      </c>
      <c r="F10" s="13">
        <f>B10+D10</f>
        <v>132.13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443</v>
      </c>
      <c r="C1" s="5" t="s">
        <v>435</v>
      </c>
      <c r="D1" s="5" t="s">
        <v>436</v>
      </c>
      <c r="E1" s="5" t="s">
        <v>444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20251202</v>
      </c>
    </row>
    <row r="3" s="1" customFormat="1" ht="125" customHeight="1" spans="1:7">
      <c r="A3" s="4" t="s">
        <v>3</v>
      </c>
      <c r="B3" s="1" t="s">
        <v>445</v>
      </c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20251203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446</v>
      </c>
      <c r="C7" s="5" t="s">
        <v>447</v>
      </c>
      <c r="D7" s="5" t="s">
        <v>446</v>
      </c>
      <c r="E7" s="5" t="s">
        <v>444</v>
      </c>
      <c r="F7" s="5" t="s">
        <v>448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*34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30.6</v>
      </c>
      <c r="E10" s="12" t="s">
        <v>18</v>
      </c>
      <c r="F10" s="13">
        <f>B10+D10</f>
        <v>34.85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446</v>
      </c>
      <c r="C1" s="5" t="s">
        <v>447</v>
      </c>
      <c r="D1" s="5" t="s">
        <v>446</v>
      </c>
      <c r="E1" s="5" t="s">
        <v>444</v>
      </c>
      <c r="F1" s="5" t="s">
        <v>448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20251203</v>
      </c>
    </row>
    <row r="3" s="1" customFormat="1" ht="125" customHeight="1" spans="1:7">
      <c r="A3" s="4" t="s">
        <v>3</v>
      </c>
      <c r="B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20251204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449</v>
      </c>
      <c r="C7" s="5" t="s">
        <v>449</v>
      </c>
      <c r="D7" s="5" t="s">
        <v>450</v>
      </c>
      <c r="E7" s="5" t="s">
        <v>451</v>
      </c>
      <c r="F7" s="5" t="s">
        <v>450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*10</v>
      </c>
      <c r="C9" s="11" t="str" cm="1">
        <f ca="1" t="array" ref="C9">IF(COUNTA(INDIRECT(_xlfn.CONCAT($G2,"!",CHAR(64+COLUMN()),7)))&gt;0,INDIRECT(_xlfn.CONCAT($G2,"!",CHAR(64+COLUMN()),7)),"")</f>
        <v>专业计算
10</v>
      </c>
      <c r="D9" s="11" t="str" cm="1">
        <f ca="1" t="array" ref="D9">IF(COUNTA(INDIRECT(_xlfn.CONCAT($G2,"!",CHAR(64+COLUMN()),7)))&gt;0,INDIRECT(_xlfn.CONCAT($G2,"!",CHAR(64+COLUMN()),7)),"")</f>
        <v>笔记保温
*10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数学计算
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26.13</v>
      </c>
      <c r="E10" s="12" t="s">
        <v>18</v>
      </c>
      <c r="F10" s="13">
        <f>B10+D10</f>
        <v>29.88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449</v>
      </c>
      <c r="C1" s="5" t="s">
        <v>449</v>
      </c>
      <c r="D1" s="5" t="s">
        <v>450</v>
      </c>
      <c r="E1" s="5" t="s">
        <v>451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20251205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452</v>
      </c>
      <c r="C7" s="5" t="s">
        <v>452</v>
      </c>
      <c r="D7" s="5" t="s">
        <v>453</v>
      </c>
      <c r="E7" s="5" t="s">
        <v>454</v>
      </c>
      <c r="F7" s="5" t="s">
        <v>450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2025
408</v>
      </c>
      <c r="C9" s="11" t="str" cm="1">
        <f ca="1" t="array" ref="C9">IF(COUNTA(INDIRECT(_xlfn.CONCAT($G2,"!",CHAR(64+COLUMN()),7)))&gt;0,INDIRECT(_xlfn.CONCAT($G2,"!",CHAR(64+COLUMN()),7)),"")</f>
        <v>卷子
2025
408</v>
      </c>
      <c r="D9" s="11" t="str" cm="1">
        <f ca="1" t="array" ref="D9">IF(COUNTA(INDIRECT(_xlfn.CONCAT($G2,"!",CHAR(64+COLUMN()),7)))&gt;0,INDIRECT(_xlfn.CONCAT($G2,"!",CHAR(64+COLUMN()),7)),"")</f>
        <v>卷子
2022
数二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35.03</v>
      </c>
      <c r="E10" s="12" t="s">
        <v>18</v>
      </c>
      <c r="F10" s="13">
        <f>B10+D10</f>
        <v>38.28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452</v>
      </c>
      <c r="C1" s="5" t="s">
        <v>452</v>
      </c>
      <c r="D1" s="5" t="s">
        <v>453</v>
      </c>
      <c r="E1" s="5" t="s">
        <v>454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20251206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453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408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38.42</v>
      </c>
      <c r="E10" s="12" t="s">
        <v>18</v>
      </c>
      <c r="F10" s="13">
        <f>B10+D10</f>
        <v>41.17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451</v>
      </c>
      <c r="C1" s="5" t="s">
        <v>452</v>
      </c>
      <c r="D1" s="5" t="s">
        <v>453</v>
      </c>
      <c r="E1" s="5" t="s">
        <v>454</v>
      </c>
      <c r="F1" s="5" t="s">
        <v>453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20251207</v>
      </c>
    </row>
    <row r="5" s="1" customFormat="1" ht="125" customHeight="1" spans="1:7">
      <c r="A5" s="4" t="s">
        <v>193</v>
      </c>
      <c r="B5" s="1"/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455</v>
      </c>
      <c r="C7" s="5" t="s">
        <v>456</v>
      </c>
      <c r="D7" s="5" t="s">
        <v>457</v>
      </c>
      <c r="E7" s="5" t="s">
        <v>451</v>
      </c>
      <c r="F7" s="5" t="s">
        <v>458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*20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2023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36.13</v>
      </c>
      <c r="E10" s="12" t="s">
        <v>18</v>
      </c>
      <c r="F10" s="13">
        <f>B10+D10</f>
        <v>39.38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455</v>
      </c>
      <c r="C1" s="5" t="s">
        <v>456</v>
      </c>
      <c r="D1" s="5" t="s">
        <v>457</v>
      </c>
      <c r="E1" s="5" t="s">
        <v>451</v>
      </c>
      <c r="F1" s="5" t="s">
        <v>458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460</v>
      </c>
      <c r="D7" s="5" t="s">
        <v>457</v>
      </c>
      <c r="E7" s="5" t="s">
        <v>461</v>
      </c>
      <c r="F7" s="5" t="s">
        <v>462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*13</v>
      </c>
      <c r="C9" s="11" t="str" cm="1">
        <f ca="1" t="array" ref="C9">IF(COUNTA(INDIRECT(_xlfn.CONCAT($G2,"!",CHAR(64+COLUMN()),7)))&gt;0,INDIRECT(_xlfn.CONCAT($G2,"!",CHAR(64+COLUMN()),7)),"")</f>
        <v>卷子
2023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2017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31.97</v>
      </c>
      <c r="E10" s="12" t="s">
        <v>18</v>
      </c>
      <c r="F10" s="13">
        <f>B10+D10</f>
        <v>34.72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460</v>
      </c>
      <c r="D1" s="5" t="s">
        <v>457</v>
      </c>
      <c r="E1" s="5" t="s">
        <v>461</v>
      </c>
      <c r="F1" s="5" t="s">
        <v>462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463</v>
      </c>
      <c r="D7" s="5" t="s">
        <v>464</v>
      </c>
      <c r="E7" s="5" t="s">
        <v>465</v>
      </c>
      <c r="F7" s="5" t="s">
        <v>466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卷子
2022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*14.5</v>
      </c>
      <c r="F9" s="11" t="str" cm="1">
        <f ca="1" t="array" ref="F9">IF(COUNTA(INDIRECT(_xlfn.CONCAT($G2,"!",CHAR(64+COLUMN()),7)))&gt;0,INDIRECT(_xlfn.CONCAT($G2,"!",CHAR(64+COLUMN()),7)),"")</f>
        <v>卷子
2021
数二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35.32</v>
      </c>
      <c r="E10" s="12" t="s">
        <v>18</v>
      </c>
      <c r="F10" s="13">
        <f>B10+D10</f>
        <v>39.07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463</v>
      </c>
      <c r="D1" s="5" t="s">
        <v>464</v>
      </c>
      <c r="E1" s="5" t="s">
        <v>465</v>
      </c>
      <c r="F1" s="5" t="s">
        <v>466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20251210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467</v>
      </c>
      <c r="C7" s="5" t="s">
        <v>468</v>
      </c>
      <c r="D7" s="5" t="s">
        <v>464</v>
      </c>
      <c r="E7" s="5" t="s">
        <v>465</v>
      </c>
      <c r="F7" s="5" t="s">
        <v>469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肖四
选择
2、3、4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卷子
2025
数二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59.12</v>
      </c>
      <c r="E10" s="12" t="s">
        <v>18</v>
      </c>
      <c r="F10" s="13">
        <f>B10+D10</f>
        <v>61.37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zoomScale="85" zoomScaleNormal="8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467</v>
      </c>
      <c r="C1" s="5" t="s">
        <v>468</v>
      </c>
      <c r="D1" s="5" t="s">
        <v>464</v>
      </c>
      <c r="E1" s="5" t="s">
        <v>465</v>
      </c>
      <c r="F1" s="5" t="s">
        <v>469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20251211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471</v>
      </c>
      <c r="D7" s="5" t="s">
        <v>471</v>
      </c>
      <c r="E7" s="5" t="s">
        <v>471</v>
      </c>
      <c r="F7" s="5" t="s">
        <v>472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笔记浓缩</v>
      </c>
      <c r="C9" s="11" t="str" cm="1">
        <f ca="1" t="array" ref="C9">IF(COUNTA(INDIRECT(_xlfn.CONCAT($G2,"!",CHAR(64+COLUMN()),7)))&gt;0,INDIRECT(_xlfn.CONCAT($G2,"!",CHAR(64+COLUMN()),7)),"")</f>
        <v>肖四
选择
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肖四
大题
3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34.8</v>
      </c>
      <c r="E10" s="12" t="s">
        <v>18</v>
      </c>
      <c r="F10" s="13">
        <f>B10+D10</f>
        <v>38.55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146</vt:i4>
      </vt:variant>
    </vt:vector>
  </HeadingPairs>
  <TitlesOfParts>
    <vt:vector size="146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  <vt:lpstr>20251203</vt:lpstr>
      <vt:lpstr>20251204</vt:lpstr>
      <vt:lpstr>20251205</vt:lpstr>
      <vt:lpstr>20251206</vt:lpstr>
      <vt:lpstr>20251207</vt:lpstr>
      <vt:lpstr>20251208</vt:lpstr>
      <vt:lpstr>20251209</vt:lpstr>
      <vt:lpstr>20251210</vt:lpstr>
      <vt:lpstr>20251211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2025-12-11T15:35:46Z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42B4D01805574DBF9293A43B2F780FEE_12</vt:lpwstr>
  </property>
  <property fmtid="{D5CDD505-2E9C-101B-9397-08002B2CF9AE}" pid="4" name="CalculationRule">
    <vt:i4>0</vt:i4>
  </property>
</Properties>
</file>