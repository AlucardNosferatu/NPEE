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firstSheet="33" activeTab="35"/>
  </bookViews>
  <sheets>
    <sheet name="20240302" sheetId="1" r:id="rId1"/>
    <sheet name="20240303" sheetId="2" r:id="rId2"/>
    <sheet name="20240304" sheetId="3" r:id="rId3"/>
    <sheet name="20240308" sheetId="4" r:id="rId4"/>
    <sheet name="20240309" sheetId="5" r:id="rId5"/>
    <sheet name="20240310" sheetId="6" r:id="rId6"/>
    <sheet name="20240311" sheetId="7" r:id="rId7"/>
    <sheet name="20240316" sheetId="8" r:id="rId8"/>
    <sheet name="20240317" sheetId="9" r:id="rId9"/>
    <sheet name="20240320" sheetId="10" r:id="rId10"/>
    <sheet name="20240322" sheetId="11" r:id="rId11"/>
    <sheet name="20240323" sheetId="12" r:id="rId12"/>
    <sheet name="20240326" sheetId="13" r:id="rId13"/>
    <sheet name="20240328" sheetId="14" r:id="rId14"/>
    <sheet name="20240401" sheetId="15" r:id="rId15"/>
    <sheet name="20240402" sheetId="16" r:id="rId16"/>
    <sheet name="20240405" sheetId="17" r:id="rId17"/>
    <sheet name="20240406" sheetId="18" r:id="rId18"/>
    <sheet name="20240408" sheetId="19" r:id="rId19"/>
    <sheet name="20240409" sheetId="20" r:id="rId20"/>
    <sheet name="20240410" sheetId="21" r:id="rId21"/>
    <sheet name="20240411" sheetId="22" r:id="rId22"/>
    <sheet name="20240412" sheetId="23" r:id="rId23"/>
    <sheet name="20240413" sheetId="24" r:id="rId24"/>
    <sheet name="20240414" sheetId="25" r:id="rId25"/>
    <sheet name="20240415" sheetId="26" r:id="rId26"/>
    <sheet name="20240416" sheetId="27" r:id="rId27"/>
    <sheet name="20240417" sheetId="28" r:id="rId28"/>
    <sheet name="20240418" sheetId="29" r:id="rId29"/>
    <sheet name="20240420" sheetId="30" r:id="rId30"/>
    <sheet name="20240421" sheetId="31" r:id="rId31"/>
    <sheet name="20240422" sheetId="32" r:id="rId32"/>
    <sheet name="20240423" sheetId="33" r:id="rId33"/>
    <sheet name="20240424" sheetId="34" r:id="rId34"/>
    <sheet name="20240425" sheetId="35" r:id="rId35"/>
    <sheet name="20240426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<sst xmlns="http://schemas.openxmlformats.org/spreadsheetml/2006/main" count="928" uniqueCount="914">
  <si>
    <t>（反常）定积分的分拆和合并建立在###定积分存在###的基础上</t>
  </si>
  <si>
    <t>伽马函数</t>
  </si>
  <si>
    <t>Γ(t)=###Int(exp(-x)*x^(t-1),x=0..∞)###（定义式）</t>
  </si>
  <si>
    <t>具有性质:Γ(t)=###(t-1)!###（计算式）</t>
  </si>
  <si>
    <t>反常积分在判断敛散性（而非求出结果）可以直接对被积函数的###因子###使用###等价无穷小###</t>
  </si>
  <si>
    <t>p积分敛散性</t>
  </si>
  <si>
    <t>被积函数1/(x^p)</t>
  </si>
  <si>
    <t>积分区间在0到1时，###p小于1###收敛，###大于等于1###发散</t>
  </si>
  <si>
    <t>积分区间在a到正无穷时（a&gt;0），###p小等于1###发散，###大于1###收敛</t>
  </si>
  <si>
    <t>立方差公式a^3-b^3=###(a-b)*(a^2+a*b+b^2)###</t>
  </si>
  <si>
    <t>1/x求原函数###ln(|x|)要把绝对值号带上！###</t>
  </si>
  <si>
    <t>瑕积分判断敛散性：先判断瑕点，然后###根据瑕点拆分###</t>
  </si>
  <si>
    <t>不等式的参数具有确定符号，可以适当放缩，比如A是正数，B-A###必然小于###B</t>
  </si>
  <si>
    <t>A是整数，1/A的绝对值###必小等于1###</t>
  </si>
  <si>
    <t>构造大收或小散</t>
  </si>
  <si>
    <t>###ln(x)&lt;&lt;&lt;x&lt;&lt;&lt;e^x###（排列ln(x)、e^x、x的发散性）</t>
  </si>
  <si>
    <t>###ln(x)^a&lt;&lt;&lt;x^b&lt;&lt;&lt;(e^x)^c###（排列(e^x)^c、ln(x)^a、x^b的发散性）</t>
  </si>
  <si>
    <t>abc不同是为了保证不存在左&gt;右的情况</t>
  </si>
  <si>
    <t>见到分母一大串，分子很短，考虑用###倒代换###</t>
  </si>
  <si>
    <t>已有等式，求等式的值，可以试着###把两个加起来除2###再变形</t>
  </si>
  <si>
    <t>嵌套分段函数，采用###整体代入###然后求###内函数不等式###的方式分类讨论</t>
  </si>
  <si>
    <t>求与x轴所围面积，先求###零点###，然后###按零点做定积分###</t>
  </si>
  <si>
    <t>沿轴旋转如果轴平行于x或y轴但不重合，先做###坐标变换让图形移动到新的位置###，使其###相对x或y轴的位置与移动前相对旋转轴的位置相同###，就可以用x或y轴的旋转公式</t>
  </si>
  <si>
    <t>沿坐标轴旋转公式: [a,b]是曲线f(x)要被旋转的区间</t>
  </si>
  <si>
    <t>沿y轴: ###2pi*Int(a,b):x*f(x)dx###</t>
  </si>
  <si>
    <t>沿x轴: ###pi*Int(a,b):(f(x)^2)dx###</t>
  </si>
  <si>
    <t>有根号的情况下，优先集中火力将其###有理化###</t>
  </si>
  <si>
    <t>一般利用###分子分母同乘使根号变平方###能把根号消掉最好</t>
  </si>
  <si>
    <t>如果根号内存在某数的平方，可以###对根号下的表达式提平方公因到根号外###</t>
  </si>
  <si>
    <t>如果有分式，试试###倒代换###</t>
  </si>
  <si>
    <t>在表达式的###分母###出现的根号下凑出###1-x^2###以运用反正弦、反余弦积分公式</t>
  </si>
  <si>
    <t>在表达式的###因式###出现的根号下凑出###1-x^2###以运用正弦、余弦积分公式</t>
  </si>
  <si>
    <t>sin的高次尽量用###诱导公式或平方和为1###换成###cos的高次###，因为后者可以###降幂成cos(2x)###</t>
  </si>
  <si>
    <t>绕x轴旋转体选用截面积时，曲线在x轴上下###无关###，因为###平方会把面积的负号取消掉###</t>
  </si>
  <si>
    <t>相同形状和面积的旋转体，距离转轴不同旋转体体积###不同###，不能###割补###、###非沿轴平移###、###改变朝向###</t>
  </si>
  <si>
    <t>极坐标方程的图形###有些不能##转为直角坐标的</t>
  </si>
  <si>
    <t>极坐标旋转公式</t>
  </si>
  <si>
    <t>沿y轴: ###2pi*Int(α,β):(Int(0,r(θ)):((r^2)*cos(θ))dr)dθ###</t>
  </si>
  <si>
    <t>沿x轴: ###2pi*Int(α,β):(Int(0,r(θ)):((r^2)*sin(θ))dr)dθ###</t>
  </si>
  <si>
    <t>拿到星形线的参数方程，怎么确定t就是对应极坐标的θ？</t>
  </si>
  <si>
    <t>已经确定t就是θ，那么t对应第一象限的积分区域就明显是0到pi/2</t>
  </si>
  <si>
    <t>点火公式：</t>
  </si>
  <si>
    <t>积分区间：###从0到pi/2###</t>
  </si>
  <si>
    <t>被积函数：###正弦或余弦的k次方###（k为正整数）</t>
  </si>
  <si>
    <t>k为偶数：###(k-1)*(k-3)*...*1*pi/(k*k-2*...*2*2)###</t>
  </si>
  <si>
    <t>k为奇数：###(k-1)*(k-3)*...*2/(k*k-2*...*3)###</t>
  </si>
  <si>
    <t>周长计算采用参数方程的弧长公式###Int(a,b):sqrt(((x'(t))^2)+((y'(t))^2))dt###</t>
  </si>
  <si>
    <t>带参数x轴旋转体，先用一般x轴旋转体公式：###pi*Int(a,b):(f(x)^2)dx###</t>
  </si>
  <si>
    <t>然后令dx=###dx(t)=x'(t)dt###</t>
  </si>
  <si>
    <t>原积分对t换元求解</t>
  </si>
  <si>
    <t>带参数x轴旋转体侧面积，先用一般x轴旋转体侧面积公式：###2pi*Int(a,b):y*sqrt(1+(y')^2)dx###</t>
  </si>
  <si>
    <t>###x'(t)=dx/dt###乘入被积函数</t>
  </si>
  <si>
    <t>###塞进sqrt里面###，###平方后与1+(y')^2相乘###，得((x'(t))^2)+((y'(t))^2)</t>
  </si>
  <si>
    <t>如果二重积分先对x求时，x的左右都被同一个函数曲线包住，###尝试对其中一侧进行恒等变换###</t>
  </si>
  <si>
    <t>比如：sin(x)=###sin(pi-x)###</t>
  </si>
  <si>
    <t>用中间值分拆（比如arcsin(y)从0到pi分拆成arcsin(y)到pi/2和pi/2到arcsin(y)）不会互相抵消么？</t>
  </si>
  <si>
    <t>问题：sin(x)dx的先x二重积分要怎么写？</t>
  </si>
  <si>
    <t>如果在积分中被积变量不是x、y，但式子中又包含x、y</t>
  </si>
  <si>
    <t>###就把他们换成a、b之类不容易混淆的参数###（建议处理）</t>
  </si>
  <si>
    <t>累次积分画出边界时，如果发现边界上下（或左右）颠倒，</t>
  </si>
  <si>
    <t>可通过###改变被积函数符号###变回有序边界</t>
  </si>
  <si>
    <t>二重积分中值定理###Int2D(D):f(x,y)dxdy=f(xm,ym)*S###</t>
  </si>
  <si>
    <t>xm、ym为###区域D内的中值###</t>
  </si>
  <si>
    <t>利用###累次极限###求f(xm,ym)</t>
  </si>
  <si>
    <t>S为区域D的面积</t>
  </si>
  <si>
    <t>用###g(x,y)=1###换掉原二重积分的被积函数来求解</t>
  </si>
  <si>
    <t>看到被积函数里含有x^2+y^2可以考虑###换成极坐标###求解</t>
  </si>
  <si>
    <t>二重积分的内层如果完全不含外层变量，可以直接###用外层的上下限之差作为系数###乘以###内层的单次积分###求解</t>
  </si>
  <si>
    <t>变限积分求导等于###被积函数换元上限参数###，再###对上限参数求导###</t>
  </si>
  <si>
    <t>有些题目外表看是（二重）积分，实际上是微分方程（无需作答）### ###</t>
  </si>
  <si>
    <t>常数变异法y=###C(x)*e^(Int(P(x),dx))###，原微分方程的齐次微分方程为y'+P(x)y=0</t>
  </si>
  <si>
    <t>极坐标积分当中cos(θ)遇到dr就可以化成###dx###，同理sin(θ)遇到dr可以化成###dy###</t>
  </si>
  <si>
    <t>积分中如果出现被积函数和积分变量组成f'x*dx+f'y*dy时</t>
  </si>
  <si>
    <t>根据全微分公式dz=###f'x*dx+f'y*dy###</t>
  </si>
  <si>
    <t>被积函数和积分变量变成###1*dz###</t>
  </si>
  <si>
    <t>得到积分的结果z(x,y)或z(ρ*cos(θ),ρ*sin(θ))</t>
  </si>
  <si>
    <t>不定积分###没###保号性，###不能###用在不等式，因为###C会改变大小关系###</t>
  </si>
  <si>
    <t>拉格朗日中值：###f(a)=f(b)且f在a到b连续###成立时，可推出###中间必有f'(x)=0###</t>
  </si>
  <si>
    <t>二重积分的绝对值不等式###|±Int2D(D):f(x,y)dxdy|&lt;=Int2D(D):|f(x,y)|dxdy###</t>
  </si>
  <si>
    <t>船坞的二重积分题</t>
  </si>
  <si>
    <t>总水压问题</t>
  </si>
  <si>
    <t>单点的水压公式是ρ*g*h（h为水深，即水面到当前位置的垂直距离（无需作答）### ###</t>
  </si>
  <si>
    <t>由于受力几何为面，根据力的合成与分解，要把所有点上受到的水压进行累积</t>
  </si>
  <si>
    <t>累积方式采用二重积分</t>
  </si>
  <si>
    <t>dy即###深度###方向积分</t>
  </si>
  <si>
    <t>积分区间从###0到t###</t>
  </si>
  <si>
    <t>dx即###水平###方向积分</t>
  </si>
  <si>
    <t>积分区间从###-x(y)到x(y)###</t>
  </si>
  <si>
    <t>抽水做功问题</t>
  </si>
  <si>
    <t>假设抽出水是刚体，向上平移直到###每一滴水刚好离开原液面###</t>
  </si>
  <si>
    <t>单点对抗重力做功的公式是M*h=###ρ*g*h=ρ*g*(t-y)###（t为水平面位置）</t>
  </si>
  <si>
    <t>单点在同一高度、同一横向距离对抗重力做功相同，可以合并为做功的###环###状微元</t>
  </si>
  <si>
    <t>###ρ*g*(t-y)###（单点做功）乘###2*π*x###（形状累积）得到微元的做功量###ρ*g*(t-y)*2*π*x###</t>
  </si>
  <si>
    <t>由于做功几何为体，根据能量守恒定律，要把所有微元上对抗重力做功进行累积</t>
  </si>
  <si>
    <t>由于一侧的x就对应到整个微元，因此积分区间###只有从0到x(y)###</t>
  </si>
  <si>
    <t>具体点偏导数可以先###代###后###求###，比如f'x(0,0)可以先###求f(x,0)###再###对其求x的导数###</t>
  </si>
  <si>
    <t>如果z能写成z(u,v)，而u和v又能写成u(x)和v(x)，那么dz/dx=###(dz/du)*(du/dx)+(dz/dv)*(dv/dx)###</t>
  </si>
  <si>
    <t>如果z=z(x,y)里面x和y过于复杂，可以把部分x和y的表达式###用u(x,y)、v(x,y)来表示###，然后再用###复合函数求导###来求</t>
  </si>
  <si>
    <t>已知偏导数求原函数</t>
  </si>
  <si>
    <t>使用###偏积分###和###待定非积分变量函数（例如：对x积分后面带上phi(y)）###</t>
  </si>
  <si>
    <t>用已知原函数z(x,y)在###积分变量为特值###时的表达式和上式列等式，求出###待定非积分变量函数具体形式###</t>
  </si>
  <si>
    <t>例如：2*y+phi(x)在y=1时与1+x相等，则phi(x)=###x-1###</t>
  </si>
  <si>
    <t>二元函数f(u,v)，u和v又是含x的的函数</t>
  </si>
  <si>
    <t>df/dx=###(df/du)*(du/dx)+(df/dv)*(dv/dx)###</t>
  </si>
  <si>
    <t>注意df/dx仍然是含有###u和v的二元###函数</t>
  </si>
  <si>
    <r>
      <rPr>
        <sz val="11"/>
        <color theme="1"/>
        <rFont val="宋体"/>
        <charset val="134"/>
        <scheme val="minor"/>
      </rPr>
      <t>d^2f/dx^2=###</t>
    </r>
    <r>
      <rPr>
        <sz val="11"/>
        <color rgb="FFFF0000"/>
        <rFont val="宋体"/>
        <charset val="134"/>
        <scheme val="minor"/>
      </rPr>
      <t>d((df/du)*(du/dx))/dx###</t>
    </r>
    <r>
      <rPr>
        <sz val="11"/>
        <color theme="1"/>
        <rFont val="宋体"/>
        <charset val="134"/>
        <scheme val="minor"/>
      </rPr>
      <t>+###</t>
    </r>
    <r>
      <rPr>
        <sz val="11"/>
        <color rgb="FF00B0F0"/>
        <rFont val="宋体"/>
        <charset val="134"/>
        <scheme val="minor"/>
      </rPr>
      <t>d((df/dv)*(dv/dx))/dx###</t>
    </r>
  </si>
  <si>
    <t>以前半部分为例，后半部分同理可得</t>
  </si>
  <si>
    <r>
      <rPr>
        <b/>
        <sz val="11"/>
        <color rgb="FFFF0000"/>
        <rFont val="宋体"/>
        <charset val="134"/>
        <scheme val="minor"/>
      </rPr>
      <t>求导乘法法则：d((df/du)*(du/dx))/dx=###(d(df/du)/dx)</t>
    </r>
    <r>
      <rPr>
        <sz val="11"/>
        <color rgb="FFFF0000"/>
        <rFont val="宋体"/>
        <charset val="134"/>
        <scheme val="minor"/>
      </rPr>
      <t>*(du/dx)###+###(df/du)*((d(du/dx)/dx))###</t>
    </r>
  </si>
  <si>
    <t>展开(d(df/du)/dx)=###((d^2f/du^2)*(du/dx)###+###(d^2f/dudv)*(dv/dx))*(du/dx)###</t>
  </si>
  <si>
    <t>二阶微分方程如果降阶后左右同时积分不好求，直接用高阶线性的公式来求</t>
  </si>
  <si>
    <t>先求齐次通解</t>
  </si>
  <si>
    <t>先提取系数y''+p*y'+q*y=0</t>
  </si>
  <si>
    <t>求特征根r，使r满足###r^2+p*r+q=0###</t>
  </si>
  <si>
    <t>两个不等实根r1、r2则yhg=###C1*exp(r1*x)+C2*exp(r2*x)###</t>
  </si>
  <si>
    <t>两个相等实根r则yhg=###(C1+C2*x)*exp(r*x)###</t>
  </si>
  <si>
    <t>一对共轭复根（实部±虚部i）则y=###exp(实部*x)*(C1*cos(虚部*x)+C2*sin(虚部*x))###</t>
  </si>
  <si>
    <t>再求非齐次特解</t>
  </si>
  <si>
    <t>常数变易法</t>
  </si>
  <si>
    <t>设：齐次通解中###C=C(x)###</t>
  </si>
  <si>
    <t>y=###f(C(x),x)###进行###左右同时求导###，左边用###原微分方程的dy/dx###联立</t>
  </si>
  <si>
    <t>右边结果包含###C'(x)###和###C(x)###，用###已知含C(x)的y###表示###C(x)###（左右同时消去）</t>
  </si>
  <si>
    <t>得到的###C'(x)###，对其###进行积分###求出C(x)表达式</t>
  </si>
  <si>
    <t>隐函数求偏导（dz/dx、dz/dy）公式</t>
  </si>
  <si>
    <t>F(x,y,z)=0决定的z=z(x,y)</t>
  </si>
  <si>
    <t>两边同时###对x或y求导###得到###F'x+F'z*(dz/dx)=0或F'y+F'z*(dz/dy)=0###</t>
  </si>
  <si>
    <t>dz/dx=###-(F'x/F'z)###</t>
  </si>
  <si>
    <t>dz/dy=###-(F'y/F'z)###</t>
  </si>
  <si>
    <t>微分方程如果dx/dy=F(x,y)比较容易变形，可以###把x当成y的函数###求解</t>
  </si>
  <si>
    <t>微分方程如果难以分离变量，也非线性微分方程</t>
  </si>
  <si>
    <t>找到一种###可分成p=f(x,y)和x的方法###，求解###p和x###的微分方程，再代###p=f(x,y)###求出原式解</t>
  </si>
  <si>
    <t>适用场景</t>
  </si>
  <si>
    <t>化简后可以直接###变量分离###（齐次）</t>
  </si>
  <si>
    <t>化简后可以使用###常数变易###（非齐次）</t>
  </si>
  <si>
    <t>###p=f(x,y)###的类型</t>
  </si>
  <si>
    <t>最常见的：###y/x、x/y###</t>
  </si>
  <si>
    <t>一般：###x+y###</t>
  </si>
  <si>
    <t>比较少见：###不含x的f(y)###</t>
  </si>
  <si>
    <t>非常罕见（用于二阶微分方程）：###p=f(y')###</t>
  </si>
  <si>
    <t>常数变易是从齐次###通###解直接到非齐###通###解，里面已经包含了齐次###通###解和非齐###特###解</t>
  </si>
  <si>
    <t>简单概括线性微分解的结构特性</t>
  </si>
  <si>
    <t>非齐通=###齐通###+###非齐特###</t>
  </si>
  <si>
    <t>非齐A方程特±非齐B方程特=###非齐A±B方程特###</t>
  </si>
  <si>
    <t>若A±B=0，非齐A方程特±非齐B方程特=###齐特###</t>
  </si>
  <si>
    <t>定积分上下限之差正好为周期的情况下，###任意平移（x±a）###不改变定积分的数值</t>
  </si>
  <si>
    <t>高阶非齐次不要硬上常数变异，那个只适合一阶（无需作答）### ###</t>
  </si>
  <si>
    <t>高阶齐次求特征根写清楚因式分解，不然重根看不清楚到底是几重！！！（无需作答）### ###</t>
  </si>
  <si>
    <t>高阶非齐次特解看非齐次项构造</t>
  </si>
  <si>
    <t>分解合并</t>
  </si>
  <si>
    <t>有几个###exp(λx)###分成几个非齐次项</t>
  </si>
  <si>
    <t>sin和cos化简到各只有一个，化不了就得###利用线性性质分成几个###</t>
  </si>
  <si>
    <t>非齐次项原形</t>
  </si>
  <si>
    <t>一个多项式乘上exp(λ*x)的构型，如果没exp(λ*x)就是λ为0</t>
  </si>
  <si>
    <t>###exp(λ*x)原模原样###乘最后，如果没###exp(λ*x)###就乘###1###</t>
  </si>
  <si>
    <t>这种情况下看###λ在齐次特征根有几重###，###重数k次方的x###乘到最前面</t>
  </si>
  <si>
    <t>然后根据###多项式最高次数###，列出###待定系数多项式a1*(x^n)+a2*(x^(n-1))+a3*(x^(n-2))+...###，乘中间</t>
  </si>
  <si>
    <t>三坨在一起应该是###(x^k)*(a1*(x^n)+a2*(x^(n-1))+a3*(x^(n-2))+...)*exp(λ*x)###</t>
  </si>
  <si>
    <t>一个exp(a*x)乘上多项式1*cos(b*x)和多项式2*sin(b*x)的和，如果没exp(a*x)就是λ为0</t>
  </si>
  <si>
    <t>###exp(a*x)原模原样###乘最后，如果没###exp(a*x)###就乘###1###（同上）</t>
  </si>
  <si>
    <t>这种情况下看###a+bi在齐次特征根有几重###，###重数k次方的x###乘到最前面（类似上面）</t>
  </si>
  <si>
    <t>然后根据###多项式1和多项式2中的最高次数###，列出###两个待定系数多项式a1*(x^n)+...和b1*(x^n)+...###，再###分别乘sin(b*x)和cos(b*x)再加起来###，乘中间</t>
  </si>
  <si>
    <t>三坨在一起应该是###(x^k)*((a1*(x^n)+...)*sin(b*x)+(b1*(x^n)+...)*cos(b*x))*exp(a*x)###</t>
  </si>
  <si>
    <t>如果高阶线性微分方程不显含x，尽量使用###dp/dy###而不是dp/dx</t>
  </si>
  <si>
    <t>如果已经开始求dx/dy，即认为x=x(y)，不要###中途停下来换回去###，直到整个微分方程解出来前不要###对换变量###</t>
  </si>
  <si>
    <t>ln(cos(x))的定积分是###非初等的###，看到变成这样的式子，考虑###再求出一个相反的代数表达式进行抵消###</t>
  </si>
  <si>
    <t>sin(x)和cos(x)构成的复杂表达式如果没法简单化成只有一种类型，那就###都换成tan再求解###</t>
  </si>
  <si>
    <t>一定要小心根号下的三角平方，因为开根号后###原本小于0的区间就会“翻上去”###，这在去根号而换元成三角时非常常见</t>
  </si>
  <si>
    <t>有时候定积分上下限会变成无穷，但是不要怕，把###具体的形式写出来不要求解具体数值（比如tan(pi/2)）###，因为有可能###后面会代入一个arctan还原回去###</t>
  </si>
  <si>
    <t>已知解反求线性微分方程总结</t>
  </si>
  <si>
    <t>给的解一般是非齐次特解，有几个</t>
  </si>
  <si>
    <t>用它们###线性无关的差###作为齐次通解，看题设的###方程是几阶###就有几个解</t>
  </si>
  <si>
    <t>一般来说，是C*exp(r*x)的形式，这种就容易，直接用###r###求出齐次方程的原式</t>
  </si>
  <si>
    <t>然后设右边等于一个非齐次项f(x)</t>
  </si>
  <si>
    <t>###逮住一个特解ynhs###求出其导数，带入###上一步设出的非齐次方程###，求出###f(x)具体表达式###</t>
  </si>
  <si>
    <t>但也有不是的情况，那样就得构造方程组来求解了</t>
  </si>
  <si>
    <t>###逮住一个特解ynhs###求出其导数，不同阶导数列出来</t>
  </si>
  <si>
    <t>观察并总结系数C在导数里的规律</t>
  </si>
  <si>
    <t>根据规律，用###ynhs和其导数表示的表达式###组合出消去C的方程，这就是要求的微分方程</t>
  </si>
  <si>
    <t>如果一次给了一整个特解，就要仔细分析其中部分，分别都要满足题设的条件</t>
  </si>
  <si>
    <t>题设的###方程是几阶###就有几个解</t>
  </si>
  <si>
    <t>非齐次解部分</t>
  </si>
  <si>
    <t>非齐次解exp(a*x)的###a###与非齐次项exp(b*x)的###b###一致</t>
  </si>
  <si>
    <t>额外包含的x^k，k可能是对应###根的重数###</t>
  </si>
  <si>
    <t>齐次解部分</t>
  </si>
  <si>
    <t>解exp(a*x)的###a###与非齐次项exp(b*x)的###b###，其中###不一致###的部分都属于齐次解</t>
  </si>
  <si>
    <t>根据###解的剩余个数###，排除###齐次重根###，解的剩余重根项则均属于###非齐次解###</t>
  </si>
  <si>
    <t>注意，非齐次特解表达式里的系数和通解里的C是不一样的，那些系数是通过代入非齐次方程和非齐次项联立求出来的，并非一个活动的系数（未知的常量而非变量）（无需作答）### ###</t>
  </si>
  <si>
    <t>带变限积分求被积函数实则求微分方程解的题型，要注意初始条件一般是###隐含在题目里（隐含在含有变限积分的等式里）###</t>
  </si>
  <si>
    <t>比如当x等于0时，上限x的变限积分此时会###变成0###，一个积分式子，如果###上限和下限一样###，整个积分无论多复杂都###是0###</t>
  </si>
  <si>
    <t>有一道看起来像是全微分或者多元微分的题目（f(x+y)=exp(x)*f(y)+exp(y)*f(x)）,居然要用导数的定义来求解，这题的思路非常难猜出来</t>
  </si>
  <si>
    <t>题目照例隐含了一个初始条件，要x和y都为0时代入才能证出来f(0)=0</t>
  </si>
  <si>
    <t>然后用这个等于0的f(0)去跟f(△x)/△x凑出一个f'(0)</t>
  </si>
  <si>
    <t>反函数的导数，等于###原函数的导数的倒数###</t>
  </si>
  <si>
    <t>x=x(y)是y=y(x)的反函数</t>
  </si>
  <si>
    <t>y'(x)=dy/dx是y(x)的导数</t>
  </si>
  <si>
    <t>反函数x=x(y)的导数是###y(x)导数的倒数###</t>
  </si>
  <si>
    <t>即x'(y)=###dx/dy=1/(dy/dx)=1/y'(x)###</t>
  </si>
  <si>
    <t>微分方程里如果过于复杂，找到一种可以分离成p=f(x,y)和x的方法，求解p和x的微分方程，再代p=f(x,y)求出原式解</t>
  </si>
  <si>
    <t>今天补充一下，甚至还可以是f(y,y')，比如y'/y就可以拿来解2yy''=(y')^2+y^2（无需作答）### ###</t>
  </si>
  <si>
    <t>罗尔定理+微分方程证明题</t>
  </si>
  <si>
    <t>要证明zf'(z)+nf(z)=0，构造###F(x)=(x^n)*f(x)###</t>
  </si>
  <si>
    <t>要证明zf'(z)-nf(z)=0，构造###F(x)=f(x)/(x^n)###</t>
  </si>
  <si>
    <t>要证明f'(z)+nf(z)=0，构造###F(x)=(exp^nx)*f(x)###</t>
  </si>
  <si>
    <t>要证明af'(z)+bf(z)=0，构造###F(x)=(exp^(x*(b/a)))*f(x)###</t>
  </si>
  <si>
    <t>要证明f'(z)+g'(z)*f(z)=0，构造###F(x)=(exp^(g(x)))*f(x)###</t>
  </si>
  <si>
    <t>要证明f'(z)+g(z)*f(z)=0，构造###F(x)=(exp^Int(g(x)))*f(x)###</t>
  </si>
  <si>
    <t>级数Σf(n)和Int(1,∞):f(x)dx一般来说同敛散，这就叫积分测试（积分判别法）</t>
  </si>
  <si>
    <t>积分测试是一个强大的工具，但并不适用于所有情况。以下是一些情况下积分测试可能不适用的情况：</t>
  </si>
  <si>
    <r>
      <rPr>
        <b/>
        <sz val="10.5"/>
        <color rgb="FF24292F"/>
        <rFont val="Segoe UI"/>
        <charset val="134"/>
      </rPr>
      <t>函数不满足条件</t>
    </r>
    <r>
      <rPr>
        <sz val="10.5"/>
        <color rgb="FF24292F"/>
        <rFont val="Segoe UI"/>
        <charset val="134"/>
      </rPr>
      <t>：积分测试要求函数 ( f(x) ) 在 ( [1, +\infty) ) 上连续、单调递减。如果函数不满足这些条件，则无法使用积分测试。</t>
    </r>
  </si>
  <si>
    <r>
      <rPr>
        <b/>
        <sz val="10.5"/>
        <color rgb="FF24292F"/>
        <rFont val="Segoe UI"/>
        <charset val="134"/>
      </rPr>
      <t>无法积分</t>
    </r>
    <r>
      <rPr>
        <sz val="10.5"/>
        <color rgb="FF24292F"/>
        <rFont val="Segoe UI"/>
        <charset val="134"/>
      </rPr>
      <t>：有些函数在给定区间上无法求出积分，这样无法使用积分测试。比如说，( f(x) ) 可能是一个特殊函数，没有一个已知的原函数。</t>
    </r>
  </si>
  <si>
    <r>
      <rPr>
        <b/>
        <sz val="10.5"/>
        <color rgb="FF24292F"/>
        <rFont val="Segoe UI"/>
        <charset val="134"/>
      </rPr>
      <t>函数不是正的</t>
    </r>
    <r>
      <rPr>
        <sz val="10.5"/>
        <color rgb="FF24292F"/>
        <rFont val="Segoe UI"/>
        <charset val="134"/>
      </rPr>
      <t>：积分测试要求函数 ( f(x) ) 是正函数。如果函数在某些区间上为负，则积分测试可能不适用。</t>
    </r>
  </si>
  <si>
    <r>
      <rPr>
        <b/>
        <sz val="10.5"/>
        <color rgb="FF24292F"/>
        <rFont val="Segoe UI"/>
        <charset val="134"/>
      </rPr>
      <t>不是单调递减的</t>
    </r>
    <r>
      <rPr>
        <sz val="10.5"/>
        <color rgb="FF24292F"/>
        <rFont val="Segoe UI"/>
        <charset val="134"/>
      </rPr>
      <t>：积分测试要求函数 ( f(x) ) 是单调递减的。如果函数在某些区间上不是单调递减的，则积分测试可能不适用。</t>
    </r>
  </si>
  <si>
    <t>在上述情况下，可以考虑使用其他收敛性测试方法</t>
  </si>
  <si>
    <t>比较判别法</t>
  </si>
  <si>
    <t>比值测试</t>
  </si>
  <si>
    <t>根值测试</t>
  </si>
  <si>
    <t>要证明唯一性，最好是###证明不唯一，然后反证###</t>
  </si>
  <si>
    <t>单调性除了应用于不等式，还有一个关键性质（严格单调），即f(x)都是###唯一的###，###存在两个不相同的x1、x2使得f(x1)=f(x2)###是不可能的</t>
  </si>
  <si>
    <t>拐点是指###左右二阶导数异号###的点，这个点的二阶导数可能是###0###，也可能###不存在###，因此###不能###用二阶导数为0来判定是否为拐点</t>
  </si>
  <si>
    <t>而且二阶导为0，完全有可能是###“擦”到x轴但不变号###，那样也###不是###拐点</t>
  </si>
  <si>
    <t>如果要用二阶导等于0来找拐点，需要确保###三阶导不为0（二阶导单调性不变，不是“擦过”x轴）###</t>
  </si>
  <si>
    <t>拉格朗日中值定理两个要求，###连续###，###ab不相等###，要求很简单，但必须都满足才行</t>
  </si>
  <si>
    <t>二阶导###大于0###，下凹，二阶导###小于0###，上凸</t>
  </si>
  <si>
    <t>泰勒展开通项：###fn(x0)*((x-x0)^n)/n!###</t>
  </si>
  <si>
    <t>拉格朗日余项：###fnp1(ξ)*((x-x0)^(n+1))/(n+1)!###</t>
  </si>
  <si>
    <t>ξ是一个中值，介于x和x0，一般会用x和x0限定余弦的范围</t>
  </si>
  <si>
    <t>留数法对付一次有理分式</t>
  </si>
  <si>
    <t>原式=A/((ax+b)*(cx+d))</t>
  </si>
  <si>
    <t>待定系数的加减式=(B/(ax+b))+(C/(cx+d))</t>
  </si>
  <si>
    <t>求B</t>
  </si>
  <si>
    <t>把原式分母的###ax+b###遮住，留下###A/(cx+d)###</t>
  </si>
  <si>
    <t>求出###ax+b=0的根r1=-b/a###</t>
  </si>
  <si>
    <t>令###x=r1###代入###A/(cx+d)###得到###B=A/(d-c*b/a)###</t>
  </si>
  <si>
    <t>求C</t>
  </si>
  <si>
    <t>把原式分母的###cx+d###遮住，留下###A/(ax+b)###</t>
  </si>
  <si>
    <t>求出###cx+d=0的根r2=-d/c###</t>
  </si>
  <si>
    <t>令###x=r2###代入###A/(ax+b)###得到###C=A/(b-a*d/c)###</t>
  </si>
  <si>
    <t>看起来复杂，实际操作很简单，只要不是高次有理分式，算起来比解待定系数方程快（不过快这一点没啥用）</t>
  </si>
  <si>
    <t>非零因子代入</t>
  </si>
  <si>
    <t>不是整体因子的情况下，###不能###非零因子代入</t>
  </si>
  <si>
    <t>指数含自变量的情况下，底数###不能###非零因子代入</t>
  </si>
  <si>
    <t>欧拉法逼近和黎曼和的区别在于，前者是梯形，后者是矩形，定积分是黎曼和对n求趋无穷的极限（无限细分）</t>
  </si>
  <si>
    <t>定积分从a积到b的极限定义通项=###f(a+i*(b-a)/n)*(b-a)/n###，其中###f(t)以外的部分###可以提公因提到连加外面</t>
  </si>
  <si>
    <t>被积函数出现sec²或者sec*tan</t>
  </si>
  <si>
    <t>可以尝试###分部积分，把这一部分作为g'(x)###</t>
  </si>
  <si>
    <t>也可以###凑微分###，但如果###凑出来不含有被凑的结果###，还是要用上一种方法</t>
  </si>
  <si>
    <t>级数逐项求导时注意x^(n-a)如果n-a&lt;0时求导结果并不是(n-a)*x^(n-a-1)而是n-a</t>
  </si>
  <si>
    <t>两条曲线所夹区域的旋转体，注意不能用###曲线差的平方###作为被积函数，应该要用###平方的差（两个旋转体的体积差）###</t>
  </si>
  <si>
    <t>瑕积分按照定义，一定要对瑕点进行###分段求定积分的极限###，其中###每个分段的极限###都必须###存在（也就是说正负无穷不能互相抵消）###，否则不收敛</t>
  </si>
  <si>
    <t>被积函数存在大小关系的情况下，相同积分区间的定积分###维持相同的大小关系###</t>
  </si>
  <si>
    <t>比如在0到pi/6区间上sinx小于x，导致sin/x&lt;1&lt;x/sinx，因此他们的积分###S1&lt;pi/6&lt;S2###（S1为sin/x的积分，S2为x/sin的积分）</t>
  </si>
  <si>
    <t>要算△y都是要求用###y'(x0)*△x###来近似的（x0为近似起始点）</t>
  </si>
  <si>
    <t>sec的不定积分是###ln|sec+tan|###，csc的不定积分是###ln|csc-cot|###</t>
  </si>
  <si>
    <t>变限积分对应无穷小的阶数秒杀</t>
  </si>
  <si>
    <t>上限函数g(x)的阶数n</t>
  </si>
  <si>
    <t>被积函数f(x)的阶数m</t>
  </si>
  <si>
    <t>变限积分Lim(x-&gt;0):Int(0,g(x)):f(t)dt的阶数=###n*(m+1)###</t>
  </si>
  <si>
    <t>两个无穷小加减得到的新无穷小阶数为###旧无穷小中阶数较小的那一个（例：4阶±8阶=4阶）###</t>
  </si>
  <si>
    <t>极限保号性：如果极限为一个数值大于或者小于0，则被求极限的表达式在###趋向点附近的去心邻域###也大于或者小于0</t>
  </si>
  <si>
    <t>全微分（知识盲区）</t>
  </si>
  <si>
    <t>先从知道的部分开始说起</t>
  </si>
  <si>
    <t>二元函数z=f(x,y)它的全微分dz=f'x(x,y)*dx+f'y(x,y)*dy</t>
  </si>
  <si>
    <t>一元函数y=f(x)它的微分dy=f'(x)*dx</t>
  </si>
  <si>
    <t>△y/△z是曲线/曲面增量，dy/dz是切线/切面增量，注意微分是后者而非前者</t>
  </si>
  <si>
    <t>可以推出的部分</t>
  </si>
  <si>
    <r>
      <rPr>
        <sz val="11"/>
        <color theme="1"/>
        <rFont val="宋体"/>
        <charset val="134"/>
        <scheme val="minor"/>
      </rPr>
      <t>①由△y=f(x0+△x)-f(x0)=###</t>
    </r>
    <r>
      <rPr>
        <sz val="11"/>
        <color rgb="FFFF0000"/>
        <rFont val="宋体"/>
        <charset val="134"/>
        <scheme val="minor"/>
      </rPr>
      <t>f'(x0)*△x+o(ρ)###，o(ρ)为曲线和切线的误差</t>
    </r>
  </si>
  <si>
    <r>
      <rPr>
        <sz val="11"/>
        <color theme="1"/>
        <rFont val="宋体"/>
        <charset val="134"/>
        <scheme val="minor"/>
      </rPr>
      <t>②得△z=f(x0+△x,y0+△y)-f(x0,y0)=###</t>
    </r>
    <r>
      <rPr>
        <sz val="11"/>
        <color rgb="FFFF0000"/>
        <rFont val="宋体"/>
        <charset val="134"/>
        <scheme val="minor"/>
      </rPr>
      <t>f'x(x0,y0)*△x+f'y(x0,y0)*△y+o(ρ)###，o(ρ)为曲面和切面的误差</t>
    </r>
  </si>
  <si>
    <r>
      <rPr>
        <sz val="11"/>
        <color theme="1"/>
        <rFont val="宋体"/>
        <charset val="134"/>
        <scheme val="minor"/>
      </rPr>
      <t>③由△y=f(x)-f(x0)=###</t>
    </r>
    <r>
      <rPr>
        <sz val="11"/>
        <color rgb="FFFF0000"/>
        <rFont val="宋体"/>
        <charset val="134"/>
        <scheme val="minor"/>
      </rPr>
      <t>f'(x0)*(x-x0)+o(ρ)###，o(ρ)为曲线和切线的误差</t>
    </r>
  </si>
  <si>
    <r>
      <rPr>
        <sz val="11"/>
        <color theme="1"/>
        <rFont val="宋体"/>
        <charset val="134"/>
        <scheme val="minor"/>
      </rPr>
      <t>④得△z=f(x,y)-f(x0,y0)=###</t>
    </r>
    <r>
      <rPr>
        <sz val="11"/>
        <color rgb="FFFF0000"/>
        <rFont val="宋体"/>
        <charset val="134"/>
        <scheme val="minor"/>
      </rPr>
      <t>f'x(x0,y0)*(x-x0)+f'y(x0,y0)*(y-y0)+o(ρ)###，o(ρ)为曲面和切面的误差</t>
    </r>
  </si>
  <si>
    <t>需要死记硬背的公式</t>
  </si>
  <si>
    <t>Lim:###(A-B)/C###=0</t>
  </si>
  <si>
    <t>第一种：△x-&gt;0,△y-&gt;0，A对应②式等号左，B对应②式等号右（不包含误差o(ρ)）</t>
  </si>
  <si>
    <t>第二种：x-&gt;x0,y-&gt;y0，A对应④式等号左，B对应④式等号右（不包含误差o(ρ)）</t>
  </si>
  <si>
    <t>总结：分子相减都是求误差o(ρ)，分母都是△x/△y的欧几里得范数（平方和再开根号，相当于直角三角形的斜边长）</t>
  </si>
  <si>
    <t>内涵：意思是###这个误差###相对于###起点(x0,y0)到目标(x,y)的直线距离###是可以忽略不计的</t>
  </si>
  <si>
    <t>给一个极限式子，求出dz的一类题</t>
  </si>
  <si>
    <t>对给的极限变形，使其凑出###需要死记硬背的公式的公式###</t>
  </si>
  <si>
    <t>根据###需要死记硬背的公式的公式###，把里面###f'x和f'y###的部分提取出来，</t>
  </si>
  <si>
    <t>然后再把###f'x和f'y###放进###dz=f'x(x,y)*dx+f'y(x,y)*dy###，求出dz</t>
  </si>
  <si>
    <t>极限脱帽法：如果lim(x-&gt;0):f(x)=A，则f(x)=###A+o(x)###</t>
  </si>
  <si>
    <t>微分方程构造解证明微分中值定理</t>
  </si>
  <si>
    <t>会拿到一个微分方程，说这个微分方程必定在某区间上有解</t>
  </si>
  <si>
    <t>那就先解这个微分方程，注意，不要解到y，解出第一个C就行</t>
  </si>
  <si>
    <t>可以把y'当成y，y''当成y'，只要保证最高阶是1阶导就行</t>
  </si>
  <si>
    <t>目的是为了方便运用微分中值定理</t>
  </si>
  <si>
    <t>然后改写通解y=g(C,x)成###C=h(y,x)###，令F(x)=###C=h(y,x)=h(f(x),x)###作构造函数</t>
  </si>
  <si>
    <t>然后会发现F'(x)=0就是原微分方程必有解的等价式</t>
  </si>
  <si>
    <t>用题设条件证明F(x)在某区间上必有相同的两根</t>
  </si>
  <si>
    <t>用罗尔定理和已知存在的相同两根证存在x使得F'(x)=0</t>
  </si>
  <si>
    <t>可微和可导的关系</t>
  </si>
  <si>
    <t>联系</t>
  </si>
  <si>
    <t>一元函数中可导与可微等价。</t>
  </si>
  <si>
    <t>多元函数的话，可微###一定###可导，可导###未必###可微。</t>
  </si>
  <si>
    <t>含义（设函数y= f(x)）</t>
  </si>
  <si>
    <t>可微</t>
  </si>
  <si>
    <t>若自变量在点x的改变量Δx与函数相应的改变量Δy有关系Δy=###A*Δx+o(Δx)###，其中A与Δx无关</t>
  </si>
  <si>
    <t>则称函数f(x)在点x可微，并称###AΔx###为函数f(x)在点x的微分，记作dy，即dy=###AΔx###，当x=x0时，则记作dy|x=x0。</t>
  </si>
  <si>
    <t>o(Δx)/Δx-&gt;###0###</t>
  </si>
  <si>
    <t>可导</t>
  </si>
  <si>
    <t>如果y在x=x0处###左右导数分别存在且相等###</t>
  </si>
  <si>
    <t>则称y在x=x0处可导</t>
  </si>
  <si>
    <t>题目要求证明数列极限存在→使用###单调有界###定理</t>
  </si>
  <si>
    <t>已知f'(x)求单调性，在证明题当中不能用特值，必须求###f''(x)###并###确定其符号###，才能证明f'(x)单调</t>
  </si>
  <si>
    <t>微分算子法本质上还是传统方法，但是围绕齐次特征多项式的根改良了运算步骤</t>
  </si>
  <si>
    <t>比如y''-3y'+2y=非齐次项，它的齐次多项式为###r^2-3r+2###</t>
  </si>
  <si>
    <t>齐次多项式为分母，分子为1，乘以非齐次项</t>
  </si>
  <si>
    <r>
      <rPr>
        <sz val="11"/>
        <color theme="1"/>
        <rFont val="宋体"/>
        <charset val="134"/>
        <scheme val="minor"/>
      </rPr>
      <t>非齐次项为e^2x时</t>
    </r>
    <r>
      <rPr>
        <b/>
        <sz val="11"/>
        <color rgb="FFFF0000"/>
        <rFont val="宋体"/>
        <charset val="134"/>
        <scheme val="minor"/>
      </rPr>
      <t>（千万注意指数系数不可以为0，也就是这个方法不适用于纯多项式！）</t>
    </r>
  </si>
  <si>
    <t>非齐次项和特征多项式的商为###e^2x/r^2-3r+2###</t>
  </si>
  <si>
    <t>令r=非齐次项的指数系数（上式为2），代入分母</t>
  </si>
  <si>
    <t>如果分母不为零，###和非齐次项的商###就是特解</t>
  </si>
  <si>
    <t>如果分母为零（非齐次项的指数系数是###齐次特征多项式的重根###）</t>
  </si>
  <si>
    <t>分子操作：###对r求导###</t>
  </si>
  <si>
    <t>分母操作：###乘x（对应k重根）###</t>
  </si>
  <si>
    <t>非齐次项为cos(2x)时（效果更好）</t>
  </si>
  <si>
    <t>非齐次项和特征多项式的商为###cos(2x)/r^2-3r+2###</t>
  </si>
  <si>
    <t>令r^2=###负的非齐次项自变量系数（上式为2）的平方###，代入分母</t>
  </si>
  <si>
    <t>如果分母最后剩下r的1次方，则对非齐次项进行对应的###积分###操作</t>
  </si>
  <si>
    <t>sin(x)/r相当于###对sin(x)积分###，变为###-cos(x)###</t>
  </si>
  <si>
    <t>如果除了r还有其它常数，比如sin(x)/(r+2)，则###分子分母同乘(r-2)###</t>
  </si>
  <si>
    <t>分母变成###r^2-4###，就可以直接代入r^2</t>
  </si>
  <si>
    <t>分子sin(x)###乘(r-2)###，相当于求###(sin(x))'-2*sin(x)###，即###cos(x)-2*sin(x)###</t>
  </si>
  <si>
    <t>之前提到瑕积分按照瑕点划分后每个部分都都必须收敛</t>
  </si>
  <si>
    <t>现在更要明确，如果是无穷区间上的极限，两端###都是无穷###的，要###找一个中间点x=a来进行划分###</t>
  </si>
  <si>
    <t>每个部分都收敛才整体收敛，一个不收敛整体都不收敛（不能正负无穷抵消）</t>
  </si>
  <si>
    <t>分段函数求原函数</t>
  </si>
  <si>
    <t>每个部分分别求原函数，会出现多个常数Ci，这样作答还不够</t>
  </si>
  <si>
    <t>要使每个分段共用一个C，要###求出Ci之间的关系###</t>
  </si>
  <si>
    <t>由于题设的函数是求出原函数的导数，证明###原函数可导###</t>
  </si>
  <si>
    <t>可导必###连续###，因此分段点处原函数###的极限存在且等于原函数的取值###</t>
  </si>
  <si>
    <t>分段点###极限存在###，分段点的左右极限###均存在且相等###</t>
  </si>
  <si>
    <t>分段点左右极限###脱去极限符号###后列写等式，包含###Ci和Ci+1、Ci-1之间的关系###</t>
  </si>
  <si>
    <t>可微性用【需要死记硬背的公式】来证明（无需作答）### ###</t>
  </si>
  <si>
    <t>一阶偏导连续必须证</t>
  </si>
  <si>
    <t>x偏连续：###lim(x-&gt;x0,y-&gt;y0):f'x(x,y)=f'x(x0,y0)###</t>
  </si>
  <si>
    <t>y偏连续：###lim(x-&gt;x0,y-&gt;y0):f'y(x,y)=f'y(x0,y0)###</t>
  </si>
  <si>
    <t>证明lim(x-&gt;x0):f'x(x,y0)=f'x(x0,y0)和lim(y-&gt;y0):f'y(x0,y)=f'y(x0,y0)是不够的</t>
  </si>
  <si>
    <t>举例：xy=0时为1，xy≠0时为0的分区函数，那两个极限成立，但是原函数是不连续的</t>
  </si>
  <si>
    <t>用罗尔定理证明根存在性时，所需条件与拉格朗日相同</t>
  </si>
  <si>
    <t>端点也要连续，如果因为定义域的缘故，可以在构造F(x)时###给端点单独赋值###</t>
  </si>
  <si>
    <t>举例：Int(0,x):f(t)dt/x因为分母限制定义域导致0点上无定义</t>
  </si>
  <si>
    <t>为保证连续，用###取极限###求出0点连续需要的值</t>
  </si>
  <si>
    <t>分段，将上式结果赋给x=0时的f(x)</t>
  </si>
  <si>
    <t>信号：式子中出现x^n,n-&gt;∞，考虑|x|在###1###为分界的分段讨论</t>
  </si>
  <si>
    <t>曲率本质上是###切线夹角的微分###除以###弧长###（用###直角三角形斜边###近似）的微分</t>
  </si>
  <si>
    <t>函数奇偶性补充</t>
  </si>
  <si>
    <t>奇函数的f(0)=###0###</t>
  </si>
  <si>
    <t>偶函数导数为###奇函数###，奇函数的原函数###一定###为偶函数</t>
  </si>
  <si>
    <t>奇函数导数为###偶函数###，偶函数的原函数###未必###为奇函数</t>
  </si>
  <si>
    <t>相同奇偶性相乘为###偶函数###</t>
  </si>
  <si>
    <t>偶函数乘偶函数为###偶函数###</t>
  </si>
  <si>
    <t>奇函数乘奇函数为###偶函数###</t>
  </si>
  <si>
    <t>偶函数乘奇函数为###奇函数###</t>
  </si>
  <si>
    <t>极限趋向点###找不到处处有定义的去心邻域###时，会变为###无法求极限（不是极限不存在）###</t>
  </si>
  <si>
    <t>被积函数中两表达式和为定值的秒杀法</t>
  </si>
  <si>
    <t>假设用两个函数相加f(x)+g(x)，当###对其进行求导得0###时，可知二者和为一定值</t>
  </si>
  <si>
    <t>这个定值可以###随便找一个x代入（因为是定值，x取多少都一样）###来求解</t>
  </si>
  <si>
    <t>多用于对称区间的偶函数积分（偶函数→区间对折+被积函数叠加）</t>
  </si>
  <si>
    <t>验算&amp;选填秒杀法：抽象函数的特值法（符合题设条件构造一个最简单的函数作为f(x)）（无需作答）### ###</t>
  </si>
  <si>
    <t>多项式求根秒杀</t>
  </si>
  <si>
    <t>若各项系数和为0，则x=###1（把x=1代入可证）###为根</t>
  </si>
  <si>
    <t>若偶次项系数和与奇次项系数和相同，则###-1（把x=-1代入，两者抵消）###为根</t>
  </si>
  <si>
    <t>必有一根为###常数项的因子###</t>
  </si>
  <si>
    <t>多元函数极值判别式###AC-B^2###如果为0</t>
  </si>
  <si>
    <t>不是极值的情况</t>
  </si>
  <si>
    <t>可以找一个特殊的y=y(x)</t>
  </si>
  <si>
    <t>代入原式使得###f(x,y(0))的上下限超出f(x0,y0)###（(x0,y0)为极值候选点）</t>
  </si>
  <si>
    <t>是极值的情况？</t>
  </si>
  <si>
    <t>看到分式极限趋于0，如果分母趋于0，分子趋于###0###，而且是和分母###更高阶###（低阶/高阶/同阶/等价）的###无穷小###（无穷大/无穷小/常数）</t>
  </si>
  <si>
    <t>确定f(x0,y0)=0（f(x0,y0)=a）为极值点的方法（选择题）：</t>
  </si>
  <si>
    <t>如果f(x,y)能直接看出范围是最佳，但是不稳定（由于y和x都可以任取）</t>
  </si>
  <si>
    <t>找几个y=y(x)代入f(x,y)得到f1(x)、f2(x)、f3(x)...越多越明显</t>
  </si>
  <si>
    <t>如果f1(x)&gt;0，且f2(x)&lt;0，说明###有正有负###，f(x0,y0)###是中间值而非极值###（是否为极值？）</t>
  </si>
  <si>
    <t>推广：</t>
  </si>
  <si>
    <t>如果最大fn(x)比f(x0,y0)大，则f(x0,y0)###不是极大值###（是否为极大/极小值？）</t>
  </si>
  <si>
    <t>如果最大fm(x)比f(x0,y0)大，则f(x0,y0)###不是极小值###（是否为极大/极小值？）</t>
  </si>
  <si>
    <t>求f(x)的n阶导的几种做法</t>
  </si>
  <si>
    <t>归纳法：求1阶、2阶、3阶，找到规律从而写出n阶（注意，不是数学归纳！最少见的方法，一般不可能这么简单）</t>
  </si>
  <si>
    <t>莱布尼茨公式：(u*v)的n阶导=###Σ(k=0..n):C(n,k)*(u^(n-k))*v^(k)###（计算量最大的一种，而且u、v的n阶导也要求）</t>
  </si>
  <si>
    <t>C是组合数，C(n,k)=###n!/(k!*(n-k)!)###</t>
  </si>
  <si>
    <t>泰勒系数法：f在x0的n阶导就是f(x)泰展中###(x-x0)^n项的系数乘n!###（最常见的方法！重要！）</t>
  </si>
  <si>
    <t>递推法：类似归纳，但是求的是n阶和n-1阶的关系，再结合1阶导来证通项（类似数学归纳）</t>
  </si>
  <si>
    <t>重点在于求导的过程保留n-1阶的形式不要拆散</t>
  </si>
  <si>
    <t>然后可以从1阶导开始叠加求导产生的变化</t>
  </si>
  <si>
    <t>三次以上多项式因式分解</t>
  </si>
  <si>
    <t>基本方法</t>
  </si>
  <si>
    <t>试根，试出x=a时多项式p(x)=0（怎么快速试出）</t>
  </si>
  <si>
    <t>用###常数项的因数除最高次项系数的因数###去试###（注意，是因数而不只是拿它本身去试！）###</t>
  </si>
  <si>
    <t>上述方法在###根为无理数###的情况下会失效</t>
  </si>
  <si>
    <t>p(x)对(x-a)进行长除法得到新的p(x)</t>
  </si>
  <si>
    <t>重复上述操作直到余只剩下常数</t>
  </si>
  <si>
    <t>交叉相乘</t>
  </si>
  <si>
    <t>x^2+a*x+b分解为(c+x)(d+x)</t>
  </si>
  <si>
    <t>c、d满足###c+d=a且c*d=b###</t>
  </si>
  <si>
    <t>a*x^2+b*x+c分解为(d+e*x)(f+g*x)</t>
  </si>
  <si>
    <t>d*f=###c###且e*g=###a###且###d*g+e*f###=b</t>
  </si>
  <si>
    <t>待定系数法（最终手段，大计算量，包解）</t>
  </si>
  <si>
    <t>a1*x^n+a2*x^(n-1)+a3*x^(n-2)+...+an=</t>
  </si>
  <si>
    <t>(b1+c1*x)*(d1*x^(n-1)+d2*x^(n-2)+d3*x^(n-3)+...+dn-1)=</t>
  </si>
  <si>
    <t>(b1+c1*x)*(b2+c2*x)*(e1*x^(n-2)+e2*x^(n-3)+e3*x^(n-4)+...+en-2)=</t>
  </si>
  <si>
    <t>(b1+c1*x)*(b2+c2*x)*(b3+c3*x)*...*(bn+cn*x)</t>
  </si>
  <si>
    <t>注意sin(1/x)在x趋于0的问题</t>
  </si>
  <si>
    <t>sin(1/x)在x趋于0时，1/x趋于###无穷###，sin(1/x)###无限次上下震荡，遍历-1到1之间的所有值###</t>
  </si>
  <si>
    <t>首先由于###震荡###导致极限不存在，这是第一层</t>
  </si>
  <si>
    <t>其次由于###遍历-1到1之间所有值###，导致该式会等于###真0（非无穷小）###，这又导致该表达式###乘上任何其它表达式都为0###（对整体的影响）</t>
  </si>
  <si>
    <t>最后由于###真0的存在###，当它作为分母时，###无论去心邻域如何缩小，都存在分母为真0导致无定义的情况###，这样极限就无法求取</t>
  </si>
  <si>
    <t>海涅定理（归结定理）</t>
  </si>
  <si>
    <t>xn是满足两个条件的任意数列（特别注意是任意，存在特例不能推到函数极限）</t>
  </si>
  <si>
    <t>总有###xn≠a###（xn和a的关系）</t>
  </si>
  <si>
    <t>n趋于无穷时，xn趋###a###</t>
  </si>
  <si>
    <t>而且n趋于无穷时f(xn)=A</t>
  </si>
  <si>
    <t>那么x趋于a时，###f(x)趋于A###（对f的影响）</t>
  </si>
  <si>
    <t>点到直线的距离</t>
  </si>
  <si>
    <t>假设直线的方程为ax+by+c=0</t>
  </si>
  <si>
    <t>点到直线距离为###|ax+by+c|/sqrt(a^2+b^2)###</t>
  </si>
  <si>
    <t>代数运算夹带绝对值不方便，可以先求距离的###平方###把绝对值变成###平方###，分母根号也能消掉</t>
  </si>
  <si>
    <t>目标函数一阶偏导为0与约束方程联立却无实根的原因</t>
  </si>
  <si>
    <t>目标函数为点到直线的距离，一阶偏导为0的点即###到直线距离最短###的点（何参数取得最值）</t>
  </si>
  <si>
    <t>由图形分析可知###距离最短为0###（最值为何），即###该点必在直线上###（和直线的关系）</t>
  </si>
  <si>
    <t>但若约束方程与直线方程不相交，则###二者不存在交点###，不存在同时满足###约束成立又距离为0###的点</t>
  </si>
  <si>
    <t>总结起来这就是属于目标函数极点不在可行域（约束）内的情况</t>
  </si>
  <si>
    <t>这种情况下，极值必出现在###可行域（约束）的边界###上</t>
  </si>
  <si>
    <t>应把###约束方程###推出的###y=y(x)关系###代入###目标函数###，再重新计算###目标函数导数为0点###（代入导致消元）</t>
  </si>
  <si>
    <t>圆锥体积计算V=###底圆面积*高/3###</t>
  </si>
  <si>
    <t>背对背的两个同底面圆锥（三角形绕底边旋转）体积V=###底圆面积*(高1+高2)/3###</t>
  </si>
  <si>
    <t>###底圆面积S###=pi*旋转截面三角形的高^2，V=###(pi/3)*(旋转截面三角形的高^2)*(高1+高2)###（用左式表达）</t>
  </si>
  <si>
    <t>###高1+高2###=旋转截面三角形的底，V=###(pi/3)*(旋转截面三角形的高^2)*(旋转截面三角形的底)###（用左式表达）</t>
  </si>
  <si>
    <t>拉格朗日乘数法</t>
  </si>
  <si>
    <t>已知目标函数f(x,y,z)和约束g(x,y,z)=0</t>
  </si>
  <si>
    <t>列出拉格朗日函数l(x,y,z,λ)=###f(x,y,z)-λ*g(x,y,z)###</t>
  </si>
  <si>
    <t>对拉格朗日函数求###偏导为0###的方程组：###lx(x,y,z,λ)=0,ly(x,y,z,λ)=0,lz(x,y,z,λ)=0,lλ(x,y,z,λ)=0###</t>
  </si>
  <si>
    <t>求解上述方程组，得到解(x0,y0,z0)、(x1,y1,z1)...</t>
  </si>
  <si>
    <t>把解回代目标函数得到值，比较值大小，判断极大还是极小</t>
  </si>
  <si>
    <t>Stolz定理（离散版洛必达）</t>
  </si>
  <si>
    <t>*/∞型数列极限（分母yn趋+∞）</t>
  </si>
  <si>
    <t>分母yn###严格单增###（满足某种性态）</t>
  </si>
  <si>
    <t>0/0型数列极限（分子xn、分母yn趋0）</t>
  </si>
  <si>
    <t>分母yn###严格单减###（满足某种性态）</t>
  </si>
  <si>
    <t>n趋无穷时，xn/yn的极限等于###(xn+1-xn)/(yn+1-yn)###（关于xn和yn的表达式）的极限</t>
  </si>
  <si>
    <t>后者极限存在性：###存在或为±∞###</t>
  </si>
  <si>
    <t>闭区间连续函数的性质</t>
  </si>
  <si>
    <t>有界性：f(x)在[a,b]上连续→f(x)在[a,b]上###有上界M和下界m###</t>
  </si>
  <si>
    <t>最值定理：f(x)在[a,b]上连续→f(x)在[a,b]上有###最大最小值###</t>
  </si>
  <si>
    <t>介值定理：f(x)在[a,b]上连续，且###f(a)≠f(b)###→存在###(a,b)###上的x0，使得###min(f(a),f(b))&lt;f(x0)&lt;max(f(a),f(b))###</t>
  </si>
  <si>
    <t>零点定理：f(x)在[a,b]上连续，且###f(a)*f(b)&lt;0###→存在###(a,b)###上的x0，使###f(x0)=0###</t>
  </si>
  <si>
    <t>极值点的定义</t>
  </si>
  <si>
    <t>首先要求###这个点的邻域有定义###（回忆口诀）</t>
  </si>
  <si>
    <t>所以区间的端点，###无论区间开闭，都不可能是###极值点（一定是/可能是/不可能是）</t>
  </si>
  <si>
    <t>[a,b]上的极值点如果存在，也是在###(a,b)内###</t>
  </si>
  <si>
    <t>然后对于邻域内任何x都有###f(x)&lt;f(x0)###（极大）或###f(x)&gt;f(x0)###（极小），其中x0是极值点</t>
  </si>
  <si>
    <t>极值的两种可能性</t>
  </si>
  <si>
    <t>可导点，又叫做###驻点###，即###f'(x0)=0###的点</t>
  </si>
  <si>
    <t>不可导点，满足首先和然后两个要求</t>
  </si>
  <si>
    <t>多元函数极限存在性秒杀</t>
  </si>
  <si>
    <t>观察法</t>
  </si>
  <si>
    <t>x趋于0时，分子比分母###高次###，极限必存在</t>
  </si>
  <si>
    <t>x趋于0时，分子比分母###低次###，极限不存在</t>
  </si>
  <si>
    <t>公式法</t>
  </si>
  <si>
    <t>Lim(x-&gt;0,y-&gt;0):(x^p*y^q)/(x^m+y^n)</t>
  </si>
  <si>
    <t>m、n不全为偶数，极限必###不存在###</t>
  </si>
  <si>
    <t>m、n全为偶数，写出判别式###(p/m)+(q/n)###（p、q、m、n的表达式）：</t>
  </si>
  <si>
    <t>若判别式###大于1###，则极限存在且等于###0###</t>
  </si>
  <si>
    <t>若判别式###小于等于1###，则极限不存在</t>
  </si>
  <si>
    <t>以上方法可以对极限表达式的一部分使用（即可以凑出部分满足分式形式）</t>
  </si>
  <si>
    <t>分段函数分段点求导</t>
  </si>
  <si>
    <t>分别求###左导数###和###右导数###，确认两者###相等###，导数才存在</t>
  </si>
  <si>
    <t>一边极限###不存在###，或者均存在但###不相等###，导数也是不存在</t>
  </si>
  <si>
    <t>洛必达使用限制</t>
  </si>
  <si>
    <t>能不能变形</t>
  </si>
  <si>
    <t>条件一：满足构型</t>
  </si>
  <si>
    <t>条件二：###趋向点的去心邻域内###可导，且###分母求导不存在真0###</t>
  </si>
  <si>
    <t>条件三：变形后极限存在或###为无穷大###，其它情况特别是###震荡和跳跃###的情况下不能用</t>
  </si>
  <si>
    <t>能不能求解</t>
  </si>
  <si>
    <t>转变前，导函数必须有定义（条件二要求）</t>
  </si>
  <si>
    <t>转变后，###导函数极限可能不存在###的情况下，不能求</t>
  </si>
  <si>
    <t>###导函数连续###可以杜绝上述情况</t>
  </si>
  <si>
    <t>相似的，原极限存在，###不能###推变形后的极限存在</t>
  </si>
  <si>
    <t>斜渐近线y=kx+b的求法</t>
  </si>
  <si>
    <t>求斜率k</t>
  </si>
  <si>
    <t>求x趋###无穷###时，###f(x)/x###的极限</t>
  </si>
  <si>
    <t>求截距b</t>
  </si>
  <si>
    <t>求x趋###无穷###时，###f(x)-kx###的极限</t>
  </si>
  <si>
    <t>牛顿法</t>
  </si>
  <si>
    <t>假设存在一个f(x)=0的方程，但你死活都解不出来</t>
  </si>
  <si>
    <t>所以你退而求其次，猜测该方程有一个解为a</t>
  </si>
  <si>
    <t>对x=a时的f(x)求###切线方程###，求出###切线的x轴交点a2###</t>
  </si>
  <si>
    <t>先求###切线方程：f'(a)(x-a)+f(a)=y###</t>
  </si>
  <si>
    <t>后求###x轴交点：f'(a)(a2-a)+f(a)=0###</t>
  </si>
  <si>
    <t>这个后求出的###a2###就是###下一次估算开始的点###</t>
  </si>
  <si>
    <t>但是牛顿法也有可能失效</t>
  </si>
  <si>
    <t>###f'(a)接近0###的情况下，###切线斜率###变得很小，###切线###几乎是横着，误差会变得非常大</t>
  </si>
  <si>
    <t>如果原方程的根不止一个，可能得到的不是想要的根</t>
  </si>
  <si>
    <t>近似可能越来越差（误差越来越大），比如f(x)=x^(1/3)</t>
  </si>
  <si>
    <t>碰到拐点可能导致###两个近似点来回逼近###</t>
  </si>
  <si>
    <t>伸缩j级数求和：###Σ(j=a..b):(f(j)-f(j-1))=f(b)-f(a-1)###</t>
  </si>
  <si>
    <t>一定要注意！绕轴旋转平移法要保证###平移前后图形和旋转轴的相对位置一致###，如果朝向相反也是###不行###的！！！</t>
  </si>
  <si>
    <t>如果旋转体的截面不是函数的定积分（换句话说，是函数曲线上方的部分）</t>
  </si>
  <si>
    <t>可以###采用体积差（倒模）的方法求解###（参考20240406笔记）</t>
  </si>
  <si>
    <t>均值不等式</t>
  </si>
  <si>
    <t>a^2+b^2###&gt;=2ab###，当且仅当###a=b###时###取等号###</t>
  </si>
  <si>
    <t>a+b###&gt;=2sqrt(ab)###，当且仅当###a=b###时###取等号###</t>
  </si>
  <si>
    <t>a+b+c###&gt;=3curt(abc)###，当且仅当###a=b=c###时###取等号###</t>
  </si>
  <si>
    <t>a1+a2+...+an###&gt;=n*(a1*a2*..*an)^(1/n)###，当且仅当###a1=a2=..=an###时###取等号###</t>
  </si>
  <si>
    <t>求导变量和积分变量连在一起作为被积函数，要先分离再求导</t>
  </si>
  <si>
    <t>乘积关系提到积分前面，比如Int(0,x):x*f(t)dt=###x*Int(0,x):f(t)dt###</t>
  </si>
  <si>
    <t>加减关系拆开，比如Int(0,x):(x+t)*f(t)dt=###x*Int(0,x):f(t)dt+Int(0,x):t*f(t)dt###</t>
  </si>
  <si>
    <t>在抽象函数的因变量里，要进行换元</t>
  </si>
  <si>
    <t>令u=###x-t###代入Int(0,x):f(x-t)dt得到###Int(0,x):f(u)du（区间再现）###</t>
  </si>
  <si>
    <t>令u=###tx###代入Int(0,x):f(tx)dt得到###(1/x)*Int(0,x):f(u)du###</t>
  </si>
  <si>
    <t>因式分解的未掌握公式</t>
  </si>
  <si>
    <t>完全立方</t>
  </si>
  <si>
    <t>(a+b)³=###a³+3a²b+3ab²+b³###</t>
  </si>
  <si>
    <t>(a-b)³=###a³-3a²b+3ab²-b³###</t>
  </si>
  <si>
    <t>完全n次方：(a+b)^n=###Σ(k=0..n):C(n,k)*(a^k)*(b^(n-k))###（二项式定理）</t>
  </si>
  <si>
    <t>立方差：（参考20240302）</t>
  </si>
  <si>
    <t>立方和：a³+b³=###(a+b)*(a²-ab+b²)###</t>
  </si>
  <si>
    <t>n次方差：a^n+b^n=###(a-b)*Σ(k=0..n-1):(b^k)*(a^(n-1-k))###</t>
  </si>
  <si>
    <t>|f(x)|的最值点和f(x)^2相同</t>
  </si>
  <si>
    <t>洛必达法则，分母为无穷时可以直接用，不需要看分子（无需作答）### ###</t>
  </si>
  <si>
    <t>隐函数求导时如果只含有因变量没有自变量，可以先###对因变量求导###，然后###乘上因变量对自变量求导###</t>
  </si>
  <si>
    <t>元素aij对应余子式Mij计算</t>
  </si>
  <si>
    <t>原行列式###挖掉第i行第j列###得到新的行列式</t>
  </si>
  <si>
    <t>新行列式的计算结果###乘上(-1)^(i+j)###即得Mij</t>
  </si>
  <si>
    <t>线性相关的向量组包含n个n维向量，则这n个向量组成的n阶方阵###不满秩###</t>
  </si>
  <si>
    <t>由于不满秩，行列式###为0###</t>
  </si>
  <si>
    <t>二重积分的割补法：###被积函数相同###的情况下，二重积分可以进行割补操作</t>
  </si>
  <si>
    <t>矩阵乘法AX=B直接用初等变换法</t>
  </si>
  <si>
    <t>常规做法，A'AX=A'B=X，所以要求A'</t>
  </si>
  <si>
    <t>A|E初等变换成E|A'，再求A'B</t>
  </si>
  <si>
    <t>直接初等变换，###A|B###变换成###E|X###，一步到位</t>
  </si>
  <si>
    <t>原因：</t>
  </si>
  <si>
    <t>A-&gt;E的初等行变换即###A'###，即###A'###A=E</t>
  </si>
  <si>
    <t>A|B-&gt;E|X相当于###A'###A=E，###A'###B=X</t>
  </si>
  <si>
    <t>利用齐次微分方程通解结构来记忆线性方程组的解法</t>
  </si>
  <si>
    <t>化行最简型</t>
  </si>
  <si>
    <t>求出非齐次特解</t>
  </si>
  <si>
    <t>设k个自由变量为###0###</t>
  </si>
  <si>
    <t>k个自由变量代入方程，得到1个非齐次特解</t>
  </si>
  <si>
    <t>求出齐次通解</t>
  </si>
  <si>
    <t>把增广列改为###0###</t>
  </si>
  <si>
    <t>对k个自由变量设k个###正交值（(1,0,0,..),(0,1,0,..),(0,0,1,..)..）###</t>
  </si>
  <si>
    <t>（对应exp(λx)）k个###正交值###代入方程，得到k个###线性无关###的齐次特解</t>
  </si>
  <si>
    <t>（对应∑Ci*exp(λix)）上述k个齐次特解分别乘上系数Ci(i=1..k)，相加得到齐次通解</t>
  </si>
  <si>
    <t>含x不等式恒成立的一种思路</t>
  </si>
  <si>
    <t>把等式的右边###统统移到左边###，这样右边变成###0###</t>
  </si>
  <si>
    <t>然后左边整体###构造一个函数F(x)###，变成证明###F(x)始终大于或小于0###</t>
  </si>
  <si>
    <t>逆向思维：始终大于或小于0，即###需要最小大于或最大小于###</t>
  </si>
  <si>
    <t>特例分析：如果F(x)非单调，那么###求出极值点###，再###跟端点对比###</t>
  </si>
  <si>
    <t>极值求取：先用###F'(x)=0###求出###驻点###</t>
  </si>
  <si>
    <t>如果左右导数异号，那###就是极值点了###，否则###不是###</t>
  </si>
  <si>
    <t>端点对比：求取端点，然后跟极值比较，取最值</t>
  </si>
  <si>
    <t>特例分析：如果F(x)单调，那么###最小或最大必在一端###</t>
  </si>
  <si>
    <t>求出###对应一端的值###</t>
  </si>
  <si>
    <t>利用###F'(x)的符号###证明单调性</t>
  </si>
  <si>
    <t>必要时###递归操作###，用###F''(x)###来证明###F'(x)的符号###</t>
  </si>
  <si>
    <t>积分第一中值定理</t>
  </si>
  <si>
    <t>f(x)的要求：###在[a,b]上连续###</t>
  </si>
  <si>
    <t>g(x)的要求：###在[a,b]上连续且不变号###</t>
  </si>
  <si>
    <t>###[a,b]###上至少存在一个中值c</t>
  </si>
  <si>
    <t>使得Int(a,b):###f(x)*g(x)###dx=###f(c)*Int(a,b):g(x)dx###</t>
  </si>
  <si>
    <t>被积函数偶倍奇零</t>
  </si>
  <si>
    <t>若f(x)在[-a,a]上连续</t>
  </si>
  <si>
    <t>若f(x)为偶函数，则Int(-a,a):f(x)dx=###2*Int(0,a):f(x)dx###</t>
  </si>
  <si>
    <t>若f(x)为奇函数，则Int(-a,a):f(x)dx=###0###</t>
  </si>
  <si>
    <t>三角信号能量守恒定律</t>
  </si>
  <si>
    <t>f(x)在[0,1]上连续</t>
  </si>
  <si>
    <t>Int(0,π/2):f(sin(x))dx=###Int(0,π/2):f(cos(x))dx###</t>
  </si>
  <si>
    <t>Int(0,π):f(sin(x))dx=2*Int(0,π/2):f(sin(x))dx</t>
  </si>
  <si>
    <t>换元移相：Int(0,π):f(sin(x))dx=###Int(-π/2,π/2):f(sin(x+π/2))dx###</t>
  </si>
  <si>
    <t>正余转换：Int(0,π):f(sin(x))dx=###Int(-π/2,π/2):f(cos(x))dx###</t>
  </si>
  <si>
    <t>偶倍奇零：Int(0,π):f(sin(x))dx=###2*Int(0,π/2):f(cos(x))dx###</t>
  </si>
  <si>
    <t>###f(cos(x))###是###偶###函数，与f(x)的奇偶性###无关###</t>
  </si>
  <si>
    <t>能量守恒：Int(0,π):f(sin(x))dx=###2*Int(0,π/2):f(sin(x))dx###</t>
  </si>
  <si>
    <t>f(x)为偶函数，Int(0,π):f(cos(x))dx=2*Int(0,π/2):f(cos(x))dx</t>
  </si>
  <si>
    <t>换元移相：Int(0,π):f(cos(x))dx=###Int(-π/2,π/2):f(cos(x+π/2))dx###</t>
  </si>
  <si>
    <t>正余转换：Int(0,π):f(cos(x))dx=###Int(-π/2,π/2):f(-sin(x))dx###</t>
  </si>
  <si>
    <t>偶倍奇零：Int(0,π):f(cos(x))dx=###2*Int(0,π/2):f(sin(x))dx###</t>
  </si>
  <si>
    <t>f(x)为偶函数，###f(-sin(-x))=f(sin(x))=f(-sin(x))###→f(-sin(x))也为偶函数</t>
  </si>
  <si>
    <t>f(x)为奇函数，Int(0,π):f(cos(x))dx=0</t>
  </si>
  <si>
    <t>偶倍奇零：Int(0,π):f(cos(x))dx=###0###</t>
  </si>
  <si>
    <t>f(x)为奇函数，###f(-sin(-x))=f(sin(x))=-f(-sin(x))###→f(-sin(x))也为奇函数</t>
  </si>
  <si>
    <t>上述###被积函数为f(cos(x))###的积分式中，x^n作为f(x)时，根据###n的奇偶性###找出f(x)对应的奇偶性来计算</t>
  </si>
  <si>
    <t>只有n为###偶数###时才可以推到###喷射公式###进行计算</t>
  </si>
  <si>
    <t>喷射公式中被积三角函数的次数必须是###正整数###</t>
  </si>
  <si>
    <t>定积分估值定理（中值定理定理=估值+介值）</t>
  </si>
  <si>
    <t>闭区间[a,b]内的所有x都有m&lt;=f(x)&lt;=M</t>
  </si>
  <si>
    <t>则###m*(b-a)&lt;=Int(a,b):f(x)dx&lt;=M*(b-a)###</t>
  </si>
  <si>
    <t>2018数学一选择第四题</t>
  </si>
  <si>
    <t>题设条件：三个半径π/2的对称区间定积分比大小，其中一个被积函数是(1+x)/e^x</t>
  </si>
  <si>
    <t>已经完成：已经比出其中一对的大小关系</t>
  </si>
  <si>
    <t>较大一方积分为π+2*Int(0,π/2):sqrt(cos(x))，被积函数为1+sqrt(cos(x))</t>
  </si>
  <si>
    <t>较小一方积分为π，被积函数化简（偶倍奇零）后为1</t>
  </si>
  <si>
    <t>现在只差：(1+x)/e^x的大小未确定</t>
  </si>
  <si>
    <t>逆向思维：利用###积分不等式###，分别和###两个已化简被积函数###进行比较</t>
  </si>
  <si>
    <t>逆向思维：两个被积函数都含有1的部分，可先###让(1+x)/e^x和1相比###</t>
  </si>
  <si>
    <t>把(1+x)/e^x=1###左右同乘e^x（e^x恒大于零，不会逆转不等式）###再###把等号左侧移到右侧###，得到0=###e^x-(x+1)###</t>
  </si>
  <si>
    <t>问题转为看f(x)=###e^x-(x+1)###的符号</t>
  </si>
  <si>
    <t>求###一阶导###，发现###其零点为x=0，x&lt;0时为负，x&gt;0时为正###，推出###在x=0时f(x)取得极小###</t>
  </si>
  <si>
    <t>###f(0)=0###为f(x)的###极小###，说明f(x)###&gt;=0###</t>
  </si>
  <si>
    <t>f(x)###&gt;=0###说明###(1+x)/e^x&lt;=1###，并且仅在x=###0###时###等号成立###</t>
  </si>
  <si>
    <t>(1+x)/e^x除了在x=###0###时与((1+x)^2)/(1+x^2)###相等###，其余x取值时###都小于后者###</t>
  </si>
  <si>
    <t>因此剩余的这个为三者中的最小</t>
  </si>
  <si>
    <t>反常积分的极限判别法（对付非负）</t>
  </si>
  <si>
    <t>被积函数f(x)和设的g(x)均###非负###</t>
  </si>
  <si>
    <t>当x-&gt;a（瑕积分）或x-&gt;∞（无穷积分）时，f(x)和g(x)###同阶###（不一定是###无穷小###，也不需要###等价###）</t>
  </si>
  <si>
    <t>那么###Int(a,b):f(x)dx###与###Int(a,b):g(x)dx###同敛散（区别于下面含变限积分极限的等价）</t>
  </si>
  <si>
    <t>实战化改进</t>
  </si>
  <si>
    <t>无穷积分</t>
  </si>
  <si>
    <t>找一个###x^(-n)###，n的范围：###(1,∞)###，将其作为g(x)</t>
  </si>
  <si>
    <t>在x-&gt;∞时，若f(x)/g(x)的极限存在，二者同敛散</t>
  </si>
  <si>
    <t>由于Int(a,∞):x^(-n)dx必收敛（p积分），则Int(a,∞):f(x)dx必收敛</t>
  </si>
  <si>
    <t>瑕积分</t>
  </si>
  <si>
    <t>找一个###(x-a)^(-n)###，n的范围：###(0,1)###，其中a为瑕点，将其作为g(x)</t>
  </si>
  <si>
    <t>在x-&gt;a时，若f(x)/g(x)的极限存在，二者同敛散</t>
  </si>
  <si>
    <t>由于Int(a,b):(x-a)^(-n)dx必收敛（q积分），则Int(a,b):f(x)dx必收敛</t>
  </si>
  <si>
    <t>联系和区别反常积分的比较审敛法进行记忆</t>
  </si>
  <si>
    <t>比较审敛十五字口诀：###两者均非负，大收小必收，小散大必散###</t>
  </si>
  <si>
    <t>相同：###条件均非负###</t>
  </si>
  <si>
    <t>不同：极限法###若同阶则同敛散###，比较法###按口诀比大小###</t>
  </si>
  <si>
    <t>反常积分的绝对审敛法（对付有正有负）</t>
  </si>
  <si>
    <t>原理：无穷级数的绝对收敛概念应用到无穷区间的反常积分上</t>
  </si>
  <si>
    <t>如果###Int(a,b):|f(x)|dx###收敛，那么###Int(a,b):f(x)dx###必收敛</t>
  </si>
  <si>
    <t>如果###Int(a,b):f(x)dx###发散，那么###Int(a,b):|f(x)|dx###必发散</t>
  </si>
  <si>
    <t>含变限积分极限的直接等价</t>
  </si>
  <si>
    <t>如果上限是含x的函数h(x)和i(x)</t>
  </si>
  <si>
    <t>二者能满足：###h(x)~i(x)-&gt;0###</t>
  </si>
  <si>
    <t>且###h'(x)≠0、i'(x)≠0###</t>
  </si>
  <si>
    <t>那么###Int(a,h(x)):f(x)dx~Int(a,h(x)):g(x)dx~Int(a,i(x)):f(x)dx~Int(a,i(x)):g(x)dx###</t>
  </si>
  <si>
    <t>当a和b均大于0时，lim(x-&gt;0+):(x^a)*(ln(x)^b)=###0###</t>
  </si>
  <si>
    <t>穿根法画多项式函数草图</t>
  </si>
  <si>
    <t>由数轴最右端画平滑曲线</t>
  </si>
  <si>
    <t>从右到左依次经过数轴上表示各根的点</t>
  </si>
  <si>
    <t>先看###x趋于负无穷时的极限正负性###，决定起点是在数轴上面还是下面</t>
  </si>
  <si>
    <t>次数为###奇数###的根因式，比如###(x-a)、(x-a)^3###，从数轴穿过到另一边</t>
  </si>
  <si>
    <t>次数为###偶数###的根因式，比如###(x-a)^2、(x-a)^4###，擦过数轴上的根点而不穿过，回到同侧</t>
  </si>
  <si>
    <t>口诀：###奇穿偶不穿，符号看两端，一阶导为零，切线画水平###</t>
  </si>
  <si>
    <t>含绝对值函数的不可导点判别</t>
  </si>
  <si>
    <t>f(x)=(|x-x0|^k)*g(x),g(x)满足###g(x0)≠0###</t>
  </si>
  <si>
    <t>k满足关系式：###k&gt;1###，f'(x)在x0处有定义（f(x)在x0处可导）</t>
  </si>
  <si>
    <t>k满足关系式：###k&lt;=1###，f'(x)在x0处无定义（f(x)在x0处不可导）</t>
  </si>
  <si>
    <t>n阶导的奇偶性推论</t>
  </si>
  <si>
    <t>若f(x)为偶函数，f的奇数阶导数为###奇函数###，f的偶数阶导数为###偶函数###</t>
  </si>
  <si>
    <t>奇函数在x=0处为0，所以偶函数的麦克劳林级数只有###偶次项###</t>
  </si>
  <si>
    <t>若f(x)为奇函数，f的奇数阶导数为###偶函数###，f的偶数阶导数为###奇函数###</t>
  </si>
  <si>
    <t>奇函数在x=0处为0，所以奇函数的麦克劳林级数只有###奇次项###</t>
  </si>
  <si>
    <t>分段函数最多有几阶导？</t>
  </si>
  <si>
    <t>分段分别进行###泰勒展开###，看看###展开到几次项出现不相等的系数###</t>
  </si>
  <si>
    <t>快速结论：f(x)在x0可导</t>
  </si>
  <si>
    <t>①h(x)在x0###连续但不可导###，则f(x)*h(x)在x0可导↔###f(x0)=0###</t>
  </si>
  <si>
    <t>g(x)=|f(x)|</t>
  </si>
  <si>
    <t>②f(x0)≠0，g(x)在x0处###可导###（说明x0###不是f(x)的分段点###）</t>
  </si>
  <si>
    <t>f(x0)=0</t>
  </si>
  <si>
    <t>③f'(x0)≠0，g(x)在x0处###不可导###（f(x)在x0左右导数不为0，加绝对值###导致左导数反号与右导数不等###，导数不存在）</t>
  </si>
  <si>
    <t>④f'(x0)=0，g(x)在x0处###可导###（f(x)在x0左右导数为0，加绝对值###不改变左导数，与右导数相等为0###，导数存在且###为0###）</t>
  </si>
  <si>
    <t>且g'(x0)###=0###</t>
  </si>
  <si>
    <t>如果一个函数F(x)是另一个函数f(x)的变限积分，即F(x)=Int(0,x):f(t)dt</t>
  </si>
  <si>
    <t>F(x)###连续###（连续/间断/可导/可微/可积/极限存在）</t>
  </si>
  <si>
    <t>f(x)有几种情况</t>
  </si>
  <si>
    <t>f(x)连续，那么F(x)###可导###，且###F'(x)###=f(x)（即F(x)是f(x)的###原函数###）</t>
  </si>
  <si>
    <t>f(x)第二类间断（极限至少一边不存在）：F(x)在x0可能可导，也可能不可导</t>
  </si>
  <si>
    <t>F(x)在x0可导，F'(x)=###用F(x)表示的导数极限定义式###</t>
  </si>
  <si>
    <t>F(x)在x0不可导，那就是不可导</t>
  </si>
  <si>
    <t>这种情况下f(x)和F(x)就没什么联系了</t>
  </si>
  <si>
    <t>f(x)第一类间断（极限存在）:</t>
  </si>
  <si>
    <t>可去（左右相等）：F(x)在x=x0###可导###，且###F'(x0)###=lim(x-&gt;x0):f(x)</t>
  </si>
  <si>
    <t>结合f(x)连续的情况考虑：F(x)的导数一定是###f(x)的极限###，如果极限和取值不同，看###前者###</t>
  </si>
  <si>
    <t>跳跃（左右不等）：不可导</t>
  </si>
  <si>
    <t>因为###左右极限不相等###，x0点处f(x)的极限###不存在###</t>
  </si>
  <si>
    <t>导数定阶法：导数的无穷小是n阶，原函数的无穷小就是###n+1###阶</t>
  </si>
  <si>
    <t>原位求斜渐近线法：</t>
  </si>
  <si>
    <t>把f(x)变形为g(x)+h(x)，即f(x)=g(x)+h(x)，其中g(x)=###k*x+b###</t>
  </si>
  <si>
    <t>只要确保###Lim(x-&gt;∞):h(x)=0###，则可认为g(x)是f(x)的斜渐近线</t>
  </si>
  <si>
    <t>分部积分表格法</t>
  </si>
  <si>
    <t>制表</t>
  </si>
  <si>
    <t>列出两列，左边要求导，右边要积分</t>
  </si>
  <si>
    <t>被积函数看成f(x)*g'(x)，把###f(x)###写在求导列，把###g'(x)###写在积分列</t>
  </si>
  <si>
    <t>然后竖向每一行都是###上一行对应的求导或积分（看位于哪列）###</t>
  </si>
  <si>
    <t>求导列的奇数行标###正号###，偶数行标###负号###</t>
  </si>
  <si>
    <t>一直写到###求导列最后一行是0###为止</t>
  </si>
  <si>
    <t>用表</t>
  </si>
  <si>
    <t>每次选取###求导列的一个表达式###，再选择###下一行积分列的表达式###</t>
  </si>
  <si>
    <t>记录###两个表达式相乘的乘积###</t>
  </si>
  <si>
    <t>重复上述操作直到###求导列的最后一行###</t>
  </si>
  <si>
    <t>然后把之前记录的###全部加起来###就是结果</t>
  </si>
  <si>
    <t>遇到产生循环的情况</t>
  </si>
  <si>
    <t>制表：步骤大致类似，但可以手动刹车</t>
  </si>
  <si>
    <t>用表：</t>
  </si>
  <si>
    <t>到达###刹车（最后）###的那一行</t>
  </si>
  <si>
    <t>把该行的###求导列表达式###和###积分列表达式###进行###相乘###</t>
  </si>
  <si>
    <t>这次先###加上积分符号和被积变量微元###再记录</t>
  </si>
  <si>
    <t>最后还是###全部加起来###就是结果，只不过还包含了###一个积分###在里面</t>
  </si>
  <si>
    <t>被积函数含有###ln(x)###、###arctan(x)###这种无法###积分###而且###越求导越复杂###的表达式建议不要用表格法</t>
  </si>
  <si>
    <t>中值取什么区间</t>
  </si>
  <si>
    <t>介值定理：介值c取###开区间(a,b)###，f(c)取###开区间(min(f(a),f(b)),max(f(a),f(b)))###</t>
  </si>
  <si>
    <t>零点定理：零点c取###开区间(a,b)###</t>
  </si>
  <si>
    <t>罗尔定理：中值c取###开区间(a,b)###</t>
  </si>
  <si>
    <t>拉格朗日定理：中值c取###开区间(a,b)###</t>
  </si>
  <si>
    <t>积分中值：中值c取###闭区间[a,b]###</t>
  </si>
  <si>
    <t>总结：除了###积分中值###其它都是###开区间###</t>
  </si>
  <si>
    <t>积分定义的函数：γ(t)=###Int(0,+∞):(x^(t-a))*e^(-x)dx###</t>
  </si>
  <si>
    <t>递推性质：###γ(t+1)=t*γ(t)###</t>
  </si>
  <si>
    <t>阶乘等价：###γ(t+1)=t!###</t>
  </si>
  <si>
    <t>特殊取值：γ(1/2)=###sqrt(π)###</t>
  </si>
  <si>
    <t>收敛性：###t&gt;0则收敛###</t>
  </si>
  <si>
    <t>常见反常积分敛散性</t>
  </si>
  <si>
    <t>γ函数：参考本日笔记第9行</t>
  </si>
  <si>
    <t>p积分：参考20240302</t>
  </si>
  <si>
    <t>对数p积分：</t>
  </si>
  <si>
    <t>被积函数：###1/(x*(ln(x)^p)###</t>
  </si>
  <si>
    <t>积分区间：###a到正无穷###（a&gt;1）</t>
  </si>
  <si>
    <t>###p&gt;1###时收敛，###p&lt;=1###时发散</t>
  </si>
  <si>
    <t>对数p积分的变种：</t>
  </si>
  <si>
    <t>被积函数：###1/((x^p)*(ln(x)^q))###</t>
  </si>
  <si>
    <t>积分区间：###1到正无穷###</t>
  </si>
  <si>
    <t>###p&gt;1且q&lt;1###时收敛</t>
  </si>
  <si>
    <t>q积分：</t>
  </si>
  <si>
    <t>被积函数：1/((x-a)^q)</t>
  </si>
  <si>
    <t>积分区间：###a到b###</t>
  </si>
  <si>
    <t>###0&lt;q&lt;1###时收敛，###1&lt;=q###时发散</t>
  </si>
  <si>
    <t>###q&lt;=0###时不是反常积分</t>
  </si>
  <si>
    <t>1/((x^a)+(x^b))：</t>
  </si>
  <si>
    <t>被积函数：1/((x^a)+(x^b))</t>
  </si>
  <si>
    <t>积分区间：###0到正无穷###</t>
  </si>
  <si>
    <t>###a、b能把1框住###时收敛</t>
  </si>
  <si>
    <t>即满足不等式：###min(a,b)&lt;1&lt;max(a,b)###</t>
  </si>
  <si>
    <t>ln(x)^k：</t>
  </si>
  <si>
    <t>被积函数：ln(x)^k</t>
  </si>
  <si>
    <t>积分区间：###0到1###</t>
  </si>
  <si>
    <t>###k&gt;-1###时收敛</t>
  </si>
  <si>
    <t>e^(-x)*sin(x)或e^(-x)*cos(x)：</t>
  </si>
  <si>
    <t>被积函数：e^(-x)*sin(x)或e^(-x)*cos(x)</t>
  </si>
  <si>
    <t>必定收敛，因为：</t>
  </si>
  <si>
    <t>不定积分后结果为###e^(-x)*(sin(x)±cos(x))/2###</t>
  </si>
  <si>
    <t>趋于0时等于###±1###</t>
  </si>
  <si>
    <t>趋于正无穷时：</t>
  </si>
  <si>
    <t>e^(-x)趋于正无穷时趋于###0###</t>
  </si>
  <si>
    <t>而sin或cos趋无穷是###有界###</t>
  </si>
  <si>
    <t>###有界###乘###无穷小###还是###无穷小###</t>
  </si>
  <si>
    <t>所以趋于正无穷###也趋于0###</t>
  </si>
  <si>
    <t>极限相减，结果为###-(±1)###，必定收敛</t>
  </si>
  <si>
    <t>全微分法直接求微分（不用求偏导）</t>
  </si>
  <si>
    <t>核心：碰到符号就当成自变量，不管它和其它自变量的关系</t>
  </si>
  <si>
    <t>法则：</t>
  </si>
  <si>
    <t>d(f(x))=###f'(x)dx###   dC=###0###   d(x+y)=###dx+dy###</t>
  </si>
  <si>
    <t>d(x*y)=d(f(x,y))=###(df/dx)*dx+(df/dy)*dy###=###y*dx+x*dy###</t>
  </si>
  <si>
    <t>d(f(x,y)*g(x,y))=###g(x,y)*d(f(x,y))+f(x,y)*d(g(x,y))###</t>
  </si>
  <si>
    <t>解题：拿到一个关于z(x,y)的等式F(x,y,z)=0，要求dz|(x0,y0)</t>
  </si>
  <si>
    <t>思路：</t>
  </si>
  <si>
    <t>把###(x0,y0)###代入###F(x,y,z)=0###，求出###z0###</t>
  </si>
  <si>
    <t>两边分别全微分（注意和求偏导不同！），得到全微分方程G(x,y,z)=0</t>
  </si>
  <si>
    <t>把###(x0,y0,z0)###代入###G(x,y,z)=0###，列出###含有dx、dy、dz的函数H(dx,dy,dz)###，满足H=0</t>
  </si>
  <si>
    <t>把###dz###集中到方程H等号一边，用###dx和dy###表示###dz###，这就是在###点(x0,y0,z0)###处z的全微分了</t>
  </si>
  <si>
    <t>积分因子法（直观理解）</t>
  </si>
  <si>
    <t>y'+P(x)*y=Q(x)为非齐次微分方程</t>
  </si>
  <si>
    <t>P(x)为齐次项因子中以x为自变量的函数</t>
  </si>
  <si>
    <t>关键点：积分因子f(x)就是###exp(Int:P(x)dx)###</t>
  </si>
  <si>
    <t>用的时候，原式左右同乘这个因子f(x)</t>
  </si>
  <si>
    <t>左边出现【###y'f(x)+y*f'(x)###】的形式，即【###(f(x)*y)'###】</t>
  </si>
  <si>
    <t>左右同时###积分###，再同时###除积分因子f(x)###</t>
  </si>
  <si>
    <t>会发现左边是###y###，右边正好是###公式法的公式###，即###(Int:Q(x)*f(x)dx+C)/f(x)###</t>
  </si>
  <si>
    <t>微分方程解的结构补充（原版参考20240322）</t>
  </si>
  <si>
    <t>n阶齐次找###n###个###线性无关###的解，把它们###乘上n个系数再相加###得到齐次通解</t>
  </si>
  <si>
    <t>非齐A方程特1-非齐A方程特2=###齐A方程特（没有系数C）###</t>
  </si>
  <si>
    <t>n阶非齐次A有n个特解y1,y2,...,yn</t>
  </si>
  <si>
    <t>如果C1*y1+C2*y2+...+Cn*yn也是非齐次A的解，则###C1+C2+...+Cn=1###</t>
  </si>
  <si>
    <t>如果C1*y1+C2*y2+...+Cn*yn是A对应的齐次解，则###C1+C2+...+Cn=0###</t>
  </si>
  <si>
    <t>极坐标一重积分旋转公式（二重积分公式参考20240308）</t>
  </si>
  <si>
    <t>过原点任意轴：V=###(2*π/3)*Int(α,β):(r(θ)^3)*sin(θ-φ)dθ###，φ为过原点旋转轴与x轴（极轴）的夹角</t>
  </si>
  <si>
    <t>绕x轴：V=###(2*π/3)*Int(α,β):(r(θ)^3)*sin(θ)dθ###，φ=###0###</t>
  </si>
  <si>
    <t>绕y轴：V=###(2*π/3)*Int(α,β):(r(θ)^3)*cos(θ)dθ###，φ=###-pi/2###</t>
  </si>
  <si>
    <t>口诀速记1</t>
  </si>
  <si>
    <t>无###双侧###不极值</t>
  </si>
  <si>
    <t>积分不换元，###上下不换限###</t>
  </si>
  <si>
    <t>积分非初等函数###≠###被积函数不可积</t>
  </si>
  <si>
    <t>常函数的###每个点都###是极值点，因此常函数的极值点有###无穷多###个</t>
  </si>
  <si>
    <t>口诀速记2</t>
  </si>
  <si>
    <t>严格单调函数###必###存在反函数</t>
  </si>
  <si>
    <t>特征值对应基础解系中解的个数=###n-r###，k重特征值至多只有###k个线性无关###的特征向量</t>
  </si>
  <si>
    <t>间断点破坏原函数存在性，无界破坏可积性</t>
  </si>
  <si>
    <t>只有###定积分###能判定可积性</t>
  </si>
  <si>
    <t>口诀速记3</t>
  </si>
  <si>
    <t>可积必###有界###</t>
  </si>
  <si>
    <t>要化标准型或规范型的二次型如果配过方，要试下###是否可逆###，天上不会掉馅饼</t>
  </si>
  <si>
    <t>克拉默法则只能求解###非齐次###的线性方程，因此###特征向量的求取###不可使用克拉默法则</t>
  </si>
  <si>
    <t>累加的积分等于###积分的累加###（Σ:Int:f(x)dx=###Int:Σ:f(x)dx###）</t>
  </si>
  <si>
    <t>口诀速记4</t>
  </si>
  <si>
    <t>整体的积分等于###展开的积分###等于###积分的展开###（f(x)=Σ:g(x),Int:f(x)=###Int:Σ:g(x)dx###=###Σ:Int:g(x)dx###）</t>
  </si>
  <si>
    <t>连续###未必###可导，可导###一定###连续</t>
  </si>
  <si>
    <t>点和邻域没有关系，极限和连续都是n-1阶才一定有的东西</t>
  </si>
  <si>
    <t>mij不一定是矩阵第i行第j列，也可能是倒过来的，要注意题目条件</t>
  </si>
  <si>
    <t>答疑整理1</t>
  </si>
  <si>
    <t>积分因子推出一阶非齐次方程的公式只需要###括号内部###加C，所有不定积分计算可以###不留C###</t>
  </si>
  <si>
    <t>k阶顺序主子式：即###前k行k列元素###构成方阵的行列式</t>
  </si>
  <si>
    <t>无界与是否存在极限没有必然联系</t>
  </si>
  <si>
    <t>三角函数趋无穷时###极限不存在###，但它是###有界###函数，即###有界极限不一定存在###</t>
  </si>
  <si>
    <t>反比例函数趋于无穷时###极限趋于0存在###，但它是###无界###函数，即###极限存在不一定有界###</t>
  </si>
  <si>
    <t>瑕积分可以用比较审敛，但是要确保###瑕点相同###</t>
  </si>
  <si>
    <t>答疑整理2</t>
  </si>
  <si>
    <t>实对称阵相似对角化为什么需要对特征向量做单位正交化</t>
  </si>
  <si>
    <t>实对称阵的性质：均可###相似对角化###（即###除了对角元是特征值外其它位置都是0###）</t>
  </si>
  <si>
    <t>实对称阵在相似对角化中所用的Q都是###正交矩阵###</t>
  </si>
  <si>
    <t>即Q'=###Q^T###，且列向量（###特征向量###）互相###正交###、长度为###1###（正交阵定义）</t>
  </si>
  <si>
    <t>左右导数是不是导数的左右极限</t>
  </si>
  <si>
    <t>左右导数是###导数定义的极限形式###将趋向点###改为单侧趋近后###的结果</t>
  </si>
  <si>
    <t>导数的左右极限是对###导数的函数式###求###单点的左右极限###的结果</t>
  </si>
  <si>
    <t>隐函数求导求出y'可以包含y</t>
  </si>
  <si>
    <t>真题求极限时自变量用n意味着n是###自然数###，趋于无穷等于###趋于正无穷###</t>
  </si>
  <si>
    <t>答疑整理3</t>
  </si>
  <si>
    <t>第二类间断点除了无穷和震荡间断点还有其它分类吗</t>
  </si>
  <si>
    <t>只要一边无穷，不管另一边是不是无穷（甚至可能是震荡），这个都是###无穷间断点###</t>
  </si>
  <si>
    <t>有哪些函数和对应点的左右极限不同</t>
  </si>
  <si>
    <t>比如本来这里是一个连续函数，抠掉这一点的取值，强制给它赋值一个其它值（类似分段函数）</t>
  </si>
  <si>
    <t>可积性的定义是###定积分的极限形式###存在极限</t>
  </si>
  <si>
    <t>变限积分可导性定理（参考20240423第17行）</t>
  </si>
  <si>
    <t>答疑整理4</t>
  </si>
  <si>
    <t>n-&gt;∞时数列{xn}-&gt;0则称这个数列是无穷小量</t>
  </si>
  <si>
    <t>绝对值之积等于###积的绝对值###</t>
  </si>
  <si>
    <t>数列Xn具有有界性的含义：###|Xn|&lt;=M###</t>
  </si>
  <si>
    <t>分奇偶数类讨论：奇数类的情况+偶数类的情况=###全体整数类的情况###</t>
  </si>
  <si>
    <t>答疑整理5</t>
  </si>
  <si>
    <t>第一数学归纳法</t>
  </si>
  <si>
    <t>归纳奠基：证明###当n=1###时命题成立；</t>
  </si>
  <si>
    <t>归纳假设：假设###当n=k###时命题成立；</t>
  </si>
  <si>
    <t>归纳递推：由归纳假设推出###当n=k+1###时命题也成立．</t>
  </si>
  <si>
    <t>求极限及时把整体的非零因子提出</t>
  </si>
  <si>
    <t>数列的单调有界证极限存在使用先斩后奏时记得###把代数方程求出的A回代###验证###单调性###</t>
  </si>
  <si>
    <t>陷阱反例：Xn+1=sin(Xn)（###递推式出现周期函数###可能会破坏单调性）</t>
  </si>
  <si>
    <t>可去间断点不会产生垂直渐近线</t>
  </si>
  <si>
    <t>答疑整理6</t>
  </si>
  <si>
    <t>什么是单调？什么是有界？</t>
  </si>
  <si>
    <t>单调性：</t>
  </si>
  <si>
    <t>∀x1，x2∈D且x1&gt;x2，都有###f(x1)&gt;f(x2)###（单调增加）</t>
  </si>
  <si>
    <t>∀x1，x2∈D且x1&gt;x2，都有###f(x1)&lt;f(x2)###（单调减少）</t>
  </si>
  <si>
    <t>有界性：</t>
  </si>
  <si>
    <t>若存在两个常数m和M，使函数y=f(x),x∈D 满足###m≤f(x)≤M###,x∈D</t>
  </si>
  <si>
    <t>则称函数y=f(x)在D有界，其中###m###是它的下界，###M###是它的上界</t>
  </si>
  <si>
    <t>U上面一个o是指###去心邻域###</t>
  </si>
  <si>
    <t>f(x)og(x)是指###函数f和函数g构成的复合函数###</t>
  </si>
  <si>
    <t>对角矩阵的对角矩阵可以是零矩阵</t>
  </si>
  <si>
    <t>答疑整理7</t>
  </si>
  <si>
    <t>A伴=###|A|*A逆###</t>
  </si>
  <si>
    <t>(k*A)伴=###(k^(n-1))*A伴###</t>
  </si>
  <si>
    <t>(k*A)逆)=###A逆/k###</t>
  </si>
  <si>
    <t>(k*A)伴=|k*A|*(k*A)逆=</t>
  </si>
  <si>
    <t>|k*A|*A逆/k=###(k^n)*|A|*A逆/k###=###(k^(n-1))*|A|*A逆###=(k^(n-1))*A伴</t>
  </si>
  <si>
    <t>函数嵌套###可以###用等价无穷小，###不能###用非零因子代入</t>
  </si>
  <si>
    <t>错题总结20221120</t>
  </si>
  <si>
    <t>相减得到被减数的低阶无穷小↔###减数和被减数等价###</t>
  </si>
  <si>
    <t>平方后等价不意味着原式等价，比如###-x和x不等价，只能说是同阶###（举例）</t>
  </si>
  <si>
    <t>导数存在只能推出###点连续###，而连续则可推出邻域内与点同号（连续→###极限存在###→###保号性###）</t>
  </si>
  <si>
    <t>矩阵关系：</t>
  </si>
  <si>
    <t>B=PAQ，即AB###等价###，###秩###相同</t>
  </si>
  <si>
    <t>B=P'AP，即AB###相似###，###特征值和秩###相同</t>
  </si>
  <si>
    <t>B=PtAP，即AB###合同###，###惯性指数和秩###相同</t>
  </si>
  <si>
    <t>###等价###包含###相似、合同###，###相似###不一定###合同###，###合同###不一定###相似###</t>
  </si>
  <si>
    <t>###A、B都是实对称阵###的前提下，相似必合同，反之不一定</t>
  </si>
  <si>
    <t>f'(x0)连续说明f(x)在x0点的###单调性###可以扩展到x0点的邻域</t>
  </si>
  <si>
    <t>f''(x0)连续说明f(x)在x0点的###凹凸性###可以扩展到x0点的邻域</t>
  </si>
  <si>
    <t>线性方程组解的情况判定：</t>
  </si>
  <si>
    <t>①：系数阵行列式非0→###有唯一解（齐次只有零解）###</t>
  </si>
  <si>
    <t>②：系数阵行列式为0→###可能有无穷多或无解###</t>
  </si>
  <si>
    <t>③：系数阵行列式为0，系数阵阶梯型全0行对应增广列元素非0→###无解###</t>
  </si>
  <si>
    <t>④：系数阵行列式为0，系数阵阶梯型全0行对应增广列元素均0→###多解###</t>
  </si>
  <si>
    <t>错题总结20221119</t>
  </si>
  <si>
    <t>二重积分转极坐标时θ角的积分范围：（无需作答）### ###</t>
  </si>
  <si>
    <t>①：要检查隐含在区域边界方程的条件</t>
  </si>
  <si>
    <t>②：边界方程左右侧是否具有不等式关系</t>
  </si>
  <si>
    <t>错题总结20221118</t>
  </si>
  <si>
    <t>累次极限和重极限的关系</t>
  </si>
  <si>
    <t>若一种顺序的累次极限与重极限都存在，二者###必相等###</t>
  </si>
  <si>
    <t>若两种顺序的累次极限与重极限都存在，三者###必相等###</t>
  </si>
  <si>
    <t>若两种顺序的累次极限存在但不等时，重极限###一定不###存在</t>
  </si>
  <si>
    <t>若两种顺序的累次极限存在且相等时，重极限###不一定###存在</t>
  </si>
  <si>
    <t>若重极限存在，累次极限###不一定###存在</t>
  </si>
  <si>
    <t>代数余子式A12不为0，直接得出列向量134无关</t>
  </si>
  <si>
    <t>第一行第二列挖掉剩下3列组成行列式</t>
  </si>
  <si>
    <t>行列式不为0，行列式列向量###线性无关###</t>
  </si>
  <si>
    <t>3个3维列向量无关，分别增加一个维度###依然无关###</t>
  </si>
  <si>
    <t>合同矩阵的性质</t>
  </si>
  <si>
    <t>反身性：任意矩阵都与###其自身###合同。</t>
  </si>
  <si>
    <t>对称性：如果矩阵A合同于矩阵B，则###矩阵B也合同于矩阵A###。</t>
  </si>
  <si>
    <t>传递性：如果矩阵A合同于矩阵B，且矩阵B合同于矩阵C，则###矩阵A合同于矩阵C###。</t>
  </si>
  <si>
    <t>合同矩阵的秩相等：如果矩阵A合同于矩阵B，则它们的###秩###相等，即###r(A)=r(B)###。这是因为两个合同的矩阵具有相同的###行空间###和###列空间###。</t>
  </si>
  <si>
    <t>合同矩阵的惯性相等：如果矩阵A合同于矩阵B，则它们的惯性指数相等，即###正特征值###的个数、###零特征值###的个数以及###负特征值###的个数都相同。</t>
  </si>
  <si>
    <t>实对称矩阵的特性：###实对称###矩阵总能通过合同变换对角化，且在变换过程中保持其###对称###性。</t>
  </si>
  <si>
    <t>可相似对角化的条件</t>
  </si>
  <si>
    <t>直接：###n个无关特征向量###</t>
  </si>
  <si>
    <t>利用：不同特征值对应的特征向量###必无关###</t>
  </si>
  <si>
    <t>策略：###找到n个不同的特征值###</t>
  </si>
  <si>
    <t>如果分块后不含0矩阵则不用分块矩阵计算</t>
  </si>
  <si>
    <t>错题总结20221117</t>
  </si>
  <si>
    <t>伴随矩阵与原矩阵的秩的关系</t>
  </si>
  <si>
    <t>①：A满秩，A*###满秩###</t>
  </si>
  <si>
    <t>②：A秩=n-1，A*秩=###1###</t>
  </si>
  <si>
    <t>③：A秩&lt;n-1，A*秩=###0###</t>
  </si>
  <si>
    <t>矩阵多项式与矩阵特征值的多项式的关系</t>
  </si>
  <si>
    <t>矩阵|特征值|特征向量</t>
  </si>
  <si>
    <t>A|λ|x</t>
  </si>
  <si>
    <t>A+kE|###λ+k###|###x###</t>
  </si>
  <si>
    <t>A逆|###1/λ###|###x###</t>
  </si>
  <si>
    <t>A伴|###|A|/λ###|###x###</t>
  </si>
  <si>
    <t>A^n|###λ^n###|###x###</t>
  </si>
  <si>
    <t>P逆AP|###λ###|###P逆*x###</t>
  </si>
  <si>
    <t>向量组等价=组的###秩###相等且合并后组的###秩###不变</t>
  </si>
  <si>
    <t>求相似矩阵的变换阵P使得P'AP=B：</t>
  </si>
  <si>
    <t>①：先求出P1使得P1'AP1=C（C为###只有对角元为A、B特征值其余为0###的矩阵）</t>
  </si>
  <si>
    <t>②：P1列向量为###A对应几个λi###的特征向量（即系数阵为###A-λiE###的齐次方程的###解向量###）</t>
  </si>
  <si>
    <t>③：再求出P2使得P2'BP2=C（C为###只有对角元为A、B特征值其余为0###的矩阵）</t>
  </si>
  <si>
    <t>④：P2列向量为###B对应几个λi###的特征向量（即系数阵为###B-λiE###的齐次方程的###解向量###）</t>
  </si>
  <si>
    <t>⑤：由于AB相似所以P1'AP1=P2'BP2=C→###P2P1'AP1P2'###=B=P'AP→###P2P1'###=P</t>
  </si>
  <si>
    <t>错题总结20220303</t>
  </si>
  <si>
    <t>如果某函数可导或连续，计算时要尽可能将部分表示式化成其函数值或导数定义的结构（无需作答）### ###</t>
  </si>
  <si>
    <t>错题总结20220217</t>
  </si>
  <si>
    <t>两个无极限函数相加可能会得到有极限函数，反过来不能随意分拆函数（无需作答）### ###</t>
  </si>
  <si>
    <t>错题总结20220207</t>
  </si>
  <si>
    <t>数列极限un-&gt;a，则|un|-&gt;###|a|###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</si>
</sst>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7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24292F"/>
      <name val="Segoe UI"/>
      <charset val="134"/>
    </font>
    <font>
      <sz val="10.5"/>
      <color rgb="FF24292F"/>
      <name val="Segoe UI"/>
      <charset val="134"/>
    </font>
    <font>
      <sz val="11"/>
      <color rgb="FF00B0F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styles" Target="style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C11" sqref="C11"/>
    </sheetView>
  </sheetViews>
  <sheetFormatPr defaultColWidth="9.66666666666667" defaultRowHeight="14.4" outlineLevelCol="7"/>
  <cols>
    <col min="1" max="16384" width="9.66666666666667" customWidth="1"/>
  </cols>
  <sheetData>
    <row r="1" s="1" customFormat="1" spans="1:8">
      <c r="A1" s="1">
        <f>SUM(B1:AZ1)</f>
        <v>4.66666666666667</v>
      </c>
      <c r="B1" s="1">
        <f t="shared" ref="B1:H1" si="0">COUNTA(B2:B2047)/COLUMN()</f>
        <v>3</v>
      </c>
      <c r="C1" s="1">
        <f t="shared" si="0"/>
        <v>1.66666666666667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3">
      <c r="A2" s="3">
        <v>20240302</v>
      </c>
      <c r="B2" s="3" t="s">
        <v>0</v>
      </c>
      <c r="C2" s="3"/>
    </row>
    <row r="3" spans="1:3">
      <c r="A3" s="3"/>
      <c r="B3" s="3" t="s">
        <v>1</v>
      </c>
      <c r="C3" s="3"/>
    </row>
    <row r="4" spans="1:3">
      <c r="A4" s="3"/>
      <c r="B4" s="3"/>
      <c r="C4" s="3" t="s">
        <v>2</v>
      </c>
    </row>
    <row r="5" spans="1:3">
      <c r="A5" s="3"/>
      <c r="B5" s="3"/>
      <c r="C5" s="3" t="s">
        <v>3</v>
      </c>
    </row>
    <row r="6" spans="1:3">
      <c r="A6" s="3"/>
      <c r="B6" s="3" t="s">
        <v>4</v>
      </c>
      <c r="C6" s="3"/>
    </row>
    <row r="7" s="4" customFormat="1" spans="2:2">
      <c r="B7" s="4" t="s">
        <v>5</v>
      </c>
    </row>
    <row r="8" s="4" customFormat="1" spans="3:3">
      <c r="C8" s="4" t="s">
        <v>6</v>
      </c>
    </row>
    <row r="9" s="4" customFormat="1" spans="3:3">
      <c r="C9" s="4" t="s">
        <v>7</v>
      </c>
    </row>
    <row r="10" s="4" customFormat="1" spans="3:3">
      <c r="C10" s="4" t="s">
        <v>8</v>
      </c>
    </row>
    <row r="11" spans="1:3">
      <c r="A11" s="3"/>
      <c r="B11" s="3" t="s">
        <v>9</v>
      </c>
      <c r="C11" s="3"/>
    </row>
    <row r="12" spans="1:3">
      <c r="A12" s="3"/>
      <c r="B12" s="3" t="s">
        <v>10</v>
      </c>
      <c r="C1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B2" sqref="B2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4</v>
      </c>
      <c r="B1" s="1">
        <f t="shared" ref="B1:H1" si="0">COUNTA(B2:B2041)/COLUMN()</f>
        <v>3</v>
      </c>
      <c r="C1" s="1">
        <f t="shared" si="0"/>
        <v>1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3">
      <c r="A2" s="3">
        <v>20240303</v>
      </c>
      <c r="B2" s="3" t="s">
        <v>11</v>
      </c>
      <c r="C2" s="3"/>
    </row>
    <row r="3" spans="1:3">
      <c r="A3" s="3"/>
      <c r="B3" s="3" t="s">
        <v>12</v>
      </c>
      <c r="C3" s="3"/>
    </row>
    <row r="4" spans="1:3">
      <c r="A4" s="3"/>
      <c r="B4" s="3" t="s">
        <v>13</v>
      </c>
      <c r="C4" s="3"/>
    </row>
    <row r="5" spans="1:3">
      <c r="A5" s="3"/>
      <c r="B5" s="3" t="s">
        <v>14</v>
      </c>
      <c r="C5" s="3"/>
    </row>
    <row r="6" spans="1:3">
      <c r="A6" s="3"/>
      <c r="B6" s="3"/>
      <c r="C6" s="3" t="s">
        <v>15</v>
      </c>
    </row>
    <row r="7" spans="1:3">
      <c r="A7" s="3"/>
      <c r="B7" s="3"/>
      <c r="C7" s="3" t="s">
        <v>16</v>
      </c>
    </row>
    <row r="8" spans="1:3">
      <c r="A8" s="3"/>
      <c r="B8" s="3"/>
      <c r="C8" s="3" t="s">
        <v>17</v>
      </c>
    </row>
    <row r="9" spans="1:3">
      <c r="A9" s="3"/>
      <c r="B9" s="3" t="s">
        <v>18</v>
      </c>
      <c r="C9" s="3"/>
    </row>
    <row r="10" spans="1:3">
      <c r="A10" s="3"/>
      <c r="B10" s="3" t="s">
        <v>19</v>
      </c>
      <c r="C10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B5" sqref="B5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5.08333333333333</v>
      </c>
      <c r="B1" s="1">
        <f t="shared" ref="B1:H1" si="0">COUNTA(B2:B2046)/COLUMN()</f>
        <v>2.5</v>
      </c>
      <c r="C1" s="1">
        <f t="shared" si="0"/>
        <v>2.33333333333333</v>
      </c>
      <c r="D1" s="1">
        <f t="shared" si="0"/>
        <v>0.25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3">
      <c r="A2" s="3">
        <v>20240304</v>
      </c>
      <c r="B2" s="3" t="s">
        <v>20</v>
      </c>
      <c r="C2" s="3"/>
    </row>
    <row r="3" spans="1:3">
      <c r="A3" s="3"/>
      <c r="B3" s="3" t="s">
        <v>21</v>
      </c>
      <c r="C3" s="3"/>
    </row>
    <row r="4" spans="1:3">
      <c r="A4" s="3"/>
      <c r="B4" s="3" t="s">
        <v>22</v>
      </c>
      <c r="C4" s="3"/>
    </row>
    <row r="5" spans="1:3">
      <c r="A5" s="3"/>
      <c r="B5" s="3" t="s">
        <v>23</v>
      </c>
      <c r="C5" s="3"/>
    </row>
    <row r="6" spans="1:3">
      <c r="A6" s="3"/>
      <c r="B6" s="3"/>
      <c r="C6" s="3" t="s">
        <v>24</v>
      </c>
    </row>
    <row r="7" spans="1:3">
      <c r="A7" s="3"/>
      <c r="B7" s="3"/>
      <c r="C7" s="3" t="s">
        <v>25</v>
      </c>
    </row>
    <row r="8" spans="1:3">
      <c r="A8" s="3"/>
      <c r="B8" s="3" t="s">
        <v>26</v>
      </c>
      <c r="C8" s="3"/>
    </row>
    <row r="9" spans="1:3">
      <c r="A9" s="3"/>
      <c r="B9" s="3"/>
      <c r="C9" s="3" t="s">
        <v>27</v>
      </c>
    </row>
    <row r="10" spans="1:3">
      <c r="A10" s="3"/>
      <c r="B10" s="3"/>
      <c r="C10" s="3" t="s">
        <v>28</v>
      </c>
    </row>
    <row r="11" spans="1:3">
      <c r="A11" s="3"/>
      <c r="B11" s="3"/>
      <c r="C11" s="3" t="s">
        <v>29</v>
      </c>
    </row>
    <row r="12" spans="1:3">
      <c r="A12" s="3"/>
      <c r="B12" s="3"/>
      <c r="C12" s="3" t="s">
        <v>30</v>
      </c>
    </row>
    <row r="13" spans="1:3">
      <c r="A13" s="3"/>
      <c r="C13" s="3" t="s">
        <v>31</v>
      </c>
    </row>
    <row r="14" spans="1:4">
      <c r="A14" s="3"/>
      <c r="D14" s="3" t="s">
        <v>32</v>
      </c>
    </row>
    <row r="15" spans="4:4">
      <c r="D15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B8" sqref="B8"/>
    </sheetView>
  </sheetViews>
  <sheetFormatPr defaultColWidth="8.88888888888889" defaultRowHeight="14.4" outlineLevelRow="7" outlineLevelCol="7"/>
  <cols>
    <col min="1" max="1" width="9.66666666666667"/>
  </cols>
  <sheetData>
    <row r="1" s="1" customFormat="1" spans="1:8">
      <c r="A1" s="1">
        <f>SUM(B1:AZ1)</f>
        <v>2.66666666666667</v>
      </c>
      <c r="B1" s="1">
        <f t="shared" ref="B1:H1" si="0">COUNTA(B2:B2048)/COLUMN()</f>
        <v>2</v>
      </c>
      <c r="C1" s="1">
        <f t="shared" si="0"/>
        <v>0.666666666666667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3">
      <c r="A2" s="3">
        <v>20240308</v>
      </c>
      <c r="B2" s="3" t="s">
        <v>33</v>
      </c>
      <c r="C2" s="3"/>
    </row>
    <row r="3" spans="1:3">
      <c r="A3" s="3"/>
      <c r="B3" s="3" t="s">
        <v>34</v>
      </c>
      <c r="C3" s="3"/>
    </row>
    <row r="4" spans="1:3">
      <c r="A4" s="3"/>
      <c r="B4" s="3" t="s">
        <v>35</v>
      </c>
      <c r="C4" s="3"/>
    </row>
    <row r="5" spans="1:3">
      <c r="A5" s="3"/>
      <c r="B5" s="3" t="s">
        <v>36</v>
      </c>
      <c r="C5" s="3"/>
    </row>
    <row r="6" spans="1:3">
      <c r="A6" s="3"/>
      <c r="B6" s="3"/>
      <c r="C6" s="3" t="s">
        <v>37</v>
      </c>
    </row>
    <row r="7" spans="1:3">
      <c r="A7" s="3"/>
      <c r="B7" s="3"/>
      <c r="C7" s="3" t="s">
        <v>38</v>
      </c>
    </row>
    <row r="8" spans="1:1">
      <c r="A8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B13" sqref="B13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8.16666666666667</v>
      </c>
      <c r="B1" s="1">
        <f t="shared" ref="B1:H1" si="0">COUNTA(B2:B2052)/COLUMN()</f>
        <v>4.5</v>
      </c>
      <c r="C1" s="1">
        <f t="shared" si="0"/>
        <v>3.66666666666667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20240309</v>
      </c>
      <c r="B2" s="6" t="s">
        <v>39</v>
      </c>
    </row>
    <row r="3" spans="2:2">
      <c r="B3" t="s">
        <v>40</v>
      </c>
    </row>
    <row r="4" spans="2:2">
      <c r="B4" t="s">
        <v>41</v>
      </c>
    </row>
    <row r="5" spans="3:3">
      <c r="C5" t="s">
        <v>42</v>
      </c>
    </row>
    <row r="6" spans="3:3">
      <c r="C6" t="s">
        <v>43</v>
      </c>
    </row>
    <row r="7" spans="3:3">
      <c r="C7" t="s">
        <v>44</v>
      </c>
    </row>
    <row r="8" spans="3:3">
      <c r="C8" t="s">
        <v>45</v>
      </c>
    </row>
    <row r="9" spans="2:2">
      <c r="B9" t="s">
        <v>46</v>
      </c>
    </row>
    <row r="10" spans="2:2">
      <c r="B10" t="s">
        <v>47</v>
      </c>
    </row>
    <row r="11" spans="3:3">
      <c r="C11" t="s">
        <v>48</v>
      </c>
    </row>
    <row r="12" spans="3:3">
      <c r="C12" t="s">
        <v>49</v>
      </c>
    </row>
    <row r="13" spans="2:2">
      <c r="B13" t="s">
        <v>50</v>
      </c>
    </row>
    <row r="14" spans="3:3">
      <c r="C14" t="s">
        <v>48</v>
      </c>
    </row>
    <row r="15" spans="3:3">
      <c r="C15" t="s">
        <v>51</v>
      </c>
    </row>
    <row r="16" spans="3:3">
      <c r="C16" t="s">
        <v>52</v>
      </c>
    </row>
    <row r="17" spans="3:3">
      <c r="C17" t="s">
        <v>49</v>
      </c>
    </row>
    <row r="18" spans="2:2">
      <c r="B18" t="s">
        <v>53</v>
      </c>
    </row>
    <row r="19" spans="3:3">
      <c r="C19" t="s">
        <v>54</v>
      </c>
    </row>
    <row r="20" spans="2:2">
      <c r="B20" s="6" t="s">
        <v>55</v>
      </c>
    </row>
    <row r="21" spans="2:2">
      <c r="B21" s="6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J9" sqref="J9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3.33333333333333</v>
      </c>
      <c r="B1" s="1">
        <f t="shared" ref="B1:H1" si="0">COUNTA(B2:B2048)/COLUMN()</f>
        <v>1.5</v>
      </c>
      <c r="C1" s="1">
        <f t="shared" si="0"/>
        <v>1.33333333333333</v>
      </c>
      <c r="D1" s="1">
        <f t="shared" si="0"/>
        <v>0.5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20240310</v>
      </c>
      <c r="B2" t="s">
        <v>57</v>
      </c>
    </row>
    <row r="3" spans="3:3">
      <c r="C3" t="s">
        <v>58</v>
      </c>
    </row>
    <row r="4" spans="2:2">
      <c r="B4" t="s">
        <v>59</v>
      </c>
    </row>
    <row r="5" spans="3:3">
      <c r="C5" t="s">
        <v>60</v>
      </c>
    </row>
    <row r="6" spans="2:2">
      <c r="B6" t="s">
        <v>61</v>
      </c>
    </row>
    <row r="7" spans="3:3">
      <c r="C7" t="s">
        <v>62</v>
      </c>
    </row>
    <row r="8" spans="4:4">
      <c r="D8" t="s">
        <v>63</v>
      </c>
    </row>
    <row r="9" spans="3:3">
      <c r="C9" t="s">
        <v>64</v>
      </c>
    </row>
    <row r="10" spans="4:4">
      <c r="D10" t="s">
        <v>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B6" sqref="B6"/>
    </sheetView>
  </sheetViews>
  <sheetFormatPr defaultColWidth="8.88888888888889" defaultRowHeight="14.4" outlineLevelRow="5" outlineLevelCol="7"/>
  <cols>
    <col min="1" max="1" width="9.66666666666667"/>
  </cols>
  <sheetData>
    <row r="1" s="7" customFormat="1" spans="1:8">
      <c r="A1" s="7">
        <f>SUM(B1:AZ1)</f>
        <v>2.5</v>
      </c>
      <c r="B1" s="7">
        <f>COUNTA(B2:B2047)/COLUMN()</f>
        <v>2.5</v>
      </c>
      <c r="C1" s="7">
        <f t="shared" ref="B1:H1" si="0">COUNTA(C2:C2047)/COLUMN()</f>
        <v>0</v>
      </c>
      <c r="D1" s="7">
        <f t="shared" si="0"/>
        <v>0</v>
      </c>
      <c r="E1" s="7">
        <f t="shared" si="0"/>
        <v>0</v>
      </c>
      <c r="F1" s="7">
        <f t="shared" si="0"/>
        <v>0</v>
      </c>
      <c r="G1" s="7">
        <f t="shared" si="0"/>
        <v>0</v>
      </c>
      <c r="H1" s="7">
        <f t="shared" si="0"/>
        <v>0</v>
      </c>
    </row>
    <row r="2" spans="1:2">
      <c r="A2">
        <v>20240311</v>
      </c>
      <c r="B2" t="s">
        <v>66</v>
      </c>
    </row>
    <row r="3" spans="2:2">
      <c r="B3" t="s">
        <v>67</v>
      </c>
    </row>
    <row r="4" spans="2:2">
      <c r="B4" t="s">
        <v>68</v>
      </c>
    </row>
    <row r="5" spans="2:2">
      <c r="B5" t="s">
        <v>69</v>
      </c>
    </row>
    <row r="6" spans="2:2">
      <c r="B6" t="s">
        <v>70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C4" sqref="C4"/>
    </sheetView>
  </sheetViews>
  <sheetFormatPr defaultColWidth="8.88888888888889" defaultRowHeight="14.4" outlineLevelCol="7"/>
  <sheetData>
    <row r="1" s="1" customFormat="1" spans="1:8">
      <c r="A1" s="1">
        <f>SUM(B1:AZ1)</f>
        <v>3.5</v>
      </c>
      <c r="B1" s="1">
        <f t="shared" ref="B1:H1" si="0">COUNTA(B2:B2048)/COLUMN()</f>
        <v>2.5</v>
      </c>
      <c r="C1" s="1">
        <f t="shared" si="0"/>
        <v>1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20240316</v>
      </c>
      <c r="B2" t="s">
        <v>71</v>
      </c>
    </row>
    <row r="3" spans="2:2">
      <c r="B3" t="s">
        <v>72</v>
      </c>
    </row>
    <row r="4" spans="3:3">
      <c r="C4" t="s">
        <v>73</v>
      </c>
    </row>
    <row r="5" spans="3:3">
      <c r="C5" t="s">
        <v>74</v>
      </c>
    </row>
    <row r="6" spans="3:3">
      <c r="C6" t="s">
        <v>75</v>
      </c>
    </row>
    <row r="7" spans="2:2">
      <c r="B7" t="s">
        <v>76</v>
      </c>
    </row>
    <row r="8" spans="2:2">
      <c r="B8" t="s">
        <v>77</v>
      </c>
    </row>
    <row r="9" spans="2:2">
      <c r="B9" t="s">
        <v>78</v>
      </c>
    </row>
    <row r="10" spans="2:2">
      <c r="B10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A37" workbookViewId="0">
      <selection activeCell="D13" sqref="D13"/>
    </sheetView>
  </sheetViews>
  <sheetFormatPr defaultColWidth="8.88888888888889" defaultRowHeight="14.4" outlineLevelCol="7"/>
  <sheetData>
    <row r="1" s="1" customFormat="1" spans="1:8">
      <c r="A1" s="1">
        <f>SUM(B1:AZ1)</f>
        <v>4.73333333333333</v>
      </c>
      <c r="B1" s="1">
        <f t="shared" ref="B1:H1" si="0">COUNTA(B2:B2048)/COLUMN()</f>
        <v>0.5</v>
      </c>
      <c r="C1" s="1">
        <f t="shared" si="0"/>
        <v>0.666666666666667</v>
      </c>
      <c r="D1" s="1">
        <f t="shared" si="0"/>
        <v>1.5</v>
      </c>
      <c r="E1" s="1">
        <f t="shared" si="0"/>
        <v>1.4</v>
      </c>
      <c r="F1" s="1">
        <f t="shared" si="0"/>
        <v>0.666666666666667</v>
      </c>
      <c r="G1" s="1">
        <f t="shared" si="0"/>
        <v>0</v>
      </c>
      <c r="H1" s="1">
        <f t="shared" si="0"/>
        <v>0</v>
      </c>
    </row>
    <row r="2" spans="1:2">
      <c r="A2">
        <v>20240317</v>
      </c>
      <c r="B2" t="s">
        <v>79</v>
      </c>
    </row>
    <row r="3" spans="3:3">
      <c r="C3" t="s">
        <v>80</v>
      </c>
    </row>
    <row r="4" spans="4:4">
      <c r="D4" t="s">
        <v>81</v>
      </c>
    </row>
    <row r="5" spans="4:4">
      <c r="D5" t="s">
        <v>82</v>
      </c>
    </row>
    <row r="6" spans="5:5">
      <c r="E6" t="s">
        <v>83</v>
      </c>
    </row>
    <row r="7" spans="5:5">
      <c r="E7" t="s">
        <v>84</v>
      </c>
    </row>
    <row r="8" spans="6:6">
      <c r="F8" t="s">
        <v>85</v>
      </c>
    </row>
    <row r="9" spans="5:5">
      <c r="E9" t="s">
        <v>86</v>
      </c>
    </row>
    <row r="10" spans="6:6">
      <c r="F10" t="s">
        <v>87</v>
      </c>
    </row>
    <row r="11" spans="3:3">
      <c r="C11" t="s">
        <v>88</v>
      </c>
    </row>
    <row r="12" spans="4:4">
      <c r="D12" t="s">
        <v>89</v>
      </c>
    </row>
    <row r="13" spans="4:4">
      <c r="D13" t="s">
        <v>90</v>
      </c>
    </row>
    <row r="14" spans="4:4">
      <c r="D14" t="s">
        <v>91</v>
      </c>
    </row>
    <row r="15" spans="5:5">
      <c r="E15" t="s">
        <v>92</v>
      </c>
    </row>
    <row r="16" spans="4:4">
      <c r="D16" t="s">
        <v>93</v>
      </c>
    </row>
    <row r="17" spans="5:5">
      <c r="E17" t="s">
        <v>83</v>
      </c>
    </row>
    <row r="18" spans="5:5">
      <c r="E18" t="s">
        <v>84</v>
      </c>
    </row>
    <row r="19" spans="6:6">
      <c r="F19" t="s">
        <v>85</v>
      </c>
    </row>
    <row r="20" spans="5:5">
      <c r="E20" t="s">
        <v>86</v>
      </c>
    </row>
    <row r="21" spans="6:6">
      <c r="F21" t="s">
        <v>94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13" workbookViewId="0">
      <selection activeCell="B30" sqref="B30"/>
    </sheetView>
  </sheetViews>
  <sheetFormatPr defaultColWidth="8.88888888888889" defaultRowHeight="14.4" outlineLevelCol="7"/>
  <sheetData>
    <row r="1" s="1" customFormat="1" spans="1:8">
      <c r="A1" s="1">
        <f>SUM(B1:AZ1)</f>
        <v>8.3</v>
      </c>
      <c r="B1" s="1">
        <f t="shared" ref="B1:H1" si="0">COUNTA(B2:B2049)/COLUMN()</f>
        <v>3</v>
      </c>
      <c r="C1" s="1">
        <f t="shared" si="0"/>
        <v>2</v>
      </c>
      <c r="D1" s="1">
        <f t="shared" si="0"/>
        <v>1.5</v>
      </c>
      <c r="E1" s="1">
        <f t="shared" si="0"/>
        <v>1.8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20240320</v>
      </c>
      <c r="B2" t="s">
        <v>95</v>
      </c>
    </row>
    <row r="3" spans="2:2">
      <c r="B3" t="s">
        <v>96</v>
      </c>
    </row>
    <row r="4" spans="2:2">
      <c r="B4" t="s">
        <v>97</v>
      </c>
    </row>
    <row r="5" spans="2:2">
      <c r="B5" t="s">
        <v>98</v>
      </c>
    </row>
    <row r="6" spans="3:3">
      <c r="C6" t="s">
        <v>99</v>
      </c>
    </row>
    <row r="7" spans="3:3">
      <c r="C7" t="s">
        <v>100</v>
      </c>
    </row>
    <row r="8" spans="4:4">
      <c r="D8" t="s">
        <v>101</v>
      </c>
    </row>
    <row r="9" spans="2:2">
      <c r="B9" t="s">
        <v>102</v>
      </c>
    </row>
    <row r="10" spans="3:3">
      <c r="C10" t="s">
        <v>103</v>
      </c>
    </row>
    <row r="11" spans="4:4">
      <c r="D11" t="s">
        <v>104</v>
      </c>
    </row>
    <row r="12" spans="3:3">
      <c r="C12" s="3" t="s">
        <v>105</v>
      </c>
    </row>
    <row r="13" spans="4:4">
      <c r="D13" s="6" t="s">
        <v>106</v>
      </c>
    </row>
    <row r="14" spans="5:8">
      <c r="E14" s="4" t="s">
        <v>107</v>
      </c>
      <c r="F14" s="6"/>
      <c r="G14" s="6"/>
      <c r="H14" s="6"/>
    </row>
    <row r="15" spans="5:5">
      <c r="E15" s="4" t="s">
        <v>108</v>
      </c>
    </row>
    <row r="16" spans="2:2">
      <c r="B16" t="s">
        <v>109</v>
      </c>
    </row>
    <row r="17" spans="3:3">
      <c r="C17" t="s">
        <v>110</v>
      </c>
    </row>
    <row r="18" spans="4:4">
      <c r="D18" t="s">
        <v>111</v>
      </c>
    </row>
    <row r="19" spans="4:4">
      <c r="D19" t="s">
        <v>112</v>
      </c>
    </row>
    <row r="20" spans="5:5">
      <c r="E20" t="s">
        <v>113</v>
      </c>
    </row>
    <row r="21" spans="5:5">
      <c r="E21" t="s">
        <v>114</v>
      </c>
    </row>
    <row r="22" spans="5:5">
      <c r="E22" t="s">
        <v>115</v>
      </c>
    </row>
    <row r="23" spans="3:3">
      <c r="C23" t="s">
        <v>116</v>
      </c>
    </row>
    <row r="24" spans="4:4">
      <c r="D24" t="s">
        <v>117</v>
      </c>
    </row>
    <row r="25" spans="5:5">
      <c r="E25" t="s">
        <v>118</v>
      </c>
    </row>
    <row r="26" spans="5:5">
      <c r="E26" t="s">
        <v>119</v>
      </c>
    </row>
    <row r="27" spans="5:5">
      <c r="E27" t="s">
        <v>120</v>
      </c>
    </row>
    <row r="28" spans="5:5">
      <c r="E28" t="s">
        <v>121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B19" sqref="B19"/>
    </sheetView>
  </sheetViews>
  <sheetFormatPr defaultColWidth="8.88888888888889" defaultRowHeight="14.4" outlineLevelCol="7"/>
  <sheetData>
    <row r="1" s="1" customFormat="1" spans="1:8">
      <c r="A1" s="1">
        <f>SUM(B1:AZ1)</f>
        <v>7.08333333333333</v>
      </c>
      <c r="B1" s="1">
        <f t="shared" ref="B1:H1" si="0">COUNTA(B2:B2046)/COLUMN()</f>
        <v>2.5</v>
      </c>
      <c r="C1" s="1">
        <f t="shared" si="0"/>
        <v>2.33333333333333</v>
      </c>
      <c r="D1" s="1">
        <f t="shared" si="0"/>
        <v>2.25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20240322</v>
      </c>
      <c r="B2" t="s">
        <v>122</v>
      </c>
    </row>
    <row r="3" spans="3:3">
      <c r="C3" t="s">
        <v>123</v>
      </c>
    </row>
    <row r="4" spans="3:3">
      <c r="C4" t="s">
        <v>124</v>
      </c>
    </row>
    <row r="5" spans="4:4">
      <c r="D5" t="s">
        <v>125</v>
      </c>
    </row>
    <row r="6" spans="4:4">
      <c r="D6" t="s">
        <v>126</v>
      </c>
    </row>
    <row r="7" spans="2:2">
      <c r="B7" t="s">
        <v>127</v>
      </c>
    </row>
    <row r="8" spans="2:2">
      <c r="B8" t="s">
        <v>128</v>
      </c>
    </row>
    <row r="9" spans="3:3">
      <c r="C9" t="s">
        <v>129</v>
      </c>
    </row>
    <row r="10" spans="3:3">
      <c r="C10" t="s">
        <v>130</v>
      </c>
    </row>
    <row r="11" spans="4:4">
      <c r="D11" t="s">
        <v>131</v>
      </c>
    </row>
    <row r="12" spans="4:4">
      <c r="D12" t="s">
        <v>132</v>
      </c>
    </row>
    <row r="13" spans="3:3">
      <c r="C13" t="s">
        <v>133</v>
      </c>
    </row>
    <row r="14" spans="4:4">
      <c r="D14" t="s">
        <v>134</v>
      </c>
    </row>
    <row r="15" spans="4:4">
      <c r="D15" t="s">
        <v>135</v>
      </c>
    </row>
    <row r="16" spans="4:4">
      <c r="D16" t="s">
        <v>136</v>
      </c>
    </row>
    <row r="17" spans="4:4">
      <c r="D17" t="s">
        <v>137</v>
      </c>
    </row>
    <row r="18" spans="2:2">
      <c r="B18" t="s">
        <v>138</v>
      </c>
    </row>
    <row r="19" spans="2:2">
      <c r="B19" t="s">
        <v>139</v>
      </c>
    </row>
    <row r="20" spans="3:3">
      <c r="C20" t="s">
        <v>140</v>
      </c>
    </row>
    <row r="21" spans="3:3">
      <c r="C21" t="s">
        <v>141</v>
      </c>
    </row>
    <row r="22" spans="4:4">
      <c r="D22" t="s">
        <v>142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17" sqref="E17"/>
    </sheetView>
  </sheetViews>
  <sheetFormatPr defaultColWidth="8.88888888888889" defaultRowHeight="14.4" outlineLevelCol="7"/>
  <sheetData>
    <row r="1" s="1" customFormat="1" spans="1:8">
      <c r="A1" s="1">
        <f>SUM(B1:AZ1)</f>
        <v>5.26666666666667</v>
      </c>
      <c r="B1" s="1">
        <f t="shared" ref="B1:H1" si="0">COUNTA(B2:B2048)/COLUMN()</f>
        <v>2</v>
      </c>
      <c r="C1" s="1">
        <f t="shared" si="0"/>
        <v>0.666666666666667</v>
      </c>
      <c r="D1" s="1">
        <f t="shared" si="0"/>
        <v>1</v>
      </c>
      <c r="E1" s="1">
        <f t="shared" si="0"/>
        <v>1.6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20240323</v>
      </c>
      <c r="B2" t="s">
        <v>143</v>
      </c>
    </row>
    <row r="3" spans="2:2">
      <c r="B3" t="s">
        <v>144</v>
      </c>
    </row>
    <row r="4" spans="2:2">
      <c r="B4" t="s">
        <v>145</v>
      </c>
    </row>
    <row r="5" spans="2:2">
      <c r="B5" t="s">
        <v>146</v>
      </c>
    </row>
    <row r="6" spans="3:3">
      <c r="C6" t="s">
        <v>147</v>
      </c>
    </row>
    <row r="7" spans="4:4">
      <c r="D7" t="s">
        <v>148</v>
      </c>
    </row>
    <row r="8" spans="4:4">
      <c r="D8" t="s">
        <v>149</v>
      </c>
    </row>
    <row r="9" spans="3:3">
      <c r="C9" t="s">
        <v>150</v>
      </c>
    </row>
    <row r="10" spans="4:4">
      <c r="D10" t="s">
        <v>151</v>
      </c>
    </row>
    <row r="11" spans="5:5">
      <c r="E11" t="s">
        <v>152</v>
      </c>
    </row>
    <row r="12" spans="5:5">
      <c r="E12" t="s">
        <v>153</v>
      </c>
    </row>
    <row r="13" spans="5:5">
      <c r="E13" t="s">
        <v>154</v>
      </c>
    </row>
    <row r="14" spans="5:5">
      <c r="E14" t="s">
        <v>155</v>
      </c>
    </row>
    <row r="15" spans="4:4">
      <c r="D15" t="s">
        <v>156</v>
      </c>
    </row>
    <row r="16" spans="5:5">
      <c r="E16" t="s">
        <v>157</v>
      </c>
    </row>
    <row r="17" spans="5:5">
      <c r="E17" t="s">
        <v>158</v>
      </c>
    </row>
    <row r="18" s="5" customFormat="1" spans="5:5">
      <c r="E18" s="5" t="s">
        <v>159</v>
      </c>
    </row>
    <row r="19" spans="5:5">
      <c r="E19" t="s">
        <v>160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B26" sqref="B26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9.96666666666667</v>
      </c>
      <c r="B1" s="1">
        <f t="shared" ref="B1:H1" si="0">COUNTA(B2:B2048)/COLUMN()</f>
        <v>5</v>
      </c>
      <c r="C1" s="1">
        <f t="shared" si="0"/>
        <v>1.66666666666667</v>
      </c>
      <c r="D1" s="1">
        <f t="shared" si="0"/>
        <v>1.5</v>
      </c>
      <c r="E1" s="1">
        <f t="shared" si="0"/>
        <v>1.8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20240326</v>
      </c>
      <c r="B2" t="s">
        <v>161</v>
      </c>
    </row>
    <row r="3" spans="2:2">
      <c r="B3" t="s">
        <v>162</v>
      </c>
    </row>
    <row r="4" spans="2:2">
      <c r="B4" t="s">
        <v>163</v>
      </c>
    </row>
    <row r="5" spans="2:2">
      <c r="B5" t="s">
        <v>164</v>
      </c>
    </row>
    <row r="6" spans="2:2">
      <c r="B6" t="s">
        <v>165</v>
      </c>
    </row>
    <row r="7" spans="2:2">
      <c r="B7" t="s">
        <v>166</v>
      </c>
    </row>
    <row r="8" spans="2:2">
      <c r="B8" t="s">
        <v>167</v>
      </c>
    </row>
    <row r="9" spans="3:3">
      <c r="C9" t="s">
        <v>168</v>
      </c>
    </row>
    <row r="10" spans="4:4">
      <c r="D10" t="s">
        <v>169</v>
      </c>
    </row>
    <row r="11" spans="4:4">
      <c r="D11" t="s">
        <v>170</v>
      </c>
    </row>
    <row r="12" spans="5:5">
      <c r="E12" t="s">
        <v>171</v>
      </c>
    </row>
    <row r="13" spans="5:5">
      <c r="E13" t="s">
        <v>172</v>
      </c>
    </row>
    <row r="14" spans="4:4">
      <c r="D14" t="s">
        <v>173</v>
      </c>
    </row>
    <row r="15" spans="5:5">
      <c r="E15" t="s">
        <v>174</v>
      </c>
    </row>
    <row r="16" spans="5:5">
      <c r="E16" t="s">
        <v>175</v>
      </c>
    </row>
    <row r="17" spans="5:5">
      <c r="E17" t="s">
        <v>176</v>
      </c>
    </row>
    <row r="18" spans="3:3">
      <c r="C18" t="s">
        <v>177</v>
      </c>
    </row>
    <row r="19" spans="4:4">
      <c r="D19" t="s">
        <v>178</v>
      </c>
    </row>
    <row r="20" spans="4:4">
      <c r="D20" t="s">
        <v>179</v>
      </c>
    </row>
    <row r="21" spans="5:5">
      <c r="E21" t="s">
        <v>180</v>
      </c>
    </row>
    <row r="22" spans="5:5">
      <c r="E22" t="s">
        <v>181</v>
      </c>
    </row>
    <row r="23" spans="4:4">
      <c r="D23" t="s">
        <v>182</v>
      </c>
    </row>
    <row r="24" spans="5:5">
      <c r="E24" t="s">
        <v>183</v>
      </c>
    </row>
    <row r="25" spans="5:5">
      <c r="E25" t="s">
        <v>184</v>
      </c>
    </row>
    <row r="26" spans="2:2">
      <c r="B26" t="s">
        <v>185</v>
      </c>
    </row>
    <row r="27" spans="2:2">
      <c r="B27" t="s">
        <v>186</v>
      </c>
    </row>
    <row r="28" spans="3:3">
      <c r="C28" t="s">
        <v>187</v>
      </c>
    </row>
    <row r="29" s="6" customFormat="1" spans="2:2">
      <c r="B29" s="6" t="s">
        <v>188</v>
      </c>
    </row>
    <row r="30" s="6" customFormat="1" spans="3:3">
      <c r="C30" s="6" t="s">
        <v>189</v>
      </c>
    </row>
    <row r="31" s="6" customFormat="1" spans="3:3">
      <c r="C31" s="6" t="s">
        <v>190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7" sqref="H7"/>
    </sheetView>
  </sheetViews>
  <sheetFormatPr defaultColWidth="8.88888888888889" defaultRowHeight="14.4" outlineLevelRow="5" outlineLevelCol="7"/>
  <sheetData>
    <row r="1" s="1" customFormat="1" spans="1:8">
      <c r="A1" s="1">
        <f>SUM(B1:AZ1)</f>
        <v>1.83333333333333</v>
      </c>
      <c r="B1" s="1">
        <f t="shared" ref="B1:H1" si="0">COUNTA(B2:B2048)/COLUMN()</f>
        <v>0.5</v>
      </c>
      <c r="C1" s="1">
        <f t="shared" si="0"/>
        <v>1.33333333333333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20240328</v>
      </c>
      <c r="B2" t="s">
        <v>191</v>
      </c>
    </row>
    <row r="3" spans="3:3">
      <c r="C3" t="s">
        <v>192</v>
      </c>
    </row>
    <row r="4" spans="3:3">
      <c r="C4" t="s">
        <v>193</v>
      </c>
    </row>
    <row r="5" spans="3:3">
      <c r="C5" t="s">
        <v>194</v>
      </c>
    </row>
    <row r="6" spans="3:3">
      <c r="C6" t="s">
        <v>195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145" zoomScaleNormal="145" workbookViewId="0">
      <selection activeCell="B4" sqref="B4"/>
    </sheetView>
  </sheetViews>
  <sheetFormatPr defaultColWidth="8.88888888888889" defaultRowHeight="14.4" outlineLevelCol="7"/>
  <sheetData>
    <row r="1" s="1" customFormat="1" spans="1:8">
      <c r="A1" s="1">
        <f>SUM(B1:AZ1)</f>
        <v>3.33333333333333</v>
      </c>
      <c r="B1" s="1">
        <f t="shared" ref="B1:H1" si="0">COUNTA(B2:B2048)/COLUMN()</f>
        <v>1</v>
      </c>
      <c r="C1" s="1">
        <f t="shared" si="0"/>
        <v>2.33333333333333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20240401</v>
      </c>
      <c r="B2" t="s">
        <v>196</v>
      </c>
    </row>
    <row r="3" spans="3:3">
      <c r="C3" t="s">
        <v>197</v>
      </c>
    </row>
    <row r="4" s="4" customFormat="1" spans="2:2">
      <c r="B4" s="4" t="s">
        <v>198</v>
      </c>
    </row>
    <row r="5" s="4" customFormat="1" spans="3:3">
      <c r="C5" s="4" t="s">
        <v>199</v>
      </c>
    </row>
    <row r="6" s="4" customFormat="1" spans="3:3">
      <c r="C6" s="4" t="s">
        <v>200</v>
      </c>
    </row>
    <row r="7" s="4" customFormat="1" spans="3:3">
      <c r="C7" s="4" t="s">
        <v>201</v>
      </c>
    </row>
    <row r="8" s="4" customFormat="1" spans="3:3">
      <c r="C8" s="4" t="s">
        <v>202</v>
      </c>
    </row>
    <row r="9" s="4" customFormat="1" spans="3:3">
      <c r="C9" s="4" t="s">
        <v>203</v>
      </c>
    </row>
    <row r="10" s="4" customFormat="1" spans="3:3">
      <c r="C10" s="4" t="s">
        <v>204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115" zoomScaleNormal="115" workbookViewId="0">
      <selection activeCell="B8" sqref="B8"/>
    </sheetView>
  </sheetViews>
  <sheetFormatPr defaultColWidth="8.88888888888889" defaultRowHeight="14.4" outlineLevelCol="7"/>
  <sheetData>
    <row r="1" s="1" customFormat="1" spans="1:8">
      <c r="A1" s="1">
        <f>SUM(B1:AZ1)</f>
        <v>3.83333333333333</v>
      </c>
      <c r="B1" s="1">
        <f t="shared" ref="B1:H1" si="0">COUNTA(B2:B2048)/COLUMN()</f>
        <v>1.5</v>
      </c>
      <c r="C1" s="1">
        <f t="shared" si="0"/>
        <v>2.33333333333333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20240402</v>
      </c>
      <c r="B2" t="s">
        <v>205</v>
      </c>
    </row>
    <row r="3" spans="2:2">
      <c r="B3" t="s">
        <v>206</v>
      </c>
    </row>
    <row r="4" ht="16.8" spans="3:3">
      <c r="C4" t="s">
        <v>207</v>
      </c>
    </row>
    <row r="5" ht="16.8" spans="3:3">
      <c r="C5" t="s">
        <v>208</v>
      </c>
    </row>
    <row r="6" ht="16.8" spans="3:3">
      <c r="C6" t="s">
        <v>209</v>
      </c>
    </row>
    <row r="7" ht="16.8" spans="3:3">
      <c r="C7" t="s">
        <v>210</v>
      </c>
    </row>
    <row r="8" spans="2:2">
      <c r="B8" t="s">
        <v>211</v>
      </c>
    </row>
    <row r="9" spans="3:3">
      <c r="C9" t="s">
        <v>212</v>
      </c>
    </row>
    <row r="10" spans="3:3">
      <c r="C10" t="s">
        <v>213</v>
      </c>
    </row>
    <row r="11" spans="3:3">
      <c r="C11" t="s">
        <v>214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13" workbookViewId="0">
      <selection activeCell="C31" sqref="C31"/>
    </sheetView>
  </sheetViews>
  <sheetFormatPr defaultColWidth="8.88888888888889" defaultRowHeight="14.4" outlineLevelCol="7"/>
  <sheetData>
    <row r="1" s="1" customFormat="1" spans="1:8">
      <c r="A1" s="1">
        <f>SUM(B1:AZ1)</f>
        <v>11.8333333333333</v>
      </c>
      <c r="B1" s="1">
        <f t="shared" ref="B1:H1" si="0">COUNTA(B2:B2048)/COLUMN()</f>
        <v>7</v>
      </c>
      <c r="C1" s="1">
        <f t="shared" si="0"/>
        <v>3.33333333333333</v>
      </c>
      <c r="D1" s="1">
        <f t="shared" si="0"/>
        <v>1.5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20240405</v>
      </c>
      <c r="B2" t="s">
        <v>215</v>
      </c>
    </row>
    <row r="3" spans="2:2">
      <c r="B3" t="s">
        <v>216</v>
      </c>
    </row>
    <row r="4" spans="2:2">
      <c r="B4" t="s">
        <v>217</v>
      </c>
    </row>
    <row r="5" spans="2:2">
      <c r="B5" t="s">
        <v>218</v>
      </c>
    </row>
    <row r="6" spans="2:2">
      <c r="B6" t="s">
        <v>219</v>
      </c>
    </row>
    <row r="7" spans="2:2">
      <c r="B7" t="s">
        <v>220</v>
      </c>
    </row>
    <row r="8" spans="2:2">
      <c r="B8" t="s">
        <v>221</v>
      </c>
    </row>
    <row r="9" s="5" customFormat="1" spans="2:2">
      <c r="B9" s="5" t="s">
        <v>222</v>
      </c>
    </row>
    <row r="10" s="5" customFormat="1" spans="2:2">
      <c r="B10" s="5" t="s">
        <v>223</v>
      </c>
    </row>
    <row r="11" s="5" customFormat="1" spans="3:3">
      <c r="C11" s="5" t="s">
        <v>224</v>
      </c>
    </row>
    <row r="12" spans="2:2">
      <c r="B12" t="s">
        <v>225</v>
      </c>
    </row>
    <row r="13" spans="3:3">
      <c r="C13" t="s">
        <v>226</v>
      </c>
    </row>
    <row r="14" spans="3:3">
      <c r="C14" t="s">
        <v>227</v>
      </c>
    </row>
    <row r="15" spans="3:3">
      <c r="C15" t="s">
        <v>228</v>
      </c>
    </row>
    <row r="16" spans="4:4">
      <c r="D16" t="s">
        <v>229</v>
      </c>
    </row>
    <row r="17" spans="4:4">
      <c r="D17" t="s">
        <v>230</v>
      </c>
    </row>
    <row r="18" spans="4:4">
      <c r="D18" t="s">
        <v>231</v>
      </c>
    </row>
    <row r="19" spans="3:3">
      <c r="C19" t="s">
        <v>232</v>
      </c>
    </row>
    <row r="20" spans="4:4">
      <c r="D20" t="s">
        <v>233</v>
      </c>
    </row>
    <row r="21" spans="4:4">
      <c r="D21" t="s">
        <v>234</v>
      </c>
    </row>
    <row r="22" spans="4:4">
      <c r="D22" t="s">
        <v>235</v>
      </c>
    </row>
    <row r="23" spans="3:3">
      <c r="C23" t="s">
        <v>236</v>
      </c>
    </row>
    <row r="24" spans="2:2">
      <c r="B24" t="s">
        <v>237</v>
      </c>
    </row>
    <row r="25" spans="3:3">
      <c r="C25" t="s">
        <v>238</v>
      </c>
    </row>
    <row r="26" spans="3:3">
      <c r="C26" t="s">
        <v>239</v>
      </c>
    </row>
    <row r="27" spans="2:2">
      <c r="B27" t="s">
        <v>240</v>
      </c>
    </row>
    <row r="28" spans="2:2">
      <c r="B28" t="s">
        <v>241</v>
      </c>
    </row>
    <row r="29" spans="2:2">
      <c r="B29" t="s">
        <v>242</v>
      </c>
    </row>
    <row r="30" spans="3:3">
      <c r="C30" t="s">
        <v>243</v>
      </c>
    </row>
    <row r="31" spans="3:3">
      <c r="C31" t="s">
        <v>244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B3" sqref="B3"/>
    </sheetView>
  </sheetViews>
  <sheetFormatPr defaultColWidth="8.88888888888889" defaultRowHeight="14.4" outlineLevelRow="3" outlineLevelCol="7"/>
  <sheetData>
    <row r="1" s="1" customFormat="1" spans="1:8">
      <c r="A1" s="1">
        <f>SUM(B1:AZ1)</f>
        <v>1.5</v>
      </c>
      <c r="B1" s="1">
        <f t="shared" ref="B1:H1" si="0">COUNTA(B2:B2048)/COLUMN()</f>
        <v>1.5</v>
      </c>
      <c r="C1" s="1">
        <f t="shared" si="0"/>
        <v>0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20240406</v>
      </c>
      <c r="B2" s="4" t="s">
        <v>245</v>
      </c>
    </row>
    <row r="3" spans="2:2">
      <c r="B3" t="s">
        <v>246</v>
      </c>
    </row>
    <row r="4" s="4" customFormat="1" spans="2:2">
      <c r="B4" s="4" t="s">
        <v>247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N9" sqref="N9"/>
    </sheetView>
  </sheetViews>
  <sheetFormatPr defaultColWidth="8.88888888888889" defaultRowHeight="14.4" outlineLevelCol="7"/>
  <sheetData>
    <row r="1" s="1" customFormat="1" spans="1:8">
      <c r="A1" s="1">
        <f>SUM(B1:AZ1)</f>
        <v>3.83333333333333</v>
      </c>
      <c r="B1" s="1">
        <f t="shared" ref="B1:H1" si="0">COUNTA(B2:B2048)/COLUMN()</f>
        <v>2.5</v>
      </c>
      <c r="C1" s="1">
        <f t="shared" si="0"/>
        <v>1.33333333333333</v>
      </c>
      <c r="D1" s="1">
        <f t="shared" si="0"/>
        <v>0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20240408</v>
      </c>
      <c r="B2" t="s">
        <v>248</v>
      </c>
    </row>
    <row r="3" spans="3:3">
      <c r="C3" t="s">
        <v>249</v>
      </c>
    </row>
    <row r="4" spans="2:2">
      <c r="B4" t="s">
        <v>250</v>
      </c>
    </row>
    <row r="5" spans="2:2">
      <c r="B5" t="s">
        <v>251</v>
      </c>
    </row>
    <row r="6" spans="2:2">
      <c r="B6" t="s">
        <v>252</v>
      </c>
    </row>
    <row r="7" spans="3:3">
      <c r="C7" t="s">
        <v>253</v>
      </c>
    </row>
    <row r="8" spans="3:3">
      <c r="C8" t="s">
        <v>254</v>
      </c>
    </row>
    <row r="9" spans="3:3">
      <c r="C9" t="s">
        <v>255</v>
      </c>
    </row>
    <row r="10" spans="2:2">
      <c r="B10" t="s">
        <v>256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T6" sqref="T6"/>
    </sheetView>
  </sheetViews>
  <sheetFormatPr defaultColWidth="8.88888888888889" defaultRowHeight="14.4" outlineLevelCol="7"/>
  <sheetData>
    <row r="1" s="1" customFormat="1" spans="1:8">
      <c r="A1" s="1">
        <f>SUM(B1:AZ1)</f>
        <v>6.08333333333333</v>
      </c>
      <c r="B1" s="1">
        <f t="shared" ref="B1:H1" si="0">COUNTA(B2:B2048)/COLUMN()</f>
        <v>1</v>
      </c>
      <c r="C1" s="1">
        <f t="shared" si="0"/>
        <v>1.33333333333333</v>
      </c>
      <c r="D1" s="1">
        <f t="shared" si="0"/>
        <v>3.75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20240409</v>
      </c>
      <c r="B2" t="s">
        <v>257</v>
      </c>
    </row>
    <row r="3" spans="2:2">
      <c r="B3" t="s">
        <v>258</v>
      </c>
    </row>
    <row r="4" spans="3:3">
      <c r="C4" t="s">
        <v>259</v>
      </c>
    </row>
    <row r="5" spans="4:4">
      <c r="D5" t="s">
        <v>260</v>
      </c>
    </row>
    <row r="6" spans="4:4">
      <c r="D6" t="s">
        <v>261</v>
      </c>
    </row>
    <row r="7" spans="4:4">
      <c r="D7" t="s">
        <v>262</v>
      </c>
    </row>
    <row r="8" spans="3:3">
      <c r="C8" t="s">
        <v>263</v>
      </c>
    </row>
    <row r="9" spans="4:4">
      <c r="D9" s="3" t="s">
        <v>264</v>
      </c>
    </row>
    <row r="10" spans="4:4">
      <c r="D10" s="3" t="s">
        <v>265</v>
      </c>
    </row>
    <row r="11" spans="4:4">
      <c r="D11" s="3" t="s">
        <v>266</v>
      </c>
    </row>
    <row r="12" spans="4:4">
      <c r="D12" s="3" t="s">
        <v>267</v>
      </c>
    </row>
    <row r="13" s="4" customFormat="1" spans="3:3">
      <c r="C13" s="4" t="s">
        <v>268</v>
      </c>
    </row>
    <row r="14" s="4" customFormat="1" spans="4:4">
      <c r="D14" s="4" t="s">
        <v>269</v>
      </c>
    </row>
    <row r="15" s="4" customFormat="1" spans="4:4">
      <c r="D15" s="4" t="s">
        <v>270</v>
      </c>
    </row>
    <row r="16" s="4" customFormat="1" spans="4:4">
      <c r="D16" s="4" t="s">
        <v>271</v>
      </c>
    </row>
    <row r="17" s="4" customFormat="1" spans="4:4">
      <c r="D17" s="4" t="s">
        <v>272</v>
      </c>
    </row>
    <row r="18" s="4" customFormat="1" spans="4:4">
      <c r="D18" s="4" t="s">
        <v>273</v>
      </c>
    </row>
    <row r="19" spans="3:3">
      <c r="C19" t="s">
        <v>274</v>
      </c>
    </row>
    <row r="20" spans="4:4">
      <c r="D20" t="s">
        <v>275</v>
      </c>
    </row>
    <row r="21" spans="4:4">
      <c r="D21" t="s">
        <v>276</v>
      </c>
    </row>
    <row r="22" spans="4:4">
      <c r="D22" t="s">
        <v>277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zoomScale="130" zoomScaleNormal="130" topLeftCell="A26" workbookViewId="0">
      <selection activeCell="F42" sqref="F42"/>
    </sheetView>
  </sheetViews>
  <sheetFormatPr defaultColWidth="8.88888888888889" defaultRowHeight="14.4" outlineLevelCol="7"/>
  <sheetData>
    <row r="1" s="1" customFormat="1" spans="1:8">
      <c r="A1" s="1">
        <f>SUM(B1:AZ1)</f>
        <v>16.95</v>
      </c>
      <c r="B1" s="1">
        <f t="shared" ref="B1:H1" si="0">COUNTA(B2:B2048)/COLUMN()</f>
        <v>4</v>
      </c>
      <c r="C1" s="1">
        <f t="shared" si="0"/>
        <v>6.66666666666667</v>
      </c>
      <c r="D1" s="1">
        <f t="shared" si="0"/>
        <v>3.75</v>
      </c>
      <c r="E1" s="1">
        <f t="shared" si="0"/>
        <v>2.2</v>
      </c>
      <c r="F1" s="1">
        <f t="shared" si="0"/>
        <v>0.333333333333333</v>
      </c>
      <c r="G1" s="1">
        <f t="shared" si="0"/>
        <v>0</v>
      </c>
      <c r="H1" s="1">
        <f t="shared" si="0"/>
        <v>0</v>
      </c>
    </row>
    <row r="2" spans="1:2">
      <c r="A2">
        <v>20240410</v>
      </c>
      <c r="B2" t="s">
        <v>278</v>
      </c>
    </row>
    <row r="3" spans="2:2">
      <c r="B3" t="s">
        <v>279</v>
      </c>
    </row>
    <row r="4" spans="3:3">
      <c r="C4" t="s">
        <v>280</v>
      </c>
    </row>
    <row r="5" spans="3:3">
      <c r="C5" t="s">
        <v>281</v>
      </c>
    </row>
    <row r="6" spans="4:4">
      <c r="D6" t="s">
        <v>282</v>
      </c>
    </row>
    <row r="7" spans="4:4">
      <c r="D7" t="s">
        <v>283</v>
      </c>
    </row>
    <row r="8" spans="3:3">
      <c r="C8" t="s">
        <v>284</v>
      </c>
    </row>
    <row r="9" spans="3:3">
      <c r="C9" t="s">
        <v>285</v>
      </c>
    </row>
    <row r="10" spans="3:3">
      <c r="C10" t="s">
        <v>286</v>
      </c>
    </row>
    <row r="11" spans="3:3">
      <c r="C11" t="s">
        <v>287</v>
      </c>
    </row>
    <row r="12" spans="2:2">
      <c r="B12" t="s">
        <v>288</v>
      </c>
    </row>
    <row r="13" spans="3:3">
      <c r="C13" t="s">
        <v>289</v>
      </c>
    </row>
    <row r="14" spans="4:4">
      <c r="D14" t="s">
        <v>290</v>
      </c>
    </row>
    <row r="15" spans="4:4">
      <c r="D15" t="s">
        <v>291</v>
      </c>
    </row>
    <row r="16" spans="3:3">
      <c r="C16" t="s">
        <v>292</v>
      </c>
    </row>
    <row r="17" spans="4:4">
      <c r="D17" t="s">
        <v>293</v>
      </c>
    </row>
    <row r="18" spans="5:5">
      <c r="E18" t="s">
        <v>294</v>
      </c>
    </row>
    <row r="19" spans="5:5">
      <c r="E19" t="s">
        <v>295</v>
      </c>
    </row>
    <row r="20" spans="5:5">
      <c r="E20" t="s">
        <v>296</v>
      </c>
    </row>
    <row r="21" spans="4:4">
      <c r="D21" t="s">
        <v>297</v>
      </c>
    </row>
    <row r="22" spans="5:5">
      <c r="E22" t="s">
        <v>298</v>
      </c>
    </row>
    <row r="23" spans="5:5">
      <c r="E23" t="s">
        <v>299</v>
      </c>
    </row>
    <row r="24" spans="2:2">
      <c r="B24" t="s">
        <v>300</v>
      </c>
    </row>
    <row r="25" spans="2:2">
      <c r="B25" t="s">
        <v>301</v>
      </c>
    </row>
    <row r="26" spans="2:2">
      <c r="B26" t="s">
        <v>302</v>
      </c>
    </row>
    <row r="27" spans="3:3">
      <c r="C27" t="s">
        <v>303</v>
      </c>
    </row>
    <row r="28" spans="3:3">
      <c r="C28" t="s">
        <v>304</v>
      </c>
    </row>
    <row r="29" spans="3:3">
      <c r="C29" s="3" t="s">
        <v>305</v>
      </c>
    </row>
    <row r="30" spans="4:4">
      <c r="D30" t="s">
        <v>306</v>
      </c>
    </row>
    <row r="31" spans="4:4">
      <c r="D31" t="s">
        <v>307</v>
      </c>
    </row>
    <row r="32" spans="4:4">
      <c r="D32" t="s">
        <v>308</v>
      </c>
    </row>
    <row r="33" spans="4:4">
      <c r="D33" t="s">
        <v>309</v>
      </c>
    </row>
    <row r="34" spans="5:5">
      <c r="E34" t="s">
        <v>310</v>
      </c>
    </row>
    <row r="35" spans="5:5">
      <c r="E35" t="s">
        <v>311</v>
      </c>
    </row>
    <row r="36" spans="3:3">
      <c r="C36" t="s">
        <v>312</v>
      </c>
    </row>
    <row r="37" spans="4:4">
      <c r="D37" t="s">
        <v>313</v>
      </c>
    </row>
    <row r="38" spans="4:4">
      <c r="D38" t="s">
        <v>314</v>
      </c>
    </row>
    <row r="39" spans="4:4">
      <c r="D39" t="s">
        <v>308</v>
      </c>
    </row>
    <row r="40" spans="4:4">
      <c r="D40" t="s">
        <v>309</v>
      </c>
    </row>
    <row r="41" spans="5:5">
      <c r="E41" t="s">
        <v>310</v>
      </c>
    </row>
    <row r="42" spans="5:5">
      <c r="E42" t="s">
        <v>311</v>
      </c>
    </row>
    <row r="43" spans="4:4">
      <c r="D43" t="s">
        <v>315</v>
      </c>
    </row>
    <row r="44" spans="5:5">
      <c r="E44" t="s">
        <v>316</v>
      </c>
    </row>
    <row r="45" spans="5:5">
      <c r="E45" t="s">
        <v>317</v>
      </c>
    </row>
    <row r="46" spans="6:6">
      <c r="F46" t="s">
        <v>318</v>
      </c>
    </row>
    <row r="47" spans="6:6">
      <c r="F47" t="s">
        <v>319</v>
      </c>
    </row>
    <row r="48" spans="2:2">
      <c r="B48" t="s">
        <v>320</v>
      </c>
    </row>
    <row r="49" spans="3:3">
      <c r="C49" t="s">
        <v>321</v>
      </c>
    </row>
    <row r="50" spans="3:3">
      <c r="C50" t="s">
        <v>322</v>
      </c>
    </row>
    <row r="51" spans="2:2">
      <c r="B51" t="s">
        <v>323</v>
      </c>
    </row>
    <row r="52" spans="3:3">
      <c r="C52" t="s">
        <v>324</v>
      </c>
    </row>
    <row r="53" spans="3:3">
      <c r="C53" t="s">
        <v>325</v>
      </c>
    </row>
    <row r="54" spans="3:3">
      <c r="C54" t="s">
        <v>326</v>
      </c>
    </row>
    <row r="55" spans="3:3">
      <c r="C55" t="s">
        <v>327</v>
      </c>
    </row>
    <row r="56" spans="3:3">
      <c r="C56" t="s">
        <v>328</v>
      </c>
    </row>
    <row r="57" spans="3:3">
      <c r="C57" t="s">
        <v>329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17" sqref="F17"/>
    </sheetView>
  </sheetViews>
  <sheetFormatPr defaultColWidth="8.88888888888889" defaultRowHeight="14.4" outlineLevelCol="7"/>
  <sheetData>
    <row r="1" s="1" customFormat="1" spans="1:8">
      <c r="A1" s="1">
        <f>SUM(B1:AZ1)</f>
        <v>4.5</v>
      </c>
      <c r="B1" s="1">
        <f t="shared" ref="B1:H1" si="0">COUNTA(B2:B2048)/COLUMN()</f>
        <v>2</v>
      </c>
      <c r="C1" s="1">
        <f t="shared" si="0"/>
        <v>2</v>
      </c>
      <c r="D1" s="1">
        <f t="shared" si="0"/>
        <v>0.5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20240411</v>
      </c>
      <c r="B2" t="s">
        <v>330</v>
      </c>
    </row>
    <row r="3" s="4" customFormat="1" spans="2:2">
      <c r="B3" s="4" t="s">
        <v>331</v>
      </c>
    </row>
    <row r="4" s="4" customFormat="1" spans="3:3">
      <c r="C4" s="4" t="s">
        <v>332</v>
      </c>
    </row>
    <row r="5" s="4" customFormat="1" spans="3:3">
      <c r="C5" s="4" t="s">
        <v>333</v>
      </c>
    </row>
    <row r="6" s="4" customFormat="1" spans="3:3">
      <c r="C6" s="4" t="s">
        <v>334</v>
      </c>
    </row>
    <row r="7" spans="3:3">
      <c r="C7" s="4" t="s">
        <v>335</v>
      </c>
    </row>
    <row r="8" spans="2:2">
      <c r="B8" t="s">
        <v>336</v>
      </c>
    </row>
    <row r="9" spans="3:3">
      <c r="C9" t="s">
        <v>337</v>
      </c>
    </row>
    <row r="10" spans="3:3">
      <c r="C10" t="s">
        <v>338</v>
      </c>
    </row>
    <row r="11" spans="4:4">
      <c r="D11" t="s">
        <v>339</v>
      </c>
    </row>
    <row r="12" spans="4:4">
      <c r="D12" t="s">
        <v>340</v>
      </c>
    </row>
    <row r="13" spans="2:2">
      <c r="B13" t="s">
        <v>341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M6" sqref="M6"/>
    </sheetView>
  </sheetViews>
  <sheetFormatPr defaultColWidth="8.88888888888889" defaultRowHeight="14.4" outlineLevelCol="7"/>
  <sheetData>
    <row r="1" s="1" customFormat="1" spans="1:8">
      <c r="A1" s="1">
        <f>SUM(B1:AZ1)</f>
        <v>7.16666666666667</v>
      </c>
      <c r="B1" s="1">
        <f t="shared" ref="B1:H1" si="0">COUNTA(B2:B2048)/COLUMN()</f>
        <v>3</v>
      </c>
      <c r="C1" s="1">
        <f t="shared" si="0"/>
        <v>3.66666666666667</v>
      </c>
      <c r="D1" s="1">
        <f t="shared" si="0"/>
        <v>0.5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20240412</v>
      </c>
      <c r="B2" t="s">
        <v>342</v>
      </c>
    </row>
    <row r="3" spans="2:2">
      <c r="B3" t="s">
        <v>343</v>
      </c>
    </row>
    <row r="4" spans="3:3">
      <c r="C4" t="s">
        <v>344</v>
      </c>
    </row>
    <row r="5" spans="3:3">
      <c r="C5" t="s">
        <v>345</v>
      </c>
    </row>
    <row r="6" spans="3:3">
      <c r="C6" t="s">
        <v>346</v>
      </c>
    </row>
    <row r="7" spans="3:3">
      <c r="C7" t="s">
        <v>347</v>
      </c>
    </row>
    <row r="8" spans="4:4">
      <c r="D8" t="s">
        <v>348</v>
      </c>
    </row>
    <row r="9" spans="4:4">
      <c r="D9" t="s">
        <v>349</v>
      </c>
    </row>
    <row r="10" spans="3:3">
      <c r="C10" t="s">
        <v>350</v>
      </c>
    </row>
    <row r="11" spans="2:2">
      <c r="B11" t="s">
        <v>351</v>
      </c>
    </row>
    <row r="12" spans="2:2">
      <c r="B12" t="s">
        <v>352</v>
      </c>
    </row>
    <row r="13" spans="3:3">
      <c r="C13" t="s">
        <v>353</v>
      </c>
    </row>
    <row r="14" spans="3:3">
      <c r="C14" t="s">
        <v>354</v>
      </c>
    </row>
    <row r="15" spans="3:3">
      <c r="C15" t="s">
        <v>355</v>
      </c>
    </row>
    <row r="16" spans="2:2">
      <c r="B16" t="s">
        <v>356</v>
      </c>
    </row>
    <row r="17" spans="2:2">
      <c r="B17" t="s">
        <v>357</v>
      </c>
    </row>
    <row r="18" spans="3:3">
      <c r="C18" t="s">
        <v>358</v>
      </c>
    </row>
    <row r="19" spans="3:3">
      <c r="C19" t="s">
        <v>359</v>
      </c>
    </row>
    <row r="20" spans="3:3">
      <c r="C20" t="s">
        <v>360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opLeftCell="A13" workbookViewId="0">
      <selection activeCell="C20" sqref="C20"/>
    </sheetView>
  </sheetViews>
  <sheetFormatPr defaultColWidth="8.88888888888889" defaultRowHeight="14.4" outlineLevelCol="7"/>
  <sheetData>
    <row r="1" s="1" customFormat="1" spans="1:8">
      <c r="A1" s="1">
        <f>SUM(B1:AZ1)</f>
        <v>15.1166666666667</v>
      </c>
      <c r="B1" s="1">
        <f t="shared" ref="B1:H1" si="0">COUNTA(B2:B2048)/COLUMN()</f>
        <v>3.5</v>
      </c>
      <c r="C1" s="1">
        <f t="shared" si="0"/>
        <v>5.66666666666667</v>
      </c>
      <c r="D1" s="1">
        <f t="shared" si="0"/>
        <v>4.75</v>
      </c>
      <c r="E1" s="1">
        <f t="shared" si="0"/>
        <v>1.2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20240413</v>
      </c>
      <c r="B2" t="s">
        <v>361</v>
      </c>
    </row>
    <row r="3" spans="3:3">
      <c r="C3" t="s">
        <v>362</v>
      </c>
    </row>
    <row r="4" spans="4:4">
      <c r="D4" t="s">
        <v>363</v>
      </c>
    </row>
    <row r="5" spans="4:4">
      <c r="D5" t="s">
        <v>364</v>
      </c>
    </row>
    <row r="6" s="4" customFormat="1" spans="3:3">
      <c r="C6" s="4" t="s">
        <v>365</v>
      </c>
    </row>
    <row r="7" spans="2:2">
      <c r="B7" t="s">
        <v>366</v>
      </c>
    </row>
    <row r="8" spans="2:2">
      <c r="B8" t="s">
        <v>367</v>
      </c>
    </row>
    <row r="9" spans="3:3">
      <c r="C9" t="s">
        <v>368</v>
      </c>
    </row>
    <row r="10" spans="4:4">
      <c r="D10" t="s">
        <v>369</v>
      </c>
    </row>
    <row r="11" spans="4:4">
      <c r="D11" t="s">
        <v>370</v>
      </c>
    </row>
    <row r="12" spans="4:4">
      <c r="D12" t="s">
        <v>371</v>
      </c>
    </row>
    <row r="13" spans="5:5">
      <c r="E13" t="s">
        <v>372</v>
      </c>
    </row>
    <row r="14" spans="5:5">
      <c r="E14" t="s">
        <v>373</v>
      </c>
    </row>
    <row r="15" spans="2:2">
      <c r="B15" t="s">
        <v>374</v>
      </c>
    </row>
    <row r="16" spans="3:3">
      <c r="C16" t="s">
        <v>375</v>
      </c>
    </row>
    <row r="17" spans="3:3">
      <c r="C17" t="s">
        <v>376</v>
      </c>
    </row>
    <row r="18" spans="4:4">
      <c r="D18" t="s">
        <v>377</v>
      </c>
    </row>
    <row r="19" spans="3:3">
      <c r="C19" t="s">
        <v>378</v>
      </c>
    </row>
    <row r="20" spans="3:3">
      <c r="C20" t="s">
        <v>379</v>
      </c>
    </row>
    <row r="21" spans="4:4">
      <c r="D21" t="s">
        <v>380</v>
      </c>
    </row>
    <row r="22" spans="4:4">
      <c r="D22" t="s">
        <v>381</v>
      </c>
    </row>
    <row r="23" spans="2:2">
      <c r="B23" t="s">
        <v>382</v>
      </c>
    </row>
    <row r="24" spans="3:3">
      <c r="C24" t="s">
        <v>383</v>
      </c>
    </row>
    <row r="25" spans="4:4">
      <c r="D25" t="s">
        <v>384</v>
      </c>
    </row>
    <row r="26" spans="5:5">
      <c r="E26" t="s">
        <v>385</v>
      </c>
    </row>
    <row r="27" spans="5:5">
      <c r="E27" t="s">
        <v>386</v>
      </c>
    </row>
    <row r="28" spans="4:4">
      <c r="D28" t="s">
        <v>387</v>
      </c>
    </row>
    <row r="29" spans="4:4">
      <c r="D29" t="s">
        <v>388</v>
      </c>
    </row>
    <row r="30" spans="3:3">
      <c r="C30" t="s">
        <v>389</v>
      </c>
    </row>
    <row r="31" spans="4:4">
      <c r="D31" t="s">
        <v>390</v>
      </c>
    </row>
    <row r="32" spans="5:5">
      <c r="E32" t="s">
        <v>391</v>
      </c>
    </row>
    <row r="33" spans="4:4">
      <c r="D33" t="s">
        <v>392</v>
      </c>
    </row>
    <row r="34" spans="5:5">
      <c r="E34" t="s">
        <v>393</v>
      </c>
    </row>
    <row r="35" spans="3:3">
      <c r="C35" t="s">
        <v>394</v>
      </c>
    </row>
    <row r="36" spans="4:4">
      <c r="D36" t="s">
        <v>395</v>
      </c>
    </row>
    <row r="37" spans="4:4">
      <c r="D37" t="s">
        <v>396</v>
      </c>
    </row>
    <row r="38" spans="4:4">
      <c r="D38" t="s">
        <v>397</v>
      </c>
    </row>
    <row r="39" spans="4:4">
      <c r="D39" t="s">
        <v>398</v>
      </c>
    </row>
    <row r="40" spans="2:2">
      <c r="B40" t="s">
        <v>399</v>
      </c>
    </row>
    <row r="41" spans="3:3">
      <c r="C41" t="s">
        <v>400</v>
      </c>
    </row>
    <row r="42" spans="3:3">
      <c r="C42" t="s">
        <v>401</v>
      </c>
    </row>
    <row r="43" spans="3:3">
      <c r="C43" t="s">
        <v>402</v>
      </c>
    </row>
    <row r="44" spans="3:3">
      <c r="C44" t="s">
        <v>403</v>
      </c>
    </row>
    <row r="45" spans="2:2">
      <c r="B45" t="s">
        <v>404</v>
      </c>
    </row>
    <row r="46" spans="3:3">
      <c r="C46" t="s">
        <v>405</v>
      </c>
    </row>
    <row r="47" spans="4:4">
      <c r="D47" t="s">
        <v>406</v>
      </c>
    </row>
    <row r="48" spans="4:4">
      <c r="D48" t="s">
        <v>407</v>
      </c>
    </row>
    <row r="49" spans="3:3">
      <c r="C49" t="s">
        <v>408</v>
      </c>
    </row>
    <row r="50" spans="3:3">
      <c r="C50" t="s">
        <v>409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A7" workbookViewId="0">
      <selection activeCell="C15" sqref="C15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9.75</v>
      </c>
      <c r="B1" s="1">
        <f t="shared" ref="B1:H1" si="0">COUNTA(B2:B2048)/COLUMN()</f>
        <v>2.5</v>
      </c>
      <c r="C1" s="1">
        <f t="shared" si="0"/>
        <v>6</v>
      </c>
      <c r="D1" s="1">
        <f t="shared" si="0"/>
        <v>1.25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20240414</v>
      </c>
      <c r="B2" t="s">
        <v>410</v>
      </c>
    </row>
    <row r="3" spans="3:3">
      <c r="C3" t="s">
        <v>411</v>
      </c>
    </row>
    <row r="4" spans="3:3">
      <c r="C4" t="s">
        <v>412</v>
      </c>
    </row>
    <row r="5" spans="3:3">
      <c r="C5" t="s">
        <v>413</v>
      </c>
    </row>
    <row r="6" spans="2:2">
      <c r="B6" t="s">
        <v>414</v>
      </c>
    </row>
    <row r="7" spans="3:3">
      <c r="C7" t="s">
        <v>415</v>
      </c>
    </row>
    <row r="8" spans="3:3">
      <c r="C8" t="s">
        <v>416</v>
      </c>
    </row>
    <row r="9" spans="3:3">
      <c r="C9" t="s">
        <v>417</v>
      </c>
    </row>
    <row r="10" spans="3:3">
      <c r="C10" t="s">
        <v>418</v>
      </c>
    </row>
    <row r="11" spans="4:4">
      <c r="D11" t="s">
        <v>419</v>
      </c>
    </row>
    <row r="12" spans="4:4">
      <c r="D12" t="s">
        <v>420</v>
      </c>
    </row>
    <row r="13" spans="2:2">
      <c r="B13" t="s">
        <v>421</v>
      </c>
    </row>
    <row r="14" spans="3:3">
      <c r="C14" t="s">
        <v>422</v>
      </c>
    </row>
    <row r="15" spans="3:3">
      <c r="C15" t="s">
        <v>423</v>
      </c>
    </row>
    <row r="16" spans="3:3">
      <c r="C16" t="s">
        <v>424</v>
      </c>
    </row>
    <row r="17" spans="2:2">
      <c r="B17" t="s">
        <v>425</v>
      </c>
    </row>
    <row r="18" spans="3:3">
      <c r="C18" t="s">
        <v>426</v>
      </c>
    </row>
    <row r="19" spans="3:3">
      <c r="C19" t="s">
        <v>427</v>
      </c>
    </row>
    <row r="20" spans="3:3">
      <c r="C20" t="s">
        <v>428</v>
      </c>
    </row>
    <row r="21" spans="3:3">
      <c r="C21" t="s">
        <v>429</v>
      </c>
    </row>
    <row r="22" spans="3:3">
      <c r="C22" t="s">
        <v>430</v>
      </c>
    </row>
    <row r="23" spans="2:2">
      <c r="B23" t="s">
        <v>431</v>
      </c>
    </row>
    <row r="24" spans="3:3">
      <c r="C24" t="s">
        <v>432</v>
      </c>
    </row>
    <row r="25" s="4" customFormat="1" spans="4:4">
      <c r="D25" s="4" t="s">
        <v>433</v>
      </c>
    </row>
    <row r="26" spans="3:3">
      <c r="C26" t="s">
        <v>434</v>
      </c>
    </row>
    <row r="27" s="4" customFormat="1" spans="4:4">
      <c r="D27" s="4" t="s">
        <v>435</v>
      </c>
    </row>
    <row r="28" spans="3:3">
      <c r="C28" t="s">
        <v>436</v>
      </c>
    </row>
    <row r="29" spans="4:4">
      <c r="D29" t="s">
        <v>437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M10" sqref="M10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7.4</v>
      </c>
      <c r="B1" s="1">
        <f t="shared" ref="B1:H1" si="0">COUNTA(B2:B2048)/COLUMN()</f>
        <v>1.5</v>
      </c>
      <c r="C1" s="1">
        <f t="shared" si="0"/>
        <v>3</v>
      </c>
      <c r="D1" s="1">
        <f t="shared" si="0"/>
        <v>2.5</v>
      </c>
      <c r="E1" s="1">
        <f t="shared" si="0"/>
        <v>0.4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20240415</v>
      </c>
      <c r="B2" t="s">
        <v>438</v>
      </c>
    </row>
    <row r="3" spans="3:3">
      <c r="C3" t="s">
        <v>439</v>
      </c>
    </row>
    <row r="4" spans="3:3">
      <c r="C4" t="s">
        <v>440</v>
      </c>
    </row>
    <row r="5" spans="3:3">
      <c r="C5" t="s">
        <v>441</v>
      </c>
    </row>
    <row r="6" spans="4:4">
      <c r="D6" t="s">
        <v>442</v>
      </c>
    </row>
    <row r="7" spans="2:2">
      <c r="B7" t="s">
        <v>443</v>
      </c>
    </row>
    <row r="8" spans="3:3">
      <c r="C8" t="s">
        <v>444</v>
      </c>
    </row>
    <row r="9" spans="4:4">
      <c r="D9" t="s">
        <v>445</v>
      </c>
    </row>
    <row r="10" spans="4:4">
      <c r="D10" t="s">
        <v>446</v>
      </c>
    </row>
    <row r="11" spans="3:3">
      <c r="C11" t="s">
        <v>447</v>
      </c>
    </row>
    <row r="12" spans="3:3">
      <c r="C12" t="s">
        <v>448</v>
      </c>
    </row>
    <row r="13" spans="4:4">
      <c r="D13" t="s">
        <v>449</v>
      </c>
    </row>
    <row r="14" spans="4:4">
      <c r="D14" t="s">
        <v>450</v>
      </c>
    </row>
    <row r="15" spans="2:2">
      <c r="B15" t="s">
        <v>451</v>
      </c>
    </row>
    <row r="16" spans="3:3">
      <c r="C16" t="s">
        <v>452</v>
      </c>
    </row>
    <row r="17" spans="4:4">
      <c r="D17" t="s">
        <v>453</v>
      </c>
    </row>
    <row r="18" spans="4:4">
      <c r="D18" t="s">
        <v>454</v>
      </c>
    </row>
    <row r="19" spans="3:3">
      <c r="C19" t="s">
        <v>455</v>
      </c>
    </row>
    <row r="20" spans="4:4">
      <c r="D20" t="s">
        <v>456</v>
      </c>
    </row>
    <row r="21" spans="4:4">
      <c r="D21" t="s">
        <v>457</v>
      </c>
    </row>
    <row r="22" spans="4:4">
      <c r="D22" t="s">
        <v>458</v>
      </c>
    </row>
    <row r="23" spans="5:5">
      <c r="E23" t="s">
        <v>459</v>
      </c>
    </row>
    <row r="24" spans="5:5">
      <c r="E24" t="s">
        <v>460</v>
      </c>
    </row>
    <row r="25" spans="3:3">
      <c r="C25" t="s">
        <v>461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J19" sqref="J19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4.03333333333333</v>
      </c>
      <c r="B1" s="1">
        <f>COUNTA(B2:B2048)/COLUMN()</f>
        <v>1</v>
      </c>
      <c r="C1" s="1">
        <f t="shared" ref="B1:H1" si="0">COUNTA(C2:C2048)/COLUMN()</f>
        <v>1.33333333333333</v>
      </c>
      <c r="D1" s="1">
        <f t="shared" si="0"/>
        <v>1.5</v>
      </c>
      <c r="E1" s="1">
        <f t="shared" si="0"/>
        <v>0.2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20240416</v>
      </c>
      <c r="B2" t="s">
        <v>462</v>
      </c>
    </row>
    <row r="3" spans="3:3">
      <c r="C3" t="s">
        <v>463</v>
      </c>
    </row>
    <row r="4" spans="3:3">
      <c r="C4" t="s">
        <v>464</v>
      </c>
    </row>
    <row r="5" spans="2:2">
      <c r="B5" t="s">
        <v>465</v>
      </c>
    </row>
    <row r="6" spans="3:3">
      <c r="C6" t="s">
        <v>466</v>
      </c>
    </row>
    <row r="7" spans="4:4">
      <c r="D7" t="s">
        <v>467</v>
      </c>
    </row>
    <row r="8" spans="4:4">
      <c r="D8" t="s">
        <v>468</v>
      </c>
    </row>
    <row r="9" spans="4:4">
      <c r="D9" t="s">
        <v>469</v>
      </c>
    </row>
    <row r="10" spans="3:3">
      <c r="C10" t="s">
        <v>470</v>
      </c>
    </row>
    <row r="11" spans="4:4">
      <c r="D11" t="s">
        <v>471</v>
      </c>
    </row>
    <row r="12" spans="4:4">
      <c r="D12" t="s">
        <v>472</v>
      </c>
    </row>
    <row r="13" spans="5:5">
      <c r="E13" t="s">
        <v>473</v>
      </c>
    </row>
    <row r="14" spans="4:4">
      <c r="D14" t="s">
        <v>474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B21" sqref="B21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7.16666666666667</v>
      </c>
      <c r="B1" s="1">
        <f t="shared" ref="B1:H1" si="0">COUNTA(B2:B2048)/COLUMN()</f>
        <v>2.5</v>
      </c>
      <c r="C1" s="1">
        <f t="shared" si="0"/>
        <v>2.66666666666667</v>
      </c>
      <c r="D1" s="1">
        <f t="shared" si="0"/>
        <v>2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20240417</v>
      </c>
      <c r="B2" t="s">
        <v>475</v>
      </c>
    </row>
    <row r="3" spans="3:3">
      <c r="C3" t="s">
        <v>476</v>
      </c>
    </row>
    <row r="4" spans="4:4">
      <c r="D4" t="s">
        <v>477</v>
      </c>
    </row>
    <row r="5" spans="3:3">
      <c r="C5" t="s">
        <v>478</v>
      </c>
    </row>
    <row r="6" spans="4:4">
      <c r="D6" t="s">
        <v>479</v>
      </c>
    </row>
    <row r="7" spans="2:2">
      <c r="B7" t="s">
        <v>480</v>
      </c>
    </row>
    <row r="8" spans="3:3">
      <c r="C8" t="s">
        <v>481</v>
      </c>
    </row>
    <row r="9" spans="3:3">
      <c r="C9" t="s">
        <v>482</v>
      </c>
    </row>
    <row r="10" spans="3:3">
      <c r="C10" t="s">
        <v>483</v>
      </c>
    </row>
    <row r="11" spans="4:4">
      <c r="D11" t="s">
        <v>484</v>
      </c>
    </row>
    <row r="12" spans="4:4">
      <c r="D12" t="s">
        <v>485</v>
      </c>
    </row>
    <row r="13" spans="3:3">
      <c r="C13" t="s">
        <v>486</v>
      </c>
    </row>
    <row r="14" spans="3:3">
      <c r="C14" t="s">
        <v>487</v>
      </c>
    </row>
    <row r="15" spans="4:4">
      <c r="D15" t="s">
        <v>488</v>
      </c>
    </row>
    <row r="16" spans="4:4">
      <c r="D16" t="s">
        <v>489</v>
      </c>
    </row>
    <row r="17" spans="4:4">
      <c r="D17" t="s">
        <v>490</v>
      </c>
    </row>
    <row r="18" spans="4:4">
      <c r="D18" t="s">
        <v>491</v>
      </c>
    </row>
    <row r="19" spans="2:2">
      <c r="B19" t="s">
        <v>492</v>
      </c>
    </row>
    <row r="20" spans="2:2">
      <c r="B20" t="s">
        <v>493</v>
      </c>
    </row>
    <row r="21" spans="2:2">
      <c r="B21" t="s">
        <v>494</v>
      </c>
    </row>
    <row r="22" spans="3:3">
      <c r="C22" t="s">
        <v>495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B24" sqref="B24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8</v>
      </c>
      <c r="B1" s="1">
        <f t="shared" ref="B1:H1" si="0">COUNTA(B2:B2049)/COLUMN()</f>
        <v>3</v>
      </c>
      <c r="C1" s="1">
        <f t="shared" si="0"/>
        <v>4</v>
      </c>
      <c r="D1" s="1">
        <f t="shared" si="0"/>
        <v>1</v>
      </c>
      <c r="E1" s="1">
        <f t="shared" si="0"/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20240418</v>
      </c>
      <c r="B2" t="s">
        <v>496</v>
      </c>
    </row>
    <row r="3" spans="3:3">
      <c r="C3" t="s">
        <v>497</v>
      </c>
    </row>
    <row r="4" spans="3:3">
      <c r="C4" t="s">
        <v>498</v>
      </c>
    </row>
    <row r="5" spans="3:3">
      <c r="C5" t="s">
        <v>499</v>
      </c>
    </row>
    <row r="6" spans="3:3">
      <c r="C6" t="s">
        <v>500</v>
      </c>
    </row>
    <row r="7" spans="2:2">
      <c r="B7" t="s">
        <v>501</v>
      </c>
    </row>
    <row r="8" spans="3:3">
      <c r="C8" t="s">
        <v>502</v>
      </c>
    </row>
    <row r="9" spans="3:3">
      <c r="C9" t="s">
        <v>503</v>
      </c>
    </row>
    <row r="10" spans="3:3">
      <c r="C10" t="s">
        <v>504</v>
      </c>
    </row>
    <row r="11" spans="4:4">
      <c r="D11" t="s">
        <v>505</v>
      </c>
    </row>
    <row r="12" spans="4:4">
      <c r="D12" t="s">
        <v>506</v>
      </c>
    </row>
    <row r="13" spans="2:2">
      <c r="B13" t="s">
        <v>507</v>
      </c>
    </row>
    <row r="14" spans="3:3">
      <c r="C14" t="s">
        <v>508</v>
      </c>
    </row>
    <row r="15" spans="4:4">
      <c r="D15" t="s">
        <v>509</v>
      </c>
    </row>
    <row r="16" spans="4:4">
      <c r="D16" t="s">
        <v>510</v>
      </c>
    </row>
    <row r="17" spans="3:3">
      <c r="C17" t="s">
        <v>511</v>
      </c>
    </row>
    <row r="18" spans="3:3">
      <c r="C18" t="s">
        <v>512</v>
      </c>
    </row>
    <row r="19" spans="3:3">
      <c r="C19" t="s">
        <v>513</v>
      </c>
    </row>
    <row r="20" spans="3:3">
      <c r="C20" t="s">
        <v>514</v>
      </c>
    </row>
    <row r="21" spans="2:2">
      <c r="B21" t="s">
        <v>515</v>
      </c>
    </row>
    <row r="22" spans="2:2">
      <c r="B22" t="s">
        <v>516</v>
      </c>
    </row>
    <row r="23" spans="2:2">
      <c r="B23" t="s">
        <v>517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B15" sqref="B15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10.4166666666667</v>
      </c>
      <c r="B1" s="1">
        <f t="shared" ref="B1:H1" si="0">COUNTA(B2:B2049)/COLUMN()</f>
        <v>3</v>
      </c>
      <c r="C1" s="1">
        <f t="shared" si="0"/>
        <v>3.33333333333333</v>
      </c>
      <c r="D1" s="1">
        <f t="shared" si="0"/>
        <v>1.75</v>
      </c>
      <c r="E1" s="1">
        <f t="shared" si="0"/>
        <v>2</v>
      </c>
      <c r="F1" s="1">
        <f t="shared" si="0"/>
        <v>0.333333333333333</v>
      </c>
      <c r="G1" s="1">
        <f t="shared" si="0"/>
        <v>0</v>
      </c>
      <c r="H1" s="1">
        <f t="shared" si="0"/>
        <v>0</v>
      </c>
    </row>
    <row r="2" spans="1:2">
      <c r="A2">
        <v>20240420</v>
      </c>
      <c r="B2" t="s">
        <v>518</v>
      </c>
    </row>
    <row r="3" spans="3:3">
      <c r="C3" t="s">
        <v>519</v>
      </c>
    </row>
    <row r="4" spans="3:3">
      <c r="C4" t="s">
        <v>520</v>
      </c>
    </row>
    <row r="5" spans="2:2">
      <c r="B5" t="s">
        <v>521</v>
      </c>
    </row>
    <row r="6" spans="3:3">
      <c r="C6" t="s">
        <v>522</v>
      </c>
    </row>
    <row r="7" spans="2:2">
      <c r="B7" t="s">
        <v>523</v>
      </c>
    </row>
    <row r="8" spans="2:2">
      <c r="B8" t="s">
        <v>524</v>
      </c>
    </row>
    <row r="9" spans="3:3">
      <c r="C9" t="s">
        <v>525</v>
      </c>
    </row>
    <row r="10" spans="4:4">
      <c r="D10" t="s">
        <v>526</v>
      </c>
    </row>
    <row r="11" spans="3:3">
      <c r="C11" t="s">
        <v>527</v>
      </c>
    </row>
    <row r="12" spans="3:3">
      <c r="C12" t="s">
        <v>528</v>
      </c>
    </row>
    <row r="13" spans="4:4">
      <c r="D13" t="s">
        <v>529</v>
      </c>
    </row>
    <row r="14" spans="4:4">
      <c r="D14" t="s">
        <v>530</v>
      </c>
    </row>
    <row r="15" spans="2:2">
      <c r="B15" t="s">
        <v>531</v>
      </c>
    </row>
    <row r="16" spans="3:3">
      <c r="C16" t="s">
        <v>532</v>
      </c>
    </row>
    <row r="17" spans="4:4">
      <c r="D17" t="s">
        <v>533</v>
      </c>
    </row>
    <row r="18" spans="5:5">
      <c r="E18" t="s">
        <v>534</v>
      </c>
    </row>
    <row r="19" spans="5:5">
      <c r="E19" t="s">
        <v>535</v>
      </c>
    </row>
    <row r="20" spans="4:4">
      <c r="D20" t="s">
        <v>536</v>
      </c>
    </row>
    <row r="21" spans="5:5">
      <c r="E21" t="s">
        <v>537</v>
      </c>
    </row>
    <row r="22" spans="5:5">
      <c r="E22" t="s">
        <v>538</v>
      </c>
    </row>
    <row r="23" spans="5:5">
      <c r="E23" t="s">
        <v>539</v>
      </c>
    </row>
    <row r="24" spans="5:5">
      <c r="E24" t="s">
        <v>540</v>
      </c>
    </row>
    <row r="25" spans="2:2">
      <c r="B25" t="s">
        <v>541</v>
      </c>
    </row>
    <row r="26" spans="3:3">
      <c r="C26" t="s">
        <v>542</v>
      </c>
    </row>
    <row r="27" spans="3:3">
      <c r="C27" t="s">
        <v>543</v>
      </c>
    </row>
    <row r="28" spans="3:3">
      <c r="C28" t="s">
        <v>544</v>
      </c>
    </row>
    <row r="29" spans="4:4">
      <c r="D29" t="s">
        <v>545</v>
      </c>
    </row>
    <row r="30" spans="5:5">
      <c r="E30" t="s">
        <v>546</v>
      </c>
    </row>
    <row r="31" spans="6:6">
      <c r="F31" t="s">
        <v>547</v>
      </c>
    </row>
    <row r="32" spans="5:5">
      <c r="E32" t="s">
        <v>548</v>
      </c>
    </row>
    <row r="33" spans="4:4">
      <c r="D33" t="s">
        <v>549</v>
      </c>
    </row>
    <row r="34" spans="5:5">
      <c r="E34" t="s">
        <v>550</v>
      </c>
    </row>
    <row r="35" spans="5:5">
      <c r="E35" t="s">
        <v>551</v>
      </c>
    </row>
    <row r="36" spans="6:6">
      <c r="F36" t="s">
        <v>552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workbookViewId="0">
      <selection activeCell="A1" sqref="$A1:$XFD1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15</v>
      </c>
      <c r="B1" s="1">
        <f t="shared" ref="B1:H1" si="0">COUNTA(B2:B2052)/COLUMN()</f>
        <v>3</v>
      </c>
      <c r="C1" s="1">
        <f t="shared" si="0"/>
        <v>6</v>
      </c>
      <c r="D1" s="1">
        <f t="shared" si="0"/>
        <v>5</v>
      </c>
      <c r="E1" s="1">
        <f t="shared" si="0"/>
        <v>1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20240421</v>
      </c>
      <c r="B2" t="s">
        <v>553</v>
      </c>
    </row>
    <row r="3" spans="3:3">
      <c r="C3" t="s">
        <v>554</v>
      </c>
    </row>
    <row r="4" spans="3:3">
      <c r="C4" t="s">
        <v>555</v>
      </c>
    </row>
    <row r="5" spans="3:3">
      <c r="C5" t="s">
        <v>556</v>
      </c>
    </row>
    <row r="6" spans="3:3">
      <c r="C6" t="s">
        <v>557</v>
      </c>
    </row>
    <row r="7" spans="2:2">
      <c r="B7" t="s">
        <v>558</v>
      </c>
    </row>
    <row r="8" spans="3:3">
      <c r="C8" t="s">
        <v>559</v>
      </c>
    </row>
    <row r="9" spans="3:3">
      <c r="C9" t="s">
        <v>560</v>
      </c>
    </row>
    <row r="10" spans="3:3">
      <c r="C10" t="s">
        <v>561</v>
      </c>
    </row>
    <row r="11" spans="2:2">
      <c r="B11" t="s">
        <v>562</v>
      </c>
    </row>
    <row r="12" spans="3:3">
      <c r="C12" t="s">
        <v>563</v>
      </c>
    </row>
    <row r="13" spans="3:3">
      <c r="C13" t="s">
        <v>564</v>
      </c>
    </row>
    <row r="14" spans="3:3">
      <c r="C14" t="s">
        <v>565</v>
      </c>
    </row>
    <row r="15" spans="4:4">
      <c r="D15" t="s">
        <v>566</v>
      </c>
    </row>
    <row r="16" spans="4:4">
      <c r="D16" t="s">
        <v>567</v>
      </c>
    </row>
    <row r="17" spans="4:4">
      <c r="D17" t="s">
        <v>568</v>
      </c>
    </row>
    <row r="18" spans="5:5">
      <c r="E18" t="s">
        <v>569</v>
      </c>
    </row>
    <row r="19" spans="4:4">
      <c r="D19" t="s">
        <v>570</v>
      </c>
    </row>
    <row r="20" spans="3:3">
      <c r="C20" t="s">
        <v>571</v>
      </c>
    </row>
    <row r="21" spans="4:4">
      <c r="D21" t="s">
        <v>572</v>
      </c>
    </row>
    <row r="22" spans="4:4">
      <c r="D22" t="s">
        <v>573</v>
      </c>
    </row>
    <row r="23" spans="4:4">
      <c r="D23" t="s">
        <v>574</v>
      </c>
    </row>
    <row r="24" spans="5:5">
      <c r="E24" t="s">
        <v>575</v>
      </c>
    </row>
    <row r="25" spans="3:3">
      <c r="C25" t="s">
        <v>576</v>
      </c>
    </row>
    <row r="26" spans="4:4">
      <c r="D26" t="s">
        <v>572</v>
      </c>
    </row>
    <row r="27" spans="4:4">
      <c r="D27" t="s">
        <v>573</v>
      </c>
    </row>
    <row r="28" spans="4:4">
      <c r="D28" t="s">
        <v>577</v>
      </c>
    </row>
    <row r="29" spans="5:5">
      <c r="E29" t="s">
        <v>578</v>
      </c>
    </row>
    <row r="30" spans="3:3">
      <c r="C30" t="s">
        <v>579</v>
      </c>
    </row>
    <row r="31" spans="4:4">
      <c r="D31" t="s">
        <v>580</v>
      </c>
    </row>
    <row r="32" spans="2:2">
      <c r="B32" t="s">
        <v>581</v>
      </c>
    </row>
    <row r="33" spans="2:2">
      <c r="B33" t="s">
        <v>582</v>
      </c>
    </row>
    <row r="34" spans="3:3">
      <c r="C34" t="s">
        <v>583</v>
      </c>
    </row>
    <row r="35" spans="3:3">
      <c r="C35" t="s">
        <v>584</v>
      </c>
    </row>
    <row r="36" spans="2:2">
      <c r="B36" t="s">
        <v>585</v>
      </c>
    </row>
    <row r="37" spans="3:3">
      <c r="C37" t="s">
        <v>586</v>
      </c>
    </row>
    <row r="38" spans="3:3">
      <c r="C38" t="s">
        <v>587</v>
      </c>
    </row>
    <row r="39" spans="4:4">
      <c r="D39" t="s">
        <v>588</v>
      </c>
    </row>
    <row r="40" spans="4:4">
      <c r="D40" t="s">
        <v>589</v>
      </c>
    </row>
    <row r="41" spans="3:3">
      <c r="C41" t="s">
        <v>590</v>
      </c>
    </row>
    <row r="42" spans="4:4">
      <c r="D42" t="s">
        <v>591</v>
      </c>
    </row>
    <row r="43" spans="4:4">
      <c r="D43" t="s">
        <v>592</v>
      </c>
    </row>
    <row r="44" spans="4:4">
      <c r="D44" t="s">
        <v>593</v>
      </c>
    </row>
    <row r="45" spans="4:4">
      <c r="D45" t="s">
        <v>594</v>
      </c>
    </row>
    <row r="46" spans="5:5">
      <c r="E46" t="s">
        <v>595</v>
      </c>
    </row>
    <row r="47" spans="5:5">
      <c r="E47" t="s">
        <v>596</v>
      </c>
    </row>
    <row r="48" spans="4:4">
      <c r="D48" t="s">
        <v>597</v>
      </c>
    </row>
    <row r="49" spans="4:4">
      <c r="D49" t="s">
        <v>598</v>
      </c>
    </row>
    <row r="50" spans="4:4">
      <c r="D50" t="s">
        <v>599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A2" sqref="A2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12.0333333333333</v>
      </c>
      <c r="B1" s="1">
        <f t="shared" ref="B1:H1" si="0">COUNTA(B2:B2052)/COLUMN()</f>
        <v>3</v>
      </c>
      <c r="C1" s="1">
        <f t="shared" si="0"/>
        <v>5.33333333333333</v>
      </c>
      <c r="D1" s="1">
        <f t="shared" si="0"/>
        <v>2.5</v>
      </c>
      <c r="E1" s="1">
        <f t="shared" si="0"/>
        <v>1.2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20240422</v>
      </c>
      <c r="B2" t="s">
        <v>600</v>
      </c>
    </row>
    <row r="3" spans="3:3">
      <c r="C3" t="s">
        <v>601</v>
      </c>
    </row>
    <row r="4" spans="3:3">
      <c r="C4" t="s">
        <v>602</v>
      </c>
    </row>
    <row r="5" spans="3:3">
      <c r="C5" t="s">
        <v>603</v>
      </c>
    </row>
    <row r="6" spans="3:3">
      <c r="C6" t="s">
        <v>604</v>
      </c>
    </row>
    <row r="7" spans="4:4">
      <c r="D7" t="s">
        <v>605</v>
      </c>
    </row>
    <row r="8" spans="5:5">
      <c r="E8" t="s">
        <v>606</v>
      </c>
    </row>
    <row r="9" spans="5:5">
      <c r="E9" t="s">
        <v>607</v>
      </c>
    </row>
    <row r="10" spans="5:5">
      <c r="E10" t="s">
        <v>608</v>
      </c>
    </row>
    <row r="11" spans="4:4">
      <c r="D11" t="s">
        <v>609</v>
      </c>
    </row>
    <row r="12" spans="5:5">
      <c r="E12" t="s">
        <v>610</v>
      </c>
    </row>
    <row r="13" spans="5:5">
      <c r="E13" t="s">
        <v>611</v>
      </c>
    </row>
    <row r="14" spans="5:5">
      <c r="E14" t="s">
        <v>612</v>
      </c>
    </row>
    <row r="15" spans="3:3">
      <c r="C15" t="s">
        <v>613</v>
      </c>
    </row>
    <row r="16" spans="4:4">
      <c r="D16" t="s">
        <v>614</v>
      </c>
    </row>
    <row r="17" spans="4:4">
      <c r="D17" t="s">
        <v>615</v>
      </c>
    </row>
    <row r="18" spans="4:4">
      <c r="D18" t="s">
        <v>616</v>
      </c>
    </row>
    <row r="19" spans="2:2">
      <c r="B19" t="s">
        <v>617</v>
      </c>
    </row>
    <row r="20" spans="3:3">
      <c r="C20" t="s">
        <v>618</v>
      </c>
    </row>
    <row r="21" spans="3:3">
      <c r="C21" t="s">
        <v>619</v>
      </c>
    </row>
    <row r="22" spans="3:3">
      <c r="C22" t="s">
        <v>620</v>
      </c>
    </row>
    <row r="23" spans="2:2">
      <c r="B23" t="s">
        <v>621</v>
      </c>
    </row>
    <row r="24" spans="3:3">
      <c r="C24" t="s">
        <v>622</v>
      </c>
    </row>
    <row r="25" spans="4:4">
      <c r="D25" t="s">
        <v>623</v>
      </c>
    </row>
    <row r="26" spans="4:4">
      <c r="D26" t="s">
        <v>624</v>
      </c>
    </row>
    <row r="27" spans="3:3">
      <c r="C27" t="s">
        <v>625</v>
      </c>
    </row>
    <row r="28" spans="2:2">
      <c r="B28" t="s">
        <v>626</v>
      </c>
    </row>
    <row r="29" spans="2:2">
      <c r="B29" t="s">
        <v>627</v>
      </c>
    </row>
    <row r="30" spans="3:3">
      <c r="C30" t="s">
        <v>628</v>
      </c>
    </row>
    <row r="31" spans="3:3">
      <c r="C31" t="s">
        <v>629</v>
      </c>
    </row>
    <row r="32" spans="4:4">
      <c r="D32" t="s">
        <v>630</v>
      </c>
    </row>
    <row r="33" spans="4:4">
      <c r="D33" t="s">
        <v>631</v>
      </c>
    </row>
    <row r="34" spans="4:4">
      <c r="D34" t="s">
        <v>632</v>
      </c>
    </row>
    <row r="35" spans="3:3">
      <c r="C35" t="s">
        <v>633</v>
      </c>
    </row>
    <row r="36" spans="2:2">
      <c r="B36" t="s">
        <v>634</v>
      </c>
    </row>
    <row r="37" spans="3:3">
      <c r="C37" t="s">
        <v>635</v>
      </c>
    </row>
    <row r="38" spans="3:3">
      <c r="C38" t="s">
        <v>636</v>
      </c>
    </row>
    <row r="39" spans="3:3">
      <c r="C39" t="s">
        <v>637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A4" workbookViewId="0">
      <selection activeCell="F19" sqref="F19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7.45952380952381</v>
      </c>
      <c r="B1" s="1">
        <f t="shared" ref="B1:H1" si="0">COUNTA(B2:B2053)/COLUMN()</f>
        <v>1.5</v>
      </c>
      <c r="C1" s="1">
        <f t="shared" si="0"/>
        <v>2</v>
      </c>
      <c r="D1" s="1">
        <f t="shared" si="0"/>
        <v>1.75</v>
      </c>
      <c r="E1" s="1">
        <f t="shared" si="0"/>
        <v>1.4</v>
      </c>
      <c r="F1" s="1">
        <f t="shared" si="0"/>
        <v>0.666666666666667</v>
      </c>
      <c r="G1" s="1">
        <f t="shared" si="0"/>
        <v>0.142857142857143</v>
      </c>
      <c r="H1" s="1">
        <f t="shared" si="0"/>
        <v>0</v>
      </c>
    </row>
    <row r="2" spans="1:2">
      <c r="A2">
        <v>20240423</v>
      </c>
      <c r="B2" t="s">
        <v>638</v>
      </c>
    </row>
    <row r="3" spans="3:3">
      <c r="C3" t="s">
        <v>639</v>
      </c>
    </row>
    <row r="4" spans="4:4">
      <c r="D4" t="s">
        <v>640</v>
      </c>
    </row>
    <row r="5" spans="3:3">
      <c r="C5" t="s">
        <v>641</v>
      </c>
    </row>
    <row r="6" spans="4:4">
      <c r="D6" t="s">
        <v>642</v>
      </c>
    </row>
    <row r="7" spans="2:2">
      <c r="B7" t="s">
        <v>643</v>
      </c>
    </row>
    <row r="8" spans="3:3">
      <c r="C8" t="s">
        <v>644</v>
      </c>
    </row>
    <row r="9" spans="3:3">
      <c r="C9" t="s">
        <v>645</v>
      </c>
    </row>
    <row r="10" spans="4:4">
      <c r="D10" t="s">
        <v>646</v>
      </c>
    </row>
    <row r="11" spans="4:4">
      <c r="D11" t="s">
        <v>647</v>
      </c>
    </row>
    <row r="12" spans="5:5">
      <c r="E12" t="s">
        <v>648</v>
      </c>
    </row>
    <row r="13" spans="5:5">
      <c r="E13" t="s">
        <v>649</v>
      </c>
    </row>
    <row r="14" spans="6:6">
      <c r="F14" t="s">
        <v>650</v>
      </c>
    </row>
    <row r="15" spans="6:6">
      <c r="F15" t="s">
        <v>651</v>
      </c>
    </row>
    <row r="16" spans="7:7">
      <c r="G16" t="s">
        <v>652</v>
      </c>
    </row>
    <row r="17" spans="2:2">
      <c r="B17" t="s">
        <v>653</v>
      </c>
    </row>
    <row r="18" spans="3:3">
      <c r="C18" t="s">
        <v>654</v>
      </c>
    </row>
    <row r="19" spans="3:3">
      <c r="C19" t="s">
        <v>655</v>
      </c>
    </row>
    <row r="20" spans="4:4">
      <c r="D20" t="s">
        <v>656</v>
      </c>
    </row>
    <row r="21" spans="4:4">
      <c r="D21" t="s">
        <v>657</v>
      </c>
    </row>
    <row r="22" spans="5:5">
      <c r="E22" t="s">
        <v>658</v>
      </c>
    </row>
    <row r="23" spans="5:5">
      <c r="E23" t="s">
        <v>659</v>
      </c>
    </row>
    <row r="24" spans="5:5">
      <c r="E24" t="s">
        <v>660</v>
      </c>
    </row>
    <row r="25" spans="4:4">
      <c r="D25" t="s">
        <v>661</v>
      </c>
    </row>
    <row r="26" spans="5:5">
      <c r="E26" t="s">
        <v>662</v>
      </c>
    </row>
    <row r="27" spans="6:6">
      <c r="F27" t="s">
        <v>663</v>
      </c>
    </row>
    <row r="28" spans="5:5">
      <c r="E28" t="s">
        <v>664</v>
      </c>
    </row>
    <row r="29" spans="6:6">
      <c r="F29" t="s">
        <v>665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B6" sqref="B6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7.05</v>
      </c>
      <c r="B1" s="1">
        <f t="shared" ref="B1:H1" si="0">COUNTA(B2:B2053)/COLUMN()</f>
        <v>1.5</v>
      </c>
      <c r="C1" s="1">
        <f t="shared" si="0"/>
        <v>2</v>
      </c>
      <c r="D1" s="1">
        <f t="shared" si="0"/>
        <v>2.75</v>
      </c>
      <c r="E1" s="1">
        <f t="shared" si="0"/>
        <v>0.8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20240424</v>
      </c>
      <c r="B2" t="s">
        <v>666</v>
      </c>
    </row>
    <row r="3" spans="2:2">
      <c r="B3" t="s">
        <v>667</v>
      </c>
    </row>
    <row r="4" spans="3:3">
      <c r="C4" t="s">
        <v>668</v>
      </c>
    </row>
    <row r="5" spans="3:3">
      <c r="C5" t="s">
        <v>669</v>
      </c>
    </row>
    <row r="6" spans="2:2">
      <c r="B6" t="s">
        <v>670</v>
      </c>
    </row>
    <row r="7" spans="3:3">
      <c r="C7" t="s">
        <v>671</v>
      </c>
    </row>
    <row r="8" spans="4:4">
      <c r="D8" t="s">
        <v>672</v>
      </c>
    </row>
    <row r="9" spans="4:4">
      <c r="D9" t="s">
        <v>673</v>
      </c>
    </row>
    <row r="10" spans="4:4">
      <c r="D10" t="s">
        <v>674</v>
      </c>
    </row>
    <row r="11" spans="4:4">
      <c r="D11" t="s">
        <v>675</v>
      </c>
    </row>
    <row r="12" spans="4:4">
      <c r="D12" t="s">
        <v>676</v>
      </c>
    </row>
    <row r="13" spans="3:3">
      <c r="C13" t="s">
        <v>677</v>
      </c>
    </row>
    <row r="14" spans="4:4">
      <c r="D14" t="s">
        <v>678</v>
      </c>
    </row>
    <row r="15" spans="4:4">
      <c r="D15" t="s">
        <v>679</v>
      </c>
    </row>
    <row r="16" spans="4:4">
      <c r="D16" t="s">
        <v>680</v>
      </c>
    </row>
    <row r="17" spans="4:4">
      <c r="D17" t="s">
        <v>681</v>
      </c>
    </row>
    <row r="18" spans="3:3">
      <c r="C18" t="s">
        <v>682</v>
      </c>
    </row>
    <row r="19" spans="4:4">
      <c r="D19" t="s">
        <v>683</v>
      </c>
    </row>
    <row r="20" spans="4:4">
      <c r="D20" t="s">
        <v>684</v>
      </c>
    </row>
    <row r="21" spans="5:5">
      <c r="E21" t="s">
        <v>685</v>
      </c>
    </row>
    <row r="22" spans="5:5">
      <c r="E22" t="s">
        <v>686</v>
      </c>
    </row>
    <row r="23" spans="5:5">
      <c r="E23" t="s">
        <v>687</v>
      </c>
    </row>
    <row r="24" spans="5:5">
      <c r="E24" t="s">
        <v>688</v>
      </c>
    </row>
    <row r="25" spans="3:3">
      <c r="C25" t="s">
        <v>689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opLeftCell="A58" workbookViewId="0">
      <selection activeCell="C78" sqref="C78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24.1666666666667</v>
      </c>
      <c r="B1" s="1">
        <f t="shared" ref="B1:H1" si="0">COUNTA(B2:B2055)/COLUMN()</f>
        <v>3.5</v>
      </c>
      <c r="C1" s="1">
        <f t="shared" si="0"/>
        <v>12</v>
      </c>
      <c r="D1" s="1">
        <f t="shared" si="0"/>
        <v>7</v>
      </c>
      <c r="E1" s="1">
        <f t="shared" si="0"/>
        <v>1</v>
      </c>
      <c r="F1" s="1">
        <f t="shared" si="0"/>
        <v>0.666666666666667</v>
      </c>
      <c r="G1" s="1">
        <f t="shared" si="0"/>
        <v>0</v>
      </c>
      <c r="H1" s="1">
        <f t="shared" si="0"/>
        <v>0</v>
      </c>
    </row>
    <row r="2" spans="1:2">
      <c r="A2">
        <v>20240425</v>
      </c>
      <c r="B2" t="s">
        <v>690</v>
      </c>
    </row>
    <row r="3" spans="3:3">
      <c r="C3" t="s">
        <v>691</v>
      </c>
    </row>
    <row r="4" spans="3:3">
      <c r="C4" t="s">
        <v>692</v>
      </c>
    </row>
    <row r="5" spans="3:3">
      <c r="C5" t="s">
        <v>693</v>
      </c>
    </row>
    <row r="6" spans="3:3">
      <c r="C6" t="s">
        <v>694</v>
      </c>
    </row>
    <row r="7" spans="3:3">
      <c r="C7" t="s">
        <v>695</v>
      </c>
    </row>
    <row r="8" spans="3:3">
      <c r="C8" t="s">
        <v>696</v>
      </c>
    </row>
    <row r="9" spans="2:2">
      <c r="B9" t="s">
        <v>1</v>
      </c>
    </row>
    <row r="10" spans="3:3">
      <c r="C10" t="s">
        <v>697</v>
      </c>
    </row>
    <row r="11" spans="3:3">
      <c r="C11" t="s">
        <v>698</v>
      </c>
    </row>
    <row r="12" spans="3:3">
      <c r="C12" t="s">
        <v>699</v>
      </c>
    </row>
    <row r="13" spans="3:3">
      <c r="C13" t="s">
        <v>700</v>
      </c>
    </row>
    <row r="14" spans="3:3">
      <c r="C14" t="s">
        <v>701</v>
      </c>
    </row>
    <row r="15" spans="2:2">
      <c r="B15" t="s">
        <v>702</v>
      </c>
    </row>
    <row r="16" spans="3:3">
      <c r="C16" t="s">
        <v>703</v>
      </c>
    </row>
    <row r="17" spans="3:3">
      <c r="C17" t="s">
        <v>704</v>
      </c>
    </row>
    <row r="18" spans="3:3">
      <c r="C18" t="s">
        <v>705</v>
      </c>
    </row>
    <row r="19" spans="4:4">
      <c r="D19" t="s">
        <v>706</v>
      </c>
    </row>
    <row r="20" spans="4:4">
      <c r="D20" t="s">
        <v>707</v>
      </c>
    </row>
    <row r="21" spans="4:4">
      <c r="D21" t="s">
        <v>708</v>
      </c>
    </row>
    <row r="22" spans="3:3">
      <c r="C22" t="s">
        <v>709</v>
      </c>
    </row>
    <row r="23" spans="4:4">
      <c r="D23" t="s">
        <v>710</v>
      </c>
    </row>
    <row r="24" spans="4:4">
      <c r="D24" t="s">
        <v>711</v>
      </c>
    </row>
    <row r="25" spans="4:4">
      <c r="D25" t="s">
        <v>712</v>
      </c>
    </row>
    <row r="26" spans="3:3">
      <c r="C26" t="s">
        <v>713</v>
      </c>
    </row>
    <row r="27" spans="4:4">
      <c r="D27" t="s">
        <v>714</v>
      </c>
    </row>
    <row r="28" spans="4:4">
      <c r="D28" t="s">
        <v>715</v>
      </c>
    </row>
    <row r="29" spans="4:4">
      <c r="D29" t="s">
        <v>716</v>
      </c>
    </row>
    <row r="30" spans="4:4">
      <c r="D30" t="s">
        <v>717</v>
      </c>
    </row>
    <row r="31" spans="3:3">
      <c r="C31" t="s">
        <v>718</v>
      </c>
    </row>
    <row r="32" spans="4:4">
      <c r="D32" t="s">
        <v>719</v>
      </c>
    </row>
    <row r="33" spans="4:4">
      <c r="D33" t="s">
        <v>720</v>
      </c>
    </row>
    <row r="34" spans="4:4">
      <c r="D34" t="s">
        <v>721</v>
      </c>
    </row>
    <row r="35" spans="5:5">
      <c r="E35" t="s">
        <v>722</v>
      </c>
    </row>
    <row r="36" spans="3:3">
      <c r="C36" t="s">
        <v>723</v>
      </c>
    </row>
    <row r="37" spans="4:4">
      <c r="D37" t="s">
        <v>724</v>
      </c>
    </row>
    <row r="38" spans="4:4">
      <c r="D38" t="s">
        <v>725</v>
      </c>
    </row>
    <row r="39" spans="4:4">
      <c r="D39" t="s">
        <v>726</v>
      </c>
    </row>
    <row r="40" spans="3:3">
      <c r="C40" t="s">
        <v>727</v>
      </c>
    </row>
    <row r="41" spans="4:4">
      <c r="D41" t="s">
        <v>728</v>
      </c>
    </row>
    <row r="42" spans="4:4">
      <c r="D42" t="s">
        <v>720</v>
      </c>
    </row>
    <row r="43" spans="4:4">
      <c r="D43" t="s">
        <v>729</v>
      </c>
    </row>
    <row r="44" spans="5:5">
      <c r="E44" t="s">
        <v>730</v>
      </c>
    </row>
    <row r="45" spans="5:5">
      <c r="E45" t="s">
        <v>731</v>
      </c>
    </row>
    <row r="46" spans="5:5">
      <c r="E46" t="s">
        <v>732</v>
      </c>
    </row>
    <row r="47" spans="6:6">
      <c r="F47" t="s">
        <v>733</v>
      </c>
    </row>
    <row r="48" spans="6:6">
      <c r="F48" t="s">
        <v>734</v>
      </c>
    </row>
    <row r="49" spans="6:6">
      <c r="F49" t="s">
        <v>735</v>
      </c>
    </row>
    <row r="50" spans="6:6">
      <c r="F50" t="s">
        <v>736</v>
      </c>
    </row>
    <row r="51" spans="5:5">
      <c r="E51" t="s">
        <v>737</v>
      </c>
    </row>
    <row r="52" spans="2:2">
      <c r="B52" t="s">
        <v>738</v>
      </c>
    </row>
    <row r="53" spans="3:3">
      <c r="C53" t="s">
        <v>739</v>
      </c>
    </row>
    <row r="54" spans="3:3">
      <c r="C54" t="s">
        <v>740</v>
      </c>
    </row>
    <row r="55" spans="4:4">
      <c r="D55" t="s">
        <v>741</v>
      </c>
    </row>
    <row r="56" spans="4:4">
      <c r="D56" t="s">
        <v>742</v>
      </c>
    </row>
    <row r="57" spans="4:4">
      <c r="D57" t="s">
        <v>743</v>
      </c>
    </row>
    <row r="58" spans="3:3">
      <c r="C58" t="s">
        <v>744</v>
      </c>
    </row>
    <row r="59" spans="3:3">
      <c r="C59" t="s">
        <v>745</v>
      </c>
    </row>
    <row r="60" spans="4:4">
      <c r="D60" t="s">
        <v>746</v>
      </c>
    </row>
    <row r="61" spans="4:4">
      <c r="D61" t="s">
        <v>747</v>
      </c>
    </row>
    <row r="62" spans="4:4">
      <c r="D62" t="s">
        <v>748</v>
      </c>
    </row>
    <row r="63" spans="4:4">
      <c r="D63" t="s">
        <v>749</v>
      </c>
    </row>
    <row r="64" spans="2:2">
      <c r="B64" t="s">
        <v>750</v>
      </c>
    </row>
    <row r="65" spans="3:3">
      <c r="C65" t="s">
        <v>751</v>
      </c>
    </row>
    <row r="66" spans="3:3">
      <c r="C66" t="s">
        <v>752</v>
      </c>
    </row>
    <row r="67" spans="3:3">
      <c r="C67" t="s">
        <v>753</v>
      </c>
    </row>
    <row r="68" spans="3:3">
      <c r="C68" t="s">
        <v>754</v>
      </c>
    </row>
    <row r="69" spans="3:3">
      <c r="C69" t="s">
        <v>755</v>
      </c>
    </row>
    <row r="70" spans="3:3">
      <c r="C70" t="s">
        <v>756</v>
      </c>
    </row>
    <row r="71" spans="3:3">
      <c r="C71" t="s">
        <v>757</v>
      </c>
    </row>
    <row r="72" spans="2:2">
      <c r="B72" t="s">
        <v>758</v>
      </c>
    </row>
    <row r="73" spans="3:3">
      <c r="C73" t="s">
        <v>759</v>
      </c>
    </row>
    <row r="74" spans="3:3">
      <c r="C74" t="s">
        <v>760</v>
      </c>
    </row>
    <row r="75" spans="3:3">
      <c r="C75" t="s">
        <v>761</v>
      </c>
    </row>
    <row r="76" spans="4:4">
      <c r="D76" t="s">
        <v>762</v>
      </c>
    </row>
    <row r="77" spans="4:4">
      <c r="D77" t="s">
        <v>763</v>
      </c>
    </row>
    <row r="78" spans="2:2">
      <c r="B78" s="3" t="s">
        <v>764</v>
      </c>
    </row>
    <row r="79" spans="3:3">
      <c r="C79" t="s">
        <v>765</v>
      </c>
    </row>
    <row r="80" spans="3:3">
      <c r="C80" t="s">
        <v>766</v>
      </c>
    </row>
    <row r="81" spans="3:3">
      <c r="C81" t="s">
        <v>767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"/>
  <sheetViews>
    <sheetView tabSelected="1" topLeftCell="A121" workbookViewId="0">
      <selection activeCell="C148" sqref="C148"/>
    </sheetView>
  </sheetViews>
  <sheetFormatPr defaultColWidth="8.88888888888889" defaultRowHeight="14.4" outlineLevelCol="7"/>
  <cols>
    <col min="1" max="1" width="9.66666666666667"/>
  </cols>
  <sheetData>
    <row r="1" s="1" customFormat="1" spans="1:8">
      <c r="A1" s="1">
        <f>SUM(B1:AZ1)</f>
        <v>46.05</v>
      </c>
      <c r="B1" s="1">
        <f t="shared" ref="B1:H1" si="0">COUNTA(B2:B2057)/COLUMN()</f>
        <v>9</v>
      </c>
      <c r="C1" s="1">
        <f t="shared" si="0"/>
        <v>21</v>
      </c>
      <c r="D1" s="1">
        <f t="shared" si="0"/>
        <v>15.25</v>
      </c>
      <c r="E1" s="1">
        <f t="shared" si="0"/>
        <v>0.8</v>
      </c>
      <c r="F1" s="1">
        <f t="shared" si="0"/>
        <v>0</v>
      </c>
      <c r="G1" s="1">
        <f t="shared" si="0"/>
        <v>0</v>
      </c>
      <c r="H1" s="1">
        <f t="shared" si="0"/>
        <v>0</v>
      </c>
    </row>
    <row r="2" spans="1:2">
      <c r="A2">
        <v>20240426</v>
      </c>
      <c r="B2" t="s">
        <v>768</v>
      </c>
    </row>
    <row r="3" spans="3:3">
      <c r="C3" s="2" t="s">
        <v>769</v>
      </c>
    </row>
    <row r="4" spans="3:3">
      <c r="C4" s="2" t="s">
        <v>770</v>
      </c>
    </row>
    <row r="5" spans="3:3">
      <c r="C5" s="2" t="s">
        <v>771</v>
      </c>
    </row>
    <row r="6" spans="3:3">
      <c r="C6" t="s">
        <v>772</v>
      </c>
    </row>
    <row r="7" spans="2:2">
      <c r="B7" t="s">
        <v>773</v>
      </c>
    </row>
    <row r="8" spans="3:3">
      <c r="C8" t="s">
        <v>774</v>
      </c>
    </row>
    <row r="9" spans="3:3">
      <c r="C9" t="s">
        <v>775</v>
      </c>
    </row>
    <row r="10" spans="3:3">
      <c r="C10" s="2" t="s">
        <v>776</v>
      </c>
    </row>
    <row r="11" spans="3:3">
      <c r="C11" t="s">
        <v>777</v>
      </c>
    </row>
    <row r="12" spans="2:2">
      <c r="B12" t="s">
        <v>778</v>
      </c>
    </row>
    <row r="13" spans="3:3">
      <c r="C13" t="s">
        <v>779</v>
      </c>
    </row>
    <row r="14" spans="3:3">
      <c r="C14" s="2" t="s">
        <v>780</v>
      </c>
    </row>
    <row r="15" spans="3:3">
      <c r="C15" s="2" t="s">
        <v>781</v>
      </c>
    </row>
    <row r="16" spans="3:3">
      <c r="C16" s="2" t="s">
        <v>782</v>
      </c>
    </row>
    <row r="17" spans="2:3">
      <c r="B17" t="s">
        <v>783</v>
      </c>
      <c r="C17" s="2"/>
    </row>
    <row r="18" spans="3:3">
      <c r="C18" t="s">
        <v>784</v>
      </c>
    </row>
    <row r="19" spans="3:3">
      <c r="C19" s="2" t="s">
        <v>785</v>
      </c>
    </row>
    <row r="20" spans="3:3">
      <c r="C20" t="s">
        <v>786</v>
      </c>
    </row>
    <row r="21" spans="3:3">
      <c r="C21" s="2" t="s">
        <v>787</v>
      </c>
    </row>
    <row r="22" spans="2:2">
      <c r="B22" t="s">
        <v>788</v>
      </c>
    </row>
    <row r="23" spans="3:3">
      <c r="C23" t="s">
        <v>789</v>
      </c>
    </row>
    <row r="24" spans="3:3">
      <c r="C24" t="s">
        <v>790</v>
      </c>
    </row>
    <row r="25" spans="3:3">
      <c r="C25" t="s">
        <v>791</v>
      </c>
    </row>
    <row r="26" spans="4:4">
      <c r="D26" t="s">
        <v>792</v>
      </c>
    </row>
    <row r="27" spans="4:4">
      <c r="D27" t="s">
        <v>793</v>
      </c>
    </row>
    <row r="28" spans="3:3">
      <c r="C28" t="s">
        <v>794</v>
      </c>
    </row>
    <row r="29" spans="2:2">
      <c r="B29" t="s">
        <v>795</v>
      </c>
    </row>
    <row r="30" spans="3:3">
      <c r="C30" t="s">
        <v>796</v>
      </c>
    </row>
    <row r="31" spans="4:4">
      <c r="D31" t="s">
        <v>797</v>
      </c>
    </row>
    <row r="32" spans="4:4">
      <c r="D32" t="s">
        <v>798</v>
      </c>
    </row>
    <row r="33" spans="4:4">
      <c r="D33" t="s">
        <v>799</v>
      </c>
    </row>
    <row r="34" spans="3:3">
      <c r="C34" t="s">
        <v>800</v>
      </c>
    </row>
    <row r="35" spans="4:4">
      <c r="D35" t="s">
        <v>801</v>
      </c>
    </row>
    <row r="36" spans="4:4">
      <c r="D36" t="s">
        <v>802</v>
      </c>
    </row>
    <row r="37" spans="3:3">
      <c r="C37" t="s">
        <v>803</v>
      </c>
    </row>
    <row r="38" spans="3:3">
      <c r="C38" t="s">
        <v>804</v>
      </c>
    </row>
    <row r="39" spans="2:2">
      <c r="B39" t="s">
        <v>805</v>
      </c>
    </row>
    <row r="40" spans="3:3">
      <c r="C40" t="s">
        <v>806</v>
      </c>
    </row>
    <row r="41" spans="4:4">
      <c r="D41" t="s">
        <v>807</v>
      </c>
    </row>
    <row r="42" spans="3:3">
      <c r="C42" t="s">
        <v>808</v>
      </c>
    </row>
    <row r="43" spans="4:4">
      <c r="D43" t="s">
        <v>809</v>
      </c>
    </row>
    <row r="44" spans="3:3">
      <c r="C44" t="s">
        <v>810</v>
      </c>
    </row>
    <row r="45" spans="3:3">
      <c r="C45" t="s">
        <v>811</v>
      </c>
    </row>
    <row r="46" spans="2:2">
      <c r="B46" t="s">
        <v>812</v>
      </c>
    </row>
    <row r="47" spans="3:3">
      <c r="C47" t="s">
        <v>813</v>
      </c>
    </row>
    <row r="48" spans="3:3">
      <c r="C48" t="s">
        <v>814</v>
      </c>
    </row>
    <row r="49" spans="3:3">
      <c r="C49" t="s">
        <v>815</v>
      </c>
    </row>
    <row r="50" spans="3:3">
      <c r="C50" t="s">
        <v>816</v>
      </c>
    </row>
    <row r="51" spans="2:2">
      <c r="B51" t="s">
        <v>817</v>
      </c>
    </row>
    <row r="52" spans="3:3">
      <c r="C52" t="s">
        <v>818</v>
      </c>
    </row>
    <row r="53" spans="4:4">
      <c r="D53" t="s">
        <v>819</v>
      </c>
    </row>
    <row r="54" spans="4:4">
      <c r="D54" t="s">
        <v>820</v>
      </c>
    </row>
    <row r="55" spans="4:4">
      <c r="D55" t="s">
        <v>821</v>
      </c>
    </row>
    <row r="56" spans="3:3">
      <c r="C56" t="s">
        <v>822</v>
      </c>
    </row>
    <row r="57" spans="3:3">
      <c r="C57" t="s">
        <v>823</v>
      </c>
    </row>
    <row r="58" spans="4:4">
      <c r="D58" t="s">
        <v>824</v>
      </c>
    </row>
    <row r="59" spans="3:3">
      <c r="C59" t="s">
        <v>825</v>
      </c>
    </row>
    <row r="60" spans="2:2">
      <c r="B60" t="s">
        <v>826</v>
      </c>
    </row>
    <row r="61" spans="3:3">
      <c r="C61" t="s">
        <v>827</v>
      </c>
    </row>
    <row r="62" spans="4:4">
      <c r="D62" t="s">
        <v>828</v>
      </c>
    </row>
    <row r="63" spans="5:5">
      <c r="E63" t="s">
        <v>829</v>
      </c>
    </row>
    <row r="64" spans="5:5">
      <c r="E64" t="s">
        <v>830</v>
      </c>
    </row>
    <row r="65" spans="4:4">
      <c r="D65" t="s">
        <v>831</v>
      </c>
    </row>
    <row r="66" spans="5:5">
      <c r="E66" t="s">
        <v>832</v>
      </c>
    </row>
    <row r="67" spans="5:5">
      <c r="E67" t="s">
        <v>833</v>
      </c>
    </row>
    <row r="68" spans="3:3">
      <c r="C68" t="s">
        <v>834</v>
      </c>
    </row>
    <row r="69" spans="3:3">
      <c r="C69" t="s">
        <v>835</v>
      </c>
    </row>
    <row r="70" spans="3:3">
      <c r="C70" t="s">
        <v>836</v>
      </c>
    </row>
    <row r="71" spans="2:2">
      <c r="B71" t="s">
        <v>837</v>
      </c>
    </row>
    <row r="72" spans="3:3">
      <c r="C72" t="s">
        <v>838</v>
      </c>
    </row>
    <row r="73" spans="3:3">
      <c r="C73" t="s">
        <v>839</v>
      </c>
    </row>
    <row r="74" spans="4:4">
      <c r="D74" t="s">
        <v>840</v>
      </c>
    </row>
    <row r="75" spans="4:4">
      <c r="D75" t="s">
        <v>841</v>
      </c>
    </row>
    <row r="76" spans="4:4">
      <c r="D76" t="s">
        <v>842</v>
      </c>
    </row>
    <row r="77" spans="3:3">
      <c r="C77" t="s">
        <v>843</v>
      </c>
    </row>
    <row r="78" spans="2:2">
      <c r="B78" t="s">
        <v>844</v>
      </c>
    </row>
    <row r="79" spans="3:3">
      <c r="C79" s="2" t="s">
        <v>845</v>
      </c>
    </row>
    <row r="80" spans="3:3">
      <c r="C80" s="2" t="s">
        <v>846</v>
      </c>
    </row>
    <row r="81" spans="3:3">
      <c r="C81" s="2" t="s">
        <v>847</v>
      </c>
    </row>
    <row r="82" spans="3:3">
      <c r="C82" t="s">
        <v>848</v>
      </c>
    </row>
    <row r="83" spans="4:4">
      <c r="D83" s="2" t="s">
        <v>849</v>
      </c>
    </row>
    <row r="84" spans="4:4">
      <c r="D84" t="s">
        <v>850</v>
      </c>
    </row>
    <row r="85" spans="4:4">
      <c r="D85" t="s">
        <v>851</v>
      </c>
    </row>
    <row r="86" spans="4:4">
      <c r="D86" t="s">
        <v>852</v>
      </c>
    </row>
    <row r="87" spans="4:4">
      <c r="D87" t="s">
        <v>853</v>
      </c>
    </row>
    <row r="88" spans="3:3">
      <c r="C88" t="s">
        <v>854</v>
      </c>
    </row>
    <row r="89" spans="3:3">
      <c r="C89" t="s">
        <v>855</v>
      </c>
    </row>
    <row r="90" spans="3:3">
      <c r="C90" t="s">
        <v>856</v>
      </c>
    </row>
    <row r="91" spans="4:4">
      <c r="D91" t="s">
        <v>857</v>
      </c>
    </row>
    <row r="92" spans="4:4">
      <c r="D92" t="s">
        <v>858</v>
      </c>
    </row>
    <row r="93" spans="4:4">
      <c r="D93" t="s">
        <v>859</v>
      </c>
    </row>
    <row r="94" spans="4:4">
      <c r="D94" t="s">
        <v>860</v>
      </c>
    </row>
    <row r="95" spans="2:2">
      <c r="B95" t="s">
        <v>861</v>
      </c>
    </row>
    <row r="96" spans="3:3">
      <c r="C96" t="s">
        <v>862</v>
      </c>
    </row>
    <row r="97" spans="4:4">
      <c r="D97" t="s">
        <v>863</v>
      </c>
    </row>
    <row r="98" spans="4:4">
      <c r="D98" t="s">
        <v>864</v>
      </c>
    </row>
    <row r="99" spans="2:2">
      <c r="B99" t="s">
        <v>865</v>
      </c>
    </row>
    <row r="100" spans="3:3">
      <c r="C100" t="s">
        <v>866</v>
      </c>
    </row>
    <row r="101" spans="4:4">
      <c r="D101" t="s">
        <v>867</v>
      </c>
    </row>
    <row r="102" spans="4:4">
      <c r="D102" t="s">
        <v>868</v>
      </c>
    </row>
    <row r="103" spans="4:4">
      <c r="D103" t="s">
        <v>869</v>
      </c>
    </row>
    <row r="104" spans="4:4">
      <c r="D104" t="s">
        <v>870</v>
      </c>
    </row>
    <row r="105" spans="4:4">
      <c r="D105" t="s">
        <v>871</v>
      </c>
    </row>
    <row r="106" spans="3:3">
      <c r="C106" t="s">
        <v>872</v>
      </c>
    </row>
    <row r="107" spans="4:4">
      <c r="D107" t="s">
        <v>873</v>
      </c>
    </row>
    <row r="108" spans="4:4">
      <c r="D108" t="s">
        <v>874</v>
      </c>
    </row>
    <row r="109" spans="4:4">
      <c r="D109" t="s">
        <v>875</v>
      </c>
    </row>
    <row r="110" spans="3:3">
      <c r="C110" t="s">
        <v>876</v>
      </c>
    </row>
    <row r="111" spans="4:4">
      <c r="D111" t="s">
        <v>877</v>
      </c>
    </row>
    <row r="112" spans="4:4">
      <c r="D112" t="s">
        <v>878</v>
      </c>
    </row>
    <row r="113" spans="4:4">
      <c r="D113" t="s">
        <v>879</v>
      </c>
    </row>
    <row r="114" spans="4:4">
      <c r="D114" t="s">
        <v>880</v>
      </c>
    </row>
    <row r="115" spans="4:4">
      <c r="D115" t="s">
        <v>881</v>
      </c>
    </row>
    <row r="116" spans="4:4">
      <c r="D116" t="s">
        <v>882</v>
      </c>
    </row>
    <row r="117" spans="3:3">
      <c r="C117" t="s">
        <v>883</v>
      </c>
    </row>
    <row r="118" spans="4:4">
      <c r="D118" t="s">
        <v>884</v>
      </c>
    </row>
    <row r="119" spans="4:4">
      <c r="D119" t="s">
        <v>885</v>
      </c>
    </row>
    <row r="120" spans="4:4">
      <c r="D120" t="s">
        <v>886</v>
      </c>
    </row>
    <row r="121" spans="3:3">
      <c r="C121" t="s">
        <v>887</v>
      </c>
    </row>
    <row r="122" spans="2:2">
      <c r="B122" t="s">
        <v>888</v>
      </c>
    </row>
    <row r="123" spans="3:3">
      <c r="C123" t="s">
        <v>889</v>
      </c>
    </row>
    <row r="124" spans="4:4">
      <c r="D124" t="s">
        <v>890</v>
      </c>
    </row>
    <row r="125" spans="4:4">
      <c r="D125" t="s">
        <v>891</v>
      </c>
    </row>
    <row r="126" spans="4:4">
      <c r="D126" t="s">
        <v>892</v>
      </c>
    </row>
    <row r="127" spans="3:3">
      <c r="C127" t="s">
        <v>893</v>
      </c>
    </row>
    <row r="128" spans="4:4">
      <c r="D128" t="s">
        <v>894</v>
      </c>
    </row>
    <row r="129" spans="4:4">
      <c r="D129" t="s">
        <v>895</v>
      </c>
    </row>
    <row r="130" spans="4:4">
      <c r="D130" t="s">
        <v>896</v>
      </c>
    </row>
    <row r="131" spans="4:4">
      <c r="D131" t="s">
        <v>897</v>
      </c>
    </row>
    <row r="132" spans="4:4">
      <c r="D132" t="s">
        <v>898</v>
      </c>
    </row>
    <row r="133" spans="4:4">
      <c r="D133" t="s">
        <v>899</v>
      </c>
    </row>
    <row r="134" spans="4:4">
      <c r="D134" t="s">
        <v>900</v>
      </c>
    </row>
    <row r="135" spans="3:3">
      <c r="C135" t="s">
        <v>901</v>
      </c>
    </row>
    <row r="136" spans="3:3">
      <c r="C136" t="s">
        <v>902</v>
      </c>
    </row>
    <row r="137" spans="4:4">
      <c r="D137" t="s">
        <v>903</v>
      </c>
    </row>
    <row r="138" spans="4:4">
      <c r="D138" t="s">
        <v>904</v>
      </c>
    </row>
    <row r="139" spans="4:4">
      <c r="D139" t="s">
        <v>905</v>
      </c>
    </row>
    <row r="140" spans="4:4">
      <c r="D140" t="s">
        <v>906</v>
      </c>
    </row>
    <row r="141" spans="4:4">
      <c r="D141" t="s">
        <v>907</v>
      </c>
    </row>
    <row r="142" spans="2:2">
      <c r="B142" t="s">
        <v>908</v>
      </c>
    </row>
    <row r="143" spans="3:3">
      <c r="C143" t="s">
        <v>909</v>
      </c>
    </row>
    <row r="144" spans="2:2">
      <c r="B144" t="s">
        <v>910</v>
      </c>
    </row>
    <row r="145" spans="3:3">
      <c r="C145" t="s">
        <v>911</v>
      </c>
    </row>
    <row r="146" spans="2:2">
      <c r="B146" t="s">
        <v>912</v>
      </c>
    </row>
    <row r="147" spans="3:3">
      <c r="C147" t="s">
        <v>913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20240302</vt:lpstr>
      <vt:lpstr>20240303</vt:lpstr>
      <vt:lpstr>20240304</vt:lpstr>
      <vt:lpstr>20240308</vt:lpstr>
      <vt:lpstr>20240309</vt:lpstr>
      <vt:lpstr>20240310</vt:lpstr>
      <vt:lpstr>20240311</vt:lpstr>
      <vt:lpstr>20240316</vt:lpstr>
      <vt:lpstr>20240317</vt:lpstr>
      <vt:lpstr>20240320</vt:lpstr>
      <vt:lpstr>20240322</vt:lpstr>
      <vt:lpstr>20240323</vt:lpstr>
      <vt:lpstr>20240326</vt:lpstr>
      <vt:lpstr>20240328</vt:lpstr>
      <vt:lpstr>20240401</vt:lpstr>
      <vt:lpstr>20240402</vt:lpstr>
      <vt:lpstr>20240405</vt:lpstr>
      <vt:lpstr>20240406</vt:lpstr>
      <vt:lpstr>20240408</vt:lpstr>
      <vt:lpstr>20240409</vt:lpstr>
      <vt:lpstr>20240410</vt:lpstr>
      <vt:lpstr>20240411</vt:lpstr>
      <vt:lpstr>20240412</vt:lpstr>
      <vt:lpstr>20240413</vt:lpstr>
      <vt:lpstr>20240414</vt:lpstr>
      <vt:lpstr>20240415</vt:lpstr>
      <vt:lpstr>20240416</vt:lpstr>
      <vt:lpstr>20240417</vt:lpstr>
      <vt:lpstr>20240418</vt:lpstr>
      <vt:lpstr>20240420</vt:lpstr>
      <vt:lpstr>20240421</vt:lpstr>
      <vt:lpstr>20240422</vt:lpstr>
      <vt:lpstr>20240423</vt:lpstr>
      <vt:lpstr>20240424</vt:lpstr>
      <vt:lpstr>20240425</vt:lpstr>
      <vt:lpstr>20240426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2024-04-26T07:39:07Z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82987000EA42413E8193202D95BFB17B_12</vt:lpwstr>
  </property>
</Properties>
</file>