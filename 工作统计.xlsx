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<sst xmlns="http://schemas.openxmlformats.org/spreadsheetml/2006/main" count="405" uniqueCount="127">
  <si>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</si>
  <si>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</si>
  <si>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</si>
  <si>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</si>
  <si>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</si>
  <si>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</si>
  <si>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</si>
  <si>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</si>
  <si>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</si>
  <si>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</si>
  <si>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</si>
  <si>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</si>
  <si>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</si>
  <si>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</si>
  <si>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</si>
  <si>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</si>
  <si>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</si>
  <si>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</si>
  <si>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</si>
  <si>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</si>
  <si>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</si>
  <si>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</si>
  <si>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</si>
  <si>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</si>
  <si>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</si>
  <si>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</si>
  <si>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</si>
  <si>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</si>
  <si>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</si>
  <si>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</si>
  <si>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</si>
  <si>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</si>
  <si>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</si>
  <si>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</si>
  <si>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</si>
  <si>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</si>
  <si>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</si>
  <si>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</si>
  <si>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</si>
  <si>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</si>
  <si>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</si>
  <si>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</si>
  <si>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</si>
  <si>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</si>
  <si>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</si>
  <si>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</si>
  <si>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</si>
  <si>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</si>
  <si>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</si>
  <si>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</si>
  <si>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</si>
  <si>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</si>
  <si>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</si>
  <si>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</si>
  <si>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</si>
  <si>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</si>
  <si>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</si>
  <si>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</si>
  <si>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</si>
  <si>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</si>
  <si>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</si>
  <si>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</si>
  <si>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</si>
  <si>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</si>
  <si>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</si>
  <si>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</si>
  <si>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</si>
  <si>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</si>
  <si>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</si>
  <si>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</si>
  <si>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</si>
  <si>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x=Cy</t>
  </si>
  <si>
    <t>页数</t>
  </si>
  <si>
    <t>算1题</t>
  </si>
  <si>
    <t>特征值</t>
  </si>
  <si>
    <t>特征向量</t>
  </si>
  <si>
    <t>齐次通解</t>
  </si>
  <si>
    <t>非齐次特解</t>
  </si>
  <si>
    <t>求出C逆</t>
  </si>
  <si>
    <t>求出C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</si>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</sst>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0.00135779835107879</c:v>
                </c:pt>
                <c:pt idx="660">
                  <c:v>0.00138157400943227</c:v>
                </c:pt>
                <c:pt idx="661">
                  <c:v>0.00139221909727163</c:v>
                </c:pt>
                <c:pt idx="662">
                  <c:v>0.00139011921929686</c:v>
                </c:pt>
                <c:pt idx="663">
                  <c:v>0.00138802566625575</c:v>
                </c:pt>
                <c:pt idx="664">
                  <c:v>0.00138593840961477</c:v>
                </c:pt>
                <c:pt idx="665">
                  <c:v>0.00138385742101174</c:v>
                </c:pt>
                <c:pt idx="666">
                  <c:v>0.0013817826722546</c:v>
                </c:pt>
                <c:pt idx="667">
                  <c:v>0.00137971413532009</c:v>
                </c:pt>
                <c:pt idx="668">
                  <c:v>0.0013776517823525</c:v>
                </c:pt>
                <c:pt idx="669">
                  <c:v>0.00137559558566242</c:v>
                </c:pt>
                <c:pt idx="670">
                  <c:v>0.00137354551772552</c:v>
                </c:pt>
                <c:pt idx="671">
                  <c:v>0.00137150155118128</c:v>
                </c:pt>
                <c:pt idx="672">
                  <c:v>0.00136946365883183</c:v>
                </c:pt>
                <c:pt idx="673">
                  <c:v>0.00136743181364068</c:v>
                </c:pt>
                <c:pt idx="674">
                  <c:v>0.00136540598873159</c:v>
                </c:pt>
                <c:pt idx="675">
                  <c:v>0.00136338615738731</c:v>
                </c:pt>
                <c:pt idx="676">
                  <c:v>0.00136137229304848</c:v>
                </c:pt>
                <c:pt idx="677">
                  <c:v>0.00135936436931242</c:v>
                </c:pt>
                <c:pt idx="678">
                  <c:v>0.00135736235993199</c:v>
                </c:pt>
                <c:pt idx="679">
                  <c:v>0.00135536623881444</c:v>
                </c:pt>
                <c:pt idx="680">
                  <c:v>0.0013533759800203</c:v>
                </c:pt>
                <c:pt idx="681">
                  <c:v>0.0013513915577622</c:v>
                </c:pt>
                <c:pt idx="682">
                  <c:v>0.00134941294640384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0.0209154040404041</c:v>
                      </c:pt>
                      <c:pt idx="660">
                        <c:v>0.0607058080808082</c:v>
                      </c:pt>
                      <c:pt idx="661">
                        <c:v>0.0299684343434344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0.896146911712003</c:v>
                </c:pt>
                <c:pt idx="660">
                  <c:v>0.91322042023473</c:v>
                </c:pt>
                <c:pt idx="661">
                  <c:v>0.921649042393821</c:v>
                </c:pt>
                <c:pt idx="662">
                  <c:v>0.921649042393821</c:v>
                </c:pt>
                <c:pt idx="663">
                  <c:v>0.921649042393821</c:v>
                </c:pt>
                <c:pt idx="664">
                  <c:v>0.921649042393821</c:v>
                </c:pt>
                <c:pt idx="665">
                  <c:v>0.921649042393821</c:v>
                </c:pt>
                <c:pt idx="666">
                  <c:v>0.921649042393821</c:v>
                </c:pt>
                <c:pt idx="667">
                  <c:v>0.921649042393821</c:v>
                </c:pt>
                <c:pt idx="668">
                  <c:v>0.921649042393821</c:v>
                </c:pt>
                <c:pt idx="669">
                  <c:v>0.921649042393821</c:v>
                </c:pt>
                <c:pt idx="670">
                  <c:v>0.921649042393821</c:v>
                </c:pt>
                <c:pt idx="671">
                  <c:v>0.921649042393821</c:v>
                </c:pt>
                <c:pt idx="672">
                  <c:v>0.921649042393821</c:v>
                </c:pt>
                <c:pt idx="673">
                  <c:v>0.921649042393821</c:v>
                </c:pt>
                <c:pt idx="674">
                  <c:v>0.921649042393821</c:v>
                </c:pt>
                <c:pt idx="675">
                  <c:v>0.921649042393821</c:v>
                </c:pt>
                <c:pt idx="676">
                  <c:v>0.921649042393821</c:v>
                </c:pt>
                <c:pt idx="677">
                  <c:v>0.921649042393821</c:v>
                </c:pt>
                <c:pt idx="678">
                  <c:v>0.921649042393821</c:v>
                </c:pt>
                <c:pt idx="679">
                  <c:v>0.921649042393821</c:v>
                </c:pt>
                <c:pt idx="680">
                  <c:v>0.921649042393821</c:v>
                </c:pt>
                <c:pt idx="681">
                  <c:v>0.921649042393821</c:v>
                </c:pt>
                <c:pt idx="682">
                  <c:v>0.921649042393821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topLeftCell="A659" workbookViewId="0">
      <pane xSplit="10" topLeftCell="V1" activePane="topRight" state="frozen"/>
      <selection/>
      <selection pane="topRight" activeCell="Y670" sqref="Y670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0.921649042393821</v>
      </c>
      <c r="H7" s="43">
        <v>0</v>
      </c>
      <c r="I7" s="18">
        <f>SUM(I8:I809)</f>
        <v>2.91378559689403</v>
      </c>
      <c r="J7" s="37" t="s">
        <v>53</v>
      </c>
      <c r="K7" s="18" t="s">
        <v>53</v>
      </c>
      <c r="L7" s="18">
        <f>SUM(L8:L809)</f>
        <v>2.51510458370191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219.511658694789</v>
      </c>
      <c r="Y7" s="19">
        <f>SUM(Y8:Y809)</f>
        <v>2184.37</v>
      </c>
      <c r="Z7" s="11">
        <f>SUM(Z8:Z809)</f>
        <v>2957</v>
      </c>
      <c r="AA7" s="11">
        <f>SUM(AA8:AA809)</f>
        <v>2370</v>
      </c>
      <c r="AB7" s="11">
        <f>SUM(AB8:AB809)</f>
        <v>1133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customHeight="1" spans="1:52">
      <c r="A662" s="44">
        <v>45987</v>
      </c>
      <c r="B662" s="33">
        <f t="shared" si="281"/>
        <v>29</v>
      </c>
      <c r="C662" s="33">
        <f t="shared" si="282"/>
        <v>80</v>
      </c>
      <c r="D662" s="11">
        <f t="shared" si="283"/>
        <v>109</v>
      </c>
      <c r="E662" s="34">
        <f t="shared" si="305"/>
        <v>1.14012075020141e-5</v>
      </c>
      <c r="F662" s="35">
        <f t="shared" si="284"/>
        <v>0.00130949176464243</v>
      </c>
      <c r="G662" s="18">
        <f>(SUM($I$8:$I662)*(MAX(M$3-M$4,0))+(N662*MAX(M$4,0)))*(1-$AM$4)+(AM662*$AM$4)</f>
        <v>0.857717105840791</v>
      </c>
      <c r="H662" s="18">
        <f t="shared" si="299"/>
        <v>1.45833333333333</v>
      </c>
      <c r="I662" s="18">
        <f t="shared" si="285"/>
        <v>0.0467513678451178</v>
      </c>
      <c r="J662" s="18">
        <f t="shared" si="300"/>
        <v>0.895692367015421</v>
      </c>
      <c r="K662" s="18">
        <f t="shared" si="301"/>
        <v>0.00359681493050272</v>
      </c>
      <c r="L662" s="18">
        <f t="shared" si="302"/>
        <v>0.0320580808080809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26.18</v>
      </c>
      <c r="Z662" s="11">
        <v>66</v>
      </c>
      <c r="AA662" s="11">
        <v>20.5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customHeight="1" spans="1:52">
      <c r="A663" s="44">
        <v>45988</v>
      </c>
      <c r="B663" s="33">
        <f t="shared" si="281"/>
        <v>28</v>
      </c>
      <c r="C663" s="33">
        <f t="shared" si="282"/>
        <v>73</v>
      </c>
      <c r="D663" s="11">
        <f t="shared" si="283"/>
        <v>101</v>
      </c>
      <c r="E663" s="34">
        <f t="shared" si="305"/>
        <v>1.18364289520647e-5</v>
      </c>
      <c r="F663" s="35">
        <f t="shared" si="284"/>
        <v>0.00132132819359449</v>
      </c>
      <c r="G663" s="18">
        <f>(SUM($I$8:$I663)*(MAX(M$3-M$4,0))+(N663*MAX(M$4,0)))*(1-$AM$4)+(AM663*$AM$4)</f>
        <v>0.866791294997988</v>
      </c>
      <c r="H663" s="18">
        <f t="shared" si="299"/>
        <v>1.45833333333333</v>
      </c>
      <c r="I663" s="18">
        <f t="shared" si="285"/>
        <v>0.0483956755050505</v>
      </c>
      <c r="J663" s="18">
        <f t="shared" si="300"/>
        <v>0.903788484418633</v>
      </c>
      <c r="K663" s="18">
        <f t="shared" si="301"/>
        <v>0.00343612555647738</v>
      </c>
      <c r="L663" s="18">
        <f t="shared" si="302"/>
        <v>0.0331856060606061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29.93</v>
      </c>
      <c r="Z663" s="11">
        <v>69</v>
      </c>
      <c r="AA663" s="11">
        <v>0</v>
      </c>
      <c r="AB663" s="11">
        <v>20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customHeight="1" spans="1:52">
      <c r="A664" s="44">
        <v>45989</v>
      </c>
      <c r="B664" s="33">
        <f t="shared" si="281"/>
        <v>27</v>
      </c>
      <c r="C664" s="33">
        <f t="shared" si="282"/>
        <v>66</v>
      </c>
      <c r="D664" s="11">
        <f t="shared" si="283"/>
        <v>93</v>
      </c>
      <c r="E664" s="34">
        <f t="shared" si="305"/>
        <v>1.20983521394947e-5</v>
      </c>
      <c r="F664" s="35">
        <f t="shared" si="284"/>
        <v>0.00133342654573399</v>
      </c>
      <c r="G664" s="18">
        <f>(SUM($I$8:$I664)*(MAX(M$3-M$4,0))+(N664*MAX(M$4,0)))*(1-$AM$4)+(AM664*$AM$4)</f>
        <v>0.87606124054723</v>
      </c>
      <c r="H664" s="18">
        <f t="shared" si="299"/>
        <v>1.45833333333333</v>
      </c>
      <c r="I664" s="18">
        <f t="shared" si="285"/>
        <v>0.0494397095959596</v>
      </c>
      <c r="J664" s="18">
        <f t="shared" si="300"/>
        <v>0.912063757282048</v>
      </c>
      <c r="K664" s="18">
        <f t="shared" si="301"/>
        <v>0.00325689787844267</v>
      </c>
      <c r="L664" s="18">
        <f t="shared" si="302"/>
        <v>0.0339015151515152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52.7</v>
      </c>
      <c r="Z664" s="11">
        <v>40</v>
      </c>
      <c r="AA664" s="11">
        <v>0</v>
      </c>
      <c r="AB664" s="11">
        <v>20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customHeight="1" spans="1:52">
      <c r="A665" s="44">
        <v>45990</v>
      </c>
      <c r="B665" s="33">
        <f t="shared" si="281"/>
        <v>26</v>
      </c>
      <c r="C665" s="33">
        <f t="shared" si="282"/>
        <v>60</v>
      </c>
      <c r="D665" s="11">
        <f t="shared" si="283"/>
        <v>86</v>
      </c>
      <c r="E665" s="34">
        <f t="shared" si="305"/>
        <v>1.09203672137e-5</v>
      </c>
      <c r="F665" s="35">
        <f t="shared" si="284"/>
        <v>0.00134434691294769</v>
      </c>
      <c r="G665" s="18">
        <f>(SUM($I$8:$I665)*(MAX(M$3-M$4,0))+(N665*MAX(M$4,0)))*(1-$AM$4)+(AM665*$AM$4)</f>
        <v>0.884580268719579</v>
      </c>
      <c r="H665" s="18">
        <f t="shared" si="299"/>
        <v>1.45833333333333</v>
      </c>
      <c r="I665" s="18">
        <f t="shared" si="285"/>
        <v>0.0454348169191919</v>
      </c>
      <c r="J665" s="18">
        <f t="shared" si="300"/>
        <v>0.919533288456219</v>
      </c>
      <c r="K665" s="18">
        <f t="shared" si="301"/>
        <v>0.00309487352091467</v>
      </c>
      <c r="L665" s="18">
        <f t="shared" si="302"/>
        <v>0.0311553030303031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26.73</v>
      </c>
      <c r="Z665" s="11">
        <v>66</v>
      </c>
      <c r="AA665" s="11">
        <v>0</v>
      </c>
      <c r="AB665" s="11">
        <v>20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56</v>
      </c>
      <c r="D666" s="11">
        <f t="shared" ref="D666:D690" si="309">IF(F666&gt;0,ROUND(((1-G666)/F666),0),FACT(128))</f>
        <v>81</v>
      </c>
      <c r="E666" s="34">
        <f t="shared" si="305"/>
        <v>6.58549118833494e-6</v>
      </c>
      <c r="F666" s="35">
        <f t="shared" ref="F666:F690" si="310">G666/(ROW()-7)</f>
        <v>0.00135093240413602</v>
      </c>
      <c r="G666" s="18">
        <f>(SUM($I$8:$I666)*(MAX(M$3-M$4,0))+(N666*MAX(M$4,0)))*(1-$AM$4)+(AM666*$AM$4)</f>
        <v>0.890264454325639</v>
      </c>
      <c r="H666" s="18">
        <f t="shared" si="299"/>
        <v>1.45833333333333</v>
      </c>
      <c r="I666" s="18">
        <f t="shared" ref="I666:I690" si="311">L666*H666</f>
        <v>0.0303156565656566</v>
      </c>
      <c r="J666" s="18">
        <f t="shared" si="300"/>
        <v>0.92403776442904</v>
      </c>
      <c r="K666" s="18">
        <f t="shared" si="301"/>
        <v>0.00303848942283842</v>
      </c>
      <c r="L666" s="18">
        <f t="shared" si="302"/>
        <v>0.0207878787878788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7.92</v>
      </c>
      <c r="Z666" s="11">
        <v>33</v>
      </c>
      <c r="AA666" s="11">
        <v>0</v>
      </c>
      <c r="AB666" s="11">
        <v>58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52</v>
      </c>
      <c r="D667" s="11">
        <f t="shared" si="309"/>
        <v>76</v>
      </c>
      <c r="E667" s="34">
        <f t="shared" si="305"/>
        <v>6.8659469427692e-6</v>
      </c>
      <c r="F667" s="35">
        <f t="shared" si="310"/>
        <v>0.00135779835107879</v>
      </c>
      <c r="G667" s="18">
        <f>(SUM($I$8:$I667)*(MAX(M$3-M$4,0))+(N667*MAX(M$4,0)))*(1-$AM$4)+(AM667*$AM$4)</f>
        <v>0.896146911712003</v>
      </c>
      <c r="H667" s="18">
        <f t="shared" si="299"/>
        <v>1.5</v>
      </c>
      <c r="I667" s="18">
        <f t="shared" si="311"/>
        <v>0.0313731060606061</v>
      </c>
      <c r="J667" s="18">
        <f t="shared" si="300"/>
        <v>0.928734072137894</v>
      </c>
      <c r="K667" s="18">
        <f t="shared" si="301"/>
        <v>0.0029694136609211</v>
      </c>
      <c r="L667" s="18">
        <f t="shared" si="302"/>
        <v>0.0209154040404041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22.15</v>
      </c>
      <c r="Z667" s="11">
        <v>0</v>
      </c>
      <c r="AA667" s="11">
        <v>62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40</v>
      </c>
      <c r="D668" s="11">
        <f t="shared" si="309"/>
        <v>63</v>
      </c>
      <c r="E668" s="34">
        <f t="shared" si="305"/>
        <v>2.37756583534776e-5</v>
      </c>
      <c r="F668" s="35">
        <f t="shared" si="310"/>
        <v>0.00138157400943227</v>
      </c>
      <c r="G668" s="18">
        <f>(SUM($I$8:$I668)*(MAX(M$3-M$4,0))+(N668*MAX(M$4,0)))*(1-$AM$4)+(AM668*$AM$4)</f>
        <v>0.91322042023473</v>
      </c>
      <c r="H668" s="18">
        <f t="shared" si="299"/>
        <v>1.5</v>
      </c>
      <c r="I668" s="18">
        <f t="shared" si="311"/>
        <v>0.0910587121212124</v>
      </c>
      <c r="J668" s="18">
        <f t="shared" si="300"/>
        <v>0.944996622451672</v>
      </c>
      <c r="K668" s="18">
        <f t="shared" si="301"/>
        <v>0.00239145119775338</v>
      </c>
      <c r="L668" s="18">
        <f t="shared" si="302"/>
        <v>0.0607058080808082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132.13</v>
      </c>
      <c r="Z668" s="11">
        <v>5</v>
      </c>
      <c r="AA668" s="11">
        <v>46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34</v>
      </c>
      <c r="D669" s="11">
        <f t="shared" si="309"/>
        <v>56</v>
      </c>
      <c r="E669" s="34">
        <f t="shared" si="305"/>
        <v>1.06450878393635e-5</v>
      </c>
      <c r="F669" s="35">
        <f t="shared" si="310"/>
        <v>0.00139221909727163</v>
      </c>
      <c r="G669" s="18">
        <f>(SUM($I$8:$I669)*(MAX(M$3-M$4,0))+(N669*MAX(M$4,0)))*(1-$AM$4)+(AM669*$AM$4)</f>
        <v>0.921649042393821</v>
      </c>
      <c r="H669" s="18">
        <f t="shared" si="299"/>
        <v>1.5</v>
      </c>
      <c r="I669" s="18">
        <f t="shared" si="311"/>
        <v>0.0449526515151516</v>
      </c>
      <c r="J669" s="18">
        <f t="shared" si="300"/>
        <v>0.952277862533797</v>
      </c>
      <c r="K669" s="18">
        <f t="shared" si="301"/>
        <v>0.00216918806664559</v>
      </c>
      <c r="L669" s="18">
        <f t="shared" si="302"/>
        <v>0.0299684343434344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34.85</v>
      </c>
      <c r="Z669" s="11">
        <v>0</v>
      </c>
      <c r="AA669" s="11">
        <v>83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35</v>
      </c>
      <c r="D670" s="11">
        <f t="shared" si="309"/>
        <v>56</v>
      </c>
      <c r="E670" s="34">
        <f t="shared" si="305"/>
        <v>-2.09987797476882e-6</v>
      </c>
      <c r="F670" s="35">
        <f t="shared" si="310"/>
        <v>0.00139011921929686</v>
      </c>
      <c r="G670" s="18">
        <f>(SUM($I$8:$I670)*(MAX(M$3-M$4,0))+(N670*MAX(M$4,0)))*(1-$AM$4)+(AM670*$AM$4)</f>
        <v>0.921649042393821</v>
      </c>
      <c r="H670" s="18">
        <f t="shared" si="299"/>
        <v>1.5</v>
      </c>
      <c r="I670" s="18">
        <f t="shared" si="311"/>
        <v>0</v>
      </c>
      <c r="J670" s="18">
        <f t="shared" si="300"/>
        <v>0.950841545999055</v>
      </c>
      <c r="K670" s="18">
        <f t="shared" si="301"/>
        <v>0.00234087876194975</v>
      </c>
      <c r="L670" s="18">
        <f t="shared" si="302"/>
        <v>0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0</v>
      </c>
      <c r="Z670" s="11">
        <v>0</v>
      </c>
      <c r="AA670" s="11">
        <v>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36</v>
      </c>
      <c r="D671" s="11">
        <f t="shared" si="309"/>
        <v>56</v>
      </c>
      <c r="E671" s="34">
        <f t="shared" si="305"/>
        <v>-2.09355304110976e-6</v>
      </c>
      <c r="F671" s="35">
        <f t="shared" si="310"/>
        <v>0.00138802566625575</v>
      </c>
      <c r="G671" s="18">
        <f>(SUM($I$8:$I671)*(MAX(M$3-M$4,0))+(N671*MAX(M$4,0)))*(1-$AM$4)+(AM671*$AM$4)</f>
        <v>0.921649042393821</v>
      </c>
      <c r="H671" s="18">
        <f t="shared" si="299"/>
        <v>1.5</v>
      </c>
      <c r="I671" s="18">
        <f t="shared" si="311"/>
        <v>0</v>
      </c>
      <c r="J671" s="18">
        <f t="shared" si="300"/>
        <v>0.949409555718936</v>
      </c>
      <c r="K671" s="18">
        <f t="shared" si="301"/>
        <v>0.00252952221405319</v>
      </c>
      <c r="L671" s="18">
        <f t="shared" si="302"/>
        <v>0</v>
      </c>
      <c r="M671" s="18">
        <v>0</v>
      </c>
      <c r="N671" s="18">
        <f t="shared" si="306"/>
        <v>1</v>
      </c>
      <c r="O671" s="11">
        <v>0</v>
      </c>
      <c r="P671" s="11">
        <v>0</v>
      </c>
      <c r="Q671" s="11">
        <f t="shared" si="312"/>
        <v>1</v>
      </c>
      <c r="R671" s="11">
        <v>0</v>
      </c>
      <c r="S671" s="11">
        <f t="shared" si="303"/>
        <v>0</v>
      </c>
      <c r="T671" s="11">
        <v>0</v>
      </c>
      <c r="U671" s="11">
        <f t="shared" si="313"/>
        <v>1</v>
      </c>
      <c r="V671" s="11">
        <v>0</v>
      </c>
      <c r="W671" s="11">
        <f t="shared" si="314"/>
        <v>1</v>
      </c>
      <c r="X671" s="11">
        <f t="shared" si="304"/>
        <v>0</v>
      </c>
      <c r="Y671" s="19">
        <v>0</v>
      </c>
      <c r="Z671" s="11">
        <v>0</v>
      </c>
      <c r="AA671" s="11">
        <v>0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38</v>
      </c>
      <c r="D672" s="11">
        <f t="shared" si="309"/>
        <v>57</v>
      </c>
      <c r="E672" s="34">
        <f t="shared" si="305"/>
        <v>-2.08725664098603e-6</v>
      </c>
      <c r="F672" s="35">
        <f t="shared" si="310"/>
        <v>0.00138593840961477</v>
      </c>
      <c r="G672" s="18">
        <f>(SUM($I$8:$I672)*(MAX(M$3-M$4,0))+(N672*MAX(M$4,0)))*(1-$AM$4)+(AM672*$AM$4)</f>
        <v>0.921649042393821</v>
      </c>
      <c r="H672" s="18">
        <f t="shared" si="299"/>
        <v>1.5</v>
      </c>
      <c r="I672" s="18">
        <f t="shared" si="311"/>
        <v>0</v>
      </c>
      <c r="J672" s="18">
        <f t="shared" si="300"/>
        <v>0.947981872176502</v>
      </c>
      <c r="K672" s="18">
        <f t="shared" si="301"/>
        <v>0.00273779620123675</v>
      </c>
      <c r="L672" s="18">
        <f t="shared" si="302"/>
        <v>0</v>
      </c>
      <c r="M672" s="18">
        <v>0</v>
      </c>
      <c r="N672" s="18">
        <f t="shared" si="306"/>
        <v>1</v>
      </c>
      <c r="O672" s="11">
        <v>0</v>
      </c>
      <c r="P672" s="11">
        <v>0</v>
      </c>
      <c r="Q672" s="11">
        <f t="shared" si="312"/>
        <v>1</v>
      </c>
      <c r="R672" s="11">
        <v>0</v>
      </c>
      <c r="S672" s="11">
        <f t="shared" si="303"/>
        <v>0</v>
      </c>
      <c r="T672" s="11">
        <v>0</v>
      </c>
      <c r="U672" s="11">
        <f t="shared" si="313"/>
        <v>1</v>
      </c>
      <c r="V672" s="11">
        <v>0</v>
      </c>
      <c r="W672" s="11">
        <f t="shared" si="314"/>
        <v>1</v>
      </c>
      <c r="X672" s="11">
        <f t="shared" si="304"/>
        <v>0</v>
      </c>
      <c r="Y672" s="19">
        <v>0</v>
      </c>
      <c r="Z672" s="11">
        <v>0</v>
      </c>
      <c r="AA672" s="11">
        <v>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39</v>
      </c>
      <c r="D673" s="11">
        <f t="shared" si="309"/>
        <v>57</v>
      </c>
      <c r="E673" s="34">
        <f t="shared" si="305"/>
        <v>-2.08098860302519e-6</v>
      </c>
      <c r="F673" s="35">
        <f t="shared" si="310"/>
        <v>0.00138385742101174</v>
      </c>
      <c r="G673" s="18">
        <f>(SUM($I$8:$I673)*(MAX(M$3-M$4,0))+(N673*MAX(M$4,0)))*(1-$AM$4)+(AM673*$AM$4)</f>
        <v>0.921649042393821</v>
      </c>
      <c r="H673" s="18">
        <f t="shared" si="299"/>
        <v>1.5</v>
      </c>
      <c r="I673" s="18">
        <f t="shared" si="311"/>
        <v>0</v>
      </c>
      <c r="J673" s="18">
        <f t="shared" si="300"/>
        <v>0.946558475972032</v>
      </c>
      <c r="K673" s="18">
        <f t="shared" si="301"/>
        <v>0.00296897355710931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40</v>
      </c>
      <c r="D674" s="11">
        <f t="shared" si="309"/>
        <v>57</v>
      </c>
      <c r="E674" s="34">
        <f t="shared" si="305"/>
        <v>-2.0747487571391e-6</v>
      </c>
      <c r="F674" s="35">
        <f t="shared" si="310"/>
        <v>0.0013817826722546</v>
      </c>
      <c r="G674" s="18">
        <f>(SUM($I$8:$I674)*(MAX(M$3-M$4,0))+(N674*MAX(M$4,0)))*(1-$AM$4)+(AM674*$AM$4)</f>
        <v>0.921649042393821</v>
      </c>
      <c r="H674" s="18">
        <f t="shared" si="299"/>
        <v>1.5</v>
      </c>
      <c r="I674" s="18">
        <f t="shared" si="311"/>
        <v>0</v>
      </c>
      <c r="J674" s="18">
        <f t="shared" si="300"/>
        <v>0.945139347822149</v>
      </c>
      <c r="K674" s="18">
        <f t="shared" si="301"/>
        <v>0.00322709718693239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41</v>
      </c>
      <c r="D675" s="11">
        <f t="shared" si="309"/>
        <v>57</v>
      </c>
      <c r="E675" s="34">
        <f t="shared" si="305"/>
        <v>-2.06853693451273e-6</v>
      </c>
      <c r="F675" s="35">
        <f t="shared" si="310"/>
        <v>0.00137971413532009</v>
      </c>
      <c r="G675" s="18">
        <f>(SUM($I$8:$I675)*(MAX(M$3-M$4,0))+(N675*MAX(M$4,0)))*(1-$AM$4)+(AM675*$AM$4)</f>
        <v>0.921649042393821</v>
      </c>
      <c r="H675" s="18">
        <f t="shared" si="299"/>
        <v>1.5</v>
      </c>
      <c r="I675" s="18">
        <f t="shared" si="311"/>
        <v>0</v>
      </c>
      <c r="J675" s="18">
        <f t="shared" si="300"/>
        <v>0.943724468558943</v>
      </c>
      <c r="K675" s="18">
        <f t="shared" si="301"/>
        <v>0.00351722071506609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42</v>
      </c>
      <c r="D676" s="11">
        <f t="shared" si="309"/>
        <v>57</v>
      </c>
      <c r="E676" s="34">
        <f t="shared" si="305"/>
        <v>-2.06235296759368e-6</v>
      </c>
      <c r="F676" s="35">
        <f t="shared" si="310"/>
        <v>0.0013776517823525</v>
      </c>
      <c r="G676" s="18">
        <f>(SUM($I$8:$I676)*(MAX(M$3-M$4,0))+(N676*MAX(M$4,0)))*(1-$AM$4)+(AM676*$AM$4)</f>
        <v>0.921649042393821</v>
      </c>
      <c r="H676" s="18">
        <f t="shared" si="299"/>
        <v>1.5</v>
      </c>
      <c r="I676" s="18">
        <f t="shared" si="311"/>
        <v>0</v>
      </c>
      <c r="J676" s="18">
        <f t="shared" si="300"/>
        <v>0.942313819129108</v>
      </c>
      <c r="K676" s="18">
        <f t="shared" si="301"/>
        <v>0.00384574539139276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43</v>
      </c>
      <c r="D677" s="11">
        <f t="shared" si="309"/>
        <v>57</v>
      </c>
      <c r="E677" s="34">
        <f t="shared" si="305"/>
        <v>-2.05619669007835e-6</v>
      </c>
      <c r="F677" s="35">
        <f t="shared" si="310"/>
        <v>0.00137559558566242</v>
      </c>
      <c r="G677" s="18">
        <f>(SUM($I$8:$I677)*(MAX(M$3-M$4,0))+(N677*MAX(M$4,0)))*(1-$AM$4)+(AM677*$AM$4)</f>
        <v>0.921649042393821</v>
      </c>
      <c r="H677" s="18">
        <f t="shared" si="299"/>
        <v>1.5</v>
      </c>
      <c r="I677" s="18">
        <f t="shared" si="311"/>
        <v>0</v>
      </c>
      <c r="J677" s="18">
        <f t="shared" si="300"/>
        <v>0.940907380593095</v>
      </c>
      <c r="K677" s="18">
        <f t="shared" si="301"/>
        <v>0.0042209013862075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44</v>
      </c>
      <c r="D678" s="11">
        <f t="shared" si="309"/>
        <v>57</v>
      </c>
      <c r="E678" s="34">
        <f t="shared" si="305"/>
        <v>-2.05006793690368e-6</v>
      </c>
      <c r="F678" s="35">
        <f t="shared" si="310"/>
        <v>0.00137354551772552</v>
      </c>
      <c r="G678" s="18">
        <f>(SUM($I$8:$I678)*(MAX(M$3-M$4,0))+(N678*MAX(M$4,0)))*(1-$AM$4)+(AM678*$AM$4)</f>
        <v>0.921649042393821</v>
      </c>
      <c r="H678" s="18">
        <f t="shared" si="299"/>
        <v>1.5</v>
      </c>
      <c r="I678" s="18">
        <f t="shared" si="311"/>
        <v>0</v>
      </c>
      <c r="J678" s="18">
        <f t="shared" si="300"/>
        <v>0.939505134124253</v>
      </c>
      <c r="K678" s="18">
        <f t="shared" si="301"/>
        <v>0.00465345122121133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45</v>
      </c>
      <c r="D679" s="11">
        <f t="shared" si="309"/>
        <v>57</v>
      </c>
      <c r="E679" s="34">
        <f t="shared" si="305"/>
        <v>-2.04396654423437e-6</v>
      </c>
      <c r="F679" s="35">
        <f t="shared" si="310"/>
        <v>0.00137150155118128</v>
      </c>
      <c r="G679" s="18">
        <f>(SUM($I$8:$I679)*(MAX(M$3-M$4,0))+(N679*MAX(M$4,0)))*(1-$AM$4)+(AM679*$AM$4)</f>
        <v>0.921649042393821</v>
      </c>
      <c r="H679" s="18">
        <f t="shared" si="299"/>
        <v>1.5</v>
      </c>
      <c r="I679" s="18">
        <f t="shared" si="311"/>
        <v>0</v>
      </c>
      <c r="J679" s="18">
        <f t="shared" si="300"/>
        <v>0.938107061007996</v>
      </c>
      <c r="K679" s="18">
        <f t="shared" si="301"/>
        <v>0.0051577449160003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46</v>
      </c>
      <c r="D680" s="11">
        <f t="shared" si="309"/>
        <v>57</v>
      </c>
      <c r="E680" s="34">
        <f t="shared" si="305"/>
        <v>-2.03789234945223e-6</v>
      </c>
      <c r="F680" s="35">
        <f t="shared" si="310"/>
        <v>0.00136946365883183</v>
      </c>
      <c r="G680" s="18">
        <f>(SUM($I$8:$I680)*(MAX(M$3-M$4,0))+(N680*MAX(M$4,0)))*(1-$AM$4)+(AM680*$AM$4)</f>
        <v>0.921649042393821</v>
      </c>
      <c r="H680" s="18">
        <f t="shared" si="299"/>
        <v>1.5</v>
      </c>
      <c r="I680" s="18">
        <f t="shared" si="311"/>
        <v>0</v>
      </c>
      <c r="J680" s="18">
        <f t="shared" si="300"/>
        <v>0.936713142640971</v>
      </c>
      <c r="K680" s="18">
        <f t="shared" si="301"/>
        <v>0.00575335066900262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47</v>
      </c>
      <c r="D681" s="11">
        <f t="shared" si="309"/>
        <v>57</v>
      </c>
      <c r="E681" s="34">
        <f t="shared" si="305"/>
        <v>-2.03184519114515e-6</v>
      </c>
      <c r="F681" s="35">
        <f t="shared" si="310"/>
        <v>0.00136743181364068</v>
      </c>
      <c r="G681" s="18">
        <f>(SUM($I$8:$I681)*(MAX(M$3-M$4,0))+(N681*MAX(M$4,0)))*(1-$AM$4)+(AM681*$AM$4)</f>
        <v>0.921649042393821</v>
      </c>
      <c r="H681" s="18">
        <f t="shared" si="299"/>
        <v>1.5</v>
      </c>
      <c r="I681" s="18">
        <f t="shared" si="311"/>
        <v>0</v>
      </c>
      <c r="J681" s="18">
        <f t="shared" si="300"/>
        <v>0.935323360530228</v>
      </c>
      <c r="K681" s="18">
        <f t="shared" si="301"/>
        <v>0.00646766394697721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48</v>
      </c>
      <c r="D682" s="11">
        <f t="shared" si="309"/>
        <v>57</v>
      </c>
      <c r="E682" s="34">
        <f t="shared" si="305"/>
        <v>-2.02582490909731e-6</v>
      </c>
      <c r="F682" s="35">
        <f t="shared" si="310"/>
        <v>0.00136540598873159</v>
      </c>
      <c r="G682" s="18">
        <f>(SUM($I$8:$I682)*(MAX(M$3-M$4,0))+(N682*MAX(M$4,0)))*(1-$AM$4)+(AM682*$AM$4)</f>
        <v>0.921649042393821</v>
      </c>
      <c r="H682" s="18">
        <f t="shared" si="299"/>
        <v>1.5</v>
      </c>
      <c r="I682" s="18">
        <f t="shared" si="311"/>
        <v>0</v>
      </c>
      <c r="J682" s="18">
        <f t="shared" si="300"/>
        <v>0.933937696292405</v>
      </c>
      <c r="K682" s="18">
        <f t="shared" si="301"/>
        <v>0.00734025596751052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49</v>
      </c>
      <c r="D683" s="11">
        <f t="shared" si="309"/>
        <v>57</v>
      </c>
      <c r="E683" s="34">
        <f t="shared" si="305"/>
        <v>-2.01983134427751e-6</v>
      </c>
      <c r="F683" s="35">
        <f t="shared" si="310"/>
        <v>0.00136338615738731</v>
      </c>
      <c r="G683" s="18">
        <f>(SUM($I$8:$I683)*(MAX(M$3-M$4,0))+(N683*MAX(M$4,0)))*(1-$AM$4)+(AM683*$AM$4)</f>
        <v>0.921649042393821</v>
      </c>
      <c r="H683" s="18">
        <f t="shared" si="299"/>
        <v>1.5</v>
      </c>
      <c r="I683" s="18">
        <f t="shared" si="311"/>
        <v>0</v>
      </c>
      <c r="J683" s="18">
        <f t="shared" si="300"/>
        <v>0.93255613165292</v>
      </c>
      <c r="K683" s="18">
        <f t="shared" si="301"/>
        <v>0.00843048354338506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51</v>
      </c>
      <c r="D684" s="11">
        <f t="shared" si="309"/>
        <v>58</v>
      </c>
      <c r="E684" s="34">
        <f t="shared" si="305"/>
        <v>-2.01386433882895e-6</v>
      </c>
      <c r="F684" s="35">
        <f t="shared" si="310"/>
        <v>0.00136137229304848</v>
      </c>
      <c r="G684" s="18">
        <f>(SUM($I$8:$I684)*(MAX(M$3-M$4,0))+(N684*MAX(M$4,0)))*(1-$AM$4)+(AM684*$AM$4)</f>
        <v>0.921649042393821</v>
      </c>
      <c r="H684" s="18">
        <f t="shared" si="299"/>
        <v>1.5</v>
      </c>
      <c r="I684" s="18">
        <f t="shared" si="311"/>
        <v>0</v>
      </c>
      <c r="J684" s="18">
        <f t="shared" si="300"/>
        <v>0.93117864844516</v>
      </c>
      <c r="K684" s="18">
        <f t="shared" si="301"/>
        <v>0.00983162165069137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52</v>
      </c>
      <c r="D685" s="11">
        <f t="shared" si="309"/>
        <v>58</v>
      </c>
      <c r="E685" s="34">
        <f t="shared" si="305"/>
        <v>-2.0079237360597e-6</v>
      </c>
      <c r="F685" s="35">
        <f t="shared" si="310"/>
        <v>0.00135936436931242</v>
      </c>
      <c r="G685" s="18">
        <f>(SUM($I$8:$I685)*(MAX(M$3-M$4,0))+(N685*MAX(M$4,0)))*(1-$AM$4)+(AM685*$AM$4)</f>
        <v>0.921649042393821</v>
      </c>
      <c r="H685" s="18">
        <f t="shared" si="299"/>
        <v>1.5</v>
      </c>
      <c r="I685" s="18">
        <f t="shared" si="311"/>
        <v>0</v>
      </c>
      <c r="J685" s="18">
        <f t="shared" si="300"/>
        <v>0.929805228609696</v>
      </c>
      <c r="K685" s="18">
        <f t="shared" si="301"/>
        <v>0.0116991285650507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53</v>
      </c>
      <c r="D686" s="11">
        <f t="shared" si="309"/>
        <v>58</v>
      </c>
      <c r="E686" s="34">
        <f t="shared" si="305"/>
        <v>-2.00200938043076e-6</v>
      </c>
      <c r="F686" s="35">
        <f t="shared" si="310"/>
        <v>0.00135736235993199</v>
      </c>
      <c r="G686" s="18">
        <f>(SUM($I$8:$I686)*(MAX(M$3-M$4,0))+(N686*MAX(M$4,0)))*(1-$AM$4)+(AM686*$AM$4)</f>
        <v>0.921649042393821</v>
      </c>
      <c r="H686" s="18">
        <f t="shared" si="299"/>
        <v>1.5</v>
      </c>
      <c r="I686" s="18">
        <f t="shared" si="311"/>
        <v>0</v>
      </c>
      <c r="J686" s="18">
        <f t="shared" si="300"/>
        <v>0.928435854193481</v>
      </c>
      <c r="K686" s="18">
        <f t="shared" si="301"/>
        <v>0.0143128291613038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54</v>
      </c>
      <c r="D687" s="11">
        <f t="shared" si="309"/>
        <v>58</v>
      </c>
      <c r="E687" s="34">
        <f t="shared" si="305"/>
        <v>-1.99612111754697e-6</v>
      </c>
      <c r="F687" s="35">
        <f t="shared" si="310"/>
        <v>0.00135536623881444</v>
      </c>
      <c r="G687" s="18">
        <f>(SUM($I$8:$I687)*(MAX(M$3-M$4,0))+(N687*MAX(M$4,0)))*(1-$AM$4)+(AM687*$AM$4)</f>
        <v>0.921649042393821</v>
      </c>
      <c r="H687" s="18">
        <f t="shared" si="299"/>
        <v>1.5</v>
      </c>
      <c r="I687" s="18">
        <f t="shared" si="311"/>
        <v>0</v>
      </c>
      <c r="J687" s="18">
        <f t="shared" si="300"/>
        <v>0.927070507349079</v>
      </c>
      <c r="K687" s="18">
        <f t="shared" si="301"/>
        <v>0.0182323731627303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55</v>
      </c>
      <c r="D688" s="11">
        <f t="shared" si="309"/>
        <v>58</v>
      </c>
      <c r="E688" s="34">
        <f t="shared" si="305"/>
        <v>-1.99025879414768e-6</v>
      </c>
      <c r="F688" s="35">
        <f t="shared" si="310"/>
        <v>0.0013533759800203</v>
      </c>
      <c r="G688" s="18">
        <f>(SUM($I$8:$I688)*(MAX(M$3-M$4,0))+(N688*MAX(M$4,0)))*(1-$AM$4)+(AM688*$AM$4)</f>
        <v>0.921649042393821</v>
      </c>
      <c r="H688" s="18">
        <f t="shared" si="299"/>
        <v>1.5</v>
      </c>
      <c r="I688" s="18">
        <f t="shared" si="311"/>
        <v>0</v>
      </c>
      <c r="J688" s="18">
        <f t="shared" si="300"/>
        <v>0.925709170333882</v>
      </c>
      <c r="K688" s="18">
        <f t="shared" si="301"/>
        <v>0.024763609888706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56</v>
      </c>
      <c r="D689" s="11">
        <f t="shared" si="309"/>
        <v>58</v>
      </c>
      <c r="E689" s="34">
        <f t="shared" si="305"/>
        <v>-1.98442225809417e-6</v>
      </c>
      <c r="F689" s="35">
        <f t="shared" si="310"/>
        <v>0.0013513915577622</v>
      </c>
      <c r="G689" s="18">
        <f>(SUM($I$8:$I689)*(MAX(M$3-M$4,0))+(N689*MAX(M$4,0)))*(1-$AM$4)+(AM689*$AM$4)</f>
        <v>0.921649042393821</v>
      </c>
      <c r="H689" s="18">
        <f t="shared" si="299"/>
        <v>1.5</v>
      </c>
      <c r="I689" s="18">
        <f t="shared" si="311"/>
        <v>0</v>
      </c>
      <c r="J689" s="18">
        <f t="shared" si="300"/>
        <v>0.924351825509345</v>
      </c>
      <c r="K689" s="18">
        <f t="shared" si="301"/>
        <v>0.0378240872453273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57</v>
      </c>
      <c r="D690" s="11">
        <f t="shared" si="309"/>
        <v>58</v>
      </c>
      <c r="E690" s="34">
        <f t="shared" si="305"/>
        <v>-1.97861135836338e-6</v>
      </c>
      <c r="F690" s="35">
        <f t="shared" si="310"/>
        <v>0.00134941294640384</v>
      </c>
      <c r="G690" s="18">
        <f>(SUM($I$8:$I690)*(MAX(M$3-M$4,0))+(N690*MAX(M$4,0)))*(1-$AM$4)+(AM690*$AM$4)</f>
        <v>0.921649042393821</v>
      </c>
      <c r="H690" s="18">
        <f t="shared" si="299"/>
        <v>1.5</v>
      </c>
      <c r="I690" s="18">
        <f t="shared" si="311"/>
        <v>0</v>
      </c>
      <c r="J690" s="18">
        <f t="shared" si="300"/>
        <v>0.922998455340225</v>
      </c>
      <c r="K690" s="18">
        <f t="shared" si="301"/>
        <v>0.0770015446597751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X41"/>
  <sheetViews>
    <sheetView workbookViewId="0">
      <pane xSplit="1" topLeftCell="J1" activePane="topRight" state="frozen"/>
      <selection/>
      <selection pane="topRight" activeCell="Q3" sqref="Q3"/>
    </sheetView>
  </sheetViews>
  <sheetFormatPr defaultColWidth="10.7777777777778" defaultRowHeight="14.4"/>
  <cols>
    <col min="1" max="16384" width="10.7777777777778" style="3" customWidth="1"/>
  </cols>
  <sheetData>
    <row r="1" spans="1:24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spans="1:24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  <c r="P2" s="3" t="s">
        <v>71</v>
      </c>
    </row>
    <row r="3" spans="1:24">
      <c r="A3" s="3" t="s">
        <v>72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</row>
    <row r="4" spans="1:24">
      <c r="A4" s="3" t="s">
        <v>80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24">
      <c r="A5" s="3" t="s">
        <v>81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24">
      <c r="A6" s="3" t="s">
        <v>82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24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  <c r="L8" s="3" t="s">
        <v>94</v>
      </c>
      <c r="M8" s="3" t="s">
        <v>95</v>
      </c>
      <c r="N8" s="3" t="s">
        <v>96</v>
      </c>
      <c r="O8" s="3" t="s">
        <v>97</v>
      </c>
    </row>
    <row r="9" spans="1:24">
      <c r="A9" s="3">
        <v>2021</v>
      </c>
    </row>
    <row r="10" spans="1:24">
      <c r="A10" s="3">
        <v>2022</v>
      </c>
    </row>
    <row r="11" spans="1:24">
      <c r="A11" s="3">
        <v>2023</v>
      </c>
    </row>
    <row r="12" spans="1:24">
      <c r="A12" s="3">
        <v>2024</v>
      </c>
    </row>
    <row r="13" spans="1:24">
      <c r="A13" s="3">
        <v>2025</v>
      </c>
    </row>
    <row r="14" spans="1:24">
      <c r="A14" s="3" t="s">
        <v>98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6" spans="1:24">
      <c r="A16" s="3" t="s">
        <v>99</v>
      </c>
      <c r="B16" s="3" t="s">
        <v>100</v>
      </c>
      <c r="C16" s="3" t="s">
        <v>101</v>
      </c>
      <c r="D16" s="3" t="s">
        <v>100</v>
      </c>
      <c r="E16" s="3" t="s">
        <v>101</v>
      </c>
      <c r="F16" s="3" t="s">
        <v>100</v>
      </c>
      <c r="G16" s="3" t="s">
        <v>101</v>
      </c>
      <c r="H16" s="3" t="s">
        <v>100</v>
      </c>
      <c r="I16" s="3" t="s">
        <v>100</v>
      </c>
      <c r="J16" s="3" t="s">
        <v>101</v>
      </c>
      <c r="K16" s="3" t="s">
        <v>101</v>
      </c>
      <c r="L16" s="3" t="s">
        <v>102</v>
      </c>
      <c r="M16" s="3" t="s">
        <v>102</v>
      </c>
      <c r="N16" s="3" t="s">
        <v>102</v>
      </c>
      <c r="O16" s="3" t="s">
        <v>102</v>
      </c>
      <c r="P16" s="3" t="s">
        <v>102</v>
      </c>
      <c r="Q16" s="3" t="s">
        <v>102</v>
      </c>
      <c r="R16" s="3" t="s">
        <v>102</v>
      </c>
      <c r="S16" s="3" t="s">
        <v>103</v>
      </c>
      <c r="T16" s="3" t="s">
        <v>103</v>
      </c>
      <c r="U16" s="3" t="s">
        <v>103</v>
      </c>
      <c r="V16" s="3" t="s">
        <v>101</v>
      </c>
      <c r="W16" s="3" t="s">
        <v>101</v>
      </c>
      <c r="X16" s="3" t="s">
        <v>101</v>
      </c>
    </row>
    <row r="17" spans="1:24">
      <c r="A17" s="3" t="s">
        <v>104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105</v>
      </c>
      <c r="M17" s="3" t="s">
        <v>106</v>
      </c>
      <c r="N17" s="3" t="s">
        <v>107</v>
      </c>
      <c r="O17" s="3" t="s">
        <v>108</v>
      </c>
      <c r="P17" s="3" t="s">
        <v>109</v>
      </c>
      <c r="Q17" s="3" t="s">
        <v>110</v>
      </c>
      <c r="R17" s="3" t="s">
        <v>111</v>
      </c>
      <c r="S17" s="3" t="s">
        <v>112</v>
      </c>
      <c r="T17" s="3" t="s">
        <v>112</v>
      </c>
      <c r="U17" s="3" t="s">
        <v>112</v>
      </c>
      <c r="V17" s="3">
        <v>6</v>
      </c>
      <c r="W17" s="3">
        <v>7</v>
      </c>
      <c r="X17" s="3">
        <v>8</v>
      </c>
    </row>
    <row r="18" spans="1:24">
      <c r="A18" s="3">
        <v>20251118</v>
      </c>
      <c r="B18" s="3">
        <v>20</v>
      </c>
    </row>
    <row r="19" spans="1:24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24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24">
      <c r="A21" s="3">
        <v>20251121</v>
      </c>
      <c r="J21" s="3">
        <v>33</v>
      </c>
    </row>
    <row r="22" spans="1:24">
      <c r="A22" s="3">
        <v>20251122</v>
      </c>
      <c r="K22" s="3">
        <v>33</v>
      </c>
    </row>
    <row r="23" spans="1:24">
      <c r="A23" s="3">
        <v>20251123</v>
      </c>
      <c r="L23" s="3">
        <v>33</v>
      </c>
    </row>
    <row r="24" spans="1:24">
      <c r="A24" s="3">
        <v>20251124</v>
      </c>
      <c r="M24" s="3">
        <v>33</v>
      </c>
    </row>
    <row r="25" spans="1:24">
      <c r="A25" s="3">
        <v>20251125</v>
      </c>
      <c r="N25" s="3">
        <v>33</v>
      </c>
    </row>
    <row r="26" spans="1:24">
      <c r="A26" s="3">
        <v>20251126</v>
      </c>
      <c r="O26" s="3">
        <v>33</v>
      </c>
      <c r="P26" s="3">
        <v>33</v>
      </c>
    </row>
    <row r="27" spans="1:24">
      <c r="A27" s="3">
        <v>20251127</v>
      </c>
      <c r="Q27" s="3">
        <v>33</v>
      </c>
      <c r="R27" s="3">
        <v>3</v>
      </c>
      <c r="S27" s="3">
        <v>33</v>
      </c>
    </row>
    <row r="28" spans="1:24">
      <c r="A28" s="3">
        <v>20251128</v>
      </c>
      <c r="T28" s="3">
        <v>33</v>
      </c>
      <c r="U28" s="3">
        <v>7</v>
      </c>
    </row>
    <row r="29" spans="1:24">
      <c r="A29" s="3">
        <v>20251129</v>
      </c>
      <c r="V29" s="3">
        <v>33</v>
      </c>
      <c r="W29" s="3">
        <v>33</v>
      </c>
    </row>
    <row r="30" spans="1:24">
      <c r="A30" s="3">
        <v>20251130</v>
      </c>
    </row>
    <row r="31" spans="1:24">
      <c r="A31" s="3">
        <v>20251201</v>
      </c>
    </row>
    <row r="32" spans="1:24">
      <c r="A32" s="3">
        <v>20251202</v>
      </c>
    </row>
    <row r="33" spans="1:1">
      <c r="A33" s="3">
        <v>20251203</v>
      </c>
    </row>
    <row r="34" spans="1:1">
      <c r="A34" s="3">
        <v>20251204</v>
      </c>
    </row>
    <row r="35" spans="1:1">
      <c r="A35" s="3">
        <v>20251205</v>
      </c>
    </row>
    <row r="36" spans="1:1">
      <c r="A36" s="3">
        <v>20251206</v>
      </c>
    </row>
    <row r="37" spans="1:1">
      <c r="A37" s="3">
        <v>20251207</v>
      </c>
    </row>
    <row r="38" spans="1:1">
      <c r="A38" s="3">
        <v>20251208</v>
      </c>
    </row>
    <row r="39" spans="1:1">
      <c r="A39" s="3">
        <v>20251209</v>
      </c>
    </row>
    <row r="40" spans="1:1">
      <c r="A40" s="3">
        <v>20251210</v>
      </c>
    </row>
    <row r="41" spans="1:1">
      <c r="A41" s="3">
        <v>20251211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zoomScale="115" zoomScaleNormal="115" topLeftCell="A5" workbookViewId="0">
      <selection activeCell="G21" sqref="G21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82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119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120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121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122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119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123</v>
      </c>
      <c r="B11" s="3" t="s">
        <v>54</v>
      </c>
    </row>
    <row r="12" spans="1:14">
      <c r="A12">
        <v>20251125</v>
      </c>
      <c r="B12" s="3">
        <f t="shared" ref="B12:B22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/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/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11">
      <c r="A17"/>
      <c r="B17" s="3">
        <f t="shared" si="1"/>
        <v>7</v>
      </c>
      <c r="C17" s="3">
        <v>2</v>
      </c>
      <c r="D17" s="3">
        <v>2</v>
      </c>
      <c r="E17" s="3">
        <v>3</v>
      </c>
    </row>
    <row r="18" spans="1:11">
      <c r="A18">
        <v>20251202</v>
      </c>
      <c r="B18" s="3">
        <f t="shared" si="1"/>
        <v>22</v>
      </c>
      <c r="C18" s="3">
        <v>6</v>
      </c>
      <c r="D18" s="3">
        <v>1</v>
      </c>
      <c r="E18" s="3">
        <v>1</v>
      </c>
      <c r="F18" s="3">
        <v>0.5</v>
      </c>
      <c r="G18" s="3">
        <v>2</v>
      </c>
      <c r="H18" s="3">
        <v>2.5</v>
      </c>
      <c r="I18" s="3">
        <v>3</v>
      </c>
      <c r="J18" s="3">
        <v>3</v>
      </c>
      <c r="K18" s="3">
        <v>3</v>
      </c>
    </row>
    <row r="19" spans="1:11">
      <c r="A19"/>
      <c r="B19" s="3">
        <f t="shared" si="1"/>
        <v>24</v>
      </c>
      <c r="C19" s="3">
        <v>4.5</v>
      </c>
      <c r="D19" s="3">
        <v>0.5</v>
      </c>
      <c r="E19" s="3">
        <v>2</v>
      </c>
      <c r="F19" s="3">
        <v>5.5</v>
      </c>
      <c r="G19" s="3">
        <v>2.5</v>
      </c>
      <c r="H19" s="3">
        <v>1.5</v>
      </c>
      <c r="I19" s="3">
        <v>7.5</v>
      </c>
    </row>
    <row r="20" spans="1:11">
      <c r="A20">
        <v>20251203</v>
      </c>
      <c r="B20" s="3">
        <f>SUM(C20:AA20)</f>
        <v>21.5</v>
      </c>
      <c r="C20" s="3">
        <v>3</v>
      </c>
      <c r="D20" s="3">
        <v>1.5</v>
      </c>
      <c r="E20" s="3">
        <v>3</v>
      </c>
      <c r="F20" s="3">
        <v>3.5</v>
      </c>
      <c r="G20" s="3">
        <v>3.5</v>
      </c>
      <c r="H20" s="3">
        <v>3</v>
      </c>
      <c r="I20" s="3">
        <v>4</v>
      </c>
    </row>
    <row r="21" spans="1:11">
      <c r="A21"/>
      <c r="B21" s="3">
        <f>SUM(C21:AA21)</f>
        <v>12.5</v>
      </c>
      <c r="C21" s="3">
        <v>3</v>
      </c>
      <c r="D21" s="3">
        <v>4</v>
      </c>
      <c r="E21" s="3">
        <v>3.5</v>
      </c>
      <c r="F21" s="3">
        <v>2</v>
      </c>
    </row>
    <row r="22" spans="1:11">
      <c r="A22">
        <v>20251204</v>
      </c>
      <c r="B22" s="3">
        <f>SUM(C22:AA22)</f>
        <v>0</v>
      </c>
    </row>
    <row r="23" spans="1:11">
      <c r="A23">
        <v>20251205</v>
      </c>
      <c r="B23" s="3">
        <f>SUM(C23:AA23)</f>
        <v>0</v>
      </c>
    </row>
    <row r="24" spans="1:11">
      <c r="A24">
        <v>20251206</v>
      </c>
      <c r="B24" s="3">
        <f>SUM(C24:AA24)</f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40" zoomScaleNormal="40" topLeftCell="J1" workbookViewId="0">
      <selection activeCell="AR17" sqref="AR17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124</v>
      </c>
      <c r="F1" s="2" t="s">
        <v>125</v>
      </c>
      <c r="G1" s="2" t="s">
        <v>126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0.0209154040404041</v>
      </c>
      <c r="C661" s="2">
        <f>Sheet1!F667</f>
        <v>0.00135779835107879</v>
      </c>
      <c r="D661" s="2">
        <f>Sheet1!G667</f>
        <v>0.896146911712003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0.0607058080808082</v>
      </c>
      <c r="C662" s="2">
        <f>Sheet1!F668</f>
        <v>0.00138157400943227</v>
      </c>
      <c r="D662" s="2">
        <f>Sheet1!G668</f>
        <v>0.91322042023473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0.0299684343434344</v>
      </c>
      <c r="C663" s="2">
        <f>Sheet1!F669</f>
        <v>0.00139221909727163</v>
      </c>
      <c r="D663" s="2">
        <f>Sheet1!G669</f>
        <v>0.921649042393821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0.00139011921929686</v>
      </c>
      <c r="D664" s="2">
        <f>Sheet1!G670</f>
        <v>0.921649042393821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0.00138802566625575</v>
      </c>
      <c r="D665" s="2">
        <f>Sheet1!G671</f>
        <v>0.921649042393821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0.00138593840961477</v>
      </c>
      <c r="D666" s="2">
        <f>Sheet1!G672</f>
        <v>0.921649042393821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0.00138385742101174</v>
      </c>
      <c r="D667" s="2">
        <f>Sheet1!G673</f>
        <v>0.921649042393821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0.0013817826722546</v>
      </c>
      <c r="D668" s="2">
        <f>Sheet1!G674</f>
        <v>0.921649042393821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0.00137971413532009</v>
      </c>
      <c r="D669" s="2">
        <f>Sheet1!G675</f>
        <v>0.921649042393821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0.0013776517823525</v>
      </c>
      <c r="D670" s="2">
        <f>Sheet1!G676</f>
        <v>0.921649042393821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0.00137559558566242</v>
      </c>
      <c r="D671" s="2">
        <f>Sheet1!G677</f>
        <v>0.921649042393821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0.00137354551772552</v>
      </c>
      <c r="D672" s="2">
        <f>Sheet1!G678</f>
        <v>0.921649042393821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0.00137150155118128</v>
      </c>
      <c r="D673" s="2">
        <f>Sheet1!G679</f>
        <v>0.921649042393821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0.00136946365883183</v>
      </c>
      <c r="D674" s="2">
        <f>Sheet1!G680</f>
        <v>0.921649042393821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0.00136743181364068</v>
      </c>
      <c r="D675" s="2">
        <f>Sheet1!G681</f>
        <v>0.921649042393821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0.00136540598873159</v>
      </c>
      <c r="D676" s="2">
        <f>Sheet1!G682</f>
        <v>0.921649042393821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0.00136338615738731</v>
      </c>
      <c r="D677" s="2">
        <f>Sheet1!G683</f>
        <v>0.921649042393821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0.00136137229304848</v>
      </c>
      <c r="D678" s="2">
        <f>Sheet1!G684</f>
        <v>0.921649042393821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0.00135936436931242</v>
      </c>
      <c r="D679" s="2">
        <f>Sheet1!G685</f>
        <v>0.921649042393821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0.00135736235993199</v>
      </c>
      <c r="D680" s="2">
        <f>Sheet1!G686</f>
        <v>0.921649042393821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0.00135536623881444</v>
      </c>
      <c r="D681" s="2">
        <f>Sheet1!G687</f>
        <v>0.921649042393821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0.0013533759800203</v>
      </c>
      <c r="D682" s="2">
        <f>Sheet1!G688</f>
        <v>0.921649042393821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0.0013513915577622</v>
      </c>
      <c r="D683" s="2">
        <f>Sheet1!G689</f>
        <v>0.921649042393821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0.00134941294640384</v>
      </c>
      <c r="D684" s="2">
        <f>Sheet1!G690</f>
        <v>0.921649042393821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2025-12-03T15:38:34Z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