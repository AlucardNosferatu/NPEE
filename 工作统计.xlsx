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<sst xmlns="http://schemas.openxmlformats.org/spreadsheetml/2006/main" count="396" uniqueCount="119">
  <si>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</si>
  <si>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</si>
  <si>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</si>
  <si>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</si>
  <si>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</si>
  <si>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</si>
  <si>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</si>
  <si>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</si>
  <si>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</si>
  <si>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</si>
  <si>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</si>
  <si>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</si>
  <si>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</si>
  <si>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</si>
  <si>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</si>
  <si>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</si>
  <si>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</si>
  <si>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</si>
  <si>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</si>
  <si>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</si>
  <si>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</si>
  <si>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</si>
  <si>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</si>
  <si>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</si>
  <si>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</si>
  <si>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</si>
  <si>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</si>
  <si>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</si>
  <si>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</si>
  <si>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</si>
  <si>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</si>
  <si>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</si>
  <si>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</si>
  <si>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</si>
  <si>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</si>
  <si>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</si>
  <si>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</si>
  <si>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</si>
  <si>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</si>
  <si>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</si>
  <si>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</si>
  <si>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</si>
  <si>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</si>
  <si>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</si>
  <si>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</si>
  <si>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</si>
  <si>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</si>
  <si>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</si>
  <si>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</si>
  <si>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</si>
  <si>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</si>
  <si>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</si>
  <si>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</si>
  <si>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</si>
  <si>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</si>
  <si>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</si>
  <si>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</si>
  <si>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</si>
  <si>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</si>
  <si>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</si>
  <si>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</si>
  <si>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</si>
  <si>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</si>
  <si>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</si>
  <si>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</si>
  <si>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</si>
  <si>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</si>
  <si>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</si>
  <si>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</si>
  <si>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</si>
  <si>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</si>
  <si>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页数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</si>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</sst>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0.00133888011481342</c:v>
                </c:pt>
                <c:pt idx="658">
                  <c:v>0.00133684843026894</c:v>
                </c:pt>
                <c:pt idx="659">
                  <c:v>0.00133482290234429</c:v>
                </c:pt>
                <c:pt idx="660">
                  <c:v>0.00133280350309717</c:v>
                </c:pt>
                <c:pt idx="661">
                  <c:v>0.00133079020475412</c:v>
                </c:pt>
                <c:pt idx="662">
                  <c:v>0.00132878297970925</c:v>
                </c:pt>
                <c:pt idx="663">
                  <c:v>0.00132678180052294</c:v>
                </c:pt>
                <c:pt idx="664">
                  <c:v>0.00132478663992065</c:v>
                </c:pt>
                <c:pt idx="665">
                  <c:v>0.00132279747079164</c:v>
                </c:pt>
                <c:pt idx="666">
                  <c:v>0.00132081426618775</c:v>
                </c:pt>
                <c:pt idx="667">
                  <c:v>0.0013188369993222</c:v>
                </c:pt>
                <c:pt idx="668">
                  <c:v>0.00131686564356836</c:v>
                </c:pt>
                <c:pt idx="669">
                  <c:v>0.00131490017245855</c:v>
                </c:pt>
                <c:pt idx="670">
                  <c:v>0.00131294055968291</c:v>
                </c:pt>
                <c:pt idx="671">
                  <c:v>0.00131098677908814</c:v>
                </c:pt>
                <c:pt idx="672">
                  <c:v>0.00130903880467642</c:v>
                </c:pt>
                <c:pt idx="673">
                  <c:v>0.0013070966106042</c:v>
                </c:pt>
                <c:pt idx="674">
                  <c:v>0.00130516017118108</c:v>
                </c:pt>
                <c:pt idx="675">
                  <c:v>0.00130322946086868</c:v>
                </c:pt>
                <c:pt idx="676">
                  <c:v>0.00130130445427951</c:v>
                </c:pt>
                <c:pt idx="677">
                  <c:v>0.00129938512617586</c:v>
                </c:pt>
                <c:pt idx="678">
                  <c:v>0.00129747145146867</c:v>
                </c:pt>
                <c:pt idx="679">
                  <c:v>0.00129556340521651</c:v>
                </c:pt>
                <c:pt idx="680">
                  <c:v>0.00129366096262442</c:v>
                </c:pt>
                <c:pt idx="681">
                  <c:v>0.00129176409904286</c:v>
                </c:pt>
                <c:pt idx="682">
                  <c:v>0.00128987278996666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0.018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0.88098311554723</c:v>
                </c:pt>
                <c:pt idx="658">
                  <c:v>0.88098311554723</c:v>
                </c:pt>
                <c:pt idx="659">
                  <c:v>0.88098311554723</c:v>
                </c:pt>
                <c:pt idx="660">
                  <c:v>0.88098311554723</c:v>
                </c:pt>
                <c:pt idx="661">
                  <c:v>0.88098311554723</c:v>
                </c:pt>
                <c:pt idx="662">
                  <c:v>0.88098311554723</c:v>
                </c:pt>
                <c:pt idx="663">
                  <c:v>0.88098311554723</c:v>
                </c:pt>
                <c:pt idx="664">
                  <c:v>0.88098311554723</c:v>
                </c:pt>
                <c:pt idx="665">
                  <c:v>0.88098311554723</c:v>
                </c:pt>
                <c:pt idx="666">
                  <c:v>0.88098311554723</c:v>
                </c:pt>
                <c:pt idx="667">
                  <c:v>0.88098311554723</c:v>
                </c:pt>
                <c:pt idx="668">
                  <c:v>0.88098311554723</c:v>
                </c:pt>
                <c:pt idx="669">
                  <c:v>0.88098311554723</c:v>
                </c:pt>
                <c:pt idx="670">
                  <c:v>0.88098311554723</c:v>
                </c:pt>
                <c:pt idx="671">
                  <c:v>0.88098311554723</c:v>
                </c:pt>
                <c:pt idx="672">
                  <c:v>0.88098311554723</c:v>
                </c:pt>
                <c:pt idx="673">
                  <c:v>0.88098311554723</c:v>
                </c:pt>
                <c:pt idx="674">
                  <c:v>0.88098311554723</c:v>
                </c:pt>
                <c:pt idx="675">
                  <c:v>0.88098311554723</c:v>
                </c:pt>
                <c:pt idx="676">
                  <c:v>0.88098311554723</c:v>
                </c:pt>
                <c:pt idx="677">
                  <c:v>0.88098311554723</c:v>
                </c:pt>
                <c:pt idx="678">
                  <c:v>0.88098311554723</c:v>
                </c:pt>
                <c:pt idx="679">
                  <c:v>0.88098311554723</c:v>
                </c:pt>
                <c:pt idx="680">
                  <c:v>0.88098311554723</c:v>
                </c:pt>
                <c:pt idx="681">
                  <c:v>0.88098311554723</c:v>
                </c:pt>
                <c:pt idx="682">
                  <c:v>0.88098311554723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topLeftCell="A655" workbookViewId="0">
      <pane xSplit="10" topLeftCell="V1" activePane="topRight" state="frozen"/>
      <selection/>
      <selection pane="topRight" activeCell="Y664" sqref="Y664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0.88098311554723</v>
      </c>
      <c r="H7" s="43">
        <v>0</v>
      </c>
      <c r="I7" s="18">
        <f>SUM(I8:I809)</f>
        <v>2.69690065371221</v>
      </c>
      <c r="J7" s="37" t="s">
        <v>53</v>
      </c>
      <c r="K7" s="18" t="s">
        <v>53</v>
      </c>
      <c r="L7" s="18">
        <f>SUM(L8:L809)</f>
        <v>2.36957175541908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219.511658694789</v>
      </c>
      <c r="Y7" s="19">
        <f>SUM(Y8:Y809)</f>
        <v>1960.59</v>
      </c>
      <c r="Z7" s="11">
        <f>SUM(Z8:Z809)</f>
        <v>2919</v>
      </c>
      <c r="AA7" s="11">
        <f>SUM(AA8:AA809)</f>
        <v>2179</v>
      </c>
      <c r="AB7" s="11">
        <f>SUM(AB8:AB809)</f>
        <v>1055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customHeight="1" spans="1:52">
      <c r="A662" s="44">
        <v>45987</v>
      </c>
      <c r="B662" s="33">
        <f t="shared" si="281"/>
        <v>29</v>
      </c>
      <c r="C662" s="33">
        <f t="shared" si="282"/>
        <v>80</v>
      </c>
      <c r="D662" s="11">
        <f t="shared" si="283"/>
        <v>109</v>
      </c>
      <c r="E662" s="34">
        <f t="shared" si="305"/>
        <v>1.14012075020141e-5</v>
      </c>
      <c r="F662" s="35">
        <f t="shared" si="284"/>
        <v>0.00130949176464243</v>
      </c>
      <c r="G662" s="18">
        <f>(SUM($I$8:$I662)*(MAX(M$3-M$4,0))+(N662*MAX(M$4,0)))*(1-$AM$4)+(AM662*$AM$4)</f>
        <v>0.857717105840791</v>
      </c>
      <c r="H662" s="18">
        <f t="shared" si="299"/>
        <v>1.45833333333333</v>
      </c>
      <c r="I662" s="18">
        <f t="shared" si="285"/>
        <v>0.0467513678451178</v>
      </c>
      <c r="J662" s="18">
        <f t="shared" si="300"/>
        <v>0.895692367015421</v>
      </c>
      <c r="K662" s="18">
        <f t="shared" si="301"/>
        <v>0.00359681493050272</v>
      </c>
      <c r="L662" s="18">
        <f t="shared" si="302"/>
        <v>0.0320580808080809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26.18</v>
      </c>
      <c r="Z662" s="11">
        <v>66</v>
      </c>
      <c r="AA662" s="11">
        <v>20.5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customHeight="1" spans="1:52">
      <c r="A663" s="44">
        <v>45988</v>
      </c>
      <c r="B663" s="33">
        <f t="shared" si="281"/>
        <v>28</v>
      </c>
      <c r="C663" s="33">
        <f t="shared" si="282"/>
        <v>73</v>
      </c>
      <c r="D663" s="11">
        <f t="shared" si="283"/>
        <v>101</v>
      </c>
      <c r="E663" s="34">
        <f t="shared" si="305"/>
        <v>1.18364289520647e-5</v>
      </c>
      <c r="F663" s="35">
        <f t="shared" si="284"/>
        <v>0.00132132819359449</v>
      </c>
      <c r="G663" s="18">
        <f>(SUM($I$8:$I663)*(MAX(M$3-M$4,0))+(N663*MAX(M$4,0)))*(1-$AM$4)+(AM663*$AM$4)</f>
        <v>0.866791294997988</v>
      </c>
      <c r="H663" s="18">
        <f t="shared" si="299"/>
        <v>1.45833333333333</v>
      </c>
      <c r="I663" s="18">
        <f t="shared" si="285"/>
        <v>0.0483956755050505</v>
      </c>
      <c r="J663" s="18">
        <f t="shared" si="300"/>
        <v>0.903788484418633</v>
      </c>
      <c r="K663" s="18">
        <f t="shared" si="301"/>
        <v>0.00343612555647738</v>
      </c>
      <c r="L663" s="18">
        <f t="shared" si="302"/>
        <v>0.0331856060606061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29.93</v>
      </c>
      <c r="Z663" s="11">
        <v>69</v>
      </c>
      <c r="AA663" s="11">
        <v>0</v>
      </c>
      <c r="AB663" s="11">
        <v>20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customHeight="1" spans="1:52">
      <c r="A664" s="44">
        <v>45989</v>
      </c>
      <c r="B664" s="33">
        <f t="shared" si="281"/>
        <v>27</v>
      </c>
      <c r="C664" s="33">
        <f t="shared" si="282"/>
        <v>66</v>
      </c>
      <c r="D664" s="11">
        <f t="shared" si="283"/>
        <v>93</v>
      </c>
      <c r="E664" s="34">
        <f t="shared" si="305"/>
        <v>1.20983521394947e-5</v>
      </c>
      <c r="F664" s="35">
        <f t="shared" si="284"/>
        <v>0.00133342654573399</v>
      </c>
      <c r="G664" s="18">
        <f>(SUM($I$8:$I664)*(MAX(M$3-M$4,0))+(N664*MAX(M$4,0)))*(1-$AM$4)+(AM664*$AM$4)</f>
        <v>0.87606124054723</v>
      </c>
      <c r="H664" s="18">
        <f t="shared" si="299"/>
        <v>1.45833333333333</v>
      </c>
      <c r="I664" s="18">
        <f t="shared" si="285"/>
        <v>0.0494397095959596</v>
      </c>
      <c r="J664" s="18">
        <f t="shared" si="300"/>
        <v>0.912063757282048</v>
      </c>
      <c r="K664" s="18">
        <f t="shared" si="301"/>
        <v>0.00325689787844267</v>
      </c>
      <c r="L664" s="18">
        <f t="shared" si="302"/>
        <v>0.0339015151515152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52.7</v>
      </c>
      <c r="Z664" s="11">
        <v>40</v>
      </c>
      <c r="AA664" s="11">
        <v>0</v>
      </c>
      <c r="AB664" s="11">
        <v>20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customHeight="1" spans="1:52">
      <c r="A665" s="44">
        <v>45990</v>
      </c>
      <c r="B665" s="33">
        <f t="shared" si="281"/>
        <v>26</v>
      </c>
      <c r="C665" s="33">
        <f t="shared" si="282"/>
        <v>63</v>
      </c>
      <c r="D665" s="11">
        <f t="shared" si="283"/>
        <v>89</v>
      </c>
      <c r="E665" s="34">
        <f t="shared" si="305"/>
        <v>5.45356907943146e-6</v>
      </c>
      <c r="F665" s="35">
        <f t="shared" si="284"/>
        <v>0.00133888011481342</v>
      </c>
      <c r="G665" s="18">
        <f>(SUM($I$8:$I665)*(MAX(M$3-M$4,0))+(N665*MAX(M$4,0)))*(1-$AM$4)+(AM665*$AM$4)</f>
        <v>0.88098311554723</v>
      </c>
      <c r="H665" s="18">
        <f t="shared" si="299"/>
        <v>1.45833333333333</v>
      </c>
      <c r="I665" s="18">
        <f t="shared" si="285"/>
        <v>0.02625</v>
      </c>
      <c r="J665" s="18">
        <f t="shared" si="300"/>
        <v>0.915793998532379</v>
      </c>
      <c r="K665" s="18">
        <f t="shared" si="301"/>
        <v>0.00323869236413927</v>
      </c>
      <c r="L665" s="18">
        <f t="shared" si="302"/>
        <v>0.018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0</v>
      </c>
      <c r="Z665" s="11">
        <v>66</v>
      </c>
      <c r="AA665" s="11">
        <v>0</v>
      </c>
      <c r="AB665" s="11">
        <v>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64</v>
      </c>
      <c r="D666" s="11">
        <f t="shared" ref="D666:D690" si="309">IF(F666&gt;0,ROUND(((1-G666)/F666),0),FACT(128))</f>
        <v>89</v>
      </c>
      <c r="E666" s="34">
        <f t="shared" si="305"/>
        <v>-2.03168454448164e-6</v>
      </c>
      <c r="F666" s="35">
        <f t="shared" ref="F666:F690" si="310">G666/(ROW()-7)</f>
        <v>0.00133684843026894</v>
      </c>
      <c r="G666" s="18">
        <f>(SUM($I$8:$I666)*(MAX(M$3-M$4,0))+(N666*MAX(M$4,0)))*(1-$AM$4)+(AM666*$AM$4)</f>
        <v>0.88098311554723</v>
      </c>
      <c r="H666" s="18">
        <f t="shared" si="299"/>
        <v>1.45833333333333</v>
      </c>
      <c r="I666" s="18">
        <f t="shared" ref="I666:I690" si="311">L666*H666</f>
        <v>0</v>
      </c>
      <c r="J666" s="18">
        <f t="shared" si="300"/>
        <v>0.914404326303953</v>
      </c>
      <c r="K666" s="18">
        <f t="shared" si="301"/>
        <v>0.00342382694784186</v>
      </c>
      <c r="L666" s="18">
        <f t="shared" si="302"/>
        <v>0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0</v>
      </c>
      <c r="Z666" s="11">
        <v>0</v>
      </c>
      <c r="AA666" s="11">
        <v>0</v>
      </c>
      <c r="AB666" s="11">
        <v>0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65</v>
      </c>
      <c r="D667" s="11">
        <f t="shared" si="309"/>
        <v>89</v>
      </c>
      <c r="E667" s="34">
        <f t="shared" si="305"/>
        <v>-2.02552792464986e-6</v>
      </c>
      <c r="F667" s="35">
        <f t="shared" si="310"/>
        <v>0.00133482290234429</v>
      </c>
      <c r="G667" s="18">
        <f>(SUM($I$8:$I667)*(MAX(M$3-M$4,0))+(N667*MAX(M$4,0)))*(1-$AM$4)+(AM667*$AM$4)</f>
        <v>0.88098311554723</v>
      </c>
      <c r="H667" s="18">
        <f t="shared" si="299"/>
        <v>1.5</v>
      </c>
      <c r="I667" s="18">
        <f t="shared" si="311"/>
        <v>0</v>
      </c>
      <c r="J667" s="18">
        <f t="shared" si="300"/>
        <v>0.913018865203493</v>
      </c>
      <c r="K667" s="18">
        <f t="shared" si="301"/>
        <v>0.00362421394985446</v>
      </c>
      <c r="L667" s="18">
        <f t="shared" si="302"/>
        <v>0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0</v>
      </c>
      <c r="Z667" s="11">
        <v>0</v>
      </c>
      <c r="AA667" s="11">
        <v>0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66</v>
      </c>
      <c r="D668" s="11">
        <f t="shared" si="309"/>
        <v>89</v>
      </c>
      <c r="E668" s="34">
        <f t="shared" si="305"/>
        <v>-2.01939924711694e-6</v>
      </c>
      <c r="F668" s="35">
        <f t="shared" si="310"/>
        <v>0.00133280350309717</v>
      </c>
      <c r="G668" s="18">
        <f>(SUM($I$8:$I668)*(MAX(M$3-M$4,0))+(N668*MAX(M$4,0)))*(1-$AM$4)+(AM668*$AM$4)</f>
        <v>0.88098311554723</v>
      </c>
      <c r="H668" s="18">
        <f t="shared" si="299"/>
        <v>1.5</v>
      </c>
      <c r="I668" s="18">
        <f t="shared" si="311"/>
        <v>0</v>
      </c>
      <c r="J668" s="18">
        <f t="shared" si="300"/>
        <v>0.911637596118465</v>
      </c>
      <c r="K668" s="18">
        <f t="shared" si="301"/>
        <v>0.00384184364702326</v>
      </c>
      <c r="L668" s="18">
        <f t="shared" si="302"/>
        <v>0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0</v>
      </c>
      <c r="Z668" s="11">
        <v>0</v>
      </c>
      <c r="AA668" s="11">
        <v>0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67</v>
      </c>
      <c r="D669" s="11">
        <f t="shared" si="309"/>
        <v>89</v>
      </c>
      <c r="E669" s="34">
        <f t="shared" si="305"/>
        <v>-2.01329834304703e-6</v>
      </c>
      <c r="F669" s="35">
        <f t="shared" si="310"/>
        <v>0.00133079020475412</v>
      </c>
      <c r="G669" s="18">
        <f>(SUM($I$8:$I669)*(MAX(M$3-M$4,0))+(N669*MAX(M$4,0)))*(1-$AM$4)+(AM669*$AM$4)</f>
        <v>0.88098311554723</v>
      </c>
      <c r="H669" s="18">
        <f t="shared" si="299"/>
        <v>1.5</v>
      </c>
      <c r="I669" s="18">
        <f t="shared" si="311"/>
        <v>0</v>
      </c>
      <c r="J669" s="18">
        <f t="shared" si="300"/>
        <v>0.910260500051821</v>
      </c>
      <c r="K669" s="18">
        <f t="shared" si="301"/>
        <v>0.0040790681794627</v>
      </c>
      <c r="L669" s="18">
        <f t="shared" si="302"/>
        <v>0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0</v>
      </c>
      <c r="Z669" s="11">
        <v>0</v>
      </c>
      <c r="AA669" s="11">
        <v>0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69</v>
      </c>
      <c r="D670" s="11">
        <f t="shared" si="309"/>
        <v>90</v>
      </c>
      <c r="E670" s="34">
        <f t="shared" si="305"/>
        <v>-2.00722504487818e-6</v>
      </c>
      <c r="F670" s="35">
        <f t="shared" si="310"/>
        <v>0.00132878297970925</v>
      </c>
      <c r="G670" s="18">
        <f>(SUM($I$8:$I670)*(MAX(M$3-M$4,0))+(N670*MAX(M$4,0)))*(1-$AM$4)+(AM670*$AM$4)</f>
        <v>0.88098311554723</v>
      </c>
      <c r="H670" s="18">
        <f t="shared" si="299"/>
        <v>1.5</v>
      </c>
      <c r="I670" s="18">
        <f t="shared" si="311"/>
        <v>0</v>
      </c>
      <c r="J670" s="18">
        <f t="shared" si="300"/>
        <v>0.908887558121124</v>
      </c>
      <c r="K670" s="18">
        <f t="shared" si="301"/>
        <v>0.0043386877085179</v>
      </c>
      <c r="L670" s="18">
        <f t="shared" si="302"/>
        <v>0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0</v>
      </c>
      <c r="Z670" s="11">
        <v>0</v>
      </c>
      <c r="AA670" s="11">
        <v>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70</v>
      </c>
      <c r="D671" s="11">
        <f t="shared" si="309"/>
        <v>90</v>
      </c>
      <c r="E671" s="34">
        <f t="shared" si="305"/>
        <v>-2.00117918630898e-6</v>
      </c>
      <c r="F671" s="35">
        <f t="shared" si="310"/>
        <v>0.00132678180052294</v>
      </c>
      <c r="G671" s="18">
        <f>(SUM($I$8:$I671)*(MAX(M$3-M$4,0))+(N671*MAX(M$4,0)))*(1-$AM$4)+(AM671*$AM$4)</f>
        <v>0.88098311554723</v>
      </c>
      <c r="H671" s="18">
        <f t="shared" si="299"/>
        <v>1.5</v>
      </c>
      <c r="I671" s="18">
        <f t="shared" si="311"/>
        <v>0</v>
      </c>
      <c r="J671" s="18">
        <f t="shared" si="300"/>
        <v>0.907518751557689</v>
      </c>
      <c r="K671" s="18">
        <f t="shared" si="301"/>
        <v>0.00462406242211556</v>
      </c>
      <c r="L671" s="18">
        <f t="shared" si="302"/>
        <v>0</v>
      </c>
      <c r="M671" s="18">
        <v>0</v>
      </c>
      <c r="N671" s="18">
        <f t="shared" si="306"/>
        <v>1</v>
      </c>
      <c r="O671" s="11">
        <v>0</v>
      </c>
      <c r="P671" s="11">
        <v>0</v>
      </c>
      <c r="Q671" s="11">
        <f t="shared" si="312"/>
        <v>1</v>
      </c>
      <c r="R671" s="11">
        <v>0</v>
      </c>
      <c r="S671" s="11">
        <f t="shared" si="303"/>
        <v>0</v>
      </c>
      <c r="T671" s="11">
        <v>0</v>
      </c>
      <c r="U671" s="11">
        <f t="shared" si="313"/>
        <v>1</v>
      </c>
      <c r="V671" s="11">
        <v>0</v>
      </c>
      <c r="W671" s="11">
        <f t="shared" si="314"/>
        <v>1</v>
      </c>
      <c r="X671" s="11">
        <f t="shared" si="304"/>
        <v>0</v>
      </c>
      <c r="Y671" s="19">
        <v>0</v>
      </c>
      <c r="Z671" s="11">
        <v>0</v>
      </c>
      <c r="AA671" s="11">
        <v>0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71</v>
      </c>
      <c r="D672" s="11">
        <f t="shared" si="309"/>
        <v>90</v>
      </c>
      <c r="E672" s="34">
        <f t="shared" si="305"/>
        <v>-1.99516060229023e-6</v>
      </c>
      <c r="F672" s="35">
        <f t="shared" si="310"/>
        <v>0.00132478663992065</v>
      </c>
      <c r="G672" s="18">
        <f>(SUM($I$8:$I672)*(MAX(M$3-M$4,0))+(N672*MAX(M$4,0)))*(1-$AM$4)+(AM672*$AM$4)</f>
        <v>0.88098311554723</v>
      </c>
      <c r="H672" s="18">
        <f t="shared" si="299"/>
        <v>1.5</v>
      </c>
      <c r="I672" s="18">
        <f t="shared" si="311"/>
        <v>0</v>
      </c>
      <c r="J672" s="18">
        <f t="shared" si="300"/>
        <v>0.906154061705722</v>
      </c>
      <c r="K672" s="18">
        <f t="shared" si="301"/>
        <v>0.00493925991022514</v>
      </c>
      <c r="L672" s="18">
        <f t="shared" si="302"/>
        <v>0</v>
      </c>
      <c r="M672" s="18">
        <v>0</v>
      </c>
      <c r="N672" s="18">
        <f t="shared" si="306"/>
        <v>1</v>
      </c>
      <c r="O672" s="11">
        <v>0</v>
      </c>
      <c r="P672" s="11">
        <v>0</v>
      </c>
      <c r="Q672" s="11">
        <f t="shared" si="312"/>
        <v>1</v>
      </c>
      <c r="R672" s="11">
        <v>0</v>
      </c>
      <c r="S672" s="11">
        <f t="shared" si="303"/>
        <v>0</v>
      </c>
      <c r="T672" s="11">
        <v>0</v>
      </c>
      <c r="U672" s="11">
        <f t="shared" si="313"/>
        <v>1</v>
      </c>
      <c r="V672" s="11">
        <v>0</v>
      </c>
      <c r="W672" s="11">
        <f t="shared" si="314"/>
        <v>1</v>
      </c>
      <c r="X672" s="11">
        <f t="shared" si="304"/>
        <v>0</v>
      </c>
      <c r="Y672" s="19">
        <v>0</v>
      </c>
      <c r="Z672" s="11">
        <v>0</v>
      </c>
      <c r="AA672" s="11">
        <v>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72</v>
      </c>
      <c r="D673" s="11">
        <f t="shared" si="309"/>
        <v>90</v>
      </c>
      <c r="E673" s="34">
        <f t="shared" si="305"/>
        <v>-1.98916912901004e-6</v>
      </c>
      <c r="F673" s="35">
        <f t="shared" si="310"/>
        <v>0.00132279747079164</v>
      </c>
      <c r="G673" s="18">
        <f>(SUM($I$8:$I673)*(MAX(M$3-M$4,0))+(N673*MAX(M$4,0)))*(1-$AM$4)+(AM673*$AM$4)</f>
        <v>0.88098311554723</v>
      </c>
      <c r="H673" s="18">
        <f t="shared" si="299"/>
        <v>1.5</v>
      </c>
      <c r="I673" s="18">
        <f t="shared" si="311"/>
        <v>0</v>
      </c>
      <c r="J673" s="18">
        <f t="shared" si="300"/>
        <v>0.904793470021479</v>
      </c>
      <c r="K673" s="18">
        <f t="shared" si="301"/>
        <v>0.00528925166547337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73</v>
      </c>
      <c r="D674" s="11">
        <f t="shared" si="309"/>
        <v>90</v>
      </c>
      <c r="E674" s="34">
        <f t="shared" si="305"/>
        <v>-1.98320460388537e-6</v>
      </c>
      <c r="F674" s="35">
        <f t="shared" si="310"/>
        <v>0.00132081426618775</v>
      </c>
      <c r="G674" s="18">
        <f>(SUM($I$8:$I674)*(MAX(M$3-M$4,0))+(N674*MAX(M$4,0)))*(1-$AM$4)+(AM674*$AM$4)</f>
        <v>0.88098311554723</v>
      </c>
      <c r="H674" s="18">
        <f t="shared" si="299"/>
        <v>1.5</v>
      </c>
      <c r="I674" s="18">
        <f t="shared" si="311"/>
        <v>0</v>
      </c>
      <c r="J674" s="18">
        <f t="shared" si="300"/>
        <v>0.903436958072422</v>
      </c>
      <c r="K674" s="18">
        <f t="shared" si="301"/>
        <v>0.00568017893691637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74</v>
      </c>
      <c r="D675" s="11">
        <f t="shared" si="309"/>
        <v>90</v>
      </c>
      <c r="E675" s="34">
        <f t="shared" si="305"/>
        <v>-1.9772668655505e-6</v>
      </c>
      <c r="F675" s="35">
        <f t="shared" si="310"/>
        <v>0.0013188369993222</v>
      </c>
      <c r="G675" s="18">
        <f>(SUM($I$8:$I675)*(MAX(M$3-M$4,0))+(N675*MAX(M$4,0)))*(1-$AM$4)+(AM675*$AM$4)</f>
        <v>0.88098311554723</v>
      </c>
      <c r="H675" s="18">
        <f t="shared" si="299"/>
        <v>1.5</v>
      </c>
      <c r="I675" s="18">
        <f t="shared" si="311"/>
        <v>0</v>
      </c>
      <c r="J675" s="18">
        <f t="shared" si="300"/>
        <v>0.902084507536385</v>
      </c>
      <c r="K675" s="18">
        <f t="shared" si="301"/>
        <v>0.00611971827897593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75</v>
      </c>
      <c r="D676" s="11">
        <f t="shared" si="309"/>
        <v>90</v>
      </c>
      <c r="E676" s="34">
        <f t="shared" si="305"/>
        <v>-1.97135575384492e-6</v>
      </c>
      <c r="F676" s="35">
        <f t="shared" si="310"/>
        <v>0.00131686564356836</v>
      </c>
      <c r="G676" s="18">
        <f>(SUM($I$8:$I676)*(MAX(M$3-M$4,0))+(N676*MAX(M$4,0)))*(1-$AM$4)+(AM676*$AM$4)</f>
        <v>0.88098311554723</v>
      </c>
      <c r="H676" s="18">
        <f t="shared" si="299"/>
        <v>1.5</v>
      </c>
      <c r="I676" s="18">
        <f t="shared" si="311"/>
        <v>0</v>
      </c>
      <c r="J676" s="18">
        <f t="shared" si="300"/>
        <v>0.900736100200755</v>
      </c>
      <c r="K676" s="18">
        <f t="shared" si="301"/>
        <v>0.00661759331994965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77</v>
      </c>
      <c r="D677" s="11">
        <f t="shared" si="309"/>
        <v>91</v>
      </c>
      <c r="E677" s="34">
        <f t="shared" si="305"/>
        <v>-1.96547110980355e-6</v>
      </c>
      <c r="F677" s="35">
        <f t="shared" si="310"/>
        <v>0.00131490017245855</v>
      </c>
      <c r="G677" s="18">
        <f>(SUM($I$8:$I677)*(MAX(M$3-M$4,0))+(N677*MAX(M$4,0)))*(1-$AM$4)+(AM677*$AM$4)</f>
        <v>0.88098311554723</v>
      </c>
      <c r="H677" s="18">
        <f t="shared" si="299"/>
        <v>1.5</v>
      </c>
      <c r="I677" s="18">
        <f t="shared" si="311"/>
        <v>0</v>
      </c>
      <c r="J677" s="18">
        <f t="shared" si="300"/>
        <v>0.89939171796165</v>
      </c>
      <c r="K677" s="18">
        <f t="shared" si="301"/>
        <v>0.00718630585988216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78</v>
      </c>
      <c r="D678" s="11">
        <f t="shared" si="309"/>
        <v>91</v>
      </c>
      <c r="E678" s="34">
        <f t="shared" si="305"/>
        <v>-1.95961277564614e-6</v>
      </c>
      <c r="F678" s="35">
        <f t="shared" si="310"/>
        <v>0.00131294055968291</v>
      </c>
      <c r="G678" s="18">
        <f>(SUM($I$8:$I678)*(MAX(M$3-M$4,0))+(N678*MAX(M$4,0)))*(1-$AM$4)+(AM678*$AM$4)</f>
        <v>0.88098311554723</v>
      </c>
      <c r="H678" s="18">
        <f t="shared" si="299"/>
        <v>1.5</v>
      </c>
      <c r="I678" s="18">
        <f t="shared" si="311"/>
        <v>0</v>
      </c>
      <c r="J678" s="18">
        <f t="shared" si="300"/>
        <v>0.898051342823108</v>
      </c>
      <c r="K678" s="18">
        <f t="shared" si="301"/>
        <v>0.00784220439822248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79</v>
      </c>
      <c r="D679" s="11">
        <f t="shared" si="309"/>
        <v>91</v>
      </c>
      <c r="E679" s="34">
        <f t="shared" si="305"/>
        <v>-1.95378059476619e-6</v>
      </c>
      <c r="F679" s="35">
        <f t="shared" si="310"/>
        <v>0.00131098677908814</v>
      </c>
      <c r="G679" s="18">
        <f>(SUM($I$8:$I679)*(MAX(M$3-M$4,0))+(N679*MAX(M$4,0)))*(1-$AM$4)+(AM679*$AM$4)</f>
        <v>0.88098311554723</v>
      </c>
      <c r="H679" s="18">
        <f t="shared" si="299"/>
        <v>1.5</v>
      </c>
      <c r="I679" s="18">
        <f t="shared" si="311"/>
        <v>0</v>
      </c>
      <c r="J679" s="18">
        <f t="shared" si="300"/>
        <v>0.896714956896288</v>
      </c>
      <c r="K679" s="18">
        <f t="shared" si="301"/>
        <v>0.00860708692530936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80</v>
      </c>
      <c r="D680" s="11">
        <f t="shared" si="309"/>
        <v>91</v>
      </c>
      <c r="E680" s="34">
        <f t="shared" si="305"/>
        <v>-1.94797441172077e-6</v>
      </c>
      <c r="F680" s="35">
        <f t="shared" si="310"/>
        <v>0.00130903880467642</v>
      </c>
      <c r="G680" s="18">
        <f>(SUM($I$8:$I680)*(MAX(M$3-M$4,0))+(N680*MAX(M$4,0)))*(1-$AM$4)+(AM680*$AM$4)</f>
        <v>0.88098311554723</v>
      </c>
      <c r="H680" s="18">
        <f t="shared" si="299"/>
        <v>1.5</v>
      </c>
      <c r="I680" s="18">
        <f t="shared" si="311"/>
        <v>0</v>
      </c>
      <c r="J680" s="18">
        <f t="shared" si="300"/>
        <v>0.895382542398671</v>
      </c>
      <c r="K680" s="18">
        <f t="shared" si="301"/>
        <v>0.00951067796375722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81</v>
      </c>
      <c r="D681" s="11">
        <f t="shared" si="309"/>
        <v>91</v>
      </c>
      <c r="E681" s="34">
        <f t="shared" si="305"/>
        <v>-1.94219407222032e-6</v>
      </c>
      <c r="F681" s="35">
        <f t="shared" si="310"/>
        <v>0.0013070966106042</v>
      </c>
      <c r="G681" s="18">
        <f>(SUM($I$8:$I681)*(MAX(M$3-M$4,0))+(N681*MAX(M$4,0)))*(1-$AM$4)+(AM681*$AM$4)</f>
        <v>0.88098311554723</v>
      </c>
      <c r="H681" s="18">
        <f t="shared" si="299"/>
        <v>1.5</v>
      </c>
      <c r="I681" s="18">
        <f t="shared" si="311"/>
        <v>0</v>
      </c>
      <c r="J681" s="18">
        <f t="shared" si="300"/>
        <v>0.894054081653272</v>
      </c>
      <c r="K681" s="18">
        <f t="shared" si="301"/>
        <v>0.0105945918346728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82</v>
      </c>
      <c r="D682" s="11">
        <f t="shared" si="309"/>
        <v>91</v>
      </c>
      <c r="E682" s="34">
        <f t="shared" si="305"/>
        <v>-1.93643942311738e-6</v>
      </c>
      <c r="F682" s="35">
        <f t="shared" si="310"/>
        <v>0.00130516017118108</v>
      </c>
      <c r="G682" s="18">
        <f>(SUM($I$8:$I682)*(MAX(M$3-M$4,0))+(N682*MAX(M$4,0)))*(1-$AM$4)+(AM682*$AM$4)</f>
        <v>0.88098311554723</v>
      </c>
      <c r="H682" s="18">
        <f t="shared" si="299"/>
        <v>1.5</v>
      </c>
      <c r="I682" s="18">
        <f t="shared" si="311"/>
        <v>0</v>
      </c>
      <c r="J682" s="18">
        <f t="shared" si="300"/>
        <v>0.89272955708786</v>
      </c>
      <c r="K682" s="18">
        <f t="shared" si="301"/>
        <v>0.0119189381013489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83</v>
      </c>
      <c r="D683" s="11">
        <f t="shared" si="309"/>
        <v>91</v>
      </c>
      <c r="E683" s="34">
        <f t="shared" si="305"/>
        <v>-1.93071031239791e-6</v>
      </c>
      <c r="F683" s="35">
        <f t="shared" si="310"/>
        <v>0.00130322946086868</v>
      </c>
      <c r="G683" s="18">
        <f>(SUM($I$8:$I683)*(MAX(M$3-M$4,0))+(N683*MAX(M$4,0)))*(1-$AM$4)+(AM683*$AM$4)</f>
        <v>0.88098311554723</v>
      </c>
      <c r="H683" s="18">
        <f t="shared" si="299"/>
        <v>1.5</v>
      </c>
      <c r="I683" s="18">
        <f t="shared" si="311"/>
        <v>0</v>
      </c>
      <c r="J683" s="18">
        <f t="shared" si="300"/>
        <v>0.891408951234179</v>
      </c>
      <c r="K683" s="18">
        <f t="shared" si="301"/>
        <v>0.0135738810957276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84</v>
      </c>
      <c r="D684" s="11">
        <f t="shared" si="309"/>
        <v>91</v>
      </c>
      <c r="E684" s="34">
        <f t="shared" si="305"/>
        <v>-1.92500658917089e-6</v>
      </c>
      <c r="F684" s="35">
        <f t="shared" si="310"/>
        <v>0.00130130445427951</v>
      </c>
      <c r="G684" s="18">
        <f>(SUM($I$8:$I684)*(MAX(M$3-M$4,0))+(N684*MAX(M$4,0)))*(1-$AM$4)+(AM684*$AM$4)</f>
        <v>0.88098311554723</v>
      </c>
      <c r="H684" s="18">
        <f t="shared" si="299"/>
        <v>1.5</v>
      </c>
      <c r="I684" s="18">
        <f t="shared" si="311"/>
        <v>0</v>
      </c>
      <c r="J684" s="18">
        <f t="shared" si="300"/>
        <v>0.890092246727187</v>
      </c>
      <c r="K684" s="18">
        <f t="shared" si="301"/>
        <v>0.0157011076104019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86</v>
      </c>
      <c r="D685" s="11">
        <f t="shared" si="309"/>
        <v>92</v>
      </c>
      <c r="E685" s="34">
        <f t="shared" si="305"/>
        <v>-1.91932810365706e-6</v>
      </c>
      <c r="F685" s="35">
        <f t="shared" si="310"/>
        <v>0.00129938512617586</v>
      </c>
      <c r="G685" s="18">
        <f>(SUM($I$8:$I685)*(MAX(M$3-M$4,0))+(N685*MAX(M$4,0)))*(1-$AM$4)+(AM685*$AM$4)</f>
        <v>0.88098311554723</v>
      </c>
      <c r="H685" s="18">
        <f t="shared" si="299"/>
        <v>1.5</v>
      </c>
      <c r="I685" s="18">
        <f t="shared" si="311"/>
        <v>0</v>
      </c>
      <c r="J685" s="18">
        <f t="shared" si="300"/>
        <v>0.888779426304285</v>
      </c>
      <c r="K685" s="18">
        <f t="shared" si="301"/>
        <v>0.0185367622826192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87</v>
      </c>
      <c r="D686" s="11">
        <f t="shared" si="309"/>
        <v>92</v>
      </c>
      <c r="E686" s="34">
        <f t="shared" si="305"/>
        <v>-1.91367470718106e-6</v>
      </c>
      <c r="F686" s="35">
        <f t="shared" si="310"/>
        <v>0.00129747145146867</v>
      </c>
      <c r="G686" s="18">
        <f>(SUM($I$8:$I686)*(MAX(M$3-M$4,0))+(N686*MAX(M$4,0)))*(1-$AM$4)+(AM686*$AM$4)</f>
        <v>0.88098311554723</v>
      </c>
      <c r="H686" s="18">
        <f t="shared" si="299"/>
        <v>1.5</v>
      </c>
      <c r="I686" s="18">
        <f t="shared" si="311"/>
        <v>0</v>
      </c>
      <c r="J686" s="18">
        <f t="shared" si="300"/>
        <v>0.887470472804573</v>
      </c>
      <c r="K686" s="18">
        <f t="shared" si="301"/>
        <v>0.0225059054390853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88</v>
      </c>
      <c r="D687" s="11">
        <f t="shared" si="309"/>
        <v>92</v>
      </c>
      <c r="E687" s="34">
        <f t="shared" si="305"/>
        <v>-1.90804625215977e-6</v>
      </c>
      <c r="F687" s="35">
        <f t="shared" si="310"/>
        <v>0.00129556340521651</v>
      </c>
      <c r="G687" s="18">
        <f>(SUM($I$8:$I687)*(MAX(M$3-M$4,0))+(N687*MAX(M$4,0)))*(1-$AM$4)+(AM687*$AM$4)</f>
        <v>0.88098311554723</v>
      </c>
      <c r="H687" s="18">
        <f t="shared" si="299"/>
        <v>1.5</v>
      </c>
      <c r="I687" s="18">
        <f t="shared" si="311"/>
        <v>0</v>
      </c>
      <c r="J687" s="18">
        <f t="shared" si="300"/>
        <v>0.886165369168096</v>
      </c>
      <c r="K687" s="18">
        <f t="shared" si="301"/>
        <v>0.028458657707976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89</v>
      </c>
      <c r="D688" s="11">
        <f t="shared" si="309"/>
        <v>92</v>
      </c>
      <c r="E688" s="34">
        <f t="shared" si="305"/>
        <v>-1.90244259209472e-6</v>
      </c>
      <c r="F688" s="35">
        <f t="shared" si="310"/>
        <v>0.00129366096262442</v>
      </c>
      <c r="G688" s="18">
        <f>(SUM($I$8:$I688)*(MAX(M$3-M$4,0))+(N688*MAX(M$4,0)))*(1-$AM$4)+(AM688*$AM$4)</f>
        <v>0.88098311554723</v>
      </c>
      <c r="H688" s="18">
        <f t="shared" si="299"/>
        <v>1.5</v>
      </c>
      <c r="I688" s="18">
        <f t="shared" si="311"/>
        <v>0</v>
      </c>
      <c r="J688" s="18">
        <f t="shared" si="300"/>
        <v>0.884864098435103</v>
      </c>
      <c r="K688" s="18">
        <f t="shared" si="301"/>
        <v>0.0383786338549656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90</v>
      </c>
      <c r="D689" s="11">
        <f t="shared" si="309"/>
        <v>92</v>
      </c>
      <c r="E689" s="34">
        <f t="shared" si="305"/>
        <v>-1.89686358156079e-6</v>
      </c>
      <c r="F689" s="35">
        <f t="shared" si="310"/>
        <v>0.00129176409904286</v>
      </c>
      <c r="G689" s="18">
        <f>(SUM($I$8:$I689)*(MAX(M$3-M$4,0))+(N689*MAX(M$4,0)))*(1-$AM$4)+(AM689*$AM$4)</f>
        <v>0.88098311554723</v>
      </c>
      <c r="H689" s="18">
        <f t="shared" si="299"/>
        <v>1.5</v>
      </c>
      <c r="I689" s="18">
        <f t="shared" si="311"/>
        <v>0</v>
      </c>
      <c r="J689" s="18">
        <f t="shared" si="300"/>
        <v>0.883566643745316</v>
      </c>
      <c r="K689" s="18">
        <f t="shared" si="301"/>
        <v>0.0582166781273422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91</v>
      </c>
      <c r="D690" s="11">
        <f t="shared" si="309"/>
        <v>92</v>
      </c>
      <c r="E690" s="34">
        <f t="shared" si="305"/>
        <v>-1.89130907619732e-6</v>
      </c>
      <c r="F690" s="35">
        <f t="shared" si="310"/>
        <v>0.00128987278996666</v>
      </c>
      <c r="G690" s="18">
        <f>(SUM($I$8:$I690)*(MAX(M$3-M$4,0))+(N690*MAX(M$4,0)))*(1-$AM$4)+(AM690*$AM$4)</f>
        <v>0.88098311554723</v>
      </c>
      <c r="H690" s="18">
        <f t="shared" si="299"/>
        <v>1.5</v>
      </c>
      <c r="I690" s="18">
        <f t="shared" si="311"/>
        <v>0</v>
      </c>
      <c r="J690" s="18">
        <f t="shared" si="300"/>
        <v>0.882272988337197</v>
      </c>
      <c r="K690" s="18">
        <f t="shared" si="301"/>
        <v>0.117727011662803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W41"/>
  <sheetViews>
    <sheetView topLeftCell="A10" workbookViewId="0">
      <pane xSplit="1" topLeftCell="N1" activePane="topRight" state="frozen"/>
      <selection/>
      <selection pane="topRight" activeCell="W29" sqref="W29"/>
    </sheetView>
  </sheetViews>
  <sheetFormatPr defaultColWidth="10.7777777777778" defaultRowHeight="14.4"/>
  <cols>
    <col min="1" max="16384" width="10.7777777777778" style="3" customWidth="1"/>
  </cols>
  <sheetData>
    <row r="1" spans="1:23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spans="1:23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</row>
    <row r="3" spans="1:23">
      <c r="A3" s="3" t="s">
        <v>71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</row>
    <row r="4" spans="1:23">
      <c r="A4" s="3" t="s">
        <v>72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23">
      <c r="A5" s="3" t="s">
        <v>73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23">
      <c r="A6" s="3" t="s">
        <v>74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23">
      <c r="A8" s="3" t="s">
        <v>75</v>
      </c>
      <c r="B8" s="3" t="s">
        <v>76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  <c r="H8" s="3" t="s">
        <v>82</v>
      </c>
      <c r="I8" s="3" t="s">
        <v>83</v>
      </c>
      <c r="J8" s="3" t="s">
        <v>84</v>
      </c>
      <c r="K8" s="3" t="s">
        <v>85</v>
      </c>
      <c r="L8" s="3" t="s">
        <v>86</v>
      </c>
      <c r="M8" s="3" t="s">
        <v>87</v>
      </c>
      <c r="N8" s="3" t="s">
        <v>88</v>
      </c>
      <c r="O8" s="3" t="s">
        <v>89</v>
      </c>
    </row>
    <row r="9" spans="1:23">
      <c r="A9" s="3">
        <v>2021</v>
      </c>
    </row>
    <row r="10" spans="1:23">
      <c r="A10" s="3">
        <v>2022</v>
      </c>
    </row>
    <row r="11" spans="1:23">
      <c r="A11" s="3">
        <v>2023</v>
      </c>
    </row>
    <row r="12" spans="1:23">
      <c r="A12" s="3">
        <v>2024</v>
      </c>
    </row>
    <row r="13" spans="1:23">
      <c r="A13" s="3">
        <v>2025</v>
      </c>
    </row>
    <row r="14" spans="1:23">
      <c r="A14" s="3" t="s">
        <v>90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6" spans="1:23">
      <c r="A16" s="3" t="s">
        <v>91</v>
      </c>
      <c r="B16" s="3" t="s">
        <v>92</v>
      </c>
      <c r="C16" s="3" t="s">
        <v>93</v>
      </c>
      <c r="D16" s="3" t="s">
        <v>92</v>
      </c>
      <c r="E16" s="3" t="s">
        <v>93</v>
      </c>
      <c r="F16" s="3" t="s">
        <v>92</v>
      </c>
      <c r="G16" s="3" t="s">
        <v>93</v>
      </c>
      <c r="H16" s="3" t="s">
        <v>92</v>
      </c>
      <c r="I16" s="3" t="s">
        <v>92</v>
      </c>
      <c r="J16" s="3" t="s">
        <v>93</v>
      </c>
      <c r="K16" s="3" t="s">
        <v>93</v>
      </c>
      <c r="L16" s="3" t="s">
        <v>94</v>
      </c>
      <c r="M16" s="3" t="s">
        <v>94</v>
      </c>
      <c r="N16" s="3" t="s">
        <v>94</v>
      </c>
      <c r="O16" s="3" t="s">
        <v>94</v>
      </c>
      <c r="P16" s="3" t="s">
        <v>94</v>
      </c>
      <c r="Q16" s="3" t="s">
        <v>94</v>
      </c>
      <c r="R16" s="3" t="s">
        <v>94</v>
      </c>
      <c r="S16" s="3" t="s">
        <v>95</v>
      </c>
      <c r="T16" s="3" t="s">
        <v>95</v>
      </c>
      <c r="U16" s="3" t="s">
        <v>95</v>
      </c>
      <c r="V16" s="3" t="s">
        <v>93</v>
      </c>
      <c r="W16" s="3" t="s">
        <v>93</v>
      </c>
    </row>
    <row r="17" spans="1:23">
      <c r="A17" s="3" t="s">
        <v>96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97</v>
      </c>
      <c r="M17" s="3" t="s">
        <v>98</v>
      </c>
      <c r="N17" s="3" t="s">
        <v>99</v>
      </c>
      <c r="O17" s="3" t="s">
        <v>100</v>
      </c>
      <c r="P17" s="3" t="s">
        <v>101</v>
      </c>
      <c r="Q17" s="3" t="s">
        <v>102</v>
      </c>
      <c r="R17" s="3" t="s">
        <v>103</v>
      </c>
      <c r="S17" s="3" t="s">
        <v>104</v>
      </c>
      <c r="T17" s="3" t="s">
        <v>104</v>
      </c>
      <c r="U17" s="3" t="s">
        <v>104</v>
      </c>
      <c r="V17" s="3">
        <v>6</v>
      </c>
      <c r="W17" s="3">
        <v>7</v>
      </c>
    </row>
    <row r="18" spans="1:23">
      <c r="A18" s="3">
        <v>20251118</v>
      </c>
      <c r="B18" s="3">
        <v>20</v>
      </c>
    </row>
    <row r="19" spans="1:23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23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23">
      <c r="A21" s="3">
        <v>20251121</v>
      </c>
      <c r="J21" s="3">
        <v>33</v>
      </c>
    </row>
    <row r="22" spans="1:23">
      <c r="A22" s="3">
        <v>20251122</v>
      </c>
      <c r="K22" s="3">
        <v>33</v>
      </c>
    </row>
    <row r="23" spans="1:23">
      <c r="A23" s="3">
        <v>20251123</v>
      </c>
      <c r="L23" s="3">
        <v>33</v>
      </c>
    </row>
    <row r="24" spans="1:23">
      <c r="A24" s="3">
        <v>20251124</v>
      </c>
      <c r="M24" s="3">
        <v>33</v>
      </c>
    </row>
    <row r="25" spans="1:23">
      <c r="A25" s="3">
        <v>20251125</v>
      </c>
      <c r="N25" s="3">
        <v>33</v>
      </c>
    </row>
    <row r="26" spans="1:23">
      <c r="A26" s="3">
        <v>20251126</v>
      </c>
      <c r="O26" s="3">
        <v>33</v>
      </c>
      <c r="P26" s="3">
        <v>33</v>
      </c>
    </row>
    <row r="27" spans="1:23">
      <c r="A27" s="3">
        <v>20251127</v>
      </c>
      <c r="Q27" s="3">
        <v>33</v>
      </c>
      <c r="R27" s="3">
        <v>3</v>
      </c>
      <c r="S27" s="3">
        <v>33</v>
      </c>
    </row>
    <row r="28" spans="1:23">
      <c r="A28" s="3">
        <v>20251128</v>
      </c>
      <c r="T28" s="3">
        <v>33</v>
      </c>
      <c r="U28" s="3">
        <v>7</v>
      </c>
    </row>
    <row r="29" spans="1:23">
      <c r="A29" s="3">
        <v>20251129</v>
      </c>
      <c r="V29" s="3">
        <v>33</v>
      </c>
      <c r="W29" s="3">
        <v>33</v>
      </c>
    </row>
    <row r="30" spans="1:23">
      <c r="A30" s="3">
        <v>20251130</v>
      </c>
    </row>
    <row r="31" spans="1:23">
      <c r="A31" s="3">
        <v>20251201</v>
      </c>
    </row>
    <row r="32" spans="1:23">
      <c r="A32" s="3">
        <v>20251202</v>
      </c>
    </row>
    <row r="33" spans="1:1">
      <c r="A33" s="3">
        <v>20251203</v>
      </c>
    </row>
    <row r="34" spans="1:1">
      <c r="A34" s="3">
        <v>20251204</v>
      </c>
    </row>
    <row r="35" spans="1:1">
      <c r="A35" s="3">
        <v>20251205</v>
      </c>
    </row>
    <row r="36" spans="1:1">
      <c r="A36" s="3">
        <v>20251206</v>
      </c>
    </row>
    <row r="37" spans="1:1">
      <c r="A37" s="3">
        <v>20251207</v>
      </c>
    </row>
    <row r="38" spans="1:1">
      <c r="A38" s="3">
        <v>20251208</v>
      </c>
    </row>
    <row r="39" spans="1:1">
      <c r="A39" s="3">
        <v>20251209</v>
      </c>
    </row>
    <row r="40" spans="1:1">
      <c r="A40" s="3">
        <v>20251210</v>
      </c>
    </row>
    <row r="41" spans="1:1">
      <c r="A41" s="3">
        <v>20251211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J15" sqref="J15"/>
    </sheetView>
  </sheetViews>
  <sheetFormatPr defaultColWidth="10.7777777777778" defaultRowHeight="14.4"/>
  <cols>
    <col min="1" max="16384" width="10.7777777777778" style="3" customWidth="1"/>
  </cols>
  <sheetData>
    <row r="1" spans="1:12">
      <c r="A1" s="4" t="s">
        <v>74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111</v>
      </c>
    </row>
    <row r="2" spans="1:12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2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2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2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2">
      <c r="A6" s="3" t="s">
        <v>112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2">
      <c r="A7" s="3" t="s">
        <v>113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2">
      <c r="A8" s="3" t="s">
        <v>114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2">
      <c r="A9" s="3" t="s">
        <v>111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2">
      <c r="A11" s="3" t="s">
        <v>115</v>
      </c>
      <c r="B11" s="3" t="s">
        <v>54</v>
      </c>
    </row>
    <row r="12" spans="1:12">
      <c r="A12">
        <v>20251125</v>
      </c>
      <c r="B12" s="3">
        <f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2">
      <c r="A13">
        <v>20251126</v>
      </c>
      <c r="B13" s="3">
        <f>SUM(C13:AA13)</f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2">
      <c r="A14"/>
      <c r="B14" s="3">
        <f>SUM(C14:AA14)</f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2">
      <c r="A15">
        <v>20251127</v>
      </c>
      <c r="B15" s="3">
        <f t="shared" ref="B15:B24" si="1">SUM(C15:AA15)</f>
        <v>0</v>
      </c>
    </row>
    <row r="16" spans="1:12">
      <c r="A16">
        <v>20251128</v>
      </c>
      <c r="B16" s="3">
        <f t="shared" si="1"/>
        <v>0</v>
      </c>
    </row>
    <row r="17" spans="1:2">
      <c r="A17">
        <v>20251129</v>
      </c>
      <c r="B17" s="3">
        <f t="shared" si="1"/>
        <v>0</v>
      </c>
    </row>
    <row r="18" spans="1:2">
      <c r="A18">
        <v>20251130</v>
      </c>
      <c r="B18" s="3">
        <f t="shared" si="1"/>
        <v>0</v>
      </c>
    </row>
    <row r="19" spans="1:2">
      <c r="A19">
        <v>20251201</v>
      </c>
      <c r="B19" s="3">
        <f t="shared" si="1"/>
        <v>0</v>
      </c>
    </row>
    <row r="20" spans="1:2">
      <c r="A20">
        <v>20251202</v>
      </c>
      <c r="B20" s="3">
        <f t="shared" si="1"/>
        <v>0</v>
      </c>
    </row>
    <row r="21" spans="1:2">
      <c r="A21">
        <v>20251203</v>
      </c>
      <c r="B21" s="3">
        <f t="shared" si="1"/>
        <v>0</v>
      </c>
    </row>
    <row r="22" spans="1:2">
      <c r="A22">
        <v>20251204</v>
      </c>
      <c r="B22" s="3">
        <f t="shared" si="1"/>
        <v>0</v>
      </c>
    </row>
    <row r="23" spans="1:2">
      <c r="A23">
        <v>20251205</v>
      </c>
      <c r="B23" s="3">
        <f t="shared" si="1"/>
        <v>0</v>
      </c>
    </row>
    <row r="24" spans="1:2">
      <c r="A24">
        <v>20251206</v>
      </c>
      <c r="B24" s="3">
        <f t="shared" si="1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opLeftCell="Z1" workbookViewId="0">
      <selection activeCell="AR16" sqref="AR16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116</v>
      </c>
      <c r="F1" s="2" t="s">
        <v>117</v>
      </c>
      <c r="G1" s="2" t="s">
        <v>118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0.018</v>
      </c>
      <c r="C659" s="2">
        <f>Sheet1!F665</f>
        <v>0.00133888011481342</v>
      </c>
      <c r="D659" s="2">
        <f>Sheet1!G665</f>
        <v>0.88098311554723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</v>
      </c>
      <c r="C660" s="2">
        <f>Sheet1!F666</f>
        <v>0.00133684843026894</v>
      </c>
      <c r="D660" s="2">
        <f>Sheet1!G666</f>
        <v>0.88098311554723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</v>
      </c>
      <c r="C661" s="2">
        <f>Sheet1!F667</f>
        <v>0.00133482290234429</v>
      </c>
      <c r="D661" s="2">
        <f>Sheet1!G667</f>
        <v>0.88098311554723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</v>
      </c>
      <c r="C662" s="2">
        <f>Sheet1!F668</f>
        <v>0.00133280350309717</v>
      </c>
      <c r="D662" s="2">
        <f>Sheet1!G668</f>
        <v>0.88098311554723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</v>
      </c>
      <c r="C663" s="2">
        <f>Sheet1!F669</f>
        <v>0.00133079020475412</v>
      </c>
      <c r="D663" s="2">
        <f>Sheet1!G669</f>
        <v>0.88098311554723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0.00132878297970925</v>
      </c>
      <c r="D664" s="2">
        <f>Sheet1!G670</f>
        <v>0.88098311554723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0.00132678180052294</v>
      </c>
      <c r="D665" s="2">
        <f>Sheet1!G671</f>
        <v>0.88098311554723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0.00132478663992065</v>
      </c>
      <c r="D666" s="2">
        <f>Sheet1!G672</f>
        <v>0.88098311554723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0.00132279747079164</v>
      </c>
      <c r="D667" s="2">
        <f>Sheet1!G673</f>
        <v>0.88098311554723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0.00132081426618775</v>
      </c>
      <c r="D668" s="2">
        <f>Sheet1!G674</f>
        <v>0.88098311554723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0.0013188369993222</v>
      </c>
      <c r="D669" s="2">
        <f>Sheet1!G675</f>
        <v>0.88098311554723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0.00131686564356836</v>
      </c>
      <c r="D670" s="2">
        <f>Sheet1!G676</f>
        <v>0.88098311554723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0.00131490017245855</v>
      </c>
      <c r="D671" s="2">
        <f>Sheet1!G677</f>
        <v>0.88098311554723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0.00131294055968291</v>
      </c>
      <c r="D672" s="2">
        <f>Sheet1!G678</f>
        <v>0.88098311554723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0.00131098677908814</v>
      </c>
      <c r="D673" s="2">
        <f>Sheet1!G679</f>
        <v>0.88098311554723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0.00130903880467642</v>
      </c>
      <c r="D674" s="2">
        <f>Sheet1!G680</f>
        <v>0.88098311554723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0.0013070966106042</v>
      </c>
      <c r="D675" s="2">
        <f>Sheet1!G681</f>
        <v>0.88098311554723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0.00130516017118108</v>
      </c>
      <c r="D676" s="2">
        <f>Sheet1!G682</f>
        <v>0.88098311554723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0.00130322946086868</v>
      </c>
      <c r="D677" s="2">
        <f>Sheet1!G683</f>
        <v>0.88098311554723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0.00130130445427951</v>
      </c>
      <c r="D678" s="2">
        <f>Sheet1!G684</f>
        <v>0.88098311554723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0.00129938512617586</v>
      </c>
      <c r="D679" s="2">
        <f>Sheet1!G685</f>
        <v>0.88098311554723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0.00129747145146867</v>
      </c>
      <c r="D680" s="2">
        <f>Sheet1!G686</f>
        <v>0.88098311554723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0.00129556340521651</v>
      </c>
      <c r="D681" s="2">
        <f>Sheet1!G687</f>
        <v>0.88098311554723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0.00129366096262442</v>
      </c>
      <c r="D682" s="2">
        <f>Sheet1!G688</f>
        <v>0.88098311554723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0.00129176409904286</v>
      </c>
      <c r="D683" s="2">
        <f>Sheet1!G689</f>
        <v>0.88098311554723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0.00128987278996666</v>
      </c>
      <c r="D684" s="2">
        <f>Sheet1!G690</f>
        <v>0.88098311554723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2025-11-28T15:38:17Z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