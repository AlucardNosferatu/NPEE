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<sst xmlns="http://schemas.openxmlformats.org/spreadsheetml/2006/main" count="370" uniqueCount="107">
  <si>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</si>
  <si>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</si>
  <si>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</si>
  <si>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</si>
  <si>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</si>
  <si>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</si>
  <si>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</si>
  <si>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</si>
  <si>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</si>
  <si>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</si>
  <si>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</si>
  <si>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</si>
  <si>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</si>
  <si>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</si>
  <si>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</si>
  <si>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</si>
  <si>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</si>
  <si>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</si>
  <si>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</si>
  <si>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</si>
  <si>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</si>
  <si>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</si>
  <si>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</si>
  <si>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</si>
  <si>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</si>
  <si>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</si>
  <si>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</si>
  <si>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</si>
  <si>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</si>
  <si>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</si>
  <si>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</si>
  <si>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</si>
  <si>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</si>
  <si>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</si>
  <si>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</si>
  <si>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</si>
  <si>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</si>
  <si>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</si>
  <si>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</si>
  <si>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</si>
  <si>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</si>
  <si>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</si>
  <si>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</si>
  <si>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</si>
  <si>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</si>
  <si>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</si>
  <si>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</si>
  <si>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</si>
  <si>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</si>
  <si>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</si>
  <si>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</si>
  <si>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</si>
  <si>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</si>
  <si>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</si>
  <si>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</si>
  <si>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</si>
  <si>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</si>
  <si>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</si>
  <si>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</si>
  <si>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</si>
  <si>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</si>
  <si>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</si>
  <si>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</si>
  <si>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</si>
  <si>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</si>
  <si>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</si>
  <si>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</si>
  <si>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</si>
  <si>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</si>
  <si>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</si>
  <si>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页数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</si>
  <si>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</si>
  <si>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</si>
  <si>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</si>
  <si>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</si>
  <si>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</si>
  <si>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</si>
  <si>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</si>
  <si>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</si>
  <si>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</si>
  <si>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</si>
  <si>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</si>
  <si>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</si>
  <si>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</si>
  <si>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</si>
  <si>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</si>
  <si>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</si>
  <si>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</si>
  <si>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</si>
  <si>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</si>
  <si>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</si>
  <si>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</si>
  <si>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</si>
  <si>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卷号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</si>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</sst>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0.0012537230562814</c:v>
                </c:pt>
                <c:pt idx="651">
                  <c:v>0.00125180016815827</c:v>
                </c:pt>
                <c:pt idx="652">
                  <c:v>0.00124988316943215</c:v>
                </c:pt>
                <c:pt idx="653">
                  <c:v>0.00124797203308745</c:v>
                </c:pt>
                <c:pt idx="654">
                  <c:v>0.00124606673227357</c:v>
                </c:pt>
                <c:pt idx="655">
                  <c:v>0.00124416724030365</c:v>
                </c:pt>
                <c:pt idx="656">
                  <c:v>0.00124227353065326</c:v>
                </c:pt>
                <c:pt idx="657">
                  <c:v>0.00124038557695926</c:v>
                </c:pt>
                <c:pt idx="658">
                  <c:v>0.0012385033530185</c:v>
                </c:pt>
                <c:pt idx="659">
                  <c:v>0.00123662683278665</c:v>
                </c:pt>
                <c:pt idx="660">
                  <c:v>0.00123475599037699</c:v>
                </c:pt>
                <c:pt idx="661">
                  <c:v>0.0012328908000592</c:v>
                </c:pt>
                <c:pt idx="662">
                  <c:v>0.00123103123625821</c:v>
                </c:pt>
                <c:pt idx="663">
                  <c:v>0.001229177273553</c:v>
                </c:pt>
                <c:pt idx="664">
                  <c:v>0.00122732888667548</c:v>
                </c:pt>
                <c:pt idx="665">
                  <c:v>0.0012254860505093</c:v>
                </c:pt>
                <c:pt idx="666">
                  <c:v>0.00122364874008874</c:v>
                </c:pt>
                <c:pt idx="667">
                  <c:v>0.00122181693059759</c:v>
                </c:pt>
                <c:pt idx="668">
                  <c:v>0.001219990597368</c:v>
                </c:pt>
                <c:pt idx="669">
                  <c:v>0.00121816971587939</c:v>
                </c:pt>
                <c:pt idx="670">
                  <c:v>0.00121635426175736</c:v>
                </c:pt>
                <c:pt idx="671">
                  <c:v>0.00121454421077261</c:v>
                </c:pt>
                <c:pt idx="672">
                  <c:v>0.00121273953883981</c:v>
                </c:pt>
                <c:pt idx="673">
                  <c:v>0.0012109402220166</c:v>
                </c:pt>
                <c:pt idx="674">
                  <c:v>0.00120914623650251</c:v>
                </c:pt>
                <c:pt idx="675">
                  <c:v>0.00120735755863786</c:v>
                </c:pt>
                <c:pt idx="676">
                  <c:v>0.00120557416490279</c:v>
                </c:pt>
                <c:pt idx="677">
                  <c:v>0.00120379603191621</c:v>
                </c:pt>
                <c:pt idx="678">
                  <c:v>0.00120202313643474</c:v>
                </c:pt>
                <c:pt idx="679">
                  <c:v>0.00120025545535175</c:v>
                </c:pt>
                <c:pt idx="680">
                  <c:v>0.00119849296569632</c:v>
                </c:pt>
                <c:pt idx="681">
                  <c:v>0.00119673564463225</c:v>
                </c:pt>
                <c:pt idx="682">
                  <c:v>0.00119498346945709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0.816173709639191</c:v>
                </c:pt>
                <c:pt idx="651">
                  <c:v>0.816173709639191</c:v>
                </c:pt>
                <c:pt idx="652">
                  <c:v>0.816173709639191</c:v>
                </c:pt>
                <c:pt idx="653">
                  <c:v>0.816173709639191</c:v>
                </c:pt>
                <c:pt idx="654">
                  <c:v>0.816173709639191</c:v>
                </c:pt>
                <c:pt idx="655">
                  <c:v>0.816173709639191</c:v>
                </c:pt>
                <c:pt idx="656">
                  <c:v>0.816173709639191</c:v>
                </c:pt>
                <c:pt idx="657">
                  <c:v>0.816173709639191</c:v>
                </c:pt>
                <c:pt idx="658">
                  <c:v>0.816173709639191</c:v>
                </c:pt>
                <c:pt idx="659">
                  <c:v>0.816173709639191</c:v>
                </c:pt>
                <c:pt idx="660">
                  <c:v>0.816173709639191</c:v>
                </c:pt>
                <c:pt idx="661">
                  <c:v>0.816173709639191</c:v>
                </c:pt>
                <c:pt idx="662">
                  <c:v>0.816173709639191</c:v>
                </c:pt>
                <c:pt idx="663">
                  <c:v>0.816173709639191</c:v>
                </c:pt>
                <c:pt idx="664">
                  <c:v>0.816173709639191</c:v>
                </c:pt>
                <c:pt idx="665">
                  <c:v>0.816173709639191</c:v>
                </c:pt>
                <c:pt idx="666">
                  <c:v>0.816173709639191</c:v>
                </c:pt>
                <c:pt idx="667">
                  <c:v>0.816173709639191</c:v>
                </c:pt>
                <c:pt idx="668">
                  <c:v>0.816173709639191</c:v>
                </c:pt>
                <c:pt idx="669">
                  <c:v>0.816173709639191</c:v>
                </c:pt>
                <c:pt idx="670">
                  <c:v>0.816173709639191</c:v>
                </c:pt>
                <c:pt idx="671">
                  <c:v>0.816173709639191</c:v>
                </c:pt>
                <c:pt idx="672">
                  <c:v>0.816173709639191</c:v>
                </c:pt>
                <c:pt idx="673">
                  <c:v>0.816173709639191</c:v>
                </c:pt>
                <c:pt idx="674">
                  <c:v>0.816173709639191</c:v>
                </c:pt>
                <c:pt idx="675">
                  <c:v>0.816173709639191</c:v>
                </c:pt>
                <c:pt idx="676">
                  <c:v>0.816173709639191</c:v>
                </c:pt>
                <c:pt idx="677">
                  <c:v>0.816173709639191</c:v>
                </c:pt>
                <c:pt idx="678">
                  <c:v>0.816173709639191</c:v>
                </c:pt>
                <c:pt idx="679">
                  <c:v>0.816173709639191</c:v>
                </c:pt>
                <c:pt idx="680">
                  <c:v>0.816173709639191</c:v>
                </c:pt>
                <c:pt idx="681">
                  <c:v>0.816173709639191</c:v>
                </c:pt>
                <c:pt idx="682">
                  <c:v>0.816173709639191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opLeftCell="A651" workbookViewId="0">
      <pane xSplit="10" topLeftCell="T1" activePane="topRight" state="frozen"/>
      <selection/>
      <selection pane="topRight" activeCell="AB657" sqref="AB657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0.816173709639191</v>
      </c>
      <c r="H7" s="43">
        <v>0</v>
      </c>
      <c r="I7" s="18">
        <f>SUM(I8:I809)</f>
        <v>2.35125048886934</v>
      </c>
      <c r="J7" s="37" t="s">
        <v>53</v>
      </c>
      <c r="K7" s="18" t="s">
        <v>53</v>
      </c>
      <c r="L7" s="18">
        <f>SUM(L8:L809)</f>
        <v>2.13255449952682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219.511658694789</v>
      </c>
      <c r="Y7" s="19">
        <f>SUM(Y8:Y809)</f>
        <v>1734.58</v>
      </c>
      <c r="Z7" s="11">
        <f>SUM(Z8:Z809)</f>
        <v>2546</v>
      </c>
      <c r="AA7" s="11">
        <f>SUM(AA8:AA809)</f>
        <v>1968.5</v>
      </c>
      <c r="AB7" s="11">
        <f>SUM(AB8:AB809)</f>
        <v>1015</v>
      </c>
      <c r="AC7" s="11">
        <f t="shared" ref="AC7:AH7" si="7">SUM(AC8:AC809)</f>
        <v>509.65</v>
      </c>
      <c r="AD7" s="11">
        <f t="shared" si="7"/>
        <v>586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customHeight="1" spans="1:52">
      <c r="A658" s="44">
        <v>45983</v>
      </c>
      <c r="B658" s="33">
        <f t="shared" si="281"/>
        <v>33</v>
      </c>
      <c r="C658" s="33">
        <f t="shared" si="282"/>
        <v>114</v>
      </c>
      <c r="D658" s="11">
        <f t="shared" si="283"/>
        <v>147</v>
      </c>
      <c r="E658" s="34">
        <f t="shared" si="305"/>
        <v>-1.92880470197151e-6</v>
      </c>
      <c r="F658" s="35">
        <f t="shared" si="284"/>
        <v>0.0012537230562814</v>
      </c>
      <c r="G658" s="18">
        <f>(SUM($I$8:$I658)*(MAX(M$3-M$4,0))+(N658*MAX(M$4,0)))*(1-$AM$4)+(AM658*$AM$4)</f>
        <v>0.816173709639191</v>
      </c>
      <c r="H658" s="18">
        <f t="shared" si="299"/>
        <v>1.45833333333333</v>
      </c>
      <c r="I658" s="18">
        <f t="shared" si="285"/>
        <v>0</v>
      </c>
      <c r="J658" s="18">
        <f t="shared" si="300"/>
        <v>0.857546570496478</v>
      </c>
      <c r="K658" s="18">
        <f t="shared" si="301"/>
        <v>0.00431677059101583</v>
      </c>
      <c r="L658" s="18">
        <f t="shared" si="302"/>
        <v>0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0</v>
      </c>
      <c r="Z658" s="11">
        <v>0</v>
      </c>
      <c r="AA658" s="11">
        <v>0</v>
      </c>
      <c r="AB658" s="11">
        <v>0</v>
      </c>
      <c r="AC658" s="11">
        <v>0</v>
      </c>
      <c r="AD658" s="11">
        <v>0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customHeight="1" spans="1:52">
      <c r="A659" s="44">
        <v>45984</v>
      </c>
      <c r="B659" s="33">
        <f t="shared" si="281"/>
        <v>32</v>
      </c>
      <c r="C659" s="33">
        <f t="shared" si="282"/>
        <v>115</v>
      </c>
      <c r="D659" s="11">
        <f t="shared" si="283"/>
        <v>147</v>
      </c>
      <c r="E659" s="34">
        <f t="shared" si="305"/>
        <v>-1.92288812313093e-6</v>
      </c>
      <c r="F659" s="35">
        <f t="shared" si="284"/>
        <v>0.00125180016815827</v>
      </c>
      <c r="G659" s="18">
        <f>(SUM($I$8:$I659)*(MAX(M$3-M$4,0))+(N659*MAX(M$4,0)))*(1-$AM$4)+(AM659*$AM$4)</f>
        <v>0.816173709639191</v>
      </c>
      <c r="H659" s="18">
        <f t="shared" si="299"/>
        <v>1.45833333333333</v>
      </c>
      <c r="I659" s="18">
        <f t="shared" si="285"/>
        <v>0</v>
      </c>
      <c r="J659" s="18">
        <f t="shared" si="300"/>
        <v>0.856231315020256</v>
      </c>
      <c r="K659" s="18">
        <f t="shared" si="301"/>
        <v>0.004492771405617</v>
      </c>
      <c r="L659" s="18">
        <f t="shared" si="302"/>
        <v>0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0</v>
      </c>
      <c r="Z659" s="11">
        <v>0</v>
      </c>
      <c r="AA659" s="11">
        <v>0</v>
      </c>
      <c r="AB659" s="11">
        <v>0</v>
      </c>
      <c r="AC659" s="11">
        <v>0</v>
      </c>
      <c r="AD659" s="11">
        <v>0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customHeight="1" spans="1:52">
      <c r="A660" s="44">
        <v>45985</v>
      </c>
      <c r="B660" s="33">
        <f t="shared" si="281"/>
        <v>31</v>
      </c>
      <c r="C660" s="33">
        <f t="shared" si="282"/>
        <v>116</v>
      </c>
      <c r="D660" s="11">
        <f t="shared" si="283"/>
        <v>147</v>
      </c>
      <c r="E660" s="34">
        <f t="shared" si="305"/>
        <v>-1.91699872612288e-6</v>
      </c>
      <c r="F660" s="35">
        <f t="shared" si="284"/>
        <v>0.00124988316943215</v>
      </c>
      <c r="G660" s="18">
        <f>(SUM($I$8:$I660)*(MAX(M$3-M$4,0))+(N660*MAX(M$4,0)))*(1-$AM$4)+(AM660*$AM$4)</f>
        <v>0.816173709639191</v>
      </c>
      <c r="H660" s="18">
        <f t="shared" si="299"/>
        <v>1.45833333333333</v>
      </c>
      <c r="I660" s="18">
        <f t="shared" si="285"/>
        <v>0</v>
      </c>
      <c r="J660" s="18">
        <f t="shared" si="300"/>
        <v>0.854920087891588</v>
      </c>
      <c r="K660" s="18">
        <f t="shared" si="301"/>
        <v>0.00467999716478749</v>
      </c>
      <c r="L660" s="18">
        <f t="shared" si="302"/>
        <v>0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0</v>
      </c>
      <c r="Z660" s="11">
        <v>0</v>
      </c>
      <c r="AA660" s="11">
        <v>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customHeight="1" spans="1:52">
      <c r="A661" s="44">
        <v>45986</v>
      </c>
      <c r="B661" s="33">
        <f t="shared" si="281"/>
        <v>30</v>
      </c>
      <c r="C661" s="33">
        <f t="shared" si="282"/>
        <v>117</v>
      </c>
      <c r="D661" s="11">
        <f t="shared" si="283"/>
        <v>147</v>
      </c>
      <c r="E661" s="34">
        <f t="shared" si="305"/>
        <v>-1.91113634469752e-6</v>
      </c>
      <c r="F661" s="35">
        <f t="shared" si="284"/>
        <v>0.00124797203308745</v>
      </c>
      <c r="G661" s="18">
        <f>(SUM($I$8:$I661)*(MAX(M$3-M$4,0))+(N661*MAX(M$4,0)))*(1-$AM$4)+(AM661*$AM$4)</f>
        <v>0.816173709639191</v>
      </c>
      <c r="H661" s="18">
        <f t="shared" si="299"/>
        <v>1.45833333333333</v>
      </c>
      <c r="I661" s="18">
        <f t="shared" si="285"/>
        <v>0</v>
      </c>
      <c r="J661" s="18">
        <f t="shared" si="300"/>
        <v>0.853612870631815</v>
      </c>
      <c r="K661" s="18">
        <f t="shared" si="301"/>
        <v>0.00487957097893951</v>
      </c>
      <c r="L661" s="18">
        <f t="shared" si="302"/>
        <v>0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0</v>
      </c>
      <c r="Z661" s="11">
        <v>0</v>
      </c>
      <c r="AA661" s="11">
        <v>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customHeight="1" spans="1:52">
      <c r="A662" s="44">
        <v>45987</v>
      </c>
      <c r="B662" s="33">
        <f t="shared" si="281"/>
        <v>29</v>
      </c>
      <c r="C662" s="33">
        <f t="shared" si="282"/>
        <v>119</v>
      </c>
      <c r="D662" s="11">
        <f t="shared" si="283"/>
        <v>148</v>
      </c>
      <c r="E662" s="34">
        <f t="shared" si="305"/>
        <v>-1.90530081387399e-6</v>
      </c>
      <c r="F662" s="35">
        <f t="shared" si="284"/>
        <v>0.00124606673227357</v>
      </c>
      <c r="G662" s="18">
        <f>(SUM($I$8:$I662)*(MAX(M$3-M$4,0))+(N662*MAX(M$4,0)))*(1-$AM$4)+(AM662*$AM$4)</f>
        <v>0.816173709639191</v>
      </c>
      <c r="H662" s="18">
        <f t="shared" si="299"/>
        <v>1.45833333333333</v>
      </c>
      <c r="I662" s="18">
        <f t="shared" si="285"/>
        <v>0</v>
      </c>
      <c r="J662" s="18">
        <f t="shared" si="300"/>
        <v>0.852309644875125</v>
      </c>
      <c r="K662" s="18">
        <f t="shared" si="301"/>
        <v>0.005092770866375</v>
      </c>
      <c r="L662" s="18">
        <f t="shared" si="302"/>
        <v>0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0</v>
      </c>
      <c r="Z662" s="11">
        <v>0</v>
      </c>
      <c r="AA662" s="11">
        <v>0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customHeight="1" spans="1:52">
      <c r="A663" s="44">
        <v>45988</v>
      </c>
      <c r="B663" s="33">
        <f t="shared" si="281"/>
        <v>28</v>
      </c>
      <c r="C663" s="33">
        <f t="shared" si="282"/>
        <v>120</v>
      </c>
      <c r="D663" s="11">
        <f t="shared" si="283"/>
        <v>148</v>
      </c>
      <c r="E663" s="34">
        <f t="shared" si="305"/>
        <v>-1.89949196992929e-6</v>
      </c>
      <c r="F663" s="35">
        <f t="shared" si="284"/>
        <v>0.00124416724030365</v>
      </c>
      <c r="G663" s="18">
        <f>(SUM($I$8:$I663)*(MAX(M$3-M$4,0))+(N663*MAX(M$4,0)))*(1-$AM$4)+(AM663*$AM$4)</f>
        <v>0.816173709639191</v>
      </c>
      <c r="H663" s="18">
        <f t="shared" si="299"/>
        <v>1.45833333333333</v>
      </c>
      <c r="I663" s="18">
        <f t="shared" si="285"/>
        <v>0</v>
      </c>
      <c r="J663" s="18">
        <f t="shared" si="300"/>
        <v>0.851010392367693</v>
      </c>
      <c r="K663" s="18">
        <f t="shared" si="301"/>
        <v>0.00532105741543952</v>
      </c>
      <c r="L663" s="18">
        <f t="shared" si="302"/>
        <v>0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0</v>
      </c>
      <c r="Z663" s="11">
        <v>0</v>
      </c>
      <c r="AA663" s="11">
        <v>0</v>
      </c>
      <c r="AB663" s="11">
        <v>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customHeight="1" spans="1:52">
      <c r="A664" s="44">
        <v>45989</v>
      </c>
      <c r="B664" s="33">
        <f t="shared" si="281"/>
        <v>27</v>
      </c>
      <c r="C664" s="33">
        <f t="shared" si="282"/>
        <v>121</v>
      </c>
      <c r="D664" s="11">
        <f t="shared" si="283"/>
        <v>148</v>
      </c>
      <c r="E664" s="34">
        <f t="shared" si="305"/>
        <v>-1.89370965038597e-6</v>
      </c>
      <c r="F664" s="35">
        <f t="shared" si="284"/>
        <v>0.00124227353065326</v>
      </c>
      <c r="G664" s="18">
        <f>(SUM($I$8:$I664)*(MAX(M$3-M$4,0))+(N664*MAX(M$4,0)))*(1-$AM$4)+(AM664*$AM$4)</f>
        <v>0.816173709639191</v>
      </c>
      <c r="H664" s="18">
        <f t="shared" si="299"/>
        <v>1.45833333333333</v>
      </c>
      <c r="I664" s="18">
        <f t="shared" si="285"/>
        <v>0</v>
      </c>
      <c r="J664" s="18">
        <f t="shared" si="300"/>
        <v>0.849715094966829</v>
      </c>
      <c r="K664" s="18">
        <f t="shared" si="301"/>
        <v>0.00556610759382114</v>
      </c>
      <c r="L664" s="18">
        <f t="shared" si="302"/>
        <v>0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0</v>
      </c>
      <c r="Z664" s="11">
        <v>0</v>
      </c>
      <c r="AA664" s="11">
        <v>0</v>
      </c>
      <c r="AB664" s="11">
        <v>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customHeight="1" spans="1:52">
      <c r="A665" s="44">
        <v>45990</v>
      </c>
      <c r="B665" s="33">
        <f t="shared" si="281"/>
        <v>26</v>
      </c>
      <c r="C665" s="33">
        <f t="shared" si="282"/>
        <v>122</v>
      </c>
      <c r="D665" s="11">
        <f t="shared" si="283"/>
        <v>148</v>
      </c>
      <c r="E665" s="34">
        <f t="shared" si="305"/>
        <v>-1.88795369400192e-6</v>
      </c>
      <c r="F665" s="35">
        <f t="shared" si="284"/>
        <v>0.00124038557695926</v>
      </c>
      <c r="G665" s="18">
        <f>(SUM($I$8:$I665)*(MAX(M$3-M$4,0))+(N665*MAX(M$4,0)))*(1-$AM$4)+(AM665*$AM$4)</f>
        <v>0.816173709639191</v>
      </c>
      <c r="H665" s="18">
        <f t="shared" si="299"/>
        <v>1.45833333333333</v>
      </c>
      <c r="I665" s="18">
        <f t="shared" si="285"/>
        <v>0</v>
      </c>
      <c r="J665" s="18">
        <f t="shared" si="300"/>
        <v>0.848423734640132</v>
      </c>
      <c r="K665" s="18">
        <f t="shared" si="301"/>
        <v>0.00582985635999492</v>
      </c>
      <c r="L665" s="18">
        <f t="shared" si="302"/>
        <v>0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0</v>
      </c>
      <c r="Z665" s="11">
        <v>0</v>
      </c>
      <c r="AA665" s="11">
        <v>0</v>
      </c>
      <c r="AB665" s="11">
        <v>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123</v>
      </c>
      <c r="D666" s="11">
        <f t="shared" ref="D666:D690" si="309">IF(F666&gt;0,ROUND(((1-G666)/F666),0),FACT(128))</f>
        <v>148</v>
      </c>
      <c r="E666" s="34">
        <f t="shared" si="305"/>
        <v>-1.88222394075757e-6</v>
      </c>
      <c r="F666" s="35">
        <f t="shared" ref="F666:F690" si="310">G666/(ROW()-7)</f>
        <v>0.0012385033530185</v>
      </c>
      <c r="G666" s="18">
        <f>(SUM($I$8:$I666)*(MAX(M$3-M$4,0))+(N666*MAX(M$4,0)))*(1-$AM$4)+(AM666*$AM$4)</f>
        <v>0.816173709639191</v>
      </c>
      <c r="H666" s="18">
        <f t="shared" si="299"/>
        <v>1.45833333333333</v>
      </c>
      <c r="I666" s="18">
        <f t="shared" ref="I666:I690" si="311">L666*H666</f>
        <v>0</v>
      </c>
      <c r="J666" s="18">
        <f t="shared" si="300"/>
        <v>0.847136293464654</v>
      </c>
      <c r="K666" s="18">
        <f t="shared" si="301"/>
        <v>0.00611454826141385</v>
      </c>
      <c r="L666" s="18">
        <f t="shared" si="302"/>
        <v>0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0</v>
      </c>
      <c r="Z666" s="11">
        <v>0</v>
      </c>
      <c r="AA666" s="11">
        <v>0</v>
      </c>
      <c r="AB666" s="11">
        <v>0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125</v>
      </c>
      <c r="D667" s="11">
        <f t="shared" si="309"/>
        <v>149</v>
      </c>
      <c r="E667" s="34">
        <f t="shared" si="305"/>
        <v>-1.87652023184636e-6</v>
      </c>
      <c r="F667" s="35">
        <f t="shared" si="310"/>
        <v>0.00123662683278665</v>
      </c>
      <c r="G667" s="18">
        <f>(SUM($I$8:$I667)*(MAX(M$3-M$4,0))+(N667*MAX(M$4,0)))*(1-$AM$4)+(AM667*$AM$4)</f>
        <v>0.816173709639191</v>
      </c>
      <c r="H667" s="18">
        <f t="shared" si="299"/>
        <v>1.5</v>
      </c>
      <c r="I667" s="18">
        <f t="shared" si="311"/>
        <v>0</v>
      </c>
      <c r="J667" s="18">
        <f t="shared" si="300"/>
        <v>0.845852753626071</v>
      </c>
      <c r="K667" s="18">
        <f t="shared" si="301"/>
        <v>0.00642280193224704</v>
      </c>
      <c r="L667" s="18">
        <f t="shared" si="302"/>
        <v>0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0</v>
      </c>
      <c r="Z667" s="11">
        <v>0</v>
      </c>
      <c r="AA667" s="11">
        <v>0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126</v>
      </c>
      <c r="D668" s="11">
        <f t="shared" si="309"/>
        <v>149</v>
      </c>
      <c r="E668" s="34">
        <f t="shared" si="305"/>
        <v>-1.87084240966195e-6</v>
      </c>
      <c r="F668" s="35">
        <f t="shared" si="310"/>
        <v>0.00123475599037699</v>
      </c>
      <c r="G668" s="18">
        <f>(SUM($I$8:$I668)*(MAX(M$3-M$4,0))+(N668*MAX(M$4,0)))*(1-$AM$4)+(AM668*$AM$4)</f>
        <v>0.816173709639191</v>
      </c>
      <c r="H668" s="18">
        <f t="shared" si="299"/>
        <v>1.5</v>
      </c>
      <c r="I668" s="18">
        <f t="shared" si="311"/>
        <v>0</v>
      </c>
      <c r="J668" s="18">
        <f t="shared" si="300"/>
        <v>0.844573097417862</v>
      </c>
      <c r="K668" s="18">
        <f t="shared" si="301"/>
        <v>0.00675769141661469</v>
      </c>
      <c r="L668" s="18">
        <f t="shared" si="302"/>
        <v>0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0</v>
      </c>
      <c r="Z668" s="11">
        <v>0</v>
      </c>
      <c r="AA668" s="11">
        <v>0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127</v>
      </c>
      <c r="D669" s="11">
        <f t="shared" si="309"/>
        <v>149</v>
      </c>
      <c r="E669" s="34">
        <f t="shared" si="305"/>
        <v>-1.86519031779016e-6</v>
      </c>
      <c r="F669" s="35">
        <f t="shared" si="310"/>
        <v>0.0012328908000592</v>
      </c>
      <c r="G669" s="18">
        <f>(SUM($I$8:$I669)*(MAX(M$3-M$4,0))+(N669*MAX(M$4,0)))*(1-$AM$4)+(AM669*$AM$4)</f>
        <v>0.816173709639191</v>
      </c>
      <c r="H669" s="18">
        <f t="shared" si="299"/>
        <v>1.5</v>
      </c>
      <c r="I669" s="18">
        <f t="shared" si="311"/>
        <v>0</v>
      </c>
      <c r="J669" s="18">
        <f t="shared" si="300"/>
        <v>0.843297307240494</v>
      </c>
      <c r="K669" s="18">
        <f t="shared" si="301"/>
        <v>0.00712284967088665</v>
      </c>
      <c r="L669" s="18">
        <f t="shared" si="302"/>
        <v>0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0</v>
      </c>
      <c r="Z669" s="11">
        <v>0</v>
      </c>
      <c r="AA669" s="11">
        <v>0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128</v>
      </c>
      <c r="D670" s="11">
        <f t="shared" si="309"/>
        <v>149</v>
      </c>
      <c r="E670" s="34">
        <f t="shared" si="305"/>
        <v>-1.85956380099428e-6</v>
      </c>
      <c r="F670" s="35">
        <f t="shared" si="310"/>
        <v>0.00123103123625821</v>
      </c>
      <c r="G670" s="18">
        <f>(SUM($I$8:$I670)*(MAX(M$3-M$4,0))+(N670*MAX(M$4,0)))*(1-$AM$4)+(AM670*$AM$4)</f>
        <v>0.816173709639191</v>
      </c>
      <c r="H670" s="18">
        <f t="shared" si="299"/>
        <v>1.5</v>
      </c>
      <c r="I670" s="18">
        <f t="shared" si="311"/>
        <v>0</v>
      </c>
      <c r="J670" s="18">
        <f t="shared" si="300"/>
        <v>0.842025365600614</v>
      </c>
      <c r="K670" s="18">
        <f t="shared" si="301"/>
        <v>0.00752260163806601</v>
      </c>
      <c r="L670" s="18">
        <f t="shared" si="302"/>
        <v>0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0</v>
      </c>
      <c r="Z670" s="11">
        <v>0</v>
      </c>
      <c r="AA670" s="11">
        <v>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130</v>
      </c>
      <c r="D671" s="11">
        <f t="shared" si="309"/>
        <v>150</v>
      </c>
      <c r="E671" s="34">
        <f t="shared" si="305"/>
        <v>-1.8539627052081e-6</v>
      </c>
      <c r="F671" s="35">
        <f t="shared" si="310"/>
        <v>0.001229177273553</v>
      </c>
      <c r="G671" s="18">
        <f>(SUM($I$8:$I671)*(MAX(M$3-M$4,0))+(N671*MAX(M$4,0)))*(1-$AM$4)+(AM671*$AM$4)</f>
        <v>0.816173709639191</v>
      </c>
      <c r="H671" s="18">
        <f t="shared" si="299"/>
        <v>1.5</v>
      </c>
      <c r="I671" s="18">
        <f t="shared" si="311"/>
        <v>0</v>
      </c>
      <c r="J671" s="18">
        <f t="shared" si="300"/>
        <v>0.840757255110251</v>
      </c>
      <c r="K671" s="18">
        <f t="shared" si="301"/>
        <v>0.00796213724448743</v>
      </c>
      <c r="L671" s="18">
        <f t="shared" si="302"/>
        <v>0</v>
      </c>
      <c r="M671" s="18">
        <v>0</v>
      </c>
      <c r="N671" s="18">
        <f t="shared" si="306"/>
        <v>1</v>
      </c>
      <c r="O671" s="11">
        <v>0</v>
      </c>
      <c r="P671" s="11">
        <v>0</v>
      </c>
      <c r="Q671" s="11">
        <f t="shared" si="312"/>
        <v>1</v>
      </c>
      <c r="R671" s="11">
        <v>0</v>
      </c>
      <c r="S671" s="11">
        <f t="shared" si="303"/>
        <v>0</v>
      </c>
      <c r="T671" s="11">
        <v>0</v>
      </c>
      <c r="U671" s="11">
        <f t="shared" si="313"/>
        <v>1</v>
      </c>
      <c r="V671" s="11">
        <v>0</v>
      </c>
      <c r="W671" s="11">
        <f t="shared" si="314"/>
        <v>1</v>
      </c>
      <c r="X671" s="11">
        <f t="shared" si="304"/>
        <v>0</v>
      </c>
      <c r="Y671" s="19">
        <v>0</v>
      </c>
      <c r="Z671" s="11">
        <v>0</v>
      </c>
      <c r="AA671" s="11">
        <v>0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131</v>
      </c>
      <c r="D672" s="11">
        <f t="shared" si="309"/>
        <v>150</v>
      </c>
      <c r="E672" s="34">
        <f t="shared" si="305"/>
        <v>-1.84838687752333e-6</v>
      </c>
      <c r="F672" s="35">
        <f t="shared" si="310"/>
        <v>0.00122732888667548</v>
      </c>
      <c r="G672" s="18">
        <f>(SUM($I$8:$I672)*(MAX(M$3-M$4,0))+(N672*MAX(M$4,0)))*(1-$AM$4)+(AM672*$AM$4)</f>
        <v>0.816173709639191</v>
      </c>
      <c r="H672" s="18">
        <f t="shared" si="299"/>
        <v>1.5</v>
      </c>
      <c r="I672" s="18">
        <f t="shared" si="311"/>
        <v>0</v>
      </c>
      <c r="J672" s="18">
        <f t="shared" si="300"/>
        <v>0.839492958486025</v>
      </c>
      <c r="K672" s="18">
        <f t="shared" si="301"/>
        <v>0.0084477390270513</v>
      </c>
      <c r="L672" s="18">
        <f t="shared" si="302"/>
        <v>0</v>
      </c>
      <c r="M672" s="18">
        <v>0</v>
      </c>
      <c r="N672" s="18">
        <f t="shared" si="306"/>
        <v>1</v>
      </c>
      <c r="O672" s="11">
        <v>0</v>
      </c>
      <c r="P672" s="11">
        <v>0</v>
      </c>
      <c r="Q672" s="11">
        <f t="shared" si="312"/>
        <v>1</v>
      </c>
      <c r="R672" s="11">
        <v>0</v>
      </c>
      <c r="S672" s="11">
        <f t="shared" si="303"/>
        <v>0</v>
      </c>
      <c r="T672" s="11">
        <v>0</v>
      </c>
      <c r="U672" s="11">
        <f t="shared" si="313"/>
        <v>1</v>
      </c>
      <c r="V672" s="11">
        <v>0</v>
      </c>
      <c r="W672" s="11">
        <f t="shared" si="314"/>
        <v>1</v>
      </c>
      <c r="X672" s="11">
        <f t="shared" si="304"/>
        <v>0</v>
      </c>
      <c r="Y672" s="19">
        <v>0</v>
      </c>
      <c r="Z672" s="11">
        <v>0</v>
      </c>
      <c r="AA672" s="11">
        <v>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132</v>
      </c>
      <c r="D673" s="11">
        <f t="shared" si="309"/>
        <v>150</v>
      </c>
      <c r="E673" s="34">
        <f t="shared" si="305"/>
        <v>-1.84283616617943e-6</v>
      </c>
      <c r="F673" s="35">
        <f t="shared" si="310"/>
        <v>0.0012254860505093</v>
      </c>
      <c r="G673" s="18">
        <f>(SUM($I$8:$I673)*(MAX(M$3-M$4,0))+(N673*MAX(M$4,0)))*(1-$AM$4)+(AM673*$AM$4)</f>
        <v>0.816173709639191</v>
      </c>
      <c r="H673" s="18">
        <f t="shared" si="299"/>
        <v>1.5</v>
      </c>
      <c r="I673" s="18">
        <f t="shared" si="311"/>
        <v>0</v>
      </c>
      <c r="J673" s="18">
        <f t="shared" si="300"/>
        <v>0.838232458548359</v>
      </c>
      <c r="K673" s="18">
        <f t="shared" si="301"/>
        <v>0.0089870856362023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133</v>
      </c>
      <c r="D674" s="11">
        <f t="shared" si="309"/>
        <v>150</v>
      </c>
      <c r="E674" s="34">
        <f t="shared" si="305"/>
        <v>-1.8373104205536e-6</v>
      </c>
      <c r="F674" s="35">
        <f t="shared" si="310"/>
        <v>0.00122364874008874</v>
      </c>
      <c r="G674" s="18">
        <f>(SUM($I$8:$I674)*(MAX(M$3-M$4,0))+(N674*MAX(M$4,0)))*(1-$AM$4)+(AM674*$AM$4)</f>
        <v>0.816173709639191</v>
      </c>
      <c r="H674" s="18">
        <f t="shared" si="299"/>
        <v>1.5</v>
      </c>
      <c r="I674" s="18">
        <f t="shared" si="311"/>
        <v>0</v>
      </c>
      <c r="J674" s="18">
        <f t="shared" si="300"/>
        <v>0.8369757382207</v>
      </c>
      <c r="K674" s="18">
        <f t="shared" si="301"/>
        <v>0.00958966245760588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134</v>
      </c>
      <c r="D675" s="11">
        <f t="shared" si="309"/>
        <v>150</v>
      </c>
      <c r="E675" s="34">
        <f t="shared" si="305"/>
        <v>-1.83180949115086e-6</v>
      </c>
      <c r="F675" s="35">
        <f t="shared" si="310"/>
        <v>0.00122181693059759</v>
      </c>
      <c r="G675" s="18">
        <f>(SUM($I$8:$I675)*(MAX(M$3-M$4,0))+(N675*MAX(M$4,0)))*(1-$AM$4)+(AM675*$AM$4)</f>
        <v>0.816173709639191</v>
      </c>
      <c r="H675" s="18">
        <f t="shared" si="299"/>
        <v>1.5</v>
      </c>
      <c r="I675" s="18">
        <f t="shared" si="311"/>
        <v>0</v>
      </c>
      <c r="J675" s="18">
        <f t="shared" si="300"/>
        <v>0.835722780528753</v>
      </c>
      <c r="K675" s="18">
        <f t="shared" si="301"/>
        <v>0.0102673262169529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136</v>
      </c>
      <c r="D676" s="11">
        <f t="shared" si="309"/>
        <v>151</v>
      </c>
      <c r="E676" s="34">
        <f t="shared" si="305"/>
        <v>-1.8263332295927e-6</v>
      </c>
      <c r="F676" s="35">
        <f t="shared" si="310"/>
        <v>0.001219990597368</v>
      </c>
      <c r="G676" s="18">
        <f>(SUM($I$8:$I676)*(MAX(M$3-M$4,0))+(N676*MAX(M$4,0)))*(1-$AM$4)+(AM676*$AM$4)</f>
        <v>0.816173709639191</v>
      </c>
      <c r="H676" s="18">
        <f t="shared" si="299"/>
        <v>1.5</v>
      </c>
      <c r="I676" s="18">
        <f t="shared" si="311"/>
        <v>0</v>
      </c>
      <c r="J676" s="18">
        <f t="shared" si="300"/>
        <v>0.834473568599711</v>
      </c>
      <c r="K676" s="18">
        <f t="shared" si="301"/>
        <v>0.0110350954266859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137</v>
      </c>
      <c r="D677" s="11">
        <f t="shared" si="309"/>
        <v>151</v>
      </c>
      <c r="E677" s="34">
        <f t="shared" si="305"/>
        <v>-1.82088148860892e-6</v>
      </c>
      <c r="F677" s="35">
        <f t="shared" si="310"/>
        <v>0.00121816971587939</v>
      </c>
      <c r="G677" s="18">
        <f>(SUM($I$8:$I677)*(MAX(M$3-M$4,0))+(N677*MAX(M$4,0)))*(1-$AM$4)+(AM677*$AM$4)</f>
        <v>0.816173709639191</v>
      </c>
      <c r="H677" s="18">
        <f t="shared" si="299"/>
        <v>1.5</v>
      </c>
      <c r="I677" s="18">
        <f t="shared" si="311"/>
        <v>0</v>
      </c>
      <c r="J677" s="18">
        <f t="shared" si="300"/>
        <v>0.833228085661503</v>
      </c>
      <c r="K677" s="18">
        <f t="shared" si="301"/>
        <v>0.0119122795956069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138</v>
      </c>
      <c r="D678" s="11">
        <f t="shared" si="309"/>
        <v>151</v>
      </c>
      <c r="E678" s="34">
        <f t="shared" si="305"/>
        <v>-1.81545412202607e-6</v>
      </c>
      <c r="F678" s="35">
        <f t="shared" si="310"/>
        <v>0.00121635426175736</v>
      </c>
      <c r="G678" s="18">
        <f>(SUM($I$8:$I678)*(MAX(M$3-M$4,0))+(N678*MAX(M$4,0)))*(1-$AM$4)+(AM678*$AM$4)</f>
        <v>0.816173709639191</v>
      </c>
      <c r="H678" s="18">
        <f t="shared" si="299"/>
        <v>1.5</v>
      </c>
      <c r="I678" s="18">
        <f t="shared" si="311"/>
        <v>0</v>
      </c>
      <c r="J678" s="18">
        <f t="shared" si="300"/>
        <v>0.831986315042037</v>
      </c>
      <c r="K678" s="18">
        <f t="shared" si="301"/>
        <v>0.012924129612151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139</v>
      </c>
      <c r="D679" s="11">
        <f t="shared" si="309"/>
        <v>151</v>
      </c>
      <c r="E679" s="34">
        <f t="shared" si="305"/>
        <v>-1.81005098475796e-6</v>
      </c>
      <c r="F679" s="35">
        <f t="shared" si="310"/>
        <v>0.00121454421077261</v>
      </c>
      <c r="G679" s="18">
        <f>(SUM($I$8:$I679)*(MAX(M$3-M$4,0))+(N679*MAX(M$4,0)))*(1-$AM$4)+(AM679*$AM$4)</f>
        <v>0.816173709639191</v>
      </c>
      <c r="H679" s="18">
        <f t="shared" si="299"/>
        <v>1.5</v>
      </c>
      <c r="I679" s="18">
        <f t="shared" si="311"/>
        <v>0</v>
      </c>
      <c r="J679" s="18">
        <f t="shared" si="300"/>
        <v>0.830748240168463</v>
      </c>
      <c r="K679" s="18">
        <f t="shared" si="301"/>
        <v>0.0141043133192948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141</v>
      </c>
      <c r="D680" s="11">
        <f t="shared" si="309"/>
        <v>152</v>
      </c>
      <c r="E680" s="34">
        <f t="shared" si="305"/>
        <v>-1.80467193279738e-6</v>
      </c>
      <c r="F680" s="35">
        <f t="shared" si="310"/>
        <v>0.00121273953883981</v>
      </c>
      <c r="G680" s="18">
        <f>(SUM($I$8:$I680)*(MAX(M$3-M$4,0))+(N680*MAX(M$4,0)))*(1-$AM$4)+(AM680*$AM$4)</f>
        <v>0.816173709639191</v>
      </c>
      <c r="H680" s="18">
        <f t="shared" si="299"/>
        <v>1.5</v>
      </c>
      <c r="I680" s="18">
        <f t="shared" si="311"/>
        <v>0</v>
      </c>
      <c r="J680" s="18">
        <f t="shared" si="300"/>
        <v>0.829513844566429</v>
      </c>
      <c r="K680" s="18">
        <f t="shared" si="301"/>
        <v>0.0154987414030519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142</v>
      </c>
      <c r="D681" s="11">
        <f t="shared" si="309"/>
        <v>152</v>
      </c>
      <c r="E681" s="34">
        <f t="shared" si="305"/>
        <v>-1.79931682320442e-6</v>
      </c>
      <c r="F681" s="35">
        <f t="shared" si="310"/>
        <v>0.0012109402220166</v>
      </c>
      <c r="G681" s="18">
        <f>(SUM($I$8:$I681)*(MAX(M$3-M$4,0))+(N681*MAX(M$4,0)))*(1-$AM$4)+(AM681*$AM$4)</f>
        <v>0.816173709639191</v>
      </c>
      <c r="H681" s="18">
        <f t="shared" si="299"/>
        <v>1.5</v>
      </c>
      <c r="I681" s="18">
        <f t="shared" si="311"/>
        <v>0</v>
      </c>
      <c r="J681" s="18">
        <f t="shared" si="300"/>
        <v>0.828283111859357</v>
      </c>
      <c r="K681" s="18">
        <f t="shared" si="301"/>
        <v>0.0171716888140643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143</v>
      </c>
      <c r="D682" s="11">
        <f t="shared" si="309"/>
        <v>152</v>
      </c>
      <c r="E682" s="34">
        <f t="shared" si="305"/>
        <v>-1.79398551409865e-6</v>
      </c>
      <c r="F682" s="35">
        <f t="shared" si="310"/>
        <v>0.00120914623650251</v>
      </c>
      <c r="G682" s="18">
        <f>(SUM($I$8:$I682)*(MAX(M$3-M$4,0))+(N682*MAX(M$4,0)))*(1-$AM$4)+(AM682*$AM$4)</f>
        <v>0.816173709639191</v>
      </c>
      <c r="H682" s="18">
        <f t="shared" si="299"/>
        <v>1.5</v>
      </c>
      <c r="I682" s="18">
        <f t="shared" si="311"/>
        <v>0</v>
      </c>
      <c r="J682" s="18">
        <f t="shared" si="300"/>
        <v>0.827056025767714</v>
      </c>
      <c r="K682" s="18">
        <f t="shared" si="301"/>
        <v>0.0192159971369207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144</v>
      </c>
      <c r="D683" s="11">
        <f t="shared" si="309"/>
        <v>152</v>
      </c>
      <c r="E683" s="34">
        <f t="shared" si="305"/>
        <v>-1.78867786464871e-6</v>
      </c>
      <c r="F683" s="35">
        <f t="shared" si="310"/>
        <v>0.00120735755863786</v>
      </c>
      <c r="G683" s="18">
        <f>(SUM($I$8:$I683)*(MAX(M$3-M$4,0))+(N683*MAX(M$4,0)))*(1-$AM$4)+(AM683*$AM$4)</f>
        <v>0.816173709639191</v>
      </c>
      <c r="H683" s="18">
        <f t="shared" si="299"/>
        <v>1.5</v>
      </c>
      <c r="I683" s="18">
        <f t="shared" si="311"/>
        <v>0</v>
      </c>
      <c r="J683" s="18">
        <f t="shared" si="300"/>
        <v>0.825832570108294</v>
      </c>
      <c r="K683" s="18">
        <f t="shared" si="301"/>
        <v>0.0217709287364632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145</v>
      </c>
      <c r="D684" s="11">
        <f t="shared" si="309"/>
        <v>152</v>
      </c>
      <c r="E684" s="34">
        <f t="shared" si="305"/>
        <v>-1.78339373506321e-6</v>
      </c>
      <c r="F684" s="35">
        <f t="shared" si="310"/>
        <v>0.00120557416490279</v>
      </c>
      <c r="G684" s="18">
        <f>(SUM($I$8:$I684)*(MAX(M$3-M$4,0))+(N684*MAX(M$4,0)))*(1-$AM$4)+(AM684*$AM$4)</f>
        <v>0.816173709639191</v>
      </c>
      <c r="H684" s="18">
        <f t="shared" si="299"/>
        <v>1.5</v>
      </c>
      <c r="I684" s="18">
        <f t="shared" si="311"/>
        <v>0</v>
      </c>
      <c r="J684" s="18">
        <f t="shared" si="300"/>
        <v>0.824612728793511</v>
      </c>
      <c r="K684" s="18">
        <f t="shared" si="301"/>
        <v>0.0250553244580699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147</v>
      </c>
      <c r="D685" s="11">
        <f t="shared" si="309"/>
        <v>153</v>
      </c>
      <c r="E685" s="34">
        <f t="shared" si="305"/>
        <v>-1.77813298658227e-6</v>
      </c>
      <c r="F685" s="35">
        <f t="shared" si="310"/>
        <v>0.00120379603191621</v>
      </c>
      <c r="G685" s="18">
        <f>(SUM($I$8:$I685)*(MAX(M$3-M$4,0))+(N685*MAX(M$4,0)))*(1-$AM$4)+(AM685*$AM$4)</f>
        <v>0.816173709639191</v>
      </c>
      <c r="H685" s="18">
        <f t="shared" si="299"/>
        <v>1.5</v>
      </c>
      <c r="I685" s="18">
        <f t="shared" si="311"/>
        <v>0</v>
      </c>
      <c r="J685" s="18">
        <f t="shared" si="300"/>
        <v>0.823396485830689</v>
      </c>
      <c r="K685" s="18">
        <f t="shared" si="301"/>
        <v>0.0294339190282186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148</v>
      </c>
      <c r="D686" s="11">
        <f t="shared" si="309"/>
        <v>153</v>
      </c>
      <c r="E686" s="34">
        <f t="shared" si="305"/>
        <v>-1.77289548146712e-6</v>
      </c>
      <c r="F686" s="35">
        <f t="shared" si="310"/>
        <v>0.00120202313643474</v>
      </c>
      <c r="G686" s="18">
        <f>(SUM($I$8:$I686)*(MAX(M$3-M$4,0))+(N686*MAX(M$4,0)))*(1-$AM$4)+(AM686*$AM$4)</f>
        <v>0.816173709639191</v>
      </c>
      <c r="H686" s="18">
        <f t="shared" si="299"/>
        <v>1.5</v>
      </c>
      <c r="I686" s="18">
        <f t="shared" si="311"/>
        <v>0</v>
      </c>
      <c r="J686" s="18">
        <f t="shared" si="300"/>
        <v>0.822183825321365</v>
      </c>
      <c r="K686" s="18">
        <f t="shared" si="301"/>
        <v>0.035563234935727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149</v>
      </c>
      <c r="D687" s="11">
        <f t="shared" si="309"/>
        <v>153</v>
      </c>
      <c r="E687" s="34">
        <f t="shared" si="305"/>
        <v>-1.76768108299248e-6</v>
      </c>
      <c r="F687" s="35">
        <f t="shared" si="310"/>
        <v>0.00120025545535175</v>
      </c>
      <c r="G687" s="18">
        <f>(SUM($I$8:$I687)*(MAX(M$3-M$4,0))+(N687*MAX(M$4,0)))*(1-$AM$4)+(AM687*$AM$4)</f>
        <v>0.816173709639191</v>
      </c>
      <c r="H687" s="18">
        <f t="shared" si="299"/>
        <v>1.5</v>
      </c>
      <c r="I687" s="18">
        <f t="shared" si="311"/>
        <v>0</v>
      </c>
      <c r="J687" s="18">
        <f t="shared" si="300"/>
        <v>0.820974731460598</v>
      </c>
      <c r="K687" s="18">
        <f t="shared" si="301"/>
        <v>0.0447563171348504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150</v>
      </c>
      <c r="D688" s="11">
        <f t="shared" si="309"/>
        <v>153</v>
      </c>
      <c r="E688" s="34">
        <f t="shared" si="305"/>
        <v>-1.76248965543576e-6</v>
      </c>
      <c r="F688" s="35">
        <f t="shared" si="310"/>
        <v>0.00119849296569632</v>
      </c>
      <c r="G688" s="18">
        <f>(SUM($I$8:$I688)*(MAX(M$3-M$4,0))+(N688*MAX(M$4,0)))*(1-$AM$4)+(AM688*$AM$4)</f>
        <v>0.816173709639191</v>
      </c>
      <c r="H688" s="18">
        <f t="shared" si="299"/>
        <v>1.5</v>
      </c>
      <c r="I688" s="18">
        <f t="shared" si="311"/>
        <v>0</v>
      </c>
      <c r="J688" s="18">
        <f t="shared" si="300"/>
        <v>0.81976918853628</v>
      </c>
      <c r="K688" s="18">
        <f t="shared" si="301"/>
        <v>0.0600769371545732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152</v>
      </c>
      <c r="D689" s="11">
        <f t="shared" si="309"/>
        <v>154</v>
      </c>
      <c r="E689" s="34">
        <f t="shared" si="305"/>
        <v>-1.75732106407075e-6</v>
      </c>
      <c r="F689" s="35">
        <f t="shared" si="310"/>
        <v>0.00119673564463225</v>
      </c>
      <c r="G689" s="18">
        <f>(SUM($I$8:$I689)*(MAX(M$3-M$4,0))+(N689*MAX(M$4,0)))*(1-$AM$4)+(AM689*$AM$4)</f>
        <v>0.816173709639191</v>
      </c>
      <c r="H689" s="18">
        <f t="shared" si="299"/>
        <v>1.5</v>
      </c>
      <c r="I689" s="18">
        <f t="shared" si="311"/>
        <v>0</v>
      </c>
      <c r="J689" s="18">
        <f t="shared" si="300"/>
        <v>0.818567180928456</v>
      </c>
      <c r="K689" s="18">
        <f t="shared" si="301"/>
        <v>0.0907164095357721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153</v>
      </c>
      <c r="D690" s="11">
        <f t="shared" si="309"/>
        <v>154</v>
      </c>
      <c r="E690" s="34">
        <f t="shared" si="305"/>
        <v>-1.75217517515698e-6</v>
      </c>
      <c r="F690" s="35">
        <f t="shared" si="310"/>
        <v>0.00119498346945709</v>
      </c>
      <c r="G690" s="18">
        <f>(SUM($I$8:$I690)*(MAX(M$3-M$4,0))+(N690*MAX(M$4,0)))*(1-$AM$4)+(AM690*$AM$4)</f>
        <v>0.816173709639191</v>
      </c>
      <c r="H690" s="18">
        <f t="shared" si="299"/>
        <v>1.5</v>
      </c>
      <c r="I690" s="18">
        <f t="shared" si="311"/>
        <v>0</v>
      </c>
      <c r="J690" s="18">
        <f t="shared" si="300"/>
        <v>0.817368693108648</v>
      </c>
      <c r="K690" s="18">
        <f t="shared" si="301"/>
        <v>0.182631306891352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tabSelected="1" topLeftCell="A8" workbookViewId="0">
      <selection activeCell="G27" sqref="G27"/>
    </sheetView>
  </sheetViews>
  <sheetFormatPr defaultColWidth="8.88888888888889" defaultRowHeight="14.4"/>
  <cols>
    <col min="1" max="1" width="9.66666666666667"/>
  </cols>
  <sheetData>
    <row r="1" spans="1:15">
      <c r="A1" s="3" t="s">
        <v>59</v>
      </c>
      <c r="B1" s="3" t="s">
        <v>60</v>
      </c>
      <c r="C1" s="3"/>
      <c r="D1" s="3"/>
      <c r="E1" s="3"/>
      <c r="F1" s="3" t="s">
        <v>61</v>
      </c>
      <c r="G1" s="3"/>
      <c r="H1" s="3"/>
      <c r="I1" s="3"/>
    </row>
    <row r="2" spans="1:15">
      <c r="A2" s="3" t="s">
        <v>62</v>
      </c>
      <c r="B2" s="6" t="s">
        <v>63</v>
      </c>
      <c r="C2" s="6" t="s">
        <v>64</v>
      </c>
      <c r="D2" s="7" t="s">
        <v>65</v>
      </c>
      <c r="E2" s="7" t="s">
        <v>66</v>
      </c>
      <c r="F2" s="8" t="s">
        <v>63</v>
      </c>
      <c r="G2" s="8" t="s">
        <v>67</v>
      </c>
      <c r="H2" s="8" t="s">
        <v>68</v>
      </c>
      <c r="I2" s="9" t="s">
        <v>69</v>
      </c>
    </row>
    <row r="3" spans="1:15">
      <c r="A3" s="3" t="s">
        <v>70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</row>
    <row r="4" spans="1:15">
      <c r="A4" s="3" t="s">
        <v>71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15">
      <c r="A5" s="3" t="s">
        <v>72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15">
      <c r="A6" s="3" t="s">
        <v>73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15">
      <c r="A8" t="s">
        <v>74</v>
      </c>
      <c r="B8" t="s">
        <v>75</v>
      </c>
      <c r="C8" t="s">
        <v>76</v>
      </c>
      <c r="D8" t="s">
        <v>77</v>
      </c>
      <c r="E8" t="s">
        <v>78</v>
      </c>
      <c r="F8" t="s">
        <v>79</v>
      </c>
      <c r="G8" t="s">
        <v>80</v>
      </c>
      <c r="H8" t="s">
        <v>81</v>
      </c>
      <c r="I8" t="s">
        <v>82</v>
      </c>
      <c r="J8" t="s">
        <v>83</v>
      </c>
      <c r="K8" t="s">
        <v>84</v>
      </c>
      <c r="L8" t="s">
        <v>85</v>
      </c>
      <c r="M8" t="s">
        <v>86</v>
      </c>
      <c r="N8" t="s">
        <v>87</v>
      </c>
      <c r="O8" t="s">
        <v>88</v>
      </c>
    </row>
    <row r="9" spans="1:15">
      <c r="A9">
        <v>2021</v>
      </c>
    </row>
    <row r="10" spans="1:15">
      <c r="A10">
        <v>2022</v>
      </c>
    </row>
    <row r="11" spans="1:15">
      <c r="A11">
        <v>2023</v>
      </c>
    </row>
    <row r="12" spans="1:15">
      <c r="A12">
        <v>2024</v>
      </c>
    </row>
    <row r="13" spans="1:15">
      <c r="A13">
        <v>2025</v>
      </c>
    </row>
    <row r="14" spans="1:15">
      <c r="A14" t="s">
        <v>89</v>
      </c>
      <c r="B14">
        <v>80</v>
      </c>
      <c r="C14">
        <v>70</v>
      </c>
      <c r="D14">
        <v>50</v>
      </c>
      <c r="E14">
        <v>30</v>
      </c>
      <c r="F14">
        <v>70</v>
      </c>
      <c r="G14">
        <v>150</v>
      </c>
      <c r="H14">
        <v>150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</row>
    <row r="16" spans="1:15">
      <c r="A16" t="s">
        <v>90</v>
      </c>
      <c r="B16" t="s">
        <v>91</v>
      </c>
      <c r="C16" t="s">
        <v>92</v>
      </c>
      <c r="D16" t="s">
        <v>91</v>
      </c>
      <c r="E16" t="s">
        <v>92</v>
      </c>
      <c r="F16" t="s">
        <v>91</v>
      </c>
      <c r="G16" t="s">
        <v>92</v>
      </c>
      <c r="H16" t="s">
        <v>91</v>
      </c>
      <c r="I16" t="s">
        <v>91</v>
      </c>
      <c r="J16" t="s">
        <v>92</v>
      </c>
    </row>
    <row r="17" spans="1:10">
      <c r="A17" t="s">
        <v>93</v>
      </c>
      <c r="B17">
        <v>1</v>
      </c>
      <c r="C17">
        <v>1</v>
      </c>
      <c r="D17">
        <v>2</v>
      </c>
      <c r="E17">
        <v>2</v>
      </c>
      <c r="F17">
        <v>3</v>
      </c>
      <c r="G17">
        <v>3</v>
      </c>
      <c r="H17">
        <v>4</v>
      </c>
      <c r="I17">
        <v>5</v>
      </c>
      <c r="J17">
        <v>4</v>
      </c>
    </row>
    <row r="18" spans="1:10">
      <c r="A18">
        <v>20251118</v>
      </c>
      <c r="B18">
        <v>20</v>
      </c>
    </row>
    <row r="19" spans="1:10">
      <c r="A19">
        <v>20251119</v>
      </c>
      <c r="B19">
        <v>13</v>
      </c>
      <c r="C19">
        <v>33</v>
      </c>
      <c r="D19">
        <v>33</v>
      </c>
      <c r="E19">
        <v>20</v>
      </c>
    </row>
    <row r="20" spans="1:10">
      <c r="A20">
        <v>20251120</v>
      </c>
      <c r="E20">
        <v>13</v>
      </c>
      <c r="F20">
        <v>33</v>
      </c>
      <c r="G20">
        <v>33</v>
      </c>
      <c r="H20">
        <v>33</v>
      </c>
      <c r="I20">
        <v>33</v>
      </c>
    </row>
    <row r="21" spans="1:10">
      <c r="A21">
        <v>20251121</v>
      </c>
      <c r="J21">
        <v>33</v>
      </c>
    </row>
    <row r="22" spans="1:10">
      <c r="A22">
        <v>20251122</v>
      </c>
    </row>
    <row r="23" spans="1:10">
      <c r="A23">
        <v>20251123</v>
      </c>
    </row>
    <row r="24" spans="1:10">
      <c r="A24">
        <v>20251124</v>
      </c>
    </row>
  </sheetData>
  <mergeCells count="3">
    <mergeCell ref="B1:E1"/>
    <mergeCell ref="F1:I1"/>
    <mergeCell ref="B6:I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115" zoomScaleNormal="115" workbookViewId="0">
      <selection activeCell="C14" sqref="C14"/>
    </sheetView>
  </sheetViews>
  <sheetFormatPr defaultColWidth="9" defaultRowHeight="14.4" outlineLevelCol="7"/>
  <cols>
    <col min="1" max="8" width="20.7777777777778" style="3" customWidth="1"/>
    <col min="9" max="16384" width="8.88888888888889" style="3"/>
  </cols>
  <sheetData>
    <row r="1" spans="1:8">
      <c r="A1" s="4" t="s">
        <v>73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99</v>
      </c>
      <c r="H1" s="3" t="s">
        <v>100</v>
      </c>
    </row>
    <row r="2" spans="1:8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8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8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8">
      <c r="A5" s="3" t="s">
        <v>69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8">
      <c r="A6" s="3" t="s">
        <v>101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8">
      <c r="A7" s="3" t="s">
        <v>102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8">
      <c r="A8" s="3" t="s">
        <v>103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8">
      <c r="A9" s="3" t="s">
        <v>100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85" zoomScaleNormal="85" topLeftCell="P8" workbookViewId="0">
      <selection activeCell="AO16" sqref="AO16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104</v>
      </c>
      <c r="F1" s="2" t="s">
        <v>105</v>
      </c>
      <c r="G1" s="2" t="s">
        <v>106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</v>
      </c>
      <c r="C652" s="2">
        <f>Sheet1!F658</f>
        <v>0.0012537230562814</v>
      </c>
      <c r="D652" s="2">
        <f>Sheet1!G658</f>
        <v>0.816173709639191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</v>
      </c>
      <c r="C653" s="2">
        <f>Sheet1!F659</f>
        <v>0.00125180016815827</v>
      </c>
      <c r="D653" s="2">
        <f>Sheet1!G659</f>
        <v>0.816173709639191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</v>
      </c>
      <c r="C654" s="2">
        <f>Sheet1!F660</f>
        <v>0.00124988316943215</v>
      </c>
      <c r="D654" s="2">
        <f>Sheet1!G660</f>
        <v>0.816173709639191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</v>
      </c>
      <c r="C655" s="2">
        <f>Sheet1!F661</f>
        <v>0.00124797203308745</v>
      </c>
      <c r="D655" s="2">
        <f>Sheet1!G661</f>
        <v>0.816173709639191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</v>
      </c>
      <c r="C656" s="2">
        <f>Sheet1!F662</f>
        <v>0.00124606673227357</v>
      </c>
      <c r="D656" s="2">
        <f>Sheet1!G662</f>
        <v>0.816173709639191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</v>
      </c>
      <c r="C657" s="2">
        <f>Sheet1!F663</f>
        <v>0.00124416724030365</v>
      </c>
      <c r="D657" s="2">
        <f>Sheet1!G663</f>
        <v>0.816173709639191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</v>
      </c>
      <c r="C658" s="2">
        <f>Sheet1!F664</f>
        <v>0.00124227353065326</v>
      </c>
      <c r="D658" s="2">
        <f>Sheet1!G664</f>
        <v>0.816173709639191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</v>
      </c>
      <c r="C659" s="2">
        <f>Sheet1!F665</f>
        <v>0.00124038557695926</v>
      </c>
      <c r="D659" s="2">
        <f>Sheet1!G665</f>
        <v>0.816173709639191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</v>
      </c>
      <c r="C660" s="2">
        <f>Sheet1!F666</f>
        <v>0.0012385033530185</v>
      </c>
      <c r="D660" s="2">
        <f>Sheet1!G666</f>
        <v>0.816173709639191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</v>
      </c>
      <c r="C661" s="2">
        <f>Sheet1!F667</f>
        <v>0.00123662683278665</v>
      </c>
      <c r="D661" s="2">
        <f>Sheet1!G667</f>
        <v>0.816173709639191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</v>
      </c>
      <c r="C662" s="2">
        <f>Sheet1!F668</f>
        <v>0.00123475599037699</v>
      </c>
      <c r="D662" s="2">
        <f>Sheet1!G668</f>
        <v>0.816173709639191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</v>
      </c>
      <c r="C663" s="2">
        <f>Sheet1!F669</f>
        <v>0.0012328908000592</v>
      </c>
      <c r="D663" s="2">
        <f>Sheet1!G669</f>
        <v>0.816173709639191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0.00123103123625821</v>
      </c>
      <c r="D664" s="2">
        <f>Sheet1!G670</f>
        <v>0.816173709639191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0.001229177273553</v>
      </c>
      <c r="D665" s="2">
        <f>Sheet1!G671</f>
        <v>0.816173709639191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0.00122732888667548</v>
      </c>
      <c r="D666" s="2">
        <f>Sheet1!G672</f>
        <v>0.816173709639191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0.0012254860505093</v>
      </c>
      <c r="D667" s="2">
        <f>Sheet1!G673</f>
        <v>0.816173709639191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0.00122364874008874</v>
      </c>
      <c r="D668" s="2">
        <f>Sheet1!G674</f>
        <v>0.816173709639191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0.00122181693059759</v>
      </c>
      <c r="D669" s="2">
        <f>Sheet1!G675</f>
        <v>0.816173709639191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0.001219990597368</v>
      </c>
      <c r="D670" s="2">
        <f>Sheet1!G676</f>
        <v>0.816173709639191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0.00121816971587939</v>
      </c>
      <c r="D671" s="2">
        <f>Sheet1!G677</f>
        <v>0.816173709639191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0.00121635426175736</v>
      </c>
      <c r="D672" s="2">
        <f>Sheet1!G678</f>
        <v>0.816173709639191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0.00121454421077261</v>
      </c>
      <c r="D673" s="2">
        <f>Sheet1!G679</f>
        <v>0.816173709639191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0.00121273953883981</v>
      </c>
      <c r="D674" s="2">
        <f>Sheet1!G680</f>
        <v>0.816173709639191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0.0012109402220166</v>
      </c>
      <c r="D675" s="2">
        <f>Sheet1!G681</f>
        <v>0.816173709639191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0.00120914623650251</v>
      </c>
      <c r="D676" s="2">
        <f>Sheet1!G682</f>
        <v>0.816173709639191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0.00120735755863786</v>
      </c>
      <c r="D677" s="2">
        <f>Sheet1!G683</f>
        <v>0.816173709639191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0.00120557416490279</v>
      </c>
      <c r="D678" s="2">
        <f>Sheet1!G684</f>
        <v>0.816173709639191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0.00120379603191621</v>
      </c>
      <c r="D679" s="2">
        <f>Sheet1!G685</f>
        <v>0.816173709639191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0.00120202313643474</v>
      </c>
      <c r="D680" s="2">
        <f>Sheet1!G686</f>
        <v>0.816173709639191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0.00120025545535175</v>
      </c>
      <c r="D681" s="2">
        <f>Sheet1!G687</f>
        <v>0.816173709639191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0.00119849296569632</v>
      </c>
      <c r="D682" s="2">
        <f>Sheet1!G688</f>
        <v>0.816173709639191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0.00119673564463225</v>
      </c>
      <c r="D683" s="2">
        <f>Sheet1!G689</f>
        <v>0.816173709639191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0.00119498346945709</v>
      </c>
      <c r="D684" s="2">
        <f>Sheet1!G690</f>
        <v>0.816173709639191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2025-11-22T00:55:29Z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