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7" r:id="rId2"/>
    <sheet name="Sheet3" sheetId="2" r:id="rId3"/>
    <sheet name="Sheet4" sheetId="3" r:id="rId4"/>
  </sheets>
  <definedNames>
    <definedName name="_xlnm._FilterDatabase" localSheetId="0" hidden="1">Sheet1!$A$1:$AZ$690</definedName>
    <definedName name="_xlnm._FilterDatabase" localSheetId="3" hidden="1">Sheet4!$A$1:$D$318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<sst xmlns="http://schemas.openxmlformats.org/spreadsheetml/2006/main" count="409" uniqueCount="128">
  <si>
    <t>日期</t>
  </si>
  <si>
    <t>倒计时</t>
  </si>
  <si>
    <t>超时</t>
  </si>
  <si>
    <t>预期剩余时间</t>
  </si>
  <si>
    <t>日均进度变化</t>
  </si>
  <si>
    <t>日均进度</t>
  </si>
  <si>
    <t>总进度</t>
  </si>
  <si>
    <t>阶段：难度+熟练</t>
  </si>
  <si>
    <t>阶段修正</t>
  </si>
  <si>
    <t>若维持最终完成度</t>
  </si>
  <si>
    <t>剩余目标日均进度</t>
  </si>
  <si>
    <t>每日进度（数理）</t>
  </si>
  <si>
    <t>变动：教材掌握度</t>
  </si>
  <si>
    <t>持续：教材掌握度</t>
  </si>
  <si>
    <t>极限测试-总量</t>
  </si>
  <si>
    <t>极限测试-难题</t>
  </si>
  <si>
    <t>难度因子</t>
  </si>
  <si>
    <t>极限测试-耗时(秒)</t>
  </si>
  <si>
    <t>时间因子</t>
  </si>
  <si>
    <t>极限测试-正确</t>
  </si>
  <si>
    <t>精度因子</t>
  </si>
  <si>
    <t>极限测试-分步</t>
  </si>
  <si>
    <t>步骤因子</t>
  </si>
  <si>
    <t>极限测试-得分</t>
  </si>
  <si>
    <t>总结</t>
  </si>
  <si>
    <t>重点</t>
  </si>
  <si>
    <t>恒温</t>
  </si>
  <si>
    <t>歼灭</t>
  </si>
  <si>
    <t>包围</t>
  </si>
  <si>
    <t>自证</t>
  </si>
  <si>
    <t>搬砖</t>
  </si>
  <si>
    <t>计划</t>
  </si>
  <si>
    <t>重开</t>
  </si>
  <si>
    <t>兴趣</t>
  </si>
  <si>
    <t>违心：确率变动</t>
  </si>
  <si>
    <t>违心：覆盖变动</t>
  </si>
  <si>
    <t>违心：确率持续</t>
  </si>
  <si>
    <t>违心：覆盖持续</t>
  </si>
  <si>
    <t>违心：综合持续</t>
  </si>
  <si>
    <t>当前状态</t>
  </si>
  <si>
    <t>状态记录</t>
  </si>
  <si>
    <t>睡眠</t>
  </si>
  <si>
    <t>锻炼</t>
  </si>
  <si>
    <t>禁欲</t>
  </si>
  <si>
    <t>晚休</t>
  </si>
  <si>
    <t>午休</t>
  </si>
  <si>
    <t>早上起床</t>
  </si>
  <si>
    <t>中午休息</t>
  </si>
  <si>
    <t>下午起床</t>
  </si>
  <si>
    <t>晚上休息</t>
  </si>
  <si>
    <t>锻炼记录</t>
  </si>
  <si>
    <t>禁欲记录</t>
  </si>
  <si>
    <t>可用</t>
  </si>
  <si>
    <t>NA</t>
  </si>
  <si>
    <t>总计</t>
  </si>
  <si>
    <t>权重</t>
  </si>
  <si>
    <t>归一化</t>
  </si>
  <si>
    <t>每次</t>
  </si>
  <si>
    <t>累积</t>
  </si>
  <si>
    <t>机构</t>
  </si>
  <si>
    <t>金榜时代</t>
  </si>
  <si>
    <t>新东方</t>
  </si>
  <si>
    <t>笔记做题</t>
  </si>
  <si>
    <t>书名</t>
  </si>
  <si>
    <t>讲义</t>
  </si>
  <si>
    <t>660题</t>
  </si>
  <si>
    <t>易错题</t>
  </si>
  <si>
    <t>严选题</t>
  </si>
  <si>
    <t>2021习题</t>
  </si>
  <si>
    <t>2022习题</t>
  </si>
  <si>
    <t>真题</t>
  </si>
  <si>
    <t>x=Cy</t>
  </si>
  <si>
    <t>页数</t>
  </si>
  <si>
    <t>算1题</t>
  </si>
  <si>
    <t>特征值</t>
  </si>
  <si>
    <t>特征向量</t>
  </si>
  <si>
    <t>齐次通解</t>
  </si>
  <si>
    <t>非齐次特解</t>
  </si>
  <si>
    <t>求出C逆</t>
  </si>
  <si>
    <t>求出C</t>
  </si>
  <si>
    <t>目前</t>
  </si>
  <si>
    <t>进度</t>
  </si>
  <si>
    <t>平均</t>
  </si>
  <si>
    <t>年份</t>
  </si>
  <si>
    <t>专业选择</t>
  </si>
  <si>
    <t>专业大题</t>
  </si>
  <si>
    <t>数学选择</t>
  </si>
  <si>
    <t>数学填空</t>
  </si>
  <si>
    <t>数学大题</t>
  </si>
  <si>
    <t>专业总分</t>
  </si>
  <si>
    <t>数学总分</t>
  </si>
  <si>
    <t>专选比值</t>
  </si>
  <si>
    <t>专大比值</t>
  </si>
  <si>
    <t>数选比值</t>
  </si>
  <si>
    <t>数填比值</t>
  </si>
  <si>
    <t>数大比值</t>
  </si>
  <si>
    <t>专总比值</t>
  </si>
  <si>
    <t>数总比值</t>
  </si>
  <si>
    <t>总分值</t>
  </si>
  <si>
    <t>卷名</t>
  </si>
  <si>
    <t>徐涛</t>
  </si>
  <si>
    <t>肖八</t>
  </si>
  <si>
    <t>肖国内事</t>
  </si>
  <si>
    <t>肖国外事</t>
  </si>
  <si>
    <t>肖4</t>
  </si>
  <si>
    <t>卷号</t>
  </si>
  <si>
    <t>(1/7)</t>
  </si>
  <si>
    <t>(2/7)</t>
  </si>
  <si>
    <t>(3/7)</t>
  </si>
  <si>
    <t>(4/7)</t>
  </si>
  <si>
    <t>(5/7)</t>
  </si>
  <si>
    <t>(6/7)</t>
  </si>
  <si>
    <t>(7/7)</t>
  </si>
  <si>
    <t>(1/3)</t>
  </si>
  <si>
    <t>马原</t>
  </si>
  <si>
    <t>毛概</t>
  </si>
  <si>
    <t>近代</t>
  </si>
  <si>
    <t>思修</t>
  </si>
  <si>
    <t>新时</t>
  </si>
  <si>
    <t>综合</t>
  </si>
  <si>
    <t>时政</t>
  </si>
  <si>
    <t>真题（章节）</t>
  </si>
  <si>
    <t>冲刺300</t>
  </si>
  <si>
    <t>每日</t>
  </si>
  <si>
    <t>笔记复习</t>
  </si>
  <si>
    <t>身体状态</t>
  </si>
  <si>
    <t>目标</t>
  </si>
  <si>
    <t>目标（除政治）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</si>
</sst>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00_ "/>
    <numFmt numFmtId="178" formatCode="0_ "/>
    <numFmt numFmtId="179" formatCode="0.000000%"/>
    <numFmt numFmtId="180" formatCode="0.0000%"/>
    <numFmt numFmtId="181" formatCode="0.00_ "/>
    <numFmt numFmtId="182" formatCode="h:mm;@"/>
    <numFmt numFmtId="183" formatCode="yyyy&quot;年&quot;m&quot;月&quot;d&quot;日&quot;;@"/>
  </numFmts>
  <fonts count="31">
    <font>
      <sz val="11"/>
      <name val="宋体"/>
      <charset val="134"/>
    </font>
    <font>
      <sz val="11"/>
      <color rgb="FFFF0000"/>
      <name val="宋体"/>
      <charset val="134"/>
    </font>
    <font>
      <sz val="11"/>
      <color rgb="FFC00000"/>
      <name val="宋体"/>
      <charset val="134"/>
    </font>
    <font>
      <sz val="11"/>
      <color rgb="FFFFFF00"/>
      <name val="宋体"/>
      <charset val="134"/>
    </font>
    <font>
      <sz val="11"/>
      <color rgb="FFFFC000"/>
      <name val="宋体"/>
      <charset val="134"/>
    </font>
    <font>
      <b/>
      <sz val="11"/>
      <name val="宋体"/>
      <charset val="134"/>
    </font>
    <font>
      <sz val="10"/>
      <color rgb="FF000000"/>
      <name val="serif"/>
      <charset val="134"/>
    </font>
    <font>
      <b/>
      <sz val="11"/>
      <color rgb="FFFFFFFF"/>
      <name val="宋体"/>
      <charset val="134"/>
    </font>
    <font>
      <sz val="11"/>
      <name val="serif"/>
      <charset val="134"/>
    </font>
    <font>
      <b/>
      <sz val="10"/>
      <color rgb="FFFFFFFF"/>
      <name val="宋体"/>
      <charset val="134"/>
    </font>
    <font>
      <b/>
      <sz val="10"/>
      <color rgb="FFFFFFFF"/>
      <name val="serif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A5A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10" fontId="0" fillId="0" borderId="0" xfId="0" applyNumberFormat="1" applyFont="1">
      <alignment vertical="center"/>
    </xf>
    <xf numFmtId="0" fontId="0" fillId="0" borderId="0" xfId="0" applyFont="1">
      <alignment vertical="center"/>
    </xf>
    <xf numFmtId="10" fontId="6" fillId="0" borderId="1" xfId="0" applyNumberFormat="1" applyFont="1" applyFill="1" applyBorder="1" applyAlignment="1">
      <alignment horizontal="center" vertical="center" wrapText="1"/>
    </xf>
    <xf numFmtId="181" fontId="6" fillId="0" borderId="1" xfId="0" applyNumberFormat="1" applyFont="1" applyFill="1" applyBorder="1" applyAlignment="1">
      <alignment horizontal="center" vertical="center" wrapText="1"/>
    </xf>
    <xf numFmtId="177" fontId="0" fillId="0" borderId="0" xfId="0" applyNumberFormat="1" applyFont="1">
      <alignment vertical="center"/>
    </xf>
    <xf numFmtId="182" fontId="0" fillId="0" borderId="0" xfId="0" applyNumberFormat="1" applyFo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178" fontId="5" fillId="0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 wrapText="1"/>
    </xf>
    <xf numFmtId="180" fontId="5" fillId="0" borderId="1" xfId="0" applyNumberFormat="1" applyFont="1" applyFill="1" applyBorder="1" applyAlignment="1">
      <alignment horizontal="center" vertical="center" wrapText="1"/>
    </xf>
    <xf numFmtId="1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 wrapText="1"/>
    </xf>
    <xf numFmtId="182" fontId="5" fillId="0" borderId="1" xfId="0" applyNumberFormat="1" applyFont="1" applyFill="1" applyBorder="1" applyAlignment="1">
      <alignment horizontal="center" vertical="center" wrapText="1"/>
    </xf>
    <xf numFmtId="183" fontId="6" fillId="0" borderId="3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0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82" fontId="8" fillId="0" borderId="1" xfId="0" applyNumberFormat="1" applyFont="1" applyFill="1" applyBorder="1" applyAlignment="1">
      <alignment horizontal="center" vertical="center" wrapText="1"/>
    </xf>
    <xf numFmtId="178" fontId="8" fillId="0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31" fontId="10" fillId="2" borderId="2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82" fontId="6" fillId="0" borderId="1" xfId="0" applyNumberFormat="1" applyFont="1" applyFill="1" applyBorder="1" applyAlignment="1">
      <alignment horizontal="center" vertical="center" wrapText="1"/>
    </xf>
    <xf numFmtId="178" fontId="6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FF0000"/>
      </font>
    </dxf>
    <dxf>
      <font>
        <color rgb="FFFF8080"/>
      </font>
    </dxf>
    <dxf>
      <font>
        <b val="1"/>
        <i val="0"/>
        <color rgb="FF800000"/>
      </font>
    </dxf>
    <dxf>
      <font>
        <b val="0"/>
        <i val="0"/>
        <color rgb="FFFF8080"/>
      </font>
    </dxf>
  </dxfs>
  <tableStyles count="0" defaultTableStyle="TableStyleMedium2" defaultPivotStyle="PivotStyleLight16"/>
  <colors>
    <mruColors>
      <color rgb="00FF4040"/>
      <color rgb="00FF8080"/>
      <color rgb="008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"/>
        <c:varyColors val="0"/>
        <c:ser>
          <c:idx val="2"/>
          <c:order val="2"/>
          <c:tx>
            <c:strRef>
              <c:f>Sheet4!$C$1</c:f>
              <c:strCache>
                <c:ptCount val="1"/>
                <c:pt idx="0">
                  <c:v>日均进度</c:v>
                </c:pt>
              </c:strCache>
            </c:strRef>
          </c:tx>
          <c:spPr>
            <a:ln w="28575" cap="rnd" cmpd="sng">
              <a:solidFill>
                <a:srgbClr val="FF0000"/>
              </a:solidFill>
              <a:prstDash val="solid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xVal>
            <c:numRef>
              <c:f>Sheet4!$A$2:$A$684</c:f>
              <c:numCache>
                <c:formatCode>m"月"d"日";@</c:formatCode>
                <c:ptCount val="683"/>
                <c:pt idx="0">
                  <c:v>45333</c:v>
                </c:pt>
                <c:pt idx="1">
                  <c:v>45334</c:v>
                </c:pt>
                <c:pt idx="2">
                  <c:v>45335</c:v>
                </c:pt>
                <c:pt idx="3">
                  <c:v>45336</c:v>
                </c:pt>
                <c:pt idx="4">
                  <c:v>45337</c:v>
                </c:pt>
                <c:pt idx="5">
                  <c:v>45338</c:v>
                </c:pt>
                <c:pt idx="6">
                  <c:v>45339</c:v>
                </c:pt>
                <c:pt idx="7">
                  <c:v>45340</c:v>
                </c:pt>
                <c:pt idx="8">
                  <c:v>45341</c:v>
                </c:pt>
                <c:pt idx="9">
                  <c:v>45342</c:v>
                </c:pt>
                <c:pt idx="10">
                  <c:v>45343</c:v>
                </c:pt>
                <c:pt idx="11">
                  <c:v>45344</c:v>
                </c:pt>
                <c:pt idx="12">
                  <c:v>45345</c:v>
                </c:pt>
                <c:pt idx="13">
                  <c:v>45346</c:v>
                </c:pt>
                <c:pt idx="14">
                  <c:v>45347</c:v>
                </c:pt>
                <c:pt idx="15">
                  <c:v>45348</c:v>
                </c:pt>
                <c:pt idx="16">
                  <c:v>45349</c:v>
                </c:pt>
                <c:pt idx="17">
                  <c:v>45350</c:v>
                </c:pt>
                <c:pt idx="18">
                  <c:v>45351</c:v>
                </c:pt>
                <c:pt idx="19">
                  <c:v>45352</c:v>
                </c:pt>
                <c:pt idx="20">
                  <c:v>45353</c:v>
                </c:pt>
                <c:pt idx="21">
                  <c:v>45354</c:v>
                </c:pt>
                <c:pt idx="22">
                  <c:v>45355</c:v>
                </c:pt>
                <c:pt idx="23">
                  <c:v>45356</c:v>
                </c:pt>
                <c:pt idx="24">
                  <c:v>45357</c:v>
                </c:pt>
                <c:pt idx="25">
                  <c:v>45358</c:v>
                </c:pt>
                <c:pt idx="26">
                  <c:v>45359</c:v>
                </c:pt>
                <c:pt idx="27">
                  <c:v>45360</c:v>
                </c:pt>
                <c:pt idx="28">
                  <c:v>45361</c:v>
                </c:pt>
                <c:pt idx="29">
                  <c:v>45362</c:v>
                </c:pt>
                <c:pt idx="30">
                  <c:v>45363</c:v>
                </c:pt>
                <c:pt idx="31">
                  <c:v>45364</c:v>
                </c:pt>
                <c:pt idx="32">
                  <c:v>45365</c:v>
                </c:pt>
                <c:pt idx="33">
                  <c:v>45366</c:v>
                </c:pt>
                <c:pt idx="34">
                  <c:v>45367</c:v>
                </c:pt>
                <c:pt idx="35">
                  <c:v>45368</c:v>
                </c:pt>
                <c:pt idx="36">
                  <c:v>45369</c:v>
                </c:pt>
                <c:pt idx="37">
                  <c:v>45370</c:v>
                </c:pt>
                <c:pt idx="38">
                  <c:v>45371</c:v>
                </c:pt>
                <c:pt idx="39">
                  <c:v>45372</c:v>
                </c:pt>
                <c:pt idx="40">
                  <c:v>45373</c:v>
                </c:pt>
                <c:pt idx="41">
                  <c:v>45374</c:v>
                </c:pt>
                <c:pt idx="42">
                  <c:v>45375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45380</c:v>
                </c:pt>
                <c:pt idx="48">
                  <c:v>45381</c:v>
                </c:pt>
                <c:pt idx="49">
                  <c:v>45382</c:v>
                </c:pt>
                <c:pt idx="50">
                  <c:v>45383</c:v>
                </c:pt>
                <c:pt idx="51">
                  <c:v>45384</c:v>
                </c:pt>
                <c:pt idx="52">
                  <c:v>45385</c:v>
                </c:pt>
                <c:pt idx="53">
                  <c:v>45386</c:v>
                </c:pt>
                <c:pt idx="54">
                  <c:v>45387</c:v>
                </c:pt>
                <c:pt idx="55">
                  <c:v>45388</c:v>
                </c:pt>
                <c:pt idx="56">
                  <c:v>45389</c:v>
                </c:pt>
                <c:pt idx="57">
                  <c:v>45390</c:v>
                </c:pt>
                <c:pt idx="58">
                  <c:v>45391</c:v>
                </c:pt>
                <c:pt idx="59">
                  <c:v>45392</c:v>
                </c:pt>
                <c:pt idx="60">
                  <c:v>45393</c:v>
                </c:pt>
                <c:pt idx="61">
                  <c:v>45394</c:v>
                </c:pt>
                <c:pt idx="62">
                  <c:v>45395</c:v>
                </c:pt>
                <c:pt idx="63">
                  <c:v>45396</c:v>
                </c:pt>
                <c:pt idx="64">
                  <c:v>45397</c:v>
                </c:pt>
                <c:pt idx="65">
                  <c:v>45398</c:v>
                </c:pt>
                <c:pt idx="66">
                  <c:v>45399</c:v>
                </c:pt>
                <c:pt idx="67">
                  <c:v>45400</c:v>
                </c:pt>
                <c:pt idx="68">
                  <c:v>45401</c:v>
                </c:pt>
                <c:pt idx="69">
                  <c:v>45402</c:v>
                </c:pt>
                <c:pt idx="70">
                  <c:v>45403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45409</c:v>
                </c:pt>
                <c:pt idx="77">
                  <c:v>45410</c:v>
                </c:pt>
                <c:pt idx="78">
                  <c:v>45411</c:v>
                </c:pt>
                <c:pt idx="79">
                  <c:v>45412</c:v>
                </c:pt>
                <c:pt idx="80">
                  <c:v>45413</c:v>
                </c:pt>
                <c:pt idx="81">
                  <c:v>45414</c:v>
                </c:pt>
                <c:pt idx="82">
                  <c:v>45415</c:v>
                </c:pt>
                <c:pt idx="83">
                  <c:v>45416</c:v>
                </c:pt>
                <c:pt idx="84">
                  <c:v>45417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45423</c:v>
                </c:pt>
                <c:pt idx="91">
                  <c:v>45424</c:v>
                </c:pt>
                <c:pt idx="92">
                  <c:v>45425</c:v>
                </c:pt>
                <c:pt idx="93">
                  <c:v>45426</c:v>
                </c:pt>
                <c:pt idx="94">
                  <c:v>45427</c:v>
                </c:pt>
                <c:pt idx="95">
                  <c:v>45428</c:v>
                </c:pt>
                <c:pt idx="96">
                  <c:v>45429</c:v>
                </c:pt>
                <c:pt idx="97">
                  <c:v>45430</c:v>
                </c:pt>
                <c:pt idx="98">
                  <c:v>45431</c:v>
                </c:pt>
                <c:pt idx="99">
                  <c:v>45432</c:v>
                </c:pt>
                <c:pt idx="100">
                  <c:v>45433</c:v>
                </c:pt>
                <c:pt idx="101">
                  <c:v>45434</c:v>
                </c:pt>
                <c:pt idx="102">
                  <c:v>45435</c:v>
                </c:pt>
                <c:pt idx="103">
                  <c:v>45436</c:v>
                </c:pt>
                <c:pt idx="104">
                  <c:v>45437</c:v>
                </c:pt>
                <c:pt idx="105">
                  <c:v>45438</c:v>
                </c:pt>
                <c:pt idx="106">
                  <c:v>45439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45444</c:v>
                </c:pt>
                <c:pt idx="112">
                  <c:v>45445</c:v>
                </c:pt>
                <c:pt idx="113">
                  <c:v>45446</c:v>
                </c:pt>
                <c:pt idx="114">
                  <c:v>45447</c:v>
                </c:pt>
                <c:pt idx="115">
                  <c:v>45448</c:v>
                </c:pt>
                <c:pt idx="116">
                  <c:v>45449</c:v>
                </c:pt>
                <c:pt idx="117">
                  <c:v>45450</c:v>
                </c:pt>
                <c:pt idx="118">
                  <c:v>45451</c:v>
                </c:pt>
                <c:pt idx="119">
                  <c:v>45452</c:v>
                </c:pt>
                <c:pt idx="120">
                  <c:v>45453</c:v>
                </c:pt>
                <c:pt idx="121">
                  <c:v>45454</c:v>
                </c:pt>
                <c:pt idx="122">
                  <c:v>45455</c:v>
                </c:pt>
                <c:pt idx="123">
                  <c:v>45456</c:v>
                </c:pt>
                <c:pt idx="124">
                  <c:v>45457</c:v>
                </c:pt>
                <c:pt idx="125">
                  <c:v>45458</c:v>
                </c:pt>
                <c:pt idx="126">
                  <c:v>45459</c:v>
                </c:pt>
                <c:pt idx="127">
                  <c:v>45460</c:v>
                </c:pt>
                <c:pt idx="128">
                  <c:v>45461</c:v>
                </c:pt>
                <c:pt idx="129">
                  <c:v>45462</c:v>
                </c:pt>
                <c:pt idx="130">
                  <c:v>45463</c:v>
                </c:pt>
                <c:pt idx="131">
                  <c:v>45464</c:v>
                </c:pt>
                <c:pt idx="132">
                  <c:v>45465</c:v>
                </c:pt>
                <c:pt idx="133">
                  <c:v>45466</c:v>
                </c:pt>
                <c:pt idx="134">
                  <c:v>45467</c:v>
                </c:pt>
                <c:pt idx="135">
                  <c:v>45468</c:v>
                </c:pt>
                <c:pt idx="136">
                  <c:v>45469</c:v>
                </c:pt>
                <c:pt idx="137">
                  <c:v>45470</c:v>
                </c:pt>
                <c:pt idx="138">
                  <c:v>45471</c:v>
                </c:pt>
                <c:pt idx="139">
                  <c:v>45472</c:v>
                </c:pt>
                <c:pt idx="140">
                  <c:v>45473</c:v>
                </c:pt>
                <c:pt idx="141">
                  <c:v>45474</c:v>
                </c:pt>
                <c:pt idx="142">
                  <c:v>45475</c:v>
                </c:pt>
                <c:pt idx="143">
                  <c:v>45476</c:v>
                </c:pt>
                <c:pt idx="144">
                  <c:v>45477</c:v>
                </c:pt>
                <c:pt idx="145">
                  <c:v>45478</c:v>
                </c:pt>
                <c:pt idx="146">
                  <c:v>45479</c:v>
                </c:pt>
                <c:pt idx="147">
                  <c:v>45480</c:v>
                </c:pt>
                <c:pt idx="148">
                  <c:v>45481</c:v>
                </c:pt>
                <c:pt idx="149">
                  <c:v>45482</c:v>
                </c:pt>
                <c:pt idx="150">
                  <c:v>45483</c:v>
                </c:pt>
                <c:pt idx="151">
                  <c:v>45484</c:v>
                </c:pt>
                <c:pt idx="152">
                  <c:v>45485</c:v>
                </c:pt>
                <c:pt idx="153">
                  <c:v>45486</c:v>
                </c:pt>
                <c:pt idx="154">
                  <c:v>45487</c:v>
                </c:pt>
                <c:pt idx="155">
                  <c:v>45488</c:v>
                </c:pt>
                <c:pt idx="156">
                  <c:v>45489</c:v>
                </c:pt>
                <c:pt idx="157">
                  <c:v>45490</c:v>
                </c:pt>
                <c:pt idx="158">
                  <c:v>45491</c:v>
                </c:pt>
                <c:pt idx="159">
                  <c:v>45492</c:v>
                </c:pt>
                <c:pt idx="160">
                  <c:v>45493</c:v>
                </c:pt>
                <c:pt idx="161">
                  <c:v>45494</c:v>
                </c:pt>
                <c:pt idx="162">
                  <c:v>45495</c:v>
                </c:pt>
                <c:pt idx="163">
                  <c:v>45496</c:v>
                </c:pt>
                <c:pt idx="164">
                  <c:v>45497</c:v>
                </c:pt>
                <c:pt idx="165">
                  <c:v>45498</c:v>
                </c:pt>
                <c:pt idx="166">
                  <c:v>45499</c:v>
                </c:pt>
                <c:pt idx="167">
                  <c:v>45500</c:v>
                </c:pt>
                <c:pt idx="168">
                  <c:v>45501</c:v>
                </c:pt>
                <c:pt idx="169">
                  <c:v>45502</c:v>
                </c:pt>
                <c:pt idx="170">
                  <c:v>45503</c:v>
                </c:pt>
                <c:pt idx="171">
                  <c:v>45504</c:v>
                </c:pt>
                <c:pt idx="172">
                  <c:v>45505</c:v>
                </c:pt>
                <c:pt idx="173">
                  <c:v>45506</c:v>
                </c:pt>
                <c:pt idx="174">
                  <c:v>45507</c:v>
                </c:pt>
                <c:pt idx="175">
                  <c:v>45508</c:v>
                </c:pt>
                <c:pt idx="176">
                  <c:v>45509</c:v>
                </c:pt>
                <c:pt idx="177">
                  <c:v>45510</c:v>
                </c:pt>
                <c:pt idx="178">
                  <c:v>45511</c:v>
                </c:pt>
                <c:pt idx="179">
                  <c:v>45512</c:v>
                </c:pt>
                <c:pt idx="180">
                  <c:v>45513</c:v>
                </c:pt>
                <c:pt idx="181">
                  <c:v>45514</c:v>
                </c:pt>
                <c:pt idx="182">
                  <c:v>45515</c:v>
                </c:pt>
                <c:pt idx="183">
                  <c:v>45516</c:v>
                </c:pt>
                <c:pt idx="184">
                  <c:v>45517</c:v>
                </c:pt>
                <c:pt idx="185">
                  <c:v>45518</c:v>
                </c:pt>
                <c:pt idx="186">
                  <c:v>45519</c:v>
                </c:pt>
                <c:pt idx="187">
                  <c:v>45520</c:v>
                </c:pt>
                <c:pt idx="188">
                  <c:v>45521</c:v>
                </c:pt>
                <c:pt idx="189">
                  <c:v>45522</c:v>
                </c:pt>
                <c:pt idx="190">
                  <c:v>45523</c:v>
                </c:pt>
                <c:pt idx="191">
                  <c:v>45524</c:v>
                </c:pt>
                <c:pt idx="192">
                  <c:v>45525</c:v>
                </c:pt>
                <c:pt idx="193">
                  <c:v>45526</c:v>
                </c:pt>
                <c:pt idx="194">
                  <c:v>45527</c:v>
                </c:pt>
                <c:pt idx="195">
                  <c:v>45528</c:v>
                </c:pt>
                <c:pt idx="196">
                  <c:v>45529</c:v>
                </c:pt>
                <c:pt idx="197">
                  <c:v>45530</c:v>
                </c:pt>
                <c:pt idx="198">
                  <c:v>45531</c:v>
                </c:pt>
                <c:pt idx="199">
                  <c:v>45532</c:v>
                </c:pt>
                <c:pt idx="200">
                  <c:v>45533</c:v>
                </c:pt>
                <c:pt idx="201">
                  <c:v>45534</c:v>
                </c:pt>
                <c:pt idx="202">
                  <c:v>45535</c:v>
                </c:pt>
                <c:pt idx="203">
                  <c:v>45536</c:v>
                </c:pt>
                <c:pt idx="204">
                  <c:v>45537</c:v>
                </c:pt>
                <c:pt idx="205">
                  <c:v>45538</c:v>
                </c:pt>
                <c:pt idx="206">
                  <c:v>45539</c:v>
                </c:pt>
                <c:pt idx="207">
                  <c:v>45540</c:v>
                </c:pt>
                <c:pt idx="208">
                  <c:v>45541</c:v>
                </c:pt>
                <c:pt idx="209">
                  <c:v>45542</c:v>
                </c:pt>
                <c:pt idx="210">
                  <c:v>45543</c:v>
                </c:pt>
                <c:pt idx="211">
                  <c:v>45544</c:v>
                </c:pt>
                <c:pt idx="212">
                  <c:v>45545</c:v>
                </c:pt>
                <c:pt idx="213">
                  <c:v>45546</c:v>
                </c:pt>
                <c:pt idx="214">
                  <c:v>45547</c:v>
                </c:pt>
                <c:pt idx="215">
                  <c:v>45548</c:v>
                </c:pt>
                <c:pt idx="216">
                  <c:v>45549</c:v>
                </c:pt>
                <c:pt idx="217">
                  <c:v>45550</c:v>
                </c:pt>
                <c:pt idx="218">
                  <c:v>45551</c:v>
                </c:pt>
                <c:pt idx="219">
                  <c:v>45552</c:v>
                </c:pt>
                <c:pt idx="220">
                  <c:v>45553</c:v>
                </c:pt>
                <c:pt idx="221">
                  <c:v>45554</c:v>
                </c:pt>
                <c:pt idx="222">
                  <c:v>45555</c:v>
                </c:pt>
                <c:pt idx="223">
                  <c:v>45556</c:v>
                </c:pt>
                <c:pt idx="224">
                  <c:v>45557</c:v>
                </c:pt>
                <c:pt idx="225">
                  <c:v>45558</c:v>
                </c:pt>
                <c:pt idx="226">
                  <c:v>45559</c:v>
                </c:pt>
                <c:pt idx="227">
                  <c:v>45560</c:v>
                </c:pt>
                <c:pt idx="228">
                  <c:v>45561</c:v>
                </c:pt>
                <c:pt idx="229">
                  <c:v>45562</c:v>
                </c:pt>
                <c:pt idx="230">
                  <c:v>45563</c:v>
                </c:pt>
                <c:pt idx="231">
                  <c:v>45564</c:v>
                </c:pt>
                <c:pt idx="232">
                  <c:v>45565</c:v>
                </c:pt>
                <c:pt idx="233">
                  <c:v>45566</c:v>
                </c:pt>
                <c:pt idx="234">
                  <c:v>45567</c:v>
                </c:pt>
                <c:pt idx="235">
                  <c:v>45568</c:v>
                </c:pt>
                <c:pt idx="236">
                  <c:v>45569</c:v>
                </c:pt>
                <c:pt idx="237">
                  <c:v>45570</c:v>
                </c:pt>
                <c:pt idx="238">
                  <c:v>45571</c:v>
                </c:pt>
                <c:pt idx="239">
                  <c:v>45572</c:v>
                </c:pt>
                <c:pt idx="240">
                  <c:v>45573</c:v>
                </c:pt>
                <c:pt idx="241">
                  <c:v>45574</c:v>
                </c:pt>
                <c:pt idx="242">
                  <c:v>45575</c:v>
                </c:pt>
                <c:pt idx="243">
                  <c:v>45576</c:v>
                </c:pt>
                <c:pt idx="244">
                  <c:v>45577</c:v>
                </c:pt>
                <c:pt idx="245">
                  <c:v>45578</c:v>
                </c:pt>
                <c:pt idx="246">
                  <c:v>45579</c:v>
                </c:pt>
                <c:pt idx="247">
                  <c:v>45580</c:v>
                </c:pt>
                <c:pt idx="248">
                  <c:v>45581</c:v>
                </c:pt>
                <c:pt idx="249">
                  <c:v>45582</c:v>
                </c:pt>
                <c:pt idx="250">
                  <c:v>45583</c:v>
                </c:pt>
                <c:pt idx="251">
                  <c:v>45584</c:v>
                </c:pt>
                <c:pt idx="252">
                  <c:v>45585</c:v>
                </c:pt>
                <c:pt idx="253">
                  <c:v>45586</c:v>
                </c:pt>
                <c:pt idx="254">
                  <c:v>45587</c:v>
                </c:pt>
                <c:pt idx="255">
                  <c:v>45588</c:v>
                </c:pt>
                <c:pt idx="256">
                  <c:v>45589</c:v>
                </c:pt>
                <c:pt idx="257">
                  <c:v>45590</c:v>
                </c:pt>
                <c:pt idx="258">
                  <c:v>45591</c:v>
                </c:pt>
                <c:pt idx="259">
                  <c:v>45592</c:v>
                </c:pt>
                <c:pt idx="260">
                  <c:v>45593</c:v>
                </c:pt>
                <c:pt idx="261">
                  <c:v>45594</c:v>
                </c:pt>
                <c:pt idx="262">
                  <c:v>45595</c:v>
                </c:pt>
                <c:pt idx="263">
                  <c:v>45596</c:v>
                </c:pt>
                <c:pt idx="264">
                  <c:v>45597</c:v>
                </c:pt>
                <c:pt idx="265">
                  <c:v>45598</c:v>
                </c:pt>
                <c:pt idx="266">
                  <c:v>45599</c:v>
                </c:pt>
                <c:pt idx="267">
                  <c:v>45600</c:v>
                </c:pt>
                <c:pt idx="268">
                  <c:v>45601</c:v>
                </c:pt>
                <c:pt idx="269">
                  <c:v>45602</c:v>
                </c:pt>
                <c:pt idx="270">
                  <c:v>45603</c:v>
                </c:pt>
                <c:pt idx="271">
                  <c:v>45604</c:v>
                </c:pt>
                <c:pt idx="272">
                  <c:v>45605</c:v>
                </c:pt>
                <c:pt idx="273">
                  <c:v>45606</c:v>
                </c:pt>
                <c:pt idx="274">
                  <c:v>45607</c:v>
                </c:pt>
                <c:pt idx="275">
                  <c:v>45608</c:v>
                </c:pt>
                <c:pt idx="276">
                  <c:v>45609</c:v>
                </c:pt>
                <c:pt idx="277">
                  <c:v>45610</c:v>
                </c:pt>
                <c:pt idx="278">
                  <c:v>45611</c:v>
                </c:pt>
                <c:pt idx="279">
                  <c:v>45612</c:v>
                </c:pt>
                <c:pt idx="280">
                  <c:v>45613</c:v>
                </c:pt>
                <c:pt idx="281">
                  <c:v>45614</c:v>
                </c:pt>
                <c:pt idx="282">
                  <c:v>45615</c:v>
                </c:pt>
                <c:pt idx="283">
                  <c:v>45616</c:v>
                </c:pt>
                <c:pt idx="284">
                  <c:v>45617</c:v>
                </c:pt>
                <c:pt idx="285">
                  <c:v>45618</c:v>
                </c:pt>
                <c:pt idx="286">
                  <c:v>45619</c:v>
                </c:pt>
                <c:pt idx="287">
                  <c:v>45620</c:v>
                </c:pt>
                <c:pt idx="288">
                  <c:v>45621</c:v>
                </c:pt>
                <c:pt idx="289">
                  <c:v>45622</c:v>
                </c:pt>
                <c:pt idx="290">
                  <c:v>45623</c:v>
                </c:pt>
                <c:pt idx="291">
                  <c:v>45624</c:v>
                </c:pt>
                <c:pt idx="292">
                  <c:v>45625</c:v>
                </c:pt>
                <c:pt idx="293">
                  <c:v>45626</c:v>
                </c:pt>
                <c:pt idx="294">
                  <c:v>45627</c:v>
                </c:pt>
                <c:pt idx="295">
                  <c:v>45628</c:v>
                </c:pt>
                <c:pt idx="296">
                  <c:v>45629</c:v>
                </c:pt>
                <c:pt idx="297">
                  <c:v>45630</c:v>
                </c:pt>
                <c:pt idx="298">
                  <c:v>45631</c:v>
                </c:pt>
                <c:pt idx="299">
                  <c:v>45632</c:v>
                </c:pt>
                <c:pt idx="300">
                  <c:v>45633</c:v>
                </c:pt>
                <c:pt idx="301">
                  <c:v>45634</c:v>
                </c:pt>
                <c:pt idx="302">
                  <c:v>45635</c:v>
                </c:pt>
                <c:pt idx="303">
                  <c:v>45636</c:v>
                </c:pt>
                <c:pt idx="304">
                  <c:v>45637</c:v>
                </c:pt>
                <c:pt idx="305">
                  <c:v>45638</c:v>
                </c:pt>
                <c:pt idx="306">
                  <c:v>45639</c:v>
                </c:pt>
                <c:pt idx="307">
                  <c:v>45640</c:v>
                </c:pt>
                <c:pt idx="308">
                  <c:v>45641</c:v>
                </c:pt>
                <c:pt idx="309">
                  <c:v>45642</c:v>
                </c:pt>
                <c:pt idx="310">
                  <c:v>45643</c:v>
                </c:pt>
                <c:pt idx="311">
                  <c:v>45644</c:v>
                </c:pt>
                <c:pt idx="312">
                  <c:v>45645</c:v>
                </c:pt>
                <c:pt idx="313">
                  <c:v>45646</c:v>
                </c:pt>
                <c:pt idx="314">
                  <c:v>45647</c:v>
                </c:pt>
                <c:pt idx="315">
                  <c:v>45648</c:v>
                </c:pt>
                <c:pt idx="316">
                  <c:v>45649</c:v>
                </c:pt>
                <c:pt idx="317">
                  <c:v>45650</c:v>
                </c:pt>
                <c:pt idx="318">
                  <c:v>45651</c:v>
                </c:pt>
                <c:pt idx="319">
                  <c:v>45652</c:v>
                </c:pt>
                <c:pt idx="320">
                  <c:v>45653</c:v>
                </c:pt>
                <c:pt idx="321">
                  <c:v>45654</c:v>
                </c:pt>
                <c:pt idx="322">
                  <c:v>45655</c:v>
                </c:pt>
                <c:pt idx="323">
                  <c:v>45656</c:v>
                </c:pt>
                <c:pt idx="324">
                  <c:v>45657</c:v>
                </c:pt>
                <c:pt idx="325">
                  <c:v>45658</c:v>
                </c:pt>
                <c:pt idx="326">
                  <c:v>45659</c:v>
                </c:pt>
                <c:pt idx="327">
                  <c:v>45660</c:v>
                </c:pt>
                <c:pt idx="328">
                  <c:v>45661</c:v>
                </c:pt>
                <c:pt idx="329">
                  <c:v>45662</c:v>
                </c:pt>
                <c:pt idx="330">
                  <c:v>45663</c:v>
                </c:pt>
                <c:pt idx="331">
                  <c:v>45664</c:v>
                </c:pt>
                <c:pt idx="332">
                  <c:v>45665</c:v>
                </c:pt>
                <c:pt idx="333">
                  <c:v>45666</c:v>
                </c:pt>
                <c:pt idx="334">
                  <c:v>45667</c:v>
                </c:pt>
                <c:pt idx="335">
                  <c:v>45668</c:v>
                </c:pt>
                <c:pt idx="336">
                  <c:v>45669</c:v>
                </c:pt>
                <c:pt idx="337">
                  <c:v>45670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45675</c:v>
                </c:pt>
                <c:pt idx="343">
                  <c:v>45676</c:v>
                </c:pt>
                <c:pt idx="344">
                  <c:v>45677</c:v>
                </c:pt>
                <c:pt idx="345">
                  <c:v>45678</c:v>
                </c:pt>
                <c:pt idx="346">
                  <c:v>45679</c:v>
                </c:pt>
                <c:pt idx="347">
                  <c:v>45680</c:v>
                </c:pt>
                <c:pt idx="348">
                  <c:v>45681</c:v>
                </c:pt>
                <c:pt idx="349">
                  <c:v>45682</c:v>
                </c:pt>
                <c:pt idx="350">
                  <c:v>45683</c:v>
                </c:pt>
                <c:pt idx="351">
                  <c:v>45684</c:v>
                </c:pt>
                <c:pt idx="352">
                  <c:v>45685</c:v>
                </c:pt>
                <c:pt idx="353">
                  <c:v>45686</c:v>
                </c:pt>
                <c:pt idx="354">
                  <c:v>45687</c:v>
                </c:pt>
                <c:pt idx="355">
                  <c:v>45688</c:v>
                </c:pt>
                <c:pt idx="356">
                  <c:v>45689</c:v>
                </c:pt>
                <c:pt idx="357">
                  <c:v>45690</c:v>
                </c:pt>
                <c:pt idx="358">
                  <c:v>45691</c:v>
                </c:pt>
                <c:pt idx="359">
                  <c:v>45692</c:v>
                </c:pt>
                <c:pt idx="360">
                  <c:v>45693</c:v>
                </c:pt>
                <c:pt idx="361">
                  <c:v>45694</c:v>
                </c:pt>
                <c:pt idx="362">
                  <c:v>45695</c:v>
                </c:pt>
                <c:pt idx="363">
                  <c:v>45696</c:v>
                </c:pt>
                <c:pt idx="364">
                  <c:v>45697</c:v>
                </c:pt>
                <c:pt idx="365">
                  <c:v>45698</c:v>
                </c:pt>
                <c:pt idx="366">
                  <c:v>45699</c:v>
                </c:pt>
                <c:pt idx="367">
                  <c:v>45700</c:v>
                </c:pt>
                <c:pt idx="368">
                  <c:v>45701</c:v>
                </c:pt>
                <c:pt idx="369">
                  <c:v>45702</c:v>
                </c:pt>
                <c:pt idx="370">
                  <c:v>45703</c:v>
                </c:pt>
                <c:pt idx="371">
                  <c:v>45704</c:v>
                </c:pt>
                <c:pt idx="372">
                  <c:v>45705</c:v>
                </c:pt>
                <c:pt idx="373">
                  <c:v>45706</c:v>
                </c:pt>
                <c:pt idx="374">
                  <c:v>45707</c:v>
                </c:pt>
                <c:pt idx="375">
                  <c:v>45708</c:v>
                </c:pt>
                <c:pt idx="376">
                  <c:v>45709</c:v>
                </c:pt>
                <c:pt idx="377">
                  <c:v>45710</c:v>
                </c:pt>
                <c:pt idx="378">
                  <c:v>45711</c:v>
                </c:pt>
                <c:pt idx="379">
                  <c:v>45712</c:v>
                </c:pt>
                <c:pt idx="380">
                  <c:v>45713</c:v>
                </c:pt>
                <c:pt idx="381">
                  <c:v>45714</c:v>
                </c:pt>
                <c:pt idx="382">
                  <c:v>45715</c:v>
                </c:pt>
                <c:pt idx="383">
                  <c:v>45716</c:v>
                </c:pt>
                <c:pt idx="384">
                  <c:v>45717</c:v>
                </c:pt>
                <c:pt idx="385">
                  <c:v>45718</c:v>
                </c:pt>
                <c:pt idx="386">
                  <c:v>45719</c:v>
                </c:pt>
                <c:pt idx="387">
                  <c:v>45720</c:v>
                </c:pt>
                <c:pt idx="388">
                  <c:v>45721</c:v>
                </c:pt>
                <c:pt idx="389">
                  <c:v>45722</c:v>
                </c:pt>
                <c:pt idx="390">
                  <c:v>45723</c:v>
                </c:pt>
                <c:pt idx="391">
                  <c:v>45724</c:v>
                </c:pt>
                <c:pt idx="392">
                  <c:v>45725</c:v>
                </c:pt>
                <c:pt idx="393">
                  <c:v>45726</c:v>
                </c:pt>
                <c:pt idx="394">
                  <c:v>45727</c:v>
                </c:pt>
                <c:pt idx="395">
                  <c:v>45728</c:v>
                </c:pt>
                <c:pt idx="396">
                  <c:v>45729</c:v>
                </c:pt>
                <c:pt idx="397">
                  <c:v>45730</c:v>
                </c:pt>
                <c:pt idx="398">
                  <c:v>45731</c:v>
                </c:pt>
                <c:pt idx="399">
                  <c:v>45732</c:v>
                </c:pt>
                <c:pt idx="400">
                  <c:v>45733</c:v>
                </c:pt>
                <c:pt idx="401">
                  <c:v>45734</c:v>
                </c:pt>
                <c:pt idx="402">
                  <c:v>45735</c:v>
                </c:pt>
                <c:pt idx="403">
                  <c:v>45736</c:v>
                </c:pt>
                <c:pt idx="404">
                  <c:v>45737</c:v>
                </c:pt>
                <c:pt idx="405">
                  <c:v>45738</c:v>
                </c:pt>
                <c:pt idx="406">
                  <c:v>45739</c:v>
                </c:pt>
                <c:pt idx="407">
                  <c:v>45740</c:v>
                </c:pt>
                <c:pt idx="408">
                  <c:v>45741</c:v>
                </c:pt>
                <c:pt idx="409">
                  <c:v>45742</c:v>
                </c:pt>
                <c:pt idx="410">
                  <c:v>45743</c:v>
                </c:pt>
                <c:pt idx="411">
                  <c:v>45744</c:v>
                </c:pt>
                <c:pt idx="412">
                  <c:v>45745</c:v>
                </c:pt>
                <c:pt idx="413">
                  <c:v>45746</c:v>
                </c:pt>
                <c:pt idx="414">
                  <c:v>45747</c:v>
                </c:pt>
                <c:pt idx="415">
                  <c:v>45748</c:v>
                </c:pt>
                <c:pt idx="416">
                  <c:v>45749</c:v>
                </c:pt>
                <c:pt idx="417">
                  <c:v>45750</c:v>
                </c:pt>
                <c:pt idx="418">
                  <c:v>45751</c:v>
                </c:pt>
                <c:pt idx="419">
                  <c:v>45752</c:v>
                </c:pt>
                <c:pt idx="420">
                  <c:v>45753</c:v>
                </c:pt>
                <c:pt idx="421">
                  <c:v>45754</c:v>
                </c:pt>
                <c:pt idx="422">
                  <c:v>45755</c:v>
                </c:pt>
                <c:pt idx="423">
                  <c:v>45756</c:v>
                </c:pt>
                <c:pt idx="424">
                  <c:v>45757</c:v>
                </c:pt>
                <c:pt idx="425">
                  <c:v>45758</c:v>
                </c:pt>
                <c:pt idx="426">
                  <c:v>45759</c:v>
                </c:pt>
                <c:pt idx="427">
                  <c:v>45760</c:v>
                </c:pt>
                <c:pt idx="428">
                  <c:v>45761</c:v>
                </c:pt>
                <c:pt idx="429">
                  <c:v>45762</c:v>
                </c:pt>
                <c:pt idx="430">
                  <c:v>45763</c:v>
                </c:pt>
                <c:pt idx="431">
                  <c:v>45764</c:v>
                </c:pt>
                <c:pt idx="432">
                  <c:v>45765</c:v>
                </c:pt>
                <c:pt idx="433">
                  <c:v>45766</c:v>
                </c:pt>
                <c:pt idx="434">
                  <c:v>45767</c:v>
                </c:pt>
                <c:pt idx="435">
                  <c:v>45768</c:v>
                </c:pt>
                <c:pt idx="436">
                  <c:v>45769</c:v>
                </c:pt>
                <c:pt idx="437">
                  <c:v>45770</c:v>
                </c:pt>
                <c:pt idx="438">
                  <c:v>45771</c:v>
                </c:pt>
                <c:pt idx="439">
                  <c:v>45772</c:v>
                </c:pt>
                <c:pt idx="440">
                  <c:v>45773</c:v>
                </c:pt>
                <c:pt idx="441">
                  <c:v>45774</c:v>
                </c:pt>
                <c:pt idx="442">
                  <c:v>45775</c:v>
                </c:pt>
                <c:pt idx="443">
                  <c:v>45776</c:v>
                </c:pt>
                <c:pt idx="444">
                  <c:v>45777</c:v>
                </c:pt>
                <c:pt idx="445">
                  <c:v>45778</c:v>
                </c:pt>
                <c:pt idx="446">
                  <c:v>45779</c:v>
                </c:pt>
                <c:pt idx="447">
                  <c:v>45780</c:v>
                </c:pt>
                <c:pt idx="448">
                  <c:v>45781</c:v>
                </c:pt>
                <c:pt idx="449">
                  <c:v>45782</c:v>
                </c:pt>
                <c:pt idx="450">
                  <c:v>45783</c:v>
                </c:pt>
                <c:pt idx="451">
                  <c:v>45784</c:v>
                </c:pt>
                <c:pt idx="452">
                  <c:v>45785</c:v>
                </c:pt>
                <c:pt idx="453">
                  <c:v>45786</c:v>
                </c:pt>
                <c:pt idx="454">
                  <c:v>45787</c:v>
                </c:pt>
                <c:pt idx="455">
                  <c:v>45788</c:v>
                </c:pt>
                <c:pt idx="456">
                  <c:v>45789</c:v>
                </c:pt>
                <c:pt idx="457">
                  <c:v>45790</c:v>
                </c:pt>
                <c:pt idx="458">
                  <c:v>45791</c:v>
                </c:pt>
                <c:pt idx="459">
                  <c:v>45792</c:v>
                </c:pt>
                <c:pt idx="460">
                  <c:v>45793</c:v>
                </c:pt>
                <c:pt idx="461">
                  <c:v>45794</c:v>
                </c:pt>
                <c:pt idx="462">
                  <c:v>45795</c:v>
                </c:pt>
                <c:pt idx="463">
                  <c:v>45796</c:v>
                </c:pt>
                <c:pt idx="464">
                  <c:v>45797</c:v>
                </c:pt>
                <c:pt idx="465">
                  <c:v>45798</c:v>
                </c:pt>
                <c:pt idx="466">
                  <c:v>45799</c:v>
                </c:pt>
                <c:pt idx="467">
                  <c:v>45800</c:v>
                </c:pt>
                <c:pt idx="468">
                  <c:v>45801</c:v>
                </c:pt>
                <c:pt idx="469">
                  <c:v>45802</c:v>
                </c:pt>
                <c:pt idx="470">
                  <c:v>45803</c:v>
                </c:pt>
                <c:pt idx="471">
                  <c:v>45804</c:v>
                </c:pt>
                <c:pt idx="472">
                  <c:v>45805</c:v>
                </c:pt>
                <c:pt idx="473">
                  <c:v>45806</c:v>
                </c:pt>
                <c:pt idx="474">
                  <c:v>45807</c:v>
                </c:pt>
                <c:pt idx="475">
                  <c:v>45808</c:v>
                </c:pt>
                <c:pt idx="476">
                  <c:v>45809</c:v>
                </c:pt>
                <c:pt idx="477">
                  <c:v>45810</c:v>
                </c:pt>
                <c:pt idx="478">
                  <c:v>45811</c:v>
                </c:pt>
                <c:pt idx="479">
                  <c:v>45812</c:v>
                </c:pt>
                <c:pt idx="480">
                  <c:v>45813</c:v>
                </c:pt>
                <c:pt idx="481">
                  <c:v>45814</c:v>
                </c:pt>
                <c:pt idx="482">
                  <c:v>45815</c:v>
                </c:pt>
                <c:pt idx="483">
                  <c:v>45816</c:v>
                </c:pt>
                <c:pt idx="484">
                  <c:v>45817</c:v>
                </c:pt>
                <c:pt idx="485">
                  <c:v>45818</c:v>
                </c:pt>
                <c:pt idx="486">
                  <c:v>45819</c:v>
                </c:pt>
                <c:pt idx="487">
                  <c:v>45820</c:v>
                </c:pt>
                <c:pt idx="488">
                  <c:v>45821</c:v>
                </c:pt>
                <c:pt idx="489">
                  <c:v>45822</c:v>
                </c:pt>
                <c:pt idx="490">
                  <c:v>45823</c:v>
                </c:pt>
                <c:pt idx="491">
                  <c:v>45824</c:v>
                </c:pt>
                <c:pt idx="492">
                  <c:v>45825</c:v>
                </c:pt>
                <c:pt idx="493">
                  <c:v>45826</c:v>
                </c:pt>
                <c:pt idx="494">
                  <c:v>45827</c:v>
                </c:pt>
                <c:pt idx="495">
                  <c:v>45828</c:v>
                </c:pt>
                <c:pt idx="496">
                  <c:v>45829</c:v>
                </c:pt>
                <c:pt idx="497">
                  <c:v>45830</c:v>
                </c:pt>
                <c:pt idx="498">
                  <c:v>45831</c:v>
                </c:pt>
                <c:pt idx="499">
                  <c:v>45832</c:v>
                </c:pt>
                <c:pt idx="500">
                  <c:v>45833</c:v>
                </c:pt>
                <c:pt idx="501">
                  <c:v>45834</c:v>
                </c:pt>
                <c:pt idx="502">
                  <c:v>45835</c:v>
                </c:pt>
                <c:pt idx="503">
                  <c:v>45836</c:v>
                </c:pt>
                <c:pt idx="504">
                  <c:v>45837</c:v>
                </c:pt>
                <c:pt idx="505">
                  <c:v>45838</c:v>
                </c:pt>
                <c:pt idx="506">
                  <c:v>45839</c:v>
                </c:pt>
                <c:pt idx="507">
                  <c:v>45840</c:v>
                </c:pt>
                <c:pt idx="508">
                  <c:v>45841</c:v>
                </c:pt>
                <c:pt idx="509">
                  <c:v>45842</c:v>
                </c:pt>
                <c:pt idx="510">
                  <c:v>45843</c:v>
                </c:pt>
                <c:pt idx="511">
                  <c:v>45844</c:v>
                </c:pt>
                <c:pt idx="512">
                  <c:v>45845</c:v>
                </c:pt>
                <c:pt idx="513">
                  <c:v>45846</c:v>
                </c:pt>
                <c:pt idx="514">
                  <c:v>45847</c:v>
                </c:pt>
                <c:pt idx="515">
                  <c:v>45848</c:v>
                </c:pt>
                <c:pt idx="516">
                  <c:v>45849</c:v>
                </c:pt>
                <c:pt idx="517">
                  <c:v>45850</c:v>
                </c:pt>
                <c:pt idx="518">
                  <c:v>45851</c:v>
                </c:pt>
                <c:pt idx="519">
                  <c:v>45852</c:v>
                </c:pt>
                <c:pt idx="520">
                  <c:v>45853</c:v>
                </c:pt>
                <c:pt idx="521">
                  <c:v>45854</c:v>
                </c:pt>
                <c:pt idx="522">
                  <c:v>45855</c:v>
                </c:pt>
                <c:pt idx="523">
                  <c:v>45856</c:v>
                </c:pt>
                <c:pt idx="524">
                  <c:v>45857</c:v>
                </c:pt>
                <c:pt idx="525">
                  <c:v>45858</c:v>
                </c:pt>
                <c:pt idx="526">
                  <c:v>45859</c:v>
                </c:pt>
                <c:pt idx="527">
                  <c:v>45860</c:v>
                </c:pt>
                <c:pt idx="528">
                  <c:v>45861</c:v>
                </c:pt>
                <c:pt idx="529">
                  <c:v>45862</c:v>
                </c:pt>
                <c:pt idx="530">
                  <c:v>45863</c:v>
                </c:pt>
                <c:pt idx="531">
                  <c:v>45864</c:v>
                </c:pt>
                <c:pt idx="532">
                  <c:v>45865</c:v>
                </c:pt>
                <c:pt idx="533">
                  <c:v>45866</c:v>
                </c:pt>
                <c:pt idx="534">
                  <c:v>45867</c:v>
                </c:pt>
                <c:pt idx="535">
                  <c:v>45868</c:v>
                </c:pt>
                <c:pt idx="536">
                  <c:v>45869</c:v>
                </c:pt>
                <c:pt idx="537">
                  <c:v>45870</c:v>
                </c:pt>
                <c:pt idx="538">
                  <c:v>45871</c:v>
                </c:pt>
                <c:pt idx="539">
                  <c:v>45872</c:v>
                </c:pt>
                <c:pt idx="540">
                  <c:v>45873</c:v>
                </c:pt>
                <c:pt idx="541">
                  <c:v>45874</c:v>
                </c:pt>
                <c:pt idx="542">
                  <c:v>45875</c:v>
                </c:pt>
                <c:pt idx="543">
                  <c:v>45876</c:v>
                </c:pt>
                <c:pt idx="544">
                  <c:v>45877</c:v>
                </c:pt>
                <c:pt idx="545">
                  <c:v>45878</c:v>
                </c:pt>
                <c:pt idx="546">
                  <c:v>45879</c:v>
                </c:pt>
                <c:pt idx="547">
                  <c:v>45880</c:v>
                </c:pt>
                <c:pt idx="548">
                  <c:v>45881</c:v>
                </c:pt>
                <c:pt idx="549">
                  <c:v>45882</c:v>
                </c:pt>
                <c:pt idx="550">
                  <c:v>45883</c:v>
                </c:pt>
                <c:pt idx="551">
                  <c:v>45884</c:v>
                </c:pt>
                <c:pt idx="552">
                  <c:v>45885</c:v>
                </c:pt>
                <c:pt idx="553">
                  <c:v>45886</c:v>
                </c:pt>
                <c:pt idx="554">
                  <c:v>45887</c:v>
                </c:pt>
                <c:pt idx="555">
                  <c:v>45888</c:v>
                </c:pt>
                <c:pt idx="556">
                  <c:v>45889</c:v>
                </c:pt>
                <c:pt idx="557">
                  <c:v>45890</c:v>
                </c:pt>
                <c:pt idx="558">
                  <c:v>45891</c:v>
                </c:pt>
                <c:pt idx="559">
                  <c:v>45892</c:v>
                </c:pt>
                <c:pt idx="560">
                  <c:v>45893</c:v>
                </c:pt>
                <c:pt idx="561">
                  <c:v>45894</c:v>
                </c:pt>
                <c:pt idx="562">
                  <c:v>45895</c:v>
                </c:pt>
                <c:pt idx="563">
                  <c:v>45896</c:v>
                </c:pt>
                <c:pt idx="564">
                  <c:v>45897</c:v>
                </c:pt>
                <c:pt idx="565">
                  <c:v>45898</c:v>
                </c:pt>
                <c:pt idx="566">
                  <c:v>45899</c:v>
                </c:pt>
                <c:pt idx="567">
                  <c:v>45900</c:v>
                </c:pt>
                <c:pt idx="568">
                  <c:v>45901</c:v>
                </c:pt>
                <c:pt idx="569">
                  <c:v>45902</c:v>
                </c:pt>
                <c:pt idx="570">
                  <c:v>45903</c:v>
                </c:pt>
                <c:pt idx="571">
                  <c:v>45904</c:v>
                </c:pt>
                <c:pt idx="572">
                  <c:v>45905</c:v>
                </c:pt>
                <c:pt idx="573">
                  <c:v>45906</c:v>
                </c:pt>
                <c:pt idx="574">
                  <c:v>45907</c:v>
                </c:pt>
                <c:pt idx="575">
                  <c:v>45908</c:v>
                </c:pt>
                <c:pt idx="576">
                  <c:v>45909</c:v>
                </c:pt>
                <c:pt idx="577">
                  <c:v>45910</c:v>
                </c:pt>
                <c:pt idx="578">
                  <c:v>45911</c:v>
                </c:pt>
                <c:pt idx="579">
                  <c:v>45912</c:v>
                </c:pt>
                <c:pt idx="580">
                  <c:v>45913</c:v>
                </c:pt>
                <c:pt idx="581">
                  <c:v>45914</c:v>
                </c:pt>
                <c:pt idx="582">
                  <c:v>45915</c:v>
                </c:pt>
                <c:pt idx="583">
                  <c:v>45916</c:v>
                </c:pt>
                <c:pt idx="584">
                  <c:v>45917</c:v>
                </c:pt>
                <c:pt idx="585">
                  <c:v>45918</c:v>
                </c:pt>
                <c:pt idx="586">
                  <c:v>45919</c:v>
                </c:pt>
                <c:pt idx="587">
                  <c:v>45920</c:v>
                </c:pt>
                <c:pt idx="588">
                  <c:v>45921</c:v>
                </c:pt>
                <c:pt idx="589">
                  <c:v>45922</c:v>
                </c:pt>
                <c:pt idx="590">
                  <c:v>45923</c:v>
                </c:pt>
                <c:pt idx="591">
                  <c:v>45924</c:v>
                </c:pt>
                <c:pt idx="592">
                  <c:v>45925</c:v>
                </c:pt>
                <c:pt idx="593">
                  <c:v>45926</c:v>
                </c:pt>
                <c:pt idx="594">
                  <c:v>45927</c:v>
                </c:pt>
                <c:pt idx="595">
                  <c:v>45928</c:v>
                </c:pt>
                <c:pt idx="596">
                  <c:v>45929</c:v>
                </c:pt>
                <c:pt idx="597">
                  <c:v>45930</c:v>
                </c:pt>
                <c:pt idx="598">
                  <c:v>45931</c:v>
                </c:pt>
                <c:pt idx="599">
                  <c:v>45932</c:v>
                </c:pt>
                <c:pt idx="600">
                  <c:v>45933</c:v>
                </c:pt>
                <c:pt idx="601">
                  <c:v>45934</c:v>
                </c:pt>
                <c:pt idx="602">
                  <c:v>45935</c:v>
                </c:pt>
                <c:pt idx="603">
                  <c:v>45936</c:v>
                </c:pt>
                <c:pt idx="604">
                  <c:v>45937</c:v>
                </c:pt>
                <c:pt idx="605">
                  <c:v>45938</c:v>
                </c:pt>
                <c:pt idx="606">
                  <c:v>45939</c:v>
                </c:pt>
                <c:pt idx="607">
                  <c:v>45940</c:v>
                </c:pt>
                <c:pt idx="608">
                  <c:v>45941</c:v>
                </c:pt>
                <c:pt idx="609">
                  <c:v>45942</c:v>
                </c:pt>
                <c:pt idx="610">
                  <c:v>45943</c:v>
                </c:pt>
                <c:pt idx="611">
                  <c:v>45944</c:v>
                </c:pt>
                <c:pt idx="612">
                  <c:v>45945</c:v>
                </c:pt>
                <c:pt idx="613">
                  <c:v>45946</c:v>
                </c:pt>
                <c:pt idx="614">
                  <c:v>45947</c:v>
                </c:pt>
                <c:pt idx="615">
                  <c:v>45948</c:v>
                </c:pt>
                <c:pt idx="616">
                  <c:v>45949</c:v>
                </c:pt>
                <c:pt idx="617">
                  <c:v>45950</c:v>
                </c:pt>
                <c:pt idx="618">
                  <c:v>45951</c:v>
                </c:pt>
                <c:pt idx="619">
                  <c:v>45952</c:v>
                </c:pt>
                <c:pt idx="620">
                  <c:v>45953</c:v>
                </c:pt>
                <c:pt idx="621">
                  <c:v>45954</c:v>
                </c:pt>
                <c:pt idx="622">
                  <c:v>45955</c:v>
                </c:pt>
                <c:pt idx="623">
                  <c:v>45956</c:v>
                </c:pt>
                <c:pt idx="624">
                  <c:v>45957</c:v>
                </c:pt>
                <c:pt idx="625">
                  <c:v>45958</c:v>
                </c:pt>
                <c:pt idx="626">
                  <c:v>45959</c:v>
                </c:pt>
                <c:pt idx="627">
                  <c:v>45960</c:v>
                </c:pt>
                <c:pt idx="628">
                  <c:v>45961</c:v>
                </c:pt>
                <c:pt idx="629">
                  <c:v>45962</c:v>
                </c:pt>
                <c:pt idx="630">
                  <c:v>45963</c:v>
                </c:pt>
                <c:pt idx="631">
                  <c:v>45964</c:v>
                </c:pt>
                <c:pt idx="632">
                  <c:v>45965</c:v>
                </c:pt>
                <c:pt idx="633">
                  <c:v>45966</c:v>
                </c:pt>
                <c:pt idx="634">
                  <c:v>45967</c:v>
                </c:pt>
                <c:pt idx="635">
                  <c:v>45968</c:v>
                </c:pt>
                <c:pt idx="636">
                  <c:v>45969</c:v>
                </c:pt>
                <c:pt idx="637">
                  <c:v>45970</c:v>
                </c:pt>
                <c:pt idx="638">
                  <c:v>45971</c:v>
                </c:pt>
                <c:pt idx="639">
                  <c:v>45972</c:v>
                </c:pt>
                <c:pt idx="640">
                  <c:v>45973</c:v>
                </c:pt>
                <c:pt idx="641">
                  <c:v>45974</c:v>
                </c:pt>
                <c:pt idx="642">
                  <c:v>45975</c:v>
                </c:pt>
                <c:pt idx="643">
                  <c:v>45976</c:v>
                </c:pt>
                <c:pt idx="644">
                  <c:v>45977</c:v>
                </c:pt>
                <c:pt idx="645">
                  <c:v>45978</c:v>
                </c:pt>
                <c:pt idx="646">
                  <c:v>45979</c:v>
                </c:pt>
                <c:pt idx="647">
                  <c:v>45980</c:v>
                </c:pt>
                <c:pt idx="648">
                  <c:v>45981</c:v>
                </c:pt>
                <c:pt idx="649">
                  <c:v>45982</c:v>
                </c:pt>
                <c:pt idx="650">
                  <c:v>45983</c:v>
                </c:pt>
                <c:pt idx="651">
                  <c:v>45984</c:v>
                </c:pt>
                <c:pt idx="652">
                  <c:v>45985</c:v>
                </c:pt>
                <c:pt idx="653">
                  <c:v>45986</c:v>
                </c:pt>
                <c:pt idx="654">
                  <c:v>45987</c:v>
                </c:pt>
                <c:pt idx="655">
                  <c:v>45988</c:v>
                </c:pt>
                <c:pt idx="656">
                  <c:v>45989</c:v>
                </c:pt>
                <c:pt idx="657">
                  <c:v>45990</c:v>
                </c:pt>
                <c:pt idx="658">
                  <c:v>45991</c:v>
                </c:pt>
                <c:pt idx="659">
                  <c:v>45992</c:v>
                </c:pt>
                <c:pt idx="660">
                  <c:v>45993</c:v>
                </c:pt>
                <c:pt idx="661">
                  <c:v>45994</c:v>
                </c:pt>
                <c:pt idx="662">
                  <c:v>45995</c:v>
                </c:pt>
                <c:pt idx="663">
                  <c:v>45996</c:v>
                </c:pt>
                <c:pt idx="664">
                  <c:v>45997</c:v>
                </c:pt>
                <c:pt idx="665">
                  <c:v>45998</c:v>
                </c:pt>
                <c:pt idx="666">
                  <c:v>45999</c:v>
                </c:pt>
                <c:pt idx="667">
                  <c:v>46000</c:v>
                </c:pt>
                <c:pt idx="668">
                  <c:v>46001</c:v>
                </c:pt>
                <c:pt idx="669">
                  <c:v>46002</c:v>
                </c:pt>
                <c:pt idx="670">
                  <c:v>46003</c:v>
                </c:pt>
                <c:pt idx="671">
                  <c:v>46004</c:v>
                </c:pt>
                <c:pt idx="672">
                  <c:v>46005</c:v>
                </c:pt>
                <c:pt idx="673">
                  <c:v>46006</c:v>
                </c:pt>
                <c:pt idx="674">
                  <c:v>46007</c:v>
                </c:pt>
                <c:pt idx="675">
                  <c:v>46008</c:v>
                </c:pt>
                <c:pt idx="676">
                  <c:v>46009</c:v>
                </c:pt>
                <c:pt idx="677">
                  <c:v>46010</c:v>
                </c:pt>
                <c:pt idx="678">
                  <c:v>46011</c:v>
                </c:pt>
                <c:pt idx="679">
                  <c:v>46012</c:v>
                </c:pt>
                <c:pt idx="680">
                  <c:v>46013</c:v>
                </c:pt>
                <c:pt idx="681">
                  <c:v>46014</c:v>
                </c:pt>
                <c:pt idx="682">
                  <c:v>46015</c:v>
                </c:pt>
              </c:numCache>
            </c:numRef>
          </c:xVal>
          <c:yVal>
            <c:numRef>
              <c:f>Sheet4!$C$2:$C$684</c:f>
              <c:numCache>
                <c:formatCode>0.00%</c:formatCode>
                <c:ptCount val="683"/>
                <c:pt idx="0">
                  <c:v>0.000179111187633915</c:v>
                </c:pt>
                <c:pt idx="1">
                  <c:v>0.000182772923362412</c:v>
                </c:pt>
                <c:pt idx="2">
                  <c:v>0.000187676161871238</c:v>
                </c:pt>
                <c:pt idx="3">
                  <c:v>0.000187987235039792</c:v>
                </c:pt>
                <c:pt idx="4">
                  <c:v>0.000189278676920723</c:v>
                </c:pt>
                <c:pt idx="5">
                  <c:v>0.000192487333881747</c:v>
                </c:pt>
                <c:pt idx="6">
                  <c:v>0.000194187375650444</c:v>
                </c:pt>
                <c:pt idx="7">
                  <c:v>0.000197418820066192</c:v>
                </c:pt>
                <c:pt idx="8">
                  <c:v>0.000197374762991872</c:v>
                </c:pt>
                <c:pt idx="9">
                  <c:v>0.000196971251339149</c:v>
                </c:pt>
                <c:pt idx="10">
                  <c:v>0.000210074444514011</c:v>
                </c:pt>
                <c:pt idx="11">
                  <c:v>0.000209907431320784</c:v>
                </c:pt>
                <c:pt idx="12">
                  <c:v>0.000209801522656636</c:v>
                </c:pt>
                <c:pt idx="13">
                  <c:v>0.00020941481577135</c:v>
                </c:pt>
                <c:pt idx="14">
                  <c:v>0.000209300629400061</c:v>
                </c:pt>
                <c:pt idx="15">
                  <c:v>0.000213654433181244</c:v>
                </c:pt>
                <c:pt idx="16">
                  <c:v>0.000213515502619781</c:v>
                </c:pt>
                <c:pt idx="17">
                  <c:v>0.000213315286705438</c:v>
                </c:pt>
                <c:pt idx="18">
                  <c:v>0.00021317248818931</c:v>
                </c:pt>
                <c:pt idx="19">
                  <c:v>0.000219085833476814</c:v>
                </c:pt>
                <c:pt idx="20">
                  <c:v>0.000230572986698697</c:v>
                </c:pt>
                <c:pt idx="21">
                  <c:v>0.000242286998666938</c:v>
                </c:pt>
                <c:pt idx="22">
                  <c:v>0.000252564241725556</c:v>
                </c:pt>
                <c:pt idx="23">
                  <c:v>0.000265324513482362</c:v>
                </c:pt>
                <c:pt idx="24">
                  <c:v>0.000265260380796603</c:v>
                </c:pt>
                <c:pt idx="25">
                  <c:v>0.000265130993335894</c:v>
                </c:pt>
                <c:pt idx="26">
                  <c:v>0.000264687861357685</c:v>
                </c:pt>
                <c:pt idx="27">
                  <c:v>0.000273982116467025</c:v>
                </c:pt>
                <c:pt idx="28">
                  <c:v>0.000275652167244546</c:v>
                </c:pt>
                <c:pt idx="29">
                  <c:v>0.000278264713900368</c:v>
                </c:pt>
                <c:pt idx="30">
                  <c:v>0.000278007172624338</c:v>
                </c:pt>
                <c:pt idx="31">
                  <c:v>0.000278382244407857</c:v>
                </c:pt>
                <c:pt idx="32">
                  <c:v>0.00027801718328255</c:v>
                </c:pt>
                <c:pt idx="33">
                  <c:v>0.000277934709308999</c:v>
                </c:pt>
                <c:pt idx="34">
                  <c:v>0.000280196188754428</c:v>
                </c:pt>
                <c:pt idx="35">
                  <c:v>0.000287287454923286</c:v>
                </c:pt>
                <c:pt idx="36">
                  <c:v>0.000289907070358065</c:v>
                </c:pt>
                <c:pt idx="37">
                  <c:v>0.000293453113861401</c:v>
                </c:pt>
                <c:pt idx="38">
                  <c:v>0.000307668003424396</c:v>
                </c:pt>
                <c:pt idx="39">
                  <c:v>0.000309712335535756</c:v>
                </c:pt>
                <c:pt idx="40">
                  <c:v>0.000317907521550035</c:v>
                </c:pt>
                <c:pt idx="41">
                  <c:v>0.000332101922567122</c:v>
                </c:pt>
                <c:pt idx="42">
                  <c:v>0.000334254359797767</c:v>
                </c:pt>
                <c:pt idx="43">
                  <c:v>0.000338539628594833</c:v>
                </c:pt>
                <c:pt idx="44">
                  <c:v>0.000344007766267473</c:v>
                </c:pt>
                <c:pt idx="45">
                  <c:v>0.000346822485446112</c:v>
                </c:pt>
                <c:pt idx="46">
                  <c:v>0.000348091151657301</c:v>
                </c:pt>
                <c:pt idx="47">
                  <c:v>0.000347919460582436</c:v>
                </c:pt>
                <c:pt idx="48">
                  <c:v>0.000361956779877909</c:v>
                </c:pt>
                <c:pt idx="49">
                  <c:v>0.000377444917007624</c:v>
                </c:pt>
                <c:pt idx="50">
                  <c:v>0.000386999745333282</c:v>
                </c:pt>
                <c:pt idx="51">
                  <c:v>0.000397127979640198</c:v>
                </c:pt>
                <c:pt idx="52">
                  <c:v>0.000397734865482702</c:v>
                </c:pt>
                <c:pt idx="53">
                  <c:v>0.000411413176054571</c:v>
                </c:pt>
                <c:pt idx="54">
                  <c:v>0.000423873822624011</c:v>
                </c:pt>
                <c:pt idx="55">
                  <c:v>0.000433355738489852</c:v>
                </c:pt>
                <c:pt idx="56">
                  <c:v>0.000435047338446643</c:v>
                </c:pt>
                <c:pt idx="57">
                  <c:v>0.000446956679877117</c:v>
                </c:pt>
                <c:pt idx="58">
                  <c:v>0.000451772000659888</c:v>
                </c:pt>
                <c:pt idx="59">
                  <c:v>0.000461166920177509</c:v>
                </c:pt>
                <c:pt idx="60">
                  <c:v>0.000462610780899885</c:v>
                </c:pt>
                <c:pt idx="61">
                  <c:v>0.000471520182609059</c:v>
                </c:pt>
                <c:pt idx="62">
                  <c:v>0.000479082031562355</c:v>
                </c:pt>
                <c:pt idx="63">
                  <c:v>0.000481162248398738</c:v>
                </c:pt>
                <c:pt idx="64">
                  <c:v>0.0004874988256961</c:v>
                </c:pt>
                <c:pt idx="65">
                  <c:v>0.000494379678352373</c:v>
                </c:pt>
                <c:pt idx="66">
                  <c:v>0.000502126244663713</c:v>
                </c:pt>
                <c:pt idx="67">
                  <c:v>0.000514952411000358</c:v>
                </c:pt>
                <c:pt idx="68">
                  <c:v>0.000519945186408199</c:v>
                </c:pt>
                <c:pt idx="69">
                  <c:v>0.000525470590671632</c:v>
                </c:pt>
                <c:pt idx="70">
                  <c:v>0.000535097267513787</c:v>
                </c:pt>
                <c:pt idx="71">
                  <c:v>0.000542876061778116</c:v>
                </c:pt>
                <c:pt idx="72">
                  <c:v>0.000550742260738122</c:v>
                </c:pt>
                <c:pt idx="73">
                  <c:v>0.000555254223772101</c:v>
                </c:pt>
                <c:pt idx="74">
                  <c:v>0.000565716995737968</c:v>
                </c:pt>
                <c:pt idx="75">
                  <c:v>0.000586962794837109</c:v>
                </c:pt>
                <c:pt idx="76">
                  <c:v>0.000589030967906915</c:v>
                </c:pt>
                <c:pt idx="77">
                  <c:v>0.000592681050032946</c:v>
                </c:pt>
                <c:pt idx="78">
                  <c:v>0.000596078898907353</c:v>
                </c:pt>
                <c:pt idx="79">
                  <c:v>0.000596645589438688</c:v>
                </c:pt>
                <c:pt idx="80">
                  <c:v>0.000601618294970977</c:v>
                </c:pt>
                <c:pt idx="81">
                  <c:v>0.000603116020863793</c:v>
                </c:pt>
                <c:pt idx="82">
                  <c:v>0.000603104791080658</c:v>
                </c:pt>
                <c:pt idx="83">
                  <c:v>0.000603471136911949</c:v>
                </c:pt>
                <c:pt idx="84">
                  <c:v>0.000603820971427186</c:v>
                </c:pt>
                <c:pt idx="85">
                  <c:v>0.000603979378398493</c:v>
                </c:pt>
                <c:pt idx="86">
                  <c:v>0.000605385091706986</c:v>
                </c:pt>
                <c:pt idx="87">
                  <c:v>0.000605481725765871</c:v>
                </c:pt>
                <c:pt idx="88">
                  <c:v>0.000607447980477061</c:v>
                </c:pt>
                <c:pt idx="89">
                  <c:v>0.000633703337444281</c:v>
                </c:pt>
                <c:pt idx="90">
                  <c:v>0.000637465306397369</c:v>
                </c:pt>
                <c:pt idx="91">
                  <c:v>0.000646095101975945</c:v>
                </c:pt>
                <c:pt idx="92">
                  <c:v>0.000650460778964039</c:v>
                </c:pt>
                <c:pt idx="93">
                  <c:v>0.000658324260190995</c:v>
                </c:pt>
                <c:pt idx="94">
                  <c:v>0.000670404814301653</c:v>
                </c:pt>
                <c:pt idx="95">
                  <c:v>0.000670744005524731</c:v>
                </c:pt>
                <c:pt idx="96">
                  <c:v>0.000670841087785801</c:v>
                </c:pt>
                <c:pt idx="97">
                  <c:v>0.000693704529066898</c:v>
                </c:pt>
                <c:pt idx="98">
                  <c:v>0.000694838123699831</c:v>
                </c:pt>
                <c:pt idx="99">
                  <c:v>0.000695134060644651</c:v>
                </c:pt>
                <c:pt idx="100">
                  <c:v>0.000695158485886793</c:v>
                </c:pt>
                <c:pt idx="101">
                  <c:v>0.000696254349290161</c:v>
                </c:pt>
                <c:pt idx="102">
                  <c:v>0.000696308125742331</c:v>
                </c:pt>
                <c:pt idx="103">
                  <c:v>0.00069583037909815</c:v>
                </c:pt>
                <c:pt idx="104">
                  <c:v>0.000696085738322387</c:v>
                </c:pt>
                <c:pt idx="105">
                  <c:v>0.00069596978157824</c:v>
                </c:pt>
                <c:pt idx="106">
                  <c:v>0.000694026001581898</c:v>
                </c:pt>
                <c:pt idx="107">
                  <c:v>0.000690022060630102</c:v>
                </c:pt>
                <c:pt idx="108">
                  <c:v>0.00068767005030878</c:v>
                </c:pt>
                <c:pt idx="109">
                  <c:v>0.000685333871371553</c:v>
                </c:pt>
                <c:pt idx="110">
                  <c:v>0.000684815916756412</c:v>
                </c:pt>
                <c:pt idx="111">
                  <c:v>0.000684917562893328</c:v>
                </c:pt>
                <c:pt idx="112">
                  <c:v>0.000685083928319587</c:v>
                </c:pt>
                <c:pt idx="113">
                  <c:v>0.00068489174224581</c:v>
                </c:pt>
                <c:pt idx="114">
                  <c:v>0.000684605628281618</c:v>
                </c:pt>
                <c:pt idx="115">
                  <c:v>0.000684826504526839</c:v>
                </c:pt>
                <c:pt idx="116">
                  <c:v>0.00068431516688131</c:v>
                </c:pt>
                <c:pt idx="117">
                  <c:v>0.000683812495975536</c:v>
                </c:pt>
                <c:pt idx="118">
                  <c:v>0.000683330209913099</c:v>
                </c:pt>
                <c:pt idx="119">
                  <c:v>0.000683006885247156</c:v>
                </c:pt>
                <c:pt idx="120">
                  <c:v>0.000682703578907773</c:v>
                </c:pt>
                <c:pt idx="121">
                  <c:v>0.000682230598752792</c:v>
                </c:pt>
                <c:pt idx="122">
                  <c:v>0.000681765309332037</c:v>
                </c:pt>
                <c:pt idx="123">
                  <c:v>0.000681422077365283</c:v>
                </c:pt>
                <c:pt idx="124">
                  <c:v>0.000680902518928179</c:v>
                </c:pt>
                <c:pt idx="125">
                  <c:v>0.000680503941938129</c:v>
                </c:pt>
                <c:pt idx="126">
                  <c:v>0.000680010979617929</c:v>
                </c:pt>
                <c:pt idx="127">
                  <c:v>0.000679436941424891</c:v>
                </c:pt>
                <c:pt idx="128">
                  <c:v>0.000679058994733084</c:v>
                </c:pt>
                <c:pt idx="129">
                  <c:v>0.000678555743724648</c:v>
                </c:pt>
                <c:pt idx="130">
                  <c:v>0.000674102420906486</c:v>
                </c:pt>
                <c:pt idx="131">
                  <c:v>0.000669426025155817</c:v>
                </c:pt>
                <c:pt idx="132">
                  <c:v>0.000666528768644051</c:v>
                </c:pt>
                <c:pt idx="133">
                  <c:v>0.000663091732378729</c:v>
                </c:pt>
                <c:pt idx="134">
                  <c:v>0.00065875864547222</c:v>
                </c:pt>
                <c:pt idx="135">
                  <c:v>0.000654123722276903</c:v>
                </c:pt>
                <c:pt idx="136">
                  <c:v>0.000649763827821</c:v>
                </c:pt>
                <c:pt idx="137">
                  <c:v>0.000645467120241269</c:v>
                </c:pt>
                <c:pt idx="138">
                  <c:v>0.000641027853843196</c:v>
                </c:pt>
                <c:pt idx="139">
                  <c:v>0.000636854927614446</c:v>
                </c:pt>
                <c:pt idx="140">
                  <c:v>0.000632741191828657</c:v>
                </c:pt>
                <c:pt idx="141">
                  <c:v>0.000628285267942539</c:v>
                </c:pt>
                <c:pt idx="142">
                  <c:v>0.000623891664670214</c:v>
                </c:pt>
                <c:pt idx="143">
                  <c:v>0.000619559083665559</c:v>
                </c:pt>
                <c:pt idx="144">
                  <c:v>0.0006152862623989</c:v>
                </c:pt>
                <c:pt idx="145">
                  <c:v>0.000611071972930415</c:v>
                </c:pt>
                <c:pt idx="146">
                  <c:v>0.000606915020733609</c:v>
                </c:pt>
                <c:pt idx="147">
                  <c:v>0.00060281424356649</c:v>
                </c:pt>
                <c:pt idx="148">
                  <c:v>0.000598768510388192</c:v>
                </c:pt>
                <c:pt idx="149">
                  <c:v>0.000594776720318937</c:v>
                </c:pt>
                <c:pt idx="150">
                  <c:v>0.000590837801641328</c:v>
                </c:pt>
                <c:pt idx="151">
                  <c:v>0.000586950710841056</c:v>
                </c:pt>
                <c:pt idx="152">
                  <c:v>0.000583114431685232</c:v>
                </c:pt>
                <c:pt idx="153">
                  <c:v>0.000579327974336627</c:v>
                </c:pt>
                <c:pt idx="154">
                  <c:v>0.000575590374502197</c:v>
                </c:pt>
                <c:pt idx="155">
                  <c:v>0.000571900692614363</c:v>
                </c:pt>
                <c:pt idx="156">
                  <c:v>0.00056825801304357</c:v>
                </c:pt>
                <c:pt idx="157">
                  <c:v>0.000564661443340763</c:v>
                </c:pt>
                <c:pt idx="158">
                  <c:v>0.000561110113508431</c:v>
                </c:pt>
                <c:pt idx="159">
                  <c:v>0.000557603175299004</c:v>
                </c:pt>
                <c:pt idx="160">
                  <c:v>0.000556015176504092</c:v>
                </c:pt>
                <c:pt idx="161">
                  <c:v>0.000554873686217029</c:v>
                </c:pt>
                <c:pt idx="162">
                  <c:v>0.000551469553172753</c:v>
                </c:pt>
                <c:pt idx="163">
                  <c:v>0.00054810693394609</c:v>
                </c:pt>
                <c:pt idx="164">
                  <c:v>0.000544785073740356</c:v>
                </c:pt>
                <c:pt idx="165">
                  <c:v>0.000542045176435969</c:v>
                </c:pt>
                <c:pt idx="166">
                  <c:v>0.000539068744604652</c:v>
                </c:pt>
                <c:pt idx="167">
                  <c:v>0.000536295086740844</c:v>
                </c:pt>
                <c:pt idx="168">
                  <c:v>0.000533387903154248</c:v>
                </c:pt>
                <c:pt idx="169">
                  <c:v>0.00053025032725334</c:v>
                </c:pt>
                <c:pt idx="170">
                  <c:v>0.000527149448146596</c:v>
                </c:pt>
                <c:pt idx="171">
                  <c:v>0.00052408462577365</c:v>
                </c:pt>
                <c:pt idx="172">
                  <c:v>0.000521055234873225</c:v>
                </c:pt>
                <c:pt idx="173">
                  <c:v>0.000518060664557861</c:v>
                </c:pt>
                <c:pt idx="174">
                  <c:v>0.000515776724829652</c:v>
                </c:pt>
                <c:pt idx="175">
                  <c:v>0.000514551124249525</c:v>
                </c:pt>
                <c:pt idx="176">
                  <c:v>0.00051164405575094</c:v>
                </c:pt>
                <c:pt idx="177">
                  <c:v>0.00050876965094335</c:v>
                </c:pt>
                <c:pt idx="178">
                  <c:v>0.000505927362390594</c:v>
                </c:pt>
                <c:pt idx="179">
                  <c:v>0.000503116654821757</c:v>
                </c:pt>
                <c:pt idx="180">
                  <c:v>0.000500337004795118</c:v>
                </c:pt>
                <c:pt idx="181">
                  <c:v>0.000498573243155384</c:v>
                </c:pt>
                <c:pt idx="182">
                  <c:v>0.000496634706431734</c:v>
                </c:pt>
                <c:pt idx="183">
                  <c:v>0.000493935604766344</c:v>
                </c:pt>
                <c:pt idx="184">
                  <c:v>0.000491265682578418</c:v>
                </c:pt>
                <c:pt idx="185">
                  <c:v>0.000488624469231222</c:v>
                </c:pt>
                <c:pt idx="186">
                  <c:v>0.000486011504155119</c:v>
                </c:pt>
                <c:pt idx="187">
                  <c:v>0.000483426336579826</c:v>
                </c:pt>
                <c:pt idx="188">
                  <c:v>0.000480993785817098</c:v>
                </c:pt>
                <c:pt idx="189">
                  <c:v>0.000478462239575955</c:v>
                </c:pt>
                <c:pt idx="190">
                  <c:v>0.000475957201672416</c:v>
                </c:pt>
                <c:pt idx="191">
                  <c:v>0.000473478257913706</c:v>
                </c:pt>
                <c:pt idx="192">
                  <c:v>0.000471025002691355</c:v>
                </c:pt>
                <c:pt idx="193">
                  <c:v>0.000468597038759956</c:v>
                </c:pt>
                <c:pt idx="194">
                  <c:v>0.000466193977022726</c:v>
                </c:pt>
                <c:pt idx="195">
                  <c:v>0.00046381543632363</c:v>
                </c:pt>
                <c:pt idx="196">
                  <c:v>0.000461461043245845</c:v>
                </c:pt>
                <c:pt idx="197">
                  <c:v>0.000459130431916321</c:v>
                </c:pt>
                <c:pt idx="198">
                  <c:v>0.000456823243816239</c:v>
                </c:pt>
                <c:pt idx="199">
                  <c:v>0.000454539127597157</c:v>
                </c:pt>
                <c:pt idx="200">
                  <c:v>0.000452277738902644</c:v>
                </c:pt>
                <c:pt idx="201">
                  <c:v>0.000450038740195205</c:v>
                </c:pt>
                <c:pt idx="202">
                  <c:v>0.000448891806372778</c:v>
                </c:pt>
                <c:pt idx="203">
                  <c:v>0.000447483399010879</c:v>
                </c:pt>
                <c:pt idx="204">
                  <c:v>0.000445300553162046</c:v>
                </c:pt>
                <c:pt idx="205">
                  <c:v>0.000443138899991356</c:v>
                </c:pt>
                <c:pt idx="206">
                  <c:v>0.000440998132358548</c:v>
                </c:pt>
                <c:pt idx="207">
                  <c:v>0.000438877949029901</c:v>
                </c:pt>
                <c:pt idx="208">
                  <c:v>0.000436778054536935</c:v>
                </c:pt>
                <c:pt idx="209">
                  <c:v>0.000435399508470958</c:v>
                </c:pt>
                <c:pt idx="210">
                  <c:v>0.000434149875899934</c:v>
                </c:pt>
                <c:pt idx="211">
                  <c:v>0.000432101999126821</c:v>
                </c:pt>
                <c:pt idx="212">
                  <c:v>0.000430073351243596</c:v>
                </c:pt>
                <c:pt idx="213">
                  <c:v>0.000428063662686383</c:v>
                </c:pt>
                <c:pt idx="214">
                  <c:v>0.000426072668906447</c:v>
                </c:pt>
                <c:pt idx="215">
                  <c:v>0.000424100110254102</c:v>
                </c:pt>
                <c:pt idx="216">
                  <c:v>0.000422145731865834</c:v>
                </c:pt>
                <c:pt idx="217">
                  <c:v>0.000421988109659611</c:v>
                </c:pt>
                <c:pt idx="218">
                  <c:v>0.000421812063263282</c:v>
                </c:pt>
                <c:pt idx="219">
                  <c:v>0.00042177791407765</c:v>
                </c:pt>
                <c:pt idx="220">
                  <c:v>0.000419869416728882</c:v>
                </c:pt>
                <c:pt idx="221">
                  <c:v>0.000417978113049924</c:v>
                </c:pt>
                <c:pt idx="222">
                  <c:v>0.000416103771735798</c:v>
                </c:pt>
                <c:pt idx="223">
                  <c:v>0.000417131463907432</c:v>
                </c:pt>
                <c:pt idx="224">
                  <c:v>0.000417691836764252</c:v>
                </c:pt>
                <c:pt idx="225">
                  <c:v>0.000415843642796269</c:v>
                </c:pt>
                <c:pt idx="226">
                  <c:v>0.00041401173247558</c:v>
                </c:pt>
                <c:pt idx="227">
                  <c:v>0.00041219589154367</c:v>
                </c:pt>
                <c:pt idx="228">
                  <c:v>0.000410395909484527</c:v>
                </c:pt>
                <c:pt idx="229">
                  <c:v>0.00040861157944329</c:v>
                </c:pt>
                <c:pt idx="230">
                  <c:v>0.000406842698146999</c:v>
                </c:pt>
                <c:pt idx="231">
                  <c:v>0.0004050890658274</c:v>
                </c:pt>
                <c:pt idx="232">
                  <c:v>0.000403350486145737</c:v>
                </c:pt>
                <c:pt idx="233">
                  <c:v>0.000403457473028305</c:v>
                </c:pt>
                <c:pt idx="234">
                  <c:v>0.000401740632717547</c:v>
                </c:pt>
                <c:pt idx="235">
                  <c:v>0.000400038341900947</c:v>
                </c:pt>
                <c:pt idx="236">
                  <c:v>0.000398789938207975</c:v>
                </c:pt>
                <c:pt idx="237">
                  <c:v>0.000397552025302339</c:v>
                </c:pt>
                <c:pt idx="238">
                  <c:v>0.000396487912923111</c:v>
                </c:pt>
                <c:pt idx="239">
                  <c:v>0.000394835879952598</c:v>
                </c:pt>
                <c:pt idx="240">
                  <c:v>0.000393197556799267</c:v>
                </c:pt>
                <c:pt idx="241">
                  <c:v>0.000391572773506708</c:v>
                </c:pt>
                <c:pt idx="242">
                  <c:v>0.000389961362916146</c:v>
                </c:pt>
                <c:pt idx="243">
                  <c:v>0.000388363160609112</c:v>
                </c:pt>
                <c:pt idx="244">
                  <c:v>0.000386778004851524</c:v>
                </c:pt>
                <c:pt idx="245">
                  <c:v>0.00038520573653912</c:v>
                </c:pt>
                <c:pt idx="246">
                  <c:v>0.000383646199144224</c:v>
                </c:pt>
                <c:pt idx="247">
                  <c:v>0.000382099238663804</c:v>
                </c:pt>
                <c:pt idx="248">
                  <c:v>0.000380564703568769</c:v>
                </c:pt>
                <c:pt idx="249">
                  <c:v>0.000379042444754494</c:v>
                </c:pt>
                <c:pt idx="250">
                  <c:v>0.000377532315492524</c:v>
                </c:pt>
                <c:pt idx="251">
                  <c:v>0.000377193014067877</c:v>
                </c:pt>
                <c:pt idx="252">
                  <c:v>0.000376445526675133</c:v>
                </c:pt>
                <c:pt idx="253">
                  <c:v>0.000374963457672475</c:v>
                </c:pt>
                <c:pt idx="254">
                  <c:v>0.000373493012740426</c:v>
                </c:pt>
                <c:pt idx="255">
                  <c:v>0.000372034055659409</c:v>
                </c:pt>
                <c:pt idx="256">
                  <c:v>0.000370586452329995</c:v>
                </c:pt>
                <c:pt idx="257">
                  <c:v>0.000369150070731816</c:v>
                </c:pt>
                <c:pt idx="258">
                  <c:v>0.00036783649974515</c:v>
                </c:pt>
                <c:pt idx="259">
                  <c:v>0.000367423346541002</c:v>
                </c:pt>
                <c:pt idx="260">
                  <c:v>0.000366015594255404</c:v>
                </c:pt>
                <c:pt idx="261">
                  <c:v>0.00036461858817046</c:v>
                </c:pt>
                <c:pt idx="262">
                  <c:v>0.000363232205705933</c:v>
                </c:pt>
                <c:pt idx="263">
                  <c:v>0.000361856326138865</c:v>
                </c:pt>
                <c:pt idx="264">
                  <c:v>0.00036049083056853</c:v>
                </c:pt>
                <c:pt idx="265">
                  <c:v>0.000359363048655682</c:v>
                </c:pt>
                <c:pt idx="266">
                  <c:v>0.000358357012003886</c:v>
                </c:pt>
                <c:pt idx="267">
                  <c:v>0.000357019858974021</c:v>
                </c:pt>
                <c:pt idx="268">
                  <c:v>0.00035569264760237</c:v>
                </c:pt>
                <c:pt idx="269">
                  <c:v>0.000354375267426065</c:v>
                </c:pt>
                <c:pt idx="270">
                  <c:v>0.000353067609612685</c:v>
                </c:pt>
                <c:pt idx="271">
                  <c:v>0.000351769566930285</c:v>
                </c:pt>
                <c:pt idx="272">
                  <c:v>0.000350481033718086</c:v>
                </c:pt>
                <c:pt idx="273">
                  <c:v>0.000349201905857801</c:v>
                </c:pt>
                <c:pt idx="274">
                  <c:v>0.000347932080745591</c:v>
                </c:pt>
                <c:pt idx="275">
                  <c:v>0.000346671457264629</c:v>
                </c:pt>
                <c:pt idx="276">
                  <c:v>0.000345419935758258</c:v>
                </c:pt>
                <c:pt idx="277">
                  <c:v>0.000344177418003732</c:v>
                </c:pt>
                <c:pt idx="278">
                  <c:v>0.000342943807186515</c:v>
                </c:pt>
                <c:pt idx="279">
                  <c:v>0.000341719007875134</c:v>
                </c:pt>
                <c:pt idx="280">
                  <c:v>0.000340502925996575</c:v>
                </c:pt>
                <c:pt idx="281">
                  <c:v>0.00033929546881219</c:v>
                </c:pt>
                <c:pt idx="282">
                  <c:v>0.000338096544894126</c:v>
                </c:pt>
                <c:pt idx="283">
                  <c:v>0.000336906064102245</c:v>
                </c:pt>
                <c:pt idx="284">
                  <c:v>0.000335723937561535</c:v>
                </c:pt>
                <c:pt idx="285">
                  <c:v>0.000334550077639992</c:v>
                </c:pt>
                <c:pt idx="286">
                  <c:v>0.00033396410982527</c:v>
                </c:pt>
                <c:pt idx="287">
                  <c:v>0.000333802355965864</c:v>
                </c:pt>
                <c:pt idx="288">
                  <c:v>0.000332647330512695</c:v>
                </c:pt>
                <c:pt idx="289">
                  <c:v>0.000331500270752307</c:v>
                </c:pt>
                <c:pt idx="290">
                  <c:v>0.000330361094564154</c:v>
                </c:pt>
                <c:pt idx="291">
                  <c:v>0.000329229720952633</c:v>
                </c:pt>
                <c:pt idx="292">
                  <c:v>0.00032810607002788</c:v>
                </c:pt>
                <c:pt idx="293">
                  <c:v>0.000327041509280975</c:v>
                </c:pt>
                <c:pt idx="294">
                  <c:v>0.000326360902897862</c:v>
                </c:pt>
                <c:pt idx="295">
                  <c:v>0.000326058137767269</c:v>
                </c:pt>
                <c:pt idx="296">
                  <c:v>0.000325491707279259</c:v>
                </c:pt>
                <c:pt idx="297">
                  <c:v>0.000324452415739003</c:v>
                </c:pt>
                <c:pt idx="298">
                  <c:v>0.000323367290602752</c:v>
                </c:pt>
                <c:pt idx="299">
                  <c:v>0.000322289399634076</c:v>
                </c:pt>
                <c:pt idx="300">
                  <c:v>0.000321690582540758</c:v>
                </c:pt>
                <c:pt idx="301">
                  <c:v>0.000321513819289988</c:v>
                </c:pt>
                <c:pt idx="302">
                  <c:v>0.000321129868624598</c:v>
                </c:pt>
                <c:pt idx="303">
                  <c:v>0.000320696526752128</c:v>
                </c:pt>
                <c:pt idx="304">
                  <c:v>0.000320369520421661</c:v>
                </c:pt>
                <c:pt idx="305">
                  <c:v>0.000319993073517266</c:v>
                </c:pt>
                <c:pt idx="306">
                  <c:v>0.000318950750802226</c:v>
                </c:pt>
                <c:pt idx="307">
                  <c:v>0.000318376382957237</c:v>
                </c:pt>
                <c:pt idx="308">
                  <c:v>0.000317346038675822</c:v>
                </c:pt>
                <c:pt idx="309">
                  <c:v>0.000316322341776867</c:v>
                </c:pt>
                <c:pt idx="310">
                  <c:v>0.000315305228137713</c:v>
                </c:pt>
                <c:pt idx="311">
                  <c:v>0.000314294634457785</c:v>
                </c:pt>
                <c:pt idx="312">
                  <c:v>0.00031329049824546</c:v>
                </c:pt>
                <c:pt idx="313">
                  <c:v>0.000312292757805187</c:v>
                </c:pt>
                <c:pt idx="314">
                  <c:v>0.000311401560658395</c:v>
                </c:pt>
                <c:pt idx="315">
                  <c:v>0.000310466058340751</c:v>
                </c:pt>
                <c:pt idx="316">
                  <c:v>0.000309486670144093</c:v>
                </c:pt>
                <c:pt idx="317">
                  <c:v>0.000308513441621627</c:v>
                </c:pt>
                <c:pt idx="318">
                  <c:v>0.000307546314845384</c:v>
                </c:pt>
                <c:pt idx="319">
                  <c:v>0.000306585232611492</c:v>
                </c:pt>
                <c:pt idx="320">
                  <c:v>0.000305630138428901</c:v>
                </c:pt>
                <c:pt idx="321">
                  <c:v>0.000304680976508315</c:v>
                </c:pt>
                <c:pt idx="322">
                  <c:v>0.000303737691751323</c:v>
                </c:pt>
                <c:pt idx="323">
                  <c:v>0.000302800229739745</c:v>
                </c:pt>
                <c:pt idx="324">
                  <c:v>0.000301868536725161</c:v>
                </c:pt>
                <c:pt idx="325">
                  <c:v>0.000303818326489808</c:v>
                </c:pt>
                <c:pt idx="326">
                  <c:v>0.000305756190934793</c:v>
                </c:pt>
                <c:pt idx="327">
                  <c:v>0.000307682239133163</c:v>
                </c:pt>
                <c:pt idx="328">
                  <c:v>0.000309596578831846</c:v>
                </c:pt>
                <c:pt idx="329">
                  <c:v>0.000311499316471749</c:v>
                </c:pt>
                <c:pt idx="330">
                  <c:v>0.000313390557207484</c:v>
                </c:pt>
                <c:pt idx="331">
                  <c:v>0.000315270404926739</c:v>
                </c:pt>
                <c:pt idx="332">
                  <c:v>0.000317138962269301</c:v>
                </c:pt>
                <c:pt idx="333">
                  <c:v>0.000318996330645741</c:v>
                </c:pt>
                <c:pt idx="334">
                  <c:v>0.000320842610255753</c:v>
                </c:pt>
                <c:pt idx="335">
                  <c:v>0.000322677900106183</c:v>
                </c:pt>
                <c:pt idx="336">
                  <c:v>0.000324502298028716</c:v>
                </c:pt>
                <c:pt idx="337">
                  <c:v>0.00032631590069727</c:v>
                </c:pt>
                <c:pt idx="338">
                  <c:v>0.000328118803645066</c:v>
                </c:pt>
                <c:pt idx="339">
                  <c:v>0.000329911101281404</c:v>
                </c:pt>
                <c:pt idx="340">
                  <c:v>0.000331692886908145</c:v>
                </c:pt>
                <c:pt idx="341">
                  <c:v>0.000333464252735899</c:v>
                </c:pt>
                <c:pt idx="342">
                  <c:v>0.000335225289899934</c:v>
                </c:pt>
                <c:pt idx="343">
                  <c:v>0.000336976088475806</c:v>
                </c:pt>
                <c:pt idx="344">
                  <c:v>0.000338716737494717</c:v>
                </c:pt>
                <c:pt idx="345">
                  <c:v>0.000340447324958605</c:v>
                </c:pt>
                <c:pt idx="346">
                  <c:v>0.000342167937854978</c:v>
                </c:pt>
                <c:pt idx="347">
                  <c:v>0.000343878662171487</c:v>
                </c:pt>
                <c:pt idx="348">
                  <c:v>0.00034557958291025</c:v>
                </c:pt>
                <c:pt idx="349">
                  <c:v>0.000347270784101935</c:v>
                </c:pt>
                <c:pt idx="350">
                  <c:v>0.000348952348819594</c:v>
                </c:pt>
                <c:pt idx="351">
                  <c:v>0.000350624359192265</c:v>
                </c:pt>
                <c:pt idx="352">
                  <c:v>0.000352286896418349</c:v>
                </c:pt>
                <c:pt idx="353">
                  <c:v>0.00035394004077875</c:v>
                </c:pt>
                <c:pt idx="354">
                  <c:v>0.000355583871649795</c:v>
                </c:pt>
                <c:pt idx="355">
                  <c:v>0.000357218467515948</c:v>
                </c:pt>
                <c:pt idx="356">
                  <c:v>0.000358843905982289</c:v>
                </c:pt>
                <c:pt idx="357">
                  <c:v>0.000360765449900741</c:v>
                </c:pt>
                <c:pt idx="358">
                  <c:v>0.000362779162984498</c:v>
                </c:pt>
                <c:pt idx="359">
                  <c:v>0.000364774564580024</c:v>
                </c:pt>
                <c:pt idx="360">
                  <c:v>0.000366724099471363</c:v>
                </c:pt>
                <c:pt idx="361">
                  <c:v>0.000368640900468973</c:v>
                </c:pt>
                <c:pt idx="362">
                  <c:v>0.000370547140579544</c:v>
                </c:pt>
                <c:pt idx="363">
                  <c:v>0.000372442906843353</c:v>
                </c:pt>
                <c:pt idx="364">
                  <c:v>0.000374328285346812</c:v>
                </c:pt>
                <c:pt idx="365">
                  <c:v>0.000376203361235499</c:v>
                </c:pt>
                <c:pt idx="366">
                  <c:v>0.000378047253798394</c:v>
                </c:pt>
                <c:pt idx="367">
                  <c:v>0.00037990203316472</c:v>
                </c:pt>
                <c:pt idx="368">
                  <c:v>0.000381746759526349</c:v>
                </c:pt>
                <c:pt idx="369">
                  <c:v>0.000383837292188972</c:v>
                </c:pt>
                <c:pt idx="370">
                  <c:v>0.000385661466766916</c:v>
                </c:pt>
                <c:pt idx="371">
                  <c:v>0.000387404132396059</c:v>
                </c:pt>
                <c:pt idx="372">
                  <c:v>0.000387044610745716</c:v>
                </c:pt>
                <c:pt idx="373">
                  <c:v>0.000387131578917708</c:v>
                </c:pt>
                <c:pt idx="374">
                  <c:v>0.00038631808325945</c:v>
                </c:pt>
                <c:pt idx="375">
                  <c:v>0.000385508914705756</c:v>
                </c:pt>
                <c:pt idx="376">
                  <c:v>0.000384742135305497</c:v>
                </c:pt>
                <c:pt idx="377">
                  <c:v>0.000383941417241384</c:v>
                </c:pt>
                <c:pt idx="378">
                  <c:v>0.000383144924602411</c:v>
                </c:pt>
                <c:pt idx="379">
                  <c:v>0.000382352624029959</c:v>
                </c:pt>
                <c:pt idx="380">
                  <c:v>0.00038156448251563</c:v>
                </c:pt>
                <c:pt idx="381">
                  <c:v>0.000380780467396665</c:v>
                </c:pt>
                <c:pt idx="382">
                  <c:v>0.000380000546351427</c:v>
                </c:pt>
                <c:pt idx="383">
                  <c:v>0.000379224687394967</c:v>
                </c:pt>
                <c:pt idx="384">
                  <c:v>0.00037846105774648</c:v>
                </c:pt>
                <c:pt idx="385">
                  <c:v>0.000377701384728295</c:v>
                </c:pt>
                <c:pt idx="386">
                  <c:v>0.000376945637668861</c:v>
                </c:pt>
                <c:pt idx="387">
                  <c:v>0.000376193786212826</c:v>
                </c:pt>
                <c:pt idx="388">
                  <c:v>0.000375445800316976</c:v>
                </c:pt>
                <c:pt idx="389">
                  <c:v>0.000374701650246233</c:v>
                </c:pt>
                <c:pt idx="390">
                  <c:v>0.000373961306569714</c:v>
                </c:pt>
                <c:pt idx="391">
                  <c:v>0.000373224740156851</c:v>
                </c:pt>
                <c:pt idx="392">
                  <c:v>0.000372437706351224</c:v>
                </c:pt>
                <c:pt idx="393">
                  <c:v>0.000371683509357716</c:v>
                </c:pt>
                <c:pt idx="394">
                  <c:v>0.000370931333039434</c:v>
                </c:pt>
                <c:pt idx="395">
                  <c:v>0.000370218825655726</c:v>
                </c:pt>
                <c:pt idx="396">
                  <c:v>0.000369599357008551</c:v>
                </c:pt>
                <c:pt idx="397">
                  <c:v>0.0003690722258009</c:v>
                </c:pt>
                <c:pt idx="398">
                  <c:v>0.000368636737766312</c:v>
                </c:pt>
                <c:pt idx="399">
                  <c:v>0.000368025870353714</c:v>
                </c:pt>
                <c:pt idx="400">
                  <c:v>0.000367418049661379</c:v>
                </c:pt>
                <c:pt idx="401">
                  <c:v>0.000367290271270091</c:v>
                </c:pt>
                <c:pt idx="402">
                  <c:v>0.000367004515464999</c:v>
                </c:pt>
                <c:pt idx="403">
                  <c:v>0.000366825653590536</c:v>
                </c:pt>
                <c:pt idx="404">
                  <c:v>0.000366647674984588</c:v>
                </c:pt>
                <c:pt idx="405">
                  <c:v>0.000366457453158607</c:v>
                </c:pt>
                <c:pt idx="406">
                  <c:v>0.000366654254005214</c:v>
                </c:pt>
                <c:pt idx="407">
                  <c:v>0.000367126434699497</c:v>
                </c:pt>
                <c:pt idx="408">
                  <c:v>0.000367677053552199</c:v>
                </c:pt>
                <c:pt idx="409">
                  <c:v>0.000367715701536883</c:v>
                </c:pt>
                <c:pt idx="410">
                  <c:v>0.000367436632837058</c:v>
                </c:pt>
                <c:pt idx="411">
                  <c:v>0.000367234337391073</c:v>
                </c:pt>
                <c:pt idx="412">
                  <c:v>0.000367002927208087</c:v>
                </c:pt>
                <c:pt idx="413">
                  <c:v>0.000366797724499087</c:v>
                </c:pt>
                <c:pt idx="414">
                  <c:v>0.000366593510718804</c:v>
                </c:pt>
                <c:pt idx="415">
                  <c:v>0.000370265698156616</c:v>
                </c:pt>
                <c:pt idx="416">
                  <c:v>0.000370053366709834</c:v>
                </c:pt>
                <c:pt idx="417">
                  <c:v>0.000369842051202989</c:v>
                </c:pt>
                <c:pt idx="418">
                  <c:v>0.000369631744362047</c:v>
                </c:pt>
                <c:pt idx="419">
                  <c:v>0.000369408629007505</c:v>
                </c:pt>
                <c:pt idx="420">
                  <c:v>0.000369206406655107</c:v>
                </c:pt>
                <c:pt idx="421">
                  <c:v>0.000368986011129739</c:v>
                </c:pt>
                <c:pt idx="422">
                  <c:v>0.000368760781078593</c:v>
                </c:pt>
                <c:pt idx="423">
                  <c:v>0.000368559847195895</c:v>
                </c:pt>
                <c:pt idx="424">
                  <c:v>0.00036835985888441</c:v>
                </c:pt>
                <c:pt idx="425">
                  <c:v>0.000368134875260308</c:v>
                </c:pt>
                <c:pt idx="426">
                  <c:v>0.000367909867361631</c:v>
                </c:pt>
                <c:pt idx="427">
                  <c:v>0.000367702044049802</c:v>
                </c:pt>
                <c:pt idx="428">
                  <c:v>0.000367505919972332</c:v>
                </c:pt>
                <c:pt idx="429">
                  <c:v>0.000367310708099872</c:v>
                </c:pt>
                <c:pt idx="430">
                  <c:v>0.000367080728985014</c:v>
                </c:pt>
                <c:pt idx="431">
                  <c:v>0.00036688740510962</c:v>
                </c:pt>
                <c:pt idx="432">
                  <c:v>0.000366694974185152</c:v>
                </c:pt>
                <c:pt idx="433">
                  <c:v>0.000366503430039137</c:v>
                </c:pt>
                <c:pt idx="434">
                  <c:v>0.000366296469727425</c:v>
                </c:pt>
                <c:pt idx="435">
                  <c:v>0.000366106718225332</c:v>
                </c:pt>
                <c:pt idx="436">
                  <c:v>0.000365917835151166</c:v>
                </c:pt>
                <c:pt idx="437">
                  <c:v>0.000365729814556791</c:v>
                </c:pt>
                <c:pt idx="438">
                  <c:v>0.000365542650548267</c:v>
                </c:pt>
                <c:pt idx="439">
                  <c:v>0.000365356337285236</c:v>
                </c:pt>
                <c:pt idx="440">
                  <c:v>0.000365170868980315</c:v>
                </c:pt>
                <c:pt idx="441">
                  <c:v>0.000364982073993591</c:v>
                </c:pt>
                <c:pt idx="442">
                  <c:v>0.00036479828785549</c:v>
                </c:pt>
                <c:pt idx="443">
                  <c:v>0.000364615329582876</c:v>
                </c:pt>
                <c:pt idx="444">
                  <c:v>0.000364433193594633</c:v>
                </c:pt>
                <c:pt idx="445">
                  <c:v>0.000364231821438863</c:v>
                </c:pt>
                <c:pt idx="446">
                  <c:v>0.000364014711221534</c:v>
                </c:pt>
                <c:pt idx="447">
                  <c:v>0.000363815172161043</c:v>
                </c:pt>
                <c:pt idx="448">
                  <c:v>0.000363616521915965</c:v>
                </c:pt>
                <c:pt idx="449">
                  <c:v>0.000363418754560866</c:v>
                </c:pt>
                <c:pt idx="450">
                  <c:v>0.000363240892854522</c:v>
                </c:pt>
                <c:pt idx="451">
                  <c:v>0.000363044831613962</c:v>
                </c:pt>
                <c:pt idx="452">
                  <c:v>0.000362849635985943</c:v>
                </c:pt>
                <c:pt idx="453">
                  <c:v>0.000362655300250558</c:v>
                </c:pt>
                <c:pt idx="454">
                  <c:v>0.000362461818738186</c:v>
                </c:pt>
                <c:pt idx="455">
                  <c:v>0.000362269185828938</c:v>
                </c:pt>
                <c:pt idx="456">
                  <c:v>0.000362077395952116</c:v>
                </c:pt>
                <c:pt idx="457">
                  <c:v>0.000361886443585673</c:v>
                </c:pt>
                <c:pt idx="458">
                  <c:v>0.000363185225933058</c:v>
                </c:pt>
                <c:pt idx="459">
                  <c:v>0.000362495193272377</c:v>
                </c:pt>
                <c:pt idx="460">
                  <c:v>0.0003618081542458</c:v>
                </c:pt>
                <c:pt idx="461">
                  <c:v>0.000361465260698141</c:v>
                </c:pt>
                <c:pt idx="462">
                  <c:v>0.000362413915581279</c:v>
                </c:pt>
                <c:pt idx="463">
                  <c:v>0.000364904705393081</c:v>
                </c:pt>
                <c:pt idx="464">
                  <c:v>0.000367095027222474</c:v>
                </c:pt>
                <c:pt idx="465">
                  <c:v>0.00037214970820697</c:v>
                </c:pt>
                <c:pt idx="466">
                  <c:v>0.000374468918115613</c:v>
                </c:pt>
                <c:pt idx="467">
                  <c:v>0.000377063644722077</c:v>
                </c:pt>
                <c:pt idx="468">
                  <c:v>0.000377599108214626</c:v>
                </c:pt>
                <c:pt idx="469">
                  <c:v>0.000384106177152605</c:v>
                </c:pt>
                <c:pt idx="470">
                  <c:v>0.00038673375526975</c:v>
                </c:pt>
                <c:pt idx="471">
                  <c:v>0.000390143743691199</c:v>
                </c:pt>
                <c:pt idx="472">
                  <c:v>0.000392426305781437</c:v>
                </c:pt>
                <c:pt idx="473">
                  <c:v>0.000413672899232516</c:v>
                </c:pt>
                <c:pt idx="474">
                  <c:v>0.000514531769198267</c:v>
                </c:pt>
                <c:pt idx="475">
                  <c:v>0.000519116958648013</c:v>
                </c:pt>
                <c:pt idx="476">
                  <c:v>0.000525473197478374</c:v>
                </c:pt>
                <c:pt idx="477">
                  <c:v>0.000526308763461419</c:v>
                </c:pt>
                <c:pt idx="478">
                  <c:v>0.000535358677619541</c:v>
                </c:pt>
                <c:pt idx="479">
                  <c:v>0.000536628650268756</c:v>
                </c:pt>
                <c:pt idx="480">
                  <c:v>0.000536880665572487</c:v>
                </c:pt>
                <c:pt idx="481">
                  <c:v>0.00053576680527047</c:v>
                </c:pt>
                <c:pt idx="482">
                  <c:v>0.000536003018830045</c:v>
                </c:pt>
                <c:pt idx="483">
                  <c:v>0.000544132833529432</c:v>
                </c:pt>
                <c:pt idx="484">
                  <c:v>0.000559602893135401</c:v>
                </c:pt>
                <c:pt idx="485">
                  <c:v>0.00057182154833097</c:v>
                </c:pt>
                <c:pt idx="486">
                  <c:v>0.000585116641093093</c:v>
                </c:pt>
                <c:pt idx="487">
                  <c:v>0.000594685361067566</c:v>
                </c:pt>
                <c:pt idx="488">
                  <c:v>0.000605349929022253</c:v>
                </c:pt>
                <c:pt idx="489">
                  <c:v>0.000619303769998892</c:v>
                </c:pt>
                <c:pt idx="490">
                  <c:v>0.000635104017674634</c:v>
                </c:pt>
                <c:pt idx="491">
                  <c:v>0.000642328881898687</c:v>
                </c:pt>
                <c:pt idx="492">
                  <c:v>0.000644891055742952</c:v>
                </c:pt>
                <c:pt idx="493">
                  <c:v>0.00064622200352761</c:v>
                </c:pt>
                <c:pt idx="494">
                  <c:v>0.000656570903635267</c:v>
                </c:pt>
                <c:pt idx="495">
                  <c:v>0.000660217760546926</c:v>
                </c:pt>
                <c:pt idx="496">
                  <c:v>0.000676982811162862</c:v>
                </c:pt>
                <c:pt idx="497">
                  <c:v>0.00068719683230693</c:v>
                </c:pt>
                <c:pt idx="498">
                  <c:v>0.000689659632234596</c:v>
                </c:pt>
                <c:pt idx="499">
                  <c:v>0.000718340587591339</c:v>
                </c:pt>
                <c:pt idx="500">
                  <c:v>0.000722937633725403</c:v>
                </c:pt>
                <c:pt idx="501">
                  <c:v>0.000727414381768809</c:v>
                </c:pt>
                <c:pt idx="502">
                  <c:v>0.000728804550063684</c:v>
                </c:pt>
                <c:pt idx="503">
                  <c:v>0.000727358509289748</c:v>
                </c:pt>
                <c:pt idx="504">
                  <c:v>0.000735701447172643</c:v>
                </c:pt>
                <c:pt idx="505">
                  <c:v>0.000750613458101695</c:v>
                </c:pt>
                <c:pt idx="506">
                  <c:v>0.00077108101213359</c:v>
                </c:pt>
                <c:pt idx="507">
                  <c:v>0.000816891511848729</c:v>
                </c:pt>
                <c:pt idx="508">
                  <c:v>0.000843720870446038</c:v>
                </c:pt>
                <c:pt idx="509">
                  <c:v>0.000842066515798104</c:v>
                </c:pt>
                <c:pt idx="510">
                  <c:v>0.000840418636119439</c:v>
                </c:pt>
                <c:pt idx="511">
                  <c:v>0.000838777193470768</c:v>
                </c:pt>
                <c:pt idx="512">
                  <c:v>0.000837142150208642</c:v>
                </c:pt>
                <c:pt idx="513">
                  <c:v>0.000853153830986593</c:v>
                </c:pt>
                <c:pt idx="514">
                  <c:v>0.000877106580516746</c:v>
                </c:pt>
                <c:pt idx="515">
                  <c:v>0.00093339390498045</c:v>
                </c:pt>
                <c:pt idx="516">
                  <c:v>0.000948190441189385</c:v>
                </c:pt>
                <c:pt idx="517">
                  <c:v>0.000961635179921001</c:v>
                </c:pt>
                <c:pt idx="518">
                  <c:v>0.000970435499318012</c:v>
                </c:pt>
                <c:pt idx="519">
                  <c:v>0.000977321997465449</c:v>
                </c:pt>
                <c:pt idx="520">
                  <c:v>0.000975446139504862</c:v>
                </c:pt>
                <c:pt idx="521">
                  <c:v>0.000973577468739527</c:v>
                </c:pt>
                <c:pt idx="522">
                  <c:v>0.000971715943942702</c:v>
                </c:pt>
                <c:pt idx="523">
                  <c:v>0.000969861524202353</c:v>
                </c:pt>
                <c:pt idx="524">
                  <c:v>0.000968014168918159</c:v>
                </c:pt>
                <c:pt idx="525">
                  <c:v>0.000966173837798542</c:v>
                </c:pt>
                <c:pt idx="526">
                  <c:v>0.000964340490857748</c:v>
                </c:pt>
                <c:pt idx="527">
                  <c:v>0.000962514088412942</c:v>
                </c:pt>
                <c:pt idx="528">
                  <c:v>0.000960694591081348</c:v>
                </c:pt>
                <c:pt idx="529">
                  <c:v>0.00096316042023697</c:v>
                </c:pt>
                <c:pt idx="530">
                  <c:v>0.000967556778498664</c:v>
                </c:pt>
                <c:pt idx="531">
                  <c:v>0.000972147163003793</c:v>
                </c:pt>
                <c:pt idx="532">
                  <c:v>0.000970323247125738</c:v>
                </c:pt>
                <c:pt idx="533">
                  <c:v>0.000968506162393292</c:v>
                </c:pt>
                <c:pt idx="534">
                  <c:v>0.000966695870500968</c:v>
                </c:pt>
                <c:pt idx="535">
                  <c:v>0.000964892333429138</c:v>
                </c:pt>
                <c:pt idx="536">
                  <c:v>0.000968464143879838</c:v>
                </c:pt>
                <c:pt idx="537">
                  <c:v>0.000966664024653295</c:v>
                </c:pt>
                <c:pt idx="538">
                  <c:v>0.000964870584904402</c:v>
                </c:pt>
                <c:pt idx="539">
                  <c:v>0.00096308378752495</c:v>
                </c:pt>
                <c:pt idx="540">
                  <c:v>0.000961303595681096</c:v>
                </c:pt>
                <c:pt idx="541">
                  <c:v>0.000959529972810835</c:v>
                </c:pt>
                <c:pt idx="542">
                  <c:v>0.000957762882621497</c:v>
                </c:pt>
                <c:pt idx="543">
                  <c:v>0.000957572100250368</c:v>
                </c:pt>
                <c:pt idx="544">
                  <c:v>0.000956901756669147</c:v>
                </c:pt>
                <c:pt idx="545">
                  <c:v>0.000963497438322488</c:v>
                </c:pt>
                <c:pt idx="546">
                  <c:v>0.000961736017045848</c:v>
                </c:pt>
                <c:pt idx="547">
                  <c:v>0.000968433938492291</c:v>
                </c:pt>
                <c:pt idx="548">
                  <c:v>0.000966669942247315</c:v>
                </c:pt>
                <c:pt idx="549">
                  <c:v>0.000970371038220088</c:v>
                </c:pt>
                <c:pt idx="550">
                  <c:v>0.000971554300373679</c:v>
                </c:pt>
                <c:pt idx="551">
                  <c:v>0.000970041273808443</c:v>
                </c:pt>
                <c:pt idx="552">
                  <c:v>0.000968287130456167</c:v>
                </c:pt>
                <c:pt idx="553">
                  <c:v>0.000966539319751373</c:v>
                </c:pt>
                <c:pt idx="554">
                  <c:v>0.000964797807463532</c:v>
                </c:pt>
                <c:pt idx="555">
                  <c:v>0.000971366938832276</c:v>
                </c:pt>
                <c:pt idx="556">
                  <c:v>0.000978048832691072</c:v>
                </c:pt>
                <c:pt idx="557">
                  <c:v>0.000986773139659748</c:v>
                </c:pt>
                <c:pt idx="558">
                  <c:v>0.000995590914170033</c:v>
                </c:pt>
                <c:pt idx="559">
                  <c:v>0.00100412354403109</c:v>
                </c:pt>
                <c:pt idx="560">
                  <c:v>0.00101231516197778</c:v>
                </c:pt>
                <c:pt idx="561">
                  <c:v>0.00102238706964815</c:v>
                </c:pt>
                <c:pt idx="562">
                  <c:v>0.00102748179900396</c:v>
                </c:pt>
                <c:pt idx="563">
                  <c:v>0.00102882834159116</c:v>
                </c:pt>
                <c:pt idx="564">
                  <c:v>0.0010270074064733</c:v>
                </c:pt>
                <c:pt idx="565">
                  <c:v>0.00102519290575515</c:v>
                </c:pt>
                <c:pt idx="566">
                  <c:v>0.00102338480539226</c:v>
                </c:pt>
                <c:pt idx="567">
                  <c:v>0.00102158307157995</c:v>
                </c:pt>
                <c:pt idx="568">
                  <c:v>0.00101978767075116</c:v>
                </c:pt>
                <c:pt idx="569">
                  <c:v>0.00101799856957441</c:v>
                </c:pt>
                <c:pt idx="570">
                  <c:v>0.00102233746492104</c:v>
                </c:pt>
                <c:pt idx="571">
                  <c:v>0.00102492625431803</c:v>
                </c:pt>
                <c:pt idx="572">
                  <c:v>0.00102941004903126</c:v>
                </c:pt>
                <c:pt idx="573">
                  <c:v>0.0010352287352481</c:v>
                </c:pt>
                <c:pt idx="574">
                  <c:v>0.00104172351407811</c:v>
                </c:pt>
                <c:pt idx="575">
                  <c:v>0.00106554464567259</c:v>
                </c:pt>
                <c:pt idx="576">
                  <c:v>0.00108513290235253</c:v>
                </c:pt>
                <c:pt idx="577">
                  <c:v>0.00109583796004743</c:v>
                </c:pt>
                <c:pt idx="578">
                  <c:v>0.00109768726801166</c:v>
                </c:pt>
                <c:pt idx="579">
                  <c:v>0.00109702214179526</c:v>
                </c:pt>
                <c:pt idx="580">
                  <c:v>0.00109924629957617</c:v>
                </c:pt>
                <c:pt idx="581">
                  <c:v>0.00110826049461556</c:v>
                </c:pt>
                <c:pt idx="582">
                  <c:v>0.0011101890652723</c:v>
                </c:pt>
                <c:pt idx="583">
                  <c:v>0.0011133257144542</c:v>
                </c:pt>
                <c:pt idx="584">
                  <c:v>0.00112369022177992</c:v>
                </c:pt>
                <c:pt idx="585">
                  <c:v>0.00112875091732722</c:v>
                </c:pt>
                <c:pt idx="586">
                  <c:v>0.00113381167225938</c:v>
                </c:pt>
                <c:pt idx="587">
                  <c:v>0.0011510585911841</c:v>
                </c:pt>
                <c:pt idx="588">
                  <c:v>0.00116924008922539</c:v>
                </c:pt>
                <c:pt idx="589">
                  <c:v>0.0011925671849428</c:v>
                </c:pt>
                <c:pt idx="590">
                  <c:v>0.00119054930476523</c:v>
                </c:pt>
                <c:pt idx="591">
                  <c:v>0.00118853824175043</c:v>
                </c:pt>
                <c:pt idx="592">
                  <c:v>0.00118653396141021</c:v>
                </c:pt>
                <c:pt idx="593">
                  <c:v>0.00118453642948864</c:v>
                </c:pt>
                <c:pt idx="594">
                  <c:v>0.00118441539633217</c:v>
                </c:pt>
                <c:pt idx="595">
                  <c:v>0.00118242812217725</c:v>
                </c:pt>
                <c:pt idx="596">
                  <c:v>0.00118044750555719</c:v>
                </c:pt>
                <c:pt idx="597">
                  <c:v>0.00117847351307298</c:v>
                </c:pt>
                <c:pt idx="598">
                  <c:v>0.00117650611154865</c:v>
                </c:pt>
                <c:pt idx="599">
                  <c:v>0.0011745452680294</c:v>
                </c:pt>
                <c:pt idx="600">
                  <c:v>0.00117259094977977</c:v>
                </c:pt>
                <c:pt idx="601">
                  <c:v>0.0011706431242818</c:v>
                </c:pt>
                <c:pt idx="602">
                  <c:v>0.00116870175923324</c:v>
                </c:pt>
                <c:pt idx="603">
                  <c:v>0.00116676682254577</c:v>
                </c:pt>
                <c:pt idx="604">
                  <c:v>0.00116483828234321</c:v>
                </c:pt>
                <c:pt idx="605">
                  <c:v>0.00116291610695981</c:v>
                </c:pt>
                <c:pt idx="606">
                  <c:v>0.00116100026493846</c:v>
                </c:pt>
                <c:pt idx="607">
                  <c:v>0.00115909072502902</c:v>
                </c:pt>
                <c:pt idx="608">
                  <c:v>0.00115833569581814</c:v>
                </c:pt>
                <c:pt idx="609">
                  <c:v>0.0011586750680319</c:v>
                </c:pt>
                <c:pt idx="610">
                  <c:v>0.00115813726616115</c:v>
                </c:pt>
                <c:pt idx="611">
                  <c:v>0.00115677919950645</c:v>
                </c:pt>
                <c:pt idx="612">
                  <c:v>0.00115583590439998</c:v>
                </c:pt>
                <c:pt idx="613">
                  <c:v>0.00115476458676252</c:v>
                </c:pt>
                <c:pt idx="614">
                  <c:v>0.00115363131208954</c:v>
                </c:pt>
                <c:pt idx="615">
                  <c:v>0.00115188920350537</c:v>
                </c:pt>
                <c:pt idx="616">
                  <c:v>0.00115021797081957</c:v>
                </c:pt>
                <c:pt idx="617">
                  <c:v>0.00114861726997437</c:v>
                </c:pt>
                <c:pt idx="618">
                  <c:v>0.0011487804809863</c:v>
                </c:pt>
                <c:pt idx="619">
                  <c:v>0.00114770981384933</c:v>
                </c:pt>
                <c:pt idx="620">
                  <c:v>0.00114679327517846</c:v>
                </c:pt>
                <c:pt idx="621">
                  <c:v>0.00114600909261947</c:v>
                </c:pt>
                <c:pt idx="622">
                  <c:v>0.00114496902485443</c:v>
                </c:pt>
                <c:pt idx="623">
                  <c:v>0.00114431927344878</c:v>
                </c:pt>
                <c:pt idx="624">
                  <c:v>0.0011434188550355</c:v>
                </c:pt>
                <c:pt idx="625">
                  <c:v>0.00114528100769591</c:v>
                </c:pt>
                <c:pt idx="626">
                  <c:v>0.00114535598859926</c:v>
                </c:pt>
                <c:pt idx="627">
                  <c:v>0.001146552241398</c:v>
                </c:pt>
                <c:pt idx="628">
                  <c:v>0.00114519206688488</c:v>
                </c:pt>
                <c:pt idx="629">
                  <c:v>0.00115090238198133</c:v>
                </c:pt>
                <c:pt idx="630">
                  <c:v>0.00115494331003359</c:v>
                </c:pt>
                <c:pt idx="631">
                  <c:v>0.00115843554902447</c:v>
                </c:pt>
                <c:pt idx="632">
                  <c:v>0.00116049321403391</c:v>
                </c:pt>
                <c:pt idx="633">
                  <c:v>0.00116448355675925</c:v>
                </c:pt>
                <c:pt idx="634">
                  <c:v>0.00116624792961784</c:v>
                </c:pt>
                <c:pt idx="635">
                  <c:v>0.00116942683644306</c:v>
                </c:pt>
                <c:pt idx="636">
                  <c:v>0.00117488026175393</c:v>
                </c:pt>
                <c:pt idx="637">
                  <c:v>0.00117629535648591</c:v>
                </c:pt>
                <c:pt idx="638">
                  <c:v>0.00117591656060983</c:v>
                </c:pt>
                <c:pt idx="639">
                  <c:v>0.00117631252283757</c:v>
                </c:pt>
                <c:pt idx="640">
                  <c:v>0.00117857676686602</c:v>
                </c:pt>
                <c:pt idx="641">
                  <c:v>0.00118055324039835</c:v>
                </c:pt>
                <c:pt idx="642">
                  <c:v>0.00118163762309802</c:v>
                </c:pt>
                <c:pt idx="643">
                  <c:v>0.00118142448911849</c:v>
                </c:pt>
                <c:pt idx="644">
                  <c:v>0.00118423504447101</c:v>
                </c:pt>
                <c:pt idx="645">
                  <c:v>0.00118683381054985</c:v>
                </c:pt>
                <c:pt idx="646">
                  <c:v>0.00119644692618009</c:v>
                </c:pt>
                <c:pt idx="647">
                  <c:v>0.0012176370729561</c:v>
                </c:pt>
                <c:pt idx="648">
                  <c:v>0.00124508422030248</c:v>
                </c:pt>
                <c:pt idx="649">
                  <c:v>0.00125565186098337</c:v>
                </c:pt>
                <c:pt idx="650">
                  <c:v>0.00126807026238138</c:v>
                </c:pt>
                <c:pt idx="651">
                  <c:v>0.00128052982255145</c:v>
                </c:pt>
                <c:pt idx="652">
                  <c:v>0.00129095603638975</c:v>
                </c:pt>
                <c:pt idx="653">
                  <c:v>0.00129809055714041</c:v>
                </c:pt>
                <c:pt idx="654">
                  <c:v>0.00130949176464243</c:v>
                </c:pt>
                <c:pt idx="655">
                  <c:v>0.00132132819359449</c:v>
                </c:pt>
                <c:pt idx="656">
                  <c:v>0.00133342654573399</c:v>
                </c:pt>
                <c:pt idx="657">
                  <c:v>0.00134434691294769</c:v>
                </c:pt>
                <c:pt idx="658">
                  <c:v>0.00135093240413602</c:v>
                </c:pt>
                <c:pt idx="659">
                  <c:v>0.00135952262506869</c:v>
                </c:pt>
                <c:pt idx="660">
                  <c:v>0.00138590177565419</c:v>
                </c:pt>
                <c:pt idx="661">
                  <c:v>0.00140038447296801</c:v>
                </c:pt>
                <c:pt idx="662">
                  <c:v>0.00140959647670396</c:v>
                </c:pt>
                <c:pt idx="663">
                  <c:v>0.00142937407226014</c:v>
                </c:pt>
                <c:pt idx="664">
                  <c:v>0.00143835242696003</c:v>
                </c:pt>
                <c:pt idx="665">
                  <c:v>0.00147184921514139</c:v>
                </c:pt>
                <c:pt idx="666">
                  <c:v>0.0014961386205159</c:v>
                </c:pt>
                <c:pt idx="667">
                  <c:v>0.00151965342683531</c:v>
                </c:pt>
                <c:pt idx="668">
                  <c:v>0.00153523961692481</c:v>
                </c:pt>
                <c:pt idx="669">
                  <c:v>0.00154187640735409</c:v>
                </c:pt>
                <c:pt idx="670">
                  <c:v>0.00153957852895267</c:v>
                </c:pt>
                <c:pt idx="671">
                  <c:v>0.00153728748947506</c:v>
                </c:pt>
                <c:pt idx="672">
                  <c:v>0.00153500325843572</c:v>
                </c:pt>
                <c:pt idx="673">
                  <c:v>0.00153272580553003</c:v>
                </c:pt>
                <c:pt idx="674">
                  <c:v>0.00153045510063295</c:v>
                </c:pt>
                <c:pt idx="675">
                  <c:v>0.00152819111379769</c:v>
                </c:pt>
                <c:pt idx="676">
                  <c:v>0.00152593381525442</c:v>
                </c:pt>
                <c:pt idx="677">
                  <c:v>0.00152368317540891</c:v>
                </c:pt>
                <c:pt idx="678">
                  <c:v>0.0015214391648413</c:v>
                </c:pt>
                <c:pt idx="679">
                  <c:v>0.00151920175430477</c:v>
                </c:pt>
                <c:pt idx="680">
                  <c:v>0.00151697091472429</c:v>
                </c:pt>
                <c:pt idx="681">
                  <c:v>0.00151474661719537</c:v>
                </c:pt>
                <c:pt idx="682">
                  <c:v>0.00151252883298278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077499"/>
        <c:axId val="52054490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Sheet4!$B$1</c15:sqref>
                        </c15:formulaRef>
                      </c:ext>
                    </c:extLst>
                    <c:strCache>
                      <c:ptCount val="1"/>
                      <c:pt idx="0">
                        <c:v>每日进度（数理）</c:v>
                      </c:pt>
                    </c:strCache>
                  </c:strRef>
                </c:tx>
                <c:spPr>
                  <a:ln w="25400" cap="rnd">
                    <a:solidFill>
                      <a:srgbClr val="C00000"/>
                    </a:solidFill>
                    <a:round/>
                  </a:ln>
                  <a:effectLst/>
                  <a:sp3d contourW="25400"/>
                </c:spPr>
                <c:marker>
                  <c:symbol val="none"/>
                </c:marker>
                <c:dLbls>
                  <c:delete val="1"/>
                </c:dLbls>
                <c:trendline>
                  <c:spPr>
                    <a:ln w="25400" cap="rnd" cmpd="sng">
                      <a:solidFill>
                        <a:srgbClr val="FFC000"/>
                      </a:solidFill>
                      <a:prstDash val="solid"/>
                    </a:ln>
                    <a:effectLst/>
                  </c:spPr>
                  <c:trendlineType val="movingAvg"/>
                  <c:period val="7"/>
                  <c:dispRSqr val="0"/>
                  <c:dispEq val="0"/>
                </c:trendline>
                <c:xVal>
                  <c:numRef>
                    <c:f>Sheet4!$A$2:$A$684</c:f>
                    <c:numCache>
                      <c:formatCode>m"月"d"日";@</c:formatCode>
                      <c:ptCount val="683"/>
                      <c:pt idx="0">
                        <c:v>45333</c:v>
                      </c:pt>
                      <c:pt idx="1">
                        <c:v>45334</c:v>
                      </c:pt>
                      <c:pt idx="2">
                        <c:v>45335</c:v>
                      </c:pt>
                      <c:pt idx="3">
                        <c:v>45336</c:v>
                      </c:pt>
                      <c:pt idx="4">
                        <c:v>45337</c:v>
                      </c:pt>
                      <c:pt idx="5">
                        <c:v>45338</c:v>
                      </c:pt>
                      <c:pt idx="6">
                        <c:v>45339</c:v>
                      </c:pt>
                      <c:pt idx="7">
                        <c:v>45340</c:v>
                      </c:pt>
                      <c:pt idx="8">
                        <c:v>45341</c:v>
                      </c:pt>
                      <c:pt idx="9">
                        <c:v>45342</c:v>
                      </c:pt>
                      <c:pt idx="10">
                        <c:v>45343</c:v>
                      </c:pt>
                      <c:pt idx="11">
                        <c:v>45344</c:v>
                      </c:pt>
                      <c:pt idx="12">
                        <c:v>45345</c:v>
                      </c:pt>
                      <c:pt idx="13">
                        <c:v>45346</c:v>
                      </c:pt>
                      <c:pt idx="14">
                        <c:v>45347</c:v>
                      </c:pt>
                      <c:pt idx="15">
                        <c:v>45348</c:v>
                      </c:pt>
                      <c:pt idx="16">
                        <c:v>45349</c:v>
                      </c:pt>
                      <c:pt idx="17">
                        <c:v>45350</c:v>
                      </c:pt>
                      <c:pt idx="18">
                        <c:v>45351</c:v>
                      </c:pt>
                      <c:pt idx="19">
                        <c:v>45352</c:v>
                      </c:pt>
                      <c:pt idx="20">
                        <c:v>45353</c:v>
                      </c:pt>
                      <c:pt idx="21">
                        <c:v>45354</c:v>
                      </c:pt>
                      <c:pt idx="22">
                        <c:v>45355</c:v>
                      </c:pt>
                      <c:pt idx="23">
                        <c:v>45356</c:v>
                      </c:pt>
                      <c:pt idx="24">
                        <c:v>45357</c:v>
                      </c:pt>
                      <c:pt idx="25">
                        <c:v>45358</c:v>
                      </c:pt>
                      <c:pt idx="26">
                        <c:v>45359</c:v>
                      </c:pt>
                      <c:pt idx="27">
                        <c:v>45360</c:v>
                      </c:pt>
                      <c:pt idx="28">
                        <c:v>45361</c:v>
                      </c:pt>
                      <c:pt idx="29">
                        <c:v>45362</c:v>
                      </c:pt>
                      <c:pt idx="30">
                        <c:v>45363</c:v>
                      </c:pt>
                      <c:pt idx="31">
                        <c:v>45364</c:v>
                      </c:pt>
                      <c:pt idx="32">
                        <c:v>45365</c:v>
                      </c:pt>
                      <c:pt idx="33">
                        <c:v>45366</c:v>
                      </c:pt>
                      <c:pt idx="34">
                        <c:v>45367</c:v>
                      </c:pt>
                      <c:pt idx="35">
                        <c:v>45368</c:v>
                      </c:pt>
                      <c:pt idx="36">
                        <c:v>45369</c:v>
                      </c:pt>
                      <c:pt idx="37">
                        <c:v>45370</c:v>
                      </c:pt>
                      <c:pt idx="38">
                        <c:v>45371</c:v>
                      </c:pt>
                      <c:pt idx="39">
                        <c:v>45372</c:v>
                      </c:pt>
                      <c:pt idx="40">
                        <c:v>45373</c:v>
                      </c:pt>
                      <c:pt idx="41">
                        <c:v>45374</c:v>
                      </c:pt>
                      <c:pt idx="42">
                        <c:v>45375</c:v>
                      </c:pt>
                      <c:pt idx="43">
                        <c:v>45376</c:v>
                      </c:pt>
                      <c:pt idx="44">
                        <c:v>45377</c:v>
                      </c:pt>
                      <c:pt idx="45">
                        <c:v>45378</c:v>
                      </c:pt>
                      <c:pt idx="46">
                        <c:v>45379</c:v>
                      </c:pt>
                      <c:pt idx="47">
                        <c:v>45380</c:v>
                      </c:pt>
                      <c:pt idx="48">
                        <c:v>45381</c:v>
                      </c:pt>
                      <c:pt idx="49">
                        <c:v>45382</c:v>
                      </c:pt>
                      <c:pt idx="50">
                        <c:v>45383</c:v>
                      </c:pt>
                      <c:pt idx="51">
                        <c:v>45384</c:v>
                      </c:pt>
                      <c:pt idx="52">
                        <c:v>45385</c:v>
                      </c:pt>
                      <c:pt idx="53">
                        <c:v>45386</c:v>
                      </c:pt>
                      <c:pt idx="54">
                        <c:v>45387</c:v>
                      </c:pt>
                      <c:pt idx="55">
                        <c:v>45388</c:v>
                      </c:pt>
                      <c:pt idx="56">
                        <c:v>45389</c:v>
                      </c:pt>
                      <c:pt idx="57">
                        <c:v>45390</c:v>
                      </c:pt>
                      <c:pt idx="58">
                        <c:v>45391</c:v>
                      </c:pt>
                      <c:pt idx="59">
                        <c:v>45392</c:v>
                      </c:pt>
                      <c:pt idx="60">
                        <c:v>45393</c:v>
                      </c:pt>
                      <c:pt idx="61">
                        <c:v>45394</c:v>
                      </c:pt>
                      <c:pt idx="62">
                        <c:v>45395</c:v>
                      </c:pt>
                      <c:pt idx="63">
                        <c:v>45396</c:v>
                      </c:pt>
                      <c:pt idx="64">
                        <c:v>45397</c:v>
                      </c:pt>
                      <c:pt idx="65">
                        <c:v>45398</c:v>
                      </c:pt>
                      <c:pt idx="66">
                        <c:v>45399</c:v>
                      </c:pt>
                      <c:pt idx="67">
                        <c:v>45400</c:v>
                      </c:pt>
                      <c:pt idx="68">
                        <c:v>45401</c:v>
                      </c:pt>
                      <c:pt idx="69">
                        <c:v>45402</c:v>
                      </c:pt>
                      <c:pt idx="70">
                        <c:v>45403</c:v>
                      </c:pt>
                      <c:pt idx="71">
                        <c:v>45404</c:v>
                      </c:pt>
                      <c:pt idx="72">
                        <c:v>45405</c:v>
                      </c:pt>
                      <c:pt idx="73">
                        <c:v>45406</c:v>
                      </c:pt>
                      <c:pt idx="74">
                        <c:v>45407</c:v>
                      </c:pt>
                      <c:pt idx="75">
                        <c:v>45408</c:v>
                      </c:pt>
                      <c:pt idx="76">
                        <c:v>45409</c:v>
                      </c:pt>
                      <c:pt idx="77">
                        <c:v>45410</c:v>
                      </c:pt>
                      <c:pt idx="78">
                        <c:v>45411</c:v>
                      </c:pt>
                      <c:pt idx="79">
                        <c:v>45412</c:v>
                      </c:pt>
                      <c:pt idx="80">
                        <c:v>45413</c:v>
                      </c:pt>
                      <c:pt idx="81">
                        <c:v>45414</c:v>
                      </c:pt>
                      <c:pt idx="82">
                        <c:v>45415</c:v>
                      </c:pt>
                      <c:pt idx="83">
                        <c:v>45416</c:v>
                      </c:pt>
                      <c:pt idx="84">
                        <c:v>45417</c:v>
                      </c:pt>
                      <c:pt idx="85">
                        <c:v>45418</c:v>
                      </c:pt>
                      <c:pt idx="86">
                        <c:v>45419</c:v>
                      </c:pt>
                      <c:pt idx="87">
                        <c:v>45420</c:v>
                      </c:pt>
                      <c:pt idx="88">
                        <c:v>45421</c:v>
                      </c:pt>
                      <c:pt idx="89">
                        <c:v>45422</c:v>
                      </c:pt>
                      <c:pt idx="90">
                        <c:v>45423</c:v>
                      </c:pt>
                      <c:pt idx="91">
                        <c:v>45424</c:v>
                      </c:pt>
                      <c:pt idx="92">
                        <c:v>45425</c:v>
                      </c:pt>
                      <c:pt idx="93">
                        <c:v>45426</c:v>
                      </c:pt>
                      <c:pt idx="94">
                        <c:v>45427</c:v>
                      </c:pt>
                      <c:pt idx="95">
                        <c:v>45428</c:v>
                      </c:pt>
                      <c:pt idx="96">
                        <c:v>45429</c:v>
                      </c:pt>
                      <c:pt idx="97">
                        <c:v>45430</c:v>
                      </c:pt>
                      <c:pt idx="98">
                        <c:v>45431</c:v>
                      </c:pt>
                      <c:pt idx="99">
                        <c:v>45432</c:v>
                      </c:pt>
                      <c:pt idx="100">
                        <c:v>45433</c:v>
                      </c:pt>
                      <c:pt idx="101">
                        <c:v>45434</c:v>
                      </c:pt>
                      <c:pt idx="102">
                        <c:v>45435</c:v>
                      </c:pt>
                      <c:pt idx="103">
                        <c:v>45436</c:v>
                      </c:pt>
                      <c:pt idx="104">
                        <c:v>45437</c:v>
                      </c:pt>
                      <c:pt idx="105">
                        <c:v>45438</c:v>
                      </c:pt>
                      <c:pt idx="106">
                        <c:v>45439</c:v>
                      </c:pt>
                      <c:pt idx="107">
                        <c:v>45440</c:v>
                      </c:pt>
                      <c:pt idx="108">
                        <c:v>45441</c:v>
                      </c:pt>
                      <c:pt idx="109">
                        <c:v>45442</c:v>
                      </c:pt>
                      <c:pt idx="110">
                        <c:v>45443</c:v>
                      </c:pt>
                      <c:pt idx="111">
                        <c:v>45444</c:v>
                      </c:pt>
                      <c:pt idx="112">
                        <c:v>45445</c:v>
                      </c:pt>
                      <c:pt idx="113">
                        <c:v>45446</c:v>
                      </c:pt>
                      <c:pt idx="114">
                        <c:v>45447</c:v>
                      </c:pt>
                      <c:pt idx="115">
                        <c:v>45448</c:v>
                      </c:pt>
                      <c:pt idx="116">
                        <c:v>45449</c:v>
                      </c:pt>
                      <c:pt idx="117">
                        <c:v>45450</c:v>
                      </c:pt>
                      <c:pt idx="118">
                        <c:v>45451</c:v>
                      </c:pt>
                      <c:pt idx="119">
                        <c:v>45452</c:v>
                      </c:pt>
                      <c:pt idx="120">
                        <c:v>45453</c:v>
                      </c:pt>
                      <c:pt idx="121">
                        <c:v>45454</c:v>
                      </c:pt>
                      <c:pt idx="122">
                        <c:v>45455</c:v>
                      </c:pt>
                      <c:pt idx="123">
                        <c:v>45456</c:v>
                      </c:pt>
                      <c:pt idx="124">
                        <c:v>45457</c:v>
                      </c:pt>
                      <c:pt idx="125">
                        <c:v>45458</c:v>
                      </c:pt>
                      <c:pt idx="126">
                        <c:v>45459</c:v>
                      </c:pt>
                      <c:pt idx="127">
                        <c:v>45460</c:v>
                      </c:pt>
                      <c:pt idx="128">
                        <c:v>45461</c:v>
                      </c:pt>
                      <c:pt idx="129">
                        <c:v>45462</c:v>
                      </c:pt>
                      <c:pt idx="130">
                        <c:v>45463</c:v>
                      </c:pt>
                      <c:pt idx="131">
                        <c:v>45464</c:v>
                      </c:pt>
                      <c:pt idx="132">
                        <c:v>45465</c:v>
                      </c:pt>
                      <c:pt idx="133">
                        <c:v>45466</c:v>
                      </c:pt>
                      <c:pt idx="134">
                        <c:v>45467</c:v>
                      </c:pt>
                      <c:pt idx="135">
                        <c:v>45468</c:v>
                      </c:pt>
                      <c:pt idx="136">
                        <c:v>45469</c:v>
                      </c:pt>
                      <c:pt idx="137">
                        <c:v>45470</c:v>
                      </c:pt>
                      <c:pt idx="138">
                        <c:v>45471</c:v>
                      </c:pt>
                      <c:pt idx="139">
                        <c:v>45472</c:v>
                      </c:pt>
                      <c:pt idx="140">
                        <c:v>45473</c:v>
                      </c:pt>
                      <c:pt idx="141">
                        <c:v>45474</c:v>
                      </c:pt>
                      <c:pt idx="142">
                        <c:v>45475</c:v>
                      </c:pt>
                      <c:pt idx="143">
                        <c:v>45476</c:v>
                      </c:pt>
                      <c:pt idx="144">
                        <c:v>45477</c:v>
                      </c:pt>
                      <c:pt idx="145">
                        <c:v>45478</c:v>
                      </c:pt>
                      <c:pt idx="146">
                        <c:v>45479</c:v>
                      </c:pt>
                      <c:pt idx="147">
                        <c:v>45480</c:v>
                      </c:pt>
                      <c:pt idx="148">
                        <c:v>45481</c:v>
                      </c:pt>
                      <c:pt idx="149">
                        <c:v>45482</c:v>
                      </c:pt>
                      <c:pt idx="150">
                        <c:v>45483</c:v>
                      </c:pt>
                      <c:pt idx="151">
                        <c:v>45484</c:v>
                      </c:pt>
                      <c:pt idx="152">
                        <c:v>45485</c:v>
                      </c:pt>
                      <c:pt idx="153">
                        <c:v>45486</c:v>
                      </c:pt>
                      <c:pt idx="154">
                        <c:v>45487</c:v>
                      </c:pt>
                      <c:pt idx="155">
                        <c:v>45488</c:v>
                      </c:pt>
                      <c:pt idx="156">
                        <c:v>45489</c:v>
                      </c:pt>
                      <c:pt idx="157">
                        <c:v>45490</c:v>
                      </c:pt>
                      <c:pt idx="158">
                        <c:v>45491</c:v>
                      </c:pt>
                      <c:pt idx="159">
                        <c:v>45492</c:v>
                      </c:pt>
                      <c:pt idx="160">
                        <c:v>45493</c:v>
                      </c:pt>
                      <c:pt idx="161">
                        <c:v>45494</c:v>
                      </c:pt>
                      <c:pt idx="162">
                        <c:v>45495</c:v>
                      </c:pt>
                      <c:pt idx="163">
                        <c:v>45496</c:v>
                      </c:pt>
                      <c:pt idx="164">
                        <c:v>45497</c:v>
                      </c:pt>
                      <c:pt idx="165">
                        <c:v>45498</c:v>
                      </c:pt>
                      <c:pt idx="166">
                        <c:v>45499</c:v>
                      </c:pt>
                      <c:pt idx="167">
                        <c:v>45500</c:v>
                      </c:pt>
                      <c:pt idx="168">
                        <c:v>45501</c:v>
                      </c:pt>
                      <c:pt idx="169">
                        <c:v>45502</c:v>
                      </c:pt>
                      <c:pt idx="170">
                        <c:v>45503</c:v>
                      </c:pt>
                      <c:pt idx="171">
                        <c:v>45504</c:v>
                      </c:pt>
                      <c:pt idx="172">
                        <c:v>45505</c:v>
                      </c:pt>
                      <c:pt idx="173">
                        <c:v>45506</c:v>
                      </c:pt>
                      <c:pt idx="174">
                        <c:v>45507</c:v>
                      </c:pt>
                      <c:pt idx="175">
                        <c:v>45508</c:v>
                      </c:pt>
                      <c:pt idx="176">
                        <c:v>45509</c:v>
                      </c:pt>
                      <c:pt idx="177">
                        <c:v>45510</c:v>
                      </c:pt>
                      <c:pt idx="178">
                        <c:v>45511</c:v>
                      </c:pt>
                      <c:pt idx="179">
                        <c:v>45512</c:v>
                      </c:pt>
                      <c:pt idx="180">
                        <c:v>45513</c:v>
                      </c:pt>
                      <c:pt idx="181">
                        <c:v>45514</c:v>
                      </c:pt>
                      <c:pt idx="182">
                        <c:v>45515</c:v>
                      </c:pt>
                      <c:pt idx="183">
                        <c:v>45516</c:v>
                      </c:pt>
                      <c:pt idx="184">
                        <c:v>45517</c:v>
                      </c:pt>
                      <c:pt idx="185">
                        <c:v>45518</c:v>
                      </c:pt>
                      <c:pt idx="186">
                        <c:v>45519</c:v>
                      </c:pt>
                      <c:pt idx="187">
                        <c:v>45520</c:v>
                      </c:pt>
                      <c:pt idx="188">
                        <c:v>45521</c:v>
                      </c:pt>
                      <c:pt idx="189">
                        <c:v>45522</c:v>
                      </c:pt>
                      <c:pt idx="190">
                        <c:v>45523</c:v>
                      </c:pt>
                      <c:pt idx="191">
                        <c:v>45524</c:v>
                      </c:pt>
                      <c:pt idx="192">
                        <c:v>45525</c:v>
                      </c:pt>
                      <c:pt idx="193">
                        <c:v>45526</c:v>
                      </c:pt>
                      <c:pt idx="194">
                        <c:v>45527</c:v>
                      </c:pt>
                      <c:pt idx="195">
                        <c:v>45528</c:v>
                      </c:pt>
                      <c:pt idx="196">
                        <c:v>45529</c:v>
                      </c:pt>
                      <c:pt idx="197">
                        <c:v>45530</c:v>
                      </c:pt>
                      <c:pt idx="198">
                        <c:v>45531</c:v>
                      </c:pt>
                      <c:pt idx="199">
                        <c:v>45532</c:v>
                      </c:pt>
                      <c:pt idx="200">
                        <c:v>45533</c:v>
                      </c:pt>
                      <c:pt idx="201">
                        <c:v>45534</c:v>
                      </c:pt>
                      <c:pt idx="202">
                        <c:v>45535</c:v>
                      </c:pt>
                      <c:pt idx="203">
                        <c:v>45536</c:v>
                      </c:pt>
                      <c:pt idx="204">
                        <c:v>45537</c:v>
                      </c:pt>
                      <c:pt idx="205">
                        <c:v>45538</c:v>
                      </c:pt>
                      <c:pt idx="206">
                        <c:v>45539</c:v>
                      </c:pt>
                      <c:pt idx="207">
                        <c:v>45540</c:v>
                      </c:pt>
                      <c:pt idx="208">
                        <c:v>45541</c:v>
                      </c:pt>
                      <c:pt idx="209">
                        <c:v>45542</c:v>
                      </c:pt>
                      <c:pt idx="210">
                        <c:v>45543</c:v>
                      </c:pt>
                      <c:pt idx="211">
                        <c:v>45544</c:v>
                      </c:pt>
                      <c:pt idx="212">
                        <c:v>45545</c:v>
                      </c:pt>
                      <c:pt idx="213">
                        <c:v>45546</c:v>
                      </c:pt>
                      <c:pt idx="214">
                        <c:v>45547</c:v>
                      </c:pt>
                      <c:pt idx="215">
                        <c:v>45548</c:v>
                      </c:pt>
                      <c:pt idx="216">
                        <c:v>45549</c:v>
                      </c:pt>
                      <c:pt idx="217">
                        <c:v>45550</c:v>
                      </c:pt>
                      <c:pt idx="218">
                        <c:v>45551</c:v>
                      </c:pt>
                      <c:pt idx="219">
                        <c:v>45552</c:v>
                      </c:pt>
                      <c:pt idx="220">
                        <c:v>45553</c:v>
                      </c:pt>
                      <c:pt idx="221">
                        <c:v>45554</c:v>
                      </c:pt>
                      <c:pt idx="222">
                        <c:v>45555</c:v>
                      </c:pt>
                      <c:pt idx="223">
                        <c:v>45556</c:v>
                      </c:pt>
                      <c:pt idx="224">
                        <c:v>45557</c:v>
                      </c:pt>
                      <c:pt idx="225">
                        <c:v>45558</c:v>
                      </c:pt>
                      <c:pt idx="226">
                        <c:v>45559</c:v>
                      </c:pt>
                      <c:pt idx="227">
                        <c:v>45560</c:v>
                      </c:pt>
                      <c:pt idx="228">
                        <c:v>45561</c:v>
                      </c:pt>
                      <c:pt idx="229">
                        <c:v>45562</c:v>
                      </c:pt>
                      <c:pt idx="230">
                        <c:v>45563</c:v>
                      </c:pt>
                      <c:pt idx="231">
                        <c:v>45564</c:v>
                      </c:pt>
                      <c:pt idx="232">
                        <c:v>45565</c:v>
                      </c:pt>
                      <c:pt idx="233">
                        <c:v>45566</c:v>
                      </c:pt>
                      <c:pt idx="234">
                        <c:v>45567</c:v>
                      </c:pt>
                      <c:pt idx="235">
                        <c:v>45568</c:v>
                      </c:pt>
                      <c:pt idx="236">
                        <c:v>45569</c:v>
                      </c:pt>
                      <c:pt idx="237">
                        <c:v>45570</c:v>
                      </c:pt>
                      <c:pt idx="238">
                        <c:v>45571</c:v>
                      </c:pt>
                      <c:pt idx="239">
                        <c:v>45572</c:v>
                      </c:pt>
                      <c:pt idx="240">
                        <c:v>45573</c:v>
                      </c:pt>
                      <c:pt idx="241">
                        <c:v>45574</c:v>
                      </c:pt>
                      <c:pt idx="242">
                        <c:v>45575</c:v>
                      </c:pt>
                      <c:pt idx="243">
                        <c:v>45576</c:v>
                      </c:pt>
                      <c:pt idx="244">
                        <c:v>45577</c:v>
                      </c:pt>
                      <c:pt idx="245">
                        <c:v>45578</c:v>
                      </c:pt>
                      <c:pt idx="246">
                        <c:v>45579</c:v>
                      </c:pt>
                      <c:pt idx="247">
                        <c:v>45580</c:v>
                      </c:pt>
                      <c:pt idx="248">
                        <c:v>45581</c:v>
                      </c:pt>
                      <c:pt idx="249">
                        <c:v>45582</c:v>
                      </c:pt>
                      <c:pt idx="250">
                        <c:v>45583</c:v>
                      </c:pt>
                      <c:pt idx="251">
                        <c:v>45584</c:v>
                      </c:pt>
                      <c:pt idx="252">
                        <c:v>45585</c:v>
                      </c:pt>
                      <c:pt idx="253">
                        <c:v>45586</c:v>
                      </c:pt>
                      <c:pt idx="254">
                        <c:v>45587</c:v>
                      </c:pt>
                      <c:pt idx="255">
                        <c:v>45588</c:v>
                      </c:pt>
                      <c:pt idx="256">
                        <c:v>45589</c:v>
                      </c:pt>
                      <c:pt idx="257">
                        <c:v>45590</c:v>
                      </c:pt>
                      <c:pt idx="258">
                        <c:v>45591</c:v>
                      </c:pt>
                      <c:pt idx="259">
                        <c:v>45592</c:v>
                      </c:pt>
                      <c:pt idx="260">
                        <c:v>45593</c:v>
                      </c:pt>
                      <c:pt idx="261">
                        <c:v>45594</c:v>
                      </c:pt>
                      <c:pt idx="262">
                        <c:v>45595</c:v>
                      </c:pt>
                      <c:pt idx="263">
                        <c:v>45596</c:v>
                      </c:pt>
                      <c:pt idx="264">
                        <c:v>45597</c:v>
                      </c:pt>
                      <c:pt idx="265">
                        <c:v>45598</c:v>
                      </c:pt>
                      <c:pt idx="266">
                        <c:v>45599</c:v>
                      </c:pt>
                      <c:pt idx="267">
                        <c:v>45600</c:v>
                      </c:pt>
                      <c:pt idx="268">
                        <c:v>45601</c:v>
                      </c:pt>
                      <c:pt idx="269">
                        <c:v>45602</c:v>
                      </c:pt>
                      <c:pt idx="270">
                        <c:v>45603</c:v>
                      </c:pt>
                      <c:pt idx="271">
                        <c:v>45604</c:v>
                      </c:pt>
                      <c:pt idx="272">
                        <c:v>45605</c:v>
                      </c:pt>
                      <c:pt idx="273">
                        <c:v>45606</c:v>
                      </c:pt>
                      <c:pt idx="274">
                        <c:v>45607</c:v>
                      </c:pt>
                      <c:pt idx="275">
                        <c:v>45608</c:v>
                      </c:pt>
                      <c:pt idx="276">
                        <c:v>45609</c:v>
                      </c:pt>
                      <c:pt idx="277">
                        <c:v>45610</c:v>
                      </c:pt>
                      <c:pt idx="278">
                        <c:v>45611</c:v>
                      </c:pt>
                      <c:pt idx="279">
                        <c:v>45612</c:v>
                      </c:pt>
                      <c:pt idx="280">
                        <c:v>45613</c:v>
                      </c:pt>
                      <c:pt idx="281">
                        <c:v>45614</c:v>
                      </c:pt>
                      <c:pt idx="282">
                        <c:v>45615</c:v>
                      </c:pt>
                      <c:pt idx="283">
                        <c:v>45616</c:v>
                      </c:pt>
                      <c:pt idx="284">
                        <c:v>45617</c:v>
                      </c:pt>
                      <c:pt idx="285">
                        <c:v>45618</c:v>
                      </c:pt>
                      <c:pt idx="286">
                        <c:v>45619</c:v>
                      </c:pt>
                      <c:pt idx="287">
                        <c:v>45620</c:v>
                      </c:pt>
                      <c:pt idx="288">
                        <c:v>45621</c:v>
                      </c:pt>
                      <c:pt idx="289">
                        <c:v>45622</c:v>
                      </c:pt>
                      <c:pt idx="290">
                        <c:v>45623</c:v>
                      </c:pt>
                      <c:pt idx="291">
                        <c:v>45624</c:v>
                      </c:pt>
                      <c:pt idx="292">
                        <c:v>45625</c:v>
                      </c:pt>
                      <c:pt idx="293">
                        <c:v>45626</c:v>
                      </c:pt>
                      <c:pt idx="294">
                        <c:v>45627</c:v>
                      </c:pt>
                      <c:pt idx="295">
                        <c:v>45628</c:v>
                      </c:pt>
                      <c:pt idx="296">
                        <c:v>45629</c:v>
                      </c:pt>
                      <c:pt idx="297">
                        <c:v>45630</c:v>
                      </c:pt>
                      <c:pt idx="298">
                        <c:v>45631</c:v>
                      </c:pt>
                      <c:pt idx="299">
                        <c:v>45632</c:v>
                      </c:pt>
                      <c:pt idx="300">
                        <c:v>45633</c:v>
                      </c:pt>
                      <c:pt idx="301">
                        <c:v>45634</c:v>
                      </c:pt>
                      <c:pt idx="302">
                        <c:v>45635</c:v>
                      </c:pt>
                      <c:pt idx="303">
                        <c:v>45636</c:v>
                      </c:pt>
                      <c:pt idx="304">
                        <c:v>45637</c:v>
                      </c:pt>
                      <c:pt idx="305">
                        <c:v>45638</c:v>
                      </c:pt>
                      <c:pt idx="306">
                        <c:v>45639</c:v>
                      </c:pt>
                      <c:pt idx="307">
                        <c:v>45640</c:v>
                      </c:pt>
                      <c:pt idx="308">
                        <c:v>45641</c:v>
                      </c:pt>
                      <c:pt idx="309">
                        <c:v>45642</c:v>
                      </c:pt>
                      <c:pt idx="310">
                        <c:v>45643</c:v>
                      </c:pt>
                      <c:pt idx="311">
                        <c:v>45644</c:v>
                      </c:pt>
                      <c:pt idx="312">
                        <c:v>45645</c:v>
                      </c:pt>
                      <c:pt idx="313">
                        <c:v>45646</c:v>
                      </c:pt>
                      <c:pt idx="314">
                        <c:v>45647</c:v>
                      </c:pt>
                      <c:pt idx="315">
                        <c:v>45648</c:v>
                      </c:pt>
                      <c:pt idx="316">
                        <c:v>45649</c:v>
                      </c:pt>
                      <c:pt idx="317">
                        <c:v>45650</c:v>
                      </c:pt>
                      <c:pt idx="318">
                        <c:v>45651</c:v>
                      </c:pt>
                      <c:pt idx="319">
                        <c:v>45652</c:v>
                      </c:pt>
                      <c:pt idx="320">
                        <c:v>45653</c:v>
                      </c:pt>
                      <c:pt idx="321">
                        <c:v>45654</c:v>
                      </c:pt>
                      <c:pt idx="322">
                        <c:v>45655</c:v>
                      </c:pt>
                      <c:pt idx="323">
                        <c:v>45656</c:v>
                      </c:pt>
                      <c:pt idx="324">
                        <c:v>45657</c:v>
                      </c:pt>
                      <c:pt idx="325">
                        <c:v>45658</c:v>
                      </c:pt>
                      <c:pt idx="326">
                        <c:v>45659</c:v>
                      </c:pt>
                      <c:pt idx="327">
                        <c:v>45660</c:v>
                      </c:pt>
                      <c:pt idx="328">
                        <c:v>45661</c:v>
                      </c:pt>
                      <c:pt idx="329">
                        <c:v>45662</c:v>
                      </c:pt>
                      <c:pt idx="330">
                        <c:v>45663</c:v>
                      </c:pt>
                      <c:pt idx="331">
                        <c:v>45664</c:v>
                      </c:pt>
                      <c:pt idx="332">
                        <c:v>45665</c:v>
                      </c:pt>
                      <c:pt idx="333">
                        <c:v>45666</c:v>
                      </c:pt>
                      <c:pt idx="334">
                        <c:v>45667</c:v>
                      </c:pt>
                      <c:pt idx="335">
                        <c:v>45668</c:v>
                      </c:pt>
                      <c:pt idx="336">
                        <c:v>45669</c:v>
                      </c:pt>
                      <c:pt idx="337">
                        <c:v>45670</c:v>
                      </c:pt>
                      <c:pt idx="338">
                        <c:v>45671</c:v>
                      </c:pt>
                      <c:pt idx="339">
                        <c:v>45672</c:v>
                      </c:pt>
                      <c:pt idx="340">
                        <c:v>45673</c:v>
                      </c:pt>
                      <c:pt idx="341">
                        <c:v>45674</c:v>
                      </c:pt>
                      <c:pt idx="342">
                        <c:v>45675</c:v>
                      </c:pt>
                      <c:pt idx="343">
                        <c:v>45676</c:v>
                      </c:pt>
                      <c:pt idx="344">
                        <c:v>45677</c:v>
                      </c:pt>
                      <c:pt idx="345">
                        <c:v>45678</c:v>
                      </c:pt>
                      <c:pt idx="346">
                        <c:v>45679</c:v>
                      </c:pt>
                      <c:pt idx="347">
                        <c:v>45680</c:v>
                      </c:pt>
                      <c:pt idx="348">
                        <c:v>45681</c:v>
                      </c:pt>
                      <c:pt idx="349">
                        <c:v>45682</c:v>
                      </c:pt>
                      <c:pt idx="350">
                        <c:v>45683</c:v>
                      </c:pt>
                      <c:pt idx="351">
                        <c:v>45684</c:v>
                      </c:pt>
                      <c:pt idx="352">
                        <c:v>45685</c:v>
                      </c:pt>
                      <c:pt idx="353">
                        <c:v>45686</c:v>
                      </c:pt>
                      <c:pt idx="354">
                        <c:v>45687</c:v>
                      </c:pt>
                      <c:pt idx="355">
                        <c:v>45688</c:v>
                      </c:pt>
                      <c:pt idx="356">
                        <c:v>45689</c:v>
                      </c:pt>
                      <c:pt idx="357">
                        <c:v>45690</c:v>
                      </c:pt>
                      <c:pt idx="358">
                        <c:v>45691</c:v>
                      </c:pt>
                      <c:pt idx="359">
                        <c:v>45692</c:v>
                      </c:pt>
                      <c:pt idx="360">
                        <c:v>45693</c:v>
                      </c:pt>
                      <c:pt idx="361">
                        <c:v>45694</c:v>
                      </c:pt>
                      <c:pt idx="362">
                        <c:v>45695</c:v>
                      </c:pt>
                      <c:pt idx="363">
                        <c:v>45696</c:v>
                      </c:pt>
                      <c:pt idx="364">
                        <c:v>45697</c:v>
                      </c:pt>
                      <c:pt idx="365">
                        <c:v>45698</c:v>
                      </c:pt>
                      <c:pt idx="366">
                        <c:v>45699</c:v>
                      </c:pt>
                      <c:pt idx="367">
                        <c:v>45700</c:v>
                      </c:pt>
                      <c:pt idx="368">
                        <c:v>45701</c:v>
                      </c:pt>
                      <c:pt idx="369">
                        <c:v>45702</c:v>
                      </c:pt>
                      <c:pt idx="370">
                        <c:v>45703</c:v>
                      </c:pt>
                      <c:pt idx="371">
                        <c:v>45704</c:v>
                      </c:pt>
                      <c:pt idx="372">
                        <c:v>45705</c:v>
                      </c:pt>
                      <c:pt idx="373">
                        <c:v>45706</c:v>
                      </c:pt>
                      <c:pt idx="374">
                        <c:v>45707</c:v>
                      </c:pt>
                      <c:pt idx="375">
                        <c:v>45708</c:v>
                      </c:pt>
                      <c:pt idx="376">
                        <c:v>45709</c:v>
                      </c:pt>
                      <c:pt idx="377">
                        <c:v>45710</c:v>
                      </c:pt>
                      <c:pt idx="378">
                        <c:v>45711</c:v>
                      </c:pt>
                      <c:pt idx="379">
                        <c:v>45712</c:v>
                      </c:pt>
                      <c:pt idx="380">
                        <c:v>45713</c:v>
                      </c:pt>
                      <c:pt idx="381">
                        <c:v>45714</c:v>
                      </c:pt>
                      <c:pt idx="382">
                        <c:v>45715</c:v>
                      </c:pt>
                      <c:pt idx="383">
                        <c:v>45716</c:v>
                      </c:pt>
                      <c:pt idx="384">
                        <c:v>45717</c:v>
                      </c:pt>
                      <c:pt idx="385">
                        <c:v>45718</c:v>
                      </c:pt>
                      <c:pt idx="386">
                        <c:v>45719</c:v>
                      </c:pt>
                      <c:pt idx="387">
                        <c:v>45720</c:v>
                      </c:pt>
                      <c:pt idx="388">
                        <c:v>45721</c:v>
                      </c:pt>
                      <c:pt idx="389">
                        <c:v>45722</c:v>
                      </c:pt>
                      <c:pt idx="390">
                        <c:v>45723</c:v>
                      </c:pt>
                      <c:pt idx="391">
                        <c:v>45724</c:v>
                      </c:pt>
                      <c:pt idx="392">
                        <c:v>45725</c:v>
                      </c:pt>
                      <c:pt idx="393">
                        <c:v>45726</c:v>
                      </c:pt>
                      <c:pt idx="394">
                        <c:v>45727</c:v>
                      </c:pt>
                      <c:pt idx="395">
                        <c:v>45728</c:v>
                      </c:pt>
                      <c:pt idx="396">
                        <c:v>45729</c:v>
                      </c:pt>
                      <c:pt idx="397">
                        <c:v>45730</c:v>
                      </c:pt>
                      <c:pt idx="398">
                        <c:v>45731</c:v>
                      </c:pt>
                      <c:pt idx="399">
                        <c:v>45732</c:v>
                      </c:pt>
                      <c:pt idx="400">
                        <c:v>45733</c:v>
                      </c:pt>
                      <c:pt idx="401">
                        <c:v>45734</c:v>
                      </c:pt>
                      <c:pt idx="402">
                        <c:v>45735</c:v>
                      </c:pt>
                      <c:pt idx="403">
                        <c:v>45736</c:v>
                      </c:pt>
                      <c:pt idx="404">
                        <c:v>45737</c:v>
                      </c:pt>
                      <c:pt idx="405">
                        <c:v>45738</c:v>
                      </c:pt>
                      <c:pt idx="406">
                        <c:v>45739</c:v>
                      </c:pt>
                      <c:pt idx="407">
                        <c:v>45740</c:v>
                      </c:pt>
                      <c:pt idx="408">
                        <c:v>45741</c:v>
                      </c:pt>
                      <c:pt idx="409">
                        <c:v>45742</c:v>
                      </c:pt>
                      <c:pt idx="410">
                        <c:v>45743</c:v>
                      </c:pt>
                      <c:pt idx="411">
                        <c:v>45744</c:v>
                      </c:pt>
                      <c:pt idx="412">
                        <c:v>45745</c:v>
                      </c:pt>
                      <c:pt idx="413">
                        <c:v>45746</c:v>
                      </c:pt>
                      <c:pt idx="414">
                        <c:v>45747</c:v>
                      </c:pt>
                      <c:pt idx="415">
                        <c:v>45748</c:v>
                      </c:pt>
                      <c:pt idx="416">
                        <c:v>45749</c:v>
                      </c:pt>
                      <c:pt idx="417">
                        <c:v>45750</c:v>
                      </c:pt>
                      <c:pt idx="418">
                        <c:v>45751</c:v>
                      </c:pt>
                      <c:pt idx="419">
                        <c:v>45752</c:v>
                      </c:pt>
                      <c:pt idx="420">
                        <c:v>45753</c:v>
                      </c:pt>
                      <c:pt idx="421">
                        <c:v>45754</c:v>
                      </c:pt>
                      <c:pt idx="422">
                        <c:v>45755</c:v>
                      </c:pt>
                      <c:pt idx="423">
                        <c:v>45756</c:v>
                      </c:pt>
                      <c:pt idx="424">
                        <c:v>45757</c:v>
                      </c:pt>
                      <c:pt idx="425">
                        <c:v>45758</c:v>
                      </c:pt>
                      <c:pt idx="426">
                        <c:v>45759</c:v>
                      </c:pt>
                      <c:pt idx="427">
                        <c:v>45760</c:v>
                      </c:pt>
                      <c:pt idx="428">
                        <c:v>45761</c:v>
                      </c:pt>
                      <c:pt idx="429">
                        <c:v>45762</c:v>
                      </c:pt>
                      <c:pt idx="430">
                        <c:v>45763</c:v>
                      </c:pt>
                      <c:pt idx="431">
                        <c:v>45764</c:v>
                      </c:pt>
                      <c:pt idx="432">
                        <c:v>45765</c:v>
                      </c:pt>
                      <c:pt idx="433">
                        <c:v>45766</c:v>
                      </c:pt>
                      <c:pt idx="434">
                        <c:v>45767</c:v>
                      </c:pt>
                      <c:pt idx="435">
                        <c:v>45768</c:v>
                      </c:pt>
                      <c:pt idx="436">
                        <c:v>45769</c:v>
                      </c:pt>
                      <c:pt idx="437">
                        <c:v>45770</c:v>
                      </c:pt>
                      <c:pt idx="438">
                        <c:v>45771</c:v>
                      </c:pt>
                      <c:pt idx="439">
                        <c:v>45772</c:v>
                      </c:pt>
                      <c:pt idx="440">
                        <c:v>45773</c:v>
                      </c:pt>
                      <c:pt idx="441">
                        <c:v>45774</c:v>
                      </c:pt>
                      <c:pt idx="442">
                        <c:v>45775</c:v>
                      </c:pt>
                      <c:pt idx="443">
                        <c:v>45776</c:v>
                      </c:pt>
                      <c:pt idx="444">
                        <c:v>45777</c:v>
                      </c:pt>
                      <c:pt idx="445">
                        <c:v>45778</c:v>
                      </c:pt>
                      <c:pt idx="446">
                        <c:v>45779</c:v>
                      </c:pt>
                      <c:pt idx="447">
                        <c:v>45780</c:v>
                      </c:pt>
                      <c:pt idx="448">
                        <c:v>45781</c:v>
                      </c:pt>
                      <c:pt idx="449">
                        <c:v>45782</c:v>
                      </c:pt>
                      <c:pt idx="450">
                        <c:v>45783</c:v>
                      </c:pt>
                      <c:pt idx="451">
                        <c:v>45784</c:v>
                      </c:pt>
                      <c:pt idx="452">
                        <c:v>45785</c:v>
                      </c:pt>
                      <c:pt idx="453">
                        <c:v>45786</c:v>
                      </c:pt>
                      <c:pt idx="454">
                        <c:v>45787</c:v>
                      </c:pt>
                      <c:pt idx="455">
                        <c:v>45788</c:v>
                      </c:pt>
                      <c:pt idx="456">
                        <c:v>45789</c:v>
                      </c:pt>
                      <c:pt idx="457">
                        <c:v>45790</c:v>
                      </c:pt>
                      <c:pt idx="458">
                        <c:v>45791</c:v>
                      </c:pt>
                      <c:pt idx="459">
                        <c:v>45792</c:v>
                      </c:pt>
                      <c:pt idx="460">
                        <c:v>45793</c:v>
                      </c:pt>
                      <c:pt idx="461">
                        <c:v>45794</c:v>
                      </c:pt>
                      <c:pt idx="462">
                        <c:v>45795</c:v>
                      </c:pt>
                      <c:pt idx="463">
                        <c:v>45796</c:v>
                      </c:pt>
                      <c:pt idx="464">
                        <c:v>45797</c:v>
                      </c:pt>
                      <c:pt idx="465">
                        <c:v>45798</c:v>
                      </c:pt>
                      <c:pt idx="466">
                        <c:v>45799</c:v>
                      </c:pt>
                      <c:pt idx="467">
                        <c:v>45800</c:v>
                      </c:pt>
                      <c:pt idx="468">
                        <c:v>45801</c:v>
                      </c:pt>
                      <c:pt idx="469">
                        <c:v>45802</c:v>
                      </c:pt>
                      <c:pt idx="470">
                        <c:v>45803</c:v>
                      </c:pt>
                      <c:pt idx="471">
                        <c:v>45804</c:v>
                      </c:pt>
                      <c:pt idx="472">
                        <c:v>45805</c:v>
                      </c:pt>
                      <c:pt idx="473">
                        <c:v>45806</c:v>
                      </c:pt>
                      <c:pt idx="474">
                        <c:v>45807</c:v>
                      </c:pt>
                      <c:pt idx="475">
                        <c:v>45808</c:v>
                      </c:pt>
                      <c:pt idx="476">
                        <c:v>45809</c:v>
                      </c:pt>
                      <c:pt idx="477">
                        <c:v>45810</c:v>
                      </c:pt>
                      <c:pt idx="478">
                        <c:v>45811</c:v>
                      </c:pt>
                      <c:pt idx="479">
                        <c:v>45812</c:v>
                      </c:pt>
                      <c:pt idx="480">
                        <c:v>45813</c:v>
                      </c:pt>
                      <c:pt idx="481">
                        <c:v>45814</c:v>
                      </c:pt>
                      <c:pt idx="482">
                        <c:v>45815</c:v>
                      </c:pt>
                      <c:pt idx="483">
                        <c:v>45816</c:v>
                      </c:pt>
                      <c:pt idx="484">
                        <c:v>45817</c:v>
                      </c:pt>
                      <c:pt idx="485">
                        <c:v>45818</c:v>
                      </c:pt>
                      <c:pt idx="486">
                        <c:v>45819</c:v>
                      </c:pt>
                      <c:pt idx="487">
                        <c:v>45820</c:v>
                      </c:pt>
                      <c:pt idx="488">
                        <c:v>45821</c:v>
                      </c:pt>
                      <c:pt idx="489">
                        <c:v>45822</c:v>
                      </c:pt>
                      <c:pt idx="490">
                        <c:v>45823</c:v>
                      </c:pt>
                      <c:pt idx="491">
                        <c:v>45824</c:v>
                      </c:pt>
                      <c:pt idx="492">
                        <c:v>45825</c:v>
                      </c:pt>
                      <c:pt idx="493">
                        <c:v>45826</c:v>
                      </c:pt>
                      <c:pt idx="494">
                        <c:v>45827</c:v>
                      </c:pt>
                      <c:pt idx="495">
                        <c:v>45828</c:v>
                      </c:pt>
                      <c:pt idx="496">
                        <c:v>45829</c:v>
                      </c:pt>
                      <c:pt idx="497">
                        <c:v>45830</c:v>
                      </c:pt>
                      <c:pt idx="498">
                        <c:v>45831</c:v>
                      </c:pt>
                      <c:pt idx="499">
                        <c:v>45832</c:v>
                      </c:pt>
                      <c:pt idx="500">
                        <c:v>45833</c:v>
                      </c:pt>
                      <c:pt idx="501">
                        <c:v>45834</c:v>
                      </c:pt>
                      <c:pt idx="502">
                        <c:v>45835</c:v>
                      </c:pt>
                      <c:pt idx="503">
                        <c:v>45836</c:v>
                      </c:pt>
                      <c:pt idx="504">
                        <c:v>45837</c:v>
                      </c:pt>
                      <c:pt idx="505">
                        <c:v>45838</c:v>
                      </c:pt>
                      <c:pt idx="506">
                        <c:v>45839</c:v>
                      </c:pt>
                      <c:pt idx="507">
                        <c:v>45840</c:v>
                      </c:pt>
                      <c:pt idx="508">
                        <c:v>45841</c:v>
                      </c:pt>
                      <c:pt idx="509">
                        <c:v>45842</c:v>
                      </c:pt>
                      <c:pt idx="510">
                        <c:v>45843</c:v>
                      </c:pt>
                      <c:pt idx="511">
                        <c:v>45844</c:v>
                      </c:pt>
                      <c:pt idx="512">
                        <c:v>45845</c:v>
                      </c:pt>
                      <c:pt idx="513">
                        <c:v>45846</c:v>
                      </c:pt>
                      <c:pt idx="514">
                        <c:v>45847</c:v>
                      </c:pt>
                      <c:pt idx="515">
                        <c:v>45848</c:v>
                      </c:pt>
                      <c:pt idx="516">
                        <c:v>45849</c:v>
                      </c:pt>
                      <c:pt idx="517">
                        <c:v>45850</c:v>
                      </c:pt>
                      <c:pt idx="518">
                        <c:v>45851</c:v>
                      </c:pt>
                      <c:pt idx="519">
                        <c:v>45852</c:v>
                      </c:pt>
                      <c:pt idx="520">
                        <c:v>45853</c:v>
                      </c:pt>
                      <c:pt idx="521">
                        <c:v>45854</c:v>
                      </c:pt>
                      <c:pt idx="522">
                        <c:v>45855</c:v>
                      </c:pt>
                      <c:pt idx="523">
                        <c:v>45856</c:v>
                      </c:pt>
                      <c:pt idx="524">
                        <c:v>45857</c:v>
                      </c:pt>
                      <c:pt idx="525">
                        <c:v>45858</c:v>
                      </c:pt>
                      <c:pt idx="526">
                        <c:v>45859</c:v>
                      </c:pt>
                      <c:pt idx="527">
                        <c:v>45860</c:v>
                      </c:pt>
                      <c:pt idx="528">
                        <c:v>45861</c:v>
                      </c:pt>
                      <c:pt idx="529">
                        <c:v>45862</c:v>
                      </c:pt>
                      <c:pt idx="530">
                        <c:v>45863</c:v>
                      </c:pt>
                      <c:pt idx="531">
                        <c:v>45864</c:v>
                      </c:pt>
                      <c:pt idx="532">
                        <c:v>45865</c:v>
                      </c:pt>
                      <c:pt idx="533">
                        <c:v>45866</c:v>
                      </c:pt>
                      <c:pt idx="534">
                        <c:v>45867</c:v>
                      </c:pt>
                      <c:pt idx="535">
                        <c:v>45868</c:v>
                      </c:pt>
                      <c:pt idx="536">
                        <c:v>45869</c:v>
                      </c:pt>
                      <c:pt idx="537">
                        <c:v>45870</c:v>
                      </c:pt>
                      <c:pt idx="538">
                        <c:v>45871</c:v>
                      </c:pt>
                      <c:pt idx="539">
                        <c:v>45872</c:v>
                      </c:pt>
                      <c:pt idx="540">
                        <c:v>45873</c:v>
                      </c:pt>
                      <c:pt idx="541">
                        <c:v>45874</c:v>
                      </c:pt>
                      <c:pt idx="542">
                        <c:v>45875</c:v>
                      </c:pt>
                      <c:pt idx="543">
                        <c:v>45876</c:v>
                      </c:pt>
                      <c:pt idx="544">
                        <c:v>45877</c:v>
                      </c:pt>
                      <c:pt idx="545">
                        <c:v>45878</c:v>
                      </c:pt>
                      <c:pt idx="546">
                        <c:v>45879</c:v>
                      </c:pt>
                      <c:pt idx="547">
                        <c:v>45880</c:v>
                      </c:pt>
                      <c:pt idx="548">
                        <c:v>45881</c:v>
                      </c:pt>
                      <c:pt idx="549">
                        <c:v>45882</c:v>
                      </c:pt>
                      <c:pt idx="550">
                        <c:v>45883</c:v>
                      </c:pt>
                      <c:pt idx="551">
                        <c:v>45884</c:v>
                      </c:pt>
                      <c:pt idx="552">
                        <c:v>45885</c:v>
                      </c:pt>
                      <c:pt idx="553">
                        <c:v>45886</c:v>
                      </c:pt>
                      <c:pt idx="554">
                        <c:v>45887</c:v>
                      </c:pt>
                      <c:pt idx="555">
                        <c:v>45888</c:v>
                      </c:pt>
                      <c:pt idx="556">
                        <c:v>45889</c:v>
                      </c:pt>
                      <c:pt idx="557">
                        <c:v>45890</c:v>
                      </c:pt>
                      <c:pt idx="558">
                        <c:v>45891</c:v>
                      </c:pt>
                      <c:pt idx="559">
                        <c:v>45892</c:v>
                      </c:pt>
                      <c:pt idx="560">
                        <c:v>45893</c:v>
                      </c:pt>
                      <c:pt idx="561">
                        <c:v>45894</c:v>
                      </c:pt>
                      <c:pt idx="562">
                        <c:v>45895</c:v>
                      </c:pt>
                      <c:pt idx="563">
                        <c:v>45896</c:v>
                      </c:pt>
                      <c:pt idx="564">
                        <c:v>45897</c:v>
                      </c:pt>
                      <c:pt idx="565">
                        <c:v>45898</c:v>
                      </c:pt>
                      <c:pt idx="566">
                        <c:v>45899</c:v>
                      </c:pt>
                      <c:pt idx="567">
                        <c:v>45900</c:v>
                      </c:pt>
                      <c:pt idx="568">
                        <c:v>45901</c:v>
                      </c:pt>
                      <c:pt idx="569">
                        <c:v>45902</c:v>
                      </c:pt>
                      <c:pt idx="570">
                        <c:v>45903</c:v>
                      </c:pt>
                      <c:pt idx="571">
                        <c:v>45904</c:v>
                      </c:pt>
                      <c:pt idx="572">
                        <c:v>45905</c:v>
                      </c:pt>
                      <c:pt idx="573">
                        <c:v>45906</c:v>
                      </c:pt>
                      <c:pt idx="574">
                        <c:v>45907</c:v>
                      </c:pt>
                      <c:pt idx="575">
                        <c:v>45908</c:v>
                      </c:pt>
                      <c:pt idx="576">
                        <c:v>45909</c:v>
                      </c:pt>
                      <c:pt idx="577">
                        <c:v>45910</c:v>
                      </c:pt>
                      <c:pt idx="578">
                        <c:v>45911</c:v>
                      </c:pt>
                      <c:pt idx="579">
                        <c:v>45912</c:v>
                      </c:pt>
                      <c:pt idx="580">
                        <c:v>45913</c:v>
                      </c:pt>
                      <c:pt idx="581">
                        <c:v>45914</c:v>
                      </c:pt>
                      <c:pt idx="582">
                        <c:v>45915</c:v>
                      </c:pt>
                      <c:pt idx="583">
                        <c:v>45916</c:v>
                      </c:pt>
                      <c:pt idx="584">
                        <c:v>45917</c:v>
                      </c:pt>
                      <c:pt idx="585">
                        <c:v>45918</c:v>
                      </c:pt>
                      <c:pt idx="586">
                        <c:v>45919</c:v>
                      </c:pt>
                      <c:pt idx="587">
                        <c:v>45920</c:v>
                      </c:pt>
                      <c:pt idx="588">
                        <c:v>45921</c:v>
                      </c:pt>
                      <c:pt idx="589">
                        <c:v>45922</c:v>
                      </c:pt>
                      <c:pt idx="590">
                        <c:v>45923</c:v>
                      </c:pt>
                      <c:pt idx="591">
                        <c:v>45924</c:v>
                      </c:pt>
                      <c:pt idx="592">
                        <c:v>45925</c:v>
                      </c:pt>
                      <c:pt idx="593">
                        <c:v>45926</c:v>
                      </c:pt>
                      <c:pt idx="594">
                        <c:v>45927</c:v>
                      </c:pt>
                      <c:pt idx="595">
                        <c:v>45928</c:v>
                      </c:pt>
                      <c:pt idx="596">
                        <c:v>45929</c:v>
                      </c:pt>
                      <c:pt idx="597">
                        <c:v>45930</c:v>
                      </c:pt>
                      <c:pt idx="598">
                        <c:v>45931</c:v>
                      </c:pt>
                      <c:pt idx="599">
                        <c:v>45932</c:v>
                      </c:pt>
                      <c:pt idx="600">
                        <c:v>45933</c:v>
                      </c:pt>
                      <c:pt idx="601">
                        <c:v>45934</c:v>
                      </c:pt>
                      <c:pt idx="602">
                        <c:v>45935</c:v>
                      </c:pt>
                      <c:pt idx="603">
                        <c:v>45936</c:v>
                      </c:pt>
                      <c:pt idx="604">
                        <c:v>45937</c:v>
                      </c:pt>
                      <c:pt idx="605">
                        <c:v>45938</c:v>
                      </c:pt>
                      <c:pt idx="606">
                        <c:v>45939</c:v>
                      </c:pt>
                      <c:pt idx="607">
                        <c:v>45940</c:v>
                      </c:pt>
                      <c:pt idx="608">
                        <c:v>45941</c:v>
                      </c:pt>
                      <c:pt idx="609">
                        <c:v>45942</c:v>
                      </c:pt>
                      <c:pt idx="610">
                        <c:v>45943</c:v>
                      </c:pt>
                      <c:pt idx="611">
                        <c:v>45944</c:v>
                      </c:pt>
                      <c:pt idx="612">
                        <c:v>45945</c:v>
                      </c:pt>
                      <c:pt idx="613">
                        <c:v>45946</c:v>
                      </c:pt>
                      <c:pt idx="614">
                        <c:v>45947</c:v>
                      </c:pt>
                      <c:pt idx="615">
                        <c:v>45948</c:v>
                      </c:pt>
                      <c:pt idx="616">
                        <c:v>45949</c:v>
                      </c:pt>
                      <c:pt idx="617">
                        <c:v>45950</c:v>
                      </c:pt>
                      <c:pt idx="618">
                        <c:v>45951</c:v>
                      </c:pt>
                      <c:pt idx="619">
                        <c:v>45952</c:v>
                      </c:pt>
                      <c:pt idx="620">
                        <c:v>45953</c:v>
                      </c:pt>
                      <c:pt idx="621">
                        <c:v>45954</c:v>
                      </c:pt>
                      <c:pt idx="622">
                        <c:v>45955</c:v>
                      </c:pt>
                      <c:pt idx="623">
                        <c:v>45956</c:v>
                      </c:pt>
                      <c:pt idx="624">
                        <c:v>45957</c:v>
                      </c:pt>
                      <c:pt idx="625">
                        <c:v>45958</c:v>
                      </c:pt>
                      <c:pt idx="626">
                        <c:v>45959</c:v>
                      </c:pt>
                      <c:pt idx="627">
                        <c:v>45960</c:v>
                      </c:pt>
                      <c:pt idx="628">
                        <c:v>45961</c:v>
                      </c:pt>
                      <c:pt idx="629">
                        <c:v>45962</c:v>
                      </c:pt>
                      <c:pt idx="630">
                        <c:v>45963</c:v>
                      </c:pt>
                      <c:pt idx="631">
                        <c:v>45964</c:v>
                      </c:pt>
                      <c:pt idx="632">
                        <c:v>45965</c:v>
                      </c:pt>
                      <c:pt idx="633">
                        <c:v>45966</c:v>
                      </c:pt>
                      <c:pt idx="634">
                        <c:v>45967</c:v>
                      </c:pt>
                      <c:pt idx="635">
                        <c:v>45968</c:v>
                      </c:pt>
                      <c:pt idx="636">
                        <c:v>45969</c:v>
                      </c:pt>
                      <c:pt idx="637">
                        <c:v>45970</c:v>
                      </c:pt>
                      <c:pt idx="638">
                        <c:v>45971</c:v>
                      </c:pt>
                      <c:pt idx="639">
                        <c:v>45972</c:v>
                      </c:pt>
                      <c:pt idx="640">
                        <c:v>45973</c:v>
                      </c:pt>
                      <c:pt idx="641">
                        <c:v>45974</c:v>
                      </c:pt>
                      <c:pt idx="642">
                        <c:v>45975</c:v>
                      </c:pt>
                      <c:pt idx="643">
                        <c:v>45976</c:v>
                      </c:pt>
                      <c:pt idx="644">
                        <c:v>45977</c:v>
                      </c:pt>
                      <c:pt idx="645">
                        <c:v>45978</c:v>
                      </c:pt>
                      <c:pt idx="646">
                        <c:v>45979</c:v>
                      </c:pt>
                      <c:pt idx="647">
                        <c:v>45980</c:v>
                      </c:pt>
                      <c:pt idx="648">
                        <c:v>45981</c:v>
                      </c:pt>
                      <c:pt idx="649">
                        <c:v>45982</c:v>
                      </c:pt>
                      <c:pt idx="650">
                        <c:v>45983</c:v>
                      </c:pt>
                      <c:pt idx="651">
                        <c:v>45984</c:v>
                      </c:pt>
                      <c:pt idx="652">
                        <c:v>45985</c:v>
                      </c:pt>
                      <c:pt idx="653">
                        <c:v>45986</c:v>
                      </c:pt>
                      <c:pt idx="654">
                        <c:v>45987</c:v>
                      </c:pt>
                      <c:pt idx="655">
                        <c:v>45988</c:v>
                      </c:pt>
                      <c:pt idx="656">
                        <c:v>45989</c:v>
                      </c:pt>
                      <c:pt idx="657">
                        <c:v>45990</c:v>
                      </c:pt>
                      <c:pt idx="658">
                        <c:v>45991</c:v>
                      </c:pt>
                      <c:pt idx="659">
                        <c:v>45992</c:v>
                      </c:pt>
                      <c:pt idx="660">
                        <c:v>45993</c:v>
                      </c:pt>
                      <c:pt idx="661">
                        <c:v>45994</c:v>
                      </c:pt>
                      <c:pt idx="662">
                        <c:v>45995</c:v>
                      </c:pt>
                      <c:pt idx="663">
                        <c:v>45996</c:v>
                      </c:pt>
                      <c:pt idx="664">
                        <c:v>45997</c:v>
                      </c:pt>
                      <c:pt idx="665">
                        <c:v>45998</c:v>
                      </c:pt>
                      <c:pt idx="666">
                        <c:v>45999</c:v>
                      </c:pt>
                      <c:pt idx="667">
                        <c:v>46000</c:v>
                      </c:pt>
                      <c:pt idx="668">
                        <c:v>46001</c:v>
                      </c:pt>
                      <c:pt idx="669">
                        <c:v>46002</c:v>
                      </c:pt>
                      <c:pt idx="670">
                        <c:v>46003</c:v>
                      </c:pt>
                      <c:pt idx="671">
                        <c:v>46004</c:v>
                      </c:pt>
                      <c:pt idx="672">
                        <c:v>46005</c:v>
                      </c:pt>
                      <c:pt idx="673">
                        <c:v>46006</c:v>
                      </c:pt>
                      <c:pt idx="674">
                        <c:v>46007</c:v>
                      </c:pt>
                      <c:pt idx="675">
                        <c:v>46008</c:v>
                      </c:pt>
                      <c:pt idx="676">
                        <c:v>46009</c:v>
                      </c:pt>
                      <c:pt idx="677">
                        <c:v>46010</c:v>
                      </c:pt>
                      <c:pt idx="678">
                        <c:v>46011</c:v>
                      </c:pt>
                      <c:pt idx="679">
                        <c:v>46012</c:v>
                      </c:pt>
                      <c:pt idx="680">
                        <c:v>46013</c:v>
                      </c:pt>
                      <c:pt idx="681">
                        <c:v>46014</c:v>
                      </c:pt>
                      <c:pt idx="682">
                        <c:v>46015</c:v>
                      </c:pt>
                    </c:numCache>
                  </c:numRef>
                </c:xVal>
                <c:yVal>
                  <c:numRef>
                    <c:f>Sheet4!$B$2:$B$684</c:f>
                    <c:numCache>
                      <c:formatCode>0.00%</c:formatCode>
                      <c:ptCount val="683"/>
                      <c:pt idx="0">
                        <c:v>0.00163758800122437</c:v>
                      </c:pt>
                      <c:pt idx="1">
                        <c:v>0.00170454545454546</c:v>
                      </c:pt>
                      <c:pt idx="2">
                        <c:v>0.00180555555555556</c:v>
                      </c:pt>
                      <c:pt idx="3">
                        <c:v>0.00172727272727273</c:v>
                      </c:pt>
                      <c:pt idx="4">
                        <c:v>0.00177777777777778</c:v>
                      </c:pt>
                      <c:pt idx="5">
                        <c:v>0.00190656565656566</c:v>
                      </c:pt>
                      <c:pt idx="6">
                        <c:v>0.00186868686868687</c:v>
                      </c:pt>
                      <c:pt idx="7">
                        <c:v>0.00201178451178451</c:v>
                      </c:pt>
                      <c:pt idx="8">
                        <c:v>0.0018013468013468</c:v>
                      </c:pt>
                      <c:pt idx="9">
                        <c:v>0.00176767676767677</c:v>
                      </c:pt>
                      <c:pt idx="10">
                        <c:v>0.00311868686868687</c:v>
                      </c:pt>
                      <c:pt idx="11">
                        <c:v>0.00190235690235691</c:v>
                      </c:pt>
                      <c:pt idx="12">
                        <c:v>0.00190656565656566</c:v>
                      </c:pt>
                      <c:pt idx="13">
                        <c:v>0.00186868686868687</c:v>
                      </c:pt>
                      <c:pt idx="14">
                        <c:v>0.0018989898989899</c:v>
                      </c:pt>
                      <c:pt idx="15">
                        <c:v>0.00255050505050505</c:v>
                      </c:pt>
                      <c:pt idx="16">
                        <c:v>0.00193181818181818</c:v>
                      </c:pt>
                      <c:pt idx="17">
                        <c:v>0.00191919191919192</c:v>
                      </c:pt>
                      <c:pt idx="18">
                        <c:v>0.00192550505050506</c:v>
                      </c:pt>
                      <c:pt idx="19">
                        <c:v>0.00282828282828283</c:v>
                      </c:pt>
                      <c:pt idx="20">
                        <c:v>0.00392803030303031</c:v>
                      </c:pt>
                      <c:pt idx="21">
                        <c:v>0.00416666666666667</c:v>
                      </c:pt>
                      <c:pt idx="22">
                        <c:v>0.00408459595959597</c:v>
                      </c:pt>
                      <c:pt idx="23">
                        <c:v>0.00476851851851852</c:v>
                      </c:pt>
                      <c:pt idx="24">
                        <c:v>0.00225042087542088</c:v>
                      </c:pt>
                      <c:pt idx="25">
                        <c:v>0.00223484848484849</c:v>
                      </c:pt>
                      <c:pt idx="26">
                        <c:v>0.00216035353535354</c:v>
                      </c:pt>
                      <c:pt idx="27">
                        <c:v>0.00447937710437712</c:v>
                      </c:pt>
                      <c:pt idx="28">
                        <c:v>0.00275126262626263</c:v>
                      </c:pt>
                      <c:pt idx="29">
                        <c:v>0.00302104377104378</c:v>
                      </c:pt>
                      <c:pt idx="30">
                        <c:v>0.00230639730639731</c:v>
                      </c:pt>
                      <c:pt idx="31">
                        <c:v>0.00247474747474748</c:v>
                      </c:pt>
                      <c:pt idx="32">
                        <c:v>0.00227272727272727</c:v>
                      </c:pt>
                      <c:pt idx="33">
                        <c:v>0.00234848484848485</c:v>
                      </c:pt>
                      <c:pt idx="34">
                        <c:v>0.00304713804713805</c:v>
                      </c:pt>
                      <c:pt idx="35">
                        <c:v>0.00456944444444445</c:v>
                      </c:pt>
                      <c:pt idx="36">
                        <c:v>0.00327861952861953</c:v>
                      </c:pt>
                      <c:pt idx="37">
                        <c:v>0.00362373737373738</c:v>
                      </c:pt>
                      <c:pt idx="38">
                        <c:v>0.0072348484848485</c:v>
                      </c:pt>
                      <c:pt idx="39">
                        <c:v>0.00332323232323233</c:v>
                      </c:pt>
                      <c:pt idx="40">
                        <c:v>0.00551010101010102</c:v>
                      </c:pt>
                      <c:pt idx="41">
                        <c:v>0.00780008417508419</c:v>
                      </c:pt>
                      <c:pt idx="42">
                        <c:v>0.00362373737373738</c:v>
                      </c:pt>
                      <c:pt idx="43">
                        <c:v>0.00446127946127946</c:v>
                      </c:pt>
                      <c:pt idx="44">
                        <c:v>0.00498863636363638</c:v>
                      </c:pt>
                      <c:pt idx="45">
                        <c:v>0.00404040404040404</c:v>
                      </c:pt>
                      <c:pt idx="46">
                        <c:v>0.00346837160424118</c:v>
                      </c:pt>
                      <c:pt idx="47">
                        <c:v>0.00290005316321106</c:v>
                      </c:pt>
                      <c:pt idx="48">
                        <c:v>0.00883838383838384</c:v>
                      </c:pt>
                      <c:pt idx="49">
                        <c:v>0.0096969696969697</c:v>
                      </c:pt>
                      <c:pt idx="50">
                        <c:v>0.0069179292929293</c:v>
                      </c:pt>
                      <c:pt idx="51">
                        <c:v>0.00730934343434344</c:v>
                      </c:pt>
                      <c:pt idx="52">
                        <c:v>0.00343434343434343</c:v>
                      </c:pt>
                      <c:pt idx="53">
                        <c:v>0.00909090909090909</c:v>
                      </c:pt>
                      <c:pt idx="54">
                        <c:v>0.00877398989898992</c:v>
                      </c:pt>
                      <c:pt idx="55">
                        <c:v>0.00763888888888889</c:v>
                      </c:pt>
                      <c:pt idx="56">
                        <c:v>0.00423821548821549</c:v>
                      </c:pt>
                      <c:pt idx="57">
                        <c:v>0.00900631313131314</c:v>
                      </c:pt>
                      <c:pt idx="58">
                        <c:v>0.00584848484848486</c:v>
                      </c:pt>
                      <c:pt idx="59">
                        <c:v>0.00812373737373739</c:v>
                      </c:pt>
                      <c:pt idx="60">
                        <c:v>0.0043939393939394</c:v>
                      </c:pt>
                      <c:pt idx="61">
                        <c:v>0.00811994949494951</c:v>
                      </c:pt>
                      <c:pt idx="62">
                        <c:v>0.00758333333333336</c:v>
                      </c:pt>
                      <c:pt idx="63">
                        <c:v>0.00489772727272729</c:v>
                      </c:pt>
                      <c:pt idx="64">
                        <c:v>0.0071443181818182</c:v>
                      </c:pt>
                      <c:pt idx="65">
                        <c:v>0.00753308080808082</c:v>
                      </c:pt>
                      <c:pt idx="66">
                        <c:v>0.00810719696969699</c:v>
                      </c:pt>
                      <c:pt idx="67">
                        <c:v>0.0109944444444445</c:v>
                      </c:pt>
                      <c:pt idx="68">
                        <c:v>0.00687563131313132</c:v>
                      </c:pt>
                      <c:pt idx="69">
                        <c:v>0.0072537878787879</c:v>
                      </c:pt>
                      <c:pt idx="70">
                        <c:v>0.00967171717171719</c:v>
                      </c:pt>
                      <c:pt idx="71">
                        <c:v>0.00876136363636366</c:v>
                      </c:pt>
                      <c:pt idx="72">
                        <c:v>0.0089368686868687</c:v>
                      </c:pt>
                      <c:pt idx="73">
                        <c:v>0.00707702020202021</c:v>
                      </c:pt>
                      <c:pt idx="74">
                        <c:v>0.010719696969697</c:v>
                      </c:pt>
                      <c:pt idx="75">
                        <c:v>0.0174431818181819</c:v>
                      </c:pt>
                      <c:pt idx="76">
                        <c:v>0.00596969696969698</c:v>
                      </c:pt>
                      <c:pt idx="77">
                        <c:v>0.00698989898989899</c:v>
                      </c:pt>
                      <c:pt idx="78">
                        <c:v>0.00688888888888889</c:v>
                      </c:pt>
                      <c:pt idx="79">
                        <c:v>0.00513131313131313</c:v>
                      </c:pt>
                      <c:pt idx="80">
                        <c:v>0.00515909090909092</c:v>
                      </c:pt>
                      <c:pt idx="81">
                        <c:v>0.00545454545454546</c:v>
                      </c:pt>
                      <c:pt idx="82">
                        <c:v>0.00453409090909091</c:v>
                      </c:pt>
                      <c:pt idx="83">
                        <c:v>0.00477272727272728</c:v>
                      </c:pt>
                      <c:pt idx="84">
                        <c:v>0.00476767676767677</c:v>
                      </c:pt>
                      <c:pt idx="85">
                        <c:v>0.0046489898989899</c:v>
                      </c:pt>
                      <c:pt idx="86">
                        <c:v>0.00546843434343435</c:v>
                      </c:pt>
                      <c:pt idx="87">
                        <c:v>0.00462222222222223</c:v>
                      </c:pt>
                      <c:pt idx="88">
                        <c:v>0.00587654320987657</c:v>
                      </c:pt>
                      <c:pt idx="89">
                        <c:v>0.0223655913978495</c:v>
                      </c:pt>
                      <c:pt idx="90">
                        <c:v>0.00734902597402599</c:v>
                      </c:pt>
                      <c:pt idx="91">
                        <c:v>0.0107776489383632</c:v>
                      </c:pt>
                      <c:pt idx="92">
                        <c:v>0.00792171717171719</c:v>
                      </c:pt>
                      <c:pt idx="93">
                        <c:v>0.0104630815194195</c:v>
                      </c:pt>
                      <c:pt idx="94">
                        <c:v>0.0135979437229437</c:v>
                      </c:pt>
                      <c:pt idx="95">
                        <c:v>0.0052929292929293</c:v>
                      </c:pt>
                      <c:pt idx="96">
                        <c:v>0.00512121212121213</c:v>
                      </c:pt>
                      <c:pt idx="97">
                        <c:v>0.021921568627451</c:v>
                      </c:pt>
                      <c:pt idx="98">
                        <c:v>0.00606818181818183</c:v>
                      </c:pt>
                      <c:pt idx="99">
                        <c:v>0.00545454545454546</c:v>
                      </c:pt>
                      <c:pt idx="100">
                        <c:v>0.00525252525252526</c:v>
                      </c:pt>
                      <c:pt idx="101">
                        <c:v>0.00607575757575759</c:v>
                      </c:pt>
                      <c:pt idx="102">
                        <c:v>0.00528409090909092</c:v>
                      </c:pt>
                      <c:pt idx="103">
                        <c:v>0.00486868686868687</c:v>
                      </c:pt>
                      <c:pt idx="104">
                        <c:v>0.00544107744107746</c:v>
                      </c:pt>
                      <c:pt idx="105">
                        <c:v>0.00514856902356904</c:v>
                      </c:pt>
                      <c:pt idx="106">
                        <c:v>0.00367424242424244</c:v>
                      </c:pt>
                      <c:pt idx="107">
                        <c:v>0.00196969696969698</c:v>
                      </c:pt>
                      <c:pt idx="108">
                        <c:v>0.00326515151515153</c:v>
                      </c:pt>
                      <c:pt idx="109">
                        <c:v>0.00324284511784512</c:v>
                      </c:pt>
                      <c:pt idx="110">
                        <c:v>0.00472727272727274</c:v>
                      </c:pt>
                      <c:pt idx="111">
                        <c:v>0.00495075757575759</c:v>
                      </c:pt>
                      <c:pt idx="112">
                        <c:v>0.00500420875420877</c:v>
                      </c:pt>
                      <c:pt idx="113">
                        <c:v>0.0047159090909091</c:v>
                      </c:pt>
                      <c:pt idx="114">
                        <c:v>0.00463636363636364</c:v>
                      </c:pt>
                      <c:pt idx="115">
                        <c:v>0.00505050505050505</c:v>
                      </c:pt>
                      <c:pt idx="116">
                        <c:v>0.00444444444444444</c:v>
                      </c:pt>
                      <c:pt idx="117">
                        <c:v>0.00444444444444444</c:v>
                      </c:pt>
                      <c:pt idx="118">
                        <c:v>0.00445454545454545</c:v>
                      </c:pt>
                      <c:pt idx="119">
                        <c:v>0.00458333333333334</c:v>
                      </c:pt>
                      <c:pt idx="120">
                        <c:v>0.0045959595959596</c:v>
                      </c:pt>
                      <c:pt idx="121">
                        <c:v>0.00444444444444444</c:v>
                      </c:pt>
                      <c:pt idx="122">
                        <c:v>0.00444444444444444</c:v>
                      </c:pt>
                      <c:pt idx="123">
                        <c:v>0.00454545454545455</c:v>
                      </c:pt>
                      <c:pt idx="124">
                        <c:v>0.00438383838383838</c:v>
                      </c:pt>
                      <c:pt idx="125">
                        <c:v>0.00448484848484849</c:v>
                      </c:pt>
                      <c:pt idx="126">
                        <c:v>0.0043939393939394</c:v>
                      </c:pt>
                      <c:pt idx="127">
                        <c:v>0.00431313131313131</c:v>
                      </c:pt>
                      <c:pt idx="128">
                        <c:v>0.00448484848484849</c:v>
                      </c:pt>
                      <c:pt idx="129">
                        <c:v>0.00436363636363637</c:v>
                      </c:pt>
                      <c:pt idx="130">
                        <c:v>0.000676767676767677</c:v>
                      </c:pt>
                      <c:pt idx="131">
                        <c:v>0.000404040404040404</c:v>
                      </c:pt>
                      <c:pt idx="132">
                        <c:v>0.00202020202020203</c:v>
                      </c:pt>
                      <c:pt idx="133">
                        <c:v>0.00146464646464647</c:v>
                      </c:pt>
                      <c:pt idx="134">
                        <c:v>0.000555555555555556</c:v>
                      </c:pt>
                      <c:pt idx="135">
                        <c:v>0.000202020202020202</c:v>
                      </c:pt>
                      <c:pt idx="136">
                        <c:v>0.000404040404040404</c:v>
                      </c:pt>
                      <c:pt idx="137">
                        <c:v>0.000404040404040404</c:v>
                      </c:pt>
                      <c:pt idx="138">
                        <c:v>0.000202020202020202</c:v>
                      </c:pt>
                      <c:pt idx="139">
                        <c:v>0.000404040404040404</c:v>
                      </c:pt>
                      <c:pt idx="140">
                        <c:v>0.000404040404040404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0.00203409090909092</c:v>
                      </c:pt>
                      <c:pt idx="161">
                        <c:v>0.00250000000000001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0.000606060606060608</c:v>
                      </c:pt>
                      <c:pt idx="166">
                        <c:v>0.000303030303030304</c:v>
                      </c:pt>
                      <c:pt idx="167">
                        <c:v>0.000492424242424244</c:v>
                      </c:pt>
                      <c:pt idx="168">
                        <c:v>0.000303030303030304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0.00075757575757576</c:v>
                      </c:pt>
                      <c:pt idx="175">
                        <c:v>0.00192045454545455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0.00114772727272728</c:v>
                      </c:pt>
                      <c:pt idx="182">
                        <c:v>0.000920454545454548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0.000151515151515152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  <c:pt idx="201">
                        <c:v>0</c:v>
                      </c:pt>
                      <c:pt idx="202">
                        <c:v>0.00139015151515152</c:v>
                      </c:pt>
                      <c:pt idx="203">
                        <c:v>0.000984848484848488</c:v>
                      </c:pt>
                      <c:pt idx="204">
                        <c:v>0</c:v>
                      </c:pt>
                      <c:pt idx="205">
                        <c:v>0</c:v>
                      </c:pt>
                      <c:pt idx="206">
                        <c:v>0</c:v>
                      </c:pt>
                      <c:pt idx="207">
                        <c:v>0</c:v>
                      </c:pt>
                      <c:pt idx="208">
                        <c:v>0</c:v>
                      </c:pt>
                      <c:pt idx="209">
                        <c:v>0.000897727272727276</c:v>
                      </c:pt>
                      <c:pt idx="210">
                        <c:v>0.00104671717171717</c:v>
                      </c:pt>
                      <c:pt idx="211">
                        <c:v>0</c:v>
                      </c:pt>
                      <c:pt idx="212">
                        <c:v>0</c:v>
                      </c:pt>
                      <c:pt idx="213">
                        <c:v>0</c:v>
                      </c:pt>
                      <c:pt idx="214">
                        <c:v>0</c:v>
                      </c:pt>
                      <c:pt idx="215">
                        <c:v>0</c:v>
                      </c:pt>
                      <c:pt idx="216">
                        <c:v>0</c:v>
                      </c:pt>
                      <c:pt idx="217">
                        <c:v>0.00236363636363636</c:v>
                      </c:pt>
                      <c:pt idx="218">
                        <c:v>0.00233712121212122</c:v>
                      </c:pt>
                      <c:pt idx="219">
                        <c:v>0.00252525252525253</c:v>
                      </c:pt>
                      <c:pt idx="220">
                        <c:v>0</c:v>
                      </c:pt>
                      <c:pt idx="221">
                        <c:v>0</c:v>
                      </c:pt>
                      <c:pt idx="222">
                        <c:v>0</c:v>
                      </c:pt>
                      <c:pt idx="223">
                        <c:v>0.00393939393939395</c:v>
                      </c:pt>
                      <c:pt idx="224">
                        <c:v>0.00331102693602694</c:v>
                      </c:pt>
                      <c:pt idx="225">
                        <c:v>0</c:v>
                      </c:pt>
                      <c:pt idx="226">
                        <c:v>0</c:v>
                      </c:pt>
                      <c:pt idx="227">
                        <c:v>0</c:v>
                      </c:pt>
                      <c:pt idx="228">
                        <c:v>0</c:v>
                      </c:pt>
                      <c:pt idx="229">
                        <c:v>0</c:v>
                      </c:pt>
                      <c:pt idx="230">
                        <c:v>0</c:v>
                      </c:pt>
                      <c:pt idx="231">
                        <c:v>0</c:v>
                      </c:pt>
                      <c:pt idx="232">
                        <c:v>0</c:v>
                      </c:pt>
                      <c:pt idx="233">
                        <c:v>0.00249242424242425</c:v>
                      </c:pt>
                      <c:pt idx="234">
                        <c:v>0</c:v>
                      </c:pt>
                      <c:pt idx="235">
                        <c:v>0</c:v>
                      </c:pt>
                      <c:pt idx="236">
                        <c:v>0.000606060606060608</c:v>
                      </c:pt>
                      <c:pt idx="237">
                        <c:v>0.000606060606060608</c:v>
                      </c:pt>
                      <c:pt idx="238">
                        <c:v>0.000833333333333336</c:v>
                      </c:pt>
                      <c:pt idx="239">
                        <c:v>0</c:v>
                      </c:pt>
                      <c:pt idx="240">
                        <c:v>0</c:v>
                      </c:pt>
                      <c:pt idx="241">
                        <c:v>0</c:v>
                      </c:pt>
                      <c:pt idx="242">
                        <c:v>0</c:v>
                      </c:pt>
                      <c:pt idx="243">
                        <c:v>0</c:v>
                      </c:pt>
                      <c:pt idx="244">
                        <c:v>0</c:v>
                      </c:pt>
                      <c:pt idx="245">
                        <c:v>0</c:v>
                      </c:pt>
                      <c:pt idx="246">
                        <c:v>0</c:v>
                      </c:pt>
                      <c:pt idx="247">
                        <c:v>0</c:v>
                      </c:pt>
                      <c:pt idx="248">
                        <c:v>0</c:v>
                      </c:pt>
                      <c:pt idx="249">
                        <c:v>0</c:v>
                      </c:pt>
                      <c:pt idx="250">
                        <c:v>0</c:v>
                      </c:pt>
                      <c:pt idx="251">
                        <c:v>0.00169907407407408</c:v>
                      </c:pt>
                      <c:pt idx="252">
                        <c:v>0.00109427609427609</c:v>
                      </c:pt>
                      <c:pt idx="253">
                        <c:v>0</c:v>
                      </c:pt>
                      <c:pt idx="254">
                        <c:v>0</c:v>
                      </c:pt>
                      <c:pt idx="255">
                        <c:v>0</c:v>
                      </c:pt>
                      <c:pt idx="256">
                        <c:v>0</c:v>
                      </c:pt>
                      <c:pt idx="257">
                        <c:v>0</c:v>
                      </c:pt>
                      <c:pt idx="258">
                        <c:v>0.000168350168350168</c:v>
                      </c:pt>
                      <c:pt idx="259">
                        <c:v>0.00151515151515152</c:v>
                      </c:pt>
                      <c:pt idx="260">
                        <c:v>0</c:v>
                      </c:pt>
                      <c:pt idx="261">
                        <c:v>0</c:v>
                      </c:pt>
                      <c:pt idx="262">
                        <c:v>0</c:v>
                      </c:pt>
                      <c:pt idx="263">
                        <c:v>0</c:v>
                      </c:pt>
                      <c:pt idx="264">
                        <c:v>0</c:v>
                      </c:pt>
                      <c:pt idx="265">
                        <c:v>0.000336700336700337</c:v>
                      </c:pt>
                      <c:pt idx="266">
                        <c:v>0.000505050505050505</c:v>
                      </c:pt>
                      <c:pt idx="267">
                        <c:v>0</c:v>
                      </c:pt>
                      <c:pt idx="268">
                        <c:v>0</c:v>
                      </c:pt>
                      <c:pt idx="269">
                        <c:v>0</c:v>
                      </c:pt>
                      <c:pt idx="270">
                        <c:v>0</c:v>
                      </c:pt>
                      <c:pt idx="271">
                        <c:v>0</c:v>
                      </c:pt>
                      <c:pt idx="272">
                        <c:v>0</c:v>
                      </c:pt>
                      <c:pt idx="273">
                        <c:v>0</c:v>
                      </c:pt>
                      <c:pt idx="274">
                        <c:v>0</c:v>
                      </c:pt>
                      <c:pt idx="275">
                        <c:v>0</c:v>
                      </c:pt>
                      <c:pt idx="276">
                        <c:v>0</c:v>
                      </c:pt>
                      <c:pt idx="277">
                        <c:v>0</c:v>
                      </c:pt>
                      <c:pt idx="278">
                        <c:v>0</c:v>
                      </c:pt>
                      <c:pt idx="279">
                        <c:v>0</c:v>
                      </c:pt>
                      <c:pt idx="280">
                        <c:v>0</c:v>
                      </c:pt>
                      <c:pt idx="281">
                        <c:v>0</c:v>
                      </c:pt>
                      <c:pt idx="282">
                        <c:v>0</c:v>
                      </c:pt>
                      <c:pt idx="283">
                        <c:v>0</c:v>
                      </c:pt>
                      <c:pt idx="284">
                        <c:v>0</c:v>
                      </c:pt>
                      <c:pt idx="285">
                        <c:v>0</c:v>
                      </c:pt>
                      <c:pt idx="286">
                        <c:v>0.000925925925925926</c:v>
                      </c:pt>
                      <c:pt idx="287">
                        <c:v>0.0015993265993266</c:v>
                      </c:pt>
                      <c:pt idx="288">
                        <c:v>0</c:v>
                      </c:pt>
                      <c:pt idx="289">
                        <c:v>0</c:v>
                      </c:pt>
                      <c:pt idx="290">
                        <c:v>0</c:v>
                      </c:pt>
                      <c:pt idx="291">
                        <c:v>0</c:v>
                      </c:pt>
                      <c:pt idx="292">
                        <c:v>0</c:v>
                      </c:pt>
                      <c:pt idx="293">
                        <c:v>8.41750841750842e-5</c:v>
                      </c:pt>
                      <c:pt idx="294">
                        <c:v>0.000673400673400674</c:v>
                      </c:pt>
                      <c:pt idx="295">
                        <c:v>0.00126262626262626</c:v>
                      </c:pt>
                      <c:pt idx="296">
                        <c:v>0.000841750841750842</c:v>
                      </c:pt>
                      <c:pt idx="297">
                        <c:v>8.41750841750842e-5</c:v>
                      </c:pt>
                      <c:pt idx="298">
                        <c:v>0</c:v>
                      </c:pt>
                      <c:pt idx="299">
                        <c:v>0</c:v>
                      </c:pt>
                      <c:pt idx="300">
                        <c:v>0.000757575757575758</c:v>
                      </c:pt>
                      <c:pt idx="301">
                        <c:v>0.00143097643097643</c:v>
                      </c:pt>
                      <c:pt idx="302">
                        <c:v>0.00109427609427609</c:v>
                      </c:pt>
                      <c:pt idx="303">
                        <c:v>0.00101010101010101</c:v>
                      </c:pt>
                      <c:pt idx="304">
                        <c:v>0.00117845117845118</c:v>
                      </c:pt>
                      <c:pt idx="305">
                        <c:v>0.00109427609427609</c:v>
                      </c:pt>
                      <c:pt idx="306">
                        <c:v>0</c:v>
                      </c:pt>
                      <c:pt idx="307">
                        <c:v>0.000757575757575758</c:v>
                      </c:pt>
                      <c:pt idx="308">
                        <c:v>0</c:v>
                      </c:pt>
                      <c:pt idx="309">
                        <c:v>0</c:v>
                      </c:pt>
                      <c:pt idx="310">
                        <c:v>0</c:v>
                      </c:pt>
                      <c:pt idx="311">
                        <c:v>0</c:v>
                      </c:pt>
                      <c:pt idx="312">
                        <c:v>0</c:v>
                      </c:pt>
                      <c:pt idx="313">
                        <c:v>0</c:v>
                      </c:pt>
                      <c:pt idx="314">
                        <c:v>0.000168350168350168</c:v>
                      </c:pt>
                      <c:pt idx="315">
                        <c:v>8.41750841750842e-5</c:v>
                      </c:pt>
                      <c:pt idx="316">
                        <c:v>0</c:v>
                      </c:pt>
                      <c:pt idx="317">
                        <c:v>0</c:v>
                      </c:pt>
                      <c:pt idx="318">
                        <c:v>0</c:v>
                      </c:pt>
                      <c:pt idx="319">
                        <c:v>0</c:v>
                      </c:pt>
                      <c:pt idx="320">
                        <c:v>0</c:v>
                      </c:pt>
                      <c:pt idx="321">
                        <c:v>0</c:v>
                      </c:pt>
                      <c:pt idx="322">
                        <c:v>0</c:v>
                      </c:pt>
                      <c:pt idx="323">
                        <c:v>0</c:v>
                      </c:pt>
                      <c:pt idx="324">
                        <c:v>0</c:v>
                      </c:pt>
                      <c:pt idx="325">
                        <c:v>0</c:v>
                      </c:pt>
                      <c:pt idx="326">
                        <c:v>0</c:v>
                      </c:pt>
                      <c:pt idx="327">
                        <c:v>0</c:v>
                      </c:pt>
                      <c:pt idx="328">
                        <c:v>0</c:v>
                      </c:pt>
                      <c:pt idx="329">
                        <c:v>0</c:v>
                      </c:pt>
                      <c:pt idx="330">
                        <c:v>0</c:v>
                      </c:pt>
                      <c:pt idx="331">
                        <c:v>0</c:v>
                      </c:pt>
                      <c:pt idx="332">
                        <c:v>0</c:v>
                      </c:pt>
                      <c:pt idx="333">
                        <c:v>0</c:v>
                      </c:pt>
                      <c:pt idx="334">
                        <c:v>0</c:v>
                      </c:pt>
                      <c:pt idx="335">
                        <c:v>0</c:v>
                      </c:pt>
                      <c:pt idx="336">
                        <c:v>0</c:v>
                      </c:pt>
                      <c:pt idx="337">
                        <c:v>0</c:v>
                      </c:pt>
                      <c:pt idx="338">
                        <c:v>0</c:v>
                      </c:pt>
                      <c:pt idx="339">
                        <c:v>0</c:v>
                      </c:pt>
                      <c:pt idx="340">
                        <c:v>0</c:v>
                      </c:pt>
                      <c:pt idx="341">
                        <c:v>0</c:v>
                      </c:pt>
                      <c:pt idx="342">
                        <c:v>0</c:v>
                      </c:pt>
                      <c:pt idx="343">
                        <c:v>0</c:v>
                      </c:pt>
                      <c:pt idx="344">
                        <c:v>0</c:v>
                      </c:pt>
                      <c:pt idx="345">
                        <c:v>0</c:v>
                      </c:pt>
                      <c:pt idx="346">
                        <c:v>0</c:v>
                      </c:pt>
                      <c:pt idx="347">
                        <c:v>0</c:v>
                      </c:pt>
                      <c:pt idx="348">
                        <c:v>0</c:v>
                      </c:pt>
                      <c:pt idx="349">
                        <c:v>0</c:v>
                      </c:pt>
                      <c:pt idx="350">
                        <c:v>0</c:v>
                      </c:pt>
                      <c:pt idx="351">
                        <c:v>0</c:v>
                      </c:pt>
                      <c:pt idx="352">
                        <c:v>0</c:v>
                      </c:pt>
                      <c:pt idx="353">
                        <c:v>0</c:v>
                      </c:pt>
                      <c:pt idx="354">
                        <c:v>0</c:v>
                      </c:pt>
                      <c:pt idx="355">
                        <c:v>0</c:v>
                      </c:pt>
                      <c:pt idx="356">
                        <c:v>0</c:v>
                      </c:pt>
                      <c:pt idx="357">
                        <c:v>0.00053787878787879</c:v>
                      </c:pt>
                      <c:pt idx="358">
                        <c:v>0.00071969696969697</c:v>
                      </c:pt>
                      <c:pt idx="359">
                        <c:v>0.000707070707070707</c:v>
                      </c:pt>
                      <c:pt idx="360">
                        <c:v>0.000645202020202022</c:v>
                      </c:pt>
                      <c:pt idx="361">
                        <c:v>0.000606060606060606</c:v>
                      </c:pt>
                      <c:pt idx="362">
                        <c:v>0.000606060606060606</c:v>
                      </c:pt>
                      <c:pt idx="363">
                        <c:v>0.000606060606060606</c:v>
                      </c:pt>
                      <c:pt idx="364">
                        <c:v>0.000606060606060606</c:v>
                      </c:pt>
                      <c:pt idx="365">
                        <c:v>0.000606060606060606</c:v>
                      </c:pt>
                      <c:pt idx="366">
                        <c:v>0.00056818181818182</c:v>
                      </c:pt>
                      <c:pt idx="367">
                        <c:v>0.000606060606060606</c:v>
                      </c:pt>
                      <c:pt idx="368">
                        <c:v>0.000606060606060606</c:v>
                      </c:pt>
                      <c:pt idx="369">
                        <c:v>0.0010719696969697</c:v>
                      </c:pt>
                      <c:pt idx="370">
                        <c:v>0.000606060606060606</c:v>
                      </c:pt>
                      <c:pt idx="371">
                        <c:v>0.000474747474747475</c:v>
                      </c:pt>
                      <c:pt idx="372">
                        <c:v>0.00069318181818182</c:v>
                      </c:pt>
                      <c:pt idx="373">
                        <c:v>0.000404040404040404</c:v>
                      </c:pt>
                      <c:pt idx="374">
                        <c:v>0.000404040404040404</c:v>
                      </c:pt>
                      <c:pt idx="375">
                        <c:v>0.000404040404040404</c:v>
                      </c:pt>
                      <c:pt idx="376">
                        <c:v>0.000474747474747475</c:v>
                      </c:pt>
                      <c:pt idx="377">
                        <c:v>0.000404040404040404</c:v>
                      </c:pt>
                      <c:pt idx="378">
                        <c:v>0.000404040404040404</c:v>
                      </c:pt>
                      <c:pt idx="379">
                        <c:v>0.000404040404040404</c:v>
                      </c:pt>
                      <c:pt idx="380">
                        <c:v>0.000404040404040404</c:v>
                      </c:pt>
                      <c:pt idx="381">
                        <c:v>0.000404040404040404</c:v>
                      </c:pt>
                      <c:pt idx="382">
                        <c:v>0.000404040404040404</c:v>
                      </c:pt>
                      <c:pt idx="383">
                        <c:v>0.000404040404040404</c:v>
                      </c:pt>
                      <c:pt idx="384">
                        <c:v>0.000404040404040404</c:v>
                      </c:pt>
                      <c:pt idx="385">
                        <c:v>0.000404040404040404</c:v>
                      </c:pt>
                      <c:pt idx="386">
                        <c:v>0.000404040404040404</c:v>
                      </c:pt>
                      <c:pt idx="387">
                        <c:v>0.000404040404040404</c:v>
                      </c:pt>
                      <c:pt idx="388">
                        <c:v>0.000404040404040404</c:v>
                      </c:pt>
                      <c:pt idx="389">
                        <c:v>0.000404040404040404</c:v>
                      </c:pt>
                      <c:pt idx="390">
                        <c:v>0.000404040404040404</c:v>
                      </c:pt>
                      <c:pt idx="391">
                        <c:v>0.000404040404040404</c:v>
                      </c:pt>
                      <c:pt idx="392">
                        <c:v>0.000303030303030303</c:v>
                      </c:pt>
                      <c:pt idx="393">
                        <c:v>0.000356902356902357</c:v>
                      </c:pt>
                      <c:pt idx="394">
                        <c:v>0.000353535353535354</c:v>
                      </c:pt>
                      <c:pt idx="395">
                        <c:v>0.000420875420875421</c:v>
                      </c:pt>
                      <c:pt idx="396">
                        <c:v>0.000589225589225589</c:v>
                      </c:pt>
                      <c:pt idx="397">
                        <c:v>0.000757575757575758</c:v>
                      </c:pt>
                      <c:pt idx="398">
                        <c:v>0.000925925925925926</c:v>
                      </c:pt>
                      <c:pt idx="399">
                        <c:v>0.000589225589225589</c:v>
                      </c:pt>
                      <c:pt idx="400">
                        <c:v>0.000589225589225589</c:v>
                      </c:pt>
                      <c:pt idx="401">
                        <c:v>0.0014983164983165</c:v>
                      </c:pt>
                      <c:pt idx="402">
                        <c:v>0.0011952861952862</c:v>
                      </c:pt>
                      <c:pt idx="403">
                        <c:v>0.0013973063973064</c:v>
                      </c:pt>
                      <c:pt idx="404">
                        <c:v>0.0013973063973064</c:v>
                      </c:pt>
                      <c:pt idx="405">
                        <c:v>0.00137205387205387</c:v>
                      </c:pt>
                      <c:pt idx="406">
                        <c:v>0.00211700336700337</c:v>
                      </c:pt>
                      <c:pt idx="407">
                        <c:v>0.00265151515151516</c:v>
                      </c:pt>
                      <c:pt idx="408">
                        <c:v>0.00280808080808081</c:v>
                      </c:pt>
                      <c:pt idx="409">
                        <c:v>0.00181818181818182</c:v>
                      </c:pt>
                      <c:pt idx="410">
                        <c:v>0.00119949494949495</c:v>
                      </c:pt>
                      <c:pt idx="411">
                        <c:v>0.00134680134680135</c:v>
                      </c:pt>
                      <c:pt idx="412">
                        <c:v>0.00128787878787879</c:v>
                      </c:pt>
                      <c:pt idx="413">
                        <c:v>0.00133712121212122</c:v>
                      </c:pt>
                      <c:pt idx="414">
                        <c:v>0.00133712121212122</c:v>
                      </c:pt>
                      <c:pt idx="415">
                        <c:v>0.00128787878787879</c:v>
                      </c:pt>
                      <c:pt idx="416">
                        <c:v>0.00128787878787879</c:v>
                      </c:pt>
                      <c:pt idx="417">
                        <c:v>0.00128787878787879</c:v>
                      </c:pt>
                      <c:pt idx="418">
                        <c:v>0.00128787878787879</c:v>
                      </c:pt>
                      <c:pt idx="419">
                        <c:v>0.00126136363636364</c:v>
                      </c:pt>
                      <c:pt idx="420">
                        <c:v>0.0012995337995338</c:v>
                      </c:pt>
                      <c:pt idx="421">
                        <c:v>0.00126262626262626</c:v>
                      </c:pt>
                      <c:pt idx="422">
                        <c:v>0.00125126262626263</c:v>
                      </c:pt>
                      <c:pt idx="423">
                        <c:v>0.0012962962962963</c:v>
                      </c:pt>
                      <c:pt idx="424">
                        <c:v>0.0012962962962963</c:v>
                      </c:pt>
                      <c:pt idx="425">
                        <c:v>0.00124579124579125</c:v>
                      </c:pt>
                      <c:pt idx="426">
                        <c:v>0.00124368686868687</c:v>
                      </c:pt>
                      <c:pt idx="427">
                        <c:v>0.00127525252525253</c:v>
                      </c:pt>
                      <c:pt idx="428">
                        <c:v>0.0012962962962963</c:v>
                      </c:pt>
                      <c:pt idx="429">
                        <c:v>0.0012962962962963</c:v>
                      </c:pt>
                      <c:pt idx="430">
                        <c:v>0.0012260101010101</c:v>
                      </c:pt>
                      <c:pt idx="431">
                        <c:v>0.0012962962962963</c:v>
                      </c:pt>
                      <c:pt idx="432">
                        <c:v>0.0012962962962963</c:v>
                      </c:pt>
                      <c:pt idx="433">
                        <c:v>0.0012962962962963</c:v>
                      </c:pt>
                      <c:pt idx="434">
                        <c:v>0.00126388888888889</c:v>
                      </c:pt>
                      <c:pt idx="435">
                        <c:v>0.0012962962962963</c:v>
                      </c:pt>
                      <c:pt idx="436">
                        <c:v>0.0012962962962963</c:v>
                      </c:pt>
                      <c:pt idx="437">
                        <c:v>0.0012962962962963</c:v>
                      </c:pt>
                      <c:pt idx="438">
                        <c:v>0.0012962962962963</c:v>
                      </c:pt>
                      <c:pt idx="439">
                        <c:v>0.0012962962962963</c:v>
                      </c:pt>
                      <c:pt idx="440">
                        <c:v>0.0012962962962963</c:v>
                      </c:pt>
                      <c:pt idx="441">
                        <c:v>0.00128787878787879</c:v>
                      </c:pt>
                      <c:pt idx="442">
                        <c:v>0.0012962962962963</c:v>
                      </c:pt>
                      <c:pt idx="443">
                        <c:v>0.0012962962962963</c:v>
                      </c:pt>
                      <c:pt idx="444">
                        <c:v>0.0012962962962963</c:v>
                      </c:pt>
                      <c:pt idx="445">
                        <c:v>0.00121212121212121</c:v>
                      </c:pt>
                      <c:pt idx="446">
                        <c:v>0.00117929292929293</c:v>
                      </c:pt>
                      <c:pt idx="447">
                        <c:v>0.00121212121212121</c:v>
                      </c:pt>
                      <c:pt idx="448">
                        <c:v>0.00121212121212121</c:v>
                      </c:pt>
                      <c:pt idx="449">
                        <c:v>0.00121212121212121</c:v>
                      </c:pt>
                      <c:pt idx="450">
                        <c:v>0.00125</c:v>
                      </c:pt>
                      <c:pt idx="451">
                        <c:v>0.00121212121212121</c:v>
                      </c:pt>
                      <c:pt idx="452">
                        <c:v>0.00121212121212121</c:v>
                      </c:pt>
                      <c:pt idx="453">
                        <c:v>0.00121212121212121</c:v>
                      </c:pt>
                      <c:pt idx="454">
                        <c:v>0.00121212121212121</c:v>
                      </c:pt>
                      <c:pt idx="455">
                        <c:v>0.00121212121212121</c:v>
                      </c:pt>
                      <c:pt idx="456">
                        <c:v>0.00121212121212121</c:v>
                      </c:pt>
                      <c:pt idx="457">
                        <c:v>0.00121212121212121</c:v>
                      </c:pt>
                      <c:pt idx="458">
                        <c:v>0.00422853535353535</c:v>
                      </c:pt>
                      <c:pt idx="459">
                        <c:v>0.000202020202020202</c:v>
                      </c:pt>
                      <c:pt idx="460">
                        <c:v>0.000202020202020202</c:v>
                      </c:pt>
                      <c:pt idx="461">
                        <c:v>0.000897727272727276</c:v>
                      </c:pt>
                      <c:pt idx="462">
                        <c:v>0.00353409090909091</c:v>
                      </c:pt>
                      <c:pt idx="463">
                        <c:v>0.00670075757575759</c:v>
                      </c:pt>
                      <c:pt idx="464">
                        <c:v>0.00610606060606061</c:v>
                      </c:pt>
                      <c:pt idx="465">
                        <c:v>0.0120168887878527</c:v>
                      </c:pt>
                      <c:pt idx="466">
                        <c:v>0.00642304324653573</c:v>
                      </c:pt>
                      <c:pt idx="467">
                        <c:v>0.0070126387638764</c:v>
                      </c:pt>
                      <c:pt idx="468">
                        <c:v>0.00277272727272728</c:v>
                      </c:pt>
                      <c:pt idx="469">
                        <c:v>0.0151654466606998</c:v>
                      </c:pt>
                      <c:pt idx="470">
                        <c:v>0.00715782828282829</c:v>
                      </c:pt>
                      <c:pt idx="471">
                        <c:v>0.00881102693602696</c:v>
                      </c:pt>
                      <c:pt idx="472">
                        <c:v>0.00648737373737375</c:v>
                      </c:pt>
                      <c:pt idx="473">
                        <c:v>0.00712082362082363</c:v>
                      </c:pt>
                      <c:pt idx="474">
                        <c:v>0.0108541181041181</c:v>
                      </c:pt>
                      <c:pt idx="475">
                        <c:v>0.0082629823879824</c:v>
                      </c:pt>
                      <c:pt idx="476">
                        <c:v>0.0117911162911163</c:v>
                      </c:pt>
                      <c:pt idx="477">
                        <c:v>0.00394612794612796</c:v>
                      </c:pt>
                      <c:pt idx="478">
                        <c:v>0.0106611952861953</c:v>
                      </c:pt>
                      <c:pt idx="479">
                        <c:v>0.00488510101010101</c:v>
                      </c:pt>
                      <c:pt idx="480">
                        <c:v>0.00280681818181819</c:v>
                      </c:pt>
                      <c:pt idx="481">
                        <c:v>0</c:v>
                      </c:pt>
                      <c:pt idx="482">
                        <c:v>0.00277272727272728</c:v>
                      </c:pt>
                      <c:pt idx="483">
                        <c:v>0.0155555555555556</c:v>
                      </c:pt>
                      <c:pt idx="484">
                        <c:v>0.0159343434343435</c:v>
                      </c:pt>
                      <c:pt idx="485">
                        <c:v>0.0149242424242424</c:v>
                      </c:pt>
                      <c:pt idx="486">
                        <c:v>0.012145202020202</c:v>
                      </c:pt>
                      <c:pt idx="487">
                        <c:v>0.0158598484848485</c:v>
                      </c:pt>
                      <c:pt idx="488">
                        <c:v>0.0167878787878788</c:v>
                      </c:pt>
                      <c:pt idx="489">
                        <c:v>0.0183156565656566</c:v>
                      </c:pt>
                      <c:pt idx="490">
                        <c:v>0.0187828282828283</c:v>
                      </c:pt>
                      <c:pt idx="491">
                        <c:v>0.0109962121212121</c:v>
                      </c:pt>
                      <c:pt idx="492">
                        <c:v>0.00813005050505052</c:v>
                      </c:pt>
                      <c:pt idx="493">
                        <c:v>0.0055568181818182</c:v>
                      </c:pt>
                      <c:pt idx="494">
                        <c:v>0.0145340909090909</c:v>
                      </c:pt>
                      <c:pt idx="495">
                        <c:v>0.00715909090909093</c:v>
                      </c:pt>
                      <c:pt idx="496">
                        <c:v>0.0145277777777778</c:v>
                      </c:pt>
                      <c:pt idx="497">
                        <c:v>0.0178712121212121</c:v>
                      </c:pt>
                      <c:pt idx="498">
                        <c:v>0.00817550505050506</c:v>
                      </c:pt>
                      <c:pt idx="499">
                        <c:v>0.0166085858585859</c:v>
                      </c:pt>
                      <c:pt idx="500">
                        <c:v>0.00953156565656567</c:v>
                      </c:pt>
                      <c:pt idx="501">
                        <c:v>0.00931313131313133</c:v>
                      </c:pt>
                      <c:pt idx="502">
                        <c:v>0.00608712121212122</c:v>
                      </c:pt>
                      <c:pt idx="503">
                        <c:v>0</c:v>
                      </c:pt>
                      <c:pt idx="504">
                        <c:v>0.0108396464646465</c:v>
                      </c:pt>
                      <c:pt idx="505">
                        <c:v>0.0140530303030303</c:v>
                      </c:pt>
                      <c:pt idx="506">
                        <c:v>0.0142045454545455</c:v>
                      </c:pt>
                      <c:pt idx="507">
                        <c:v>0.0212348484848485</c:v>
                      </c:pt>
                      <c:pt idx="508">
                        <c:v>0.0250757575757576</c:v>
                      </c:pt>
                      <c:pt idx="509">
                        <c:v>0</c:v>
                      </c:pt>
                      <c:pt idx="510">
                        <c:v>0</c:v>
                      </c:pt>
                      <c:pt idx="511">
                        <c:v>0</c:v>
                      </c:pt>
                      <c:pt idx="512">
                        <c:v>0</c:v>
                      </c:pt>
                      <c:pt idx="513">
                        <c:v>0.0118901515151515</c:v>
                      </c:pt>
                      <c:pt idx="514">
                        <c:v>0.0199280303030303</c:v>
                      </c:pt>
                      <c:pt idx="515">
                        <c:v>0.0215075757575758</c:v>
                      </c:pt>
                      <c:pt idx="516">
                        <c:v>0.01175</c:v>
                      </c:pt>
                      <c:pt idx="517">
                        <c:v>0.0114583333333334</c:v>
                      </c:pt>
                      <c:pt idx="518">
                        <c:v>0.00889393939393941</c:v>
                      </c:pt>
                      <c:pt idx="519">
                        <c:v>0.0053219696969697</c:v>
                      </c:pt>
                      <c:pt idx="520">
                        <c:v>0</c:v>
                      </c:pt>
                      <c:pt idx="521">
                        <c:v>0</c:v>
                      </c:pt>
                      <c:pt idx="522">
                        <c:v>0</c:v>
                      </c:pt>
                      <c:pt idx="523">
                        <c:v>0</c:v>
                      </c:pt>
                      <c:pt idx="524">
                        <c:v>0</c:v>
                      </c:pt>
                      <c:pt idx="525">
                        <c:v>0</c:v>
                      </c:pt>
                      <c:pt idx="526">
                        <c:v>0</c:v>
                      </c:pt>
                      <c:pt idx="527">
                        <c:v>0</c:v>
                      </c:pt>
                      <c:pt idx="528">
                        <c:v>0</c:v>
                      </c:pt>
                      <c:pt idx="529">
                        <c:v>0.00533712121212122</c:v>
                      </c:pt>
                      <c:pt idx="530">
                        <c:v>0.00556439393939395</c:v>
                      </c:pt>
                      <c:pt idx="531">
                        <c:v>0.00742045454545456</c:v>
                      </c:pt>
                      <c:pt idx="532">
                        <c:v>0</c:v>
                      </c:pt>
                      <c:pt idx="533">
                        <c:v>0</c:v>
                      </c:pt>
                      <c:pt idx="534">
                        <c:v>0</c:v>
                      </c:pt>
                      <c:pt idx="535">
                        <c:v>0</c:v>
                      </c:pt>
                      <c:pt idx="536">
                        <c:v>0.0050909090909091</c:v>
                      </c:pt>
                      <c:pt idx="537">
                        <c:v>0</c:v>
                      </c:pt>
                      <c:pt idx="538">
                        <c:v>0</c:v>
                      </c:pt>
                      <c:pt idx="539">
                        <c:v>0</c:v>
                      </c:pt>
                      <c:pt idx="540">
                        <c:v>0</c:v>
                      </c:pt>
                      <c:pt idx="541">
                        <c:v>0</c:v>
                      </c:pt>
                      <c:pt idx="542">
                        <c:v>0</c:v>
                      </c:pt>
                      <c:pt idx="543">
                        <c:v>0.00221590909090909</c:v>
                      </c:pt>
                      <c:pt idx="544">
                        <c:v>0.0010189393939394</c:v>
                      </c:pt>
                      <c:pt idx="545">
                        <c:v>0.00788257575757577</c:v>
                      </c:pt>
                      <c:pt idx="546">
                        <c:v>0</c:v>
                      </c:pt>
                      <c:pt idx="547">
                        <c:v>0.0093787878787879</c:v>
                      </c:pt>
                      <c:pt idx="548">
                        <c:v>0</c:v>
                      </c:pt>
                      <c:pt idx="549">
                        <c:v>0.00540909090909092</c:v>
                      </c:pt>
                      <c:pt idx="550">
                        <c:v>0.00393939393939395</c:v>
                      </c:pt>
                      <c:pt idx="551">
                        <c:v>0.000545454545454546</c:v>
                      </c:pt>
                      <c:pt idx="552">
                        <c:v>0</c:v>
                      </c:pt>
                      <c:pt idx="553">
                        <c:v>0</c:v>
                      </c:pt>
                      <c:pt idx="554">
                        <c:v>0</c:v>
                      </c:pt>
                      <c:pt idx="555">
                        <c:v>0.0067689393939394</c:v>
                      </c:pt>
                      <c:pt idx="556">
                        <c:v>0.00827272727272728</c:v>
                      </c:pt>
                      <c:pt idx="557">
                        <c:v>0.0104848484848485</c:v>
                      </c:pt>
                      <c:pt idx="558">
                        <c:v>0.0106136363636364</c:v>
                      </c:pt>
                      <c:pt idx="559">
                        <c:v>0.0100454545454546</c:v>
                      </c:pt>
                      <c:pt idx="560">
                        <c:v>0.00934848484848486</c:v>
                      </c:pt>
                      <c:pt idx="561">
                        <c:v>0.0110909090909091</c:v>
                      </c:pt>
                      <c:pt idx="562">
                        <c:v>0.0064128787878788</c:v>
                      </c:pt>
                      <c:pt idx="563">
                        <c:v>0.00714772727272729</c:v>
                      </c:pt>
                      <c:pt idx="564">
                        <c:v>0</c:v>
                      </c:pt>
                      <c:pt idx="565">
                        <c:v>0</c:v>
                      </c:pt>
                      <c:pt idx="566">
                        <c:v>0</c:v>
                      </c:pt>
                      <c:pt idx="567">
                        <c:v>0</c:v>
                      </c:pt>
                      <c:pt idx="568">
                        <c:v>0</c:v>
                      </c:pt>
                      <c:pt idx="569">
                        <c:v>0</c:v>
                      </c:pt>
                      <c:pt idx="570">
                        <c:v>0.00395833333333334</c:v>
                      </c:pt>
                      <c:pt idx="571">
                        <c:v>0.00345454545454546</c:v>
                      </c:pt>
                      <c:pt idx="572">
                        <c:v>0.0043409090909091</c:v>
                      </c:pt>
                      <c:pt idx="573">
                        <c:v>0.00414772727272728</c:v>
                      </c:pt>
                      <c:pt idx="574">
                        <c:v>0.00570075757575758</c:v>
                      </c:pt>
                      <c:pt idx="575">
                        <c:v>0.00635227272727274</c:v>
                      </c:pt>
                      <c:pt idx="576">
                        <c:v>0.0127727272727273</c:v>
                      </c:pt>
                      <c:pt idx="577">
                        <c:v>0.00595454545454546</c:v>
                      </c:pt>
                      <c:pt idx="578">
                        <c:v>0.00840373244641539</c:v>
                      </c:pt>
                      <c:pt idx="579">
                        <c:v>0.00276136363636364</c:v>
                      </c:pt>
                      <c:pt idx="580">
                        <c:v>0.00504924242424244</c:v>
                      </c:pt>
                      <c:pt idx="581">
                        <c:v>0.00395833333333334</c:v>
                      </c:pt>
                      <c:pt idx="582">
                        <c:v>0.00458712121212122</c:v>
                      </c:pt>
                      <c:pt idx="583">
                        <c:v>0.00719318181818183</c:v>
                      </c:pt>
                      <c:pt idx="584">
                        <c:v>0.00718181818181819</c:v>
                      </c:pt>
                      <c:pt idx="585">
                        <c:v>0.0077159090909091</c:v>
                      </c:pt>
                      <c:pt idx="586">
                        <c:v>0.0076098484848485</c:v>
                      </c:pt>
                      <c:pt idx="587">
                        <c:v>0.0147878787878788</c:v>
                      </c:pt>
                      <c:pt idx="588">
                        <c:v>0.0170568181818182</c:v>
                      </c:pt>
                      <c:pt idx="589">
                        <c:v>0.0166098484848485</c:v>
                      </c:pt>
                      <c:pt idx="590">
                        <c:v>0</c:v>
                      </c:pt>
                      <c:pt idx="591">
                        <c:v>0</c:v>
                      </c:pt>
                      <c:pt idx="592">
                        <c:v>0</c:v>
                      </c:pt>
                      <c:pt idx="593">
                        <c:v>0</c:v>
                      </c:pt>
                      <c:pt idx="594">
                        <c:v>0.0043152356902357</c:v>
                      </c:pt>
                      <c:pt idx="595">
                        <c:v>0</c:v>
                      </c:pt>
                      <c:pt idx="596">
                        <c:v>0</c:v>
                      </c:pt>
                      <c:pt idx="597">
                        <c:v>0</c:v>
                      </c:pt>
                      <c:pt idx="598">
                        <c:v>0</c:v>
                      </c:pt>
                      <c:pt idx="599">
                        <c:v>0</c:v>
                      </c:pt>
                      <c:pt idx="600">
                        <c:v>0</c:v>
                      </c:pt>
                      <c:pt idx="601">
                        <c:v>0</c:v>
                      </c:pt>
                      <c:pt idx="602">
                        <c:v>0</c:v>
                      </c:pt>
                      <c:pt idx="603">
                        <c:v>0</c:v>
                      </c:pt>
                      <c:pt idx="604">
                        <c:v>0</c:v>
                      </c:pt>
                      <c:pt idx="605">
                        <c:v>0</c:v>
                      </c:pt>
                      <c:pt idx="606">
                        <c:v>0</c:v>
                      </c:pt>
                      <c:pt idx="607">
                        <c:v>0</c:v>
                      </c:pt>
                      <c:pt idx="608">
                        <c:v>0.00263257575757577</c:v>
                      </c:pt>
                      <c:pt idx="609">
                        <c:v>0.00514015151515153</c:v>
                      </c:pt>
                      <c:pt idx="610">
                        <c:v>0.00312500000000001</c:v>
                      </c:pt>
                      <c:pt idx="611">
                        <c:v>0.00123106060606061</c:v>
                      </c:pt>
                      <c:pt idx="612">
                        <c:v>0.00217803030303031</c:v>
                      </c:pt>
                      <c:pt idx="613">
                        <c:v>0.00187500000000001</c:v>
                      </c:pt>
                      <c:pt idx="614">
                        <c:v>0.00172348484848485</c:v>
                      </c:pt>
                      <c:pt idx="615">
                        <c:v>0.000303030303030304</c:v>
                      </c:pt>
                      <c:pt idx="616">
                        <c:v>0.000454545454545456</c:v>
                      </c:pt>
                      <c:pt idx="617">
                        <c:v>0.000606060606060608</c:v>
                      </c:pt>
                      <c:pt idx="618">
                        <c:v>0.00470454545454547</c:v>
                      </c:pt>
                      <c:pt idx="619">
                        <c:v>0.00182575757575758</c:v>
                      </c:pt>
                      <c:pt idx="620">
                        <c:v>0.00217803030303031</c:v>
                      </c:pt>
                      <c:pt idx="621">
                        <c:v>0.00248106060606061</c:v>
                      </c:pt>
                      <c:pt idx="622">
                        <c:v>0.00187500000000001</c:v>
                      </c:pt>
                      <c:pt idx="623">
                        <c:v>0.00278409090909092</c:v>
                      </c:pt>
                      <c:pt idx="624">
                        <c:v>0.00218939393939395</c:v>
                      </c:pt>
                      <c:pt idx="625">
                        <c:v>0.00869318181818185</c:v>
                      </c:pt>
                      <c:pt idx="626">
                        <c:v>0.00448863636363638</c:v>
                      </c:pt>
                      <c:pt idx="627">
                        <c:v>0.00714015151515154</c:v>
                      </c:pt>
                      <c:pt idx="628">
                        <c:v>0.00109553872053872</c:v>
                      </c:pt>
                      <c:pt idx="629">
                        <c:v>0.017344696969697</c:v>
                      </c:pt>
                      <c:pt idx="630">
                        <c:v>0.0135340909090909</c:v>
                      </c:pt>
                      <c:pt idx="631">
                        <c:v>0.0122954545454546</c:v>
                      </c:pt>
                      <c:pt idx="632">
                        <c:v>0.00900000000000001</c:v>
                      </c:pt>
                      <c:pt idx="633">
                        <c:v>0.0134962121212121</c:v>
                      </c:pt>
                      <c:pt idx="634">
                        <c:v>0.00835606060606063</c:v>
                      </c:pt>
                      <c:pt idx="635">
                        <c:v>0.0116590909090909</c:v>
                      </c:pt>
                      <c:pt idx="636">
                        <c:v>0.0169810606060606</c:v>
                      </c:pt>
                      <c:pt idx="637">
                        <c:v>0.00759848484848487</c:v>
                      </c:pt>
                      <c:pt idx="638">
                        <c:v>0.00341666666666667</c:v>
                      </c:pt>
                      <c:pt idx="639">
                        <c:v>0.00522727272727274</c:v>
                      </c:pt>
                      <c:pt idx="640">
                        <c:v>0.00960984848484851</c:v>
                      </c:pt>
                      <c:pt idx="641">
                        <c:v>0.0089507575757576</c:v>
                      </c:pt>
                      <c:pt idx="642">
                        <c:v>0.00686742424242426</c:v>
                      </c:pt>
                      <c:pt idx="643">
                        <c:v>0.00381944444444445</c:v>
                      </c:pt>
                      <c:pt idx="644">
                        <c:v>0.0109503367003367</c:v>
                      </c:pt>
                      <c:pt idx="645">
                        <c:v>0.0104705387205387</c:v>
                      </c:pt>
                      <c:pt idx="646">
                        <c:v>0.0270867003367004</c:v>
                      </c:pt>
                      <c:pt idx="647">
                        <c:v>0.0545925925925927</c:v>
                      </c:pt>
                      <c:pt idx="648">
                        <c:v>0.069598484848485</c:v>
                      </c:pt>
                      <c:pt idx="649">
                        <c:v>0.0296742424242425</c:v>
                      </c:pt>
                      <c:pt idx="650">
                        <c:v>0.0341578282828283</c:v>
                      </c:pt>
                      <c:pt idx="651">
                        <c:v>0.0343468013468014</c:v>
                      </c:pt>
                      <c:pt idx="652">
                        <c:v>0.0295820707070707</c:v>
                      </c:pt>
                      <c:pt idx="653">
                        <c:v>0.0217853535353536</c:v>
                      </c:pt>
                      <c:pt idx="654">
                        <c:v>0.0320580808080809</c:v>
                      </c:pt>
                      <c:pt idx="655">
                        <c:v>0.0331856060606061</c:v>
                      </c:pt>
                      <c:pt idx="656">
                        <c:v>0.0339015151515152</c:v>
                      </c:pt>
                      <c:pt idx="657">
                        <c:v>0.0311553030303031</c:v>
                      </c:pt>
                      <c:pt idx="658">
                        <c:v>0.0207878787878788</c:v>
                      </c:pt>
                      <c:pt idx="659">
                        <c:v>0.0249617003367004</c:v>
                      </c:pt>
                      <c:pt idx="660">
                        <c:v>0.0668307241318492</c:v>
                      </c:pt>
                      <c:pt idx="661">
                        <c:v>0.0390167018574305</c:v>
                      </c:pt>
                      <c:pt idx="662">
                        <c:v>0.0266949082663369</c:v>
                      </c:pt>
                      <c:pt idx="663">
                        <c:v>0.0517046041813485</c:v>
                      </c:pt>
                      <c:pt idx="664">
                        <c:v>0.0263110398139954</c:v>
                      </c:pt>
                      <c:pt idx="665">
                        <c:v>0.084434536375992</c:v>
                      </c:pt>
                      <c:pt idx="666">
                        <c:v>0.0628369159108928</c:v>
                      </c:pt>
                      <c:pt idx="667">
                        <c:v>0.0611698817489135</c:v>
                      </c:pt>
                      <c:pt idx="668">
                        <c:v>0.0424775630105175</c:v>
                      </c:pt>
                      <c:pt idx="669">
                        <c:v>0.0212689393939394</c:v>
                      </c:pt>
                      <c:pt idx="670">
                        <c:v>0</c:v>
                      </c:pt>
                      <c:pt idx="671">
                        <c:v>0</c:v>
                      </c:pt>
                      <c:pt idx="672">
                        <c:v>0</c:v>
                      </c:pt>
                      <c:pt idx="673">
                        <c:v>0</c:v>
                      </c:pt>
                      <c:pt idx="674">
                        <c:v>0</c:v>
                      </c:pt>
                      <c:pt idx="675">
                        <c:v>0</c:v>
                      </c:pt>
                      <c:pt idx="676">
                        <c:v>0</c:v>
                      </c:pt>
                      <c:pt idx="677">
                        <c:v>0</c:v>
                      </c:pt>
                      <c:pt idx="678">
                        <c:v>0</c:v>
                      </c:pt>
                      <c:pt idx="679">
                        <c:v>0</c:v>
                      </c:pt>
                      <c:pt idx="680">
                        <c:v>0</c:v>
                      </c:pt>
                      <c:pt idx="681">
                        <c:v>0</c:v>
                      </c:pt>
                      <c:pt idx="682">
                        <c:v>0</c:v>
                      </c:pt>
                    </c:numCache>
                  </c:numRef>
                </c:yVal>
                <c:smooth val="0"/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Sheet4!$E$1</c15:sqref>
                        </c15:formulaRef>
                      </c:ext>
                    </c:extLst>
                    <c:strCache>
                      <c:ptCount val="1"/>
                      <c:pt idx="0">
                        <c:v>身体状态</c:v>
                      </c:pt>
                    </c:strCache>
                  </c:strRef>
                </c:tx>
                <c:spPr>
                  <a:ln w="28575" cap="rnd" cmpd="sng">
                    <a:solidFill>
                      <a:srgbClr val="002060"/>
                    </a:solidFill>
                    <a:prstDash val="solid"/>
                    <a:round/>
                  </a:ln>
                  <a:effectLst/>
                  <a:sp3d contourW="28575"/>
                </c:spPr>
                <c:marker>
                  <c:symbol val="none"/>
                </c:marker>
                <c:dLbls>
                  <c:delete val="1"/>
                </c:dLbls>
                <c:trendline>
                  <c:spPr>
                    <a:ln w="28575" cap="rnd" cmpd="sng">
                      <a:solidFill>
                        <a:srgbClr val="00B0F0"/>
                      </a:solidFill>
                      <a:prstDash val="solid"/>
                    </a:ln>
                    <a:effectLst/>
                  </c:spPr>
                  <c:trendlineType val="movingAvg"/>
                  <c:period val="7"/>
                  <c:dispRSqr val="0"/>
                  <c:dispEq val="0"/>
                </c:trendline>
                <c:xVal>
                  <c:numRef>
                    <c:f>Sheet4!$A$2:$A$684</c:f>
                    <c:numCache>
                      <c:formatCode>m"月"d"日";@</c:formatCode>
                      <c:ptCount val="683"/>
                      <c:pt idx="0">
                        <c:v>45333</c:v>
                      </c:pt>
                      <c:pt idx="1">
                        <c:v>45334</c:v>
                      </c:pt>
                      <c:pt idx="2">
                        <c:v>45335</c:v>
                      </c:pt>
                      <c:pt idx="3">
                        <c:v>45336</c:v>
                      </c:pt>
                      <c:pt idx="4">
                        <c:v>45337</c:v>
                      </c:pt>
                      <c:pt idx="5">
                        <c:v>45338</c:v>
                      </c:pt>
                      <c:pt idx="6">
                        <c:v>45339</c:v>
                      </c:pt>
                      <c:pt idx="7">
                        <c:v>45340</c:v>
                      </c:pt>
                      <c:pt idx="8">
                        <c:v>45341</c:v>
                      </c:pt>
                      <c:pt idx="9">
                        <c:v>45342</c:v>
                      </c:pt>
                      <c:pt idx="10">
                        <c:v>45343</c:v>
                      </c:pt>
                      <c:pt idx="11">
                        <c:v>45344</c:v>
                      </c:pt>
                      <c:pt idx="12">
                        <c:v>45345</c:v>
                      </c:pt>
                      <c:pt idx="13">
                        <c:v>45346</c:v>
                      </c:pt>
                      <c:pt idx="14">
                        <c:v>45347</c:v>
                      </c:pt>
                      <c:pt idx="15">
                        <c:v>45348</c:v>
                      </c:pt>
                      <c:pt idx="16">
                        <c:v>45349</c:v>
                      </c:pt>
                      <c:pt idx="17">
                        <c:v>45350</c:v>
                      </c:pt>
                      <c:pt idx="18">
                        <c:v>45351</c:v>
                      </c:pt>
                      <c:pt idx="19">
                        <c:v>45352</c:v>
                      </c:pt>
                      <c:pt idx="20">
                        <c:v>45353</c:v>
                      </c:pt>
                      <c:pt idx="21">
                        <c:v>45354</c:v>
                      </c:pt>
                      <c:pt idx="22">
                        <c:v>45355</c:v>
                      </c:pt>
                      <c:pt idx="23">
                        <c:v>45356</c:v>
                      </c:pt>
                      <c:pt idx="24">
                        <c:v>45357</c:v>
                      </c:pt>
                      <c:pt idx="25">
                        <c:v>45358</c:v>
                      </c:pt>
                      <c:pt idx="26">
                        <c:v>45359</c:v>
                      </c:pt>
                      <c:pt idx="27">
                        <c:v>45360</c:v>
                      </c:pt>
                      <c:pt idx="28">
                        <c:v>45361</c:v>
                      </c:pt>
                      <c:pt idx="29">
                        <c:v>45362</c:v>
                      </c:pt>
                      <c:pt idx="30">
                        <c:v>45363</c:v>
                      </c:pt>
                      <c:pt idx="31">
                        <c:v>45364</c:v>
                      </c:pt>
                      <c:pt idx="32">
                        <c:v>45365</c:v>
                      </c:pt>
                      <c:pt idx="33">
                        <c:v>45366</c:v>
                      </c:pt>
                      <c:pt idx="34">
                        <c:v>45367</c:v>
                      </c:pt>
                      <c:pt idx="35">
                        <c:v>45368</c:v>
                      </c:pt>
                      <c:pt idx="36">
                        <c:v>45369</c:v>
                      </c:pt>
                      <c:pt idx="37">
                        <c:v>45370</c:v>
                      </c:pt>
                      <c:pt idx="38">
                        <c:v>45371</c:v>
                      </c:pt>
                      <c:pt idx="39">
                        <c:v>45372</c:v>
                      </c:pt>
                      <c:pt idx="40">
                        <c:v>45373</c:v>
                      </c:pt>
                      <c:pt idx="41">
                        <c:v>45374</c:v>
                      </c:pt>
                      <c:pt idx="42">
                        <c:v>45375</c:v>
                      </c:pt>
                      <c:pt idx="43">
                        <c:v>45376</c:v>
                      </c:pt>
                      <c:pt idx="44">
                        <c:v>45377</c:v>
                      </c:pt>
                      <c:pt idx="45">
                        <c:v>45378</c:v>
                      </c:pt>
                      <c:pt idx="46">
                        <c:v>45379</c:v>
                      </c:pt>
                      <c:pt idx="47">
                        <c:v>45380</c:v>
                      </c:pt>
                      <c:pt idx="48">
                        <c:v>45381</c:v>
                      </c:pt>
                      <c:pt idx="49">
                        <c:v>45382</c:v>
                      </c:pt>
                      <c:pt idx="50">
                        <c:v>45383</c:v>
                      </c:pt>
                      <c:pt idx="51">
                        <c:v>45384</c:v>
                      </c:pt>
                      <c:pt idx="52">
                        <c:v>45385</c:v>
                      </c:pt>
                      <c:pt idx="53">
                        <c:v>45386</c:v>
                      </c:pt>
                      <c:pt idx="54">
                        <c:v>45387</c:v>
                      </c:pt>
                      <c:pt idx="55">
                        <c:v>45388</c:v>
                      </c:pt>
                      <c:pt idx="56">
                        <c:v>45389</c:v>
                      </c:pt>
                      <c:pt idx="57">
                        <c:v>45390</c:v>
                      </c:pt>
                      <c:pt idx="58">
                        <c:v>45391</c:v>
                      </c:pt>
                      <c:pt idx="59">
                        <c:v>45392</c:v>
                      </c:pt>
                      <c:pt idx="60">
                        <c:v>45393</c:v>
                      </c:pt>
                      <c:pt idx="61">
                        <c:v>45394</c:v>
                      </c:pt>
                      <c:pt idx="62">
                        <c:v>45395</c:v>
                      </c:pt>
                      <c:pt idx="63">
                        <c:v>45396</c:v>
                      </c:pt>
                      <c:pt idx="64">
                        <c:v>45397</c:v>
                      </c:pt>
                      <c:pt idx="65">
                        <c:v>45398</c:v>
                      </c:pt>
                      <c:pt idx="66">
                        <c:v>45399</c:v>
                      </c:pt>
                      <c:pt idx="67">
                        <c:v>45400</c:v>
                      </c:pt>
                      <c:pt idx="68">
                        <c:v>45401</c:v>
                      </c:pt>
                      <c:pt idx="69">
                        <c:v>45402</c:v>
                      </c:pt>
                      <c:pt idx="70">
                        <c:v>45403</c:v>
                      </c:pt>
                      <c:pt idx="71">
                        <c:v>45404</c:v>
                      </c:pt>
                      <c:pt idx="72">
                        <c:v>45405</c:v>
                      </c:pt>
                      <c:pt idx="73">
                        <c:v>45406</c:v>
                      </c:pt>
                      <c:pt idx="74">
                        <c:v>45407</c:v>
                      </c:pt>
                      <c:pt idx="75">
                        <c:v>45408</c:v>
                      </c:pt>
                      <c:pt idx="76">
                        <c:v>45409</c:v>
                      </c:pt>
                      <c:pt idx="77">
                        <c:v>45410</c:v>
                      </c:pt>
                      <c:pt idx="78">
                        <c:v>45411</c:v>
                      </c:pt>
                      <c:pt idx="79">
                        <c:v>45412</c:v>
                      </c:pt>
                      <c:pt idx="80">
                        <c:v>45413</c:v>
                      </c:pt>
                      <c:pt idx="81">
                        <c:v>45414</c:v>
                      </c:pt>
                      <c:pt idx="82">
                        <c:v>45415</c:v>
                      </c:pt>
                      <c:pt idx="83">
                        <c:v>45416</c:v>
                      </c:pt>
                      <c:pt idx="84">
                        <c:v>45417</c:v>
                      </c:pt>
                      <c:pt idx="85">
                        <c:v>45418</c:v>
                      </c:pt>
                      <c:pt idx="86">
                        <c:v>45419</c:v>
                      </c:pt>
                      <c:pt idx="87">
                        <c:v>45420</c:v>
                      </c:pt>
                      <c:pt idx="88">
                        <c:v>45421</c:v>
                      </c:pt>
                      <c:pt idx="89">
                        <c:v>45422</c:v>
                      </c:pt>
                      <c:pt idx="90">
                        <c:v>45423</c:v>
                      </c:pt>
                      <c:pt idx="91">
                        <c:v>45424</c:v>
                      </c:pt>
                      <c:pt idx="92">
                        <c:v>45425</c:v>
                      </c:pt>
                      <c:pt idx="93">
                        <c:v>45426</c:v>
                      </c:pt>
                      <c:pt idx="94">
                        <c:v>45427</c:v>
                      </c:pt>
                      <c:pt idx="95">
                        <c:v>45428</c:v>
                      </c:pt>
                      <c:pt idx="96">
                        <c:v>45429</c:v>
                      </c:pt>
                      <c:pt idx="97">
                        <c:v>45430</c:v>
                      </c:pt>
                      <c:pt idx="98">
                        <c:v>45431</c:v>
                      </c:pt>
                      <c:pt idx="99">
                        <c:v>45432</c:v>
                      </c:pt>
                      <c:pt idx="100">
                        <c:v>45433</c:v>
                      </c:pt>
                      <c:pt idx="101">
                        <c:v>45434</c:v>
                      </c:pt>
                      <c:pt idx="102">
                        <c:v>45435</c:v>
                      </c:pt>
                      <c:pt idx="103">
                        <c:v>45436</c:v>
                      </c:pt>
                      <c:pt idx="104">
                        <c:v>45437</c:v>
                      </c:pt>
                      <c:pt idx="105">
                        <c:v>45438</c:v>
                      </c:pt>
                      <c:pt idx="106">
                        <c:v>45439</c:v>
                      </c:pt>
                      <c:pt idx="107">
                        <c:v>45440</c:v>
                      </c:pt>
                      <c:pt idx="108">
                        <c:v>45441</c:v>
                      </c:pt>
                      <c:pt idx="109">
                        <c:v>45442</c:v>
                      </c:pt>
                      <c:pt idx="110">
                        <c:v>45443</c:v>
                      </c:pt>
                      <c:pt idx="111">
                        <c:v>45444</c:v>
                      </c:pt>
                      <c:pt idx="112">
                        <c:v>45445</c:v>
                      </c:pt>
                      <c:pt idx="113">
                        <c:v>45446</c:v>
                      </c:pt>
                      <c:pt idx="114">
                        <c:v>45447</c:v>
                      </c:pt>
                      <c:pt idx="115">
                        <c:v>45448</c:v>
                      </c:pt>
                      <c:pt idx="116">
                        <c:v>45449</c:v>
                      </c:pt>
                      <c:pt idx="117">
                        <c:v>45450</c:v>
                      </c:pt>
                      <c:pt idx="118">
                        <c:v>45451</c:v>
                      </c:pt>
                      <c:pt idx="119">
                        <c:v>45452</c:v>
                      </c:pt>
                      <c:pt idx="120">
                        <c:v>45453</c:v>
                      </c:pt>
                      <c:pt idx="121">
                        <c:v>45454</c:v>
                      </c:pt>
                      <c:pt idx="122">
                        <c:v>45455</c:v>
                      </c:pt>
                      <c:pt idx="123">
                        <c:v>45456</c:v>
                      </c:pt>
                      <c:pt idx="124">
                        <c:v>45457</c:v>
                      </c:pt>
                      <c:pt idx="125">
                        <c:v>45458</c:v>
                      </c:pt>
                      <c:pt idx="126">
                        <c:v>45459</c:v>
                      </c:pt>
                      <c:pt idx="127">
                        <c:v>45460</c:v>
                      </c:pt>
                      <c:pt idx="128">
                        <c:v>45461</c:v>
                      </c:pt>
                      <c:pt idx="129">
                        <c:v>45462</c:v>
                      </c:pt>
                      <c:pt idx="130">
                        <c:v>45463</c:v>
                      </c:pt>
                      <c:pt idx="131">
                        <c:v>45464</c:v>
                      </c:pt>
                      <c:pt idx="132">
                        <c:v>45465</c:v>
                      </c:pt>
                      <c:pt idx="133">
                        <c:v>45466</c:v>
                      </c:pt>
                      <c:pt idx="134">
                        <c:v>45467</c:v>
                      </c:pt>
                      <c:pt idx="135">
                        <c:v>45468</c:v>
                      </c:pt>
                      <c:pt idx="136">
                        <c:v>45469</c:v>
                      </c:pt>
                      <c:pt idx="137">
                        <c:v>45470</c:v>
                      </c:pt>
                      <c:pt idx="138">
                        <c:v>45471</c:v>
                      </c:pt>
                      <c:pt idx="139">
                        <c:v>45472</c:v>
                      </c:pt>
                      <c:pt idx="140">
                        <c:v>45473</c:v>
                      </c:pt>
                      <c:pt idx="141">
                        <c:v>45474</c:v>
                      </c:pt>
                      <c:pt idx="142">
                        <c:v>45475</c:v>
                      </c:pt>
                      <c:pt idx="143">
                        <c:v>45476</c:v>
                      </c:pt>
                      <c:pt idx="144">
                        <c:v>45477</c:v>
                      </c:pt>
                      <c:pt idx="145">
                        <c:v>45478</c:v>
                      </c:pt>
                      <c:pt idx="146">
                        <c:v>45479</c:v>
                      </c:pt>
                      <c:pt idx="147">
                        <c:v>45480</c:v>
                      </c:pt>
                      <c:pt idx="148">
                        <c:v>45481</c:v>
                      </c:pt>
                      <c:pt idx="149">
                        <c:v>45482</c:v>
                      </c:pt>
                      <c:pt idx="150">
                        <c:v>45483</c:v>
                      </c:pt>
                      <c:pt idx="151">
                        <c:v>45484</c:v>
                      </c:pt>
                      <c:pt idx="152">
                        <c:v>45485</c:v>
                      </c:pt>
                      <c:pt idx="153">
                        <c:v>45486</c:v>
                      </c:pt>
                      <c:pt idx="154">
                        <c:v>45487</c:v>
                      </c:pt>
                      <c:pt idx="155">
                        <c:v>45488</c:v>
                      </c:pt>
                      <c:pt idx="156">
                        <c:v>45489</c:v>
                      </c:pt>
                      <c:pt idx="157">
                        <c:v>45490</c:v>
                      </c:pt>
                      <c:pt idx="158">
                        <c:v>45491</c:v>
                      </c:pt>
                      <c:pt idx="159">
                        <c:v>45492</c:v>
                      </c:pt>
                      <c:pt idx="160">
                        <c:v>45493</c:v>
                      </c:pt>
                      <c:pt idx="161">
                        <c:v>45494</c:v>
                      </c:pt>
                      <c:pt idx="162">
                        <c:v>45495</c:v>
                      </c:pt>
                      <c:pt idx="163">
                        <c:v>45496</c:v>
                      </c:pt>
                      <c:pt idx="164">
                        <c:v>45497</c:v>
                      </c:pt>
                      <c:pt idx="165">
                        <c:v>45498</c:v>
                      </c:pt>
                      <c:pt idx="166">
                        <c:v>45499</c:v>
                      </c:pt>
                      <c:pt idx="167">
                        <c:v>45500</c:v>
                      </c:pt>
                      <c:pt idx="168">
                        <c:v>45501</c:v>
                      </c:pt>
                      <c:pt idx="169">
                        <c:v>45502</c:v>
                      </c:pt>
                      <c:pt idx="170">
                        <c:v>45503</c:v>
                      </c:pt>
                      <c:pt idx="171">
                        <c:v>45504</c:v>
                      </c:pt>
                      <c:pt idx="172">
                        <c:v>45505</c:v>
                      </c:pt>
                      <c:pt idx="173">
                        <c:v>45506</c:v>
                      </c:pt>
                      <c:pt idx="174">
                        <c:v>45507</c:v>
                      </c:pt>
                      <c:pt idx="175">
                        <c:v>45508</c:v>
                      </c:pt>
                      <c:pt idx="176">
                        <c:v>45509</c:v>
                      </c:pt>
                      <c:pt idx="177">
                        <c:v>45510</c:v>
                      </c:pt>
                      <c:pt idx="178">
                        <c:v>45511</c:v>
                      </c:pt>
                      <c:pt idx="179">
                        <c:v>45512</c:v>
                      </c:pt>
                      <c:pt idx="180">
                        <c:v>45513</c:v>
                      </c:pt>
                      <c:pt idx="181">
                        <c:v>45514</c:v>
                      </c:pt>
                      <c:pt idx="182">
                        <c:v>45515</c:v>
                      </c:pt>
                      <c:pt idx="183">
                        <c:v>45516</c:v>
                      </c:pt>
                      <c:pt idx="184">
                        <c:v>45517</c:v>
                      </c:pt>
                      <c:pt idx="185">
                        <c:v>45518</c:v>
                      </c:pt>
                      <c:pt idx="186">
                        <c:v>45519</c:v>
                      </c:pt>
                      <c:pt idx="187">
                        <c:v>45520</c:v>
                      </c:pt>
                      <c:pt idx="188">
                        <c:v>45521</c:v>
                      </c:pt>
                      <c:pt idx="189">
                        <c:v>45522</c:v>
                      </c:pt>
                      <c:pt idx="190">
                        <c:v>45523</c:v>
                      </c:pt>
                      <c:pt idx="191">
                        <c:v>45524</c:v>
                      </c:pt>
                      <c:pt idx="192">
                        <c:v>45525</c:v>
                      </c:pt>
                      <c:pt idx="193">
                        <c:v>45526</c:v>
                      </c:pt>
                      <c:pt idx="194">
                        <c:v>45527</c:v>
                      </c:pt>
                      <c:pt idx="195">
                        <c:v>45528</c:v>
                      </c:pt>
                      <c:pt idx="196">
                        <c:v>45529</c:v>
                      </c:pt>
                      <c:pt idx="197">
                        <c:v>45530</c:v>
                      </c:pt>
                      <c:pt idx="198">
                        <c:v>45531</c:v>
                      </c:pt>
                      <c:pt idx="199">
                        <c:v>45532</c:v>
                      </c:pt>
                      <c:pt idx="200">
                        <c:v>45533</c:v>
                      </c:pt>
                      <c:pt idx="201">
                        <c:v>45534</c:v>
                      </c:pt>
                      <c:pt idx="202">
                        <c:v>45535</c:v>
                      </c:pt>
                      <c:pt idx="203">
                        <c:v>45536</c:v>
                      </c:pt>
                      <c:pt idx="204">
                        <c:v>45537</c:v>
                      </c:pt>
                      <c:pt idx="205">
                        <c:v>45538</c:v>
                      </c:pt>
                      <c:pt idx="206">
                        <c:v>45539</c:v>
                      </c:pt>
                      <c:pt idx="207">
                        <c:v>45540</c:v>
                      </c:pt>
                      <c:pt idx="208">
                        <c:v>45541</c:v>
                      </c:pt>
                      <c:pt idx="209">
                        <c:v>45542</c:v>
                      </c:pt>
                      <c:pt idx="210">
                        <c:v>45543</c:v>
                      </c:pt>
                      <c:pt idx="211">
                        <c:v>45544</c:v>
                      </c:pt>
                      <c:pt idx="212">
                        <c:v>45545</c:v>
                      </c:pt>
                      <c:pt idx="213">
                        <c:v>45546</c:v>
                      </c:pt>
                      <c:pt idx="214">
                        <c:v>45547</c:v>
                      </c:pt>
                      <c:pt idx="215">
                        <c:v>45548</c:v>
                      </c:pt>
                      <c:pt idx="216">
                        <c:v>45549</c:v>
                      </c:pt>
                      <c:pt idx="217">
                        <c:v>45550</c:v>
                      </c:pt>
                      <c:pt idx="218">
                        <c:v>45551</c:v>
                      </c:pt>
                      <c:pt idx="219">
                        <c:v>45552</c:v>
                      </c:pt>
                      <c:pt idx="220">
                        <c:v>45553</c:v>
                      </c:pt>
                      <c:pt idx="221">
                        <c:v>45554</c:v>
                      </c:pt>
                      <c:pt idx="222">
                        <c:v>45555</c:v>
                      </c:pt>
                      <c:pt idx="223">
                        <c:v>45556</c:v>
                      </c:pt>
                      <c:pt idx="224">
                        <c:v>45557</c:v>
                      </c:pt>
                      <c:pt idx="225">
                        <c:v>45558</c:v>
                      </c:pt>
                      <c:pt idx="226">
                        <c:v>45559</c:v>
                      </c:pt>
                      <c:pt idx="227">
                        <c:v>45560</c:v>
                      </c:pt>
                      <c:pt idx="228">
                        <c:v>45561</c:v>
                      </c:pt>
                      <c:pt idx="229">
                        <c:v>45562</c:v>
                      </c:pt>
                      <c:pt idx="230">
                        <c:v>45563</c:v>
                      </c:pt>
                      <c:pt idx="231">
                        <c:v>45564</c:v>
                      </c:pt>
                      <c:pt idx="232">
                        <c:v>45565</c:v>
                      </c:pt>
                      <c:pt idx="233">
                        <c:v>45566</c:v>
                      </c:pt>
                      <c:pt idx="234">
                        <c:v>45567</c:v>
                      </c:pt>
                      <c:pt idx="235">
                        <c:v>45568</c:v>
                      </c:pt>
                      <c:pt idx="236">
                        <c:v>45569</c:v>
                      </c:pt>
                      <c:pt idx="237">
                        <c:v>45570</c:v>
                      </c:pt>
                      <c:pt idx="238">
                        <c:v>45571</c:v>
                      </c:pt>
                      <c:pt idx="239">
                        <c:v>45572</c:v>
                      </c:pt>
                      <c:pt idx="240">
                        <c:v>45573</c:v>
                      </c:pt>
                      <c:pt idx="241">
                        <c:v>45574</c:v>
                      </c:pt>
                      <c:pt idx="242">
                        <c:v>45575</c:v>
                      </c:pt>
                      <c:pt idx="243">
                        <c:v>45576</c:v>
                      </c:pt>
                      <c:pt idx="244">
                        <c:v>45577</c:v>
                      </c:pt>
                      <c:pt idx="245">
                        <c:v>45578</c:v>
                      </c:pt>
                      <c:pt idx="246">
                        <c:v>45579</c:v>
                      </c:pt>
                      <c:pt idx="247">
                        <c:v>45580</c:v>
                      </c:pt>
                      <c:pt idx="248">
                        <c:v>45581</c:v>
                      </c:pt>
                      <c:pt idx="249">
                        <c:v>45582</c:v>
                      </c:pt>
                      <c:pt idx="250">
                        <c:v>45583</c:v>
                      </c:pt>
                      <c:pt idx="251">
                        <c:v>45584</c:v>
                      </c:pt>
                      <c:pt idx="252">
                        <c:v>45585</c:v>
                      </c:pt>
                      <c:pt idx="253">
                        <c:v>45586</c:v>
                      </c:pt>
                      <c:pt idx="254">
                        <c:v>45587</c:v>
                      </c:pt>
                      <c:pt idx="255">
                        <c:v>45588</c:v>
                      </c:pt>
                      <c:pt idx="256">
                        <c:v>45589</c:v>
                      </c:pt>
                      <c:pt idx="257">
                        <c:v>45590</c:v>
                      </c:pt>
                      <c:pt idx="258">
                        <c:v>45591</c:v>
                      </c:pt>
                      <c:pt idx="259">
                        <c:v>45592</c:v>
                      </c:pt>
                      <c:pt idx="260">
                        <c:v>45593</c:v>
                      </c:pt>
                      <c:pt idx="261">
                        <c:v>45594</c:v>
                      </c:pt>
                      <c:pt idx="262">
                        <c:v>45595</c:v>
                      </c:pt>
                      <c:pt idx="263">
                        <c:v>45596</c:v>
                      </c:pt>
                      <c:pt idx="264">
                        <c:v>45597</c:v>
                      </c:pt>
                      <c:pt idx="265">
                        <c:v>45598</c:v>
                      </c:pt>
                      <c:pt idx="266">
                        <c:v>45599</c:v>
                      </c:pt>
                      <c:pt idx="267">
                        <c:v>45600</c:v>
                      </c:pt>
                      <c:pt idx="268">
                        <c:v>45601</c:v>
                      </c:pt>
                      <c:pt idx="269">
                        <c:v>45602</c:v>
                      </c:pt>
                      <c:pt idx="270">
                        <c:v>45603</c:v>
                      </c:pt>
                      <c:pt idx="271">
                        <c:v>45604</c:v>
                      </c:pt>
                      <c:pt idx="272">
                        <c:v>45605</c:v>
                      </c:pt>
                      <c:pt idx="273">
                        <c:v>45606</c:v>
                      </c:pt>
                      <c:pt idx="274">
                        <c:v>45607</c:v>
                      </c:pt>
                      <c:pt idx="275">
                        <c:v>45608</c:v>
                      </c:pt>
                      <c:pt idx="276">
                        <c:v>45609</c:v>
                      </c:pt>
                      <c:pt idx="277">
                        <c:v>45610</c:v>
                      </c:pt>
                      <c:pt idx="278">
                        <c:v>45611</c:v>
                      </c:pt>
                      <c:pt idx="279">
                        <c:v>45612</c:v>
                      </c:pt>
                      <c:pt idx="280">
                        <c:v>45613</c:v>
                      </c:pt>
                      <c:pt idx="281">
                        <c:v>45614</c:v>
                      </c:pt>
                      <c:pt idx="282">
                        <c:v>45615</c:v>
                      </c:pt>
                      <c:pt idx="283">
                        <c:v>45616</c:v>
                      </c:pt>
                      <c:pt idx="284">
                        <c:v>45617</c:v>
                      </c:pt>
                      <c:pt idx="285">
                        <c:v>45618</c:v>
                      </c:pt>
                      <c:pt idx="286">
                        <c:v>45619</c:v>
                      </c:pt>
                      <c:pt idx="287">
                        <c:v>45620</c:v>
                      </c:pt>
                      <c:pt idx="288">
                        <c:v>45621</c:v>
                      </c:pt>
                      <c:pt idx="289">
                        <c:v>45622</c:v>
                      </c:pt>
                      <c:pt idx="290">
                        <c:v>45623</c:v>
                      </c:pt>
                      <c:pt idx="291">
                        <c:v>45624</c:v>
                      </c:pt>
                      <c:pt idx="292">
                        <c:v>45625</c:v>
                      </c:pt>
                      <c:pt idx="293">
                        <c:v>45626</c:v>
                      </c:pt>
                      <c:pt idx="294">
                        <c:v>45627</c:v>
                      </c:pt>
                      <c:pt idx="295">
                        <c:v>45628</c:v>
                      </c:pt>
                      <c:pt idx="296">
                        <c:v>45629</c:v>
                      </c:pt>
                      <c:pt idx="297">
                        <c:v>45630</c:v>
                      </c:pt>
                      <c:pt idx="298">
                        <c:v>45631</c:v>
                      </c:pt>
                      <c:pt idx="299">
                        <c:v>45632</c:v>
                      </c:pt>
                      <c:pt idx="300">
                        <c:v>45633</c:v>
                      </c:pt>
                      <c:pt idx="301">
                        <c:v>45634</c:v>
                      </c:pt>
                      <c:pt idx="302">
                        <c:v>45635</c:v>
                      </c:pt>
                      <c:pt idx="303">
                        <c:v>45636</c:v>
                      </c:pt>
                      <c:pt idx="304">
                        <c:v>45637</c:v>
                      </c:pt>
                      <c:pt idx="305">
                        <c:v>45638</c:v>
                      </c:pt>
                      <c:pt idx="306">
                        <c:v>45639</c:v>
                      </c:pt>
                      <c:pt idx="307">
                        <c:v>45640</c:v>
                      </c:pt>
                      <c:pt idx="308">
                        <c:v>45641</c:v>
                      </c:pt>
                      <c:pt idx="309">
                        <c:v>45642</c:v>
                      </c:pt>
                      <c:pt idx="310">
                        <c:v>45643</c:v>
                      </c:pt>
                      <c:pt idx="311">
                        <c:v>45644</c:v>
                      </c:pt>
                      <c:pt idx="312">
                        <c:v>45645</c:v>
                      </c:pt>
                      <c:pt idx="313">
                        <c:v>45646</c:v>
                      </c:pt>
                      <c:pt idx="314">
                        <c:v>45647</c:v>
                      </c:pt>
                      <c:pt idx="315">
                        <c:v>45648</c:v>
                      </c:pt>
                      <c:pt idx="316">
                        <c:v>45649</c:v>
                      </c:pt>
                      <c:pt idx="317">
                        <c:v>45650</c:v>
                      </c:pt>
                      <c:pt idx="318">
                        <c:v>45651</c:v>
                      </c:pt>
                      <c:pt idx="319">
                        <c:v>45652</c:v>
                      </c:pt>
                      <c:pt idx="320">
                        <c:v>45653</c:v>
                      </c:pt>
                      <c:pt idx="321">
                        <c:v>45654</c:v>
                      </c:pt>
                      <c:pt idx="322">
                        <c:v>45655</c:v>
                      </c:pt>
                      <c:pt idx="323">
                        <c:v>45656</c:v>
                      </c:pt>
                      <c:pt idx="324">
                        <c:v>45657</c:v>
                      </c:pt>
                      <c:pt idx="325">
                        <c:v>45658</c:v>
                      </c:pt>
                      <c:pt idx="326">
                        <c:v>45659</c:v>
                      </c:pt>
                      <c:pt idx="327">
                        <c:v>45660</c:v>
                      </c:pt>
                      <c:pt idx="328">
                        <c:v>45661</c:v>
                      </c:pt>
                      <c:pt idx="329">
                        <c:v>45662</c:v>
                      </c:pt>
                      <c:pt idx="330">
                        <c:v>45663</c:v>
                      </c:pt>
                      <c:pt idx="331">
                        <c:v>45664</c:v>
                      </c:pt>
                      <c:pt idx="332">
                        <c:v>45665</c:v>
                      </c:pt>
                      <c:pt idx="333">
                        <c:v>45666</c:v>
                      </c:pt>
                      <c:pt idx="334">
                        <c:v>45667</c:v>
                      </c:pt>
                      <c:pt idx="335">
                        <c:v>45668</c:v>
                      </c:pt>
                      <c:pt idx="336">
                        <c:v>45669</c:v>
                      </c:pt>
                      <c:pt idx="337">
                        <c:v>45670</c:v>
                      </c:pt>
                      <c:pt idx="338">
                        <c:v>45671</c:v>
                      </c:pt>
                      <c:pt idx="339">
                        <c:v>45672</c:v>
                      </c:pt>
                      <c:pt idx="340">
                        <c:v>45673</c:v>
                      </c:pt>
                      <c:pt idx="341">
                        <c:v>45674</c:v>
                      </c:pt>
                      <c:pt idx="342">
                        <c:v>45675</c:v>
                      </c:pt>
                      <c:pt idx="343">
                        <c:v>45676</c:v>
                      </c:pt>
                      <c:pt idx="344">
                        <c:v>45677</c:v>
                      </c:pt>
                      <c:pt idx="345">
                        <c:v>45678</c:v>
                      </c:pt>
                      <c:pt idx="346">
                        <c:v>45679</c:v>
                      </c:pt>
                      <c:pt idx="347">
                        <c:v>45680</c:v>
                      </c:pt>
                      <c:pt idx="348">
                        <c:v>45681</c:v>
                      </c:pt>
                      <c:pt idx="349">
                        <c:v>45682</c:v>
                      </c:pt>
                      <c:pt idx="350">
                        <c:v>45683</c:v>
                      </c:pt>
                      <c:pt idx="351">
                        <c:v>45684</c:v>
                      </c:pt>
                      <c:pt idx="352">
                        <c:v>45685</c:v>
                      </c:pt>
                      <c:pt idx="353">
                        <c:v>45686</c:v>
                      </c:pt>
                      <c:pt idx="354">
                        <c:v>45687</c:v>
                      </c:pt>
                      <c:pt idx="355">
                        <c:v>45688</c:v>
                      </c:pt>
                      <c:pt idx="356">
                        <c:v>45689</c:v>
                      </c:pt>
                      <c:pt idx="357">
                        <c:v>45690</c:v>
                      </c:pt>
                      <c:pt idx="358">
                        <c:v>45691</c:v>
                      </c:pt>
                      <c:pt idx="359">
                        <c:v>45692</c:v>
                      </c:pt>
                      <c:pt idx="360">
                        <c:v>45693</c:v>
                      </c:pt>
                      <c:pt idx="361">
                        <c:v>45694</c:v>
                      </c:pt>
                      <c:pt idx="362">
                        <c:v>45695</c:v>
                      </c:pt>
                      <c:pt idx="363">
                        <c:v>45696</c:v>
                      </c:pt>
                      <c:pt idx="364">
                        <c:v>45697</c:v>
                      </c:pt>
                      <c:pt idx="365">
                        <c:v>45698</c:v>
                      </c:pt>
                      <c:pt idx="366">
                        <c:v>45699</c:v>
                      </c:pt>
                      <c:pt idx="367">
                        <c:v>45700</c:v>
                      </c:pt>
                      <c:pt idx="368">
                        <c:v>45701</c:v>
                      </c:pt>
                      <c:pt idx="369">
                        <c:v>45702</c:v>
                      </c:pt>
                      <c:pt idx="370">
                        <c:v>45703</c:v>
                      </c:pt>
                      <c:pt idx="371">
                        <c:v>45704</c:v>
                      </c:pt>
                      <c:pt idx="372">
                        <c:v>45705</c:v>
                      </c:pt>
                      <c:pt idx="373">
                        <c:v>45706</c:v>
                      </c:pt>
                      <c:pt idx="374">
                        <c:v>45707</c:v>
                      </c:pt>
                      <c:pt idx="375">
                        <c:v>45708</c:v>
                      </c:pt>
                      <c:pt idx="376">
                        <c:v>45709</c:v>
                      </c:pt>
                      <c:pt idx="377">
                        <c:v>45710</c:v>
                      </c:pt>
                      <c:pt idx="378">
                        <c:v>45711</c:v>
                      </c:pt>
                      <c:pt idx="379">
                        <c:v>45712</c:v>
                      </c:pt>
                      <c:pt idx="380">
                        <c:v>45713</c:v>
                      </c:pt>
                      <c:pt idx="381">
                        <c:v>45714</c:v>
                      </c:pt>
                      <c:pt idx="382">
                        <c:v>45715</c:v>
                      </c:pt>
                      <c:pt idx="383">
                        <c:v>45716</c:v>
                      </c:pt>
                      <c:pt idx="384">
                        <c:v>45717</c:v>
                      </c:pt>
                      <c:pt idx="385">
                        <c:v>45718</c:v>
                      </c:pt>
                      <c:pt idx="386">
                        <c:v>45719</c:v>
                      </c:pt>
                      <c:pt idx="387">
                        <c:v>45720</c:v>
                      </c:pt>
                      <c:pt idx="388">
                        <c:v>45721</c:v>
                      </c:pt>
                      <c:pt idx="389">
                        <c:v>45722</c:v>
                      </c:pt>
                      <c:pt idx="390">
                        <c:v>45723</c:v>
                      </c:pt>
                      <c:pt idx="391">
                        <c:v>45724</c:v>
                      </c:pt>
                      <c:pt idx="392">
                        <c:v>45725</c:v>
                      </c:pt>
                      <c:pt idx="393">
                        <c:v>45726</c:v>
                      </c:pt>
                      <c:pt idx="394">
                        <c:v>45727</c:v>
                      </c:pt>
                      <c:pt idx="395">
                        <c:v>45728</c:v>
                      </c:pt>
                      <c:pt idx="396">
                        <c:v>45729</c:v>
                      </c:pt>
                      <c:pt idx="397">
                        <c:v>45730</c:v>
                      </c:pt>
                      <c:pt idx="398">
                        <c:v>45731</c:v>
                      </c:pt>
                      <c:pt idx="399">
                        <c:v>45732</c:v>
                      </c:pt>
                      <c:pt idx="400">
                        <c:v>45733</c:v>
                      </c:pt>
                      <c:pt idx="401">
                        <c:v>45734</c:v>
                      </c:pt>
                      <c:pt idx="402">
                        <c:v>45735</c:v>
                      </c:pt>
                      <c:pt idx="403">
                        <c:v>45736</c:v>
                      </c:pt>
                      <c:pt idx="404">
                        <c:v>45737</c:v>
                      </c:pt>
                      <c:pt idx="405">
                        <c:v>45738</c:v>
                      </c:pt>
                      <c:pt idx="406">
                        <c:v>45739</c:v>
                      </c:pt>
                      <c:pt idx="407">
                        <c:v>45740</c:v>
                      </c:pt>
                      <c:pt idx="408">
                        <c:v>45741</c:v>
                      </c:pt>
                      <c:pt idx="409">
                        <c:v>45742</c:v>
                      </c:pt>
                      <c:pt idx="410">
                        <c:v>45743</c:v>
                      </c:pt>
                      <c:pt idx="411">
                        <c:v>45744</c:v>
                      </c:pt>
                      <c:pt idx="412">
                        <c:v>45745</c:v>
                      </c:pt>
                      <c:pt idx="413">
                        <c:v>45746</c:v>
                      </c:pt>
                      <c:pt idx="414">
                        <c:v>45747</c:v>
                      </c:pt>
                      <c:pt idx="415">
                        <c:v>45748</c:v>
                      </c:pt>
                      <c:pt idx="416">
                        <c:v>45749</c:v>
                      </c:pt>
                      <c:pt idx="417">
                        <c:v>45750</c:v>
                      </c:pt>
                      <c:pt idx="418">
                        <c:v>45751</c:v>
                      </c:pt>
                      <c:pt idx="419">
                        <c:v>45752</c:v>
                      </c:pt>
                      <c:pt idx="420">
                        <c:v>45753</c:v>
                      </c:pt>
                      <c:pt idx="421">
                        <c:v>45754</c:v>
                      </c:pt>
                      <c:pt idx="422">
                        <c:v>45755</c:v>
                      </c:pt>
                      <c:pt idx="423">
                        <c:v>45756</c:v>
                      </c:pt>
                      <c:pt idx="424">
                        <c:v>45757</c:v>
                      </c:pt>
                      <c:pt idx="425">
                        <c:v>45758</c:v>
                      </c:pt>
                      <c:pt idx="426">
                        <c:v>45759</c:v>
                      </c:pt>
                      <c:pt idx="427">
                        <c:v>45760</c:v>
                      </c:pt>
                      <c:pt idx="428">
                        <c:v>45761</c:v>
                      </c:pt>
                      <c:pt idx="429">
                        <c:v>45762</c:v>
                      </c:pt>
                      <c:pt idx="430">
                        <c:v>45763</c:v>
                      </c:pt>
                      <c:pt idx="431">
                        <c:v>45764</c:v>
                      </c:pt>
                      <c:pt idx="432">
                        <c:v>45765</c:v>
                      </c:pt>
                      <c:pt idx="433">
                        <c:v>45766</c:v>
                      </c:pt>
                      <c:pt idx="434">
                        <c:v>45767</c:v>
                      </c:pt>
                      <c:pt idx="435">
                        <c:v>45768</c:v>
                      </c:pt>
                      <c:pt idx="436">
                        <c:v>45769</c:v>
                      </c:pt>
                      <c:pt idx="437">
                        <c:v>45770</c:v>
                      </c:pt>
                      <c:pt idx="438">
                        <c:v>45771</c:v>
                      </c:pt>
                      <c:pt idx="439">
                        <c:v>45772</c:v>
                      </c:pt>
                      <c:pt idx="440">
                        <c:v>45773</c:v>
                      </c:pt>
                      <c:pt idx="441">
                        <c:v>45774</c:v>
                      </c:pt>
                      <c:pt idx="442">
                        <c:v>45775</c:v>
                      </c:pt>
                      <c:pt idx="443">
                        <c:v>45776</c:v>
                      </c:pt>
                      <c:pt idx="444">
                        <c:v>45777</c:v>
                      </c:pt>
                      <c:pt idx="445">
                        <c:v>45778</c:v>
                      </c:pt>
                      <c:pt idx="446">
                        <c:v>45779</c:v>
                      </c:pt>
                      <c:pt idx="447">
                        <c:v>45780</c:v>
                      </c:pt>
                      <c:pt idx="448">
                        <c:v>45781</c:v>
                      </c:pt>
                      <c:pt idx="449">
                        <c:v>45782</c:v>
                      </c:pt>
                      <c:pt idx="450">
                        <c:v>45783</c:v>
                      </c:pt>
                      <c:pt idx="451">
                        <c:v>45784</c:v>
                      </c:pt>
                      <c:pt idx="452">
                        <c:v>45785</c:v>
                      </c:pt>
                      <c:pt idx="453">
                        <c:v>45786</c:v>
                      </c:pt>
                      <c:pt idx="454">
                        <c:v>45787</c:v>
                      </c:pt>
                      <c:pt idx="455">
                        <c:v>45788</c:v>
                      </c:pt>
                      <c:pt idx="456">
                        <c:v>45789</c:v>
                      </c:pt>
                      <c:pt idx="457">
                        <c:v>45790</c:v>
                      </c:pt>
                      <c:pt idx="458">
                        <c:v>45791</c:v>
                      </c:pt>
                      <c:pt idx="459">
                        <c:v>45792</c:v>
                      </c:pt>
                      <c:pt idx="460">
                        <c:v>45793</c:v>
                      </c:pt>
                      <c:pt idx="461">
                        <c:v>45794</c:v>
                      </c:pt>
                      <c:pt idx="462">
                        <c:v>45795</c:v>
                      </c:pt>
                      <c:pt idx="463">
                        <c:v>45796</c:v>
                      </c:pt>
                      <c:pt idx="464">
                        <c:v>45797</c:v>
                      </c:pt>
                      <c:pt idx="465">
                        <c:v>45798</c:v>
                      </c:pt>
                      <c:pt idx="466">
                        <c:v>45799</c:v>
                      </c:pt>
                      <c:pt idx="467">
                        <c:v>45800</c:v>
                      </c:pt>
                      <c:pt idx="468">
                        <c:v>45801</c:v>
                      </c:pt>
                      <c:pt idx="469">
                        <c:v>45802</c:v>
                      </c:pt>
                      <c:pt idx="470">
                        <c:v>45803</c:v>
                      </c:pt>
                      <c:pt idx="471">
                        <c:v>45804</c:v>
                      </c:pt>
                      <c:pt idx="472">
                        <c:v>45805</c:v>
                      </c:pt>
                      <c:pt idx="473">
                        <c:v>45806</c:v>
                      </c:pt>
                      <c:pt idx="474">
                        <c:v>45807</c:v>
                      </c:pt>
                      <c:pt idx="475">
                        <c:v>45808</c:v>
                      </c:pt>
                      <c:pt idx="476">
                        <c:v>45809</c:v>
                      </c:pt>
                      <c:pt idx="477">
                        <c:v>45810</c:v>
                      </c:pt>
                      <c:pt idx="478">
                        <c:v>45811</c:v>
                      </c:pt>
                      <c:pt idx="479">
                        <c:v>45812</c:v>
                      </c:pt>
                      <c:pt idx="480">
                        <c:v>45813</c:v>
                      </c:pt>
                      <c:pt idx="481">
                        <c:v>45814</c:v>
                      </c:pt>
                      <c:pt idx="482">
                        <c:v>45815</c:v>
                      </c:pt>
                      <c:pt idx="483">
                        <c:v>45816</c:v>
                      </c:pt>
                      <c:pt idx="484">
                        <c:v>45817</c:v>
                      </c:pt>
                      <c:pt idx="485">
                        <c:v>45818</c:v>
                      </c:pt>
                      <c:pt idx="486">
                        <c:v>45819</c:v>
                      </c:pt>
                      <c:pt idx="487">
                        <c:v>45820</c:v>
                      </c:pt>
                      <c:pt idx="488">
                        <c:v>45821</c:v>
                      </c:pt>
                      <c:pt idx="489">
                        <c:v>45822</c:v>
                      </c:pt>
                      <c:pt idx="490">
                        <c:v>45823</c:v>
                      </c:pt>
                      <c:pt idx="491">
                        <c:v>45824</c:v>
                      </c:pt>
                      <c:pt idx="492">
                        <c:v>45825</c:v>
                      </c:pt>
                      <c:pt idx="493">
                        <c:v>45826</c:v>
                      </c:pt>
                      <c:pt idx="494">
                        <c:v>45827</c:v>
                      </c:pt>
                      <c:pt idx="495">
                        <c:v>45828</c:v>
                      </c:pt>
                      <c:pt idx="496">
                        <c:v>45829</c:v>
                      </c:pt>
                      <c:pt idx="497">
                        <c:v>45830</c:v>
                      </c:pt>
                      <c:pt idx="498">
                        <c:v>45831</c:v>
                      </c:pt>
                      <c:pt idx="499">
                        <c:v>45832</c:v>
                      </c:pt>
                      <c:pt idx="500">
                        <c:v>45833</c:v>
                      </c:pt>
                      <c:pt idx="501">
                        <c:v>45834</c:v>
                      </c:pt>
                      <c:pt idx="502">
                        <c:v>45835</c:v>
                      </c:pt>
                      <c:pt idx="503">
                        <c:v>45836</c:v>
                      </c:pt>
                      <c:pt idx="504">
                        <c:v>45837</c:v>
                      </c:pt>
                      <c:pt idx="505">
                        <c:v>45838</c:v>
                      </c:pt>
                      <c:pt idx="506">
                        <c:v>45839</c:v>
                      </c:pt>
                      <c:pt idx="507">
                        <c:v>45840</c:v>
                      </c:pt>
                      <c:pt idx="508">
                        <c:v>45841</c:v>
                      </c:pt>
                      <c:pt idx="509">
                        <c:v>45842</c:v>
                      </c:pt>
                      <c:pt idx="510">
                        <c:v>45843</c:v>
                      </c:pt>
                      <c:pt idx="511">
                        <c:v>45844</c:v>
                      </c:pt>
                      <c:pt idx="512">
                        <c:v>45845</c:v>
                      </c:pt>
                      <c:pt idx="513">
                        <c:v>45846</c:v>
                      </c:pt>
                      <c:pt idx="514">
                        <c:v>45847</c:v>
                      </c:pt>
                      <c:pt idx="515">
                        <c:v>45848</c:v>
                      </c:pt>
                      <c:pt idx="516">
                        <c:v>45849</c:v>
                      </c:pt>
                      <c:pt idx="517">
                        <c:v>45850</c:v>
                      </c:pt>
                      <c:pt idx="518">
                        <c:v>45851</c:v>
                      </c:pt>
                      <c:pt idx="519">
                        <c:v>45852</c:v>
                      </c:pt>
                      <c:pt idx="520">
                        <c:v>45853</c:v>
                      </c:pt>
                      <c:pt idx="521">
                        <c:v>45854</c:v>
                      </c:pt>
                      <c:pt idx="522">
                        <c:v>45855</c:v>
                      </c:pt>
                      <c:pt idx="523">
                        <c:v>45856</c:v>
                      </c:pt>
                      <c:pt idx="524">
                        <c:v>45857</c:v>
                      </c:pt>
                      <c:pt idx="525">
                        <c:v>45858</c:v>
                      </c:pt>
                      <c:pt idx="526">
                        <c:v>45859</c:v>
                      </c:pt>
                      <c:pt idx="527">
                        <c:v>45860</c:v>
                      </c:pt>
                      <c:pt idx="528">
                        <c:v>45861</c:v>
                      </c:pt>
                      <c:pt idx="529">
                        <c:v>45862</c:v>
                      </c:pt>
                      <c:pt idx="530">
                        <c:v>45863</c:v>
                      </c:pt>
                      <c:pt idx="531">
                        <c:v>45864</c:v>
                      </c:pt>
                      <c:pt idx="532">
                        <c:v>45865</c:v>
                      </c:pt>
                      <c:pt idx="533">
                        <c:v>45866</c:v>
                      </c:pt>
                      <c:pt idx="534">
                        <c:v>45867</c:v>
                      </c:pt>
                      <c:pt idx="535">
                        <c:v>45868</c:v>
                      </c:pt>
                      <c:pt idx="536">
                        <c:v>45869</c:v>
                      </c:pt>
                      <c:pt idx="537">
                        <c:v>45870</c:v>
                      </c:pt>
                      <c:pt idx="538">
                        <c:v>45871</c:v>
                      </c:pt>
                      <c:pt idx="539">
                        <c:v>45872</c:v>
                      </c:pt>
                      <c:pt idx="540">
                        <c:v>45873</c:v>
                      </c:pt>
                      <c:pt idx="541">
                        <c:v>45874</c:v>
                      </c:pt>
                      <c:pt idx="542">
                        <c:v>45875</c:v>
                      </c:pt>
                      <c:pt idx="543">
                        <c:v>45876</c:v>
                      </c:pt>
                      <c:pt idx="544">
                        <c:v>45877</c:v>
                      </c:pt>
                      <c:pt idx="545">
                        <c:v>45878</c:v>
                      </c:pt>
                      <c:pt idx="546">
                        <c:v>45879</c:v>
                      </c:pt>
                      <c:pt idx="547">
                        <c:v>45880</c:v>
                      </c:pt>
                      <c:pt idx="548">
                        <c:v>45881</c:v>
                      </c:pt>
                      <c:pt idx="549">
                        <c:v>45882</c:v>
                      </c:pt>
                      <c:pt idx="550">
                        <c:v>45883</c:v>
                      </c:pt>
                      <c:pt idx="551">
                        <c:v>45884</c:v>
                      </c:pt>
                      <c:pt idx="552">
                        <c:v>45885</c:v>
                      </c:pt>
                      <c:pt idx="553">
                        <c:v>45886</c:v>
                      </c:pt>
                      <c:pt idx="554">
                        <c:v>45887</c:v>
                      </c:pt>
                      <c:pt idx="555">
                        <c:v>45888</c:v>
                      </c:pt>
                      <c:pt idx="556">
                        <c:v>45889</c:v>
                      </c:pt>
                      <c:pt idx="557">
                        <c:v>45890</c:v>
                      </c:pt>
                      <c:pt idx="558">
                        <c:v>45891</c:v>
                      </c:pt>
                      <c:pt idx="559">
                        <c:v>45892</c:v>
                      </c:pt>
                      <c:pt idx="560">
                        <c:v>45893</c:v>
                      </c:pt>
                      <c:pt idx="561">
                        <c:v>45894</c:v>
                      </c:pt>
                      <c:pt idx="562">
                        <c:v>45895</c:v>
                      </c:pt>
                      <c:pt idx="563">
                        <c:v>45896</c:v>
                      </c:pt>
                      <c:pt idx="564">
                        <c:v>45897</c:v>
                      </c:pt>
                      <c:pt idx="565">
                        <c:v>45898</c:v>
                      </c:pt>
                      <c:pt idx="566">
                        <c:v>45899</c:v>
                      </c:pt>
                      <c:pt idx="567">
                        <c:v>45900</c:v>
                      </c:pt>
                      <c:pt idx="568">
                        <c:v>45901</c:v>
                      </c:pt>
                      <c:pt idx="569">
                        <c:v>45902</c:v>
                      </c:pt>
                      <c:pt idx="570">
                        <c:v>45903</c:v>
                      </c:pt>
                      <c:pt idx="571">
                        <c:v>45904</c:v>
                      </c:pt>
                      <c:pt idx="572">
                        <c:v>45905</c:v>
                      </c:pt>
                      <c:pt idx="573">
                        <c:v>45906</c:v>
                      </c:pt>
                      <c:pt idx="574">
                        <c:v>45907</c:v>
                      </c:pt>
                      <c:pt idx="575">
                        <c:v>45908</c:v>
                      </c:pt>
                      <c:pt idx="576">
                        <c:v>45909</c:v>
                      </c:pt>
                      <c:pt idx="577">
                        <c:v>45910</c:v>
                      </c:pt>
                      <c:pt idx="578">
                        <c:v>45911</c:v>
                      </c:pt>
                      <c:pt idx="579">
                        <c:v>45912</c:v>
                      </c:pt>
                      <c:pt idx="580">
                        <c:v>45913</c:v>
                      </c:pt>
                      <c:pt idx="581">
                        <c:v>45914</c:v>
                      </c:pt>
                      <c:pt idx="582">
                        <c:v>45915</c:v>
                      </c:pt>
                      <c:pt idx="583">
                        <c:v>45916</c:v>
                      </c:pt>
                      <c:pt idx="584">
                        <c:v>45917</c:v>
                      </c:pt>
                      <c:pt idx="585">
                        <c:v>45918</c:v>
                      </c:pt>
                      <c:pt idx="586">
                        <c:v>45919</c:v>
                      </c:pt>
                      <c:pt idx="587">
                        <c:v>45920</c:v>
                      </c:pt>
                      <c:pt idx="588">
                        <c:v>45921</c:v>
                      </c:pt>
                      <c:pt idx="589">
                        <c:v>45922</c:v>
                      </c:pt>
                      <c:pt idx="590">
                        <c:v>45923</c:v>
                      </c:pt>
                      <c:pt idx="591">
                        <c:v>45924</c:v>
                      </c:pt>
                      <c:pt idx="592">
                        <c:v>45925</c:v>
                      </c:pt>
                      <c:pt idx="593">
                        <c:v>45926</c:v>
                      </c:pt>
                      <c:pt idx="594">
                        <c:v>45927</c:v>
                      </c:pt>
                      <c:pt idx="595">
                        <c:v>45928</c:v>
                      </c:pt>
                      <c:pt idx="596">
                        <c:v>45929</c:v>
                      </c:pt>
                      <c:pt idx="597">
                        <c:v>45930</c:v>
                      </c:pt>
                      <c:pt idx="598">
                        <c:v>45931</c:v>
                      </c:pt>
                      <c:pt idx="599">
                        <c:v>45932</c:v>
                      </c:pt>
                      <c:pt idx="600">
                        <c:v>45933</c:v>
                      </c:pt>
                      <c:pt idx="601">
                        <c:v>45934</c:v>
                      </c:pt>
                      <c:pt idx="602">
                        <c:v>45935</c:v>
                      </c:pt>
                      <c:pt idx="603">
                        <c:v>45936</c:v>
                      </c:pt>
                      <c:pt idx="604">
                        <c:v>45937</c:v>
                      </c:pt>
                      <c:pt idx="605">
                        <c:v>45938</c:v>
                      </c:pt>
                      <c:pt idx="606">
                        <c:v>45939</c:v>
                      </c:pt>
                      <c:pt idx="607">
                        <c:v>45940</c:v>
                      </c:pt>
                      <c:pt idx="608">
                        <c:v>45941</c:v>
                      </c:pt>
                      <c:pt idx="609">
                        <c:v>45942</c:v>
                      </c:pt>
                      <c:pt idx="610">
                        <c:v>45943</c:v>
                      </c:pt>
                      <c:pt idx="611">
                        <c:v>45944</c:v>
                      </c:pt>
                      <c:pt idx="612">
                        <c:v>45945</c:v>
                      </c:pt>
                      <c:pt idx="613">
                        <c:v>45946</c:v>
                      </c:pt>
                      <c:pt idx="614">
                        <c:v>45947</c:v>
                      </c:pt>
                      <c:pt idx="615">
                        <c:v>45948</c:v>
                      </c:pt>
                      <c:pt idx="616">
                        <c:v>45949</c:v>
                      </c:pt>
                      <c:pt idx="617">
                        <c:v>45950</c:v>
                      </c:pt>
                      <c:pt idx="618">
                        <c:v>45951</c:v>
                      </c:pt>
                      <c:pt idx="619">
                        <c:v>45952</c:v>
                      </c:pt>
                      <c:pt idx="620">
                        <c:v>45953</c:v>
                      </c:pt>
                      <c:pt idx="621">
                        <c:v>45954</c:v>
                      </c:pt>
                      <c:pt idx="622">
                        <c:v>45955</c:v>
                      </c:pt>
                      <c:pt idx="623">
                        <c:v>45956</c:v>
                      </c:pt>
                      <c:pt idx="624">
                        <c:v>45957</c:v>
                      </c:pt>
                      <c:pt idx="625">
                        <c:v>45958</c:v>
                      </c:pt>
                      <c:pt idx="626">
                        <c:v>45959</c:v>
                      </c:pt>
                      <c:pt idx="627">
                        <c:v>45960</c:v>
                      </c:pt>
                      <c:pt idx="628">
                        <c:v>45961</c:v>
                      </c:pt>
                      <c:pt idx="629">
                        <c:v>45962</c:v>
                      </c:pt>
                      <c:pt idx="630">
                        <c:v>45963</c:v>
                      </c:pt>
                      <c:pt idx="631">
                        <c:v>45964</c:v>
                      </c:pt>
                      <c:pt idx="632">
                        <c:v>45965</c:v>
                      </c:pt>
                      <c:pt idx="633">
                        <c:v>45966</c:v>
                      </c:pt>
                      <c:pt idx="634">
                        <c:v>45967</c:v>
                      </c:pt>
                      <c:pt idx="635">
                        <c:v>45968</c:v>
                      </c:pt>
                      <c:pt idx="636">
                        <c:v>45969</c:v>
                      </c:pt>
                      <c:pt idx="637">
                        <c:v>45970</c:v>
                      </c:pt>
                      <c:pt idx="638">
                        <c:v>45971</c:v>
                      </c:pt>
                      <c:pt idx="639">
                        <c:v>45972</c:v>
                      </c:pt>
                      <c:pt idx="640">
                        <c:v>45973</c:v>
                      </c:pt>
                      <c:pt idx="641">
                        <c:v>45974</c:v>
                      </c:pt>
                      <c:pt idx="642">
                        <c:v>45975</c:v>
                      </c:pt>
                      <c:pt idx="643">
                        <c:v>45976</c:v>
                      </c:pt>
                      <c:pt idx="644">
                        <c:v>45977</c:v>
                      </c:pt>
                      <c:pt idx="645">
                        <c:v>45978</c:v>
                      </c:pt>
                      <c:pt idx="646">
                        <c:v>45979</c:v>
                      </c:pt>
                      <c:pt idx="647">
                        <c:v>45980</c:v>
                      </c:pt>
                      <c:pt idx="648">
                        <c:v>45981</c:v>
                      </c:pt>
                      <c:pt idx="649">
                        <c:v>45982</c:v>
                      </c:pt>
                      <c:pt idx="650">
                        <c:v>45983</c:v>
                      </c:pt>
                      <c:pt idx="651">
                        <c:v>45984</c:v>
                      </c:pt>
                      <c:pt idx="652">
                        <c:v>45985</c:v>
                      </c:pt>
                      <c:pt idx="653">
                        <c:v>45986</c:v>
                      </c:pt>
                      <c:pt idx="654">
                        <c:v>45987</c:v>
                      </c:pt>
                      <c:pt idx="655">
                        <c:v>45988</c:v>
                      </c:pt>
                      <c:pt idx="656">
                        <c:v>45989</c:v>
                      </c:pt>
                      <c:pt idx="657">
                        <c:v>45990</c:v>
                      </c:pt>
                      <c:pt idx="658">
                        <c:v>45991</c:v>
                      </c:pt>
                      <c:pt idx="659">
                        <c:v>45992</c:v>
                      </c:pt>
                      <c:pt idx="660">
                        <c:v>45993</c:v>
                      </c:pt>
                      <c:pt idx="661">
                        <c:v>45994</c:v>
                      </c:pt>
                      <c:pt idx="662">
                        <c:v>45995</c:v>
                      </c:pt>
                      <c:pt idx="663">
                        <c:v>45996</c:v>
                      </c:pt>
                      <c:pt idx="664">
                        <c:v>45997</c:v>
                      </c:pt>
                      <c:pt idx="665">
                        <c:v>45998</c:v>
                      </c:pt>
                      <c:pt idx="666">
                        <c:v>45999</c:v>
                      </c:pt>
                      <c:pt idx="667">
                        <c:v>46000</c:v>
                      </c:pt>
                      <c:pt idx="668">
                        <c:v>46001</c:v>
                      </c:pt>
                      <c:pt idx="669">
                        <c:v>46002</c:v>
                      </c:pt>
                      <c:pt idx="670">
                        <c:v>46003</c:v>
                      </c:pt>
                      <c:pt idx="671">
                        <c:v>46004</c:v>
                      </c:pt>
                      <c:pt idx="672">
                        <c:v>46005</c:v>
                      </c:pt>
                      <c:pt idx="673">
                        <c:v>46006</c:v>
                      </c:pt>
                      <c:pt idx="674">
                        <c:v>46007</c:v>
                      </c:pt>
                      <c:pt idx="675">
                        <c:v>46008</c:v>
                      </c:pt>
                      <c:pt idx="676">
                        <c:v>46009</c:v>
                      </c:pt>
                      <c:pt idx="677">
                        <c:v>46010</c:v>
                      </c:pt>
                      <c:pt idx="678">
                        <c:v>46011</c:v>
                      </c:pt>
                      <c:pt idx="679">
                        <c:v>46012</c:v>
                      </c:pt>
                      <c:pt idx="680">
                        <c:v>46013</c:v>
                      </c:pt>
                      <c:pt idx="681">
                        <c:v>46014</c:v>
                      </c:pt>
                      <c:pt idx="682">
                        <c:v>46015</c:v>
                      </c:pt>
                    </c:numCache>
                  </c:numRef>
                </c:xVal>
                <c:yVal>
                  <c:numRef>
                    <c:f>Sheet4!$E$2:$E$684</c:f>
                    <c:numCache>
                      <c:formatCode>0.00%</c:formatCode>
                      <c:ptCount val="68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0.0211372153584701</c:v>
                      </c:pt>
                      <c:pt idx="84">
                        <c:v>0.0204233851334584</c:v>
                      </c:pt>
                      <c:pt idx="85">
                        <c:v>0.0223655913978495</c:v>
                      </c:pt>
                      <c:pt idx="86">
                        <c:v>0.0215003921396162</c:v>
                      </c:pt>
                      <c:pt idx="87">
                        <c:v>0.0205925046360431</c:v>
                      </c:pt>
                      <c:pt idx="88">
                        <c:v>0.019518074896398</c:v>
                      </c:pt>
                      <c:pt idx="89">
                        <c:v>0.019481023449246</c:v>
                      </c:pt>
                      <c:pt idx="90">
                        <c:v>0.0178755471667745</c:v>
                      </c:pt>
                      <c:pt idx="91">
                        <c:v>0.0177994737266457</c:v>
                      </c:pt>
                      <c:pt idx="92">
                        <c:v>0.0166023671381168</c:v>
                      </c:pt>
                      <c:pt idx="93">
                        <c:v>0.0166412594899209</c:v>
                      </c:pt>
                      <c:pt idx="94">
                        <c:v>0.016584476656287</c:v>
                      </c:pt>
                      <c:pt idx="95">
                        <c:v>0.016929840740307</c:v>
                      </c:pt>
                      <c:pt idx="96">
                        <c:v>0.0165448064574468</c:v>
                      </c:pt>
                      <c:pt idx="97">
                        <c:v>0.0174968912296102</c:v>
                      </c:pt>
                      <c:pt idx="98">
                        <c:v>0.0171235246522913</c:v>
                      </c:pt>
                      <c:pt idx="99">
                        <c:v>0.0169368413636318</c:v>
                      </c:pt>
                      <c:pt idx="100">
                        <c:v>0.0165634747863128</c:v>
                      </c:pt>
                      <c:pt idx="101">
                        <c:v>0.0165634747863128</c:v>
                      </c:pt>
                      <c:pt idx="102">
                        <c:v>0.0165634747863128</c:v>
                      </c:pt>
                      <c:pt idx="103">
                        <c:v>0.0165634747863128</c:v>
                      </c:pt>
                      <c:pt idx="104">
                        <c:v>0.0165634747863128</c:v>
                      </c:pt>
                      <c:pt idx="105">
                        <c:v>0.0165634747863128</c:v>
                      </c:pt>
                      <c:pt idx="106">
                        <c:v>0.0165634747863128</c:v>
                      </c:pt>
                      <c:pt idx="107">
                        <c:v>0.0165634747863128</c:v>
                      </c:pt>
                      <c:pt idx="108">
                        <c:v>0.0165634747863128</c:v>
                      </c:pt>
                      <c:pt idx="109">
                        <c:v>0.0165634747863128</c:v>
                      </c:pt>
                      <c:pt idx="110">
                        <c:v>0.0165634747863128</c:v>
                      </c:pt>
                      <c:pt idx="111">
                        <c:v>0.0165634747863128</c:v>
                      </c:pt>
                      <c:pt idx="112">
                        <c:v>0.0165634747863128</c:v>
                      </c:pt>
                      <c:pt idx="113">
                        <c:v>0.0165634747863128</c:v>
                      </c:pt>
                      <c:pt idx="114">
                        <c:v>0.0165634747863128</c:v>
                      </c:pt>
                      <c:pt idx="115">
                        <c:v>0.0165634747863128</c:v>
                      </c:pt>
                      <c:pt idx="116">
                        <c:v>0.0165634747863128</c:v>
                      </c:pt>
                      <c:pt idx="117">
                        <c:v>0.0165634747863128</c:v>
                      </c:pt>
                      <c:pt idx="118">
                        <c:v>0.0165634747863128</c:v>
                      </c:pt>
                      <c:pt idx="119">
                        <c:v>0.0165634747863128</c:v>
                      </c:pt>
                      <c:pt idx="120">
                        <c:v>0.0165634747863128</c:v>
                      </c:pt>
                      <c:pt idx="121">
                        <c:v>0.0165634747863128</c:v>
                      </c:pt>
                      <c:pt idx="122">
                        <c:v>0.0165634747863128</c:v>
                      </c:pt>
                      <c:pt idx="123">
                        <c:v>0.0165634747863128</c:v>
                      </c:pt>
                      <c:pt idx="124">
                        <c:v>0.0165634747863128</c:v>
                      </c:pt>
                      <c:pt idx="125">
                        <c:v>0.0165634747863128</c:v>
                      </c:pt>
                      <c:pt idx="126">
                        <c:v>0.0165634747863128</c:v>
                      </c:pt>
                      <c:pt idx="127">
                        <c:v>0.0165634747863128</c:v>
                      </c:pt>
                      <c:pt idx="128">
                        <c:v>0.0165634747863128</c:v>
                      </c:pt>
                      <c:pt idx="129">
                        <c:v>0.0165634747863128</c:v>
                      </c:pt>
                      <c:pt idx="130">
                        <c:v>0.0165634747863128</c:v>
                      </c:pt>
                      <c:pt idx="131">
                        <c:v>0.0165634747863128</c:v>
                      </c:pt>
                      <c:pt idx="132">
                        <c:v>0.0165634747863128</c:v>
                      </c:pt>
                      <c:pt idx="133">
                        <c:v>0.0165634747863128</c:v>
                      </c:pt>
                      <c:pt idx="134">
                        <c:v>0.0165634747863128</c:v>
                      </c:pt>
                      <c:pt idx="135">
                        <c:v>0.0165634747863128</c:v>
                      </c:pt>
                      <c:pt idx="136">
                        <c:v>0.0165634747863128</c:v>
                      </c:pt>
                      <c:pt idx="137">
                        <c:v>0.0165634747863128</c:v>
                      </c:pt>
                      <c:pt idx="138">
                        <c:v>0.0165634747863128</c:v>
                      </c:pt>
                      <c:pt idx="139">
                        <c:v>0.0165634747863128</c:v>
                      </c:pt>
                      <c:pt idx="140">
                        <c:v>0.0165634747863128</c:v>
                      </c:pt>
                      <c:pt idx="141">
                        <c:v>0.0165634747863128</c:v>
                      </c:pt>
                      <c:pt idx="142">
                        <c:v>0.0165634747863128</c:v>
                      </c:pt>
                      <c:pt idx="143">
                        <c:v>0.0165634747863128</c:v>
                      </c:pt>
                      <c:pt idx="144">
                        <c:v>0.0165634747863128</c:v>
                      </c:pt>
                      <c:pt idx="145">
                        <c:v>0.0165634747863128</c:v>
                      </c:pt>
                      <c:pt idx="146">
                        <c:v>0.0165634747863128</c:v>
                      </c:pt>
                      <c:pt idx="147">
                        <c:v>0.0165634747863128</c:v>
                      </c:pt>
                      <c:pt idx="148">
                        <c:v>0.0165634747863128</c:v>
                      </c:pt>
                      <c:pt idx="149">
                        <c:v>0.0165634747863128</c:v>
                      </c:pt>
                      <c:pt idx="150">
                        <c:v>0.0165634747863128</c:v>
                      </c:pt>
                      <c:pt idx="151">
                        <c:v>0.0165634747863128</c:v>
                      </c:pt>
                      <c:pt idx="152">
                        <c:v>0.0165634747863128</c:v>
                      </c:pt>
                      <c:pt idx="153">
                        <c:v>0.0165634747863128</c:v>
                      </c:pt>
                      <c:pt idx="154">
                        <c:v>0.0165634747863128</c:v>
                      </c:pt>
                      <c:pt idx="155">
                        <c:v>0.0165634747863128</c:v>
                      </c:pt>
                      <c:pt idx="156">
                        <c:v>0.0165634747863128</c:v>
                      </c:pt>
                      <c:pt idx="157">
                        <c:v>0.0165634747863128</c:v>
                      </c:pt>
                      <c:pt idx="158">
                        <c:v>0.0165634747863128</c:v>
                      </c:pt>
                      <c:pt idx="159">
                        <c:v>0.0165634747863128</c:v>
                      </c:pt>
                      <c:pt idx="160">
                        <c:v>0.0165634747863128</c:v>
                      </c:pt>
                      <c:pt idx="161">
                        <c:v>0.0165634747863128</c:v>
                      </c:pt>
                      <c:pt idx="162">
                        <c:v>0.0165634747863128</c:v>
                      </c:pt>
                      <c:pt idx="163">
                        <c:v>0.0165634747863128</c:v>
                      </c:pt>
                      <c:pt idx="164">
                        <c:v>0.0165634747863128</c:v>
                      </c:pt>
                      <c:pt idx="165">
                        <c:v>0.0165634747863128</c:v>
                      </c:pt>
                      <c:pt idx="166">
                        <c:v>0.0165634747863128</c:v>
                      </c:pt>
                      <c:pt idx="167">
                        <c:v>0.0165634747863128</c:v>
                      </c:pt>
                      <c:pt idx="168">
                        <c:v>0.0165634747863128</c:v>
                      </c:pt>
                      <c:pt idx="169">
                        <c:v>0.0165634747863128</c:v>
                      </c:pt>
                      <c:pt idx="170">
                        <c:v>0.0165634747863128</c:v>
                      </c:pt>
                      <c:pt idx="171">
                        <c:v>0.0165634747863128</c:v>
                      </c:pt>
                      <c:pt idx="172">
                        <c:v>0.0165634747863128</c:v>
                      </c:pt>
                      <c:pt idx="173">
                        <c:v>0.0165634747863128</c:v>
                      </c:pt>
                      <c:pt idx="174">
                        <c:v>0.0165634747863128</c:v>
                      </c:pt>
                      <c:pt idx="175">
                        <c:v>0.0165634747863128</c:v>
                      </c:pt>
                      <c:pt idx="176">
                        <c:v>0.0165634747863128</c:v>
                      </c:pt>
                      <c:pt idx="177">
                        <c:v>0.0165634747863128</c:v>
                      </c:pt>
                      <c:pt idx="178">
                        <c:v>0.0165634747863128</c:v>
                      </c:pt>
                      <c:pt idx="179">
                        <c:v>0.0165634747863128</c:v>
                      </c:pt>
                      <c:pt idx="180">
                        <c:v>0.0165634747863128</c:v>
                      </c:pt>
                      <c:pt idx="181">
                        <c:v>0.0165634747863128</c:v>
                      </c:pt>
                      <c:pt idx="182">
                        <c:v>0.0165634747863128</c:v>
                      </c:pt>
                      <c:pt idx="183">
                        <c:v>0.0165634747863128</c:v>
                      </c:pt>
                      <c:pt idx="184">
                        <c:v>0.0165634747863128</c:v>
                      </c:pt>
                      <c:pt idx="185">
                        <c:v>0.0165634747863128</c:v>
                      </c:pt>
                      <c:pt idx="186">
                        <c:v>0.0165634747863128</c:v>
                      </c:pt>
                      <c:pt idx="187">
                        <c:v>0.0165634747863128</c:v>
                      </c:pt>
                      <c:pt idx="188">
                        <c:v>0.0165634747863128</c:v>
                      </c:pt>
                      <c:pt idx="189">
                        <c:v>0.0165634747863128</c:v>
                      </c:pt>
                      <c:pt idx="190">
                        <c:v>0.0165634747863128</c:v>
                      </c:pt>
                      <c:pt idx="191">
                        <c:v>0.0165634747863128</c:v>
                      </c:pt>
                      <c:pt idx="192">
                        <c:v>0.0165634747863128</c:v>
                      </c:pt>
                      <c:pt idx="193">
                        <c:v>0.0165634747863128</c:v>
                      </c:pt>
                      <c:pt idx="194">
                        <c:v>0.0165634747863128</c:v>
                      </c:pt>
                      <c:pt idx="195">
                        <c:v>0.0165634747863128</c:v>
                      </c:pt>
                      <c:pt idx="196">
                        <c:v>0.0165634747863128</c:v>
                      </c:pt>
                      <c:pt idx="197">
                        <c:v>0.0165634747863128</c:v>
                      </c:pt>
                      <c:pt idx="198">
                        <c:v>0.0165634747863128</c:v>
                      </c:pt>
                      <c:pt idx="199">
                        <c:v>0.0165634747863128</c:v>
                      </c:pt>
                      <c:pt idx="200">
                        <c:v>0.0165634747863128</c:v>
                      </c:pt>
                      <c:pt idx="201">
                        <c:v>0.0165634747863128</c:v>
                      </c:pt>
                      <c:pt idx="202">
                        <c:v>0.0165634747863128</c:v>
                      </c:pt>
                      <c:pt idx="203">
                        <c:v>0.0165634747863128</c:v>
                      </c:pt>
                      <c:pt idx="204">
                        <c:v>0.0165634747863128</c:v>
                      </c:pt>
                      <c:pt idx="205">
                        <c:v>0.0165634747863128</c:v>
                      </c:pt>
                      <c:pt idx="206">
                        <c:v>0.0165634747863128</c:v>
                      </c:pt>
                      <c:pt idx="207">
                        <c:v>0.0165634747863128</c:v>
                      </c:pt>
                      <c:pt idx="208">
                        <c:v>0.0165634747863128</c:v>
                      </c:pt>
                      <c:pt idx="209">
                        <c:v>0.0165634747863128</c:v>
                      </c:pt>
                      <c:pt idx="210">
                        <c:v>0.0165634747863128</c:v>
                      </c:pt>
                      <c:pt idx="211">
                        <c:v>0.0165634747863128</c:v>
                      </c:pt>
                      <c:pt idx="212">
                        <c:v>0.0165634747863128</c:v>
                      </c:pt>
                      <c:pt idx="213">
                        <c:v>0.0165634747863128</c:v>
                      </c:pt>
                      <c:pt idx="214">
                        <c:v>0.0165634747863128</c:v>
                      </c:pt>
                      <c:pt idx="215">
                        <c:v>0.0165634747863128</c:v>
                      </c:pt>
                      <c:pt idx="216">
                        <c:v>0.0165634747863128</c:v>
                      </c:pt>
                      <c:pt idx="217">
                        <c:v>0.0165634747863128</c:v>
                      </c:pt>
                      <c:pt idx="218">
                        <c:v>0.0165634747863128</c:v>
                      </c:pt>
                      <c:pt idx="219">
                        <c:v>0.0165634747863128</c:v>
                      </c:pt>
                      <c:pt idx="220">
                        <c:v>0.0165634747863128</c:v>
                      </c:pt>
                      <c:pt idx="221">
                        <c:v>0.0165634747863128</c:v>
                      </c:pt>
                      <c:pt idx="222">
                        <c:v>0.0165634747863128</c:v>
                      </c:pt>
                      <c:pt idx="223">
                        <c:v>0.0165634747863128</c:v>
                      </c:pt>
                      <c:pt idx="224">
                        <c:v>0.0165634747863128</c:v>
                      </c:pt>
                      <c:pt idx="225">
                        <c:v>0.0165634747863128</c:v>
                      </c:pt>
                      <c:pt idx="226">
                        <c:v>0.0165634747863128</c:v>
                      </c:pt>
                      <c:pt idx="227">
                        <c:v>0.0165634747863128</c:v>
                      </c:pt>
                      <c:pt idx="228">
                        <c:v>0.0165634747863128</c:v>
                      </c:pt>
                      <c:pt idx="229">
                        <c:v>0.0165634747863128</c:v>
                      </c:pt>
                      <c:pt idx="230">
                        <c:v>0.0165634747863128</c:v>
                      </c:pt>
                      <c:pt idx="231">
                        <c:v>0.0165634747863128</c:v>
                      </c:pt>
                      <c:pt idx="232">
                        <c:v>0.0165634747863128</c:v>
                      </c:pt>
                      <c:pt idx="233">
                        <c:v>0.0165634747863128</c:v>
                      </c:pt>
                      <c:pt idx="234">
                        <c:v>0.0165634747863128</c:v>
                      </c:pt>
                      <c:pt idx="235">
                        <c:v>0.0165634747863128</c:v>
                      </c:pt>
                      <c:pt idx="236">
                        <c:v>0.0165634747863128</c:v>
                      </c:pt>
                      <c:pt idx="237">
                        <c:v>0.0165634747863128</c:v>
                      </c:pt>
                      <c:pt idx="238">
                        <c:v>0.0165634747863128</c:v>
                      </c:pt>
                      <c:pt idx="239">
                        <c:v>0.0165634747863128</c:v>
                      </c:pt>
                      <c:pt idx="240">
                        <c:v>0.0165634747863128</c:v>
                      </c:pt>
                      <c:pt idx="241">
                        <c:v>0.0165634747863128</c:v>
                      </c:pt>
                      <c:pt idx="242">
                        <c:v>0.0165634747863128</c:v>
                      </c:pt>
                      <c:pt idx="243">
                        <c:v>0.0165634747863128</c:v>
                      </c:pt>
                      <c:pt idx="244">
                        <c:v>0.0165634747863128</c:v>
                      </c:pt>
                      <c:pt idx="245">
                        <c:v>0.0165634747863128</c:v>
                      </c:pt>
                      <c:pt idx="246">
                        <c:v>0.0165634747863128</c:v>
                      </c:pt>
                      <c:pt idx="247">
                        <c:v>0.0165634747863128</c:v>
                      </c:pt>
                      <c:pt idx="248">
                        <c:v>0.0165634747863128</c:v>
                      </c:pt>
                      <c:pt idx="249">
                        <c:v>0.0165634747863128</c:v>
                      </c:pt>
                      <c:pt idx="250">
                        <c:v>0.0165634747863128</c:v>
                      </c:pt>
                      <c:pt idx="251">
                        <c:v>0.0165634747863128</c:v>
                      </c:pt>
                      <c:pt idx="252">
                        <c:v>0.0165634747863128</c:v>
                      </c:pt>
                      <c:pt idx="253">
                        <c:v>0.0165634747863128</c:v>
                      </c:pt>
                      <c:pt idx="254">
                        <c:v>0.0165634747863128</c:v>
                      </c:pt>
                      <c:pt idx="255">
                        <c:v>0.0165634747863128</c:v>
                      </c:pt>
                      <c:pt idx="256">
                        <c:v>0.0165634747863128</c:v>
                      </c:pt>
                      <c:pt idx="257">
                        <c:v>0.0165634747863128</c:v>
                      </c:pt>
                      <c:pt idx="258">
                        <c:v>0.0165634747863128</c:v>
                      </c:pt>
                      <c:pt idx="259">
                        <c:v>0.0165634747863128</c:v>
                      </c:pt>
                      <c:pt idx="260">
                        <c:v>0.0165634747863128</c:v>
                      </c:pt>
                      <c:pt idx="261">
                        <c:v>0.0165634747863128</c:v>
                      </c:pt>
                      <c:pt idx="262">
                        <c:v>0.0165634747863128</c:v>
                      </c:pt>
                      <c:pt idx="263">
                        <c:v>0.0165634747863128</c:v>
                      </c:pt>
                      <c:pt idx="264">
                        <c:v>0.0165634747863128</c:v>
                      </c:pt>
                      <c:pt idx="265">
                        <c:v>0.0165634747863128</c:v>
                      </c:pt>
                      <c:pt idx="266">
                        <c:v>0.0165634747863128</c:v>
                      </c:pt>
                      <c:pt idx="267">
                        <c:v>0.0165634747863128</c:v>
                      </c:pt>
                      <c:pt idx="268">
                        <c:v>0.0165634747863128</c:v>
                      </c:pt>
                      <c:pt idx="269">
                        <c:v>0.0165634747863128</c:v>
                      </c:pt>
                      <c:pt idx="270">
                        <c:v>0.0165634747863128</c:v>
                      </c:pt>
                      <c:pt idx="271">
                        <c:v>0.0165634747863128</c:v>
                      </c:pt>
                      <c:pt idx="272">
                        <c:v>0.0165634747863128</c:v>
                      </c:pt>
                      <c:pt idx="273">
                        <c:v>0.0165634747863128</c:v>
                      </c:pt>
                      <c:pt idx="274">
                        <c:v>0.0165634747863128</c:v>
                      </c:pt>
                      <c:pt idx="275">
                        <c:v>0.0165634747863128</c:v>
                      </c:pt>
                      <c:pt idx="276">
                        <c:v>0.0165634747863128</c:v>
                      </c:pt>
                      <c:pt idx="277">
                        <c:v>0.0165634747863128</c:v>
                      </c:pt>
                      <c:pt idx="278">
                        <c:v>0.0165634747863128</c:v>
                      </c:pt>
                      <c:pt idx="279">
                        <c:v>0.0165634747863128</c:v>
                      </c:pt>
                      <c:pt idx="280">
                        <c:v>0.0165634747863128</c:v>
                      </c:pt>
                      <c:pt idx="281">
                        <c:v>0.0165634747863128</c:v>
                      </c:pt>
                      <c:pt idx="282">
                        <c:v>0.0165634747863128</c:v>
                      </c:pt>
                      <c:pt idx="283">
                        <c:v>0.0165634747863128</c:v>
                      </c:pt>
                      <c:pt idx="284">
                        <c:v>0.0165634747863128</c:v>
                      </c:pt>
                      <c:pt idx="285">
                        <c:v>0.0165634747863128</c:v>
                      </c:pt>
                      <c:pt idx="286">
                        <c:v>0.0165634747863128</c:v>
                      </c:pt>
                      <c:pt idx="287">
                        <c:v>0.0165634747863128</c:v>
                      </c:pt>
                      <c:pt idx="288">
                        <c:v>0.0165634747863128</c:v>
                      </c:pt>
                      <c:pt idx="289">
                        <c:v>0.0165634747863128</c:v>
                      </c:pt>
                      <c:pt idx="290">
                        <c:v>0.0165634747863128</c:v>
                      </c:pt>
                      <c:pt idx="291">
                        <c:v>0.0165634747863128</c:v>
                      </c:pt>
                      <c:pt idx="292">
                        <c:v>0.0165634747863128</c:v>
                      </c:pt>
                      <c:pt idx="293">
                        <c:v>0.0165634747863128</c:v>
                      </c:pt>
                      <c:pt idx="294">
                        <c:v>0.0165634747863128</c:v>
                      </c:pt>
                      <c:pt idx="295">
                        <c:v>0.0165634747863128</c:v>
                      </c:pt>
                      <c:pt idx="296">
                        <c:v>0.0165634747863128</c:v>
                      </c:pt>
                      <c:pt idx="297">
                        <c:v>0.0165634747863128</c:v>
                      </c:pt>
                      <c:pt idx="298">
                        <c:v>0.0165634747863128</c:v>
                      </c:pt>
                      <c:pt idx="299">
                        <c:v>0.0165634747863128</c:v>
                      </c:pt>
                      <c:pt idx="300">
                        <c:v>0.0165634747863128</c:v>
                      </c:pt>
                      <c:pt idx="301">
                        <c:v>0.0165634747863128</c:v>
                      </c:pt>
                      <c:pt idx="302">
                        <c:v>0.0165634747863128</c:v>
                      </c:pt>
                      <c:pt idx="303">
                        <c:v>0.0165634747863128</c:v>
                      </c:pt>
                      <c:pt idx="304">
                        <c:v>0.0165634747863128</c:v>
                      </c:pt>
                      <c:pt idx="305">
                        <c:v>0.0165634747863128</c:v>
                      </c:pt>
                      <c:pt idx="306">
                        <c:v>0.0165634747863128</c:v>
                      </c:pt>
                      <c:pt idx="307">
                        <c:v>0.0165634747863128</c:v>
                      </c:pt>
                      <c:pt idx="308">
                        <c:v>0.0165634747863128</c:v>
                      </c:pt>
                      <c:pt idx="309">
                        <c:v>0.0165634747863128</c:v>
                      </c:pt>
                      <c:pt idx="310">
                        <c:v>0.0165634747863128</c:v>
                      </c:pt>
                      <c:pt idx="311">
                        <c:v>0.0165634747863128</c:v>
                      </c:pt>
                      <c:pt idx="312">
                        <c:v>0.0165634747863128</c:v>
                      </c:pt>
                      <c:pt idx="313">
                        <c:v>0.0165634747863128</c:v>
                      </c:pt>
                      <c:pt idx="314">
                        <c:v>0.0165634747863128</c:v>
                      </c:pt>
                      <c:pt idx="315">
                        <c:v>0.0165634747863128</c:v>
                      </c:pt>
                      <c:pt idx="316">
                        <c:v>0.0165634747863128</c:v>
                      </c:pt>
                      <c:pt idx="317">
                        <c:v>0.0165634747863128</c:v>
                      </c:pt>
                      <c:pt idx="318">
                        <c:v>0.0165634747863128</c:v>
                      </c:pt>
                      <c:pt idx="319">
                        <c:v>0.0165634747863128</c:v>
                      </c:pt>
                      <c:pt idx="320">
                        <c:v>0.0165634747863128</c:v>
                      </c:pt>
                      <c:pt idx="321">
                        <c:v>0.0165634747863128</c:v>
                      </c:pt>
                      <c:pt idx="322">
                        <c:v>0.0165634747863128</c:v>
                      </c:pt>
                      <c:pt idx="323">
                        <c:v>0.0165634747863128</c:v>
                      </c:pt>
                      <c:pt idx="324">
                        <c:v>0.0165634747863128</c:v>
                      </c:pt>
                      <c:pt idx="325">
                        <c:v>0.0165634747863128</c:v>
                      </c:pt>
                      <c:pt idx="326">
                        <c:v>0.0165634747863128</c:v>
                      </c:pt>
                      <c:pt idx="327">
                        <c:v>0.0165634747863128</c:v>
                      </c:pt>
                      <c:pt idx="328">
                        <c:v>0.0165634747863128</c:v>
                      </c:pt>
                      <c:pt idx="329">
                        <c:v>0.0165634747863128</c:v>
                      </c:pt>
                      <c:pt idx="330">
                        <c:v>0.0165634747863128</c:v>
                      </c:pt>
                      <c:pt idx="331">
                        <c:v>0.0165634747863128</c:v>
                      </c:pt>
                      <c:pt idx="332">
                        <c:v>0.0165634747863128</c:v>
                      </c:pt>
                      <c:pt idx="333">
                        <c:v>0.0165634747863128</c:v>
                      </c:pt>
                      <c:pt idx="334">
                        <c:v>0.0165634747863128</c:v>
                      </c:pt>
                      <c:pt idx="335">
                        <c:v>0.0165634747863128</c:v>
                      </c:pt>
                      <c:pt idx="336">
                        <c:v>0.0165634747863128</c:v>
                      </c:pt>
                      <c:pt idx="337">
                        <c:v>0.0165634747863128</c:v>
                      </c:pt>
                      <c:pt idx="338">
                        <c:v>0.0165634747863128</c:v>
                      </c:pt>
                      <c:pt idx="339">
                        <c:v>0.0165634747863128</c:v>
                      </c:pt>
                      <c:pt idx="340">
                        <c:v>0.0165634747863128</c:v>
                      </c:pt>
                      <c:pt idx="341">
                        <c:v>0.0165634747863128</c:v>
                      </c:pt>
                      <c:pt idx="342">
                        <c:v>0.0165634747863128</c:v>
                      </c:pt>
                      <c:pt idx="343">
                        <c:v>0.0165634747863128</c:v>
                      </c:pt>
                      <c:pt idx="344">
                        <c:v>0.0165634747863128</c:v>
                      </c:pt>
                      <c:pt idx="345">
                        <c:v>0.0165634747863128</c:v>
                      </c:pt>
                      <c:pt idx="346">
                        <c:v>0.0165634747863128</c:v>
                      </c:pt>
                      <c:pt idx="347">
                        <c:v>0.0165634747863128</c:v>
                      </c:pt>
                      <c:pt idx="348">
                        <c:v>0.0165634747863128</c:v>
                      </c:pt>
                      <c:pt idx="349">
                        <c:v>0.0165634747863128</c:v>
                      </c:pt>
                      <c:pt idx="350">
                        <c:v>0.0165634747863128</c:v>
                      </c:pt>
                      <c:pt idx="351">
                        <c:v>0.0165634747863128</c:v>
                      </c:pt>
                      <c:pt idx="352">
                        <c:v>0.0165634747863128</c:v>
                      </c:pt>
                      <c:pt idx="353">
                        <c:v>0.0165634747863128</c:v>
                      </c:pt>
                      <c:pt idx="354">
                        <c:v>0.0165634747863128</c:v>
                      </c:pt>
                      <c:pt idx="355">
                        <c:v>0.0165634747863128</c:v>
                      </c:pt>
                      <c:pt idx="356">
                        <c:v>0.0165634747863128</c:v>
                      </c:pt>
                      <c:pt idx="357">
                        <c:v>0.0165634747863128</c:v>
                      </c:pt>
                      <c:pt idx="358">
                        <c:v>0.0165634747863128</c:v>
                      </c:pt>
                      <c:pt idx="359">
                        <c:v>0.0165634747863128</c:v>
                      </c:pt>
                      <c:pt idx="360">
                        <c:v>0.0165634747863128</c:v>
                      </c:pt>
                      <c:pt idx="361">
                        <c:v>0.0165634747863128</c:v>
                      </c:pt>
                      <c:pt idx="362">
                        <c:v>0.0165634747863128</c:v>
                      </c:pt>
                      <c:pt idx="363">
                        <c:v>0.0165634747863128</c:v>
                      </c:pt>
                      <c:pt idx="364">
                        <c:v>0.0165634747863128</c:v>
                      </c:pt>
                      <c:pt idx="365">
                        <c:v>0.0165634747863128</c:v>
                      </c:pt>
                      <c:pt idx="366">
                        <c:v>0.0165634747863128</c:v>
                      </c:pt>
                      <c:pt idx="367">
                        <c:v>0.0165634747863128</c:v>
                      </c:pt>
                      <c:pt idx="368">
                        <c:v>0.0165634747863128</c:v>
                      </c:pt>
                      <c:pt idx="369">
                        <c:v>0.0165634747863128</c:v>
                      </c:pt>
                      <c:pt idx="370">
                        <c:v>0.0165634747863128</c:v>
                      </c:pt>
                      <c:pt idx="371">
                        <c:v>0.0165634747863128</c:v>
                      </c:pt>
                      <c:pt idx="372">
                        <c:v>0.0165634747863128</c:v>
                      </c:pt>
                      <c:pt idx="373">
                        <c:v>0.0165634747863128</c:v>
                      </c:pt>
                      <c:pt idx="374">
                        <c:v>0.0165634747863128</c:v>
                      </c:pt>
                      <c:pt idx="375">
                        <c:v>0.0165634747863128</c:v>
                      </c:pt>
                      <c:pt idx="376">
                        <c:v>0.0165634747863128</c:v>
                      </c:pt>
                      <c:pt idx="377">
                        <c:v>0.0165634747863128</c:v>
                      </c:pt>
                      <c:pt idx="378">
                        <c:v>0.0165634747863128</c:v>
                      </c:pt>
                      <c:pt idx="379">
                        <c:v>0.0165634747863128</c:v>
                      </c:pt>
                      <c:pt idx="380">
                        <c:v>0.0165634747863128</c:v>
                      </c:pt>
                      <c:pt idx="381">
                        <c:v>0.0165634747863128</c:v>
                      </c:pt>
                      <c:pt idx="382">
                        <c:v>0.0165634747863128</c:v>
                      </c:pt>
                      <c:pt idx="383">
                        <c:v>0.0165634747863128</c:v>
                      </c:pt>
                      <c:pt idx="384">
                        <c:v>0.0165634747863128</c:v>
                      </c:pt>
                      <c:pt idx="385">
                        <c:v>0.0165634747863128</c:v>
                      </c:pt>
                      <c:pt idx="386">
                        <c:v>0.0165634747863128</c:v>
                      </c:pt>
                      <c:pt idx="387">
                        <c:v>0.0165634747863128</c:v>
                      </c:pt>
                      <c:pt idx="388">
                        <c:v>0.0165634747863128</c:v>
                      </c:pt>
                      <c:pt idx="389">
                        <c:v>0.0165634747863128</c:v>
                      </c:pt>
                      <c:pt idx="390">
                        <c:v>0.0165634747863128</c:v>
                      </c:pt>
                      <c:pt idx="391">
                        <c:v>0.0165634747863128</c:v>
                      </c:pt>
                      <c:pt idx="392">
                        <c:v>0.0165634747863128</c:v>
                      </c:pt>
                      <c:pt idx="393">
                        <c:v>0.0165634747863128</c:v>
                      </c:pt>
                      <c:pt idx="394">
                        <c:v>0.0165634747863128</c:v>
                      </c:pt>
                      <c:pt idx="395">
                        <c:v>0.0165634747863128</c:v>
                      </c:pt>
                      <c:pt idx="396">
                        <c:v>0.0165634747863128</c:v>
                      </c:pt>
                      <c:pt idx="397">
                        <c:v>0.0165634747863128</c:v>
                      </c:pt>
                      <c:pt idx="398">
                        <c:v>0.0165634747863128</c:v>
                      </c:pt>
                      <c:pt idx="399">
                        <c:v>0.0165634747863128</c:v>
                      </c:pt>
                      <c:pt idx="400">
                        <c:v>0.0165634747863128</c:v>
                      </c:pt>
                      <c:pt idx="401">
                        <c:v>0.0165634747863128</c:v>
                      </c:pt>
                      <c:pt idx="402">
                        <c:v>0.0165634747863128</c:v>
                      </c:pt>
                      <c:pt idx="403">
                        <c:v>0.0165634747863128</c:v>
                      </c:pt>
                      <c:pt idx="404">
                        <c:v>0.0165634747863128</c:v>
                      </c:pt>
                      <c:pt idx="405">
                        <c:v>0.0165634747863128</c:v>
                      </c:pt>
                      <c:pt idx="406">
                        <c:v>0.0165634747863128</c:v>
                      </c:pt>
                      <c:pt idx="407">
                        <c:v>0.0165634747863128</c:v>
                      </c:pt>
                      <c:pt idx="408">
                        <c:v>0.0165634747863128</c:v>
                      </c:pt>
                      <c:pt idx="409">
                        <c:v>0.0165634747863128</c:v>
                      </c:pt>
                      <c:pt idx="410">
                        <c:v>0.0165634747863128</c:v>
                      </c:pt>
                      <c:pt idx="411">
                        <c:v>0.0165634747863128</c:v>
                      </c:pt>
                      <c:pt idx="412">
                        <c:v>0.0165634747863128</c:v>
                      </c:pt>
                      <c:pt idx="413">
                        <c:v>0.0165634747863128</c:v>
                      </c:pt>
                      <c:pt idx="414">
                        <c:v>0.0165634747863128</c:v>
                      </c:pt>
                      <c:pt idx="415">
                        <c:v>0.0165634747863128</c:v>
                      </c:pt>
                      <c:pt idx="416">
                        <c:v>0.0165634747863128</c:v>
                      </c:pt>
                      <c:pt idx="417">
                        <c:v>0.0165634747863128</c:v>
                      </c:pt>
                      <c:pt idx="418">
                        <c:v>0.0165634747863128</c:v>
                      </c:pt>
                      <c:pt idx="419">
                        <c:v>0.0165634747863128</c:v>
                      </c:pt>
                      <c:pt idx="420">
                        <c:v>0.0165634747863128</c:v>
                      </c:pt>
                      <c:pt idx="421">
                        <c:v>0.0165634747863128</c:v>
                      </c:pt>
                      <c:pt idx="422">
                        <c:v>0.0165634747863128</c:v>
                      </c:pt>
                      <c:pt idx="423">
                        <c:v>0.0165634747863128</c:v>
                      </c:pt>
                      <c:pt idx="424">
                        <c:v>0.0165634747863128</c:v>
                      </c:pt>
                      <c:pt idx="425">
                        <c:v>0.0165634747863128</c:v>
                      </c:pt>
                      <c:pt idx="426">
                        <c:v>0.0165634747863128</c:v>
                      </c:pt>
                      <c:pt idx="427">
                        <c:v>0.0165634747863128</c:v>
                      </c:pt>
                      <c:pt idx="428">
                        <c:v>0.0165634747863128</c:v>
                      </c:pt>
                      <c:pt idx="429">
                        <c:v>0.0165634747863128</c:v>
                      </c:pt>
                      <c:pt idx="430">
                        <c:v>0.0165634747863128</c:v>
                      </c:pt>
                      <c:pt idx="431">
                        <c:v>0.0165634747863128</c:v>
                      </c:pt>
                      <c:pt idx="432">
                        <c:v>0.0165634747863128</c:v>
                      </c:pt>
                      <c:pt idx="433">
                        <c:v>0.0165634747863128</c:v>
                      </c:pt>
                      <c:pt idx="434">
                        <c:v>0.0165634747863128</c:v>
                      </c:pt>
                      <c:pt idx="435">
                        <c:v>0.0165634747863128</c:v>
                      </c:pt>
                      <c:pt idx="436">
                        <c:v>0.0165634747863128</c:v>
                      </c:pt>
                      <c:pt idx="437">
                        <c:v>0.0165634747863128</c:v>
                      </c:pt>
                      <c:pt idx="438">
                        <c:v>0.0165634747863128</c:v>
                      </c:pt>
                      <c:pt idx="439">
                        <c:v>0.0165634747863128</c:v>
                      </c:pt>
                      <c:pt idx="440">
                        <c:v>0.0165634747863128</c:v>
                      </c:pt>
                      <c:pt idx="441">
                        <c:v>0.0165634747863128</c:v>
                      </c:pt>
                      <c:pt idx="442">
                        <c:v>0.0165634747863128</c:v>
                      </c:pt>
                      <c:pt idx="443">
                        <c:v>0.0165634747863128</c:v>
                      </c:pt>
                      <c:pt idx="444">
                        <c:v>0.0165634747863128</c:v>
                      </c:pt>
                      <c:pt idx="445">
                        <c:v>0.0165634747863128</c:v>
                      </c:pt>
                      <c:pt idx="446">
                        <c:v>0.0165634747863128</c:v>
                      </c:pt>
                      <c:pt idx="447">
                        <c:v>0.0165634747863128</c:v>
                      </c:pt>
                      <c:pt idx="448">
                        <c:v>0.0165634747863128</c:v>
                      </c:pt>
                      <c:pt idx="449">
                        <c:v>0.0165634747863128</c:v>
                      </c:pt>
                      <c:pt idx="450">
                        <c:v>0.0165634747863128</c:v>
                      </c:pt>
                      <c:pt idx="451">
                        <c:v>0.0165634747863128</c:v>
                      </c:pt>
                      <c:pt idx="452">
                        <c:v>0.0165634747863128</c:v>
                      </c:pt>
                      <c:pt idx="453">
                        <c:v>0.0165634747863128</c:v>
                      </c:pt>
                      <c:pt idx="454">
                        <c:v>0.0165634747863128</c:v>
                      </c:pt>
                      <c:pt idx="455">
                        <c:v>0.0165634747863128</c:v>
                      </c:pt>
                      <c:pt idx="456">
                        <c:v>0.0165634747863128</c:v>
                      </c:pt>
                      <c:pt idx="457">
                        <c:v>0.0165634747863128</c:v>
                      </c:pt>
                      <c:pt idx="458">
                        <c:v>0.0165634747863128</c:v>
                      </c:pt>
                      <c:pt idx="459">
                        <c:v>0.0165634747863128</c:v>
                      </c:pt>
                      <c:pt idx="460">
                        <c:v>0.0165634747863128</c:v>
                      </c:pt>
                      <c:pt idx="461">
                        <c:v>0.0165634747863128</c:v>
                      </c:pt>
                      <c:pt idx="462">
                        <c:v>0.0165634747863128</c:v>
                      </c:pt>
                      <c:pt idx="463">
                        <c:v>0.0165634747863128</c:v>
                      </c:pt>
                      <c:pt idx="464">
                        <c:v>0.0165634747863128</c:v>
                      </c:pt>
                      <c:pt idx="465">
                        <c:v>0.0165634747863128</c:v>
                      </c:pt>
                      <c:pt idx="466">
                        <c:v>0.0165634747863128</c:v>
                      </c:pt>
                      <c:pt idx="467">
                        <c:v>0.0165634747863128</c:v>
                      </c:pt>
                      <c:pt idx="468">
                        <c:v>0.0165634747863128</c:v>
                      </c:pt>
                      <c:pt idx="469">
                        <c:v>0.0165634747863128</c:v>
                      </c:pt>
                      <c:pt idx="470">
                        <c:v>0.0165634747863128</c:v>
                      </c:pt>
                      <c:pt idx="471">
                        <c:v>0.0165634747863128</c:v>
                      </c:pt>
                      <c:pt idx="472">
                        <c:v>0.0165634747863128</c:v>
                      </c:pt>
                      <c:pt idx="473">
                        <c:v>0.0165634747863128</c:v>
                      </c:pt>
                      <c:pt idx="474">
                        <c:v>0.0165634747863128</c:v>
                      </c:pt>
                      <c:pt idx="475">
                        <c:v>0.0165634747863128</c:v>
                      </c:pt>
                      <c:pt idx="476">
                        <c:v>0.0165634747863128</c:v>
                      </c:pt>
                      <c:pt idx="477">
                        <c:v>0.0165634747863128</c:v>
                      </c:pt>
                      <c:pt idx="478">
                        <c:v>0.0165634747863128</c:v>
                      </c:pt>
                      <c:pt idx="479">
                        <c:v>0.0165634747863128</c:v>
                      </c:pt>
                      <c:pt idx="480">
                        <c:v>0.0165634747863128</c:v>
                      </c:pt>
                      <c:pt idx="481">
                        <c:v>0.0165634747863128</c:v>
                      </c:pt>
                      <c:pt idx="482">
                        <c:v>0.0165634747863128</c:v>
                      </c:pt>
                      <c:pt idx="483">
                        <c:v>0.0165634747863128</c:v>
                      </c:pt>
                      <c:pt idx="484">
                        <c:v>0.0165634747863128</c:v>
                      </c:pt>
                      <c:pt idx="485">
                        <c:v>0.0165634747863128</c:v>
                      </c:pt>
                      <c:pt idx="486">
                        <c:v>0.0165634747863128</c:v>
                      </c:pt>
                      <c:pt idx="487">
                        <c:v>0.0165634747863128</c:v>
                      </c:pt>
                      <c:pt idx="488">
                        <c:v>0.0165634747863128</c:v>
                      </c:pt>
                      <c:pt idx="489">
                        <c:v>0.0165634747863128</c:v>
                      </c:pt>
                      <c:pt idx="490">
                        <c:v>0.0165634747863128</c:v>
                      </c:pt>
                      <c:pt idx="491">
                        <c:v>0.0165634747863128</c:v>
                      </c:pt>
                      <c:pt idx="492">
                        <c:v>0.0165634747863128</c:v>
                      </c:pt>
                      <c:pt idx="493">
                        <c:v>0.0165634747863128</c:v>
                      </c:pt>
                      <c:pt idx="494">
                        <c:v>0.0165634747863128</c:v>
                      </c:pt>
                      <c:pt idx="495">
                        <c:v>0.0165634747863128</c:v>
                      </c:pt>
                      <c:pt idx="496">
                        <c:v>0.0165634747863128</c:v>
                      </c:pt>
                      <c:pt idx="497">
                        <c:v>0.0165634747863128</c:v>
                      </c:pt>
                      <c:pt idx="498">
                        <c:v>0.0165634747863128</c:v>
                      </c:pt>
                      <c:pt idx="499">
                        <c:v>0.0165634747863128</c:v>
                      </c:pt>
                      <c:pt idx="500">
                        <c:v>0.0165634747863128</c:v>
                      </c:pt>
                      <c:pt idx="501">
                        <c:v>0.0165634747863128</c:v>
                      </c:pt>
                      <c:pt idx="502">
                        <c:v>0.0165634747863128</c:v>
                      </c:pt>
                      <c:pt idx="503">
                        <c:v>0.0165634747863128</c:v>
                      </c:pt>
                      <c:pt idx="504">
                        <c:v>0.0165634747863128</c:v>
                      </c:pt>
                      <c:pt idx="505">
                        <c:v>0.0165634747863128</c:v>
                      </c:pt>
                      <c:pt idx="506">
                        <c:v>0.0165634747863128</c:v>
                      </c:pt>
                      <c:pt idx="507">
                        <c:v>0.0165634747863128</c:v>
                      </c:pt>
                      <c:pt idx="508">
                        <c:v>0.0165634747863128</c:v>
                      </c:pt>
                      <c:pt idx="509">
                        <c:v>0.0165634747863128</c:v>
                      </c:pt>
                      <c:pt idx="510">
                        <c:v>0.0165634747863128</c:v>
                      </c:pt>
                      <c:pt idx="511">
                        <c:v>0.0165634747863128</c:v>
                      </c:pt>
                      <c:pt idx="512">
                        <c:v>0.0165634747863128</c:v>
                      </c:pt>
                      <c:pt idx="513">
                        <c:v>0.0165634747863128</c:v>
                      </c:pt>
                      <c:pt idx="514">
                        <c:v>0.0165634747863128</c:v>
                      </c:pt>
                      <c:pt idx="515">
                        <c:v>0.0165634747863128</c:v>
                      </c:pt>
                      <c:pt idx="516">
                        <c:v>0.0165634747863128</c:v>
                      </c:pt>
                      <c:pt idx="517">
                        <c:v>0.0165634747863128</c:v>
                      </c:pt>
                      <c:pt idx="518">
                        <c:v>0.0165634747863128</c:v>
                      </c:pt>
                      <c:pt idx="519">
                        <c:v>0.0165634747863128</c:v>
                      </c:pt>
                      <c:pt idx="520">
                        <c:v>0.0165634747863128</c:v>
                      </c:pt>
                      <c:pt idx="521">
                        <c:v>0.0165634747863128</c:v>
                      </c:pt>
                      <c:pt idx="522">
                        <c:v>0.0165634747863128</c:v>
                      </c:pt>
                      <c:pt idx="523">
                        <c:v>0.0165634747863128</c:v>
                      </c:pt>
                      <c:pt idx="524">
                        <c:v>0.0165634747863128</c:v>
                      </c:pt>
                      <c:pt idx="525">
                        <c:v>0.0165634747863128</c:v>
                      </c:pt>
                      <c:pt idx="526">
                        <c:v>0.0165634747863128</c:v>
                      </c:pt>
                      <c:pt idx="527">
                        <c:v>0.0165634747863128</c:v>
                      </c:pt>
                      <c:pt idx="528">
                        <c:v>0.0165634747863128</c:v>
                      </c:pt>
                      <c:pt idx="529">
                        <c:v>0.0165634747863128</c:v>
                      </c:pt>
                      <c:pt idx="530">
                        <c:v>0.0165634747863128</c:v>
                      </c:pt>
                      <c:pt idx="531">
                        <c:v>0.0165634747863128</c:v>
                      </c:pt>
                      <c:pt idx="532">
                        <c:v>0.0165634747863128</c:v>
                      </c:pt>
                      <c:pt idx="533">
                        <c:v>0.0165634747863128</c:v>
                      </c:pt>
                      <c:pt idx="534">
                        <c:v>0.0165634747863128</c:v>
                      </c:pt>
                      <c:pt idx="535">
                        <c:v>0.0165634747863128</c:v>
                      </c:pt>
                      <c:pt idx="536">
                        <c:v>0.0165634747863128</c:v>
                      </c:pt>
                      <c:pt idx="537">
                        <c:v>0.0165634747863128</c:v>
                      </c:pt>
                      <c:pt idx="538">
                        <c:v>0.0165634747863128</c:v>
                      </c:pt>
                      <c:pt idx="539">
                        <c:v>0.0165634747863128</c:v>
                      </c:pt>
                      <c:pt idx="540">
                        <c:v>0.0165634747863128</c:v>
                      </c:pt>
                      <c:pt idx="541">
                        <c:v>0.0165634747863128</c:v>
                      </c:pt>
                      <c:pt idx="542">
                        <c:v>0.0165634747863128</c:v>
                      </c:pt>
                      <c:pt idx="543">
                        <c:v>0.0165634747863128</c:v>
                      </c:pt>
                      <c:pt idx="544">
                        <c:v>0.0165634747863128</c:v>
                      </c:pt>
                      <c:pt idx="545">
                        <c:v>0.0165634747863128</c:v>
                      </c:pt>
                      <c:pt idx="546">
                        <c:v>0.0165634747863128</c:v>
                      </c:pt>
                      <c:pt idx="547">
                        <c:v>0.0165634747863128</c:v>
                      </c:pt>
                      <c:pt idx="548">
                        <c:v>0.0165634747863128</c:v>
                      </c:pt>
                      <c:pt idx="549">
                        <c:v>0.0165634747863128</c:v>
                      </c:pt>
                      <c:pt idx="550">
                        <c:v>0.0165634747863128</c:v>
                      </c:pt>
                      <c:pt idx="551">
                        <c:v>0.0165634747863128</c:v>
                      </c:pt>
                      <c:pt idx="552">
                        <c:v>0.0165634747863128</c:v>
                      </c:pt>
                      <c:pt idx="553">
                        <c:v>0.0165634747863128</c:v>
                      </c:pt>
                      <c:pt idx="554">
                        <c:v>0.0165634747863128</c:v>
                      </c:pt>
                      <c:pt idx="555">
                        <c:v>0.0165634747863128</c:v>
                      </c:pt>
                      <c:pt idx="556">
                        <c:v>0.0165634747863128</c:v>
                      </c:pt>
                      <c:pt idx="557">
                        <c:v>0.0165634747863128</c:v>
                      </c:pt>
                      <c:pt idx="558">
                        <c:v>0.0165634747863128</c:v>
                      </c:pt>
                      <c:pt idx="559">
                        <c:v>0.0165634747863128</c:v>
                      </c:pt>
                      <c:pt idx="560">
                        <c:v>0.0165634747863128</c:v>
                      </c:pt>
                      <c:pt idx="561">
                        <c:v>0.0165634747863128</c:v>
                      </c:pt>
                      <c:pt idx="562">
                        <c:v>0.0165634747863128</c:v>
                      </c:pt>
                      <c:pt idx="563">
                        <c:v>0.0165634747863128</c:v>
                      </c:pt>
                      <c:pt idx="564">
                        <c:v>0.0165634747863128</c:v>
                      </c:pt>
                      <c:pt idx="565">
                        <c:v>0.0165634747863128</c:v>
                      </c:pt>
                      <c:pt idx="566">
                        <c:v>0.0165634747863128</c:v>
                      </c:pt>
                      <c:pt idx="567">
                        <c:v>0.0165634747863128</c:v>
                      </c:pt>
                      <c:pt idx="568">
                        <c:v>0.0165634747863128</c:v>
                      </c:pt>
                      <c:pt idx="569">
                        <c:v>0.0165634747863128</c:v>
                      </c:pt>
                      <c:pt idx="570">
                        <c:v>0.0165634747863128</c:v>
                      </c:pt>
                      <c:pt idx="571">
                        <c:v>0.0165634747863128</c:v>
                      </c:pt>
                      <c:pt idx="572">
                        <c:v>0.0165634747863128</c:v>
                      </c:pt>
                      <c:pt idx="573">
                        <c:v>0.0165634747863128</c:v>
                      </c:pt>
                      <c:pt idx="574">
                        <c:v>0.0165634747863128</c:v>
                      </c:pt>
                      <c:pt idx="575">
                        <c:v>0.0165634747863128</c:v>
                      </c:pt>
                      <c:pt idx="576">
                        <c:v>0.0165634747863128</c:v>
                      </c:pt>
                      <c:pt idx="577">
                        <c:v>0.0165634747863128</c:v>
                      </c:pt>
                      <c:pt idx="578">
                        <c:v>0.0165634747863128</c:v>
                      </c:pt>
                      <c:pt idx="579">
                        <c:v>0.0165634747863128</c:v>
                      </c:pt>
                      <c:pt idx="580">
                        <c:v>0.0165634747863128</c:v>
                      </c:pt>
                      <c:pt idx="581">
                        <c:v>0.0165634747863128</c:v>
                      </c:pt>
                      <c:pt idx="582">
                        <c:v>0.0165634747863128</c:v>
                      </c:pt>
                      <c:pt idx="583">
                        <c:v>0.0165634747863128</c:v>
                      </c:pt>
                      <c:pt idx="584">
                        <c:v>0.0165634747863128</c:v>
                      </c:pt>
                      <c:pt idx="585">
                        <c:v>0.0165634747863128</c:v>
                      </c:pt>
                      <c:pt idx="586">
                        <c:v>0.0165634747863128</c:v>
                      </c:pt>
                      <c:pt idx="587">
                        <c:v>0.0165634747863128</c:v>
                      </c:pt>
                      <c:pt idx="588">
                        <c:v>0.0165634747863128</c:v>
                      </c:pt>
                      <c:pt idx="589">
                        <c:v>0.0165634747863128</c:v>
                      </c:pt>
                      <c:pt idx="590">
                        <c:v>0.0165634747863128</c:v>
                      </c:pt>
                      <c:pt idx="591">
                        <c:v>0.0165634747863128</c:v>
                      </c:pt>
                      <c:pt idx="592">
                        <c:v>0.0165634747863128</c:v>
                      </c:pt>
                      <c:pt idx="593">
                        <c:v>0.0165634747863128</c:v>
                      </c:pt>
                      <c:pt idx="594">
                        <c:v>0.0165634747863128</c:v>
                      </c:pt>
                      <c:pt idx="595">
                        <c:v>0.0165634747863128</c:v>
                      </c:pt>
                      <c:pt idx="596">
                        <c:v>0.0165634747863128</c:v>
                      </c:pt>
                      <c:pt idx="597">
                        <c:v>0.0165634747863128</c:v>
                      </c:pt>
                      <c:pt idx="598">
                        <c:v>0.0165634747863128</c:v>
                      </c:pt>
                      <c:pt idx="599">
                        <c:v>0.0165634747863128</c:v>
                      </c:pt>
                      <c:pt idx="600">
                        <c:v>0.0165634747863128</c:v>
                      </c:pt>
                      <c:pt idx="601">
                        <c:v>0.0165634747863128</c:v>
                      </c:pt>
                      <c:pt idx="602">
                        <c:v>0.0165634747863128</c:v>
                      </c:pt>
                      <c:pt idx="603">
                        <c:v>0.0165634747863128</c:v>
                      </c:pt>
                      <c:pt idx="604">
                        <c:v>0.0165634747863128</c:v>
                      </c:pt>
                      <c:pt idx="605">
                        <c:v>0.0165634747863128</c:v>
                      </c:pt>
                      <c:pt idx="606">
                        <c:v>0.0165634747863128</c:v>
                      </c:pt>
                      <c:pt idx="607">
                        <c:v>0.0165634747863128</c:v>
                      </c:pt>
                      <c:pt idx="608">
                        <c:v>0.0165634747863128</c:v>
                      </c:pt>
                      <c:pt idx="609">
                        <c:v>0.0165634747863128</c:v>
                      </c:pt>
                      <c:pt idx="610">
                        <c:v>0.0165634747863128</c:v>
                      </c:pt>
                      <c:pt idx="611">
                        <c:v>0.0165634747863128</c:v>
                      </c:pt>
                      <c:pt idx="612">
                        <c:v>0.0165634747863128</c:v>
                      </c:pt>
                      <c:pt idx="613">
                        <c:v>0.0165634747863128</c:v>
                      </c:pt>
                      <c:pt idx="614">
                        <c:v>0.0165634747863128</c:v>
                      </c:pt>
                      <c:pt idx="615">
                        <c:v>0.0165634747863128</c:v>
                      </c:pt>
                      <c:pt idx="616">
                        <c:v>0.0165634747863128</c:v>
                      </c:pt>
                      <c:pt idx="617">
                        <c:v>0.0165634747863128</c:v>
                      </c:pt>
                      <c:pt idx="618">
                        <c:v>0.0165634747863128</c:v>
                      </c:pt>
                      <c:pt idx="619">
                        <c:v>0.0165634747863128</c:v>
                      </c:pt>
                      <c:pt idx="620">
                        <c:v>0.0165634747863128</c:v>
                      </c:pt>
                      <c:pt idx="621">
                        <c:v>0.0165634747863128</c:v>
                      </c:pt>
                      <c:pt idx="622">
                        <c:v>0.0165634747863128</c:v>
                      </c:pt>
                      <c:pt idx="623">
                        <c:v>0.0165634747863128</c:v>
                      </c:pt>
                      <c:pt idx="624">
                        <c:v>0.0165634747863128</c:v>
                      </c:pt>
                      <c:pt idx="625">
                        <c:v>0.0165634747863128</c:v>
                      </c:pt>
                      <c:pt idx="626">
                        <c:v>0.0165634747863128</c:v>
                      </c:pt>
                      <c:pt idx="627">
                        <c:v>0.0165634747863128</c:v>
                      </c:pt>
                      <c:pt idx="628">
                        <c:v>0.0165634747863128</c:v>
                      </c:pt>
                      <c:pt idx="629">
                        <c:v>0.0165634747863128</c:v>
                      </c:pt>
                      <c:pt idx="630">
                        <c:v>0.0165634747863128</c:v>
                      </c:pt>
                      <c:pt idx="631">
                        <c:v>0.0165634747863128</c:v>
                      </c:pt>
                      <c:pt idx="632">
                        <c:v>0.0165634747863128</c:v>
                      </c:pt>
                      <c:pt idx="633">
                        <c:v>0.0165634747863128</c:v>
                      </c:pt>
                      <c:pt idx="634">
                        <c:v>0.0165634747863128</c:v>
                      </c:pt>
                      <c:pt idx="635">
                        <c:v>0.0165634747863128</c:v>
                      </c:pt>
                      <c:pt idx="636">
                        <c:v>0.0165634747863128</c:v>
                      </c:pt>
                      <c:pt idx="637">
                        <c:v>0.0165634747863128</c:v>
                      </c:pt>
                      <c:pt idx="638">
                        <c:v>0.0165634747863128</c:v>
                      </c:pt>
                      <c:pt idx="639">
                        <c:v>0.0165634747863128</c:v>
                      </c:pt>
                      <c:pt idx="640">
                        <c:v>0.0165634747863128</c:v>
                      </c:pt>
                      <c:pt idx="641">
                        <c:v>0.0165634747863128</c:v>
                      </c:pt>
                      <c:pt idx="642">
                        <c:v>0.0165634747863128</c:v>
                      </c:pt>
                      <c:pt idx="643">
                        <c:v>0.0165634747863128</c:v>
                      </c:pt>
                      <c:pt idx="644">
                        <c:v>0.0165634747863128</c:v>
                      </c:pt>
                      <c:pt idx="645">
                        <c:v>0.0165634747863128</c:v>
                      </c:pt>
                      <c:pt idx="646">
                        <c:v>0.0165634747863128</c:v>
                      </c:pt>
                      <c:pt idx="647">
                        <c:v>0.0165634747863128</c:v>
                      </c:pt>
                      <c:pt idx="648">
                        <c:v>0.0165634747863128</c:v>
                      </c:pt>
                      <c:pt idx="649">
                        <c:v>0.0165634747863128</c:v>
                      </c:pt>
                      <c:pt idx="650">
                        <c:v>0.0165634747863128</c:v>
                      </c:pt>
                      <c:pt idx="651">
                        <c:v>0.0165634747863128</c:v>
                      </c:pt>
                      <c:pt idx="652">
                        <c:v>0.0165634747863128</c:v>
                      </c:pt>
                      <c:pt idx="653">
                        <c:v>0.0165634747863128</c:v>
                      </c:pt>
                      <c:pt idx="654">
                        <c:v>0.0165634747863128</c:v>
                      </c:pt>
                      <c:pt idx="655">
                        <c:v>0.0165634747863128</c:v>
                      </c:pt>
                      <c:pt idx="656">
                        <c:v>0.0165634747863128</c:v>
                      </c:pt>
                      <c:pt idx="657">
                        <c:v>0.0165634747863128</c:v>
                      </c:pt>
                      <c:pt idx="658">
                        <c:v>0.0165634747863128</c:v>
                      </c:pt>
                      <c:pt idx="659">
                        <c:v>0.0165634747863128</c:v>
                      </c:pt>
                      <c:pt idx="660">
                        <c:v>0.0165634747863128</c:v>
                      </c:pt>
                      <c:pt idx="661">
                        <c:v>0.0165634747863128</c:v>
                      </c:pt>
                      <c:pt idx="662">
                        <c:v>0.0165634747863128</c:v>
                      </c:pt>
                      <c:pt idx="663">
                        <c:v>0.0165634747863128</c:v>
                      </c:pt>
                      <c:pt idx="664">
                        <c:v>0.0165634747863128</c:v>
                      </c:pt>
                      <c:pt idx="665">
                        <c:v>0.0165634747863128</c:v>
                      </c:pt>
                      <c:pt idx="666">
                        <c:v>0.0165634747863128</c:v>
                      </c:pt>
                      <c:pt idx="667">
                        <c:v>0.0165634747863128</c:v>
                      </c:pt>
                      <c:pt idx="668">
                        <c:v>0.0165634747863128</c:v>
                      </c:pt>
                      <c:pt idx="669">
                        <c:v>0.0165634747863128</c:v>
                      </c:pt>
                      <c:pt idx="670">
                        <c:v>0.0165634747863128</c:v>
                      </c:pt>
                      <c:pt idx="671">
                        <c:v>0.0165634747863128</c:v>
                      </c:pt>
                      <c:pt idx="672">
                        <c:v>0.0165634747863128</c:v>
                      </c:pt>
                      <c:pt idx="673">
                        <c:v>0.0165634747863128</c:v>
                      </c:pt>
                      <c:pt idx="674">
                        <c:v>0.0165634747863128</c:v>
                      </c:pt>
                      <c:pt idx="675">
                        <c:v>0.0165634747863128</c:v>
                      </c:pt>
                      <c:pt idx="676">
                        <c:v>0.0165634747863128</c:v>
                      </c:pt>
                      <c:pt idx="677">
                        <c:v>0.0165634747863128</c:v>
                      </c:pt>
                      <c:pt idx="678">
                        <c:v>0.0165634747863128</c:v>
                      </c:pt>
                      <c:pt idx="679">
                        <c:v>0.0165634747863128</c:v>
                      </c:pt>
                      <c:pt idx="680">
                        <c:v>0.0165634747863128</c:v>
                      </c:pt>
                      <c:pt idx="681">
                        <c:v>0.0165634747863128</c:v>
                      </c:pt>
                      <c:pt idx="682">
                        <c:v>0.0165634747863128</c:v>
                      </c:pt>
                    </c:numCache>
                  </c:numRef>
                </c:yVal>
                <c:smooth val="0"/>
              </c15:ser>
            </c15:filteredScatterSeries>
          </c:ext>
        </c:extLst>
      </c:scatterChart>
      <c:scatterChart>
        <c:scatterStyle val="line"/>
        <c:varyColors val="0"/>
        <c:ser>
          <c:idx val="3"/>
          <c:order val="3"/>
          <c:tx>
            <c:strRef>
              <c:f>Sheet4!$D$1</c:f>
              <c:strCache>
                <c:ptCount val="1"/>
                <c:pt idx="0">
                  <c:v>总进度</c:v>
                </c:pt>
              </c:strCache>
            </c:strRef>
          </c:tx>
          <c:spPr>
            <a:ln w="28575" cap="rnd" cmpd="sng">
              <a:solidFill>
                <a:srgbClr val="92D050"/>
              </a:solidFill>
              <a:prstDash val="solid"/>
              <a:round/>
            </a:ln>
            <a:effectLst/>
            <a:sp3d contourW="28575"/>
          </c:spPr>
          <c:marker>
            <c:symbol val="none"/>
          </c:marker>
          <c:dLbls>
            <c:delete val="1"/>
          </c:dLbls>
          <c:xVal>
            <c:numRef>
              <c:f>Sheet4!$A$2:$A$684</c:f>
              <c:numCache>
                <c:formatCode>m"月"d"日";@</c:formatCode>
                <c:ptCount val="683"/>
                <c:pt idx="0">
                  <c:v>45333</c:v>
                </c:pt>
                <c:pt idx="1">
                  <c:v>45334</c:v>
                </c:pt>
                <c:pt idx="2">
                  <c:v>45335</c:v>
                </c:pt>
                <c:pt idx="3">
                  <c:v>45336</c:v>
                </c:pt>
                <c:pt idx="4">
                  <c:v>45337</c:v>
                </c:pt>
                <c:pt idx="5">
                  <c:v>45338</c:v>
                </c:pt>
                <c:pt idx="6">
                  <c:v>45339</c:v>
                </c:pt>
                <c:pt idx="7">
                  <c:v>45340</c:v>
                </c:pt>
                <c:pt idx="8">
                  <c:v>45341</c:v>
                </c:pt>
                <c:pt idx="9">
                  <c:v>45342</c:v>
                </c:pt>
                <c:pt idx="10">
                  <c:v>45343</c:v>
                </c:pt>
                <c:pt idx="11">
                  <c:v>45344</c:v>
                </c:pt>
                <c:pt idx="12">
                  <c:v>45345</c:v>
                </c:pt>
                <c:pt idx="13">
                  <c:v>45346</c:v>
                </c:pt>
                <c:pt idx="14">
                  <c:v>45347</c:v>
                </c:pt>
                <c:pt idx="15">
                  <c:v>45348</c:v>
                </c:pt>
                <c:pt idx="16">
                  <c:v>45349</c:v>
                </c:pt>
                <c:pt idx="17">
                  <c:v>45350</c:v>
                </c:pt>
                <c:pt idx="18">
                  <c:v>45351</c:v>
                </c:pt>
                <c:pt idx="19">
                  <c:v>45352</c:v>
                </c:pt>
                <c:pt idx="20">
                  <c:v>45353</c:v>
                </c:pt>
                <c:pt idx="21">
                  <c:v>45354</c:v>
                </c:pt>
                <c:pt idx="22">
                  <c:v>45355</c:v>
                </c:pt>
                <c:pt idx="23">
                  <c:v>45356</c:v>
                </c:pt>
                <c:pt idx="24">
                  <c:v>45357</c:v>
                </c:pt>
                <c:pt idx="25">
                  <c:v>45358</c:v>
                </c:pt>
                <c:pt idx="26">
                  <c:v>45359</c:v>
                </c:pt>
                <c:pt idx="27">
                  <c:v>45360</c:v>
                </c:pt>
                <c:pt idx="28">
                  <c:v>45361</c:v>
                </c:pt>
                <c:pt idx="29">
                  <c:v>45362</c:v>
                </c:pt>
                <c:pt idx="30">
                  <c:v>45363</c:v>
                </c:pt>
                <c:pt idx="31">
                  <c:v>45364</c:v>
                </c:pt>
                <c:pt idx="32">
                  <c:v>45365</c:v>
                </c:pt>
                <c:pt idx="33">
                  <c:v>45366</c:v>
                </c:pt>
                <c:pt idx="34">
                  <c:v>45367</c:v>
                </c:pt>
                <c:pt idx="35">
                  <c:v>45368</c:v>
                </c:pt>
                <c:pt idx="36">
                  <c:v>45369</c:v>
                </c:pt>
                <c:pt idx="37">
                  <c:v>45370</c:v>
                </c:pt>
                <c:pt idx="38">
                  <c:v>45371</c:v>
                </c:pt>
                <c:pt idx="39">
                  <c:v>45372</c:v>
                </c:pt>
                <c:pt idx="40">
                  <c:v>45373</c:v>
                </c:pt>
                <c:pt idx="41">
                  <c:v>45374</c:v>
                </c:pt>
                <c:pt idx="42">
                  <c:v>45375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45380</c:v>
                </c:pt>
                <c:pt idx="48">
                  <c:v>45381</c:v>
                </c:pt>
                <c:pt idx="49">
                  <c:v>45382</c:v>
                </c:pt>
                <c:pt idx="50">
                  <c:v>45383</c:v>
                </c:pt>
                <c:pt idx="51">
                  <c:v>45384</c:v>
                </c:pt>
                <c:pt idx="52">
                  <c:v>45385</c:v>
                </c:pt>
                <c:pt idx="53">
                  <c:v>45386</c:v>
                </c:pt>
                <c:pt idx="54">
                  <c:v>45387</c:v>
                </c:pt>
                <c:pt idx="55">
                  <c:v>45388</c:v>
                </c:pt>
                <c:pt idx="56">
                  <c:v>45389</c:v>
                </c:pt>
                <c:pt idx="57">
                  <c:v>45390</c:v>
                </c:pt>
                <c:pt idx="58">
                  <c:v>45391</c:v>
                </c:pt>
                <c:pt idx="59">
                  <c:v>45392</c:v>
                </c:pt>
                <c:pt idx="60">
                  <c:v>45393</c:v>
                </c:pt>
                <c:pt idx="61">
                  <c:v>45394</c:v>
                </c:pt>
                <c:pt idx="62">
                  <c:v>45395</c:v>
                </c:pt>
                <c:pt idx="63">
                  <c:v>45396</c:v>
                </c:pt>
                <c:pt idx="64">
                  <c:v>45397</c:v>
                </c:pt>
                <c:pt idx="65">
                  <c:v>45398</c:v>
                </c:pt>
                <c:pt idx="66">
                  <c:v>45399</c:v>
                </c:pt>
                <c:pt idx="67">
                  <c:v>45400</c:v>
                </c:pt>
                <c:pt idx="68">
                  <c:v>45401</c:v>
                </c:pt>
                <c:pt idx="69">
                  <c:v>45402</c:v>
                </c:pt>
                <c:pt idx="70">
                  <c:v>45403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45409</c:v>
                </c:pt>
                <c:pt idx="77">
                  <c:v>45410</c:v>
                </c:pt>
                <c:pt idx="78">
                  <c:v>45411</c:v>
                </c:pt>
                <c:pt idx="79">
                  <c:v>45412</c:v>
                </c:pt>
                <c:pt idx="80">
                  <c:v>45413</c:v>
                </c:pt>
                <c:pt idx="81">
                  <c:v>45414</c:v>
                </c:pt>
                <c:pt idx="82">
                  <c:v>45415</c:v>
                </c:pt>
                <c:pt idx="83">
                  <c:v>45416</c:v>
                </c:pt>
                <c:pt idx="84">
                  <c:v>45417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45423</c:v>
                </c:pt>
                <c:pt idx="91">
                  <c:v>45424</c:v>
                </c:pt>
                <c:pt idx="92">
                  <c:v>45425</c:v>
                </c:pt>
                <c:pt idx="93">
                  <c:v>45426</c:v>
                </c:pt>
                <c:pt idx="94">
                  <c:v>45427</c:v>
                </c:pt>
                <c:pt idx="95">
                  <c:v>45428</c:v>
                </c:pt>
                <c:pt idx="96">
                  <c:v>45429</c:v>
                </c:pt>
                <c:pt idx="97">
                  <c:v>45430</c:v>
                </c:pt>
                <c:pt idx="98">
                  <c:v>45431</c:v>
                </c:pt>
                <c:pt idx="99">
                  <c:v>45432</c:v>
                </c:pt>
                <c:pt idx="100">
                  <c:v>45433</c:v>
                </c:pt>
                <c:pt idx="101">
                  <c:v>45434</c:v>
                </c:pt>
                <c:pt idx="102">
                  <c:v>45435</c:v>
                </c:pt>
                <c:pt idx="103">
                  <c:v>45436</c:v>
                </c:pt>
                <c:pt idx="104">
                  <c:v>45437</c:v>
                </c:pt>
                <c:pt idx="105">
                  <c:v>45438</c:v>
                </c:pt>
                <c:pt idx="106">
                  <c:v>45439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45444</c:v>
                </c:pt>
                <c:pt idx="112">
                  <c:v>45445</c:v>
                </c:pt>
                <c:pt idx="113">
                  <c:v>45446</c:v>
                </c:pt>
                <c:pt idx="114">
                  <c:v>45447</c:v>
                </c:pt>
                <c:pt idx="115">
                  <c:v>45448</c:v>
                </c:pt>
                <c:pt idx="116">
                  <c:v>45449</c:v>
                </c:pt>
                <c:pt idx="117">
                  <c:v>45450</c:v>
                </c:pt>
                <c:pt idx="118">
                  <c:v>45451</c:v>
                </c:pt>
                <c:pt idx="119">
                  <c:v>45452</c:v>
                </c:pt>
                <c:pt idx="120">
                  <c:v>45453</c:v>
                </c:pt>
                <c:pt idx="121">
                  <c:v>45454</c:v>
                </c:pt>
                <c:pt idx="122">
                  <c:v>45455</c:v>
                </c:pt>
                <c:pt idx="123">
                  <c:v>45456</c:v>
                </c:pt>
                <c:pt idx="124">
                  <c:v>45457</c:v>
                </c:pt>
                <c:pt idx="125">
                  <c:v>45458</c:v>
                </c:pt>
                <c:pt idx="126">
                  <c:v>45459</c:v>
                </c:pt>
                <c:pt idx="127">
                  <c:v>45460</c:v>
                </c:pt>
                <c:pt idx="128">
                  <c:v>45461</c:v>
                </c:pt>
                <c:pt idx="129">
                  <c:v>45462</c:v>
                </c:pt>
                <c:pt idx="130">
                  <c:v>45463</c:v>
                </c:pt>
                <c:pt idx="131">
                  <c:v>45464</c:v>
                </c:pt>
                <c:pt idx="132">
                  <c:v>45465</c:v>
                </c:pt>
                <c:pt idx="133">
                  <c:v>45466</c:v>
                </c:pt>
                <c:pt idx="134">
                  <c:v>45467</c:v>
                </c:pt>
                <c:pt idx="135">
                  <c:v>45468</c:v>
                </c:pt>
                <c:pt idx="136">
                  <c:v>45469</c:v>
                </c:pt>
                <c:pt idx="137">
                  <c:v>45470</c:v>
                </c:pt>
                <c:pt idx="138">
                  <c:v>45471</c:v>
                </c:pt>
                <c:pt idx="139">
                  <c:v>45472</c:v>
                </c:pt>
                <c:pt idx="140">
                  <c:v>45473</c:v>
                </c:pt>
                <c:pt idx="141">
                  <c:v>45474</c:v>
                </c:pt>
                <c:pt idx="142">
                  <c:v>45475</c:v>
                </c:pt>
                <c:pt idx="143">
                  <c:v>45476</c:v>
                </c:pt>
                <c:pt idx="144">
                  <c:v>45477</c:v>
                </c:pt>
                <c:pt idx="145">
                  <c:v>45478</c:v>
                </c:pt>
                <c:pt idx="146">
                  <c:v>45479</c:v>
                </c:pt>
                <c:pt idx="147">
                  <c:v>45480</c:v>
                </c:pt>
                <c:pt idx="148">
                  <c:v>45481</c:v>
                </c:pt>
                <c:pt idx="149">
                  <c:v>45482</c:v>
                </c:pt>
                <c:pt idx="150">
                  <c:v>45483</c:v>
                </c:pt>
                <c:pt idx="151">
                  <c:v>45484</c:v>
                </c:pt>
                <c:pt idx="152">
                  <c:v>45485</c:v>
                </c:pt>
                <c:pt idx="153">
                  <c:v>45486</c:v>
                </c:pt>
                <c:pt idx="154">
                  <c:v>45487</c:v>
                </c:pt>
                <c:pt idx="155">
                  <c:v>45488</c:v>
                </c:pt>
                <c:pt idx="156">
                  <c:v>45489</c:v>
                </c:pt>
                <c:pt idx="157">
                  <c:v>45490</c:v>
                </c:pt>
                <c:pt idx="158">
                  <c:v>45491</c:v>
                </c:pt>
                <c:pt idx="159">
                  <c:v>45492</c:v>
                </c:pt>
                <c:pt idx="160">
                  <c:v>45493</c:v>
                </c:pt>
                <c:pt idx="161">
                  <c:v>45494</c:v>
                </c:pt>
                <c:pt idx="162">
                  <c:v>45495</c:v>
                </c:pt>
                <c:pt idx="163">
                  <c:v>45496</c:v>
                </c:pt>
                <c:pt idx="164">
                  <c:v>45497</c:v>
                </c:pt>
                <c:pt idx="165">
                  <c:v>45498</c:v>
                </c:pt>
                <c:pt idx="166">
                  <c:v>45499</c:v>
                </c:pt>
                <c:pt idx="167">
                  <c:v>45500</c:v>
                </c:pt>
                <c:pt idx="168">
                  <c:v>45501</c:v>
                </c:pt>
                <c:pt idx="169">
                  <c:v>45502</c:v>
                </c:pt>
                <c:pt idx="170">
                  <c:v>45503</c:v>
                </c:pt>
                <c:pt idx="171">
                  <c:v>45504</c:v>
                </c:pt>
                <c:pt idx="172">
                  <c:v>45505</c:v>
                </c:pt>
                <c:pt idx="173">
                  <c:v>45506</c:v>
                </c:pt>
                <c:pt idx="174">
                  <c:v>45507</c:v>
                </c:pt>
                <c:pt idx="175">
                  <c:v>45508</c:v>
                </c:pt>
                <c:pt idx="176">
                  <c:v>45509</c:v>
                </c:pt>
                <c:pt idx="177">
                  <c:v>45510</c:v>
                </c:pt>
                <c:pt idx="178">
                  <c:v>45511</c:v>
                </c:pt>
                <c:pt idx="179">
                  <c:v>45512</c:v>
                </c:pt>
                <c:pt idx="180">
                  <c:v>45513</c:v>
                </c:pt>
                <c:pt idx="181">
                  <c:v>45514</c:v>
                </c:pt>
                <c:pt idx="182">
                  <c:v>45515</c:v>
                </c:pt>
                <c:pt idx="183">
                  <c:v>45516</c:v>
                </c:pt>
                <c:pt idx="184">
                  <c:v>45517</c:v>
                </c:pt>
                <c:pt idx="185">
                  <c:v>45518</c:v>
                </c:pt>
                <c:pt idx="186">
                  <c:v>45519</c:v>
                </c:pt>
                <c:pt idx="187">
                  <c:v>45520</c:v>
                </c:pt>
                <c:pt idx="188">
                  <c:v>45521</c:v>
                </c:pt>
                <c:pt idx="189">
                  <c:v>45522</c:v>
                </c:pt>
                <c:pt idx="190">
                  <c:v>45523</c:v>
                </c:pt>
                <c:pt idx="191">
                  <c:v>45524</c:v>
                </c:pt>
                <c:pt idx="192">
                  <c:v>45525</c:v>
                </c:pt>
                <c:pt idx="193">
                  <c:v>45526</c:v>
                </c:pt>
                <c:pt idx="194">
                  <c:v>45527</c:v>
                </c:pt>
                <c:pt idx="195">
                  <c:v>45528</c:v>
                </c:pt>
                <c:pt idx="196">
                  <c:v>45529</c:v>
                </c:pt>
                <c:pt idx="197">
                  <c:v>45530</c:v>
                </c:pt>
                <c:pt idx="198">
                  <c:v>45531</c:v>
                </c:pt>
                <c:pt idx="199">
                  <c:v>45532</c:v>
                </c:pt>
                <c:pt idx="200">
                  <c:v>45533</c:v>
                </c:pt>
                <c:pt idx="201">
                  <c:v>45534</c:v>
                </c:pt>
                <c:pt idx="202">
                  <c:v>45535</c:v>
                </c:pt>
                <c:pt idx="203">
                  <c:v>45536</c:v>
                </c:pt>
                <c:pt idx="204">
                  <c:v>45537</c:v>
                </c:pt>
                <c:pt idx="205">
                  <c:v>45538</c:v>
                </c:pt>
                <c:pt idx="206">
                  <c:v>45539</c:v>
                </c:pt>
                <c:pt idx="207">
                  <c:v>45540</c:v>
                </c:pt>
                <c:pt idx="208">
                  <c:v>45541</c:v>
                </c:pt>
                <c:pt idx="209">
                  <c:v>45542</c:v>
                </c:pt>
                <c:pt idx="210">
                  <c:v>45543</c:v>
                </c:pt>
                <c:pt idx="211">
                  <c:v>45544</c:v>
                </c:pt>
                <c:pt idx="212">
                  <c:v>45545</c:v>
                </c:pt>
                <c:pt idx="213">
                  <c:v>45546</c:v>
                </c:pt>
                <c:pt idx="214">
                  <c:v>45547</c:v>
                </c:pt>
                <c:pt idx="215">
                  <c:v>45548</c:v>
                </c:pt>
                <c:pt idx="216">
                  <c:v>45549</c:v>
                </c:pt>
                <c:pt idx="217">
                  <c:v>45550</c:v>
                </c:pt>
                <c:pt idx="218">
                  <c:v>45551</c:v>
                </c:pt>
                <c:pt idx="219">
                  <c:v>45552</c:v>
                </c:pt>
                <c:pt idx="220">
                  <c:v>45553</c:v>
                </c:pt>
                <c:pt idx="221">
                  <c:v>45554</c:v>
                </c:pt>
                <c:pt idx="222">
                  <c:v>45555</c:v>
                </c:pt>
                <c:pt idx="223">
                  <c:v>45556</c:v>
                </c:pt>
                <c:pt idx="224">
                  <c:v>45557</c:v>
                </c:pt>
                <c:pt idx="225">
                  <c:v>45558</c:v>
                </c:pt>
                <c:pt idx="226">
                  <c:v>45559</c:v>
                </c:pt>
                <c:pt idx="227">
                  <c:v>45560</c:v>
                </c:pt>
                <c:pt idx="228">
                  <c:v>45561</c:v>
                </c:pt>
                <c:pt idx="229">
                  <c:v>45562</c:v>
                </c:pt>
                <c:pt idx="230">
                  <c:v>45563</c:v>
                </c:pt>
                <c:pt idx="231">
                  <c:v>45564</c:v>
                </c:pt>
                <c:pt idx="232">
                  <c:v>45565</c:v>
                </c:pt>
                <c:pt idx="233">
                  <c:v>45566</c:v>
                </c:pt>
                <c:pt idx="234">
                  <c:v>45567</c:v>
                </c:pt>
                <c:pt idx="235">
                  <c:v>45568</c:v>
                </c:pt>
                <c:pt idx="236">
                  <c:v>45569</c:v>
                </c:pt>
                <c:pt idx="237">
                  <c:v>45570</c:v>
                </c:pt>
                <c:pt idx="238">
                  <c:v>45571</c:v>
                </c:pt>
                <c:pt idx="239">
                  <c:v>45572</c:v>
                </c:pt>
                <c:pt idx="240">
                  <c:v>45573</c:v>
                </c:pt>
                <c:pt idx="241">
                  <c:v>45574</c:v>
                </c:pt>
                <c:pt idx="242">
                  <c:v>45575</c:v>
                </c:pt>
                <c:pt idx="243">
                  <c:v>45576</c:v>
                </c:pt>
                <c:pt idx="244">
                  <c:v>45577</c:v>
                </c:pt>
                <c:pt idx="245">
                  <c:v>45578</c:v>
                </c:pt>
                <c:pt idx="246">
                  <c:v>45579</c:v>
                </c:pt>
                <c:pt idx="247">
                  <c:v>45580</c:v>
                </c:pt>
                <c:pt idx="248">
                  <c:v>45581</c:v>
                </c:pt>
                <c:pt idx="249">
                  <c:v>45582</c:v>
                </c:pt>
                <c:pt idx="250">
                  <c:v>45583</c:v>
                </c:pt>
                <c:pt idx="251">
                  <c:v>45584</c:v>
                </c:pt>
                <c:pt idx="252">
                  <c:v>45585</c:v>
                </c:pt>
                <c:pt idx="253">
                  <c:v>45586</c:v>
                </c:pt>
                <c:pt idx="254">
                  <c:v>45587</c:v>
                </c:pt>
                <c:pt idx="255">
                  <c:v>45588</c:v>
                </c:pt>
                <c:pt idx="256">
                  <c:v>45589</c:v>
                </c:pt>
                <c:pt idx="257">
                  <c:v>45590</c:v>
                </c:pt>
                <c:pt idx="258">
                  <c:v>45591</c:v>
                </c:pt>
                <c:pt idx="259">
                  <c:v>45592</c:v>
                </c:pt>
                <c:pt idx="260">
                  <c:v>45593</c:v>
                </c:pt>
                <c:pt idx="261">
                  <c:v>45594</c:v>
                </c:pt>
                <c:pt idx="262">
                  <c:v>45595</c:v>
                </c:pt>
                <c:pt idx="263">
                  <c:v>45596</c:v>
                </c:pt>
                <c:pt idx="264">
                  <c:v>45597</c:v>
                </c:pt>
                <c:pt idx="265">
                  <c:v>45598</c:v>
                </c:pt>
                <c:pt idx="266">
                  <c:v>45599</c:v>
                </c:pt>
                <c:pt idx="267">
                  <c:v>45600</c:v>
                </c:pt>
                <c:pt idx="268">
                  <c:v>45601</c:v>
                </c:pt>
                <c:pt idx="269">
                  <c:v>45602</c:v>
                </c:pt>
                <c:pt idx="270">
                  <c:v>45603</c:v>
                </c:pt>
                <c:pt idx="271">
                  <c:v>45604</c:v>
                </c:pt>
                <c:pt idx="272">
                  <c:v>45605</c:v>
                </c:pt>
                <c:pt idx="273">
                  <c:v>45606</c:v>
                </c:pt>
                <c:pt idx="274">
                  <c:v>45607</c:v>
                </c:pt>
                <c:pt idx="275">
                  <c:v>45608</c:v>
                </c:pt>
                <c:pt idx="276">
                  <c:v>45609</c:v>
                </c:pt>
                <c:pt idx="277">
                  <c:v>45610</c:v>
                </c:pt>
                <c:pt idx="278">
                  <c:v>45611</c:v>
                </c:pt>
                <c:pt idx="279">
                  <c:v>45612</c:v>
                </c:pt>
                <c:pt idx="280">
                  <c:v>45613</c:v>
                </c:pt>
                <c:pt idx="281">
                  <c:v>45614</c:v>
                </c:pt>
                <c:pt idx="282">
                  <c:v>45615</c:v>
                </c:pt>
                <c:pt idx="283">
                  <c:v>45616</c:v>
                </c:pt>
                <c:pt idx="284">
                  <c:v>45617</c:v>
                </c:pt>
                <c:pt idx="285">
                  <c:v>45618</c:v>
                </c:pt>
                <c:pt idx="286">
                  <c:v>45619</c:v>
                </c:pt>
                <c:pt idx="287">
                  <c:v>45620</c:v>
                </c:pt>
                <c:pt idx="288">
                  <c:v>45621</c:v>
                </c:pt>
                <c:pt idx="289">
                  <c:v>45622</c:v>
                </c:pt>
                <c:pt idx="290">
                  <c:v>45623</c:v>
                </c:pt>
                <c:pt idx="291">
                  <c:v>45624</c:v>
                </c:pt>
                <c:pt idx="292">
                  <c:v>45625</c:v>
                </c:pt>
                <c:pt idx="293">
                  <c:v>45626</c:v>
                </c:pt>
                <c:pt idx="294">
                  <c:v>45627</c:v>
                </c:pt>
                <c:pt idx="295">
                  <c:v>45628</c:v>
                </c:pt>
                <c:pt idx="296">
                  <c:v>45629</c:v>
                </c:pt>
                <c:pt idx="297">
                  <c:v>45630</c:v>
                </c:pt>
                <c:pt idx="298">
                  <c:v>45631</c:v>
                </c:pt>
                <c:pt idx="299">
                  <c:v>45632</c:v>
                </c:pt>
                <c:pt idx="300">
                  <c:v>45633</c:v>
                </c:pt>
                <c:pt idx="301">
                  <c:v>45634</c:v>
                </c:pt>
                <c:pt idx="302">
                  <c:v>45635</c:v>
                </c:pt>
                <c:pt idx="303">
                  <c:v>45636</c:v>
                </c:pt>
                <c:pt idx="304">
                  <c:v>45637</c:v>
                </c:pt>
                <c:pt idx="305">
                  <c:v>45638</c:v>
                </c:pt>
                <c:pt idx="306">
                  <c:v>45639</c:v>
                </c:pt>
                <c:pt idx="307">
                  <c:v>45640</c:v>
                </c:pt>
                <c:pt idx="308">
                  <c:v>45641</c:v>
                </c:pt>
                <c:pt idx="309">
                  <c:v>45642</c:v>
                </c:pt>
                <c:pt idx="310">
                  <c:v>45643</c:v>
                </c:pt>
                <c:pt idx="311">
                  <c:v>45644</c:v>
                </c:pt>
                <c:pt idx="312">
                  <c:v>45645</c:v>
                </c:pt>
                <c:pt idx="313">
                  <c:v>45646</c:v>
                </c:pt>
                <c:pt idx="314">
                  <c:v>45647</c:v>
                </c:pt>
                <c:pt idx="315">
                  <c:v>45648</c:v>
                </c:pt>
                <c:pt idx="316">
                  <c:v>45649</c:v>
                </c:pt>
                <c:pt idx="317">
                  <c:v>45650</c:v>
                </c:pt>
                <c:pt idx="318">
                  <c:v>45651</c:v>
                </c:pt>
                <c:pt idx="319">
                  <c:v>45652</c:v>
                </c:pt>
                <c:pt idx="320">
                  <c:v>45653</c:v>
                </c:pt>
                <c:pt idx="321">
                  <c:v>45654</c:v>
                </c:pt>
                <c:pt idx="322">
                  <c:v>45655</c:v>
                </c:pt>
                <c:pt idx="323">
                  <c:v>45656</c:v>
                </c:pt>
                <c:pt idx="324">
                  <c:v>45657</c:v>
                </c:pt>
                <c:pt idx="325">
                  <c:v>45658</c:v>
                </c:pt>
                <c:pt idx="326">
                  <c:v>45659</c:v>
                </c:pt>
                <c:pt idx="327">
                  <c:v>45660</c:v>
                </c:pt>
                <c:pt idx="328">
                  <c:v>45661</c:v>
                </c:pt>
                <c:pt idx="329">
                  <c:v>45662</c:v>
                </c:pt>
                <c:pt idx="330">
                  <c:v>45663</c:v>
                </c:pt>
                <c:pt idx="331">
                  <c:v>45664</c:v>
                </c:pt>
                <c:pt idx="332">
                  <c:v>45665</c:v>
                </c:pt>
                <c:pt idx="333">
                  <c:v>45666</c:v>
                </c:pt>
                <c:pt idx="334">
                  <c:v>45667</c:v>
                </c:pt>
                <c:pt idx="335">
                  <c:v>45668</c:v>
                </c:pt>
                <c:pt idx="336">
                  <c:v>45669</c:v>
                </c:pt>
                <c:pt idx="337">
                  <c:v>45670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45675</c:v>
                </c:pt>
                <c:pt idx="343">
                  <c:v>45676</c:v>
                </c:pt>
                <c:pt idx="344">
                  <c:v>45677</c:v>
                </c:pt>
                <c:pt idx="345">
                  <c:v>45678</c:v>
                </c:pt>
                <c:pt idx="346">
                  <c:v>45679</c:v>
                </c:pt>
                <c:pt idx="347">
                  <c:v>45680</c:v>
                </c:pt>
                <c:pt idx="348">
                  <c:v>45681</c:v>
                </c:pt>
                <c:pt idx="349">
                  <c:v>45682</c:v>
                </c:pt>
                <c:pt idx="350">
                  <c:v>45683</c:v>
                </c:pt>
                <c:pt idx="351">
                  <c:v>45684</c:v>
                </c:pt>
                <c:pt idx="352">
                  <c:v>45685</c:v>
                </c:pt>
                <c:pt idx="353">
                  <c:v>45686</c:v>
                </c:pt>
                <c:pt idx="354">
                  <c:v>45687</c:v>
                </c:pt>
                <c:pt idx="355">
                  <c:v>45688</c:v>
                </c:pt>
                <c:pt idx="356">
                  <c:v>45689</c:v>
                </c:pt>
                <c:pt idx="357">
                  <c:v>45690</c:v>
                </c:pt>
                <c:pt idx="358">
                  <c:v>45691</c:v>
                </c:pt>
                <c:pt idx="359">
                  <c:v>45692</c:v>
                </c:pt>
                <c:pt idx="360">
                  <c:v>45693</c:v>
                </c:pt>
                <c:pt idx="361">
                  <c:v>45694</c:v>
                </c:pt>
                <c:pt idx="362">
                  <c:v>45695</c:v>
                </c:pt>
                <c:pt idx="363">
                  <c:v>45696</c:v>
                </c:pt>
                <c:pt idx="364">
                  <c:v>45697</c:v>
                </c:pt>
                <c:pt idx="365">
                  <c:v>45698</c:v>
                </c:pt>
                <c:pt idx="366">
                  <c:v>45699</c:v>
                </c:pt>
                <c:pt idx="367">
                  <c:v>45700</c:v>
                </c:pt>
                <c:pt idx="368">
                  <c:v>45701</c:v>
                </c:pt>
                <c:pt idx="369">
                  <c:v>45702</c:v>
                </c:pt>
                <c:pt idx="370">
                  <c:v>45703</c:v>
                </c:pt>
                <c:pt idx="371">
                  <c:v>45704</c:v>
                </c:pt>
                <c:pt idx="372">
                  <c:v>45705</c:v>
                </c:pt>
                <c:pt idx="373">
                  <c:v>45706</c:v>
                </c:pt>
                <c:pt idx="374">
                  <c:v>45707</c:v>
                </c:pt>
                <c:pt idx="375">
                  <c:v>45708</c:v>
                </c:pt>
                <c:pt idx="376">
                  <c:v>45709</c:v>
                </c:pt>
                <c:pt idx="377">
                  <c:v>45710</c:v>
                </c:pt>
                <c:pt idx="378">
                  <c:v>45711</c:v>
                </c:pt>
                <c:pt idx="379">
                  <c:v>45712</c:v>
                </c:pt>
                <c:pt idx="380">
                  <c:v>45713</c:v>
                </c:pt>
                <c:pt idx="381">
                  <c:v>45714</c:v>
                </c:pt>
                <c:pt idx="382">
                  <c:v>45715</c:v>
                </c:pt>
                <c:pt idx="383">
                  <c:v>45716</c:v>
                </c:pt>
                <c:pt idx="384">
                  <c:v>45717</c:v>
                </c:pt>
                <c:pt idx="385">
                  <c:v>45718</c:v>
                </c:pt>
                <c:pt idx="386">
                  <c:v>45719</c:v>
                </c:pt>
                <c:pt idx="387">
                  <c:v>45720</c:v>
                </c:pt>
                <c:pt idx="388">
                  <c:v>45721</c:v>
                </c:pt>
                <c:pt idx="389">
                  <c:v>45722</c:v>
                </c:pt>
                <c:pt idx="390">
                  <c:v>45723</c:v>
                </c:pt>
                <c:pt idx="391">
                  <c:v>45724</c:v>
                </c:pt>
                <c:pt idx="392">
                  <c:v>45725</c:v>
                </c:pt>
                <c:pt idx="393">
                  <c:v>45726</c:v>
                </c:pt>
                <c:pt idx="394">
                  <c:v>45727</c:v>
                </c:pt>
                <c:pt idx="395">
                  <c:v>45728</c:v>
                </c:pt>
                <c:pt idx="396">
                  <c:v>45729</c:v>
                </c:pt>
                <c:pt idx="397">
                  <c:v>45730</c:v>
                </c:pt>
                <c:pt idx="398">
                  <c:v>45731</c:v>
                </c:pt>
                <c:pt idx="399">
                  <c:v>45732</c:v>
                </c:pt>
                <c:pt idx="400">
                  <c:v>45733</c:v>
                </c:pt>
                <c:pt idx="401">
                  <c:v>45734</c:v>
                </c:pt>
                <c:pt idx="402">
                  <c:v>45735</c:v>
                </c:pt>
                <c:pt idx="403">
                  <c:v>45736</c:v>
                </c:pt>
                <c:pt idx="404">
                  <c:v>45737</c:v>
                </c:pt>
                <c:pt idx="405">
                  <c:v>45738</c:v>
                </c:pt>
                <c:pt idx="406">
                  <c:v>45739</c:v>
                </c:pt>
                <c:pt idx="407">
                  <c:v>45740</c:v>
                </c:pt>
                <c:pt idx="408">
                  <c:v>45741</c:v>
                </c:pt>
                <c:pt idx="409">
                  <c:v>45742</c:v>
                </c:pt>
                <c:pt idx="410">
                  <c:v>45743</c:v>
                </c:pt>
                <c:pt idx="411">
                  <c:v>45744</c:v>
                </c:pt>
                <c:pt idx="412">
                  <c:v>45745</c:v>
                </c:pt>
                <c:pt idx="413">
                  <c:v>45746</c:v>
                </c:pt>
                <c:pt idx="414">
                  <c:v>45747</c:v>
                </c:pt>
                <c:pt idx="415">
                  <c:v>45748</c:v>
                </c:pt>
                <c:pt idx="416">
                  <c:v>45749</c:v>
                </c:pt>
                <c:pt idx="417">
                  <c:v>45750</c:v>
                </c:pt>
                <c:pt idx="418">
                  <c:v>45751</c:v>
                </c:pt>
                <c:pt idx="419">
                  <c:v>45752</c:v>
                </c:pt>
                <c:pt idx="420">
                  <c:v>45753</c:v>
                </c:pt>
                <c:pt idx="421">
                  <c:v>45754</c:v>
                </c:pt>
                <c:pt idx="422">
                  <c:v>45755</c:v>
                </c:pt>
                <c:pt idx="423">
                  <c:v>45756</c:v>
                </c:pt>
                <c:pt idx="424">
                  <c:v>45757</c:v>
                </c:pt>
                <c:pt idx="425">
                  <c:v>45758</c:v>
                </c:pt>
                <c:pt idx="426">
                  <c:v>45759</c:v>
                </c:pt>
                <c:pt idx="427">
                  <c:v>45760</c:v>
                </c:pt>
                <c:pt idx="428">
                  <c:v>45761</c:v>
                </c:pt>
                <c:pt idx="429">
                  <c:v>45762</c:v>
                </c:pt>
                <c:pt idx="430">
                  <c:v>45763</c:v>
                </c:pt>
                <c:pt idx="431">
                  <c:v>45764</c:v>
                </c:pt>
                <c:pt idx="432">
                  <c:v>45765</c:v>
                </c:pt>
                <c:pt idx="433">
                  <c:v>45766</c:v>
                </c:pt>
                <c:pt idx="434">
                  <c:v>45767</c:v>
                </c:pt>
                <c:pt idx="435">
                  <c:v>45768</c:v>
                </c:pt>
                <c:pt idx="436">
                  <c:v>45769</c:v>
                </c:pt>
                <c:pt idx="437">
                  <c:v>45770</c:v>
                </c:pt>
                <c:pt idx="438">
                  <c:v>45771</c:v>
                </c:pt>
                <c:pt idx="439">
                  <c:v>45772</c:v>
                </c:pt>
                <c:pt idx="440">
                  <c:v>45773</c:v>
                </c:pt>
                <c:pt idx="441">
                  <c:v>45774</c:v>
                </c:pt>
                <c:pt idx="442">
                  <c:v>45775</c:v>
                </c:pt>
                <c:pt idx="443">
                  <c:v>45776</c:v>
                </c:pt>
                <c:pt idx="444">
                  <c:v>45777</c:v>
                </c:pt>
                <c:pt idx="445">
                  <c:v>45778</c:v>
                </c:pt>
                <c:pt idx="446">
                  <c:v>45779</c:v>
                </c:pt>
                <c:pt idx="447">
                  <c:v>45780</c:v>
                </c:pt>
                <c:pt idx="448">
                  <c:v>45781</c:v>
                </c:pt>
                <c:pt idx="449">
                  <c:v>45782</c:v>
                </c:pt>
                <c:pt idx="450">
                  <c:v>45783</c:v>
                </c:pt>
                <c:pt idx="451">
                  <c:v>45784</c:v>
                </c:pt>
                <c:pt idx="452">
                  <c:v>45785</c:v>
                </c:pt>
                <c:pt idx="453">
                  <c:v>45786</c:v>
                </c:pt>
                <c:pt idx="454">
                  <c:v>45787</c:v>
                </c:pt>
                <c:pt idx="455">
                  <c:v>45788</c:v>
                </c:pt>
                <c:pt idx="456">
                  <c:v>45789</c:v>
                </c:pt>
                <c:pt idx="457">
                  <c:v>45790</c:v>
                </c:pt>
                <c:pt idx="458">
                  <c:v>45791</c:v>
                </c:pt>
                <c:pt idx="459">
                  <c:v>45792</c:v>
                </c:pt>
                <c:pt idx="460">
                  <c:v>45793</c:v>
                </c:pt>
                <c:pt idx="461">
                  <c:v>45794</c:v>
                </c:pt>
                <c:pt idx="462">
                  <c:v>45795</c:v>
                </c:pt>
                <c:pt idx="463">
                  <c:v>45796</c:v>
                </c:pt>
                <c:pt idx="464">
                  <c:v>45797</c:v>
                </c:pt>
                <c:pt idx="465">
                  <c:v>45798</c:v>
                </c:pt>
                <c:pt idx="466">
                  <c:v>45799</c:v>
                </c:pt>
                <c:pt idx="467">
                  <c:v>45800</c:v>
                </c:pt>
                <c:pt idx="468">
                  <c:v>45801</c:v>
                </c:pt>
                <c:pt idx="469">
                  <c:v>45802</c:v>
                </c:pt>
                <c:pt idx="470">
                  <c:v>45803</c:v>
                </c:pt>
                <c:pt idx="471">
                  <c:v>45804</c:v>
                </c:pt>
                <c:pt idx="472">
                  <c:v>45805</c:v>
                </c:pt>
                <c:pt idx="473">
                  <c:v>45806</c:v>
                </c:pt>
                <c:pt idx="474">
                  <c:v>45807</c:v>
                </c:pt>
                <c:pt idx="475">
                  <c:v>45808</c:v>
                </c:pt>
                <c:pt idx="476">
                  <c:v>45809</c:v>
                </c:pt>
                <c:pt idx="477">
                  <c:v>45810</c:v>
                </c:pt>
                <c:pt idx="478">
                  <c:v>45811</c:v>
                </c:pt>
                <c:pt idx="479">
                  <c:v>45812</c:v>
                </c:pt>
                <c:pt idx="480">
                  <c:v>45813</c:v>
                </c:pt>
                <c:pt idx="481">
                  <c:v>45814</c:v>
                </c:pt>
                <c:pt idx="482">
                  <c:v>45815</c:v>
                </c:pt>
                <c:pt idx="483">
                  <c:v>45816</c:v>
                </c:pt>
                <c:pt idx="484">
                  <c:v>45817</c:v>
                </c:pt>
                <c:pt idx="485">
                  <c:v>45818</c:v>
                </c:pt>
                <c:pt idx="486">
                  <c:v>45819</c:v>
                </c:pt>
                <c:pt idx="487">
                  <c:v>45820</c:v>
                </c:pt>
                <c:pt idx="488">
                  <c:v>45821</c:v>
                </c:pt>
                <c:pt idx="489">
                  <c:v>45822</c:v>
                </c:pt>
                <c:pt idx="490">
                  <c:v>45823</c:v>
                </c:pt>
                <c:pt idx="491">
                  <c:v>45824</c:v>
                </c:pt>
                <c:pt idx="492">
                  <c:v>45825</c:v>
                </c:pt>
                <c:pt idx="493">
                  <c:v>45826</c:v>
                </c:pt>
                <c:pt idx="494">
                  <c:v>45827</c:v>
                </c:pt>
                <c:pt idx="495">
                  <c:v>45828</c:v>
                </c:pt>
                <c:pt idx="496">
                  <c:v>45829</c:v>
                </c:pt>
                <c:pt idx="497">
                  <c:v>45830</c:v>
                </c:pt>
                <c:pt idx="498">
                  <c:v>45831</c:v>
                </c:pt>
                <c:pt idx="499">
                  <c:v>45832</c:v>
                </c:pt>
                <c:pt idx="500">
                  <c:v>45833</c:v>
                </c:pt>
                <c:pt idx="501">
                  <c:v>45834</c:v>
                </c:pt>
                <c:pt idx="502">
                  <c:v>45835</c:v>
                </c:pt>
                <c:pt idx="503">
                  <c:v>45836</c:v>
                </c:pt>
                <c:pt idx="504">
                  <c:v>45837</c:v>
                </c:pt>
                <c:pt idx="505">
                  <c:v>45838</c:v>
                </c:pt>
                <c:pt idx="506">
                  <c:v>45839</c:v>
                </c:pt>
                <c:pt idx="507">
                  <c:v>45840</c:v>
                </c:pt>
                <c:pt idx="508">
                  <c:v>45841</c:v>
                </c:pt>
                <c:pt idx="509">
                  <c:v>45842</c:v>
                </c:pt>
                <c:pt idx="510">
                  <c:v>45843</c:v>
                </c:pt>
                <c:pt idx="511">
                  <c:v>45844</c:v>
                </c:pt>
                <c:pt idx="512">
                  <c:v>45845</c:v>
                </c:pt>
                <c:pt idx="513">
                  <c:v>45846</c:v>
                </c:pt>
                <c:pt idx="514">
                  <c:v>45847</c:v>
                </c:pt>
                <c:pt idx="515">
                  <c:v>45848</c:v>
                </c:pt>
                <c:pt idx="516">
                  <c:v>45849</c:v>
                </c:pt>
                <c:pt idx="517">
                  <c:v>45850</c:v>
                </c:pt>
                <c:pt idx="518">
                  <c:v>45851</c:v>
                </c:pt>
                <c:pt idx="519">
                  <c:v>45852</c:v>
                </c:pt>
                <c:pt idx="520">
                  <c:v>45853</c:v>
                </c:pt>
                <c:pt idx="521">
                  <c:v>45854</c:v>
                </c:pt>
                <c:pt idx="522">
                  <c:v>45855</c:v>
                </c:pt>
                <c:pt idx="523">
                  <c:v>45856</c:v>
                </c:pt>
                <c:pt idx="524">
                  <c:v>45857</c:v>
                </c:pt>
                <c:pt idx="525">
                  <c:v>45858</c:v>
                </c:pt>
                <c:pt idx="526">
                  <c:v>45859</c:v>
                </c:pt>
                <c:pt idx="527">
                  <c:v>45860</c:v>
                </c:pt>
                <c:pt idx="528">
                  <c:v>45861</c:v>
                </c:pt>
                <c:pt idx="529">
                  <c:v>45862</c:v>
                </c:pt>
                <c:pt idx="530">
                  <c:v>45863</c:v>
                </c:pt>
                <c:pt idx="531">
                  <c:v>45864</c:v>
                </c:pt>
                <c:pt idx="532">
                  <c:v>45865</c:v>
                </c:pt>
                <c:pt idx="533">
                  <c:v>45866</c:v>
                </c:pt>
                <c:pt idx="534">
                  <c:v>45867</c:v>
                </c:pt>
                <c:pt idx="535">
                  <c:v>45868</c:v>
                </c:pt>
                <c:pt idx="536">
                  <c:v>45869</c:v>
                </c:pt>
                <c:pt idx="537">
                  <c:v>45870</c:v>
                </c:pt>
                <c:pt idx="538">
                  <c:v>45871</c:v>
                </c:pt>
                <c:pt idx="539">
                  <c:v>45872</c:v>
                </c:pt>
                <c:pt idx="540">
                  <c:v>45873</c:v>
                </c:pt>
                <c:pt idx="541">
                  <c:v>45874</c:v>
                </c:pt>
                <c:pt idx="542">
                  <c:v>45875</c:v>
                </c:pt>
                <c:pt idx="543">
                  <c:v>45876</c:v>
                </c:pt>
                <c:pt idx="544">
                  <c:v>45877</c:v>
                </c:pt>
                <c:pt idx="545">
                  <c:v>45878</c:v>
                </c:pt>
                <c:pt idx="546">
                  <c:v>45879</c:v>
                </c:pt>
                <c:pt idx="547">
                  <c:v>45880</c:v>
                </c:pt>
                <c:pt idx="548">
                  <c:v>45881</c:v>
                </c:pt>
                <c:pt idx="549">
                  <c:v>45882</c:v>
                </c:pt>
                <c:pt idx="550">
                  <c:v>45883</c:v>
                </c:pt>
                <c:pt idx="551">
                  <c:v>45884</c:v>
                </c:pt>
                <c:pt idx="552">
                  <c:v>45885</c:v>
                </c:pt>
                <c:pt idx="553">
                  <c:v>45886</c:v>
                </c:pt>
                <c:pt idx="554">
                  <c:v>45887</c:v>
                </c:pt>
                <c:pt idx="555">
                  <c:v>45888</c:v>
                </c:pt>
                <c:pt idx="556">
                  <c:v>45889</c:v>
                </c:pt>
                <c:pt idx="557">
                  <c:v>45890</c:v>
                </c:pt>
                <c:pt idx="558">
                  <c:v>45891</c:v>
                </c:pt>
                <c:pt idx="559">
                  <c:v>45892</c:v>
                </c:pt>
                <c:pt idx="560">
                  <c:v>45893</c:v>
                </c:pt>
                <c:pt idx="561">
                  <c:v>45894</c:v>
                </c:pt>
                <c:pt idx="562">
                  <c:v>45895</c:v>
                </c:pt>
                <c:pt idx="563">
                  <c:v>45896</c:v>
                </c:pt>
                <c:pt idx="564">
                  <c:v>45897</c:v>
                </c:pt>
                <c:pt idx="565">
                  <c:v>45898</c:v>
                </c:pt>
                <c:pt idx="566">
                  <c:v>45899</c:v>
                </c:pt>
                <c:pt idx="567">
                  <c:v>45900</c:v>
                </c:pt>
                <c:pt idx="568">
                  <c:v>45901</c:v>
                </c:pt>
                <c:pt idx="569">
                  <c:v>45902</c:v>
                </c:pt>
                <c:pt idx="570">
                  <c:v>45903</c:v>
                </c:pt>
                <c:pt idx="571">
                  <c:v>45904</c:v>
                </c:pt>
                <c:pt idx="572">
                  <c:v>45905</c:v>
                </c:pt>
                <c:pt idx="573">
                  <c:v>45906</c:v>
                </c:pt>
                <c:pt idx="574">
                  <c:v>45907</c:v>
                </c:pt>
                <c:pt idx="575">
                  <c:v>45908</c:v>
                </c:pt>
                <c:pt idx="576">
                  <c:v>45909</c:v>
                </c:pt>
                <c:pt idx="577">
                  <c:v>45910</c:v>
                </c:pt>
                <c:pt idx="578">
                  <c:v>45911</c:v>
                </c:pt>
                <c:pt idx="579">
                  <c:v>45912</c:v>
                </c:pt>
                <c:pt idx="580">
                  <c:v>45913</c:v>
                </c:pt>
                <c:pt idx="581">
                  <c:v>45914</c:v>
                </c:pt>
                <c:pt idx="582">
                  <c:v>45915</c:v>
                </c:pt>
                <c:pt idx="583">
                  <c:v>45916</c:v>
                </c:pt>
                <c:pt idx="584">
                  <c:v>45917</c:v>
                </c:pt>
                <c:pt idx="585">
                  <c:v>45918</c:v>
                </c:pt>
                <c:pt idx="586">
                  <c:v>45919</c:v>
                </c:pt>
                <c:pt idx="587">
                  <c:v>45920</c:v>
                </c:pt>
                <c:pt idx="588">
                  <c:v>45921</c:v>
                </c:pt>
                <c:pt idx="589">
                  <c:v>45922</c:v>
                </c:pt>
                <c:pt idx="590">
                  <c:v>45923</c:v>
                </c:pt>
                <c:pt idx="591">
                  <c:v>45924</c:v>
                </c:pt>
                <c:pt idx="592">
                  <c:v>45925</c:v>
                </c:pt>
                <c:pt idx="593">
                  <c:v>45926</c:v>
                </c:pt>
                <c:pt idx="594">
                  <c:v>45927</c:v>
                </c:pt>
                <c:pt idx="595">
                  <c:v>45928</c:v>
                </c:pt>
                <c:pt idx="596">
                  <c:v>45929</c:v>
                </c:pt>
                <c:pt idx="597">
                  <c:v>45930</c:v>
                </c:pt>
                <c:pt idx="598">
                  <c:v>45931</c:v>
                </c:pt>
                <c:pt idx="599">
                  <c:v>45932</c:v>
                </c:pt>
                <c:pt idx="600">
                  <c:v>45933</c:v>
                </c:pt>
                <c:pt idx="601">
                  <c:v>45934</c:v>
                </c:pt>
                <c:pt idx="602">
                  <c:v>45935</c:v>
                </c:pt>
                <c:pt idx="603">
                  <c:v>45936</c:v>
                </c:pt>
                <c:pt idx="604">
                  <c:v>45937</c:v>
                </c:pt>
                <c:pt idx="605">
                  <c:v>45938</c:v>
                </c:pt>
                <c:pt idx="606">
                  <c:v>45939</c:v>
                </c:pt>
                <c:pt idx="607">
                  <c:v>45940</c:v>
                </c:pt>
                <c:pt idx="608">
                  <c:v>45941</c:v>
                </c:pt>
                <c:pt idx="609">
                  <c:v>45942</c:v>
                </c:pt>
                <c:pt idx="610">
                  <c:v>45943</c:v>
                </c:pt>
                <c:pt idx="611">
                  <c:v>45944</c:v>
                </c:pt>
                <c:pt idx="612">
                  <c:v>45945</c:v>
                </c:pt>
                <c:pt idx="613">
                  <c:v>45946</c:v>
                </c:pt>
                <c:pt idx="614">
                  <c:v>45947</c:v>
                </c:pt>
                <c:pt idx="615">
                  <c:v>45948</c:v>
                </c:pt>
                <c:pt idx="616">
                  <c:v>45949</c:v>
                </c:pt>
                <c:pt idx="617">
                  <c:v>45950</c:v>
                </c:pt>
                <c:pt idx="618">
                  <c:v>45951</c:v>
                </c:pt>
                <c:pt idx="619">
                  <c:v>45952</c:v>
                </c:pt>
                <c:pt idx="620">
                  <c:v>45953</c:v>
                </c:pt>
                <c:pt idx="621">
                  <c:v>45954</c:v>
                </c:pt>
                <c:pt idx="622">
                  <c:v>45955</c:v>
                </c:pt>
                <c:pt idx="623">
                  <c:v>45956</c:v>
                </c:pt>
                <c:pt idx="624">
                  <c:v>45957</c:v>
                </c:pt>
                <c:pt idx="625">
                  <c:v>45958</c:v>
                </c:pt>
                <c:pt idx="626">
                  <c:v>45959</c:v>
                </c:pt>
                <c:pt idx="627">
                  <c:v>45960</c:v>
                </c:pt>
                <c:pt idx="628">
                  <c:v>45961</c:v>
                </c:pt>
                <c:pt idx="629">
                  <c:v>45962</c:v>
                </c:pt>
                <c:pt idx="630">
                  <c:v>45963</c:v>
                </c:pt>
                <c:pt idx="631">
                  <c:v>45964</c:v>
                </c:pt>
                <c:pt idx="632">
                  <c:v>45965</c:v>
                </c:pt>
                <c:pt idx="633">
                  <c:v>45966</c:v>
                </c:pt>
                <c:pt idx="634">
                  <c:v>45967</c:v>
                </c:pt>
                <c:pt idx="635">
                  <c:v>45968</c:v>
                </c:pt>
                <c:pt idx="636">
                  <c:v>45969</c:v>
                </c:pt>
                <c:pt idx="637">
                  <c:v>45970</c:v>
                </c:pt>
                <c:pt idx="638">
                  <c:v>45971</c:v>
                </c:pt>
                <c:pt idx="639">
                  <c:v>45972</c:v>
                </c:pt>
                <c:pt idx="640">
                  <c:v>45973</c:v>
                </c:pt>
                <c:pt idx="641">
                  <c:v>45974</c:v>
                </c:pt>
                <c:pt idx="642">
                  <c:v>45975</c:v>
                </c:pt>
                <c:pt idx="643">
                  <c:v>45976</c:v>
                </c:pt>
                <c:pt idx="644">
                  <c:v>45977</c:v>
                </c:pt>
                <c:pt idx="645">
                  <c:v>45978</c:v>
                </c:pt>
                <c:pt idx="646">
                  <c:v>45979</c:v>
                </c:pt>
                <c:pt idx="647">
                  <c:v>45980</c:v>
                </c:pt>
                <c:pt idx="648">
                  <c:v>45981</c:v>
                </c:pt>
                <c:pt idx="649">
                  <c:v>45982</c:v>
                </c:pt>
                <c:pt idx="650">
                  <c:v>45983</c:v>
                </c:pt>
                <c:pt idx="651">
                  <c:v>45984</c:v>
                </c:pt>
                <c:pt idx="652">
                  <c:v>45985</c:v>
                </c:pt>
                <c:pt idx="653">
                  <c:v>45986</c:v>
                </c:pt>
                <c:pt idx="654">
                  <c:v>45987</c:v>
                </c:pt>
                <c:pt idx="655">
                  <c:v>45988</c:v>
                </c:pt>
                <c:pt idx="656">
                  <c:v>45989</c:v>
                </c:pt>
                <c:pt idx="657">
                  <c:v>45990</c:v>
                </c:pt>
                <c:pt idx="658">
                  <c:v>45991</c:v>
                </c:pt>
                <c:pt idx="659">
                  <c:v>45992</c:v>
                </c:pt>
                <c:pt idx="660">
                  <c:v>45993</c:v>
                </c:pt>
                <c:pt idx="661">
                  <c:v>45994</c:v>
                </c:pt>
                <c:pt idx="662">
                  <c:v>45995</c:v>
                </c:pt>
                <c:pt idx="663">
                  <c:v>45996</c:v>
                </c:pt>
                <c:pt idx="664">
                  <c:v>45997</c:v>
                </c:pt>
                <c:pt idx="665">
                  <c:v>45998</c:v>
                </c:pt>
                <c:pt idx="666">
                  <c:v>45999</c:v>
                </c:pt>
                <c:pt idx="667">
                  <c:v>46000</c:v>
                </c:pt>
                <c:pt idx="668">
                  <c:v>46001</c:v>
                </c:pt>
                <c:pt idx="669">
                  <c:v>46002</c:v>
                </c:pt>
                <c:pt idx="670">
                  <c:v>46003</c:v>
                </c:pt>
                <c:pt idx="671">
                  <c:v>46004</c:v>
                </c:pt>
                <c:pt idx="672">
                  <c:v>46005</c:v>
                </c:pt>
                <c:pt idx="673">
                  <c:v>46006</c:v>
                </c:pt>
                <c:pt idx="674">
                  <c:v>46007</c:v>
                </c:pt>
                <c:pt idx="675">
                  <c:v>46008</c:v>
                </c:pt>
                <c:pt idx="676">
                  <c:v>46009</c:v>
                </c:pt>
                <c:pt idx="677">
                  <c:v>46010</c:v>
                </c:pt>
                <c:pt idx="678">
                  <c:v>46011</c:v>
                </c:pt>
                <c:pt idx="679">
                  <c:v>46012</c:v>
                </c:pt>
                <c:pt idx="680">
                  <c:v>46013</c:v>
                </c:pt>
                <c:pt idx="681">
                  <c:v>46014</c:v>
                </c:pt>
                <c:pt idx="682">
                  <c:v>46015</c:v>
                </c:pt>
              </c:numCache>
            </c:numRef>
          </c:xVal>
          <c:yVal>
            <c:numRef>
              <c:f>Sheet4!$D$2:$D$684</c:f>
              <c:numCache>
                <c:formatCode>0.00%</c:formatCode>
                <c:ptCount val="683"/>
                <c:pt idx="0">
                  <c:v>0.000179111187633915</c:v>
                </c:pt>
                <c:pt idx="1">
                  <c:v>0.000365545846724824</c:v>
                </c:pt>
                <c:pt idx="2">
                  <c:v>0.000563028485613713</c:v>
                </c:pt>
                <c:pt idx="3">
                  <c:v>0.000751948940159168</c:v>
                </c:pt>
                <c:pt idx="4">
                  <c:v>0.000946393384603613</c:v>
                </c:pt>
                <c:pt idx="5">
                  <c:v>0.00115492400329048</c:v>
                </c:pt>
                <c:pt idx="6">
                  <c:v>0.00135931162955311</c:v>
                </c:pt>
                <c:pt idx="7">
                  <c:v>0.00157935056052954</c:v>
                </c:pt>
                <c:pt idx="8">
                  <c:v>0.00177637286692685</c:v>
                </c:pt>
                <c:pt idx="9">
                  <c:v>0.00196971251339149</c:v>
                </c:pt>
                <c:pt idx="10">
                  <c:v>0.00231081888965412</c:v>
                </c:pt>
                <c:pt idx="11">
                  <c:v>0.00251888917584941</c:v>
                </c:pt>
                <c:pt idx="12">
                  <c:v>0.00272741979453627</c:v>
                </c:pt>
                <c:pt idx="13">
                  <c:v>0.0029318074207989</c:v>
                </c:pt>
                <c:pt idx="14">
                  <c:v>0.00313950944100092</c:v>
                </c:pt>
                <c:pt idx="15">
                  <c:v>0.00341847093089991</c:v>
                </c:pt>
                <c:pt idx="16">
                  <c:v>0.00362976354453627</c:v>
                </c:pt>
                <c:pt idx="17">
                  <c:v>0.00383967516069789</c:v>
                </c:pt>
                <c:pt idx="18">
                  <c:v>0.00405027727559688</c:v>
                </c:pt>
                <c:pt idx="19">
                  <c:v>0.00438171666953627</c:v>
                </c:pt>
                <c:pt idx="20">
                  <c:v>0.00484203272067264</c:v>
                </c:pt>
                <c:pt idx="21">
                  <c:v>0.00533031397067264</c:v>
                </c:pt>
                <c:pt idx="22">
                  <c:v>0.00580897755968779</c:v>
                </c:pt>
                <c:pt idx="23">
                  <c:v>0.00636778832357668</c:v>
                </c:pt>
                <c:pt idx="24">
                  <c:v>0.00663150951991507</c:v>
                </c:pt>
                <c:pt idx="25">
                  <c:v>0.00689340582673325</c:v>
                </c:pt>
                <c:pt idx="26">
                  <c:v>0.00714657225665749</c:v>
                </c:pt>
                <c:pt idx="27">
                  <c:v>0.00767149926107669</c:v>
                </c:pt>
                <c:pt idx="28">
                  <c:v>0.00799391285009184</c:v>
                </c:pt>
                <c:pt idx="29">
                  <c:v>0.00834794141701103</c:v>
                </c:pt>
                <c:pt idx="30">
                  <c:v>0.00861822235135447</c:v>
                </c:pt>
                <c:pt idx="31">
                  <c:v>0.00890823182105144</c:v>
                </c:pt>
                <c:pt idx="32">
                  <c:v>0.00917456704832416</c:v>
                </c:pt>
                <c:pt idx="33">
                  <c:v>0.00944978011650598</c:v>
                </c:pt>
                <c:pt idx="34">
                  <c:v>0.00980686660640497</c:v>
                </c:pt>
                <c:pt idx="35">
                  <c:v>0.0103423483772383</c:v>
                </c:pt>
                <c:pt idx="36">
                  <c:v>0.0107265616032484</c:v>
                </c:pt>
                <c:pt idx="37">
                  <c:v>0.0111512183267333</c:v>
                </c:pt>
                <c:pt idx="38">
                  <c:v>0.0119990521335514</c:v>
                </c:pt>
                <c:pt idx="39">
                  <c:v>0.0123884934214302</c:v>
                </c:pt>
                <c:pt idx="40">
                  <c:v>0.0130342083835514</c:v>
                </c:pt>
                <c:pt idx="41">
                  <c:v>0.0139482807478191</c:v>
                </c:pt>
                <c:pt idx="42">
                  <c:v>0.014372937471304</c:v>
                </c:pt>
                <c:pt idx="43">
                  <c:v>0.0148957436581727</c:v>
                </c:pt>
                <c:pt idx="44">
                  <c:v>0.0154803494820363</c:v>
                </c:pt>
                <c:pt idx="45">
                  <c:v>0.0159538343305211</c:v>
                </c:pt>
                <c:pt idx="46">
                  <c:v>0.0163602841278932</c:v>
                </c:pt>
                <c:pt idx="47">
                  <c:v>0.016700134107957</c:v>
                </c:pt>
                <c:pt idx="48">
                  <c:v>0.0177358822140176</c:v>
                </c:pt>
                <c:pt idx="49">
                  <c:v>0.0188722458503812</c:v>
                </c:pt>
                <c:pt idx="50">
                  <c:v>0.0197369870119974</c:v>
                </c:pt>
                <c:pt idx="51">
                  <c:v>0.0206506549412903</c:v>
                </c:pt>
                <c:pt idx="52">
                  <c:v>0.0210799478705832</c:v>
                </c:pt>
                <c:pt idx="53">
                  <c:v>0.0222163115069469</c:v>
                </c:pt>
                <c:pt idx="54">
                  <c:v>0.0233130602443206</c:v>
                </c:pt>
                <c:pt idx="55">
                  <c:v>0.0242679213554317</c:v>
                </c:pt>
                <c:pt idx="56">
                  <c:v>0.0247976982914586</c:v>
                </c:pt>
                <c:pt idx="57">
                  <c:v>0.0259234874328728</c:v>
                </c:pt>
                <c:pt idx="58">
                  <c:v>0.0266545480389334</c:v>
                </c:pt>
                <c:pt idx="59">
                  <c:v>0.0276700152106506</c:v>
                </c:pt>
                <c:pt idx="60">
                  <c:v>0.028219257634893</c:v>
                </c:pt>
                <c:pt idx="61">
                  <c:v>0.0292342513217617</c:v>
                </c:pt>
                <c:pt idx="62">
                  <c:v>0.0301821679884283</c:v>
                </c:pt>
                <c:pt idx="63">
                  <c:v>0.0307943838975193</c:v>
                </c:pt>
                <c:pt idx="64">
                  <c:v>0.0316874236702465</c:v>
                </c:pt>
                <c:pt idx="65">
                  <c:v>0.0326290587712566</c:v>
                </c:pt>
                <c:pt idx="66">
                  <c:v>0.0336424583924688</c:v>
                </c:pt>
                <c:pt idx="67">
                  <c:v>0.0350167639480243</c:v>
                </c:pt>
                <c:pt idx="68">
                  <c:v>0.0358762178621657</c:v>
                </c:pt>
                <c:pt idx="69">
                  <c:v>0.0367829413470142</c:v>
                </c:pt>
                <c:pt idx="70">
                  <c:v>0.0379919059934789</c:v>
                </c:pt>
                <c:pt idx="71">
                  <c:v>0.0390870764480243</c:v>
                </c:pt>
                <c:pt idx="72">
                  <c:v>0.0402041850338829</c:v>
                </c:pt>
                <c:pt idx="73">
                  <c:v>0.0410888125591355</c:v>
                </c:pt>
                <c:pt idx="74">
                  <c:v>0.0424287746803476</c:v>
                </c:pt>
                <c:pt idx="75">
                  <c:v>0.0446091724076203</c:v>
                </c:pt>
                <c:pt idx="76">
                  <c:v>0.0453553845288324</c:v>
                </c:pt>
                <c:pt idx="77">
                  <c:v>0.0462291219025698</c:v>
                </c:pt>
                <c:pt idx="78">
                  <c:v>0.0470902330136809</c:v>
                </c:pt>
                <c:pt idx="79">
                  <c:v>0.0477316471550951</c:v>
                </c:pt>
                <c:pt idx="80">
                  <c:v>0.0487310818926492</c:v>
                </c:pt>
                <c:pt idx="81">
                  <c:v>0.049455513710831</c:v>
                </c:pt>
                <c:pt idx="82">
                  <c:v>0.0500576976596946</c:v>
                </c:pt>
                <c:pt idx="83">
                  <c:v>0.0506915755006037</c:v>
                </c:pt>
                <c:pt idx="84">
                  <c:v>0.0513247825713108</c:v>
                </c:pt>
                <c:pt idx="85">
                  <c:v>0.0519422265422704</c:v>
                </c:pt>
                <c:pt idx="86">
                  <c:v>0.0526685029785078</c:v>
                </c:pt>
                <c:pt idx="87">
                  <c:v>0.0532823918673967</c:v>
                </c:pt>
                <c:pt idx="88">
                  <c:v>0.0540628702624584</c:v>
                </c:pt>
                <c:pt idx="89">
                  <c:v>0.0570333003699853</c:v>
                </c:pt>
                <c:pt idx="90">
                  <c:v>0.0580093428821606</c:v>
                </c:pt>
                <c:pt idx="91">
                  <c:v>0.059440749381787</c:v>
                </c:pt>
                <c:pt idx="92">
                  <c:v>0.0604928524436557</c:v>
                </c:pt>
                <c:pt idx="93">
                  <c:v>0.0618824804579536</c:v>
                </c:pt>
                <c:pt idx="94">
                  <c:v>0.063688457358657</c:v>
                </c:pt>
                <c:pt idx="95">
                  <c:v>0.0643914245303742</c:v>
                </c:pt>
                <c:pt idx="96">
                  <c:v>0.0650715855152227</c:v>
                </c:pt>
                <c:pt idx="97">
                  <c:v>0.067983043848556</c:v>
                </c:pt>
                <c:pt idx="98">
                  <c:v>0.0687889742462833</c:v>
                </c:pt>
                <c:pt idx="99">
                  <c:v>0.0695134060644651</c:v>
                </c:pt>
                <c:pt idx="100">
                  <c:v>0.0702110070745661</c:v>
                </c:pt>
                <c:pt idx="101">
                  <c:v>0.0710179436275964</c:v>
                </c:pt>
                <c:pt idx="102">
                  <c:v>0.0717197369514601</c:v>
                </c:pt>
                <c:pt idx="103">
                  <c:v>0.0723663594262076</c:v>
                </c:pt>
                <c:pt idx="104">
                  <c:v>0.0730890025238506</c:v>
                </c:pt>
                <c:pt idx="105">
                  <c:v>0.0737727968472934</c:v>
                </c:pt>
                <c:pt idx="106">
                  <c:v>0.0742607821692631</c:v>
                </c:pt>
                <c:pt idx="107">
                  <c:v>0.074522382548051</c:v>
                </c:pt>
                <c:pt idx="108">
                  <c:v>0.074956035483657</c:v>
                </c:pt>
                <c:pt idx="109">
                  <c:v>0.0753867258508709</c:v>
                </c:pt>
                <c:pt idx="110">
                  <c:v>0.0760145667599618</c:v>
                </c:pt>
                <c:pt idx="111">
                  <c:v>0.0767107670440527</c:v>
                </c:pt>
                <c:pt idx="112">
                  <c:v>0.0774144839001133</c:v>
                </c:pt>
                <c:pt idx="113">
                  <c:v>0.0780776586160224</c:v>
                </c:pt>
                <c:pt idx="114">
                  <c:v>0.078729647252386</c:v>
                </c:pt>
                <c:pt idx="115">
                  <c:v>0.0794398745251133</c:v>
                </c:pt>
                <c:pt idx="116">
                  <c:v>0.0800648745251133</c:v>
                </c:pt>
                <c:pt idx="117">
                  <c:v>0.0806898745251133</c:v>
                </c:pt>
                <c:pt idx="118">
                  <c:v>0.0813162949796588</c:v>
                </c:pt>
                <c:pt idx="119">
                  <c:v>0.0819608262296588</c:v>
                </c:pt>
                <c:pt idx="120">
                  <c:v>0.0826071330478406</c:v>
                </c:pt>
                <c:pt idx="121">
                  <c:v>0.0832321330478406</c:v>
                </c:pt>
                <c:pt idx="122">
                  <c:v>0.0838571330478406</c:v>
                </c:pt>
                <c:pt idx="123">
                  <c:v>0.0844963375932951</c:v>
                </c:pt>
                <c:pt idx="124">
                  <c:v>0.0851128148660224</c:v>
                </c:pt>
                <c:pt idx="125">
                  <c:v>0.0857434966842042</c:v>
                </c:pt>
                <c:pt idx="126">
                  <c:v>0.0863613944114769</c:v>
                </c:pt>
                <c:pt idx="127">
                  <c:v>0.086967928502386</c:v>
                </c:pt>
                <c:pt idx="128">
                  <c:v>0.0875986103205678</c:v>
                </c:pt>
                <c:pt idx="129">
                  <c:v>0.0882122466842042</c:v>
                </c:pt>
                <c:pt idx="130">
                  <c:v>0.0883074171387497</c:v>
                </c:pt>
                <c:pt idx="131">
                  <c:v>0.0883642353205679</c:v>
                </c:pt>
                <c:pt idx="132">
                  <c:v>0.0886483262296588</c:v>
                </c:pt>
                <c:pt idx="133">
                  <c:v>0.0888542921387497</c:v>
                </c:pt>
                <c:pt idx="134">
                  <c:v>0.0889324171387497</c:v>
                </c:pt>
                <c:pt idx="135">
                  <c:v>0.0889608262296588</c:v>
                </c:pt>
                <c:pt idx="136">
                  <c:v>0.0890176444114769</c:v>
                </c:pt>
                <c:pt idx="137">
                  <c:v>0.0890744625932951</c:v>
                </c:pt>
                <c:pt idx="138">
                  <c:v>0.0891028716842042</c:v>
                </c:pt>
                <c:pt idx="139">
                  <c:v>0.0891596898660224</c:v>
                </c:pt>
                <c:pt idx="140">
                  <c:v>0.0892165080478406</c:v>
                </c:pt>
                <c:pt idx="141">
                  <c:v>0.0892165080478406</c:v>
                </c:pt>
                <c:pt idx="142">
                  <c:v>0.0892165080478406</c:v>
                </c:pt>
                <c:pt idx="143">
                  <c:v>0.0892165080478406</c:v>
                </c:pt>
                <c:pt idx="144">
                  <c:v>0.0892165080478406</c:v>
                </c:pt>
                <c:pt idx="145">
                  <c:v>0.0892165080478406</c:v>
                </c:pt>
                <c:pt idx="146">
                  <c:v>0.0892165080478406</c:v>
                </c:pt>
                <c:pt idx="147">
                  <c:v>0.0892165080478406</c:v>
                </c:pt>
                <c:pt idx="148">
                  <c:v>0.0892165080478406</c:v>
                </c:pt>
                <c:pt idx="149">
                  <c:v>0.0892165080478406</c:v>
                </c:pt>
                <c:pt idx="150">
                  <c:v>0.0892165080478406</c:v>
                </c:pt>
                <c:pt idx="151">
                  <c:v>0.0892165080478406</c:v>
                </c:pt>
                <c:pt idx="152">
                  <c:v>0.0892165080478406</c:v>
                </c:pt>
                <c:pt idx="153">
                  <c:v>0.0892165080478406</c:v>
                </c:pt>
                <c:pt idx="154">
                  <c:v>0.0892165080478406</c:v>
                </c:pt>
                <c:pt idx="155">
                  <c:v>0.0892165080478406</c:v>
                </c:pt>
                <c:pt idx="156">
                  <c:v>0.0892165080478406</c:v>
                </c:pt>
                <c:pt idx="157">
                  <c:v>0.0892165080478406</c:v>
                </c:pt>
                <c:pt idx="158">
                  <c:v>0.0892165080478406</c:v>
                </c:pt>
                <c:pt idx="159">
                  <c:v>0.0892165080478406</c:v>
                </c:pt>
                <c:pt idx="160">
                  <c:v>0.0895184434171588</c:v>
                </c:pt>
                <c:pt idx="161">
                  <c:v>0.0898895371671588</c:v>
                </c:pt>
                <c:pt idx="162">
                  <c:v>0.0898895371671588</c:v>
                </c:pt>
                <c:pt idx="163">
                  <c:v>0.0898895371671588</c:v>
                </c:pt>
                <c:pt idx="164">
                  <c:v>0.0898895371671588</c:v>
                </c:pt>
                <c:pt idx="165">
                  <c:v>0.0899794992883709</c:v>
                </c:pt>
                <c:pt idx="166">
                  <c:v>0.0900244803489769</c:v>
                </c:pt>
                <c:pt idx="167">
                  <c:v>0.0900975745724618</c:v>
                </c:pt>
                <c:pt idx="168">
                  <c:v>0.0901425556330679</c:v>
                </c:pt>
                <c:pt idx="169">
                  <c:v>0.0901425556330679</c:v>
                </c:pt>
                <c:pt idx="170">
                  <c:v>0.0901425556330679</c:v>
                </c:pt>
                <c:pt idx="171">
                  <c:v>0.0901425556330679</c:v>
                </c:pt>
                <c:pt idx="172">
                  <c:v>0.0901425556330679</c:v>
                </c:pt>
                <c:pt idx="173">
                  <c:v>0.0901425556330679</c:v>
                </c:pt>
                <c:pt idx="174">
                  <c:v>0.0902609268451891</c:v>
                </c:pt>
                <c:pt idx="175">
                  <c:v>0.0905609978679163</c:v>
                </c:pt>
                <c:pt idx="176">
                  <c:v>0.0905609978679163</c:v>
                </c:pt>
                <c:pt idx="177">
                  <c:v>0.0905609978679163</c:v>
                </c:pt>
                <c:pt idx="178">
                  <c:v>0.0905609978679163</c:v>
                </c:pt>
                <c:pt idx="179">
                  <c:v>0.0905609978679163</c:v>
                </c:pt>
                <c:pt idx="180">
                  <c:v>0.0905609978679163</c:v>
                </c:pt>
                <c:pt idx="181">
                  <c:v>0.09074033025428</c:v>
                </c:pt>
                <c:pt idx="182">
                  <c:v>0.0908841512770072</c:v>
                </c:pt>
                <c:pt idx="183">
                  <c:v>0.0908841512770072</c:v>
                </c:pt>
                <c:pt idx="184">
                  <c:v>0.0908841512770072</c:v>
                </c:pt>
                <c:pt idx="185">
                  <c:v>0.0908841512770072</c:v>
                </c:pt>
                <c:pt idx="186">
                  <c:v>0.0908841512770072</c:v>
                </c:pt>
                <c:pt idx="187">
                  <c:v>0.0908841512770072</c:v>
                </c:pt>
                <c:pt idx="188">
                  <c:v>0.0909078255194315</c:v>
                </c:pt>
                <c:pt idx="189">
                  <c:v>0.0909078255194315</c:v>
                </c:pt>
                <c:pt idx="190">
                  <c:v>0.0909078255194315</c:v>
                </c:pt>
                <c:pt idx="191">
                  <c:v>0.0909078255194315</c:v>
                </c:pt>
                <c:pt idx="192">
                  <c:v>0.0909078255194315</c:v>
                </c:pt>
                <c:pt idx="193">
                  <c:v>0.0909078255194315</c:v>
                </c:pt>
                <c:pt idx="194">
                  <c:v>0.0909078255194315</c:v>
                </c:pt>
                <c:pt idx="195">
                  <c:v>0.0909078255194315</c:v>
                </c:pt>
                <c:pt idx="196">
                  <c:v>0.0909078255194315</c:v>
                </c:pt>
                <c:pt idx="197">
                  <c:v>0.0909078255194315</c:v>
                </c:pt>
                <c:pt idx="198">
                  <c:v>0.0909078255194315</c:v>
                </c:pt>
                <c:pt idx="199">
                  <c:v>0.0909078255194315</c:v>
                </c:pt>
                <c:pt idx="200">
                  <c:v>0.0909078255194315</c:v>
                </c:pt>
                <c:pt idx="201">
                  <c:v>0.0909078255194315</c:v>
                </c:pt>
                <c:pt idx="202">
                  <c:v>0.0911250366936739</c:v>
                </c:pt>
                <c:pt idx="203">
                  <c:v>0.0912866133982194</c:v>
                </c:pt>
                <c:pt idx="204">
                  <c:v>0.0912866133982194</c:v>
                </c:pt>
                <c:pt idx="205">
                  <c:v>0.0912866133982194</c:v>
                </c:pt>
                <c:pt idx="206">
                  <c:v>0.0912866133982194</c:v>
                </c:pt>
                <c:pt idx="207">
                  <c:v>0.0912866133982194</c:v>
                </c:pt>
                <c:pt idx="208">
                  <c:v>0.0912866133982194</c:v>
                </c:pt>
                <c:pt idx="209">
                  <c:v>0.0914338967789012</c:v>
                </c:pt>
                <c:pt idx="210">
                  <c:v>0.091605623814886</c:v>
                </c:pt>
                <c:pt idx="211">
                  <c:v>0.091605623814886</c:v>
                </c:pt>
                <c:pt idx="212">
                  <c:v>0.091605623814886</c:v>
                </c:pt>
                <c:pt idx="213">
                  <c:v>0.091605623814886</c:v>
                </c:pt>
                <c:pt idx="214">
                  <c:v>0.091605623814886</c:v>
                </c:pt>
                <c:pt idx="215">
                  <c:v>0.091605623814886</c:v>
                </c:pt>
                <c:pt idx="216">
                  <c:v>0.091605623814886</c:v>
                </c:pt>
                <c:pt idx="217">
                  <c:v>0.0919934079057951</c:v>
                </c:pt>
                <c:pt idx="218">
                  <c:v>0.0923768418546588</c:v>
                </c:pt>
                <c:pt idx="219">
                  <c:v>0.092791141097083</c:v>
                </c:pt>
                <c:pt idx="220">
                  <c:v>0.092791141097083</c:v>
                </c:pt>
                <c:pt idx="221">
                  <c:v>0.092791141097083</c:v>
                </c:pt>
                <c:pt idx="222">
                  <c:v>0.092791141097083</c:v>
                </c:pt>
                <c:pt idx="223">
                  <c:v>0.0934374479152648</c:v>
                </c:pt>
                <c:pt idx="224">
                  <c:v>0.0939806632719568</c:v>
                </c:pt>
                <c:pt idx="225">
                  <c:v>0.0939806632719568</c:v>
                </c:pt>
                <c:pt idx="226">
                  <c:v>0.0939806632719568</c:v>
                </c:pt>
                <c:pt idx="227">
                  <c:v>0.0939806632719568</c:v>
                </c:pt>
                <c:pt idx="228">
                  <c:v>0.0939806632719568</c:v>
                </c:pt>
                <c:pt idx="229">
                  <c:v>0.0939806632719568</c:v>
                </c:pt>
                <c:pt idx="230">
                  <c:v>0.0939806632719568</c:v>
                </c:pt>
                <c:pt idx="231">
                  <c:v>0.0939806632719568</c:v>
                </c:pt>
                <c:pt idx="232">
                  <c:v>0.0939806632719568</c:v>
                </c:pt>
                <c:pt idx="233">
                  <c:v>0.0944090486886234</c:v>
                </c:pt>
                <c:pt idx="234">
                  <c:v>0.0944090486886234</c:v>
                </c:pt>
                <c:pt idx="235">
                  <c:v>0.0944090486886234</c:v>
                </c:pt>
                <c:pt idx="236">
                  <c:v>0.0945132153552901</c:v>
                </c:pt>
                <c:pt idx="237">
                  <c:v>0.0946173820219568</c:v>
                </c:pt>
                <c:pt idx="238">
                  <c:v>0.0947606111886234</c:v>
                </c:pt>
                <c:pt idx="239">
                  <c:v>0.0947606111886234</c:v>
                </c:pt>
                <c:pt idx="240">
                  <c:v>0.0947606111886234</c:v>
                </c:pt>
                <c:pt idx="241">
                  <c:v>0.0947606111886234</c:v>
                </c:pt>
                <c:pt idx="242">
                  <c:v>0.0947606111886234</c:v>
                </c:pt>
                <c:pt idx="243">
                  <c:v>0.0947606111886234</c:v>
                </c:pt>
                <c:pt idx="244">
                  <c:v>0.0947606111886234</c:v>
                </c:pt>
                <c:pt idx="245">
                  <c:v>0.0947606111886234</c:v>
                </c:pt>
                <c:pt idx="246">
                  <c:v>0.0947606111886234</c:v>
                </c:pt>
                <c:pt idx="247">
                  <c:v>0.0947606111886234</c:v>
                </c:pt>
                <c:pt idx="248">
                  <c:v>0.0947606111886234</c:v>
                </c:pt>
                <c:pt idx="249">
                  <c:v>0.0947606111886234</c:v>
                </c:pt>
                <c:pt idx="250">
                  <c:v>0.0947606111886234</c:v>
                </c:pt>
                <c:pt idx="251">
                  <c:v>0.0950526395451049</c:v>
                </c:pt>
                <c:pt idx="252">
                  <c:v>0.0952407182488086</c:v>
                </c:pt>
                <c:pt idx="253">
                  <c:v>0.0952407182488086</c:v>
                </c:pt>
                <c:pt idx="254">
                  <c:v>0.0952407182488086</c:v>
                </c:pt>
                <c:pt idx="255">
                  <c:v>0.0952407182488086</c:v>
                </c:pt>
                <c:pt idx="256">
                  <c:v>0.0952407182488086</c:v>
                </c:pt>
                <c:pt idx="257">
                  <c:v>0.0952407182488086</c:v>
                </c:pt>
                <c:pt idx="258">
                  <c:v>0.0952696534339938</c:v>
                </c:pt>
                <c:pt idx="259">
                  <c:v>0.0955300701006605</c:v>
                </c:pt>
                <c:pt idx="260">
                  <c:v>0.0955300701006605</c:v>
                </c:pt>
                <c:pt idx="261">
                  <c:v>0.0955300701006605</c:v>
                </c:pt>
                <c:pt idx="262">
                  <c:v>0.0955300701006605</c:v>
                </c:pt>
                <c:pt idx="263">
                  <c:v>0.0955300701006605</c:v>
                </c:pt>
                <c:pt idx="264">
                  <c:v>0.0955300701006605</c:v>
                </c:pt>
                <c:pt idx="265">
                  <c:v>0.0955905709424113</c:v>
                </c:pt>
                <c:pt idx="266">
                  <c:v>0.0956813222050376</c:v>
                </c:pt>
                <c:pt idx="267">
                  <c:v>0.0956813222050376</c:v>
                </c:pt>
                <c:pt idx="268">
                  <c:v>0.0956813222050376</c:v>
                </c:pt>
                <c:pt idx="269">
                  <c:v>0.0956813222050376</c:v>
                </c:pt>
                <c:pt idx="270">
                  <c:v>0.0956813222050376</c:v>
                </c:pt>
                <c:pt idx="271">
                  <c:v>0.0956813222050376</c:v>
                </c:pt>
                <c:pt idx="272">
                  <c:v>0.0956813222050376</c:v>
                </c:pt>
                <c:pt idx="273">
                  <c:v>0.0956813222050376</c:v>
                </c:pt>
                <c:pt idx="274">
                  <c:v>0.0956813222050376</c:v>
                </c:pt>
                <c:pt idx="275">
                  <c:v>0.0956813222050376</c:v>
                </c:pt>
                <c:pt idx="276">
                  <c:v>0.0956813222050376</c:v>
                </c:pt>
                <c:pt idx="277">
                  <c:v>0.0956813222050376</c:v>
                </c:pt>
                <c:pt idx="278">
                  <c:v>0.0956813222050376</c:v>
                </c:pt>
                <c:pt idx="279">
                  <c:v>0.0956813222050376</c:v>
                </c:pt>
                <c:pt idx="280">
                  <c:v>0.0956813222050376</c:v>
                </c:pt>
                <c:pt idx="281">
                  <c:v>0.0956813222050376</c:v>
                </c:pt>
                <c:pt idx="282">
                  <c:v>0.0956813222050376</c:v>
                </c:pt>
                <c:pt idx="283">
                  <c:v>0.0956813222050376</c:v>
                </c:pt>
                <c:pt idx="284">
                  <c:v>0.0956813222050376</c:v>
                </c:pt>
                <c:pt idx="285">
                  <c:v>0.0956813222050376</c:v>
                </c:pt>
                <c:pt idx="286">
                  <c:v>0.0958476995198524</c:v>
                </c:pt>
                <c:pt idx="287">
                  <c:v>0.0961350785181689</c:v>
                </c:pt>
                <c:pt idx="288">
                  <c:v>0.0961350785181689</c:v>
                </c:pt>
                <c:pt idx="289">
                  <c:v>0.0961350785181689</c:v>
                </c:pt>
                <c:pt idx="290">
                  <c:v>0.0961350785181689</c:v>
                </c:pt>
                <c:pt idx="291">
                  <c:v>0.0961350785181689</c:v>
                </c:pt>
                <c:pt idx="292">
                  <c:v>0.0961350785181689</c:v>
                </c:pt>
                <c:pt idx="293">
                  <c:v>0.0961502037286066</c:v>
                </c:pt>
                <c:pt idx="294">
                  <c:v>0.0962764663548692</c:v>
                </c:pt>
                <c:pt idx="295">
                  <c:v>0.0965132087791117</c:v>
                </c:pt>
                <c:pt idx="296">
                  <c:v>0.09667103706194</c:v>
                </c:pt>
                <c:pt idx="297">
                  <c:v>0.0966868198902228</c:v>
                </c:pt>
                <c:pt idx="298">
                  <c:v>0.0966868198902228</c:v>
                </c:pt>
                <c:pt idx="299">
                  <c:v>0.0966868198902228</c:v>
                </c:pt>
                <c:pt idx="300">
                  <c:v>0.0968288653447683</c:v>
                </c:pt>
                <c:pt idx="301">
                  <c:v>0.0970971734255764</c:v>
                </c:pt>
                <c:pt idx="302">
                  <c:v>0.0973023501932531</c:v>
                </c:pt>
                <c:pt idx="303">
                  <c:v>0.0974917441326471</c:v>
                </c:pt>
                <c:pt idx="304">
                  <c:v>0.0977127037286066</c:v>
                </c:pt>
                <c:pt idx="305">
                  <c:v>0.0979178804962834</c:v>
                </c:pt>
                <c:pt idx="306">
                  <c:v>0.0979178804962834</c:v>
                </c:pt>
                <c:pt idx="307">
                  <c:v>0.0980599259508289</c:v>
                </c:pt>
                <c:pt idx="308">
                  <c:v>0.0980599259508289</c:v>
                </c:pt>
                <c:pt idx="309">
                  <c:v>0.0980599259508289</c:v>
                </c:pt>
                <c:pt idx="310">
                  <c:v>0.0980599259508289</c:v>
                </c:pt>
                <c:pt idx="311">
                  <c:v>0.0980599259508289</c:v>
                </c:pt>
                <c:pt idx="312">
                  <c:v>0.0980599259508289</c:v>
                </c:pt>
                <c:pt idx="313">
                  <c:v>0.0980599259508289</c:v>
                </c:pt>
                <c:pt idx="314">
                  <c:v>0.0980914916073945</c:v>
                </c:pt>
                <c:pt idx="315">
                  <c:v>0.0981072744356773</c:v>
                </c:pt>
                <c:pt idx="316">
                  <c:v>0.0981072744356773</c:v>
                </c:pt>
                <c:pt idx="317">
                  <c:v>0.0981072744356773</c:v>
                </c:pt>
                <c:pt idx="318">
                  <c:v>0.0981072744356773</c:v>
                </c:pt>
                <c:pt idx="319">
                  <c:v>0.0981072744356773</c:v>
                </c:pt>
                <c:pt idx="320">
                  <c:v>0.0981072744356773</c:v>
                </c:pt>
                <c:pt idx="321">
                  <c:v>0.0981072744356773</c:v>
                </c:pt>
                <c:pt idx="322">
                  <c:v>0.0981072744356773</c:v>
                </c:pt>
                <c:pt idx="323">
                  <c:v>0.0981072744356773</c:v>
                </c:pt>
                <c:pt idx="324">
                  <c:v>0.0981072744356773</c:v>
                </c:pt>
                <c:pt idx="325">
                  <c:v>0.0990447744356773</c:v>
                </c:pt>
                <c:pt idx="326">
                  <c:v>0.0999822744356773</c:v>
                </c:pt>
                <c:pt idx="327">
                  <c:v>0.100919774435677</c:v>
                </c:pt>
                <c:pt idx="328">
                  <c:v>0.101857274435677</c:v>
                </c:pt>
                <c:pt idx="329">
                  <c:v>0.102794774435677</c:v>
                </c:pt>
                <c:pt idx="330">
                  <c:v>0.103732274435677</c:v>
                </c:pt>
                <c:pt idx="331">
                  <c:v>0.104669774435677</c:v>
                </c:pt>
                <c:pt idx="332">
                  <c:v>0.105607274435677</c:v>
                </c:pt>
                <c:pt idx="333">
                  <c:v>0.106544774435677</c:v>
                </c:pt>
                <c:pt idx="334">
                  <c:v>0.107482274435677</c:v>
                </c:pt>
                <c:pt idx="335">
                  <c:v>0.108419774435677</c:v>
                </c:pt>
                <c:pt idx="336">
                  <c:v>0.109357274435677</c:v>
                </c:pt>
                <c:pt idx="337">
                  <c:v>0.110294774435677</c:v>
                </c:pt>
                <c:pt idx="338">
                  <c:v>0.111232274435677</c:v>
                </c:pt>
                <c:pt idx="339">
                  <c:v>0.112169774435677</c:v>
                </c:pt>
                <c:pt idx="340">
                  <c:v>0.113107274435677</c:v>
                </c:pt>
                <c:pt idx="341">
                  <c:v>0.114044774435677</c:v>
                </c:pt>
                <c:pt idx="342">
                  <c:v>0.114982274435677</c:v>
                </c:pt>
                <c:pt idx="343">
                  <c:v>0.115919774435677</c:v>
                </c:pt>
                <c:pt idx="344">
                  <c:v>0.116857274435677</c:v>
                </c:pt>
                <c:pt idx="345">
                  <c:v>0.117794774435677</c:v>
                </c:pt>
                <c:pt idx="346">
                  <c:v>0.118732274435677</c:v>
                </c:pt>
                <c:pt idx="347">
                  <c:v>0.119669774435677</c:v>
                </c:pt>
                <c:pt idx="348">
                  <c:v>0.120607274435677</c:v>
                </c:pt>
                <c:pt idx="349">
                  <c:v>0.121544774435677</c:v>
                </c:pt>
                <c:pt idx="350">
                  <c:v>0.122482274435677</c:v>
                </c:pt>
                <c:pt idx="351">
                  <c:v>0.123419774435677</c:v>
                </c:pt>
                <c:pt idx="352">
                  <c:v>0.124357274435677</c:v>
                </c:pt>
                <c:pt idx="353">
                  <c:v>0.125294774435677</c:v>
                </c:pt>
                <c:pt idx="354">
                  <c:v>0.126232274435677</c:v>
                </c:pt>
                <c:pt idx="355">
                  <c:v>0.127169774435677</c:v>
                </c:pt>
                <c:pt idx="356">
                  <c:v>0.128107274435677</c:v>
                </c:pt>
                <c:pt idx="357">
                  <c:v>0.129154031064465</c:v>
                </c:pt>
                <c:pt idx="358">
                  <c:v>0.130237719511435</c:v>
                </c:pt>
                <c:pt idx="359">
                  <c:v>0.131318843248809</c:v>
                </c:pt>
                <c:pt idx="360">
                  <c:v>0.132387399909162</c:v>
                </c:pt>
                <c:pt idx="361">
                  <c:v>0.133448005969768</c:v>
                </c:pt>
                <c:pt idx="362">
                  <c:v>0.134508612030374</c:v>
                </c:pt>
                <c:pt idx="363">
                  <c:v>0.13556921809098</c:v>
                </c:pt>
                <c:pt idx="364">
                  <c:v>0.136629824151586</c:v>
                </c:pt>
                <c:pt idx="365">
                  <c:v>0.137690430212193</c:v>
                </c:pt>
                <c:pt idx="366">
                  <c:v>0.138743342144011</c:v>
                </c:pt>
                <c:pt idx="367">
                  <c:v>0.139803948204617</c:v>
                </c:pt>
                <c:pt idx="368">
                  <c:v>0.140864554265223</c:v>
                </c:pt>
                <c:pt idx="369">
                  <c:v>0.14201979810992</c:v>
                </c:pt>
                <c:pt idx="370">
                  <c:v>0.143080404170526</c:v>
                </c:pt>
                <c:pt idx="371">
                  <c:v>0.144114337251334</c:v>
                </c:pt>
                <c:pt idx="372">
                  <c:v>0.144367639808152</c:v>
                </c:pt>
                <c:pt idx="373">
                  <c:v>0.144787210515223</c:v>
                </c:pt>
                <c:pt idx="374">
                  <c:v>0.144869281222294</c:v>
                </c:pt>
                <c:pt idx="375">
                  <c:v>0.144951351929364</c:v>
                </c:pt>
                <c:pt idx="376">
                  <c:v>0.145047785010172</c:v>
                </c:pt>
                <c:pt idx="377">
                  <c:v>0.145129855717243</c:v>
                </c:pt>
                <c:pt idx="378">
                  <c:v>0.145211926424314</c:v>
                </c:pt>
                <c:pt idx="379">
                  <c:v>0.145293997131384</c:v>
                </c:pt>
                <c:pt idx="380">
                  <c:v>0.145376067838455</c:v>
                </c:pt>
                <c:pt idx="381">
                  <c:v>0.145458138545526</c:v>
                </c:pt>
                <c:pt idx="382">
                  <c:v>0.145540209252597</c:v>
                </c:pt>
                <c:pt idx="383">
                  <c:v>0.145622279959667</c:v>
                </c:pt>
                <c:pt idx="384">
                  <c:v>0.145707507232395</c:v>
                </c:pt>
                <c:pt idx="385">
                  <c:v>0.145792734505122</c:v>
                </c:pt>
                <c:pt idx="386">
                  <c:v>0.145877961777849</c:v>
                </c:pt>
                <c:pt idx="387">
                  <c:v>0.145963189050576</c:v>
                </c:pt>
                <c:pt idx="388">
                  <c:v>0.146048416323304</c:v>
                </c:pt>
                <c:pt idx="389">
                  <c:v>0.146133643596031</c:v>
                </c:pt>
                <c:pt idx="390">
                  <c:v>0.146218870868758</c:v>
                </c:pt>
                <c:pt idx="391">
                  <c:v>0.146304098141486</c:v>
                </c:pt>
                <c:pt idx="392">
                  <c:v>0.146368018596031</c:v>
                </c:pt>
                <c:pt idx="393">
                  <c:v>0.14644330268694</c:v>
                </c:pt>
                <c:pt idx="394">
                  <c:v>0.146517876550576</c:v>
                </c:pt>
                <c:pt idx="395">
                  <c:v>0.146606654959667</c:v>
                </c:pt>
                <c:pt idx="396">
                  <c:v>0.146730944732395</c:v>
                </c:pt>
                <c:pt idx="397">
                  <c:v>0.146890745868758</c:v>
                </c:pt>
                <c:pt idx="398">
                  <c:v>0.147086058368758</c:v>
                </c:pt>
                <c:pt idx="399">
                  <c:v>0.147210348141486</c:v>
                </c:pt>
                <c:pt idx="400">
                  <c:v>0.147334637914213</c:v>
                </c:pt>
                <c:pt idx="401">
                  <c:v>0.147650689050576</c:v>
                </c:pt>
                <c:pt idx="402">
                  <c:v>0.147902819732395</c:v>
                </c:pt>
                <c:pt idx="403">
                  <c:v>0.148197564050576</c:v>
                </c:pt>
                <c:pt idx="404">
                  <c:v>0.148492308368758</c:v>
                </c:pt>
                <c:pt idx="405">
                  <c:v>0.148781725982395</c:v>
                </c:pt>
                <c:pt idx="406">
                  <c:v>0.149228281380122</c:v>
                </c:pt>
                <c:pt idx="407">
                  <c:v>0.149787585357395</c:v>
                </c:pt>
                <c:pt idx="408">
                  <c:v>0.150379914902849</c:v>
                </c:pt>
                <c:pt idx="409">
                  <c:v>0.150763437630122</c:v>
                </c:pt>
                <c:pt idx="410">
                  <c:v>0.151016456096031</c:v>
                </c:pt>
                <c:pt idx="411">
                  <c:v>0.151300547005122</c:v>
                </c:pt>
                <c:pt idx="412">
                  <c:v>0.15157220893694</c:v>
                </c:pt>
                <c:pt idx="413">
                  <c:v>0.151854257942622</c:v>
                </c:pt>
                <c:pt idx="414">
                  <c:v>0.152136306948304</c:v>
                </c:pt>
                <c:pt idx="415">
                  <c:v>0.154030530433152</c:v>
                </c:pt>
                <c:pt idx="416">
                  <c:v>0.154312253918001</c:v>
                </c:pt>
                <c:pt idx="417">
                  <c:v>0.154593977402849</c:v>
                </c:pt>
                <c:pt idx="418">
                  <c:v>0.154875700887698</c:v>
                </c:pt>
                <c:pt idx="419">
                  <c:v>0.155151624183152</c:v>
                </c:pt>
                <c:pt idx="420">
                  <c:v>0.1554358972018</c:v>
                </c:pt>
                <c:pt idx="421">
                  <c:v>0.15571209669675</c:v>
                </c:pt>
                <c:pt idx="422">
                  <c:v>0.155985810396245</c:v>
                </c:pt>
                <c:pt idx="423">
                  <c:v>0.15626937521106</c:v>
                </c:pt>
                <c:pt idx="424">
                  <c:v>0.156552940025874</c:v>
                </c:pt>
                <c:pt idx="425">
                  <c:v>0.156825456860891</c:v>
                </c:pt>
                <c:pt idx="426">
                  <c:v>0.157097513363416</c:v>
                </c:pt>
                <c:pt idx="427">
                  <c:v>0.157376474853315</c:v>
                </c:pt>
                <c:pt idx="428">
                  <c:v>0.15766003966813</c:v>
                </c:pt>
                <c:pt idx="429">
                  <c:v>0.157943604482945</c:v>
                </c:pt>
                <c:pt idx="430">
                  <c:v>0.158211794192541</c:v>
                </c:pt>
                <c:pt idx="431">
                  <c:v>0.158495359007356</c:v>
                </c:pt>
                <c:pt idx="432">
                  <c:v>0.158778923822171</c:v>
                </c:pt>
                <c:pt idx="433">
                  <c:v>0.159062488636985</c:v>
                </c:pt>
                <c:pt idx="434">
                  <c:v>0.15933896433143</c:v>
                </c:pt>
                <c:pt idx="435">
                  <c:v>0.159622529146245</c:v>
                </c:pt>
                <c:pt idx="436">
                  <c:v>0.15990609396106</c:v>
                </c:pt>
                <c:pt idx="437">
                  <c:v>0.160189658775874</c:v>
                </c:pt>
                <c:pt idx="438">
                  <c:v>0.160473223590689</c:v>
                </c:pt>
                <c:pt idx="439">
                  <c:v>0.160756788405504</c:v>
                </c:pt>
                <c:pt idx="440">
                  <c:v>0.161040353220319</c:v>
                </c:pt>
                <c:pt idx="441">
                  <c:v>0.161322076705167</c:v>
                </c:pt>
                <c:pt idx="442">
                  <c:v>0.161605641519982</c:v>
                </c:pt>
                <c:pt idx="443">
                  <c:v>0.161889206334797</c:v>
                </c:pt>
                <c:pt idx="444">
                  <c:v>0.162172771149612</c:v>
                </c:pt>
                <c:pt idx="445">
                  <c:v>0.162447392361733</c:v>
                </c:pt>
                <c:pt idx="446">
                  <c:v>0.162714575916026</c:v>
                </c:pt>
                <c:pt idx="447">
                  <c:v>0.162989197128147</c:v>
                </c:pt>
                <c:pt idx="448">
                  <c:v>0.163263818340268</c:v>
                </c:pt>
                <c:pt idx="449">
                  <c:v>0.16353843955239</c:v>
                </c:pt>
                <c:pt idx="450">
                  <c:v>0.16382164267739</c:v>
                </c:pt>
                <c:pt idx="451">
                  <c:v>0.164096263889511</c:v>
                </c:pt>
                <c:pt idx="452">
                  <c:v>0.164370885101632</c:v>
                </c:pt>
                <c:pt idx="453">
                  <c:v>0.164645506313753</c:v>
                </c:pt>
                <c:pt idx="454">
                  <c:v>0.164920127525874</c:v>
                </c:pt>
                <c:pt idx="455">
                  <c:v>0.165194748737996</c:v>
                </c:pt>
                <c:pt idx="456">
                  <c:v>0.165469369950117</c:v>
                </c:pt>
                <c:pt idx="457">
                  <c:v>0.165743991162238</c:v>
                </c:pt>
                <c:pt idx="458">
                  <c:v>0.166702018703273</c:v>
                </c:pt>
                <c:pt idx="459">
                  <c:v>0.166747788905294</c:v>
                </c:pt>
                <c:pt idx="460">
                  <c:v>0.166793559107314</c:v>
                </c:pt>
                <c:pt idx="461">
                  <c:v>0.166996950442541</c:v>
                </c:pt>
                <c:pt idx="462">
                  <c:v>0.167797642914132</c:v>
                </c:pt>
                <c:pt idx="463">
                  <c:v>0.16931578330239</c:v>
                </c:pt>
                <c:pt idx="464">
                  <c:v>0.17069918765845</c:v>
                </c:pt>
                <c:pt idx="465">
                  <c:v>0.173421764024448</c:v>
                </c:pt>
                <c:pt idx="466">
                  <c:v>0.174876984759991</c:v>
                </c:pt>
                <c:pt idx="467">
                  <c:v>0.176465785729932</c:v>
                </c:pt>
                <c:pt idx="468">
                  <c:v>0.177093981752659</c:v>
                </c:pt>
                <c:pt idx="469">
                  <c:v>0.180529903261724</c:v>
                </c:pt>
                <c:pt idx="470">
                  <c:v>0.182151598732052</c:v>
                </c:pt>
                <c:pt idx="471">
                  <c:v>0.184147847022246</c:v>
                </c:pt>
                <c:pt idx="472">
                  <c:v>0.18561764263462</c:v>
                </c:pt>
                <c:pt idx="473">
                  <c:v>0.196080954236213</c:v>
                </c:pt>
                <c:pt idx="474">
                  <c:v>0.244402590369177</c:v>
                </c:pt>
                <c:pt idx="475">
                  <c:v>0.247099672316454</c:v>
                </c:pt>
                <c:pt idx="476">
                  <c:v>0.250650715197185</c:v>
                </c:pt>
                <c:pt idx="477">
                  <c:v>0.251575588934558</c:v>
                </c:pt>
                <c:pt idx="478">
                  <c:v>0.25643680657976</c:v>
                </c:pt>
                <c:pt idx="479">
                  <c:v>0.257581752129003</c:v>
                </c:pt>
                <c:pt idx="480">
                  <c:v>0.258239600140366</c:v>
                </c:pt>
                <c:pt idx="481">
                  <c:v>0.258239600140366</c:v>
                </c:pt>
                <c:pt idx="482">
                  <c:v>0.258889458094912</c:v>
                </c:pt>
                <c:pt idx="483">
                  <c:v>0.263360291428245</c:v>
                </c:pt>
                <c:pt idx="484">
                  <c:v>0.271407403170669</c:v>
                </c:pt>
                <c:pt idx="485">
                  <c:v>0.277905272488851</c:v>
                </c:pt>
                <c:pt idx="486">
                  <c:v>0.284951804212336</c:v>
                </c:pt>
                <c:pt idx="487">
                  <c:v>0.290206456200972</c:v>
                </c:pt>
                <c:pt idx="488">
                  <c:v>0.296016115291882</c:v>
                </c:pt>
                <c:pt idx="489">
                  <c:v>0.303458847299457</c:v>
                </c:pt>
                <c:pt idx="490">
                  <c:v>0.311836072678245</c:v>
                </c:pt>
                <c:pt idx="491">
                  <c:v>0.316025809894154</c:v>
                </c:pt>
                <c:pt idx="492">
                  <c:v>0.317931290481275</c:v>
                </c:pt>
                <c:pt idx="493">
                  <c:v>0.319233669742639</c:v>
                </c:pt>
                <c:pt idx="494">
                  <c:v>0.325002597299457</c:v>
                </c:pt>
                <c:pt idx="495">
                  <c:v>0.327468009231276</c:v>
                </c:pt>
                <c:pt idx="496">
                  <c:v>0.336460457147942</c:v>
                </c:pt>
                <c:pt idx="497">
                  <c:v>0.342224022488851</c:v>
                </c:pt>
                <c:pt idx="498">
                  <c:v>0.344140156485063</c:v>
                </c:pt>
                <c:pt idx="499">
                  <c:v>0.35917029379567</c:v>
                </c:pt>
                <c:pt idx="500">
                  <c:v>0.362191754496427</c:v>
                </c:pt>
                <c:pt idx="501">
                  <c:v>0.365162019647942</c:v>
                </c:pt>
                <c:pt idx="502">
                  <c:v>0.366588688682033</c:v>
                </c:pt>
                <c:pt idx="503">
                  <c:v>0.366588688682033</c:v>
                </c:pt>
                <c:pt idx="504">
                  <c:v>0.371529230822185</c:v>
                </c:pt>
                <c:pt idx="505">
                  <c:v>0.379810409799457</c:v>
                </c:pt>
                <c:pt idx="506">
                  <c:v>0.39093807315173</c:v>
                </c:pt>
                <c:pt idx="507">
                  <c:v>0.414980888019154</c:v>
                </c:pt>
                <c:pt idx="508">
                  <c:v>0.429453923057033</c:v>
                </c:pt>
                <c:pt idx="509">
                  <c:v>0.429453923057033</c:v>
                </c:pt>
                <c:pt idx="510">
                  <c:v>0.429453923057033</c:v>
                </c:pt>
                <c:pt idx="511">
                  <c:v>0.429453923057033</c:v>
                </c:pt>
                <c:pt idx="512">
                  <c:v>0.429453923057033</c:v>
                </c:pt>
                <c:pt idx="513">
                  <c:v>0.438521069127109</c:v>
                </c:pt>
                <c:pt idx="514">
                  <c:v>0.451709888966124</c:v>
                </c:pt>
                <c:pt idx="515">
                  <c:v>0.481631254969912</c:v>
                </c:pt>
                <c:pt idx="516">
                  <c:v>0.490214458094912</c:v>
                </c:pt>
                <c:pt idx="517">
                  <c:v>0.498127023199079</c:v>
                </c:pt>
                <c:pt idx="518">
                  <c:v>0.503656024146048</c:v>
                </c:pt>
                <c:pt idx="519">
                  <c:v>0.508207438682033</c:v>
                </c:pt>
                <c:pt idx="520">
                  <c:v>0.508207438682033</c:v>
                </c:pt>
                <c:pt idx="521">
                  <c:v>0.508207438682033</c:v>
                </c:pt>
                <c:pt idx="522">
                  <c:v>0.508207438682033</c:v>
                </c:pt>
                <c:pt idx="523">
                  <c:v>0.508207438682033</c:v>
                </c:pt>
                <c:pt idx="524">
                  <c:v>0.508207438682033</c:v>
                </c:pt>
                <c:pt idx="525">
                  <c:v>0.508207438682033</c:v>
                </c:pt>
                <c:pt idx="526">
                  <c:v>0.508207438682033</c:v>
                </c:pt>
                <c:pt idx="527">
                  <c:v>0.508207438682033</c:v>
                </c:pt>
                <c:pt idx="528">
                  <c:v>0.508207438682033</c:v>
                </c:pt>
                <c:pt idx="529">
                  <c:v>0.510475022725594</c:v>
                </c:pt>
                <c:pt idx="530">
                  <c:v>0.513772649382791</c:v>
                </c:pt>
                <c:pt idx="531">
                  <c:v>0.517182290718018</c:v>
                </c:pt>
                <c:pt idx="532">
                  <c:v>0.517182290718018</c:v>
                </c:pt>
                <c:pt idx="533">
                  <c:v>0.517182290718018</c:v>
                </c:pt>
                <c:pt idx="534">
                  <c:v>0.517182290718018</c:v>
                </c:pt>
                <c:pt idx="535">
                  <c:v>0.517182290718018</c:v>
                </c:pt>
                <c:pt idx="536">
                  <c:v>0.520065245263473</c:v>
                </c:pt>
                <c:pt idx="537">
                  <c:v>0.520065245263473</c:v>
                </c:pt>
                <c:pt idx="538">
                  <c:v>0.520065245263473</c:v>
                </c:pt>
                <c:pt idx="539">
                  <c:v>0.520065245263473</c:v>
                </c:pt>
                <c:pt idx="540">
                  <c:v>0.520065245263473</c:v>
                </c:pt>
                <c:pt idx="541">
                  <c:v>0.520065245263473</c:v>
                </c:pt>
                <c:pt idx="542">
                  <c:v>0.520065245263473</c:v>
                </c:pt>
                <c:pt idx="543">
                  <c:v>0.5209192225362</c:v>
                </c:pt>
                <c:pt idx="544">
                  <c:v>0.521511457384685</c:v>
                </c:pt>
                <c:pt idx="545">
                  <c:v>0.526069601324079</c:v>
                </c:pt>
                <c:pt idx="546">
                  <c:v>0.526069601324079</c:v>
                </c:pt>
                <c:pt idx="547">
                  <c:v>0.530701798293776</c:v>
                </c:pt>
                <c:pt idx="548">
                  <c:v>0.530701798293776</c:v>
                </c:pt>
                <c:pt idx="549">
                  <c:v>0.533704071021048</c:v>
                </c:pt>
                <c:pt idx="550">
                  <c:v>0.535326419505897</c:v>
                </c:pt>
                <c:pt idx="551">
                  <c:v>0.53546278314226</c:v>
                </c:pt>
                <c:pt idx="552">
                  <c:v>0.53546278314226</c:v>
                </c:pt>
                <c:pt idx="553">
                  <c:v>0.53546278314226</c:v>
                </c:pt>
                <c:pt idx="554">
                  <c:v>0.53546278314226</c:v>
                </c:pt>
                <c:pt idx="555">
                  <c:v>0.540080017990745</c:v>
                </c:pt>
                <c:pt idx="556">
                  <c:v>0.544773199808927</c:v>
                </c:pt>
                <c:pt idx="557">
                  <c:v>0.550619411930139</c:v>
                </c:pt>
                <c:pt idx="558">
                  <c:v>0.556535321021048</c:v>
                </c:pt>
                <c:pt idx="559">
                  <c:v>0.562309184657412</c:v>
                </c:pt>
                <c:pt idx="560">
                  <c:v>0.567908805869533</c:v>
                </c:pt>
                <c:pt idx="561">
                  <c:v>0.574581533142261</c:v>
                </c:pt>
                <c:pt idx="562">
                  <c:v>0.57847225283923</c:v>
                </c:pt>
                <c:pt idx="563">
                  <c:v>0.580259184657412</c:v>
                </c:pt>
                <c:pt idx="564">
                  <c:v>0.580259184657412</c:v>
                </c:pt>
                <c:pt idx="565">
                  <c:v>0.580259184657412</c:v>
                </c:pt>
                <c:pt idx="566">
                  <c:v>0.580259184657412</c:v>
                </c:pt>
                <c:pt idx="567">
                  <c:v>0.580259184657412</c:v>
                </c:pt>
                <c:pt idx="568">
                  <c:v>0.580259184657412</c:v>
                </c:pt>
                <c:pt idx="569">
                  <c:v>0.580259184657412</c:v>
                </c:pt>
                <c:pt idx="570">
                  <c:v>0.583754692469912</c:v>
                </c:pt>
                <c:pt idx="571">
                  <c:v>0.586257817469912</c:v>
                </c:pt>
                <c:pt idx="572">
                  <c:v>0.589851958094912</c:v>
                </c:pt>
                <c:pt idx="573">
                  <c:v>0.594221294032412</c:v>
                </c:pt>
                <c:pt idx="574">
                  <c:v>0.598991020594912</c:v>
                </c:pt>
                <c:pt idx="575">
                  <c:v>0.613753715907412</c:v>
                </c:pt>
                <c:pt idx="576">
                  <c:v>0.626121684657412</c:v>
                </c:pt>
                <c:pt idx="577">
                  <c:v>0.633394340907412</c:v>
                </c:pt>
                <c:pt idx="578">
                  <c:v>0.635560928178754</c:v>
                </c:pt>
                <c:pt idx="579">
                  <c:v>0.636272842241254</c:v>
                </c:pt>
                <c:pt idx="580">
                  <c:v>0.638662100053753</c:v>
                </c:pt>
                <c:pt idx="581">
                  <c:v>0.645007607866253</c:v>
                </c:pt>
                <c:pt idx="582">
                  <c:v>0.647240225053753</c:v>
                </c:pt>
                <c:pt idx="583">
                  <c:v>0.650182217241253</c:v>
                </c:pt>
                <c:pt idx="584">
                  <c:v>0.657358779741253</c:v>
                </c:pt>
                <c:pt idx="585">
                  <c:v>0.661448037553753</c:v>
                </c:pt>
                <c:pt idx="586">
                  <c:v>0.665547451616253</c:v>
                </c:pt>
                <c:pt idx="587">
                  <c:v>0.676822451616254</c:v>
                </c:pt>
                <c:pt idx="588">
                  <c:v>0.688682412553754</c:v>
                </c:pt>
                <c:pt idx="589">
                  <c:v>0.703614639116253</c:v>
                </c:pt>
                <c:pt idx="590">
                  <c:v>0.703614639116253</c:v>
                </c:pt>
                <c:pt idx="591">
                  <c:v>0.703614639116253</c:v>
                </c:pt>
                <c:pt idx="592">
                  <c:v>0.703614639116253</c:v>
                </c:pt>
                <c:pt idx="593">
                  <c:v>0.703614639116253</c:v>
                </c:pt>
                <c:pt idx="594">
                  <c:v>0.704727160817642</c:v>
                </c:pt>
                <c:pt idx="595">
                  <c:v>0.704727160817642</c:v>
                </c:pt>
                <c:pt idx="596">
                  <c:v>0.704727160817642</c:v>
                </c:pt>
                <c:pt idx="597">
                  <c:v>0.704727160817642</c:v>
                </c:pt>
                <c:pt idx="598">
                  <c:v>0.704727160817642</c:v>
                </c:pt>
                <c:pt idx="599">
                  <c:v>0.704727160817642</c:v>
                </c:pt>
                <c:pt idx="600">
                  <c:v>0.704727160817642</c:v>
                </c:pt>
                <c:pt idx="601">
                  <c:v>0.704727160817642</c:v>
                </c:pt>
                <c:pt idx="602">
                  <c:v>0.704727160817642</c:v>
                </c:pt>
                <c:pt idx="603">
                  <c:v>0.704727160817642</c:v>
                </c:pt>
                <c:pt idx="604">
                  <c:v>0.704727160817642</c:v>
                </c:pt>
                <c:pt idx="605">
                  <c:v>0.704727160817642</c:v>
                </c:pt>
                <c:pt idx="606">
                  <c:v>0.704727160817642</c:v>
                </c:pt>
                <c:pt idx="607">
                  <c:v>0.704727160817642</c:v>
                </c:pt>
                <c:pt idx="608">
                  <c:v>0.705426438753249</c:v>
                </c:pt>
                <c:pt idx="609">
                  <c:v>0.706791791499461</c:v>
                </c:pt>
                <c:pt idx="610">
                  <c:v>0.707621869624461</c:v>
                </c:pt>
                <c:pt idx="611">
                  <c:v>0.707948870097945</c:v>
                </c:pt>
                <c:pt idx="612">
                  <c:v>0.708527409397188</c:v>
                </c:pt>
                <c:pt idx="613">
                  <c:v>0.709025456272188</c:v>
                </c:pt>
                <c:pt idx="614">
                  <c:v>0.709483256935067</c:v>
                </c:pt>
                <c:pt idx="615">
                  <c:v>0.709563749359309</c:v>
                </c:pt>
                <c:pt idx="616">
                  <c:v>0.709684487995673</c:v>
                </c:pt>
                <c:pt idx="617">
                  <c:v>0.709845472844158</c:v>
                </c:pt>
                <c:pt idx="618">
                  <c:v>0.711095117730521</c:v>
                </c:pt>
                <c:pt idx="619">
                  <c:v>0.711580084586582</c:v>
                </c:pt>
                <c:pt idx="620">
                  <c:v>0.712158623885824</c:v>
                </c:pt>
                <c:pt idx="621">
                  <c:v>0.712817655609309</c:v>
                </c:pt>
                <c:pt idx="622">
                  <c:v>0.713315702484309</c:v>
                </c:pt>
                <c:pt idx="623">
                  <c:v>0.714055226632036</c:v>
                </c:pt>
                <c:pt idx="624">
                  <c:v>0.714636784397188</c:v>
                </c:pt>
                <c:pt idx="625">
                  <c:v>0.716945910817643</c:v>
                </c:pt>
                <c:pt idx="626">
                  <c:v>0.718138204851733</c:v>
                </c:pt>
                <c:pt idx="627">
                  <c:v>0.720034807597946</c:v>
                </c:pt>
                <c:pt idx="628">
                  <c:v>0.720325810070589</c:v>
                </c:pt>
                <c:pt idx="629">
                  <c:v>0.72506850064824</c:v>
                </c:pt>
                <c:pt idx="630">
                  <c:v>0.728769228631195</c:v>
                </c:pt>
                <c:pt idx="631">
                  <c:v>0.732131266983467</c:v>
                </c:pt>
                <c:pt idx="632">
                  <c:v>0.734592204483467</c:v>
                </c:pt>
                <c:pt idx="633">
                  <c:v>0.738282574985361</c:v>
                </c:pt>
                <c:pt idx="634">
                  <c:v>0.740567435307331</c:v>
                </c:pt>
                <c:pt idx="635">
                  <c:v>0.743755467977786</c:v>
                </c:pt>
                <c:pt idx="636">
                  <c:v>0.748398726737255</c:v>
                </c:pt>
                <c:pt idx="637">
                  <c:v>0.750476437438013</c:v>
                </c:pt>
                <c:pt idx="638">
                  <c:v>0.75141068222968</c:v>
                </c:pt>
                <c:pt idx="639">
                  <c:v>0.752840014616043</c:v>
                </c:pt>
                <c:pt idx="640">
                  <c:v>0.755467707561119</c:v>
                </c:pt>
                <c:pt idx="641">
                  <c:v>0.75791518033574</c:v>
                </c:pt>
                <c:pt idx="642">
                  <c:v>0.759792991652028</c:v>
                </c:pt>
                <c:pt idx="643">
                  <c:v>0.760837370992306</c:v>
                </c:pt>
                <c:pt idx="644">
                  <c:v>0.763831603683804</c:v>
                </c:pt>
                <c:pt idx="645">
                  <c:v>0.766694641615201</c:v>
                </c:pt>
                <c:pt idx="646">
                  <c:v>0.774101161238518</c:v>
                </c:pt>
                <c:pt idx="647">
                  <c:v>0.789028823275555</c:v>
                </c:pt>
                <c:pt idx="648">
                  <c:v>0.808059658976312</c:v>
                </c:pt>
                <c:pt idx="649">
                  <c:v>0.816173709639191</c:v>
                </c:pt>
                <c:pt idx="650">
                  <c:v>0.825513740810277</c:v>
                </c:pt>
                <c:pt idx="651">
                  <c:v>0.834905444303543</c:v>
                </c:pt>
                <c:pt idx="652">
                  <c:v>0.842994291762508</c:v>
                </c:pt>
                <c:pt idx="653">
                  <c:v>0.848951224369831</c:v>
                </c:pt>
                <c:pt idx="654">
                  <c:v>0.857717105840791</c:v>
                </c:pt>
                <c:pt idx="655">
                  <c:v>0.866791294997988</c:v>
                </c:pt>
                <c:pt idx="656">
                  <c:v>0.87606124054723</c:v>
                </c:pt>
                <c:pt idx="657">
                  <c:v>0.884580268719579</c:v>
                </c:pt>
                <c:pt idx="658">
                  <c:v>0.890264454325639</c:v>
                </c:pt>
                <c:pt idx="659">
                  <c:v>0.897284932545336</c:v>
                </c:pt>
                <c:pt idx="660">
                  <c:v>0.916081073707419</c:v>
                </c:pt>
                <c:pt idx="661">
                  <c:v>0.927054521104821</c:v>
                </c:pt>
                <c:pt idx="662">
                  <c:v>0.934562464054728</c:v>
                </c:pt>
                <c:pt idx="663">
                  <c:v>0.949104383980732</c:v>
                </c:pt>
                <c:pt idx="664">
                  <c:v>0.956504363928419</c:v>
                </c:pt>
                <c:pt idx="665">
                  <c:v>0.980251577284166</c:v>
                </c:pt>
                <c:pt idx="666">
                  <c:v>0.997924459884105</c:v>
                </c:pt>
                <c:pt idx="667">
                  <c:v>1.01512848912599</c:v>
                </c:pt>
                <c:pt idx="668">
                  <c:v>1.02707530372269</c:v>
                </c:pt>
                <c:pt idx="669">
                  <c:v>1.03305719292724</c:v>
                </c:pt>
                <c:pt idx="670">
                  <c:v>1.03305719292724</c:v>
                </c:pt>
                <c:pt idx="671">
                  <c:v>1.03305719292724</c:v>
                </c:pt>
                <c:pt idx="672">
                  <c:v>1.03305719292724</c:v>
                </c:pt>
                <c:pt idx="673">
                  <c:v>1.03305719292724</c:v>
                </c:pt>
                <c:pt idx="674">
                  <c:v>1.03305719292724</c:v>
                </c:pt>
                <c:pt idx="675">
                  <c:v>1.03305719292724</c:v>
                </c:pt>
                <c:pt idx="676">
                  <c:v>1.03305719292724</c:v>
                </c:pt>
                <c:pt idx="677">
                  <c:v>1.03305719292724</c:v>
                </c:pt>
                <c:pt idx="678">
                  <c:v>1.03305719292724</c:v>
                </c:pt>
                <c:pt idx="679">
                  <c:v>1.03305719292724</c:v>
                </c:pt>
                <c:pt idx="680">
                  <c:v>1.03305719292724</c:v>
                </c:pt>
                <c:pt idx="681">
                  <c:v>1.03305719292724</c:v>
                </c:pt>
                <c:pt idx="682">
                  <c:v>1.03305719292724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Sheet4!$F$1</c:f>
              <c:strCache>
                <c:ptCount val="1"/>
                <c:pt idx="0">
                  <c:v>目标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Sheet4!$A$2:$A$684</c:f>
              <c:numCache>
                <c:formatCode>m"月"d"日";@</c:formatCode>
                <c:ptCount val="683"/>
                <c:pt idx="0">
                  <c:v>45333</c:v>
                </c:pt>
                <c:pt idx="1">
                  <c:v>45334</c:v>
                </c:pt>
                <c:pt idx="2">
                  <c:v>45335</c:v>
                </c:pt>
                <c:pt idx="3">
                  <c:v>45336</c:v>
                </c:pt>
                <c:pt idx="4">
                  <c:v>45337</c:v>
                </c:pt>
                <c:pt idx="5">
                  <c:v>45338</c:v>
                </c:pt>
                <c:pt idx="6">
                  <c:v>45339</c:v>
                </c:pt>
                <c:pt idx="7">
                  <c:v>45340</c:v>
                </c:pt>
                <c:pt idx="8">
                  <c:v>45341</c:v>
                </c:pt>
                <c:pt idx="9">
                  <c:v>45342</c:v>
                </c:pt>
                <c:pt idx="10">
                  <c:v>45343</c:v>
                </c:pt>
                <c:pt idx="11">
                  <c:v>45344</c:v>
                </c:pt>
                <c:pt idx="12">
                  <c:v>45345</c:v>
                </c:pt>
                <c:pt idx="13">
                  <c:v>45346</c:v>
                </c:pt>
                <c:pt idx="14">
                  <c:v>45347</c:v>
                </c:pt>
                <c:pt idx="15">
                  <c:v>45348</c:v>
                </c:pt>
                <c:pt idx="16">
                  <c:v>45349</c:v>
                </c:pt>
                <c:pt idx="17">
                  <c:v>45350</c:v>
                </c:pt>
                <c:pt idx="18">
                  <c:v>45351</c:v>
                </c:pt>
                <c:pt idx="19">
                  <c:v>45352</c:v>
                </c:pt>
                <c:pt idx="20">
                  <c:v>45353</c:v>
                </c:pt>
                <c:pt idx="21">
                  <c:v>45354</c:v>
                </c:pt>
                <c:pt idx="22">
                  <c:v>45355</c:v>
                </c:pt>
                <c:pt idx="23">
                  <c:v>45356</c:v>
                </c:pt>
                <c:pt idx="24">
                  <c:v>45357</c:v>
                </c:pt>
                <c:pt idx="25">
                  <c:v>45358</c:v>
                </c:pt>
                <c:pt idx="26">
                  <c:v>45359</c:v>
                </c:pt>
                <c:pt idx="27">
                  <c:v>45360</c:v>
                </c:pt>
                <c:pt idx="28">
                  <c:v>45361</c:v>
                </c:pt>
                <c:pt idx="29">
                  <c:v>45362</c:v>
                </c:pt>
                <c:pt idx="30">
                  <c:v>45363</c:v>
                </c:pt>
                <c:pt idx="31">
                  <c:v>45364</c:v>
                </c:pt>
                <c:pt idx="32">
                  <c:v>45365</c:v>
                </c:pt>
                <c:pt idx="33">
                  <c:v>45366</c:v>
                </c:pt>
                <c:pt idx="34">
                  <c:v>45367</c:v>
                </c:pt>
                <c:pt idx="35">
                  <c:v>45368</c:v>
                </c:pt>
                <c:pt idx="36">
                  <c:v>45369</c:v>
                </c:pt>
                <c:pt idx="37">
                  <c:v>45370</c:v>
                </c:pt>
                <c:pt idx="38">
                  <c:v>45371</c:v>
                </c:pt>
                <c:pt idx="39">
                  <c:v>45372</c:v>
                </c:pt>
                <c:pt idx="40">
                  <c:v>45373</c:v>
                </c:pt>
                <c:pt idx="41">
                  <c:v>45374</c:v>
                </c:pt>
                <c:pt idx="42">
                  <c:v>45375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45380</c:v>
                </c:pt>
                <c:pt idx="48">
                  <c:v>45381</c:v>
                </c:pt>
                <c:pt idx="49">
                  <c:v>45382</c:v>
                </c:pt>
                <c:pt idx="50">
                  <c:v>45383</c:v>
                </c:pt>
                <c:pt idx="51">
                  <c:v>45384</c:v>
                </c:pt>
                <c:pt idx="52">
                  <c:v>45385</c:v>
                </c:pt>
                <c:pt idx="53">
                  <c:v>45386</c:v>
                </c:pt>
                <c:pt idx="54">
                  <c:v>45387</c:v>
                </c:pt>
                <c:pt idx="55">
                  <c:v>45388</c:v>
                </c:pt>
                <c:pt idx="56">
                  <c:v>45389</c:v>
                </c:pt>
                <c:pt idx="57">
                  <c:v>45390</c:v>
                </c:pt>
                <c:pt idx="58">
                  <c:v>45391</c:v>
                </c:pt>
                <c:pt idx="59">
                  <c:v>45392</c:v>
                </c:pt>
                <c:pt idx="60">
                  <c:v>45393</c:v>
                </c:pt>
                <c:pt idx="61">
                  <c:v>45394</c:v>
                </c:pt>
                <c:pt idx="62">
                  <c:v>45395</c:v>
                </c:pt>
                <c:pt idx="63">
                  <c:v>45396</c:v>
                </c:pt>
                <c:pt idx="64">
                  <c:v>45397</c:v>
                </c:pt>
                <c:pt idx="65">
                  <c:v>45398</c:v>
                </c:pt>
                <c:pt idx="66">
                  <c:v>45399</c:v>
                </c:pt>
                <c:pt idx="67">
                  <c:v>45400</c:v>
                </c:pt>
                <c:pt idx="68">
                  <c:v>45401</c:v>
                </c:pt>
                <c:pt idx="69">
                  <c:v>45402</c:v>
                </c:pt>
                <c:pt idx="70">
                  <c:v>45403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45409</c:v>
                </c:pt>
                <c:pt idx="77">
                  <c:v>45410</c:v>
                </c:pt>
                <c:pt idx="78">
                  <c:v>45411</c:v>
                </c:pt>
                <c:pt idx="79">
                  <c:v>45412</c:v>
                </c:pt>
                <c:pt idx="80">
                  <c:v>45413</c:v>
                </c:pt>
                <c:pt idx="81">
                  <c:v>45414</c:v>
                </c:pt>
                <c:pt idx="82">
                  <c:v>45415</c:v>
                </c:pt>
                <c:pt idx="83">
                  <c:v>45416</c:v>
                </c:pt>
                <c:pt idx="84">
                  <c:v>45417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45423</c:v>
                </c:pt>
                <c:pt idx="91">
                  <c:v>45424</c:v>
                </c:pt>
                <c:pt idx="92">
                  <c:v>45425</c:v>
                </c:pt>
                <c:pt idx="93">
                  <c:v>45426</c:v>
                </c:pt>
                <c:pt idx="94">
                  <c:v>45427</c:v>
                </c:pt>
                <c:pt idx="95">
                  <c:v>45428</c:v>
                </c:pt>
                <c:pt idx="96">
                  <c:v>45429</c:v>
                </c:pt>
                <c:pt idx="97">
                  <c:v>45430</c:v>
                </c:pt>
                <c:pt idx="98">
                  <c:v>45431</c:v>
                </c:pt>
                <c:pt idx="99">
                  <c:v>45432</c:v>
                </c:pt>
                <c:pt idx="100">
                  <c:v>45433</c:v>
                </c:pt>
                <c:pt idx="101">
                  <c:v>45434</c:v>
                </c:pt>
                <c:pt idx="102">
                  <c:v>45435</c:v>
                </c:pt>
                <c:pt idx="103">
                  <c:v>45436</c:v>
                </c:pt>
                <c:pt idx="104">
                  <c:v>45437</c:v>
                </c:pt>
                <c:pt idx="105">
                  <c:v>45438</c:v>
                </c:pt>
                <c:pt idx="106">
                  <c:v>45439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45444</c:v>
                </c:pt>
                <c:pt idx="112">
                  <c:v>45445</c:v>
                </c:pt>
                <c:pt idx="113">
                  <c:v>45446</c:v>
                </c:pt>
                <c:pt idx="114">
                  <c:v>45447</c:v>
                </c:pt>
                <c:pt idx="115">
                  <c:v>45448</c:v>
                </c:pt>
                <c:pt idx="116">
                  <c:v>45449</c:v>
                </c:pt>
                <c:pt idx="117">
                  <c:v>45450</c:v>
                </c:pt>
                <c:pt idx="118">
                  <c:v>45451</c:v>
                </c:pt>
                <c:pt idx="119">
                  <c:v>45452</c:v>
                </c:pt>
                <c:pt idx="120">
                  <c:v>45453</c:v>
                </c:pt>
                <c:pt idx="121">
                  <c:v>45454</c:v>
                </c:pt>
                <c:pt idx="122">
                  <c:v>45455</c:v>
                </c:pt>
                <c:pt idx="123">
                  <c:v>45456</c:v>
                </c:pt>
                <c:pt idx="124">
                  <c:v>45457</c:v>
                </c:pt>
                <c:pt idx="125">
                  <c:v>45458</c:v>
                </c:pt>
                <c:pt idx="126">
                  <c:v>45459</c:v>
                </c:pt>
                <c:pt idx="127">
                  <c:v>45460</c:v>
                </c:pt>
                <c:pt idx="128">
                  <c:v>45461</c:v>
                </c:pt>
                <c:pt idx="129">
                  <c:v>45462</c:v>
                </c:pt>
                <c:pt idx="130">
                  <c:v>45463</c:v>
                </c:pt>
                <c:pt idx="131">
                  <c:v>45464</c:v>
                </c:pt>
                <c:pt idx="132">
                  <c:v>45465</c:v>
                </c:pt>
                <c:pt idx="133">
                  <c:v>45466</c:v>
                </c:pt>
                <c:pt idx="134">
                  <c:v>45467</c:v>
                </c:pt>
                <c:pt idx="135">
                  <c:v>45468</c:v>
                </c:pt>
                <c:pt idx="136">
                  <c:v>45469</c:v>
                </c:pt>
                <c:pt idx="137">
                  <c:v>45470</c:v>
                </c:pt>
                <c:pt idx="138">
                  <c:v>45471</c:v>
                </c:pt>
                <c:pt idx="139">
                  <c:v>45472</c:v>
                </c:pt>
                <c:pt idx="140">
                  <c:v>45473</c:v>
                </c:pt>
                <c:pt idx="141">
                  <c:v>45474</c:v>
                </c:pt>
                <c:pt idx="142">
                  <c:v>45475</c:v>
                </c:pt>
                <c:pt idx="143">
                  <c:v>45476</c:v>
                </c:pt>
                <c:pt idx="144">
                  <c:v>45477</c:v>
                </c:pt>
                <c:pt idx="145">
                  <c:v>45478</c:v>
                </c:pt>
                <c:pt idx="146">
                  <c:v>45479</c:v>
                </c:pt>
                <c:pt idx="147">
                  <c:v>45480</c:v>
                </c:pt>
                <c:pt idx="148">
                  <c:v>45481</c:v>
                </c:pt>
                <c:pt idx="149">
                  <c:v>45482</c:v>
                </c:pt>
                <c:pt idx="150">
                  <c:v>45483</c:v>
                </c:pt>
                <c:pt idx="151">
                  <c:v>45484</c:v>
                </c:pt>
                <c:pt idx="152">
                  <c:v>45485</c:v>
                </c:pt>
                <c:pt idx="153">
                  <c:v>45486</c:v>
                </c:pt>
                <c:pt idx="154">
                  <c:v>45487</c:v>
                </c:pt>
                <c:pt idx="155">
                  <c:v>45488</c:v>
                </c:pt>
                <c:pt idx="156">
                  <c:v>45489</c:v>
                </c:pt>
                <c:pt idx="157">
                  <c:v>45490</c:v>
                </c:pt>
                <c:pt idx="158">
                  <c:v>45491</c:v>
                </c:pt>
                <c:pt idx="159">
                  <c:v>45492</c:v>
                </c:pt>
                <c:pt idx="160">
                  <c:v>45493</c:v>
                </c:pt>
                <c:pt idx="161">
                  <c:v>45494</c:v>
                </c:pt>
                <c:pt idx="162">
                  <c:v>45495</c:v>
                </c:pt>
                <c:pt idx="163">
                  <c:v>45496</c:v>
                </c:pt>
                <c:pt idx="164">
                  <c:v>45497</c:v>
                </c:pt>
                <c:pt idx="165">
                  <c:v>45498</c:v>
                </c:pt>
                <c:pt idx="166">
                  <c:v>45499</c:v>
                </c:pt>
                <c:pt idx="167">
                  <c:v>45500</c:v>
                </c:pt>
                <c:pt idx="168">
                  <c:v>45501</c:v>
                </c:pt>
                <c:pt idx="169">
                  <c:v>45502</c:v>
                </c:pt>
                <c:pt idx="170">
                  <c:v>45503</c:v>
                </c:pt>
                <c:pt idx="171">
                  <c:v>45504</c:v>
                </c:pt>
                <c:pt idx="172">
                  <c:v>45505</c:v>
                </c:pt>
                <c:pt idx="173">
                  <c:v>45506</c:v>
                </c:pt>
                <c:pt idx="174">
                  <c:v>45507</c:v>
                </c:pt>
                <c:pt idx="175">
                  <c:v>45508</c:v>
                </c:pt>
                <c:pt idx="176">
                  <c:v>45509</c:v>
                </c:pt>
                <c:pt idx="177">
                  <c:v>45510</c:v>
                </c:pt>
                <c:pt idx="178">
                  <c:v>45511</c:v>
                </c:pt>
                <c:pt idx="179">
                  <c:v>45512</c:v>
                </c:pt>
                <c:pt idx="180">
                  <c:v>45513</c:v>
                </c:pt>
                <c:pt idx="181">
                  <c:v>45514</c:v>
                </c:pt>
                <c:pt idx="182">
                  <c:v>45515</c:v>
                </c:pt>
                <c:pt idx="183">
                  <c:v>45516</c:v>
                </c:pt>
                <c:pt idx="184">
                  <c:v>45517</c:v>
                </c:pt>
                <c:pt idx="185">
                  <c:v>45518</c:v>
                </c:pt>
                <c:pt idx="186">
                  <c:v>45519</c:v>
                </c:pt>
                <c:pt idx="187">
                  <c:v>45520</c:v>
                </c:pt>
                <c:pt idx="188">
                  <c:v>45521</c:v>
                </c:pt>
                <c:pt idx="189">
                  <c:v>45522</c:v>
                </c:pt>
                <c:pt idx="190">
                  <c:v>45523</c:v>
                </c:pt>
                <c:pt idx="191">
                  <c:v>45524</c:v>
                </c:pt>
                <c:pt idx="192">
                  <c:v>45525</c:v>
                </c:pt>
                <c:pt idx="193">
                  <c:v>45526</c:v>
                </c:pt>
                <c:pt idx="194">
                  <c:v>45527</c:v>
                </c:pt>
                <c:pt idx="195">
                  <c:v>45528</c:v>
                </c:pt>
                <c:pt idx="196">
                  <c:v>45529</c:v>
                </c:pt>
                <c:pt idx="197">
                  <c:v>45530</c:v>
                </c:pt>
                <c:pt idx="198">
                  <c:v>45531</c:v>
                </c:pt>
                <c:pt idx="199">
                  <c:v>45532</c:v>
                </c:pt>
                <c:pt idx="200">
                  <c:v>45533</c:v>
                </c:pt>
                <c:pt idx="201">
                  <c:v>45534</c:v>
                </c:pt>
                <c:pt idx="202">
                  <c:v>45535</c:v>
                </c:pt>
                <c:pt idx="203">
                  <c:v>45536</c:v>
                </c:pt>
                <c:pt idx="204">
                  <c:v>45537</c:v>
                </c:pt>
                <c:pt idx="205">
                  <c:v>45538</c:v>
                </c:pt>
                <c:pt idx="206">
                  <c:v>45539</c:v>
                </c:pt>
                <c:pt idx="207">
                  <c:v>45540</c:v>
                </c:pt>
                <c:pt idx="208">
                  <c:v>45541</c:v>
                </c:pt>
                <c:pt idx="209">
                  <c:v>45542</c:v>
                </c:pt>
                <c:pt idx="210">
                  <c:v>45543</c:v>
                </c:pt>
                <c:pt idx="211">
                  <c:v>45544</c:v>
                </c:pt>
                <c:pt idx="212">
                  <c:v>45545</c:v>
                </c:pt>
                <c:pt idx="213">
                  <c:v>45546</c:v>
                </c:pt>
                <c:pt idx="214">
                  <c:v>45547</c:v>
                </c:pt>
                <c:pt idx="215">
                  <c:v>45548</c:v>
                </c:pt>
                <c:pt idx="216">
                  <c:v>45549</c:v>
                </c:pt>
                <c:pt idx="217">
                  <c:v>45550</c:v>
                </c:pt>
                <c:pt idx="218">
                  <c:v>45551</c:v>
                </c:pt>
                <c:pt idx="219">
                  <c:v>45552</c:v>
                </c:pt>
                <c:pt idx="220">
                  <c:v>45553</c:v>
                </c:pt>
                <c:pt idx="221">
                  <c:v>45554</c:v>
                </c:pt>
                <c:pt idx="222">
                  <c:v>45555</c:v>
                </c:pt>
                <c:pt idx="223">
                  <c:v>45556</c:v>
                </c:pt>
                <c:pt idx="224">
                  <c:v>45557</c:v>
                </c:pt>
                <c:pt idx="225">
                  <c:v>45558</c:v>
                </c:pt>
                <c:pt idx="226">
                  <c:v>45559</c:v>
                </c:pt>
                <c:pt idx="227">
                  <c:v>45560</c:v>
                </c:pt>
                <c:pt idx="228">
                  <c:v>45561</c:v>
                </c:pt>
                <c:pt idx="229">
                  <c:v>45562</c:v>
                </c:pt>
                <c:pt idx="230">
                  <c:v>45563</c:v>
                </c:pt>
                <c:pt idx="231">
                  <c:v>45564</c:v>
                </c:pt>
                <c:pt idx="232">
                  <c:v>45565</c:v>
                </c:pt>
                <c:pt idx="233">
                  <c:v>45566</c:v>
                </c:pt>
                <c:pt idx="234">
                  <c:v>45567</c:v>
                </c:pt>
                <c:pt idx="235">
                  <c:v>45568</c:v>
                </c:pt>
                <c:pt idx="236">
                  <c:v>45569</c:v>
                </c:pt>
                <c:pt idx="237">
                  <c:v>45570</c:v>
                </c:pt>
                <c:pt idx="238">
                  <c:v>45571</c:v>
                </c:pt>
                <c:pt idx="239">
                  <c:v>45572</c:v>
                </c:pt>
                <c:pt idx="240">
                  <c:v>45573</c:v>
                </c:pt>
                <c:pt idx="241">
                  <c:v>45574</c:v>
                </c:pt>
                <c:pt idx="242">
                  <c:v>45575</c:v>
                </c:pt>
                <c:pt idx="243">
                  <c:v>45576</c:v>
                </c:pt>
                <c:pt idx="244">
                  <c:v>45577</c:v>
                </c:pt>
                <c:pt idx="245">
                  <c:v>45578</c:v>
                </c:pt>
                <c:pt idx="246">
                  <c:v>45579</c:v>
                </c:pt>
                <c:pt idx="247">
                  <c:v>45580</c:v>
                </c:pt>
                <c:pt idx="248">
                  <c:v>45581</c:v>
                </c:pt>
                <c:pt idx="249">
                  <c:v>45582</c:v>
                </c:pt>
                <c:pt idx="250">
                  <c:v>45583</c:v>
                </c:pt>
                <c:pt idx="251">
                  <c:v>45584</c:v>
                </c:pt>
                <c:pt idx="252">
                  <c:v>45585</c:v>
                </c:pt>
                <c:pt idx="253">
                  <c:v>45586</c:v>
                </c:pt>
                <c:pt idx="254">
                  <c:v>45587</c:v>
                </c:pt>
                <c:pt idx="255">
                  <c:v>45588</c:v>
                </c:pt>
                <c:pt idx="256">
                  <c:v>45589</c:v>
                </c:pt>
                <c:pt idx="257">
                  <c:v>45590</c:v>
                </c:pt>
                <c:pt idx="258">
                  <c:v>45591</c:v>
                </c:pt>
                <c:pt idx="259">
                  <c:v>45592</c:v>
                </c:pt>
                <c:pt idx="260">
                  <c:v>45593</c:v>
                </c:pt>
                <c:pt idx="261">
                  <c:v>45594</c:v>
                </c:pt>
                <c:pt idx="262">
                  <c:v>45595</c:v>
                </c:pt>
                <c:pt idx="263">
                  <c:v>45596</c:v>
                </c:pt>
                <c:pt idx="264">
                  <c:v>45597</c:v>
                </c:pt>
                <c:pt idx="265">
                  <c:v>45598</c:v>
                </c:pt>
                <c:pt idx="266">
                  <c:v>45599</c:v>
                </c:pt>
                <c:pt idx="267">
                  <c:v>45600</c:v>
                </c:pt>
                <c:pt idx="268">
                  <c:v>45601</c:v>
                </c:pt>
                <c:pt idx="269">
                  <c:v>45602</c:v>
                </c:pt>
                <c:pt idx="270">
                  <c:v>45603</c:v>
                </c:pt>
                <c:pt idx="271">
                  <c:v>45604</c:v>
                </c:pt>
                <c:pt idx="272">
                  <c:v>45605</c:v>
                </c:pt>
                <c:pt idx="273">
                  <c:v>45606</c:v>
                </c:pt>
                <c:pt idx="274">
                  <c:v>45607</c:v>
                </c:pt>
                <c:pt idx="275">
                  <c:v>45608</c:v>
                </c:pt>
                <c:pt idx="276">
                  <c:v>45609</c:v>
                </c:pt>
                <c:pt idx="277">
                  <c:v>45610</c:v>
                </c:pt>
                <c:pt idx="278">
                  <c:v>45611</c:v>
                </c:pt>
                <c:pt idx="279">
                  <c:v>45612</c:v>
                </c:pt>
                <c:pt idx="280">
                  <c:v>45613</c:v>
                </c:pt>
                <c:pt idx="281">
                  <c:v>45614</c:v>
                </c:pt>
                <c:pt idx="282">
                  <c:v>45615</c:v>
                </c:pt>
                <c:pt idx="283">
                  <c:v>45616</c:v>
                </c:pt>
                <c:pt idx="284">
                  <c:v>45617</c:v>
                </c:pt>
                <c:pt idx="285">
                  <c:v>45618</c:v>
                </c:pt>
                <c:pt idx="286">
                  <c:v>45619</c:v>
                </c:pt>
                <c:pt idx="287">
                  <c:v>45620</c:v>
                </c:pt>
                <c:pt idx="288">
                  <c:v>45621</c:v>
                </c:pt>
                <c:pt idx="289">
                  <c:v>45622</c:v>
                </c:pt>
                <c:pt idx="290">
                  <c:v>45623</c:v>
                </c:pt>
                <c:pt idx="291">
                  <c:v>45624</c:v>
                </c:pt>
                <c:pt idx="292">
                  <c:v>45625</c:v>
                </c:pt>
                <c:pt idx="293">
                  <c:v>45626</c:v>
                </c:pt>
                <c:pt idx="294">
                  <c:v>45627</c:v>
                </c:pt>
                <c:pt idx="295">
                  <c:v>45628</c:v>
                </c:pt>
                <c:pt idx="296">
                  <c:v>45629</c:v>
                </c:pt>
                <c:pt idx="297">
                  <c:v>45630</c:v>
                </c:pt>
                <c:pt idx="298">
                  <c:v>45631</c:v>
                </c:pt>
                <c:pt idx="299">
                  <c:v>45632</c:v>
                </c:pt>
                <c:pt idx="300">
                  <c:v>45633</c:v>
                </c:pt>
                <c:pt idx="301">
                  <c:v>45634</c:v>
                </c:pt>
                <c:pt idx="302">
                  <c:v>45635</c:v>
                </c:pt>
                <c:pt idx="303">
                  <c:v>45636</c:v>
                </c:pt>
                <c:pt idx="304">
                  <c:v>45637</c:v>
                </c:pt>
                <c:pt idx="305">
                  <c:v>45638</c:v>
                </c:pt>
                <c:pt idx="306">
                  <c:v>45639</c:v>
                </c:pt>
                <c:pt idx="307">
                  <c:v>45640</c:v>
                </c:pt>
                <c:pt idx="308">
                  <c:v>45641</c:v>
                </c:pt>
                <c:pt idx="309">
                  <c:v>45642</c:v>
                </c:pt>
                <c:pt idx="310">
                  <c:v>45643</c:v>
                </c:pt>
                <c:pt idx="311">
                  <c:v>45644</c:v>
                </c:pt>
                <c:pt idx="312">
                  <c:v>45645</c:v>
                </c:pt>
                <c:pt idx="313">
                  <c:v>45646</c:v>
                </c:pt>
                <c:pt idx="314">
                  <c:v>45647</c:v>
                </c:pt>
                <c:pt idx="315">
                  <c:v>45648</c:v>
                </c:pt>
                <c:pt idx="316">
                  <c:v>45649</c:v>
                </c:pt>
                <c:pt idx="317">
                  <c:v>45650</c:v>
                </c:pt>
                <c:pt idx="318">
                  <c:v>45651</c:v>
                </c:pt>
                <c:pt idx="319">
                  <c:v>45652</c:v>
                </c:pt>
                <c:pt idx="320">
                  <c:v>45653</c:v>
                </c:pt>
                <c:pt idx="321">
                  <c:v>45654</c:v>
                </c:pt>
                <c:pt idx="322">
                  <c:v>45655</c:v>
                </c:pt>
                <c:pt idx="323">
                  <c:v>45656</c:v>
                </c:pt>
                <c:pt idx="324">
                  <c:v>45657</c:v>
                </c:pt>
                <c:pt idx="325">
                  <c:v>45658</c:v>
                </c:pt>
                <c:pt idx="326">
                  <c:v>45659</c:v>
                </c:pt>
                <c:pt idx="327">
                  <c:v>45660</c:v>
                </c:pt>
                <c:pt idx="328">
                  <c:v>45661</c:v>
                </c:pt>
                <c:pt idx="329">
                  <c:v>45662</c:v>
                </c:pt>
                <c:pt idx="330">
                  <c:v>45663</c:v>
                </c:pt>
                <c:pt idx="331">
                  <c:v>45664</c:v>
                </c:pt>
                <c:pt idx="332">
                  <c:v>45665</c:v>
                </c:pt>
                <c:pt idx="333">
                  <c:v>45666</c:v>
                </c:pt>
                <c:pt idx="334">
                  <c:v>45667</c:v>
                </c:pt>
                <c:pt idx="335">
                  <c:v>45668</c:v>
                </c:pt>
                <c:pt idx="336">
                  <c:v>45669</c:v>
                </c:pt>
                <c:pt idx="337">
                  <c:v>45670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45675</c:v>
                </c:pt>
                <c:pt idx="343">
                  <c:v>45676</c:v>
                </c:pt>
                <c:pt idx="344">
                  <c:v>45677</c:v>
                </c:pt>
                <c:pt idx="345">
                  <c:v>45678</c:v>
                </c:pt>
                <c:pt idx="346">
                  <c:v>45679</c:v>
                </c:pt>
                <c:pt idx="347">
                  <c:v>45680</c:v>
                </c:pt>
                <c:pt idx="348">
                  <c:v>45681</c:v>
                </c:pt>
                <c:pt idx="349">
                  <c:v>45682</c:v>
                </c:pt>
                <c:pt idx="350">
                  <c:v>45683</c:v>
                </c:pt>
                <c:pt idx="351">
                  <c:v>45684</c:v>
                </c:pt>
                <c:pt idx="352">
                  <c:v>45685</c:v>
                </c:pt>
                <c:pt idx="353">
                  <c:v>45686</c:v>
                </c:pt>
                <c:pt idx="354">
                  <c:v>45687</c:v>
                </c:pt>
                <c:pt idx="355">
                  <c:v>45688</c:v>
                </c:pt>
                <c:pt idx="356">
                  <c:v>45689</c:v>
                </c:pt>
                <c:pt idx="357">
                  <c:v>45690</c:v>
                </c:pt>
                <c:pt idx="358">
                  <c:v>45691</c:v>
                </c:pt>
                <c:pt idx="359">
                  <c:v>45692</c:v>
                </c:pt>
                <c:pt idx="360">
                  <c:v>45693</c:v>
                </c:pt>
                <c:pt idx="361">
                  <c:v>45694</c:v>
                </c:pt>
                <c:pt idx="362">
                  <c:v>45695</c:v>
                </c:pt>
                <c:pt idx="363">
                  <c:v>45696</c:v>
                </c:pt>
                <c:pt idx="364">
                  <c:v>45697</c:v>
                </c:pt>
                <c:pt idx="365">
                  <c:v>45698</c:v>
                </c:pt>
                <c:pt idx="366">
                  <c:v>45699</c:v>
                </c:pt>
                <c:pt idx="367">
                  <c:v>45700</c:v>
                </c:pt>
                <c:pt idx="368">
                  <c:v>45701</c:v>
                </c:pt>
                <c:pt idx="369">
                  <c:v>45702</c:v>
                </c:pt>
                <c:pt idx="370">
                  <c:v>45703</c:v>
                </c:pt>
                <c:pt idx="371">
                  <c:v>45704</c:v>
                </c:pt>
                <c:pt idx="372">
                  <c:v>45705</c:v>
                </c:pt>
                <c:pt idx="373">
                  <c:v>45706</c:v>
                </c:pt>
                <c:pt idx="374">
                  <c:v>45707</c:v>
                </c:pt>
                <c:pt idx="375">
                  <c:v>45708</c:v>
                </c:pt>
                <c:pt idx="376">
                  <c:v>45709</c:v>
                </c:pt>
                <c:pt idx="377">
                  <c:v>45710</c:v>
                </c:pt>
                <c:pt idx="378">
                  <c:v>45711</c:v>
                </c:pt>
                <c:pt idx="379">
                  <c:v>45712</c:v>
                </c:pt>
                <c:pt idx="380">
                  <c:v>45713</c:v>
                </c:pt>
                <c:pt idx="381">
                  <c:v>45714</c:v>
                </c:pt>
                <c:pt idx="382">
                  <c:v>45715</c:v>
                </c:pt>
                <c:pt idx="383">
                  <c:v>45716</c:v>
                </c:pt>
                <c:pt idx="384">
                  <c:v>45717</c:v>
                </c:pt>
                <c:pt idx="385">
                  <c:v>45718</c:v>
                </c:pt>
                <c:pt idx="386">
                  <c:v>45719</c:v>
                </c:pt>
                <c:pt idx="387">
                  <c:v>45720</c:v>
                </c:pt>
                <c:pt idx="388">
                  <c:v>45721</c:v>
                </c:pt>
                <c:pt idx="389">
                  <c:v>45722</c:v>
                </c:pt>
                <c:pt idx="390">
                  <c:v>45723</c:v>
                </c:pt>
                <c:pt idx="391">
                  <c:v>45724</c:v>
                </c:pt>
                <c:pt idx="392">
                  <c:v>45725</c:v>
                </c:pt>
                <c:pt idx="393">
                  <c:v>45726</c:v>
                </c:pt>
                <c:pt idx="394">
                  <c:v>45727</c:v>
                </c:pt>
                <c:pt idx="395">
                  <c:v>45728</c:v>
                </c:pt>
                <c:pt idx="396">
                  <c:v>45729</c:v>
                </c:pt>
                <c:pt idx="397">
                  <c:v>45730</c:v>
                </c:pt>
                <c:pt idx="398">
                  <c:v>45731</c:v>
                </c:pt>
                <c:pt idx="399">
                  <c:v>45732</c:v>
                </c:pt>
                <c:pt idx="400">
                  <c:v>45733</c:v>
                </c:pt>
                <c:pt idx="401">
                  <c:v>45734</c:v>
                </c:pt>
                <c:pt idx="402">
                  <c:v>45735</c:v>
                </c:pt>
                <c:pt idx="403">
                  <c:v>45736</c:v>
                </c:pt>
                <c:pt idx="404">
                  <c:v>45737</c:v>
                </c:pt>
                <c:pt idx="405">
                  <c:v>45738</c:v>
                </c:pt>
                <c:pt idx="406">
                  <c:v>45739</c:v>
                </c:pt>
                <c:pt idx="407">
                  <c:v>45740</c:v>
                </c:pt>
                <c:pt idx="408">
                  <c:v>45741</c:v>
                </c:pt>
                <c:pt idx="409">
                  <c:v>45742</c:v>
                </c:pt>
                <c:pt idx="410">
                  <c:v>45743</c:v>
                </c:pt>
                <c:pt idx="411">
                  <c:v>45744</c:v>
                </c:pt>
                <c:pt idx="412">
                  <c:v>45745</c:v>
                </c:pt>
                <c:pt idx="413">
                  <c:v>45746</c:v>
                </c:pt>
                <c:pt idx="414">
                  <c:v>45747</c:v>
                </c:pt>
                <c:pt idx="415">
                  <c:v>45748</c:v>
                </c:pt>
                <c:pt idx="416">
                  <c:v>45749</c:v>
                </c:pt>
                <c:pt idx="417">
                  <c:v>45750</c:v>
                </c:pt>
                <c:pt idx="418">
                  <c:v>45751</c:v>
                </c:pt>
                <c:pt idx="419">
                  <c:v>45752</c:v>
                </c:pt>
                <c:pt idx="420">
                  <c:v>45753</c:v>
                </c:pt>
                <c:pt idx="421">
                  <c:v>45754</c:v>
                </c:pt>
                <c:pt idx="422">
                  <c:v>45755</c:v>
                </c:pt>
                <c:pt idx="423">
                  <c:v>45756</c:v>
                </c:pt>
                <c:pt idx="424">
                  <c:v>45757</c:v>
                </c:pt>
                <c:pt idx="425">
                  <c:v>45758</c:v>
                </c:pt>
                <c:pt idx="426">
                  <c:v>45759</c:v>
                </c:pt>
                <c:pt idx="427">
                  <c:v>45760</c:v>
                </c:pt>
                <c:pt idx="428">
                  <c:v>45761</c:v>
                </c:pt>
                <c:pt idx="429">
                  <c:v>45762</c:v>
                </c:pt>
                <c:pt idx="430">
                  <c:v>45763</c:v>
                </c:pt>
                <c:pt idx="431">
                  <c:v>45764</c:v>
                </c:pt>
                <c:pt idx="432">
                  <c:v>45765</c:v>
                </c:pt>
                <c:pt idx="433">
                  <c:v>45766</c:v>
                </c:pt>
                <c:pt idx="434">
                  <c:v>45767</c:v>
                </c:pt>
                <c:pt idx="435">
                  <c:v>45768</c:v>
                </c:pt>
                <c:pt idx="436">
                  <c:v>45769</c:v>
                </c:pt>
                <c:pt idx="437">
                  <c:v>45770</c:v>
                </c:pt>
                <c:pt idx="438">
                  <c:v>45771</c:v>
                </c:pt>
                <c:pt idx="439">
                  <c:v>45772</c:v>
                </c:pt>
                <c:pt idx="440">
                  <c:v>45773</c:v>
                </c:pt>
                <c:pt idx="441">
                  <c:v>45774</c:v>
                </c:pt>
                <c:pt idx="442">
                  <c:v>45775</c:v>
                </c:pt>
                <c:pt idx="443">
                  <c:v>45776</c:v>
                </c:pt>
                <c:pt idx="444">
                  <c:v>45777</c:v>
                </c:pt>
                <c:pt idx="445">
                  <c:v>45778</c:v>
                </c:pt>
                <c:pt idx="446">
                  <c:v>45779</c:v>
                </c:pt>
                <c:pt idx="447">
                  <c:v>45780</c:v>
                </c:pt>
                <c:pt idx="448">
                  <c:v>45781</c:v>
                </c:pt>
                <c:pt idx="449">
                  <c:v>45782</c:v>
                </c:pt>
                <c:pt idx="450">
                  <c:v>45783</c:v>
                </c:pt>
                <c:pt idx="451">
                  <c:v>45784</c:v>
                </c:pt>
                <c:pt idx="452">
                  <c:v>45785</c:v>
                </c:pt>
                <c:pt idx="453">
                  <c:v>45786</c:v>
                </c:pt>
                <c:pt idx="454">
                  <c:v>45787</c:v>
                </c:pt>
                <c:pt idx="455">
                  <c:v>45788</c:v>
                </c:pt>
                <c:pt idx="456">
                  <c:v>45789</c:v>
                </c:pt>
                <c:pt idx="457">
                  <c:v>45790</c:v>
                </c:pt>
                <c:pt idx="458">
                  <c:v>45791</c:v>
                </c:pt>
                <c:pt idx="459">
                  <c:v>45792</c:v>
                </c:pt>
                <c:pt idx="460">
                  <c:v>45793</c:v>
                </c:pt>
                <c:pt idx="461">
                  <c:v>45794</c:v>
                </c:pt>
                <c:pt idx="462">
                  <c:v>45795</c:v>
                </c:pt>
                <c:pt idx="463">
                  <c:v>45796</c:v>
                </c:pt>
                <c:pt idx="464">
                  <c:v>45797</c:v>
                </c:pt>
                <c:pt idx="465">
                  <c:v>45798</c:v>
                </c:pt>
                <c:pt idx="466">
                  <c:v>45799</c:v>
                </c:pt>
                <c:pt idx="467">
                  <c:v>45800</c:v>
                </c:pt>
                <c:pt idx="468">
                  <c:v>45801</c:v>
                </c:pt>
                <c:pt idx="469">
                  <c:v>45802</c:v>
                </c:pt>
                <c:pt idx="470">
                  <c:v>45803</c:v>
                </c:pt>
                <c:pt idx="471">
                  <c:v>45804</c:v>
                </c:pt>
                <c:pt idx="472">
                  <c:v>45805</c:v>
                </c:pt>
                <c:pt idx="473">
                  <c:v>45806</c:v>
                </c:pt>
                <c:pt idx="474">
                  <c:v>45807</c:v>
                </c:pt>
                <c:pt idx="475">
                  <c:v>45808</c:v>
                </c:pt>
                <c:pt idx="476">
                  <c:v>45809</c:v>
                </c:pt>
                <c:pt idx="477">
                  <c:v>45810</c:v>
                </c:pt>
                <c:pt idx="478">
                  <c:v>45811</c:v>
                </c:pt>
                <c:pt idx="479">
                  <c:v>45812</c:v>
                </c:pt>
                <c:pt idx="480">
                  <c:v>45813</c:v>
                </c:pt>
                <c:pt idx="481">
                  <c:v>45814</c:v>
                </c:pt>
                <c:pt idx="482">
                  <c:v>45815</c:v>
                </c:pt>
                <c:pt idx="483">
                  <c:v>45816</c:v>
                </c:pt>
                <c:pt idx="484">
                  <c:v>45817</c:v>
                </c:pt>
                <c:pt idx="485">
                  <c:v>45818</c:v>
                </c:pt>
                <c:pt idx="486">
                  <c:v>45819</c:v>
                </c:pt>
                <c:pt idx="487">
                  <c:v>45820</c:v>
                </c:pt>
                <c:pt idx="488">
                  <c:v>45821</c:v>
                </c:pt>
                <c:pt idx="489">
                  <c:v>45822</c:v>
                </c:pt>
                <c:pt idx="490">
                  <c:v>45823</c:v>
                </c:pt>
                <c:pt idx="491">
                  <c:v>45824</c:v>
                </c:pt>
                <c:pt idx="492">
                  <c:v>45825</c:v>
                </c:pt>
                <c:pt idx="493">
                  <c:v>45826</c:v>
                </c:pt>
                <c:pt idx="494">
                  <c:v>45827</c:v>
                </c:pt>
                <c:pt idx="495">
                  <c:v>45828</c:v>
                </c:pt>
                <c:pt idx="496">
                  <c:v>45829</c:v>
                </c:pt>
                <c:pt idx="497">
                  <c:v>45830</c:v>
                </c:pt>
                <c:pt idx="498">
                  <c:v>45831</c:v>
                </c:pt>
                <c:pt idx="499">
                  <c:v>45832</c:v>
                </c:pt>
                <c:pt idx="500">
                  <c:v>45833</c:v>
                </c:pt>
                <c:pt idx="501">
                  <c:v>45834</c:v>
                </c:pt>
                <c:pt idx="502">
                  <c:v>45835</c:v>
                </c:pt>
                <c:pt idx="503">
                  <c:v>45836</c:v>
                </c:pt>
                <c:pt idx="504">
                  <c:v>45837</c:v>
                </c:pt>
                <c:pt idx="505">
                  <c:v>45838</c:v>
                </c:pt>
                <c:pt idx="506">
                  <c:v>45839</c:v>
                </c:pt>
                <c:pt idx="507">
                  <c:v>45840</c:v>
                </c:pt>
                <c:pt idx="508">
                  <c:v>45841</c:v>
                </c:pt>
                <c:pt idx="509">
                  <c:v>45842</c:v>
                </c:pt>
                <c:pt idx="510">
                  <c:v>45843</c:v>
                </c:pt>
                <c:pt idx="511">
                  <c:v>45844</c:v>
                </c:pt>
                <c:pt idx="512">
                  <c:v>45845</c:v>
                </c:pt>
                <c:pt idx="513">
                  <c:v>45846</c:v>
                </c:pt>
                <c:pt idx="514">
                  <c:v>45847</c:v>
                </c:pt>
                <c:pt idx="515">
                  <c:v>45848</c:v>
                </c:pt>
                <c:pt idx="516">
                  <c:v>45849</c:v>
                </c:pt>
                <c:pt idx="517">
                  <c:v>45850</c:v>
                </c:pt>
                <c:pt idx="518">
                  <c:v>45851</c:v>
                </c:pt>
                <c:pt idx="519">
                  <c:v>45852</c:v>
                </c:pt>
                <c:pt idx="520">
                  <c:v>45853</c:v>
                </c:pt>
                <c:pt idx="521">
                  <c:v>45854</c:v>
                </c:pt>
                <c:pt idx="522">
                  <c:v>45855</c:v>
                </c:pt>
                <c:pt idx="523">
                  <c:v>45856</c:v>
                </c:pt>
                <c:pt idx="524">
                  <c:v>45857</c:v>
                </c:pt>
                <c:pt idx="525">
                  <c:v>45858</c:v>
                </c:pt>
                <c:pt idx="526">
                  <c:v>45859</c:v>
                </c:pt>
                <c:pt idx="527">
                  <c:v>45860</c:v>
                </c:pt>
                <c:pt idx="528">
                  <c:v>45861</c:v>
                </c:pt>
                <c:pt idx="529">
                  <c:v>45862</c:v>
                </c:pt>
                <c:pt idx="530">
                  <c:v>45863</c:v>
                </c:pt>
                <c:pt idx="531">
                  <c:v>45864</c:v>
                </c:pt>
                <c:pt idx="532">
                  <c:v>45865</c:v>
                </c:pt>
                <c:pt idx="533">
                  <c:v>45866</c:v>
                </c:pt>
                <c:pt idx="534">
                  <c:v>45867</c:v>
                </c:pt>
                <c:pt idx="535">
                  <c:v>45868</c:v>
                </c:pt>
                <c:pt idx="536">
                  <c:v>45869</c:v>
                </c:pt>
                <c:pt idx="537">
                  <c:v>45870</c:v>
                </c:pt>
                <c:pt idx="538">
                  <c:v>45871</c:v>
                </c:pt>
                <c:pt idx="539">
                  <c:v>45872</c:v>
                </c:pt>
                <c:pt idx="540">
                  <c:v>45873</c:v>
                </c:pt>
                <c:pt idx="541">
                  <c:v>45874</c:v>
                </c:pt>
                <c:pt idx="542">
                  <c:v>45875</c:v>
                </c:pt>
                <c:pt idx="543">
                  <c:v>45876</c:v>
                </c:pt>
                <c:pt idx="544">
                  <c:v>45877</c:v>
                </c:pt>
                <c:pt idx="545">
                  <c:v>45878</c:v>
                </c:pt>
                <c:pt idx="546">
                  <c:v>45879</c:v>
                </c:pt>
                <c:pt idx="547">
                  <c:v>45880</c:v>
                </c:pt>
                <c:pt idx="548">
                  <c:v>45881</c:v>
                </c:pt>
                <c:pt idx="549">
                  <c:v>45882</c:v>
                </c:pt>
                <c:pt idx="550">
                  <c:v>45883</c:v>
                </c:pt>
                <c:pt idx="551">
                  <c:v>45884</c:v>
                </c:pt>
                <c:pt idx="552">
                  <c:v>45885</c:v>
                </c:pt>
                <c:pt idx="553">
                  <c:v>45886</c:v>
                </c:pt>
                <c:pt idx="554">
                  <c:v>45887</c:v>
                </c:pt>
                <c:pt idx="555">
                  <c:v>45888</c:v>
                </c:pt>
                <c:pt idx="556">
                  <c:v>45889</c:v>
                </c:pt>
                <c:pt idx="557">
                  <c:v>45890</c:v>
                </c:pt>
                <c:pt idx="558">
                  <c:v>45891</c:v>
                </c:pt>
                <c:pt idx="559">
                  <c:v>45892</c:v>
                </c:pt>
                <c:pt idx="560">
                  <c:v>45893</c:v>
                </c:pt>
                <c:pt idx="561">
                  <c:v>45894</c:v>
                </c:pt>
                <c:pt idx="562">
                  <c:v>45895</c:v>
                </c:pt>
                <c:pt idx="563">
                  <c:v>45896</c:v>
                </c:pt>
                <c:pt idx="564">
                  <c:v>45897</c:v>
                </c:pt>
                <c:pt idx="565">
                  <c:v>45898</c:v>
                </c:pt>
                <c:pt idx="566">
                  <c:v>45899</c:v>
                </c:pt>
                <c:pt idx="567">
                  <c:v>45900</c:v>
                </c:pt>
                <c:pt idx="568">
                  <c:v>45901</c:v>
                </c:pt>
                <c:pt idx="569">
                  <c:v>45902</c:v>
                </c:pt>
                <c:pt idx="570">
                  <c:v>45903</c:v>
                </c:pt>
                <c:pt idx="571">
                  <c:v>45904</c:v>
                </c:pt>
                <c:pt idx="572">
                  <c:v>45905</c:v>
                </c:pt>
                <c:pt idx="573">
                  <c:v>45906</c:v>
                </c:pt>
                <c:pt idx="574">
                  <c:v>45907</c:v>
                </c:pt>
                <c:pt idx="575">
                  <c:v>45908</c:v>
                </c:pt>
                <c:pt idx="576">
                  <c:v>45909</c:v>
                </c:pt>
                <c:pt idx="577">
                  <c:v>45910</c:v>
                </c:pt>
                <c:pt idx="578">
                  <c:v>45911</c:v>
                </c:pt>
                <c:pt idx="579">
                  <c:v>45912</c:v>
                </c:pt>
                <c:pt idx="580">
                  <c:v>45913</c:v>
                </c:pt>
                <c:pt idx="581">
                  <c:v>45914</c:v>
                </c:pt>
                <c:pt idx="582">
                  <c:v>45915</c:v>
                </c:pt>
                <c:pt idx="583">
                  <c:v>45916</c:v>
                </c:pt>
                <c:pt idx="584">
                  <c:v>45917</c:v>
                </c:pt>
                <c:pt idx="585">
                  <c:v>45918</c:v>
                </c:pt>
                <c:pt idx="586">
                  <c:v>45919</c:v>
                </c:pt>
                <c:pt idx="587">
                  <c:v>45920</c:v>
                </c:pt>
                <c:pt idx="588">
                  <c:v>45921</c:v>
                </c:pt>
                <c:pt idx="589">
                  <c:v>45922</c:v>
                </c:pt>
                <c:pt idx="590">
                  <c:v>45923</c:v>
                </c:pt>
                <c:pt idx="591">
                  <c:v>45924</c:v>
                </c:pt>
                <c:pt idx="592">
                  <c:v>45925</c:v>
                </c:pt>
                <c:pt idx="593">
                  <c:v>45926</c:v>
                </c:pt>
                <c:pt idx="594">
                  <c:v>45927</c:v>
                </c:pt>
                <c:pt idx="595">
                  <c:v>45928</c:v>
                </c:pt>
                <c:pt idx="596">
                  <c:v>45929</c:v>
                </c:pt>
                <c:pt idx="597">
                  <c:v>45930</c:v>
                </c:pt>
                <c:pt idx="598">
                  <c:v>45931</c:v>
                </c:pt>
                <c:pt idx="599">
                  <c:v>45932</c:v>
                </c:pt>
                <c:pt idx="600">
                  <c:v>45933</c:v>
                </c:pt>
                <c:pt idx="601">
                  <c:v>45934</c:v>
                </c:pt>
                <c:pt idx="602">
                  <c:v>45935</c:v>
                </c:pt>
                <c:pt idx="603">
                  <c:v>45936</c:v>
                </c:pt>
                <c:pt idx="604">
                  <c:v>45937</c:v>
                </c:pt>
                <c:pt idx="605">
                  <c:v>45938</c:v>
                </c:pt>
                <c:pt idx="606">
                  <c:v>45939</c:v>
                </c:pt>
                <c:pt idx="607">
                  <c:v>45940</c:v>
                </c:pt>
                <c:pt idx="608">
                  <c:v>45941</c:v>
                </c:pt>
                <c:pt idx="609">
                  <c:v>45942</c:v>
                </c:pt>
                <c:pt idx="610">
                  <c:v>45943</c:v>
                </c:pt>
                <c:pt idx="611">
                  <c:v>45944</c:v>
                </c:pt>
                <c:pt idx="612">
                  <c:v>45945</c:v>
                </c:pt>
                <c:pt idx="613">
                  <c:v>45946</c:v>
                </c:pt>
                <c:pt idx="614">
                  <c:v>45947</c:v>
                </c:pt>
                <c:pt idx="615">
                  <c:v>45948</c:v>
                </c:pt>
                <c:pt idx="616">
                  <c:v>45949</c:v>
                </c:pt>
                <c:pt idx="617">
                  <c:v>45950</c:v>
                </c:pt>
                <c:pt idx="618">
                  <c:v>45951</c:v>
                </c:pt>
                <c:pt idx="619">
                  <c:v>45952</c:v>
                </c:pt>
                <c:pt idx="620">
                  <c:v>45953</c:v>
                </c:pt>
                <c:pt idx="621">
                  <c:v>45954</c:v>
                </c:pt>
                <c:pt idx="622">
                  <c:v>45955</c:v>
                </c:pt>
                <c:pt idx="623">
                  <c:v>45956</c:v>
                </c:pt>
                <c:pt idx="624">
                  <c:v>45957</c:v>
                </c:pt>
                <c:pt idx="625">
                  <c:v>45958</c:v>
                </c:pt>
                <c:pt idx="626">
                  <c:v>45959</c:v>
                </c:pt>
                <c:pt idx="627">
                  <c:v>45960</c:v>
                </c:pt>
                <c:pt idx="628">
                  <c:v>45961</c:v>
                </c:pt>
                <c:pt idx="629">
                  <c:v>45962</c:v>
                </c:pt>
                <c:pt idx="630">
                  <c:v>45963</c:v>
                </c:pt>
                <c:pt idx="631">
                  <c:v>45964</c:v>
                </c:pt>
                <c:pt idx="632">
                  <c:v>45965</c:v>
                </c:pt>
                <c:pt idx="633">
                  <c:v>45966</c:v>
                </c:pt>
                <c:pt idx="634">
                  <c:v>45967</c:v>
                </c:pt>
                <c:pt idx="635">
                  <c:v>45968</c:v>
                </c:pt>
                <c:pt idx="636">
                  <c:v>45969</c:v>
                </c:pt>
                <c:pt idx="637">
                  <c:v>45970</c:v>
                </c:pt>
                <c:pt idx="638">
                  <c:v>45971</c:v>
                </c:pt>
                <c:pt idx="639">
                  <c:v>45972</c:v>
                </c:pt>
                <c:pt idx="640">
                  <c:v>45973</c:v>
                </c:pt>
                <c:pt idx="641">
                  <c:v>45974</c:v>
                </c:pt>
                <c:pt idx="642">
                  <c:v>45975</c:v>
                </c:pt>
                <c:pt idx="643">
                  <c:v>45976</c:v>
                </c:pt>
                <c:pt idx="644">
                  <c:v>45977</c:v>
                </c:pt>
                <c:pt idx="645">
                  <c:v>45978</c:v>
                </c:pt>
                <c:pt idx="646">
                  <c:v>45979</c:v>
                </c:pt>
                <c:pt idx="647">
                  <c:v>45980</c:v>
                </c:pt>
                <c:pt idx="648">
                  <c:v>45981</c:v>
                </c:pt>
                <c:pt idx="649">
                  <c:v>45982</c:v>
                </c:pt>
                <c:pt idx="650">
                  <c:v>45983</c:v>
                </c:pt>
                <c:pt idx="651">
                  <c:v>45984</c:v>
                </c:pt>
                <c:pt idx="652">
                  <c:v>45985</c:v>
                </c:pt>
                <c:pt idx="653">
                  <c:v>45986</c:v>
                </c:pt>
                <c:pt idx="654">
                  <c:v>45987</c:v>
                </c:pt>
                <c:pt idx="655">
                  <c:v>45988</c:v>
                </c:pt>
                <c:pt idx="656">
                  <c:v>45989</c:v>
                </c:pt>
                <c:pt idx="657">
                  <c:v>45990</c:v>
                </c:pt>
                <c:pt idx="658">
                  <c:v>45991</c:v>
                </c:pt>
                <c:pt idx="659">
                  <c:v>45992</c:v>
                </c:pt>
                <c:pt idx="660">
                  <c:v>45993</c:v>
                </c:pt>
                <c:pt idx="661">
                  <c:v>45994</c:v>
                </c:pt>
                <c:pt idx="662">
                  <c:v>45995</c:v>
                </c:pt>
                <c:pt idx="663">
                  <c:v>45996</c:v>
                </c:pt>
                <c:pt idx="664">
                  <c:v>45997</c:v>
                </c:pt>
                <c:pt idx="665">
                  <c:v>45998</c:v>
                </c:pt>
                <c:pt idx="666">
                  <c:v>45999</c:v>
                </c:pt>
                <c:pt idx="667">
                  <c:v>46000</c:v>
                </c:pt>
                <c:pt idx="668">
                  <c:v>46001</c:v>
                </c:pt>
                <c:pt idx="669">
                  <c:v>46002</c:v>
                </c:pt>
                <c:pt idx="670">
                  <c:v>46003</c:v>
                </c:pt>
                <c:pt idx="671">
                  <c:v>46004</c:v>
                </c:pt>
                <c:pt idx="672">
                  <c:v>46005</c:v>
                </c:pt>
                <c:pt idx="673">
                  <c:v>46006</c:v>
                </c:pt>
                <c:pt idx="674">
                  <c:v>46007</c:v>
                </c:pt>
                <c:pt idx="675">
                  <c:v>46008</c:v>
                </c:pt>
                <c:pt idx="676">
                  <c:v>46009</c:v>
                </c:pt>
                <c:pt idx="677">
                  <c:v>46010</c:v>
                </c:pt>
                <c:pt idx="678">
                  <c:v>46011</c:v>
                </c:pt>
                <c:pt idx="679">
                  <c:v>46012</c:v>
                </c:pt>
                <c:pt idx="680">
                  <c:v>46013</c:v>
                </c:pt>
                <c:pt idx="681">
                  <c:v>46014</c:v>
                </c:pt>
                <c:pt idx="682">
                  <c:v>46015</c:v>
                </c:pt>
              </c:numCache>
            </c:numRef>
          </c:xVal>
          <c:yVal>
            <c:numRef>
              <c:f>Sheet4!$F$2:$F$684</c:f>
              <c:numCache>
                <c:formatCode>0.00%</c:formatCode>
                <c:ptCount val="68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Sheet4!$G$1</c:f>
              <c:strCache>
                <c:ptCount val="1"/>
                <c:pt idx="0">
                  <c:v>目标（除政治）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Sheet4!$A$2:$A$684</c:f>
              <c:numCache>
                <c:formatCode>m"月"d"日";@</c:formatCode>
                <c:ptCount val="683"/>
                <c:pt idx="0">
                  <c:v>45333</c:v>
                </c:pt>
                <c:pt idx="1">
                  <c:v>45334</c:v>
                </c:pt>
                <c:pt idx="2">
                  <c:v>45335</c:v>
                </c:pt>
                <c:pt idx="3">
                  <c:v>45336</c:v>
                </c:pt>
                <c:pt idx="4">
                  <c:v>45337</c:v>
                </c:pt>
                <c:pt idx="5">
                  <c:v>45338</c:v>
                </c:pt>
                <c:pt idx="6">
                  <c:v>45339</c:v>
                </c:pt>
                <c:pt idx="7">
                  <c:v>45340</c:v>
                </c:pt>
                <c:pt idx="8">
                  <c:v>45341</c:v>
                </c:pt>
                <c:pt idx="9">
                  <c:v>45342</c:v>
                </c:pt>
                <c:pt idx="10">
                  <c:v>45343</c:v>
                </c:pt>
                <c:pt idx="11">
                  <c:v>45344</c:v>
                </c:pt>
                <c:pt idx="12">
                  <c:v>45345</c:v>
                </c:pt>
                <c:pt idx="13">
                  <c:v>45346</c:v>
                </c:pt>
                <c:pt idx="14">
                  <c:v>45347</c:v>
                </c:pt>
                <c:pt idx="15">
                  <c:v>45348</c:v>
                </c:pt>
                <c:pt idx="16">
                  <c:v>45349</c:v>
                </c:pt>
                <c:pt idx="17">
                  <c:v>45350</c:v>
                </c:pt>
                <c:pt idx="18">
                  <c:v>45351</c:v>
                </c:pt>
                <c:pt idx="19">
                  <c:v>45352</c:v>
                </c:pt>
                <c:pt idx="20">
                  <c:v>45353</c:v>
                </c:pt>
                <c:pt idx="21">
                  <c:v>45354</c:v>
                </c:pt>
                <c:pt idx="22">
                  <c:v>45355</c:v>
                </c:pt>
                <c:pt idx="23">
                  <c:v>45356</c:v>
                </c:pt>
                <c:pt idx="24">
                  <c:v>45357</c:v>
                </c:pt>
                <c:pt idx="25">
                  <c:v>45358</c:v>
                </c:pt>
                <c:pt idx="26">
                  <c:v>45359</c:v>
                </c:pt>
                <c:pt idx="27">
                  <c:v>45360</c:v>
                </c:pt>
                <c:pt idx="28">
                  <c:v>45361</c:v>
                </c:pt>
                <c:pt idx="29">
                  <c:v>45362</c:v>
                </c:pt>
                <c:pt idx="30">
                  <c:v>45363</c:v>
                </c:pt>
                <c:pt idx="31">
                  <c:v>45364</c:v>
                </c:pt>
                <c:pt idx="32">
                  <c:v>45365</c:v>
                </c:pt>
                <c:pt idx="33">
                  <c:v>45366</c:v>
                </c:pt>
                <c:pt idx="34">
                  <c:v>45367</c:v>
                </c:pt>
                <c:pt idx="35">
                  <c:v>45368</c:v>
                </c:pt>
                <c:pt idx="36">
                  <c:v>45369</c:v>
                </c:pt>
                <c:pt idx="37">
                  <c:v>45370</c:v>
                </c:pt>
                <c:pt idx="38">
                  <c:v>45371</c:v>
                </c:pt>
                <c:pt idx="39">
                  <c:v>45372</c:v>
                </c:pt>
                <c:pt idx="40">
                  <c:v>45373</c:v>
                </c:pt>
                <c:pt idx="41">
                  <c:v>45374</c:v>
                </c:pt>
                <c:pt idx="42">
                  <c:v>45375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45380</c:v>
                </c:pt>
                <c:pt idx="48">
                  <c:v>45381</c:v>
                </c:pt>
                <c:pt idx="49">
                  <c:v>45382</c:v>
                </c:pt>
                <c:pt idx="50">
                  <c:v>45383</c:v>
                </c:pt>
                <c:pt idx="51">
                  <c:v>45384</c:v>
                </c:pt>
                <c:pt idx="52">
                  <c:v>45385</c:v>
                </c:pt>
                <c:pt idx="53">
                  <c:v>45386</c:v>
                </c:pt>
                <c:pt idx="54">
                  <c:v>45387</c:v>
                </c:pt>
                <c:pt idx="55">
                  <c:v>45388</c:v>
                </c:pt>
                <c:pt idx="56">
                  <c:v>45389</c:v>
                </c:pt>
                <c:pt idx="57">
                  <c:v>45390</c:v>
                </c:pt>
                <c:pt idx="58">
                  <c:v>45391</c:v>
                </c:pt>
                <c:pt idx="59">
                  <c:v>45392</c:v>
                </c:pt>
                <c:pt idx="60">
                  <c:v>45393</c:v>
                </c:pt>
                <c:pt idx="61">
                  <c:v>45394</c:v>
                </c:pt>
                <c:pt idx="62">
                  <c:v>45395</c:v>
                </c:pt>
                <c:pt idx="63">
                  <c:v>45396</c:v>
                </c:pt>
                <c:pt idx="64">
                  <c:v>45397</c:v>
                </c:pt>
                <c:pt idx="65">
                  <c:v>45398</c:v>
                </c:pt>
                <c:pt idx="66">
                  <c:v>45399</c:v>
                </c:pt>
                <c:pt idx="67">
                  <c:v>45400</c:v>
                </c:pt>
                <c:pt idx="68">
                  <c:v>45401</c:v>
                </c:pt>
                <c:pt idx="69">
                  <c:v>45402</c:v>
                </c:pt>
                <c:pt idx="70">
                  <c:v>45403</c:v>
                </c:pt>
                <c:pt idx="71">
                  <c:v>45404</c:v>
                </c:pt>
                <c:pt idx="72">
                  <c:v>45405</c:v>
                </c:pt>
                <c:pt idx="73">
                  <c:v>45406</c:v>
                </c:pt>
                <c:pt idx="74">
                  <c:v>45407</c:v>
                </c:pt>
                <c:pt idx="75">
                  <c:v>45408</c:v>
                </c:pt>
                <c:pt idx="76">
                  <c:v>45409</c:v>
                </c:pt>
                <c:pt idx="77">
                  <c:v>45410</c:v>
                </c:pt>
                <c:pt idx="78">
                  <c:v>45411</c:v>
                </c:pt>
                <c:pt idx="79">
                  <c:v>45412</c:v>
                </c:pt>
                <c:pt idx="80">
                  <c:v>45413</c:v>
                </c:pt>
                <c:pt idx="81">
                  <c:v>45414</c:v>
                </c:pt>
                <c:pt idx="82">
                  <c:v>45415</c:v>
                </c:pt>
                <c:pt idx="83">
                  <c:v>45416</c:v>
                </c:pt>
                <c:pt idx="84">
                  <c:v>45417</c:v>
                </c:pt>
                <c:pt idx="85">
                  <c:v>45418</c:v>
                </c:pt>
                <c:pt idx="86">
                  <c:v>45419</c:v>
                </c:pt>
                <c:pt idx="87">
                  <c:v>45420</c:v>
                </c:pt>
                <c:pt idx="88">
                  <c:v>45421</c:v>
                </c:pt>
                <c:pt idx="89">
                  <c:v>45422</c:v>
                </c:pt>
                <c:pt idx="90">
                  <c:v>45423</c:v>
                </c:pt>
                <c:pt idx="91">
                  <c:v>45424</c:v>
                </c:pt>
                <c:pt idx="92">
                  <c:v>45425</c:v>
                </c:pt>
                <c:pt idx="93">
                  <c:v>45426</c:v>
                </c:pt>
                <c:pt idx="94">
                  <c:v>45427</c:v>
                </c:pt>
                <c:pt idx="95">
                  <c:v>45428</c:v>
                </c:pt>
                <c:pt idx="96">
                  <c:v>45429</c:v>
                </c:pt>
                <c:pt idx="97">
                  <c:v>45430</c:v>
                </c:pt>
                <c:pt idx="98">
                  <c:v>45431</c:v>
                </c:pt>
                <c:pt idx="99">
                  <c:v>45432</c:v>
                </c:pt>
                <c:pt idx="100">
                  <c:v>45433</c:v>
                </c:pt>
                <c:pt idx="101">
                  <c:v>45434</c:v>
                </c:pt>
                <c:pt idx="102">
                  <c:v>45435</c:v>
                </c:pt>
                <c:pt idx="103">
                  <c:v>45436</c:v>
                </c:pt>
                <c:pt idx="104">
                  <c:v>45437</c:v>
                </c:pt>
                <c:pt idx="105">
                  <c:v>45438</c:v>
                </c:pt>
                <c:pt idx="106">
                  <c:v>45439</c:v>
                </c:pt>
                <c:pt idx="107">
                  <c:v>45440</c:v>
                </c:pt>
                <c:pt idx="108">
                  <c:v>45441</c:v>
                </c:pt>
                <c:pt idx="109">
                  <c:v>45442</c:v>
                </c:pt>
                <c:pt idx="110">
                  <c:v>45443</c:v>
                </c:pt>
                <c:pt idx="111">
                  <c:v>45444</c:v>
                </c:pt>
                <c:pt idx="112">
                  <c:v>45445</c:v>
                </c:pt>
                <c:pt idx="113">
                  <c:v>45446</c:v>
                </c:pt>
                <c:pt idx="114">
                  <c:v>45447</c:v>
                </c:pt>
                <c:pt idx="115">
                  <c:v>45448</c:v>
                </c:pt>
                <c:pt idx="116">
                  <c:v>45449</c:v>
                </c:pt>
                <c:pt idx="117">
                  <c:v>45450</c:v>
                </c:pt>
                <c:pt idx="118">
                  <c:v>45451</c:v>
                </c:pt>
                <c:pt idx="119">
                  <c:v>45452</c:v>
                </c:pt>
                <c:pt idx="120">
                  <c:v>45453</c:v>
                </c:pt>
                <c:pt idx="121">
                  <c:v>45454</c:v>
                </c:pt>
                <c:pt idx="122">
                  <c:v>45455</c:v>
                </c:pt>
                <c:pt idx="123">
                  <c:v>45456</c:v>
                </c:pt>
                <c:pt idx="124">
                  <c:v>45457</c:v>
                </c:pt>
                <c:pt idx="125">
                  <c:v>45458</c:v>
                </c:pt>
                <c:pt idx="126">
                  <c:v>45459</c:v>
                </c:pt>
                <c:pt idx="127">
                  <c:v>45460</c:v>
                </c:pt>
                <c:pt idx="128">
                  <c:v>45461</c:v>
                </c:pt>
                <c:pt idx="129">
                  <c:v>45462</c:v>
                </c:pt>
                <c:pt idx="130">
                  <c:v>45463</c:v>
                </c:pt>
                <c:pt idx="131">
                  <c:v>45464</c:v>
                </c:pt>
                <c:pt idx="132">
                  <c:v>45465</c:v>
                </c:pt>
                <c:pt idx="133">
                  <c:v>45466</c:v>
                </c:pt>
                <c:pt idx="134">
                  <c:v>45467</c:v>
                </c:pt>
                <c:pt idx="135">
                  <c:v>45468</c:v>
                </c:pt>
                <c:pt idx="136">
                  <c:v>45469</c:v>
                </c:pt>
                <c:pt idx="137">
                  <c:v>45470</c:v>
                </c:pt>
                <c:pt idx="138">
                  <c:v>45471</c:v>
                </c:pt>
                <c:pt idx="139">
                  <c:v>45472</c:v>
                </c:pt>
                <c:pt idx="140">
                  <c:v>45473</c:v>
                </c:pt>
                <c:pt idx="141">
                  <c:v>45474</c:v>
                </c:pt>
                <c:pt idx="142">
                  <c:v>45475</c:v>
                </c:pt>
                <c:pt idx="143">
                  <c:v>45476</c:v>
                </c:pt>
                <c:pt idx="144">
                  <c:v>45477</c:v>
                </c:pt>
                <c:pt idx="145">
                  <c:v>45478</c:v>
                </c:pt>
                <c:pt idx="146">
                  <c:v>45479</c:v>
                </c:pt>
                <c:pt idx="147">
                  <c:v>45480</c:v>
                </c:pt>
                <c:pt idx="148">
                  <c:v>45481</c:v>
                </c:pt>
                <c:pt idx="149">
                  <c:v>45482</c:v>
                </c:pt>
                <c:pt idx="150">
                  <c:v>45483</c:v>
                </c:pt>
                <c:pt idx="151">
                  <c:v>45484</c:v>
                </c:pt>
                <c:pt idx="152">
                  <c:v>45485</c:v>
                </c:pt>
                <c:pt idx="153">
                  <c:v>45486</c:v>
                </c:pt>
                <c:pt idx="154">
                  <c:v>45487</c:v>
                </c:pt>
                <c:pt idx="155">
                  <c:v>45488</c:v>
                </c:pt>
                <c:pt idx="156">
                  <c:v>45489</c:v>
                </c:pt>
                <c:pt idx="157">
                  <c:v>45490</c:v>
                </c:pt>
                <c:pt idx="158">
                  <c:v>45491</c:v>
                </c:pt>
                <c:pt idx="159">
                  <c:v>45492</c:v>
                </c:pt>
                <c:pt idx="160">
                  <c:v>45493</c:v>
                </c:pt>
                <c:pt idx="161">
                  <c:v>45494</c:v>
                </c:pt>
                <c:pt idx="162">
                  <c:v>45495</c:v>
                </c:pt>
                <c:pt idx="163">
                  <c:v>45496</c:v>
                </c:pt>
                <c:pt idx="164">
                  <c:v>45497</c:v>
                </c:pt>
                <c:pt idx="165">
                  <c:v>45498</c:v>
                </c:pt>
                <c:pt idx="166">
                  <c:v>45499</c:v>
                </c:pt>
                <c:pt idx="167">
                  <c:v>45500</c:v>
                </c:pt>
                <c:pt idx="168">
                  <c:v>45501</c:v>
                </c:pt>
                <c:pt idx="169">
                  <c:v>45502</c:v>
                </c:pt>
                <c:pt idx="170">
                  <c:v>45503</c:v>
                </c:pt>
                <c:pt idx="171">
                  <c:v>45504</c:v>
                </c:pt>
                <c:pt idx="172">
                  <c:v>45505</c:v>
                </c:pt>
                <c:pt idx="173">
                  <c:v>45506</c:v>
                </c:pt>
                <c:pt idx="174">
                  <c:v>45507</c:v>
                </c:pt>
                <c:pt idx="175">
                  <c:v>45508</c:v>
                </c:pt>
                <c:pt idx="176">
                  <c:v>45509</c:v>
                </c:pt>
                <c:pt idx="177">
                  <c:v>45510</c:v>
                </c:pt>
                <c:pt idx="178">
                  <c:v>45511</c:v>
                </c:pt>
                <c:pt idx="179">
                  <c:v>45512</c:v>
                </c:pt>
                <c:pt idx="180">
                  <c:v>45513</c:v>
                </c:pt>
                <c:pt idx="181">
                  <c:v>45514</c:v>
                </c:pt>
                <c:pt idx="182">
                  <c:v>45515</c:v>
                </c:pt>
                <c:pt idx="183">
                  <c:v>45516</c:v>
                </c:pt>
                <c:pt idx="184">
                  <c:v>45517</c:v>
                </c:pt>
                <c:pt idx="185">
                  <c:v>45518</c:v>
                </c:pt>
                <c:pt idx="186">
                  <c:v>45519</c:v>
                </c:pt>
                <c:pt idx="187">
                  <c:v>45520</c:v>
                </c:pt>
                <c:pt idx="188">
                  <c:v>45521</c:v>
                </c:pt>
                <c:pt idx="189">
                  <c:v>45522</c:v>
                </c:pt>
                <c:pt idx="190">
                  <c:v>45523</c:v>
                </c:pt>
                <c:pt idx="191">
                  <c:v>45524</c:v>
                </c:pt>
                <c:pt idx="192">
                  <c:v>45525</c:v>
                </c:pt>
                <c:pt idx="193">
                  <c:v>45526</c:v>
                </c:pt>
                <c:pt idx="194">
                  <c:v>45527</c:v>
                </c:pt>
                <c:pt idx="195">
                  <c:v>45528</c:v>
                </c:pt>
                <c:pt idx="196">
                  <c:v>45529</c:v>
                </c:pt>
                <c:pt idx="197">
                  <c:v>45530</c:v>
                </c:pt>
                <c:pt idx="198">
                  <c:v>45531</c:v>
                </c:pt>
                <c:pt idx="199">
                  <c:v>45532</c:v>
                </c:pt>
                <c:pt idx="200">
                  <c:v>45533</c:v>
                </c:pt>
                <c:pt idx="201">
                  <c:v>45534</c:v>
                </c:pt>
                <c:pt idx="202">
                  <c:v>45535</c:v>
                </c:pt>
                <c:pt idx="203">
                  <c:v>45536</c:v>
                </c:pt>
                <c:pt idx="204">
                  <c:v>45537</c:v>
                </c:pt>
                <c:pt idx="205">
                  <c:v>45538</c:v>
                </c:pt>
                <c:pt idx="206">
                  <c:v>45539</c:v>
                </c:pt>
                <c:pt idx="207">
                  <c:v>45540</c:v>
                </c:pt>
                <c:pt idx="208">
                  <c:v>45541</c:v>
                </c:pt>
                <c:pt idx="209">
                  <c:v>45542</c:v>
                </c:pt>
                <c:pt idx="210">
                  <c:v>45543</c:v>
                </c:pt>
                <c:pt idx="211">
                  <c:v>45544</c:v>
                </c:pt>
                <c:pt idx="212">
                  <c:v>45545</c:v>
                </c:pt>
                <c:pt idx="213">
                  <c:v>45546</c:v>
                </c:pt>
                <c:pt idx="214">
                  <c:v>45547</c:v>
                </c:pt>
                <c:pt idx="215">
                  <c:v>45548</c:v>
                </c:pt>
                <c:pt idx="216">
                  <c:v>45549</c:v>
                </c:pt>
                <c:pt idx="217">
                  <c:v>45550</c:v>
                </c:pt>
                <c:pt idx="218">
                  <c:v>45551</c:v>
                </c:pt>
                <c:pt idx="219">
                  <c:v>45552</c:v>
                </c:pt>
                <c:pt idx="220">
                  <c:v>45553</c:v>
                </c:pt>
                <c:pt idx="221">
                  <c:v>45554</c:v>
                </c:pt>
                <c:pt idx="222">
                  <c:v>45555</c:v>
                </c:pt>
                <c:pt idx="223">
                  <c:v>45556</c:v>
                </c:pt>
                <c:pt idx="224">
                  <c:v>45557</c:v>
                </c:pt>
                <c:pt idx="225">
                  <c:v>45558</c:v>
                </c:pt>
                <c:pt idx="226">
                  <c:v>45559</c:v>
                </c:pt>
                <c:pt idx="227">
                  <c:v>45560</c:v>
                </c:pt>
                <c:pt idx="228">
                  <c:v>45561</c:v>
                </c:pt>
                <c:pt idx="229">
                  <c:v>45562</c:v>
                </c:pt>
                <c:pt idx="230">
                  <c:v>45563</c:v>
                </c:pt>
                <c:pt idx="231">
                  <c:v>45564</c:v>
                </c:pt>
                <c:pt idx="232">
                  <c:v>45565</c:v>
                </c:pt>
                <c:pt idx="233">
                  <c:v>45566</c:v>
                </c:pt>
                <c:pt idx="234">
                  <c:v>45567</c:v>
                </c:pt>
                <c:pt idx="235">
                  <c:v>45568</c:v>
                </c:pt>
                <c:pt idx="236">
                  <c:v>45569</c:v>
                </c:pt>
                <c:pt idx="237">
                  <c:v>45570</c:v>
                </c:pt>
                <c:pt idx="238">
                  <c:v>45571</c:v>
                </c:pt>
                <c:pt idx="239">
                  <c:v>45572</c:v>
                </c:pt>
                <c:pt idx="240">
                  <c:v>45573</c:v>
                </c:pt>
                <c:pt idx="241">
                  <c:v>45574</c:v>
                </c:pt>
                <c:pt idx="242">
                  <c:v>45575</c:v>
                </c:pt>
                <c:pt idx="243">
                  <c:v>45576</c:v>
                </c:pt>
                <c:pt idx="244">
                  <c:v>45577</c:v>
                </c:pt>
                <c:pt idx="245">
                  <c:v>45578</c:v>
                </c:pt>
                <c:pt idx="246">
                  <c:v>45579</c:v>
                </c:pt>
                <c:pt idx="247">
                  <c:v>45580</c:v>
                </c:pt>
                <c:pt idx="248">
                  <c:v>45581</c:v>
                </c:pt>
                <c:pt idx="249">
                  <c:v>45582</c:v>
                </c:pt>
                <c:pt idx="250">
                  <c:v>45583</c:v>
                </c:pt>
                <c:pt idx="251">
                  <c:v>45584</c:v>
                </c:pt>
                <c:pt idx="252">
                  <c:v>45585</c:v>
                </c:pt>
                <c:pt idx="253">
                  <c:v>45586</c:v>
                </c:pt>
                <c:pt idx="254">
                  <c:v>45587</c:v>
                </c:pt>
                <c:pt idx="255">
                  <c:v>45588</c:v>
                </c:pt>
                <c:pt idx="256">
                  <c:v>45589</c:v>
                </c:pt>
                <c:pt idx="257">
                  <c:v>45590</c:v>
                </c:pt>
                <c:pt idx="258">
                  <c:v>45591</c:v>
                </c:pt>
                <c:pt idx="259">
                  <c:v>45592</c:v>
                </c:pt>
                <c:pt idx="260">
                  <c:v>45593</c:v>
                </c:pt>
                <c:pt idx="261">
                  <c:v>45594</c:v>
                </c:pt>
                <c:pt idx="262">
                  <c:v>45595</c:v>
                </c:pt>
                <c:pt idx="263">
                  <c:v>45596</c:v>
                </c:pt>
                <c:pt idx="264">
                  <c:v>45597</c:v>
                </c:pt>
                <c:pt idx="265">
                  <c:v>45598</c:v>
                </c:pt>
                <c:pt idx="266">
                  <c:v>45599</c:v>
                </c:pt>
                <c:pt idx="267">
                  <c:v>45600</c:v>
                </c:pt>
                <c:pt idx="268">
                  <c:v>45601</c:v>
                </c:pt>
                <c:pt idx="269">
                  <c:v>45602</c:v>
                </c:pt>
                <c:pt idx="270">
                  <c:v>45603</c:v>
                </c:pt>
                <c:pt idx="271">
                  <c:v>45604</c:v>
                </c:pt>
                <c:pt idx="272">
                  <c:v>45605</c:v>
                </c:pt>
                <c:pt idx="273">
                  <c:v>45606</c:v>
                </c:pt>
                <c:pt idx="274">
                  <c:v>45607</c:v>
                </c:pt>
                <c:pt idx="275">
                  <c:v>45608</c:v>
                </c:pt>
                <c:pt idx="276">
                  <c:v>45609</c:v>
                </c:pt>
                <c:pt idx="277">
                  <c:v>45610</c:v>
                </c:pt>
                <c:pt idx="278">
                  <c:v>45611</c:v>
                </c:pt>
                <c:pt idx="279">
                  <c:v>45612</c:v>
                </c:pt>
                <c:pt idx="280">
                  <c:v>45613</c:v>
                </c:pt>
                <c:pt idx="281">
                  <c:v>45614</c:v>
                </c:pt>
                <c:pt idx="282">
                  <c:v>45615</c:v>
                </c:pt>
                <c:pt idx="283">
                  <c:v>45616</c:v>
                </c:pt>
                <c:pt idx="284">
                  <c:v>45617</c:v>
                </c:pt>
                <c:pt idx="285">
                  <c:v>45618</c:v>
                </c:pt>
                <c:pt idx="286">
                  <c:v>45619</c:v>
                </c:pt>
                <c:pt idx="287">
                  <c:v>45620</c:v>
                </c:pt>
                <c:pt idx="288">
                  <c:v>45621</c:v>
                </c:pt>
                <c:pt idx="289">
                  <c:v>45622</c:v>
                </c:pt>
                <c:pt idx="290">
                  <c:v>45623</c:v>
                </c:pt>
                <c:pt idx="291">
                  <c:v>45624</c:v>
                </c:pt>
                <c:pt idx="292">
                  <c:v>45625</c:v>
                </c:pt>
                <c:pt idx="293">
                  <c:v>45626</c:v>
                </c:pt>
                <c:pt idx="294">
                  <c:v>45627</c:v>
                </c:pt>
                <c:pt idx="295">
                  <c:v>45628</c:v>
                </c:pt>
                <c:pt idx="296">
                  <c:v>45629</c:v>
                </c:pt>
                <c:pt idx="297">
                  <c:v>45630</c:v>
                </c:pt>
                <c:pt idx="298">
                  <c:v>45631</c:v>
                </c:pt>
                <c:pt idx="299">
                  <c:v>45632</c:v>
                </c:pt>
                <c:pt idx="300">
                  <c:v>45633</c:v>
                </c:pt>
                <c:pt idx="301">
                  <c:v>45634</c:v>
                </c:pt>
                <c:pt idx="302">
                  <c:v>45635</c:v>
                </c:pt>
                <c:pt idx="303">
                  <c:v>45636</c:v>
                </c:pt>
                <c:pt idx="304">
                  <c:v>45637</c:v>
                </c:pt>
                <c:pt idx="305">
                  <c:v>45638</c:v>
                </c:pt>
                <c:pt idx="306">
                  <c:v>45639</c:v>
                </c:pt>
                <c:pt idx="307">
                  <c:v>45640</c:v>
                </c:pt>
                <c:pt idx="308">
                  <c:v>45641</c:v>
                </c:pt>
                <c:pt idx="309">
                  <c:v>45642</c:v>
                </c:pt>
                <c:pt idx="310">
                  <c:v>45643</c:v>
                </c:pt>
                <c:pt idx="311">
                  <c:v>45644</c:v>
                </c:pt>
                <c:pt idx="312">
                  <c:v>45645</c:v>
                </c:pt>
                <c:pt idx="313">
                  <c:v>45646</c:v>
                </c:pt>
                <c:pt idx="314">
                  <c:v>45647</c:v>
                </c:pt>
                <c:pt idx="315">
                  <c:v>45648</c:v>
                </c:pt>
                <c:pt idx="316">
                  <c:v>45649</c:v>
                </c:pt>
                <c:pt idx="317">
                  <c:v>45650</c:v>
                </c:pt>
                <c:pt idx="318">
                  <c:v>45651</c:v>
                </c:pt>
                <c:pt idx="319">
                  <c:v>45652</c:v>
                </c:pt>
                <c:pt idx="320">
                  <c:v>45653</c:v>
                </c:pt>
                <c:pt idx="321">
                  <c:v>45654</c:v>
                </c:pt>
                <c:pt idx="322">
                  <c:v>45655</c:v>
                </c:pt>
                <c:pt idx="323">
                  <c:v>45656</c:v>
                </c:pt>
                <c:pt idx="324">
                  <c:v>45657</c:v>
                </c:pt>
                <c:pt idx="325">
                  <c:v>45658</c:v>
                </c:pt>
                <c:pt idx="326">
                  <c:v>45659</c:v>
                </c:pt>
                <c:pt idx="327">
                  <c:v>45660</c:v>
                </c:pt>
                <c:pt idx="328">
                  <c:v>45661</c:v>
                </c:pt>
                <c:pt idx="329">
                  <c:v>45662</c:v>
                </c:pt>
                <c:pt idx="330">
                  <c:v>45663</c:v>
                </c:pt>
                <c:pt idx="331">
                  <c:v>45664</c:v>
                </c:pt>
                <c:pt idx="332">
                  <c:v>45665</c:v>
                </c:pt>
                <c:pt idx="333">
                  <c:v>45666</c:v>
                </c:pt>
                <c:pt idx="334">
                  <c:v>45667</c:v>
                </c:pt>
                <c:pt idx="335">
                  <c:v>45668</c:v>
                </c:pt>
                <c:pt idx="336">
                  <c:v>45669</c:v>
                </c:pt>
                <c:pt idx="337">
                  <c:v>45670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45675</c:v>
                </c:pt>
                <c:pt idx="343">
                  <c:v>45676</c:v>
                </c:pt>
                <c:pt idx="344">
                  <c:v>45677</c:v>
                </c:pt>
                <c:pt idx="345">
                  <c:v>45678</c:v>
                </c:pt>
                <c:pt idx="346">
                  <c:v>45679</c:v>
                </c:pt>
                <c:pt idx="347">
                  <c:v>45680</c:v>
                </c:pt>
                <c:pt idx="348">
                  <c:v>45681</c:v>
                </c:pt>
                <c:pt idx="349">
                  <c:v>45682</c:v>
                </c:pt>
                <c:pt idx="350">
                  <c:v>45683</c:v>
                </c:pt>
                <c:pt idx="351">
                  <c:v>45684</c:v>
                </c:pt>
                <c:pt idx="352">
                  <c:v>45685</c:v>
                </c:pt>
                <c:pt idx="353">
                  <c:v>45686</c:v>
                </c:pt>
                <c:pt idx="354">
                  <c:v>45687</c:v>
                </c:pt>
                <c:pt idx="355">
                  <c:v>45688</c:v>
                </c:pt>
                <c:pt idx="356">
                  <c:v>45689</c:v>
                </c:pt>
                <c:pt idx="357">
                  <c:v>45690</c:v>
                </c:pt>
                <c:pt idx="358">
                  <c:v>45691</c:v>
                </c:pt>
                <c:pt idx="359">
                  <c:v>45692</c:v>
                </c:pt>
                <c:pt idx="360">
                  <c:v>45693</c:v>
                </c:pt>
                <c:pt idx="361">
                  <c:v>45694</c:v>
                </c:pt>
                <c:pt idx="362">
                  <c:v>45695</c:v>
                </c:pt>
                <c:pt idx="363">
                  <c:v>45696</c:v>
                </c:pt>
                <c:pt idx="364">
                  <c:v>45697</c:v>
                </c:pt>
                <c:pt idx="365">
                  <c:v>45698</c:v>
                </c:pt>
                <c:pt idx="366">
                  <c:v>45699</c:v>
                </c:pt>
                <c:pt idx="367">
                  <c:v>45700</c:v>
                </c:pt>
                <c:pt idx="368">
                  <c:v>45701</c:v>
                </c:pt>
                <c:pt idx="369">
                  <c:v>45702</c:v>
                </c:pt>
                <c:pt idx="370">
                  <c:v>45703</c:v>
                </c:pt>
                <c:pt idx="371">
                  <c:v>45704</c:v>
                </c:pt>
                <c:pt idx="372">
                  <c:v>45705</c:v>
                </c:pt>
                <c:pt idx="373">
                  <c:v>45706</c:v>
                </c:pt>
                <c:pt idx="374">
                  <c:v>45707</c:v>
                </c:pt>
                <c:pt idx="375">
                  <c:v>45708</c:v>
                </c:pt>
                <c:pt idx="376">
                  <c:v>45709</c:v>
                </c:pt>
                <c:pt idx="377">
                  <c:v>45710</c:v>
                </c:pt>
                <c:pt idx="378">
                  <c:v>45711</c:v>
                </c:pt>
                <c:pt idx="379">
                  <c:v>45712</c:v>
                </c:pt>
                <c:pt idx="380">
                  <c:v>45713</c:v>
                </c:pt>
                <c:pt idx="381">
                  <c:v>45714</c:v>
                </c:pt>
                <c:pt idx="382">
                  <c:v>45715</c:v>
                </c:pt>
                <c:pt idx="383">
                  <c:v>45716</c:v>
                </c:pt>
                <c:pt idx="384">
                  <c:v>45717</c:v>
                </c:pt>
                <c:pt idx="385">
                  <c:v>45718</c:v>
                </c:pt>
                <c:pt idx="386">
                  <c:v>45719</c:v>
                </c:pt>
                <c:pt idx="387">
                  <c:v>45720</c:v>
                </c:pt>
                <c:pt idx="388">
                  <c:v>45721</c:v>
                </c:pt>
                <c:pt idx="389">
                  <c:v>45722</c:v>
                </c:pt>
                <c:pt idx="390">
                  <c:v>45723</c:v>
                </c:pt>
                <c:pt idx="391">
                  <c:v>45724</c:v>
                </c:pt>
                <c:pt idx="392">
                  <c:v>45725</c:v>
                </c:pt>
                <c:pt idx="393">
                  <c:v>45726</c:v>
                </c:pt>
                <c:pt idx="394">
                  <c:v>45727</c:v>
                </c:pt>
                <c:pt idx="395">
                  <c:v>45728</c:v>
                </c:pt>
                <c:pt idx="396">
                  <c:v>45729</c:v>
                </c:pt>
                <c:pt idx="397">
                  <c:v>45730</c:v>
                </c:pt>
                <c:pt idx="398">
                  <c:v>45731</c:v>
                </c:pt>
                <c:pt idx="399">
                  <c:v>45732</c:v>
                </c:pt>
                <c:pt idx="400">
                  <c:v>45733</c:v>
                </c:pt>
                <c:pt idx="401">
                  <c:v>45734</c:v>
                </c:pt>
                <c:pt idx="402">
                  <c:v>45735</c:v>
                </c:pt>
                <c:pt idx="403">
                  <c:v>45736</c:v>
                </c:pt>
                <c:pt idx="404">
                  <c:v>45737</c:v>
                </c:pt>
                <c:pt idx="405">
                  <c:v>45738</c:v>
                </c:pt>
                <c:pt idx="406">
                  <c:v>45739</c:v>
                </c:pt>
                <c:pt idx="407">
                  <c:v>45740</c:v>
                </c:pt>
                <c:pt idx="408">
                  <c:v>45741</c:v>
                </c:pt>
                <c:pt idx="409">
                  <c:v>45742</c:v>
                </c:pt>
                <c:pt idx="410">
                  <c:v>45743</c:v>
                </c:pt>
                <c:pt idx="411">
                  <c:v>45744</c:v>
                </c:pt>
                <c:pt idx="412">
                  <c:v>45745</c:v>
                </c:pt>
                <c:pt idx="413">
                  <c:v>45746</c:v>
                </c:pt>
                <c:pt idx="414">
                  <c:v>45747</c:v>
                </c:pt>
                <c:pt idx="415">
                  <c:v>45748</c:v>
                </c:pt>
                <c:pt idx="416">
                  <c:v>45749</c:v>
                </c:pt>
                <c:pt idx="417">
                  <c:v>45750</c:v>
                </c:pt>
                <c:pt idx="418">
                  <c:v>45751</c:v>
                </c:pt>
                <c:pt idx="419">
                  <c:v>45752</c:v>
                </c:pt>
                <c:pt idx="420">
                  <c:v>45753</c:v>
                </c:pt>
                <c:pt idx="421">
                  <c:v>45754</c:v>
                </c:pt>
                <c:pt idx="422">
                  <c:v>45755</c:v>
                </c:pt>
                <c:pt idx="423">
                  <c:v>45756</c:v>
                </c:pt>
                <c:pt idx="424">
                  <c:v>45757</c:v>
                </c:pt>
                <c:pt idx="425">
                  <c:v>45758</c:v>
                </c:pt>
                <c:pt idx="426">
                  <c:v>45759</c:v>
                </c:pt>
                <c:pt idx="427">
                  <c:v>45760</c:v>
                </c:pt>
                <c:pt idx="428">
                  <c:v>45761</c:v>
                </c:pt>
                <c:pt idx="429">
                  <c:v>45762</c:v>
                </c:pt>
                <c:pt idx="430">
                  <c:v>45763</c:v>
                </c:pt>
                <c:pt idx="431">
                  <c:v>45764</c:v>
                </c:pt>
                <c:pt idx="432">
                  <c:v>45765</c:v>
                </c:pt>
                <c:pt idx="433">
                  <c:v>45766</c:v>
                </c:pt>
                <c:pt idx="434">
                  <c:v>45767</c:v>
                </c:pt>
                <c:pt idx="435">
                  <c:v>45768</c:v>
                </c:pt>
                <c:pt idx="436">
                  <c:v>45769</c:v>
                </c:pt>
                <c:pt idx="437">
                  <c:v>45770</c:v>
                </c:pt>
                <c:pt idx="438">
                  <c:v>45771</c:v>
                </c:pt>
                <c:pt idx="439">
                  <c:v>45772</c:v>
                </c:pt>
                <c:pt idx="440">
                  <c:v>45773</c:v>
                </c:pt>
                <c:pt idx="441">
                  <c:v>45774</c:v>
                </c:pt>
                <c:pt idx="442">
                  <c:v>45775</c:v>
                </c:pt>
                <c:pt idx="443">
                  <c:v>45776</c:v>
                </c:pt>
                <c:pt idx="444">
                  <c:v>45777</c:v>
                </c:pt>
                <c:pt idx="445">
                  <c:v>45778</c:v>
                </c:pt>
                <c:pt idx="446">
                  <c:v>45779</c:v>
                </c:pt>
                <c:pt idx="447">
                  <c:v>45780</c:v>
                </c:pt>
                <c:pt idx="448">
                  <c:v>45781</c:v>
                </c:pt>
                <c:pt idx="449">
                  <c:v>45782</c:v>
                </c:pt>
                <c:pt idx="450">
                  <c:v>45783</c:v>
                </c:pt>
                <c:pt idx="451">
                  <c:v>45784</c:v>
                </c:pt>
                <c:pt idx="452">
                  <c:v>45785</c:v>
                </c:pt>
                <c:pt idx="453">
                  <c:v>45786</c:v>
                </c:pt>
                <c:pt idx="454">
                  <c:v>45787</c:v>
                </c:pt>
                <c:pt idx="455">
                  <c:v>45788</c:v>
                </c:pt>
                <c:pt idx="456">
                  <c:v>45789</c:v>
                </c:pt>
                <c:pt idx="457">
                  <c:v>45790</c:v>
                </c:pt>
                <c:pt idx="458">
                  <c:v>45791</c:v>
                </c:pt>
                <c:pt idx="459">
                  <c:v>45792</c:v>
                </c:pt>
                <c:pt idx="460">
                  <c:v>45793</c:v>
                </c:pt>
                <c:pt idx="461">
                  <c:v>45794</c:v>
                </c:pt>
                <c:pt idx="462">
                  <c:v>45795</c:v>
                </c:pt>
                <c:pt idx="463">
                  <c:v>45796</c:v>
                </c:pt>
                <c:pt idx="464">
                  <c:v>45797</c:v>
                </c:pt>
                <c:pt idx="465">
                  <c:v>45798</c:v>
                </c:pt>
                <c:pt idx="466">
                  <c:v>45799</c:v>
                </c:pt>
                <c:pt idx="467">
                  <c:v>45800</c:v>
                </c:pt>
                <c:pt idx="468">
                  <c:v>45801</c:v>
                </c:pt>
                <c:pt idx="469">
                  <c:v>45802</c:v>
                </c:pt>
                <c:pt idx="470">
                  <c:v>45803</c:v>
                </c:pt>
                <c:pt idx="471">
                  <c:v>45804</c:v>
                </c:pt>
                <c:pt idx="472">
                  <c:v>45805</c:v>
                </c:pt>
                <c:pt idx="473">
                  <c:v>45806</c:v>
                </c:pt>
                <c:pt idx="474">
                  <c:v>45807</c:v>
                </c:pt>
                <c:pt idx="475">
                  <c:v>45808</c:v>
                </c:pt>
                <c:pt idx="476">
                  <c:v>45809</c:v>
                </c:pt>
                <c:pt idx="477">
                  <c:v>45810</c:v>
                </c:pt>
                <c:pt idx="478">
                  <c:v>45811</c:v>
                </c:pt>
                <c:pt idx="479">
                  <c:v>45812</c:v>
                </c:pt>
                <c:pt idx="480">
                  <c:v>45813</c:v>
                </c:pt>
                <c:pt idx="481">
                  <c:v>45814</c:v>
                </c:pt>
                <c:pt idx="482">
                  <c:v>45815</c:v>
                </c:pt>
                <c:pt idx="483">
                  <c:v>45816</c:v>
                </c:pt>
                <c:pt idx="484">
                  <c:v>45817</c:v>
                </c:pt>
                <c:pt idx="485">
                  <c:v>45818</c:v>
                </c:pt>
                <c:pt idx="486">
                  <c:v>45819</c:v>
                </c:pt>
                <c:pt idx="487">
                  <c:v>45820</c:v>
                </c:pt>
                <c:pt idx="488">
                  <c:v>45821</c:v>
                </c:pt>
                <c:pt idx="489">
                  <c:v>45822</c:v>
                </c:pt>
                <c:pt idx="490">
                  <c:v>45823</c:v>
                </c:pt>
                <c:pt idx="491">
                  <c:v>45824</c:v>
                </c:pt>
                <c:pt idx="492">
                  <c:v>45825</c:v>
                </c:pt>
                <c:pt idx="493">
                  <c:v>45826</c:v>
                </c:pt>
                <c:pt idx="494">
                  <c:v>45827</c:v>
                </c:pt>
                <c:pt idx="495">
                  <c:v>45828</c:v>
                </c:pt>
                <c:pt idx="496">
                  <c:v>45829</c:v>
                </c:pt>
                <c:pt idx="497">
                  <c:v>45830</c:v>
                </c:pt>
                <c:pt idx="498">
                  <c:v>45831</c:v>
                </c:pt>
                <c:pt idx="499">
                  <c:v>45832</c:v>
                </c:pt>
                <c:pt idx="500">
                  <c:v>45833</c:v>
                </c:pt>
                <c:pt idx="501">
                  <c:v>45834</c:v>
                </c:pt>
                <c:pt idx="502">
                  <c:v>45835</c:v>
                </c:pt>
                <c:pt idx="503">
                  <c:v>45836</c:v>
                </c:pt>
                <c:pt idx="504">
                  <c:v>45837</c:v>
                </c:pt>
                <c:pt idx="505">
                  <c:v>45838</c:v>
                </c:pt>
                <c:pt idx="506">
                  <c:v>45839</c:v>
                </c:pt>
                <c:pt idx="507">
                  <c:v>45840</c:v>
                </c:pt>
                <c:pt idx="508">
                  <c:v>45841</c:v>
                </c:pt>
                <c:pt idx="509">
                  <c:v>45842</c:v>
                </c:pt>
                <c:pt idx="510">
                  <c:v>45843</c:v>
                </c:pt>
                <c:pt idx="511">
                  <c:v>45844</c:v>
                </c:pt>
                <c:pt idx="512">
                  <c:v>45845</c:v>
                </c:pt>
                <c:pt idx="513">
                  <c:v>45846</c:v>
                </c:pt>
                <c:pt idx="514">
                  <c:v>45847</c:v>
                </c:pt>
                <c:pt idx="515">
                  <c:v>45848</c:v>
                </c:pt>
                <c:pt idx="516">
                  <c:v>45849</c:v>
                </c:pt>
                <c:pt idx="517">
                  <c:v>45850</c:v>
                </c:pt>
                <c:pt idx="518">
                  <c:v>45851</c:v>
                </c:pt>
                <c:pt idx="519">
                  <c:v>45852</c:v>
                </c:pt>
                <c:pt idx="520">
                  <c:v>45853</c:v>
                </c:pt>
                <c:pt idx="521">
                  <c:v>45854</c:v>
                </c:pt>
                <c:pt idx="522">
                  <c:v>45855</c:v>
                </c:pt>
                <c:pt idx="523">
                  <c:v>45856</c:v>
                </c:pt>
                <c:pt idx="524">
                  <c:v>45857</c:v>
                </c:pt>
                <c:pt idx="525">
                  <c:v>45858</c:v>
                </c:pt>
                <c:pt idx="526">
                  <c:v>45859</c:v>
                </c:pt>
                <c:pt idx="527">
                  <c:v>45860</c:v>
                </c:pt>
                <c:pt idx="528">
                  <c:v>45861</c:v>
                </c:pt>
                <c:pt idx="529">
                  <c:v>45862</c:v>
                </c:pt>
                <c:pt idx="530">
                  <c:v>45863</c:v>
                </c:pt>
                <c:pt idx="531">
                  <c:v>45864</c:v>
                </c:pt>
                <c:pt idx="532">
                  <c:v>45865</c:v>
                </c:pt>
                <c:pt idx="533">
                  <c:v>45866</c:v>
                </c:pt>
                <c:pt idx="534">
                  <c:v>45867</c:v>
                </c:pt>
                <c:pt idx="535">
                  <c:v>45868</c:v>
                </c:pt>
                <c:pt idx="536">
                  <c:v>45869</c:v>
                </c:pt>
                <c:pt idx="537">
                  <c:v>45870</c:v>
                </c:pt>
                <c:pt idx="538">
                  <c:v>45871</c:v>
                </c:pt>
                <c:pt idx="539">
                  <c:v>45872</c:v>
                </c:pt>
                <c:pt idx="540">
                  <c:v>45873</c:v>
                </c:pt>
                <c:pt idx="541">
                  <c:v>45874</c:v>
                </c:pt>
                <c:pt idx="542">
                  <c:v>45875</c:v>
                </c:pt>
                <c:pt idx="543">
                  <c:v>45876</c:v>
                </c:pt>
                <c:pt idx="544">
                  <c:v>45877</c:v>
                </c:pt>
                <c:pt idx="545">
                  <c:v>45878</c:v>
                </c:pt>
                <c:pt idx="546">
                  <c:v>45879</c:v>
                </c:pt>
                <c:pt idx="547">
                  <c:v>45880</c:v>
                </c:pt>
                <c:pt idx="548">
                  <c:v>45881</c:v>
                </c:pt>
                <c:pt idx="549">
                  <c:v>45882</c:v>
                </c:pt>
                <c:pt idx="550">
                  <c:v>45883</c:v>
                </c:pt>
                <c:pt idx="551">
                  <c:v>45884</c:v>
                </c:pt>
                <c:pt idx="552">
                  <c:v>45885</c:v>
                </c:pt>
                <c:pt idx="553">
                  <c:v>45886</c:v>
                </c:pt>
                <c:pt idx="554">
                  <c:v>45887</c:v>
                </c:pt>
                <c:pt idx="555">
                  <c:v>45888</c:v>
                </c:pt>
                <c:pt idx="556">
                  <c:v>45889</c:v>
                </c:pt>
                <c:pt idx="557">
                  <c:v>45890</c:v>
                </c:pt>
                <c:pt idx="558">
                  <c:v>45891</c:v>
                </c:pt>
                <c:pt idx="559">
                  <c:v>45892</c:v>
                </c:pt>
                <c:pt idx="560">
                  <c:v>45893</c:v>
                </c:pt>
                <c:pt idx="561">
                  <c:v>45894</c:v>
                </c:pt>
                <c:pt idx="562">
                  <c:v>45895</c:v>
                </c:pt>
                <c:pt idx="563">
                  <c:v>45896</c:v>
                </c:pt>
                <c:pt idx="564">
                  <c:v>45897</c:v>
                </c:pt>
                <c:pt idx="565">
                  <c:v>45898</c:v>
                </c:pt>
                <c:pt idx="566">
                  <c:v>45899</c:v>
                </c:pt>
                <c:pt idx="567">
                  <c:v>45900</c:v>
                </c:pt>
                <c:pt idx="568">
                  <c:v>45901</c:v>
                </c:pt>
                <c:pt idx="569">
                  <c:v>45902</c:v>
                </c:pt>
                <c:pt idx="570">
                  <c:v>45903</c:v>
                </c:pt>
                <c:pt idx="571">
                  <c:v>45904</c:v>
                </c:pt>
                <c:pt idx="572">
                  <c:v>45905</c:v>
                </c:pt>
                <c:pt idx="573">
                  <c:v>45906</c:v>
                </c:pt>
                <c:pt idx="574">
                  <c:v>45907</c:v>
                </c:pt>
                <c:pt idx="575">
                  <c:v>45908</c:v>
                </c:pt>
                <c:pt idx="576">
                  <c:v>45909</c:v>
                </c:pt>
                <c:pt idx="577">
                  <c:v>45910</c:v>
                </c:pt>
                <c:pt idx="578">
                  <c:v>45911</c:v>
                </c:pt>
                <c:pt idx="579">
                  <c:v>45912</c:v>
                </c:pt>
                <c:pt idx="580">
                  <c:v>45913</c:v>
                </c:pt>
                <c:pt idx="581">
                  <c:v>45914</c:v>
                </c:pt>
                <c:pt idx="582">
                  <c:v>45915</c:v>
                </c:pt>
                <c:pt idx="583">
                  <c:v>45916</c:v>
                </c:pt>
                <c:pt idx="584">
                  <c:v>45917</c:v>
                </c:pt>
                <c:pt idx="585">
                  <c:v>45918</c:v>
                </c:pt>
                <c:pt idx="586">
                  <c:v>45919</c:v>
                </c:pt>
                <c:pt idx="587">
                  <c:v>45920</c:v>
                </c:pt>
                <c:pt idx="588">
                  <c:v>45921</c:v>
                </c:pt>
                <c:pt idx="589">
                  <c:v>45922</c:v>
                </c:pt>
                <c:pt idx="590">
                  <c:v>45923</c:v>
                </c:pt>
                <c:pt idx="591">
                  <c:v>45924</c:v>
                </c:pt>
                <c:pt idx="592">
                  <c:v>45925</c:v>
                </c:pt>
                <c:pt idx="593">
                  <c:v>45926</c:v>
                </c:pt>
                <c:pt idx="594">
                  <c:v>45927</c:v>
                </c:pt>
                <c:pt idx="595">
                  <c:v>45928</c:v>
                </c:pt>
                <c:pt idx="596">
                  <c:v>45929</c:v>
                </c:pt>
                <c:pt idx="597">
                  <c:v>45930</c:v>
                </c:pt>
                <c:pt idx="598">
                  <c:v>45931</c:v>
                </c:pt>
                <c:pt idx="599">
                  <c:v>45932</c:v>
                </c:pt>
                <c:pt idx="600">
                  <c:v>45933</c:v>
                </c:pt>
                <c:pt idx="601">
                  <c:v>45934</c:v>
                </c:pt>
                <c:pt idx="602">
                  <c:v>45935</c:v>
                </c:pt>
                <c:pt idx="603">
                  <c:v>45936</c:v>
                </c:pt>
                <c:pt idx="604">
                  <c:v>45937</c:v>
                </c:pt>
                <c:pt idx="605">
                  <c:v>45938</c:v>
                </c:pt>
                <c:pt idx="606">
                  <c:v>45939</c:v>
                </c:pt>
                <c:pt idx="607">
                  <c:v>45940</c:v>
                </c:pt>
                <c:pt idx="608">
                  <c:v>45941</c:v>
                </c:pt>
                <c:pt idx="609">
                  <c:v>45942</c:v>
                </c:pt>
                <c:pt idx="610">
                  <c:v>45943</c:v>
                </c:pt>
                <c:pt idx="611">
                  <c:v>45944</c:v>
                </c:pt>
                <c:pt idx="612">
                  <c:v>45945</c:v>
                </c:pt>
                <c:pt idx="613">
                  <c:v>45946</c:v>
                </c:pt>
                <c:pt idx="614">
                  <c:v>45947</c:v>
                </c:pt>
                <c:pt idx="615">
                  <c:v>45948</c:v>
                </c:pt>
                <c:pt idx="616">
                  <c:v>45949</c:v>
                </c:pt>
                <c:pt idx="617">
                  <c:v>45950</c:v>
                </c:pt>
                <c:pt idx="618">
                  <c:v>45951</c:v>
                </c:pt>
                <c:pt idx="619">
                  <c:v>45952</c:v>
                </c:pt>
                <c:pt idx="620">
                  <c:v>45953</c:v>
                </c:pt>
                <c:pt idx="621">
                  <c:v>45954</c:v>
                </c:pt>
                <c:pt idx="622">
                  <c:v>45955</c:v>
                </c:pt>
                <c:pt idx="623">
                  <c:v>45956</c:v>
                </c:pt>
                <c:pt idx="624">
                  <c:v>45957</c:v>
                </c:pt>
                <c:pt idx="625">
                  <c:v>45958</c:v>
                </c:pt>
                <c:pt idx="626">
                  <c:v>45959</c:v>
                </c:pt>
                <c:pt idx="627">
                  <c:v>45960</c:v>
                </c:pt>
                <c:pt idx="628">
                  <c:v>45961</c:v>
                </c:pt>
                <c:pt idx="629">
                  <c:v>45962</c:v>
                </c:pt>
                <c:pt idx="630">
                  <c:v>45963</c:v>
                </c:pt>
                <c:pt idx="631">
                  <c:v>45964</c:v>
                </c:pt>
                <c:pt idx="632">
                  <c:v>45965</c:v>
                </c:pt>
                <c:pt idx="633">
                  <c:v>45966</c:v>
                </c:pt>
                <c:pt idx="634">
                  <c:v>45967</c:v>
                </c:pt>
                <c:pt idx="635">
                  <c:v>45968</c:v>
                </c:pt>
                <c:pt idx="636">
                  <c:v>45969</c:v>
                </c:pt>
                <c:pt idx="637">
                  <c:v>45970</c:v>
                </c:pt>
                <c:pt idx="638">
                  <c:v>45971</c:v>
                </c:pt>
                <c:pt idx="639">
                  <c:v>45972</c:v>
                </c:pt>
                <c:pt idx="640">
                  <c:v>45973</c:v>
                </c:pt>
                <c:pt idx="641">
                  <c:v>45974</c:v>
                </c:pt>
                <c:pt idx="642">
                  <c:v>45975</c:v>
                </c:pt>
                <c:pt idx="643">
                  <c:v>45976</c:v>
                </c:pt>
                <c:pt idx="644">
                  <c:v>45977</c:v>
                </c:pt>
                <c:pt idx="645">
                  <c:v>45978</c:v>
                </c:pt>
                <c:pt idx="646">
                  <c:v>45979</c:v>
                </c:pt>
                <c:pt idx="647">
                  <c:v>45980</c:v>
                </c:pt>
                <c:pt idx="648">
                  <c:v>45981</c:v>
                </c:pt>
                <c:pt idx="649">
                  <c:v>45982</c:v>
                </c:pt>
                <c:pt idx="650">
                  <c:v>45983</c:v>
                </c:pt>
                <c:pt idx="651">
                  <c:v>45984</c:v>
                </c:pt>
                <c:pt idx="652">
                  <c:v>45985</c:v>
                </c:pt>
                <c:pt idx="653">
                  <c:v>45986</c:v>
                </c:pt>
                <c:pt idx="654">
                  <c:v>45987</c:v>
                </c:pt>
                <c:pt idx="655">
                  <c:v>45988</c:v>
                </c:pt>
                <c:pt idx="656">
                  <c:v>45989</c:v>
                </c:pt>
                <c:pt idx="657">
                  <c:v>45990</c:v>
                </c:pt>
                <c:pt idx="658">
                  <c:v>45991</c:v>
                </c:pt>
                <c:pt idx="659">
                  <c:v>45992</c:v>
                </c:pt>
                <c:pt idx="660">
                  <c:v>45993</c:v>
                </c:pt>
                <c:pt idx="661">
                  <c:v>45994</c:v>
                </c:pt>
                <c:pt idx="662">
                  <c:v>45995</c:v>
                </c:pt>
                <c:pt idx="663">
                  <c:v>45996</c:v>
                </c:pt>
                <c:pt idx="664">
                  <c:v>45997</c:v>
                </c:pt>
                <c:pt idx="665">
                  <c:v>45998</c:v>
                </c:pt>
                <c:pt idx="666">
                  <c:v>45999</c:v>
                </c:pt>
                <c:pt idx="667">
                  <c:v>46000</c:v>
                </c:pt>
                <c:pt idx="668">
                  <c:v>46001</c:v>
                </c:pt>
                <c:pt idx="669">
                  <c:v>46002</c:v>
                </c:pt>
                <c:pt idx="670">
                  <c:v>46003</c:v>
                </c:pt>
                <c:pt idx="671">
                  <c:v>46004</c:v>
                </c:pt>
                <c:pt idx="672">
                  <c:v>46005</c:v>
                </c:pt>
                <c:pt idx="673">
                  <c:v>46006</c:v>
                </c:pt>
                <c:pt idx="674">
                  <c:v>46007</c:v>
                </c:pt>
                <c:pt idx="675">
                  <c:v>46008</c:v>
                </c:pt>
                <c:pt idx="676">
                  <c:v>46009</c:v>
                </c:pt>
                <c:pt idx="677">
                  <c:v>46010</c:v>
                </c:pt>
                <c:pt idx="678">
                  <c:v>46011</c:v>
                </c:pt>
                <c:pt idx="679">
                  <c:v>46012</c:v>
                </c:pt>
                <c:pt idx="680">
                  <c:v>46013</c:v>
                </c:pt>
                <c:pt idx="681">
                  <c:v>46014</c:v>
                </c:pt>
                <c:pt idx="682">
                  <c:v>46015</c:v>
                </c:pt>
              </c:numCache>
            </c:numRef>
          </c:xVal>
          <c:yVal>
            <c:numRef>
              <c:f>Sheet4!$G$2:$G$684</c:f>
              <c:numCache>
                <c:formatCode>0.00%</c:formatCode>
                <c:ptCount val="683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  <c:pt idx="9">
                  <c:v>0.75</c:v>
                </c:pt>
                <c:pt idx="10">
                  <c:v>0.75</c:v>
                </c:pt>
                <c:pt idx="11">
                  <c:v>0.75</c:v>
                </c:pt>
                <c:pt idx="12">
                  <c:v>0.75</c:v>
                </c:pt>
                <c:pt idx="13">
                  <c:v>0.75</c:v>
                </c:pt>
                <c:pt idx="14">
                  <c:v>0.75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0.75</c:v>
                </c:pt>
                <c:pt idx="21">
                  <c:v>0.75</c:v>
                </c:pt>
                <c:pt idx="22">
                  <c:v>0.75</c:v>
                </c:pt>
                <c:pt idx="23">
                  <c:v>0.75</c:v>
                </c:pt>
                <c:pt idx="24">
                  <c:v>0.75</c:v>
                </c:pt>
                <c:pt idx="25">
                  <c:v>0.75</c:v>
                </c:pt>
                <c:pt idx="26">
                  <c:v>0.75</c:v>
                </c:pt>
                <c:pt idx="27">
                  <c:v>0.75</c:v>
                </c:pt>
                <c:pt idx="28">
                  <c:v>0.75</c:v>
                </c:pt>
                <c:pt idx="29">
                  <c:v>0.75</c:v>
                </c:pt>
                <c:pt idx="30">
                  <c:v>0.75</c:v>
                </c:pt>
                <c:pt idx="31">
                  <c:v>0.75</c:v>
                </c:pt>
                <c:pt idx="32">
                  <c:v>0.75</c:v>
                </c:pt>
                <c:pt idx="33">
                  <c:v>0.75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0.75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0.75</c:v>
                </c:pt>
                <c:pt idx="68">
                  <c:v>0.75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</c:v>
                </c:pt>
                <c:pt idx="73">
                  <c:v>0.75</c:v>
                </c:pt>
                <c:pt idx="74">
                  <c:v>0.75</c:v>
                </c:pt>
                <c:pt idx="75">
                  <c:v>0.75</c:v>
                </c:pt>
                <c:pt idx="76">
                  <c:v>0.75</c:v>
                </c:pt>
                <c:pt idx="77">
                  <c:v>0.75</c:v>
                </c:pt>
                <c:pt idx="78">
                  <c:v>0.75</c:v>
                </c:pt>
                <c:pt idx="79">
                  <c:v>0.75</c:v>
                </c:pt>
                <c:pt idx="80">
                  <c:v>0.75</c:v>
                </c:pt>
                <c:pt idx="81">
                  <c:v>0.75</c:v>
                </c:pt>
                <c:pt idx="82">
                  <c:v>0.75</c:v>
                </c:pt>
                <c:pt idx="83">
                  <c:v>0.75</c:v>
                </c:pt>
                <c:pt idx="84">
                  <c:v>0.75</c:v>
                </c:pt>
                <c:pt idx="85">
                  <c:v>0.75</c:v>
                </c:pt>
                <c:pt idx="86">
                  <c:v>0.75</c:v>
                </c:pt>
                <c:pt idx="87">
                  <c:v>0.75</c:v>
                </c:pt>
                <c:pt idx="88">
                  <c:v>0.75</c:v>
                </c:pt>
                <c:pt idx="89">
                  <c:v>0.75</c:v>
                </c:pt>
                <c:pt idx="90">
                  <c:v>0.75</c:v>
                </c:pt>
                <c:pt idx="91">
                  <c:v>0.75</c:v>
                </c:pt>
                <c:pt idx="92">
                  <c:v>0.75</c:v>
                </c:pt>
                <c:pt idx="93">
                  <c:v>0.75</c:v>
                </c:pt>
                <c:pt idx="94">
                  <c:v>0.75</c:v>
                </c:pt>
                <c:pt idx="95">
                  <c:v>0.75</c:v>
                </c:pt>
                <c:pt idx="96">
                  <c:v>0.75</c:v>
                </c:pt>
                <c:pt idx="97">
                  <c:v>0.75</c:v>
                </c:pt>
                <c:pt idx="98">
                  <c:v>0.75</c:v>
                </c:pt>
                <c:pt idx="99">
                  <c:v>0.75</c:v>
                </c:pt>
                <c:pt idx="100">
                  <c:v>0.75</c:v>
                </c:pt>
                <c:pt idx="101">
                  <c:v>0.75</c:v>
                </c:pt>
                <c:pt idx="102">
                  <c:v>0.75</c:v>
                </c:pt>
                <c:pt idx="103">
                  <c:v>0.75</c:v>
                </c:pt>
                <c:pt idx="104">
                  <c:v>0.75</c:v>
                </c:pt>
                <c:pt idx="105">
                  <c:v>0.75</c:v>
                </c:pt>
                <c:pt idx="106">
                  <c:v>0.75</c:v>
                </c:pt>
                <c:pt idx="107">
                  <c:v>0.75</c:v>
                </c:pt>
                <c:pt idx="108">
                  <c:v>0.75</c:v>
                </c:pt>
                <c:pt idx="109">
                  <c:v>0.75</c:v>
                </c:pt>
                <c:pt idx="110">
                  <c:v>0.75</c:v>
                </c:pt>
                <c:pt idx="111">
                  <c:v>0.75</c:v>
                </c:pt>
                <c:pt idx="112">
                  <c:v>0.75</c:v>
                </c:pt>
                <c:pt idx="113">
                  <c:v>0.75</c:v>
                </c:pt>
                <c:pt idx="114">
                  <c:v>0.75</c:v>
                </c:pt>
                <c:pt idx="115">
                  <c:v>0.75</c:v>
                </c:pt>
                <c:pt idx="116">
                  <c:v>0.75</c:v>
                </c:pt>
                <c:pt idx="117">
                  <c:v>0.75</c:v>
                </c:pt>
                <c:pt idx="118">
                  <c:v>0.75</c:v>
                </c:pt>
                <c:pt idx="119">
                  <c:v>0.75</c:v>
                </c:pt>
                <c:pt idx="120">
                  <c:v>0.75</c:v>
                </c:pt>
                <c:pt idx="121">
                  <c:v>0.75</c:v>
                </c:pt>
                <c:pt idx="122">
                  <c:v>0.75</c:v>
                </c:pt>
                <c:pt idx="123">
                  <c:v>0.75</c:v>
                </c:pt>
                <c:pt idx="124">
                  <c:v>0.75</c:v>
                </c:pt>
                <c:pt idx="125">
                  <c:v>0.75</c:v>
                </c:pt>
                <c:pt idx="126">
                  <c:v>0.75</c:v>
                </c:pt>
                <c:pt idx="127">
                  <c:v>0.75</c:v>
                </c:pt>
                <c:pt idx="128">
                  <c:v>0.75</c:v>
                </c:pt>
                <c:pt idx="129">
                  <c:v>0.75</c:v>
                </c:pt>
                <c:pt idx="130">
                  <c:v>0.75</c:v>
                </c:pt>
                <c:pt idx="131">
                  <c:v>0.75</c:v>
                </c:pt>
                <c:pt idx="132">
                  <c:v>0.75</c:v>
                </c:pt>
                <c:pt idx="133">
                  <c:v>0.75</c:v>
                </c:pt>
                <c:pt idx="134">
                  <c:v>0.75</c:v>
                </c:pt>
                <c:pt idx="135">
                  <c:v>0.75</c:v>
                </c:pt>
                <c:pt idx="136">
                  <c:v>0.75</c:v>
                </c:pt>
                <c:pt idx="137">
                  <c:v>0.75</c:v>
                </c:pt>
                <c:pt idx="138">
                  <c:v>0.75</c:v>
                </c:pt>
                <c:pt idx="139">
                  <c:v>0.75</c:v>
                </c:pt>
                <c:pt idx="140">
                  <c:v>0.75</c:v>
                </c:pt>
                <c:pt idx="141">
                  <c:v>0.75</c:v>
                </c:pt>
                <c:pt idx="142">
                  <c:v>0.75</c:v>
                </c:pt>
                <c:pt idx="143">
                  <c:v>0.75</c:v>
                </c:pt>
                <c:pt idx="144">
                  <c:v>0.75</c:v>
                </c:pt>
                <c:pt idx="145">
                  <c:v>0.75</c:v>
                </c:pt>
                <c:pt idx="146">
                  <c:v>0.75</c:v>
                </c:pt>
                <c:pt idx="147">
                  <c:v>0.75</c:v>
                </c:pt>
                <c:pt idx="148">
                  <c:v>0.75</c:v>
                </c:pt>
                <c:pt idx="149">
                  <c:v>0.75</c:v>
                </c:pt>
                <c:pt idx="150">
                  <c:v>0.75</c:v>
                </c:pt>
                <c:pt idx="151">
                  <c:v>0.75</c:v>
                </c:pt>
                <c:pt idx="152">
                  <c:v>0.75</c:v>
                </c:pt>
                <c:pt idx="153">
                  <c:v>0.75</c:v>
                </c:pt>
                <c:pt idx="154">
                  <c:v>0.75</c:v>
                </c:pt>
                <c:pt idx="155">
                  <c:v>0.75</c:v>
                </c:pt>
                <c:pt idx="156">
                  <c:v>0.75</c:v>
                </c:pt>
                <c:pt idx="157">
                  <c:v>0.75</c:v>
                </c:pt>
                <c:pt idx="158">
                  <c:v>0.75</c:v>
                </c:pt>
                <c:pt idx="159">
                  <c:v>0.75</c:v>
                </c:pt>
                <c:pt idx="160">
                  <c:v>0.75</c:v>
                </c:pt>
                <c:pt idx="161">
                  <c:v>0.75</c:v>
                </c:pt>
                <c:pt idx="162">
                  <c:v>0.75</c:v>
                </c:pt>
                <c:pt idx="163">
                  <c:v>0.75</c:v>
                </c:pt>
                <c:pt idx="164">
                  <c:v>0.75</c:v>
                </c:pt>
                <c:pt idx="165">
                  <c:v>0.75</c:v>
                </c:pt>
                <c:pt idx="166">
                  <c:v>0.75</c:v>
                </c:pt>
                <c:pt idx="167">
                  <c:v>0.75</c:v>
                </c:pt>
                <c:pt idx="168">
                  <c:v>0.75</c:v>
                </c:pt>
                <c:pt idx="169">
                  <c:v>0.75</c:v>
                </c:pt>
                <c:pt idx="170">
                  <c:v>0.75</c:v>
                </c:pt>
                <c:pt idx="171">
                  <c:v>0.75</c:v>
                </c:pt>
                <c:pt idx="172">
                  <c:v>0.75</c:v>
                </c:pt>
                <c:pt idx="173">
                  <c:v>0.75</c:v>
                </c:pt>
                <c:pt idx="174">
                  <c:v>0.75</c:v>
                </c:pt>
                <c:pt idx="175">
                  <c:v>0.75</c:v>
                </c:pt>
                <c:pt idx="176">
                  <c:v>0.75</c:v>
                </c:pt>
                <c:pt idx="177">
                  <c:v>0.75</c:v>
                </c:pt>
                <c:pt idx="178">
                  <c:v>0.75</c:v>
                </c:pt>
                <c:pt idx="179">
                  <c:v>0.75</c:v>
                </c:pt>
                <c:pt idx="180">
                  <c:v>0.75</c:v>
                </c:pt>
                <c:pt idx="181">
                  <c:v>0.75</c:v>
                </c:pt>
                <c:pt idx="182">
                  <c:v>0.75</c:v>
                </c:pt>
                <c:pt idx="183">
                  <c:v>0.75</c:v>
                </c:pt>
                <c:pt idx="184">
                  <c:v>0.75</c:v>
                </c:pt>
                <c:pt idx="185">
                  <c:v>0.75</c:v>
                </c:pt>
                <c:pt idx="186">
                  <c:v>0.75</c:v>
                </c:pt>
                <c:pt idx="187">
                  <c:v>0.75</c:v>
                </c:pt>
                <c:pt idx="188">
                  <c:v>0.75</c:v>
                </c:pt>
                <c:pt idx="189">
                  <c:v>0.75</c:v>
                </c:pt>
                <c:pt idx="190">
                  <c:v>0.75</c:v>
                </c:pt>
                <c:pt idx="191">
                  <c:v>0.75</c:v>
                </c:pt>
                <c:pt idx="192">
                  <c:v>0.75</c:v>
                </c:pt>
                <c:pt idx="193">
                  <c:v>0.75</c:v>
                </c:pt>
                <c:pt idx="194">
                  <c:v>0.75</c:v>
                </c:pt>
                <c:pt idx="195">
                  <c:v>0.75</c:v>
                </c:pt>
                <c:pt idx="196">
                  <c:v>0.75</c:v>
                </c:pt>
                <c:pt idx="197">
                  <c:v>0.75</c:v>
                </c:pt>
                <c:pt idx="198">
                  <c:v>0.75</c:v>
                </c:pt>
                <c:pt idx="199">
                  <c:v>0.75</c:v>
                </c:pt>
                <c:pt idx="200">
                  <c:v>0.75</c:v>
                </c:pt>
                <c:pt idx="201">
                  <c:v>0.75</c:v>
                </c:pt>
                <c:pt idx="202">
                  <c:v>0.75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</c:v>
                </c:pt>
                <c:pt idx="210">
                  <c:v>0.75</c:v>
                </c:pt>
                <c:pt idx="211">
                  <c:v>0.75</c:v>
                </c:pt>
                <c:pt idx="212">
                  <c:v>0.75</c:v>
                </c:pt>
                <c:pt idx="213">
                  <c:v>0.75</c:v>
                </c:pt>
                <c:pt idx="214">
                  <c:v>0.75</c:v>
                </c:pt>
                <c:pt idx="215">
                  <c:v>0.75</c:v>
                </c:pt>
                <c:pt idx="216">
                  <c:v>0.75</c:v>
                </c:pt>
                <c:pt idx="217">
                  <c:v>0.75</c:v>
                </c:pt>
                <c:pt idx="218">
                  <c:v>0.75</c:v>
                </c:pt>
                <c:pt idx="219">
                  <c:v>0.75</c:v>
                </c:pt>
                <c:pt idx="220">
                  <c:v>0.75</c:v>
                </c:pt>
                <c:pt idx="221">
                  <c:v>0.75</c:v>
                </c:pt>
                <c:pt idx="222">
                  <c:v>0.75</c:v>
                </c:pt>
                <c:pt idx="223">
                  <c:v>0.75</c:v>
                </c:pt>
                <c:pt idx="224">
                  <c:v>0.75</c:v>
                </c:pt>
                <c:pt idx="225">
                  <c:v>0.75</c:v>
                </c:pt>
                <c:pt idx="226">
                  <c:v>0.75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0.75</c:v>
                </c:pt>
                <c:pt idx="232">
                  <c:v>0.75</c:v>
                </c:pt>
                <c:pt idx="233">
                  <c:v>0.75</c:v>
                </c:pt>
                <c:pt idx="234">
                  <c:v>0.75</c:v>
                </c:pt>
                <c:pt idx="235">
                  <c:v>0.75</c:v>
                </c:pt>
                <c:pt idx="236">
                  <c:v>0.75</c:v>
                </c:pt>
                <c:pt idx="237">
                  <c:v>0.75</c:v>
                </c:pt>
                <c:pt idx="238">
                  <c:v>0.75</c:v>
                </c:pt>
                <c:pt idx="239">
                  <c:v>0.75</c:v>
                </c:pt>
                <c:pt idx="240">
                  <c:v>0.75</c:v>
                </c:pt>
                <c:pt idx="241">
                  <c:v>0.75</c:v>
                </c:pt>
                <c:pt idx="242">
                  <c:v>0.75</c:v>
                </c:pt>
                <c:pt idx="243">
                  <c:v>0.75</c:v>
                </c:pt>
                <c:pt idx="244">
                  <c:v>0.75</c:v>
                </c:pt>
                <c:pt idx="245">
                  <c:v>0.75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0.75</c:v>
                </c:pt>
                <c:pt idx="273">
                  <c:v>0.75</c:v>
                </c:pt>
                <c:pt idx="274">
                  <c:v>0.75</c:v>
                </c:pt>
                <c:pt idx="275">
                  <c:v>0.75</c:v>
                </c:pt>
                <c:pt idx="276">
                  <c:v>0.75</c:v>
                </c:pt>
                <c:pt idx="277">
                  <c:v>0.75</c:v>
                </c:pt>
                <c:pt idx="278">
                  <c:v>0.75</c:v>
                </c:pt>
                <c:pt idx="279">
                  <c:v>0.75</c:v>
                </c:pt>
                <c:pt idx="280">
                  <c:v>0.75</c:v>
                </c:pt>
                <c:pt idx="281">
                  <c:v>0.75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</c:v>
                </c:pt>
                <c:pt idx="286">
                  <c:v>0.75</c:v>
                </c:pt>
                <c:pt idx="287">
                  <c:v>0.75</c:v>
                </c:pt>
                <c:pt idx="288">
                  <c:v>0.75</c:v>
                </c:pt>
                <c:pt idx="289">
                  <c:v>0.75</c:v>
                </c:pt>
                <c:pt idx="290">
                  <c:v>0.75</c:v>
                </c:pt>
                <c:pt idx="291">
                  <c:v>0.75</c:v>
                </c:pt>
                <c:pt idx="292">
                  <c:v>0.75</c:v>
                </c:pt>
                <c:pt idx="293">
                  <c:v>0.75</c:v>
                </c:pt>
                <c:pt idx="294">
                  <c:v>0.75</c:v>
                </c:pt>
                <c:pt idx="295">
                  <c:v>0.75</c:v>
                </c:pt>
                <c:pt idx="296">
                  <c:v>0.75</c:v>
                </c:pt>
                <c:pt idx="297">
                  <c:v>0.75</c:v>
                </c:pt>
                <c:pt idx="298">
                  <c:v>0.75</c:v>
                </c:pt>
                <c:pt idx="299">
                  <c:v>0.75</c:v>
                </c:pt>
                <c:pt idx="300">
                  <c:v>0.75</c:v>
                </c:pt>
                <c:pt idx="301">
                  <c:v>0.75</c:v>
                </c:pt>
                <c:pt idx="302">
                  <c:v>0.75</c:v>
                </c:pt>
                <c:pt idx="303">
                  <c:v>0.75</c:v>
                </c:pt>
                <c:pt idx="304">
                  <c:v>0.75</c:v>
                </c:pt>
                <c:pt idx="305">
                  <c:v>0.75</c:v>
                </c:pt>
                <c:pt idx="306">
                  <c:v>0.75</c:v>
                </c:pt>
                <c:pt idx="307">
                  <c:v>0.75</c:v>
                </c:pt>
                <c:pt idx="308">
                  <c:v>0.75</c:v>
                </c:pt>
                <c:pt idx="309">
                  <c:v>0.75</c:v>
                </c:pt>
                <c:pt idx="310">
                  <c:v>0.75</c:v>
                </c:pt>
                <c:pt idx="311">
                  <c:v>0.75</c:v>
                </c:pt>
                <c:pt idx="312">
                  <c:v>0.75</c:v>
                </c:pt>
                <c:pt idx="313">
                  <c:v>0.75</c:v>
                </c:pt>
                <c:pt idx="314">
                  <c:v>0.75</c:v>
                </c:pt>
                <c:pt idx="315">
                  <c:v>0.75</c:v>
                </c:pt>
                <c:pt idx="316">
                  <c:v>0.75</c:v>
                </c:pt>
                <c:pt idx="317">
                  <c:v>0.75</c:v>
                </c:pt>
                <c:pt idx="318">
                  <c:v>0.75</c:v>
                </c:pt>
                <c:pt idx="319">
                  <c:v>0.75</c:v>
                </c:pt>
                <c:pt idx="320">
                  <c:v>0.75</c:v>
                </c:pt>
                <c:pt idx="321">
                  <c:v>0.75</c:v>
                </c:pt>
                <c:pt idx="322">
                  <c:v>0.75</c:v>
                </c:pt>
                <c:pt idx="323">
                  <c:v>0.75</c:v>
                </c:pt>
                <c:pt idx="324">
                  <c:v>0.75</c:v>
                </c:pt>
                <c:pt idx="325">
                  <c:v>0.75</c:v>
                </c:pt>
                <c:pt idx="326">
                  <c:v>0.75</c:v>
                </c:pt>
                <c:pt idx="327">
                  <c:v>0.75</c:v>
                </c:pt>
                <c:pt idx="328">
                  <c:v>0.75</c:v>
                </c:pt>
                <c:pt idx="329">
                  <c:v>0.75</c:v>
                </c:pt>
                <c:pt idx="330">
                  <c:v>0.75</c:v>
                </c:pt>
                <c:pt idx="331">
                  <c:v>0.75</c:v>
                </c:pt>
                <c:pt idx="332">
                  <c:v>0.75</c:v>
                </c:pt>
                <c:pt idx="333">
                  <c:v>0.75</c:v>
                </c:pt>
                <c:pt idx="334">
                  <c:v>0.75</c:v>
                </c:pt>
                <c:pt idx="335">
                  <c:v>0.75</c:v>
                </c:pt>
                <c:pt idx="336">
                  <c:v>0.75</c:v>
                </c:pt>
                <c:pt idx="337">
                  <c:v>0.75</c:v>
                </c:pt>
                <c:pt idx="338">
                  <c:v>0.75</c:v>
                </c:pt>
                <c:pt idx="339">
                  <c:v>0.75</c:v>
                </c:pt>
                <c:pt idx="340">
                  <c:v>0.75</c:v>
                </c:pt>
                <c:pt idx="341">
                  <c:v>0.75</c:v>
                </c:pt>
                <c:pt idx="342">
                  <c:v>0.75</c:v>
                </c:pt>
                <c:pt idx="343">
                  <c:v>0.75</c:v>
                </c:pt>
                <c:pt idx="344">
                  <c:v>0.75</c:v>
                </c:pt>
                <c:pt idx="345">
                  <c:v>0.75</c:v>
                </c:pt>
                <c:pt idx="346">
                  <c:v>0.75</c:v>
                </c:pt>
                <c:pt idx="347">
                  <c:v>0.75</c:v>
                </c:pt>
                <c:pt idx="348">
                  <c:v>0.75</c:v>
                </c:pt>
                <c:pt idx="349">
                  <c:v>0.75</c:v>
                </c:pt>
                <c:pt idx="350">
                  <c:v>0.75</c:v>
                </c:pt>
                <c:pt idx="351">
                  <c:v>0.75</c:v>
                </c:pt>
                <c:pt idx="352">
                  <c:v>0.75</c:v>
                </c:pt>
                <c:pt idx="353">
                  <c:v>0.75</c:v>
                </c:pt>
                <c:pt idx="354">
                  <c:v>0.75</c:v>
                </c:pt>
                <c:pt idx="355">
                  <c:v>0.75</c:v>
                </c:pt>
                <c:pt idx="356">
                  <c:v>0.75</c:v>
                </c:pt>
                <c:pt idx="357">
                  <c:v>0.75</c:v>
                </c:pt>
                <c:pt idx="358">
                  <c:v>0.75</c:v>
                </c:pt>
                <c:pt idx="359">
                  <c:v>0.75</c:v>
                </c:pt>
                <c:pt idx="360">
                  <c:v>0.75</c:v>
                </c:pt>
                <c:pt idx="361">
                  <c:v>0.75</c:v>
                </c:pt>
                <c:pt idx="362">
                  <c:v>0.75</c:v>
                </c:pt>
                <c:pt idx="363">
                  <c:v>0.75</c:v>
                </c:pt>
                <c:pt idx="364">
                  <c:v>0.75</c:v>
                </c:pt>
                <c:pt idx="365">
                  <c:v>0.75</c:v>
                </c:pt>
                <c:pt idx="366">
                  <c:v>0.75</c:v>
                </c:pt>
                <c:pt idx="367">
                  <c:v>0.75</c:v>
                </c:pt>
                <c:pt idx="368">
                  <c:v>0.75</c:v>
                </c:pt>
                <c:pt idx="369">
                  <c:v>0.75</c:v>
                </c:pt>
                <c:pt idx="370">
                  <c:v>0.75</c:v>
                </c:pt>
                <c:pt idx="371">
                  <c:v>0.75</c:v>
                </c:pt>
                <c:pt idx="372">
                  <c:v>0.75</c:v>
                </c:pt>
                <c:pt idx="373">
                  <c:v>0.75</c:v>
                </c:pt>
                <c:pt idx="374">
                  <c:v>0.75</c:v>
                </c:pt>
                <c:pt idx="375">
                  <c:v>0.75</c:v>
                </c:pt>
                <c:pt idx="376">
                  <c:v>0.75</c:v>
                </c:pt>
                <c:pt idx="377">
                  <c:v>0.75</c:v>
                </c:pt>
                <c:pt idx="378">
                  <c:v>0.75</c:v>
                </c:pt>
                <c:pt idx="379">
                  <c:v>0.75</c:v>
                </c:pt>
                <c:pt idx="380">
                  <c:v>0.75</c:v>
                </c:pt>
                <c:pt idx="381">
                  <c:v>0.75</c:v>
                </c:pt>
                <c:pt idx="382">
                  <c:v>0.75</c:v>
                </c:pt>
                <c:pt idx="383">
                  <c:v>0.75</c:v>
                </c:pt>
                <c:pt idx="384">
                  <c:v>0.75</c:v>
                </c:pt>
                <c:pt idx="385">
                  <c:v>0.75</c:v>
                </c:pt>
                <c:pt idx="386">
                  <c:v>0.75</c:v>
                </c:pt>
                <c:pt idx="387">
                  <c:v>0.75</c:v>
                </c:pt>
                <c:pt idx="388">
                  <c:v>0.75</c:v>
                </c:pt>
                <c:pt idx="389">
                  <c:v>0.75</c:v>
                </c:pt>
                <c:pt idx="390">
                  <c:v>0.75</c:v>
                </c:pt>
                <c:pt idx="391">
                  <c:v>0.75</c:v>
                </c:pt>
                <c:pt idx="392">
                  <c:v>0.75</c:v>
                </c:pt>
                <c:pt idx="393">
                  <c:v>0.75</c:v>
                </c:pt>
                <c:pt idx="394">
                  <c:v>0.75</c:v>
                </c:pt>
                <c:pt idx="395">
                  <c:v>0.75</c:v>
                </c:pt>
                <c:pt idx="396">
                  <c:v>0.75</c:v>
                </c:pt>
                <c:pt idx="397">
                  <c:v>0.75</c:v>
                </c:pt>
                <c:pt idx="398">
                  <c:v>0.75</c:v>
                </c:pt>
                <c:pt idx="399">
                  <c:v>0.75</c:v>
                </c:pt>
                <c:pt idx="400">
                  <c:v>0.75</c:v>
                </c:pt>
                <c:pt idx="401">
                  <c:v>0.75</c:v>
                </c:pt>
                <c:pt idx="402">
                  <c:v>0.75</c:v>
                </c:pt>
                <c:pt idx="403">
                  <c:v>0.75</c:v>
                </c:pt>
                <c:pt idx="404">
                  <c:v>0.75</c:v>
                </c:pt>
                <c:pt idx="405">
                  <c:v>0.75</c:v>
                </c:pt>
                <c:pt idx="406">
                  <c:v>0.75</c:v>
                </c:pt>
                <c:pt idx="407">
                  <c:v>0.75</c:v>
                </c:pt>
                <c:pt idx="408">
                  <c:v>0.75</c:v>
                </c:pt>
                <c:pt idx="409">
                  <c:v>0.75</c:v>
                </c:pt>
                <c:pt idx="410">
                  <c:v>0.75</c:v>
                </c:pt>
                <c:pt idx="411">
                  <c:v>0.75</c:v>
                </c:pt>
                <c:pt idx="412">
                  <c:v>0.75</c:v>
                </c:pt>
                <c:pt idx="413">
                  <c:v>0.75</c:v>
                </c:pt>
                <c:pt idx="414">
                  <c:v>0.75</c:v>
                </c:pt>
                <c:pt idx="415">
                  <c:v>0.75</c:v>
                </c:pt>
                <c:pt idx="416">
                  <c:v>0.75</c:v>
                </c:pt>
                <c:pt idx="417">
                  <c:v>0.75</c:v>
                </c:pt>
                <c:pt idx="418">
                  <c:v>0.75</c:v>
                </c:pt>
                <c:pt idx="419">
                  <c:v>0.75</c:v>
                </c:pt>
                <c:pt idx="420">
                  <c:v>0.75</c:v>
                </c:pt>
                <c:pt idx="421">
                  <c:v>0.75</c:v>
                </c:pt>
                <c:pt idx="422">
                  <c:v>0.75</c:v>
                </c:pt>
                <c:pt idx="423">
                  <c:v>0.75</c:v>
                </c:pt>
                <c:pt idx="424">
                  <c:v>0.75</c:v>
                </c:pt>
                <c:pt idx="425">
                  <c:v>0.75</c:v>
                </c:pt>
                <c:pt idx="426">
                  <c:v>0.75</c:v>
                </c:pt>
                <c:pt idx="427">
                  <c:v>0.75</c:v>
                </c:pt>
                <c:pt idx="428">
                  <c:v>0.75</c:v>
                </c:pt>
                <c:pt idx="429">
                  <c:v>0.75</c:v>
                </c:pt>
                <c:pt idx="430">
                  <c:v>0.75</c:v>
                </c:pt>
                <c:pt idx="431">
                  <c:v>0.75</c:v>
                </c:pt>
                <c:pt idx="432">
                  <c:v>0.75</c:v>
                </c:pt>
                <c:pt idx="433">
                  <c:v>0.75</c:v>
                </c:pt>
                <c:pt idx="434">
                  <c:v>0.75</c:v>
                </c:pt>
                <c:pt idx="435">
                  <c:v>0.75</c:v>
                </c:pt>
                <c:pt idx="436">
                  <c:v>0.75</c:v>
                </c:pt>
                <c:pt idx="437">
                  <c:v>0.75</c:v>
                </c:pt>
                <c:pt idx="438">
                  <c:v>0.75</c:v>
                </c:pt>
                <c:pt idx="439">
                  <c:v>0.75</c:v>
                </c:pt>
                <c:pt idx="440">
                  <c:v>0.75</c:v>
                </c:pt>
                <c:pt idx="441">
                  <c:v>0.75</c:v>
                </c:pt>
                <c:pt idx="442">
                  <c:v>0.75</c:v>
                </c:pt>
                <c:pt idx="443">
                  <c:v>0.75</c:v>
                </c:pt>
                <c:pt idx="444">
                  <c:v>0.75</c:v>
                </c:pt>
                <c:pt idx="445">
                  <c:v>0.75</c:v>
                </c:pt>
                <c:pt idx="446">
                  <c:v>0.75</c:v>
                </c:pt>
                <c:pt idx="447">
                  <c:v>0.75</c:v>
                </c:pt>
                <c:pt idx="448">
                  <c:v>0.75</c:v>
                </c:pt>
                <c:pt idx="449">
                  <c:v>0.75</c:v>
                </c:pt>
                <c:pt idx="450">
                  <c:v>0.75</c:v>
                </c:pt>
                <c:pt idx="451">
                  <c:v>0.75</c:v>
                </c:pt>
                <c:pt idx="452">
                  <c:v>0.75</c:v>
                </c:pt>
                <c:pt idx="453">
                  <c:v>0.75</c:v>
                </c:pt>
                <c:pt idx="454">
                  <c:v>0.75</c:v>
                </c:pt>
                <c:pt idx="455">
                  <c:v>0.75</c:v>
                </c:pt>
                <c:pt idx="456">
                  <c:v>0.75</c:v>
                </c:pt>
                <c:pt idx="457">
                  <c:v>0.75</c:v>
                </c:pt>
                <c:pt idx="458">
                  <c:v>0.75</c:v>
                </c:pt>
                <c:pt idx="459">
                  <c:v>0.75</c:v>
                </c:pt>
                <c:pt idx="460">
                  <c:v>0.75</c:v>
                </c:pt>
                <c:pt idx="461">
                  <c:v>0.75</c:v>
                </c:pt>
                <c:pt idx="462">
                  <c:v>0.75</c:v>
                </c:pt>
                <c:pt idx="463">
                  <c:v>0.75</c:v>
                </c:pt>
                <c:pt idx="464">
                  <c:v>0.75</c:v>
                </c:pt>
                <c:pt idx="465">
                  <c:v>0.75</c:v>
                </c:pt>
                <c:pt idx="466">
                  <c:v>0.75</c:v>
                </c:pt>
                <c:pt idx="467">
                  <c:v>0.75</c:v>
                </c:pt>
                <c:pt idx="468">
                  <c:v>0.75</c:v>
                </c:pt>
                <c:pt idx="469">
                  <c:v>0.75</c:v>
                </c:pt>
                <c:pt idx="470">
                  <c:v>0.75</c:v>
                </c:pt>
                <c:pt idx="471">
                  <c:v>0.75</c:v>
                </c:pt>
                <c:pt idx="472">
                  <c:v>0.75</c:v>
                </c:pt>
                <c:pt idx="473">
                  <c:v>0.75</c:v>
                </c:pt>
                <c:pt idx="474">
                  <c:v>0.75</c:v>
                </c:pt>
                <c:pt idx="475">
                  <c:v>0.75</c:v>
                </c:pt>
                <c:pt idx="476">
                  <c:v>0.75</c:v>
                </c:pt>
                <c:pt idx="477">
                  <c:v>0.75</c:v>
                </c:pt>
                <c:pt idx="478">
                  <c:v>0.75</c:v>
                </c:pt>
                <c:pt idx="479">
                  <c:v>0.75</c:v>
                </c:pt>
                <c:pt idx="480">
                  <c:v>0.75</c:v>
                </c:pt>
                <c:pt idx="481">
                  <c:v>0.75</c:v>
                </c:pt>
                <c:pt idx="482">
                  <c:v>0.75</c:v>
                </c:pt>
                <c:pt idx="483">
                  <c:v>0.75</c:v>
                </c:pt>
                <c:pt idx="484">
                  <c:v>0.75</c:v>
                </c:pt>
                <c:pt idx="485">
                  <c:v>0.75</c:v>
                </c:pt>
                <c:pt idx="486">
                  <c:v>0.75</c:v>
                </c:pt>
                <c:pt idx="487">
                  <c:v>0.75</c:v>
                </c:pt>
                <c:pt idx="488">
                  <c:v>0.75</c:v>
                </c:pt>
                <c:pt idx="489">
                  <c:v>0.75</c:v>
                </c:pt>
                <c:pt idx="490">
                  <c:v>0.75</c:v>
                </c:pt>
                <c:pt idx="491">
                  <c:v>0.75</c:v>
                </c:pt>
                <c:pt idx="492">
                  <c:v>0.75</c:v>
                </c:pt>
                <c:pt idx="493">
                  <c:v>0.75</c:v>
                </c:pt>
                <c:pt idx="494">
                  <c:v>0.75</c:v>
                </c:pt>
                <c:pt idx="495">
                  <c:v>0.75</c:v>
                </c:pt>
                <c:pt idx="496">
                  <c:v>0.75</c:v>
                </c:pt>
                <c:pt idx="497">
                  <c:v>0.75</c:v>
                </c:pt>
                <c:pt idx="498">
                  <c:v>0.75</c:v>
                </c:pt>
                <c:pt idx="499">
                  <c:v>0.75</c:v>
                </c:pt>
                <c:pt idx="500">
                  <c:v>0.75</c:v>
                </c:pt>
                <c:pt idx="501">
                  <c:v>0.75</c:v>
                </c:pt>
                <c:pt idx="502">
                  <c:v>0.75</c:v>
                </c:pt>
                <c:pt idx="503">
                  <c:v>0.75</c:v>
                </c:pt>
                <c:pt idx="504">
                  <c:v>0.75</c:v>
                </c:pt>
                <c:pt idx="505">
                  <c:v>0.75</c:v>
                </c:pt>
                <c:pt idx="506">
                  <c:v>0.75</c:v>
                </c:pt>
                <c:pt idx="507">
                  <c:v>0.75</c:v>
                </c:pt>
                <c:pt idx="508">
                  <c:v>0.75</c:v>
                </c:pt>
                <c:pt idx="509">
                  <c:v>0.75</c:v>
                </c:pt>
                <c:pt idx="510">
                  <c:v>0.75</c:v>
                </c:pt>
                <c:pt idx="511">
                  <c:v>0.75</c:v>
                </c:pt>
                <c:pt idx="512">
                  <c:v>0.75</c:v>
                </c:pt>
                <c:pt idx="513">
                  <c:v>0.75</c:v>
                </c:pt>
                <c:pt idx="514">
                  <c:v>0.75</c:v>
                </c:pt>
                <c:pt idx="515">
                  <c:v>0.75</c:v>
                </c:pt>
                <c:pt idx="516">
                  <c:v>0.75</c:v>
                </c:pt>
                <c:pt idx="517">
                  <c:v>0.75</c:v>
                </c:pt>
                <c:pt idx="518">
                  <c:v>0.75</c:v>
                </c:pt>
                <c:pt idx="519">
                  <c:v>0.75</c:v>
                </c:pt>
                <c:pt idx="520">
                  <c:v>0.75</c:v>
                </c:pt>
                <c:pt idx="521">
                  <c:v>0.75</c:v>
                </c:pt>
                <c:pt idx="522">
                  <c:v>0.75</c:v>
                </c:pt>
                <c:pt idx="523">
                  <c:v>0.75</c:v>
                </c:pt>
                <c:pt idx="524">
                  <c:v>0.75</c:v>
                </c:pt>
                <c:pt idx="525">
                  <c:v>0.75</c:v>
                </c:pt>
                <c:pt idx="526">
                  <c:v>0.75</c:v>
                </c:pt>
                <c:pt idx="527">
                  <c:v>0.75</c:v>
                </c:pt>
                <c:pt idx="528">
                  <c:v>0.75</c:v>
                </c:pt>
                <c:pt idx="529">
                  <c:v>0.75</c:v>
                </c:pt>
                <c:pt idx="530">
                  <c:v>0.75</c:v>
                </c:pt>
                <c:pt idx="531">
                  <c:v>0.75</c:v>
                </c:pt>
                <c:pt idx="532">
                  <c:v>0.75</c:v>
                </c:pt>
                <c:pt idx="533">
                  <c:v>0.75</c:v>
                </c:pt>
                <c:pt idx="534">
                  <c:v>0.75</c:v>
                </c:pt>
                <c:pt idx="535">
                  <c:v>0.75</c:v>
                </c:pt>
                <c:pt idx="536">
                  <c:v>0.75</c:v>
                </c:pt>
                <c:pt idx="537">
                  <c:v>0.75</c:v>
                </c:pt>
                <c:pt idx="538">
                  <c:v>0.75</c:v>
                </c:pt>
                <c:pt idx="539">
                  <c:v>0.75</c:v>
                </c:pt>
                <c:pt idx="540">
                  <c:v>0.75</c:v>
                </c:pt>
                <c:pt idx="541">
                  <c:v>0.75</c:v>
                </c:pt>
                <c:pt idx="542">
                  <c:v>0.75</c:v>
                </c:pt>
                <c:pt idx="543">
                  <c:v>0.75</c:v>
                </c:pt>
                <c:pt idx="544">
                  <c:v>0.75</c:v>
                </c:pt>
                <c:pt idx="545">
                  <c:v>0.75</c:v>
                </c:pt>
                <c:pt idx="546">
                  <c:v>0.75</c:v>
                </c:pt>
                <c:pt idx="547">
                  <c:v>0.75</c:v>
                </c:pt>
                <c:pt idx="548">
                  <c:v>0.75</c:v>
                </c:pt>
                <c:pt idx="549">
                  <c:v>0.75</c:v>
                </c:pt>
                <c:pt idx="550">
                  <c:v>0.75</c:v>
                </c:pt>
                <c:pt idx="551">
                  <c:v>0.75</c:v>
                </c:pt>
                <c:pt idx="552">
                  <c:v>0.75</c:v>
                </c:pt>
                <c:pt idx="553">
                  <c:v>0.75</c:v>
                </c:pt>
                <c:pt idx="554">
                  <c:v>0.75</c:v>
                </c:pt>
                <c:pt idx="555">
                  <c:v>0.75</c:v>
                </c:pt>
                <c:pt idx="556">
                  <c:v>0.75</c:v>
                </c:pt>
                <c:pt idx="557">
                  <c:v>0.75</c:v>
                </c:pt>
                <c:pt idx="558">
                  <c:v>0.75</c:v>
                </c:pt>
                <c:pt idx="559">
                  <c:v>0.75</c:v>
                </c:pt>
                <c:pt idx="560">
                  <c:v>0.75</c:v>
                </c:pt>
                <c:pt idx="561">
                  <c:v>0.75</c:v>
                </c:pt>
                <c:pt idx="562">
                  <c:v>0.75</c:v>
                </c:pt>
                <c:pt idx="563">
                  <c:v>0.75</c:v>
                </c:pt>
                <c:pt idx="564">
                  <c:v>0.75</c:v>
                </c:pt>
                <c:pt idx="565">
                  <c:v>0.75</c:v>
                </c:pt>
                <c:pt idx="566">
                  <c:v>0.75</c:v>
                </c:pt>
                <c:pt idx="567">
                  <c:v>0.75</c:v>
                </c:pt>
                <c:pt idx="568">
                  <c:v>0.75</c:v>
                </c:pt>
                <c:pt idx="569">
                  <c:v>0.75</c:v>
                </c:pt>
                <c:pt idx="570">
                  <c:v>0.75</c:v>
                </c:pt>
                <c:pt idx="571">
                  <c:v>0.75</c:v>
                </c:pt>
                <c:pt idx="572">
                  <c:v>0.75</c:v>
                </c:pt>
                <c:pt idx="573">
                  <c:v>0.75</c:v>
                </c:pt>
                <c:pt idx="574">
                  <c:v>0.75</c:v>
                </c:pt>
                <c:pt idx="575">
                  <c:v>0.75</c:v>
                </c:pt>
                <c:pt idx="576">
                  <c:v>0.75</c:v>
                </c:pt>
                <c:pt idx="577">
                  <c:v>0.75</c:v>
                </c:pt>
                <c:pt idx="578">
                  <c:v>0.75</c:v>
                </c:pt>
                <c:pt idx="579">
                  <c:v>0.75</c:v>
                </c:pt>
                <c:pt idx="580">
                  <c:v>0.75</c:v>
                </c:pt>
                <c:pt idx="581">
                  <c:v>0.75</c:v>
                </c:pt>
                <c:pt idx="582">
                  <c:v>0.75</c:v>
                </c:pt>
                <c:pt idx="583">
                  <c:v>0.75</c:v>
                </c:pt>
                <c:pt idx="584">
                  <c:v>0.75</c:v>
                </c:pt>
                <c:pt idx="585">
                  <c:v>0.75</c:v>
                </c:pt>
                <c:pt idx="586">
                  <c:v>0.75</c:v>
                </c:pt>
                <c:pt idx="587">
                  <c:v>0.75</c:v>
                </c:pt>
                <c:pt idx="588">
                  <c:v>0.75</c:v>
                </c:pt>
                <c:pt idx="589">
                  <c:v>0.75</c:v>
                </c:pt>
                <c:pt idx="590">
                  <c:v>0.75</c:v>
                </c:pt>
                <c:pt idx="591">
                  <c:v>0.75</c:v>
                </c:pt>
                <c:pt idx="592">
                  <c:v>0.75</c:v>
                </c:pt>
                <c:pt idx="593">
                  <c:v>0.75</c:v>
                </c:pt>
                <c:pt idx="594">
                  <c:v>0.75</c:v>
                </c:pt>
                <c:pt idx="595">
                  <c:v>0.75</c:v>
                </c:pt>
                <c:pt idx="596">
                  <c:v>0.75</c:v>
                </c:pt>
                <c:pt idx="597">
                  <c:v>0.75</c:v>
                </c:pt>
                <c:pt idx="598">
                  <c:v>0.75</c:v>
                </c:pt>
                <c:pt idx="599">
                  <c:v>0.75</c:v>
                </c:pt>
                <c:pt idx="600">
                  <c:v>0.75</c:v>
                </c:pt>
                <c:pt idx="601">
                  <c:v>0.75</c:v>
                </c:pt>
                <c:pt idx="602">
                  <c:v>0.75</c:v>
                </c:pt>
                <c:pt idx="603">
                  <c:v>0.75</c:v>
                </c:pt>
                <c:pt idx="604">
                  <c:v>0.75</c:v>
                </c:pt>
                <c:pt idx="605">
                  <c:v>0.75</c:v>
                </c:pt>
                <c:pt idx="606">
                  <c:v>0.75</c:v>
                </c:pt>
                <c:pt idx="607">
                  <c:v>0.75</c:v>
                </c:pt>
                <c:pt idx="608">
                  <c:v>0.75</c:v>
                </c:pt>
                <c:pt idx="609">
                  <c:v>0.75</c:v>
                </c:pt>
                <c:pt idx="610">
                  <c:v>0.75</c:v>
                </c:pt>
                <c:pt idx="611">
                  <c:v>0.75</c:v>
                </c:pt>
                <c:pt idx="612">
                  <c:v>0.75</c:v>
                </c:pt>
                <c:pt idx="613">
                  <c:v>0.75</c:v>
                </c:pt>
                <c:pt idx="614">
                  <c:v>0.75</c:v>
                </c:pt>
                <c:pt idx="615">
                  <c:v>0.75</c:v>
                </c:pt>
                <c:pt idx="616">
                  <c:v>0.75</c:v>
                </c:pt>
                <c:pt idx="617">
                  <c:v>0.75</c:v>
                </c:pt>
                <c:pt idx="618">
                  <c:v>0.75</c:v>
                </c:pt>
                <c:pt idx="619">
                  <c:v>0.75</c:v>
                </c:pt>
                <c:pt idx="620">
                  <c:v>0.75</c:v>
                </c:pt>
                <c:pt idx="621">
                  <c:v>0.75</c:v>
                </c:pt>
                <c:pt idx="622">
                  <c:v>0.75</c:v>
                </c:pt>
                <c:pt idx="623">
                  <c:v>0.75</c:v>
                </c:pt>
                <c:pt idx="624">
                  <c:v>0.75</c:v>
                </c:pt>
                <c:pt idx="625">
                  <c:v>0.75</c:v>
                </c:pt>
                <c:pt idx="626">
                  <c:v>0.75</c:v>
                </c:pt>
                <c:pt idx="627">
                  <c:v>0.75</c:v>
                </c:pt>
                <c:pt idx="628">
                  <c:v>0.75</c:v>
                </c:pt>
                <c:pt idx="629">
                  <c:v>0.75</c:v>
                </c:pt>
                <c:pt idx="630">
                  <c:v>0.75</c:v>
                </c:pt>
                <c:pt idx="631">
                  <c:v>0.75</c:v>
                </c:pt>
                <c:pt idx="632">
                  <c:v>0.75</c:v>
                </c:pt>
                <c:pt idx="633">
                  <c:v>0.75</c:v>
                </c:pt>
                <c:pt idx="634">
                  <c:v>0.75</c:v>
                </c:pt>
                <c:pt idx="635">
                  <c:v>0.75</c:v>
                </c:pt>
                <c:pt idx="636">
                  <c:v>0.75</c:v>
                </c:pt>
                <c:pt idx="637">
                  <c:v>0.75</c:v>
                </c:pt>
                <c:pt idx="638">
                  <c:v>0.75</c:v>
                </c:pt>
                <c:pt idx="639">
                  <c:v>0.75</c:v>
                </c:pt>
                <c:pt idx="640">
                  <c:v>0.75</c:v>
                </c:pt>
                <c:pt idx="641">
                  <c:v>0.75</c:v>
                </c:pt>
                <c:pt idx="642">
                  <c:v>0.75</c:v>
                </c:pt>
                <c:pt idx="643">
                  <c:v>0.75</c:v>
                </c:pt>
                <c:pt idx="644">
                  <c:v>0.75</c:v>
                </c:pt>
                <c:pt idx="645">
                  <c:v>0.75</c:v>
                </c:pt>
                <c:pt idx="646">
                  <c:v>0.75</c:v>
                </c:pt>
                <c:pt idx="647">
                  <c:v>0.75</c:v>
                </c:pt>
                <c:pt idx="648">
                  <c:v>0.75</c:v>
                </c:pt>
                <c:pt idx="649">
                  <c:v>0.75</c:v>
                </c:pt>
                <c:pt idx="650">
                  <c:v>0.75</c:v>
                </c:pt>
                <c:pt idx="651">
                  <c:v>0.75</c:v>
                </c:pt>
                <c:pt idx="652">
                  <c:v>0.75</c:v>
                </c:pt>
                <c:pt idx="653">
                  <c:v>0.75</c:v>
                </c:pt>
                <c:pt idx="654">
                  <c:v>0.75</c:v>
                </c:pt>
                <c:pt idx="655">
                  <c:v>0.75</c:v>
                </c:pt>
                <c:pt idx="656">
                  <c:v>0.75</c:v>
                </c:pt>
                <c:pt idx="657">
                  <c:v>0.75</c:v>
                </c:pt>
                <c:pt idx="658">
                  <c:v>0.75</c:v>
                </c:pt>
                <c:pt idx="659">
                  <c:v>0.75</c:v>
                </c:pt>
                <c:pt idx="660">
                  <c:v>0.75</c:v>
                </c:pt>
                <c:pt idx="661">
                  <c:v>0.75</c:v>
                </c:pt>
                <c:pt idx="662">
                  <c:v>0.75</c:v>
                </c:pt>
                <c:pt idx="663">
                  <c:v>0.75</c:v>
                </c:pt>
                <c:pt idx="664">
                  <c:v>0.75</c:v>
                </c:pt>
                <c:pt idx="665">
                  <c:v>0.75</c:v>
                </c:pt>
                <c:pt idx="666">
                  <c:v>0.75</c:v>
                </c:pt>
                <c:pt idx="667">
                  <c:v>0.75</c:v>
                </c:pt>
                <c:pt idx="668">
                  <c:v>0.75</c:v>
                </c:pt>
                <c:pt idx="669">
                  <c:v>0.75</c:v>
                </c:pt>
                <c:pt idx="670">
                  <c:v>0.75</c:v>
                </c:pt>
                <c:pt idx="671">
                  <c:v>0.75</c:v>
                </c:pt>
                <c:pt idx="672">
                  <c:v>0.75</c:v>
                </c:pt>
                <c:pt idx="673">
                  <c:v>0.75</c:v>
                </c:pt>
                <c:pt idx="674">
                  <c:v>0.75</c:v>
                </c:pt>
                <c:pt idx="675">
                  <c:v>0.75</c:v>
                </c:pt>
                <c:pt idx="676">
                  <c:v>0.75</c:v>
                </c:pt>
                <c:pt idx="677">
                  <c:v>0.75</c:v>
                </c:pt>
                <c:pt idx="678">
                  <c:v>0.75</c:v>
                </c:pt>
                <c:pt idx="679">
                  <c:v>0.75</c:v>
                </c:pt>
                <c:pt idx="680">
                  <c:v>0.75</c:v>
                </c:pt>
                <c:pt idx="681">
                  <c:v>0.75</c:v>
                </c:pt>
                <c:pt idx="682">
                  <c:v>0.75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898126"/>
        <c:axId val="523530340"/>
      </c:scatterChart>
      <c:valAx>
        <c:axId val="7950774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m&quot;月&quot;d&quot;日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0544909"/>
        <c:crosses val="autoZero"/>
        <c:crossBetween val="midCat"/>
      </c:valAx>
      <c:valAx>
        <c:axId val="5205449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5077499"/>
        <c:crosses val="autoZero"/>
        <c:crossBetween val="midCat"/>
      </c:valAx>
      <c:valAx>
        <c:axId val="37898126"/>
        <c:scaling>
          <c:orientation val="minMax"/>
        </c:scaling>
        <c:delete val="0"/>
        <c:axPos val="t"/>
        <c:numFmt formatCode="m&quot;月&quot;d&quot;日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530340"/>
        <c:crosses val="max"/>
        <c:crossBetween val="midCat"/>
      </c:valAx>
      <c:valAx>
        <c:axId val="523530340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898126"/>
        <c:crosses val="max"/>
        <c:crossBetween val="midCat"/>
      </c:valAx>
      <c:spPr>
        <a:noFill/>
        <a:ln w="9525" cap="flat" cmpd="sng" algn="ctr">
          <a:solidFill>
            <a:schemeClr val="accent1"/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531221d-4f2c-4390-b546-0716f1f07353}"/>
      </c:ext>
    </c:extLst>
  </c:chart>
  <c:spPr>
    <a:solidFill>
      <a:schemeClr val="bg1"/>
    </a:solidFill>
    <a:ln w="9525" cap="flat" cmpd="sng" algn="ctr">
      <a:solidFill>
        <a:srgbClr val="00B0F0"/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51435</xdr:colOff>
      <xdr:row>1</xdr:row>
      <xdr:rowOff>33655</xdr:rowOff>
    </xdr:from>
    <xdr:to>
      <xdr:col>38</xdr:col>
      <xdr:colOff>605790</xdr:colOff>
      <xdr:row>58</xdr:row>
      <xdr:rowOff>151130</xdr:rowOff>
    </xdr:to>
    <xdr:graphicFrame>
      <xdr:nvGraphicFramePr>
        <xdr:cNvPr id="2" name="图表 1"/>
        <xdr:cNvGraphicFramePr/>
      </xdr:nvGraphicFramePr>
      <xdr:xfrm>
        <a:off x="9584055" y="216535"/>
        <a:ext cx="21128355" cy="10541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pageSetUpPr autoPageBreaks="0"/>
  </sheetPr>
  <dimension ref="A1:AZ690"/>
  <sheetViews>
    <sheetView tabSelected="1" workbookViewId="0">
      <pane xSplit="10" topLeftCell="V1" activePane="topRight" state="frozen"/>
      <selection/>
      <selection pane="topRight" activeCell="Y678" sqref="Y678"/>
    </sheetView>
  </sheetViews>
  <sheetFormatPr defaultColWidth="20" defaultRowHeight="20.1" customHeight="1"/>
  <cols>
    <col min="1" max="1" width="16.4444444444444" style="10" customWidth="1"/>
    <col min="2" max="3" width="25.7777777777778" style="12" hidden="1" customWidth="1"/>
    <col min="4" max="4" width="25.7777777777778" style="13" hidden="1" customWidth="1"/>
    <col min="5" max="5" width="25.7777777777778" style="14" customWidth="1"/>
    <col min="6" max="6" width="25.7777777777778" style="15" hidden="1" customWidth="1"/>
    <col min="7" max="7" width="25.7777777777778" style="16" hidden="1" customWidth="1"/>
    <col min="8" max="8" width="25.7777777777778" style="17" hidden="1" customWidth="1"/>
    <col min="9" max="9" width="25.7777777777778" style="16" hidden="1" customWidth="1"/>
    <col min="10" max="10" width="25.7777777777778" style="16" customWidth="1"/>
    <col min="11" max="12" width="25.7777777777778" style="16" hidden="1" customWidth="1"/>
    <col min="13" max="13" width="25.7777777777778" style="16" customWidth="1"/>
    <col min="14" max="14" width="25.7777777777778" style="18" hidden="1" customWidth="1"/>
    <col min="15" max="16" width="25.7777777777778" style="16" customWidth="1"/>
    <col min="17" max="17" width="25.7777777777778" style="16" hidden="1" customWidth="1"/>
    <col min="18" max="18" width="25.7777777777778" style="16" customWidth="1"/>
    <col min="19" max="19" width="25.7777777777778" style="16" hidden="1" customWidth="1"/>
    <col min="20" max="20" width="25.7777777777778" style="16" customWidth="1"/>
    <col min="21" max="21" width="25.7777777777778" style="16" hidden="1" customWidth="1"/>
    <col min="22" max="22" width="25.7777777777778" style="16" customWidth="1"/>
    <col min="23" max="23" width="25.7777777777778" style="16" hidden="1" customWidth="1"/>
    <col min="24" max="24" width="25.7777777777778" style="16" customWidth="1"/>
    <col min="25" max="25" width="25.7777777777778" style="19" customWidth="1"/>
    <col min="26" max="26" width="25.7777777777778" style="16" customWidth="1"/>
    <col min="27" max="33" width="25.7777777777778" style="12" customWidth="1"/>
    <col min="34" max="34" width="25.7777777777778" style="17" customWidth="1"/>
    <col min="35" max="44" width="25.7777777777778" style="20" hidden="1" customWidth="1"/>
    <col min="45" max="50" width="25.7777777777778" style="21" hidden="1" customWidth="1"/>
    <col min="51" max="52" width="25.7777777777778" style="13" hidden="1" customWidth="1"/>
    <col min="53" max="16371" width="20.75" style="17"/>
    <col min="16372" max="16372" width="20.7777777777778" style="17"/>
    <col min="16373" max="16384" width="20" style="17"/>
  </cols>
  <sheetData>
    <row r="1" s="10" customFormat="1" customHeight="1" spans="1:52">
      <c r="A1" s="22" t="s">
        <v>0</v>
      </c>
      <c r="B1" s="23" t="s">
        <v>1</v>
      </c>
      <c r="C1" s="23" t="s">
        <v>2</v>
      </c>
      <c r="D1" s="24" t="s">
        <v>3</v>
      </c>
      <c r="E1" s="25" t="s">
        <v>4</v>
      </c>
      <c r="F1" s="26" t="s">
        <v>5</v>
      </c>
      <c r="G1" s="27" t="s">
        <v>6</v>
      </c>
      <c r="H1" s="28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18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9" t="s">
        <v>26</v>
      </c>
      <c r="AB1" s="29" t="s">
        <v>27</v>
      </c>
      <c r="AC1" s="29" t="s">
        <v>28</v>
      </c>
      <c r="AD1" s="29" t="s">
        <v>29</v>
      </c>
      <c r="AE1" s="29" t="s">
        <v>30</v>
      </c>
      <c r="AF1" s="29" t="s">
        <v>31</v>
      </c>
      <c r="AG1" s="29" t="s">
        <v>32</v>
      </c>
      <c r="AH1" s="28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1" t="s">
        <v>44</v>
      </c>
      <c r="AT1" s="31" t="s">
        <v>45</v>
      </c>
      <c r="AU1" s="31" t="s">
        <v>46</v>
      </c>
      <c r="AV1" s="31" t="s">
        <v>47</v>
      </c>
      <c r="AW1" s="31" t="s">
        <v>48</v>
      </c>
      <c r="AX1" s="31" t="s">
        <v>49</v>
      </c>
      <c r="AY1" s="24" t="s">
        <v>50</v>
      </c>
      <c r="AZ1" s="24" t="s">
        <v>51</v>
      </c>
    </row>
    <row r="2" hidden="1" customHeight="1" spans="1:52">
      <c r="A2" s="22" t="s">
        <v>52</v>
      </c>
      <c r="B2" s="32">
        <v>46015</v>
      </c>
      <c r="C2" s="33" t="s">
        <v>53</v>
      </c>
      <c r="D2" s="11" t="s">
        <v>53</v>
      </c>
      <c r="E2" s="34" t="s">
        <v>53</v>
      </c>
      <c r="F2" s="35" t="s">
        <v>53</v>
      </c>
      <c r="G2" s="11" t="s">
        <v>53</v>
      </c>
      <c r="H2" s="36">
        <v>8</v>
      </c>
      <c r="I2" s="37" t="s">
        <v>53</v>
      </c>
      <c r="J2" s="37" t="s">
        <v>53</v>
      </c>
      <c r="K2" s="18" t="s">
        <v>53</v>
      </c>
      <c r="L2" s="37" t="s">
        <v>53</v>
      </c>
      <c r="M2" s="37" t="s">
        <v>53</v>
      </c>
      <c r="N2" s="18" t="s">
        <v>53</v>
      </c>
      <c r="O2" s="37" t="s">
        <v>53</v>
      </c>
      <c r="P2" s="11">
        <v>1.5</v>
      </c>
      <c r="Q2" s="37" t="s">
        <v>53</v>
      </c>
      <c r="R2" s="37" t="s">
        <v>53</v>
      </c>
      <c r="S2" s="37" t="s">
        <v>53</v>
      </c>
      <c r="T2" s="37" t="s">
        <v>53</v>
      </c>
      <c r="U2" s="37" t="s">
        <v>53</v>
      </c>
      <c r="V2" s="37" t="s">
        <v>53</v>
      </c>
      <c r="W2" s="37" t="s">
        <v>53</v>
      </c>
      <c r="X2" s="36" t="str">
        <f>IF(X$6&lt;0,IF($I$7&gt;=-(X$6),"OK","NG"),"OK")</f>
        <v>OK</v>
      </c>
      <c r="Y2" s="19" t="str">
        <f>IF(Y$6&lt;0,IF($I$7&gt;=-(Y$6),"OK","NG"),"OK")</f>
        <v>OK</v>
      </c>
      <c r="Z2" s="36" t="str">
        <f>IF(Z$6&lt;0,IF($I$7&gt;=-(Z$6),"OK","NG"),"OK")</f>
        <v>OK</v>
      </c>
      <c r="AA2" s="36" t="str">
        <f>IF(AA$6&lt;0,IF($I$7&gt;=-(AA$6),"OK","NG"),"OK")</f>
        <v>OK</v>
      </c>
      <c r="AB2" s="36" t="str">
        <f>IF(AB$6&lt;0,IF($I$7&gt;=-(AB$6),"OK","NG"),"OK")</f>
        <v>OK</v>
      </c>
      <c r="AC2" s="36" t="str">
        <f t="shared" ref="AC2:AH2" si="0">IF(AC$6&lt;0,IF($I$7&gt;=-(AC$6),"OK","NG"),"OK")</f>
        <v>OK</v>
      </c>
      <c r="AD2" s="36" t="str">
        <f t="shared" si="0"/>
        <v>OK</v>
      </c>
      <c r="AE2" s="36" t="str">
        <f t="shared" si="0"/>
        <v>OK</v>
      </c>
      <c r="AF2" s="36" t="str">
        <f t="shared" si="0"/>
        <v>OK</v>
      </c>
      <c r="AG2" s="36" t="str">
        <f t="shared" si="0"/>
        <v>OK</v>
      </c>
      <c r="AH2" s="36" t="str">
        <f t="shared" si="0"/>
        <v>OK</v>
      </c>
      <c r="AI2" s="38" t="s">
        <v>53</v>
      </c>
      <c r="AJ2" s="38" t="s">
        <v>53</v>
      </c>
      <c r="AK2" s="38" t="s">
        <v>53</v>
      </c>
      <c r="AL2" s="38" t="s">
        <v>53</v>
      </c>
      <c r="AM2" s="38" t="s">
        <v>53</v>
      </c>
      <c r="AN2" s="38" t="s">
        <v>53</v>
      </c>
      <c r="AO2" s="38" t="s">
        <v>53</v>
      </c>
      <c r="AP2" s="38" t="s">
        <v>53</v>
      </c>
      <c r="AQ2" s="38" t="s">
        <v>53</v>
      </c>
      <c r="AR2" s="38" t="s">
        <v>53</v>
      </c>
      <c r="AS2" s="39" t="s">
        <v>53</v>
      </c>
      <c r="AT2" s="39" t="s">
        <v>53</v>
      </c>
      <c r="AU2" s="39" t="s">
        <v>53</v>
      </c>
      <c r="AV2" s="39" t="s">
        <v>53</v>
      </c>
      <c r="AW2" s="39" t="s">
        <v>53</v>
      </c>
      <c r="AX2" s="39" t="s">
        <v>53</v>
      </c>
      <c r="AY2" s="40" t="s">
        <v>53</v>
      </c>
      <c r="AZ2" s="40" t="s">
        <v>53</v>
      </c>
    </row>
    <row r="3" hidden="1" customHeight="1" spans="1:52">
      <c r="A3" s="41" t="s">
        <v>54</v>
      </c>
      <c r="B3" s="33" t="s">
        <v>53</v>
      </c>
      <c r="C3" s="33" t="s">
        <v>53</v>
      </c>
      <c r="D3" s="11" t="s">
        <v>53</v>
      </c>
      <c r="E3" s="34" t="s">
        <v>53</v>
      </c>
      <c r="F3" s="35" t="s">
        <v>53</v>
      </c>
      <c r="G3" s="11" t="s">
        <v>53</v>
      </c>
      <c r="H3" s="11" t="s">
        <v>53</v>
      </c>
      <c r="I3" s="18" t="s">
        <v>53</v>
      </c>
      <c r="J3" s="37" t="s">
        <v>53</v>
      </c>
      <c r="K3" s="18" t="s">
        <v>53</v>
      </c>
      <c r="L3" s="18" t="s">
        <v>53</v>
      </c>
      <c r="M3" s="42">
        <v>0.75</v>
      </c>
      <c r="N3" s="18" t="s">
        <v>53</v>
      </c>
      <c r="O3" s="37" t="s">
        <v>53</v>
      </c>
      <c r="P3" s="37" t="s">
        <v>53</v>
      </c>
      <c r="Q3" s="37" t="s">
        <v>53</v>
      </c>
      <c r="R3" s="37" t="s">
        <v>53</v>
      </c>
      <c r="S3" s="37" t="s">
        <v>53</v>
      </c>
      <c r="T3" s="37" t="s">
        <v>53</v>
      </c>
      <c r="U3" s="37" t="s">
        <v>53</v>
      </c>
      <c r="V3" s="37" t="s">
        <v>53</v>
      </c>
      <c r="W3" s="37" t="s">
        <v>53</v>
      </c>
      <c r="X3" s="11">
        <f>Y3-100</f>
        <v>300</v>
      </c>
      <c r="Y3" s="11">
        <f t="shared" ref="Y3:AA3" si="1">Z3-100</f>
        <v>400</v>
      </c>
      <c r="Z3" s="11">
        <f t="shared" si="1"/>
        <v>500</v>
      </c>
      <c r="AA3" s="11">
        <f t="shared" si="1"/>
        <v>600</v>
      </c>
      <c r="AB3" s="43">
        <v>700</v>
      </c>
      <c r="AC3" s="11">
        <f t="shared" ref="AC3:AH3" si="2">AB3+100</f>
        <v>800</v>
      </c>
      <c r="AD3" s="11">
        <f t="shared" si="2"/>
        <v>900</v>
      </c>
      <c r="AE3" s="11">
        <f t="shared" si="2"/>
        <v>1000</v>
      </c>
      <c r="AF3" s="11">
        <f t="shared" si="2"/>
        <v>1100</v>
      </c>
      <c r="AG3" s="11">
        <f t="shared" si="2"/>
        <v>1200</v>
      </c>
      <c r="AH3" s="11">
        <f t="shared" si="2"/>
        <v>1300</v>
      </c>
      <c r="AI3" s="38" t="s">
        <v>53</v>
      </c>
      <c r="AJ3" s="38" t="s">
        <v>53</v>
      </c>
      <c r="AK3" s="38" t="s">
        <v>53</v>
      </c>
      <c r="AL3" s="38" t="s">
        <v>53</v>
      </c>
      <c r="AM3" s="38" t="s">
        <v>53</v>
      </c>
      <c r="AN3" s="38" t="s">
        <v>53</v>
      </c>
      <c r="AO3" s="38" t="s">
        <v>53</v>
      </c>
      <c r="AP3" s="38" t="s">
        <v>53</v>
      </c>
      <c r="AQ3" s="38" t="s">
        <v>53</v>
      </c>
      <c r="AR3" s="38" t="s">
        <v>53</v>
      </c>
      <c r="AS3" s="39" t="s">
        <v>53</v>
      </c>
      <c r="AT3" s="39" t="s">
        <v>53</v>
      </c>
      <c r="AU3" s="39" t="s">
        <v>53</v>
      </c>
      <c r="AV3" s="39" t="s">
        <v>53</v>
      </c>
      <c r="AW3" s="39" t="s">
        <v>53</v>
      </c>
      <c r="AX3" s="39" t="s">
        <v>53</v>
      </c>
      <c r="AY3" s="40" t="s">
        <v>53</v>
      </c>
      <c r="AZ3" s="40" t="s">
        <v>53</v>
      </c>
    </row>
    <row r="4" s="11" customFormat="1" hidden="1" customHeight="1" spans="1:52">
      <c r="A4" s="41" t="s">
        <v>55</v>
      </c>
      <c r="B4" s="11" t="s">
        <v>53</v>
      </c>
      <c r="C4" s="11" t="s">
        <v>53</v>
      </c>
      <c r="D4" s="11" t="s">
        <v>53</v>
      </c>
      <c r="E4" s="11" t="s">
        <v>53</v>
      </c>
      <c r="F4" s="11" t="s">
        <v>53</v>
      </c>
      <c r="G4" s="11" t="s">
        <v>53</v>
      </c>
      <c r="H4" s="11">
        <f>1/H2</f>
        <v>0.125</v>
      </c>
      <c r="I4" s="11" t="s">
        <v>53</v>
      </c>
      <c r="J4" s="11" t="s">
        <v>53</v>
      </c>
      <c r="K4" s="11">
        <v>1</v>
      </c>
      <c r="L4" s="11" t="s">
        <v>53</v>
      </c>
      <c r="M4" s="42">
        <v>0.5</v>
      </c>
      <c r="N4" s="18" t="s">
        <v>53</v>
      </c>
      <c r="O4" s="11" t="s">
        <v>53</v>
      </c>
      <c r="P4" s="11">
        <v>0.5</v>
      </c>
      <c r="Q4" s="11" t="s">
        <v>53</v>
      </c>
      <c r="R4" s="11" t="s">
        <v>53</v>
      </c>
      <c r="S4" s="11" t="s">
        <v>53</v>
      </c>
      <c r="T4" s="11" t="s">
        <v>53</v>
      </c>
      <c r="U4" s="11" t="s">
        <v>53</v>
      </c>
      <c r="V4" s="11">
        <v>0.5</v>
      </c>
      <c r="W4" s="11" t="s">
        <v>53</v>
      </c>
      <c r="X4" s="11">
        <f>Y4+$K4</f>
        <v>11</v>
      </c>
      <c r="Y4" s="11">
        <f>Z4+$K4</f>
        <v>10</v>
      </c>
      <c r="Z4" s="11">
        <f t="shared" ref="Z4:AG4" si="3">AA4+$K4</f>
        <v>9</v>
      </c>
      <c r="AA4" s="11">
        <f t="shared" si="3"/>
        <v>8</v>
      </c>
      <c r="AB4" s="11">
        <f t="shared" si="3"/>
        <v>7</v>
      </c>
      <c r="AC4" s="11">
        <f t="shared" si="3"/>
        <v>6</v>
      </c>
      <c r="AD4" s="11">
        <f t="shared" si="3"/>
        <v>5</v>
      </c>
      <c r="AE4" s="11">
        <f t="shared" si="3"/>
        <v>4</v>
      </c>
      <c r="AF4" s="11">
        <f t="shared" si="3"/>
        <v>3</v>
      </c>
      <c r="AG4" s="11">
        <f t="shared" si="3"/>
        <v>2</v>
      </c>
      <c r="AH4" s="11">
        <v>1</v>
      </c>
      <c r="AI4" s="11" t="s">
        <v>53</v>
      </c>
      <c r="AJ4" s="11" t="s">
        <v>53</v>
      </c>
      <c r="AK4" s="11" t="s">
        <v>53</v>
      </c>
      <c r="AL4" s="11" t="s">
        <v>53</v>
      </c>
      <c r="AM4" s="11">
        <v>0.25</v>
      </c>
      <c r="AN4" s="11" t="s">
        <v>53</v>
      </c>
      <c r="AO4" s="11" t="s">
        <v>53</v>
      </c>
      <c r="AP4" s="11" t="s">
        <v>53</v>
      </c>
      <c r="AQ4" s="11" t="s">
        <v>53</v>
      </c>
      <c r="AR4" s="11" t="s">
        <v>53</v>
      </c>
      <c r="AS4" s="11" t="s">
        <v>53</v>
      </c>
      <c r="AT4" s="11" t="s">
        <v>53</v>
      </c>
      <c r="AU4" s="11" t="s">
        <v>53</v>
      </c>
      <c r="AV4" s="11" t="s">
        <v>53</v>
      </c>
      <c r="AW4" s="11" t="s">
        <v>53</v>
      </c>
      <c r="AX4" s="11" t="s">
        <v>53</v>
      </c>
      <c r="AY4" s="11" t="s">
        <v>53</v>
      </c>
      <c r="AZ4" s="11" t="s">
        <v>53</v>
      </c>
    </row>
    <row r="5" hidden="1" customHeight="1" spans="1:52">
      <c r="A5" s="41" t="s">
        <v>56</v>
      </c>
      <c r="B5" s="33" t="s">
        <v>53</v>
      </c>
      <c r="C5" s="33" t="s">
        <v>53</v>
      </c>
      <c r="D5" s="11" t="s">
        <v>53</v>
      </c>
      <c r="E5" s="34" t="s">
        <v>53</v>
      </c>
      <c r="F5" s="35" t="s">
        <v>53</v>
      </c>
      <c r="G5" s="11" t="s">
        <v>53</v>
      </c>
      <c r="H5" s="11" t="s">
        <v>53</v>
      </c>
      <c r="I5" s="18" t="s">
        <v>53</v>
      </c>
      <c r="J5" s="37" t="s">
        <v>53</v>
      </c>
      <c r="K5" s="18" t="s">
        <v>53</v>
      </c>
      <c r="L5" s="18" t="s">
        <v>53</v>
      </c>
      <c r="M5" s="37" t="s">
        <v>53</v>
      </c>
      <c r="N5" s="18" t="s">
        <v>53</v>
      </c>
      <c r="O5" s="37" t="s">
        <v>53</v>
      </c>
      <c r="P5" s="37" t="s">
        <v>53</v>
      </c>
      <c r="Q5" s="37" t="s">
        <v>53</v>
      </c>
      <c r="R5" s="11">
        <v>120</v>
      </c>
      <c r="S5" s="37" t="s">
        <v>53</v>
      </c>
      <c r="T5" s="37" t="s">
        <v>53</v>
      </c>
      <c r="U5" s="37" t="s">
        <v>53</v>
      </c>
      <c r="V5" s="37" t="s">
        <v>53</v>
      </c>
      <c r="W5" s="37" t="s">
        <v>53</v>
      </c>
      <c r="X5" s="35">
        <f t="shared" ref="X5:AH5" si="4">(X4/SUM($X$4:$AH$4))</f>
        <v>0.166666666666667</v>
      </c>
      <c r="Y5" s="19">
        <f t="shared" si="4"/>
        <v>0.151515151515152</v>
      </c>
      <c r="Z5" s="35">
        <f t="shared" si="4"/>
        <v>0.136363636363636</v>
      </c>
      <c r="AA5" s="35">
        <f t="shared" si="4"/>
        <v>0.121212121212121</v>
      </c>
      <c r="AB5" s="35">
        <f t="shared" si="4"/>
        <v>0.106060606060606</v>
      </c>
      <c r="AC5" s="35">
        <f t="shared" si="4"/>
        <v>0.0909090909090909</v>
      </c>
      <c r="AD5" s="35">
        <f t="shared" si="4"/>
        <v>0.0757575757575758</v>
      </c>
      <c r="AE5" s="35">
        <f t="shared" si="4"/>
        <v>0.0606060606060606</v>
      </c>
      <c r="AF5" s="35">
        <f t="shared" si="4"/>
        <v>0.0454545454545455</v>
      </c>
      <c r="AG5" s="35">
        <f t="shared" si="4"/>
        <v>0.0303030303030303</v>
      </c>
      <c r="AH5" s="35">
        <f t="shared" si="4"/>
        <v>0.0151515151515152</v>
      </c>
      <c r="AI5" s="38" t="s">
        <v>53</v>
      </c>
      <c r="AJ5" s="38" t="s">
        <v>53</v>
      </c>
      <c r="AK5" s="38" t="s">
        <v>53</v>
      </c>
      <c r="AL5" s="38" t="s">
        <v>53</v>
      </c>
      <c r="AM5" s="38" t="s">
        <v>53</v>
      </c>
      <c r="AN5" s="38" t="s">
        <v>53</v>
      </c>
      <c r="AO5" s="38" t="s">
        <v>53</v>
      </c>
      <c r="AP5" s="38" t="s">
        <v>53</v>
      </c>
      <c r="AQ5" s="38">
        <v>200</v>
      </c>
      <c r="AR5" s="38" t="s">
        <v>53</v>
      </c>
      <c r="AS5" s="39">
        <v>0.333333333333333</v>
      </c>
      <c r="AT5" s="39">
        <v>0.0416666666666667</v>
      </c>
      <c r="AU5" s="39" t="s">
        <v>53</v>
      </c>
      <c r="AV5" s="39" t="s">
        <v>53</v>
      </c>
      <c r="AW5" s="39" t="s">
        <v>53</v>
      </c>
      <c r="AX5" s="39" t="s">
        <v>53</v>
      </c>
      <c r="AY5" s="40" t="s">
        <v>53</v>
      </c>
      <c r="AZ5" s="40" t="s">
        <v>53</v>
      </c>
    </row>
    <row r="6" hidden="1" customHeight="1" spans="1:52">
      <c r="A6" s="41" t="s">
        <v>57</v>
      </c>
      <c r="B6" s="33" t="s">
        <v>53</v>
      </c>
      <c r="C6" s="33" t="s">
        <v>53</v>
      </c>
      <c r="D6" s="11" t="s">
        <v>53</v>
      </c>
      <c r="E6" s="34" t="s">
        <v>53</v>
      </c>
      <c r="F6" s="35" t="s">
        <v>53</v>
      </c>
      <c r="G6" s="11" t="s">
        <v>53</v>
      </c>
      <c r="H6" s="43" t="s">
        <v>53</v>
      </c>
      <c r="I6" s="18" t="s">
        <v>53</v>
      </c>
      <c r="J6" s="37" t="s">
        <v>53</v>
      </c>
      <c r="K6" s="18" t="s">
        <v>53</v>
      </c>
      <c r="L6" s="18" t="s">
        <v>53</v>
      </c>
      <c r="M6" s="37" t="s">
        <v>53</v>
      </c>
      <c r="N6" s="18" t="s">
        <v>53</v>
      </c>
      <c r="O6" s="37" t="s">
        <v>53</v>
      </c>
      <c r="P6" s="37" t="s">
        <v>53</v>
      </c>
      <c r="Q6" s="37" t="s">
        <v>53</v>
      </c>
      <c r="R6" s="37" t="s">
        <v>53</v>
      </c>
      <c r="S6" s="37" t="s">
        <v>53</v>
      </c>
      <c r="T6" s="37" t="s">
        <v>53</v>
      </c>
      <c r="U6" s="37" t="s">
        <v>53</v>
      </c>
      <c r="V6" s="37" t="s">
        <v>53</v>
      </c>
      <c r="W6" s="37" t="s">
        <v>53</v>
      </c>
      <c r="X6" s="35">
        <f>X5/X3</f>
        <v>0.000555555555555557</v>
      </c>
      <c r="Y6" s="35">
        <f>Y5/Y3</f>
        <v>0.00037878787878788</v>
      </c>
      <c r="Z6" s="35">
        <f t="shared" ref="Z6:AB6" si="5">Z5/Z3</f>
        <v>0.000272727272727273</v>
      </c>
      <c r="AA6" s="35">
        <f t="shared" si="5"/>
        <v>0.000202020202020202</v>
      </c>
      <c r="AB6" s="35">
        <f t="shared" si="5"/>
        <v>0.000151515151515152</v>
      </c>
      <c r="AC6" s="35">
        <f t="shared" ref="AC6:AH6" si="6">AC5/AC3</f>
        <v>0.000113636363636364</v>
      </c>
      <c r="AD6" s="35">
        <f t="shared" si="6"/>
        <v>8.41750841750842e-5</v>
      </c>
      <c r="AE6" s="35">
        <f t="shared" si="6"/>
        <v>6.06060606060606e-5</v>
      </c>
      <c r="AF6" s="35">
        <f t="shared" si="6"/>
        <v>4.13223140495868e-5</v>
      </c>
      <c r="AG6" s="35">
        <f t="shared" si="6"/>
        <v>2.52525252525253e-5</v>
      </c>
      <c r="AH6" s="35">
        <f t="shared" si="6"/>
        <v>1.16550116550117e-5</v>
      </c>
      <c r="AI6" s="38" t="s">
        <v>53</v>
      </c>
      <c r="AJ6" s="38" t="s">
        <v>53</v>
      </c>
      <c r="AK6" s="38" t="s">
        <v>53</v>
      </c>
      <c r="AL6" s="38" t="s">
        <v>53</v>
      </c>
      <c r="AM6" s="38" t="s">
        <v>53</v>
      </c>
      <c r="AN6" s="38" t="s">
        <v>53</v>
      </c>
      <c r="AO6" s="38" t="s">
        <v>53</v>
      </c>
      <c r="AP6" s="38" t="s">
        <v>53</v>
      </c>
      <c r="AQ6" s="38" t="s">
        <v>53</v>
      </c>
      <c r="AR6" s="38" t="s">
        <v>53</v>
      </c>
      <c r="AS6" s="39" t="s">
        <v>53</v>
      </c>
      <c r="AT6" s="39" t="s">
        <v>53</v>
      </c>
      <c r="AU6" s="39" t="s">
        <v>53</v>
      </c>
      <c r="AV6" s="39" t="s">
        <v>53</v>
      </c>
      <c r="AW6" s="39" t="s">
        <v>53</v>
      </c>
      <c r="AX6" s="39" t="s">
        <v>53</v>
      </c>
      <c r="AY6" s="40" t="s">
        <v>53</v>
      </c>
      <c r="AZ6" s="40" t="s">
        <v>53</v>
      </c>
    </row>
    <row r="7" hidden="1" customHeight="1" spans="1:52">
      <c r="A7" s="41" t="s">
        <v>58</v>
      </c>
      <c r="B7" s="33" t="s">
        <v>53</v>
      </c>
      <c r="C7" s="33" t="s">
        <v>53</v>
      </c>
      <c r="D7" s="11" t="s">
        <v>53</v>
      </c>
      <c r="E7" s="34" t="s">
        <v>53</v>
      </c>
      <c r="F7" s="35" t="s">
        <v>53</v>
      </c>
      <c r="G7" s="18">
        <f>MAX(G8:G690)</f>
        <v>1.03305719292724</v>
      </c>
      <c r="H7" s="43">
        <v>0</v>
      </c>
      <c r="I7" s="18">
        <f>SUM(I8:I809)</f>
        <v>3.50796239973893</v>
      </c>
      <c r="J7" s="37" t="s">
        <v>53</v>
      </c>
      <c r="K7" s="18" t="s">
        <v>53</v>
      </c>
      <c r="L7" s="18">
        <f>SUM(L8:L809)</f>
        <v>2.91122245226518</v>
      </c>
      <c r="M7" s="37" t="s">
        <v>53</v>
      </c>
      <c r="N7" s="18">
        <f>MAX(N8:N809)</f>
        <v>1</v>
      </c>
      <c r="O7" s="37" t="s">
        <v>53</v>
      </c>
      <c r="P7" s="37" t="s">
        <v>53</v>
      </c>
      <c r="Q7" s="37" t="s">
        <v>53</v>
      </c>
      <c r="R7" s="37" t="s">
        <v>53</v>
      </c>
      <c r="S7" s="37" t="s">
        <v>53</v>
      </c>
      <c r="T7" s="37" t="s">
        <v>53</v>
      </c>
      <c r="U7" s="37" t="s">
        <v>53</v>
      </c>
      <c r="V7" s="37" t="s">
        <v>53</v>
      </c>
      <c r="W7" s="37" t="s">
        <v>53</v>
      </c>
      <c r="X7" s="11">
        <f>SUM(X8:X809)</f>
        <v>606.510185745036</v>
      </c>
      <c r="Y7" s="19">
        <f>SUM(Y8:Y809)</f>
        <v>2506.79</v>
      </c>
      <c r="Z7" s="11">
        <f>SUM(Z8:Z809)</f>
        <v>2957</v>
      </c>
      <c r="AA7" s="11">
        <f>SUM(AA8:AA809)</f>
        <v>2662</v>
      </c>
      <c r="AB7" s="11">
        <f>SUM(AB8:AB809)</f>
        <v>1133</v>
      </c>
      <c r="AC7" s="11">
        <f t="shared" ref="AC7:AH7" si="7">SUM(AC8:AC809)</f>
        <v>509.65</v>
      </c>
      <c r="AD7" s="11">
        <f t="shared" si="7"/>
        <v>599</v>
      </c>
      <c r="AE7" s="11">
        <f t="shared" si="7"/>
        <v>0</v>
      </c>
      <c r="AF7" s="11">
        <f t="shared" si="7"/>
        <v>5</v>
      </c>
      <c r="AG7" s="11">
        <f t="shared" si="7"/>
        <v>5</v>
      </c>
      <c r="AH7" s="43">
        <f t="shared" si="7"/>
        <v>14</v>
      </c>
      <c r="AI7" s="38" t="s">
        <v>53</v>
      </c>
      <c r="AJ7" s="38" t="s">
        <v>53</v>
      </c>
      <c r="AK7" s="38" t="s">
        <v>53</v>
      </c>
      <c r="AL7" s="38" t="s">
        <v>53</v>
      </c>
      <c r="AM7" s="38" t="s">
        <v>53</v>
      </c>
      <c r="AN7" s="38" t="s">
        <v>53</v>
      </c>
      <c r="AO7" s="38" t="s">
        <v>53</v>
      </c>
      <c r="AP7" s="38" t="s">
        <v>53</v>
      </c>
      <c r="AQ7" s="38" t="s">
        <v>53</v>
      </c>
      <c r="AR7" s="38" t="s">
        <v>53</v>
      </c>
      <c r="AS7" s="39" t="s">
        <v>53</v>
      </c>
      <c r="AT7" s="39" t="s">
        <v>53</v>
      </c>
      <c r="AU7" s="39" t="s">
        <v>53</v>
      </c>
      <c r="AV7" s="39" t="s">
        <v>53</v>
      </c>
      <c r="AW7" s="39" t="s">
        <v>53</v>
      </c>
      <c r="AX7" s="39" t="s">
        <v>53</v>
      </c>
      <c r="AY7" s="40" t="s">
        <v>53</v>
      </c>
      <c r="AZ7" s="40" t="s">
        <v>53</v>
      </c>
    </row>
    <row r="8" hidden="1" customHeight="1" spans="1:52">
      <c r="A8" s="44">
        <v>45333</v>
      </c>
      <c r="B8" s="33">
        <f t="shared" ref="B8:B71" si="8">B$2-A8+1</f>
        <v>683</v>
      </c>
      <c r="C8" s="33">
        <f t="shared" ref="C8:C71" si="9">D8-B8</f>
        <v>4899</v>
      </c>
      <c r="D8" s="11">
        <f>IF(F8&gt;0,ROUND(((1-G8)/F8),0),FACT(128))</f>
        <v>5582</v>
      </c>
      <c r="E8" s="34">
        <f>F8</f>
        <v>0.000179111187633915</v>
      </c>
      <c r="F8" s="35">
        <f t="shared" ref="F8:F71" si="10">G8/(ROW()-7)</f>
        <v>0.000179111187633915</v>
      </c>
      <c r="G8" s="18">
        <f>(SUM($I$8:$I8)*(MAX(M$3-M$4,0))+(N8*MAX(M$4,0)))*(1-$AM$4)+(AM8*$AM$4)</f>
        <v>0.000179111187633915</v>
      </c>
      <c r="H8" s="18">
        <f t="shared" ref="H8:H71" si="11">0.5+(MONTH(A8)+(YEAR(A8)-2024)*12)/((YEAR(B$2)-2023)*12)</f>
        <v>0.583333333333333</v>
      </c>
      <c r="I8" s="18">
        <f>L8*H8</f>
        <v>0.000955259667380879</v>
      </c>
      <c r="J8" s="18">
        <f t="shared" ref="J8:J71" si="12">F8*B8+G8</f>
        <v>0.122512052341598</v>
      </c>
      <c r="K8" s="18">
        <f t="shared" ref="K8:K71" si="13">((1-G8)/B8)-F8</f>
        <v>0.00128475541384832</v>
      </c>
      <c r="L8" s="18">
        <f t="shared" ref="L8:L71" si="14">Y8*Y$6+X8*X$6+Z8*Z$6+AA8*AA$6+AB8*AB$6+AC8*AC$6+AD8*AD$6+AE8*AE$6+AF8*AF$6+AG8*AG$6+AH8*AH$6</f>
        <v>0.00163758800122437</v>
      </c>
      <c r="M8" s="18">
        <v>0</v>
      </c>
      <c r="N8" s="18">
        <f>M8</f>
        <v>0</v>
      </c>
      <c r="O8" s="11">
        <v>0</v>
      </c>
      <c r="P8" s="11">
        <v>0</v>
      </c>
      <c r="Q8" s="11">
        <f t="shared" ref="Q8:Q54" si="15">($P$2-$P$4)+((P8/(MAX(1/FACT(128),O8)))*$P$4)</f>
        <v>1</v>
      </c>
      <c r="R8" s="11">
        <v>0</v>
      </c>
      <c r="S8" s="11">
        <f t="shared" ref="S8:S71" si="16">O8*$R$5/MAX(1/FACT(128),R8)</f>
        <v>0</v>
      </c>
      <c r="T8" s="11">
        <v>0</v>
      </c>
      <c r="U8" s="11">
        <f t="shared" ref="U8:U52" si="17">MAX(1,T8)/(MAX(1,O8))</f>
        <v>1</v>
      </c>
      <c r="V8" s="11">
        <v>0</v>
      </c>
      <c r="W8" s="11">
        <f t="shared" ref="W8:W71" si="18">($V$4*V8/(MAX(1,O8)))+1</f>
        <v>1</v>
      </c>
      <c r="X8" s="11">
        <f t="shared" ref="X8:X71" si="19">O8*Q8*S8*U8*W8</f>
        <v>0</v>
      </c>
      <c r="Y8" s="19">
        <v>0</v>
      </c>
      <c r="Z8" s="11">
        <v>0</v>
      </c>
      <c r="AA8" s="11">
        <v>0</v>
      </c>
      <c r="AB8" s="11">
        <v>0</v>
      </c>
      <c r="AC8" s="11">
        <v>0</v>
      </c>
      <c r="AD8" s="11">
        <v>17</v>
      </c>
      <c r="AE8" s="11">
        <v>0</v>
      </c>
      <c r="AF8" s="11">
        <v>5</v>
      </c>
      <c r="AG8" s="11">
        <v>0</v>
      </c>
      <c r="AH8" s="11">
        <v>0</v>
      </c>
      <c r="AI8" s="45">
        <v>0</v>
      </c>
      <c r="AJ8" s="45">
        <v>0</v>
      </c>
      <c r="AK8" s="45">
        <f>AI8</f>
        <v>0</v>
      </c>
      <c r="AL8" s="45">
        <f>AJ8</f>
        <v>0</v>
      </c>
      <c r="AM8" s="45">
        <f t="shared" ref="AM8:AM71" si="20">AL8*AK8</f>
        <v>0</v>
      </c>
      <c r="AN8" s="45">
        <f>IFERROR(AVERAGEIF(AO$8:AO$8,"&gt;0",AO$8:AO$8),0)</f>
        <v>0</v>
      </c>
      <c r="AO8" s="45">
        <f t="shared" ref="AO8:AO71" si="21">AP8*0.75+AQ8*0.125+AR8*0.125</f>
        <v>0</v>
      </c>
      <c r="AP8" s="45">
        <f t="shared" ref="AP8:AP71" si="22">AVERAGE(AS8:AT8)</f>
        <v>0</v>
      </c>
      <c r="AQ8" s="45">
        <f t="shared" ref="AQ8:AQ71" si="23">AY8/AQ$5</f>
        <v>0</v>
      </c>
      <c r="AR8" s="45">
        <f t="shared" ref="AR8:AR71" si="24">IF(AZ8&gt;=0,1/(AZ8+1),0)</f>
        <v>0</v>
      </c>
      <c r="AS8" s="19">
        <f>("24:00"-AX8+AU8)/$AS$5</f>
        <v>0</v>
      </c>
      <c r="AT8" s="19">
        <f>(AW8-AV8)/$AT$5</f>
        <v>0</v>
      </c>
      <c r="AU8" s="46">
        <v>0</v>
      </c>
      <c r="AV8" s="46">
        <v>0</v>
      </c>
      <c r="AW8" s="46">
        <v>0</v>
      </c>
      <c r="AX8" s="46">
        <v>1</v>
      </c>
      <c r="AY8" s="47">
        <v>0</v>
      </c>
      <c r="AZ8" s="47">
        <v>-1</v>
      </c>
    </row>
    <row r="9" hidden="1" customHeight="1" spans="1:52">
      <c r="A9" s="44">
        <v>45334</v>
      </c>
      <c r="B9" s="33">
        <f t="shared" si="8"/>
        <v>682</v>
      </c>
      <c r="C9" s="33">
        <f t="shared" si="9"/>
        <v>4787</v>
      </c>
      <c r="D9" s="11">
        <f t="shared" ref="D8:D71" si="25">IF(F9&gt;0,ROUND(((1-G9)/F9),0),FACT(128))</f>
        <v>5469</v>
      </c>
      <c r="E9" s="34">
        <f t="shared" ref="E9:E72" si="26">F9-F8</f>
        <v>3.66173572849724e-6</v>
      </c>
      <c r="F9" s="35">
        <f t="shared" si="10"/>
        <v>0.000182772923362412</v>
      </c>
      <c r="G9" s="18">
        <f>(SUM($I$8:$I9)*(MAX(M$3-M$4,0))+(N9*MAX(M$4,0)))*(1-$AM$4)+(AM9*$AM$4)</f>
        <v>0.000365545846724824</v>
      </c>
      <c r="H9" s="18">
        <f t="shared" si="11"/>
        <v>0.583333333333333</v>
      </c>
      <c r="I9" s="18">
        <f t="shared" ref="I9:I71" si="27">L9*H9</f>
        <v>0.000994318181818183</v>
      </c>
      <c r="J9" s="18">
        <f t="shared" si="12"/>
        <v>0.12501667957989</v>
      </c>
      <c r="K9" s="18">
        <f t="shared" si="13"/>
        <v>0.00128296674548403</v>
      </c>
      <c r="L9" s="18">
        <f t="shared" si="14"/>
        <v>0.00170454545454546</v>
      </c>
      <c r="M9" s="18">
        <v>0</v>
      </c>
      <c r="N9" s="18">
        <f t="shared" ref="N9:N72" si="28">IF(M9&gt;N8,M9,N8)</f>
        <v>0</v>
      </c>
      <c r="O9" s="11">
        <v>0</v>
      </c>
      <c r="P9" s="11">
        <v>0</v>
      </c>
      <c r="Q9" s="11">
        <f t="shared" si="15"/>
        <v>1</v>
      </c>
      <c r="R9" s="11">
        <v>0</v>
      </c>
      <c r="S9" s="11">
        <f t="shared" si="16"/>
        <v>0</v>
      </c>
      <c r="T9" s="11">
        <v>0</v>
      </c>
      <c r="U9" s="11">
        <f t="shared" si="17"/>
        <v>1</v>
      </c>
      <c r="V9" s="11">
        <v>0</v>
      </c>
      <c r="W9" s="11">
        <f t="shared" si="18"/>
        <v>1</v>
      </c>
      <c r="X9" s="11">
        <f t="shared" si="19"/>
        <v>0</v>
      </c>
      <c r="Y9" s="19">
        <v>0</v>
      </c>
      <c r="Z9" s="11">
        <v>0</v>
      </c>
      <c r="AA9" s="11">
        <v>2</v>
      </c>
      <c r="AB9" s="11">
        <v>0</v>
      </c>
      <c r="AC9" s="11">
        <v>7</v>
      </c>
      <c r="AD9" s="11">
        <v>6</v>
      </c>
      <c r="AE9" s="11">
        <v>0</v>
      </c>
      <c r="AF9" s="11">
        <v>0</v>
      </c>
      <c r="AG9" s="11">
        <v>0</v>
      </c>
      <c r="AH9" s="11">
        <v>0</v>
      </c>
      <c r="AI9" s="45">
        <v>0</v>
      </c>
      <c r="AJ9" s="45">
        <v>0</v>
      </c>
      <c r="AK9" s="45">
        <f>IF(AI9&gt;0,AI9,AK8)</f>
        <v>0</v>
      </c>
      <c r="AL9" s="45">
        <f>IF(AJ9&gt;0,AJ9,AL8)</f>
        <v>0</v>
      </c>
      <c r="AM9" s="45">
        <f t="shared" si="20"/>
        <v>0</v>
      </c>
      <c r="AN9" s="45">
        <f>IFERROR(AVERAGEIF(AO$8:AO8,"&gt;0",AO$8:AO8),0)</f>
        <v>0</v>
      </c>
      <c r="AO9" s="45">
        <f t="shared" si="21"/>
        <v>0</v>
      </c>
      <c r="AP9" s="45">
        <f t="shared" si="22"/>
        <v>0</v>
      </c>
      <c r="AQ9" s="45">
        <f t="shared" si="23"/>
        <v>0</v>
      </c>
      <c r="AR9" s="45">
        <f t="shared" si="24"/>
        <v>0</v>
      </c>
      <c r="AS9" s="19">
        <f t="shared" ref="AS9:AS72" si="29">IF((("24:00"-AX9+AU9)/$AS$5)&gt;0,(("24:00"-AX9+AU9)/$AS$5),AS8)</f>
        <v>0</v>
      </c>
      <c r="AT9" s="19">
        <f t="shared" ref="AT9:AT72" si="30">IF(((AW9-AV9)/$AT$5)&gt;0,((AW9-AV9)/$AT$5),AT8)</f>
        <v>0</v>
      </c>
      <c r="AU9" s="46">
        <v>0</v>
      </c>
      <c r="AV9" s="46">
        <v>0</v>
      </c>
      <c r="AW9" s="46">
        <v>0</v>
      </c>
      <c r="AX9" s="46">
        <v>1</v>
      </c>
      <c r="AY9" s="47">
        <v>0</v>
      </c>
      <c r="AZ9" s="47">
        <v>-1</v>
      </c>
    </row>
    <row r="10" hidden="1" customHeight="1" spans="1:52">
      <c r="A10" s="44">
        <v>45335</v>
      </c>
      <c r="B10" s="33">
        <f t="shared" si="8"/>
        <v>681</v>
      </c>
      <c r="C10" s="33">
        <f t="shared" si="9"/>
        <v>4644</v>
      </c>
      <c r="D10" s="11">
        <f t="shared" si="25"/>
        <v>5325</v>
      </c>
      <c r="E10" s="34">
        <f t="shared" si="26"/>
        <v>4.90323850882551e-6</v>
      </c>
      <c r="F10" s="35">
        <f t="shared" si="10"/>
        <v>0.000187676161871238</v>
      </c>
      <c r="G10" s="18">
        <f>(SUM($I$8:$I10)*(MAX(M$3-M$4,0))+(N10*MAX(M$4,0)))*(1-$AM$4)+(AM10*$AM$4)</f>
        <v>0.000563028485613713</v>
      </c>
      <c r="H10" s="18">
        <f t="shared" si="11"/>
        <v>0.583333333333333</v>
      </c>
      <c r="I10" s="18">
        <f t="shared" si="27"/>
        <v>0.00105324074074074</v>
      </c>
      <c r="J10" s="18">
        <f t="shared" si="12"/>
        <v>0.128370494719927</v>
      </c>
      <c r="K10" s="18">
        <f t="shared" si="13"/>
        <v>0.00127992585209996</v>
      </c>
      <c r="L10" s="18">
        <f t="shared" si="14"/>
        <v>0.00180555555555556</v>
      </c>
      <c r="M10" s="18">
        <v>0</v>
      </c>
      <c r="N10" s="18">
        <f t="shared" si="28"/>
        <v>0</v>
      </c>
      <c r="O10" s="11">
        <v>0</v>
      </c>
      <c r="P10" s="11">
        <v>0</v>
      </c>
      <c r="Q10" s="11">
        <f t="shared" si="15"/>
        <v>1</v>
      </c>
      <c r="R10" s="11">
        <v>0</v>
      </c>
      <c r="S10" s="11">
        <f t="shared" si="16"/>
        <v>0</v>
      </c>
      <c r="T10" s="11">
        <v>0</v>
      </c>
      <c r="U10" s="11">
        <f t="shared" si="17"/>
        <v>1</v>
      </c>
      <c r="V10" s="11">
        <v>0</v>
      </c>
      <c r="W10" s="11">
        <f t="shared" si="18"/>
        <v>1</v>
      </c>
      <c r="X10" s="11">
        <f t="shared" si="19"/>
        <v>0</v>
      </c>
      <c r="Y10" s="19">
        <v>0</v>
      </c>
      <c r="Z10" s="11">
        <v>0</v>
      </c>
      <c r="AA10" s="11">
        <v>2</v>
      </c>
      <c r="AB10" s="11">
        <v>0</v>
      </c>
      <c r="AC10" s="11">
        <v>5</v>
      </c>
      <c r="AD10" s="11">
        <v>9</v>
      </c>
      <c r="AE10" s="11">
        <v>0</v>
      </c>
      <c r="AF10" s="11">
        <v>0</v>
      </c>
      <c r="AG10" s="11">
        <v>3</v>
      </c>
      <c r="AH10" s="11">
        <v>0</v>
      </c>
      <c r="AI10" s="45">
        <v>0</v>
      </c>
      <c r="AJ10" s="45">
        <v>0</v>
      </c>
      <c r="AK10" s="45">
        <f t="shared" ref="AK9:AK72" si="31">IF(AI10&gt;0,AI10,AK9)</f>
        <v>0</v>
      </c>
      <c r="AL10" s="45">
        <f t="shared" ref="AL9:AL72" si="32">IF(AJ10&gt;0,AJ10,AL9)</f>
        <v>0</v>
      </c>
      <c r="AM10" s="45">
        <f t="shared" si="20"/>
        <v>0</v>
      </c>
      <c r="AN10" s="45">
        <f>IFERROR(AVERAGEIF(AO$8:AO9,"&gt;0",AO$8:AO9),0)</f>
        <v>0</v>
      </c>
      <c r="AO10" s="45">
        <f t="shared" si="21"/>
        <v>0</v>
      </c>
      <c r="AP10" s="45">
        <f t="shared" si="22"/>
        <v>0</v>
      </c>
      <c r="AQ10" s="45">
        <f t="shared" si="23"/>
        <v>0</v>
      </c>
      <c r="AR10" s="45">
        <f t="shared" si="24"/>
        <v>0</v>
      </c>
      <c r="AS10" s="19">
        <f t="shared" si="29"/>
        <v>0</v>
      </c>
      <c r="AT10" s="19">
        <f t="shared" si="30"/>
        <v>0</v>
      </c>
      <c r="AU10" s="46">
        <v>0</v>
      </c>
      <c r="AV10" s="46">
        <v>0</v>
      </c>
      <c r="AW10" s="46">
        <v>0</v>
      </c>
      <c r="AX10" s="46">
        <v>1</v>
      </c>
      <c r="AY10" s="47">
        <v>0</v>
      </c>
      <c r="AZ10" s="47">
        <v>-1</v>
      </c>
    </row>
    <row r="11" hidden="1" customHeight="1" spans="1:52">
      <c r="A11" s="44">
        <v>45336</v>
      </c>
      <c r="B11" s="33">
        <f t="shared" si="8"/>
        <v>680</v>
      </c>
      <c r="C11" s="33">
        <f t="shared" si="9"/>
        <v>4636</v>
      </c>
      <c r="D11" s="11">
        <f t="shared" si="25"/>
        <v>5316</v>
      </c>
      <c r="E11" s="34">
        <f t="shared" si="26"/>
        <v>3.11073168554377e-7</v>
      </c>
      <c r="F11" s="35">
        <f t="shared" si="10"/>
        <v>0.000187987235039792</v>
      </c>
      <c r="G11" s="18">
        <f>(SUM($I$8:$I11)*(MAX(M$3-M$4,0))+(N11*MAX(M$4,0)))*(1-$AM$4)+(AM11*$AM$4)</f>
        <v>0.000751948940159168</v>
      </c>
      <c r="H11" s="18">
        <f t="shared" si="11"/>
        <v>0.583333333333333</v>
      </c>
      <c r="I11" s="18">
        <f t="shared" si="27"/>
        <v>0.00100757575757576</v>
      </c>
      <c r="J11" s="18">
        <f t="shared" si="12"/>
        <v>0.128583268767218</v>
      </c>
      <c r="K11" s="18">
        <f t="shared" si="13"/>
        <v>0.00128149519298939</v>
      </c>
      <c r="L11" s="18">
        <f t="shared" si="14"/>
        <v>0.00172727272727273</v>
      </c>
      <c r="M11" s="18">
        <v>0</v>
      </c>
      <c r="N11" s="18">
        <f t="shared" si="28"/>
        <v>0</v>
      </c>
      <c r="O11" s="11">
        <v>0</v>
      </c>
      <c r="P11" s="11">
        <v>0</v>
      </c>
      <c r="Q11" s="11">
        <f t="shared" si="15"/>
        <v>1</v>
      </c>
      <c r="R11" s="11">
        <v>0</v>
      </c>
      <c r="S11" s="11">
        <f t="shared" si="16"/>
        <v>0</v>
      </c>
      <c r="T11" s="11">
        <v>0</v>
      </c>
      <c r="U11" s="11">
        <f t="shared" si="17"/>
        <v>1</v>
      </c>
      <c r="V11" s="11">
        <v>0</v>
      </c>
      <c r="W11" s="11">
        <f t="shared" si="18"/>
        <v>1</v>
      </c>
      <c r="X11" s="11">
        <f t="shared" si="19"/>
        <v>0</v>
      </c>
      <c r="Y11" s="19">
        <v>0</v>
      </c>
      <c r="Z11" s="11">
        <v>3</v>
      </c>
      <c r="AA11" s="11">
        <v>0</v>
      </c>
      <c r="AB11" s="11">
        <v>0</v>
      </c>
      <c r="AC11" s="11">
        <v>8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45">
        <v>0</v>
      </c>
      <c r="AJ11" s="45">
        <v>0</v>
      </c>
      <c r="AK11" s="45">
        <f t="shared" si="31"/>
        <v>0</v>
      </c>
      <c r="AL11" s="45">
        <f t="shared" si="32"/>
        <v>0</v>
      </c>
      <c r="AM11" s="45">
        <f t="shared" si="20"/>
        <v>0</v>
      </c>
      <c r="AN11" s="45">
        <f>IFERROR(AVERAGEIF(AO$8:AO10,"&gt;0",AO$8:AO10),0)</f>
        <v>0</v>
      </c>
      <c r="AO11" s="45">
        <f t="shared" si="21"/>
        <v>0</v>
      </c>
      <c r="AP11" s="45">
        <f t="shared" si="22"/>
        <v>0</v>
      </c>
      <c r="AQ11" s="45">
        <f t="shared" si="23"/>
        <v>0</v>
      </c>
      <c r="AR11" s="45">
        <f t="shared" si="24"/>
        <v>0</v>
      </c>
      <c r="AS11" s="19">
        <f t="shared" si="29"/>
        <v>0</v>
      </c>
      <c r="AT11" s="19">
        <f t="shared" si="30"/>
        <v>0</v>
      </c>
      <c r="AU11" s="46">
        <v>0</v>
      </c>
      <c r="AV11" s="46">
        <v>0</v>
      </c>
      <c r="AW11" s="46">
        <v>0</v>
      </c>
      <c r="AX11" s="46">
        <v>1</v>
      </c>
      <c r="AY11" s="47">
        <v>0</v>
      </c>
      <c r="AZ11" s="47">
        <v>-1</v>
      </c>
    </row>
    <row r="12" hidden="1" customHeight="1" spans="1:52">
      <c r="A12" s="44">
        <v>45337</v>
      </c>
      <c r="B12" s="33">
        <f t="shared" si="8"/>
        <v>679</v>
      </c>
      <c r="C12" s="33">
        <f t="shared" si="9"/>
        <v>4599</v>
      </c>
      <c r="D12" s="11">
        <f t="shared" si="25"/>
        <v>5278</v>
      </c>
      <c r="E12" s="34">
        <f t="shared" si="26"/>
        <v>1.29144188093061e-6</v>
      </c>
      <c r="F12" s="35">
        <f t="shared" si="10"/>
        <v>0.000189278676920723</v>
      </c>
      <c r="G12" s="18">
        <f>(SUM($I$8:$I12)*(MAX(M$3-M$4,0))+(N12*MAX(M$4,0)))*(1-$AM$4)+(AM12*$AM$4)</f>
        <v>0.000946393384603613</v>
      </c>
      <c r="H12" s="18">
        <f t="shared" si="11"/>
        <v>0.583333333333333</v>
      </c>
      <c r="I12" s="18">
        <f t="shared" si="27"/>
        <v>0.00103703703703704</v>
      </c>
      <c r="J12" s="18">
        <f t="shared" si="12"/>
        <v>0.129466615013774</v>
      </c>
      <c r="K12" s="18">
        <f t="shared" si="13"/>
        <v>0.00128208156846278</v>
      </c>
      <c r="L12" s="18">
        <f t="shared" si="14"/>
        <v>0.00177777777777778</v>
      </c>
      <c r="M12" s="18">
        <v>0</v>
      </c>
      <c r="N12" s="18">
        <f t="shared" si="28"/>
        <v>0</v>
      </c>
      <c r="O12" s="11">
        <v>0</v>
      </c>
      <c r="P12" s="11">
        <v>0</v>
      </c>
      <c r="Q12" s="11">
        <f t="shared" si="15"/>
        <v>1</v>
      </c>
      <c r="R12" s="11">
        <v>0</v>
      </c>
      <c r="S12" s="11">
        <f t="shared" si="16"/>
        <v>0</v>
      </c>
      <c r="T12" s="11">
        <v>0</v>
      </c>
      <c r="U12" s="11">
        <f t="shared" si="17"/>
        <v>1</v>
      </c>
      <c r="V12" s="11">
        <v>0</v>
      </c>
      <c r="W12" s="11">
        <f t="shared" si="18"/>
        <v>1</v>
      </c>
      <c r="X12" s="11">
        <f t="shared" si="19"/>
        <v>0</v>
      </c>
      <c r="Y12" s="19">
        <v>0</v>
      </c>
      <c r="Z12" s="11">
        <v>3</v>
      </c>
      <c r="AA12" s="11">
        <v>0</v>
      </c>
      <c r="AB12" s="11">
        <v>0</v>
      </c>
      <c r="AC12" s="11">
        <v>8</v>
      </c>
      <c r="AD12" s="11">
        <v>0</v>
      </c>
      <c r="AE12" s="11">
        <v>0</v>
      </c>
      <c r="AF12" s="11">
        <v>0</v>
      </c>
      <c r="AG12" s="11">
        <v>2</v>
      </c>
      <c r="AH12" s="11">
        <v>0</v>
      </c>
      <c r="AI12" s="45">
        <v>0</v>
      </c>
      <c r="AJ12" s="45">
        <v>0</v>
      </c>
      <c r="AK12" s="45">
        <f t="shared" si="31"/>
        <v>0</v>
      </c>
      <c r="AL12" s="45">
        <f t="shared" si="32"/>
        <v>0</v>
      </c>
      <c r="AM12" s="45">
        <f t="shared" si="20"/>
        <v>0</v>
      </c>
      <c r="AN12" s="45">
        <f>IFERROR(AVERAGEIF(AO$8:AO11,"&gt;0",AO$8:AO11),0)</f>
        <v>0</v>
      </c>
      <c r="AO12" s="45">
        <f t="shared" si="21"/>
        <v>0</v>
      </c>
      <c r="AP12" s="45">
        <f t="shared" si="22"/>
        <v>0</v>
      </c>
      <c r="AQ12" s="45">
        <f t="shared" si="23"/>
        <v>0</v>
      </c>
      <c r="AR12" s="45">
        <f t="shared" si="24"/>
        <v>0</v>
      </c>
      <c r="AS12" s="19">
        <f t="shared" si="29"/>
        <v>0</v>
      </c>
      <c r="AT12" s="19">
        <f t="shared" si="30"/>
        <v>0</v>
      </c>
      <c r="AU12" s="46">
        <v>0</v>
      </c>
      <c r="AV12" s="46">
        <v>0</v>
      </c>
      <c r="AW12" s="46">
        <v>0</v>
      </c>
      <c r="AX12" s="46">
        <v>1</v>
      </c>
      <c r="AY12" s="47">
        <v>0</v>
      </c>
      <c r="AZ12" s="47">
        <v>-1</v>
      </c>
    </row>
    <row r="13" hidden="1" customHeight="1" spans="1:52">
      <c r="A13" s="44">
        <v>45338</v>
      </c>
      <c r="B13" s="33">
        <f t="shared" si="8"/>
        <v>678</v>
      </c>
      <c r="C13" s="33">
        <f t="shared" si="9"/>
        <v>4511</v>
      </c>
      <c r="D13" s="11">
        <f t="shared" si="25"/>
        <v>5189</v>
      </c>
      <c r="E13" s="34">
        <f t="shared" si="26"/>
        <v>3.20865696102433e-6</v>
      </c>
      <c r="F13" s="35">
        <f t="shared" si="10"/>
        <v>0.000192487333881747</v>
      </c>
      <c r="G13" s="18">
        <f>(SUM($I$8:$I13)*(MAX(M$3-M$4,0))+(N13*MAX(M$4,0)))*(1-$AM$4)+(AM13*$AM$4)</f>
        <v>0.00115492400329048</v>
      </c>
      <c r="H13" s="18">
        <f t="shared" si="11"/>
        <v>0.583333333333333</v>
      </c>
      <c r="I13" s="18">
        <f t="shared" si="27"/>
        <v>0.0011121632996633</v>
      </c>
      <c r="J13" s="18">
        <f t="shared" si="12"/>
        <v>0.131661336375115</v>
      </c>
      <c r="K13" s="18">
        <f t="shared" si="13"/>
        <v>0.0012807354920721</v>
      </c>
      <c r="L13" s="18">
        <f t="shared" si="14"/>
        <v>0.00190656565656566</v>
      </c>
      <c r="M13" s="18">
        <v>0</v>
      </c>
      <c r="N13" s="18">
        <f t="shared" si="28"/>
        <v>0</v>
      </c>
      <c r="O13" s="11">
        <v>0</v>
      </c>
      <c r="P13" s="11">
        <v>0</v>
      </c>
      <c r="Q13" s="11">
        <f t="shared" si="15"/>
        <v>1</v>
      </c>
      <c r="R13" s="11">
        <v>0</v>
      </c>
      <c r="S13" s="11">
        <f t="shared" si="16"/>
        <v>0</v>
      </c>
      <c r="T13" s="11">
        <v>0</v>
      </c>
      <c r="U13" s="11">
        <f t="shared" si="17"/>
        <v>1</v>
      </c>
      <c r="V13" s="11">
        <v>0</v>
      </c>
      <c r="W13" s="11">
        <f t="shared" si="18"/>
        <v>1</v>
      </c>
      <c r="X13" s="11">
        <f t="shared" si="19"/>
        <v>0</v>
      </c>
      <c r="Y13" s="19">
        <v>0</v>
      </c>
      <c r="Z13" s="11">
        <v>5</v>
      </c>
      <c r="AA13" s="11">
        <v>1</v>
      </c>
      <c r="AB13" s="11">
        <v>0</v>
      </c>
      <c r="AC13" s="11">
        <v>3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45">
        <v>0</v>
      </c>
      <c r="AJ13" s="45">
        <v>0</v>
      </c>
      <c r="AK13" s="45">
        <f t="shared" si="31"/>
        <v>0</v>
      </c>
      <c r="AL13" s="45">
        <f t="shared" si="32"/>
        <v>0</v>
      </c>
      <c r="AM13" s="45">
        <f t="shared" si="20"/>
        <v>0</v>
      </c>
      <c r="AN13" s="45">
        <f>IFERROR(AVERAGEIF(AO$8:AO12,"&gt;0",AO$8:AO12),0)</f>
        <v>0</v>
      </c>
      <c r="AO13" s="45">
        <f t="shared" si="21"/>
        <v>0</v>
      </c>
      <c r="AP13" s="45">
        <f t="shared" si="22"/>
        <v>0</v>
      </c>
      <c r="AQ13" s="45">
        <f t="shared" si="23"/>
        <v>0</v>
      </c>
      <c r="AR13" s="45">
        <f t="shared" si="24"/>
        <v>0</v>
      </c>
      <c r="AS13" s="19">
        <f t="shared" si="29"/>
        <v>0</v>
      </c>
      <c r="AT13" s="19">
        <f t="shared" si="30"/>
        <v>0</v>
      </c>
      <c r="AU13" s="46">
        <v>0</v>
      </c>
      <c r="AV13" s="46">
        <v>0</v>
      </c>
      <c r="AW13" s="46">
        <v>0</v>
      </c>
      <c r="AX13" s="46">
        <v>1</v>
      </c>
      <c r="AY13" s="47">
        <v>0</v>
      </c>
      <c r="AZ13" s="47">
        <v>-1</v>
      </c>
    </row>
    <row r="14" hidden="1" customHeight="1" spans="1:52">
      <c r="A14" s="44">
        <v>45339</v>
      </c>
      <c r="B14" s="33">
        <f t="shared" si="8"/>
        <v>677</v>
      </c>
      <c r="C14" s="33">
        <f t="shared" si="9"/>
        <v>4466</v>
      </c>
      <c r="D14" s="11">
        <f t="shared" si="25"/>
        <v>5143</v>
      </c>
      <c r="E14" s="34">
        <f t="shared" si="26"/>
        <v>1.70004176869705e-6</v>
      </c>
      <c r="F14" s="35">
        <f t="shared" si="10"/>
        <v>0.000194187375650444</v>
      </c>
      <c r="G14" s="18">
        <f>(SUM($I$8:$I14)*(MAX(M$3-M$4,0))+(N14*MAX(M$4,0)))*(1-$AM$4)+(AM14*$AM$4)</f>
        <v>0.00135931162955311</v>
      </c>
      <c r="H14" s="18">
        <f t="shared" si="11"/>
        <v>0.583333333333333</v>
      </c>
      <c r="I14" s="18">
        <f t="shared" si="27"/>
        <v>0.00109006734006734</v>
      </c>
      <c r="J14" s="18">
        <f t="shared" si="12"/>
        <v>0.132824164944904</v>
      </c>
      <c r="K14" s="18">
        <f t="shared" si="13"/>
        <v>0.00128090965296174</v>
      </c>
      <c r="L14" s="18">
        <f t="shared" si="14"/>
        <v>0.00186868686868687</v>
      </c>
      <c r="M14" s="18">
        <v>0</v>
      </c>
      <c r="N14" s="18">
        <f t="shared" si="28"/>
        <v>0</v>
      </c>
      <c r="O14" s="11">
        <v>0</v>
      </c>
      <c r="P14" s="11">
        <v>0</v>
      </c>
      <c r="Q14" s="11">
        <f t="shared" si="15"/>
        <v>1</v>
      </c>
      <c r="R14" s="11">
        <v>0</v>
      </c>
      <c r="S14" s="11">
        <f t="shared" si="16"/>
        <v>0</v>
      </c>
      <c r="T14" s="11">
        <v>0</v>
      </c>
      <c r="U14" s="11">
        <f t="shared" si="17"/>
        <v>1</v>
      </c>
      <c r="V14" s="11">
        <v>0</v>
      </c>
      <c r="W14" s="11">
        <f t="shared" si="18"/>
        <v>1</v>
      </c>
      <c r="X14" s="11">
        <f t="shared" si="19"/>
        <v>0</v>
      </c>
      <c r="Y14" s="19">
        <v>0</v>
      </c>
      <c r="Z14" s="11">
        <v>5</v>
      </c>
      <c r="AA14" s="11">
        <v>0</v>
      </c>
      <c r="AB14" s="11">
        <v>0</v>
      </c>
      <c r="AC14" s="11">
        <v>0</v>
      </c>
      <c r="AD14" s="11">
        <v>6</v>
      </c>
      <c r="AE14" s="11">
        <v>0</v>
      </c>
      <c r="AF14" s="11">
        <v>0</v>
      </c>
      <c r="AG14" s="11">
        <v>0</v>
      </c>
      <c r="AH14" s="11">
        <v>0</v>
      </c>
      <c r="AI14" s="45">
        <v>0</v>
      </c>
      <c r="AJ14" s="45">
        <v>0</v>
      </c>
      <c r="AK14" s="45">
        <f t="shared" si="31"/>
        <v>0</v>
      </c>
      <c r="AL14" s="45">
        <f t="shared" si="32"/>
        <v>0</v>
      </c>
      <c r="AM14" s="45">
        <f t="shared" si="20"/>
        <v>0</v>
      </c>
      <c r="AN14" s="45">
        <f>IFERROR(AVERAGEIF(AO$8:AO13,"&gt;0",AO$8:AO13),0)</f>
        <v>0</v>
      </c>
      <c r="AO14" s="45">
        <f t="shared" si="21"/>
        <v>0</v>
      </c>
      <c r="AP14" s="45">
        <f t="shared" si="22"/>
        <v>0</v>
      </c>
      <c r="AQ14" s="45">
        <f t="shared" si="23"/>
        <v>0</v>
      </c>
      <c r="AR14" s="45">
        <f t="shared" si="24"/>
        <v>0</v>
      </c>
      <c r="AS14" s="19">
        <f t="shared" si="29"/>
        <v>0</v>
      </c>
      <c r="AT14" s="19">
        <f t="shared" si="30"/>
        <v>0</v>
      </c>
      <c r="AU14" s="46">
        <v>0</v>
      </c>
      <c r="AV14" s="46">
        <v>0</v>
      </c>
      <c r="AW14" s="46">
        <v>0</v>
      </c>
      <c r="AX14" s="46">
        <v>1</v>
      </c>
      <c r="AY14" s="47">
        <v>0</v>
      </c>
      <c r="AZ14" s="47">
        <v>-1</v>
      </c>
    </row>
    <row r="15" hidden="1" customHeight="1" spans="1:52">
      <c r="A15" s="44">
        <v>45340</v>
      </c>
      <c r="B15" s="33">
        <f t="shared" si="8"/>
        <v>676</v>
      </c>
      <c r="C15" s="33">
        <f t="shared" si="9"/>
        <v>4381</v>
      </c>
      <c r="D15" s="11">
        <f t="shared" si="25"/>
        <v>5057</v>
      </c>
      <c r="E15" s="34">
        <f t="shared" si="26"/>
        <v>3.23144441574837e-6</v>
      </c>
      <c r="F15" s="35">
        <f t="shared" si="10"/>
        <v>0.000197418820066192</v>
      </c>
      <c r="G15" s="18">
        <f>(SUM($I$8:$I15)*(MAX(M$3-M$4,0))+(N15*MAX(M$4,0)))*(1-$AM$4)+(AM15*$AM$4)</f>
        <v>0.00157935056052954</v>
      </c>
      <c r="H15" s="18">
        <f t="shared" si="11"/>
        <v>0.583333333333333</v>
      </c>
      <c r="I15" s="18">
        <f t="shared" si="27"/>
        <v>0.00117354096520763</v>
      </c>
      <c r="J15" s="18">
        <f t="shared" si="12"/>
        <v>0.135034472925276</v>
      </c>
      <c r="K15" s="18">
        <f t="shared" si="13"/>
        <v>0.00127953480336498</v>
      </c>
      <c r="L15" s="18">
        <f t="shared" si="14"/>
        <v>0.00201178451178451</v>
      </c>
      <c r="M15" s="18">
        <v>0</v>
      </c>
      <c r="N15" s="18">
        <f t="shared" si="28"/>
        <v>0</v>
      </c>
      <c r="O15" s="11">
        <v>0</v>
      </c>
      <c r="P15" s="11">
        <v>0</v>
      </c>
      <c r="Q15" s="11">
        <f t="shared" si="15"/>
        <v>1</v>
      </c>
      <c r="R15" s="11">
        <v>0</v>
      </c>
      <c r="S15" s="11">
        <f t="shared" si="16"/>
        <v>0</v>
      </c>
      <c r="T15" s="11">
        <v>0</v>
      </c>
      <c r="U15" s="11">
        <f t="shared" si="17"/>
        <v>1</v>
      </c>
      <c r="V15" s="11">
        <v>0</v>
      </c>
      <c r="W15" s="11">
        <f t="shared" si="18"/>
        <v>1</v>
      </c>
      <c r="X15" s="11">
        <f t="shared" si="19"/>
        <v>0</v>
      </c>
      <c r="Y15" s="19">
        <v>0</v>
      </c>
      <c r="Z15" s="11">
        <v>5</v>
      </c>
      <c r="AA15" s="11">
        <v>0</v>
      </c>
      <c r="AB15" s="11">
        <v>0</v>
      </c>
      <c r="AC15" s="11">
        <v>2</v>
      </c>
      <c r="AD15" s="11">
        <v>5</v>
      </c>
      <c r="AE15" s="11">
        <v>0</v>
      </c>
      <c r="AF15" s="11">
        <v>0</v>
      </c>
      <c r="AG15" s="11">
        <v>0</v>
      </c>
      <c r="AH15" s="11">
        <v>0</v>
      </c>
      <c r="AI15" s="45">
        <v>0</v>
      </c>
      <c r="AJ15" s="45">
        <v>0</v>
      </c>
      <c r="AK15" s="45">
        <f t="shared" si="31"/>
        <v>0</v>
      </c>
      <c r="AL15" s="45">
        <f t="shared" si="32"/>
        <v>0</v>
      </c>
      <c r="AM15" s="45">
        <f t="shared" si="20"/>
        <v>0</v>
      </c>
      <c r="AN15" s="45">
        <f t="shared" ref="AN15:AN78" si="33">IFERROR(AVERAGEIF(AO8:AO14,"&gt;0",AO8:AO14),0)</f>
        <v>0</v>
      </c>
      <c r="AO15" s="45">
        <f t="shared" si="21"/>
        <v>0</v>
      </c>
      <c r="AP15" s="45">
        <f t="shared" si="22"/>
        <v>0</v>
      </c>
      <c r="AQ15" s="45">
        <f t="shared" si="23"/>
        <v>0</v>
      </c>
      <c r="AR15" s="45">
        <f t="shared" si="24"/>
        <v>0</v>
      </c>
      <c r="AS15" s="19">
        <f t="shared" si="29"/>
        <v>0</v>
      </c>
      <c r="AT15" s="19">
        <f t="shared" si="30"/>
        <v>0</v>
      </c>
      <c r="AU15" s="46">
        <v>0</v>
      </c>
      <c r="AV15" s="46">
        <v>0</v>
      </c>
      <c r="AW15" s="46">
        <v>0</v>
      </c>
      <c r="AX15" s="46">
        <v>1</v>
      </c>
      <c r="AY15" s="47">
        <v>0</v>
      </c>
      <c r="AZ15" s="47">
        <v>-1</v>
      </c>
    </row>
    <row r="16" hidden="1" customHeight="1" spans="1:52">
      <c r="A16" s="44">
        <v>45341</v>
      </c>
      <c r="B16" s="33">
        <f t="shared" si="8"/>
        <v>675</v>
      </c>
      <c r="C16" s="33">
        <f t="shared" si="9"/>
        <v>4383</v>
      </c>
      <c r="D16" s="11">
        <f t="shared" si="25"/>
        <v>5058</v>
      </c>
      <c r="E16" s="34">
        <f t="shared" si="26"/>
        <v>-4.40570743205995e-8</v>
      </c>
      <c r="F16" s="35">
        <f t="shared" si="10"/>
        <v>0.000197374762991872</v>
      </c>
      <c r="G16" s="18">
        <f>(SUM($I$8:$I16)*(MAX(M$3-M$4,0))+(N16*MAX(M$4,0)))*(1-$AM$4)+(AM16*$AM$4)</f>
        <v>0.00177637286692685</v>
      </c>
      <c r="H16" s="18">
        <f t="shared" si="11"/>
        <v>0.583333333333333</v>
      </c>
      <c r="I16" s="18">
        <f t="shared" si="27"/>
        <v>0.00105078563411897</v>
      </c>
      <c r="J16" s="18">
        <f t="shared" si="12"/>
        <v>0.13500433788644</v>
      </c>
      <c r="K16" s="18">
        <f t="shared" si="13"/>
        <v>0.00128147505498305</v>
      </c>
      <c r="L16" s="18">
        <f t="shared" si="14"/>
        <v>0.0018013468013468</v>
      </c>
      <c r="M16" s="18">
        <v>0</v>
      </c>
      <c r="N16" s="18">
        <f t="shared" si="28"/>
        <v>0</v>
      </c>
      <c r="O16" s="11">
        <v>0</v>
      </c>
      <c r="P16" s="11">
        <v>0</v>
      </c>
      <c r="Q16" s="11">
        <f t="shared" si="15"/>
        <v>1</v>
      </c>
      <c r="R16" s="11">
        <v>0</v>
      </c>
      <c r="S16" s="11">
        <f t="shared" si="16"/>
        <v>0</v>
      </c>
      <c r="T16" s="11">
        <v>0</v>
      </c>
      <c r="U16" s="11">
        <f t="shared" si="17"/>
        <v>1</v>
      </c>
      <c r="V16" s="11">
        <v>0</v>
      </c>
      <c r="W16" s="11">
        <f t="shared" si="18"/>
        <v>1</v>
      </c>
      <c r="X16" s="11">
        <f t="shared" si="19"/>
        <v>0</v>
      </c>
      <c r="Y16" s="19">
        <v>0</v>
      </c>
      <c r="Z16" s="11">
        <v>0</v>
      </c>
      <c r="AA16" s="11">
        <v>6</v>
      </c>
      <c r="AB16" s="11">
        <v>0</v>
      </c>
      <c r="AC16" s="11">
        <v>0</v>
      </c>
      <c r="AD16" s="11">
        <v>7</v>
      </c>
      <c r="AE16" s="11">
        <v>0</v>
      </c>
      <c r="AF16" s="11">
        <v>0</v>
      </c>
      <c r="AG16" s="11">
        <v>0</v>
      </c>
      <c r="AH16" s="11">
        <v>0</v>
      </c>
      <c r="AI16" s="45">
        <v>0</v>
      </c>
      <c r="AJ16" s="45">
        <v>0</v>
      </c>
      <c r="AK16" s="45">
        <f t="shared" si="31"/>
        <v>0</v>
      </c>
      <c r="AL16" s="45">
        <f t="shared" si="32"/>
        <v>0</v>
      </c>
      <c r="AM16" s="45">
        <f t="shared" si="20"/>
        <v>0</v>
      </c>
      <c r="AN16" s="45">
        <f t="shared" si="33"/>
        <v>0</v>
      </c>
      <c r="AO16" s="45">
        <f t="shared" si="21"/>
        <v>0</v>
      </c>
      <c r="AP16" s="45">
        <f t="shared" si="22"/>
        <v>0</v>
      </c>
      <c r="AQ16" s="45">
        <f t="shared" si="23"/>
        <v>0</v>
      </c>
      <c r="AR16" s="45">
        <f t="shared" si="24"/>
        <v>0</v>
      </c>
      <c r="AS16" s="19">
        <f t="shared" si="29"/>
        <v>0</v>
      </c>
      <c r="AT16" s="19">
        <f t="shared" si="30"/>
        <v>0</v>
      </c>
      <c r="AU16" s="46">
        <v>0</v>
      </c>
      <c r="AV16" s="46">
        <v>0</v>
      </c>
      <c r="AW16" s="46">
        <v>0</v>
      </c>
      <c r="AX16" s="46">
        <v>1</v>
      </c>
      <c r="AY16" s="47">
        <v>0</v>
      </c>
      <c r="AZ16" s="47">
        <v>-1</v>
      </c>
    </row>
    <row r="17" hidden="1" customHeight="1" spans="1:52">
      <c r="A17" s="44">
        <v>45342</v>
      </c>
      <c r="B17" s="33">
        <f t="shared" si="8"/>
        <v>674</v>
      </c>
      <c r="C17" s="33">
        <f t="shared" si="9"/>
        <v>4393</v>
      </c>
      <c r="D17" s="11">
        <f t="shared" si="25"/>
        <v>5067</v>
      </c>
      <c r="E17" s="34">
        <f t="shared" si="26"/>
        <v>-4.03511652722526e-7</v>
      </c>
      <c r="F17" s="35">
        <f t="shared" si="10"/>
        <v>0.000196971251339149</v>
      </c>
      <c r="G17" s="18">
        <f>(SUM($I$8:$I17)*(MAX(M$3-M$4,0))+(N17*MAX(M$4,0)))*(1-$AM$4)+(AM17*$AM$4)</f>
        <v>0.00196971251339149</v>
      </c>
      <c r="H17" s="18">
        <f t="shared" si="11"/>
        <v>0.583333333333333</v>
      </c>
      <c r="I17" s="18">
        <f t="shared" si="27"/>
        <v>0.00103114478114478</v>
      </c>
      <c r="J17" s="18">
        <f t="shared" si="12"/>
        <v>0.134728335915978</v>
      </c>
      <c r="K17" s="18">
        <f t="shared" si="13"/>
        <v>0.00128378585175671</v>
      </c>
      <c r="L17" s="18">
        <f t="shared" si="14"/>
        <v>0.00176767676767677</v>
      </c>
      <c r="M17" s="18">
        <v>0</v>
      </c>
      <c r="N17" s="18">
        <f t="shared" si="28"/>
        <v>0</v>
      </c>
      <c r="O17" s="11">
        <v>0</v>
      </c>
      <c r="P17" s="11">
        <v>0</v>
      </c>
      <c r="Q17" s="11">
        <f t="shared" si="15"/>
        <v>1</v>
      </c>
      <c r="R17" s="11">
        <v>0</v>
      </c>
      <c r="S17" s="11">
        <f t="shared" si="16"/>
        <v>0</v>
      </c>
      <c r="T17" s="11">
        <v>0</v>
      </c>
      <c r="U17" s="11">
        <f t="shared" si="17"/>
        <v>1</v>
      </c>
      <c r="V17" s="11">
        <v>0</v>
      </c>
      <c r="W17" s="11">
        <f t="shared" si="18"/>
        <v>1</v>
      </c>
      <c r="X17" s="11">
        <f t="shared" si="19"/>
        <v>0</v>
      </c>
      <c r="Y17" s="19">
        <v>0</v>
      </c>
      <c r="Z17" s="11">
        <v>0</v>
      </c>
      <c r="AA17" s="11">
        <v>8</v>
      </c>
      <c r="AB17" s="11">
        <v>1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45">
        <v>0</v>
      </c>
      <c r="AJ17" s="45">
        <v>0</v>
      </c>
      <c r="AK17" s="45">
        <f t="shared" si="31"/>
        <v>0</v>
      </c>
      <c r="AL17" s="45">
        <f t="shared" si="32"/>
        <v>0</v>
      </c>
      <c r="AM17" s="45">
        <f t="shared" si="20"/>
        <v>0</v>
      </c>
      <c r="AN17" s="45">
        <f t="shared" si="33"/>
        <v>0</v>
      </c>
      <c r="AO17" s="45">
        <f t="shared" si="21"/>
        <v>0</v>
      </c>
      <c r="AP17" s="45">
        <f t="shared" si="22"/>
        <v>0</v>
      </c>
      <c r="AQ17" s="45">
        <f t="shared" si="23"/>
        <v>0</v>
      </c>
      <c r="AR17" s="45">
        <f t="shared" si="24"/>
        <v>0</v>
      </c>
      <c r="AS17" s="19">
        <f t="shared" si="29"/>
        <v>0</v>
      </c>
      <c r="AT17" s="19">
        <f t="shared" si="30"/>
        <v>0</v>
      </c>
      <c r="AU17" s="46">
        <v>0</v>
      </c>
      <c r="AV17" s="46">
        <v>0</v>
      </c>
      <c r="AW17" s="46">
        <v>0</v>
      </c>
      <c r="AX17" s="46">
        <v>1</v>
      </c>
      <c r="AY17" s="47">
        <v>0</v>
      </c>
      <c r="AZ17" s="47">
        <v>-1</v>
      </c>
    </row>
    <row r="18" hidden="1" customHeight="1" spans="1:52">
      <c r="A18" s="44">
        <v>45343</v>
      </c>
      <c r="B18" s="33">
        <f t="shared" si="8"/>
        <v>673</v>
      </c>
      <c r="C18" s="33">
        <f t="shared" si="9"/>
        <v>4076</v>
      </c>
      <c r="D18" s="11">
        <f t="shared" si="25"/>
        <v>4749</v>
      </c>
      <c r="E18" s="34">
        <f t="shared" si="26"/>
        <v>1.31031931748616e-5</v>
      </c>
      <c r="F18" s="35">
        <f t="shared" si="10"/>
        <v>0.000210074444514011</v>
      </c>
      <c r="G18" s="18">
        <f>(SUM($I$8:$I18)*(MAX(M$3-M$4,0))+(N18*MAX(M$4,0)))*(1-$AM$4)+(AM18*$AM$4)</f>
        <v>0.00231081888965412</v>
      </c>
      <c r="H18" s="18">
        <f t="shared" si="11"/>
        <v>0.583333333333333</v>
      </c>
      <c r="I18" s="18">
        <f t="shared" si="27"/>
        <v>0.00181923400673401</v>
      </c>
      <c r="J18" s="18">
        <f t="shared" si="12"/>
        <v>0.143690920047583</v>
      </c>
      <c r="K18" s="18">
        <f t="shared" si="13"/>
        <v>0.00127237604747759</v>
      </c>
      <c r="L18" s="18">
        <f t="shared" si="14"/>
        <v>0.00311868686868687</v>
      </c>
      <c r="M18" s="18">
        <v>0</v>
      </c>
      <c r="N18" s="18">
        <f t="shared" si="28"/>
        <v>0</v>
      </c>
      <c r="O18" s="11">
        <v>0</v>
      </c>
      <c r="P18" s="11">
        <v>0</v>
      </c>
      <c r="Q18" s="11">
        <f t="shared" si="15"/>
        <v>1</v>
      </c>
      <c r="R18" s="11">
        <v>0</v>
      </c>
      <c r="S18" s="11">
        <f t="shared" si="16"/>
        <v>0</v>
      </c>
      <c r="T18" s="11">
        <v>0</v>
      </c>
      <c r="U18" s="11">
        <f t="shared" si="17"/>
        <v>1</v>
      </c>
      <c r="V18" s="11">
        <v>0</v>
      </c>
      <c r="W18" s="11">
        <f t="shared" si="18"/>
        <v>1</v>
      </c>
      <c r="X18" s="11">
        <f t="shared" si="19"/>
        <v>0</v>
      </c>
      <c r="Y18" s="19">
        <v>0</v>
      </c>
      <c r="Z18" s="11">
        <v>0</v>
      </c>
      <c r="AA18" s="11">
        <v>2</v>
      </c>
      <c r="AB18" s="11">
        <v>0</v>
      </c>
      <c r="AC18" s="11">
        <v>15</v>
      </c>
      <c r="AD18" s="11">
        <v>12</v>
      </c>
      <c r="AE18" s="11">
        <v>0</v>
      </c>
      <c r="AF18" s="11">
        <v>0</v>
      </c>
      <c r="AG18" s="11">
        <v>0</v>
      </c>
      <c r="AH18" s="11">
        <v>0</v>
      </c>
      <c r="AI18" s="45">
        <v>0</v>
      </c>
      <c r="AJ18" s="45">
        <v>0</v>
      </c>
      <c r="AK18" s="45">
        <f t="shared" si="31"/>
        <v>0</v>
      </c>
      <c r="AL18" s="45">
        <f t="shared" si="32"/>
        <v>0</v>
      </c>
      <c r="AM18" s="45">
        <f t="shared" si="20"/>
        <v>0</v>
      </c>
      <c r="AN18" s="45">
        <f t="shared" si="33"/>
        <v>0</v>
      </c>
      <c r="AO18" s="45">
        <f t="shared" si="21"/>
        <v>0</v>
      </c>
      <c r="AP18" s="45">
        <f t="shared" si="22"/>
        <v>0</v>
      </c>
      <c r="AQ18" s="45">
        <f t="shared" si="23"/>
        <v>0</v>
      </c>
      <c r="AR18" s="45">
        <f t="shared" si="24"/>
        <v>0</v>
      </c>
      <c r="AS18" s="19">
        <f t="shared" si="29"/>
        <v>0</v>
      </c>
      <c r="AT18" s="19">
        <f t="shared" si="30"/>
        <v>0</v>
      </c>
      <c r="AU18" s="46">
        <v>0</v>
      </c>
      <c r="AV18" s="46">
        <v>0</v>
      </c>
      <c r="AW18" s="46">
        <v>0</v>
      </c>
      <c r="AX18" s="46">
        <v>1</v>
      </c>
      <c r="AY18" s="47">
        <v>0</v>
      </c>
      <c r="AZ18" s="47">
        <v>-1</v>
      </c>
    </row>
    <row r="19" hidden="1" customHeight="1" spans="1:52">
      <c r="A19" s="44">
        <v>45344</v>
      </c>
      <c r="B19" s="33">
        <f t="shared" si="8"/>
        <v>672</v>
      </c>
      <c r="C19" s="33">
        <f t="shared" si="9"/>
        <v>4080</v>
      </c>
      <c r="D19" s="11">
        <f t="shared" si="25"/>
        <v>4752</v>
      </c>
      <c r="E19" s="34">
        <f t="shared" si="26"/>
        <v>-1.67013193227029e-7</v>
      </c>
      <c r="F19" s="35">
        <f t="shared" si="10"/>
        <v>0.000209907431320784</v>
      </c>
      <c r="G19" s="18">
        <f>(SUM($I$8:$I19)*(MAX(M$3-M$4,0))+(N19*MAX(M$4,0)))*(1-$AM$4)+(AM19*$AM$4)</f>
        <v>0.00251888917584941</v>
      </c>
      <c r="H19" s="18">
        <f t="shared" si="11"/>
        <v>0.583333333333333</v>
      </c>
      <c r="I19" s="18">
        <f t="shared" si="27"/>
        <v>0.00110970819304153</v>
      </c>
      <c r="J19" s="18">
        <f t="shared" si="12"/>
        <v>0.143576683023416</v>
      </c>
      <c r="K19" s="18">
        <f t="shared" si="13"/>
        <v>0.00127443945978658</v>
      </c>
      <c r="L19" s="18">
        <f t="shared" si="14"/>
        <v>0.00190235690235691</v>
      </c>
      <c r="M19" s="18">
        <v>0</v>
      </c>
      <c r="N19" s="18">
        <f t="shared" si="28"/>
        <v>0</v>
      </c>
      <c r="O19" s="11">
        <v>0</v>
      </c>
      <c r="P19" s="11">
        <v>0</v>
      </c>
      <c r="Q19" s="11">
        <f t="shared" si="15"/>
        <v>1</v>
      </c>
      <c r="R19" s="11">
        <v>0</v>
      </c>
      <c r="S19" s="11">
        <f t="shared" si="16"/>
        <v>0</v>
      </c>
      <c r="T19" s="11">
        <v>0</v>
      </c>
      <c r="U19" s="11">
        <f t="shared" si="17"/>
        <v>1</v>
      </c>
      <c r="V19" s="11">
        <v>0</v>
      </c>
      <c r="W19" s="11">
        <f t="shared" si="18"/>
        <v>1</v>
      </c>
      <c r="X19" s="11">
        <f t="shared" si="19"/>
        <v>0</v>
      </c>
      <c r="Y19" s="19">
        <v>0</v>
      </c>
      <c r="Z19" s="11">
        <v>0</v>
      </c>
      <c r="AA19" s="11">
        <v>4.5</v>
      </c>
      <c r="AB19" s="11">
        <v>0</v>
      </c>
      <c r="AC19" s="11">
        <v>8</v>
      </c>
      <c r="AD19" s="11">
        <v>1</v>
      </c>
      <c r="AE19" s="11">
        <v>0</v>
      </c>
      <c r="AF19" s="11">
        <v>0</v>
      </c>
      <c r="AG19" s="11">
        <v>0</v>
      </c>
      <c r="AH19" s="11">
        <v>0</v>
      </c>
      <c r="AI19" s="45">
        <v>0</v>
      </c>
      <c r="AJ19" s="45">
        <v>0</v>
      </c>
      <c r="AK19" s="45">
        <f t="shared" si="31"/>
        <v>0</v>
      </c>
      <c r="AL19" s="45">
        <f t="shared" si="32"/>
        <v>0</v>
      </c>
      <c r="AM19" s="45">
        <f t="shared" si="20"/>
        <v>0</v>
      </c>
      <c r="AN19" s="45">
        <f t="shared" si="33"/>
        <v>0</v>
      </c>
      <c r="AO19" s="45">
        <f t="shared" si="21"/>
        <v>0</v>
      </c>
      <c r="AP19" s="45">
        <f t="shared" si="22"/>
        <v>0</v>
      </c>
      <c r="AQ19" s="45">
        <f t="shared" si="23"/>
        <v>0</v>
      </c>
      <c r="AR19" s="45">
        <f t="shared" si="24"/>
        <v>0</v>
      </c>
      <c r="AS19" s="19">
        <f t="shared" si="29"/>
        <v>0</v>
      </c>
      <c r="AT19" s="19">
        <f t="shared" si="30"/>
        <v>0</v>
      </c>
      <c r="AU19" s="46">
        <v>0</v>
      </c>
      <c r="AV19" s="46">
        <v>0</v>
      </c>
      <c r="AW19" s="46">
        <v>0</v>
      </c>
      <c r="AX19" s="46">
        <v>1</v>
      </c>
      <c r="AY19" s="47">
        <v>0</v>
      </c>
      <c r="AZ19" s="47">
        <v>-1</v>
      </c>
    </row>
    <row r="20" hidden="1" customHeight="1" spans="1:52">
      <c r="A20" s="44">
        <v>45345</v>
      </c>
      <c r="B20" s="33">
        <f t="shared" si="8"/>
        <v>671</v>
      </c>
      <c r="C20" s="33">
        <f t="shared" si="9"/>
        <v>4082</v>
      </c>
      <c r="D20" s="11">
        <f t="shared" si="25"/>
        <v>4753</v>
      </c>
      <c r="E20" s="34">
        <f t="shared" si="26"/>
        <v>-1.05908664147262e-7</v>
      </c>
      <c r="F20" s="35">
        <f t="shared" si="10"/>
        <v>0.000209801522656636</v>
      </c>
      <c r="G20" s="18">
        <f>(SUM($I$8:$I20)*(MAX(M$3-M$4,0))+(N20*MAX(M$4,0)))*(1-$AM$4)+(AM20*$AM$4)</f>
        <v>0.00272741979453627</v>
      </c>
      <c r="H20" s="18">
        <f t="shared" si="11"/>
        <v>0.583333333333333</v>
      </c>
      <c r="I20" s="18">
        <f t="shared" si="27"/>
        <v>0.0011121632996633</v>
      </c>
      <c r="J20" s="18">
        <f t="shared" si="12"/>
        <v>0.143504241497139</v>
      </c>
      <c r="K20" s="18">
        <f t="shared" si="13"/>
        <v>0.0012764467339834</v>
      </c>
      <c r="L20" s="18">
        <f t="shared" si="14"/>
        <v>0.00190656565656566</v>
      </c>
      <c r="M20" s="18">
        <v>0</v>
      </c>
      <c r="N20" s="18">
        <f t="shared" si="28"/>
        <v>0</v>
      </c>
      <c r="O20" s="11">
        <v>0</v>
      </c>
      <c r="P20" s="11">
        <v>0</v>
      </c>
      <c r="Q20" s="11">
        <f t="shared" si="15"/>
        <v>1</v>
      </c>
      <c r="R20" s="11">
        <v>0</v>
      </c>
      <c r="S20" s="11">
        <f t="shared" si="16"/>
        <v>0</v>
      </c>
      <c r="T20" s="11">
        <v>0</v>
      </c>
      <c r="U20" s="11">
        <f t="shared" si="17"/>
        <v>1</v>
      </c>
      <c r="V20" s="11">
        <v>0</v>
      </c>
      <c r="W20" s="11">
        <f t="shared" si="18"/>
        <v>1</v>
      </c>
      <c r="X20" s="11">
        <f t="shared" si="19"/>
        <v>0</v>
      </c>
      <c r="Y20" s="19">
        <v>0</v>
      </c>
      <c r="Z20" s="11">
        <v>0</v>
      </c>
      <c r="AA20" s="11">
        <v>2</v>
      </c>
      <c r="AB20" s="11">
        <v>0</v>
      </c>
      <c r="AC20" s="11">
        <v>11</v>
      </c>
      <c r="AD20" s="11">
        <v>3</v>
      </c>
      <c r="AE20" s="11">
        <v>0</v>
      </c>
      <c r="AF20" s="11">
        <v>0</v>
      </c>
      <c r="AG20" s="11">
        <v>0</v>
      </c>
      <c r="AH20" s="11">
        <v>0</v>
      </c>
      <c r="AI20" s="45">
        <v>0</v>
      </c>
      <c r="AJ20" s="45">
        <v>0</v>
      </c>
      <c r="AK20" s="45">
        <f t="shared" si="31"/>
        <v>0</v>
      </c>
      <c r="AL20" s="45">
        <f t="shared" si="32"/>
        <v>0</v>
      </c>
      <c r="AM20" s="45">
        <f t="shared" si="20"/>
        <v>0</v>
      </c>
      <c r="AN20" s="45">
        <f t="shared" si="33"/>
        <v>0</v>
      </c>
      <c r="AO20" s="45">
        <f t="shared" si="21"/>
        <v>0</v>
      </c>
      <c r="AP20" s="45">
        <f t="shared" si="22"/>
        <v>0</v>
      </c>
      <c r="AQ20" s="45">
        <f t="shared" si="23"/>
        <v>0</v>
      </c>
      <c r="AR20" s="45">
        <f t="shared" si="24"/>
        <v>0</v>
      </c>
      <c r="AS20" s="19">
        <f t="shared" si="29"/>
        <v>0</v>
      </c>
      <c r="AT20" s="19">
        <f t="shared" si="30"/>
        <v>0</v>
      </c>
      <c r="AU20" s="46">
        <v>0</v>
      </c>
      <c r="AV20" s="46">
        <v>0</v>
      </c>
      <c r="AW20" s="46">
        <v>0</v>
      </c>
      <c r="AX20" s="46">
        <v>1</v>
      </c>
      <c r="AY20" s="47">
        <v>0</v>
      </c>
      <c r="AZ20" s="47">
        <v>-1</v>
      </c>
    </row>
    <row r="21" hidden="1" customHeight="1" spans="1:52">
      <c r="A21" s="44">
        <v>45346</v>
      </c>
      <c r="B21" s="33">
        <f t="shared" si="8"/>
        <v>670</v>
      </c>
      <c r="C21" s="33">
        <f t="shared" si="9"/>
        <v>4091</v>
      </c>
      <c r="D21" s="11">
        <f t="shared" si="25"/>
        <v>4761</v>
      </c>
      <c r="E21" s="34">
        <f t="shared" si="26"/>
        <v>-3.86706885286477e-7</v>
      </c>
      <c r="F21" s="35">
        <f t="shared" si="10"/>
        <v>0.00020941481577135</v>
      </c>
      <c r="G21" s="18">
        <f>(SUM($I$8:$I21)*(MAX(M$3-M$4,0))+(N21*MAX(M$4,0)))*(1-$AM$4)+(AM21*$AM$4)</f>
        <v>0.0029318074207989</v>
      </c>
      <c r="H21" s="18">
        <f t="shared" si="11"/>
        <v>0.583333333333333</v>
      </c>
      <c r="I21" s="18">
        <f t="shared" si="27"/>
        <v>0.00109006734006734</v>
      </c>
      <c r="J21" s="18">
        <f t="shared" si="12"/>
        <v>0.143239733987603</v>
      </c>
      <c r="K21" s="18">
        <f t="shared" si="13"/>
        <v>0.00127874666569014</v>
      </c>
      <c r="L21" s="18">
        <f t="shared" si="14"/>
        <v>0.00186868686868687</v>
      </c>
      <c r="M21" s="18">
        <v>0</v>
      </c>
      <c r="N21" s="18">
        <f t="shared" si="28"/>
        <v>0</v>
      </c>
      <c r="O21" s="11">
        <v>0</v>
      </c>
      <c r="P21" s="11">
        <v>0</v>
      </c>
      <c r="Q21" s="11">
        <f t="shared" si="15"/>
        <v>1</v>
      </c>
      <c r="R21" s="11">
        <v>0</v>
      </c>
      <c r="S21" s="11">
        <f t="shared" si="16"/>
        <v>0</v>
      </c>
      <c r="T21" s="11">
        <v>0</v>
      </c>
      <c r="U21" s="11">
        <f t="shared" si="17"/>
        <v>1</v>
      </c>
      <c r="V21" s="11">
        <v>0</v>
      </c>
      <c r="W21" s="11">
        <f t="shared" si="18"/>
        <v>1</v>
      </c>
      <c r="X21" s="11">
        <f t="shared" si="19"/>
        <v>0</v>
      </c>
      <c r="Y21" s="19">
        <v>0</v>
      </c>
      <c r="Z21" s="11">
        <v>0</v>
      </c>
      <c r="AA21" s="11">
        <v>7</v>
      </c>
      <c r="AB21" s="11">
        <v>0</v>
      </c>
      <c r="AC21" s="11">
        <v>4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45">
        <v>0</v>
      </c>
      <c r="AJ21" s="45">
        <v>0</v>
      </c>
      <c r="AK21" s="45">
        <f t="shared" si="31"/>
        <v>0</v>
      </c>
      <c r="AL21" s="45">
        <f t="shared" si="32"/>
        <v>0</v>
      </c>
      <c r="AM21" s="45">
        <f t="shared" si="20"/>
        <v>0</v>
      </c>
      <c r="AN21" s="45">
        <f t="shared" si="33"/>
        <v>0</v>
      </c>
      <c r="AO21" s="45">
        <f t="shared" si="21"/>
        <v>0</v>
      </c>
      <c r="AP21" s="45">
        <f t="shared" si="22"/>
        <v>0</v>
      </c>
      <c r="AQ21" s="45">
        <f t="shared" si="23"/>
        <v>0</v>
      </c>
      <c r="AR21" s="45">
        <f t="shared" si="24"/>
        <v>0</v>
      </c>
      <c r="AS21" s="19">
        <f t="shared" si="29"/>
        <v>0</v>
      </c>
      <c r="AT21" s="19">
        <f t="shared" si="30"/>
        <v>0</v>
      </c>
      <c r="AU21" s="46">
        <v>0</v>
      </c>
      <c r="AV21" s="46">
        <v>0</v>
      </c>
      <c r="AW21" s="46">
        <v>0</v>
      </c>
      <c r="AX21" s="46">
        <v>1</v>
      </c>
      <c r="AY21" s="47">
        <v>0</v>
      </c>
      <c r="AZ21" s="47">
        <v>-1</v>
      </c>
    </row>
    <row r="22" hidden="1" customHeight="1" spans="1:52">
      <c r="A22" s="44">
        <v>45347</v>
      </c>
      <c r="B22" s="33">
        <f t="shared" si="8"/>
        <v>669</v>
      </c>
      <c r="C22" s="33">
        <f t="shared" si="9"/>
        <v>4094</v>
      </c>
      <c r="D22" s="11">
        <f t="shared" si="25"/>
        <v>4763</v>
      </c>
      <c r="E22" s="34">
        <f t="shared" si="26"/>
        <v>-1.14186371288606e-7</v>
      </c>
      <c r="F22" s="35">
        <f t="shared" si="10"/>
        <v>0.000209300629400061</v>
      </c>
      <c r="G22" s="18">
        <f>(SUM($I$8:$I22)*(MAX(M$3-M$4,0))+(N22*MAX(M$4,0)))*(1-$AM$4)+(AM22*$AM$4)</f>
        <v>0.00313950944100092</v>
      </c>
      <c r="H22" s="18">
        <f t="shared" si="11"/>
        <v>0.583333333333333</v>
      </c>
      <c r="I22" s="18">
        <f t="shared" si="27"/>
        <v>0.00110774410774411</v>
      </c>
      <c r="J22" s="18">
        <f t="shared" si="12"/>
        <v>0.143161630509642</v>
      </c>
      <c r="K22" s="18">
        <f t="shared" si="13"/>
        <v>0.00128077484228753</v>
      </c>
      <c r="L22" s="18">
        <f t="shared" si="14"/>
        <v>0.0018989898989899</v>
      </c>
      <c r="M22" s="18">
        <v>0</v>
      </c>
      <c r="N22" s="18">
        <f t="shared" si="28"/>
        <v>0</v>
      </c>
      <c r="O22" s="11">
        <v>0</v>
      </c>
      <c r="P22" s="11">
        <v>0</v>
      </c>
      <c r="Q22" s="11">
        <f t="shared" si="15"/>
        <v>1</v>
      </c>
      <c r="R22" s="11">
        <v>0</v>
      </c>
      <c r="S22" s="11">
        <f t="shared" si="16"/>
        <v>0</v>
      </c>
      <c r="T22" s="11">
        <v>0</v>
      </c>
      <c r="U22" s="11">
        <f t="shared" si="17"/>
        <v>1</v>
      </c>
      <c r="V22" s="11">
        <v>0</v>
      </c>
      <c r="W22" s="11">
        <f t="shared" si="18"/>
        <v>1</v>
      </c>
      <c r="X22" s="11">
        <f t="shared" si="19"/>
        <v>0</v>
      </c>
      <c r="Y22" s="19">
        <v>2.08</v>
      </c>
      <c r="Z22" s="11">
        <v>0</v>
      </c>
      <c r="AA22" s="11">
        <v>2</v>
      </c>
      <c r="AB22" s="11">
        <v>0</v>
      </c>
      <c r="AC22" s="11">
        <v>4</v>
      </c>
      <c r="AD22" s="11">
        <v>3</v>
      </c>
      <c r="AE22" s="11">
        <v>0</v>
      </c>
      <c r="AF22" s="11">
        <v>0</v>
      </c>
      <c r="AG22" s="11">
        <v>0</v>
      </c>
      <c r="AH22" s="11">
        <v>0</v>
      </c>
      <c r="AI22" s="45">
        <v>0</v>
      </c>
      <c r="AJ22" s="45">
        <v>0</v>
      </c>
      <c r="AK22" s="45">
        <f t="shared" si="31"/>
        <v>0</v>
      </c>
      <c r="AL22" s="45">
        <f t="shared" si="32"/>
        <v>0</v>
      </c>
      <c r="AM22" s="45">
        <f t="shared" si="20"/>
        <v>0</v>
      </c>
      <c r="AN22" s="45">
        <f t="shared" si="33"/>
        <v>0</v>
      </c>
      <c r="AO22" s="45">
        <f t="shared" si="21"/>
        <v>0</v>
      </c>
      <c r="AP22" s="45">
        <f t="shared" si="22"/>
        <v>0</v>
      </c>
      <c r="AQ22" s="45">
        <f t="shared" si="23"/>
        <v>0</v>
      </c>
      <c r="AR22" s="45">
        <f t="shared" si="24"/>
        <v>0</v>
      </c>
      <c r="AS22" s="19">
        <f t="shared" si="29"/>
        <v>0</v>
      </c>
      <c r="AT22" s="19">
        <f t="shared" si="30"/>
        <v>0</v>
      </c>
      <c r="AU22" s="46">
        <v>0</v>
      </c>
      <c r="AV22" s="46">
        <v>0</v>
      </c>
      <c r="AW22" s="46">
        <v>0</v>
      </c>
      <c r="AX22" s="46">
        <v>1</v>
      </c>
      <c r="AY22" s="47">
        <v>0</v>
      </c>
      <c r="AZ22" s="47">
        <v>-1</v>
      </c>
    </row>
    <row r="23" hidden="1" customHeight="1" spans="1:52">
      <c r="A23" s="44">
        <v>45348</v>
      </c>
      <c r="B23" s="33">
        <f t="shared" si="8"/>
        <v>668</v>
      </c>
      <c r="C23" s="33">
        <f t="shared" si="9"/>
        <v>3996</v>
      </c>
      <c r="D23" s="11">
        <f t="shared" si="25"/>
        <v>4664</v>
      </c>
      <c r="E23" s="34">
        <f t="shared" si="26"/>
        <v>4.35380378118299e-6</v>
      </c>
      <c r="F23" s="35">
        <f t="shared" si="10"/>
        <v>0.000213654433181244</v>
      </c>
      <c r="G23" s="18">
        <f>(SUM($I$8:$I23)*(MAX(M$3-M$4,0))+(N23*MAX(M$4,0)))*(1-$AM$4)+(AM23*$AM$4)</f>
        <v>0.00341847093089991</v>
      </c>
      <c r="H23" s="18">
        <f t="shared" si="11"/>
        <v>0.583333333333333</v>
      </c>
      <c r="I23" s="18">
        <f t="shared" si="27"/>
        <v>0.00148779461279461</v>
      </c>
      <c r="J23" s="18">
        <f t="shared" si="12"/>
        <v>0.146139632295971</v>
      </c>
      <c r="K23" s="18">
        <f t="shared" si="13"/>
        <v>0.00127823408338926</v>
      </c>
      <c r="L23" s="18">
        <f t="shared" si="14"/>
        <v>0.00255050505050505</v>
      </c>
      <c r="M23" s="18">
        <v>0</v>
      </c>
      <c r="N23" s="18">
        <f t="shared" si="28"/>
        <v>0</v>
      </c>
      <c r="O23" s="11">
        <v>0</v>
      </c>
      <c r="P23" s="11">
        <v>0</v>
      </c>
      <c r="Q23" s="11">
        <f t="shared" si="15"/>
        <v>1</v>
      </c>
      <c r="R23" s="11">
        <v>0</v>
      </c>
      <c r="S23" s="11">
        <f t="shared" si="16"/>
        <v>0</v>
      </c>
      <c r="T23" s="11">
        <v>0</v>
      </c>
      <c r="U23" s="11">
        <f t="shared" si="17"/>
        <v>1</v>
      </c>
      <c r="V23" s="11">
        <v>0</v>
      </c>
      <c r="W23" s="11">
        <f t="shared" si="18"/>
        <v>1</v>
      </c>
      <c r="X23" s="11">
        <f t="shared" si="19"/>
        <v>0</v>
      </c>
      <c r="Y23" s="19">
        <v>0</v>
      </c>
      <c r="Z23" s="11">
        <v>0</v>
      </c>
      <c r="AA23" s="11">
        <v>2</v>
      </c>
      <c r="AB23" s="11">
        <v>0</v>
      </c>
      <c r="AC23" s="11">
        <v>10</v>
      </c>
      <c r="AD23" s="11">
        <v>12</v>
      </c>
      <c r="AE23" s="11">
        <v>0</v>
      </c>
      <c r="AF23" s="11">
        <v>0</v>
      </c>
      <c r="AG23" s="11">
        <v>0</v>
      </c>
      <c r="AH23" s="11">
        <v>0</v>
      </c>
      <c r="AI23" s="45">
        <v>0</v>
      </c>
      <c r="AJ23" s="45">
        <v>0</v>
      </c>
      <c r="AK23" s="45">
        <f t="shared" si="31"/>
        <v>0</v>
      </c>
      <c r="AL23" s="45">
        <f t="shared" si="32"/>
        <v>0</v>
      </c>
      <c r="AM23" s="45">
        <f t="shared" si="20"/>
        <v>0</v>
      </c>
      <c r="AN23" s="45">
        <f t="shared" si="33"/>
        <v>0</v>
      </c>
      <c r="AO23" s="45">
        <f t="shared" si="21"/>
        <v>0</v>
      </c>
      <c r="AP23" s="45">
        <f t="shared" si="22"/>
        <v>0</v>
      </c>
      <c r="AQ23" s="45">
        <f t="shared" si="23"/>
        <v>0</v>
      </c>
      <c r="AR23" s="45">
        <f t="shared" si="24"/>
        <v>0</v>
      </c>
      <c r="AS23" s="19">
        <f t="shared" si="29"/>
        <v>0</v>
      </c>
      <c r="AT23" s="19">
        <f t="shared" si="30"/>
        <v>0</v>
      </c>
      <c r="AU23" s="46">
        <v>0</v>
      </c>
      <c r="AV23" s="46">
        <v>0</v>
      </c>
      <c r="AW23" s="46">
        <v>0</v>
      </c>
      <c r="AX23" s="46">
        <v>1</v>
      </c>
      <c r="AY23" s="47">
        <v>0</v>
      </c>
      <c r="AZ23" s="47">
        <v>-1</v>
      </c>
    </row>
    <row r="24" hidden="1" customHeight="1" spans="1:52">
      <c r="A24" s="44">
        <v>45349</v>
      </c>
      <c r="B24" s="33">
        <f t="shared" si="8"/>
        <v>667</v>
      </c>
      <c r="C24" s="33">
        <f t="shared" si="9"/>
        <v>4000</v>
      </c>
      <c r="D24" s="11">
        <f t="shared" si="25"/>
        <v>4667</v>
      </c>
      <c r="E24" s="34">
        <f t="shared" si="26"/>
        <v>-1.38930561463556e-7</v>
      </c>
      <c r="F24" s="35">
        <f t="shared" si="10"/>
        <v>0.000213515502619781</v>
      </c>
      <c r="G24" s="18">
        <f>(SUM($I$8:$I24)*(MAX(M$3-M$4,0))+(N24*MAX(M$4,0)))*(1-$AM$4)+(AM24*$AM$4)</f>
        <v>0.00362976354453627</v>
      </c>
      <c r="H24" s="18">
        <f t="shared" si="11"/>
        <v>0.583333333333333</v>
      </c>
      <c r="I24" s="18">
        <f t="shared" si="27"/>
        <v>0.00112689393939394</v>
      </c>
      <c r="J24" s="18">
        <f t="shared" si="12"/>
        <v>0.14604460379193</v>
      </c>
      <c r="K24" s="18">
        <f t="shared" si="13"/>
        <v>0.00128029294783819</v>
      </c>
      <c r="L24" s="18">
        <f t="shared" si="14"/>
        <v>0.00193181818181818</v>
      </c>
      <c r="M24" s="18">
        <v>0</v>
      </c>
      <c r="N24" s="18">
        <f t="shared" si="28"/>
        <v>0</v>
      </c>
      <c r="O24" s="11">
        <v>0</v>
      </c>
      <c r="P24" s="11">
        <v>0</v>
      </c>
      <c r="Q24" s="11">
        <f t="shared" si="15"/>
        <v>1</v>
      </c>
      <c r="R24" s="11">
        <v>0</v>
      </c>
      <c r="S24" s="11">
        <f t="shared" si="16"/>
        <v>0</v>
      </c>
      <c r="T24" s="11">
        <v>0</v>
      </c>
      <c r="U24" s="11">
        <f t="shared" si="17"/>
        <v>1</v>
      </c>
      <c r="V24" s="11">
        <v>0</v>
      </c>
      <c r="W24" s="11">
        <f t="shared" si="18"/>
        <v>1</v>
      </c>
      <c r="X24" s="11">
        <f t="shared" si="19"/>
        <v>0</v>
      </c>
      <c r="Y24" s="19">
        <v>0</v>
      </c>
      <c r="Z24" s="11">
        <v>0</v>
      </c>
      <c r="AA24" s="11">
        <v>6</v>
      </c>
      <c r="AB24" s="11">
        <v>1</v>
      </c>
      <c r="AC24" s="11">
        <v>5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45">
        <v>0</v>
      </c>
      <c r="AJ24" s="45">
        <v>0</v>
      </c>
      <c r="AK24" s="45">
        <f t="shared" si="31"/>
        <v>0</v>
      </c>
      <c r="AL24" s="45">
        <f t="shared" si="32"/>
        <v>0</v>
      </c>
      <c r="AM24" s="45">
        <f t="shared" si="20"/>
        <v>0</v>
      </c>
      <c r="AN24" s="45">
        <f t="shared" si="33"/>
        <v>0</v>
      </c>
      <c r="AO24" s="45">
        <f t="shared" si="21"/>
        <v>0</v>
      </c>
      <c r="AP24" s="45">
        <f t="shared" si="22"/>
        <v>0</v>
      </c>
      <c r="AQ24" s="45">
        <f t="shared" si="23"/>
        <v>0</v>
      </c>
      <c r="AR24" s="45">
        <f t="shared" si="24"/>
        <v>0</v>
      </c>
      <c r="AS24" s="19">
        <f t="shared" si="29"/>
        <v>0</v>
      </c>
      <c r="AT24" s="19">
        <f t="shared" si="30"/>
        <v>0</v>
      </c>
      <c r="AU24" s="46">
        <v>0</v>
      </c>
      <c r="AV24" s="46">
        <v>0</v>
      </c>
      <c r="AW24" s="46">
        <v>0</v>
      </c>
      <c r="AX24" s="46">
        <v>1</v>
      </c>
      <c r="AY24" s="47">
        <v>0</v>
      </c>
      <c r="AZ24" s="47">
        <v>-1</v>
      </c>
    </row>
    <row r="25" hidden="1" customHeight="1" spans="1:52">
      <c r="A25" s="44">
        <v>45350</v>
      </c>
      <c r="B25" s="33">
        <f t="shared" si="8"/>
        <v>666</v>
      </c>
      <c r="C25" s="33">
        <f t="shared" si="9"/>
        <v>4004</v>
      </c>
      <c r="D25" s="11">
        <f t="shared" si="25"/>
        <v>4670</v>
      </c>
      <c r="E25" s="34">
        <f t="shared" si="26"/>
        <v>-2.00215914342481e-7</v>
      </c>
      <c r="F25" s="35">
        <f t="shared" si="10"/>
        <v>0.000213315286705438</v>
      </c>
      <c r="G25" s="18">
        <f>(SUM($I$8:$I25)*(MAX(M$3-M$4,0))+(N25*MAX(M$4,0)))*(1-$AM$4)+(AM25*$AM$4)</f>
        <v>0.00383967516069789</v>
      </c>
      <c r="H25" s="18">
        <f t="shared" si="11"/>
        <v>0.583333333333333</v>
      </c>
      <c r="I25" s="18">
        <f t="shared" si="27"/>
        <v>0.00111952861952862</v>
      </c>
      <c r="J25" s="18">
        <f t="shared" si="12"/>
        <v>0.14590765610652</v>
      </c>
      <c r="K25" s="18">
        <f t="shared" si="13"/>
        <v>0.001282420936777</v>
      </c>
      <c r="L25" s="18">
        <f t="shared" si="14"/>
        <v>0.00191919191919192</v>
      </c>
      <c r="M25" s="18">
        <v>0</v>
      </c>
      <c r="N25" s="18">
        <f t="shared" si="28"/>
        <v>0</v>
      </c>
      <c r="O25" s="11">
        <v>0</v>
      </c>
      <c r="P25" s="11">
        <v>0</v>
      </c>
      <c r="Q25" s="11">
        <f t="shared" si="15"/>
        <v>1</v>
      </c>
      <c r="R25" s="11">
        <v>0</v>
      </c>
      <c r="S25" s="11">
        <f t="shared" si="16"/>
        <v>0</v>
      </c>
      <c r="T25" s="11">
        <v>0</v>
      </c>
      <c r="U25" s="11">
        <f t="shared" si="17"/>
        <v>1</v>
      </c>
      <c r="V25" s="11">
        <v>0</v>
      </c>
      <c r="W25" s="11">
        <f t="shared" si="18"/>
        <v>1</v>
      </c>
      <c r="X25" s="11">
        <f t="shared" si="19"/>
        <v>0</v>
      </c>
      <c r="Y25" s="19">
        <v>0</v>
      </c>
      <c r="Z25" s="11">
        <v>0</v>
      </c>
      <c r="AA25" s="11">
        <v>5</v>
      </c>
      <c r="AB25" s="11">
        <v>0</v>
      </c>
      <c r="AC25" s="11">
        <v>8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45">
        <v>0</v>
      </c>
      <c r="AJ25" s="45">
        <v>0</v>
      </c>
      <c r="AK25" s="45">
        <f t="shared" si="31"/>
        <v>0</v>
      </c>
      <c r="AL25" s="45">
        <f t="shared" si="32"/>
        <v>0</v>
      </c>
      <c r="AM25" s="45">
        <f t="shared" si="20"/>
        <v>0</v>
      </c>
      <c r="AN25" s="45">
        <f t="shared" si="33"/>
        <v>0</v>
      </c>
      <c r="AO25" s="45">
        <f t="shared" si="21"/>
        <v>0</v>
      </c>
      <c r="AP25" s="45">
        <f t="shared" si="22"/>
        <v>0</v>
      </c>
      <c r="AQ25" s="45">
        <f t="shared" si="23"/>
        <v>0</v>
      </c>
      <c r="AR25" s="45">
        <f t="shared" si="24"/>
        <v>0</v>
      </c>
      <c r="AS25" s="19">
        <f t="shared" si="29"/>
        <v>0</v>
      </c>
      <c r="AT25" s="19">
        <f t="shared" si="30"/>
        <v>0</v>
      </c>
      <c r="AU25" s="46">
        <v>0</v>
      </c>
      <c r="AV25" s="46">
        <v>0</v>
      </c>
      <c r="AW25" s="46">
        <v>0</v>
      </c>
      <c r="AX25" s="46">
        <v>1</v>
      </c>
      <c r="AY25" s="47">
        <v>0</v>
      </c>
      <c r="AZ25" s="47">
        <v>-1</v>
      </c>
    </row>
    <row r="26" hidden="1" customHeight="1" spans="1:52">
      <c r="A26" s="44">
        <v>45351</v>
      </c>
      <c r="B26" s="33">
        <f t="shared" si="8"/>
        <v>665</v>
      </c>
      <c r="C26" s="33">
        <f t="shared" si="9"/>
        <v>4007</v>
      </c>
      <c r="D26" s="11">
        <f t="shared" si="25"/>
        <v>4672</v>
      </c>
      <c r="E26" s="34">
        <f t="shared" si="26"/>
        <v>-1.42798516128829e-7</v>
      </c>
      <c r="F26" s="35">
        <f t="shared" si="10"/>
        <v>0.00021317248818931</v>
      </c>
      <c r="G26" s="18">
        <f>(SUM($I$8:$I26)*(MAX(M$3-M$4,0))+(N26*MAX(M$4,0)))*(1-$AM$4)+(AM26*$AM$4)</f>
        <v>0.00405027727559688</v>
      </c>
      <c r="H26" s="18">
        <f t="shared" si="11"/>
        <v>0.583333333333333</v>
      </c>
      <c r="I26" s="18">
        <f t="shared" si="27"/>
        <v>0.00112321127946128</v>
      </c>
      <c r="J26" s="18">
        <f t="shared" si="12"/>
        <v>0.145809981921488</v>
      </c>
      <c r="K26" s="18">
        <f t="shared" si="13"/>
        <v>0.00128449626778724</v>
      </c>
      <c r="L26" s="18">
        <f t="shared" si="14"/>
        <v>0.00192550505050506</v>
      </c>
      <c r="M26" s="18">
        <v>0</v>
      </c>
      <c r="N26" s="18">
        <f t="shared" si="28"/>
        <v>0</v>
      </c>
      <c r="O26" s="11">
        <v>0</v>
      </c>
      <c r="P26" s="11">
        <v>0</v>
      </c>
      <c r="Q26" s="11">
        <f t="shared" si="15"/>
        <v>1</v>
      </c>
      <c r="R26" s="11">
        <v>0</v>
      </c>
      <c r="S26" s="11">
        <f t="shared" si="16"/>
        <v>0</v>
      </c>
      <c r="T26" s="11">
        <v>0</v>
      </c>
      <c r="U26" s="11">
        <f t="shared" si="17"/>
        <v>1</v>
      </c>
      <c r="V26" s="11">
        <v>0</v>
      </c>
      <c r="W26" s="11">
        <f t="shared" si="18"/>
        <v>1</v>
      </c>
      <c r="X26" s="11">
        <f t="shared" si="19"/>
        <v>0</v>
      </c>
      <c r="Y26" s="19">
        <v>4.25</v>
      </c>
      <c r="Z26" s="11">
        <v>0</v>
      </c>
      <c r="AA26" s="11">
        <v>1</v>
      </c>
      <c r="AB26" s="11">
        <v>0</v>
      </c>
      <c r="AC26" s="11">
        <v>1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45">
        <v>0</v>
      </c>
      <c r="AJ26" s="45">
        <v>0</v>
      </c>
      <c r="AK26" s="45">
        <f t="shared" si="31"/>
        <v>0</v>
      </c>
      <c r="AL26" s="45">
        <f t="shared" si="32"/>
        <v>0</v>
      </c>
      <c r="AM26" s="45">
        <f t="shared" si="20"/>
        <v>0</v>
      </c>
      <c r="AN26" s="45">
        <f t="shared" si="33"/>
        <v>0</v>
      </c>
      <c r="AO26" s="45">
        <f t="shared" si="21"/>
        <v>0</v>
      </c>
      <c r="AP26" s="45">
        <f t="shared" si="22"/>
        <v>0</v>
      </c>
      <c r="AQ26" s="45">
        <f t="shared" si="23"/>
        <v>0</v>
      </c>
      <c r="AR26" s="45">
        <f t="shared" si="24"/>
        <v>0</v>
      </c>
      <c r="AS26" s="19">
        <f t="shared" si="29"/>
        <v>0</v>
      </c>
      <c r="AT26" s="19">
        <f t="shared" si="30"/>
        <v>0</v>
      </c>
      <c r="AU26" s="46">
        <v>0</v>
      </c>
      <c r="AV26" s="46">
        <v>0</v>
      </c>
      <c r="AW26" s="46">
        <v>0</v>
      </c>
      <c r="AX26" s="46">
        <v>1</v>
      </c>
      <c r="AY26" s="47">
        <v>0</v>
      </c>
      <c r="AZ26" s="47">
        <v>-1</v>
      </c>
    </row>
    <row r="27" hidden="1" customHeight="1" spans="1:52">
      <c r="A27" s="44">
        <v>45352</v>
      </c>
      <c r="B27" s="33">
        <f t="shared" si="8"/>
        <v>664</v>
      </c>
      <c r="C27" s="33">
        <f t="shared" si="9"/>
        <v>3880</v>
      </c>
      <c r="D27" s="11">
        <f t="shared" si="25"/>
        <v>4544</v>
      </c>
      <c r="E27" s="34">
        <f t="shared" si="26"/>
        <v>5.91334528750418e-6</v>
      </c>
      <c r="F27" s="35">
        <f t="shared" si="10"/>
        <v>0.000219085833476814</v>
      </c>
      <c r="G27" s="18">
        <f>(SUM($I$8:$I27)*(MAX(M$3-M$4,0))+(N27*MAX(M$4,0)))*(1-$AM$4)+(AM27*$AM$4)</f>
        <v>0.00438171666953627</v>
      </c>
      <c r="H27" s="18">
        <f t="shared" si="11"/>
        <v>0.625</v>
      </c>
      <c r="I27" s="18">
        <f t="shared" si="27"/>
        <v>0.00176767676767677</v>
      </c>
      <c r="J27" s="18">
        <f t="shared" si="12"/>
        <v>0.149854710098141</v>
      </c>
      <c r="K27" s="18">
        <f t="shared" si="13"/>
        <v>0.00128033929202087</v>
      </c>
      <c r="L27" s="18">
        <f t="shared" si="14"/>
        <v>0.00282828282828283</v>
      </c>
      <c r="M27" s="18">
        <v>0</v>
      </c>
      <c r="N27" s="18">
        <f t="shared" si="28"/>
        <v>0</v>
      </c>
      <c r="O27" s="11">
        <v>0</v>
      </c>
      <c r="P27" s="11">
        <v>0</v>
      </c>
      <c r="Q27" s="11">
        <f t="shared" si="15"/>
        <v>1</v>
      </c>
      <c r="R27" s="11">
        <v>0</v>
      </c>
      <c r="S27" s="11">
        <f t="shared" si="16"/>
        <v>0</v>
      </c>
      <c r="T27" s="11">
        <v>0</v>
      </c>
      <c r="U27" s="11">
        <f t="shared" si="17"/>
        <v>1</v>
      </c>
      <c r="V27" s="11">
        <v>0</v>
      </c>
      <c r="W27" s="11">
        <f t="shared" si="18"/>
        <v>1</v>
      </c>
      <c r="X27" s="11">
        <f t="shared" si="19"/>
        <v>0</v>
      </c>
      <c r="Y27" s="19">
        <v>0</v>
      </c>
      <c r="Z27" s="11">
        <v>0</v>
      </c>
      <c r="AA27" s="11">
        <v>5</v>
      </c>
      <c r="AB27" s="11">
        <v>0</v>
      </c>
      <c r="AC27" s="11">
        <v>16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45">
        <v>0</v>
      </c>
      <c r="AJ27" s="45">
        <v>0</v>
      </c>
      <c r="AK27" s="45">
        <f t="shared" si="31"/>
        <v>0</v>
      </c>
      <c r="AL27" s="45">
        <f t="shared" si="32"/>
        <v>0</v>
      </c>
      <c r="AM27" s="45">
        <f t="shared" si="20"/>
        <v>0</v>
      </c>
      <c r="AN27" s="45">
        <f t="shared" si="33"/>
        <v>0</v>
      </c>
      <c r="AO27" s="45">
        <f t="shared" si="21"/>
        <v>0</v>
      </c>
      <c r="AP27" s="45">
        <f t="shared" si="22"/>
        <v>0</v>
      </c>
      <c r="AQ27" s="45">
        <f t="shared" si="23"/>
        <v>0</v>
      </c>
      <c r="AR27" s="45">
        <f t="shared" si="24"/>
        <v>0</v>
      </c>
      <c r="AS27" s="19">
        <f t="shared" si="29"/>
        <v>0</v>
      </c>
      <c r="AT27" s="19">
        <f t="shared" si="30"/>
        <v>0</v>
      </c>
      <c r="AU27" s="46">
        <v>0</v>
      </c>
      <c r="AV27" s="46">
        <v>0</v>
      </c>
      <c r="AW27" s="46">
        <v>0</v>
      </c>
      <c r="AX27" s="46">
        <v>1</v>
      </c>
      <c r="AY27" s="47">
        <v>0</v>
      </c>
      <c r="AZ27" s="47">
        <v>-1</v>
      </c>
    </row>
    <row r="28" hidden="1" customHeight="1" spans="1:52">
      <c r="A28" s="44">
        <v>45353</v>
      </c>
      <c r="B28" s="33">
        <f t="shared" si="8"/>
        <v>663</v>
      </c>
      <c r="C28" s="33">
        <f t="shared" si="9"/>
        <v>3653</v>
      </c>
      <c r="D28" s="11">
        <f t="shared" si="25"/>
        <v>4316</v>
      </c>
      <c r="E28" s="34">
        <f t="shared" si="26"/>
        <v>1.14871532218834e-5</v>
      </c>
      <c r="F28" s="35">
        <f t="shared" si="10"/>
        <v>0.000230572986698697</v>
      </c>
      <c r="G28" s="18">
        <f>(SUM($I$8:$I28)*(MAX(M$3-M$4,0))+(N28*MAX(M$4,0)))*(1-$AM$4)+(AM28*$AM$4)</f>
        <v>0.00484203272067264</v>
      </c>
      <c r="H28" s="18">
        <f t="shared" si="11"/>
        <v>0.625</v>
      </c>
      <c r="I28" s="18">
        <f t="shared" si="27"/>
        <v>0.00245501893939394</v>
      </c>
      <c r="J28" s="18">
        <f t="shared" si="12"/>
        <v>0.157711922901909</v>
      </c>
      <c r="K28" s="18">
        <f t="shared" si="13"/>
        <v>0.00127041942247073</v>
      </c>
      <c r="L28" s="18">
        <f t="shared" si="14"/>
        <v>0.00392803030303031</v>
      </c>
      <c r="M28" s="18">
        <v>0</v>
      </c>
      <c r="N28" s="18">
        <f t="shared" si="28"/>
        <v>0</v>
      </c>
      <c r="O28" s="11">
        <v>0</v>
      </c>
      <c r="P28" s="11">
        <v>0</v>
      </c>
      <c r="Q28" s="11">
        <f t="shared" si="15"/>
        <v>1</v>
      </c>
      <c r="R28" s="11">
        <v>0</v>
      </c>
      <c r="S28" s="11">
        <f t="shared" si="16"/>
        <v>0</v>
      </c>
      <c r="T28" s="11">
        <v>0</v>
      </c>
      <c r="U28" s="11">
        <f t="shared" si="17"/>
        <v>1</v>
      </c>
      <c r="V28" s="11">
        <v>0</v>
      </c>
      <c r="W28" s="11">
        <f t="shared" si="18"/>
        <v>1</v>
      </c>
      <c r="X28" s="11">
        <f t="shared" si="19"/>
        <v>0</v>
      </c>
      <c r="Y28" s="19">
        <v>5.67</v>
      </c>
      <c r="Z28" s="11">
        <v>0</v>
      </c>
      <c r="AA28" s="11">
        <v>6</v>
      </c>
      <c r="AB28" s="11">
        <v>0</v>
      </c>
      <c r="AC28" s="11">
        <v>5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45">
        <v>0</v>
      </c>
      <c r="AJ28" s="45">
        <v>0</v>
      </c>
      <c r="AK28" s="45">
        <f t="shared" si="31"/>
        <v>0</v>
      </c>
      <c r="AL28" s="45">
        <f t="shared" si="32"/>
        <v>0</v>
      </c>
      <c r="AM28" s="45">
        <f t="shared" si="20"/>
        <v>0</v>
      </c>
      <c r="AN28" s="45">
        <f t="shared" si="33"/>
        <v>0</v>
      </c>
      <c r="AO28" s="45">
        <f t="shared" si="21"/>
        <v>0</v>
      </c>
      <c r="AP28" s="45">
        <f t="shared" si="22"/>
        <v>0</v>
      </c>
      <c r="AQ28" s="45">
        <f t="shared" si="23"/>
        <v>0</v>
      </c>
      <c r="AR28" s="45">
        <f t="shared" si="24"/>
        <v>0</v>
      </c>
      <c r="AS28" s="19">
        <f t="shared" si="29"/>
        <v>0</v>
      </c>
      <c r="AT28" s="19">
        <f t="shared" si="30"/>
        <v>0</v>
      </c>
      <c r="AU28" s="46">
        <v>0</v>
      </c>
      <c r="AV28" s="46">
        <v>0</v>
      </c>
      <c r="AW28" s="46">
        <v>0</v>
      </c>
      <c r="AX28" s="46">
        <v>1</v>
      </c>
      <c r="AY28" s="47">
        <v>0</v>
      </c>
      <c r="AZ28" s="47">
        <v>-1</v>
      </c>
    </row>
    <row r="29" hidden="1" customHeight="1" spans="1:52">
      <c r="A29" s="44">
        <v>45354</v>
      </c>
      <c r="B29" s="33">
        <f t="shared" si="8"/>
        <v>662</v>
      </c>
      <c r="C29" s="33">
        <f t="shared" si="9"/>
        <v>3443</v>
      </c>
      <c r="D29" s="11">
        <f t="shared" si="25"/>
        <v>4105</v>
      </c>
      <c r="E29" s="34">
        <f t="shared" si="26"/>
        <v>1.17140119682411e-5</v>
      </c>
      <c r="F29" s="35">
        <f t="shared" si="10"/>
        <v>0.000242286998666938</v>
      </c>
      <c r="G29" s="18">
        <f>(SUM($I$8:$I29)*(MAX(M$3-M$4,0))+(N29*MAX(M$4,0)))*(1-$AM$4)+(AM29*$AM$4)</f>
        <v>0.00533031397067264</v>
      </c>
      <c r="H29" s="18">
        <f t="shared" si="11"/>
        <v>0.625</v>
      </c>
      <c r="I29" s="18">
        <f t="shared" si="27"/>
        <v>0.00260416666666667</v>
      </c>
      <c r="J29" s="18">
        <f t="shared" si="12"/>
        <v>0.165724307088186</v>
      </c>
      <c r="K29" s="18">
        <f t="shared" si="13"/>
        <v>0.00126023518566739</v>
      </c>
      <c r="L29" s="18">
        <f t="shared" si="14"/>
        <v>0.00416666666666667</v>
      </c>
      <c r="M29" s="18">
        <v>0</v>
      </c>
      <c r="N29" s="18">
        <f t="shared" si="28"/>
        <v>0</v>
      </c>
      <c r="O29" s="11">
        <v>0</v>
      </c>
      <c r="P29" s="11">
        <v>0</v>
      </c>
      <c r="Q29" s="11">
        <f t="shared" si="15"/>
        <v>1</v>
      </c>
      <c r="R29" s="11">
        <v>0</v>
      </c>
      <c r="S29" s="11">
        <f t="shared" si="16"/>
        <v>0</v>
      </c>
      <c r="T29" s="11">
        <v>0</v>
      </c>
      <c r="U29" s="11">
        <f t="shared" si="17"/>
        <v>1</v>
      </c>
      <c r="V29" s="11">
        <v>0</v>
      </c>
      <c r="W29" s="11">
        <f t="shared" si="18"/>
        <v>1</v>
      </c>
      <c r="X29" s="11">
        <f t="shared" si="19"/>
        <v>0</v>
      </c>
      <c r="Y29" s="19">
        <v>4</v>
      </c>
      <c r="Z29" s="11">
        <v>0</v>
      </c>
      <c r="AA29" s="11">
        <v>12</v>
      </c>
      <c r="AB29" s="11">
        <v>0</v>
      </c>
      <c r="AC29" s="11">
        <v>2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45">
        <v>0</v>
      </c>
      <c r="AJ29" s="45">
        <v>0</v>
      </c>
      <c r="AK29" s="45">
        <f t="shared" si="31"/>
        <v>0</v>
      </c>
      <c r="AL29" s="45">
        <f t="shared" si="32"/>
        <v>0</v>
      </c>
      <c r="AM29" s="45">
        <f t="shared" si="20"/>
        <v>0</v>
      </c>
      <c r="AN29" s="45">
        <f t="shared" si="33"/>
        <v>0</v>
      </c>
      <c r="AO29" s="45">
        <f t="shared" si="21"/>
        <v>0</v>
      </c>
      <c r="AP29" s="45">
        <f t="shared" si="22"/>
        <v>0</v>
      </c>
      <c r="AQ29" s="45">
        <f t="shared" si="23"/>
        <v>0</v>
      </c>
      <c r="AR29" s="45">
        <f t="shared" si="24"/>
        <v>0</v>
      </c>
      <c r="AS29" s="19">
        <f t="shared" si="29"/>
        <v>0</v>
      </c>
      <c r="AT29" s="19">
        <f t="shared" si="30"/>
        <v>0</v>
      </c>
      <c r="AU29" s="46">
        <v>0</v>
      </c>
      <c r="AV29" s="46">
        <v>0</v>
      </c>
      <c r="AW29" s="46">
        <v>0</v>
      </c>
      <c r="AX29" s="46">
        <v>1</v>
      </c>
      <c r="AY29" s="47">
        <v>0</v>
      </c>
      <c r="AZ29" s="47">
        <v>-1</v>
      </c>
    </row>
    <row r="30" hidden="1" customHeight="1" spans="1:52">
      <c r="A30" s="44">
        <v>45355</v>
      </c>
      <c r="B30" s="33">
        <f t="shared" si="8"/>
        <v>661</v>
      </c>
      <c r="C30" s="33">
        <f t="shared" si="9"/>
        <v>3275</v>
      </c>
      <c r="D30" s="11">
        <f t="shared" si="25"/>
        <v>3936</v>
      </c>
      <c r="E30" s="34">
        <f t="shared" si="26"/>
        <v>1.0277243058618e-5</v>
      </c>
      <c r="F30" s="35">
        <f t="shared" si="10"/>
        <v>0.000252564241725556</v>
      </c>
      <c r="G30" s="18">
        <f>(SUM($I$8:$I30)*(MAX(M$3-M$4,0))+(N30*MAX(M$4,0)))*(1-$AM$4)+(AM30*$AM$4)</f>
        <v>0.00580897755968779</v>
      </c>
      <c r="H30" s="18">
        <f t="shared" si="11"/>
        <v>0.625</v>
      </c>
      <c r="I30" s="18">
        <f t="shared" si="27"/>
        <v>0.00255287247474748</v>
      </c>
      <c r="J30" s="18">
        <f t="shared" si="12"/>
        <v>0.17275394134028</v>
      </c>
      <c r="K30" s="18">
        <f t="shared" si="13"/>
        <v>0.00125150689661077</v>
      </c>
      <c r="L30" s="18">
        <f t="shared" si="14"/>
        <v>0.00408459595959597</v>
      </c>
      <c r="M30" s="18">
        <v>0</v>
      </c>
      <c r="N30" s="18">
        <f t="shared" si="28"/>
        <v>0</v>
      </c>
      <c r="O30" s="11">
        <v>0</v>
      </c>
      <c r="P30" s="11">
        <v>0</v>
      </c>
      <c r="Q30" s="11">
        <f t="shared" si="15"/>
        <v>1</v>
      </c>
      <c r="R30" s="11">
        <v>0</v>
      </c>
      <c r="S30" s="11">
        <f t="shared" si="16"/>
        <v>0</v>
      </c>
      <c r="T30" s="11">
        <v>0</v>
      </c>
      <c r="U30" s="11">
        <f t="shared" si="17"/>
        <v>1</v>
      </c>
      <c r="V30" s="11">
        <v>0</v>
      </c>
      <c r="W30" s="11">
        <f t="shared" si="18"/>
        <v>1</v>
      </c>
      <c r="X30" s="11">
        <f t="shared" si="19"/>
        <v>0</v>
      </c>
      <c r="Y30" s="19">
        <v>6.75</v>
      </c>
      <c r="Z30" s="11">
        <v>0</v>
      </c>
      <c r="AA30" s="11">
        <v>0</v>
      </c>
      <c r="AB30" s="11">
        <v>0</v>
      </c>
      <c r="AC30" s="11">
        <v>9</v>
      </c>
      <c r="AD30" s="11">
        <v>6</v>
      </c>
      <c r="AE30" s="11">
        <v>0</v>
      </c>
      <c r="AF30" s="11">
        <v>0</v>
      </c>
      <c r="AG30" s="11">
        <v>0</v>
      </c>
      <c r="AH30" s="11">
        <v>0</v>
      </c>
      <c r="AI30" s="45">
        <v>0</v>
      </c>
      <c r="AJ30" s="45">
        <v>0</v>
      </c>
      <c r="AK30" s="45">
        <f t="shared" si="31"/>
        <v>0</v>
      </c>
      <c r="AL30" s="45">
        <f t="shared" si="32"/>
        <v>0</v>
      </c>
      <c r="AM30" s="45">
        <f t="shared" si="20"/>
        <v>0</v>
      </c>
      <c r="AN30" s="45">
        <f t="shared" si="33"/>
        <v>0</v>
      </c>
      <c r="AO30" s="45">
        <f t="shared" si="21"/>
        <v>0</v>
      </c>
      <c r="AP30" s="45">
        <f t="shared" si="22"/>
        <v>0</v>
      </c>
      <c r="AQ30" s="45">
        <f t="shared" si="23"/>
        <v>0</v>
      </c>
      <c r="AR30" s="45">
        <f t="shared" si="24"/>
        <v>0</v>
      </c>
      <c r="AS30" s="19">
        <f t="shared" si="29"/>
        <v>0</v>
      </c>
      <c r="AT30" s="19">
        <f t="shared" si="30"/>
        <v>0</v>
      </c>
      <c r="AU30" s="46">
        <v>0</v>
      </c>
      <c r="AV30" s="46">
        <v>0</v>
      </c>
      <c r="AW30" s="46">
        <v>0</v>
      </c>
      <c r="AX30" s="46">
        <v>1</v>
      </c>
      <c r="AY30" s="47">
        <v>0</v>
      </c>
      <c r="AZ30" s="47">
        <v>-1</v>
      </c>
    </row>
    <row r="31" hidden="1" customHeight="1" spans="1:52">
      <c r="A31" s="44">
        <v>45356</v>
      </c>
      <c r="B31" s="33">
        <f t="shared" si="8"/>
        <v>660</v>
      </c>
      <c r="C31" s="33">
        <f t="shared" si="9"/>
        <v>3085</v>
      </c>
      <c r="D31" s="11">
        <f t="shared" si="25"/>
        <v>3745</v>
      </c>
      <c r="E31" s="34">
        <f t="shared" si="26"/>
        <v>1.27602717568056e-5</v>
      </c>
      <c r="F31" s="35">
        <f t="shared" si="10"/>
        <v>0.000265324513482362</v>
      </c>
      <c r="G31" s="18">
        <f>(SUM($I$8:$I31)*(MAX(M$3-M$4,0))+(N31*MAX(M$4,0)))*(1-$AM$4)+(AM31*$AM$4)</f>
        <v>0.00636778832357668</v>
      </c>
      <c r="H31" s="18">
        <f t="shared" si="11"/>
        <v>0.625</v>
      </c>
      <c r="I31" s="18">
        <f t="shared" si="27"/>
        <v>0.00298032407407408</v>
      </c>
      <c r="J31" s="18">
        <f t="shared" si="12"/>
        <v>0.181481967221935</v>
      </c>
      <c r="K31" s="18">
        <f t="shared" si="13"/>
        <v>0.00124017883754252</v>
      </c>
      <c r="L31" s="18">
        <f t="shared" si="14"/>
        <v>0.00476851851851852</v>
      </c>
      <c r="M31" s="18">
        <v>0</v>
      </c>
      <c r="N31" s="18">
        <f t="shared" si="28"/>
        <v>0</v>
      </c>
      <c r="O31" s="11">
        <v>0</v>
      </c>
      <c r="P31" s="11">
        <v>0</v>
      </c>
      <c r="Q31" s="11">
        <f t="shared" si="15"/>
        <v>1</v>
      </c>
      <c r="R31" s="11">
        <v>0</v>
      </c>
      <c r="S31" s="11">
        <f t="shared" si="16"/>
        <v>0</v>
      </c>
      <c r="T31" s="11">
        <v>0</v>
      </c>
      <c r="U31" s="11">
        <f t="shared" si="17"/>
        <v>1</v>
      </c>
      <c r="V31" s="11">
        <v>0</v>
      </c>
      <c r="W31" s="11">
        <f t="shared" si="18"/>
        <v>1</v>
      </c>
      <c r="X31" s="11">
        <f t="shared" si="19"/>
        <v>0</v>
      </c>
      <c r="Y31" s="19">
        <v>0</v>
      </c>
      <c r="Z31" s="11">
        <v>0</v>
      </c>
      <c r="AA31" s="11">
        <v>11</v>
      </c>
      <c r="AB31" s="11">
        <v>0</v>
      </c>
      <c r="AC31" s="11">
        <v>15</v>
      </c>
      <c r="AD31" s="11">
        <v>10</v>
      </c>
      <c r="AE31" s="11">
        <v>0</v>
      </c>
      <c r="AF31" s="11">
        <v>0</v>
      </c>
      <c r="AG31" s="11">
        <v>0</v>
      </c>
      <c r="AH31" s="11">
        <v>0</v>
      </c>
      <c r="AI31" s="45">
        <v>0</v>
      </c>
      <c r="AJ31" s="45">
        <v>0</v>
      </c>
      <c r="AK31" s="45">
        <f t="shared" si="31"/>
        <v>0</v>
      </c>
      <c r="AL31" s="45">
        <f t="shared" si="32"/>
        <v>0</v>
      </c>
      <c r="AM31" s="45">
        <f t="shared" si="20"/>
        <v>0</v>
      </c>
      <c r="AN31" s="45">
        <f t="shared" si="33"/>
        <v>0</v>
      </c>
      <c r="AO31" s="45">
        <f t="shared" si="21"/>
        <v>0</v>
      </c>
      <c r="AP31" s="45">
        <f t="shared" si="22"/>
        <v>0</v>
      </c>
      <c r="AQ31" s="45">
        <f t="shared" si="23"/>
        <v>0</v>
      </c>
      <c r="AR31" s="45">
        <f t="shared" si="24"/>
        <v>0</v>
      </c>
      <c r="AS31" s="19">
        <f t="shared" si="29"/>
        <v>0</v>
      </c>
      <c r="AT31" s="19">
        <f t="shared" si="30"/>
        <v>0</v>
      </c>
      <c r="AU31" s="46">
        <v>0</v>
      </c>
      <c r="AV31" s="46">
        <v>0</v>
      </c>
      <c r="AW31" s="46">
        <v>0</v>
      </c>
      <c r="AX31" s="46">
        <v>1</v>
      </c>
      <c r="AY31" s="47">
        <v>0</v>
      </c>
      <c r="AZ31" s="47">
        <v>-1</v>
      </c>
    </row>
    <row r="32" hidden="1" customHeight="1" spans="1:52">
      <c r="A32" s="44">
        <v>45357</v>
      </c>
      <c r="B32" s="33">
        <f t="shared" si="8"/>
        <v>659</v>
      </c>
      <c r="C32" s="33">
        <f t="shared" si="9"/>
        <v>3086</v>
      </c>
      <c r="D32" s="11">
        <f t="shared" si="25"/>
        <v>3745</v>
      </c>
      <c r="E32" s="34">
        <f t="shared" si="26"/>
        <v>-6.41326857591133e-8</v>
      </c>
      <c r="F32" s="35">
        <f t="shared" si="10"/>
        <v>0.000265260380796603</v>
      </c>
      <c r="G32" s="18">
        <f>(SUM($I$8:$I32)*(MAX(M$3-M$4,0))+(N32*MAX(M$4,0)))*(1-$AM$4)+(AM32*$AM$4)</f>
        <v>0.00663150951991507</v>
      </c>
      <c r="H32" s="18">
        <f t="shared" si="11"/>
        <v>0.625</v>
      </c>
      <c r="I32" s="18">
        <f t="shared" si="27"/>
        <v>0.00140651304713805</v>
      </c>
      <c r="J32" s="18">
        <f t="shared" si="12"/>
        <v>0.181438100464876</v>
      </c>
      <c r="K32" s="18">
        <f t="shared" si="13"/>
        <v>0.00124212731340686</v>
      </c>
      <c r="L32" s="18">
        <f t="shared" si="14"/>
        <v>0.00225042087542088</v>
      </c>
      <c r="M32" s="18">
        <v>0</v>
      </c>
      <c r="N32" s="18">
        <f t="shared" si="28"/>
        <v>0</v>
      </c>
      <c r="O32" s="11">
        <v>0</v>
      </c>
      <c r="P32" s="11">
        <v>0</v>
      </c>
      <c r="Q32" s="11">
        <f t="shared" si="15"/>
        <v>1</v>
      </c>
      <c r="R32" s="11">
        <v>0</v>
      </c>
      <c r="S32" s="11">
        <f t="shared" si="16"/>
        <v>0</v>
      </c>
      <c r="T32" s="11">
        <v>0</v>
      </c>
      <c r="U32" s="11">
        <f t="shared" si="17"/>
        <v>1</v>
      </c>
      <c r="V32" s="11">
        <v>0</v>
      </c>
      <c r="W32" s="11">
        <f t="shared" si="18"/>
        <v>1</v>
      </c>
      <c r="X32" s="11">
        <f t="shared" si="19"/>
        <v>0</v>
      </c>
      <c r="Y32" s="19">
        <v>2.83</v>
      </c>
      <c r="Z32" s="11">
        <v>0</v>
      </c>
      <c r="AA32" s="11">
        <v>5</v>
      </c>
      <c r="AB32" s="11">
        <v>0</v>
      </c>
      <c r="AC32" s="11">
        <v>0</v>
      </c>
      <c r="AD32" s="11">
        <v>2</v>
      </c>
      <c r="AE32" s="11">
        <v>0</v>
      </c>
      <c r="AF32" s="11">
        <v>0</v>
      </c>
      <c r="AG32" s="11">
        <v>0</v>
      </c>
      <c r="AH32" s="11">
        <v>0</v>
      </c>
      <c r="AI32" s="45">
        <v>0</v>
      </c>
      <c r="AJ32" s="45">
        <v>0</v>
      </c>
      <c r="AK32" s="45">
        <f t="shared" si="31"/>
        <v>0</v>
      </c>
      <c r="AL32" s="45">
        <f t="shared" si="32"/>
        <v>0</v>
      </c>
      <c r="AM32" s="45">
        <f t="shared" si="20"/>
        <v>0</v>
      </c>
      <c r="AN32" s="45">
        <f t="shared" si="33"/>
        <v>0</v>
      </c>
      <c r="AO32" s="45">
        <f t="shared" si="21"/>
        <v>0</v>
      </c>
      <c r="AP32" s="45">
        <f t="shared" si="22"/>
        <v>0</v>
      </c>
      <c r="AQ32" s="45">
        <f t="shared" si="23"/>
        <v>0</v>
      </c>
      <c r="AR32" s="45">
        <f t="shared" si="24"/>
        <v>0</v>
      </c>
      <c r="AS32" s="19">
        <f t="shared" si="29"/>
        <v>0</v>
      </c>
      <c r="AT32" s="19">
        <f t="shared" si="30"/>
        <v>0</v>
      </c>
      <c r="AU32" s="46">
        <v>0</v>
      </c>
      <c r="AV32" s="46">
        <v>0</v>
      </c>
      <c r="AW32" s="46">
        <v>0</v>
      </c>
      <c r="AX32" s="46">
        <v>1</v>
      </c>
      <c r="AY32" s="47">
        <v>0</v>
      </c>
      <c r="AZ32" s="47">
        <v>-1</v>
      </c>
    </row>
    <row r="33" hidden="1" customHeight="1" spans="1:52">
      <c r="A33" s="44">
        <v>45358</v>
      </c>
      <c r="B33" s="33">
        <f t="shared" si="8"/>
        <v>658</v>
      </c>
      <c r="C33" s="33">
        <f t="shared" si="9"/>
        <v>3088</v>
      </c>
      <c r="D33" s="11">
        <f t="shared" si="25"/>
        <v>3746</v>
      </c>
      <c r="E33" s="34">
        <f t="shared" si="26"/>
        <v>-1.29387460708454e-7</v>
      </c>
      <c r="F33" s="35">
        <f t="shared" si="10"/>
        <v>0.000265130993335894</v>
      </c>
      <c r="G33" s="18">
        <f>(SUM($I$8:$I33)*(MAX(M$3-M$4,0))+(N33*MAX(M$4,0)))*(1-$AM$4)+(AM33*$AM$4)</f>
        <v>0.00689340582673325</v>
      </c>
      <c r="H33" s="18">
        <f t="shared" si="11"/>
        <v>0.625</v>
      </c>
      <c r="I33" s="18">
        <f t="shared" si="27"/>
        <v>0.00139678030303031</v>
      </c>
      <c r="J33" s="18">
        <f t="shared" si="12"/>
        <v>0.181349599441752</v>
      </c>
      <c r="K33" s="18">
        <f t="shared" si="13"/>
        <v>0.00124414954492135</v>
      </c>
      <c r="L33" s="18">
        <f t="shared" si="14"/>
        <v>0.00223484848484849</v>
      </c>
      <c r="M33" s="18">
        <v>0</v>
      </c>
      <c r="N33" s="18">
        <f t="shared" si="28"/>
        <v>0</v>
      </c>
      <c r="O33" s="11">
        <v>0</v>
      </c>
      <c r="P33" s="11">
        <v>0</v>
      </c>
      <c r="Q33" s="11">
        <f t="shared" si="15"/>
        <v>1</v>
      </c>
      <c r="R33" s="11">
        <v>0</v>
      </c>
      <c r="S33" s="11">
        <f t="shared" si="16"/>
        <v>0</v>
      </c>
      <c r="T33" s="11">
        <v>0</v>
      </c>
      <c r="U33" s="11">
        <f t="shared" si="17"/>
        <v>1</v>
      </c>
      <c r="V33" s="11">
        <v>0</v>
      </c>
      <c r="W33" s="11">
        <f t="shared" si="18"/>
        <v>1</v>
      </c>
      <c r="X33" s="11">
        <f t="shared" si="19"/>
        <v>0</v>
      </c>
      <c r="Y33" s="19">
        <v>5</v>
      </c>
      <c r="Z33" s="11">
        <v>0</v>
      </c>
      <c r="AA33" s="11">
        <v>0</v>
      </c>
      <c r="AB33" s="11">
        <v>0</v>
      </c>
      <c r="AC33" s="11">
        <v>3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45">
        <v>0</v>
      </c>
      <c r="AJ33" s="45">
        <v>0</v>
      </c>
      <c r="AK33" s="45">
        <f t="shared" si="31"/>
        <v>0</v>
      </c>
      <c r="AL33" s="45">
        <f t="shared" si="32"/>
        <v>0</v>
      </c>
      <c r="AM33" s="45">
        <f t="shared" si="20"/>
        <v>0</v>
      </c>
      <c r="AN33" s="45">
        <f t="shared" si="33"/>
        <v>0</v>
      </c>
      <c r="AO33" s="45">
        <f t="shared" si="21"/>
        <v>0</v>
      </c>
      <c r="AP33" s="45">
        <f t="shared" si="22"/>
        <v>0</v>
      </c>
      <c r="AQ33" s="45">
        <f t="shared" si="23"/>
        <v>0</v>
      </c>
      <c r="AR33" s="45">
        <f t="shared" si="24"/>
        <v>0</v>
      </c>
      <c r="AS33" s="19">
        <f t="shared" si="29"/>
        <v>0</v>
      </c>
      <c r="AT33" s="19">
        <f t="shared" si="30"/>
        <v>0</v>
      </c>
      <c r="AU33" s="46">
        <v>0</v>
      </c>
      <c r="AV33" s="46">
        <v>0</v>
      </c>
      <c r="AW33" s="46">
        <v>0</v>
      </c>
      <c r="AX33" s="46">
        <v>1</v>
      </c>
      <c r="AY33" s="47">
        <v>0</v>
      </c>
      <c r="AZ33" s="47">
        <v>-1</v>
      </c>
    </row>
    <row r="34" hidden="1" customHeight="1" spans="1:52">
      <c r="A34" s="44">
        <v>45359</v>
      </c>
      <c r="B34" s="33">
        <f t="shared" si="8"/>
        <v>657</v>
      </c>
      <c r="C34" s="33">
        <f t="shared" si="9"/>
        <v>3094</v>
      </c>
      <c r="D34" s="11">
        <f t="shared" si="25"/>
        <v>3751</v>
      </c>
      <c r="E34" s="34">
        <f t="shared" si="26"/>
        <v>-4.43131978209322e-7</v>
      </c>
      <c r="F34" s="35">
        <f t="shared" si="10"/>
        <v>0.000264687861357685</v>
      </c>
      <c r="G34" s="18">
        <f>(SUM($I$8:$I34)*(MAX(M$3-M$4,0))+(N34*MAX(M$4,0)))*(1-$AM$4)+(AM34*$AM$4)</f>
        <v>0.00714657225665749</v>
      </c>
      <c r="H34" s="18">
        <f t="shared" si="11"/>
        <v>0.625</v>
      </c>
      <c r="I34" s="18">
        <f t="shared" si="27"/>
        <v>0.00135022095959596</v>
      </c>
      <c r="J34" s="18">
        <f t="shared" si="12"/>
        <v>0.181046497168656</v>
      </c>
      <c r="K34" s="18">
        <f t="shared" si="13"/>
        <v>0.00124650457051955</v>
      </c>
      <c r="L34" s="18">
        <f t="shared" si="14"/>
        <v>0.00216035353535354</v>
      </c>
      <c r="M34" s="18">
        <v>0</v>
      </c>
      <c r="N34" s="18">
        <f t="shared" si="28"/>
        <v>0</v>
      </c>
      <c r="O34" s="11">
        <v>0</v>
      </c>
      <c r="P34" s="11">
        <v>0</v>
      </c>
      <c r="Q34" s="11">
        <f t="shared" si="15"/>
        <v>1</v>
      </c>
      <c r="R34" s="11">
        <v>0</v>
      </c>
      <c r="S34" s="11">
        <f t="shared" si="16"/>
        <v>0</v>
      </c>
      <c r="T34" s="11">
        <v>0</v>
      </c>
      <c r="U34" s="11">
        <f t="shared" si="17"/>
        <v>1</v>
      </c>
      <c r="V34" s="11">
        <v>0</v>
      </c>
      <c r="W34" s="11">
        <f t="shared" si="18"/>
        <v>1</v>
      </c>
      <c r="X34" s="11">
        <f t="shared" si="19"/>
        <v>0</v>
      </c>
      <c r="Y34" s="19">
        <v>2.67</v>
      </c>
      <c r="Z34" s="11">
        <v>0</v>
      </c>
      <c r="AA34" s="11">
        <v>4</v>
      </c>
      <c r="AB34" s="11">
        <v>0</v>
      </c>
      <c r="AC34" s="11">
        <v>3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45">
        <v>0</v>
      </c>
      <c r="AJ34" s="45">
        <v>0</v>
      </c>
      <c r="AK34" s="45">
        <f t="shared" si="31"/>
        <v>0</v>
      </c>
      <c r="AL34" s="45">
        <f t="shared" si="32"/>
        <v>0</v>
      </c>
      <c r="AM34" s="45">
        <f t="shared" si="20"/>
        <v>0</v>
      </c>
      <c r="AN34" s="45">
        <f t="shared" si="33"/>
        <v>0</v>
      </c>
      <c r="AO34" s="45">
        <f t="shared" si="21"/>
        <v>0</v>
      </c>
      <c r="AP34" s="45">
        <f t="shared" si="22"/>
        <v>0</v>
      </c>
      <c r="AQ34" s="45">
        <f t="shared" si="23"/>
        <v>0</v>
      </c>
      <c r="AR34" s="45">
        <f t="shared" si="24"/>
        <v>0</v>
      </c>
      <c r="AS34" s="19">
        <f t="shared" si="29"/>
        <v>0</v>
      </c>
      <c r="AT34" s="19">
        <f t="shared" si="30"/>
        <v>0</v>
      </c>
      <c r="AU34" s="46">
        <v>0</v>
      </c>
      <c r="AV34" s="46">
        <v>0</v>
      </c>
      <c r="AW34" s="46">
        <v>0</v>
      </c>
      <c r="AX34" s="46">
        <v>1</v>
      </c>
      <c r="AY34" s="47">
        <v>0</v>
      </c>
      <c r="AZ34" s="47">
        <v>-1</v>
      </c>
    </row>
    <row r="35" hidden="1" customHeight="1" spans="1:52">
      <c r="A35" s="44">
        <v>45360</v>
      </c>
      <c r="B35" s="33">
        <f t="shared" si="8"/>
        <v>656</v>
      </c>
      <c r="C35" s="33">
        <f t="shared" si="9"/>
        <v>2966</v>
      </c>
      <c r="D35" s="11">
        <f t="shared" si="25"/>
        <v>3622</v>
      </c>
      <c r="E35" s="34">
        <f t="shared" si="26"/>
        <v>9.29425510933965e-6</v>
      </c>
      <c r="F35" s="35">
        <f t="shared" si="10"/>
        <v>0.000273982116467025</v>
      </c>
      <c r="G35" s="18">
        <f>(SUM($I$8:$I35)*(MAX(M$3-M$4,0))+(N35*MAX(M$4,0)))*(1-$AM$4)+(AM35*$AM$4)</f>
        <v>0.00767149926107669</v>
      </c>
      <c r="H35" s="18">
        <f t="shared" si="11"/>
        <v>0.625</v>
      </c>
      <c r="I35" s="18">
        <f t="shared" si="27"/>
        <v>0.0027996106902357</v>
      </c>
      <c r="J35" s="18">
        <f t="shared" si="12"/>
        <v>0.187403767663445</v>
      </c>
      <c r="K35" s="18">
        <f t="shared" si="13"/>
        <v>0.00123871376880572</v>
      </c>
      <c r="L35" s="18">
        <f t="shared" si="14"/>
        <v>0.00447937710437712</v>
      </c>
      <c r="M35" s="18">
        <v>0</v>
      </c>
      <c r="N35" s="18">
        <f t="shared" si="28"/>
        <v>0</v>
      </c>
      <c r="O35" s="11">
        <v>0</v>
      </c>
      <c r="P35" s="11">
        <v>0</v>
      </c>
      <c r="Q35" s="11">
        <f t="shared" si="15"/>
        <v>1</v>
      </c>
      <c r="R35" s="11">
        <v>0</v>
      </c>
      <c r="S35" s="11">
        <f t="shared" si="16"/>
        <v>0</v>
      </c>
      <c r="T35" s="11">
        <v>0</v>
      </c>
      <c r="U35" s="11">
        <f t="shared" si="17"/>
        <v>1</v>
      </c>
      <c r="V35" s="11">
        <v>0</v>
      </c>
      <c r="W35" s="11">
        <f t="shared" si="18"/>
        <v>1</v>
      </c>
      <c r="X35" s="11">
        <f t="shared" si="19"/>
        <v>0</v>
      </c>
      <c r="Y35" s="19">
        <v>8.17</v>
      </c>
      <c r="Z35" s="11">
        <v>0</v>
      </c>
      <c r="AA35" s="11">
        <v>0</v>
      </c>
      <c r="AB35" s="11">
        <v>0</v>
      </c>
      <c r="AC35" s="11">
        <v>7</v>
      </c>
      <c r="AD35" s="11">
        <v>7</v>
      </c>
      <c r="AE35" s="11">
        <v>0</v>
      </c>
      <c r="AF35" s="11">
        <v>0</v>
      </c>
      <c r="AG35" s="11">
        <v>0</v>
      </c>
      <c r="AH35" s="11">
        <v>0</v>
      </c>
      <c r="AI35" s="45">
        <v>0</v>
      </c>
      <c r="AJ35" s="45">
        <v>0</v>
      </c>
      <c r="AK35" s="45">
        <f t="shared" si="31"/>
        <v>0</v>
      </c>
      <c r="AL35" s="45">
        <f t="shared" si="32"/>
        <v>0</v>
      </c>
      <c r="AM35" s="45">
        <f t="shared" si="20"/>
        <v>0</v>
      </c>
      <c r="AN35" s="45">
        <f t="shared" si="33"/>
        <v>0</v>
      </c>
      <c r="AO35" s="45">
        <f t="shared" si="21"/>
        <v>0</v>
      </c>
      <c r="AP35" s="45">
        <f t="shared" si="22"/>
        <v>0</v>
      </c>
      <c r="AQ35" s="45">
        <f t="shared" si="23"/>
        <v>0</v>
      </c>
      <c r="AR35" s="45">
        <f t="shared" si="24"/>
        <v>0</v>
      </c>
      <c r="AS35" s="19">
        <f t="shared" si="29"/>
        <v>0</v>
      </c>
      <c r="AT35" s="19">
        <f t="shared" si="30"/>
        <v>0</v>
      </c>
      <c r="AU35" s="46">
        <v>0</v>
      </c>
      <c r="AV35" s="46">
        <v>0</v>
      </c>
      <c r="AW35" s="46">
        <v>0</v>
      </c>
      <c r="AX35" s="46">
        <v>1</v>
      </c>
      <c r="AY35" s="47">
        <v>0</v>
      </c>
      <c r="AZ35" s="47">
        <v>-1</v>
      </c>
    </row>
    <row r="36" hidden="1" customHeight="1" spans="1:52">
      <c r="A36" s="44">
        <v>45361</v>
      </c>
      <c r="B36" s="33">
        <f t="shared" si="8"/>
        <v>655</v>
      </c>
      <c r="C36" s="33">
        <f t="shared" si="9"/>
        <v>2944</v>
      </c>
      <c r="D36" s="11">
        <f t="shared" si="25"/>
        <v>3599</v>
      </c>
      <c r="E36" s="34">
        <f t="shared" si="26"/>
        <v>1.67005077752168e-6</v>
      </c>
      <c r="F36" s="35">
        <f t="shared" si="10"/>
        <v>0.000275652167244546</v>
      </c>
      <c r="G36" s="18">
        <f>(SUM($I$8:$I36)*(MAX(M$3-M$4,0))+(N36*MAX(M$4,0)))*(1-$AM$4)+(AM36*$AM$4)</f>
        <v>0.00799391285009184</v>
      </c>
      <c r="H36" s="18">
        <f t="shared" si="11"/>
        <v>0.625</v>
      </c>
      <c r="I36" s="18">
        <f t="shared" si="27"/>
        <v>0.00171953914141415</v>
      </c>
      <c r="J36" s="18">
        <f t="shared" si="12"/>
        <v>0.18854608239527</v>
      </c>
      <c r="K36" s="18">
        <f t="shared" si="13"/>
        <v>0.00123886094290799</v>
      </c>
      <c r="L36" s="18">
        <f t="shared" si="14"/>
        <v>0.00275126262626263</v>
      </c>
      <c r="M36" s="18">
        <v>0</v>
      </c>
      <c r="N36" s="18">
        <f t="shared" si="28"/>
        <v>0</v>
      </c>
      <c r="O36" s="11">
        <v>0</v>
      </c>
      <c r="P36" s="11">
        <v>0</v>
      </c>
      <c r="Q36" s="11">
        <f t="shared" si="15"/>
        <v>1</v>
      </c>
      <c r="R36" s="11">
        <v>0</v>
      </c>
      <c r="S36" s="11">
        <f t="shared" si="16"/>
        <v>0</v>
      </c>
      <c r="T36" s="11">
        <v>0</v>
      </c>
      <c r="U36" s="11">
        <f t="shared" si="17"/>
        <v>1</v>
      </c>
      <c r="V36" s="11">
        <v>0</v>
      </c>
      <c r="W36" s="11">
        <f t="shared" si="18"/>
        <v>1</v>
      </c>
      <c r="X36" s="11">
        <f t="shared" si="19"/>
        <v>0</v>
      </c>
      <c r="Y36" s="19">
        <v>3.33</v>
      </c>
      <c r="Z36" s="11">
        <v>0</v>
      </c>
      <c r="AA36" s="11">
        <v>4</v>
      </c>
      <c r="AB36" s="11">
        <v>0</v>
      </c>
      <c r="AC36" s="11">
        <v>6</v>
      </c>
      <c r="AD36" s="11">
        <v>0</v>
      </c>
      <c r="AE36" s="11">
        <v>0</v>
      </c>
      <c r="AF36" s="11">
        <v>0</v>
      </c>
      <c r="AG36" s="11">
        <v>0</v>
      </c>
      <c r="AH36" s="11">
        <v>0</v>
      </c>
      <c r="AI36" s="45">
        <v>0</v>
      </c>
      <c r="AJ36" s="45">
        <v>0</v>
      </c>
      <c r="AK36" s="45">
        <f t="shared" si="31"/>
        <v>0</v>
      </c>
      <c r="AL36" s="45">
        <f t="shared" si="32"/>
        <v>0</v>
      </c>
      <c r="AM36" s="45">
        <f t="shared" si="20"/>
        <v>0</v>
      </c>
      <c r="AN36" s="45">
        <f t="shared" si="33"/>
        <v>0</v>
      </c>
      <c r="AO36" s="45">
        <f t="shared" si="21"/>
        <v>0</v>
      </c>
      <c r="AP36" s="45">
        <f t="shared" si="22"/>
        <v>0</v>
      </c>
      <c r="AQ36" s="45">
        <f t="shared" si="23"/>
        <v>0</v>
      </c>
      <c r="AR36" s="45">
        <f t="shared" si="24"/>
        <v>0</v>
      </c>
      <c r="AS36" s="19">
        <f t="shared" si="29"/>
        <v>0</v>
      </c>
      <c r="AT36" s="19">
        <f t="shared" si="30"/>
        <v>0</v>
      </c>
      <c r="AU36" s="46">
        <v>0</v>
      </c>
      <c r="AV36" s="46">
        <v>0</v>
      </c>
      <c r="AW36" s="46">
        <v>0</v>
      </c>
      <c r="AX36" s="46">
        <v>1</v>
      </c>
      <c r="AY36" s="47">
        <v>0</v>
      </c>
      <c r="AZ36" s="47">
        <v>-1</v>
      </c>
    </row>
    <row r="37" hidden="1" customHeight="1" spans="1:52">
      <c r="A37" s="44">
        <v>45362</v>
      </c>
      <c r="B37" s="33">
        <f t="shared" si="8"/>
        <v>654</v>
      </c>
      <c r="C37" s="33">
        <f t="shared" si="9"/>
        <v>2910</v>
      </c>
      <c r="D37" s="11">
        <f t="shared" si="25"/>
        <v>3564</v>
      </c>
      <c r="E37" s="34">
        <f t="shared" si="26"/>
        <v>2.6125466558215e-6</v>
      </c>
      <c r="F37" s="35">
        <f t="shared" si="10"/>
        <v>0.000278264713900368</v>
      </c>
      <c r="G37" s="18">
        <f>(SUM($I$8:$I37)*(MAX(M$3-M$4,0))+(N37*MAX(M$4,0)))*(1-$AM$4)+(AM37*$AM$4)</f>
        <v>0.00834794141701103</v>
      </c>
      <c r="H37" s="18">
        <f t="shared" si="11"/>
        <v>0.625</v>
      </c>
      <c r="I37" s="18">
        <f t="shared" si="27"/>
        <v>0.00188815235690236</v>
      </c>
      <c r="J37" s="18">
        <f t="shared" si="12"/>
        <v>0.190333064307852</v>
      </c>
      <c r="K37" s="18">
        <f t="shared" si="13"/>
        <v>0.00123802283744977</v>
      </c>
      <c r="L37" s="18">
        <f t="shared" si="14"/>
        <v>0.00302104377104378</v>
      </c>
      <c r="M37" s="18">
        <v>0</v>
      </c>
      <c r="N37" s="18">
        <f t="shared" si="28"/>
        <v>0</v>
      </c>
      <c r="O37" s="11">
        <v>0</v>
      </c>
      <c r="P37" s="11">
        <v>0</v>
      </c>
      <c r="Q37" s="11">
        <f t="shared" si="15"/>
        <v>1</v>
      </c>
      <c r="R37" s="11">
        <v>0</v>
      </c>
      <c r="S37" s="11">
        <f t="shared" si="16"/>
        <v>0</v>
      </c>
      <c r="T37" s="11">
        <v>0</v>
      </c>
      <c r="U37" s="11">
        <f t="shared" si="17"/>
        <v>1</v>
      </c>
      <c r="V37" s="11">
        <v>0</v>
      </c>
      <c r="W37" s="11">
        <f t="shared" si="18"/>
        <v>1</v>
      </c>
      <c r="X37" s="11">
        <f t="shared" si="19"/>
        <v>0</v>
      </c>
      <c r="Y37" s="19">
        <v>2.5</v>
      </c>
      <c r="Z37" s="11">
        <v>1</v>
      </c>
      <c r="AA37" s="11">
        <v>5</v>
      </c>
      <c r="AB37" s="11">
        <v>0</v>
      </c>
      <c r="AC37" s="11">
        <v>4</v>
      </c>
      <c r="AD37" s="11">
        <v>4</v>
      </c>
      <c r="AE37" s="11">
        <v>0</v>
      </c>
      <c r="AF37" s="11">
        <v>0</v>
      </c>
      <c r="AG37" s="11">
        <v>0</v>
      </c>
      <c r="AH37" s="11">
        <v>0</v>
      </c>
      <c r="AI37" s="45">
        <v>0</v>
      </c>
      <c r="AJ37" s="45">
        <v>0</v>
      </c>
      <c r="AK37" s="45">
        <f t="shared" si="31"/>
        <v>0</v>
      </c>
      <c r="AL37" s="45">
        <f t="shared" si="32"/>
        <v>0</v>
      </c>
      <c r="AM37" s="45">
        <f t="shared" si="20"/>
        <v>0</v>
      </c>
      <c r="AN37" s="45">
        <f t="shared" si="33"/>
        <v>0</v>
      </c>
      <c r="AO37" s="45">
        <f t="shared" si="21"/>
        <v>0</v>
      </c>
      <c r="AP37" s="45">
        <f t="shared" si="22"/>
        <v>0</v>
      </c>
      <c r="AQ37" s="45">
        <f t="shared" si="23"/>
        <v>0</v>
      </c>
      <c r="AR37" s="45">
        <f t="shared" si="24"/>
        <v>0</v>
      </c>
      <c r="AS37" s="19">
        <f t="shared" si="29"/>
        <v>0</v>
      </c>
      <c r="AT37" s="19">
        <f t="shared" si="30"/>
        <v>0</v>
      </c>
      <c r="AU37" s="46">
        <v>0</v>
      </c>
      <c r="AV37" s="46">
        <v>0</v>
      </c>
      <c r="AW37" s="46">
        <v>0</v>
      </c>
      <c r="AX37" s="46">
        <v>1</v>
      </c>
      <c r="AY37" s="47">
        <v>0</v>
      </c>
      <c r="AZ37" s="47">
        <v>-1</v>
      </c>
    </row>
    <row r="38" hidden="1" customHeight="1" spans="1:52">
      <c r="A38" s="44">
        <v>45363</v>
      </c>
      <c r="B38" s="33">
        <f t="shared" si="8"/>
        <v>653</v>
      </c>
      <c r="C38" s="33">
        <f t="shared" si="9"/>
        <v>2913</v>
      </c>
      <c r="D38" s="11">
        <f t="shared" si="25"/>
        <v>3566</v>
      </c>
      <c r="E38" s="34">
        <f t="shared" si="26"/>
        <v>-2.57541276030109e-7</v>
      </c>
      <c r="F38" s="35">
        <f t="shared" si="10"/>
        <v>0.000278007172624338</v>
      </c>
      <c r="G38" s="18">
        <f>(SUM($I$8:$I38)*(MAX(M$3-M$4,0))+(N38*MAX(M$4,0)))*(1-$AM$4)+(AM38*$AM$4)</f>
        <v>0.00861822235135447</v>
      </c>
      <c r="H38" s="18">
        <f t="shared" si="11"/>
        <v>0.625</v>
      </c>
      <c r="I38" s="18">
        <f t="shared" si="27"/>
        <v>0.00144149831649832</v>
      </c>
      <c r="J38" s="18">
        <f t="shared" si="12"/>
        <v>0.190156906075047</v>
      </c>
      <c r="K38" s="18">
        <f t="shared" si="13"/>
        <v>0.00124018850524495</v>
      </c>
      <c r="L38" s="18">
        <f t="shared" si="14"/>
        <v>0.00230639730639731</v>
      </c>
      <c r="M38" s="18">
        <v>0</v>
      </c>
      <c r="N38" s="18">
        <f t="shared" si="28"/>
        <v>0</v>
      </c>
      <c r="O38" s="11">
        <v>0</v>
      </c>
      <c r="P38" s="11">
        <v>0</v>
      </c>
      <c r="Q38" s="11">
        <f t="shared" si="15"/>
        <v>1</v>
      </c>
      <c r="R38" s="11">
        <v>0</v>
      </c>
      <c r="S38" s="11">
        <f t="shared" si="16"/>
        <v>0</v>
      </c>
      <c r="T38" s="11">
        <v>0</v>
      </c>
      <c r="U38" s="11">
        <f t="shared" si="17"/>
        <v>1</v>
      </c>
      <c r="V38" s="11">
        <v>0</v>
      </c>
      <c r="W38" s="11">
        <f t="shared" si="18"/>
        <v>1</v>
      </c>
      <c r="X38" s="11">
        <f t="shared" si="19"/>
        <v>0</v>
      </c>
      <c r="Y38" s="19">
        <v>0</v>
      </c>
      <c r="Z38" s="11">
        <v>0</v>
      </c>
      <c r="AA38" s="11">
        <v>2</v>
      </c>
      <c r="AB38" s="11">
        <v>0</v>
      </c>
      <c r="AC38" s="11">
        <v>16</v>
      </c>
      <c r="AD38" s="11">
        <v>1</v>
      </c>
      <c r="AE38" s="11">
        <v>0</v>
      </c>
      <c r="AF38" s="11">
        <v>0</v>
      </c>
      <c r="AG38" s="11">
        <v>0</v>
      </c>
      <c r="AH38" s="11">
        <v>0</v>
      </c>
      <c r="AI38" s="45">
        <v>0</v>
      </c>
      <c r="AJ38" s="45">
        <v>0</v>
      </c>
      <c r="AK38" s="45">
        <f t="shared" si="31"/>
        <v>0</v>
      </c>
      <c r="AL38" s="45">
        <f t="shared" si="32"/>
        <v>0</v>
      </c>
      <c r="AM38" s="45">
        <f t="shared" si="20"/>
        <v>0</v>
      </c>
      <c r="AN38" s="45">
        <f t="shared" si="33"/>
        <v>0</v>
      </c>
      <c r="AO38" s="45">
        <f t="shared" si="21"/>
        <v>0</v>
      </c>
      <c r="AP38" s="45">
        <f t="shared" si="22"/>
        <v>0</v>
      </c>
      <c r="AQ38" s="45">
        <f t="shared" si="23"/>
        <v>0</v>
      </c>
      <c r="AR38" s="45">
        <f t="shared" si="24"/>
        <v>0</v>
      </c>
      <c r="AS38" s="19">
        <f t="shared" si="29"/>
        <v>0</v>
      </c>
      <c r="AT38" s="19">
        <f t="shared" si="30"/>
        <v>0</v>
      </c>
      <c r="AU38" s="46">
        <v>0</v>
      </c>
      <c r="AV38" s="46">
        <v>0</v>
      </c>
      <c r="AW38" s="46">
        <v>0</v>
      </c>
      <c r="AX38" s="46">
        <v>1</v>
      </c>
      <c r="AY38" s="47">
        <v>0</v>
      </c>
      <c r="AZ38" s="47">
        <v>-1</v>
      </c>
    </row>
    <row r="39" hidden="1" customHeight="1" spans="1:52">
      <c r="A39" s="44">
        <v>45364</v>
      </c>
      <c r="B39" s="33">
        <f t="shared" si="8"/>
        <v>652</v>
      </c>
      <c r="C39" s="33">
        <f t="shared" si="9"/>
        <v>2908</v>
      </c>
      <c r="D39" s="11">
        <f t="shared" si="25"/>
        <v>3560</v>
      </c>
      <c r="E39" s="34">
        <f t="shared" si="26"/>
        <v>3.75071783519771e-7</v>
      </c>
      <c r="F39" s="35">
        <f t="shared" si="10"/>
        <v>0.000278382244407857</v>
      </c>
      <c r="G39" s="18">
        <f>(SUM($I$8:$I39)*(MAX(M$3-M$4,0))+(N39*MAX(M$4,0)))*(1-$AM$4)+(AM39*$AM$4)</f>
        <v>0.00890823182105144</v>
      </c>
      <c r="H39" s="18">
        <f t="shared" si="11"/>
        <v>0.625</v>
      </c>
      <c r="I39" s="18">
        <f t="shared" si="27"/>
        <v>0.00154671717171717</v>
      </c>
      <c r="J39" s="18">
        <f t="shared" si="12"/>
        <v>0.190413455174974</v>
      </c>
      <c r="K39" s="18">
        <f t="shared" si="13"/>
        <v>0.00124169715463961</v>
      </c>
      <c r="L39" s="18">
        <f t="shared" si="14"/>
        <v>0.00247474747474748</v>
      </c>
      <c r="M39" s="18">
        <v>0</v>
      </c>
      <c r="N39" s="18">
        <f t="shared" si="28"/>
        <v>0</v>
      </c>
      <c r="O39" s="11">
        <v>0</v>
      </c>
      <c r="P39" s="11">
        <v>0</v>
      </c>
      <c r="Q39" s="11">
        <f t="shared" si="15"/>
        <v>1</v>
      </c>
      <c r="R39" s="11">
        <v>0</v>
      </c>
      <c r="S39" s="11">
        <f t="shared" si="16"/>
        <v>0</v>
      </c>
      <c r="T39" s="11">
        <v>0</v>
      </c>
      <c r="U39" s="11">
        <f t="shared" si="17"/>
        <v>1</v>
      </c>
      <c r="V39" s="11">
        <v>0</v>
      </c>
      <c r="W39" s="11">
        <f t="shared" si="18"/>
        <v>1</v>
      </c>
      <c r="X39" s="11">
        <f t="shared" si="19"/>
        <v>0</v>
      </c>
      <c r="Y39" s="19">
        <v>0</v>
      </c>
      <c r="Z39" s="11">
        <v>0</v>
      </c>
      <c r="AA39" s="11">
        <v>3</v>
      </c>
      <c r="AB39" s="11">
        <v>0</v>
      </c>
      <c r="AC39" s="11">
        <v>12</v>
      </c>
      <c r="AD39" s="11">
        <v>6</v>
      </c>
      <c r="AE39" s="11">
        <v>0</v>
      </c>
      <c r="AF39" s="11">
        <v>0</v>
      </c>
      <c r="AG39" s="11">
        <v>0</v>
      </c>
      <c r="AH39" s="11">
        <v>0</v>
      </c>
      <c r="AI39" s="45">
        <v>0</v>
      </c>
      <c r="AJ39" s="45">
        <v>0</v>
      </c>
      <c r="AK39" s="45">
        <f t="shared" si="31"/>
        <v>0</v>
      </c>
      <c r="AL39" s="45">
        <f t="shared" si="32"/>
        <v>0</v>
      </c>
      <c r="AM39" s="45">
        <f t="shared" si="20"/>
        <v>0</v>
      </c>
      <c r="AN39" s="45">
        <f t="shared" si="33"/>
        <v>0</v>
      </c>
      <c r="AO39" s="45">
        <f t="shared" si="21"/>
        <v>0</v>
      </c>
      <c r="AP39" s="45">
        <f t="shared" si="22"/>
        <v>0</v>
      </c>
      <c r="AQ39" s="45">
        <f t="shared" si="23"/>
        <v>0</v>
      </c>
      <c r="AR39" s="45">
        <f t="shared" si="24"/>
        <v>0</v>
      </c>
      <c r="AS39" s="19">
        <f t="shared" si="29"/>
        <v>0</v>
      </c>
      <c r="AT39" s="19">
        <f t="shared" si="30"/>
        <v>0</v>
      </c>
      <c r="AU39" s="46">
        <v>0</v>
      </c>
      <c r="AV39" s="46">
        <v>0</v>
      </c>
      <c r="AW39" s="46">
        <v>0</v>
      </c>
      <c r="AX39" s="46">
        <v>1</v>
      </c>
      <c r="AY39" s="47">
        <v>0</v>
      </c>
      <c r="AZ39" s="47">
        <v>-1</v>
      </c>
    </row>
    <row r="40" hidden="1" customHeight="1" spans="1:52">
      <c r="A40" s="44">
        <v>45365</v>
      </c>
      <c r="B40" s="33">
        <f t="shared" si="8"/>
        <v>651</v>
      </c>
      <c r="C40" s="33">
        <f t="shared" si="9"/>
        <v>2913</v>
      </c>
      <c r="D40" s="11">
        <f t="shared" si="25"/>
        <v>3564</v>
      </c>
      <c r="E40" s="34">
        <f t="shared" si="26"/>
        <v>-3.65061125306965e-7</v>
      </c>
      <c r="F40" s="35">
        <f t="shared" si="10"/>
        <v>0.00027801718328255</v>
      </c>
      <c r="G40" s="18">
        <f>(SUM($I$8:$I40)*(MAX(M$3-M$4,0))+(N40*MAX(M$4,0)))*(1-$AM$4)+(AM40*$AM$4)</f>
        <v>0.00917456704832416</v>
      </c>
      <c r="H40" s="18">
        <f t="shared" si="11"/>
        <v>0.625</v>
      </c>
      <c r="I40" s="18">
        <f t="shared" si="27"/>
        <v>0.00142045454545455</v>
      </c>
      <c r="J40" s="18">
        <f t="shared" si="12"/>
        <v>0.190163753365264</v>
      </c>
      <c r="K40" s="18">
        <f t="shared" si="13"/>
        <v>0.00124398809006872</v>
      </c>
      <c r="L40" s="18">
        <f t="shared" si="14"/>
        <v>0.00227272727272727</v>
      </c>
      <c r="M40" s="18">
        <v>0</v>
      </c>
      <c r="N40" s="18">
        <f t="shared" si="28"/>
        <v>0</v>
      </c>
      <c r="O40" s="11">
        <v>0</v>
      </c>
      <c r="P40" s="11">
        <v>0</v>
      </c>
      <c r="Q40" s="11">
        <f t="shared" si="15"/>
        <v>1</v>
      </c>
      <c r="R40" s="11">
        <v>0</v>
      </c>
      <c r="S40" s="11">
        <f t="shared" si="16"/>
        <v>0</v>
      </c>
      <c r="T40" s="11">
        <v>0</v>
      </c>
      <c r="U40" s="11">
        <f t="shared" si="17"/>
        <v>1</v>
      </c>
      <c r="V40" s="11">
        <v>0</v>
      </c>
      <c r="W40" s="11">
        <f t="shared" si="18"/>
        <v>1</v>
      </c>
      <c r="X40" s="11">
        <f t="shared" si="19"/>
        <v>0</v>
      </c>
      <c r="Y40" s="19">
        <v>0</v>
      </c>
      <c r="Z40" s="11">
        <v>0</v>
      </c>
      <c r="AA40" s="11">
        <v>9</v>
      </c>
      <c r="AB40" s="11">
        <v>0</v>
      </c>
      <c r="AC40" s="11">
        <v>4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45">
        <v>0</v>
      </c>
      <c r="AJ40" s="45">
        <v>0</v>
      </c>
      <c r="AK40" s="45">
        <f t="shared" si="31"/>
        <v>0</v>
      </c>
      <c r="AL40" s="45">
        <f t="shared" si="32"/>
        <v>0</v>
      </c>
      <c r="AM40" s="45">
        <f t="shared" si="20"/>
        <v>0</v>
      </c>
      <c r="AN40" s="45">
        <f t="shared" si="33"/>
        <v>0</v>
      </c>
      <c r="AO40" s="45">
        <f t="shared" si="21"/>
        <v>0</v>
      </c>
      <c r="AP40" s="45">
        <f t="shared" si="22"/>
        <v>0</v>
      </c>
      <c r="AQ40" s="45">
        <f t="shared" si="23"/>
        <v>0</v>
      </c>
      <c r="AR40" s="45">
        <f t="shared" si="24"/>
        <v>0</v>
      </c>
      <c r="AS40" s="19">
        <f t="shared" si="29"/>
        <v>0</v>
      </c>
      <c r="AT40" s="19">
        <f t="shared" si="30"/>
        <v>0</v>
      </c>
      <c r="AU40" s="46">
        <v>0</v>
      </c>
      <c r="AV40" s="46">
        <v>0</v>
      </c>
      <c r="AW40" s="46">
        <v>0</v>
      </c>
      <c r="AX40" s="46">
        <v>1</v>
      </c>
      <c r="AY40" s="47">
        <v>0</v>
      </c>
      <c r="AZ40" s="47">
        <v>-1</v>
      </c>
    </row>
    <row r="41" hidden="1" customHeight="1" spans="1:52">
      <c r="A41" s="44">
        <v>45366</v>
      </c>
      <c r="B41" s="33">
        <f t="shared" si="8"/>
        <v>650</v>
      </c>
      <c r="C41" s="33">
        <f t="shared" si="9"/>
        <v>2914</v>
      </c>
      <c r="D41" s="11">
        <f t="shared" si="25"/>
        <v>3564</v>
      </c>
      <c r="E41" s="34">
        <f t="shared" si="26"/>
        <v>-8.24739735509356e-8</v>
      </c>
      <c r="F41" s="35">
        <f t="shared" si="10"/>
        <v>0.000277934709308999</v>
      </c>
      <c r="G41" s="18">
        <f>(SUM($I$8:$I41)*(MAX(M$3-M$4,0))+(N41*MAX(M$4,0)))*(1-$AM$4)+(AM41*$AM$4)</f>
        <v>0.00944978011650598</v>
      </c>
      <c r="H41" s="18">
        <f t="shared" si="11"/>
        <v>0.625</v>
      </c>
      <c r="I41" s="18">
        <f t="shared" si="27"/>
        <v>0.00146780303030303</v>
      </c>
      <c r="J41" s="18">
        <f t="shared" si="12"/>
        <v>0.190107341167356</v>
      </c>
      <c r="K41" s="18">
        <f t="shared" si="13"/>
        <v>0.00124598870589638</v>
      </c>
      <c r="L41" s="18">
        <f t="shared" si="14"/>
        <v>0.00234848484848485</v>
      </c>
      <c r="M41" s="18">
        <v>0</v>
      </c>
      <c r="N41" s="18">
        <f t="shared" si="28"/>
        <v>0</v>
      </c>
      <c r="O41" s="11">
        <v>0</v>
      </c>
      <c r="P41" s="11">
        <v>0</v>
      </c>
      <c r="Q41" s="11">
        <f t="shared" si="15"/>
        <v>1</v>
      </c>
      <c r="R41" s="11">
        <v>0</v>
      </c>
      <c r="S41" s="11">
        <f t="shared" si="16"/>
        <v>0</v>
      </c>
      <c r="T41" s="11">
        <v>0</v>
      </c>
      <c r="U41" s="11">
        <f t="shared" si="17"/>
        <v>1</v>
      </c>
      <c r="V41" s="11">
        <v>0</v>
      </c>
      <c r="W41" s="11">
        <f t="shared" si="18"/>
        <v>1</v>
      </c>
      <c r="X41" s="11">
        <f t="shared" si="19"/>
        <v>0</v>
      </c>
      <c r="Y41" s="19">
        <v>0</v>
      </c>
      <c r="Z41" s="11">
        <v>0</v>
      </c>
      <c r="AA41" s="11">
        <v>6</v>
      </c>
      <c r="AB41" s="11">
        <v>0</v>
      </c>
      <c r="AC41" s="11">
        <v>10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45">
        <v>0</v>
      </c>
      <c r="AJ41" s="45">
        <v>0</v>
      </c>
      <c r="AK41" s="45">
        <f t="shared" si="31"/>
        <v>0</v>
      </c>
      <c r="AL41" s="45">
        <f t="shared" si="32"/>
        <v>0</v>
      </c>
      <c r="AM41" s="45">
        <f t="shared" si="20"/>
        <v>0</v>
      </c>
      <c r="AN41" s="45">
        <f t="shared" si="33"/>
        <v>0</v>
      </c>
      <c r="AO41" s="45">
        <f t="shared" si="21"/>
        <v>0</v>
      </c>
      <c r="AP41" s="45">
        <f t="shared" si="22"/>
        <v>0</v>
      </c>
      <c r="AQ41" s="45">
        <f t="shared" si="23"/>
        <v>0</v>
      </c>
      <c r="AR41" s="45">
        <f t="shared" si="24"/>
        <v>0</v>
      </c>
      <c r="AS41" s="19">
        <f t="shared" si="29"/>
        <v>0</v>
      </c>
      <c r="AT41" s="19">
        <f t="shared" si="30"/>
        <v>0</v>
      </c>
      <c r="AU41" s="46">
        <v>0</v>
      </c>
      <c r="AV41" s="46">
        <v>0</v>
      </c>
      <c r="AW41" s="46">
        <v>0</v>
      </c>
      <c r="AX41" s="46">
        <v>1</v>
      </c>
      <c r="AY41" s="47">
        <v>0</v>
      </c>
      <c r="AZ41" s="47">
        <v>-1</v>
      </c>
    </row>
    <row r="42" hidden="1" customHeight="1" spans="1:52">
      <c r="A42" s="44">
        <v>45367</v>
      </c>
      <c r="B42" s="33">
        <f t="shared" si="8"/>
        <v>649</v>
      </c>
      <c r="C42" s="33">
        <f t="shared" si="9"/>
        <v>2885</v>
      </c>
      <c r="D42" s="11">
        <f t="shared" si="25"/>
        <v>3534</v>
      </c>
      <c r="E42" s="34">
        <f t="shared" si="26"/>
        <v>2.26147944542833e-6</v>
      </c>
      <c r="F42" s="35">
        <f t="shared" si="10"/>
        <v>0.000280196188754428</v>
      </c>
      <c r="G42" s="18">
        <f>(SUM($I$8:$I42)*(MAX(M$3-M$4,0))+(N42*MAX(M$4,0)))*(1-$AM$4)+(AM42*$AM$4)</f>
        <v>0.00980686660640497</v>
      </c>
      <c r="H42" s="18">
        <f t="shared" si="11"/>
        <v>0.625</v>
      </c>
      <c r="I42" s="18">
        <f t="shared" si="27"/>
        <v>0.00190446127946128</v>
      </c>
      <c r="J42" s="18">
        <f t="shared" si="12"/>
        <v>0.191654193108029</v>
      </c>
      <c r="K42" s="18">
        <f t="shared" si="13"/>
        <v>0.00124552512618177</v>
      </c>
      <c r="L42" s="18">
        <f t="shared" si="14"/>
        <v>0.00304713804713805</v>
      </c>
      <c r="M42" s="18">
        <v>0</v>
      </c>
      <c r="N42" s="18">
        <f t="shared" si="28"/>
        <v>0</v>
      </c>
      <c r="O42" s="11">
        <v>0</v>
      </c>
      <c r="P42" s="11">
        <v>0</v>
      </c>
      <c r="Q42" s="11">
        <f t="shared" si="15"/>
        <v>1</v>
      </c>
      <c r="R42" s="11">
        <v>0</v>
      </c>
      <c r="S42" s="11">
        <f t="shared" si="16"/>
        <v>0</v>
      </c>
      <c r="T42" s="11">
        <v>0</v>
      </c>
      <c r="U42" s="11">
        <f t="shared" si="17"/>
        <v>1</v>
      </c>
      <c r="V42" s="11">
        <v>0</v>
      </c>
      <c r="W42" s="11">
        <f t="shared" si="18"/>
        <v>1</v>
      </c>
      <c r="X42" s="11">
        <f t="shared" si="19"/>
        <v>0</v>
      </c>
      <c r="Y42" s="19">
        <v>3.5</v>
      </c>
      <c r="Z42" s="11">
        <v>0</v>
      </c>
      <c r="AA42" s="11">
        <v>0</v>
      </c>
      <c r="AB42" s="11">
        <v>0</v>
      </c>
      <c r="AC42" s="11">
        <v>7</v>
      </c>
      <c r="AD42" s="11">
        <v>11</v>
      </c>
      <c r="AE42" s="11">
        <v>0</v>
      </c>
      <c r="AF42" s="11">
        <v>0</v>
      </c>
      <c r="AG42" s="11">
        <v>0</v>
      </c>
      <c r="AH42" s="11">
        <v>0</v>
      </c>
      <c r="AI42" s="45">
        <v>0</v>
      </c>
      <c r="AJ42" s="45">
        <v>0</v>
      </c>
      <c r="AK42" s="45">
        <f t="shared" si="31"/>
        <v>0</v>
      </c>
      <c r="AL42" s="45">
        <f t="shared" si="32"/>
        <v>0</v>
      </c>
      <c r="AM42" s="45">
        <f t="shared" si="20"/>
        <v>0</v>
      </c>
      <c r="AN42" s="45">
        <f t="shared" si="33"/>
        <v>0</v>
      </c>
      <c r="AO42" s="45">
        <f t="shared" si="21"/>
        <v>0</v>
      </c>
      <c r="AP42" s="45">
        <f t="shared" si="22"/>
        <v>0</v>
      </c>
      <c r="AQ42" s="45">
        <f t="shared" si="23"/>
        <v>0</v>
      </c>
      <c r="AR42" s="45">
        <f t="shared" si="24"/>
        <v>0</v>
      </c>
      <c r="AS42" s="19">
        <f t="shared" si="29"/>
        <v>0</v>
      </c>
      <c r="AT42" s="19">
        <f t="shared" si="30"/>
        <v>0</v>
      </c>
      <c r="AU42" s="46">
        <v>0</v>
      </c>
      <c r="AV42" s="46">
        <v>0</v>
      </c>
      <c r="AW42" s="46">
        <v>0</v>
      </c>
      <c r="AX42" s="46">
        <v>1</v>
      </c>
      <c r="AY42" s="47">
        <v>0</v>
      </c>
      <c r="AZ42" s="47">
        <v>-1</v>
      </c>
    </row>
    <row r="43" hidden="1" customHeight="1" spans="1:52">
      <c r="A43" s="44">
        <v>45368</v>
      </c>
      <c r="B43" s="33">
        <f t="shared" si="8"/>
        <v>648</v>
      </c>
      <c r="C43" s="33">
        <f t="shared" si="9"/>
        <v>2797</v>
      </c>
      <c r="D43" s="11">
        <f t="shared" si="25"/>
        <v>3445</v>
      </c>
      <c r="E43" s="34">
        <f t="shared" si="26"/>
        <v>7.09126616885841e-6</v>
      </c>
      <c r="F43" s="35">
        <f t="shared" si="10"/>
        <v>0.000287287454923286</v>
      </c>
      <c r="G43" s="18">
        <f>(SUM($I$8:$I43)*(MAX(M$3-M$4,0))+(N43*MAX(M$4,0)))*(1-$AM$4)+(AM43*$AM$4)</f>
        <v>0.0103423483772383</v>
      </c>
      <c r="H43" s="18">
        <f t="shared" si="11"/>
        <v>0.625</v>
      </c>
      <c r="I43" s="18">
        <f t="shared" si="27"/>
        <v>0.00285590277777778</v>
      </c>
      <c r="J43" s="18">
        <f t="shared" si="12"/>
        <v>0.196504619167528</v>
      </c>
      <c r="K43" s="18">
        <f t="shared" si="13"/>
        <v>0.00123996200745752</v>
      </c>
      <c r="L43" s="18">
        <f t="shared" si="14"/>
        <v>0.00456944444444445</v>
      </c>
      <c r="M43" s="18">
        <v>0</v>
      </c>
      <c r="N43" s="18">
        <f t="shared" si="28"/>
        <v>0</v>
      </c>
      <c r="O43" s="11">
        <v>0</v>
      </c>
      <c r="P43" s="11">
        <v>0</v>
      </c>
      <c r="Q43" s="11">
        <f t="shared" si="15"/>
        <v>1</v>
      </c>
      <c r="R43" s="11">
        <v>0</v>
      </c>
      <c r="S43" s="11">
        <f t="shared" si="16"/>
        <v>0</v>
      </c>
      <c r="T43" s="11">
        <v>0</v>
      </c>
      <c r="U43" s="11">
        <f t="shared" si="17"/>
        <v>1</v>
      </c>
      <c r="V43" s="11">
        <v>0</v>
      </c>
      <c r="W43" s="11">
        <f t="shared" si="18"/>
        <v>1</v>
      </c>
      <c r="X43" s="11">
        <f t="shared" si="19"/>
        <v>0</v>
      </c>
      <c r="Y43" s="19">
        <v>4.73</v>
      </c>
      <c r="Z43" s="11">
        <v>0</v>
      </c>
      <c r="AA43" s="11">
        <v>9</v>
      </c>
      <c r="AB43" s="11">
        <v>0</v>
      </c>
      <c r="AC43" s="11">
        <v>4</v>
      </c>
      <c r="AD43" s="11">
        <v>6</v>
      </c>
      <c r="AE43" s="11">
        <v>0</v>
      </c>
      <c r="AF43" s="11">
        <v>0</v>
      </c>
      <c r="AG43" s="11">
        <v>0</v>
      </c>
      <c r="AH43" s="11">
        <v>0</v>
      </c>
      <c r="AI43" s="45">
        <v>0</v>
      </c>
      <c r="AJ43" s="45">
        <v>0</v>
      </c>
      <c r="AK43" s="45">
        <f t="shared" si="31"/>
        <v>0</v>
      </c>
      <c r="AL43" s="45">
        <f t="shared" si="32"/>
        <v>0</v>
      </c>
      <c r="AM43" s="45">
        <f t="shared" si="20"/>
        <v>0</v>
      </c>
      <c r="AN43" s="45">
        <f t="shared" si="33"/>
        <v>0</v>
      </c>
      <c r="AO43" s="45">
        <f t="shared" si="21"/>
        <v>0</v>
      </c>
      <c r="AP43" s="45">
        <f t="shared" si="22"/>
        <v>0</v>
      </c>
      <c r="AQ43" s="45">
        <f t="shared" si="23"/>
        <v>0</v>
      </c>
      <c r="AR43" s="45">
        <f t="shared" si="24"/>
        <v>0</v>
      </c>
      <c r="AS43" s="19">
        <f t="shared" si="29"/>
        <v>0</v>
      </c>
      <c r="AT43" s="19">
        <f t="shared" si="30"/>
        <v>0</v>
      </c>
      <c r="AU43" s="46">
        <v>0</v>
      </c>
      <c r="AV43" s="46">
        <v>0</v>
      </c>
      <c r="AW43" s="46">
        <v>0</v>
      </c>
      <c r="AX43" s="46">
        <v>1</v>
      </c>
      <c r="AY43" s="47">
        <v>0</v>
      </c>
      <c r="AZ43" s="47">
        <v>-1</v>
      </c>
    </row>
    <row r="44" hidden="1" customHeight="1" spans="1:52">
      <c r="A44" s="44">
        <v>45369</v>
      </c>
      <c r="B44" s="33">
        <f t="shared" si="8"/>
        <v>647</v>
      </c>
      <c r="C44" s="33">
        <f t="shared" si="9"/>
        <v>2765</v>
      </c>
      <c r="D44" s="11">
        <f t="shared" si="25"/>
        <v>3412</v>
      </c>
      <c r="E44" s="34">
        <f t="shared" si="26"/>
        <v>2.61961543477886e-6</v>
      </c>
      <c r="F44" s="35">
        <f t="shared" si="10"/>
        <v>0.000289907070358065</v>
      </c>
      <c r="G44" s="18">
        <f>(SUM($I$8:$I44)*(MAX(M$3-M$4,0))+(N44*MAX(M$4,0)))*(1-$AM$4)+(AM44*$AM$4)</f>
        <v>0.0107265616032484</v>
      </c>
      <c r="H44" s="18">
        <f t="shared" si="11"/>
        <v>0.625</v>
      </c>
      <c r="I44" s="18">
        <f t="shared" si="27"/>
        <v>0.00204913720538721</v>
      </c>
      <c r="J44" s="18">
        <f t="shared" si="12"/>
        <v>0.198296436124917</v>
      </c>
      <c r="K44" s="18">
        <f t="shared" si="13"/>
        <v>0.00123910906317633</v>
      </c>
      <c r="L44" s="18">
        <f t="shared" si="14"/>
        <v>0.00327861952861953</v>
      </c>
      <c r="M44" s="18">
        <v>0</v>
      </c>
      <c r="N44" s="18">
        <f t="shared" si="28"/>
        <v>0</v>
      </c>
      <c r="O44" s="11">
        <v>0</v>
      </c>
      <c r="P44" s="11">
        <v>0</v>
      </c>
      <c r="Q44" s="11">
        <f t="shared" si="15"/>
        <v>1</v>
      </c>
      <c r="R44" s="11">
        <v>0</v>
      </c>
      <c r="S44" s="11">
        <f t="shared" si="16"/>
        <v>0</v>
      </c>
      <c r="T44" s="11">
        <v>0</v>
      </c>
      <c r="U44" s="11">
        <f t="shared" si="17"/>
        <v>1</v>
      </c>
      <c r="V44" s="11">
        <v>0</v>
      </c>
      <c r="W44" s="11">
        <f t="shared" si="18"/>
        <v>1</v>
      </c>
      <c r="X44" s="11">
        <f t="shared" si="19"/>
        <v>0</v>
      </c>
      <c r="Y44" s="19">
        <v>0</v>
      </c>
      <c r="Z44" s="11">
        <v>0</v>
      </c>
      <c r="AA44" s="11">
        <v>7</v>
      </c>
      <c r="AB44" s="11">
        <v>0</v>
      </c>
      <c r="AC44" s="11">
        <v>9</v>
      </c>
      <c r="AD44" s="11">
        <v>10</v>
      </c>
      <c r="AE44" s="11">
        <v>0</v>
      </c>
      <c r="AF44" s="11">
        <v>0</v>
      </c>
      <c r="AG44" s="11">
        <v>0</v>
      </c>
      <c r="AH44" s="11">
        <v>0</v>
      </c>
      <c r="AI44" s="45">
        <v>0</v>
      </c>
      <c r="AJ44" s="45">
        <v>0</v>
      </c>
      <c r="AK44" s="45">
        <f t="shared" si="31"/>
        <v>0</v>
      </c>
      <c r="AL44" s="45">
        <f t="shared" si="32"/>
        <v>0</v>
      </c>
      <c r="AM44" s="45">
        <f t="shared" si="20"/>
        <v>0</v>
      </c>
      <c r="AN44" s="45">
        <f t="shared" si="33"/>
        <v>0</v>
      </c>
      <c r="AO44" s="45">
        <f t="shared" si="21"/>
        <v>0</v>
      </c>
      <c r="AP44" s="45">
        <f t="shared" si="22"/>
        <v>0</v>
      </c>
      <c r="AQ44" s="45">
        <f t="shared" si="23"/>
        <v>0</v>
      </c>
      <c r="AR44" s="45">
        <f t="shared" si="24"/>
        <v>0</v>
      </c>
      <c r="AS44" s="19">
        <f t="shared" si="29"/>
        <v>0</v>
      </c>
      <c r="AT44" s="19">
        <f t="shared" si="30"/>
        <v>0</v>
      </c>
      <c r="AU44" s="46">
        <v>0</v>
      </c>
      <c r="AV44" s="46">
        <v>0</v>
      </c>
      <c r="AW44" s="46">
        <v>0</v>
      </c>
      <c r="AX44" s="46">
        <v>1</v>
      </c>
      <c r="AY44" s="47">
        <v>0</v>
      </c>
      <c r="AZ44" s="47">
        <v>-1</v>
      </c>
    </row>
    <row r="45" hidden="1" customHeight="1" spans="1:52">
      <c r="A45" s="44">
        <v>45370</v>
      </c>
      <c r="B45" s="33">
        <f t="shared" si="8"/>
        <v>646</v>
      </c>
      <c r="C45" s="33">
        <f t="shared" si="9"/>
        <v>2724</v>
      </c>
      <c r="D45" s="11">
        <f t="shared" si="25"/>
        <v>3370</v>
      </c>
      <c r="E45" s="34">
        <f t="shared" si="26"/>
        <v>3.5460435033364e-6</v>
      </c>
      <c r="F45" s="35">
        <f t="shared" si="10"/>
        <v>0.000293453113861401</v>
      </c>
      <c r="G45" s="18">
        <f>(SUM($I$8:$I45)*(MAX(M$3-M$4,0))+(N45*MAX(M$4,0)))*(1-$AM$4)+(AM45*$AM$4)</f>
        <v>0.0111512183267333</v>
      </c>
      <c r="H45" s="18">
        <f t="shared" si="11"/>
        <v>0.625</v>
      </c>
      <c r="I45" s="18">
        <f t="shared" si="27"/>
        <v>0.00226483585858586</v>
      </c>
      <c r="J45" s="18">
        <f t="shared" si="12"/>
        <v>0.200721929881199</v>
      </c>
      <c r="K45" s="18">
        <f t="shared" si="13"/>
        <v>0.00123727255436347</v>
      </c>
      <c r="L45" s="18">
        <f t="shared" si="14"/>
        <v>0.00362373737373738</v>
      </c>
      <c r="M45" s="18">
        <v>0</v>
      </c>
      <c r="N45" s="18">
        <f t="shared" si="28"/>
        <v>0</v>
      </c>
      <c r="O45" s="11">
        <v>0</v>
      </c>
      <c r="P45" s="11">
        <v>0</v>
      </c>
      <c r="Q45" s="11">
        <f t="shared" si="15"/>
        <v>1</v>
      </c>
      <c r="R45" s="11">
        <v>0</v>
      </c>
      <c r="S45" s="11">
        <f t="shared" si="16"/>
        <v>0</v>
      </c>
      <c r="T45" s="11">
        <v>0</v>
      </c>
      <c r="U45" s="11">
        <f t="shared" si="17"/>
        <v>1</v>
      </c>
      <c r="V45" s="11">
        <v>0</v>
      </c>
      <c r="W45" s="11">
        <f t="shared" si="18"/>
        <v>1</v>
      </c>
      <c r="X45" s="11">
        <f t="shared" si="19"/>
        <v>0</v>
      </c>
      <c r="Y45" s="19">
        <v>0</v>
      </c>
      <c r="Z45" s="11">
        <v>0</v>
      </c>
      <c r="AA45" s="11">
        <v>14</v>
      </c>
      <c r="AB45" s="11">
        <v>0</v>
      </c>
      <c r="AC45" s="11">
        <v>7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45">
        <v>0</v>
      </c>
      <c r="AJ45" s="45">
        <v>0</v>
      </c>
      <c r="AK45" s="45">
        <f t="shared" si="31"/>
        <v>0</v>
      </c>
      <c r="AL45" s="45">
        <f t="shared" si="32"/>
        <v>0</v>
      </c>
      <c r="AM45" s="45">
        <f t="shared" si="20"/>
        <v>0</v>
      </c>
      <c r="AN45" s="45">
        <f t="shared" si="33"/>
        <v>0</v>
      </c>
      <c r="AO45" s="45">
        <f t="shared" si="21"/>
        <v>0</v>
      </c>
      <c r="AP45" s="45">
        <f t="shared" si="22"/>
        <v>0</v>
      </c>
      <c r="AQ45" s="45">
        <f t="shared" si="23"/>
        <v>0</v>
      </c>
      <c r="AR45" s="45">
        <f t="shared" si="24"/>
        <v>0</v>
      </c>
      <c r="AS45" s="19">
        <f t="shared" si="29"/>
        <v>0</v>
      </c>
      <c r="AT45" s="19">
        <f t="shared" si="30"/>
        <v>0</v>
      </c>
      <c r="AU45" s="46">
        <v>0</v>
      </c>
      <c r="AV45" s="46">
        <v>0</v>
      </c>
      <c r="AW45" s="46">
        <v>0</v>
      </c>
      <c r="AX45" s="46">
        <v>1</v>
      </c>
      <c r="AY45" s="47">
        <v>0</v>
      </c>
      <c r="AZ45" s="47">
        <v>-1</v>
      </c>
    </row>
    <row r="46" hidden="1" customHeight="1" spans="1:52">
      <c r="A46" s="44">
        <v>45371</v>
      </c>
      <c r="B46" s="33">
        <f t="shared" si="8"/>
        <v>645</v>
      </c>
      <c r="C46" s="33">
        <f t="shared" si="9"/>
        <v>2566</v>
      </c>
      <c r="D46" s="11">
        <f t="shared" si="25"/>
        <v>3211</v>
      </c>
      <c r="E46" s="34">
        <f t="shared" si="26"/>
        <v>1.42148895629944e-5</v>
      </c>
      <c r="F46" s="35">
        <f t="shared" si="10"/>
        <v>0.000307668003424396</v>
      </c>
      <c r="G46" s="18">
        <f>(SUM($I$8:$I46)*(MAX(M$3-M$4,0))+(N46*MAX(M$4,0)))*(1-$AM$4)+(AM46*$AM$4)</f>
        <v>0.0119990521335514</v>
      </c>
      <c r="H46" s="18">
        <f t="shared" si="11"/>
        <v>0.625</v>
      </c>
      <c r="I46" s="18">
        <f t="shared" si="27"/>
        <v>0.00452178030303031</v>
      </c>
      <c r="J46" s="18">
        <f t="shared" si="12"/>
        <v>0.210444914342287</v>
      </c>
      <c r="K46" s="18">
        <f t="shared" si="13"/>
        <v>0.00122411641187242</v>
      </c>
      <c r="L46" s="18">
        <f t="shared" si="14"/>
        <v>0.0072348484848485</v>
      </c>
      <c r="M46" s="18">
        <v>0</v>
      </c>
      <c r="N46" s="18">
        <f t="shared" si="28"/>
        <v>0</v>
      </c>
      <c r="O46" s="11">
        <v>0</v>
      </c>
      <c r="P46" s="11">
        <v>0</v>
      </c>
      <c r="Q46" s="11">
        <f t="shared" si="15"/>
        <v>1</v>
      </c>
      <c r="R46" s="11">
        <v>0</v>
      </c>
      <c r="S46" s="11">
        <f t="shared" si="16"/>
        <v>0</v>
      </c>
      <c r="T46" s="11">
        <v>0</v>
      </c>
      <c r="U46" s="11">
        <f t="shared" si="17"/>
        <v>1</v>
      </c>
      <c r="V46" s="11">
        <v>0</v>
      </c>
      <c r="W46" s="11">
        <f t="shared" si="18"/>
        <v>1</v>
      </c>
      <c r="X46" s="11">
        <f t="shared" si="19"/>
        <v>0</v>
      </c>
      <c r="Y46" s="19">
        <v>9.3</v>
      </c>
      <c r="Z46" s="11">
        <v>0</v>
      </c>
      <c r="AA46" s="11">
        <v>15</v>
      </c>
      <c r="AB46" s="11">
        <v>0</v>
      </c>
      <c r="AC46" s="11">
        <v>6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45">
        <v>0</v>
      </c>
      <c r="AJ46" s="45">
        <v>0</v>
      </c>
      <c r="AK46" s="45">
        <f t="shared" si="31"/>
        <v>0</v>
      </c>
      <c r="AL46" s="45">
        <f t="shared" si="32"/>
        <v>0</v>
      </c>
      <c r="AM46" s="45">
        <f t="shared" si="20"/>
        <v>0</v>
      </c>
      <c r="AN46" s="45">
        <f t="shared" si="33"/>
        <v>0</v>
      </c>
      <c r="AO46" s="45">
        <f t="shared" si="21"/>
        <v>0</v>
      </c>
      <c r="AP46" s="45">
        <f t="shared" si="22"/>
        <v>0</v>
      </c>
      <c r="AQ46" s="45">
        <f t="shared" si="23"/>
        <v>0</v>
      </c>
      <c r="AR46" s="45">
        <f t="shared" si="24"/>
        <v>0</v>
      </c>
      <c r="AS46" s="19">
        <f t="shared" si="29"/>
        <v>0</v>
      </c>
      <c r="AT46" s="19">
        <f t="shared" si="30"/>
        <v>0</v>
      </c>
      <c r="AU46" s="46">
        <v>0</v>
      </c>
      <c r="AV46" s="46">
        <v>0</v>
      </c>
      <c r="AW46" s="46">
        <v>0</v>
      </c>
      <c r="AX46" s="46">
        <v>1</v>
      </c>
      <c r="AY46" s="47">
        <v>0</v>
      </c>
      <c r="AZ46" s="47">
        <v>-1</v>
      </c>
    </row>
    <row r="47" hidden="1" customHeight="1" spans="1:52">
      <c r="A47" s="44">
        <v>45372</v>
      </c>
      <c r="B47" s="33">
        <f t="shared" si="8"/>
        <v>644</v>
      </c>
      <c r="C47" s="33">
        <f t="shared" si="9"/>
        <v>2545</v>
      </c>
      <c r="D47" s="11">
        <f t="shared" si="25"/>
        <v>3189</v>
      </c>
      <c r="E47" s="34">
        <f t="shared" si="26"/>
        <v>2.04433211135983e-6</v>
      </c>
      <c r="F47" s="35">
        <f t="shared" si="10"/>
        <v>0.000309712335535756</v>
      </c>
      <c r="G47" s="18">
        <f>(SUM($I$8:$I47)*(MAX(M$3-M$4,0))+(N47*MAX(M$4,0)))*(1-$AM$4)+(AM47*$AM$4)</f>
        <v>0.0123884934214302</v>
      </c>
      <c r="H47" s="18">
        <f t="shared" si="11"/>
        <v>0.625</v>
      </c>
      <c r="I47" s="18">
        <f t="shared" si="27"/>
        <v>0.0020770202020202</v>
      </c>
      <c r="J47" s="18">
        <f t="shared" si="12"/>
        <v>0.211843237506457</v>
      </c>
      <c r="K47" s="18">
        <f t="shared" si="13"/>
        <v>0.00122384590449308</v>
      </c>
      <c r="L47" s="18">
        <f t="shared" si="14"/>
        <v>0.00332323232323233</v>
      </c>
      <c r="M47" s="18">
        <v>0</v>
      </c>
      <c r="N47" s="18">
        <f t="shared" si="28"/>
        <v>0</v>
      </c>
      <c r="O47" s="11">
        <v>0</v>
      </c>
      <c r="P47" s="11">
        <v>0</v>
      </c>
      <c r="Q47" s="11">
        <f t="shared" si="15"/>
        <v>1</v>
      </c>
      <c r="R47" s="11">
        <v>0</v>
      </c>
      <c r="S47" s="11">
        <f t="shared" si="16"/>
        <v>0</v>
      </c>
      <c r="T47" s="11">
        <v>0</v>
      </c>
      <c r="U47" s="11">
        <f t="shared" si="17"/>
        <v>1</v>
      </c>
      <c r="V47" s="11">
        <v>0</v>
      </c>
      <c r="W47" s="11">
        <f t="shared" si="18"/>
        <v>1</v>
      </c>
      <c r="X47" s="11">
        <f t="shared" si="19"/>
        <v>0</v>
      </c>
      <c r="Y47" s="19">
        <v>0</v>
      </c>
      <c r="Z47" s="11">
        <v>7</v>
      </c>
      <c r="AA47" s="11">
        <v>7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45">
        <v>0</v>
      </c>
      <c r="AJ47" s="45">
        <v>0</v>
      </c>
      <c r="AK47" s="45">
        <f t="shared" si="31"/>
        <v>0</v>
      </c>
      <c r="AL47" s="45">
        <f t="shared" si="32"/>
        <v>0</v>
      </c>
      <c r="AM47" s="45">
        <f t="shared" si="20"/>
        <v>0</v>
      </c>
      <c r="AN47" s="45">
        <f t="shared" si="33"/>
        <v>0</v>
      </c>
      <c r="AO47" s="45">
        <f t="shared" si="21"/>
        <v>0</v>
      </c>
      <c r="AP47" s="45">
        <f t="shared" si="22"/>
        <v>0</v>
      </c>
      <c r="AQ47" s="45">
        <f t="shared" si="23"/>
        <v>0</v>
      </c>
      <c r="AR47" s="45">
        <f t="shared" si="24"/>
        <v>0</v>
      </c>
      <c r="AS47" s="19">
        <f t="shared" si="29"/>
        <v>0</v>
      </c>
      <c r="AT47" s="19">
        <f t="shared" si="30"/>
        <v>0</v>
      </c>
      <c r="AU47" s="46">
        <v>0</v>
      </c>
      <c r="AV47" s="46">
        <v>0</v>
      </c>
      <c r="AW47" s="46">
        <v>0</v>
      </c>
      <c r="AX47" s="46">
        <v>1</v>
      </c>
      <c r="AY47" s="47">
        <v>0</v>
      </c>
      <c r="AZ47" s="47">
        <v>-1</v>
      </c>
    </row>
    <row r="48" hidden="1" customHeight="1" spans="1:52">
      <c r="A48" s="44">
        <v>45373</v>
      </c>
      <c r="B48" s="33">
        <f t="shared" si="8"/>
        <v>643</v>
      </c>
      <c r="C48" s="33">
        <f t="shared" si="9"/>
        <v>2462</v>
      </c>
      <c r="D48" s="11">
        <f t="shared" si="25"/>
        <v>3105</v>
      </c>
      <c r="E48" s="34">
        <f t="shared" si="26"/>
        <v>8.19518601427946e-6</v>
      </c>
      <c r="F48" s="35">
        <f t="shared" si="10"/>
        <v>0.000317907521550035</v>
      </c>
      <c r="G48" s="18">
        <f>(SUM($I$8:$I48)*(MAX(M$3-M$4,0))+(N48*MAX(M$4,0)))*(1-$AM$4)+(AM48*$AM$4)</f>
        <v>0.0130342083835514</v>
      </c>
      <c r="H48" s="18">
        <f t="shared" si="11"/>
        <v>0.625</v>
      </c>
      <c r="I48" s="18">
        <f t="shared" si="27"/>
        <v>0.00344381313131314</v>
      </c>
      <c r="J48" s="18">
        <f t="shared" si="12"/>
        <v>0.217448744740224</v>
      </c>
      <c r="K48" s="18">
        <f t="shared" si="13"/>
        <v>0.00121703150118161</v>
      </c>
      <c r="L48" s="18">
        <f t="shared" si="14"/>
        <v>0.00551010101010102</v>
      </c>
      <c r="M48" s="18">
        <v>0</v>
      </c>
      <c r="N48" s="18">
        <f t="shared" si="28"/>
        <v>0</v>
      </c>
      <c r="O48" s="11">
        <v>0</v>
      </c>
      <c r="P48" s="11">
        <v>0</v>
      </c>
      <c r="Q48" s="11">
        <f t="shared" si="15"/>
        <v>1</v>
      </c>
      <c r="R48" s="11">
        <v>0</v>
      </c>
      <c r="S48" s="11">
        <f t="shared" si="16"/>
        <v>0</v>
      </c>
      <c r="T48" s="11">
        <v>0</v>
      </c>
      <c r="U48" s="11">
        <f t="shared" si="17"/>
        <v>1</v>
      </c>
      <c r="V48" s="11">
        <v>0</v>
      </c>
      <c r="W48" s="11">
        <f t="shared" si="18"/>
        <v>1</v>
      </c>
      <c r="X48" s="11">
        <f t="shared" si="19"/>
        <v>0</v>
      </c>
      <c r="Y48" s="19">
        <v>7.08</v>
      </c>
      <c r="Z48" s="11">
        <v>0</v>
      </c>
      <c r="AA48" s="11">
        <v>14</v>
      </c>
      <c r="AB48" s="11">
        <v>0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45">
        <v>0</v>
      </c>
      <c r="AJ48" s="45">
        <v>0</v>
      </c>
      <c r="AK48" s="45">
        <f t="shared" si="31"/>
        <v>0</v>
      </c>
      <c r="AL48" s="45">
        <f t="shared" si="32"/>
        <v>0</v>
      </c>
      <c r="AM48" s="45">
        <f t="shared" si="20"/>
        <v>0</v>
      </c>
      <c r="AN48" s="45">
        <f t="shared" si="33"/>
        <v>0</v>
      </c>
      <c r="AO48" s="45">
        <f t="shared" si="21"/>
        <v>0</v>
      </c>
      <c r="AP48" s="45">
        <f t="shared" si="22"/>
        <v>0</v>
      </c>
      <c r="AQ48" s="45">
        <f t="shared" si="23"/>
        <v>0</v>
      </c>
      <c r="AR48" s="45">
        <f t="shared" si="24"/>
        <v>0</v>
      </c>
      <c r="AS48" s="19">
        <f t="shared" si="29"/>
        <v>0</v>
      </c>
      <c r="AT48" s="19">
        <f t="shared" si="30"/>
        <v>0</v>
      </c>
      <c r="AU48" s="46">
        <v>0</v>
      </c>
      <c r="AV48" s="46">
        <v>0</v>
      </c>
      <c r="AW48" s="46">
        <v>0</v>
      </c>
      <c r="AX48" s="46">
        <v>1</v>
      </c>
      <c r="AY48" s="47">
        <v>0</v>
      </c>
      <c r="AZ48" s="47">
        <v>-1</v>
      </c>
    </row>
    <row r="49" hidden="1" customHeight="1" spans="1:52">
      <c r="A49" s="44">
        <v>45374</v>
      </c>
      <c r="B49" s="33">
        <f t="shared" si="8"/>
        <v>642</v>
      </c>
      <c r="C49" s="33">
        <f t="shared" si="9"/>
        <v>2327</v>
      </c>
      <c r="D49" s="11">
        <f t="shared" si="25"/>
        <v>2969</v>
      </c>
      <c r="E49" s="34">
        <f t="shared" si="26"/>
        <v>1.41944010170868e-5</v>
      </c>
      <c r="F49" s="35">
        <f t="shared" si="10"/>
        <v>0.000332101922567122</v>
      </c>
      <c r="G49" s="18">
        <f>(SUM($I$8:$I49)*(MAX(M$3-M$4,0))+(N49*MAX(M$4,0)))*(1-$AM$4)+(AM49*$AM$4)</f>
        <v>0.0139482807478191</v>
      </c>
      <c r="H49" s="18">
        <f t="shared" si="11"/>
        <v>0.625</v>
      </c>
      <c r="I49" s="18">
        <f t="shared" si="27"/>
        <v>0.00487505260942762</v>
      </c>
      <c r="J49" s="18">
        <f t="shared" si="12"/>
        <v>0.227157715035911</v>
      </c>
      <c r="K49" s="18">
        <f t="shared" si="13"/>
        <v>0.00120380418218705</v>
      </c>
      <c r="L49" s="18">
        <f t="shared" si="14"/>
        <v>0.00780008417508419</v>
      </c>
      <c r="M49" s="18">
        <v>0</v>
      </c>
      <c r="N49" s="18">
        <f t="shared" si="28"/>
        <v>0</v>
      </c>
      <c r="O49" s="11">
        <v>0</v>
      </c>
      <c r="P49" s="11">
        <v>0</v>
      </c>
      <c r="Q49" s="11">
        <f t="shared" si="15"/>
        <v>1</v>
      </c>
      <c r="R49" s="11">
        <v>0</v>
      </c>
      <c r="S49" s="11">
        <f t="shared" si="16"/>
        <v>0</v>
      </c>
      <c r="T49" s="11">
        <v>0</v>
      </c>
      <c r="U49" s="11">
        <f t="shared" si="17"/>
        <v>1</v>
      </c>
      <c r="V49" s="11">
        <v>0</v>
      </c>
      <c r="W49" s="11">
        <f t="shared" si="18"/>
        <v>1</v>
      </c>
      <c r="X49" s="11">
        <f t="shared" si="19"/>
        <v>0</v>
      </c>
      <c r="Y49" s="19">
        <v>5.27</v>
      </c>
      <c r="Z49" s="11">
        <v>0</v>
      </c>
      <c r="AA49" s="11">
        <v>14</v>
      </c>
      <c r="AB49" s="11">
        <v>0</v>
      </c>
      <c r="AC49" s="11">
        <v>21</v>
      </c>
      <c r="AD49" s="11">
        <v>7</v>
      </c>
      <c r="AE49" s="11">
        <v>0</v>
      </c>
      <c r="AF49" s="11">
        <v>0</v>
      </c>
      <c r="AG49" s="11">
        <v>0</v>
      </c>
      <c r="AH49" s="11">
        <v>0</v>
      </c>
      <c r="AI49" s="45">
        <v>0</v>
      </c>
      <c r="AJ49" s="45">
        <v>0</v>
      </c>
      <c r="AK49" s="45">
        <f t="shared" si="31"/>
        <v>0</v>
      </c>
      <c r="AL49" s="45">
        <f t="shared" si="32"/>
        <v>0</v>
      </c>
      <c r="AM49" s="45">
        <f t="shared" si="20"/>
        <v>0</v>
      </c>
      <c r="AN49" s="45">
        <f t="shared" si="33"/>
        <v>0</v>
      </c>
      <c r="AO49" s="45">
        <f t="shared" si="21"/>
        <v>0</v>
      </c>
      <c r="AP49" s="45">
        <f t="shared" si="22"/>
        <v>0</v>
      </c>
      <c r="AQ49" s="45">
        <f t="shared" si="23"/>
        <v>0</v>
      </c>
      <c r="AR49" s="45">
        <f t="shared" si="24"/>
        <v>0</v>
      </c>
      <c r="AS49" s="19">
        <f t="shared" si="29"/>
        <v>0</v>
      </c>
      <c r="AT49" s="19">
        <f t="shared" si="30"/>
        <v>0</v>
      </c>
      <c r="AU49" s="46">
        <v>0</v>
      </c>
      <c r="AV49" s="46">
        <v>0</v>
      </c>
      <c r="AW49" s="46">
        <v>0</v>
      </c>
      <c r="AX49" s="46">
        <v>1</v>
      </c>
      <c r="AY49" s="47">
        <v>0</v>
      </c>
      <c r="AZ49" s="47">
        <v>-1</v>
      </c>
    </row>
    <row r="50" hidden="1" customHeight="1" spans="1:52">
      <c r="A50" s="44">
        <v>45375</v>
      </c>
      <c r="B50" s="33">
        <f t="shared" si="8"/>
        <v>641</v>
      </c>
      <c r="C50" s="33">
        <f t="shared" si="9"/>
        <v>2308</v>
      </c>
      <c r="D50" s="11">
        <f t="shared" si="25"/>
        <v>2949</v>
      </c>
      <c r="E50" s="34">
        <f t="shared" si="26"/>
        <v>2.15243723064481e-6</v>
      </c>
      <c r="F50" s="35">
        <f t="shared" si="10"/>
        <v>0.000334254359797767</v>
      </c>
      <c r="G50" s="18">
        <f>(SUM($I$8:$I50)*(MAX(M$3-M$4,0))+(N50*MAX(M$4,0)))*(1-$AM$4)+(AM50*$AM$4)</f>
        <v>0.014372937471304</v>
      </c>
      <c r="H50" s="18">
        <f t="shared" si="11"/>
        <v>0.625</v>
      </c>
      <c r="I50" s="18">
        <f t="shared" si="27"/>
        <v>0.00226483585858586</v>
      </c>
      <c r="J50" s="18">
        <f t="shared" si="12"/>
        <v>0.228629982101672</v>
      </c>
      <c r="K50" s="18">
        <f t="shared" si="13"/>
        <v>0.00120338536333592</v>
      </c>
      <c r="L50" s="18">
        <f t="shared" si="14"/>
        <v>0.00362373737373738</v>
      </c>
      <c r="M50" s="18">
        <v>0</v>
      </c>
      <c r="N50" s="18">
        <f t="shared" si="28"/>
        <v>0</v>
      </c>
      <c r="O50" s="11">
        <v>0</v>
      </c>
      <c r="P50" s="11">
        <v>0</v>
      </c>
      <c r="Q50" s="11">
        <f t="shared" si="15"/>
        <v>1</v>
      </c>
      <c r="R50" s="11">
        <v>0</v>
      </c>
      <c r="S50" s="11">
        <f t="shared" si="16"/>
        <v>0</v>
      </c>
      <c r="T50" s="11">
        <v>0</v>
      </c>
      <c r="U50" s="11">
        <f t="shared" si="17"/>
        <v>1</v>
      </c>
      <c r="V50" s="11">
        <v>0</v>
      </c>
      <c r="W50" s="11">
        <f t="shared" si="18"/>
        <v>1</v>
      </c>
      <c r="X50" s="11">
        <f t="shared" si="19"/>
        <v>0</v>
      </c>
      <c r="Y50" s="19">
        <v>0</v>
      </c>
      <c r="Z50" s="11">
        <v>0</v>
      </c>
      <c r="AA50" s="11">
        <v>14</v>
      </c>
      <c r="AB50" s="11">
        <v>0</v>
      </c>
      <c r="AC50" s="11">
        <v>7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45">
        <v>0</v>
      </c>
      <c r="AJ50" s="45">
        <v>0</v>
      </c>
      <c r="AK50" s="45">
        <f t="shared" si="31"/>
        <v>0</v>
      </c>
      <c r="AL50" s="45">
        <f t="shared" si="32"/>
        <v>0</v>
      </c>
      <c r="AM50" s="45">
        <f t="shared" si="20"/>
        <v>0</v>
      </c>
      <c r="AN50" s="45">
        <f t="shared" si="33"/>
        <v>0</v>
      </c>
      <c r="AO50" s="45">
        <f t="shared" si="21"/>
        <v>0</v>
      </c>
      <c r="AP50" s="45">
        <f t="shared" si="22"/>
        <v>0</v>
      </c>
      <c r="AQ50" s="45">
        <f t="shared" si="23"/>
        <v>0</v>
      </c>
      <c r="AR50" s="45">
        <f t="shared" si="24"/>
        <v>0</v>
      </c>
      <c r="AS50" s="19">
        <f t="shared" si="29"/>
        <v>0</v>
      </c>
      <c r="AT50" s="19">
        <f t="shared" si="30"/>
        <v>0</v>
      </c>
      <c r="AU50" s="46">
        <v>0</v>
      </c>
      <c r="AV50" s="46">
        <v>0</v>
      </c>
      <c r="AW50" s="46">
        <v>0</v>
      </c>
      <c r="AX50" s="46">
        <v>1</v>
      </c>
      <c r="AY50" s="47">
        <v>0</v>
      </c>
      <c r="AZ50" s="47">
        <v>-1</v>
      </c>
    </row>
    <row r="51" hidden="1" customHeight="1" spans="1:52">
      <c r="A51" s="44">
        <v>45376</v>
      </c>
      <c r="B51" s="33">
        <f t="shared" si="8"/>
        <v>640</v>
      </c>
      <c r="C51" s="33">
        <f t="shared" si="9"/>
        <v>2270</v>
      </c>
      <c r="D51" s="11">
        <f t="shared" si="25"/>
        <v>2910</v>
      </c>
      <c r="E51" s="34">
        <f t="shared" si="26"/>
        <v>4.28526879706634e-6</v>
      </c>
      <c r="F51" s="35">
        <f t="shared" si="10"/>
        <v>0.000338539628594833</v>
      </c>
      <c r="G51" s="18">
        <f>(SUM($I$8:$I51)*(MAX(M$3-M$4,0))+(N51*MAX(M$4,0)))*(1-$AM$4)+(AM51*$AM$4)</f>
        <v>0.0148957436581727</v>
      </c>
      <c r="H51" s="18">
        <f t="shared" si="11"/>
        <v>0.625</v>
      </c>
      <c r="I51" s="18">
        <f t="shared" si="27"/>
        <v>0.00278829966329966</v>
      </c>
      <c r="J51" s="18">
        <f t="shared" si="12"/>
        <v>0.231561105958866</v>
      </c>
      <c r="K51" s="18">
        <f t="shared" si="13"/>
        <v>0.00120068577193927</v>
      </c>
      <c r="L51" s="18">
        <f t="shared" si="14"/>
        <v>0.00446127946127946</v>
      </c>
      <c r="M51" s="18">
        <v>0</v>
      </c>
      <c r="N51" s="18">
        <f t="shared" si="28"/>
        <v>0</v>
      </c>
      <c r="O51" s="11">
        <v>0</v>
      </c>
      <c r="P51" s="11">
        <v>0</v>
      </c>
      <c r="Q51" s="11">
        <f t="shared" si="15"/>
        <v>1</v>
      </c>
      <c r="R51" s="11">
        <v>0</v>
      </c>
      <c r="S51" s="11">
        <f t="shared" si="16"/>
        <v>0</v>
      </c>
      <c r="T51" s="11">
        <v>0</v>
      </c>
      <c r="U51" s="11">
        <f t="shared" si="17"/>
        <v>1</v>
      </c>
      <c r="V51" s="11">
        <v>0</v>
      </c>
      <c r="W51" s="11">
        <f t="shared" si="18"/>
        <v>1</v>
      </c>
      <c r="X51" s="11">
        <f t="shared" si="19"/>
        <v>0</v>
      </c>
      <c r="Y51" s="19">
        <v>0</v>
      </c>
      <c r="Z51" s="11">
        <v>0</v>
      </c>
      <c r="AA51" s="11">
        <v>20</v>
      </c>
      <c r="AB51" s="11">
        <v>0</v>
      </c>
      <c r="AC51" s="11">
        <v>0</v>
      </c>
      <c r="AD51" s="11">
        <v>5</v>
      </c>
      <c r="AE51" s="11">
        <v>0</v>
      </c>
      <c r="AF51" s="11">
        <v>0</v>
      </c>
      <c r="AG51" s="11">
        <v>0</v>
      </c>
      <c r="AH51" s="11">
        <v>0</v>
      </c>
      <c r="AI51" s="45">
        <v>0</v>
      </c>
      <c r="AJ51" s="45">
        <v>0</v>
      </c>
      <c r="AK51" s="45">
        <f t="shared" si="31"/>
        <v>0</v>
      </c>
      <c r="AL51" s="45">
        <f t="shared" si="32"/>
        <v>0</v>
      </c>
      <c r="AM51" s="45">
        <f t="shared" si="20"/>
        <v>0</v>
      </c>
      <c r="AN51" s="45">
        <f t="shared" si="33"/>
        <v>0</v>
      </c>
      <c r="AO51" s="45">
        <f t="shared" si="21"/>
        <v>0</v>
      </c>
      <c r="AP51" s="45">
        <f t="shared" si="22"/>
        <v>0</v>
      </c>
      <c r="AQ51" s="45">
        <f t="shared" si="23"/>
        <v>0</v>
      </c>
      <c r="AR51" s="45">
        <f t="shared" si="24"/>
        <v>0</v>
      </c>
      <c r="AS51" s="19">
        <f t="shared" si="29"/>
        <v>0</v>
      </c>
      <c r="AT51" s="19">
        <f t="shared" si="30"/>
        <v>0</v>
      </c>
      <c r="AU51" s="46">
        <v>0</v>
      </c>
      <c r="AV51" s="46">
        <v>0</v>
      </c>
      <c r="AW51" s="46">
        <v>0</v>
      </c>
      <c r="AX51" s="46">
        <v>1</v>
      </c>
      <c r="AY51" s="47">
        <v>0</v>
      </c>
      <c r="AZ51" s="47">
        <v>-1</v>
      </c>
    </row>
    <row r="52" hidden="1" customHeight="1" spans="1:52">
      <c r="A52" s="44">
        <v>45377</v>
      </c>
      <c r="B52" s="33">
        <f t="shared" si="8"/>
        <v>639</v>
      </c>
      <c r="C52" s="33">
        <f t="shared" si="9"/>
        <v>2223</v>
      </c>
      <c r="D52" s="11">
        <f t="shared" si="25"/>
        <v>2862</v>
      </c>
      <c r="E52" s="34">
        <f t="shared" si="26"/>
        <v>5.46813767264012e-6</v>
      </c>
      <c r="F52" s="35">
        <f t="shared" si="10"/>
        <v>0.000344007766267473</v>
      </c>
      <c r="G52" s="18">
        <f>(SUM($I$8:$I52)*(MAX(M$3-M$4,0))+(N52*MAX(M$4,0)))*(1-$AM$4)+(AM52*$AM$4)</f>
        <v>0.0154803494820363</v>
      </c>
      <c r="H52" s="18">
        <f t="shared" si="11"/>
        <v>0.625</v>
      </c>
      <c r="I52" s="18">
        <f t="shared" si="27"/>
        <v>0.00311789772727273</v>
      </c>
      <c r="J52" s="18">
        <f t="shared" si="12"/>
        <v>0.235301312126952</v>
      </c>
      <c r="K52" s="18">
        <f t="shared" si="13"/>
        <v>0.00119671156161666</v>
      </c>
      <c r="L52" s="18">
        <f t="shared" si="14"/>
        <v>0.00498863636363638</v>
      </c>
      <c r="M52" s="18">
        <v>0</v>
      </c>
      <c r="N52" s="18">
        <f t="shared" si="28"/>
        <v>0</v>
      </c>
      <c r="O52" s="11">
        <v>0</v>
      </c>
      <c r="P52" s="11">
        <v>0</v>
      </c>
      <c r="Q52" s="11">
        <f t="shared" si="15"/>
        <v>1</v>
      </c>
      <c r="R52" s="11">
        <v>0</v>
      </c>
      <c r="S52" s="11">
        <f t="shared" si="16"/>
        <v>0</v>
      </c>
      <c r="T52" s="11">
        <v>0</v>
      </c>
      <c r="U52" s="11">
        <f t="shared" si="17"/>
        <v>1</v>
      </c>
      <c r="V52" s="11">
        <v>0</v>
      </c>
      <c r="W52" s="11">
        <f t="shared" si="18"/>
        <v>1</v>
      </c>
      <c r="X52" s="11">
        <f t="shared" si="19"/>
        <v>0</v>
      </c>
      <c r="Y52" s="19">
        <v>9.97</v>
      </c>
      <c r="Z52" s="11">
        <v>0</v>
      </c>
      <c r="AA52" s="11">
        <v>6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45">
        <v>0</v>
      </c>
      <c r="AJ52" s="45">
        <v>0</v>
      </c>
      <c r="AK52" s="45">
        <f t="shared" si="31"/>
        <v>0</v>
      </c>
      <c r="AL52" s="45">
        <f t="shared" si="32"/>
        <v>0</v>
      </c>
      <c r="AM52" s="45">
        <f t="shared" si="20"/>
        <v>0</v>
      </c>
      <c r="AN52" s="45">
        <f t="shared" si="33"/>
        <v>0</v>
      </c>
      <c r="AO52" s="45">
        <f t="shared" si="21"/>
        <v>0</v>
      </c>
      <c r="AP52" s="45">
        <f t="shared" si="22"/>
        <v>0</v>
      </c>
      <c r="AQ52" s="45">
        <f t="shared" si="23"/>
        <v>0</v>
      </c>
      <c r="AR52" s="45">
        <f t="shared" si="24"/>
        <v>0</v>
      </c>
      <c r="AS52" s="19">
        <f t="shared" si="29"/>
        <v>0</v>
      </c>
      <c r="AT52" s="19">
        <f t="shared" si="30"/>
        <v>0</v>
      </c>
      <c r="AU52" s="46">
        <v>0</v>
      </c>
      <c r="AV52" s="46">
        <v>0</v>
      </c>
      <c r="AW52" s="46">
        <v>0</v>
      </c>
      <c r="AX52" s="46">
        <v>1</v>
      </c>
      <c r="AY52" s="47">
        <v>0</v>
      </c>
      <c r="AZ52" s="47">
        <v>-1</v>
      </c>
    </row>
    <row r="53" hidden="1" customHeight="1" spans="1:52">
      <c r="A53" s="44">
        <v>45378</v>
      </c>
      <c r="B53" s="33">
        <f t="shared" si="8"/>
        <v>638</v>
      </c>
      <c r="C53" s="33">
        <f t="shared" si="9"/>
        <v>2199</v>
      </c>
      <c r="D53" s="11">
        <f t="shared" si="25"/>
        <v>2837</v>
      </c>
      <c r="E53" s="34">
        <f t="shared" si="26"/>
        <v>2.81471917863853e-6</v>
      </c>
      <c r="F53" s="35">
        <f t="shared" si="10"/>
        <v>0.000346822485446112</v>
      </c>
      <c r="G53" s="18">
        <f>(SUM($I$8:$I53)*(MAX(M$3-M$4,0))+(N53*MAX(M$4,0)))*(1-$AM$4)+(AM53*$AM$4)</f>
        <v>0.0159538343305211</v>
      </c>
      <c r="H53" s="18">
        <f t="shared" si="11"/>
        <v>0.625</v>
      </c>
      <c r="I53" s="18">
        <f t="shared" si="27"/>
        <v>0.00252525252525252</v>
      </c>
      <c r="J53" s="18">
        <f t="shared" si="12"/>
        <v>0.23722658004514</v>
      </c>
      <c r="K53" s="18">
        <f t="shared" si="13"/>
        <v>0.0011955696237537</v>
      </c>
      <c r="L53" s="18">
        <f t="shared" si="14"/>
        <v>0.00404040404040404</v>
      </c>
      <c r="M53" s="18">
        <v>0</v>
      </c>
      <c r="N53" s="18">
        <f t="shared" si="28"/>
        <v>0</v>
      </c>
      <c r="O53" s="11">
        <v>0</v>
      </c>
      <c r="P53" s="11">
        <v>0</v>
      </c>
      <c r="Q53" s="11">
        <f t="shared" si="15"/>
        <v>1</v>
      </c>
      <c r="R53" s="11">
        <v>0</v>
      </c>
      <c r="S53" s="11">
        <f t="shared" si="16"/>
        <v>0</v>
      </c>
      <c r="T53" s="11">
        <v>0</v>
      </c>
      <c r="U53" s="11">
        <f t="shared" ref="U53:U116" si="34">MAX(1,T53)/(MAX(1,O53))</f>
        <v>1</v>
      </c>
      <c r="V53" s="11">
        <v>0</v>
      </c>
      <c r="W53" s="11">
        <f t="shared" si="18"/>
        <v>1</v>
      </c>
      <c r="X53" s="11">
        <f t="shared" si="19"/>
        <v>0</v>
      </c>
      <c r="Y53" s="19">
        <v>0</v>
      </c>
      <c r="Z53" s="11">
        <v>0</v>
      </c>
      <c r="AA53" s="11">
        <v>20</v>
      </c>
      <c r="AB53" s="11">
        <v>0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45">
        <v>0</v>
      </c>
      <c r="AJ53" s="45">
        <v>0</v>
      </c>
      <c r="AK53" s="45">
        <f t="shared" si="31"/>
        <v>0</v>
      </c>
      <c r="AL53" s="45">
        <f t="shared" si="32"/>
        <v>0</v>
      </c>
      <c r="AM53" s="45">
        <f t="shared" si="20"/>
        <v>0</v>
      </c>
      <c r="AN53" s="45">
        <f t="shared" si="33"/>
        <v>0</v>
      </c>
      <c r="AO53" s="45">
        <f t="shared" si="21"/>
        <v>0</v>
      </c>
      <c r="AP53" s="45">
        <f t="shared" si="22"/>
        <v>0</v>
      </c>
      <c r="AQ53" s="45">
        <f t="shared" si="23"/>
        <v>0</v>
      </c>
      <c r="AR53" s="45">
        <f t="shared" si="24"/>
        <v>0</v>
      </c>
      <c r="AS53" s="19">
        <f t="shared" si="29"/>
        <v>0</v>
      </c>
      <c r="AT53" s="19">
        <f t="shared" si="30"/>
        <v>0</v>
      </c>
      <c r="AU53" s="46">
        <v>0</v>
      </c>
      <c r="AV53" s="46">
        <v>0</v>
      </c>
      <c r="AW53" s="46">
        <v>0</v>
      </c>
      <c r="AX53" s="46">
        <v>1</v>
      </c>
      <c r="AY53" s="47">
        <v>0</v>
      </c>
      <c r="AZ53" s="47">
        <v>-1</v>
      </c>
    </row>
    <row r="54" hidden="1" customHeight="1" spans="1:52">
      <c r="A54" s="44">
        <v>45379</v>
      </c>
      <c r="B54" s="33">
        <f t="shared" si="8"/>
        <v>637</v>
      </c>
      <c r="C54" s="33">
        <f t="shared" si="9"/>
        <v>2189</v>
      </c>
      <c r="D54" s="11">
        <f t="shared" si="25"/>
        <v>2826</v>
      </c>
      <c r="E54" s="34">
        <f t="shared" si="26"/>
        <v>1.26866621118942e-6</v>
      </c>
      <c r="F54" s="35">
        <f t="shared" si="10"/>
        <v>0.000348091151657301</v>
      </c>
      <c r="G54" s="18">
        <f>(SUM($I$8:$I54)*(MAX(M$3-M$4,0))+(N54*MAX(M$4,0)))*(1-$AM$4)+(AM54*$AM$4)</f>
        <v>0.0163602841278932</v>
      </c>
      <c r="H54" s="18">
        <f t="shared" si="11"/>
        <v>0.625</v>
      </c>
      <c r="I54" s="18">
        <f t="shared" si="27"/>
        <v>0.00216773225265074</v>
      </c>
      <c r="J54" s="18">
        <f t="shared" si="12"/>
        <v>0.238094347733594</v>
      </c>
      <c r="K54" s="18">
        <f t="shared" si="13"/>
        <v>0.00119608422647787</v>
      </c>
      <c r="L54" s="18">
        <f t="shared" si="14"/>
        <v>0.00346837160424118</v>
      </c>
      <c r="M54" s="18">
        <v>0</v>
      </c>
      <c r="N54" s="18">
        <f t="shared" si="28"/>
        <v>0</v>
      </c>
      <c r="O54" s="11">
        <v>13</v>
      </c>
      <c r="P54" s="11">
        <v>8</v>
      </c>
      <c r="Q54" s="11">
        <f t="shared" si="15"/>
        <v>1.30769230769231</v>
      </c>
      <c r="R54" s="11">
        <v>9660</v>
      </c>
      <c r="S54" s="11">
        <f t="shared" si="16"/>
        <v>0.161490683229814</v>
      </c>
      <c r="T54" s="11">
        <v>13</v>
      </c>
      <c r="U54" s="11">
        <f t="shared" si="34"/>
        <v>1</v>
      </c>
      <c r="V54" s="11">
        <v>0</v>
      </c>
      <c r="W54" s="11">
        <f t="shared" si="18"/>
        <v>1</v>
      </c>
      <c r="X54" s="11">
        <f t="shared" si="19"/>
        <v>2.74534161490684</v>
      </c>
      <c r="Y54" s="19">
        <v>1.83</v>
      </c>
      <c r="Z54" s="11">
        <v>0</v>
      </c>
      <c r="AA54" s="11">
        <v>0</v>
      </c>
      <c r="AB54" s="11">
        <v>0</v>
      </c>
      <c r="AC54" s="11">
        <v>11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45">
        <v>0</v>
      </c>
      <c r="AJ54" s="45">
        <v>0</v>
      </c>
      <c r="AK54" s="45">
        <f t="shared" si="31"/>
        <v>0</v>
      </c>
      <c r="AL54" s="45">
        <f t="shared" si="32"/>
        <v>0</v>
      </c>
      <c r="AM54" s="45">
        <f t="shared" si="20"/>
        <v>0</v>
      </c>
      <c r="AN54" s="45">
        <f t="shared" si="33"/>
        <v>0</v>
      </c>
      <c r="AO54" s="45">
        <f t="shared" si="21"/>
        <v>0</v>
      </c>
      <c r="AP54" s="45">
        <f t="shared" si="22"/>
        <v>0</v>
      </c>
      <c r="AQ54" s="45">
        <f t="shared" si="23"/>
        <v>0</v>
      </c>
      <c r="AR54" s="45">
        <f t="shared" si="24"/>
        <v>0</v>
      </c>
      <c r="AS54" s="19">
        <f t="shared" si="29"/>
        <v>0</v>
      </c>
      <c r="AT54" s="19">
        <f t="shared" si="30"/>
        <v>0</v>
      </c>
      <c r="AU54" s="46">
        <v>0</v>
      </c>
      <c r="AV54" s="46">
        <v>0</v>
      </c>
      <c r="AW54" s="46">
        <v>0</v>
      </c>
      <c r="AX54" s="46">
        <v>1</v>
      </c>
      <c r="AY54" s="47">
        <v>0</v>
      </c>
      <c r="AZ54" s="47">
        <v>-1</v>
      </c>
    </row>
    <row r="55" hidden="1" customHeight="1" spans="1:52">
      <c r="A55" s="44">
        <v>45380</v>
      </c>
      <c r="B55" s="33">
        <f t="shared" si="8"/>
        <v>636</v>
      </c>
      <c r="C55" s="33">
        <f t="shared" si="9"/>
        <v>2190</v>
      </c>
      <c r="D55" s="11">
        <f t="shared" si="25"/>
        <v>2826</v>
      </c>
      <c r="E55" s="34">
        <f t="shared" si="26"/>
        <v>-1.71691074864742e-7</v>
      </c>
      <c r="F55" s="35">
        <f t="shared" si="10"/>
        <v>0.000347919460582436</v>
      </c>
      <c r="G55" s="18">
        <f>(SUM($I$8:$I55)*(MAX(M$3-M$4,0))+(N55*MAX(M$4,0)))*(1-$AM$4)+(AM55*$AM$4)</f>
        <v>0.016700134107957</v>
      </c>
      <c r="H55" s="18">
        <f t="shared" si="11"/>
        <v>0.625</v>
      </c>
      <c r="I55" s="18">
        <f t="shared" si="27"/>
        <v>0.00181253322700691</v>
      </c>
      <c r="J55" s="18">
        <f t="shared" si="12"/>
        <v>0.237976911038387</v>
      </c>
      <c r="K55" s="18">
        <f t="shared" si="13"/>
        <v>0.00119814951094593</v>
      </c>
      <c r="L55" s="18">
        <f t="shared" si="14"/>
        <v>0.00290005316321106</v>
      </c>
      <c r="M55" s="18">
        <v>0</v>
      </c>
      <c r="N55" s="18">
        <f t="shared" si="28"/>
        <v>0</v>
      </c>
      <c r="O55" s="11">
        <v>3</v>
      </c>
      <c r="P55" s="11">
        <v>0</v>
      </c>
      <c r="Q55" s="11">
        <f t="shared" ref="Q55:Q118" si="35">($P$2-$P$4)+((P55/(MAX(1/FACT(128),O55)))*$P$4)</f>
        <v>1</v>
      </c>
      <c r="R55" s="11">
        <v>1140</v>
      </c>
      <c r="S55" s="11">
        <f t="shared" si="16"/>
        <v>0.315789473684211</v>
      </c>
      <c r="T55" s="11">
        <v>3</v>
      </c>
      <c r="U55" s="11">
        <f t="shared" si="34"/>
        <v>1</v>
      </c>
      <c r="V55" s="11">
        <v>0</v>
      </c>
      <c r="W55" s="11">
        <f t="shared" si="18"/>
        <v>1</v>
      </c>
      <c r="X55" s="11">
        <f t="shared" si="19"/>
        <v>0.947368421052632</v>
      </c>
      <c r="Y55" s="19">
        <v>0</v>
      </c>
      <c r="Z55" s="11">
        <v>0</v>
      </c>
      <c r="AA55" s="11">
        <v>5</v>
      </c>
      <c r="AB55" s="11">
        <v>3</v>
      </c>
      <c r="AC55" s="11">
        <v>8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45">
        <v>0</v>
      </c>
      <c r="AJ55" s="45">
        <v>0</v>
      </c>
      <c r="AK55" s="45">
        <f t="shared" si="31"/>
        <v>0</v>
      </c>
      <c r="AL55" s="45">
        <f t="shared" si="32"/>
        <v>0</v>
      </c>
      <c r="AM55" s="45">
        <f t="shared" si="20"/>
        <v>0</v>
      </c>
      <c r="AN55" s="45">
        <f t="shared" si="33"/>
        <v>0</v>
      </c>
      <c r="AO55" s="45">
        <f t="shared" si="21"/>
        <v>0</v>
      </c>
      <c r="AP55" s="45">
        <f t="shared" si="22"/>
        <v>0</v>
      </c>
      <c r="AQ55" s="45">
        <f t="shared" si="23"/>
        <v>0</v>
      </c>
      <c r="AR55" s="45">
        <f t="shared" si="24"/>
        <v>0</v>
      </c>
      <c r="AS55" s="19">
        <f t="shared" si="29"/>
        <v>0</v>
      </c>
      <c r="AT55" s="19">
        <f t="shared" si="30"/>
        <v>0</v>
      </c>
      <c r="AU55" s="46">
        <v>0</v>
      </c>
      <c r="AV55" s="46">
        <v>0</v>
      </c>
      <c r="AW55" s="46">
        <v>0</v>
      </c>
      <c r="AX55" s="46">
        <v>1</v>
      </c>
      <c r="AY55" s="47">
        <v>0</v>
      </c>
      <c r="AZ55" s="47">
        <v>-1</v>
      </c>
    </row>
    <row r="56" hidden="1" customHeight="1" spans="1:52">
      <c r="A56" s="44">
        <v>45381</v>
      </c>
      <c r="B56" s="33">
        <f t="shared" si="8"/>
        <v>635</v>
      </c>
      <c r="C56" s="33">
        <f t="shared" si="9"/>
        <v>2079</v>
      </c>
      <c r="D56" s="11">
        <f t="shared" si="25"/>
        <v>2714</v>
      </c>
      <c r="E56" s="34">
        <f t="shared" si="26"/>
        <v>1.40373192954729e-5</v>
      </c>
      <c r="F56" s="35">
        <f t="shared" si="10"/>
        <v>0.000361956779877909</v>
      </c>
      <c r="G56" s="18">
        <f>(SUM($I$8:$I56)*(MAX(M$3-M$4,0))+(N56*MAX(M$4,0)))*(1-$AM$4)+(AM56*$AM$4)</f>
        <v>0.0177358822140176</v>
      </c>
      <c r="H56" s="18">
        <f t="shared" si="11"/>
        <v>0.625</v>
      </c>
      <c r="I56" s="18">
        <f t="shared" si="27"/>
        <v>0.0055239898989899</v>
      </c>
      <c r="J56" s="18">
        <f t="shared" si="12"/>
        <v>0.24757843743649</v>
      </c>
      <c r="K56" s="18">
        <f t="shared" si="13"/>
        <v>0.00118491584655671</v>
      </c>
      <c r="L56" s="18">
        <f t="shared" si="14"/>
        <v>0.00883838383838384</v>
      </c>
      <c r="M56" s="18">
        <v>0</v>
      </c>
      <c r="N56" s="18">
        <f t="shared" si="28"/>
        <v>0</v>
      </c>
      <c r="O56" s="11">
        <v>0</v>
      </c>
      <c r="P56" s="11">
        <v>0</v>
      </c>
      <c r="Q56" s="11">
        <f t="shared" si="35"/>
        <v>1</v>
      </c>
      <c r="R56" s="11">
        <v>0</v>
      </c>
      <c r="S56" s="11">
        <f t="shared" si="16"/>
        <v>0</v>
      </c>
      <c r="T56" s="11">
        <v>0</v>
      </c>
      <c r="U56" s="11">
        <f t="shared" si="34"/>
        <v>1</v>
      </c>
      <c r="V56" s="11">
        <v>0</v>
      </c>
      <c r="W56" s="11">
        <f t="shared" si="18"/>
        <v>1</v>
      </c>
      <c r="X56" s="11">
        <f t="shared" si="19"/>
        <v>0</v>
      </c>
      <c r="Y56" s="19">
        <v>0</v>
      </c>
      <c r="Z56" s="11">
        <v>0</v>
      </c>
      <c r="AA56" s="11">
        <v>43</v>
      </c>
      <c r="AB56" s="11">
        <v>1</v>
      </c>
      <c r="AC56" s="11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45">
        <v>0</v>
      </c>
      <c r="AJ56" s="45">
        <v>0</v>
      </c>
      <c r="AK56" s="45">
        <f t="shared" si="31"/>
        <v>0</v>
      </c>
      <c r="AL56" s="45">
        <f t="shared" si="32"/>
        <v>0</v>
      </c>
      <c r="AM56" s="45">
        <f t="shared" si="20"/>
        <v>0</v>
      </c>
      <c r="AN56" s="45">
        <f t="shared" si="33"/>
        <v>0</v>
      </c>
      <c r="AO56" s="45">
        <f t="shared" si="21"/>
        <v>0</v>
      </c>
      <c r="AP56" s="45">
        <f t="shared" si="22"/>
        <v>0</v>
      </c>
      <c r="AQ56" s="45">
        <f t="shared" si="23"/>
        <v>0</v>
      </c>
      <c r="AR56" s="45">
        <f t="shared" si="24"/>
        <v>0</v>
      </c>
      <c r="AS56" s="19">
        <f t="shared" si="29"/>
        <v>0</v>
      </c>
      <c r="AT56" s="19">
        <f t="shared" si="30"/>
        <v>0</v>
      </c>
      <c r="AU56" s="46">
        <v>0</v>
      </c>
      <c r="AV56" s="46">
        <v>0</v>
      </c>
      <c r="AW56" s="46">
        <v>0</v>
      </c>
      <c r="AX56" s="46">
        <v>1</v>
      </c>
      <c r="AY56" s="47">
        <v>0</v>
      </c>
      <c r="AZ56" s="47">
        <v>-1</v>
      </c>
    </row>
    <row r="57" hidden="1" customHeight="1" spans="1:52">
      <c r="A57" s="44">
        <v>45382</v>
      </c>
      <c r="B57" s="33">
        <f t="shared" si="8"/>
        <v>634</v>
      </c>
      <c r="C57" s="33">
        <f t="shared" si="9"/>
        <v>1965</v>
      </c>
      <c r="D57" s="11">
        <f t="shared" si="25"/>
        <v>2599</v>
      </c>
      <c r="E57" s="34">
        <f t="shared" si="26"/>
        <v>1.54881371297145e-5</v>
      </c>
      <c r="F57" s="35">
        <f t="shared" si="10"/>
        <v>0.000377444917007624</v>
      </c>
      <c r="G57" s="18">
        <f>(SUM($I$8:$I57)*(MAX(M$3-M$4,0))+(N57*MAX(M$4,0)))*(1-$AM$4)+(AM57*$AM$4)</f>
        <v>0.0188722458503812</v>
      </c>
      <c r="H57" s="18">
        <f t="shared" si="11"/>
        <v>0.625</v>
      </c>
      <c r="I57" s="18">
        <f t="shared" si="27"/>
        <v>0.00606060606060606</v>
      </c>
      <c r="J57" s="18">
        <f t="shared" si="12"/>
        <v>0.258172323233215</v>
      </c>
      <c r="K57" s="18">
        <f t="shared" si="13"/>
        <v>0.00117007519994761</v>
      </c>
      <c r="L57" s="18">
        <f t="shared" si="14"/>
        <v>0.0096969696969697</v>
      </c>
      <c r="M57" s="18">
        <v>0</v>
      </c>
      <c r="N57" s="18">
        <f t="shared" si="28"/>
        <v>0</v>
      </c>
      <c r="O57" s="11">
        <v>0</v>
      </c>
      <c r="P57" s="11">
        <v>0</v>
      </c>
      <c r="Q57" s="11">
        <f t="shared" si="35"/>
        <v>1</v>
      </c>
      <c r="R57" s="11">
        <v>0</v>
      </c>
      <c r="S57" s="11">
        <f t="shared" si="16"/>
        <v>0</v>
      </c>
      <c r="T57" s="11">
        <v>0</v>
      </c>
      <c r="U57" s="11">
        <f t="shared" si="34"/>
        <v>1</v>
      </c>
      <c r="V57" s="11">
        <v>0</v>
      </c>
      <c r="W57" s="11">
        <f t="shared" si="18"/>
        <v>1</v>
      </c>
      <c r="X57" s="11">
        <f t="shared" si="19"/>
        <v>0</v>
      </c>
      <c r="Y57" s="19">
        <v>0</v>
      </c>
      <c r="Z57" s="11">
        <v>0</v>
      </c>
      <c r="AA57" s="11">
        <v>48</v>
      </c>
      <c r="AB57" s="11">
        <v>0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45">
        <v>0</v>
      </c>
      <c r="AJ57" s="45">
        <v>0</v>
      </c>
      <c r="AK57" s="45">
        <f t="shared" si="31"/>
        <v>0</v>
      </c>
      <c r="AL57" s="45">
        <f t="shared" si="32"/>
        <v>0</v>
      </c>
      <c r="AM57" s="45">
        <f t="shared" si="20"/>
        <v>0</v>
      </c>
      <c r="AN57" s="45">
        <f t="shared" si="33"/>
        <v>0</v>
      </c>
      <c r="AO57" s="45">
        <f t="shared" si="21"/>
        <v>0</v>
      </c>
      <c r="AP57" s="45">
        <f t="shared" si="22"/>
        <v>0</v>
      </c>
      <c r="AQ57" s="45">
        <f t="shared" si="23"/>
        <v>0</v>
      </c>
      <c r="AR57" s="45">
        <f t="shared" si="24"/>
        <v>0</v>
      </c>
      <c r="AS57" s="19">
        <f t="shared" si="29"/>
        <v>0</v>
      </c>
      <c r="AT57" s="19">
        <f t="shared" si="30"/>
        <v>0</v>
      </c>
      <c r="AU57" s="46">
        <v>0</v>
      </c>
      <c r="AV57" s="46">
        <v>0</v>
      </c>
      <c r="AW57" s="46">
        <v>0</v>
      </c>
      <c r="AX57" s="46">
        <v>1</v>
      </c>
      <c r="AY57" s="47">
        <v>0</v>
      </c>
      <c r="AZ57" s="47">
        <v>-1</v>
      </c>
    </row>
    <row r="58" hidden="1" customHeight="1" spans="1:52">
      <c r="A58" s="44">
        <v>45383</v>
      </c>
      <c r="B58" s="33">
        <f t="shared" si="8"/>
        <v>633</v>
      </c>
      <c r="C58" s="33">
        <f t="shared" si="9"/>
        <v>1900</v>
      </c>
      <c r="D58" s="11">
        <f t="shared" si="25"/>
        <v>2533</v>
      </c>
      <c r="E58" s="34">
        <f t="shared" si="26"/>
        <v>9.55482832565768e-6</v>
      </c>
      <c r="F58" s="35">
        <f t="shared" si="10"/>
        <v>0.000386999745333282</v>
      </c>
      <c r="G58" s="18">
        <f>(SUM($I$8:$I58)*(MAX(M$3-M$4,0))+(N58*MAX(M$4,0)))*(1-$AM$4)+(AM58*$AM$4)</f>
        <v>0.0197369870119974</v>
      </c>
      <c r="H58" s="18">
        <f t="shared" si="11"/>
        <v>0.666666666666667</v>
      </c>
      <c r="I58" s="18">
        <f t="shared" si="27"/>
        <v>0.00461195286195287</v>
      </c>
      <c r="J58" s="18">
        <f t="shared" si="12"/>
        <v>0.264707825807965</v>
      </c>
      <c r="K58" s="18">
        <f t="shared" si="13"/>
        <v>0.00116159901136183</v>
      </c>
      <c r="L58" s="18">
        <f t="shared" si="14"/>
        <v>0.0069179292929293</v>
      </c>
      <c r="M58" s="18">
        <v>0</v>
      </c>
      <c r="N58" s="18">
        <f t="shared" si="28"/>
        <v>0</v>
      </c>
      <c r="O58" s="11">
        <v>0</v>
      </c>
      <c r="P58" s="11">
        <v>0</v>
      </c>
      <c r="Q58" s="11">
        <f t="shared" si="35"/>
        <v>1</v>
      </c>
      <c r="R58" s="11">
        <v>0</v>
      </c>
      <c r="S58" s="11">
        <f t="shared" si="16"/>
        <v>0</v>
      </c>
      <c r="T58" s="11">
        <v>0</v>
      </c>
      <c r="U58" s="11">
        <f t="shared" si="34"/>
        <v>1</v>
      </c>
      <c r="V58" s="11">
        <v>0</v>
      </c>
      <c r="W58" s="11">
        <f t="shared" si="18"/>
        <v>1</v>
      </c>
      <c r="X58" s="11">
        <f t="shared" si="19"/>
        <v>0</v>
      </c>
      <c r="Y58" s="19">
        <v>3.33</v>
      </c>
      <c r="Z58" s="11">
        <v>0</v>
      </c>
      <c r="AA58" s="11">
        <v>28</v>
      </c>
      <c r="AB58" s="11">
        <v>0</v>
      </c>
      <c r="AC58" s="11">
        <v>0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45">
        <v>0</v>
      </c>
      <c r="AJ58" s="45">
        <v>0</v>
      </c>
      <c r="AK58" s="45">
        <f t="shared" si="31"/>
        <v>0</v>
      </c>
      <c r="AL58" s="45">
        <f t="shared" si="32"/>
        <v>0</v>
      </c>
      <c r="AM58" s="45">
        <f t="shared" si="20"/>
        <v>0</v>
      </c>
      <c r="AN58" s="45">
        <f t="shared" si="33"/>
        <v>0</v>
      </c>
      <c r="AO58" s="45">
        <f t="shared" si="21"/>
        <v>0</v>
      </c>
      <c r="AP58" s="45">
        <f t="shared" si="22"/>
        <v>0</v>
      </c>
      <c r="AQ58" s="45">
        <f t="shared" si="23"/>
        <v>0</v>
      </c>
      <c r="AR58" s="45">
        <f t="shared" si="24"/>
        <v>0</v>
      </c>
      <c r="AS58" s="19">
        <f t="shared" si="29"/>
        <v>0</v>
      </c>
      <c r="AT58" s="19">
        <f t="shared" si="30"/>
        <v>0</v>
      </c>
      <c r="AU58" s="46">
        <v>0</v>
      </c>
      <c r="AV58" s="46">
        <v>0</v>
      </c>
      <c r="AW58" s="46">
        <v>0</v>
      </c>
      <c r="AX58" s="46">
        <v>1</v>
      </c>
      <c r="AY58" s="47">
        <v>0</v>
      </c>
      <c r="AZ58" s="47">
        <v>-1</v>
      </c>
    </row>
    <row r="59" hidden="1" customHeight="1" spans="1:52">
      <c r="A59" s="44">
        <v>45384</v>
      </c>
      <c r="B59" s="33">
        <f t="shared" si="8"/>
        <v>632</v>
      </c>
      <c r="C59" s="33">
        <f t="shared" si="9"/>
        <v>1834</v>
      </c>
      <c r="D59" s="11">
        <f t="shared" si="25"/>
        <v>2466</v>
      </c>
      <c r="E59" s="34">
        <f t="shared" si="26"/>
        <v>1.01282343069162e-5</v>
      </c>
      <c r="F59" s="35">
        <f t="shared" si="10"/>
        <v>0.000397127979640198</v>
      </c>
      <c r="G59" s="18">
        <f>(SUM($I$8:$I59)*(MAX(M$3-M$4,0))+(N59*MAX(M$4,0)))*(1-$AM$4)+(AM59*$AM$4)</f>
        <v>0.0206506549412903</v>
      </c>
      <c r="H59" s="18">
        <f t="shared" si="11"/>
        <v>0.666666666666667</v>
      </c>
      <c r="I59" s="18">
        <f t="shared" si="27"/>
        <v>0.00487289562289563</v>
      </c>
      <c r="J59" s="18">
        <f t="shared" si="12"/>
        <v>0.271635538073895</v>
      </c>
      <c r="K59" s="18">
        <f t="shared" si="13"/>
        <v>0.00115247541444004</v>
      </c>
      <c r="L59" s="18">
        <f t="shared" si="14"/>
        <v>0.00730934343434344</v>
      </c>
      <c r="M59" s="18">
        <v>0</v>
      </c>
      <c r="N59" s="18">
        <f t="shared" si="28"/>
        <v>0</v>
      </c>
      <c r="O59" s="11">
        <v>0</v>
      </c>
      <c r="P59" s="11">
        <v>0</v>
      </c>
      <c r="Q59" s="11">
        <f t="shared" si="35"/>
        <v>1</v>
      </c>
      <c r="R59" s="11">
        <v>0</v>
      </c>
      <c r="S59" s="11">
        <f t="shared" si="16"/>
        <v>0</v>
      </c>
      <c r="T59" s="11">
        <v>0</v>
      </c>
      <c r="U59" s="11">
        <f t="shared" si="34"/>
        <v>1</v>
      </c>
      <c r="V59" s="11">
        <v>0</v>
      </c>
      <c r="W59" s="11">
        <f t="shared" si="18"/>
        <v>1</v>
      </c>
      <c r="X59" s="11">
        <f t="shared" si="19"/>
        <v>0</v>
      </c>
      <c r="Y59" s="19">
        <v>3.83</v>
      </c>
      <c r="Z59" s="11">
        <v>0</v>
      </c>
      <c r="AA59" s="11">
        <v>29</v>
      </c>
      <c r="AB59" s="11">
        <v>0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45">
        <v>0</v>
      </c>
      <c r="AJ59" s="45">
        <v>0</v>
      </c>
      <c r="AK59" s="45">
        <f t="shared" si="31"/>
        <v>0</v>
      </c>
      <c r="AL59" s="45">
        <f t="shared" si="32"/>
        <v>0</v>
      </c>
      <c r="AM59" s="45">
        <f t="shared" si="20"/>
        <v>0</v>
      </c>
      <c r="AN59" s="45">
        <f t="shared" si="33"/>
        <v>0</v>
      </c>
      <c r="AO59" s="45">
        <f t="shared" si="21"/>
        <v>0</v>
      </c>
      <c r="AP59" s="45">
        <f t="shared" si="22"/>
        <v>0</v>
      </c>
      <c r="AQ59" s="45">
        <f t="shared" si="23"/>
        <v>0</v>
      </c>
      <c r="AR59" s="45">
        <f t="shared" si="24"/>
        <v>0</v>
      </c>
      <c r="AS59" s="19">
        <f t="shared" si="29"/>
        <v>0</v>
      </c>
      <c r="AT59" s="19">
        <f t="shared" si="30"/>
        <v>0</v>
      </c>
      <c r="AU59" s="46">
        <v>0</v>
      </c>
      <c r="AV59" s="46">
        <v>0</v>
      </c>
      <c r="AW59" s="46">
        <v>0</v>
      </c>
      <c r="AX59" s="46">
        <v>1</v>
      </c>
      <c r="AY59" s="47">
        <v>0</v>
      </c>
      <c r="AZ59" s="47">
        <v>-1</v>
      </c>
    </row>
    <row r="60" hidden="1" customHeight="1" spans="1:52">
      <c r="A60" s="44">
        <v>45385</v>
      </c>
      <c r="B60" s="33">
        <f t="shared" si="8"/>
        <v>631</v>
      </c>
      <c r="C60" s="33">
        <f t="shared" si="9"/>
        <v>1830</v>
      </c>
      <c r="D60" s="11">
        <f t="shared" si="25"/>
        <v>2461</v>
      </c>
      <c r="E60" s="34">
        <f t="shared" si="26"/>
        <v>6.06885842504385e-7</v>
      </c>
      <c r="F60" s="35">
        <f t="shared" si="10"/>
        <v>0.000397734865482702</v>
      </c>
      <c r="G60" s="18">
        <f>(SUM($I$8:$I60)*(MAX(M$3-M$4,0))+(N60*MAX(M$4,0)))*(1-$AM$4)+(AM60*$AM$4)</f>
        <v>0.0210799478705832</v>
      </c>
      <c r="H60" s="18">
        <f t="shared" si="11"/>
        <v>0.666666666666667</v>
      </c>
      <c r="I60" s="18">
        <f t="shared" si="27"/>
        <v>0.00228956228956229</v>
      </c>
      <c r="J60" s="18">
        <f t="shared" si="12"/>
        <v>0.272050647990168</v>
      </c>
      <c r="K60" s="18">
        <f t="shared" si="13"/>
        <v>0.00115364398099815</v>
      </c>
      <c r="L60" s="18">
        <f t="shared" si="14"/>
        <v>0.00343434343434343</v>
      </c>
      <c r="M60" s="18">
        <v>0</v>
      </c>
      <c r="N60" s="18">
        <f t="shared" si="28"/>
        <v>0</v>
      </c>
      <c r="O60" s="11">
        <v>0</v>
      </c>
      <c r="P60" s="11">
        <v>0</v>
      </c>
      <c r="Q60" s="11">
        <f t="shared" si="35"/>
        <v>1</v>
      </c>
      <c r="R60" s="11">
        <v>0</v>
      </c>
      <c r="S60" s="11">
        <f t="shared" si="16"/>
        <v>0</v>
      </c>
      <c r="T60" s="11">
        <v>0</v>
      </c>
      <c r="U60" s="11">
        <f t="shared" si="34"/>
        <v>1</v>
      </c>
      <c r="V60" s="11">
        <v>0</v>
      </c>
      <c r="W60" s="11">
        <f t="shared" si="18"/>
        <v>1</v>
      </c>
      <c r="X60" s="11">
        <f t="shared" si="19"/>
        <v>0</v>
      </c>
      <c r="Y60" s="19">
        <v>0</v>
      </c>
      <c r="Z60" s="11">
        <v>0</v>
      </c>
      <c r="AA60" s="11">
        <v>17</v>
      </c>
      <c r="AB60" s="11">
        <v>0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45">
        <v>0</v>
      </c>
      <c r="AJ60" s="45">
        <v>0</v>
      </c>
      <c r="AK60" s="45">
        <f t="shared" si="31"/>
        <v>0</v>
      </c>
      <c r="AL60" s="45">
        <f t="shared" si="32"/>
        <v>0</v>
      </c>
      <c r="AM60" s="45">
        <f t="shared" si="20"/>
        <v>0</v>
      </c>
      <c r="AN60" s="45">
        <f t="shared" si="33"/>
        <v>0</v>
      </c>
      <c r="AO60" s="45">
        <f t="shared" si="21"/>
        <v>0</v>
      </c>
      <c r="AP60" s="45">
        <f t="shared" si="22"/>
        <v>0</v>
      </c>
      <c r="AQ60" s="45">
        <f t="shared" si="23"/>
        <v>0</v>
      </c>
      <c r="AR60" s="45">
        <f t="shared" si="24"/>
        <v>0</v>
      </c>
      <c r="AS60" s="19">
        <f t="shared" si="29"/>
        <v>0</v>
      </c>
      <c r="AT60" s="19">
        <f t="shared" si="30"/>
        <v>0</v>
      </c>
      <c r="AU60" s="46">
        <v>0</v>
      </c>
      <c r="AV60" s="46">
        <v>0</v>
      </c>
      <c r="AW60" s="46">
        <v>0</v>
      </c>
      <c r="AX60" s="46">
        <v>1</v>
      </c>
      <c r="AY60" s="47">
        <v>0</v>
      </c>
      <c r="AZ60" s="47">
        <v>-1</v>
      </c>
    </row>
    <row r="61" hidden="1" customHeight="1" spans="1:52">
      <c r="A61" s="44">
        <v>45386</v>
      </c>
      <c r="B61" s="33">
        <f t="shared" si="8"/>
        <v>630</v>
      </c>
      <c r="C61" s="33">
        <f t="shared" si="9"/>
        <v>1747</v>
      </c>
      <c r="D61" s="11">
        <f t="shared" si="25"/>
        <v>2377</v>
      </c>
      <c r="E61" s="34">
        <f t="shared" si="26"/>
        <v>1.36783105718692e-5</v>
      </c>
      <c r="F61" s="35">
        <f t="shared" si="10"/>
        <v>0.000411413176054571</v>
      </c>
      <c r="G61" s="18">
        <f>(SUM($I$8:$I61)*(MAX(M$3-M$4,0))+(N61*MAX(M$4,0)))*(1-$AM$4)+(AM61*$AM$4)</f>
        <v>0.0222163115069469</v>
      </c>
      <c r="H61" s="18">
        <f t="shared" si="11"/>
        <v>0.666666666666667</v>
      </c>
      <c r="I61" s="18">
        <f t="shared" si="27"/>
        <v>0.00606060606060606</v>
      </c>
      <c r="J61" s="18">
        <f t="shared" si="12"/>
        <v>0.281406612421327</v>
      </c>
      <c r="K61" s="18">
        <f t="shared" si="13"/>
        <v>0.00114062442472805</v>
      </c>
      <c r="L61" s="18">
        <f t="shared" si="14"/>
        <v>0.00909090909090909</v>
      </c>
      <c r="M61" s="18">
        <v>0</v>
      </c>
      <c r="N61" s="18">
        <f t="shared" si="28"/>
        <v>0</v>
      </c>
      <c r="O61" s="11">
        <v>0</v>
      </c>
      <c r="P61" s="11">
        <v>0</v>
      </c>
      <c r="Q61" s="11">
        <f t="shared" si="35"/>
        <v>1</v>
      </c>
      <c r="R61" s="11">
        <v>0</v>
      </c>
      <c r="S61" s="11">
        <f t="shared" si="16"/>
        <v>0</v>
      </c>
      <c r="T61" s="11">
        <v>0</v>
      </c>
      <c r="U61" s="11">
        <f t="shared" si="34"/>
        <v>1</v>
      </c>
      <c r="V61" s="11">
        <v>0</v>
      </c>
      <c r="W61" s="11">
        <f t="shared" si="18"/>
        <v>1</v>
      </c>
      <c r="X61" s="11">
        <f t="shared" si="19"/>
        <v>0</v>
      </c>
      <c r="Y61" s="19">
        <v>0</v>
      </c>
      <c r="Z61" s="11">
        <v>0</v>
      </c>
      <c r="AA61" s="11">
        <v>45</v>
      </c>
      <c r="AB61" s="11">
        <v>0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45">
        <v>0</v>
      </c>
      <c r="AJ61" s="45">
        <v>0</v>
      </c>
      <c r="AK61" s="45">
        <f t="shared" si="31"/>
        <v>0</v>
      </c>
      <c r="AL61" s="45">
        <f t="shared" si="32"/>
        <v>0</v>
      </c>
      <c r="AM61" s="45">
        <f t="shared" si="20"/>
        <v>0</v>
      </c>
      <c r="AN61" s="45">
        <f t="shared" si="33"/>
        <v>0</v>
      </c>
      <c r="AO61" s="45">
        <f t="shared" si="21"/>
        <v>0</v>
      </c>
      <c r="AP61" s="45">
        <f t="shared" si="22"/>
        <v>0</v>
      </c>
      <c r="AQ61" s="45">
        <f t="shared" si="23"/>
        <v>0</v>
      </c>
      <c r="AR61" s="45">
        <f t="shared" si="24"/>
        <v>0</v>
      </c>
      <c r="AS61" s="19">
        <f t="shared" si="29"/>
        <v>0</v>
      </c>
      <c r="AT61" s="19">
        <f t="shared" si="30"/>
        <v>0</v>
      </c>
      <c r="AU61" s="46">
        <v>0</v>
      </c>
      <c r="AV61" s="46">
        <v>0</v>
      </c>
      <c r="AW61" s="46">
        <v>0</v>
      </c>
      <c r="AX61" s="46">
        <v>1</v>
      </c>
      <c r="AY61" s="47">
        <v>0</v>
      </c>
      <c r="AZ61" s="47">
        <v>-1</v>
      </c>
    </row>
    <row r="62" hidden="1" customHeight="1" spans="1:52">
      <c r="A62" s="44">
        <v>45387</v>
      </c>
      <c r="B62" s="33">
        <f t="shared" si="8"/>
        <v>629</v>
      </c>
      <c r="C62" s="33">
        <f t="shared" si="9"/>
        <v>1675</v>
      </c>
      <c r="D62" s="11">
        <f t="shared" si="25"/>
        <v>2304</v>
      </c>
      <c r="E62" s="34">
        <f t="shared" si="26"/>
        <v>1.24606465694394e-5</v>
      </c>
      <c r="F62" s="35">
        <f t="shared" si="10"/>
        <v>0.000423873822624011</v>
      </c>
      <c r="G62" s="18">
        <f>(SUM($I$8:$I62)*(MAX(M$3-M$4,0))+(N62*MAX(M$4,0)))*(1-$AM$4)+(AM62*$AM$4)</f>
        <v>0.0233130602443206</v>
      </c>
      <c r="H62" s="18">
        <f t="shared" si="11"/>
        <v>0.666666666666667</v>
      </c>
      <c r="I62" s="18">
        <f t="shared" si="27"/>
        <v>0.00584932659932661</v>
      </c>
      <c r="J62" s="18">
        <f t="shared" si="12"/>
        <v>0.289929694674823</v>
      </c>
      <c r="K62" s="18">
        <f t="shared" si="13"/>
        <v>0.00112888760783017</v>
      </c>
      <c r="L62" s="18">
        <f t="shared" si="14"/>
        <v>0.00877398989898992</v>
      </c>
      <c r="M62" s="18">
        <v>0</v>
      </c>
      <c r="N62" s="18">
        <f t="shared" si="28"/>
        <v>0</v>
      </c>
      <c r="O62" s="11">
        <v>0</v>
      </c>
      <c r="P62" s="11">
        <v>0</v>
      </c>
      <c r="Q62" s="11">
        <f t="shared" si="35"/>
        <v>1</v>
      </c>
      <c r="R62" s="11">
        <v>0</v>
      </c>
      <c r="S62" s="11">
        <f t="shared" si="16"/>
        <v>0</v>
      </c>
      <c r="T62" s="11">
        <v>0</v>
      </c>
      <c r="U62" s="11">
        <f t="shared" si="34"/>
        <v>1</v>
      </c>
      <c r="V62" s="11">
        <v>0</v>
      </c>
      <c r="W62" s="11">
        <f t="shared" si="18"/>
        <v>1</v>
      </c>
      <c r="X62" s="11">
        <f t="shared" si="19"/>
        <v>0</v>
      </c>
      <c r="Y62" s="19">
        <v>11.83</v>
      </c>
      <c r="Z62" s="11">
        <v>0</v>
      </c>
      <c r="AA62" s="11">
        <v>16</v>
      </c>
      <c r="AB62" s="11">
        <v>7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45">
        <v>0</v>
      </c>
      <c r="AJ62" s="45">
        <v>0</v>
      </c>
      <c r="AK62" s="45">
        <f t="shared" si="31"/>
        <v>0</v>
      </c>
      <c r="AL62" s="45">
        <f t="shared" si="32"/>
        <v>0</v>
      </c>
      <c r="AM62" s="45">
        <f t="shared" si="20"/>
        <v>0</v>
      </c>
      <c r="AN62" s="45">
        <f t="shared" si="33"/>
        <v>0</v>
      </c>
      <c r="AO62" s="45">
        <f t="shared" si="21"/>
        <v>0</v>
      </c>
      <c r="AP62" s="45">
        <f t="shared" si="22"/>
        <v>0</v>
      </c>
      <c r="AQ62" s="45">
        <f t="shared" si="23"/>
        <v>0</v>
      </c>
      <c r="AR62" s="45">
        <f t="shared" si="24"/>
        <v>0</v>
      </c>
      <c r="AS62" s="19">
        <f t="shared" si="29"/>
        <v>0</v>
      </c>
      <c r="AT62" s="19">
        <f t="shared" si="30"/>
        <v>0</v>
      </c>
      <c r="AU62" s="46">
        <v>0</v>
      </c>
      <c r="AV62" s="46">
        <v>0</v>
      </c>
      <c r="AW62" s="46">
        <v>0</v>
      </c>
      <c r="AX62" s="46">
        <v>1</v>
      </c>
      <c r="AY62" s="47">
        <v>0</v>
      </c>
      <c r="AZ62" s="47">
        <v>-1</v>
      </c>
    </row>
    <row r="63" hidden="1" customHeight="1" spans="1:52">
      <c r="A63" s="44">
        <v>45388</v>
      </c>
      <c r="B63" s="33">
        <f t="shared" si="8"/>
        <v>628</v>
      </c>
      <c r="C63" s="33">
        <f t="shared" si="9"/>
        <v>1624</v>
      </c>
      <c r="D63" s="11">
        <f t="shared" si="25"/>
        <v>2252</v>
      </c>
      <c r="E63" s="34">
        <f t="shared" si="26"/>
        <v>9.48191586584116e-6</v>
      </c>
      <c r="F63" s="35">
        <f t="shared" si="10"/>
        <v>0.000433355738489852</v>
      </c>
      <c r="G63" s="18">
        <f>(SUM($I$8:$I63)*(MAX(M$3-M$4,0))+(N63*MAX(M$4,0)))*(1-$AM$4)+(AM63*$AM$4)</f>
        <v>0.0242679213554317</v>
      </c>
      <c r="H63" s="18">
        <f t="shared" si="11"/>
        <v>0.666666666666667</v>
      </c>
      <c r="I63" s="18">
        <f t="shared" si="27"/>
        <v>0.0050925925925926</v>
      </c>
      <c r="J63" s="18">
        <f t="shared" si="12"/>
        <v>0.296415325127059</v>
      </c>
      <c r="K63" s="18">
        <f t="shared" si="13"/>
        <v>0.00112035776253653</v>
      </c>
      <c r="L63" s="18">
        <f t="shared" si="14"/>
        <v>0.00763888888888889</v>
      </c>
      <c r="M63" s="18">
        <v>0</v>
      </c>
      <c r="N63" s="18">
        <f t="shared" si="28"/>
        <v>0</v>
      </c>
      <c r="O63" s="11">
        <v>0</v>
      </c>
      <c r="P63" s="11">
        <v>0</v>
      </c>
      <c r="Q63" s="11">
        <f t="shared" si="35"/>
        <v>1</v>
      </c>
      <c r="R63" s="11">
        <v>0</v>
      </c>
      <c r="S63" s="11">
        <f t="shared" si="16"/>
        <v>0</v>
      </c>
      <c r="T63" s="11">
        <v>0</v>
      </c>
      <c r="U63" s="11">
        <f t="shared" si="34"/>
        <v>1</v>
      </c>
      <c r="V63" s="11">
        <v>0</v>
      </c>
      <c r="W63" s="11">
        <f t="shared" si="18"/>
        <v>1</v>
      </c>
      <c r="X63" s="11">
        <f t="shared" si="19"/>
        <v>0</v>
      </c>
      <c r="Y63" s="19">
        <v>1.5</v>
      </c>
      <c r="Z63" s="11">
        <v>0</v>
      </c>
      <c r="AA63" s="11">
        <v>29</v>
      </c>
      <c r="AB63" s="11">
        <v>8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45">
        <v>0</v>
      </c>
      <c r="AJ63" s="45">
        <v>0</v>
      </c>
      <c r="AK63" s="45">
        <f t="shared" si="31"/>
        <v>0</v>
      </c>
      <c r="AL63" s="45">
        <f t="shared" si="32"/>
        <v>0</v>
      </c>
      <c r="AM63" s="45">
        <f t="shared" si="20"/>
        <v>0</v>
      </c>
      <c r="AN63" s="45">
        <f t="shared" si="33"/>
        <v>0</v>
      </c>
      <c r="AO63" s="45">
        <f t="shared" si="21"/>
        <v>0</v>
      </c>
      <c r="AP63" s="45">
        <f t="shared" si="22"/>
        <v>0</v>
      </c>
      <c r="AQ63" s="45">
        <f t="shared" si="23"/>
        <v>0</v>
      </c>
      <c r="AR63" s="45">
        <f t="shared" si="24"/>
        <v>0</v>
      </c>
      <c r="AS63" s="19">
        <f t="shared" si="29"/>
        <v>0</v>
      </c>
      <c r="AT63" s="19">
        <f t="shared" si="30"/>
        <v>0</v>
      </c>
      <c r="AU63" s="46">
        <v>0</v>
      </c>
      <c r="AV63" s="46">
        <v>0</v>
      </c>
      <c r="AW63" s="46">
        <v>0</v>
      </c>
      <c r="AX63" s="46">
        <v>1</v>
      </c>
      <c r="AY63" s="47">
        <v>0</v>
      </c>
      <c r="AZ63" s="47">
        <v>-1</v>
      </c>
    </row>
    <row r="64" hidden="1" customHeight="1" spans="1:52">
      <c r="A64" s="44">
        <v>45389</v>
      </c>
      <c r="B64" s="33">
        <f t="shared" si="8"/>
        <v>627</v>
      </c>
      <c r="C64" s="33">
        <f t="shared" si="9"/>
        <v>1615</v>
      </c>
      <c r="D64" s="11">
        <f t="shared" si="25"/>
        <v>2242</v>
      </c>
      <c r="E64" s="34">
        <f t="shared" si="26"/>
        <v>1.69159995679091e-6</v>
      </c>
      <c r="F64" s="35">
        <f t="shared" si="10"/>
        <v>0.000435047338446643</v>
      </c>
      <c r="G64" s="18">
        <f>(SUM($I$8:$I64)*(MAX(M$3-M$4,0))+(N64*MAX(M$4,0)))*(1-$AM$4)+(AM64*$AM$4)</f>
        <v>0.0247976982914586</v>
      </c>
      <c r="H64" s="18">
        <f t="shared" si="11"/>
        <v>0.666666666666667</v>
      </c>
      <c r="I64" s="18">
        <f t="shared" si="27"/>
        <v>0.00282547699214366</v>
      </c>
      <c r="J64" s="18">
        <f t="shared" si="12"/>
        <v>0.297572379497504</v>
      </c>
      <c r="K64" s="18">
        <f t="shared" si="13"/>
        <v>0.00112029923525119</v>
      </c>
      <c r="L64" s="18">
        <f t="shared" si="14"/>
        <v>0.00423821548821549</v>
      </c>
      <c r="M64" s="18">
        <v>0</v>
      </c>
      <c r="N64" s="18">
        <f t="shared" si="28"/>
        <v>0</v>
      </c>
      <c r="O64" s="11">
        <v>0</v>
      </c>
      <c r="P64" s="11">
        <v>0</v>
      </c>
      <c r="Q64" s="11">
        <f t="shared" si="35"/>
        <v>1</v>
      </c>
      <c r="R64" s="11">
        <v>0</v>
      </c>
      <c r="S64" s="11">
        <f t="shared" si="16"/>
        <v>0</v>
      </c>
      <c r="T64" s="11">
        <v>0</v>
      </c>
      <c r="U64" s="11">
        <f t="shared" si="34"/>
        <v>1</v>
      </c>
      <c r="V64" s="11">
        <v>0</v>
      </c>
      <c r="W64" s="11">
        <f t="shared" si="18"/>
        <v>1</v>
      </c>
      <c r="X64" s="11">
        <f t="shared" si="19"/>
        <v>0</v>
      </c>
      <c r="Y64" s="19">
        <v>0</v>
      </c>
      <c r="Z64" s="11">
        <v>0</v>
      </c>
      <c r="AA64" s="11">
        <v>20</v>
      </c>
      <c r="AB64" s="11">
        <v>0</v>
      </c>
      <c r="AC64" s="11">
        <v>1</v>
      </c>
      <c r="AD64" s="11">
        <v>1</v>
      </c>
      <c r="AE64" s="11">
        <v>0</v>
      </c>
      <c r="AF64" s="11">
        <v>0</v>
      </c>
      <c r="AG64" s="11">
        <v>0</v>
      </c>
      <c r="AH64" s="11">
        <v>0</v>
      </c>
      <c r="AI64" s="45">
        <v>0</v>
      </c>
      <c r="AJ64" s="45">
        <v>0</v>
      </c>
      <c r="AK64" s="45">
        <f t="shared" si="31"/>
        <v>0</v>
      </c>
      <c r="AL64" s="45">
        <f t="shared" si="32"/>
        <v>0</v>
      </c>
      <c r="AM64" s="45">
        <f t="shared" si="20"/>
        <v>0</v>
      </c>
      <c r="AN64" s="45">
        <f t="shared" si="33"/>
        <v>0</v>
      </c>
      <c r="AO64" s="45">
        <f t="shared" si="21"/>
        <v>0</v>
      </c>
      <c r="AP64" s="45">
        <f t="shared" si="22"/>
        <v>0</v>
      </c>
      <c r="AQ64" s="45">
        <f t="shared" si="23"/>
        <v>0</v>
      </c>
      <c r="AR64" s="45">
        <f t="shared" si="24"/>
        <v>0</v>
      </c>
      <c r="AS64" s="19">
        <f t="shared" si="29"/>
        <v>0</v>
      </c>
      <c r="AT64" s="19">
        <f t="shared" si="30"/>
        <v>0</v>
      </c>
      <c r="AU64" s="46">
        <v>0</v>
      </c>
      <c r="AV64" s="46">
        <v>0</v>
      </c>
      <c r="AW64" s="46">
        <v>0</v>
      </c>
      <c r="AX64" s="46">
        <v>1</v>
      </c>
      <c r="AY64" s="47">
        <v>0</v>
      </c>
      <c r="AZ64" s="47">
        <v>-1</v>
      </c>
    </row>
    <row r="65" hidden="1" customHeight="1" spans="1:52">
      <c r="A65" s="44">
        <v>45390</v>
      </c>
      <c r="B65" s="33">
        <f t="shared" si="8"/>
        <v>626</v>
      </c>
      <c r="C65" s="33">
        <f t="shared" si="9"/>
        <v>1553</v>
      </c>
      <c r="D65" s="11">
        <f t="shared" si="25"/>
        <v>2179</v>
      </c>
      <c r="E65" s="34">
        <f t="shared" si="26"/>
        <v>1.19093414304742e-5</v>
      </c>
      <c r="F65" s="35">
        <f t="shared" si="10"/>
        <v>0.000446956679877117</v>
      </c>
      <c r="G65" s="18">
        <f>(SUM($I$8:$I65)*(MAX(M$3-M$4,0))+(N65*MAX(M$4,0)))*(1-$AM$4)+(AM65*$AM$4)</f>
        <v>0.0259234874328728</v>
      </c>
      <c r="H65" s="18">
        <f t="shared" si="11"/>
        <v>0.666666666666667</v>
      </c>
      <c r="I65" s="18">
        <f t="shared" si="27"/>
        <v>0.00600420875420876</v>
      </c>
      <c r="J65" s="18">
        <f t="shared" si="12"/>
        <v>0.305718369035948</v>
      </c>
      <c r="K65" s="18">
        <f t="shared" si="13"/>
        <v>0.001109076087802</v>
      </c>
      <c r="L65" s="18">
        <f t="shared" si="14"/>
        <v>0.00900631313131314</v>
      </c>
      <c r="M65" s="18">
        <v>0</v>
      </c>
      <c r="N65" s="18">
        <f t="shared" si="28"/>
        <v>0</v>
      </c>
      <c r="O65" s="11">
        <v>0</v>
      </c>
      <c r="P65" s="11">
        <v>0</v>
      </c>
      <c r="Q65" s="11">
        <f t="shared" si="35"/>
        <v>1</v>
      </c>
      <c r="R65" s="11">
        <v>0</v>
      </c>
      <c r="S65" s="11">
        <f t="shared" si="16"/>
        <v>0</v>
      </c>
      <c r="T65" s="11">
        <v>0</v>
      </c>
      <c r="U65" s="11">
        <f t="shared" si="34"/>
        <v>1</v>
      </c>
      <c r="V65" s="11">
        <v>0</v>
      </c>
      <c r="W65" s="11">
        <f t="shared" si="18"/>
        <v>1</v>
      </c>
      <c r="X65" s="11">
        <f t="shared" si="19"/>
        <v>0</v>
      </c>
      <c r="Y65" s="19">
        <v>3.83</v>
      </c>
      <c r="Z65" s="11">
        <v>4</v>
      </c>
      <c r="AA65" s="11">
        <v>32</v>
      </c>
      <c r="AB65" s="11">
        <v>0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45">
        <v>0</v>
      </c>
      <c r="AJ65" s="45">
        <v>0</v>
      </c>
      <c r="AK65" s="45">
        <f t="shared" si="31"/>
        <v>0</v>
      </c>
      <c r="AL65" s="45">
        <f t="shared" si="32"/>
        <v>0</v>
      </c>
      <c r="AM65" s="45">
        <f t="shared" si="20"/>
        <v>0</v>
      </c>
      <c r="AN65" s="45">
        <f t="shared" si="33"/>
        <v>0</v>
      </c>
      <c r="AO65" s="45">
        <f t="shared" si="21"/>
        <v>0</v>
      </c>
      <c r="AP65" s="45">
        <f t="shared" si="22"/>
        <v>0</v>
      </c>
      <c r="AQ65" s="45">
        <f t="shared" si="23"/>
        <v>0</v>
      </c>
      <c r="AR65" s="45">
        <f t="shared" si="24"/>
        <v>0</v>
      </c>
      <c r="AS65" s="19">
        <f t="shared" si="29"/>
        <v>0</v>
      </c>
      <c r="AT65" s="19">
        <f t="shared" si="30"/>
        <v>0</v>
      </c>
      <c r="AU65" s="46">
        <v>0</v>
      </c>
      <c r="AV65" s="46">
        <v>0</v>
      </c>
      <c r="AW65" s="46">
        <v>0</v>
      </c>
      <c r="AX65" s="46">
        <v>1</v>
      </c>
      <c r="AY65" s="47">
        <v>0</v>
      </c>
      <c r="AZ65" s="47">
        <v>-1</v>
      </c>
    </row>
    <row r="66" hidden="1" customHeight="1" spans="1:52">
      <c r="A66" s="44">
        <v>45391</v>
      </c>
      <c r="B66" s="33">
        <f t="shared" si="8"/>
        <v>625</v>
      </c>
      <c r="C66" s="33">
        <f t="shared" si="9"/>
        <v>1530</v>
      </c>
      <c r="D66" s="11">
        <f t="shared" si="25"/>
        <v>2155</v>
      </c>
      <c r="E66" s="34">
        <f t="shared" si="26"/>
        <v>4.81532078277098e-6</v>
      </c>
      <c r="F66" s="35">
        <f t="shared" si="10"/>
        <v>0.000451772000659888</v>
      </c>
      <c r="G66" s="18">
        <f>(SUM($I$8:$I66)*(MAX(M$3-M$4,0))+(N66*MAX(M$4,0)))*(1-$AM$4)+(AM66*$AM$4)</f>
        <v>0.0266545480389334</v>
      </c>
      <c r="H66" s="18">
        <f t="shared" si="11"/>
        <v>0.666666666666667</v>
      </c>
      <c r="I66" s="18">
        <f t="shared" si="27"/>
        <v>0.00389898989898991</v>
      </c>
      <c r="J66" s="18">
        <f t="shared" si="12"/>
        <v>0.309012048451363</v>
      </c>
      <c r="K66" s="18">
        <f t="shared" si="13"/>
        <v>0.00110558072247782</v>
      </c>
      <c r="L66" s="18">
        <f t="shared" si="14"/>
        <v>0.00584848484848486</v>
      </c>
      <c r="M66" s="18">
        <v>0</v>
      </c>
      <c r="N66" s="18">
        <f t="shared" si="28"/>
        <v>0</v>
      </c>
      <c r="O66" s="11">
        <v>0</v>
      </c>
      <c r="P66" s="11">
        <v>0</v>
      </c>
      <c r="Q66" s="11">
        <f t="shared" si="35"/>
        <v>1</v>
      </c>
      <c r="R66" s="11">
        <v>0</v>
      </c>
      <c r="S66" s="11">
        <f t="shared" si="16"/>
        <v>0</v>
      </c>
      <c r="T66" s="11">
        <v>0</v>
      </c>
      <c r="U66" s="11">
        <f t="shared" si="34"/>
        <v>1</v>
      </c>
      <c r="V66" s="11">
        <v>0</v>
      </c>
      <c r="W66" s="11">
        <f t="shared" si="18"/>
        <v>1</v>
      </c>
      <c r="X66" s="11">
        <f t="shared" si="19"/>
        <v>0</v>
      </c>
      <c r="Y66" s="19">
        <v>6.08</v>
      </c>
      <c r="Z66" s="11">
        <v>13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45">
        <v>0</v>
      </c>
      <c r="AJ66" s="45">
        <v>0</v>
      </c>
      <c r="AK66" s="45">
        <f t="shared" si="31"/>
        <v>0</v>
      </c>
      <c r="AL66" s="45">
        <f t="shared" si="32"/>
        <v>0</v>
      </c>
      <c r="AM66" s="45">
        <f t="shared" si="20"/>
        <v>0</v>
      </c>
      <c r="AN66" s="45">
        <f t="shared" si="33"/>
        <v>0</v>
      </c>
      <c r="AO66" s="45">
        <f t="shared" si="21"/>
        <v>0</v>
      </c>
      <c r="AP66" s="45">
        <f t="shared" si="22"/>
        <v>0</v>
      </c>
      <c r="AQ66" s="45">
        <f t="shared" si="23"/>
        <v>0</v>
      </c>
      <c r="AR66" s="45">
        <f t="shared" si="24"/>
        <v>0</v>
      </c>
      <c r="AS66" s="19">
        <f t="shared" si="29"/>
        <v>0</v>
      </c>
      <c r="AT66" s="19">
        <f t="shared" si="30"/>
        <v>0</v>
      </c>
      <c r="AU66" s="46">
        <v>0</v>
      </c>
      <c r="AV66" s="46">
        <v>0</v>
      </c>
      <c r="AW66" s="46">
        <v>0</v>
      </c>
      <c r="AX66" s="46">
        <v>1</v>
      </c>
      <c r="AY66" s="47">
        <v>0</v>
      </c>
      <c r="AZ66" s="47">
        <v>-1</v>
      </c>
    </row>
    <row r="67" hidden="1" customHeight="1" spans="1:52">
      <c r="A67" s="44">
        <v>45392</v>
      </c>
      <c r="B67" s="33">
        <f t="shared" si="8"/>
        <v>624</v>
      </c>
      <c r="C67" s="33">
        <f t="shared" si="9"/>
        <v>1484</v>
      </c>
      <c r="D67" s="11">
        <f t="shared" si="25"/>
        <v>2108</v>
      </c>
      <c r="E67" s="34">
        <f t="shared" si="26"/>
        <v>9.39491951762147e-6</v>
      </c>
      <c r="F67" s="35">
        <f t="shared" si="10"/>
        <v>0.000461166920177509</v>
      </c>
      <c r="G67" s="18">
        <f>(SUM($I$8:$I67)*(MAX(M$3-M$4,0))+(N67*MAX(M$4,0)))*(1-$AM$4)+(AM67*$AM$4)</f>
        <v>0.0276700152106506</v>
      </c>
      <c r="H67" s="18">
        <f t="shared" si="11"/>
        <v>0.666666666666667</v>
      </c>
      <c r="I67" s="18">
        <f t="shared" si="27"/>
        <v>0.00541582491582493</v>
      </c>
      <c r="J67" s="18">
        <f t="shared" si="12"/>
        <v>0.315438173401416</v>
      </c>
      <c r="K67" s="18">
        <f t="shared" si="13"/>
        <v>0.0010970542092926</v>
      </c>
      <c r="L67" s="18">
        <f t="shared" si="14"/>
        <v>0.00812373737373739</v>
      </c>
      <c r="M67" s="18">
        <v>0</v>
      </c>
      <c r="N67" s="18">
        <f t="shared" si="28"/>
        <v>0</v>
      </c>
      <c r="O67" s="11">
        <v>0</v>
      </c>
      <c r="P67" s="11">
        <v>0</v>
      </c>
      <c r="Q67" s="11">
        <f t="shared" si="35"/>
        <v>1</v>
      </c>
      <c r="R67" s="11">
        <v>0</v>
      </c>
      <c r="S67" s="11">
        <f t="shared" si="16"/>
        <v>0</v>
      </c>
      <c r="T67" s="11">
        <v>0</v>
      </c>
      <c r="U67" s="11">
        <f t="shared" si="34"/>
        <v>1</v>
      </c>
      <c r="V67" s="11">
        <v>0</v>
      </c>
      <c r="W67" s="11">
        <f t="shared" si="18"/>
        <v>1</v>
      </c>
      <c r="X67" s="11">
        <f t="shared" si="19"/>
        <v>0</v>
      </c>
      <c r="Y67" s="19">
        <v>13.28</v>
      </c>
      <c r="Z67" s="11">
        <v>0</v>
      </c>
      <c r="AA67" s="11">
        <v>8</v>
      </c>
      <c r="AB67" s="11">
        <v>9</v>
      </c>
      <c r="AC67" s="11">
        <v>1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45">
        <v>0</v>
      </c>
      <c r="AJ67" s="45">
        <v>0</v>
      </c>
      <c r="AK67" s="45">
        <f t="shared" si="31"/>
        <v>0</v>
      </c>
      <c r="AL67" s="45">
        <f t="shared" si="32"/>
        <v>0</v>
      </c>
      <c r="AM67" s="45">
        <f t="shared" si="20"/>
        <v>0</v>
      </c>
      <c r="AN67" s="45">
        <f t="shared" si="33"/>
        <v>0</v>
      </c>
      <c r="AO67" s="45">
        <f t="shared" si="21"/>
        <v>0</v>
      </c>
      <c r="AP67" s="45">
        <f t="shared" si="22"/>
        <v>0</v>
      </c>
      <c r="AQ67" s="45">
        <f t="shared" si="23"/>
        <v>0</v>
      </c>
      <c r="AR67" s="45">
        <f t="shared" si="24"/>
        <v>0</v>
      </c>
      <c r="AS67" s="19">
        <f t="shared" si="29"/>
        <v>0</v>
      </c>
      <c r="AT67" s="19">
        <f t="shared" si="30"/>
        <v>0</v>
      </c>
      <c r="AU67" s="46">
        <v>0</v>
      </c>
      <c r="AV67" s="46">
        <v>0</v>
      </c>
      <c r="AW67" s="46">
        <v>0</v>
      </c>
      <c r="AX67" s="46">
        <v>1</v>
      </c>
      <c r="AY67" s="47">
        <v>0</v>
      </c>
      <c r="AZ67" s="47">
        <v>-1</v>
      </c>
    </row>
    <row r="68" hidden="1" customHeight="1" spans="1:52">
      <c r="A68" s="44">
        <v>45393</v>
      </c>
      <c r="B68" s="33">
        <f t="shared" si="8"/>
        <v>623</v>
      </c>
      <c r="C68" s="33">
        <f t="shared" si="9"/>
        <v>1478</v>
      </c>
      <c r="D68" s="11">
        <f t="shared" si="25"/>
        <v>2101</v>
      </c>
      <c r="E68" s="34">
        <f t="shared" si="26"/>
        <v>1.4438607223757e-6</v>
      </c>
      <c r="F68" s="35">
        <f t="shared" si="10"/>
        <v>0.000462610780899885</v>
      </c>
      <c r="G68" s="18">
        <f>(SUM($I$8:$I68)*(MAX(M$3-M$4,0))+(N68*MAX(M$4,0)))*(1-$AM$4)+(AM68*$AM$4)</f>
        <v>0.028219257634893</v>
      </c>
      <c r="H68" s="18">
        <f t="shared" si="11"/>
        <v>0.666666666666667</v>
      </c>
      <c r="I68" s="18">
        <f t="shared" si="27"/>
        <v>0.00292929292929294</v>
      </c>
      <c r="J68" s="18">
        <f t="shared" si="12"/>
        <v>0.316425774135521</v>
      </c>
      <c r="K68" s="18">
        <f t="shared" si="13"/>
        <v>0.00109722989705374</v>
      </c>
      <c r="L68" s="18">
        <f t="shared" si="14"/>
        <v>0.0043939393939394</v>
      </c>
      <c r="M68" s="18">
        <v>0</v>
      </c>
      <c r="N68" s="18">
        <f t="shared" si="28"/>
        <v>0</v>
      </c>
      <c r="O68" s="11">
        <v>0</v>
      </c>
      <c r="P68" s="11">
        <v>0</v>
      </c>
      <c r="Q68" s="11">
        <f t="shared" si="35"/>
        <v>1</v>
      </c>
      <c r="R68" s="11">
        <v>0</v>
      </c>
      <c r="S68" s="11">
        <f t="shared" si="16"/>
        <v>0</v>
      </c>
      <c r="T68" s="11">
        <v>0</v>
      </c>
      <c r="U68" s="11">
        <f t="shared" si="34"/>
        <v>1</v>
      </c>
      <c r="V68" s="11">
        <v>0</v>
      </c>
      <c r="W68" s="11">
        <f t="shared" si="18"/>
        <v>1</v>
      </c>
      <c r="X68" s="11">
        <f t="shared" si="19"/>
        <v>0</v>
      </c>
      <c r="Y68" s="19">
        <v>4.5</v>
      </c>
      <c r="Z68" s="11">
        <v>5</v>
      </c>
      <c r="AA68" s="11">
        <v>0</v>
      </c>
      <c r="AB68" s="11">
        <v>5</v>
      </c>
      <c r="AC68" s="11">
        <v>5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45">
        <v>0</v>
      </c>
      <c r="AJ68" s="45">
        <v>0</v>
      </c>
      <c r="AK68" s="45">
        <f t="shared" si="31"/>
        <v>0</v>
      </c>
      <c r="AL68" s="45">
        <f t="shared" si="32"/>
        <v>0</v>
      </c>
      <c r="AM68" s="45">
        <f t="shared" si="20"/>
        <v>0</v>
      </c>
      <c r="AN68" s="45">
        <f t="shared" si="33"/>
        <v>0</v>
      </c>
      <c r="AO68" s="45">
        <f t="shared" si="21"/>
        <v>0</v>
      </c>
      <c r="AP68" s="45">
        <f t="shared" si="22"/>
        <v>0</v>
      </c>
      <c r="AQ68" s="45">
        <f t="shared" si="23"/>
        <v>0</v>
      </c>
      <c r="AR68" s="45">
        <f t="shared" si="24"/>
        <v>0</v>
      </c>
      <c r="AS68" s="19">
        <f t="shared" si="29"/>
        <v>0</v>
      </c>
      <c r="AT68" s="19">
        <f t="shared" si="30"/>
        <v>0</v>
      </c>
      <c r="AU68" s="46">
        <v>0</v>
      </c>
      <c r="AV68" s="46">
        <v>0</v>
      </c>
      <c r="AW68" s="46">
        <v>0</v>
      </c>
      <c r="AX68" s="46">
        <v>1</v>
      </c>
      <c r="AY68" s="47">
        <v>0</v>
      </c>
      <c r="AZ68" s="47">
        <v>-1</v>
      </c>
    </row>
    <row r="69" hidden="1" customHeight="1" spans="1:52">
      <c r="A69" s="44">
        <v>45394</v>
      </c>
      <c r="B69" s="33">
        <f t="shared" si="8"/>
        <v>622</v>
      </c>
      <c r="C69" s="33">
        <f t="shared" si="9"/>
        <v>1437</v>
      </c>
      <c r="D69" s="11">
        <f t="shared" si="25"/>
        <v>2059</v>
      </c>
      <c r="E69" s="34">
        <f t="shared" si="26"/>
        <v>8.90940170917426e-6</v>
      </c>
      <c r="F69" s="35">
        <f t="shared" si="10"/>
        <v>0.000471520182609059</v>
      </c>
      <c r="G69" s="18">
        <f>(SUM($I$8:$I69)*(MAX(M$3-M$4,0))+(N69*MAX(M$4,0)))*(1-$AM$4)+(AM69*$AM$4)</f>
        <v>0.0292342513217617</v>
      </c>
      <c r="H69" s="18">
        <f t="shared" si="11"/>
        <v>0.666666666666667</v>
      </c>
      <c r="I69" s="18">
        <f t="shared" si="27"/>
        <v>0.00541329966329968</v>
      </c>
      <c r="J69" s="18">
        <f t="shared" si="12"/>
        <v>0.322519804904597</v>
      </c>
      <c r="K69" s="18">
        <f t="shared" si="13"/>
        <v>0.0010891964551373</v>
      </c>
      <c r="L69" s="18">
        <f t="shared" si="14"/>
        <v>0.00811994949494951</v>
      </c>
      <c r="M69" s="18">
        <v>0</v>
      </c>
      <c r="N69" s="18">
        <f t="shared" si="28"/>
        <v>0</v>
      </c>
      <c r="O69" s="11">
        <v>0</v>
      </c>
      <c r="P69" s="11">
        <v>0</v>
      </c>
      <c r="Q69" s="11">
        <f t="shared" si="35"/>
        <v>1</v>
      </c>
      <c r="R69" s="11">
        <v>0</v>
      </c>
      <c r="S69" s="11">
        <f t="shared" si="16"/>
        <v>0</v>
      </c>
      <c r="T69" s="11">
        <v>0</v>
      </c>
      <c r="U69" s="11">
        <f t="shared" si="34"/>
        <v>1</v>
      </c>
      <c r="V69" s="11">
        <v>0</v>
      </c>
      <c r="W69" s="11">
        <f t="shared" si="18"/>
        <v>1</v>
      </c>
      <c r="X69" s="11">
        <f t="shared" si="19"/>
        <v>0</v>
      </c>
      <c r="Y69" s="19">
        <v>7.17</v>
      </c>
      <c r="Z69" s="11">
        <v>0</v>
      </c>
      <c r="AA69" s="11">
        <v>14</v>
      </c>
      <c r="AB69" s="11">
        <v>11</v>
      </c>
      <c r="AC69" s="11">
        <v>8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45">
        <v>0</v>
      </c>
      <c r="AJ69" s="45">
        <v>0</v>
      </c>
      <c r="AK69" s="45">
        <f t="shared" si="31"/>
        <v>0</v>
      </c>
      <c r="AL69" s="45">
        <f t="shared" si="32"/>
        <v>0</v>
      </c>
      <c r="AM69" s="45">
        <f t="shared" si="20"/>
        <v>0</v>
      </c>
      <c r="AN69" s="45">
        <f t="shared" si="33"/>
        <v>0</v>
      </c>
      <c r="AO69" s="45">
        <f t="shared" si="21"/>
        <v>0</v>
      </c>
      <c r="AP69" s="45">
        <f t="shared" si="22"/>
        <v>0</v>
      </c>
      <c r="AQ69" s="45">
        <f t="shared" si="23"/>
        <v>0</v>
      </c>
      <c r="AR69" s="45">
        <f t="shared" si="24"/>
        <v>0</v>
      </c>
      <c r="AS69" s="19">
        <f t="shared" si="29"/>
        <v>0</v>
      </c>
      <c r="AT69" s="19">
        <f t="shared" si="30"/>
        <v>0</v>
      </c>
      <c r="AU69" s="46">
        <v>0</v>
      </c>
      <c r="AV69" s="46">
        <v>0</v>
      </c>
      <c r="AW69" s="46">
        <v>0</v>
      </c>
      <c r="AX69" s="46">
        <v>1</v>
      </c>
      <c r="AY69" s="47">
        <v>0</v>
      </c>
      <c r="AZ69" s="47">
        <v>-1</v>
      </c>
    </row>
    <row r="70" hidden="1" customHeight="1" spans="1:52">
      <c r="A70" s="44">
        <v>45395</v>
      </c>
      <c r="B70" s="33">
        <f t="shared" si="8"/>
        <v>621</v>
      </c>
      <c r="C70" s="33">
        <f t="shared" si="9"/>
        <v>1403</v>
      </c>
      <c r="D70" s="11">
        <f t="shared" si="25"/>
        <v>2024</v>
      </c>
      <c r="E70" s="34">
        <f t="shared" si="26"/>
        <v>7.56184895329542e-6</v>
      </c>
      <c r="F70" s="35">
        <f t="shared" si="10"/>
        <v>0.000479082031562355</v>
      </c>
      <c r="G70" s="18">
        <f>(SUM($I$8:$I70)*(MAX(M$3-M$4,0))+(N70*MAX(M$4,0)))*(1-$AM$4)+(AM70*$AM$4)</f>
        <v>0.0301821679884283</v>
      </c>
      <c r="H70" s="18">
        <f t="shared" si="11"/>
        <v>0.666666666666667</v>
      </c>
      <c r="I70" s="18">
        <f t="shared" si="27"/>
        <v>0.00505555555555557</v>
      </c>
      <c r="J70" s="18">
        <f t="shared" si="12"/>
        <v>0.327692109588651</v>
      </c>
      <c r="K70" s="18">
        <f t="shared" si="13"/>
        <v>0.00108262140162858</v>
      </c>
      <c r="L70" s="18">
        <f t="shared" si="14"/>
        <v>0.00758333333333336</v>
      </c>
      <c r="M70" s="18">
        <v>0</v>
      </c>
      <c r="N70" s="18">
        <f t="shared" si="28"/>
        <v>0</v>
      </c>
      <c r="O70" s="11">
        <v>0</v>
      </c>
      <c r="P70" s="11">
        <v>0</v>
      </c>
      <c r="Q70" s="11">
        <f t="shared" si="35"/>
        <v>1</v>
      </c>
      <c r="R70" s="11">
        <v>0</v>
      </c>
      <c r="S70" s="11">
        <f t="shared" si="16"/>
        <v>0</v>
      </c>
      <c r="T70" s="11">
        <v>0</v>
      </c>
      <c r="U70" s="11">
        <f t="shared" si="34"/>
        <v>1</v>
      </c>
      <c r="V70" s="11">
        <v>0</v>
      </c>
      <c r="W70" s="11">
        <f t="shared" si="18"/>
        <v>1</v>
      </c>
      <c r="X70" s="11">
        <f t="shared" si="19"/>
        <v>0</v>
      </c>
      <c r="Y70" s="19">
        <v>15.12</v>
      </c>
      <c r="Z70" s="11">
        <v>0</v>
      </c>
      <c r="AA70" s="11">
        <v>0</v>
      </c>
      <c r="AB70" s="11">
        <v>7</v>
      </c>
      <c r="AC70" s="11">
        <v>7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45">
        <v>0</v>
      </c>
      <c r="AJ70" s="45">
        <v>0</v>
      </c>
      <c r="AK70" s="45">
        <f t="shared" si="31"/>
        <v>0</v>
      </c>
      <c r="AL70" s="45">
        <f t="shared" si="32"/>
        <v>0</v>
      </c>
      <c r="AM70" s="45">
        <f t="shared" si="20"/>
        <v>0</v>
      </c>
      <c r="AN70" s="45">
        <f t="shared" si="33"/>
        <v>0</v>
      </c>
      <c r="AO70" s="45">
        <f t="shared" si="21"/>
        <v>0</v>
      </c>
      <c r="AP70" s="45">
        <f t="shared" si="22"/>
        <v>0</v>
      </c>
      <c r="AQ70" s="45">
        <f t="shared" si="23"/>
        <v>0</v>
      </c>
      <c r="AR70" s="45">
        <f t="shared" si="24"/>
        <v>0</v>
      </c>
      <c r="AS70" s="19">
        <f t="shared" si="29"/>
        <v>0</v>
      </c>
      <c r="AT70" s="19">
        <f t="shared" si="30"/>
        <v>0</v>
      </c>
      <c r="AU70" s="46">
        <v>0</v>
      </c>
      <c r="AV70" s="46">
        <v>0</v>
      </c>
      <c r="AW70" s="46">
        <v>0</v>
      </c>
      <c r="AX70" s="46">
        <v>1</v>
      </c>
      <c r="AY70" s="47">
        <v>0</v>
      </c>
      <c r="AZ70" s="47">
        <v>-1</v>
      </c>
    </row>
    <row r="71" hidden="1" customHeight="1" spans="1:52">
      <c r="A71" s="44">
        <v>45396</v>
      </c>
      <c r="B71" s="33">
        <f t="shared" si="8"/>
        <v>620</v>
      </c>
      <c r="C71" s="33">
        <f t="shared" si="9"/>
        <v>1394</v>
      </c>
      <c r="D71" s="11">
        <f t="shared" si="25"/>
        <v>2014</v>
      </c>
      <c r="E71" s="34">
        <f t="shared" si="26"/>
        <v>2.08021683638365e-6</v>
      </c>
      <c r="F71" s="35">
        <f t="shared" si="10"/>
        <v>0.000481162248398738</v>
      </c>
      <c r="G71" s="18">
        <f>(SUM($I$8:$I71)*(MAX(M$3-M$4,0))+(N71*MAX(M$4,0)))*(1-$AM$4)+(AM71*$AM$4)</f>
        <v>0.0307943838975193</v>
      </c>
      <c r="H71" s="18">
        <f t="shared" si="11"/>
        <v>0.666666666666667</v>
      </c>
      <c r="I71" s="18">
        <f t="shared" si="27"/>
        <v>0.00326515151515153</v>
      </c>
      <c r="J71" s="18">
        <f t="shared" si="12"/>
        <v>0.329114977904737</v>
      </c>
      <c r="K71" s="18">
        <f t="shared" si="13"/>
        <v>0.00108207261628268</v>
      </c>
      <c r="L71" s="18">
        <f t="shared" si="14"/>
        <v>0.00489772727272729</v>
      </c>
      <c r="M71" s="18">
        <v>0</v>
      </c>
      <c r="N71" s="18">
        <f t="shared" si="28"/>
        <v>0</v>
      </c>
      <c r="O71" s="11">
        <v>0</v>
      </c>
      <c r="P71" s="11">
        <v>0</v>
      </c>
      <c r="Q71" s="11">
        <f t="shared" si="35"/>
        <v>1</v>
      </c>
      <c r="R71" s="11">
        <v>0</v>
      </c>
      <c r="S71" s="11">
        <f t="shared" si="16"/>
        <v>0</v>
      </c>
      <c r="T71" s="11">
        <v>0</v>
      </c>
      <c r="U71" s="11">
        <f t="shared" si="34"/>
        <v>1</v>
      </c>
      <c r="V71" s="11">
        <v>0</v>
      </c>
      <c r="W71" s="11">
        <f t="shared" si="18"/>
        <v>1</v>
      </c>
      <c r="X71" s="11">
        <f t="shared" si="19"/>
        <v>0</v>
      </c>
      <c r="Y71" s="19">
        <v>9.75</v>
      </c>
      <c r="Z71" s="11">
        <v>4</v>
      </c>
      <c r="AA71" s="11">
        <v>0</v>
      </c>
      <c r="AB71" s="11">
        <v>0</v>
      </c>
      <c r="AC71" s="11">
        <v>1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45">
        <v>0</v>
      </c>
      <c r="AJ71" s="45">
        <v>0</v>
      </c>
      <c r="AK71" s="45">
        <f t="shared" si="31"/>
        <v>0</v>
      </c>
      <c r="AL71" s="45">
        <f t="shared" si="32"/>
        <v>0</v>
      </c>
      <c r="AM71" s="45">
        <f t="shared" si="20"/>
        <v>0</v>
      </c>
      <c r="AN71" s="45">
        <f t="shared" si="33"/>
        <v>0</v>
      </c>
      <c r="AO71" s="45">
        <f t="shared" si="21"/>
        <v>0</v>
      </c>
      <c r="AP71" s="45">
        <f t="shared" si="22"/>
        <v>0</v>
      </c>
      <c r="AQ71" s="45">
        <f t="shared" si="23"/>
        <v>0</v>
      </c>
      <c r="AR71" s="45">
        <f t="shared" si="24"/>
        <v>0</v>
      </c>
      <c r="AS71" s="19">
        <f t="shared" si="29"/>
        <v>0</v>
      </c>
      <c r="AT71" s="19">
        <f t="shared" si="30"/>
        <v>0</v>
      </c>
      <c r="AU71" s="46">
        <v>0</v>
      </c>
      <c r="AV71" s="46">
        <v>0</v>
      </c>
      <c r="AW71" s="46">
        <v>0</v>
      </c>
      <c r="AX71" s="46">
        <v>1</v>
      </c>
      <c r="AY71" s="47">
        <v>0</v>
      </c>
      <c r="AZ71" s="47">
        <v>-1</v>
      </c>
    </row>
    <row r="72" hidden="1" customHeight="1" spans="1:52">
      <c r="A72" s="44">
        <v>45397</v>
      </c>
      <c r="B72" s="33">
        <f t="shared" ref="B72:B135" si="36">B$2-A72+1</f>
        <v>619</v>
      </c>
      <c r="C72" s="33">
        <f t="shared" ref="C72:C135" si="37">D72-B72</f>
        <v>1367</v>
      </c>
      <c r="D72" s="11">
        <f t="shared" ref="D72:D135" si="38">IF(F72&gt;0,ROUND(((1-G72)/F72),0),FACT(128))</f>
        <v>1986</v>
      </c>
      <c r="E72" s="34">
        <f t="shared" si="26"/>
        <v>6.33657729736206e-6</v>
      </c>
      <c r="F72" s="35">
        <f t="shared" ref="F72:F135" si="39">G72/(ROW()-7)</f>
        <v>0.0004874988256961</v>
      </c>
      <c r="G72" s="18">
        <f>(SUM($I$8:$I72)*(MAX(M$3-M$4,0))+(N72*MAX(M$4,0)))*(1-$AM$4)+(AM72*$AM$4)</f>
        <v>0.0316874236702465</v>
      </c>
      <c r="H72" s="18">
        <f t="shared" ref="H72:H135" si="40">0.5+(MONTH(A72)+(YEAR(A72)-2024)*12)/((YEAR(B$2)-2023)*12)</f>
        <v>0.666666666666667</v>
      </c>
      <c r="I72" s="18">
        <f t="shared" ref="I72:I135" si="41">L72*H72</f>
        <v>0.0047628787878788</v>
      </c>
      <c r="J72" s="18">
        <f t="shared" ref="J72:J135" si="42">F72*B72+G72</f>
        <v>0.333449196776133</v>
      </c>
      <c r="K72" s="18">
        <f t="shared" ref="K72:K135" si="43">((1-G72)/B72)-F72</f>
        <v>0.00107681874511126</v>
      </c>
      <c r="L72" s="18">
        <f t="shared" ref="L72:L135" si="44">Y72*Y$6+X72*X$6+Z72*Z$6+AA72*AA$6+AB72*AB$6+AC72*AC$6+AD72*AD$6+AE72*AE$6+AF72*AF$6+AG72*AG$6+AH72*AH$6</f>
        <v>0.0071443181818182</v>
      </c>
      <c r="M72" s="18">
        <v>0</v>
      </c>
      <c r="N72" s="18">
        <f t="shared" si="28"/>
        <v>0</v>
      </c>
      <c r="O72" s="11">
        <v>0</v>
      </c>
      <c r="P72" s="11">
        <v>0</v>
      </c>
      <c r="Q72" s="11">
        <f t="shared" si="35"/>
        <v>1</v>
      </c>
      <c r="R72" s="11">
        <v>0</v>
      </c>
      <c r="S72" s="11">
        <f t="shared" ref="S72:S135" si="45">O72*$R$5/MAX(1/FACT(128),R72)</f>
        <v>0</v>
      </c>
      <c r="T72" s="11">
        <v>0</v>
      </c>
      <c r="U72" s="11">
        <f t="shared" si="34"/>
        <v>1</v>
      </c>
      <c r="V72" s="11">
        <v>0</v>
      </c>
      <c r="W72" s="11">
        <f t="shared" ref="W72:W135" si="46">($V$4*V72/(MAX(1,O72)))+1</f>
        <v>1</v>
      </c>
      <c r="X72" s="11">
        <f t="shared" ref="X72:X135" si="47">O72*Q72*S72*U72*W72</f>
        <v>0</v>
      </c>
      <c r="Y72" s="19">
        <v>7.4</v>
      </c>
      <c r="Z72" s="11">
        <v>0</v>
      </c>
      <c r="AA72" s="11">
        <v>6</v>
      </c>
      <c r="AB72" s="11">
        <v>2</v>
      </c>
      <c r="AC72" s="11">
        <v>24.87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45">
        <v>0</v>
      </c>
      <c r="AJ72" s="45">
        <v>0</v>
      </c>
      <c r="AK72" s="45">
        <f t="shared" si="31"/>
        <v>0</v>
      </c>
      <c r="AL72" s="45">
        <f t="shared" si="32"/>
        <v>0</v>
      </c>
      <c r="AM72" s="45">
        <f t="shared" ref="AM72:AM135" si="48">AL72*AK72</f>
        <v>0</v>
      </c>
      <c r="AN72" s="45">
        <f t="shared" si="33"/>
        <v>0</v>
      </c>
      <c r="AO72" s="45">
        <f t="shared" ref="AO72:AO135" si="49">AP72*0.75+AQ72*0.125+AR72*0.125</f>
        <v>0</v>
      </c>
      <c r="AP72" s="45">
        <f t="shared" ref="AP72:AP135" si="50">AVERAGE(AS72:AT72)</f>
        <v>0</v>
      </c>
      <c r="AQ72" s="45">
        <f t="shared" ref="AQ72:AQ135" si="51">AY72/AQ$5</f>
        <v>0</v>
      </c>
      <c r="AR72" s="45">
        <f t="shared" ref="AR72:AR135" si="52">IF(AZ72&gt;=0,1/(AZ72+1),0)</f>
        <v>0</v>
      </c>
      <c r="AS72" s="19">
        <f t="shared" si="29"/>
        <v>0</v>
      </c>
      <c r="AT72" s="19">
        <f t="shared" si="30"/>
        <v>0</v>
      </c>
      <c r="AU72" s="46">
        <v>0</v>
      </c>
      <c r="AV72" s="46">
        <v>0</v>
      </c>
      <c r="AW72" s="46">
        <v>0</v>
      </c>
      <c r="AX72" s="46">
        <v>1</v>
      </c>
      <c r="AY72" s="47">
        <v>0</v>
      </c>
      <c r="AZ72" s="47">
        <v>-1</v>
      </c>
    </row>
    <row r="73" hidden="1" customHeight="1" spans="1:52">
      <c r="A73" s="44">
        <v>45398</v>
      </c>
      <c r="B73" s="33">
        <f t="shared" si="36"/>
        <v>618</v>
      </c>
      <c r="C73" s="33">
        <f t="shared" si="37"/>
        <v>1339</v>
      </c>
      <c r="D73" s="11">
        <f t="shared" si="38"/>
        <v>1957</v>
      </c>
      <c r="E73" s="34">
        <f t="shared" ref="E73:E136" si="53">F73-F72</f>
        <v>6.88085265627281e-6</v>
      </c>
      <c r="F73" s="35">
        <f t="shared" si="39"/>
        <v>0.000494379678352373</v>
      </c>
      <c r="G73" s="18">
        <f>(SUM($I$8:$I73)*(MAX(M$3-M$4,0))+(N73*MAX(M$4,0)))*(1-$AM$4)+(AM73*$AM$4)</f>
        <v>0.0326290587712566</v>
      </c>
      <c r="H73" s="18">
        <f t="shared" si="40"/>
        <v>0.666666666666667</v>
      </c>
      <c r="I73" s="18">
        <f t="shared" si="41"/>
        <v>0.00502205387205389</v>
      </c>
      <c r="J73" s="18">
        <f t="shared" si="42"/>
        <v>0.338155699993023</v>
      </c>
      <c r="K73" s="18">
        <f t="shared" si="43"/>
        <v>0.00107094546926695</v>
      </c>
      <c r="L73" s="18">
        <f t="shared" si="44"/>
        <v>0.00753308080808082</v>
      </c>
      <c r="M73" s="18">
        <v>0</v>
      </c>
      <c r="N73" s="18">
        <f t="shared" ref="N73:N136" si="54">IF(M73&gt;N72,M73,N72)</f>
        <v>0</v>
      </c>
      <c r="O73" s="11">
        <v>0</v>
      </c>
      <c r="P73" s="11">
        <v>0</v>
      </c>
      <c r="Q73" s="11">
        <f t="shared" si="35"/>
        <v>1</v>
      </c>
      <c r="R73" s="11">
        <v>0</v>
      </c>
      <c r="S73" s="11">
        <f t="shared" si="45"/>
        <v>0</v>
      </c>
      <c r="T73" s="11">
        <v>0</v>
      </c>
      <c r="U73" s="11">
        <f t="shared" si="34"/>
        <v>1</v>
      </c>
      <c r="V73" s="11">
        <v>0</v>
      </c>
      <c r="W73" s="11">
        <f t="shared" si="46"/>
        <v>1</v>
      </c>
      <c r="X73" s="11">
        <f t="shared" si="47"/>
        <v>0</v>
      </c>
      <c r="Y73" s="19">
        <v>4.03</v>
      </c>
      <c r="Z73" s="11">
        <v>0</v>
      </c>
      <c r="AA73" s="11">
        <v>13</v>
      </c>
      <c r="AB73" s="11">
        <v>2</v>
      </c>
      <c r="AC73" s="11">
        <v>27.08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45">
        <v>0</v>
      </c>
      <c r="AJ73" s="45">
        <v>0</v>
      </c>
      <c r="AK73" s="45">
        <f t="shared" ref="AK73:AK136" si="55">IF(AI73&gt;0,AI73,AK72)</f>
        <v>0</v>
      </c>
      <c r="AL73" s="45">
        <f t="shared" ref="AL73:AL136" si="56">IF(AJ73&gt;0,AJ73,AL72)</f>
        <v>0</v>
      </c>
      <c r="AM73" s="45">
        <f t="shared" si="48"/>
        <v>0</v>
      </c>
      <c r="AN73" s="45">
        <f t="shared" si="33"/>
        <v>0</v>
      </c>
      <c r="AO73" s="45">
        <f t="shared" si="49"/>
        <v>0</v>
      </c>
      <c r="AP73" s="45">
        <f t="shared" si="50"/>
        <v>0</v>
      </c>
      <c r="AQ73" s="45">
        <f t="shared" si="51"/>
        <v>0</v>
      </c>
      <c r="AR73" s="45">
        <f t="shared" si="52"/>
        <v>0</v>
      </c>
      <c r="AS73" s="19">
        <f t="shared" ref="AS73:AS136" si="57">IF((("24:00"-AX73+AU73)/$AS$5)&gt;0,(("24:00"-AX73+AU73)/$AS$5),AS72)</f>
        <v>0</v>
      </c>
      <c r="AT73" s="19">
        <f t="shared" ref="AT73:AT136" si="58">IF(((AW73-AV73)/$AT$5)&gt;0,((AW73-AV73)/$AT$5),AT72)</f>
        <v>0</v>
      </c>
      <c r="AU73" s="46">
        <v>0</v>
      </c>
      <c r="AV73" s="46">
        <v>0</v>
      </c>
      <c r="AW73" s="46">
        <v>0</v>
      </c>
      <c r="AX73" s="46">
        <v>1</v>
      </c>
      <c r="AY73" s="47">
        <v>0</v>
      </c>
      <c r="AZ73" s="47">
        <v>-1</v>
      </c>
    </row>
    <row r="74" hidden="1" customHeight="1" spans="1:52">
      <c r="A74" s="44">
        <v>45399</v>
      </c>
      <c r="B74" s="33">
        <f t="shared" si="36"/>
        <v>617</v>
      </c>
      <c r="C74" s="33">
        <f t="shared" si="37"/>
        <v>1308</v>
      </c>
      <c r="D74" s="11">
        <f t="shared" si="38"/>
        <v>1925</v>
      </c>
      <c r="E74" s="34">
        <f t="shared" si="53"/>
        <v>7.74656631133961e-6</v>
      </c>
      <c r="F74" s="35">
        <f t="shared" si="39"/>
        <v>0.000502126244663713</v>
      </c>
      <c r="G74" s="18">
        <f>(SUM($I$8:$I74)*(MAX(M$3-M$4,0))+(N74*MAX(M$4,0)))*(1-$AM$4)+(AM74*$AM$4)</f>
        <v>0.0336424583924688</v>
      </c>
      <c r="H74" s="18">
        <f t="shared" si="40"/>
        <v>0.666666666666667</v>
      </c>
      <c r="I74" s="18">
        <f t="shared" si="41"/>
        <v>0.005404797979798</v>
      </c>
      <c r="J74" s="18">
        <f t="shared" si="42"/>
        <v>0.34345435134998</v>
      </c>
      <c r="K74" s="18">
        <f t="shared" si="43"/>
        <v>0.00106409343379258</v>
      </c>
      <c r="L74" s="18">
        <f t="shared" si="44"/>
        <v>0.00810719696969699</v>
      </c>
      <c r="M74" s="18">
        <v>0</v>
      </c>
      <c r="N74" s="18">
        <f t="shared" si="54"/>
        <v>0</v>
      </c>
      <c r="O74" s="11">
        <v>0</v>
      </c>
      <c r="P74" s="11">
        <v>0</v>
      </c>
      <c r="Q74" s="11">
        <f t="shared" si="35"/>
        <v>1</v>
      </c>
      <c r="R74" s="11">
        <v>0</v>
      </c>
      <c r="S74" s="11">
        <f t="shared" si="45"/>
        <v>0</v>
      </c>
      <c r="T74" s="11">
        <v>0</v>
      </c>
      <c r="U74" s="11">
        <f t="shared" si="34"/>
        <v>1</v>
      </c>
      <c r="V74" s="11">
        <v>0</v>
      </c>
      <c r="W74" s="11">
        <f t="shared" si="46"/>
        <v>1</v>
      </c>
      <c r="X74" s="11">
        <f t="shared" si="47"/>
        <v>0</v>
      </c>
      <c r="Y74" s="19">
        <v>7.17</v>
      </c>
      <c r="Z74" s="11">
        <v>0</v>
      </c>
      <c r="AA74" s="11">
        <v>6</v>
      </c>
      <c r="AB74" s="11">
        <v>2</v>
      </c>
      <c r="AC74" s="11">
        <v>34.11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45">
        <v>0</v>
      </c>
      <c r="AJ74" s="45">
        <v>0</v>
      </c>
      <c r="AK74" s="45">
        <f t="shared" si="55"/>
        <v>0</v>
      </c>
      <c r="AL74" s="45">
        <f t="shared" si="56"/>
        <v>0</v>
      </c>
      <c r="AM74" s="45">
        <f t="shared" si="48"/>
        <v>0</v>
      </c>
      <c r="AN74" s="45">
        <f t="shared" si="33"/>
        <v>0</v>
      </c>
      <c r="AO74" s="45">
        <f t="shared" si="49"/>
        <v>0</v>
      </c>
      <c r="AP74" s="45">
        <f t="shared" si="50"/>
        <v>0</v>
      </c>
      <c r="AQ74" s="45">
        <f t="shared" si="51"/>
        <v>0</v>
      </c>
      <c r="AR74" s="45">
        <f t="shared" si="52"/>
        <v>0</v>
      </c>
      <c r="AS74" s="19">
        <f t="shared" si="57"/>
        <v>0</v>
      </c>
      <c r="AT74" s="19">
        <f t="shared" si="58"/>
        <v>0</v>
      </c>
      <c r="AU74" s="46">
        <v>0</v>
      </c>
      <c r="AV74" s="46">
        <v>0</v>
      </c>
      <c r="AW74" s="46">
        <v>0</v>
      </c>
      <c r="AX74" s="46">
        <v>1</v>
      </c>
      <c r="AY74" s="47">
        <v>0</v>
      </c>
      <c r="AZ74" s="47">
        <v>-1</v>
      </c>
    </row>
    <row r="75" hidden="1" customHeight="1" spans="1:52">
      <c r="A75" s="44">
        <v>45400</v>
      </c>
      <c r="B75" s="33">
        <f t="shared" si="36"/>
        <v>616</v>
      </c>
      <c r="C75" s="33">
        <f t="shared" si="37"/>
        <v>1258</v>
      </c>
      <c r="D75" s="11">
        <f t="shared" si="38"/>
        <v>1874</v>
      </c>
      <c r="E75" s="34">
        <f t="shared" si="53"/>
        <v>1.28261663366448e-5</v>
      </c>
      <c r="F75" s="35">
        <f t="shared" si="39"/>
        <v>0.000514952411000358</v>
      </c>
      <c r="G75" s="18">
        <f>(SUM($I$8:$I75)*(MAX(M$3-M$4,0))+(N75*MAX(M$4,0)))*(1-$AM$4)+(AM75*$AM$4)</f>
        <v>0.0350167639480243</v>
      </c>
      <c r="H75" s="18">
        <f t="shared" si="40"/>
        <v>0.666666666666667</v>
      </c>
      <c r="I75" s="18">
        <f t="shared" si="41"/>
        <v>0.00732962962962965</v>
      </c>
      <c r="J75" s="18">
        <f t="shared" si="42"/>
        <v>0.352227449124245</v>
      </c>
      <c r="K75" s="18">
        <f t="shared" si="43"/>
        <v>0.00105157881635675</v>
      </c>
      <c r="L75" s="18">
        <f t="shared" si="44"/>
        <v>0.0109944444444445</v>
      </c>
      <c r="M75" s="18">
        <v>0</v>
      </c>
      <c r="N75" s="18">
        <f t="shared" si="54"/>
        <v>0</v>
      </c>
      <c r="O75" s="11">
        <v>0</v>
      </c>
      <c r="P75" s="11">
        <v>0</v>
      </c>
      <c r="Q75" s="11">
        <f t="shared" si="35"/>
        <v>1</v>
      </c>
      <c r="R75" s="11">
        <v>0</v>
      </c>
      <c r="S75" s="11">
        <f t="shared" si="45"/>
        <v>0</v>
      </c>
      <c r="T75" s="11">
        <v>0</v>
      </c>
      <c r="U75" s="11">
        <f t="shared" si="34"/>
        <v>1</v>
      </c>
      <c r="V75" s="11">
        <v>0</v>
      </c>
      <c r="W75" s="11">
        <f t="shared" si="46"/>
        <v>1</v>
      </c>
      <c r="X75" s="11">
        <f t="shared" si="47"/>
        <v>0</v>
      </c>
      <c r="Y75" s="19">
        <v>8</v>
      </c>
      <c r="Z75" s="11">
        <v>0</v>
      </c>
      <c r="AA75" s="11">
        <v>7</v>
      </c>
      <c r="AB75" s="11">
        <v>9</v>
      </c>
      <c r="AC75" s="11">
        <v>45.64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45">
        <v>0</v>
      </c>
      <c r="AJ75" s="45">
        <v>0</v>
      </c>
      <c r="AK75" s="45">
        <f t="shared" si="55"/>
        <v>0</v>
      </c>
      <c r="AL75" s="45">
        <f t="shared" si="56"/>
        <v>0</v>
      </c>
      <c r="AM75" s="45">
        <f t="shared" si="48"/>
        <v>0</v>
      </c>
      <c r="AN75" s="45">
        <f t="shared" si="33"/>
        <v>0</v>
      </c>
      <c r="AO75" s="45">
        <f t="shared" si="49"/>
        <v>0</v>
      </c>
      <c r="AP75" s="45">
        <f t="shared" si="50"/>
        <v>0</v>
      </c>
      <c r="AQ75" s="45">
        <f t="shared" si="51"/>
        <v>0</v>
      </c>
      <c r="AR75" s="45">
        <f t="shared" si="52"/>
        <v>0</v>
      </c>
      <c r="AS75" s="19">
        <f t="shared" si="57"/>
        <v>0</v>
      </c>
      <c r="AT75" s="19">
        <f t="shared" si="58"/>
        <v>0</v>
      </c>
      <c r="AU75" s="46">
        <v>0</v>
      </c>
      <c r="AV75" s="46">
        <v>0</v>
      </c>
      <c r="AW75" s="46">
        <v>0</v>
      </c>
      <c r="AX75" s="46">
        <v>1</v>
      </c>
      <c r="AY75" s="47">
        <v>0</v>
      </c>
      <c r="AZ75" s="47">
        <v>-1</v>
      </c>
    </row>
    <row r="76" hidden="1" customHeight="1" spans="1:52">
      <c r="A76" s="44">
        <v>45401</v>
      </c>
      <c r="B76" s="33">
        <f t="shared" si="36"/>
        <v>615</v>
      </c>
      <c r="C76" s="33">
        <f t="shared" si="37"/>
        <v>1239</v>
      </c>
      <c r="D76" s="11">
        <f t="shared" si="38"/>
        <v>1854</v>
      </c>
      <c r="E76" s="34">
        <f t="shared" si="53"/>
        <v>4.99277540784145e-6</v>
      </c>
      <c r="F76" s="35">
        <f t="shared" si="39"/>
        <v>0.000519945186408199</v>
      </c>
      <c r="G76" s="18">
        <f>(SUM($I$8:$I76)*(MAX(M$3-M$4,0))+(N76*MAX(M$4,0)))*(1-$AM$4)+(AM76*$AM$4)</f>
        <v>0.0358762178621657</v>
      </c>
      <c r="H76" s="18">
        <f t="shared" si="40"/>
        <v>0.666666666666667</v>
      </c>
      <c r="I76" s="18">
        <f t="shared" si="41"/>
        <v>0.00458375420875422</v>
      </c>
      <c r="J76" s="18">
        <f t="shared" si="42"/>
        <v>0.355642507503208</v>
      </c>
      <c r="K76" s="18">
        <f t="shared" si="43"/>
        <v>0.00104773576015738</v>
      </c>
      <c r="L76" s="18">
        <f t="shared" si="44"/>
        <v>0.00687563131313132</v>
      </c>
      <c r="M76" s="18">
        <v>0</v>
      </c>
      <c r="N76" s="18">
        <f t="shared" si="54"/>
        <v>0</v>
      </c>
      <c r="O76" s="11">
        <v>0</v>
      </c>
      <c r="P76" s="11">
        <v>0</v>
      </c>
      <c r="Q76" s="11">
        <f t="shared" si="35"/>
        <v>1</v>
      </c>
      <c r="R76" s="11">
        <v>0</v>
      </c>
      <c r="S76" s="11">
        <f t="shared" si="45"/>
        <v>0</v>
      </c>
      <c r="T76" s="11">
        <v>0</v>
      </c>
      <c r="U76" s="11">
        <f t="shared" si="34"/>
        <v>1</v>
      </c>
      <c r="V76" s="11">
        <v>0</v>
      </c>
      <c r="W76" s="11">
        <f t="shared" si="46"/>
        <v>1</v>
      </c>
      <c r="X76" s="11">
        <f t="shared" si="47"/>
        <v>0</v>
      </c>
      <c r="Y76" s="19">
        <v>0</v>
      </c>
      <c r="Z76" s="11">
        <v>0</v>
      </c>
      <c r="AA76" s="11">
        <v>15.5</v>
      </c>
      <c r="AB76" s="11">
        <v>6</v>
      </c>
      <c r="AC76" s="11">
        <v>24.95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45">
        <v>0</v>
      </c>
      <c r="AJ76" s="45">
        <v>0</v>
      </c>
      <c r="AK76" s="45">
        <f t="shared" si="55"/>
        <v>0</v>
      </c>
      <c r="AL76" s="45">
        <f t="shared" si="56"/>
        <v>0</v>
      </c>
      <c r="AM76" s="45">
        <f t="shared" si="48"/>
        <v>0</v>
      </c>
      <c r="AN76" s="45">
        <f t="shared" si="33"/>
        <v>0</v>
      </c>
      <c r="AO76" s="45">
        <f t="shared" si="49"/>
        <v>0</v>
      </c>
      <c r="AP76" s="45">
        <f t="shared" si="50"/>
        <v>0</v>
      </c>
      <c r="AQ76" s="45">
        <f t="shared" si="51"/>
        <v>0</v>
      </c>
      <c r="AR76" s="45">
        <f t="shared" si="52"/>
        <v>0</v>
      </c>
      <c r="AS76" s="19">
        <f t="shared" si="57"/>
        <v>0</v>
      </c>
      <c r="AT76" s="19">
        <f t="shared" si="58"/>
        <v>0</v>
      </c>
      <c r="AU76" s="46">
        <v>0</v>
      </c>
      <c r="AV76" s="46">
        <v>0</v>
      </c>
      <c r="AW76" s="46">
        <v>0</v>
      </c>
      <c r="AX76" s="46">
        <v>1</v>
      </c>
      <c r="AY76" s="47">
        <v>0</v>
      </c>
      <c r="AZ76" s="47">
        <v>-1</v>
      </c>
    </row>
    <row r="77" hidden="1" customHeight="1" spans="1:52">
      <c r="A77" s="44">
        <v>45402</v>
      </c>
      <c r="B77" s="33">
        <f t="shared" si="36"/>
        <v>614</v>
      </c>
      <c r="C77" s="33">
        <f t="shared" si="37"/>
        <v>1219</v>
      </c>
      <c r="D77" s="11">
        <f t="shared" si="38"/>
        <v>1833</v>
      </c>
      <c r="E77" s="34">
        <f t="shared" si="53"/>
        <v>5.52540426343277e-6</v>
      </c>
      <c r="F77" s="35">
        <f t="shared" si="39"/>
        <v>0.000525470590671632</v>
      </c>
      <c r="G77" s="18">
        <f>(SUM($I$8:$I77)*(MAX(M$3-M$4,0))+(N77*MAX(M$4,0)))*(1-$AM$4)+(AM77*$AM$4)</f>
        <v>0.0367829413470142</v>
      </c>
      <c r="H77" s="18">
        <f t="shared" si="40"/>
        <v>0.666666666666667</v>
      </c>
      <c r="I77" s="18">
        <f t="shared" si="41"/>
        <v>0.0048358585858586</v>
      </c>
      <c r="J77" s="18">
        <f t="shared" si="42"/>
        <v>0.359421884019396</v>
      </c>
      <c r="K77" s="18">
        <f t="shared" si="43"/>
        <v>0.00104328683384463</v>
      </c>
      <c r="L77" s="18">
        <f t="shared" si="44"/>
        <v>0.0072537878787879</v>
      </c>
      <c r="M77" s="18">
        <v>0</v>
      </c>
      <c r="N77" s="18">
        <f t="shared" si="54"/>
        <v>0</v>
      </c>
      <c r="O77" s="11">
        <v>0</v>
      </c>
      <c r="P77" s="11">
        <v>0</v>
      </c>
      <c r="Q77" s="11">
        <f t="shared" si="35"/>
        <v>1</v>
      </c>
      <c r="R77" s="11">
        <v>0</v>
      </c>
      <c r="S77" s="11">
        <f t="shared" si="45"/>
        <v>0</v>
      </c>
      <c r="T77" s="11">
        <v>0</v>
      </c>
      <c r="U77" s="11">
        <f t="shared" si="34"/>
        <v>1</v>
      </c>
      <c r="V77" s="11">
        <v>0</v>
      </c>
      <c r="W77" s="11">
        <f t="shared" si="46"/>
        <v>1</v>
      </c>
      <c r="X77" s="11">
        <f t="shared" si="47"/>
        <v>0</v>
      </c>
      <c r="Y77" s="19">
        <v>16.95</v>
      </c>
      <c r="Z77" s="11">
        <v>0</v>
      </c>
      <c r="AA77" s="11">
        <v>0</v>
      </c>
      <c r="AB77" s="11">
        <v>4</v>
      </c>
      <c r="AC77" s="11">
        <v>2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45">
        <v>0</v>
      </c>
      <c r="AJ77" s="45">
        <v>0</v>
      </c>
      <c r="AK77" s="45">
        <f t="shared" si="55"/>
        <v>0</v>
      </c>
      <c r="AL77" s="45">
        <f t="shared" si="56"/>
        <v>0</v>
      </c>
      <c r="AM77" s="45">
        <f t="shared" si="48"/>
        <v>0</v>
      </c>
      <c r="AN77" s="45">
        <f t="shared" si="33"/>
        <v>0</v>
      </c>
      <c r="AO77" s="45">
        <f t="shared" si="49"/>
        <v>0</v>
      </c>
      <c r="AP77" s="45">
        <f t="shared" si="50"/>
        <v>0</v>
      </c>
      <c r="AQ77" s="45">
        <f t="shared" si="51"/>
        <v>0</v>
      </c>
      <c r="AR77" s="45">
        <f t="shared" si="52"/>
        <v>0</v>
      </c>
      <c r="AS77" s="19">
        <f t="shared" si="57"/>
        <v>0</v>
      </c>
      <c r="AT77" s="19">
        <f t="shared" si="58"/>
        <v>0</v>
      </c>
      <c r="AU77" s="46">
        <v>0</v>
      </c>
      <c r="AV77" s="46">
        <v>0</v>
      </c>
      <c r="AW77" s="46">
        <v>0</v>
      </c>
      <c r="AX77" s="46">
        <v>1</v>
      </c>
      <c r="AY77" s="47">
        <v>0</v>
      </c>
      <c r="AZ77" s="47">
        <v>-1</v>
      </c>
    </row>
    <row r="78" hidden="1" customHeight="1" spans="1:52">
      <c r="A78" s="44">
        <v>45403</v>
      </c>
      <c r="B78" s="33">
        <f t="shared" si="36"/>
        <v>613</v>
      </c>
      <c r="C78" s="33">
        <f t="shared" si="37"/>
        <v>1185</v>
      </c>
      <c r="D78" s="11">
        <f t="shared" si="38"/>
        <v>1798</v>
      </c>
      <c r="E78" s="34">
        <f t="shared" si="53"/>
        <v>9.62667684215512e-6</v>
      </c>
      <c r="F78" s="35">
        <f t="shared" si="39"/>
        <v>0.000535097267513787</v>
      </c>
      <c r="G78" s="18">
        <f>(SUM($I$8:$I78)*(MAX(M$3-M$4,0))+(N78*MAX(M$4,0)))*(1-$AM$4)+(AM78*$AM$4)</f>
        <v>0.0379919059934789</v>
      </c>
      <c r="H78" s="18">
        <f t="shared" si="40"/>
        <v>0.666666666666667</v>
      </c>
      <c r="I78" s="18">
        <f t="shared" si="41"/>
        <v>0.00644781144781146</v>
      </c>
      <c r="J78" s="18">
        <f t="shared" si="42"/>
        <v>0.36600653097943</v>
      </c>
      <c r="K78" s="18">
        <f t="shared" si="43"/>
        <v>0.0010342470946502</v>
      </c>
      <c r="L78" s="18">
        <f t="shared" si="44"/>
        <v>0.00967171717171719</v>
      </c>
      <c r="M78" s="18">
        <v>0</v>
      </c>
      <c r="N78" s="18">
        <f t="shared" si="54"/>
        <v>0</v>
      </c>
      <c r="O78" s="11">
        <v>0</v>
      </c>
      <c r="P78" s="11">
        <v>0</v>
      </c>
      <c r="Q78" s="11">
        <f t="shared" si="35"/>
        <v>1</v>
      </c>
      <c r="R78" s="11">
        <v>0</v>
      </c>
      <c r="S78" s="11">
        <f t="shared" si="45"/>
        <v>0</v>
      </c>
      <c r="T78" s="11">
        <v>0</v>
      </c>
      <c r="U78" s="11">
        <f t="shared" si="34"/>
        <v>1</v>
      </c>
      <c r="V78" s="11">
        <v>0</v>
      </c>
      <c r="W78" s="11">
        <f t="shared" si="46"/>
        <v>1</v>
      </c>
      <c r="X78" s="11">
        <f t="shared" si="47"/>
        <v>0</v>
      </c>
      <c r="Y78" s="19">
        <v>15</v>
      </c>
      <c r="Z78" s="11">
        <v>0</v>
      </c>
      <c r="AA78" s="11">
        <v>17.5</v>
      </c>
      <c r="AB78" s="11">
        <v>0</v>
      </c>
      <c r="AC78" s="11">
        <v>4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45">
        <v>0</v>
      </c>
      <c r="AJ78" s="45">
        <v>0</v>
      </c>
      <c r="AK78" s="45">
        <f t="shared" si="55"/>
        <v>0</v>
      </c>
      <c r="AL78" s="45">
        <f t="shared" si="56"/>
        <v>0</v>
      </c>
      <c r="AM78" s="45">
        <f t="shared" si="48"/>
        <v>0</v>
      </c>
      <c r="AN78" s="45">
        <f t="shared" si="33"/>
        <v>0</v>
      </c>
      <c r="AO78" s="45">
        <f t="shared" si="49"/>
        <v>0</v>
      </c>
      <c r="AP78" s="45">
        <f t="shared" si="50"/>
        <v>0</v>
      </c>
      <c r="AQ78" s="45">
        <f t="shared" si="51"/>
        <v>0</v>
      </c>
      <c r="AR78" s="45">
        <f t="shared" si="52"/>
        <v>0</v>
      </c>
      <c r="AS78" s="19">
        <f t="shared" si="57"/>
        <v>0</v>
      </c>
      <c r="AT78" s="19">
        <f t="shared" si="58"/>
        <v>0</v>
      </c>
      <c r="AU78" s="46">
        <v>0</v>
      </c>
      <c r="AV78" s="46">
        <v>0</v>
      </c>
      <c r="AW78" s="46">
        <v>0</v>
      </c>
      <c r="AX78" s="46">
        <v>1</v>
      </c>
      <c r="AY78" s="47">
        <v>0</v>
      </c>
      <c r="AZ78" s="47">
        <v>-1</v>
      </c>
    </row>
    <row r="79" hidden="1" customHeight="1" spans="1:52">
      <c r="A79" s="44">
        <v>45404</v>
      </c>
      <c r="B79" s="33">
        <f t="shared" si="36"/>
        <v>612</v>
      </c>
      <c r="C79" s="33">
        <f t="shared" si="37"/>
        <v>1158</v>
      </c>
      <c r="D79" s="11">
        <f t="shared" si="38"/>
        <v>1770</v>
      </c>
      <c r="E79" s="34">
        <f t="shared" si="53"/>
        <v>7.77879426432874e-6</v>
      </c>
      <c r="F79" s="35">
        <f t="shared" si="39"/>
        <v>0.000542876061778116</v>
      </c>
      <c r="G79" s="18">
        <f>(SUM($I$8:$I79)*(MAX(M$3-M$4,0))+(N79*MAX(M$4,0)))*(1-$AM$4)+(AM79*$AM$4)</f>
        <v>0.0390870764480243</v>
      </c>
      <c r="H79" s="18">
        <f t="shared" si="40"/>
        <v>0.666666666666667</v>
      </c>
      <c r="I79" s="18">
        <f t="shared" si="41"/>
        <v>0.00584090909090911</v>
      </c>
      <c r="J79" s="18">
        <f t="shared" si="42"/>
        <v>0.371327226256231</v>
      </c>
      <c r="K79" s="18">
        <f t="shared" si="43"/>
        <v>0.00102724309435256</v>
      </c>
      <c r="L79" s="18">
        <f t="shared" si="44"/>
        <v>0.00876136363636366</v>
      </c>
      <c r="M79" s="18">
        <v>0</v>
      </c>
      <c r="N79" s="18">
        <f t="shared" si="54"/>
        <v>0</v>
      </c>
      <c r="O79" s="11">
        <v>0</v>
      </c>
      <c r="P79" s="11">
        <v>0</v>
      </c>
      <c r="Q79" s="11">
        <f t="shared" si="35"/>
        <v>1</v>
      </c>
      <c r="R79" s="11">
        <v>0</v>
      </c>
      <c r="S79" s="11">
        <f t="shared" si="45"/>
        <v>0</v>
      </c>
      <c r="T79" s="11">
        <v>0</v>
      </c>
      <c r="U79" s="11">
        <f t="shared" si="34"/>
        <v>1</v>
      </c>
      <c r="V79" s="11">
        <v>0</v>
      </c>
      <c r="W79" s="11">
        <f t="shared" si="46"/>
        <v>1</v>
      </c>
      <c r="X79" s="11">
        <f t="shared" si="47"/>
        <v>0</v>
      </c>
      <c r="Y79" s="19">
        <v>12.03</v>
      </c>
      <c r="Z79" s="11">
        <v>0</v>
      </c>
      <c r="AA79" s="11">
        <v>9</v>
      </c>
      <c r="AB79" s="11">
        <v>9</v>
      </c>
      <c r="AC79" s="11">
        <v>9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45">
        <v>0</v>
      </c>
      <c r="AJ79" s="45">
        <v>0</v>
      </c>
      <c r="AK79" s="45">
        <f t="shared" si="55"/>
        <v>0</v>
      </c>
      <c r="AL79" s="45">
        <f t="shared" si="56"/>
        <v>0</v>
      </c>
      <c r="AM79" s="45">
        <f t="shared" si="48"/>
        <v>0</v>
      </c>
      <c r="AN79" s="45">
        <f t="shared" ref="AN79:AN142" si="59">IFERROR(AVERAGEIF(AO72:AO78,"&gt;0",AO72:AO78),0)</f>
        <v>0</v>
      </c>
      <c r="AO79" s="45">
        <f t="shared" si="49"/>
        <v>0</v>
      </c>
      <c r="AP79" s="45">
        <f t="shared" si="50"/>
        <v>0</v>
      </c>
      <c r="AQ79" s="45">
        <f t="shared" si="51"/>
        <v>0</v>
      </c>
      <c r="AR79" s="45">
        <f t="shared" si="52"/>
        <v>0</v>
      </c>
      <c r="AS79" s="19">
        <f t="shared" si="57"/>
        <v>0</v>
      </c>
      <c r="AT79" s="19">
        <f t="shared" si="58"/>
        <v>0</v>
      </c>
      <c r="AU79" s="46">
        <v>0</v>
      </c>
      <c r="AV79" s="46">
        <v>0</v>
      </c>
      <c r="AW79" s="46">
        <v>0</v>
      </c>
      <c r="AX79" s="46">
        <v>1</v>
      </c>
      <c r="AY79" s="47">
        <v>0</v>
      </c>
      <c r="AZ79" s="47">
        <v>-1</v>
      </c>
    </row>
    <row r="80" hidden="1" customHeight="1" spans="1:52">
      <c r="A80" s="44">
        <v>45405</v>
      </c>
      <c r="B80" s="33">
        <f t="shared" si="36"/>
        <v>611</v>
      </c>
      <c r="C80" s="33">
        <f t="shared" si="37"/>
        <v>1132</v>
      </c>
      <c r="D80" s="11">
        <f t="shared" si="38"/>
        <v>1743</v>
      </c>
      <c r="E80" s="34">
        <f t="shared" si="53"/>
        <v>7.86619896000649e-6</v>
      </c>
      <c r="F80" s="35">
        <f t="shared" si="39"/>
        <v>0.000550742260738122</v>
      </c>
      <c r="G80" s="18">
        <f>(SUM($I$8:$I80)*(MAX(M$3-M$4,0))+(N80*MAX(M$4,0)))*(1-$AM$4)+(AM80*$AM$4)</f>
        <v>0.0402041850338829</v>
      </c>
      <c r="H80" s="18">
        <f t="shared" si="40"/>
        <v>0.666666666666667</v>
      </c>
      <c r="I80" s="18">
        <f t="shared" si="41"/>
        <v>0.00595791245791247</v>
      </c>
      <c r="J80" s="18">
        <f t="shared" si="42"/>
        <v>0.376707706344876</v>
      </c>
      <c r="K80" s="18">
        <f t="shared" si="43"/>
        <v>0.00102011832022115</v>
      </c>
      <c r="L80" s="18">
        <f t="shared" si="44"/>
        <v>0.0089368686868687</v>
      </c>
      <c r="M80" s="18">
        <v>0</v>
      </c>
      <c r="N80" s="18">
        <f t="shared" si="54"/>
        <v>0</v>
      </c>
      <c r="O80" s="11">
        <v>0</v>
      </c>
      <c r="P80" s="11">
        <v>0</v>
      </c>
      <c r="Q80" s="11">
        <f t="shared" si="35"/>
        <v>1</v>
      </c>
      <c r="R80" s="11">
        <v>0</v>
      </c>
      <c r="S80" s="11">
        <f t="shared" si="45"/>
        <v>0</v>
      </c>
      <c r="T80" s="11">
        <v>0</v>
      </c>
      <c r="U80" s="11">
        <f t="shared" si="34"/>
        <v>1</v>
      </c>
      <c r="V80" s="11">
        <v>0</v>
      </c>
      <c r="W80" s="11">
        <f t="shared" si="46"/>
        <v>1</v>
      </c>
      <c r="X80" s="11">
        <f t="shared" si="47"/>
        <v>0</v>
      </c>
      <c r="Y80" s="19">
        <v>7.46</v>
      </c>
      <c r="Z80" s="11">
        <v>0</v>
      </c>
      <c r="AA80" s="11">
        <v>22</v>
      </c>
      <c r="AB80" s="11">
        <v>11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45">
        <v>0</v>
      </c>
      <c r="AJ80" s="45">
        <v>0</v>
      </c>
      <c r="AK80" s="45">
        <f t="shared" si="55"/>
        <v>0</v>
      </c>
      <c r="AL80" s="45">
        <f t="shared" si="56"/>
        <v>0</v>
      </c>
      <c r="AM80" s="45">
        <f t="shared" si="48"/>
        <v>0</v>
      </c>
      <c r="AN80" s="45">
        <f t="shared" si="59"/>
        <v>0</v>
      </c>
      <c r="AO80" s="45">
        <f t="shared" si="49"/>
        <v>0</v>
      </c>
      <c r="AP80" s="45">
        <f t="shared" si="50"/>
        <v>0</v>
      </c>
      <c r="AQ80" s="45">
        <f t="shared" si="51"/>
        <v>0</v>
      </c>
      <c r="AR80" s="45">
        <f t="shared" si="52"/>
        <v>0</v>
      </c>
      <c r="AS80" s="19">
        <f t="shared" si="57"/>
        <v>0</v>
      </c>
      <c r="AT80" s="19">
        <f t="shared" si="58"/>
        <v>0</v>
      </c>
      <c r="AU80" s="46">
        <v>0</v>
      </c>
      <c r="AV80" s="46">
        <v>0</v>
      </c>
      <c r="AW80" s="46">
        <v>0</v>
      </c>
      <c r="AX80" s="46">
        <v>1</v>
      </c>
      <c r="AY80" s="47">
        <v>0</v>
      </c>
      <c r="AZ80" s="47">
        <v>-1</v>
      </c>
    </row>
    <row r="81" hidden="1" customHeight="1" spans="1:52">
      <c r="A81" s="44">
        <v>45406</v>
      </c>
      <c r="B81" s="33">
        <f t="shared" si="36"/>
        <v>610</v>
      </c>
      <c r="C81" s="33">
        <f t="shared" si="37"/>
        <v>1117</v>
      </c>
      <c r="D81" s="11">
        <f t="shared" si="38"/>
        <v>1727</v>
      </c>
      <c r="E81" s="34">
        <f t="shared" si="53"/>
        <v>4.51196303397842e-6</v>
      </c>
      <c r="F81" s="35">
        <f t="shared" si="39"/>
        <v>0.000555254223772101</v>
      </c>
      <c r="G81" s="18">
        <f>(SUM($I$8:$I81)*(MAX(M$3-M$4,0))+(N81*MAX(M$4,0)))*(1-$AM$4)+(AM81*$AM$4)</f>
        <v>0.0410888125591355</v>
      </c>
      <c r="H81" s="18">
        <f t="shared" si="40"/>
        <v>0.666666666666667</v>
      </c>
      <c r="I81" s="18">
        <f t="shared" si="41"/>
        <v>0.00471801346801348</v>
      </c>
      <c r="J81" s="18">
        <f t="shared" si="42"/>
        <v>0.379793889060117</v>
      </c>
      <c r="K81" s="18">
        <f t="shared" si="43"/>
        <v>0.00101673132940964</v>
      </c>
      <c r="L81" s="18">
        <f t="shared" si="44"/>
        <v>0.00707702020202021</v>
      </c>
      <c r="M81" s="18">
        <v>0</v>
      </c>
      <c r="N81" s="18">
        <f t="shared" si="54"/>
        <v>0</v>
      </c>
      <c r="O81" s="11">
        <v>0</v>
      </c>
      <c r="P81" s="11">
        <v>0</v>
      </c>
      <c r="Q81" s="11">
        <f t="shared" si="35"/>
        <v>1</v>
      </c>
      <c r="R81" s="11">
        <v>0</v>
      </c>
      <c r="S81" s="11">
        <f t="shared" si="45"/>
        <v>0</v>
      </c>
      <c r="T81" s="11">
        <v>0</v>
      </c>
      <c r="U81" s="11">
        <f t="shared" si="34"/>
        <v>1</v>
      </c>
      <c r="V81" s="11">
        <v>0</v>
      </c>
      <c r="W81" s="11">
        <f t="shared" si="46"/>
        <v>1</v>
      </c>
      <c r="X81" s="11">
        <f t="shared" si="47"/>
        <v>0</v>
      </c>
      <c r="Y81" s="19">
        <v>7.05</v>
      </c>
      <c r="Z81" s="11">
        <v>0</v>
      </c>
      <c r="AA81" s="11">
        <v>19</v>
      </c>
      <c r="AB81" s="11">
        <v>3</v>
      </c>
      <c r="AC81" s="11">
        <v>1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45">
        <v>0</v>
      </c>
      <c r="AJ81" s="45">
        <v>0</v>
      </c>
      <c r="AK81" s="45">
        <f t="shared" si="55"/>
        <v>0</v>
      </c>
      <c r="AL81" s="45">
        <f t="shared" si="56"/>
        <v>0</v>
      </c>
      <c r="AM81" s="45">
        <f t="shared" si="48"/>
        <v>0</v>
      </c>
      <c r="AN81" s="45">
        <f t="shared" si="59"/>
        <v>0</v>
      </c>
      <c r="AO81" s="45">
        <f t="shared" si="49"/>
        <v>0</v>
      </c>
      <c r="AP81" s="45">
        <f t="shared" si="50"/>
        <v>0</v>
      </c>
      <c r="AQ81" s="45">
        <f t="shared" si="51"/>
        <v>0</v>
      </c>
      <c r="AR81" s="45">
        <f t="shared" si="52"/>
        <v>0</v>
      </c>
      <c r="AS81" s="19">
        <f t="shared" si="57"/>
        <v>0</v>
      </c>
      <c r="AT81" s="19">
        <f t="shared" si="58"/>
        <v>0</v>
      </c>
      <c r="AU81" s="46">
        <v>0</v>
      </c>
      <c r="AV81" s="46">
        <v>0</v>
      </c>
      <c r="AW81" s="46">
        <v>0</v>
      </c>
      <c r="AX81" s="46">
        <v>1</v>
      </c>
      <c r="AY81" s="47">
        <v>0</v>
      </c>
      <c r="AZ81" s="47">
        <v>-1</v>
      </c>
    </row>
    <row r="82" hidden="1" customHeight="1" spans="1:52">
      <c r="A82" s="44">
        <v>45407</v>
      </c>
      <c r="B82" s="33">
        <f t="shared" si="36"/>
        <v>609</v>
      </c>
      <c r="C82" s="33">
        <f t="shared" si="37"/>
        <v>1084</v>
      </c>
      <c r="D82" s="11">
        <f t="shared" si="38"/>
        <v>1693</v>
      </c>
      <c r="E82" s="34">
        <f t="shared" si="53"/>
        <v>1.04627719658671e-5</v>
      </c>
      <c r="F82" s="35">
        <f t="shared" si="39"/>
        <v>0.000565716995737968</v>
      </c>
      <c r="G82" s="18">
        <f>(SUM($I$8:$I82)*(MAX(M$3-M$4,0))+(N82*MAX(M$4,0)))*(1-$AM$4)+(AM82*$AM$4)</f>
        <v>0.0424287746803476</v>
      </c>
      <c r="H82" s="18">
        <f t="shared" si="40"/>
        <v>0.666666666666667</v>
      </c>
      <c r="I82" s="18">
        <f t="shared" si="41"/>
        <v>0.00714646464646467</v>
      </c>
      <c r="J82" s="18">
        <f t="shared" si="42"/>
        <v>0.38695042508477</v>
      </c>
      <c r="K82" s="18">
        <f t="shared" si="43"/>
        <v>0.00100664954830087</v>
      </c>
      <c r="L82" s="18">
        <f t="shared" si="44"/>
        <v>0.010719696969697</v>
      </c>
      <c r="M82" s="18">
        <v>0</v>
      </c>
      <c r="N82" s="18">
        <f t="shared" si="54"/>
        <v>0</v>
      </c>
      <c r="O82" s="11">
        <v>0</v>
      </c>
      <c r="P82" s="11">
        <v>0</v>
      </c>
      <c r="Q82" s="11">
        <f t="shared" si="35"/>
        <v>1</v>
      </c>
      <c r="R82" s="11">
        <v>0</v>
      </c>
      <c r="S82" s="11">
        <f t="shared" si="45"/>
        <v>0</v>
      </c>
      <c r="T82" s="11">
        <v>0</v>
      </c>
      <c r="U82" s="11">
        <f t="shared" si="34"/>
        <v>1</v>
      </c>
      <c r="V82" s="11">
        <v>0</v>
      </c>
      <c r="W82" s="11">
        <f t="shared" si="46"/>
        <v>1</v>
      </c>
      <c r="X82" s="11">
        <f t="shared" si="47"/>
        <v>0</v>
      </c>
      <c r="Y82" s="19">
        <v>23.5</v>
      </c>
      <c r="Z82" s="11">
        <v>0</v>
      </c>
      <c r="AA82" s="11">
        <v>0</v>
      </c>
      <c r="AB82" s="11">
        <v>12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45">
        <v>0</v>
      </c>
      <c r="AJ82" s="45">
        <v>0</v>
      </c>
      <c r="AK82" s="45">
        <f t="shared" si="55"/>
        <v>0</v>
      </c>
      <c r="AL82" s="45">
        <f t="shared" si="56"/>
        <v>0</v>
      </c>
      <c r="AM82" s="45">
        <f t="shared" si="48"/>
        <v>0</v>
      </c>
      <c r="AN82" s="45">
        <f t="shared" si="59"/>
        <v>0</v>
      </c>
      <c r="AO82" s="45">
        <f t="shared" si="49"/>
        <v>0</v>
      </c>
      <c r="AP82" s="45">
        <f t="shared" si="50"/>
        <v>0</v>
      </c>
      <c r="AQ82" s="45">
        <f t="shared" si="51"/>
        <v>0</v>
      </c>
      <c r="AR82" s="45">
        <f t="shared" si="52"/>
        <v>0</v>
      </c>
      <c r="AS82" s="19">
        <f t="shared" si="57"/>
        <v>0</v>
      </c>
      <c r="AT82" s="19">
        <f t="shared" si="58"/>
        <v>0</v>
      </c>
      <c r="AU82" s="46">
        <v>0</v>
      </c>
      <c r="AV82" s="46">
        <v>0</v>
      </c>
      <c r="AW82" s="46">
        <v>0</v>
      </c>
      <c r="AX82" s="46">
        <v>1</v>
      </c>
      <c r="AY82" s="47">
        <v>0</v>
      </c>
      <c r="AZ82" s="47">
        <v>-1</v>
      </c>
    </row>
    <row r="83" hidden="1" customHeight="1" spans="1:52">
      <c r="A83" s="44">
        <v>45408</v>
      </c>
      <c r="B83" s="33">
        <f t="shared" si="36"/>
        <v>608</v>
      </c>
      <c r="C83" s="33">
        <f t="shared" si="37"/>
        <v>1020</v>
      </c>
      <c r="D83" s="11">
        <f t="shared" si="38"/>
        <v>1628</v>
      </c>
      <c r="E83" s="34">
        <f t="shared" si="53"/>
        <v>2.12457990991416e-5</v>
      </c>
      <c r="F83" s="35">
        <f t="shared" si="39"/>
        <v>0.000586962794837109</v>
      </c>
      <c r="G83" s="18">
        <f>(SUM($I$8:$I83)*(MAX(M$3-M$4,0))+(N83*MAX(M$4,0)))*(1-$AM$4)+(AM83*$AM$4)</f>
        <v>0.0446091724076203</v>
      </c>
      <c r="H83" s="18">
        <f t="shared" si="40"/>
        <v>0.666666666666667</v>
      </c>
      <c r="I83" s="18">
        <f t="shared" si="41"/>
        <v>0.0116287878787879</v>
      </c>
      <c r="J83" s="18">
        <f t="shared" si="42"/>
        <v>0.401482551668583</v>
      </c>
      <c r="K83" s="18">
        <f t="shared" si="43"/>
        <v>0.000984403697913515</v>
      </c>
      <c r="L83" s="18">
        <f t="shared" si="44"/>
        <v>0.0174431818181819</v>
      </c>
      <c r="M83" s="18">
        <v>0</v>
      </c>
      <c r="N83" s="18">
        <f t="shared" si="54"/>
        <v>0</v>
      </c>
      <c r="O83" s="11">
        <v>0</v>
      </c>
      <c r="P83" s="11">
        <v>0</v>
      </c>
      <c r="Q83" s="11">
        <f t="shared" si="35"/>
        <v>1</v>
      </c>
      <c r="R83" s="11">
        <v>0</v>
      </c>
      <c r="S83" s="11">
        <f t="shared" si="45"/>
        <v>0</v>
      </c>
      <c r="T83" s="11">
        <v>0</v>
      </c>
      <c r="U83" s="11">
        <f t="shared" si="34"/>
        <v>1</v>
      </c>
      <c r="V83" s="11">
        <v>0</v>
      </c>
      <c r="W83" s="11">
        <f t="shared" si="46"/>
        <v>1</v>
      </c>
      <c r="X83" s="11">
        <f t="shared" si="47"/>
        <v>0</v>
      </c>
      <c r="Y83" s="19">
        <v>46.05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45">
        <v>0</v>
      </c>
      <c r="AJ83" s="45">
        <v>0</v>
      </c>
      <c r="AK83" s="45">
        <f t="shared" si="55"/>
        <v>0</v>
      </c>
      <c r="AL83" s="45">
        <f t="shared" si="56"/>
        <v>0</v>
      </c>
      <c r="AM83" s="45">
        <f t="shared" si="48"/>
        <v>0</v>
      </c>
      <c r="AN83" s="45">
        <f t="shared" si="59"/>
        <v>0</v>
      </c>
      <c r="AO83" s="45">
        <f t="shared" si="49"/>
        <v>0</v>
      </c>
      <c r="AP83" s="45">
        <f t="shared" si="50"/>
        <v>0</v>
      </c>
      <c r="AQ83" s="45">
        <f t="shared" si="51"/>
        <v>0</v>
      </c>
      <c r="AR83" s="45">
        <f t="shared" si="52"/>
        <v>0</v>
      </c>
      <c r="AS83" s="19">
        <f t="shared" si="57"/>
        <v>0</v>
      </c>
      <c r="AT83" s="19">
        <f t="shared" si="58"/>
        <v>0</v>
      </c>
      <c r="AU83" s="46">
        <v>0</v>
      </c>
      <c r="AV83" s="46">
        <v>0</v>
      </c>
      <c r="AW83" s="46">
        <v>0</v>
      </c>
      <c r="AX83" s="46">
        <v>1</v>
      </c>
      <c r="AY83" s="47">
        <v>0</v>
      </c>
      <c r="AZ83" s="47">
        <v>-1</v>
      </c>
    </row>
    <row r="84" hidden="1" customHeight="1" spans="1:52">
      <c r="A84" s="44">
        <v>45409</v>
      </c>
      <c r="B84" s="33">
        <f t="shared" si="36"/>
        <v>607</v>
      </c>
      <c r="C84" s="33">
        <f t="shared" si="37"/>
        <v>1014</v>
      </c>
      <c r="D84" s="11">
        <f t="shared" si="38"/>
        <v>1621</v>
      </c>
      <c r="E84" s="34">
        <f t="shared" si="53"/>
        <v>2.06817306980538e-6</v>
      </c>
      <c r="F84" s="35">
        <f t="shared" si="39"/>
        <v>0.000589030967906915</v>
      </c>
      <c r="G84" s="18">
        <f>(SUM($I$8:$I84)*(MAX(M$3-M$4,0))+(N84*MAX(M$4,0)))*(1-$AM$4)+(AM84*$AM$4)</f>
        <v>0.0453553845288324</v>
      </c>
      <c r="H84" s="18">
        <f t="shared" si="40"/>
        <v>0.666666666666667</v>
      </c>
      <c r="I84" s="18">
        <f t="shared" si="41"/>
        <v>0.00397979797979799</v>
      </c>
      <c r="J84" s="18">
        <f t="shared" si="42"/>
        <v>0.40289718204833</v>
      </c>
      <c r="K84" s="18">
        <f t="shared" si="43"/>
        <v>0.000983694922490396</v>
      </c>
      <c r="L84" s="18">
        <f t="shared" si="44"/>
        <v>0.00596969696969698</v>
      </c>
      <c r="M84" s="18">
        <v>0</v>
      </c>
      <c r="N84" s="18">
        <f t="shared" si="54"/>
        <v>0</v>
      </c>
      <c r="O84" s="11">
        <v>0</v>
      </c>
      <c r="P84" s="11">
        <v>0</v>
      </c>
      <c r="Q84" s="11">
        <f t="shared" si="35"/>
        <v>1</v>
      </c>
      <c r="R84" s="11">
        <v>0</v>
      </c>
      <c r="S84" s="11">
        <f t="shared" si="45"/>
        <v>0</v>
      </c>
      <c r="T84" s="11">
        <v>0</v>
      </c>
      <c r="U84" s="11">
        <f t="shared" si="34"/>
        <v>1</v>
      </c>
      <c r="V84" s="11">
        <v>0</v>
      </c>
      <c r="W84" s="11">
        <f t="shared" si="46"/>
        <v>1</v>
      </c>
      <c r="X84" s="11">
        <f t="shared" si="47"/>
        <v>0</v>
      </c>
      <c r="Y84" s="19">
        <v>2.5</v>
      </c>
      <c r="Z84" s="11">
        <v>18</v>
      </c>
      <c r="AA84" s="11">
        <v>0</v>
      </c>
      <c r="AB84" s="11">
        <v>0</v>
      </c>
      <c r="AC84" s="11">
        <v>1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45">
        <v>0</v>
      </c>
      <c r="AJ84" s="45">
        <v>0</v>
      </c>
      <c r="AK84" s="45">
        <f t="shared" si="55"/>
        <v>0</v>
      </c>
      <c r="AL84" s="45">
        <f t="shared" si="56"/>
        <v>0</v>
      </c>
      <c r="AM84" s="45">
        <f t="shared" si="48"/>
        <v>0</v>
      </c>
      <c r="AN84" s="45">
        <f t="shared" si="59"/>
        <v>0</v>
      </c>
      <c r="AO84" s="45">
        <f t="shared" si="49"/>
        <v>0</v>
      </c>
      <c r="AP84" s="45">
        <f t="shared" si="50"/>
        <v>0</v>
      </c>
      <c r="AQ84" s="45">
        <f t="shared" si="51"/>
        <v>0</v>
      </c>
      <c r="AR84" s="45">
        <f t="shared" si="52"/>
        <v>0</v>
      </c>
      <c r="AS84" s="19">
        <f t="shared" si="57"/>
        <v>0</v>
      </c>
      <c r="AT84" s="19">
        <f t="shared" si="58"/>
        <v>0</v>
      </c>
      <c r="AU84" s="46">
        <v>0</v>
      </c>
      <c r="AV84" s="46">
        <v>0</v>
      </c>
      <c r="AW84" s="46">
        <v>0</v>
      </c>
      <c r="AX84" s="46">
        <v>1</v>
      </c>
      <c r="AY84" s="47">
        <v>0</v>
      </c>
      <c r="AZ84" s="47">
        <v>-1</v>
      </c>
    </row>
    <row r="85" hidden="1" customHeight="1" spans="1:52">
      <c r="A85" s="44">
        <v>45410</v>
      </c>
      <c r="B85" s="33">
        <f t="shared" si="36"/>
        <v>606</v>
      </c>
      <c r="C85" s="33">
        <f t="shared" si="37"/>
        <v>1003</v>
      </c>
      <c r="D85" s="11">
        <f t="shared" si="38"/>
        <v>1609</v>
      </c>
      <c r="E85" s="34">
        <f t="shared" si="53"/>
        <v>3.65008212603157e-6</v>
      </c>
      <c r="F85" s="35">
        <f t="shared" si="39"/>
        <v>0.000592681050032946</v>
      </c>
      <c r="G85" s="18">
        <f>(SUM($I$8:$I85)*(MAX(M$3-M$4,0))+(N85*MAX(M$4,0)))*(1-$AM$4)+(AM85*$AM$4)</f>
        <v>0.0462291219025698</v>
      </c>
      <c r="H85" s="18">
        <f t="shared" si="40"/>
        <v>0.666666666666667</v>
      </c>
      <c r="I85" s="18">
        <f t="shared" si="41"/>
        <v>0.00465993265993266</v>
      </c>
      <c r="J85" s="18">
        <f t="shared" si="42"/>
        <v>0.405393838222535</v>
      </c>
      <c r="K85" s="18">
        <f t="shared" si="43"/>
        <v>0.000981198286761493</v>
      </c>
      <c r="L85" s="18">
        <f t="shared" si="44"/>
        <v>0.00698989898989899</v>
      </c>
      <c r="M85" s="18">
        <v>0</v>
      </c>
      <c r="N85" s="18">
        <f t="shared" si="54"/>
        <v>0</v>
      </c>
      <c r="O85" s="11">
        <v>0</v>
      </c>
      <c r="P85" s="11">
        <v>0</v>
      </c>
      <c r="Q85" s="11">
        <f t="shared" si="35"/>
        <v>1</v>
      </c>
      <c r="R85" s="11">
        <v>0</v>
      </c>
      <c r="S85" s="11">
        <f t="shared" si="45"/>
        <v>0</v>
      </c>
      <c r="T85" s="11">
        <v>0</v>
      </c>
      <c r="U85" s="11">
        <f t="shared" si="34"/>
        <v>1</v>
      </c>
      <c r="V85" s="11">
        <v>0</v>
      </c>
      <c r="W85" s="11">
        <f t="shared" si="46"/>
        <v>1</v>
      </c>
      <c r="X85" s="11">
        <f t="shared" si="47"/>
        <v>0</v>
      </c>
      <c r="Y85" s="19">
        <v>0</v>
      </c>
      <c r="Z85" s="11">
        <v>6</v>
      </c>
      <c r="AA85" s="11">
        <v>26.5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45">
        <v>0</v>
      </c>
      <c r="AJ85" s="45">
        <v>0</v>
      </c>
      <c r="AK85" s="45">
        <f t="shared" si="55"/>
        <v>0</v>
      </c>
      <c r="AL85" s="45">
        <f t="shared" si="56"/>
        <v>0</v>
      </c>
      <c r="AM85" s="45">
        <f t="shared" si="48"/>
        <v>0</v>
      </c>
      <c r="AN85" s="45">
        <f t="shared" si="59"/>
        <v>0</v>
      </c>
      <c r="AO85" s="45">
        <f t="shared" si="49"/>
        <v>0</v>
      </c>
      <c r="AP85" s="45">
        <f t="shared" si="50"/>
        <v>0</v>
      </c>
      <c r="AQ85" s="45">
        <f t="shared" si="51"/>
        <v>0</v>
      </c>
      <c r="AR85" s="45">
        <f t="shared" si="52"/>
        <v>0</v>
      </c>
      <c r="AS85" s="19">
        <f t="shared" si="57"/>
        <v>0</v>
      </c>
      <c r="AT85" s="19">
        <f t="shared" si="58"/>
        <v>0</v>
      </c>
      <c r="AU85" s="46">
        <v>0</v>
      </c>
      <c r="AV85" s="46">
        <v>0</v>
      </c>
      <c r="AW85" s="46">
        <v>0</v>
      </c>
      <c r="AX85" s="46">
        <v>1</v>
      </c>
      <c r="AY85" s="47">
        <v>0</v>
      </c>
      <c r="AZ85" s="47">
        <v>-1</v>
      </c>
    </row>
    <row r="86" hidden="1" customHeight="1" spans="1:52">
      <c r="A86" s="44">
        <v>45411</v>
      </c>
      <c r="B86" s="33">
        <f t="shared" si="36"/>
        <v>605</v>
      </c>
      <c r="C86" s="33">
        <f t="shared" si="37"/>
        <v>994</v>
      </c>
      <c r="D86" s="11">
        <f t="shared" si="38"/>
        <v>1599</v>
      </c>
      <c r="E86" s="34">
        <f t="shared" si="53"/>
        <v>3.39784887440711e-6</v>
      </c>
      <c r="F86" s="35">
        <f t="shared" si="39"/>
        <v>0.000596078898907353</v>
      </c>
      <c r="G86" s="18">
        <f>(SUM($I$8:$I86)*(MAX(M$3-M$4,0))+(N86*MAX(M$4,0)))*(1-$AM$4)+(AM86*$AM$4)</f>
        <v>0.0470902330136809</v>
      </c>
      <c r="H86" s="18">
        <f t="shared" si="40"/>
        <v>0.666666666666667</v>
      </c>
      <c r="I86" s="18">
        <f t="shared" si="41"/>
        <v>0.0045925925925926</v>
      </c>
      <c r="J86" s="18">
        <f t="shared" si="42"/>
        <v>0.40771796685263</v>
      </c>
      <c r="K86" s="18">
        <f t="shared" si="43"/>
        <v>0.000978978567185736</v>
      </c>
      <c r="L86" s="18">
        <f t="shared" si="44"/>
        <v>0.00688888888888889</v>
      </c>
      <c r="M86" s="18">
        <v>0</v>
      </c>
      <c r="N86" s="18">
        <f t="shared" si="54"/>
        <v>0</v>
      </c>
      <c r="O86" s="11">
        <v>0</v>
      </c>
      <c r="P86" s="11">
        <v>0</v>
      </c>
      <c r="Q86" s="11">
        <f t="shared" si="35"/>
        <v>1</v>
      </c>
      <c r="R86" s="11">
        <v>0</v>
      </c>
      <c r="S86" s="11">
        <f t="shared" si="45"/>
        <v>0</v>
      </c>
      <c r="T86" s="11">
        <v>0</v>
      </c>
      <c r="U86" s="11">
        <f t="shared" si="34"/>
        <v>1</v>
      </c>
      <c r="V86" s="11">
        <v>0</v>
      </c>
      <c r="W86" s="11">
        <f t="shared" si="46"/>
        <v>1</v>
      </c>
      <c r="X86" s="11">
        <f t="shared" si="47"/>
        <v>0</v>
      </c>
      <c r="Y86" s="19">
        <v>0</v>
      </c>
      <c r="Z86" s="11">
        <v>6</v>
      </c>
      <c r="AA86" s="11">
        <v>23</v>
      </c>
      <c r="AB86" s="11">
        <v>4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45">
        <v>0</v>
      </c>
      <c r="AJ86" s="45">
        <v>0</v>
      </c>
      <c r="AK86" s="45">
        <f t="shared" si="55"/>
        <v>0</v>
      </c>
      <c r="AL86" s="45">
        <f t="shared" si="56"/>
        <v>0</v>
      </c>
      <c r="AM86" s="45">
        <f t="shared" si="48"/>
        <v>0</v>
      </c>
      <c r="AN86" s="45">
        <f t="shared" si="59"/>
        <v>0</v>
      </c>
      <c r="AO86" s="45">
        <f t="shared" si="49"/>
        <v>0</v>
      </c>
      <c r="AP86" s="45">
        <f t="shared" si="50"/>
        <v>0</v>
      </c>
      <c r="AQ86" s="45">
        <f t="shared" si="51"/>
        <v>0</v>
      </c>
      <c r="AR86" s="45">
        <f t="shared" si="52"/>
        <v>0</v>
      </c>
      <c r="AS86" s="19">
        <f t="shared" si="57"/>
        <v>0</v>
      </c>
      <c r="AT86" s="19">
        <f t="shared" si="58"/>
        <v>0</v>
      </c>
      <c r="AU86" s="46">
        <v>0</v>
      </c>
      <c r="AV86" s="46">
        <v>0</v>
      </c>
      <c r="AW86" s="46">
        <v>0</v>
      </c>
      <c r="AX86" s="46">
        <v>1</v>
      </c>
      <c r="AY86" s="47">
        <v>0</v>
      </c>
      <c r="AZ86" s="47">
        <v>-1</v>
      </c>
    </row>
    <row r="87" hidden="1" customHeight="1" spans="1:52">
      <c r="A87" s="44">
        <v>45412</v>
      </c>
      <c r="B87" s="33">
        <f t="shared" si="36"/>
        <v>604</v>
      </c>
      <c r="C87" s="33">
        <f t="shared" si="37"/>
        <v>992</v>
      </c>
      <c r="D87" s="11">
        <f t="shared" si="38"/>
        <v>1596</v>
      </c>
      <c r="E87" s="34">
        <f t="shared" si="53"/>
        <v>5.66690531334933e-7</v>
      </c>
      <c r="F87" s="35">
        <f t="shared" si="39"/>
        <v>0.000596645589438688</v>
      </c>
      <c r="G87" s="18">
        <f>(SUM($I$8:$I87)*(MAX(M$3-M$4,0))+(N87*MAX(M$4,0)))*(1-$AM$4)+(AM87*$AM$4)</f>
        <v>0.0477316471550951</v>
      </c>
      <c r="H87" s="18">
        <f t="shared" si="40"/>
        <v>0.666666666666667</v>
      </c>
      <c r="I87" s="18">
        <f t="shared" si="41"/>
        <v>0.00342087542087542</v>
      </c>
      <c r="J87" s="18">
        <f t="shared" si="42"/>
        <v>0.408105583176063</v>
      </c>
      <c r="K87" s="18">
        <f t="shared" si="43"/>
        <v>0.00097995764374824</v>
      </c>
      <c r="L87" s="18">
        <f t="shared" si="44"/>
        <v>0.00513131313131313</v>
      </c>
      <c r="M87" s="18">
        <v>0</v>
      </c>
      <c r="N87" s="18">
        <f t="shared" si="54"/>
        <v>0</v>
      </c>
      <c r="O87" s="11">
        <v>0</v>
      </c>
      <c r="P87" s="11">
        <v>0</v>
      </c>
      <c r="Q87" s="11">
        <f t="shared" si="35"/>
        <v>1</v>
      </c>
      <c r="R87" s="11">
        <v>0</v>
      </c>
      <c r="S87" s="11">
        <f t="shared" si="45"/>
        <v>0</v>
      </c>
      <c r="T87" s="11">
        <v>0</v>
      </c>
      <c r="U87" s="11">
        <f t="shared" si="34"/>
        <v>1</v>
      </c>
      <c r="V87" s="11">
        <v>0</v>
      </c>
      <c r="W87" s="11">
        <f t="shared" si="46"/>
        <v>1</v>
      </c>
      <c r="X87" s="11">
        <f t="shared" si="47"/>
        <v>0</v>
      </c>
      <c r="Y87" s="19">
        <v>0</v>
      </c>
      <c r="Z87" s="11">
        <v>4</v>
      </c>
      <c r="AA87" s="11">
        <v>17</v>
      </c>
      <c r="AB87" s="11">
        <v>4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45">
        <v>0.3611</v>
      </c>
      <c r="AJ87" s="45">
        <v>0</v>
      </c>
      <c r="AK87" s="45">
        <f t="shared" si="55"/>
        <v>0.3611</v>
      </c>
      <c r="AL87" s="45">
        <f t="shared" si="56"/>
        <v>0</v>
      </c>
      <c r="AM87" s="45">
        <f t="shared" si="48"/>
        <v>0</v>
      </c>
      <c r="AN87" s="45">
        <f t="shared" si="59"/>
        <v>0</v>
      </c>
      <c r="AO87" s="45">
        <f t="shared" si="49"/>
        <v>0</v>
      </c>
      <c r="AP87" s="45">
        <f t="shared" si="50"/>
        <v>0</v>
      </c>
      <c r="AQ87" s="45">
        <f t="shared" si="51"/>
        <v>0</v>
      </c>
      <c r="AR87" s="45">
        <f t="shared" si="52"/>
        <v>0</v>
      </c>
      <c r="AS87" s="19">
        <f t="shared" si="57"/>
        <v>0</v>
      </c>
      <c r="AT87" s="19">
        <f t="shared" si="58"/>
        <v>0</v>
      </c>
      <c r="AU87" s="46">
        <v>0</v>
      </c>
      <c r="AV87" s="46">
        <v>0</v>
      </c>
      <c r="AW87" s="46">
        <v>0</v>
      </c>
      <c r="AX87" s="46">
        <v>1</v>
      </c>
      <c r="AY87" s="47">
        <v>0</v>
      </c>
      <c r="AZ87" s="47">
        <v>-1</v>
      </c>
    </row>
    <row r="88" hidden="1" customHeight="1" spans="1:52">
      <c r="A88" s="44">
        <v>45413</v>
      </c>
      <c r="B88" s="33">
        <f t="shared" si="36"/>
        <v>603</v>
      </c>
      <c r="C88" s="33">
        <f t="shared" si="37"/>
        <v>978</v>
      </c>
      <c r="D88" s="11">
        <f t="shared" si="38"/>
        <v>1581</v>
      </c>
      <c r="E88" s="34">
        <f t="shared" si="53"/>
        <v>4.97270553228906e-6</v>
      </c>
      <c r="F88" s="35">
        <f t="shared" si="39"/>
        <v>0.000601618294970977</v>
      </c>
      <c r="G88" s="18">
        <f>(SUM($I$8:$I88)*(MAX(M$3-M$4,0))+(N88*MAX(M$4,0)))*(1-$AM$4)+(AM88*$AM$4)</f>
        <v>0.0487310818926492</v>
      </c>
      <c r="H88" s="18">
        <f t="shared" si="40"/>
        <v>0.708333333333333</v>
      </c>
      <c r="I88" s="18">
        <f t="shared" si="41"/>
        <v>0.00365435606060606</v>
      </c>
      <c r="J88" s="18">
        <f t="shared" si="42"/>
        <v>0.411506913760149</v>
      </c>
      <c r="K88" s="18">
        <f t="shared" si="43"/>
        <v>0.000975942099900251</v>
      </c>
      <c r="L88" s="18">
        <f t="shared" si="44"/>
        <v>0.00515909090909092</v>
      </c>
      <c r="M88" s="18">
        <v>0</v>
      </c>
      <c r="N88" s="18">
        <f t="shared" si="54"/>
        <v>0</v>
      </c>
      <c r="O88" s="11">
        <v>0</v>
      </c>
      <c r="P88" s="11">
        <v>0</v>
      </c>
      <c r="Q88" s="11">
        <f t="shared" si="35"/>
        <v>1</v>
      </c>
      <c r="R88" s="11">
        <v>0</v>
      </c>
      <c r="S88" s="11">
        <f t="shared" si="45"/>
        <v>0</v>
      </c>
      <c r="T88" s="11">
        <v>0</v>
      </c>
      <c r="U88" s="11">
        <f t="shared" si="34"/>
        <v>1</v>
      </c>
      <c r="V88" s="11">
        <v>0</v>
      </c>
      <c r="W88" s="11">
        <f t="shared" si="46"/>
        <v>1</v>
      </c>
      <c r="X88" s="11">
        <f t="shared" si="47"/>
        <v>0</v>
      </c>
      <c r="Y88" s="19">
        <v>2.9</v>
      </c>
      <c r="Z88" s="11">
        <v>6</v>
      </c>
      <c r="AA88" s="11">
        <v>10.5</v>
      </c>
      <c r="AB88" s="11">
        <v>2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45">
        <v>0</v>
      </c>
      <c r="AJ88" s="45">
        <v>0.00348095238095238</v>
      </c>
      <c r="AK88" s="45">
        <f t="shared" si="55"/>
        <v>0.3611</v>
      </c>
      <c r="AL88" s="45">
        <f t="shared" si="56"/>
        <v>0.00348095238095238</v>
      </c>
      <c r="AM88" s="45">
        <f t="shared" si="48"/>
        <v>0.0012569719047619</v>
      </c>
      <c r="AN88" s="45">
        <f t="shared" si="59"/>
        <v>0</v>
      </c>
      <c r="AO88" s="45">
        <f t="shared" si="49"/>
        <v>0</v>
      </c>
      <c r="AP88" s="45">
        <f t="shared" si="50"/>
        <v>0</v>
      </c>
      <c r="AQ88" s="45">
        <f t="shared" si="51"/>
        <v>0</v>
      </c>
      <c r="AR88" s="45">
        <f t="shared" si="52"/>
        <v>0</v>
      </c>
      <c r="AS88" s="19">
        <f t="shared" si="57"/>
        <v>0</v>
      </c>
      <c r="AT88" s="19">
        <f t="shared" si="58"/>
        <v>0</v>
      </c>
      <c r="AU88" s="46">
        <v>0</v>
      </c>
      <c r="AV88" s="46">
        <v>0</v>
      </c>
      <c r="AW88" s="46">
        <v>0</v>
      </c>
      <c r="AX88" s="46">
        <v>1</v>
      </c>
      <c r="AY88" s="47">
        <v>0</v>
      </c>
      <c r="AZ88" s="47">
        <v>-1</v>
      </c>
    </row>
    <row r="89" hidden="1" customHeight="1" spans="1:52">
      <c r="A89" s="44">
        <v>45414</v>
      </c>
      <c r="B89" s="33">
        <f t="shared" si="36"/>
        <v>602</v>
      </c>
      <c r="C89" s="33">
        <f t="shared" si="37"/>
        <v>974</v>
      </c>
      <c r="D89" s="11">
        <f t="shared" si="38"/>
        <v>1576</v>
      </c>
      <c r="E89" s="34">
        <f t="shared" si="53"/>
        <v>1.49772589281508e-6</v>
      </c>
      <c r="F89" s="35">
        <f t="shared" si="39"/>
        <v>0.000603116020863793</v>
      </c>
      <c r="G89" s="18">
        <f>(SUM($I$8:$I89)*(MAX(M$3-M$4,0))+(N89*MAX(M$4,0)))*(1-$AM$4)+(AM89*$AM$4)</f>
        <v>0.049455513710831</v>
      </c>
      <c r="H89" s="18">
        <f t="shared" si="40"/>
        <v>0.708333333333333</v>
      </c>
      <c r="I89" s="18">
        <f t="shared" si="41"/>
        <v>0.00386363636363637</v>
      </c>
      <c r="J89" s="18">
        <f t="shared" si="42"/>
        <v>0.412531358270834</v>
      </c>
      <c r="K89" s="18">
        <f t="shared" si="43"/>
        <v>0.000975861531111571</v>
      </c>
      <c r="L89" s="18">
        <f t="shared" si="44"/>
        <v>0.00545454545454546</v>
      </c>
      <c r="M89" s="18">
        <v>0</v>
      </c>
      <c r="N89" s="18">
        <f t="shared" si="54"/>
        <v>0</v>
      </c>
      <c r="O89" s="11">
        <v>0</v>
      </c>
      <c r="P89" s="11">
        <v>0</v>
      </c>
      <c r="Q89" s="11">
        <f t="shared" si="35"/>
        <v>1</v>
      </c>
      <c r="R89" s="11">
        <v>0</v>
      </c>
      <c r="S89" s="11">
        <f t="shared" si="45"/>
        <v>0</v>
      </c>
      <c r="T89" s="11">
        <v>0</v>
      </c>
      <c r="U89" s="11">
        <f t="shared" si="34"/>
        <v>1</v>
      </c>
      <c r="V89" s="11">
        <v>0</v>
      </c>
      <c r="W89" s="11">
        <f t="shared" si="46"/>
        <v>1</v>
      </c>
      <c r="X89" s="11">
        <f t="shared" si="47"/>
        <v>0</v>
      </c>
      <c r="Y89" s="19">
        <v>0</v>
      </c>
      <c r="Z89" s="11">
        <v>20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45">
        <v>0</v>
      </c>
      <c r="AJ89" s="45">
        <v>0</v>
      </c>
      <c r="AK89" s="45">
        <f t="shared" si="55"/>
        <v>0.3611</v>
      </c>
      <c r="AL89" s="45">
        <f t="shared" si="56"/>
        <v>0.00348095238095238</v>
      </c>
      <c r="AM89" s="45">
        <f t="shared" si="48"/>
        <v>0.0012569719047619</v>
      </c>
      <c r="AN89" s="45">
        <f t="shared" si="59"/>
        <v>0</v>
      </c>
      <c r="AO89" s="45">
        <f t="shared" si="49"/>
        <v>0</v>
      </c>
      <c r="AP89" s="45">
        <f t="shared" si="50"/>
        <v>0</v>
      </c>
      <c r="AQ89" s="45">
        <f t="shared" si="51"/>
        <v>0</v>
      </c>
      <c r="AR89" s="45">
        <f t="shared" si="52"/>
        <v>0</v>
      </c>
      <c r="AS89" s="19">
        <f t="shared" si="57"/>
        <v>0</v>
      </c>
      <c r="AT89" s="19">
        <f t="shared" si="58"/>
        <v>0</v>
      </c>
      <c r="AU89" s="46">
        <v>0</v>
      </c>
      <c r="AV89" s="46">
        <v>0</v>
      </c>
      <c r="AW89" s="46">
        <v>0</v>
      </c>
      <c r="AX89" s="46">
        <v>1</v>
      </c>
      <c r="AY89" s="47">
        <v>0</v>
      </c>
      <c r="AZ89" s="47">
        <v>-1</v>
      </c>
    </row>
    <row r="90" hidden="1" customHeight="1" spans="1:52">
      <c r="A90" s="44">
        <v>45415</v>
      </c>
      <c r="B90" s="33">
        <f t="shared" si="36"/>
        <v>601</v>
      </c>
      <c r="C90" s="33">
        <f t="shared" si="37"/>
        <v>974</v>
      </c>
      <c r="D90" s="11">
        <f t="shared" si="38"/>
        <v>1575</v>
      </c>
      <c r="E90" s="34">
        <f t="shared" si="53"/>
        <v>-1.12297831344251e-8</v>
      </c>
      <c r="F90" s="35">
        <f t="shared" si="39"/>
        <v>0.000603104791080658</v>
      </c>
      <c r="G90" s="18">
        <f>(SUM($I$8:$I90)*(MAX(M$3-M$4,0))+(N90*MAX(M$4,0)))*(1-$AM$4)+(AM90*$AM$4)</f>
        <v>0.0500576976596946</v>
      </c>
      <c r="H90" s="18">
        <f t="shared" si="40"/>
        <v>0.708333333333333</v>
      </c>
      <c r="I90" s="18">
        <f t="shared" si="41"/>
        <v>0.00321164772727273</v>
      </c>
      <c r="J90" s="18">
        <f t="shared" si="42"/>
        <v>0.41252367709917</v>
      </c>
      <c r="K90" s="18">
        <f t="shared" si="43"/>
        <v>0.000977498041432329</v>
      </c>
      <c r="L90" s="18">
        <f t="shared" si="44"/>
        <v>0.00453409090909091</v>
      </c>
      <c r="M90" s="18">
        <v>0</v>
      </c>
      <c r="N90" s="18">
        <f t="shared" si="54"/>
        <v>0</v>
      </c>
      <c r="O90" s="11">
        <v>0</v>
      </c>
      <c r="P90" s="11">
        <v>0</v>
      </c>
      <c r="Q90" s="11">
        <f t="shared" si="35"/>
        <v>1</v>
      </c>
      <c r="R90" s="11">
        <v>0</v>
      </c>
      <c r="S90" s="11">
        <f t="shared" si="45"/>
        <v>0</v>
      </c>
      <c r="T90" s="11">
        <v>0</v>
      </c>
      <c r="U90" s="11">
        <f t="shared" si="34"/>
        <v>1</v>
      </c>
      <c r="V90" s="11">
        <v>0</v>
      </c>
      <c r="W90" s="11">
        <f t="shared" si="46"/>
        <v>1</v>
      </c>
      <c r="X90" s="11">
        <f t="shared" si="47"/>
        <v>0</v>
      </c>
      <c r="Y90" s="19">
        <v>1.17</v>
      </c>
      <c r="Z90" s="11">
        <v>15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45">
        <v>0</v>
      </c>
      <c r="AJ90" s="45">
        <v>0</v>
      </c>
      <c r="AK90" s="45">
        <f t="shared" si="55"/>
        <v>0.3611</v>
      </c>
      <c r="AL90" s="45">
        <f t="shared" si="56"/>
        <v>0.00348095238095238</v>
      </c>
      <c r="AM90" s="45">
        <f t="shared" si="48"/>
        <v>0.0012569719047619</v>
      </c>
      <c r="AN90" s="45">
        <f t="shared" si="59"/>
        <v>0</v>
      </c>
      <c r="AO90" s="45">
        <f t="shared" si="49"/>
        <v>1.0109375</v>
      </c>
      <c r="AP90" s="45">
        <f t="shared" si="50"/>
        <v>1.18125</v>
      </c>
      <c r="AQ90" s="45">
        <f t="shared" si="51"/>
        <v>0.5</v>
      </c>
      <c r="AR90" s="45">
        <f t="shared" si="52"/>
        <v>0.5</v>
      </c>
      <c r="AS90" s="19">
        <f t="shared" si="57"/>
        <v>0.879166666666681</v>
      </c>
      <c r="AT90" s="19">
        <f t="shared" si="58"/>
        <v>1.48333333333332</v>
      </c>
      <c r="AU90" s="46">
        <v>0.3125</v>
      </c>
      <c r="AV90" s="46">
        <v>0.572916666666667</v>
      </c>
      <c r="AW90" s="46">
        <v>0.634722222222222</v>
      </c>
      <c r="AX90" s="46">
        <v>1.01944444444444</v>
      </c>
      <c r="AY90" s="47">
        <v>100</v>
      </c>
      <c r="AZ90" s="47">
        <v>1</v>
      </c>
    </row>
    <row r="91" hidden="1" customHeight="1" spans="1:52">
      <c r="A91" s="44">
        <v>45416</v>
      </c>
      <c r="B91" s="33">
        <f t="shared" si="36"/>
        <v>600</v>
      </c>
      <c r="C91" s="33">
        <f t="shared" si="37"/>
        <v>973</v>
      </c>
      <c r="D91" s="11">
        <f t="shared" si="38"/>
        <v>1573</v>
      </c>
      <c r="E91" s="34">
        <f t="shared" si="53"/>
        <v>3.6634583129103e-7</v>
      </c>
      <c r="F91" s="35">
        <f t="shared" si="39"/>
        <v>0.000603471136911949</v>
      </c>
      <c r="G91" s="18">
        <f>(SUM($I$8:$I91)*(MAX(M$3-M$4,0))+(N91*MAX(M$4,0)))*(1-$AM$4)+(AM91*$AM$4)</f>
        <v>0.0506915755006037</v>
      </c>
      <c r="H91" s="18">
        <f t="shared" si="40"/>
        <v>0.708333333333333</v>
      </c>
      <c r="I91" s="18">
        <f t="shared" si="41"/>
        <v>0.00338068181818183</v>
      </c>
      <c r="J91" s="18">
        <f t="shared" si="42"/>
        <v>0.412774257647773</v>
      </c>
      <c r="K91" s="18">
        <f t="shared" si="43"/>
        <v>0.000978709570587045</v>
      </c>
      <c r="L91" s="18">
        <f t="shared" si="44"/>
        <v>0.00477272727272728</v>
      </c>
      <c r="M91" s="18">
        <v>0</v>
      </c>
      <c r="N91" s="18">
        <f t="shared" si="54"/>
        <v>0</v>
      </c>
      <c r="O91" s="11">
        <v>0</v>
      </c>
      <c r="P91" s="11">
        <v>0</v>
      </c>
      <c r="Q91" s="11">
        <f t="shared" si="35"/>
        <v>1</v>
      </c>
      <c r="R91" s="11">
        <v>0</v>
      </c>
      <c r="S91" s="11">
        <f t="shared" si="45"/>
        <v>0</v>
      </c>
      <c r="T91" s="11">
        <v>0</v>
      </c>
      <c r="U91" s="11">
        <f t="shared" si="34"/>
        <v>1</v>
      </c>
      <c r="V91" s="11">
        <v>0</v>
      </c>
      <c r="W91" s="11">
        <f t="shared" si="46"/>
        <v>1</v>
      </c>
      <c r="X91" s="11">
        <f t="shared" si="47"/>
        <v>0</v>
      </c>
      <c r="Y91" s="19">
        <v>8.2</v>
      </c>
      <c r="Z91" s="11">
        <v>0</v>
      </c>
      <c r="AA91" s="11">
        <v>4.5</v>
      </c>
      <c r="AB91" s="11">
        <v>5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45">
        <v>0</v>
      </c>
      <c r="AJ91" s="45">
        <v>0</v>
      </c>
      <c r="AK91" s="45">
        <f t="shared" si="55"/>
        <v>0.3611</v>
      </c>
      <c r="AL91" s="45">
        <f t="shared" si="56"/>
        <v>0.00348095238095238</v>
      </c>
      <c r="AM91" s="45">
        <f t="shared" si="48"/>
        <v>0.0012569719047619</v>
      </c>
      <c r="AN91" s="45">
        <f t="shared" si="59"/>
        <v>1.0109375</v>
      </c>
      <c r="AO91" s="45">
        <f t="shared" si="49"/>
        <v>0.942656250000001</v>
      </c>
      <c r="AP91" s="45">
        <f t="shared" si="50"/>
        <v>0.921875000000001</v>
      </c>
      <c r="AQ91" s="45">
        <f t="shared" si="51"/>
        <v>1.01</v>
      </c>
      <c r="AR91" s="45">
        <f t="shared" si="52"/>
        <v>1</v>
      </c>
      <c r="AS91" s="19">
        <f t="shared" si="57"/>
        <v>1.06041666666667</v>
      </c>
      <c r="AT91" s="19">
        <f t="shared" si="58"/>
        <v>0.783333333333335</v>
      </c>
      <c r="AU91" s="46">
        <v>0.3375</v>
      </c>
      <c r="AV91" s="46">
        <v>0.576388888888889</v>
      </c>
      <c r="AW91" s="46">
        <v>0.609027777777778</v>
      </c>
      <c r="AX91" s="46">
        <v>0.984027777777778</v>
      </c>
      <c r="AY91" s="47">
        <v>202</v>
      </c>
      <c r="AZ91" s="47">
        <v>0</v>
      </c>
    </row>
    <row r="92" hidden="1" customHeight="1" spans="1:52">
      <c r="A92" s="44">
        <v>45417</v>
      </c>
      <c r="B92" s="33">
        <f t="shared" si="36"/>
        <v>599</v>
      </c>
      <c r="C92" s="33">
        <f t="shared" si="37"/>
        <v>972</v>
      </c>
      <c r="D92" s="11">
        <f t="shared" si="38"/>
        <v>1571</v>
      </c>
      <c r="E92" s="34">
        <f t="shared" si="53"/>
        <v>3.49834515236611e-7</v>
      </c>
      <c r="F92" s="35">
        <f t="shared" si="39"/>
        <v>0.000603820971427186</v>
      </c>
      <c r="G92" s="18">
        <f>(SUM($I$8:$I92)*(MAX(M$3-M$4,0))+(N92*MAX(M$4,0)))*(1-$AM$4)+(AM92*$AM$4)</f>
        <v>0.0513247825713108</v>
      </c>
      <c r="H92" s="18">
        <f t="shared" si="40"/>
        <v>0.708333333333333</v>
      </c>
      <c r="I92" s="18">
        <f t="shared" si="41"/>
        <v>0.00337710437710438</v>
      </c>
      <c r="J92" s="18">
        <f t="shared" si="42"/>
        <v>0.413013544456195</v>
      </c>
      <c r="K92" s="18">
        <f t="shared" si="43"/>
        <v>0.000979943999238406</v>
      </c>
      <c r="L92" s="18">
        <f t="shared" si="44"/>
        <v>0.00476767676767677</v>
      </c>
      <c r="M92" s="18">
        <v>0</v>
      </c>
      <c r="N92" s="18">
        <f t="shared" si="54"/>
        <v>0</v>
      </c>
      <c r="O92" s="11">
        <v>0</v>
      </c>
      <c r="P92" s="11">
        <v>0</v>
      </c>
      <c r="Q92" s="11">
        <f t="shared" si="35"/>
        <v>1</v>
      </c>
      <c r="R92" s="11">
        <v>0</v>
      </c>
      <c r="S92" s="11">
        <f t="shared" si="45"/>
        <v>0</v>
      </c>
      <c r="T92" s="11">
        <v>0</v>
      </c>
      <c r="U92" s="11">
        <f t="shared" si="34"/>
        <v>1</v>
      </c>
      <c r="V92" s="11">
        <v>0</v>
      </c>
      <c r="W92" s="11">
        <f t="shared" si="46"/>
        <v>1</v>
      </c>
      <c r="X92" s="11">
        <f t="shared" si="47"/>
        <v>0</v>
      </c>
      <c r="Y92" s="19">
        <v>0</v>
      </c>
      <c r="Z92" s="11">
        <v>16</v>
      </c>
      <c r="AA92" s="11">
        <v>2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45">
        <v>0</v>
      </c>
      <c r="AJ92" s="45">
        <v>0</v>
      </c>
      <c r="AK92" s="45">
        <f t="shared" si="55"/>
        <v>0.3611</v>
      </c>
      <c r="AL92" s="45">
        <f t="shared" si="56"/>
        <v>0.00348095238095238</v>
      </c>
      <c r="AM92" s="45">
        <f t="shared" si="48"/>
        <v>0.0012569719047619</v>
      </c>
      <c r="AN92" s="45">
        <f t="shared" si="59"/>
        <v>0.976796875</v>
      </c>
      <c r="AO92" s="45">
        <f t="shared" si="49"/>
        <v>1.25546874999999</v>
      </c>
      <c r="AP92" s="45">
        <f t="shared" si="50"/>
        <v>1.59062499999999</v>
      </c>
      <c r="AQ92" s="45">
        <f t="shared" si="51"/>
        <v>0.5</v>
      </c>
      <c r="AR92" s="45">
        <f t="shared" si="52"/>
        <v>0</v>
      </c>
      <c r="AS92" s="19">
        <f t="shared" si="57"/>
        <v>0.947916666666667</v>
      </c>
      <c r="AT92" s="19">
        <f t="shared" si="58"/>
        <v>2.23333333333332</v>
      </c>
      <c r="AU92" s="46">
        <v>0.2875</v>
      </c>
      <c r="AV92" s="46">
        <v>0.666666666666667</v>
      </c>
      <c r="AW92" s="46">
        <v>0.759722222222222</v>
      </c>
      <c r="AX92" s="46">
        <v>0.971527777777778</v>
      </c>
      <c r="AY92" s="47">
        <v>100</v>
      </c>
      <c r="AZ92" s="47">
        <v>-1</v>
      </c>
    </row>
    <row r="93" hidden="1" customHeight="1" spans="1:52">
      <c r="A93" s="44">
        <v>45418</v>
      </c>
      <c r="B93" s="33">
        <f t="shared" si="36"/>
        <v>598</v>
      </c>
      <c r="C93" s="33">
        <f t="shared" si="37"/>
        <v>972</v>
      </c>
      <c r="D93" s="11">
        <f t="shared" si="38"/>
        <v>1570</v>
      </c>
      <c r="E93" s="34">
        <f t="shared" si="53"/>
        <v>1.58406971307234e-7</v>
      </c>
      <c r="F93" s="35">
        <f t="shared" si="39"/>
        <v>0.000603979378398493</v>
      </c>
      <c r="G93" s="18">
        <f>(SUM($I$8:$I93)*(MAX(M$3-M$4,0))+(N93*MAX(M$4,0)))*(1-$AM$4)+(AM93*$AM$4)</f>
        <v>0.0519422265422704</v>
      </c>
      <c r="H93" s="18">
        <f t="shared" si="40"/>
        <v>0.708333333333333</v>
      </c>
      <c r="I93" s="18">
        <f t="shared" si="41"/>
        <v>0.00329303451178451</v>
      </c>
      <c r="J93" s="18">
        <f t="shared" si="42"/>
        <v>0.413121894824569</v>
      </c>
      <c r="K93" s="18">
        <f t="shared" si="43"/>
        <v>0.000981401513671289</v>
      </c>
      <c r="L93" s="18">
        <f t="shared" si="44"/>
        <v>0.0046489898989899</v>
      </c>
      <c r="M93" s="18">
        <v>0</v>
      </c>
      <c r="N93" s="18">
        <f t="shared" si="54"/>
        <v>0</v>
      </c>
      <c r="O93" s="11">
        <v>0</v>
      </c>
      <c r="P93" s="11">
        <v>0</v>
      </c>
      <c r="Q93" s="11">
        <f t="shared" si="35"/>
        <v>1</v>
      </c>
      <c r="R93" s="11">
        <v>0</v>
      </c>
      <c r="S93" s="11">
        <f t="shared" si="45"/>
        <v>0</v>
      </c>
      <c r="T93" s="11">
        <v>0</v>
      </c>
      <c r="U93" s="11">
        <f t="shared" si="34"/>
        <v>1</v>
      </c>
      <c r="V93" s="11">
        <v>0</v>
      </c>
      <c r="W93" s="11">
        <f t="shared" si="46"/>
        <v>1</v>
      </c>
      <c r="X93" s="11">
        <f t="shared" si="47"/>
        <v>0</v>
      </c>
      <c r="Y93" s="19">
        <v>0</v>
      </c>
      <c r="Z93" s="11">
        <v>7</v>
      </c>
      <c r="AA93" s="11">
        <v>13</v>
      </c>
      <c r="AB93" s="11">
        <v>0</v>
      </c>
      <c r="AC93" s="11">
        <v>1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45">
        <v>0</v>
      </c>
      <c r="AJ93" s="45">
        <v>0</v>
      </c>
      <c r="AK93" s="45">
        <f t="shared" si="55"/>
        <v>0.3611</v>
      </c>
      <c r="AL93" s="45">
        <f t="shared" si="56"/>
        <v>0.00348095238095238</v>
      </c>
      <c r="AM93" s="45">
        <f t="shared" si="48"/>
        <v>0.0012569719047619</v>
      </c>
      <c r="AN93" s="45">
        <f t="shared" si="59"/>
        <v>1.0696875</v>
      </c>
      <c r="AO93" s="45">
        <f t="shared" si="49"/>
        <v>0.904166666666668</v>
      </c>
      <c r="AP93" s="45">
        <f t="shared" si="50"/>
        <v>1.15</v>
      </c>
      <c r="AQ93" s="45">
        <f t="shared" si="51"/>
        <v>0</v>
      </c>
      <c r="AR93" s="45">
        <f t="shared" si="52"/>
        <v>0.333333333333333</v>
      </c>
      <c r="AS93" s="19">
        <f t="shared" si="57"/>
        <v>0.950000000000002</v>
      </c>
      <c r="AT93" s="19">
        <f t="shared" si="58"/>
        <v>1.35</v>
      </c>
      <c r="AU93" s="46">
        <v>0.286111111111111</v>
      </c>
      <c r="AV93" s="46">
        <v>0.50625</v>
      </c>
      <c r="AW93" s="46">
        <v>0.5625</v>
      </c>
      <c r="AX93" s="46">
        <v>0.969444444444444</v>
      </c>
      <c r="AY93" s="47">
        <v>0</v>
      </c>
      <c r="AZ93" s="47">
        <v>2</v>
      </c>
    </row>
    <row r="94" hidden="1" customHeight="1" spans="1:52">
      <c r="A94" s="44">
        <v>45419</v>
      </c>
      <c r="B94" s="33">
        <f t="shared" si="36"/>
        <v>597</v>
      </c>
      <c r="C94" s="33">
        <f t="shared" si="37"/>
        <v>968</v>
      </c>
      <c r="D94" s="11">
        <f t="shared" si="38"/>
        <v>1565</v>
      </c>
      <c r="E94" s="34">
        <f t="shared" si="53"/>
        <v>1.4057133084929e-6</v>
      </c>
      <c r="F94" s="35">
        <f t="shared" si="39"/>
        <v>0.000605385091706986</v>
      </c>
      <c r="G94" s="18">
        <f>(SUM($I$8:$I94)*(MAX(M$3-M$4,0))+(N94*MAX(M$4,0)))*(1-$AM$4)+(AM94*$AM$4)</f>
        <v>0.0526685029785078</v>
      </c>
      <c r="H94" s="18">
        <f t="shared" si="40"/>
        <v>0.708333333333333</v>
      </c>
      <c r="I94" s="18">
        <f t="shared" si="41"/>
        <v>0.00387347432659933</v>
      </c>
      <c r="J94" s="18">
        <f t="shared" si="42"/>
        <v>0.414083402727578</v>
      </c>
      <c r="K94" s="18">
        <f t="shared" si="43"/>
        <v>0.000981434836302214</v>
      </c>
      <c r="L94" s="18">
        <f t="shared" si="44"/>
        <v>0.00546843434343435</v>
      </c>
      <c r="M94" s="18">
        <v>0</v>
      </c>
      <c r="N94" s="18">
        <f t="shared" si="54"/>
        <v>0</v>
      </c>
      <c r="O94" s="11">
        <v>0</v>
      </c>
      <c r="P94" s="11">
        <v>0</v>
      </c>
      <c r="Q94" s="11">
        <f t="shared" si="35"/>
        <v>1</v>
      </c>
      <c r="R94" s="11">
        <v>0</v>
      </c>
      <c r="S94" s="11">
        <f t="shared" si="45"/>
        <v>0</v>
      </c>
      <c r="T94" s="11">
        <v>0</v>
      </c>
      <c r="U94" s="11">
        <f t="shared" si="34"/>
        <v>1</v>
      </c>
      <c r="V94" s="11">
        <v>0</v>
      </c>
      <c r="W94" s="11">
        <f t="shared" si="46"/>
        <v>1</v>
      </c>
      <c r="X94" s="11">
        <f t="shared" si="47"/>
        <v>0</v>
      </c>
      <c r="Y94" s="19">
        <v>4.17</v>
      </c>
      <c r="Z94" s="11">
        <v>0</v>
      </c>
      <c r="AA94" s="11">
        <v>11</v>
      </c>
      <c r="AB94" s="11">
        <v>11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45">
        <v>0</v>
      </c>
      <c r="AJ94" s="45">
        <v>0</v>
      </c>
      <c r="AK94" s="45">
        <f t="shared" si="55"/>
        <v>0.3611</v>
      </c>
      <c r="AL94" s="45">
        <f t="shared" si="56"/>
        <v>0.00348095238095238</v>
      </c>
      <c r="AM94" s="45">
        <f t="shared" si="48"/>
        <v>0.0012569719047619</v>
      </c>
      <c r="AN94" s="45">
        <f t="shared" si="59"/>
        <v>1.02830729166666</v>
      </c>
      <c r="AO94" s="45">
        <f t="shared" si="49"/>
        <v>0.811197916666668</v>
      </c>
      <c r="AP94" s="45">
        <f t="shared" si="50"/>
        <v>1.02604166666667</v>
      </c>
      <c r="AQ94" s="45">
        <f t="shared" si="51"/>
        <v>0</v>
      </c>
      <c r="AR94" s="45">
        <f t="shared" si="52"/>
        <v>0.333333333333333</v>
      </c>
      <c r="AS94" s="19">
        <f t="shared" si="57"/>
        <v>0.968750000000002</v>
      </c>
      <c r="AT94" s="19">
        <f t="shared" si="58"/>
        <v>1.08333333333333</v>
      </c>
      <c r="AU94" s="46">
        <v>0.30625</v>
      </c>
      <c r="AV94" s="46">
        <v>0.517361111111111</v>
      </c>
      <c r="AW94" s="46">
        <v>0.5625</v>
      </c>
      <c r="AX94" s="46">
        <v>0.983333333333333</v>
      </c>
      <c r="AY94" s="47">
        <v>0</v>
      </c>
      <c r="AZ94" s="47">
        <v>2</v>
      </c>
    </row>
    <row r="95" hidden="1" customHeight="1" spans="1:52">
      <c r="A95" s="44">
        <v>45420</v>
      </c>
      <c r="B95" s="33">
        <f t="shared" si="36"/>
        <v>596</v>
      </c>
      <c r="C95" s="33">
        <f t="shared" si="37"/>
        <v>968</v>
      </c>
      <c r="D95" s="11">
        <f t="shared" si="38"/>
        <v>1564</v>
      </c>
      <c r="E95" s="34">
        <f t="shared" si="53"/>
        <v>9.66340588852508e-8</v>
      </c>
      <c r="F95" s="35">
        <f t="shared" si="39"/>
        <v>0.000605481725765871</v>
      </c>
      <c r="G95" s="18">
        <f>(SUM($I$8:$I95)*(MAX(M$3-M$4,0))+(N95*MAX(M$4,0)))*(1-$AM$4)+(AM95*$AM$4)</f>
        <v>0.0532823918673967</v>
      </c>
      <c r="H95" s="18">
        <f t="shared" si="40"/>
        <v>0.708333333333333</v>
      </c>
      <c r="I95" s="18">
        <f t="shared" si="41"/>
        <v>0.00327407407407408</v>
      </c>
      <c r="J95" s="18">
        <f t="shared" si="42"/>
        <v>0.414149500423856</v>
      </c>
      <c r="K95" s="18">
        <f t="shared" si="43"/>
        <v>0.000982970636872725</v>
      </c>
      <c r="L95" s="18">
        <f t="shared" si="44"/>
        <v>0.00462222222222223</v>
      </c>
      <c r="M95" s="18">
        <v>0</v>
      </c>
      <c r="N95" s="18">
        <f t="shared" si="54"/>
        <v>0</v>
      </c>
      <c r="O95" s="11">
        <v>16</v>
      </c>
      <c r="P95" s="11">
        <v>0</v>
      </c>
      <c r="Q95" s="11">
        <f t="shared" si="35"/>
        <v>1</v>
      </c>
      <c r="R95" s="11">
        <v>3000</v>
      </c>
      <c r="S95" s="11">
        <f t="shared" si="45"/>
        <v>0.64</v>
      </c>
      <c r="T95" s="11">
        <v>13</v>
      </c>
      <c r="U95" s="11">
        <f t="shared" si="34"/>
        <v>0.8125</v>
      </c>
      <c r="V95" s="11">
        <v>0</v>
      </c>
      <c r="W95" s="11">
        <f t="shared" si="46"/>
        <v>1</v>
      </c>
      <c r="X95" s="11">
        <f t="shared" si="47"/>
        <v>8.32</v>
      </c>
      <c r="Y95" s="19">
        <v>0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45">
        <v>0</v>
      </c>
      <c r="AJ95" s="45">
        <v>0</v>
      </c>
      <c r="AK95" s="45">
        <f t="shared" si="55"/>
        <v>0.3611</v>
      </c>
      <c r="AL95" s="45">
        <f t="shared" si="56"/>
        <v>0.00348095238095238</v>
      </c>
      <c r="AM95" s="45">
        <f t="shared" si="48"/>
        <v>0.0012569719047619</v>
      </c>
      <c r="AN95" s="45">
        <f t="shared" si="59"/>
        <v>0.984885416666665</v>
      </c>
      <c r="AO95" s="45">
        <f t="shared" si="49"/>
        <v>0.676562500000004</v>
      </c>
      <c r="AP95" s="45">
        <f t="shared" si="50"/>
        <v>0.818750000000005</v>
      </c>
      <c r="AQ95" s="45">
        <f t="shared" si="51"/>
        <v>0</v>
      </c>
      <c r="AR95" s="45">
        <f t="shared" si="52"/>
        <v>0.5</v>
      </c>
      <c r="AS95" s="19">
        <f t="shared" si="57"/>
        <v>0.737500000000012</v>
      </c>
      <c r="AT95" s="19">
        <f t="shared" si="58"/>
        <v>0.899999999999999</v>
      </c>
      <c r="AU95" s="46">
        <v>0.291666666666667</v>
      </c>
      <c r="AV95" s="46">
        <v>0.525</v>
      </c>
      <c r="AW95" s="46">
        <v>0.5625</v>
      </c>
      <c r="AX95" s="46">
        <v>1.04583333333333</v>
      </c>
      <c r="AY95" s="47">
        <v>0</v>
      </c>
      <c r="AZ95" s="47">
        <v>1</v>
      </c>
    </row>
    <row r="96" hidden="1" customHeight="1" spans="1:52">
      <c r="A96" s="44">
        <v>45421</v>
      </c>
      <c r="B96" s="33">
        <f t="shared" si="36"/>
        <v>595</v>
      </c>
      <c r="C96" s="33">
        <f t="shared" si="37"/>
        <v>962</v>
      </c>
      <c r="D96" s="11">
        <f t="shared" si="38"/>
        <v>1557</v>
      </c>
      <c r="E96" s="34">
        <f t="shared" si="53"/>
        <v>1.96625471118948e-6</v>
      </c>
      <c r="F96" s="35">
        <f t="shared" si="39"/>
        <v>0.000607447980477061</v>
      </c>
      <c r="G96" s="18">
        <f>(SUM($I$8:$I96)*(MAX(M$3-M$4,0))+(N96*MAX(M$4,0)))*(1-$AM$4)+(AM96*$AM$4)</f>
        <v>0.0540628702624584</v>
      </c>
      <c r="H96" s="18">
        <f t="shared" si="40"/>
        <v>0.708333333333333</v>
      </c>
      <c r="I96" s="18">
        <f t="shared" si="41"/>
        <v>0.00416255144032923</v>
      </c>
      <c r="J96" s="18">
        <f t="shared" si="42"/>
        <v>0.415494418646309</v>
      </c>
      <c r="K96" s="18">
        <f t="shared" si="43"/>
        <v>0.000982362321602841</v>
      </c>
      <c r="L96" s="18">
        <f t="shared" si="44"/>
        <v>0.00587654320987657</v>
      </c>
      <c r="M96" s="18">
        <v>0</v>
      </c>
      <c r="N96" s="18">
        <f t="shared" si="54"/>
        <v>0</v>
      </c>
      <c r="O96" s="11">
        <v>17</v>
      </c>
      <c r="P96" s="11">
        <v>0</v>
      </c>
      <c r="Q96" s="11">
        <f t="shared" si="35"/>
        <v>1</v>
      </c>
      <c r="R96" s="11">
        <v>2700</v>
      </c>
      <c r="S96" s="11">
        <f t="shared" si="45"/>
        <v>0.755555555555556</v>
      </c>
      <c r="T96" s="11">
        <v>14</v>
      </c>
      <c r="U96" s="11">
        <f t="shared" si="34"/>
        <v>0.823529411764706</v>
      </c>
      <c r="V96" s="11">
        <v>0</v>
      </c>
      <c r="W96" s="11">
        <f t="shared" si="46"/>
        <v>1</v>
      </c>
      <c r="X96" s="11">
        <f t="shared" si="47"/>
        <v>10.5777777777778</v>
      </c>
      <c r="Y96" s="19">
        <v>0</v>
      </c>
      <c r="Z96" s="11">
        <v>0</v>
      </c>
      <c r="AA96" s="11">
        <v>0</v>
      </c>
      <c r="AB96" s="11">
        <v>0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45">
        <v>0</v>
      </c>
      <c r="AJ96" s="45">
        <v>0</v>
      </c>
      <c r="AK96" s="45">
        <f t="shared" si="55"/>
        <v>0.3611</v>
      </c>
      <c r="AL96" s="45">
        <f t="shared" si="56"/>
        <v>0.00348095238095238</v>
      </c>
      <c r="AM96" s="45">
        <f t="shared" si="48"/>
        <v>0.0012569719047619</v>
      </c>
      <c r="AN96" s="45">
        <f t="shared" si="59"/>
        <v>0.933498263888888</v>
      </c>
      <c r="AO96" s="45">
        <f t="shared" si="49"/>
        <v>0.921093750000003</v>
      </c>
      <c r="AP96" s="45">
        <f t="shared" si="50"/>
        <v>1.14479166666667</v>
      </c>
      <c r="AQ96" s="45">
        <f t="shared" si="51"/>
        <v>0</v>
      </c>
      <c r="AR96" s="45">
        <f t="shared" si="52"/>
        <v>0.5</v>
      </c>
      <c r="AS96" s="19">
        <f t="shared" si="57"/>
        <v>0.989583333333334</v>
      </c>
      <c r="AT96" s="19">
        <f t="shared" si="58"/>
        <v>1.30000000000001</v>
      </c>
      <c r="AU96" s="46">
        <v>0.321527777777778</v>
      </c>
      <c r="AV96" s="46">
        <v>0.508333333333333</v>
      </c>
      <c r="AW96" s="46">
        <v>0.5625</v>
      </c>
      <c r="AX96" s="46">
        <v>0.991666666666667</v>
      </c>
      <c r="AY96" s="47">
        <v>0</v>
      </c>
      <c r="AZ96" s="47">
        <v>1</v>
      </c>
    </row>
    <row r="97" hidden="1" customHeight="1" spans="1:52">
      <c r="A97" s="44">
        <v>45422</v>
      </c>
      <c r="B97" s="33">
        <f t="shared" si="36"/>
        <v>594</v>
      </c>
      <c r="C97" s="33">
        <f t="shared" si="37"/>
        <v>894</v>
      </c>
      <c r="D97" s="11">
        <f t="shared" si="38"/>
        <v>1488</v>
      </c>
      <c r="E97" s="34">
        <f t="shared" si="53"/>
        <v>2.62553569672202e-5</v>
      </c>
      <c r="F97" s="35">
        <f t="shared" si="39"/>
        <v>0.000633703337444281</v>
      </c>
      <c r="G97" s="18">
        <f>(SUM($I$8:$I97)*(MAX(M$3-M$4,0))+(N97*MAX(M$4,0)))*(1-$AM$4)+(AM97*$AM$4)</f>
        <v>0.0570333003699853</v>
      </c>
      <c r="H97" s="18">
        <f t="shared" si="40"/>
        <v>0.708333333333333</v>
      </c>
      <c r="I97" s="18">
        <f t="shared" si="41"/>
        <v>0.01584229390681</v>
      </c>
      <c r="J97" s="18">
        <f t="shared" si="42"/>
        <v>0.433453082811888</v>
      </c>
      <c r="K97" s="18">
        <f t="shared" si="43"/>
        <v>0.000953782688868875</v>
      </c>
      <c r="L97" s="18">
        <f t="shared" si="44"/>
        <v>0.0223655913978495</v>
      </c>
      <c r="M97" s="18">
        <v>0</v>
      </c>
      <c r="N97" s="18">
        <f t="shared" si="54"/>
        <v>0</v>
      </c>
      <c r="O97" s="11">
        <v>26</v>
      </c>
      <c r="P97" s="11">
        <v>0</v>
      </c>
      <c r="Q97" s="11">
        <f t="shared" si="35"/>
        <v>1</v>
      </c>
      <c r="R97" s="11">
        <v>1860</v>
      </c>
      <c r="S97" s="11">
        <f t="shared" si="45"/>
        <v>1.67741935483871</v>
      </c>
      <c r="T97" s="11">
        <v>24</v>
      </c>
      <c r="U97" s="11">
        <f t="shared" si="34"/>
        <v>0.923076923076923</v>
      </c>
      <c r="V97" s="11">
        <v>0</v>
      </c>
      <c r="W97" s="11">
        <f t="shared" si="46"/>
        <v>1</v>
      </c>
      <c r="X97" s="11">
        <f t="shared" si="47"/>
        <v>40.258064516129</v>
      </c>
      <c r="Y97" s="19">
        <v>0</v>
      </c>
      <c r="Z97" s="11">
        <v>0</v>
      </c>
      <c r="AA97" s="11">
        <v>0</v>
      </c>
      <c r="AB97" s="11">
        <v>0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45">
        <v>0</v>
      </c>
      <c r="AJ97" s="45">
        <v>0</v>
      </c>
      <c r="AK97" s="45">
        <f t="shared" si="55"/>
        <v>0.3611</v>
      </c>
      <c r="AL97" s="45">
        <f t="shared" si="56"/>
        <v>0.00348095238095238</v>
      </c>
      <c r="AM97" s="45">
        <f t="shared" si="48"/>
        <v>0.0012569719047619</v>
      </c>
      <c r="AN97" s="45">
        <f t="shared" si="59"/>
        <v>0.931726190476191</v>
      </c>
      <c r="AO97" s="45">
        <f t="shared" si="49"/>
        <v>0.473437499999996</v>
      </c>
      <c r="AP97" s="45">
        <f t="shared" si="50"/>
        <v>0.547916666666662</v>
      </c>
      <c r="AQ97" s="45">
        <f t="shared" si="51"/>
        <v>0</v>
      </c>
      <c r="AR97" s="45">
        <f t="shared" si="52"/>
        <v>0.5</v>
      </c>
      <c r="AS97" s="19">
        <f t="shared" si="57"/>
        <v>1.07916666666667</v>
      </c>
      <c r="AT97" s="19">
        <f t="shared" si="58"/>
        <v>0.0166666666666559</v>
      </c>
      <c r="AU97" s="46">
        <v>0.340277777777778</v>
      </c>
      <c r="AV97" s="46">
        <v>0.561805555555556</v>
      </c>
      <c r="AW97" s="46">
        <v>0.5625</v>
      </c>
      <c r="AX97" s="46">
        <v>0.980555555555556</v>
      </c>
      <c r="AY97" s="47">
        <v>0</v>
      </c>
      <c r="AZ97" s="47">
        <v>1</v>
      </c>
    </row>
    <row r="98" hidden="1" customHeight="1" spans="1:52">
      <c r="A98" s="44">
        <v>45423</v>
      </c>
      <c r="B98" s="33">
        <f t="shared" si="36"/>
        <v>593</v>
      </c>
      <c r="C98" s="33">
        <f t="shared" si="37"/>
        <v>885</v>
      </c>
      <c r="D98" s="11">
        <f t="shared" si="38"/>
        <v>1478</v>
      </c>
      <c r="E98" s="34">
        <f t="shared" si="53"/>
        <v>3.76196895308836e-6</v>
      </c>
      <c r="F98" s="35">
        <f t="shared" si="39"/>
        <v>0.000637465306397369</v>
      </c>
      <c r="G98" s="18">
        <f>(SUM($I$8:$I98)*(MAX(M$3-M$4,0))+(N98*MAX(M$4,0)))*(1-$AM$4)+(AM98*$AM$4)</f>
        <v>0.0580093428821606</v>
      </c>
      <c r="H98" s="18">
        <f t="shared" si="40"/>
        <v>0.708333333333333</v>
      </c>
      <c r="I98" s="18">
        <f t="shared" si="41"/>
        <v>0.00520556006493507</v>
      </c>
      <c r="J98" s="18">
        <f t="shared" si="42"/>
        <v>0.436026269575801</v>
      </c>
      <c r="K98" s="18">
        <f t="shared" si="43"/>
        <v>0.000951051821963237</v>
      </c>
      <c r="L98" s="18">
        <f t="shared" si="44"/>
        <v>0.00734902597402599</v>
      </c>
      <c r="M98" s="18">
        <v>0</v>
      </c>
      <c r="N98" s="18">
        <f t="shared" si="54"/>
        <v>0</v>
      </c>
      <c r="O98" s="11">
        <v>16</v>
      </c>
      <c r="P98" s="11">
        <v>0</v>
      </c>
      <c r="Q98" s="11">
        <f t="shared" si="35"/>
        <v>1</v>
      </c>
      <c r="R98" s="11">
        <v>3360</v>
      </c>
      <c r="S98" s="11">
        <f t="shared" si="45"/>
        <v>0.571428571428571</v>
      </c>
      <c r="T98" s="11">
        <v>15</v>
      </c>
      <c r="U98" s="11">
        <f t="shared" si="34"/>
        <v>0.9375</v>
      </c>
      <c r="V98" s="11">
        <v>0</v>
      </c>
      <c r="W98" s="11">
        <f t="shared" si="46"/>
        <v>1</v>
      </c>
      <c r="X98" s="11">
        <f t="shared" si="47"/>
        <v>8.57142857142857</v>
      </c>
      <c r="Y98" s="19">
        <v>6.83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45">
        <v>0</v>
      </c>
      <c r="AJ98" s="45">
        <v>0</v>
      </c>
      <c r="AK98" s="45">
        <f t="shared" si="55"/>
        <v>0.3611</v>
      </c>
      <c r="AL98" s="45">
        <f t="shared" si="56"/>
        <v>0.00348095238095238</v>
      </c>
      <c r="AM98" s="45">
        <f t="shared" si="48"/>
        <v>0.0012569719047619</v>
      </c>
      <c r="AN98" s="45">
        <f t="shared" si="59"/>
        <v>0.854940476190476</v>
      </c>
      <c r="AO98" s="45">
        <f t="shared" si="49"/>
        <v>0.917187500000004</v>
      </c>
      <c r="AP98" s="45">
        <f t="shared" si="50"/>
        <v>1.05625</v>
      </c>
      <c r="AQ98" s="45">
        <f t="shared" si="51"/>
        <v>0.5</v>
      </c>
      <c r="AR98" s="45">
        <f t="shared" si="52"/>
        <v>0.5</v>
      </c>
      <c r="AS98" s="19">
        <f t="shared" si="57"/>
        <v>1.07916666666667</v>
      </c>
      <c r="AT98" s="19">
        <f t="shared" si="58"/>
        <v>1.03333333333334</v>
      </c>
      <c r="AU98" s="46">
        <v>0</v>
      </c>
      <c r="AV98" s="46">
        <v>0.519444444444444</v>
      </c>
      <c r="AW98" s="46">
        <v>0.5625</v>
      </c>
      <c r="AX98" s="46">
        <v>1</v>
      </c>
      <c r="AY98" s="47">
        <v>100</v>
      </c>
      <c r="AZ98" s="47">
        <v>1</v>
      </c>
    </row>
    <row r="99" hidden="1" customHeight="1" spans="1:52">
      <c r="A99" s="44">
        <v>45424</v>
      </c>
      <c r="B99" s="33">
        <f t="shared" si="36"/>
        <v>592</v>
      </c>
      <c r="C99" s="33">
        <f t="shared" si="37"/>
        <v>864</v>
      </c>
      <c r="D99" s="11">
        <f t="shared" si="38"/>
        <v>1456</v>
      </c>
      <c r="E99" s="34">
        <f t="shared" si="53"/>
        <v>8.62979557857612e-6</v>
      </c>
      <c r="F99" s="35">
        <f t="shared" si="39"/>
        <v>0.000646095101975945</v>
      </c>
      <c r="G99" s="18">
        <f>(SUM($I$8:$I99)*(MAX(M$3-M$4,0))+(N99*MAX(M$4,0)))*(1-$AM$4)+(AM99*$AM$4)</f>
        <v>0.059440749381787</v>
      </c>
      <c r="H99" s="18">
        <f t="shared" si="40"/>
        <v>0.708333333333333</v>
      </c>
      <c r="I99" s="18">
        <f t="shared" si="41"/>
        <v>0.00763416799800729</v>
      </c>
      <c r="J99" s="18">
        <f t="shared" si="42"/>
        <v>0.441929049751547</v>
      </c>
      <c r="K99" s="18">
        <f t="shared" si="43"/>
        <v>0.000942687415960225</v>
      </c>
      <c r="L99" s="18">
        <f t="shared" si="44"/>
        <v>0.0107776489383632</v>
      </c>
      <c r="M99" s="18">
        <v>0</v>
      </c>
      <c r="N99" s="18">
        <f t="shared" si="54"/>
        <v>0</v>
      </c>
      <c r="O99" s="11">
        <v>17</v>
      </c>
      <c r="P99" s="11">
        <v>0</v>
      </c>
      <c r="Q99" s="11">
        <f t="shared" si="35"/>
        <v>1</v>
      </c>
      <c r="R99" s="11">
        <v>2940</v>
      </c>
      <c r="S99" s="11">
        <f t="shared" si="45"/>
        <v>0.693877551020408</v>
      </c>
      <c r="T99" s="11">
        <v>16</v>
      </c>
      <c r="U99" s="11">
        <f t="shared" si="34"/>
        <v>0.941176470588235</v>
      </c>
      <c r="V99" s="11">
        <v>0</v>
      </c>
      <c r="W99" s="11">
        <f t="shared" si="46"/>
        <v>1</v>
      </c>
      <c r="X99" s="11">
        <f t="shared" si="47"/>
        <v>11.1020408163265</v>
      </c>
      <c r="Y99" s="19">
        <v>4.57</v>
      </c>
      <c r="Z99" s="11">
        <v>0</v>
      </c>
      <c r="AA99" s="11">
        <v>0</v>
      </c>
      <c r="AB99" s="11">
        <v>19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45">
        <v>0</v>
      </c>
      <c r="AJ99" s="45">
        <v>0</v>
      </c>
      <c r="AK99" s="45">
        <f t="shared" si="55"/>
        <v>0.3611</v>
      </c>
      <c r="AL99" s="45">
        <f t="shared" si="56"/>
        <v>0.00348095238095238</v>
      </c>
      <c r="AM99" s="45">
        <f t="shared" si="48"/>
        <v>0.0012569719047619</v>
      </c>
      <c r="AN99" s="45">
        <f t="shared" si="59"/>
        <v>0.851302083333333</v>
      </c>
      <c r="AO99" s="45">
        <f t="shared" si="49"/>
        <v>0.854687500000004</v>
      </c>
      <c r="AP99" s="45">
        <f t="shared" si="50"/>
        <v>1.05625</v>
      </c>
      <c r="AQ99" s="45">
        <f t="shared" si="51"/>
        <v>0</v>
      </c>
      <c r="AR99" s="45">
        <f t="shared" si="52"/>
        <v>0.5</v>
      </c>
      <c r="AS99" s="19">
        <f t="shared" si="57"/>
        <v>1.07916666666667</v>
      </c>
      <c r="AT99" s="19">
        <f t="shared" si="58"/>
        <v>1.03333333333334</v>
      </c>
      <c r="AU99" s="46">
        <v>0</v>
      </c>
      <c r="AV99" s="46">
        <v>0</v>
      </c>
      <c r="AW99" s="46">
        <v>0</v>
      </c>
      <c r="AX99" s="46">
        <v>1</v>
      </c>
      <c r="AY99" s="47">
        <v>0</v>
      </c>
      <c r="AZ99" s="47">
        <v>1</v>
      </c>
    </row>
    <row r="100" hidden="1" customHeight="1" spans="1:52">
      <c r="A100" s="44">
        <v>45425</v>
      </c>
      <c r="B100" s="33">
        <f t="shared" si="36"/>
        <v>591</v>
      </c>
      <c r="C100" s="33">
        <f t="shared" si="37"/>
        <v>853</v>
      </c>
      <c r="D100" s="11">
        <f t="shared" si="38"/>
        <v>1444</v>
      </c>
      <c r="E100" s="34">
        <f t="shared" si="53"/>
        <v>4.36567698809405e-6</v>
      </c>
      <c r="F100" s="35">
        <f t="shared" si="39"/>
        <v>0.000650460778964039</v>
      </c>
      <c r="G100" s="18">
        <f>(SUM($I$8:$I100)*(MAX(M$3-M$4,0))+(N100*MAX(M$4,0)))*(1-$AM$4)+(AM100*$AM$4)</f>
        <v>0.0604928524436557</v>
      </c>
      <c r="H100" s="18">
        <f t="shared" si="40"/>
        <v>0.708333333333333</v>
      </c>
      <c r="I100" s="18">
        <f t="shared" si="41"/>
        <v>0.00561121632996634</v>
      </c>
      <c r="J100" s="18">
        <f t="shared" si="42"/>
        <v>0.444915172811403</v>
      </c>
      <c r="K100" s="18">
        <f t="shared" si="43"/>
        <v>0.000939229826038235</v>
      </c>
      <c r="L100" s="18">
        <f t="shared" si="44"/>
        <v>0.00792171717171719</v>
      </c>
      <c r="M100" s="18">
        <v>0</v>
      </c>
      <c r="N100" s="18">
        <f t="shared" si="54"/>
        <v>0</v>
      </c>
      <c r="O100" s="11">
        <v>0</v>
      </c>
      <c r="P100" s="11">
        <v>0</v>
      </c>
      <c r="Q100" s="11">
        <f t="shared" si="35"/>
        <v>1</v>
      </c>
      <c r="R100" s="11">
        <v>0</v>
      </c>
      <c r="S100" s="11">
        <f t="shared" si="45"/>
        <v>0</v>
      </c>
      <c r="T100" s="11">
        <v>0</v>
      </c>
      <c r="U100" s="11">
        <f t="shared" si="34"/>
        <v>1</v>
      </c>
      <c r="V100" s="11">
        <v>0</v>
      </c>
      <c r="W100" s="11">
        <f t="shared" si="46"/>
        <v>1</v>
      </c>
      <c r="X100" s="11">
        <f t="shared" si="47"/>
        <v>0</v>
      </c>
      <c r="Y100" s="19">
        <v>8.78</v>
      </c>
      <c r="Z100" s="11">
        <v>0</v>
      </c>
      <c r="AA100" s="11">
        <v>16</v>
      </c>
      <c r="AB100" s="11">
        <v>9</v>
      </c>
      <c r="AC100" s="11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45">
        <v>0</v>
      </c>
      <c r="AJ100" s="45">
        <v>0</v>
      </c>
      <c r="AK100" s="45">
        <f t="shared" si="55"/>
        <v>0.3611</v>
      </c>
      <c r="AL100" s="45">
        <f t="shared" si="56"/>
        <v>0.00348095238095238</v>
      </c>
      <c r="AM100" s="45">
        <f t="shared" si="48"/>
        <v>0.0012569719047619</v>
      </c>
      <c r="AN100" s="45">
        <f t="shared" si="59"/>
        <v>0.794047619047621</v>
      </c>
      <c r="AO100" s="45">
        <f t="shared" si="49"/>
        <v>0.917187500000004</v>
      </c>
      <c r="AP100" s="45">
        <f t="shared" si="50"/>
        <v>1.05625</v>
      </c>
      <c r="AQ100" s="45">
        <f t="shared" si="51"/>
        <v>0</v>
      </c>
      <c r="AR100" s="45">
        <f t="shared" si="52"/>
        <v>1</v>
      </c>
      <c r="AS100" s="19">
        <f t="shared" si="57"/>
        <v>1.07916666666667</v>
      </c>
      <c r="AT100" s="19">
        <f t="shared" si="58"/>
        <v>1.03333333333334</v>
      </c>
      <c r="AU100" s="46">
        <v>0</v>
      </c>
      <c r="AV100" s="46">
        <v>0</v>
      </c>
      <c r="AW100" s="46">
        <v>0</v>
      </c>
      <c r="AX100" s="46">
        <v>1</v>
      </c>
      <c r="AY100" s="47">
        <v>0</v>
      </c>
      <c r="AZ100" s="47">
        <v>0</v>
      </c>
    </row>
    <row r="101" hidden="1" customHeight="1" spans="1:52">
      <c r="A101" s="44">
        <v>45426</v>
      </c>
      <c r="B101" s="33">
        <f t="shared" si="36"/>
        <v>590</v>
      </c>
      <c r="C101" s="33">
        <f t="shared" si="37"/>
        <v>835</v>
      </c>
      <c r="D101" s="11">
        <f t="shared" si="38"/>
        <v>1425</v>
      </c>
      <c r="E101" s="34">
        <f t="shared" si="53"/>
        <v>7.86348122695606e-6</v>
      </c>
      <c r="F101" s="35">
        <f t="shared" si="39"/>
        <v>0.000658324260190995</v>
      </c>
      <c r="G101" s="18">
        <f>(SUM($I$8:$I101)*(MAX(M$3-M$4,0))+(N101*MAX(M$4,0)))*(1-$AM$4)+(AM101*$AM$4)</f>
        <v>0.0618824804579536</v>
      </c>
      <c r="H101" s="18">
        <f t="shared" si="40"/>
        <v>0.708333333333333</v>
      </c>
      <c r="I101" s="18">
        <f t="shared" si="41"/>
        <v>0.00741134940958884</v>
      </c>
      <c r="J101" s="18">
        <f t="shared" si="42"/>
        <v>0.450293793970641</v>
      </c>
      <c r="K101" s="18">
        <f t="shared" si="43"/>
        <v>0.000931705433948066</v>
      </c>
      <c r="L101" s="18">
        <f t="shared" si="44"/>
        <v>0.0104630815194195</v>
      </c>
      <c r="M101" s="18">
        <v>0</v>
      </c>
      <c r="N101" s="18">
        <f t="shared" si="54"/>
        <v>0</v>
      </c>
      <c r="O101" s="11">
        <v>37</v>
      </c>
      <c r="P101" s="11">
        <v>0</v>
      </c>
      <c r="Q101" s="11">
        <f t="shared" si="35"/>
        <v>1</v>
      </c>
      <c r="R101" s="11">
        <v>8520</v>
      </c>
      <c r="S101" s="11">
        <f t="shared" si="45"/>
        <v>0.52112676056338</v>
      </c>
      <c r="T101" s="11">
        <v>33</v>
      </c>
      <c r="U101" s="11">
        <f t="shared" si="34"/>
        <v>0.891891891891892</v>
      </c>
      <c r="V101" s="11">
        <v>0</v>
      </c>
      <c r="W101" s="11">
        <f t="shared" si="46"/>
        <v>1</v>
      </c>
      <c r="X101" s="11">
        <f t="shared" si="47"/>
        <v>17.1971830985915</v>
      </c>
      <c r="Y101" s="19">
        <v>0</v>
      </c>
      <c r="Z101" s="11">
        <v>0</v>
      </c>
      <c r="AA101" s="11">
        <v>0</v>
      </c>
      <c r="AB101" s="11">
        <v>6</v>
      </c>
      <c r="AC101" s="11">
        <v>0</v>
      </c>
      <c r="AD101" s="11">
        <v>0</v>
      </c>
      <c r="AE101" s="11">
        <v>0</v>
      </c>
      <c r="AF101" s="11">
        <v>0</v>
      </c>
      <c r="AG101" s="11">
        <v>0</v>
      </c>
      <c r="AH101" s="11">
        <v>0</v>
      </c>
      <c r="AI101" s="45">
        <v>0</v>
      </c>
      <c r="AJ101" s="45">
        <v>0</v>
      </c>
      <c r="AK101" s="45">
        <f t="shared" si="55"/>
        <v>0.3611</v>
      </c>
      <c r="AL101" s="45">
        <f t="shared" si="56"/>
        <v>0.00348095238095238</v>
      </c>
      <c r="AM101" s="45">
        <f t="shared" si="48"/>
        <v>0.0012569719047619</v>
      </c>
      <c r="AN101" s="45">
        <f t="shared" si="59"/>
        <v>0.795907738095241</v>
      </c>
      <c r="AO101" s="45">
        <f t="shared" si="49"/>
        <v>0.792187500000004</v>
      </c>
      <c r="AP101" s="45">
        <f t="shared" si="50"/>
        <v>1.05625</v>
      </c>
      <c r="AQ101" s="45">
        <f t="shared" si="51"/>
        <v>0</v>
      </c>
      <c r="AR101" s="45">
        <f t="shared" si="52"/>
        <v>0</v>
      </c>
      <c r="AS101" s="19">
        <f t="shared" si="57"/>
        <v>1.07916666666667</v>
      </c>
      <c r="AT101" s="19">
        <f t="shared" si="58"/>
        <v>1.03333333333334</v>
      </c>
      <c r="AU101" s="46">
        <v>0</v>
      </c>
      <c r="AV101" s="46">
        <v>0</v>
      </c>
      <c r="AW101" s="46">
        <v>0</v>
      </c>
      <c r="AX101" s="46">
        <v>1</v>
      </c>
      <c r="AY101" s="47">
        <v>0</v>
      </c>
      <c r="AZ101" s="47">
        <v>-1</v>
      </c>
    </row>
    <row r="102" hidden="1" customHeight="1" spans="1:52">
      <c r="A102" s="44">
        <v>45427</v>
      </c>
      <c r="B102" s="33">
        <f t="shared" si="36"/>
        <v>589</v>
      </c>
      <c r="C102" s="33">
        <f t="shared" si="37"/>
        <v>808</v>
      </c>
      <c r="D102" s="11">
        <f t="shared" si="38"/>
        <v>1397</v>
      </c>
      <c r="E102" s="34">
        <f t="shared" si="53"/>
        <v>1.20805541106575e-5</v>
      </c>
      <c r="F102" s="35">
        <f t="shared" si="39"/>
        <v>0.000670404814301653</v>
      </c>
      <c r="G102" s="18">
        <f>(SUM($I$8:$I102)*(MAX(M$3-M$4,0))+(N102*MAX(M$4,0)))*(1-$AM$4)+(AM102*$AM$4)</f>
        <v>0.063688457358657</v>
      </c>
      <c r="H102" s="18">
        <f t="shared" si="40"/>
        <v>0.708333333333333</v>
      </c>
      <c r="I102" s="18">
        <f t="shared" si="41"/>
        <v>0.00963187680375181</v>
      </c>
      <c r="J102" s="18">
        <f t="shared" si="42"/>
        <v>0.458556892982331</v>
      </c>
      <c r="K102" s="18">
        <f t="shared" si="43"/>
        <v>0.000919258246209965</v>
      </c>
      <c r="L102" s="18">
        <f t="shared" si="44"/>
        <v>0.0135979437229437</v>
      </c>
      <c r="M102" s="18">
        <v>0</v>
      </c>
      <c r="N102" s="18">
        <f t="shared" si="54"/>
        <v>0</v>
      </c>
      <c r="O102" s="11">
        <v>39</v>
      </c>
      <c r="P102" s="11">
        <v>0</v>
      </c>
      <c r="Q102" s="11">
        <f t="shared" si="35"/>
        <v>1</v>
      </c>
      <c r="R102" s="11">
        <v>6720</v>
      </c>
      <c r="S102" s="11">
        <f t="shared" si="45"/>
        <v>0.696428571428571</v>
      </c>
      <c r="T102" s="11">
        <v>34</v>
      </c>
      <c r="U102" s="11">
        <f t="shared" si="34"/>
        <v>0.871794871794872</v>
      </c>
      <c r="V102" s="11">
        <v>0</v>
      </c>
      <c r="W102" s="11">
        <f t="shared" si="46"/>
        <v>1</v>
      </c>
      <c r="X102" s="11">
        <f t="shared" si="47"/>
        <v>23.6785714285714</v>
      </c>
      <c r="Y102" s="19">
        <v>1.17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45">
        <v>0</v>
      </c>
      <c r="AJ102" s="45">
        <v>0</v>
      </c>
      <c r="AK102" s="45">
        <f t="shared" si="55"/>
        <v>0.3611</v>
      </c>
      <c r="AL102" s="45">
        <f t="shared" si="56"/>
        <v>0.00348095238095238</v>
      </c>
      <c r="AM102" s="45">
        <f t="shared" si="48"/>
        <v>0.0012569719047619</v>
      </c>
      <c r="AN102" s="45">
        <f t="shared" si="59"/>
        <v>0.793191964285717</v>
      </c>
      <c r="AO102" s="45">
        <f t="shared" si="49"/>
        <v>0.792187500000004</v>
      </c>
      <c r="AP102" s="45">
        <f t="shared" si="50"/>
        <v>1.05625</v>
      </c>
      <c r="AQ102" s="45">
        <f t="shared" si="51"/>
        <v>0</v>
      </c>
      <c r="AR102" s="45">
        <f t="shared" si="52"/>
        <v>0</v>
      </c>
      <c r="AS102" s="19">
        <f t="shared" si="57"/>
        <v>1.07916666666667</v>
      </c>
      <c r="AT102" s="19">
        <f t="shared" si="58"/>
        <v>1.03333333333334</v>
      </c>
      <c r="AU102" s="46">
        <v>0</v>
      </c>
      <c r="AV102" s="46">
        <v>0</v>
      </c>
      <c r="AW102" s="46">
        <v>0</v>
      </c>
      <c r="AX102" s="46">
        <v>1</v>
      </c>
      <c r="AY102" s="47">
        <v>0</v>
      </c>
      <c r="AZ102" s="47">
        <v>-1</v>
      </c>
    </row>
    <row r="103" hidden="1" customHeight="1" spans="1:52">
      <c r="A103" s="44">
        <v>45428</v>
      </c>
      <c r="B103" s="33">
        <f t="shared" si="36"/>
        <v>588</v>
      </c>
      <c r="C103" s="33">
        <f t="shared" si="37"/>
        <v>807</v>
      </c>
      <c r="D103" s="11">
        <f t="shared" si="38"/>
        <v>1395</v>
      </c>
      <c r="E103" s="34">
        <f t="shared" si="53"/>
        <v>3.39191223078304e-7</v>
      </c>
      <c r="F103" s="35">
        <f t="shared" si="39"/>
        <v>0.000670744005524731</v>
      </c>
      <c r="G103" s="18">
        <f>(SUM($I$8:$I103)*(MAX(M$3-M$4,0))+(N103*MAX(M$4,0)))*(1-$AM$4)+(AM103*$AM$4)</f>
        <v>0.0643914245303742</v>
      </c>
      <c r="H103" s="18">
        <f t="shared" si="40"/>
        <v>0.708333333333333</v>
      </c>
      <c r="I103" s="18">
        <f t="shared" si="41"/>
        <v>0.00374915824915825</v>
      </c>
      <c r="J103" s="18">
        <f t="shared" si="42"/>
        <v>0.458788899778916</v>
      </c>
      <c r="K103" s="18">
        <f t="shared" si="43"/>
        <v>0.00092042704119232</v>
      </c>
      <c r="L103" s="18">
        <f t="shared" si="44"/>
        <v>0.0052929292929293</v>
      </c>
      <c r="M103" s="18">
        <v>0</v>
      </c>
      <c r="N103" s="18">
        <f t="shared" si="54"/>
        <v>0</v>
      </c>
      <c r="O103" s="11">
        <v>0</v>
      </c>
      <c r="P103" s="11">
        <v>0</v>
      </c>
      <c r="Q103" s="11">
        <f t="shared" si="35"/>
        <v>1</v>
      </c>
      <c r="R103" s="11">
        <v>0</v>
      </c>
      <c r="S103" s="11">
        <f t="shared" si="45"/>
        <v>0</v>
      </c>
      <c r="T103" s="11">
        <v>0</v>
      </c>
      <c r="U103" s="11">
        <f t="shared" si="34"/>
        <v>1</v>
      </c>
      <c r="V103" s="11">
        <v>0</v>
      </c>
      <c r="W103" s="11">
        <f t="shared" si="46"/>
        <v>1</v>
      </c>
      <c r="X103" s="11">
        <f t="shared" si="47"/>
        <v>0</v>
      </c>
      <c r="Y103" s="19">
        <v>0</v>
      </c>
      <c r="Z103" s="11">
        <v>17</v>
      </c>
      <c r="AA103" s="11">
        <v>1</v>
      </c>
      <c r="AB103" s="11">
        <v>3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45">
        <v>0</v>
      </c>
      <c r="AJ103" s="45">
        <v>0</v>
      </c>
      <c r="AK103" s="45">
        <f t="shared" si="55"/>
        <v>0.3611</v>
      </c>
      <c r="AL103" s="45">
        <f t="shared" si="56"/>
        <v>0.00348095238095238</v>
      </c>
      <c r="AM103" s="45">
        <f t="shared" si="48"/>
        <v>0.0012569719047619</v>
      </c>
      <c r="AN103" s="45">
        <f t="shared" si="59"/>
        <v>0.809709821428574</v>
      </c>
      <c r="AO103" s="45">
        <f t="shared" si="49"/>
        <v>0.792187500000004</v>
      </c>
      <c r="AP103" s="45">
        <f t="shared" si="50"/>
        <v>1.05625</v>
      </c>
      <c r="AQ103" s="45">
        <f t="shared" si="51"/>
        <v>0</v>
      </c>
      <c r="AR103" s="45">
        <f t="shared" si="52"/>
        <v>0</v>
      </c>
      <c r="AS103" s="19">
        <f t="shared" si="57"/>
        <v>1.07916666666667</v>
      </c>
      <c r="AT103" s="19">
        <f t="shared" si="58"/>
        <v>1.03333333333334</v>
      </c>
      <c r="AU103" s="46">
        <v>0</v>
      </c>
      <c r="AV103" s="46">
        <v>0</v>
      </c>
      <c r="AW103" s="46">
        <v>0</v>
      </c>
      <c r="AX103" s="46">
        <v>1</v>
      </c>
      <c r="AY103" s="47">
        <v>0</v>
      </c>
      <c r="AZ103" s="47">
        <v>-1</v>
      </c>
    </row>
    <row r="104" hidden="1" customHeight="1" spans="1:52">
      <c r="A104" s="44">
        <v>45429</v>
      </c>
      <c r="B104" s="33">
        <f t="shared" si="36"/>
        <v>587</v>
      </c>
      <c r="C104" s="33">
        <f t="shared" si="37"/>
        <v>807</v>
      </c>
      <c r="D104" s="11">
        <f t="shared" si="38"/>
        <v>1394</v>
      </c>
      <c r="E104" s="34">
        <f t="shared" si="53"/>
        <v>9.70822610697102e-8</v>
      </c>
      <c r="F104" s="35">
        <f t="shared" si="39"/>
        <v>0.000670841087785801</v>
      </c>
      <c r="G104" s="18">
        <f>(SUM($I$8:$I104)*(MAX(M$3-M$4,0))+(N104*MAX(M$4,0)))*(1-$AM$4)+(AM104*$AM$4)</f>
        <v>0.0650715855152227</v>
      </c>
      <c r="H104" s="18">
        <f t="shared" si="40"/>
        <v>0.708333333333333</v>
      </c>
      <c r="I104" s="18">
        <f t="shared" si="41"/>
        <v>0.00362752525252526</v>
      </c>
      <c r="J104" s="18">
        <f t="shared" si="42"/>
        <v>0.458855304045488</v>
      </c>
      <c r="K104" s="18">
        <f t="shared" si="43"/>
        <v>0.000921881935186563</v>
      </c>
      <c r="L104" s="18">
        <f t="shared" si="44"/>
        <v>0.00512121212121213</v>
      </c>
      <c r="M104" s="18">
        <v>0</v>
      </c>
      <c r="N104" s="18">
        <f t="shared" si="54"/>
        <v>0</v>
      </c>
      <c r="O104" s="11">
        <v>0</v>
      </c>
      <c r="P104" s="11">
        <v>0</v>
      </c>
      <c r="Q104" s="11">
        <f t="shared" si="35"/>
        <v>1</v>
      </c>
      <c r="R104" s="11">
        <v>0</v>
      </c>
      <c r="S104" s="11">
        <f t="shared" si="45"/>
        <v>0</v>
      </c>
      <c r="T104" s="11">
        <v>0</v>
      </c>
      <c r="U104" s="11">
        <f t="shared" si="34"/>
        <v>1</v>
      </c>
      <c r="V104" s="11">
        <v>0</v>
      </c>
      <c r="W104" s="11">
        <f t="shared" si="46"/>
        <v>1</v>
      </c>
      <c r="X104" s="11">
        <f t="shared" si="47"/>
        <v>0</v>
      </c>
      <c r="Y104" s="19">
        <v>0</v>
      </c>
      <c r="Z104" s="11">
        <v>16</v>
      </c>
      <c r="AA104" s="11">
        <v>0</v>
      </c>
      <c r="AB104" s="11">
        <v>5</v>
      </c>
      <c r="AC104" s="11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45">
        <v>0</v>
      </c>
      <c r="AJ104" s="45">
        <v>0</v>
      </c>
      <c r="AK104" s="45">
        <f t="shared" si="55"/>
        <v>0.3611</v>
      </c>
      <c r="AL104" s="45">
        <f t="shared" si="56"/>
        <v>0.00348095238095238</v>
      </c>
      <c r="AM104" s="45">
        <f t="shared" si="48"/>
        <v>0.0012569719047619</v>
      </c>
      <c r="AN104" s="45">
        <f t="shared" si="59"/>
        <v>0.791294642857146</v>
      </c>
      <c r="AO104" s="45">
        <f t="shared" si="49"/>
        <v>0.792187500000004</v>
      </c>
      <c r="AP104" s="45">
        <f t="shared" si="50"/>
        <v>1.05625</v>
      </c>
      <c r="AQ104" s="45">
        <f t="shared" si="51"/>
        <v>0</v>
      </c>
      <c r="AR104" s="45">
        <f t="shared" si="52"/>
        <v>0</v>
      </c>
      <c r="AS104" s="19">
        <f t="shared" si="57"/>
        <v>1.07916666666667</v>
      </c>
      <c r="AT104" s="19">
        <f t="shared" si="58"/>
        <v>1.03333333333334</v>
      </c>
      <c r="AU104" s="46">
        <v>0</v>
      </c>
      <c r="AV104" s="46">
        <v>0</v>
      </c>
      <c r="AW104" s="46">
        <v>0</v>
      </c>
      <c r="AX104" s="46">
        <v>1</v>
      </c>
      <c r="AY104" s="47">
        <v>0</v>
      </c>
      <c r="AZ104" s="47">
        <v>-1</v>
      </c>
    </row>
    <row r="105" hidden="1" customHeight="1" spans="1:52">
      <c r="A105" s="44">
        <v>45430</v>
      </c>
      <c r="B105" s="33">
        <f t="shared" si="36"/>
        <v>586</v>
      </c>
      <c r="C105" s="33">
        <f t="shared" si="37"/>
        <v>758</v>
      </c>
      <c r="D105" s="11">
        <f t="shared" si="38"/>
        <v>1344</v>
      </c>
      <c r="E105" s="34">
        <f t="shared" si="53"/>
        <v>2.28634412810973e-5</v>
      </c>
      <c r="F105" s="35">
        <f t="shared" si="39"/>
        <v>0.000693704529066898</v>
      </c>
      <c r="G105" s="18">
        <f>(SUM($I$8:$I105)*(MAX(M$3-M$4,0))+(N105*MAX(M$4,0)))*(1-$AM$4)+(AM105*$AM$4)</f>
        <v>0.067983043848556</v>
      </c>
      <c r="H105" s="18">
        <f t="shared" si="40"/>
        <v>0.708333333333333</v>
      </c>
      <c r="I105" s="18">
        <f t="shared" si="41"/>
        <v>0.0155277777777778</v>
      </c>
      <c r="J105" s="18">
        <f t="shared" si="42"/>
        <v>0.474493897881758</v>
      </c>
      <c r="K105" s="18">
        <f t="shared" si="43"/>
        <v>0.000896768092351948</v>
      </c>
      <c r="L105" s="18">
        <f t="shared" si="44"/>
        <v>0.021921568627451</v>
      </c>
      <c r="M105" s="18">
        <v>0</v>
      </c>
      <c r="N105" s="18">
        <f t="shared" si="54"/>
        <v>0</v>
      </c>
      <c r="O105" s="11">
        <v>43</v>
      </c>
      <c r="P105" s="11">
        <v>0</v>
      </c>
      <c r="Q105" s="11">
        <f t="shared" si="35"/>
        <v>1</v>
      </c>
      <c r="R105" s="11">
        <v>5100</v>
      </c>
      <c r="S105" s="11">
        <f t="shared" si="45"/>
        <v>1.01176470588235</v>
      </c>
      <c r="T105" s="11">
        <v>39</v>
      </c>
      <c r="U105" s="11">
        <f t="shared" si="34"/>
        <v>0.906976744186046</v>
      </c>
      <c r="V105" s="11">
        <v>0</v>
      </c>
      <c r="W105" s="11">
        <f t="shared" si="46"/>
        <v>1</v>
      </c>
      <c r="X105" s="11">
        <f t="shared" si="47"/>
        <v>39.4588235294117</v>
      </c>
      <c r="Y105" s="19">
        <v>0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0</v>
      </c>
      <c r="AF105" s="11">
        <v>0</v>
      </c>
      <c r="AG105" s="11">
        <v>0</v>
      </c>
      <c r="AH105" s="11">
        <v>0</v>
      </c>
      <c r="AI105" s="45">
        <v>0</v>
      </c>
      <c r="AJ105" s="45">
        <v>0</v>
      </c>
      <c r="AK105" s="45">
        <f t="shared" si="55"/>
        <v>0.3611</v>
      </c>
      <c r="AL105" s="45">
        <f t="shared" si="56"/>
        <v>0.00348095238095238</v>
      </c>
      <c r="AM105" s="45">
        <f t="shared" si="48"/>
        <v>0.0012569719047619</v>
      </c>
      <c r="AN105" s="45">
        <f t="shared" si="59"/>
        <v>0.836830357142861</v>
      </c>
      <c r="AO105" s="45">
        <f t="shared" si="49"/>
        <v>0.792187500000004</v>
      </c>
      <c r="AP105" s="45">
        <f t="shared" si="50"/>
        <v>1.05625</v>
      </c>
      <c r="AQ105" s="45">
        <f t="shared" si="51"/>
        <v>0</v>
      </c>
      <c r="AR105" s="45">
        <f t="shared" si="52"/>
        <v>0</v>
      </c>
      <c r="AS105" s="19">
        <f t="shared" si="57"/>
        <v>1.07916666666667</v>
      </c>
      <c r="AT105" s="19">
        <f t="shared" si="58"/>
        <v>1.03333333333334</v>
      </c>
      <c r="AU105" s="46">
        <v>0</v>
      </c>
      <c r="AV105" s="46">
        <v>0</v>
      </c>
      <c r="AW105" s="46">
        <v>0</v>
      </c>
      <c r="AX105" s="46">
        <v>1</v>
      </c>
      <c r="AY105" s="47">
        <v>0</v>
      </c>
      <c r="AZ105" s="47">
        <v>-1</v>
      </c>
    </row>
    <row r="106" hidden="1" customHeight="1" spans="1:52">
      <c r="A106" s="44">
        <v>45431</v>
      </c>
      <c r="B106" s="33">
        <f t="shared" si="36"/>
        <v>585</v>
      </c>
      <c r="C106" s="33">
        <f t="shared" si="37"/>
        <v>755</v>
      </c>
      <c r="D106" s="11">
        <f t="shared" si="38"/>
        <v>1340</v>
      </c>
      <c r="E106" s="34">
        <f t="shared" si="53"/>
        <v>1.13359463293312e-6</v>
      </c>
      <c r="F106" s="35">
        <f t="shared" si="39"/>
        <v>0.000694838123699831</v>
      </c>
      <c r="G106" s="18">
        <f>(SUM($I$8:$I106)*(MAX(M$3-M$4,0))+(N106*MAX(M$4,0)))*(1-$AM$4)+(AM106*$AM$4)</f>
        <v>0.0687889742462833</v>
      </c>
      <c r="H106" s="18">
        <f t="shared" si="40"/>
        <v>0.708333333333333</v>
      </c>
      <c r="I106" s="18">
        <f t="shared" si="41"/>
        <v>0.00429829545454546</v>
      </c>
      <c r="J106" s="18">
        <f t="shared" si="42"/>
        <v>0.475269276610685</v>
      </c>
      <c r="K106" s="18">
        <f t="shared" si="43"/>
        <v>0.000896975595537291</v>
      </c>
      <c r="L106" s="18">
        <f t="shared" si="44"/>
        <v>0.00606818181818183</v>
      </c>
      <c r="M106" s="18">
        <v>0</v>
      </c>
      <c r="N106" s="18">
        <f t="shared" si="54"/>
        <v>0</v>
      </c>
      <c r="O106" s="11">
        <v>0</v>
      </c>
      <c r="P106" s="11">
        <v>0</v>
      </c>
      <c r="Q106" s="11">
        <f t="shared" si="35"/>
        <v>1</v>
      </c>
      <c r="R106" s="11">
        <v>0</v>
      </c>
      <c r="S106" s="11">
        <f t="shared" si="45"/>
        <v>0</v>
      </c>
      <c r="T106" s="11">
        <v>0</v>
      </c>
      <c r="U106" s="11">
        <f t="shared" si="34"/>
        <v>1</v>
      </c>
      <c r="V106" s="11">
        <v>0</v>
      </c>
      <c r="W106" s="11">
        <f t="shared" si="46"/>
        <v>1</v>
      </c>
      <c r="X106" s="11">
        <f t="shared" si="47"/>
        <v>0</v>
      </c>
      <c r="Y106" s="19">
        <v>0.5</v>
      </c>
      <c r="Z106" s="11">
        <v>6</v>
      </c>
      <c r="AA106" s="11">
        <v>0</v>
      </c>
      <c r="AB106" s="11">
        <v>28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45">
        <v>0</v>
      </c>
      <c r="AJ106" s="45">
        <v>0</v>
      </c>
      <c r="AK106" s="45">
        <f t="shared" si="55"/>
        <v>0.3611</v>
      </c>
      <c r="AL106" s="45">
        <f t="shared" si="56"/>
        <v>0.00348095238095238</v>
      </c>
      <c r="AM106" s="45">
        <f t="shared" si="48"/>
        <v>0.0012569719047619</v>
      </c>
      <c r="AN106" s="45">
        <f t="shared" si="59"/>
        <v>0.818973214285718</v>
      </c>
      <c r="AO106" s="45">
        <f t="shared" si="49"/>
        <v>0.792187500000004</v>
      </c>
      <c r="AP106" s="45">
        <f t="shared" si="50"/>
        <v>1.05625</v>
      </c>
      <c r="AQ106" s="45">
        <f t="shared" si="51"/>
        <v>0</v>
      </c>
      <c r="AR106" s="45">
        <f t="shared" si="52"/>
        <v>0</v>
      </c>
      <c r="AS106" s="19">
        <f t="shared" si="57"/>
        <v>1.07916666666667</v>
      </c>
      <c r="AT106" s="19">
        <f t="shared" si="58"/>
        <v>1.03333333333334</v>
      </c>
      <c r="AU106" s="46">
        <v>0</v>
      </c>
      <c r="AV106" s="46">
        <v>0</v>
      </c>
      <c r="AW106" s="46">
        <v>0</v>
      </c>
      <c r="AX106" s="46">
        <v>1</v>
      </c>
      <c r="AY106" s="47">
        <v>0</v>
      </c>
      <c r="AZ106" s="47">
        <v>-1</v>
      </c>
    </row>
    <row r="107" hidden="1" customHeight="1" spans="1:52">
      <c r="A107" s="44">
        <v>45432</v>
      </c>
      <c r="B107" s="33">
        <f t="shared" si="36"/>
        <v>584</v>
      </c>
      <c r="C107" s="33">
        <f t="shared" si="37"/>
        <v>755</v>
      </c>
      <c r="D107" s="11">
        <f t="shared" si="38"/>
        <v>1339</v>
      </c>
      <c r="E107" s="34">
        <f t="shared" si="53"/>
        <v>2.95936944819889e-7</v>
      </c>
      <c r="F107" s="35">
        <f t="shared" si="39"/>
        <v>0.000695134060644651</v>
      </c>
      <c r="G107" s="18">
        <f>(SUM($I$8:$I107)*(MAX(M$3-M$4,0))+(N107*MAX(M$4,0)))*(1-$AM$4)+(AM107*$AM$4)</f>
        <v>0.0695134060644651</v>
      </c>
      <c r="H107" s="18">
        <f t="shared" si="40"/>
        <v>0.708333333333333</v>
      </c>
      <c r="I107" s="18">
        <f t="shared" si="41"/>
        <v>0.00386363636363637</v>
      </c>
      <c r="J107" s="18">
        <f t="shared" si="42"/>
        <v>0.475471697480941</v>
      </c>
      <c r="K107" s="18">
        <f t="shared" si="43"/>
        <v>0.000898164901573731</v>
      </c>
      <c r="L107" s="18">
        <f t="shared" si="44"/>
        <v>0.00545454545454546</v>
      </c>
      <c r="M107" s="18">
        <v>0</v>
      </c>
      <c r="N107" s="18">
        <f t="shared" si="54"/>
        <v>0</v>
      </c>
      <c r="O107" s="11">
        <v>0</v>
      </c>
      <c r="P107" s="11">
        <v>0</v>
      </c>
      <c r="Q107" s="11">
        <f t="shared" si="35"/>
        <v>1</v>
      </c>
      <c r="R107" s="11">
        <v>0</v>
      </c>
      <c r="S107" s="11">
        <f t="shared" si="45"/>
        <v>0</v>
      </c>
      <c r="T107" s="11">
        <v>0</v>
      </c>
      <c r="U107" s="11">
        <f t="shared" si="34"/>
        <v>1</v>
      </c>
      <c r="V107" s="11">
        <v>0</v>
      </c>
      <c r="W107" s="11">
        <f t="shared" si="46"/>
        <v>1</v>
      </c>
      <c r="X107" s="11">
        <f t="shared" si="47"/>
        <v>0</v>
      </c>
      <c r="Y107" s="19">
        <v>0</v>
      </c>
      <c r="Z107" s="11">
        <v>20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45">
        <v>0</v>
      </c>
      <c r="AJ107" s="45">
        <v>0</v>
      </c>
      <c r="AK107" s="45">
        <f t="shared" si="55"/>
        <v>0.3611</v>
      </c>
      <c r="AL107" s="45">
        <f t="shared" si="56"/>
        <v>0.00348095238095238</v>
      </c>
      <c r="AM107" s="45">
        <f t="shared" si="48"/>
        <v>0.0012569719047619</v>
      </c>
      <c r="AN107" s="45">
        <f t="shared" si="59"/>
        <v>0.810044642857147</v>
      </c>
      <c r="AO107" s="45">
        <f t="shared" si="49"/>
        <v>0.792187500000004</v>
      </c>
      <c r="AP107" s="45">
        <f t="shared" si="50"/>
        <v>1.05625</v>
      </c>
      <c r="AQ107" s="45">
        <f t="shared" si="51"/>
        <v>0</v>
      </c>
      <c r="AR107" s="45">
        <f t="shared" si="52"/>
        <v>0</v>
      </c>
      <c r="AS107" s="19">
        <f t="shared" si="57"/>
        <v>1.07916666666667</v>
      </c>
      <c r="AT107" s="19">
        <f t="shared" si="58"/>
        <v>1.03333333333334</v>
      </c>
      <c r="AU107" s="46">
        <v>0</v>
      </c>
      <c r="AV107" s="46">
        <v>0</v>
      </c>
      <c r="AW107" s="46">
        <v>0</v>
      </c>
      <c r="AX107" s="46">
        <v>1</v>
      </c>
      <c r="AY107" s="47">
        <v>0</v>
      </c>
      <c r="AZ107" s="47">
        <v>-1</v>
      </c>
    </row>
    <row r="108" hidden="1" customHeight="1" spans="1:52">
      <c r="A108" s="44">
        <v>45433</v>
      </c>
      <c r="B108" s="33">
        <f t="shared" si="36"/>
        <v>583</v>
      </c>
      <c r="C108" s="33">
        <f t="shared" si="37"/>
        <v>755</v>
      </c>
      <c r="D108" s="11">
        <f t="shared" si="38"/>
        <v>1338</v>
      </c>
      <c r="E108" s="34">
        <f t="shared" si="53"/>
        <v>2.4425242142116e-8</v>
      </c>
      <c r="F108" s="35">
        <f t="shared" si="39"/>
        <v>0.000695158485886793</v>
      </c>
      <c r="G108" s="18">
        <f>(SUM($I$8:$I108)*(MAX(M$3-M$4,0))+(N108*MAX(M$4,0)))*(1-$AM$4)+(AM108*$AM$4)</f>
        <v>0.0702110070745661</v>
      </c>
      <c r="H108" s="18">
        <f t="shared" si="40"/>
        <v>0.708333333333333</v>
      </c>
      <c r="I108" s="18">
        <f t="shared" si="41"/>
        <v>0.00372053872053872</v>
      </c>
      <c r="J108" s="18">
        <f t="shared" si="42"/>
        <v>0.475488404346567</v>
      </c>
      <c r="K108" s="18">
        <f t="shared" si="43"/>
        <v>0.000899676836455289</v>
      </c>
      <c r="L108" s="18">
        <f t="shared" si="44"/>
        <v>0.00525252525252526</v>
      </c>
      <c r="M108" s="18">
        <v>0</v>
      </c>
      <c r="N108" s="18">
        <f t="shared" si="54"/>
        <v>0</v>
      </c>
      <c r="O108" s="11">
        <v>0</v>
      </c>
      <c r="P108" s="11">
        <v>0</v>
      </c>
      <c r="Q108" s="11">
        <f t="shared" si="35"/>
        <v>1</v>
      </c>
      <c r="R108" s="11">
        <v>0</v>
      </c>
      <c r="S108" s="11">
        <f t="shared" si="45"/>
        <v>0</v>
      </c>
      <c r="T108" s="11">
        <v>0</v>
      </c>
      <c r="U108" s="11">
        <f t="shared" si="34"/>
        <v>1</v>
      </c>
      <c r="V108" s="11">
        <v>0</v>
      </c>
      <c r="W108" s="11">
        <f t="shared" si="46"/>
        <v>1</v>
      </c>
      <c r="X108" s="11">
        <f t="shared" si="47"/>
        <v>0</v>
      </c>
      <c r="Y108" s="19">
        <v>0</v>
      </c>
      <c r="Z108" s="11">
        <v>5</v>
      </c>
      <c r="AA108" s="11">
        <v>11</v>
      </c>
      <c r="AB108" s="11">
        <v>11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45">
        <v>0</v>
      </c>
      <c r="AJ108" s="45">
        <v>0</v>
      </c>
      <c r="AK108" s="45">
        <f t="shared" si="55"/>
        <v>0.3611</v>
      </c>
      <c r="AL108" s="45">
        <f t="shared" si="56"/>
        <v>0.00348095238095238</v>
      </c>
      <c r="AM108" s="45">
        <f t="shared" si="48"/>
        <v>0.0012569719047619</v>
      </c>
      <c r="AN108" s="45">
        <f t="shared" si="59"/>
        <v>0.792187500000004</v>
      </c>
      <c r="AO108" s="45">
        <f t="shared" si="49"/>
        <v>0.792187500000004</v>
      </c>
      <c r="AP108" s="45">
        <f t="shared" si="50"/>
        <v>1.05625</v>
      </c>
      <c r="AQ108" s="45">
        <f t="shared" si="51"/>
        <v>0</v>
      </c>
      <c r="AR108" s="45">
        <f t="shared" si="52"/>
        <v>0</v>
      </c>
      <c r="AS108" s="19">
        <f t="shared" si="57"/>
        <v>1.07916666666667</v>
      </c>
      <c r="AT108" s="19">
        <f t="shared" si="58"/>
        <v>1.03333333333334</v>
      </c>
      <c r="AU108" s="46">
        <v>0</v>
      </c>
      <c r="AV108" s="46">
        <v>0</v>
      </c>
      <c r="AW108" s="46">
        <v>0</v>
      </c>
      <c r="AX108" s="46">
        <v>1</v>
      </c>
      <c r="AY108" s="47">
        <v>0</v>
      </c>
      <c r="AZ108" s="47">
        <v>-1</v>
      </c>
    </row>
    <row r="109" hidden="1" customHeight="1" spans="1:52">
      <c r="A109" s="44">
        <v>45434</v>
      </c>
      <c r="B109" s="33">
        <f t="shared" si="36"/>
        <v>582</v>
      </c>
      <c r="C109" s="33">
        <f t="shared" si="37"/>
        <v>752</v>
      </c>
      <c r="D109" s="11">
        <f t="shared" si="38"/>
        <v>1334</v>
      </c>
      <c r="E109" s="34">
        <f t="shared" si="53"/>
        <v>1.0958634033679e-6</v>
      </c>
      <c r="F109" s="35">
        <f t="shared" si="39"/>
        <v>0.000696254349290161</v>
      </c>
      <c r="G109" s="18">
        <f>(SUM($I$8:$I109)*(MAX(M$3-M$4,0))+(N109*MAX(M$4,0)))*(1-$AM$4)+(AM109*$AM$4)</f>
        <v>0.0710179436275964</v>
      </c>
      <c r="H109" s="18">
        <f t="shared" si="40"/>
        <v>0.708333333333333</v>
      </c>
      <c r="I109" s="18">
        <f t="shared" si="41"/>
        <v>0.00430366161616162</v>
      </c>
      <c r="J109" s="18">
        <f t="shared" si="42"/>
        <v>0.47623797491447</v>
      </c>
      <c r="K109" s="18">
        <f t="shared" si="43"/>
        <v>0.000899934751006065</v>
      </c>
      <c r="L109" s="18">
        <f t="shared" si="44"/>
        <v>0.00607575757575759</v>
      </c>
      <c r="M109" s="18">
        <v>0</v>
      </c>
      <c r="N109" s="18">
        <f t="shared" si="54"/>
        <v>0</v>
      </c>
      <c r="O109" s="11">
        <v>0</v>
      </c>
      <c r="P109" s="11">
        <v>0</v>
      </c>
      <c r="Q109" s="11">
        <f t="shared" si="35"/>
        <v>1</v>
      </c>
      <c r="R109" s="11">
        <v>0</v>
      </c>
      <c r="S109" s="11">
        <f t="shared" si="45"/>
        <v>0</v>
      </c>
      <c r="T109" s="11">
        <v>0</v>
      </c>
      <c r="U109" s="11">
        <f t="shared" si="34"/>
        <v>1</v>
      </c>
      <c r="V109" s="11">
        <v>0</v>
      </c>
      <c r="W109" s="11">
        <f t="shared" si="46"/>
        <v>1</v>
      </c>
      <c r="X109" s="11">
        <f t="shared" si="47"/>
        <v>0</v>
      </c>
      <c r="Y109" s="19">
        <v>0</v>
      </c>
      <c r="Z109" s="11">
        <v>17</v>
      </c>
      <c r="AA109" s="11">
        <v>0</v>
      </c>
      <c r="AB109" s="11">
        <v>8</v>
      </c>
      <c r="AC109" s="11">
        <v>2</v>
      </c>
      <c r="AD109" s="11">
        <v>0</v>
      </c>
      <c r="AE109" s="11">
        <v>0</v>
      </c>
      <c r="AF109" s="11">
        <v>0</v>
      </c>
      <c r="AG109" s="11">
        <v>0</v>
      </c>
      <c r="AH109" s="11">
        <v>0</v>
      </c>
      <c r="AI109" s="45">
        <v>0</v>
      </c>
      <c r="AJ109" s="45">
        <v>0</v>
      </c>
      <c r="AK109" s="45">
        <f t="shared" si="55"/>
        <v>0.3611</v>
      </c>
      <c r="AL109" s="45">
        <f t="shared" si="56"/>
        <v>0.00348095238095238</v>
      </c>
      <c r="AM109" s="45">
        <f t="shared" si="48"/>
        <v>0.0012569719047619</v>
      </c>
      <c r="AN109" s="45">
        <f t="shared" si="59"/>
        <v>0.792187500000004</v>
      </c>
      <c r="AO109" s="45">
        <f t="shared" si="49"/>
        <v>0.792187500000004</v>
      </c>
      <c r="AP109" s="45">
        <f t="shared" si="50"/>
        <v>1.05625</v>
      </c>
      <c r="AQ109" s="45">
        <f t="shared" si="51"/>
        <v>0</v>
      </c>
      <c r="AR109" s="45">
        <f t="shared" si="52"/>
        <v>0</v>
      </c>
      <c r="AS109" s="19">
        <f t="shared" si="57"/>
        <v>1.07916666666667</v>
      </c>
      <c r="AT109" s="19">
        <f t="shared" si="58"/>
        <v>1.03333333333334</v>
      </c>
      <c r="AU109" s="46">
        <v>0</v>
      </c>
      <c r="AV109" s="46">
        <v>0</v>
      </c>
      <c r="AW109" s="46">
        <v>0</v>
      </c>
      <c r="AX109" s="46">
        <v>1</v>
      </c>
      <c r="AY109" s="47">
        <v>0</v>
      </c>
      <c r="AZ109" s="47">
        <v>-1</v>
      </c>
    </row>
    <row r="110" hidden="1" customHeight="1" spans="1:52">
      <c r="A110" s="44">
        <v>45435</v>
      </c>
      <c r="B110" s="33">
        <f t="shared" si="36"/>
        <v>581</v>
      </c>
      <c r="C110" s="33">
        <f t="shared" si="37"/>
        <v>752</v>
      </c>
      <c r="D110" s="11">
        <f t="shared" si="38"/>
        <v>1333</v>
      </c>
      <c r="E110" s="34">
        <f t="shared" si="53"/>
        <v>5.37764521696708e-8</v>
      </c>
      <c r="F110" s="35">
        <f t="shared" si="39"/>
        <v>0.000696308125742331</v>
      </c>
      <c r="G110" s="18">
        <f>(SUM($I$8:$I110)*(MAX(M$3-M$4,0))+(N110*MAX(M$4,0)))*(1-$AM$4)+(AM110*$AM$4)</f>
        <v>0.0717197369514601</v>
      </c>
      <c r="H110" s="18">
        <f t="shared" si="40"/>
        <v>0.708333333333333</v>
      </c>
      <c r="I110" s="18">
        <f t="shared" si="41"/>
        <v>0.00374289772727274</v>
      </c>
      <c r="J110" s="18">
        <f t="shared" si="42"/>
        <v>0.476274758007754</v>
      </c>
      <c r="K110" s="18">
        <f t="shared" si="43"/>
        <v>0.000901420382086481</v>
      </c>
      <c r="L110" s="18">
        <f t="shared" si="44"/>
        <v>0.00528409090909092</v>
      </c>
      <c r="M110" s="18">
        <v>0</v>
      </c>
      <c r="N110" s="18">
        <f t="shared" si="54"/>
        <v>0</v>
      </c>
      <c r="O110" s="11">
        <v>0</v>
      </c>
      <c r="P110" s="11">
        <v>0</v>
      </c>
      <c r="Q110" s="11">
        <f t="shared" si="35"/>
        <v>1</v>
      </c>
      <c r="R110" s="11">
        <v>0</v>
      </c>
      <c r="S110" s="11">
        <f t="shared" si="45"/>
        <v>0</v>
      </c>
      <c r="T110" s="11">
        <v>0</v>
      </c>
      <c r="U110" s="11">
        <f t="shared" si="34"/>
        <v>1</v>
      </c>
      <c r="V110" s="11">
        <v>0</v>
      </c>
      <c r="W110" s="11">
        <f t="shared" si="46"/>
        <v>1</v>
      </c>
      <c r="X110" s="11">
        <f t="shared" si="47"/>
        <v>0</v>
      </c>
      <c r="Y110" s="19">
        <v>4.67</v>
      </c>
      <c r="Z110" s="11">
        <v>4</v>
      </c>
      <c r="AA110" s="11">
        <v>0</v>
      </c>
      <c r="AB110" s="11">
        <v>16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45">
        <v>0</v>
      </c>
      <c r="AJ110" s="45">
        <v>0</v>
      </c>
      <c r="AK110" s="45">
        <f t="shared" si="55"/>
        <v>0.3611</v>
      </c>
      <c r="AL110" s="45">
        <f t="shared" si="56"/>
        <v>0.00348095238095238</v>
      </c>
      <c r="AM110" s="45">
        <f t="shared" si="48"/>
        <v>0.0012569719047619</v>
      </c>
      <c r="AN110" s="45">
        <f t="shared" si="59"/>
        <v>0.792187500000004</v>
      </c>
      <c r="AO110" s="45">
        <f t="shared" si="49"/>
        <v>0.792187500000004</v>
      </c>
      <c r="AP110" s="45">
        <f t="shared" si="50"/>
        <v>1.05625</v>
      </c>
      <c r="AQ110" s="45">
        <f t="shared" si="51"/>
        <v>0</v>
      </c>
      <c r="AR110" s="45">
        <f t="shared" si="52"/>
        <v>0</v>
      </c>
      <c r="AS110" s="19">
        <f t="shared" si="57"/>
        <v>1.07916666666667</v>
      </c>
      <c r="AT110" s="19">
        <f t="shared" si="58"/>
        <v>1.03333333333334</v>
      </c>
      <c r="AU110" s="46">
        <v>0</v>
      </c>
      <c r="AV110" s="46">
        <v>0</v>
      </c>
      <c r="AW110" s="46">
        <v>0</v>
      </c>
      <c r="AX110" s="46">
        <v>1</v>
      </c>
      <c r="AY110" s="47">
        <v>0</v>
      </c>
      <c r="AZ110" s="47">
        <v>-1</v>
      </c>
    </row>
    <row r="111" hidden="1" customHeight="1" spans="1:52">
      <c r="A111" s="44">
        <v>45436</v>
      </c>
      <c r="B111" s="33">
        <f t="shared" si="36"/>
        <v>580</v>
      </c>
      <c r="C111" s="33">
        <f t="shared" si="37"/>
        <v>753</v>
      </c>
      <c r="D111" s="11">
        <f t="shared" si="38"/>
        <v>1333</v>
      </c>
      <c r="E111" s="34">
        <f t="shared" si="53"/>
        <v>-4.77746644181299e-7</v>
      </c>
      <c r="F111" s="35">
        <f t="shared" si="39"/>
        <v>0.00069583037909815</v>
      </c>
      <c r="G111" s="18">
        <f>(SUM($I$8:$I111)*(MAX(M$3-M$4,0))+(N111*MAX(M$4,0)))*(1-$AM$4)+(AM111*$AM$4)</f>
        <v>0.0723663594262076</v>
      </c>
      <c r="H111" s="18">
        <f t="shared" si="40"/>
        <v>0.708333333333333</v>
      </c>
      <c r="I111" s="18">
        <f t="shared" si="41"/>
        <v>0.0034486531986532</v>
      </c>
      <c r="J111" s="18">
        <f t="shared" si="42"/>
        <v>0.475947979303134</v>
      </c>
      <c r="K111" s="18">
        <f t="shared" si="43"/>
        <v>0.000903537966718734</v>
      </c>
      <c r="L111" s="18">
        <f t="shared" si="44"/>
        <v>0.00486868686868687</v>
      </c>
      <c r="M111" s="18">
        <v>0</v>
      </c>
      <c r="N111" s="18">
        <f t="shared" si="54"/>
        <v>0</v>
      </c>
      <c r="O111" s="11">
        <v>0</v>
      </c>
      <c r="P111" s="11">
        <v>0</v>
      </c>
      <c r="Q111" s="11">
        <f t="shared" si="35"/>
        <v>1</v>
      </c>
      <c r="R111" s="11">
        <v>0</v>
      </c>
      <c r="S111" s="11">
        <f t="shared" si="45"/>
        <v>0</v>
      </c>
      <c r="T111" s="11">
        <v>0</v>
      </c>
      <c r="U111" s="11">
        <f t="shared" si="34"/>
        <v>1</v>
      </c>
      <c r="V111" s="11">
        <v>0</v>
      </c>
      <c r="W111" s="11">
        <f t="shared" si="46"/>
        <v>1</v>
      </c>
      <c r="X111" s="11">
        <f t="shared" si="47"/>
        <v>0</v>
      </c>
      <c r="Y111" s="19">
        <v>0</v>
      </c>
      <c r="Z111" s="11">
        <v>6</v>
      </c>
      <c r="AA111" s="11">
        <v>16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45">
        <v>0</v>
      </c>
      <c r="AJ111" s="45">
        <v>0</v>
      </c>
      <c r="AK111" s="45">
        <f t="shared" si="55"/>
        <v>0.3611</v>
      </c>
      <c r="AL111" s="45">
        <f t="shared" si="56"/>
        <v>0.00348095238095238</v>
      </c>
      <c r="AM111" s="45">
        <f t="shared" si="48"/>
        <v>0.0012569719047619</v>
      </c>
      <c r="AN111" s="45">
        <f t="shared" si="59"/>
        <v>0.792187500000004</v>
      </c>
      <c r="AO111" s="45">
        <f t="shared" si="49"/>
        <v>0.792187500000004</v>
      </c>
      <c r="AP111" s="45">
        <f t="shared" si="50"/>
        <v>1.05625</v>
      </c>
      <c r="AQ111" s="45">
        <f t="shared" si="51"/>
        <v>0</v>
      </c>
      <c r="AR111" s="45">
        <f t="shared" si="52"/>
        <v>0</v>
      </c>
      <c r="AS111" s="19">
        <f t="shared" si="57"/>
        <v>1.07916666666667</v>
      </c>
      <c r="AT111" s="19">
        <f t="shared" si="58"/>
        <v>1.03333333333334</v>
      </c>
      <c r="AU111" s="46">
        <v>0</v>
      </c>
      <c r="AV111" s="46">
        <v>0</v>
      </c>
      <c r="AW111" s="46">
        <v>0</v>
      </c>
      <c r="AX111" s="46">
        <v>1</v>
      </c>
      <c r="AY111" s="47">
        <v>0</v>
      </c>
      <c r="AZ111" s="47">
        <v>-1</v>
      </c>
    </row>
    <row r="112" hidden="1" customHeight="1" spans="1:52">
      <c r="A112" s="44">
        <v>45437</v>
      </c>
      <c r="B112" s="33">
        <f t="shared" si="36"/>
        <v>579</v>
      </c>
      <c r="C112" s="33">
        <f t="shared" si="37"/>
        <v>753</v>
      </c>
      <c r="D112" s="11">
        <f t="shared" si="38"/>
        <v>1332</v>
      </c>
      <c r="E112" s="34">
        <f t="shared" si="53"/>
        <v>2.55359224237491e-7</v>
      </c>
      <c r="F112" s="35">
        <f t="shared" si="39"/>
        <v>0.000696085738322387</v>
      </c>
      <c r="G112" s="18">
        <f>(SUM($I$8:$I112)*(MAX(M$3-M$4,0))+(N112*MAX(M$4,0)))*(1-$AM$4)+(AM112*$AM$4)</f>
        <v>0.0730890025238506</v>
      </c>
      <c r="H112" s="18">
        <f t="shared" si="40"/>
        <v>0.708333333333333</v>
      </c>
      <c r="I112" s="18">
        <f t="shared" si="41"/>
        <v>0.0038540965207632</v>
      </c>
      <c r="J112" s="18">
        <f t="shared" si="42"/>
        <v>0.476122645012513</v>
      </c>
      <c r="K112" s="18">
        <f t="shared" si="43"/>
        <v>0.000904796813449892</v>
      </c>
      <c r="L112" s="18">
        <f t="shared" si="44"/>
        <v>0.00544107744107746</v>
      </c>
      <c r="M112" s="18">
        <v>0</v>
      </c>
      <c r="N112" s="18">
        <f t="shared" si="54"/>
        <v>0</v>
      </c>
      <c r="O112" s="11">
        <v>0</v>
      </c>
      <c r="P112" s="11">
        <v>0</v>
      </c>
      <c r="Q112" s="11">
        <f t="shared" si="35"/>
        <v>1</v>
      </c>
      <c r="R112" s="11">
        <v>0</v>
      </c>
      <c r="S112" s="11">
        <f t="shared" si="45"/>
        <v>0</v>
      </c>
      <c r="T112" s="11">
        <v>0</v>
      </c>
      <c r="U112" s="11">
        <f t="shared" si="34"/>
        <v>1</v>
      </c>
      <c r="V112" s="11">
        <v>0</v>
      </c>
      <c r="W112" s="11">
        <f t="shared" si="46"/>
        <v>1</v>
      </c>
      <c r="X112" s="11">
        <f t="shared" si="47"/>
        <v>0</v>
      </c>
      <c r="Y112" s="19">
        <v>1.92</v>
      </c>
      <c r="Z112" s="11">
        <v>0</v>
      </c>
      <c r="AA112" s="11">
        <v>0</v>
      </c>
      <c r="AB112" s="11">
        <v>30</v>
      </c>
      <c r="AC112" s="11">
        <v>0</v>
      </c>
      <c r="AD112" s="11">
        <v>2</v>
      </c>
      <c r="AE112" s="11">
        <v>0</v>
      </c>
      <c r="AF112" s="11">
        <v>0</v>
      </c>
      <c r="AG112" s="11">
        <v>0</v>
      </c>
      <c r="AH112" s="11">
        <v>0</v>
      </c>
      <c r="AI112" s="45">
        <v>0</v>
      </c>
      <c r="AJ112" s="45">
        <v>0</v>
      </c>
      <c r="AK112" s="45">
        <f t="shared" si="55"/>
        <v>0.3611</v>
      </c>
      <c r="AL112" s="45">
        <f t="shared" si="56"/>
        <v>0.00348095238095238</v>
      </c>
      <c r="AM112" s="45">
        <f t="shared" si="48"/>
        <v>0.0012569719047619</v>
      </c>
      <c r="AN112" s="45">
        <f t="shared" si="59"/>
        <v>0.792187500000004</v>
      </c>
      <c r="AO112" s="45">
        <f t="shared" si="49"/>
        <v>0.792187500000004</v>
      </c>
      <c r="AP112" s="45">
        <f t="shared" si="50"/>
        <v>1.05625</v>
      </c>
      <c r="AQ112" s="45">
        <f t="shared" si="51"/>
        <v>0</v>
      </c>
      <c r="AR112" s="45">
        <f t="shared" si="52"/>
        <v>0</v>
      </c>
      <c r="AS112" s="19">
        <f t="shared" si="57"/>
        <v>1.07916666666667</v>
      </c>
      <c r="AT112" s="19">
        <f t="shared" si="58"/>
        <v>1.03333333333334</v>
      </c>
      <c r="AU112" s="46">
        <v>0</v>
      </c>
      <c r="AV112" s="46">
        <v>0</v>
      </c>
      <c r="AW112" s="46">
        <v>0</v>
      </c>
      <c r="AX112" s="46">
        <v>1</v>
      </c>
      <c r="AY112" s="47">
        <v>0</v>
      </c>
      <c r="AZ112" s="47">
        <v>-1</v>
      </c>
    </row>
    <row r="113" hidden="1" customHeight="1" spans="1:52">
      <c r="A113" s="44">
        <v>45438</v>
      </c>
      <c r="B113" s="33">
        <f t="shared" si="36"/>
        <v>578</v>
      </c>
      <c r="C113" s="33">
        <f t="shared" si="37"/>
        <v>753</v>
      </c>
      <c r="D113" s="11">
        <f t="shared" si="38"/>
        <v>1331</v>
      </c>
      <c r="E113" s="34">
        <f t="shared" si="53"/>
        <v>-1.15956744147416e-7</v>
      </c>
      <c r="F113" s="35">
        <f t="shared" si="39"/>
        <v>0.00069596978157824</v>
      </c>
      <c r="G113" s="18">
        <f>(SUM($I$8:$I113)*(MAX(M$3-M$4,0))+(N113*MAX(M$4,0)))*(1-$AM$4)+(AM113*$AM$4)</f>
        <v>0.0737727968472934</v>
      </c>
      <c r="H113" s="18">
        <f t="shared" si="40"/>
        <v>0.708333333333333</v>
      </c>
      <c r="I113" s="18">
        <f t="shared" si="41"/>
        <v>0.0036469030583614</v>
      </c>
      <c r="J113" s="18">
        <f t="shared" si="42"/>
        <v>0.476043330599516</v>
      </c>
      <c r="K113" s="18">
        <f t="shared" si="43"/>
        <v>0.000906499428028519</v>
      </c>
      <c r="L113" s="18">
        <f t="shared" si="44"/>
        <v>0.00514856902356904</v>
      </c>
      <c r="M113" s="18">
        <v>0</v>
      </c>
      <c r="N113" s="18">
        <f t="shared" si="54"/>
        <v>0</v>
      </c>
      <c r="O113" s="11">
        <v>0</v>
      </c>
      <c r="P113" s="11">
        <v>0</v>
      </c>
      <c r="Q113" s="11">
        <f t="shared" si="35"/>
        <v>1</v>
      </c>
      <c r="R113" s="11">
        <v>0</v>
      </c>
      <c r="S113" s="11">
        <f t="shared" si="45"/>
        <v>0</v>
      </c>
      <c r="T113" s="11">
        <v>0</v>
      </c>
      <c r="U113" s="11">
        <f t="shared" si="34"/>
        <v>1</v>
      </c>
      <c r="V113" s="11">
        <v>0</v>
      </c>
      <c r="W113" s="11">
        <f t="shared" si="46"/>
        <v>1</v>
      </c>
      <c r="X113" s="11">
        <f t="shared" si="47"/>
        <v>0</v>
      </c>
      <c r="Y113" s="19">
        <v>4.97</v>
      </c>
      <c r="Z113" s="11">
        <v>0</v>
      </c>
      <c r="AA113" s="11">
        <v>0</v>
      </c>
      <c r="AB113" s="11">
        <v>21</v>
      </c>
      <c r="AC113" s="11">
        <v>0</v>
      </c>
      <c r="AD113" s="11">
        <v>1</v>
      </c>
      <c r="AE113" s="11">
        <v>0</v>
      </c>
      <c r="AF113" s="11">
        <v>0</v>
      </c>
      <c r="AG113" s="11">
        <v>0</v>
      </c>
      <c r="AH113" s="11">
        <v>0</v>
      </c>
      <c r="AI113" s="45">
        <v>0</v>
      </c>
      <c r="AJ113" s="45">
        <v>0</v>
      </c>
      <c r="AK113" s="45">
        <f t="shared" si="55"/>
        <v>0.3611</v>
      </c>
      <c r="AL113" s="45">
        <f t="shared" si="56"/>
        <v>0.00348095238095238</v>
      </c>
      <c r="AM113" s="45">
        <f t="shared" si="48"/>
        <v>0.0012569719047619</v>
      </c>
      <c r="AN113" s="45">
        <f t="shared" si="59"/>
        <v>0.792187500000004</v>
      </c>
      <c r="AO113" s="45">
        <f t="shared" si="49"/>
        <v>0.792187500000004</v>
      </c>
      <c r="AP113" s="45">
        <f t="shared" si="50"/>
        <v>1.05625</v>
      </c>
      <c r="AQ113" s="45">
        <f t="shared" si="51"/>
        <v>0</v>
      </c>
      <c r="AR113" s="45">
        <f t="shared" si="52"/>
        <v>0</v>
      </c>
      <c r="AS113" s="19">
        <f t="shared" si="57"/>
        <v>1.07916666666667</v>
      </c>
      <c r="AT113" s="19">
        <f t="shared" si="58"/>
        <v>1.03333333333334</v>
      </c>
      <c r="AU113" s="46">
        <v>0</v>
      </c>
      <c r="AV113" s="46">
        <v>0</v>
      </c>
      <c r="AW113" s="46">
        <v>0</v>
      </c>
      <c r="AX113" s="46">
        <v>1</v>
      </c>
      <c r="AY113" s="47">
        <v>0</v>
      </c>
      <c r="AZ113" s="47">
        <v>-1</v>
      </c>
    </row>
    <row r="114" hidden="1" customHeight="1" spans="1:52">
      <c r="A114" s="44">
        <v>45439</v>
      </c>
      <c r="B114" s="33">
        <f t="shared" si="36"/>
        <v>577</v>
      </c>
      <c r="C114" s="33">
        <f t="shared" si="37"/>
        <v>757</v>
      </c>
      <c r="D114" s="11">
        <f t="shared" si="38"/>
        <v>1334</v>
      </c>
      <c r="E114" s="34">
        <f t="shared" si="53"/>
        <v>-1.94377999634151e-6</v>
      </c>
      <c r="F114" s="35">
        <f t="shared" si="39"/>
        <v>0.000694026001581898</v>
      </c>
      <c r="G114" s="18">
        <f>(SUM($I$8:$I114)*(MAX(M$3-M$4,0))+(N114*MAX(M$4,0)))*(1-$AM$4)+(AM114*$AM$4)</f>
        <v>0.0742607821692631</v>
      </c>
      <c r="H114" s="18">
        <f t="shared" si="40"/>
        <v>0.708333333333333</v>
      </c>
      <c r="I114" s="18">
        <f t="shared" si="41"/>
        <v>0.00260258838383839</v>
      </c>
      <c r="J114" s="18">
        <f t="shared" si="42"/>
        <v>0.474713785082018</v>
      </c>
      <c r="K114" s="18">
        <f t="shared" si="43"/>
        <v>0.000910374722561493</v>
      </c>
      <c r="L114" s="18">
        <f t="shared" si="44"/>
        <v>0.00367424242424244</v>
      </c>
      <c r="M114" s="18">
        <v>0</v>
      </c>
      <c r="N114" s="18">
        <f t="shared" si="54"/>
        <v>0</v>
      </c>
      <c r="O114" s="11">
        <v>0</v>
      </c>
      <c r="P114" s="11">
        <v>0</v>
      </c>
      <c r="Q114" s="11">
        <f t="shared" si="35"/>
        <v>1</v>
      </c>
      <c r="R114" s="11">
        <v>0</v>
      </c>
      <c r="S114" s="11">
        <f t="shared" si="45"/>
        <v>0</v>
      </c>
      <c r="T114" s="11">
        <v>0</v>
      </c>
      <c r="U114" s="11">
        <f t="shared" si="34"/>
        <v>1</v>
      </c>
      <c r="V114" s="11">
        <v>0</v>
      </c>
      <c r="W114" s="11">
        <f t="shared" si="46"/>
        <v>1</v>
      </c>
      <c r="X114" s="11">
        <f t="shared" si="47"/>
        <v>0</v>
      </c>
      <c r="Y114" s="19">
        <v>0.5</v>
      </c>
      <c r="Z114" s="11">
        <v>0</v>
      </c>
      <c r="AA114" s="11">
        <v>0</v>
      </c>
      <c r="AB114" s="11">
        <v>23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45">
        <v>0</v>
      </c>
      <c r="AJ114" s="45">
        <v>0</v>
      </c>
      <c r="AK114" s="45">
        <f t="shared" si="55"/>
        <v>0.3611</v>
      </c>
      <c r="AL114" s="45">
        <f t="shared" si="56"/>
        <v>0.00348095238095238</v>
      </c>
      <c r="AM114" s="45">
        <f t="shared" si="48"/>
        <v>0.0012569719047619</v>
      </c>
      <c r="AN114" s="45">
        <f t="shared" si="59"/>
        <v>0.792187500000004</v>
      </c>
      <c r="AO114" s="45">
        <f t="shared" si="49"/>
        <v>0.792187500000004</v>
      </c>
      <c r="AP114" s="45">
        <f t="shared" si="50"/>
        <v>1.05625</v>
      </c>
      <c r="AQ114" s="45">
        <f t="shared" si="51"/>
        <v>0</v>
      </c>
      <c r="AR114" s="45">
        <f t="shared" si="52"/>
        <v>0</v>
      </c>
      <c r="AS114" s="19">
        <f t="shared" si="57"/>
        <v>1.07916666666667</v>
      </c>
      <c r="AT114" s="19">
        <f t="shared" si="58"/>
        <v>1.03333333333334</v>
      </c>
      <c r="AU114" s="46">
        <v>0</v>
      </c>
      <c r="AV114" s="46">
        <v>0</v>
      </c>
      <c r="AW114" s="46">
        <v>0</v>
      </c>
      <c r="AX114" s="46">
        <v>1</v>
      </c>
      <c r="AY114" s="47">
        <v>0</v>
      </c>
      <c r="AZ114" s="47">
        <v>-1</v>
      </c>
    </row>
    <row r="115" hidden="1" customHeight="1" spans="1:52">
      <c r="A115" s="44">
        <v>45440</v>
      </c>
      <c r="B115" s="33">
        <f t="shared" si="36"/>
        <v>576</v>
      </c>
      <c r="C115" s="33">
        <f t="shared" si="37"/>
        <v>765</v>
      </c>
      <c r="D115" s="11">
        <f t="shared" si="38"/>
        <v>1341</v>
      </c>
      <c r="E115" s="34">
        <f t="shared" si="53"/>
        <v>-4.00394095179644e-6</v>
      </c>
      <c r="F115" s="35">
        <f t="shared" si="39"/>
        <v>0.000690022060630102</v>
      </c>
      <c r="G115" s="18">
        <f>(SUM($I$8:$I115)*(MAX(M$3-M$4,0))+(N115*MAX(M$4,0)))*(1-$AM$4)+(AM115*$AM$4)</f>
        <v>0.074522382548051</v>
      </c>
      <c r="H115" s="18">
        <f t="shared" si="40"/>
        <v>0.708333333333333</v>
      </c>
      <c r="I115" s="18">
        <f t="shared" si="41"/>
        <v>0.00139520202020202</v>
      </c>
      <c r="J115" s="18">
        <f t="shared" si="42"/>
        <v>0.47197508947099</v>
      </c>
      <c r="K115" s="18">
        <f t="shared" si="43"/>
        <v>0.000916709914112865</v>
      </c>
      <c r="L115" s="18">
        <f t="shared" si="44"/>
        <v>0.00196969696969698</v>
      </c>
      <c r="M115" s="18">
        <v>0</v>
      </c>
      <c r="N115" s="18">
        <f t="shared" si="54"/>
        <v>0</v>
      </c>
      <c r="O115" s="11">
        <v>0</v>
      </c>
      <c r="P115" s="11">
        <v>0</v>
      </c>
      <c r="Q115" s="11">
        <f t="shared" si="35"/>
        <v>1</v>
      </c>
      <c r="R115" s="11">
        <v>0</v>
      </c>
      <c r="S115" s="11">
        <f t="shared" si="45"/>
        <v>0</v>
      </c>
      <c r="T115" s="11">
        <v>0</v>
      </c>
      <c r="U115" s="11">
        <f t="shared" si="34"/>
        <v>1</v>
      </c>
      <c r="V115" s="11">
        <v>0</v>
      </c>
      <c r="W115" s="11">
        <f t="shared" si="46"/>
        <v>1</v>
      </c>
      <c r="X115" s="11">
        <f t="shared" si="47"/>
        <v>0</v>
      </c>
      <c r="Y115" s="19">
        <v>0</v>
      </c>
      <c r="Z115" s="11">
        <v>0</v>
      </c>
      <c r="AA115" s="11">
        <v>0</v>
      </c>
      <c r="AB115" s="11">
        <v>13</v>
      </c>
      <c r="AC115" s="11">
        <v>0</v>
      </c>
      <c r="AD115" s="11">
        <v>0</v>
      </c>
      <c r="AE115" s="11">
        <v>0</v>
      </c>
      <c r="AF115" s="11">
        <v>0</v>
      </c>
      <c r="AG115" s="11">
        <v>0</v>
      </c>
      <c r="AH115" s="11">
        <v>0</v>
      </c>
      <c r="AI115" s="45">
        <v>0</v>
      </c>
      <c r="AJ115" s="45">
        <v>0</v>
      </c>
      <c r="AK115" s="45">
        <f t="shared" si="55"/>
        <v>0.3611</v>
      </c>
      <c r="AL115" s="45">
        <f t="shared" si="56"/>
        <v>0.00348095238095238</v>
      </c>
      <c r="AM115" s="45">
        <f t="shared" si="48"/>
        <v>0.0012569719047619</v>
      </c>
      <c r="AN115" s="45">
        <f t="shared" si="59"/>
        <v>0.792187500000004</v>
      </c>
      <c r="AO115" s="45">
        <f t="shared" si="49"/>
        <v>0.792187500000004</v>
      </c>
      <c r="AP115" s="45">
        <f t="shared" si="50"/>
        <v>1.05625</v>
      </c>
      <c r="AQ115" s="45">
        <f t="shared" si="51"/>
        <v>0</v>
      </c>
      <c r="AR115" s="45">
        <f t="shared" si="52"/>
        <v>0</v>
      </c>
      <c r="AS115" s="19">
        <f t="shared" si="57"/>
        <v>1.07916666666667</v>
      </c>
      <c r="AT115" s="19">
        <f t="shared" si="58"/>
        <v>1.03333333333334</v>
      </c>
      <c r="AU115" s="46">
        <v>0</v>
      </c>
      <c r="AV115" s="46">
        <v>0</v>
      </c>
      <c r="AW115" s="46">
        <v>0</v>
      </c>
      <c r="AX115" s="46">
        <v>1</v>
      </c>
      <c r="AY115" s="47">
        <v>0</v>
      </c>
      <c r="AZ115" s="47">
        <v>-1</v>
      </c>
    </row>
    <row r="116" hidden="1" customHeight="1" spans="1:52">
      <c r="A116" s="44">
        <v>45441</v>
      </c>
      <c r="B116" s="33">
        <f t="shared" si="36"/>
        <v>575</v>
      </c>
      <c r="C116" s="33">
        <f t="shared" si="37"/>
        <v>770</v>
      </c>
      <c r="D116" s="11">
        <f t="shared" si="38"/>
        <v>1345</v>
      </c>
      <c r="E116" s="34">
        <f t="shared" si="53"/>
        <v>-2.35201032132155e-6</v>
      </c>
      <c r="F116" s="35">
        <f t="shared" si="39"/>
        <v>0.00068767005030878</v>
      </c>
      <c r="G116" s="18">
        <f>(SUM($I$8:$I116)*(MAX(M$3-M$4,0))+(N116*MAX(M$4,0)))*(1-$AM$4)+(AM116*$AM$4)</f>
        <v>0.074956035483657</v>
      </c>
      <c r="H116" s="18">
        <f t="shared" si="40"/>
        <v>0.708333333333333</v>
      </c>
      <c r="I116" s="18">
        <f t="shared" si="41"/>
        <v>0.00231281565656566</v>
      </c>
      <c r="J116" s="18">
        <f t="shared" si="42"/>
        <v>0.470366314411206</v>
      </c>
      <c r="K116" s="18">
        <f t="shared" si="43"/>
        <v>0.000921102061893555</v>
      </c>
      <c r="L116" s="18">
        <f t="shared" si="44"/>
        <v>0.00326515151515153</v>
      </c>
      <c r="M116" s="18">
        <v>0</v>
      </c>
      <c r="N116" s="18">
        <f t="shared" si="54"/>
        <v>0</v>
      </c>
      <c r="O116" s="11">
        <v>0</v>
      </c>
      <c r="P116" s="11">
        <v>0</v>
      </c>
      <c r="Q116" s="11">
        <f t="shared" si="35"/>
        <v>1</v>
      </c>
      <c r="R116" s="11">
        <v>0</v>
      </c>
      <c r="S116" s="11">
        <f t="shared" si="45"/>
        <v>0</v>
      </c>
      <c r="T116" s="11">
        <v>0</v>
      </c>
      <c r="U116" s="11">
        <f t="shared" si="34"/>
        <v>1</v>
      </c>
      <c r="V116" s="11">
        <v>0</v>
      </c>
      <c r="W116" s="11">
        <f t="shared" si="46"/>
        <v>1</v>
      </c>
      <c r="X116" s="11">
        <f t="shared" si="47"/>
        <v>0</v>
      </c>
      <c r="Y116" s="19">
        <v>1.5</v>
      </c>
      <c r="Z116" s="11">
        <v>1</v>
      </c>
      <c r="AA116" s="11">
        <v>0</v>
      </c>
      <c r="AB116" s="11">
        <v>16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45">
        <v>0</v>
      </c>
      <c r="AJ116" s="45">
        <v>0</v>
      </c>
      <c r="AK116" s="45">
        <f t="shared" si="55"/>
        <v>0.3611</v>
      </c>
      <c r="AL116" s="45">
        <f t="shared" si="56"/>
        <v>0.00348095238095238</v>
      </c>
      <c r="AM116" s="45">
        <f t="shared" si="48"/>
        <v>0.0012569719047619</v>
      </c>
      <c r="AN116" s="45">
        <f t="shared" si="59"/>
        <v>0.792187500000004</v>
      </c>
      <c r="AO116" s="45">
        <f t="shared" si="49"/>
        <v>0.792187500000004</v>
      </c>
      <c r="AP116" s="45">
        <f t="shared" si="50"/>
        <v>1.05625</v>
      </c>
      <c r="AQ116" s="45">
        <f t="shared" si="51"/>
        <v>0</v>
      </c>
      <c r="AR116" s="45">
        <f t="shared" si="52"/>
        <v>0</v>
      </c>
      <c r="AS116" s="19">
        <f t="shared" si="57"/>
        <v>1.07916666666667</v>
      </c>
      <c r="AT116" s="19">
        <f t="shared" si="58"/>
        <v>1.03333333333334</v>
      </c>
      <c r="AU116" s="46">
        <v>0</v>
      </c>
      <c r="AV116" s="46">
        <v>0</v>
      </c>
      <c r="AW116" s="46">
        <v>0</v>
      </c>
      <c r="AX116" s="46">
        <v>1</v>
      </c>
      <c r="AY116" s="47">
        <v>0</v>
      </c>
      <c r="AZ116" s="47">
        <v>-1</v>
      </c>
    </row>
    <row r="117" hidden="1" customHeight="1" spans="1:52">
      <c r="A117" s="44">
        <v>45442</v>
      </c>
      <c r="B117" s="33">
        <f t="shared" si="36"/>
        <v>574</v>
      </c>
      <c r="C117" s="33">
        <f t="shared" si="37"/>
        <v>775</v>
      </c>
      <c r="D117" s="11">
        <f t="shared" si="38"/>
        <v>1349</v>
      </c>
      <c r="E117" s="34">
        <f t="shared" si="53"/>
        <v>-2.33617893722693e-6</v>
      </c>
      <c r="F117" s="35">
        <f t="shared" si="39"/>
        <v>0.000685333871371553</v>
      </c>
      <c r="G117" s="18">
        <f>(SUM($I$8:$I117)*(MAX(M$3-M$4,0))+(N117*MAX(M$4,0)))*(1-$AM$4)+(AM117*$AM$4)</f>
        <v>0.0753867258508709</v>
      </c>
      <c r="H117" s="18">
        <f t="shared" si="40"/>
        <v>0.708333333333333</v>
      </c>
      <c r="I117" s="18">
        <f t="shared" si="41"/>
        <v>0.00229701529180696</v>
      </c>
      <c r="J117" s="18">
        <f t="shared" si="42"/>
        <v>0.468768368018142</v>
      </c>
      <c r="K117" s="18">
        <f t="shared" si="43"/>
        <v>0.000925490648052017</v>
      </c>
      <c r="L117" s="18">
        <f t="shared" si="44"/>
        <v>0.00324284511784512</v>
      </c>
      <c r="M117" s="18">
        <v>0</v>
      </c>
      <c r="N117" s="18">
        <f t="shared" si="54"/>
        <v>0</v>
      </c>
      <c r="O117" s="11">
        <v>0</v>
      </c>
      <c r="P117" s="11">
        <v>0</v>
      </c>
      <c r="Q117" s="11">
        <f t="shared" si="35"/>
        <v>1</v>
      </c>
      <c r="R117" s="11">
        <v>0</v>
      </c>
      <c r="S117" s="11">
        <f t="shared" si="45"/>
        <v>0</v>
      </c>
      <c r="T117" s="11">
        <v>0</v>
      </c>
      <c r="U117" s="11">
        <f t="shared" ref="U117:U180" si="60">MAX(1,T117)/(MAX(1,O117))</f>
        <v>1</v>
      </c>
      <c r="V117" s="11">
        <v>0</v>
      </c>
      <c r="W117" s="11">
        <f t="shared" si="46"/>
        <v>1</v>
      </c>
      <c r="X117" s="11">
        <f t="shared" si="47"/>
        <v>0</v>
      </c>
      <c r="Y117" s="19">
        <v>2.67</v>
      </c>
      <c r="Z117" s="11">
        <v>4</v>
      </c>
      <c r="AA117" s="11">
        <v>0</v>
      </c>
      <c r="AB117" s="11">
        <v>4</v>
      </c>
      <c r="AC117" s="11">
        <v>1</v>
      </c>
      <c r="AD117" s="11">
        <v>5</v>
      </c>
      <c r="AE117" s="11">
        <v>0</v>
      </c>
      <c r="AF117" s="11">
        <v>0</v>
      </c>
      <c r="AG117" s="11">
        <v>0</v>
      </c>
      <c r="AH117" s="11">
        <v>0</v>
      </c>
      <c r="AI117" s="45">
        <v>0</v>
      </c>
      <c r="AJ117" s="45">
        <v>0</v>
      </c>
      <c r="AK117" s="45">
        <f t="shared" si="55"/>
        <v>0.3611</v>
      </c>
      <c r="AL117" s="45">
        <f t="shared" si="56"/>
        <v>0.00348095238095238</v>
      </c>
      <c r="AM117" s="45">
        <f t="shared" si="48"/>
        <v>0.0012569719047619</v>
      </c>
      <c r="AN117" s="45">
        <f t="shared" si="59"/>
        <v>0.792187500000004</v>
      </c>
      <c r="AO117" s="45">
        <f t="shared" si="49"/>
        <v>0.792187500000004</v>
      </c>
      <c r="AP117" s="45">
        <f t="shared" si="50"/>
        <v>1.05625</v>
      </c>
      <c r="AQ117" s="45">
        <f t="shared" si="51"/>
        <v>0</v>
      </c>
      <c r="AR117" s="45">
        <f t="shared" si="52"/>
        <v>0</v>
      </c>
      <c r="AS117" s="19">
        <f t="shared" si="57"/>
        <v>1.07916666666667</v>
      </c>
      <c r="AT117" s="19">
        <f t="shared" si="58"/>
        <v>1.03333333333334</v>
      </c>
      <c r="AU117" s="46">
        <v>0</v>
      </c>
      <c r="AV117" s="46">
        <v>0</v>
      </c>
      <c r="AW117" s="46">
        <v>0</v>
      </c>
      <c r="AX117" s="46">
        <v>1</v>
      </c>
      <c r="AY117" s="47">
        <v>0</v>
      </c>
      <c r="AZ117" s="47">
        <v>-1</v>
      </c>
    </row>
    <row r="118" hidden="1" customHeight="1" spans="1:52">
      <c r="A118" s="44">
        <v>45443</v>
      </c>
      <c r="B118" s="33">
        <f t="shared" si="36"/>
        <v>573</v>
      </c>
      <c r="C118" s="33">
        <f t="shared" si="37"/>
        <v>776</v>
      </c>
      <c r="D118" s="11">
        <f t="shared" si="38"/>
        <v>1349</v>
      </c>
      <c r="E118" s="34">
        <f t="shared" si="53"/>
        <v>-5.17954615140959e-7</v>
      </c>
      <c r="F118" s="35">
        <f t="shared" si="39"/>
        <v>0.000684815916756412</v>
      </c>
      <c r="G118" s="18">
        <f>(SUM($I$8:$I118)*(MAX(M$3-M$4,0))+(N118*MAX(M$4,0)))*(1-$AM$4)+(AM118*$AM$4)</f>
        <v>0.0760145667599618</v>
      </c>
      <c r="H118" s="18">
        <f t="shared" si="40"/>
        <v>0.708333333333333</v>
      </c>
      <c r="I118" s="18">
        <f t="shared" si="41"/>
        <v>0.00334848484848486</v>
      </c>
      <c r="J118" s="18">
        <f t="shared" si="42"/>
        <v>0.468414087061386</v>
      </c>
      <c r="K118" s="18">
        <f t="shared" si="43"/>
        <v>0.000927724106350112</v>
      </c>
      <c r="L118" s="18">
        <f t="shared" si="44"/>
        <v>0.00472727272727274</v>
      </c>
      <c r="M118" s="18">
        <v>0</v>
      </c>
      <c r="N118" s="18">
        <f t="shared" si="54"/>
        <v>0</v>
      </c>
      <c r="O118" s="11">
        <v>0</v>
      </c>
      <c r="P118" s="11">
        <v>0</v>
      </c>
      <c r="Q118" s="11">
        <f t="shared" si="35"/>
        <v>1</v>
      </c>
      <c r="R118" s="11">
        <v>0</v>
      </c>
      <c r="S118" s="11">
        <f t="shared" si="45"/>
        <v>0</v>
      </c>
      <c r="T118" s="11">
        <v>0</v>
      </c>
      <c r="U118" s="11">
        <f t="shared" si="60"/>
        <v>1</v>
      </c>
      <c r="V118" s="11">
        <v>0</v>
      </c>
      <c r="W118" s="11">
        <f t="shared" si="46"/>
        <v>1</v>
      </c>
      <c r="X118" s="11">
        <f t="shared" si="47"/>
        <v>0</v>
      </c>
      <c r="Y118" s="19">
        <v>6.08</v>
      </c>
      <c r="Z118" s="11">
        <v>0</v>
      </c>
      <c r="AA118" s="11">
        <v>0</v>
      </c>
      <c r="AB118" s="11">
        <v>16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45">
        <v>0</v>
      </c>
      <c r="AJ118" s="45">
        <v>0</v>
      </c>
      <c r="AK118" s="45">
        <f t="shared" si="55"/>
        <v>0.3611</v>
      </c>
      <c r="AL118" s="45">
        <f t="shared" si="56"/>
        <v>0.00348095238095238</v>
      </c>
      <c r="AM118" s="45">
        <f t="shared" si="48"/>
        <v>0.0012569719047619</v>
      </c>
      <c r="AN118" s="45">
        <f t="shared" si="59"/>
        <v>0.792187500000004</v>
      </c>
      <c r="AO118" s="45">
        <f t="shared" si="49"/>
        <v>0.792187500000004</v>
      </c>
      <c r="AP118" s="45">
        <f t="shared" si="50"/>
        <v>1.05625</v>
      </c>
      <c r="AQ118" s="45">
        <f t="shared" si="51"/>
        <v>0</v>
      </c>
      <c r="AR118" s="45">
        <f t="shared" si="52"/>
        <v>0</v>
      </c>
      <c r="AS118" s="19">
        <f t="shared" si="57"/>
        <v>1.07916666666667</v>
      </c>
      <c r="AT118" s="19">
        <f t="shared" si="58"/>
        <v>1.03333333333334</v>
      </c>
      <c r="AU118" s="46">
        <v>0</v>
      </c>
      <c r="AV118" s="46">
        <v>0</v>
      </c>
      <c r="AW118" s="46">
        <v>0</v>
      </c>
      <c r="AX118" s="46">
        <v>1</v>
      </c>
      <c r="AY118" s="47">
        <v>0</v>
      </c>
      <c r="AZ118" s="47">
        <v>-1</v>
      </c>
    </row>
    <row r="119" hidden="1" customHeight="1" spans="1:52">
      <c r="A119" s="44">
        <v>45444</v>
      </c>
      <c r="B119" s="33">
        <f t="shared" si="36"/>
        <v>572</v>
      </c>
      <c r="C119" s="33">
        <f t="shared" si="37"/>
        <v>776</v>
      </c>
      <c r="D119" s="11">
        <f t="shared" si="38"/>
        <v>1348</v>
      </c>
      <c r="E119" s="34">
        <f t="shared" si="53"/>
        <v>1.01646136915312e-7</v>
      </c>
      <c r="F119" s="35">
        <f t="shared" si="39"/>
        <v>0.000684917562893328</v>
      </c>
      <c r="G119" s="18">
        <f>(SUM($I$8:$I119)*(MAX(M$3-M$4,0))+(N119*MAX(M$4,0)))*(1-$AM$4)+(AM119*$AM$4)</f>
        <v>0.0767107670440527</v>
      </c>
      <c r="H119" s="18">
        <f t="shared" si="40"/>
        <v>0.75</v>
      </c>
      <c r="I119" s="18">
        <f t="shared" si="41"/>
        <v>0.00371306818181819</v>
      </c>
      <c r="J119" s="18">
        <f t="shared" si="42"/>
        <v>0.468483613019036</v>
      </c>
      <c r="K119" s="18">
        <f t="shared" si="43"/>
        <v>0.000929224452763923</v>
      </c>
      <c r="L119" s="18">
        <f t="shared" si="44"/>
        <v>0.00495075757575759</v>
      </c>
      <c r="M119" s="18">
        <v>0</v>
      </c>
      <c r="N119" s="18">
        <f t="shared" si="54"/>
        <v>0</v>
      </c>
      <c r="O119" s="11">
        <v>0</v>
      </c>
      <c r="P119" s="11">
        <v>0</v>
      </c>
      <c r="Q119" s="11">
        <f t="shared" ref="Q119:Q182" si="61">($P$2-$P$4)+((P119/(MAX(1/FACT(128),O119)))*$P$4)</f>
        <v>1</v>
      </c>
      <c r="R119" s="11">
        <v>0</v>
      </c>
      <c r="S119" s="11">
        <f t="shared" si="45"/>
        <v>0</v>
      </c>
      <c r="T119" s="11">
        <v>0</v>
      </c>
      <c r="U119" s="11">
        <f t="shared" si="60"/>
        <v>1</v>
      </c>
      <c r="V119" s="11">
        <v>0</v>
      </c>
      <c r="W119" s="11">
        <f t="shared" si="46"/>
        <v>1</v>
      </c>
      <c r="X119" s="11">
        <f t="shared" si="47"/>
        <v>0</v>
      </c>
      <c r="Y119" s="19">
        <v>4.67</v>
      </c>
      <c r="Z119" s="11">
        <v>0</v>
      </c>
      <c r="AA119" s="11">
        <v>0</v>
      </c>
      <c r="AB119" s="11">
        <v>21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45">
        <v>0</v>
      </c>
      <c r="AJ119" s="45">
        <v>0</v>
      </c>
      <c r="AK119" s="45">
        <f t="shared" si="55"/>
        <v>0.3611</v>
      </c>
      <c r="AL119" s="45">
        <f t="shared" si="56"/>
        <v>0.00348095238095238</v>
      </c>
      <c r="AM119" s="45">
        <f t="shared" si="48"/>
        <v>0.0012569719047619</v>
      </c>
      <c r="AN119" s="45">
        <f t="shared" si="59"/>
        <v>0.792187500000004</v>
      </c>
      <c r="AO119" s="45">
        <f t="shared" si="49"/>
        <v>0.792187500000004</v>
      </c>
      <c r="AP119" s="45">
        <f t="shared" si="50"/>
        <v>1.05625</v>
      </c>
      <c r="AQ119" s="45">
        <f t="shared" si="51"/>
        <v>0</v>
      </c>
      <c r="AR119" s="45">
        <f t="shared" si="52"/>
        <v>0</v>
      </c>
      <c r="AS119" s="19">
        <f t="shared" si="57"/>
        <v>1.07916666666667</v>
      </c>
      <c r="AT119" s="19">
        <f t="shared" si="58"/>
        <v>1.03333333333334</v>
      </c>
      <c r="AU119" s="46">
        <v>0</v>
      </c>
      <c r="AV119" s="46">
        <v>0</v>
      </c>
      <c r="AW119" s="46">
        <v>0</v>
      </c>
      <c r="AX119" s="46">
        <v>1</v>
      </c>
      <c r="AY119" s="47">
        <v>0</v>
      </c>
      <c r="AZ119" s="47">
        <v>-1</v>
      </c>
    </row>
    <row r="120" hidden="1" customHeight="1" spans="1:52">
      <c r="A120" s="44">
        <v>45445</v>
      </c>
      <c r="B120" s="33">
        <f t="shared" si="36"/>
        <v>571</v>
      </c>
      <c r="C120" s="33">
        <f t="shared" si="37"/>
        <v>776</v>
      </c>
      <c r="D120" s="11">
        <f t="shared" si="38"/>
        <v>1347</v>
      </c>
      <c r="E120" s="34">
        <f t="shared" si="53"/>
        <v>1.66365426259034e-7</v>
      </c>
      <c r="F120" s="35">
        <f t="shared" si="39"/>
        <v>0.000685083928319587</v>
      </c>
      <c r="G120" s="18">
        <f>(SUM($I$8:$I120)*(MAX(M$3-M$4,0))+(N120*MAX(M$4,0)))*(1-$AM$4)+(AM120*$AM$4)</f>
        <v>0.0774144839001133</v>
      </c>
      <c r="H120" s="18">
        <f t="shared" si="40"/>
        <v>0.75</v>
      </c>
      <c r="I120" s="18">
        <f t="shared" si="41"/>
        <v>0.00375315656565657</v>
      </c>
      <c r="J120" s="18">
        <f t="shared" si="42"/>
        <v>0.468597406970597</v>
      </c>
      <c r="K120" s="18">
        <f t="shared" si="43"/>
        <v>0.000930652527196852</v>
      </c>
      <c r="L120" s="18">
        <f t="shared" si="44"/>
        <v>0.00500420875420877</v>
      </c>
      <c r="M120" s="18">
        <v>0</v>
      </c>
      <c r="N120" s="18">
        <f t="shared" si="54"/>
        <v>0</v>
      </c>
      <c r="O120" s="11">
        <v>0</v>
      </c>
      <c r="P120" s="11">
        <v>0</v>
      </c>
      <c r="Q120" s="11">
        <f t="shared" si="61"/>
        <v>1</v>
      </c>
      <c r="R120" s="11">
        <v>0</v>
      </c>
      <c r="S120" s="11">
        <f t="shared" si="45"/>
        <v>0</v>
      </c>
      <c r="T120" s="11">
        <v>0</v>
      </c>
      <c r="U120" s="11">
        <f t="shared" si="60"/>
        <v>1</v>
      </c>
      <c r="V120" s="11">
        <v>0</v>
      </c>
      <c r="W120" s="11">
        <f t="shared" si="46"/>
        <v>1</v>
      </c>
      <c r="X120" s="11">
        <f t="shared" si="47"/>
        <v>0</v>
      </c>
      <c r="Y120" s="19">
        <v>5.22</v>
      </c>
      <c r="Z120" s="11">
        <v>4</v>
      </c>
      <c r="AA120" s="11">
        <v>0</v>
      </c>
      <c r="AB120" s="11">
        <v>10</v>
      </c>
      <c r="AC120" s="11">
        <v>0</v>
      </c>
      <c r="AD120" s="11">
        <v>5</v>
      </c>
      <c r="AE120" s="11">
        <v>0</v>
      </c>
      <c r="AF120" s="11">
        <v>0</v>
      </c>
      <c r="AG120" s="11">
        <v>0</v>
      </c>
      <c r="AH120" s="11">
        <v>0</v>
      </c>
      <c r="AI120" s="45">
        <v>0</v>
      </c>
      <c r="AJ120" s="45">
        <v>0</v>
      </c>
      <c r="AK120" s="45">
        <f t="shared" si="55"/>
        <v>0.3611</v>
      </c>
      <c r="AL120" s="45">
        <f t="shared" si="56"/>
        <v>0.00348095238095238</v>
      </c>
      <c r="AM120" s="45">
        <f t="shared" si="48"/>
        <v>0.0012569719047619</v>
      </c>
      <c r="AN120" s="45">
        <f t="shared" si="59"/>
        <v>0.792187500000004</v>
      </c>
      <c r="AO120" s="45">
        <f t="shared" si="49"/>
        <v>0.792187500000004</v>
      </c>
      <c r="AP120" s="45">
        <f t="shared" si="50"/>
        <v>1.05625</v>
      </c>
      <c r="AQ120" s="45">
        <f t="shared" si="51"/>
        <v>0</v>
      </c>
      <c r="AR120" s="45">
        <f t="shared" si="52"/>
        <v>0</v>
      </c>
      <c r="AS120" s="19">
        <f t="shared" si="57"/>
        <v>1.07916666666667</v>
      </c>
      <c r="AT120" s="19">
        <f t="shared" si="58"/>
        <v>1.03333333333334</v>
      </c>
      <c r="AU120" s="46">
        <v>0</v>
      </c>
      <c r="AV120" s="46">
        <v>0</v>
      </c>
      <c r="AW120" s="46">
        <v>0</v>
      </c>
      <c r="AX120" s="46">
        <v>1</v>
      </c>
      <c r="AY120" s="47">
        <v>0</v>
      </c>
      <c r="AZ120" s="47">
        <v>-1</v>
      </c>
    </row>
    <row r="121" hidden="1" customHeight="1" spans="1:52">
      <c r="A121" s="44">
        <v>45446</v>
      </c>
      <c r="B121" s="33">
        <f t="shared" si="36"/>
        <v>570</v>
      </c>
      <c r="C121" s="33">
        <f t="shared" si="37"/>
        <v>776</v>
      </c>
      <c r="D121" s="11">
        <f t="shared" si="38"/>
        <v>1346</v>
      </c>
      <c r="E121" s="34">
        <f t="shared" si="53"/>
        <v>-1.92186073776166e-7</v>
      </c>
      <c r="F121" s="35">
        <f t="shared" si="39"/>
        <v>0.00068489174224581</v>
      </c>
      <c r="G121" s="18">
        <f>(SUM($I$8:$I121)*(MAX(M$3-M$4,0))+(N121*MAX(M$4,0)))*(1-$AM$4)+(AM121*$AM$4)</f>
        <v>0.0780776586160224</v>
      </c>
      <c r="H121" s="18">
        <f t="shared" si="40"/>
        <v>0.75</v>
      </c>
      <c r="I121" s="18">
        <f t="shared" si="41"/>
        <v>0.00353693181818182</v>
      </c>
      <c r="J121" s="18">
        <f t="shared" si="42"/>
        <v>0.468465951696134</v>
      </c>
      <c r="K121" s="18">
        <f t="shared" si="43"/>
        <v>0.000932515874217308</v>
      </c>
      <c r="L121" s="18">
        <f t="shared" si="44"/>
        <v>0.0047159090909091</v>
      </c>
      <c r="M121" s="18">
        <v>0</v>
      </c>
      <c r="N121" s="18">
        <f t="shared" si="54"/>
        <v>0</v>
      </c>
      <c r="O121" s="11">
        <v>0</v>
      </c>
      <c r="P121" s="11">
        <v>0</v>
      </c>
      <c r="Q121" s="11">
        <f t="shared" si="61"/>
        <v>1</v>
      </c>
      <c r="R121" s="11">
        <v>0</v>
      </c>
      <c r="S121" s="11">
        <f t="shared" si="45"/>
        <v>0</v>
      </c>
      <c r="T121" s="11">
        <v>0</v>
      </c>
      <c r="U121" s="11">
        <f t="shared" si="60"/>
        <v>1</v>
      </c>
      <c r="V121" s="11">
        <v>0</v>
      </c>
      <c r="W121" s="11">
        <f t="shared" si="46"/>
        <v>1</v>
      </c>
      <c r="X121" s="11">
        <f t="shared" si="47"/>
        <v>0</v>
      </c>
      <c r="Y121" s="19">
        <v>1.33</v>
      </c>
      <c r="Z121" s="11">
        <v>11</v>
      </c>
      <c r="AA121" s="11">
        <v>0</v>
      </c>
      <c r="AB121" s="11">
        <v>8</v>
      </c>
      <c r="AC121" s="11">
        <v>0</v>
      </c>
      <c r="AD121" s="11">
        <v>0</v>
      </c>
      <c r="AE121" s="11">
        <v>0</v>
      </c>
      <c r="AF121" s="11">
        <v>0</v>
      </c>
      <c r="AG121" s="11">
        <v>0</v>
      </c>
      <c r="AH121" s="11">
        <v>0</v>
      </c>
      <c r="AI121" s="45">
        <v>0</v>
      </c>
      <c r="AJ121" s="45">
        <v>0</v>
      </c>
      <c r="AK121" s="45">
        <f t="shared" si="55"/>
        <v>0.3611</v>
      </c>
      <c r="AL121" s="45">
        <f t="shared" si="56"/>
        <v>0.00348095238095238</v>
      </c>
      <c r="AM121" s="45">
        <f t="shared" si="48"/>
        <v>0.0012569719047619</v>
      </c>
      <c r="AN121" s="45">
        <f t="shared" si="59"/>
        <v>0.792187500000004</v>
      </c>
      <c r="AO121" s="45">
        <f t="shared" si="49"/>
        <v>0.792187500000004</v>
      </c>
      <c r="AP121" s="45">
        <f t="shared" si="50"/>
        <v>1.05625</v>
      </c>
      <c r="AQ121" s="45">
        <f t="shared" si="51"/>
        <v>0</v>
      </c>
      <c r="AR121" s="45">
        <f t="shared" si="52"/>
        <v>0</v>
      </c>
      <c r="AS121" s="19">
        <f t="shared" si="57"/>
        <v>1.07916666666667</v>
      </c>
      <c r="AT121" s="19">
        <f t="shared" si="58"/>
        <v>1.03333333333334</v>
      </c>
      <c r="AU121" s="46">
        <v>0</v>
      </c>
      <c r="AV121" s="46">
        <v>0</v>
      </c>
      <c r="AW121" s="46">
        <v>0</v>
      </c>
      <c r="AX121" s="46">
        <v>1</v>
      </c>
      <c r="AY121" s="47">
        <v>0</v>
      </c>
      <c r="AZ121" s="47">
        <v>-1</v>
      </c>
    </row>
    <row r="122" hidden="1" customHeight="1" spans="1:52">
      <c r="A122" s="44">
        <v>45447</v>
      </c>
      <c r="B122" s="33">
        <f t="shared" si="36"/>
        <v>569</v>
      </c>
      <c r="C122" s="33">
        <f t="shared" si="37"/>
        <v>777</v>
      </c>
      <c r="D122" s="11">
        <f t="shared" si="38"/>
        <v>1346</v>
      </c>
      <c r="E122" s="34">
        <f t="shared" si="53"/>
        <v>-2.86113964192958e-7</v>
      </c>
      <c r="F122" s="35">
        <f t="shared" si="39"/>
        <v>0.000684605628281618</v>
      </c>
      <c r="G122" s="18">
        <f>(SUM($I$8:$I122)*(MAX(M$3-M$4,0))+(N122*MAX(M$4,0)))*(1-$AM$4)+(AM122*$AM$4)</f>
        <v>0.078729647252386</v>
      </c>
      <c r="H122" s="18">
        <f t="shared" si="40"/>
        <v>0.75</v>
      </c>
      <c r="I122" s="18">
        <f t="shared" si="41"/>
        <v>0.00347727272727273</v>
      </c>
      <c r="J122" s="18">
        <f t="shared" si="42"/>
        <v>0.468270249744626</v>
      </c>
      <c r="K122" s="18">
        <f t="shared" si="43"/>
        <v>0.000934498682346878</v>
      </c>
      <c r="L122" s="18">
        <f t="shared" si="44"/>
        <v>0.00463636363636364</v>
      </c>
      <c r="M122" s="18">
        <v>0</v>
      </c>
      <c r="N122" s="18">
        <f t="shared" si="54"/>
        <v>0</v>
      </c>
      <c r="O122" s="11">
        <v>0</v>
      </c>
      <c r="P122" s="11">
        <v>0</v>
      </c>
      <c r="Q122" s="11">
        <f t="shared" si="61"/>
        <v>1</v>
      </c>
      <c r="R122" s="11">
        <v>0</v>
      </c>
      <c r="S122" s="11">
        <f t="shared" si="45"/>
        <v>0</v>
      </c>
      <c r="T122" s="11">
        <v>0</v>
      </c>
      <c r="U122" s="11">
        <f t="shared" si="60"/>
        <v>1</v>
      </c>
      <c r="V122" s="11">
        <v>0</v>
      </c>
      <c r="W122" s="11">
        <f t="shared" si="46"/>
        <v>1</v>
      </c>
      <c r="X122" s="11">
        <f t="shared" si="47"/>
        <v>0</v>
      </c>
      <c r="Y122" s="19">
        <v>0</v>
      </c>
      <c r="Z122" s="11">
        <v>17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45">
        <v>0</v>
      </c>
      <c r="AJ122" s="45">
        <v>0</v>
      </c>
      <c r="AK122" s="45">
        <f t="shared" si="55"/>
        <v>0.3611</v>
      </c>
      <c r="AL122" s="45">
        <f t="shared" si="56"/>
        <v>0.00348095238095238</v>
      </c>
      <c r="AM122" s="45">
        <f t="shared" si="48"/>
        <v>0.0012569719047619</v>
      </c>
      <c r="AN122" s="45">
        <f t="shared" si="59"/>
        <v>0.792187500000004</v>
      </c>
      <c r="AO122" s="45">
        <f t="shared" si="49"/>
        <v>0.792187500000004</v>
      </c>
      <c r="AP122" s="45">
        <f t="shared" si="50"/>
        <v>1.05625</v>
      </c>
      <c r="AQ122" s="45">
        <f t="shared" si="51"/>
        <v>0</v>
      </c>
      <c r="AR122" s="45">
        <f t="shared" si="52"/>
        <v>0</v>
      </c>
      <c r="AS122" s="19">
        <f t="shared" si="57"/>
        <v>1.07916666666667</v>
      </c>
      <c r="AT122" s="19">
        <f t="shared" si="58"/>
        <v>1.03333333333334</v>
      </c>
      <c r="AU122" s="46">
        <v>0</v>
      </c>
      <c r="AV122" s="46">
        <v>0</v>
      </c>
      <c r="AW122" s="46">
        <v>0</v>
      </c>
      <c r="AX122" s="46">
        <v>1</v>
      </c>
      <c r="AY122" s="47">
        <v>0</v>
      </c>
      <c r="AZ122" s="47">
        <v>-1</v>
      </c>
    </row>
    <row r="123" hidden="1" customHeight="1" spans="1:52">
      <c r="A123" s="44">
        <v>45448</v>
      </c>
      <c r="B123" s="33">
        <f t="shared" si="36"/>
        <v>568</v>
      </c>
      <c r="C123" s="33">
        <f t="shared" si="37"/>
        <v>776</v>
      </c>
      <c r="D123" s="11">
        <f t="shared" si="38"/>
        <v>1344</v>
      </c>
      <c r="E123" s="34">
        <f t="shared" si="53"/>
        <v>2.20876245221125e-7</v>
      </c>
      <c r="F123" s="35">
        <f t="shared" si="39"/>
        <v>0.000684826504526839</v>
      </c>
      <c r="G123" s="18">
        <f>(SUM($I$8:$I123)*(MAX(M$3-M$4,0))+(N123*MAX(M$4,0)))*(1-$AM$4)+(AM123*$AM$4)</f>
        <v>0.0794398745251133</v>
      </c>
      <c r="H123" s="18">
        <f t="shared" si="40"/>
        <v>0.75</v>
      </c>
      <c r="I123" s="18">
        <f t="shared" si="41"/>
        <v>0.00378787878787879</v>
      </c>
      <c r="J123" s="18">
        <f t="shared" si="42"/>
        <v>0.468421329096358</v>
      </c>
      <c r="K123" s="18">
        <f t="shared" si="43"/>
        <v>0.000935877941731765</v>
      </c>
      <c r="L123" s="18">
        <f t="shared" si="44"/>
        <v>0.00505050505050505</v>
      </c>
      <c r="M123" s="18">
        <v>0</v>
      </c>
      <c r="N123" s="18">
        <f t="shared" si="54"/>
        <v>0</v>
      </c>
      <c r="O123" s="11">
        <v>0</v>
      </c>
      <c r="P123" s="11">
        <v>0</v>
      </c>
      <c r="Q123" s="11">
        <f t="shared" si="61"/>
        <v>1</v>
      </c>
      <c r="R123" s="11">
        <v>0</v>
      </c>
      <c r="S123" s="11">
        <f t="shared" si="45"/>
        <v>0</v>
      </c>
      <c r="T123" s="11">
        <v>0</v>
      </c>
      <c r="U123" s="11">
        <f t="shared" si="60"/>
        <v>1</v>
      </c>
      <c r="V123" s="11">
        <v>0</v>
      </c>
      <c r="W123" s="11">
        <f t="shared" si="46"/>
        <v>1</v>
      </c>
      <c r="X123" s="11">
        <f t="shared" si="47"/>
        <v>0</v>
      </c>
      <c r="Y123" s="19">
        <v>0</v>
      </c>
      <c r="Z123" s="11">
        <v>0</v>
      </c>
      <c r="AA123" s="11">
        <v>25</v>
      </c>
      <c r="AB123" s="11">
        <v>0</v>
      </c>
      <c r="AC123" s="11">
        <v>0</v>
      </c>
      <c r="AD123" s="11">
        <v>0</v>
      </c>
      <c r="AE123" s="11">
        <v>0</v>
      </c>
      <c r="AF123" s="11">
        <v>0</v>
      </c>
      <c r="AG123" s="11">
        <v>0</v>
      </c>
      <c r="AH123" s="11">
        <v>0</v>
      </c>
      <c r="AI123" s="45">
        <v>0</v>
      </c>
      <c r="AJ123" s="45">
        <v>0</v>
      </c>
      <c r="AK123" s="45">
        <f t="shared" si="55"/>
        <v>0.3611</v>
      </c>
      <c r="AL123" s="45">
        <f t="shared" si="56"/>
        <v>0.00348095238095238</v>
      </c>
      <c r="AM123" s="45">
        <f t="shared" si="48"/>
        <v>0.0012569719047619</v>
      </c>
      <c r="AN123" s="45">
        <f t="shared" si="59"/>
        <v>0.792187500000004</v>
      </c>
      <c r="AO123" s="45">
        <f t="shared" si="49"/>
        <v>0.792187500000004</v>
      </c>
      <c r="AP123" s="45">
        <f t="shared" si="50"/>
        <v>1.05625</v>
      </c>
      <c r="AQ123" s="45">
        <f t="shared" si="51"/>
        <v>0</v>
      </c>
      <c r="AR123" s="45">
        <f t="shared" si="52"/>
        <v>0</v>
      </c>
      <c r="AS123" s="19">
        <f t="shared" si="57"/>
        <v>1.07916666666667</v>
      </c>
      <c r="AT123" s="19">
        <f t="shared" si="58"/>
        <v>1.03333333333334</v>
      </c>
      <c r="AU123" s="46">
        <v>0</v>
      </c>
      <c r="AV123" s="46">
        <v>0</v>
      </c>
      <c r="AW123" s="46">
        <v>0</v>
      </c>
      <c r="AX123" s="46">
        <v>1</v>
      </c>
      <c r="AY123" s="47">
        <v>0</v>
      </c>
      <c r="AZ123" s="47">
        <v>-1</v>
      </c>
    </row>
    <row r="124" hidden="1" customHeight="1" spans="1:52">
      <c r="A124" s="44">
        <v>45449</v>
      </c>
      <c r="B124" s="33">
        <f t="shared" si="36"/>
        <v>567</v>
      </c>
      <c r="C124" s="33">
        <f t="shared" si="37"/>
        <v>777</v>
      </c>
      <c r="D124" s="11">
        <f t="shared" si="38"/>
        <v>1344</v>
      </c>
      <c r="E124" s="34">
        <f t="shared" si="53"/>
        <v>-5.11337645528421e-7</v>
      </c>
      <c r="F124" s="35">
        <f t="shared" si="39"/>
        <v>0.00068431516688131</v>
      </c>
      <c r="G124" s="18">
        <f>(SUM($I$8:$I124)*(MAX(M$3-M$4,0))+(N124*MAX(M$4,0)))*(1-$AM$4)+(AM124*$AM$4)</f>
        <v>0.0800648745251133</v>
      </c>
      <c r="H124" s="18">
        <f t="shared" si="40"/>
        <v>0.75</v>
      </c>
      <c r="I124" s="18">
        <f t="shared" si="41"/>
        <v>0.00333333333333333</v>
      </c>
      <c r="J124" s="18">
        <f t="shared" si="42"/>
        <v>0.468071574146816</v>
      </c>
      <c r="K124" s="18">
        <f t="shared" si="43"/>
        <v>0.000938145371875104</v>
      </c>
      <c r="L124" s="18">
        <f t="shared" si="44"/>
        <v>0.00444444444444444</v>
      </c>
      <c r="M124" s="18">
        <v>0</v>
      </c>
      <c r="N124" s="18">
        <f t="shared" si="54"/>
        <v>0</v>
      </c>
      <c r="O124" s="11">
        <v>0</v>
      </c>
      <c r="P124" s="11">
        <v>0</v>
      </c>
      <c r="Q124" s="11">
        <f t="shared" si="61"/>
        <v>1</v>
      </c>
      <c r="R124" s="11">
        <v>0</v>
      </c>
      <c r="S124" s="11">
        <f t="shared" si="45"/>
        <v>0</v>
      </c>
      <c r="T124" s="11">
        <v>0</v>
      </c>
      <c r="U124" s="11">
        <f t="shared" si="60"/>
        <v>1</v>
      </c>
      <c r="V124" s="11">
        <v>0</v>
      </c>
      <c r="W124" s="11">
        <f t="shared" si="46"/>
        <v>1</v>
      </c>
      <c r="X124" s="11">
        <f t="shared" si="47"/>
        <v>0</v>
      </c>
      <c r="Y124" s="19">
        <v>0</v>
      </c>
      <c r="Z124" s="11">
        <v>0</v>
      </c>
      <c r="AA124" s="11">
        <v>22</v>
      </c>
      <c r="AB124" s="11">
        <v>0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45">
        <v>0</v>
      </c>
      <c r="AJ124" s="45">
        <v>0</v>
      </c>
      <c r="AK124" s="45">
        <f t="shared" si="55"/>
        <v>0.3611</v>
      </c>
      <c r="AL124" s="45">
        <f t="shared" si="56"/>
        <v>0.00348095238095238</v>
      </c>
      <c r="AM124" s="45">
        <f t="shared" si="48"/>
        <v>0.0012569719047619</v>
      </c>
      <c r="AN124" s="45">
        <f t="shared" si="59"/>
        <v>0.792187500000004</v>
      </c>
      <c r="AO124" s="45">
        <f t="shared" si="49"/>
        <v>0.792187500000004</v>
      </c>
      <c r="AP124" s="45">
        <f t="shared" si="50"/>
        <v>1.05625</v>
      </c>
      <c r="AQ124" s="45">
        <f t="shared" si="51"/>
        <v>0</v>
      </c>
      <c r="AR124" s="45">
        <f t="shared" si="52"/>
        <v>0</v>
      </c>
      <c r="AS124" s="19">
        <f t="shared" si="57"/>
        <v>1.07916666666667</v>
      </c>
      <c r="AT124" s="19">
        <f t="shared" si="58"/>
        <v>1.03333333333334</v>
      </c>
      <c r="AU124" s="46">
        <v>0</v>
      </c>
      <c r="AV124" s="46">
        <v>0</v>
      </c>
      <c r="AW124" s="46">
        <v>0</v>
      </c>
      <c r="AX124" s="46">
        <v>1</v>
      </c>
      <c r="AY124" s="47">
        <v>0</v>
      </c>
      <c r="AZ124" s="47">
        <v>-1</v>
      </c>
    </row>
    <row r="125" hidden="1" customHeight="1" spans="1:52">
      <c r="A125" s="44">
        <v>45450</v>
      </c>
      <c r="B125" s="33">
        <f t="shared" si="36"/>
        <v>566</v>
      </c>
      <c r="C125" s="33">
        <f t="shared" si="37"/>
        <v>778</v>
      </c>
      <c r="D125" s="11">
        <f t="shared" si="38"/>
        <v>1344</v>
      </c>
      <c r="E125" s="34">
        <f t="shared" si="53"/>
        <v>-5.02670905773743e-7</v>
      </c>
      <c r="F125" s="35">
        <f t="shared" si="39"/>
        <v>0.000683812495975536</v>
      </c>
      <c r="G125" s="18">
        <f>(SUM($I$8:$I125)*(MAX(M$3-M$4,0))+(N125*MAX(M$4,0)))*(1-$AM$4)+(AM125*$AM$4)</f>
        <v>0.0806898745251133</v>
      </c>
      <c r="H125" s="18">
        <f t="shared" si="40"/>
        <v>0.75</v>
      </c>
      <c r="I125" s="18">
        <f t="shared" si="41"/>
        <v>0.00333333333333333</v>
      </c>
      <c r="J125" s="18">
        <f t="shared" si="42"/>
        <v>0.467727747247267</v>
      </c>
      <c r="K125" s="18">
        <f t="shared" si="43"/>
        <v>0.000940410340552532</v>
      </c>
      <c r="L125" s="18">
        <f t="shared" si="44"/>
        <v>0.00444444444444444</v>
      </c>
      <c r="M125" s="18">
        <v>0</v>
      </c>
      <c r="N125" s="18">
        <f t="shared" si="54"/>
        <v>0</v>
      </c>
      <c r="O125" s="11">
        <v>0</v>
      </c>
      <c r="P125" s="11">
        <v>0</v>
      </c>
      <c r="Q125" s="11">
        <f t="shared" si="61"/>
        <v>1</v>
      </c>
      <c r="R125" s="11">
        <v>0</v>
      </c>
      <c r="S125" s="11">
        <f t="shared" si="45"/>
        <v>0</v>
      </c>
      <c r="T125" s="11">
        <v>0</v>
      </c>
      <c r="U125" s="11">
        <f t="shared" si="60"/>
        <v>1</v>
      </c>
      <c r="V125" s="11">
        <v>0</v>
      </c>
      <c r="W125" s="11">
        <f t="shared" si="46"/>
        <v>1</v>
      </c>
      <c r="X125" s="11">
        <f t="shared" si="47"/>
        <v>0</v>
      </c>
      <c r="Y125" s="19">
        <v>0</v>
      </c>
      <c r="Z125" s="11">
        <v>0</v>
      </c>
      <c r="AA125" s="11">
        <v>22</v>
      </c>
      <c r="AB125" s="11">
        <v>0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45">
        <v>0</v>
      </c>
      <c r="AJ125" s="45">
        <v>0</v>
      </c>
      <c r="AK125" s="45">
        <f t="shared" si="55"/>
        <v>0.3611</v>
      </c>
      <c r="AL125" s="45">
        <f t="shared" si="56"/>
        <v>0.00348095238095238</v>
      </c>
      <c r="AM125" s="45">
        <f t="shared" si="48"/>
        <v>0.0012569719047619</v>
      </c>
      <c r="AN125" s="45">
        <f t="shared" si="59"/>
        <v>0.792187500000004</v>
      </c>
      <c r="AO125" s="45">
        <f t="shared" si="49"/>
        <v>0.792187500000004</v>
      </c>
      <c r="AP125" s="45">
        <f t="shared" si="50"/>
        <v>1.05625</v>
      </c>
      <c r="AQ125" s="45">
        <f t="shared" si="51"/>
        <v>0</v>
      </c>
      <c r="AR125" s="45">
        <f t="shared" si="52"/>
        <v>0</v>
      </c>
      <c r="AS125" s="19">
        <f t="shared" si="57"/>
        <v>1.07916666666667</v>
      </c>
      <c r="AT125" s="19">
        <f t="shared" si="58"/>
        <v>1.03333333333334</v>
      </c>
      <c r="AU125" s="46">
        <v>0</v>
      </c>
      <c r="AV125" s="46">
        <v>0</v>
      </c>
      <c r="AW125" s="46">
        <v>0</v>
      </c>
      <c r="AX125" s="46">
        <v>1</v>
      </c>
      <c r="AY125" s="47">
        <v>0</v>
      </c>
      <c r="AZ125" s="47">
        <v>-1</v>
      </c>
    </row>
    <row r="126" hidden="1" customHeight="1" spans="1:52">
      <c r="A126" s="44">
        <v>45451</v>
      </c>
      <c r="B126" s="33">
        <f t="shared" si="36"/>
        <v>565</v>
      </c>
      <c r="C126" s="33">
        <f t="shared" si="37"/>
        <v>779</v>
      </c>
      <c r="D126" s="11">
        <f t="shared" si="38"/>
        <v>1344</v>
      </c>
      <c r="E126" s="34">
        <f t="shared" si="53"/>
        <v>-4.82286062437735e-7</v>
      </c>
      <c r="F126" s="35">
        <f t="shared" si="39"/>
        <v>0.000683330209913099</v>
      </c>
      <c r="G126" s="18">
        <f>(SUM($I$8:$I126)*(MAX(M$3-M$4,0))+(N126*MAX(M$4,0)))*(1-$AM$4)+(AM126*$AM$4)</f>
        <v>0.0813162949796588</v>
      </c>
      <c r="H126" s="18">
        <f t="shared" si="40"/>
        <v>0.75</v>
      </c>
      <c r="I126" s="18">
        <f t="shared" si="41"/>
        <v>0.00334090909090909</v>
      </c>
      <c r="J126" s="18">
        <f t="shared" si="42"/>
        <v>0.46739786358056</v>
      </c>
      <c r="K126" s="18">
        <f t="shared" si="43"/>
        <v>0.000942658648529983</v>
      </c>
      <c r="L126" s="18">
        <f t="shared" si="44"/>
        <v>0.00445454545454545</v>
      </c>
      <c r="M126" s="18">
        <v>0</v>
      </c>
      <c r="N126" s="18">
        <f t="shared" si="54"/>
        <v>0</v>
      </c>
      <c r="O126" s="11">
        <v>0</v>
      </c>
      <c r="P126" s="11">
        <v>0</v>
      </c>
      <c r="Q126" s="11">
        <f t="shared" si="61"/>
        <v>1</v>
      </c>
      <c r="R126" s="11">
        <v>0</v>
      </c>
      <c r="S126" s="11">
        <f t="shared" si="45"/>
        <v>0</v>
      </c>
      <c r="T126" s="11">
        <v>0</v>
      </c>
      <c r="U126" s="11">
        <f t="shared" si="60"/>
        <v>1</v>
      </c>
      <c r="V126" s="11">
        <v>0</v>
      </c>
      <c r="W126" s="11">
        <f t="shared" si="46"/>
        <v>1</v>
      </c>
      <c r="X126" s="11">
        <f t="shared" si="47"/>
        <v>0</v>
      </c>
      <c r="Y126" s="19">
        <v>0</v>
      </c>
      <c r="Z126" s="11">
        <v>3</v>
      </c>
      <c r="AA126" s="11">
        <v>18</v>
      </c>
      <c r="AB126" s="11">
        <v>0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45">
        <v>0</v>
      </c>
      <c r="AJ126" s="45">
        <v>0</v>
      </c>
      <c r="AK126" s="45">
        <f t="shared" si="55"/>
        <v>0.3611</v>
      </c>
      <c r="AL126" s="45">
        <f t="shared" si="56"/>
        <v>0.00348095238095238</v>
      </c>
      <c r="AM126" s="45">
        <f t="shared" si="48"/>
        <v>0.0012569719047619</v>
      </c>
      <c r="AN126" s="45">
        <f t="shared" si="59"/>
        <v>0.792187500000004</v>
      </c>
      <c r="AO126" s="45">
        <f t="shared" si="49"/>
        <v>0.792187500000004</v>
      </c>
      <c r="AP126" s="45">
        <f t="shared" si="50"/>
        <v>1.05625</v>
      </c>
      <c r="AQ126" s="45">
        <f t="shared" si="51"/>
        <v>0</v>
      </c>
      <c r="AR126" s="45">
        <f t="shared" si="52"/>
        <v>0</v>
      </c>
      <c r="AS126" s="19">
        <f t="shared" si="57"/>
        <v>1.07916666666667</v>
      </c>
      <c r="AT126" s="19">
        <f t="shared" si="58"/>
        <v>1.03333333333334</v>
      </c>
      <c r="AU126" s="46">
        <v>0</v>
      </c>
      <c r="AV126" s="46">
        <v>0</v>
      </c>
      <c r="AW126" s="46">
        <v>0</v>
      </c>
      <c r="AX126" s="46">
        <v>1</v>
      </c>
      <c r="AY126" s="47">
        <v>0</v>
      </c>
      <c r="AZ126" s="47">
        <v>-1</v>
      </c>
    </row>
    <row r="127" hidden="1" customHeight="1" spans="1:52">
      <c r="A127" s="44">
        <v>45452</v>
      </c>
      <c r="B127" s="33">
        <f t="shared" si="36"/>
        <v>564</v>
      </c>
      <c r="C127" s="33">
        <f t="shared" si="37"/>
        <v>780</v>
      </c>
      <c r="D127" s="11">
        <f t="shared" si="38"/>
        <v>1344</v>
      </c>
      <c r="E127" s="34">
        <f t="shared" si="53"/>
        <v>-3.23324665942449e-7</v>
      </c>
      <c r="F127" s="35">
        <f t="shared" si="39"/>
        <v>0.000683006885247156</v>
      </c>
      <c r="G127" s="18">
        <f>(SUM($I$8:$I127)*(MAX(M$3-M$4,0))+(N127*MAX(M$4,0)))*(1-$AM$4)+(AM127*$AM$4)</f>
        <v>0.0819608262296588</v>
      </c>
      <c r="H127" s="18">
        <f t="shared" si="40"/>
        <v>0.75</v>
      </c>
      <c r="I127" s="18">
        <f t="shared" si="41"/>
        <v>0.0034375</v>
      </c>
      <c r="J127" s="18">
        <f t="shared" si="42"/>
        <v>0.467176709509055</v>
      </c>
      <c r="K127" s="18">
        <f t="shared" si="43"/>
        <v>0.000944722146260541</v>
      </c>
      <c r="L127" s="18">
        <f t="shared" si="44"/>
        <v>0.00458333333333334</v>
      </c>
      <c r="M127" s="18">
        <v>0</v>
      </c>
      <c r="N127" s="18">
        <f t="shared" si="54"/>
        <v>0</v>
      </c>
      <c r="O127" s="11">
        <v>0</v>
      </c>
      <c r="P127" s="11">
        <v>0</v>
      </c>
      <c r="Q127" s="11">
        <f t="shared" si="61"/>
        <v>1</v>
      </c>
      <c r="R127" s="11">
        <v>0</v>
      </c>
      <c r="S127" s="11">
        <f t="shared" si="45"/>
        <v>0</v>
      </c>
      <c r="T127" s="11">
        <v>0</v>
      </c>
      <c r="U127" s="11">
        <f t="shared" si="60"/>
        <v>1</v>
      </c>
      <c r="V127" s="11">
        <v>0</v>
      </c>
      <c r="W127" s="11">
        <f t="shared" si="46"/>
        <v>1</v>
      </c>
      <c r="X127" s="11">
        <f t="shared" si="47"/>
        <v>0</v>
      </c>
      <c r="Y127" s="19">
        <v>0</v>
      </c>
      <c r="Z127" s="11">
        <v>0</v>
      </c>
      <c r="AA127" s="11">
        <v>18</v>
      </c>
      <c r="AB127" s="11">
        <v>1</v>
      </c>
      <c r="AC127" s="11">
        <v>7</v>
      </c>
      <c r="AD127" s="11">
        <v>0</v>
      </c>
      <c r="AE127" s="11">
        <v>0</v>
      </c>
      <c r="AF127" s="11">
        <v>0</v>
      </c>
      <c r="AG127" s="11">
        <v>0</v>
      </c>
      <c r="AH127" s="11">
        <v>0</v>
      </c>
      <c r="AI127" s="45">
        <v>0</v>
      </c>
      <c r="AJ127" s="45">
        <v>0</v>
      </c>
      <c r="AK127" s="45">
        <f t="shared" si="55"/>
        <v>0.3611</v>
      </c>
      <c r="AL127" s="45">
        <f t="shared" si="56"/>
        <v>0.00348095238095238</v>
      </c>
      <c r="AM127" s="45">
        <f t="shared" si="48"/>
        <v>0.0012569719047619</v>
      </c>
      <c r="AN127" s="45">
        <f t="shared" si="59"/>
        <v>0.792187500000004</v>
      </c>
      <c r="AO127" s="45">
        <f t="shared" si="49"/>
        <v>0.792187500000004</v>
      </c>
      <c r="AP127" s="45">
        <f t="shared" si="50"/>
        <v>1.05625</v>
      </c>
      <c r="AQ127" s="45">
        <f t="shared" si="51"/>
        <v>0</v>
      </c>
      <c r="AR127" s="45">
        <f t="shared" si="52"/>
        <v>0</v>
      </c>
      <c r="AS127" s="19">
        <f t="shared" si="57"/>
        <v>1.07916666666667</v>
      </c>
      <c r="AT127" s="19">
        <f t="shared" si="58"/>
        <v>1.03333333333334</v>
      </c>
      <c r="AU127" s="46">
        <v>0</v>
      </c>
      <c r="AV127" s="46">
        <v>0</v>
      </c>
      <c r="AW127" s="46">
        <v>0</v>
      </c>
      <c r="AX127" s="46">
        <v>1</v>
      </c>
      <c r="AY127" s="47">
        <v>0</v>
      </c>
      <c r="AZ127" s="47">
        <v>-1</v>
      </c>
    </row>
    <row r="128" hidden="1" customHeight="1" spans="1:52">
      <c r="A128" s="44">
        <v>45453</v>
      </c>
      <c r="B128" s="33">
        <f t="shared" si="36"/>
        <v>563</v>
      </c>
      <c r="C128" s="33">
        <f t="shared" si="37"/>
        <v>781</v>
      </c>
      <c r="D128" s="11">
        <f t="shared" si="38"/>
        <v>1344</v>
      </c>
      <c r="E128" s="34">
        <f t="shared" si="53"/>
        <v>-3.03306339383006e-7</v>
      </c>
      <c r="F128" s="35">
        <f t="shared" si="39"/>
        <v>0.000682703578907773</v>
      </c>
      <c r="G128" s="18">
        <f>(SUM($I$8:$I128)*(MAX(M$3-M$4,0))+(N128*MAX(M$4,0)))*(1-$AM$4)+(AM128*$AM$4)</f>
        <v>0.0826071330478406</v>
      </c>
      <c r="H128" s="18">
        <f t="shared" si="40"/>
        <v>0.75</v>
      </c>
      <c r="I128" s="18">
        <f t="shared" si="41"/>
        <v>0.0034469696969697</v>
      </c>
      <c r="J128" s="18">
        <f t="shared" si="42"/>
        <v>0.466969247972917</v>
      </c>
      <c r="K128" s="18">
        <f t="shared" si="43"/>
        <v>0.000946768653689313</v>
      </c>
      <c r="L128" s="18">
        <f t="shared" si="44"/>
        <v>0.0045959595959596</v>
      </c>
      <c r="M128" s="18">
        <v>0</v>
      </c>
      <c r="N128" s="18">
        <f t="shared" si="54"/>
        <v>0</v>
      </c>
      <c r="O128" s="11">
        <v>0</v>
      </c>
      <c r="P128" s="11">
        <v>0</v>
      </c>
      <c r="Q128" s="11">
        <f t="shared" si="61"/>
        <v>1</v>
      </c>
      <c r="R128" s="11">
        <v>0</v>
      </c>
      <c r="S128" s="11">
        <f t="shared" si="45"/>
        <v>0</v>
      </c>
      <c r="T128" s="11">
        <v>0</v>
      </c>
      <c r="U128" s="11">
        <f t="shared" si="60"/>
        <v>1</v>
      </c>
      <c r="V128" s="11">
        <v>0</v>
      </c>
      <c r="W128" s="11">
        <f t="shared" si="46"/>
        <v>1</v>
      </c>
      <c r="X128" s="11">
        <f t="shared" si="47"/>
        <v>0</v>
      </c>
      <c r="Y128" s="19">
        <v>0</v>
      </c>
      <c r="Z128" s="11">
        <v>0</v>
      </c>
      <c r="AA128" s="11">
        <v>22</v>
      </c>
      <c r="AB128" s="11">
        <v>1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45">
        <v>0</v>
      </c>
      <c r="AJ128" s="45">
        <v>0</v>
      </c>
      <c r="AK128" s="45">
        <f t="shared" si="55"/>
        <v>0.3611</v>
      </c>
      <c r="AL128" s="45">
        <f t="shared" si="56"/>
        <v>0.00348095238095238</v>
      </c>
      <c r="AM128" s="45">
        <f t="shared" si="48"/>
        <v>0.0012569719047619</v>
      </c>
      <c r="AN128" s="45">
        <f t="shared" si="59"/>
        <v>0.792187500000004</v>
      </c>
      <c r="AO128" s="45">
        <f t="shared" si="49"/>
        <v>0.792187500000004</v>
      </c>
      <c r="AP128" s="45">
        <f t="shared" si="50"/>
        <v>1.05625</v>
      </c>
      <c r="AQ128" s="45">
        <f t="shared" si="51"/>
        <v>0</v>
      </c>
      <c r="AR128" s="45">
        <f t="shared" si="52"/>
        <v>0</v>
      </c>
      <c r="AS128" s="19">
        <f t="shared" si="57"/>
        <v>1.07916666666667</v>
      </c>
      <c r="AT128" s="19">
        <f t="shared" si="58"/>
        <v>1.03333333333334</v>
      </c>
      <c r="AU128" s="46">
        <v>0</v>
      </c>
      <c r="AV128" s="46">
        <v>0</v>
      </c>
      <c r="AW128" s="46">
        <v>0</v>
      </c>
      <c r="AX128" s="46">
        <v>1</v>
      </c>
      <c r="AY128" s="47">
        <v>0</v>
      </c>
      <c r="AZ128" s="47">
        <v>-1</v>
      </c>
    </row>
    <row r="129" hidden="1" customHeight="1" spans="1:52">
      <c r="A129" s="44">
        <v>45454</v>
      </c>
      <c r="B129" s="33">
        <f t="shared" si="36"/>
        <v>562</v>
      </c>
      <c r="C129" s="33">
        <f t="shared" si="37"/>
        <v>782</v>
      </c>
      <c r="D129" s="11">
        <f t="shared" si="38"/>
        <v>1344</v>
      </c>
      <c r="E129" s="34">
        <f t="shared" si="53"/>
        <v>-4.72980154981651e-7</v>
      </c>
      <c r="F129" s="35">
        <f t="shared" si="39"/>
        <v>0.000682230598752792</v>
      </c>
      <c r="G129" s="18">
        <f>(SUM($I$8:$I129)*(MAX(M$3-M$4,0))+(N129*MAX(M$4,0)))*(1-$AM$4)+(AM129*$AM$4)</f>
        <v>0.0832321330478406</v>
      </c>
      <c r="H129" s="18">
        <f t="shared" si="40"/>
        <v>0.75</v>
      </c>
      <c r="I129" s="18">
        <f t="shared" si="41"/>
        <v>0.00333333333333333</v>
      </c>
      <c r="J129" s="18">
        <f t="shared" si="42"/>
        <v>0.46664572954691</v>
      </c>
      <c r="K129" s="18">
        <f t="shared" si="43"/>
        <v>0.000949028950984147</v>
      </c>
      <c r="L129" s="18">
        <f t="shared" si="44"/>
        <v>0.00444444444444444</v>
      </c>
      <c r="M129" s="18">
        <v>0</v>
      </c>
      <c r="N129" s="18">
        <f t="shared" si="54"/>
        <v>0</v>
      </c>
      <c r="O129" s="11">
        <v>0</v>
      </c>
      <c r="P129" s="11">
        <v>0</v>
      </c>
      <c r="Q129" s="11">
        <f t="shared" si="61"/>
        <v>1</v>
      </c>
      <c r="R129" s="11">
        <v>0</v>
      </c>
      <c r="S129" s="11">
        <f t="shared" si="45"/>
        <v>0</v>
      </c>
      <c r="T129" s="11">
        <v>0</v>
      </c>
      <c r="U129" s="11">
        <f t="shared" si="60"/>
        <v>1</v>
      </c>
      <c r="V129" s="11">
        <v>0</v>
      </c>
      <c r="W129" s="11">
        <f t="shared" si="46"/>
        <v>1</v>
      </c>
      <c r="X129" s="11">
        <f t="shared" si="47"/>
        <v>0</v>
      </c>
      <c r="Y129" s="19">
        <v>0</v>
      </c>
      <c r="Z129" s="11">
        <v>0</v>
      </c>
      <c r="AA129" s="11">
        <v>22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45">
        <v>0</v>
      </c>
      <c r="AJ129" s="45">
        <v>0</v>
      </c>
      <c r="AK129" s="45">
        <f t="shared" si="55"/>
        <v>0.3611</v>
      </c>
      <c r="AL129" s="45">
        <f t="shared" si="56"/>
        <v>0.00348095238095238</v>
      </c>
      <c r="AM129" s="45">
        <f t="shared" si="48"/>
        <v>0.0012569719047619</v>
      </c>
      <c r="AN129" s="45">
        <f t="shared" si="59"/>
        <v>0.792187500000004</v>
      </c>
      <c r="AO129" s="45">
        <f t="shared" si="49"/>
        <v>0.792187500000004</v>
      </c>
      <c r="AP129" s="45">
        <f t="shared" si="50"/>
        <v>1.05625</v>
      </c>
      <c r="AQ129" s="45">
        <f t="shared" si="51"/>
        <v>0</v>
      </c>
      <c r="AR129" s="45">
        <f t="shared" si="52"/>
        <v>0</v>
      </c>
      <c r="AS129" s="19">
        <f t="shared" si="57"/>
        <v>1.07916666666667</v>
      </c>
      <c r="AT129" s="19">
        <f t="shared" si="58"/>
        <v>1.03333333333334</v>
      </c>
      <c r="AU129" s="46">
        <v>0</v>
      </c>
      <c r="AV129" s="46">
        <v>0</v>
      </c>
      <c r="AW129" s="46">
        <v>0</v>
      </c>
      <c r="AX129" s="46">
        <v>1</v>
      </c>
      <c r="AY129" s="47">
        <v>0</v>
      </c>
      <c r="AZ129" s="47">
        <v>-1</v>
      </c>
    </row>
    <row r="130" hidden="1" customHeight="1" spans="1:52">
      <c r="A130" s="44">
        <v>45455</v>
      </c>
      <c r="B130" s="33">
        <f t="shared" si="36"/>
        <v>561</v>
      </c>
      <c r="C130" s="33">
        <f t="shared" si="37"/>
        <v>783</v>
      </c>
      <c r="D130" s="11">
        <f t="shared" si="38"/>
        <v>1344</v>
      </c>
      <c r="E130" s="34">
        <f t="shared" si="53"/>
        <v>-4.65289420754239e-7</v>
      </c>
      <c r="F130" s="35">
        <f t="shared" si="39"/>
        <v>0.000681765309332037</v>
      </c>
      <c r="G130" s="18">
        <f>(SUM($I$8:$I130)*(MAX(M$3-M$4,0))+(N130*MAX(M$4,0)))*(1-$AM$4)+(AM130*$AM$4)</f>
        <v>0.0838571330478406</v>
      </c>
      <c r="H130" s="18">
        <f t="shared" si="40"/>
        <v>0.75</v>
      </c>
      <c r="I130" s="18">
        <f t="shared" si="41"/>
        <v>0.00333333333333333</v>
      </c>
      <c r="J130" s="18">
        <f t="shared" si="42"/>
        <v>0.466327471583114</v>
      </c>
      <c r="K130" s="18">
        <f t="shared" si="43"/>
        <v>0.000951287929441865</v>
      </c>
      <c r="L130" s="18">
        <f t="shared" si="44"/>
        <v>0.00444444444444444</v>
      </c>
      <c r="M130" s="18">
        <v>0</v>
      </c>
      <c r="N130" s="18">
        <f t="shared" si="54"/>
        <v>0</v>
      </c>
      <c r="O130" s="11">
        <v>0</v>
      </c>
      <c r="P130" s="11">
        <v>0</v>
      </c>
      <c r="Q130" s="11">
        <f t="shared" si="61"/>
        <v>1</v>
      </c>
      <c r="R130" s="11">
        <v>0</v>
      </c>
      <c r="S130" s="11">
        <f t="shared" si="45"/>
        <v>0</v>
      </c>
      <c r="T130" s="11">
        <v>0</v>
      </c>
      <c r="U130" s="11">
        <f t="shared" si="60"/>
        <v>1</v>
      </c>
      <c r="V130" s="11">
        <v>0</v>
      </c>
      <c r="W130" s="11">
        <f t="shared" si="46"/>
        <v>1</v>
      </c>
      <c r="X130" s="11">
        <f t="shared" si="47"/>
        <v>0</v>
      </c>
      <c r="Y130" s="19">
        <v>0</v>
      </c>
      <c r="Z130" s="11">
        <v>0</v>
      </c>
      <c r="AA130" s="11">
        <v>22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45">
        <v>0</v>
      </c>
      <c r="AJ130" s="45">
        <v>0</v>
      </c>
      <c r="AK130" s="45">
        <f t="shared" si="55"/>
        <v>0.3611</v>
      </c>
      <c r="AL130" s="45">
        <f t="shared" si="56"/>
        <v>0.00348095238095238</v>
      </c>
      <c r="AM130" s="45">
        <f t="shared" si="48"/>
        <v>0.0012569719047619</v>
      </c>
      <c r="AN130" s="45">
        <f t="shared" si="59"/>
        <v>0.792187500000004</v>
      </c>
      <c r="AO130" s="45">
        <f t="shared" si="49"/>
        <v>0.792187500000004</v>
      </c>
      <c r="AP130" s="45">
        <f t="shared" si="50"/>
        <v>1.05625</v>
      </c>
      <c r="AQ130" s="45">
        <f t="shared" si="51"/>
        <v>0</v>
      </c>
      <c r="AR130" s="45">
        <f t="shared" si="52"/>
        <v>0</v>
      </c>
      <c r="AS130" s="19">
        <f t="shared" si="57"/>
        <v>1.07916666666667</v>
      </c>
      <c r="AT130" s="19">
        <f t="shared" si="58"/>
        <v>1.03333333333334</v>
      </c>
      <c r="AU130" s="46">
        <v>0</v>
      </c>
      <c r="AV130" s="46">
        <v>0</v>
      </c>
      <c r="AW130" s="46">
        <v>0</v>
      </c>
      <c r="AX130" s="46">
        <v>1</v>
      </c>
      <c r="AY130" s="47">
        <v>0</v>
      </c>
      <c r="AZ130" s="47">
        <v>-1</v>
      </c>
    </row>
    <row r="131" hidden="1" customHeight="1" spans="1:52">
      <c r="A131" s="44">
        <v>45456</v>
      </c>
      <c r="B131" s="33">
        <f t="shared" si="36"/>
        <v>560</v>
      </c>
      <c r="C131" s="33">
        <f t="shared" si="37"/>
        <v>784</v>
      </c>
      <c r="D131" s="11">
        <f t="shared" si="38"/>
        <v>1344</v>
      </c>
      <c r="E131" s="34">
        <f t="shared" si="53"/>
        <v>-3.43231966754053e-7</v>
      </c>
      <c r="F131" s="35">
        <f t="shared" si="39"/>
        <v>0.000681422077365283</v>
      </c>
      <c r="G131" s="18">
        <f>(SUM($I$8:$I131)*(MAX(M$3-M$4,0))+(N131*MAX(M$4,0)))*(1-$AM$4)+(AM131*$AM$4)</f>
        <v>0.0844963375932951</v>
      </c>
      <c r="H131" s="18">
        <f t="shared" si="40"/>
        <v>0.75</v>
      </c>
      <c r="I131" s="18">
        <f t="shared" si="41"/>
        <v>0.00340909090909091</v>
      </c>
      <c r="J131" s="18">
        <f t="shared" si="42"/>
        <v>0.466092700917854</v>
      </c>
      <c r="K131" s="18">
        <f t="shared" si="43"/>
        <v>0.000953405891218118</v>
      </c>
      <c r="L131" s="18">
        <f t="shared" si="44"/>
        <v>0.00454545454545455</v>
      </c>
      <c r="M131" s="18">
        <v>0</v>
      </c>
      <c r="N131" s="18">
        <f t="shared" si="54"/>
        <v>0</v>
      </c>
      <c r="O131" s="11">
        <v>0</v>
      </c>
      <c r="P131" s="11">
        <v>0</v>
      </c>
      <c r="Q131" s="11">
        <f t="shared" si="61"/>
        <v>1</v>
      </c>
      <c r="R131" s="11">
        <v>0</v>
      </c>
      <c r="S131" s="11">
        <f t="shared" si="45"/>
        <v>0</v>
      </c>
      <c r="T131" s="11">
        <v>0</v>
      </c>
      <c r="U131" s="11">
        <f t="shared" si="60"/>
        <v>1</v>
      </c>
      <c r="V131" s="11">
        <v>0</v>
      </c>
      <c r="W131" s="11">
        <f t="shared" si="46"/>
        <v>1</v>
      </c>
      <c r="X131" s="11">
        <f t="shared" si="47"/>
        <v>0</v>
      </c>
      <c r="Y131" s="19">
        <v>0</v>
      </c>
      <c r="Z131" s="11">
        <v>10</v>
      </c>
      <c r="AA131" s="11">
        <v>9</v>
      </c>
      <c r="AB131" s="11">
        <v>0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45">
        <v>0</v>
      </c>
      <c r="AJ131" s="45">
        <v>0</v>
      </c>
      <c r="AK131" s="45">
        <f t="shared" si="55"/>
        <v>0.3611</v>
      </c>
      <c r="AL131" s="45">
        <f t="shared" si="56"/>
        <v>0.00348095238095238</v>
      </c>
      <c r="AM131" s="45">
        <f t="shared" si="48"/>
        <v>0.0012569719047619</v>
      </c>
      <c r="AN131" s="45">
        <f t="shared" si="59"/>
        <v>0.792187500000004</v>
      </c>
      <c r="AO131" s="45">
        <f t="shared" si="49"/>
        <v>0.792187500000004</v>
      </c>
      <c r="AP131" s="45">
        <f t="shared" si="50"/>
        <v>1.05625</v>
      </c>
      <c r="AQ131" s="45">
        <f t="shared" si="51"/>
        <v>0</v>
      </c>
      <c r="AR131" s="45">
        <f t="shared" si="52"/>
        <v>0</v>
      </c>
      <c r="AS131" s="19">
        <f t="shared" si="57"/>
        <v>1.07916666666667</v>
      </c>
      <c r="AT131" s="19">
        <f t="shared" si="58"/>
        <v>1.03333333333334</v>
      </c>
      <c r="AU131" s="46">
        <v>0</v>
      </c>
      <c r="AV131" s="46">
        <v>0</v>
      </c>
      <c r="AW131" s="46">
        <v>0</v>
      </c>
      <c r="AX131" s="46">
        <v>1</v>
      </c>
      <c r="AY131" s="47">
        <v>0</v>
      </c>
      <c r="AZ131" s="47">
        <v>-1</v>
      </c>
    </row>
    <row r="132" hidden="1" customHeight="1" spans="1:52">
      <c r="A132" s="44">
        <v>45457</v>
      </c>
      <c r="B132" s="33">
        <f t="shared" si="36"/>
        <v>559</v>
      </c>
      <c r="C132" s="33">
        <f t="shared" si="37"/>
        <v>785</v>
      </c>
      <c r="D132" s="11">
        <f t="shared" si="38"/>
        <v>1344</v>
      </c>
      <c r="E132" s="34">
        <f t="shared" si="53"/>
        <v>-5.19558437104108e-7</v>
      </c>
      <c r="F132" s="35">
        <f t="shared" si="39"/>
        <v>0.000680902518928179</v>
      </c>
      <c r="G132" s="18">
        <f>(SUM($I$8:$I132)*(MAX(M$3-M$4,0))+(N132*MAX(M$4,0)))*(1-$AM$4)+(AM132*$AM$4)</f>
        <v>0.0851128148660224</v>
      </c>
      <c r="H132" s="18">
        <f t="shared" si="40"/>
        <v>0.75</v>
      </c>
      <c r="I132" s="18">
        <f t="shared" si="41"/>
        <v>0.00328787878787879</v>
      </c>
      <c r="J132" s="18">
        <f t="shared" si="42"/>
        <v>0.465737322946875</v>
      </c>
      <c r="K132" s="18">
        <f t="shared" si="43"/>
        <v>0.000955747186141548</v>
      </c>
      <c r="L132" s="18">
        <f t="shared" si="44"/>
        <v>0.00438383838383838</v>
      </c>
      <c r="M132" s="18">
        <v>0</v>
      </c>
      <c r="N132" s="18">
        <f t="shared" si="54"/>
        <v>0</v>
      </c>
      <c r="O132" s="11">
        <v>0</v>
      </c>
      <c r="P132" s="11">
        <v>0</v>
      </c>
      <c r="Q132" s="11">
        <f t="shared" si="61"/>
        <v>1</v>
      </c>
      <c r="R132" s="11">
        <v>0</v>
      </c>
      <c r="S132" s="11">
        <f t="shared" si="45"/>
        <v>0</v>
      </c>
      <c r="T132" s="11">
        <v>0</v>
      </c>
      <c r="U132" s="11">
        <f t="shared" si="60"/>
        <v>1</v>
      </c>
      <c r="V132" s="11">
        <v>0</v>
      </c>
      <c r="W132" s="11">
        <f t="shared" si="46"/>
        <v>1</v>
      </c>
      <c r="X132" s="11">
        <f t="shared" si="47"/>
        <v>0</v>
      </c>
      <c r="Y132" s="19">
        <v>0</v>
      </c>
      <c r="Z132" s="11">
        <v>2</v>
      </c>
      <c r="AA132" s="11">
        <v>19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45">
        <v>0</v>
      </c>
      <c r="AJ132" s="45">
        <v>0</v>
      </c>
      <c r="AK132" s="45">
        <f t="shared" si="55"/>
        <v>0.3611</v>
      </c>
      <c r="AL132" s="45">
        <f t="shared" si="56"/>
        <v>0.00348095238095238</v>
      </c>
      <c r="AM132" s="45">
        <f t="shared" si="48"/>
        <v>0.0012569719047619</v>
      </c>
      <c r="AN132" s="45">
        <f t="shared" si="59"/>
        <v>0.792187500000004</v>
      </c>
      <c r="AO132" s="45">
        <f t="shared" si="49"/>
        <v>0.792187500000004</v>
      </c>
      <c r="AP132" s="45">
        <f t="shared" si="50"/>
        <v>1.05625</v>
      </c>
      <c r="AQ132" s="45">
        <f t="shared" si="51"/>
        <v>0</v>
      </c>
      <c r="AR132" s="45">
        <f t="shared" si="52"/>
        <v>0</v>
      </c>
      <c r="AS132" s="19">
        <f t="shared" si="57"/>
        <v>1.07916666666667</v>
      </c>
      <c r="AT132" s="19">
        <f t="shared" si="58"/>
        <v>1.03333333333334</v>
      </c>
      <c r="AU132" s="46">
        <v>0</v>
      </c>
      <c r="AV132" s="46">
        <v>0</v>
      </c>
      <c r="AW132" s="46">
        <v>0</v>
      </c>
      <c r="AX132" s="46">
        <v>1</v>
      </c>
      <c r="AY132" s="47">
        <v>0</v>
      </c>
      <c r="AZ132" s="47">
        <v>-1</v>
      </c>
    </row>
    <row r="133" hidden="1" customHeight="1" spans="1:52">
      <c r="A133" s="44">
        <v>45458</v>
      </c>
      <c r="B133" s="33">
        <f t="shared" si="36"/>
        <v>558</v>
      </c>
      <c r="C133" s="33">
        <f t="shared" si="37"/>
        <v>785</v>
      </c>
      <c r="D133" s="11">
        <f t="shared" si="38"/>
        <v>1343</v>
      </c>
      <c r="E133" s="34">
        <f t="shared" si="53"/>
        <v>-3.98576990050443e-7</v>
      </c>
      <c r="F133" s="35">
        <f t="shared" si="39"/>
        <v>0.000680503941938129</v>
      </c>
      <c r="G133" s="18">
        <f>(SUM($I$8:$I133)*(MAX(M$3-M$4,0))+(N133*MAX(M$4,0)))*(1-$AM$4)+(AM133*$AM$4)</f>
        <v>0.0857434966842042</v>
      </c>
      <c r="H133" s="18">
        <f t="shared" si="40"/>
        <v>0.75</v>
      </c>
      <c r="I133" s="18">
        <f t="shared" si="41"/>
        <v>0.00336363636363637</v>
      </c>
      <c r="J133" s="18">
        <f t="shared" si="42"/>
        <v>0.46546469628568</v>
      </c>
      <c r="K133" s="18">
        <f t="shared" si="43"/>
        <v>0.000957948572964731</v>
      </c>
      <c r="L133" s="18">
        <f t="shared" si="44"/>
        <v>0.00448484848484849</v>
      </c>
      <c r="M133" s="18">
        <v>0</v>
      </c>
      <c r="N133" s="18">
        <f t="shared" si="54"/>
        <v>0</v>
      </c>
      <c r="O133" s="11">
        <v>0</v>
      </c>
      <c r="P133" s="11">
        <v>0</v>
      </c>
      <c r="Q133" s="11">
        <f t="shared" si="61"/>
        <v>1</v>
      </c>
      <c r="R133" s="11">
        <v>0</v>
      </c>
      <c r="S133" s="11">
        <f t="shared" si="45"/>
        <v>0</v>
      </c>
      <c r="T133" s="11">
        <v>0</v>
      </c>
      <c r="U133" s="11">
        <f t="shared" si="60"/>
        <v>1</v>
      </c>
      <c r="V133" s="11">
        <v>0</v>
      </c>
      <c r="W133" s="11">
        <f t="shared" si="46"/>
        <v>1</v>
      </c>
      <c r="X133" s="11">
        <f t="shared" si="47"/>
        <v>0</v>
      </c>
      <c r="Y133" s="19">
        <v>0</v>
      </c>
      <c r="Z133" s="11">
        <v>12</v>
      </c>
      <c r="AA133" s="11">
        <v>0</v>
      </c>
      <c r="AB133" s="11">
        <v>8</v>
      </c>
      <c r="AC133" s="11">
        <v>0</v>
      </c>
      <c r="AD133" s="11">
        <v>0</v>
      </c>
      <c r="AE133" s="11">
        <v>0</v>
      </c>
      <c r="AF133" s="11">
        <v>0</v>
      </c>
      <c r="AG133" s="11">
        <v>0</v>
      </c>
      <c r="AH133" s="11">
        <v>0</v>
      </c>
      <c r="AI133" s="45">
        <v>0</v>
      </c>
      <c r="AJ133" s="45">
        <v>0</v>
      </c>
      <c r="AK133" s="45">
        <f t="shared" si="55"/>
        <v>0.3611</v>
      </c>
      <c r="AL133" s="45">
        <f t="shared" si="56"/>
        <v>0.00348095238095238</v>
      </c>
      <c r="AM133" s="45">
        <f t="shared" si="48"/>
        <v>0.0012569719047619</v>
      </c>
      <c r="AN133" s="45">
        <f t="shared" si="59"/>
        <v>0.792187500000004</v>
      </c>
      <c r="AO133" s="45">
        <f t="shared" si="49"/>
        <v>0.792187500000004</v>
      </c>
      <c r="AP133" s="45">
        <f t="shared" si="50"/>
        <v>1.05625</v>
      </c>
      <c r="AQ133" s="45">
        <f t="shared" si="51"/>
        <v>0</v>
      </c>
      <c r="AR133" s="45">
        <f t="shared" si="52"/>
        <v>0</v>
      </c>
      <c r="AS133" s="19">
        <f t="shared" si="57"/>
        <v>1.07916666666667</v>
      </c>
      <c r="AT133" s="19">
        <f t="shared" si="58"/>
        <v>1.03333333333334</v>
      </c>
      <c r="AU133" s="46">
        <v>0</v>
      </c>
      <c r="AV133" s="46">
        <v>0</v>
      </c>
      <c r="AW133" s="46">
        <v>0</v>
      </c>
      <c r="AX133" s="46">
        <v>1</v>
      </c>
      <c r="AY133" s="47">
        <v>0</v>
      </c>
      <c r="AZ133" s="47">
        <v>-1</v>
      </c>
    </row>
    <row r="134" hidden="1" customHeight="1" spans="1:52">
      <c r="A134" s="44">
        <v>45459</v>
      </c>
      <c r="B134" s="33">
        <f t="shared" si="36"/>
        <v>557</v>
      </c>
      <c r="C134" s="33">
        <f t="shared" si="37"/>
        <v>787</v>
      </c>
      <c r="D134" s="11">
        <f t="shared" si="38"/>
        <v>1344</v>
      </c>
      <c r="E134" s="34">
        <f t="shared" si="53"/>
        <v>-4.92962320200138e-7</v>
      </c>
      <c r="F134" s="35">
        <f t="shared" si="39"/>
        <v>0.000680010979617929</v>
      </c>
      <c r="G134" s="18">
        <f>(SUM($I$8:$I134)*(MAX(M$3-M$4,0))+(N134*MAX(M$4,0)))*(1-$AM$4)+(AM134*$AM$4)</f>
        <v>0.0863613944114769</v>
      </c>
      <c r="H134" s="18">
        <f t="shared" si="40"/>
        <v>0.75</v>
      </c>
      <c r="I134" s="18">
        <f t="shared" si="41"/>
        <v>0.00329545454545455</v>
      </c>
      <c r="J134" s="18">
        <f t="shared" si="42"/>
        <v>0.465127510058663</v>
      </c>
      <c r="K134" s="18">
        <f t="shared" si="43"/>
        <v>0.000960273770092167</v>
      </c>
      <c r="L134" s="18">
        <f t="shared" si="44"/>
        <v>0.0043939393939394</v>
      </c>
      <c r="M134" s="18">
        <v>0</v>
      </c>
      <c r="N134" s="18">
        <f t="shared" si="54"/>
        <v>0</v>
      </c>
      <c r="O134" s="11">
        <v>0</v>
      </c>
      <c r="P134" s="11">
        <v>0</v>
      </c>
      <c r="Q134" s="11">
        <f t="shared" si="61"/>
        <v>1</v>
      </c>
      <c r="R134" s="11">
        <v>0</v>
      </c>
      <c r="S134" s="11">
        <f t="shared" si="45"/>
        <v>0</v>
      </c>
      <c r="T134" s="11">
        <v>0</v>
      </c>
      <c r="U134" s="11">
        <f t="shared" si="60"/>
        <v>1</v>
      </c>
      <c r="V134" s="11">
        <v>0</v>
      </c>
      <c r="W134" s="11">
        <f t="shared" si="46"/>
        <v>1</v>
      </c>
      <c r="X134" s="11">
        <f t="shared" si="47"/>
        <v>0</v>
      </c>
      <c r="Y134" s="19">
        <v>0</v>
      </c>
      <c r="Z134" s="11">
        <v>0</v>
      </c>
      <c r="AA134" s="11">
        <v>15</v>
      </c>
      <c r="AB134" s="11">
        <v>9</v>
      </c>
      <c r="AC134" s="11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45">
        <v>0</v>
      </c>
      <c r="AJ134" s="45">
        <v>0</v>
      </c>
      <c r="AK134" s="45">
        <f t="shared" si="55"/>
        <v>0.3611</v>
      </c>
      <c r="AL134" s="45">
        <f t="shared" si="56"/>
        <v>0.00348095238095238</v>
      </c>
      <c r="AM134" s="45">
        <f t="shared" si="48"/>
        <v>0.0012569719047619</v>
      </c>
      <c r="AN134" s="45">
        <f t="shared" si="59"/>
        <v>0.792187500000004</v>
      </c>
      <c r="AO134" s="45">
        <f t="shared" si="49"/>
        <v>0.792187500000004</v>
      </c>
      <c r="AP134" s="45">
        <f t="shared" si="50"/>
        <v>1.05625</v>
      </c>
      <c r="AQ134" s="45">
        <f t="shared" si="51"/>
        <v>0</v>
      </c>
      <c r="AR134" s="45">
        <f t="shared" si="52"/>
        <v>0</v>
      </c>
      <c r="AS134" s="19">
        <f t="shared" si="57"/>
        <v>1.07916666666667</v>
      </c>
      <c r="AT134" s="19">
        <f t="shared" si="58"/>
        <v>1.03333333333334</v>
      </c>
      <c r="AU134" s="46">
        <v>0</v>
      </c>
      <c r="AV134" s="46">
        <v>0</v>
      </c>
      <c r="AW134" s="46">
        <v>0</v>
      </c>
      <c r="AX134" s="46">
        <v>1</v>
      </c>
      <c r="AY134" s="47">
        <v>0</v>
      </c>
      <c r="AZ134" s="47">
        <v>-1</v>
      </c>
    </row>
    <row r="135" hidden="1" customHeight="1" spans="1:52">
      <c r="A135" s="44">
        <v>45460</v>
      </c>
      <c r="B135" s="33">
        <f t="shared" si="36"/>
        <v>556</v>
      </c>
      <c r="C135" s="33">
        <f t="shared" si="37"/>
        <v>788</v>
      </c>
      <c r="D135" s="11">
        <f t="shared" si="38"/>
        <v>1344</v>
      </c>
      <c r="E135" s="34">
        <f t="shared" si="53"/>
        <v>-5.74038193037639e-7</v>
      </c>
      <c r="F135" s="35">
        <f t="shared" si="39"/>
        <v>0.000679436941424891</v>
      </c>
      <c r="G135" s="18">
        <f>(SUM($I$8:$I135)*(MAX(M$3-M$4,0))+(N135*MAX(M$4,0)))*(1-$AM$4)+(AM135*$AM$4)</f>
        <v>0.086967928502386</v>
      </c>
      <c r="H135" s="18">
        <f t="shared" si="40"/>
        <v>0.75</v>
      </c>
      <c r="I135" s="18">
        <f t="shared" si="41"/>
        <v>0.00323484848484848</v>
      </c>
      <c r="J135" s="18">
        <f t="shared" si="42"/>
        <v>0.464734867934625</v>
      </c>
      <c r="K135" s="18">
        <f t="shared" si="43"/>
        <v>0.000962707072060026</v>
      </c>
      <c r="L135" s="18">
        <f t="shared" si="44"/>
        <v>0.00431313131313131</v>
      </c>
      <c r="M135" s="18">
        <v>0</v>
      </c>
      <c r="N135" s="18">
        <f t="shared" si="54"/>
        <v>0</v>
      </c>
      <c r="O135" s="11">
        <v>0</v>
      </c>
      <c r="P135" s="11">
        <v>0</v>
      </c>
      <c r="Q135" s="11">
        <f t="shared" si="61"/>
        <v>1</v>
      </c>
      <c r="R135" s="11">
        <v>0</v>
      </c>
      <c r="S135" s="11">
        <f t="shared" si="45"/>
        <v>0</v>
      </c>
      <c r="T135" s="11">
        <v>0</v>
      </c>
      <c r="U135" s="11">
        <f t="shared" si="60"/>
        <v>1</v>
      </c>
      <c r="V135" s="11">
        <v>0</v>
      </c>
      <c r="W135" s="11">
        <f t="shared" si="46"/>
        <v>1</v>
      </c>
      <c r="X135" s="11">
        <f t="shared" si="47"/>
        <v>0</v>
      </c>
      <c r="Y135" s="19">
        <v>0</v>
      </c>
      <c r="Z135" s="11">
        <v>1</v>
      </c>
      <c r="AA135" s="11">
        <v>20</v>
      </c>
      <c r="AB135" s="11">
        <v>0</v>
      </c>
      <c r="AC135" s="11">
        <v>0</v>
      </c>
      <c r="AD135" s="11">
        <v>0</v>
      </c>
      <c r="AE135" s="11">
        <v>0</v>
      </c>
      <c r="AF135" s="11">
        <v>0</v>
      </c>
      <c r="AG135" s="11">
        <v>0</v>
      </c>
      <c r="AH135" s="11">
        <v>0</v>
      </c>
      <c r="AI135" s="45">
        <v>0</v>
      </c>
      <c r="AJ135" s="45">
        <v>0</v>
      </c>
      <c r="AK135" s="45">
        <f t="shared" si="55"/>
        <v>0.3611</v>
      </c>
      <c r="AL135" s="45">
        <f t="shared" si="56"/>
        <v>0.00348095238095238</v>
      </c>
      <c r="AM135" s="45">
        <f t="shared" si="48"/>
        <v>0.0012569719047619</v>
      </c>
      <c r="AN135" s="45">
        <f t="shared" si="59"/>
        <v>0.792187500000004</v>
      </c>
      <c r="AO135" s="45">
        <f t="shared" si="49"/>
        <v>0.792187500000004</v>
      </c>
      <c r="AP135" s="45">
        <f t="shared" si="50"/>
        <v>1.05625</v>
      </c>
      <c r="AQ135" s="45">
        <f t="shared" si="51"/>
        <v>0</v>
      </c>
      <c r="AR135" s="45">
        <f t="shared" si="52"/>
        <v>0</v>
      </c>
      <c r="AS135" s="19">
        <f t="shared" si="57"/>
        <v>1.07916666666667</v>
      </c>
      <c r="AT135" s="19">
        <f t="shared" si="58"/>
        <v>1.03333333333334</v>
      </c>
      <c r="AU135" s="46">
        <v>0</v>
      </c>
      <c r="AV135" s="46">
        <v>0</v>
      </c>
      <c r="AW135" s="46">
        <v>0</v>
      </c>
      <c r="AX135" s="46">
        <v>1</v>
      </c>
      <c r="AY135" s="47">
        <v>0</v>
      </c>
      <c r="AZ135" s="47">
        <v>-1</v>
      </c>
    </row>
    <row r="136" hidden="1" customHeight="1" spans="1:52">
      <c r="A136" s="44">
        <v>45461</v>
      </c>
      <c r="B136" s="33">
        <f t="shared" ref="B136:B199" si="62">B$2-A136+1</f>
        <v>555</v>
      </c>
      <c r="C136" s="33">
        <f t="shared" ref="C136:C199" si="63">D136-B136</f>
        <v>789</v>
      </c>
      <c r="D136" s="11">
        <f t="shared" ref="D136:D199" si="64">IF(F136&gt;0,ROUND(((1-G136)/F136),0),FACT(128))</f>
        <v>1344</v>
      </c>
      <c r="E136" s="34">
        <f t="shared" si="53"/>
        <v>-3.77946691806951e-7</v>
      </c>
      <c r="F136" s="35">
        <f t="shared" ref="F136:F199" si="65">G136/(ROW()-7)</f>
        <v>0.000679058994733084</v>
      </c>
      <c r="G136" s="18">
        <f>(SUM($I$8:$I136)*(MAX(M$3-M$4,0))+(N136*MAX(M$4,0)))*(1-$AM$4)+(AM136*$AM$4)</f>
        <v>0.0875986103205678</v>
      </c>
      <c r="H136" s="18">
        <f t="shared" ref="H136:H199" si="66">0.5+(MONTH(A136)+(YEAR(A136)-2024)*12)/((YEAR(B$2)-2023)*12)</f>
        <v>0.75</v>
      </c>
      <c r="I136" s="18">
        <f t="shared" ref="I136:I199" si="67">L136*H136</f>
        <v>0.00336363636363637</v>
      </c>
      <c r="J136" s="18">
        <f t="shared" ref="J136:J199" si="68">F136*B136+G136</f>
        <v>0.464476352397429</v>
      </c>
      <c r="K136" s="18">
        <f t="shared" ref="K136:K199" si="69">((1-G136)/B136)-F136</f>
        <v>0.000964907473157785</v>
      </c>
      <c r="L136" s="18">
        <f t="shared" ref="L136:L199" si="70">Y136*Y$6+X136*X$6+Z136*Z$6+AA136*AA$6+AB136*AB$6+AC136*AC$6+AD136*AD$6+AE136*AE$6+AF136*AF$6+AG136*AG$6+AH136*AH$6</f>
        <v>0.00448484848484849</v>
      </c>
      <c r="M136" s="18">
        <v>0</v>
      </c>
      <c r="N136" s="18">
        <f t="shared" si="54"/>
        <v>0</v>
      </c>
      <c r="O136" s="11">
        <v>0</v>
      </c>
      <c r="P136" s="11">
        <v>0</v>
      </c>
      <c r="Q136" s="11">
        <f t="shared" si="61"/>
        <v>1</v>
      </c>
      <c r="R136" s="11">
        <v>0</v>
      </c>
      <c r="S136" s="11">
        <f t="shared" ref="S136:S199" si="71">O136*$R$5/MAX(1/FACT(128),R136)</f>
        <v>0</v>
      </c>
      <c r="T136" s="11">
        <v>0</v>
      </c>
      <c r="U136" s="11">
        <f t="shared" si="60"/>
        <v>1</v>
      </c>
      <c r="V136" s="11">
        <v>0</v>
      </c>
      <c r="W136" s="11">
        <f t="shared" ref="W136:W199" si="72">($V$4*V136/(MAX(1,O136)))+1</f>
        <v>1</v>
      </c>
      <c r="X136" s="11">
        <f t="shared" ref="X136:X199" si="73">O136*Q136*S136*U136*W136</f>
        <v>0</v>
      </c>
      <c r="Y136" s="19">
        <v>0</v>
      </c>
      <c r="Z136" s="11">
        <v>12</v>
      </c>
      <c r="AA136" s="11">
        <v>6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45">
        <v>0</v>
      </c>
      <c r="AJ136" s="45">
        <v>0</v>
      </c>
      <c r="AK136" s="45">
        <f t="shared" si="55"/>
        <v>0.3611</v>
      </c>
      <c r="AL136" s="45">
        <f t="shared" si="56"/>
        <v>0.00348095238095238</v>
      </c>
      <c r="AM136" s="45">
        <f t="shared" ref="AM136:AM199" si="74">AL136*AK136</f>
        <v>0.0012569719047619</v>
      </c>
      <c r="AN136" s="45">
        <f t="shared" si="59"/>
        <v>0.792187500000004</v>
      </c>
      <c r="AO136" s="45">
        <f t="shared" ref="AO136:AO199" si="75">AP136*0.75+AQ136*0.125+AR136*0.125</f>
        <v>0.792187500000004</v>
      </c>
      <c r="AP136" s="45">
        <f t="shared" ref="AP136:AP199" si="76">AVERAGE(AS136:AT136)</f>
        <v>1.05625</v>
      </c>
      <c r="AQ136" s="45">
        <f t="shared" ref="AQ136:AQ199" si="77">AY136/AQ$5</f>
        <v>0</v>
      </c>
      <c r="AR136" s="45">
        <f t="shared" ref="AR136:AR199" si="78">IF(AZ136&gt;=0,1/(AZ136+1),0)</f>
        <v>0</v>
      </c>
      <c r="AS136" s="19">
        <f t="shared" si="57"/>
        <v>1.07916666666667</v>
      </c>
      <c r="AT136" s="19">
        <f t="shared" si="58"/>
        <v>1.03333333333334</v>
      </c>
      <c r="AU136" s="46">
        <v>0</v>
      </c>
      <c r="AV136" s="46">
        <v>0</v>
      </c>
      <c r="AW136" s="46">
        <v>0</v>
      </c>
      <c r="AX136" s="46">
        <v>1</v>
      </c>
      <c r="AY136" s="47">
        <v>0</v>
      </c>
      <c r="AZ136" s="47">
        <v>-1</v>
      </c>
    </row>
    <row r="137" hidden="1" customHeight="1" spans="1:52">
      <c r="A137" s="44">
        <v>45462</v>
      </c>
      <c r="B137" s="33">
        <f t="shared" si="62"/>
        <v>554</v>
      </c>
      <c r="C137" s="33">
        <f t="shared" si="63"/>
        <v>790</v>
      </c>
      <c r="D137" s="11">
        <f t="shared" si="64"/>
        <v>1344</v>
      </c>
      <c r="E137" s="34">
        <f t="shared" ref="E137:E200" si="79">F137-F136</f>
        <v>-5.03251008436264e-7</v>
      </c>
      <c r="F137" s="35">
        <f t="shared" si="65"/>
        <v>0.000678555743724648</v>
      </c>
      <c r="G137" s="18">
        <f>(SUM($I$8:$I137)*(MAX(M$3-M$4,0))+(N137*MAX(M$4,0)))*(1-$AM$4)+(AM137*$AM$4)</f>
        <v>0.0882122466842042</v>
      </c>
      <c r="H137" s="18">
        <f t="shared" si="66"/>
        <v>0.75</v>
      </c>
      <c r="I137" s="18">
        <f t="shared" si="67"/>
        <v>0.00327272727272728</v>
      </c>
      <c r="J137" s="18">
        <f t="shared" si="68"/>
        <v>0.464132128707659</v>
      </c>
      <c r="K137" s="18">
        <f t="shared" si="69"/>
        <v>0.000967270525798449</v>
      </c>
      <c r="L137" s="18">
        <f t="shared" si="70"/>
        <v>0.00436363636363637</v>
      </c>
      <c r="M137" s="18">
        <v>0</v>
      </c>
      <c r="N137" s="18">
        <f t="shared" ref="N137:N200" si="80">IF(M137&gt;N136,M137,N136)</f>
        <v>0</v>
      </c>
      <c r="O137" s="11">
        <v>0</v>
      </c>
      <c r="P137" s="11">
        <v>0</v>
      </c>
      <c r="Q137" s="11">
        <f t="shared" si="61"/>
        <v>1</v>
      </c>
      <c r="R137" s="11">
        <v>0</v>
      </c>
      <c r="S137" s="11">
        <f t="shared" si="71"/>
        <v>0</v>
      </c>
      <c r="T137" s="11">
        <v>0</v>
      </c>
      <c r="U137" s="11">
        <f t="shared" si="60"/>
        <v>1</v>
      </c>
      <c r="V137" s="11">
        <v>0</v>
      </c>
      <c r="W137" s="11">
        <f t="shared" si="72"/>
        <v>1</v>
      </c>
      <c r="X137" s="11">
        <f t="shared" si="73"/>
        <v>0</v>
      </c>
      <c r="Y137" s="19">
        <v>0</v>
      </c>
      <c r="Z137" s="11">
        <v>16</v>
      </c>
      <c r="AA137" s="11">
        <v>0</v>
      </c>
      <c r="AB137" s="11">
        <v>0</v>
      </c>
      <c r="AC137" s="11">
        <v>0</v>
      </c>
      <c r="AD137" s="11">
        <v>0</v>
      </c>
      <c r="AE137" s="11">
        <v>0</v>
      </c>
      <c r="AF137" s="11">
        <v>0</v>
      </c>
      <c r="AG137" s="11">
        <v>0</v>
      </c>
      <c r="AH137" s="11">
        <v>0</v>
      </c>
      <c r="AI137" s="45">
        <v>0</v>
      </c>
      <c r="AJ137" s="45">
        <v>0</v>
      </c>
      <c r="AK137" s="45">
        <f t="shared" ref="AK137:AK200" si="81">IF(AI137&gt;0,AI137,AK136)</f>
        <v>0.3611</v>
      </c>
      <c r="AL137" s="45">
        <f t="shared" ref="AL137:AL200" si="82">IF(AJ137&gt;0,AJ137,AL136)</f>
        <v>0.00348095238095238</v>
      </c>
      <c r="AM137" s="45">
        <f t="shared" si="74"/>
        <v>0.0012569719047619</v>
      </c>
      <c r="AN137" s="45">
        <f t="shared" si="59"/>
        <v>0.792187500000004</v>
      </c>
      <c r="AO137" s="45">
        <f t="shared" si="75"/>
        <v>0.792187500000004</v>
      </c>
      <c r="AP137" s="45">
        <f t="shared" si="76"/>
        <v>1.05625</v>
      </c>
      <c r="AQ137" s="45">
        <f t="shared" si="77"/>
        <v>0</v>
      </c>
      <c r="AR137" s="45">
        <f t="shared" si="78"/>
        <v>0</v>
      </c>
      <c r="AS137" s="19">
        <f t="shared" ref="AS137:AS200" si="83">IF((("24:00"-AX137+AU137)/$AS$5)&gt;0,(("24:00"-AX137+AU137)/$AS$5),AS136)</f>
        <v>1.07916666666667</v>
      </c>
      <c r="AT137" s="19">
        <f t="shared" ref="AT137:AT200" si="84">IF(((AW137-AV137)/$AT$5)&gt;0,((AW137-AV137)/$AT$5),AT136)</f>
        <v>1.03333333333334</v>
      </c>
      <c r="AU137" s="46">
        <v>0</v>
      </c>
      <c r="AV137" s="46">
        <v>0</v>
      </c>
      <c r="AW137" s="46">
        <v>0</v>
      </c>
      <c r="AX137" s="46">
        <v>1</v>
      </c>
      <c r="AY137" s="47">
        <v>0</v>
      </c>
      <c r="AZ137" s="47">
        <v>-1</v>
      </c>
    </row>
    <row r="138" hidden="1" customHeight="1" spans="1:52">
      <c r="A138" s="44">
        <v>45463</v>
      </c>
      <c r="B138" s="33">
        <f t="shared" si="62"/>
        <v>553</v>
      </c>
      <c r="C138" s="33">
        <f t="shared" si="63"/>
        <v>799</v>
      </c>
      <c r="D138" s="11">
        <f t="shared" si="64"/>
        <v>1352</v>
      </c>
      <c r="E138" s="34">
        <f t="shared" si="79"/>
        <v>-4.45332281816171e-6</v>
      </c>
      <c r="F138" s="35">
        <f t="shared" si="65"/>
        <v>0.000674102420906486</v>
      </c>
      <c r="G138" s="18">
        <f>(SUM($I$8:$I138)*(MAX(M$3-M$4,0))+(N138*MAX(M$4,0)))*(1-$AM$4)+(AM138*$AM$4)</f>
        <v>0.0883074171387497</v>
      </c>
      <c r="H138" s="18">
        <f t="shared" si="66"/>
        <v>0.75</v>
      </c>
      <c r="I138" s="18">
        <f t="shared" si="67"/>
        <v>0.000507575757575758</v>
      </c>
      <c r="J138" s="18">
        <f t="shared" si="68"/>
        <v>0.461086055900036</v>
      </c>
      <c r="K138" s="18">
        <f t="shared" si="69"/>
        <v>0.000974527927848035</v>
      </c>
      <c r="L138" s="18">
        <f t="shared" si="70"/>
        <v>0.000676767676767677</v>
      </c>
      <c r="M138" s="18">
        <v>0</v>
      </c>
      <c r="N138" s="18">
        <f t="shared" si="80"/>
        <v>0</v>
      </c>
      <c r="O138" s="11">
        <v>0</v>
      </c>
      <c r="P138" s="11">
        <v>0</v>
      </c>
      <c r="Q138" s="11">
        <f t="shared" si="61"/>
        <v>1</v>
      </c>
      <c r="R138" s="11">
        <v>0</v>
      </c>
      <c r="S138" s="11">
        <f t="shared" si="71"/>
        <v>0</v>
      </c>
      <c r="T138" s="11">
        <v>0</v>
      </c>
      <c r="U138" s="11">
        <f t="shared" si="60"/>
        <v>1</v>
      </c>
      <c r="V138" s="11">
        <v>0</v>
      </c>
      <c r="W138" s="11">
        <f t="shared" si="72"/>
        <v>1</v>
      </c>
      <c r="X138" s="11">
        <f t="shared" si="73"/>
        <v>0</v>
      </c>
      <c r="Y138" s="19">
        <v>0</v>
      </c>
      <c r="Z138" s="11">
        <v>1</v>
      </c>
      <c r="AA138" s="11">
        <v>2</v>
      </c>
      <c r="AB138" s="11">
        <v>0</v>
      </c>
      <c r="AC138" s="11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45">
        <v>0</v>
      </c>
      <c r="AJ138" s="45">
        <v>0</v>
      </c>
      <c r="AK138" s="45">
        <f t="shared" si="81"/>
        <v>0.3611</v>
      </c>
      <c r="AL138" s="45">
        <f t="shared" si="82"/>
        <v>0.00348095238095238</v>
      </c>
      <c r="AM138" s="45">
        <f t="shared" si="74"/>
        <v>0.0012569719047619</v>
      </c>
      <c r="AN138" s="45">
        <f t="shared" si="59"/>
        <v>0.792187500000004</v>
      </c>
      <c r="AO138" s="45">
        <f t="shared" si="75"/>
        <v>0.792187500000004</v>
      </c>
      <c r="AP138" s="45">
        <f t="shared" si="76"/>
        <v>1.05625</v>
      </c>
      <c r="AQ138" s="45">
        <f t="shared" si="77"/>
        <v>0</v>
      </c>
      <c r="AR138" s="45">
        <f t="shared" si="78"/>
        <v>0</v>
      </c>
      <c r="AS138" s="19">
        <f t="shared" si="83"/>
        <v>1.07916666666667</v>
      </c>
      <c r="AT138" s="19">
        <f t="shared" si="84"/>
        <v>1.03333333333334</v>
      </c>
      <c r="AU138" s="46">
        <v>0</v>
      </c>
      <c r="AV138" s="46">
        <v>0</v>
      </c>
      <c r="AW138" s="46">
        <v>0</v>
      </c>
      <c r="AX138" s="46">
        <v>1</v>
      </c>
      <c r="AY138" s="47">
        <v>0</v>
      </c>
      <c r="AZ138" s="47">
        <v>-1</v>
      </c>
    </row>
    <row r="139" hidden="1" customHeight="1" spans="1:52">
      <c r="A139" s="44">
        <v>45464</v>
      </c>
      <c r="B139" s="33">
        <f t="shared" si="62"/>
        <v>552</v>
      </c>
      <c r="C139" s="33">
        <f t="shared" si="63"/>
        <v>810</v>
      </c>
      <c r="D139" s="11">
        <f t="shared" si="64"/>
        <v>1362</v>
      </c>
      <c r="E139" s="34">
        <f t="shared" si="79"/>
        <v>-4.6763957506689e-6</v>
      </c>
      <c r="F139" s="35">
        <f t="shared" si="65"/>
        <v>0.000669426025155817</v>
      </c>
      <c r="G139" s="18">
        <f>(SUM($I$8:$I139)*(MAX(M$3-M$4,0))+(N139*MAX(M$4,0)))*(1-$AM$4)+(AM139*$AM$4)</f>
        <v>0.0883642353205679</v>
      </c>
      <c r="H139" s="18">
        <f t="shared" si="66"/>
        <v>0.75</v>
      </c>
      <c r="I139" s="18">
        <f t="shared" si="67"/>
        <v>0.000303030303030303</v>
      </c>
      <c r="J139" s="18">
        <f t="shared" si="68"/>
        <v>0.457887401206579</v>
      </c>
      <c r="K139" s="18">
        <f t="shared" si="69"/>
        <v>0.000982088041292429</v>
      </c>
      <c r="L139" s="18">
        <f t="shared" si="70"/>
        <v>0.000404040404040404</v>
      </c>
      <c r="M139" s="18">
        <v>0</v>
      </c>
      <c r="N139" s="18">
        <f t="shared" si="80"/>
        <v>0</v>
      </c>
      <c r="O139" s="11">
        <v>0</v>
      </c>
      <c r="P139" s="11">
        <v>0</v>
      </c>
      <c r="Q139" s="11">
        <f t="shared" si="61"/>
        <v>1</v>
      </c>
      <c r="R139" s="11">
        <v>0</v>
      </c>
      <c r="S139" s="11">
        <f t="shared" si="71"/>
        <v>0</v>
      </c>
      <c r="T139" s="11">
        <v>0</v>
      </c>
      <c r="U139" s="11">
        <f t="shared" si="60"/>
        <v>1</v>
      </c>
      <c r="V139" s="11">
        <v>0</v>
      </c>
      <c r="W139" s="11">
        <f t="shared" si="72"/>
        <v>1</v>
      </c>
      <c r="X139" s="11">
        <f t="shared" si="73"/>
        <v>0</v>
      </c>
      <c r="Y139" s="19">
        <v>0</v>
      </c>
      <c r="Z139" s="11">
        <v>0</v>
      </c>
      <c r="AA139" s="11">
        <v>2</v>
      </c>
      <c r="AB139" s="11">
        <v>0</v>
      </c>
      <c r="AC139" s="11">
        <v>0</v>
      </c>
      <c r="AD139" s="11">
        <v>0</v>
      </c>
      <c r="AE139" s="11">
        <v>0</v>
      </c>
      <c r="AF139" s="11">
        <v>0</v>
      </c>
      <c r="AG139" s="11">
        <v>0</v>
      </c>
      <c r="AH139" s="11">
        <v>0</v>
      </c>
      <c r="AI139" s="45">
        <v>0</v>
      </c>
      <c r="AJ139" s="45">
        <v>0</v>
      </c>
      <c r="AK139" s="45">
        <f t="shared" si="81"/>
        <v>0.3611</v>
      </c>
      <c r="AL139" s="45">
        <f t="shared" si="82"/>
        <v>0.00348095238095238</v>
      </c>
      <c r="AM139" s="45">
        <f t="shared" si="74"/>
        <v>0.0012569719047619</v>
      </c>
      <c r="AN139" s="45">
        <f t="shared" si="59"/>
        <v>0.792187500000004</v>
      </c>
      <c r="AO139" s="45">
        <f t="shared" si="75"/>
        <v>0.792187500000004</v>
      </c>
      <c r="AP139" s="45">
        <f t="shared" si="76"/>
        <v>1.05625</v>
      </c>
      <c r="AQ139" s="45">
        <f t="shared" si="77"/>
        <v>0</v>
      </c>
      <c r="AR139" s="45">
        <f t="shared" si="78"/>
        <v>0</v>
      </c>
      <c r="AS139" s="19">
        <f t="shared" si="83"/>
        <v>1.07916666666667</v>
      </c>
      <c r="AT139" s="19">
        <f t="shared" si="84"/>
        <v>1.03333333333334</v>
      </c>
      <c r="AU139" s="46">
        <v>0</v>
      </c>
      <c r="AV139" s="46">
        <v>0</v>
      </c>
      <c r="AW139" s="46">
        <v>0</v>
      </c>
      <c r="AX139" s="46">
        <v>1</v>
      </c>
      <c r="AY139" s="47">
        <v>0</v>
      </c>
      <c r="AZ139" s="47">
        <v>-1</v>
      </c>
    </row>
    <row r="140" hidden="1" customHeight="1" spans="1:52">
      <c r="A140" s="44">
        <v>45465</v>
      </c>
      <c r="B140" s="33">
        <f t="shared" si="62"/>
        <v>551</v>
      </c>
      <c r="C140" s="33">
        <f t="shared" si="63"/>
        <v>816</v>
      </c>
      <c r="D140" s="11">
        <f t="shared" si="64"/>
        <v>1367</v>
      </c>
      <c r="E140" s="34">
        <f t="shared" si="79"/>
        <v>-2.89725651176633e-6</v>
      </c>
      <c r="F140" s="35">
        <f t="shared" si="65"/>
        <v>0.000666528768644051</v>
      </c>
      <c r="G140" s="18">
        <f>(SUM($I$8:$I140)*(MAX(M$3-M$4,0))+(N140*MAX(M$4,0)))*(1-$AM$4)+(AM140*$AM$4)</f>
        <v>0.0886483262296588</v>
      </c>
      <c r="H140" s="18">
        <f t="shared" si="66"/>
        <v>0.75</v>
      </c>
      <c r="I140" s="18">
        <f t="shared" si="67"/>
        <v>0.00151515151515152</v>
      </c>
      <c r="J140" s="18">
        <f t="shared" si="68"/>
        <v>0.455905677752531</v>
      </c>
      <c r="K140" s="18">
        <f t="shared" si="69"/>
        <v>0.000987467009523537</v>
      </c>
      <c r="L140" s="18">
        <f t="shared" si="70"/>
        <v>0.00202020202020203</v>
      </c>
      <c r="M140" s="18">
        <v>0</v>
      </c>
      <c r="N140" s="18">
        <f t="shared" si="80"/>
        <v>0</v>
      </c>
      <c r="O140" s="11">
        <v>0</v>
      </c>
      <c r="P140" s="11">
        <v>0</v>
      </c>
      <c r="Q140" s="11">
        <f t="shared" si="61"/>
        <v>1</v>
      </c>
      <c r="R140" s="11">
        <v>0</v>
      </c>
      <c r="S140" s="11">
        <f t="shared" si="71"/>
        <v>0</v>
      </c>
      <c r="T140" s="11">
        <v>0</v>
      </c>
      <c r="U140" s="11">
        <f t="shared" si="60"/>
        <v>1</v>
      </c>
      <c r="V140" s="11">
        <v>0</v>
      </c>
      <c r="W140" s="11">
        <f t="shared" si="72"/>
        <v>1</v>
      </c>
      <c r="X140" s="11">
        <f t="shared" si="73"/>
        <v>0</v>
      </c>
      <c r="Y140" s="19">
        <v>0</v>
      </c>
      <c r="Z140" s="11">
        <v>0</v>
      </c>
      <c r="AA140" s="11">
        <v>1</v>
      </c>
      <c r="AB140" s="11">
        <v>12</v>
      </c>
      <c r="AC140" s="11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45">
        <v>0</v>
      </c>
      <c r="AJ140" s="45">
        <v>0</v>
      </c>
      <c r="AK140" s="45">
        <f t="shared" si="81"/>
        <v>0.3611</v>
      </c>
      <c r="AL140" s="45">
        <f t="shared" si="82"/>
        <v>0.00348095238095238</v>
      </c>
      <c r="AM140" s="45">
        <f t="shared" si="74"/>
        <v>0.0012569719047619</v>
      </c>
      <c r="AN140" s="45">
        <f t="shared" si="59"/>
        <v>0.792187500000004</v>
      </c>
      <c r="AO140" s="45">
        <f t="shared" si="75"/>
        <v>0.792187500000004</v>
      </c>
      <c r="AP140" s="45">
        <f t="shared" si="76"/>
        <v>1.05625</v>
      </c>
      <c r="AQ140" s="45">
        <f t="shared" si="77"/>
        <v>0</v>
      </c>
      <c r="AR140" s="45">
        <f t="shared" si="78"/>
        <v>0</v>
      </c>
      <c r="AS140" s="19">
        <f t="shared" si="83"/>
        <v>1.07916666666667</v>
      </c>
      <c r="AT140" s="19">
        <f t="shared" si="84"/>
        <v>1.03333333333334</v>
      </c>
      <c r="AU140" s="46">
        <v>0</v>
      </c>
      <c r="AV140" s="46">
        <v>0</v>
      </c>
      <c r="AW140" s="46">
        <v>0</v>
      </c>
      <c r="AX140" s="46">
        <v>1</v>
      </c>
      <c r="AY140" s="47">
        <v>0</v>
      </c>
      <c r="AZ140" s="47">
        <v>-1</v>
      </c>
    </row>
    <row r="141" hidden="1" customHeight="1" spans="1:52">
      <c r="A141" s="44">
        <v>45466</v>
      </c>
      <c r="B141" s="33">
        <f t="shared" si="62"/>
        <v>550</v>
      </c>
      <c r="C141" s="33">
        <f t="shared" si="63"/>
        <v>824</v>
      </c>
      <c r="D141" s="11">
        <f t="shared" si="64"/>
        <v>1374</v>
      </c>
      <c r="E141" s="34">
        <f t="shared" si="79"/>
        <v>-3.43703626532192e-6</v>
      </c>
      <c r="F141" s="35">
        <f t="shared" si="65"/>
        <v>0.000663091732378729</v>
      </c>
      <c r="G141" s="18">
        <f>(SUM($I$8:$I141)*(MAX(M$3-M$4,0))+(N141*MAX(M$4,0)))*(1-$AM$4)+(AM141*$AM$4)</f>
        <v>0.0888542921387497</v>
      </c>
      <c r="H141" s="18">
        <f t="shared" si="66"/>
        <v>0.75</v>
      </c>
      <c r="I141" s="18">
        <f t="shared" si="67"/>
        <v>0.00109848484848485</v>
      </c>
      <c r="J141" s="18">
        <f t="shared" si="68"/>
        <v>0.453554744947051</v>
      </c>
      <c r="K141" s="18">
        <f t="shared" si="69"/>
        <v>0.000993536827368999</v>
      </c>
      <c r="L141" s="18">
        <f t="shared" si="70"/>
        <v>0.00146464646464647</v>
      </c>
      <c r="M141" s="18">
        <v>0</v>
      </c>
      <c r="N141" s="18">
        <f t="shared" si="80"/>
        <v>0</v>
      </c>
      <c r="O141" s="11">
        <v>0</v>
      </c>
      <c r="P141" s="11">
        <v>0</v>
      </c>
      <c r="Q141" s="11">
        <f t="shared" si="61"/>
        <v>1</v>
      </c>
      <c r="R141" s="11">
        <v>0</v>
      </c>
      <c r="S141" s="11">
        <f t="shared" si="71"/>
        <v>0</v>
      </c>
      <c r="T141" s="11">
        <v>0</v>
      </c>
      <c r="U141" s="11">
        <f t="shared" si="60"/>
        <v>1</v>
      </c>
      <c r="V141" s="11">
        <v>0</v>
      </c>
      <c r="W141" s="11">
        <f t="shared" si="72"/>
        <v>1</v>
      </c>
      <c r="X141" s="11">
        <f t="shared" si="73"/>
        <v>0</v>
      </c>
      <c r="Y141" s="19">
        <v>0</v>
      </c>
      <c r="Z141" s="11">
        <v>0</v>
      </c>
      <c r="AA141" s="11">
        <v>2</v>
      </c>
      <c r="AB141" s="11">
        <v>7</v>
      </c>
      <c r="AC141" s="11">
        <v>0</v>
      </c>
      <c r="AD141" s="11">
        <v>0</v>
      </c>
      <c r="AE141" s="11">
        <v>0</v>
      </c>
      <c r="AF141" s="11">
        <v>0</v>
      </c>
      <c r="AG141" s="11">
        <v>0</v>
      </c>
      <c r="AH141" s="11">
        <v>0</v>
      </c>
      <c r="AI141" s="45">
        <v>0</v>
      </c>
      <c r="AJ141" s="45">
        <v>0</v>
      </c>
      <c r="AK141" s="45">
        <f t="shared" si="81"/>
        <v>0.3611</v>
      </c>
      <c r="AL141" s="45">
        <f t="shared" si="82"/>
        <v>0.00348095238095238</v>
      </c>
      <c r="AM141" s="45">
        <f t="shared" si="74"/>
        <v>0.0012569719047619</v>
      </c>
      <c r="AN141" s="45">
        <f t="shared" si="59"/>
        <v>0.792187500000004</v>
      </c>
      <c r="AO141" s="45">
        <f t="shared" si="75"/>
        <v>0.792187500000004</v>
      </c>
      <c r="AP141" s="45">
        <f t="shared" si="76"/>
        <v>1.05625</v>
      </c>
      <c r="AQ141" s="45">
        <f t="shared" si="77"/>
        <v>0</v>
      </c>
      <c r="AR141" s="45">
        <f t="shared" si="78"/>
        <v>0</v>
      </c>
      <c r="AS141" s="19">
        <f t="shared" si="83"/>
        <v>1.07916666666667</v>
      </c>
      <c r="AT141" s="19">
        <f t="shared" si="84"/>
        <v>1.03333333333334</v>
      </c>
      <c r="AU141" s="46">
        <v>0</v>
      </c>
      <c r="AV141" s="46">
        <v>0</v>
      </c>
      <c r="AW141" s="46">
        <v>0</v>
      </c>
      <c r="AX141" s="46">
        <v>1</v>
      </c>
      <c r="AY141" s="47">
        <v>0</v>
      </c>
      <c r="AZ141" s="47">
        <v>-1</v>
      </c>
    </row>
    <row r="142" hidden="1" customHeight="1" spans="1:52">
      <c r="A142" s="44">
        <v>45467</v>
      </c>
      <c r="B142" s="33">
        <f t="shared" si="62"/>
        <v>549</v>
      </c>
      <c r="C142" s="33">
        <f t="shared" si="63"/>
        <v>834</v>
      </c>
      <c r="D142" s="11">
        <f t="shared" si="64"/>
        <v>1383</v>
      </c>
      <c r="E142" s="34">
        <f t="shared" si="79"/>
        <v>-4.33308690650925e-6</v>
      </c>
      <c r="F142" s="35">
        <f t="shared" si="65"/>
        <v>0.00065875864547222</v>
      </c>
      <c r="G142" s="18">
        <f>(SUM($I$8:$I142)*(MAX(M$3-M$4,0))+(N142*MAX(M$4,0)))*(1-$AM$4)+(AM142*$AM$4)</f>
        <v>0.0889324171387497</v>
      </c>
      <c r="H142" s="18">
        <f t="shared" si="66"/>
        <v>0.75</v>
      </c>
      <c r="I142" s="18">
        <f t="shared" si="67"/>
        <v>0.000416666666666667</v>
      </c>
      <c r="J142" s="18">
        <f t="shared" si="68"/>
        <v>0.450590913502998</v>
      </c>
      <c r="K142" s="18">
        <f t="shared" si="69"/>
        <v>0.00100074514844627</v>
      </c>
      <c r="L142" s="18">
        <f t="shared" si="70"/>
        <v>0.000555555555555556</v>
      </c>
      <c r="M142" s="18">
        <v>0</v>
      </c>
      <c r="N142" s="18">
        <f t="shared" si="80"/>
        <v>0</v>
      </c>
      <c r="O142" s="11">
        <v>0</v>
      </c>
      <c r="P142" s="11">
        <v>0</v>
      </c>
      <c r="Q142" s="11">
        <f t="shared" si="61"/>
        <v>1</v>
      </c>
      <c r="R142" s="11">
        <v>0</v>
      </c>
      <c r="S142" s="11">
        <f t="shared" si="71"/>
        <v>0</v>
      </c>
      <c r="T142" s="11">
        <v>0</v>
      </c>
      <c r="U142" s="11">
        <f t="shared" si="60"/>
        <v>1</v>
      </c>
      <c r="V142" s="11">
        <v>0</v>
      </c>
      <c r="W142" s="11">
        <f t="shared" si="72"/>
        <v>1</v>
      </c>
      <c r="X142" s="11">
        <f t="shared" si="73"/>
        <v>0</v>
      </c>
      <c r="Y142" s="19">
        <v>0</v>
      </c>
      <c r="Z142" s="11">
        <v>0</v>
      </c>
      <c r="AA142" s="11">
        <v>2</v>
      </c>
      <c r="AB142" s="11">
        <v>1</v>
      </c>
      <c r="AC142" s="11">
        <v>0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45">
        <v>0</v>
      </c>
      <c r="AJ142" s="45">
        <v>0</v>
      </c>
      <c r="AK142" s="45">
        <f t="shared" si="81"/>
        <v>0.3611</v>
      </c>
      <c r="AL142" s="45">
        <f t="shared" si="82"/>
        <v>0.00348095238095238</v>
      </c>
      <c r="AM142" s="45">
        <f t="shared" si="74"/>
        <v>0.0012569719047619</v>
      </c>
      <c r="AN142" s="45">
        <f t="shared" si="59"/>
        <v>0.792187500000004</v>
      </c>
      <c r="AO142" s="45">
        <f t="shared" si="75"/>
        <v>0.792187500000004</v>
      </c>
      <c r="AP142" s="45">
        <f t="shared" si="76"/>
        <v>1.05625</v>
      </c>
      <c r="AQ142" s="45">
        <f t="shared" si="77"/>
        <v>0</v>
      </c>
      <c r="AR142" s="45">
        <f t="shared" si="78"/>
        <v>0</v>
      </c>
      <c r="AS142" s="19">
        <f t="shared" si="83"/>
        <v>1.07916666666667</v>
      </c>
      <c r="AT142" s="19">
        <f t="shared" si="84"/>
        <v>1.03333333333334</v>
      </c>
      <c r="AU142" s="46">
        <v>0</v>
      </c>
      <c r="AV142" s="46">
        <v>0</v>
      </c>
      <c r="AW142" s="46">
        <v>0</v>
      </c>
      <c r="AX142" s="46">
        <v>1</v>
      </c>
      <c r="AY142" s="47">
        <v>0</v>
      </c>
      <c r="AZ142" s="47">
        <v>-1</v>
      </c>
    </row>
    <row r="143" hidden="1" customHeight="1" spans="1:52">
      <c r="A143" s="44">
        <v>45468</v>
      </c>
      <c r="B143" s="33">
        <f t="shared" si="62"/>
        <v>548</v>
      </c>
      <c r="C143" s="33">
        <f t="shared" si="63"/>
        <v>845</v>
      </c>
      <c r="D143" s="11">
        <f t="shared" si="64"/>
        <v>1393</v>
      </c>
      <c r="E143" s="34">
        <f t="shared" si="79"/>
        <v>-4.63492319531706e-6</v>
      </c>
      <c r="F143" s="35">
        <f t="shared" si="65"/>
        <v>0.000654123722276903</v>
      </c>
      <c r="G143" s="18">
        <f>(SUM($I$8:$I143)*(MAX(M$3-M$4,0))+(N143*MAX(M$4,0)))*(1-$AM$4)+(AM143*$AM$4)</f>
        <v>0.0889608262296588</v>
      </c>
      <c r="H143" s="18">
        <f t="shared" si="66"/>
        <v>0.75</v>
      </c>
      <c r="I143" s="18">
        <f t="shared" si="67"/>
        <v>0.000151515151515151</v>
      </c>
      <c r="J143" s="18">
        <f t="shared" si="68"/>
        <v>0.447420626037401</v>
      </c>
      <c r="K143" s="18">
        <f t="shared" si="69"/>
        <v>0.00100835652182956</v>
      </c>
      <c r="L143" s="18">
        <f t="shared" si="70"/>
        <v>0.000202020202020202</v>
      </c>
      <c r="M143" s="18">
        <v>0</v>
      </c>
      <c r="N143" s="18">
        <f t="shared" si="80"/>
        <v>0</v>
      </c>
      <c r="O143" s="11">
        <v>0</v>
      </c>
      <c r="P143" s="11">
        <v>0</v>
      </c>
      <c r="Q143" s="11">
        <f t="shared" si="61"/>
        <v>1</v>
      </c>
      <c r="R143" s="11">
        <v>0</v>
      </c>
      <c r="S143" s="11">
        <f t="shared" si="71"/>
        <v>0</v>
      </c>
      <c r="T143" s="11">
        <v>0</v>
      </c>
      <c r="U143" s="11">
        <f t="shared" si="60"/>
        <v>1</v>
      </c>
      <c r="V143" s="11">
        <v>0</v>
      </c>
      <c r="W143" s="11">
        <f t="shared" si="72"/>
        <v>1</v>
      </c>
      <c r="X143" s="11">
        <f t="shared" si="73"/>
        <v>0</v>
      </c>
      <c r="Y143" s="19">
        <v>0</v>
      </c>
      <c r="Z143" s="11">
        <v>0</v>
      </c>
      <c r="AA143" s="11">
        <v>1</v>
      </c>
      <c r="AB143" s="11">
        <v>0</v>
      </c>
      <c r="AC143" s="11">
        <v>0</v>
      </c>
      <c r="AD143" s="11">
        <v>0</v>
      </c>
      <c r="AE143" s="11">
        <v>0</v>
      </c>
      <c r="AF143" s="11">
        <v>0</v>
      </c>
      <c r="AG143" s="11">
        <v>0</v>
      </c>
      <c r="AH143" s="11">
        <v>0</v>
      </c>
      <c r="AI143" s="45">
        <v>0</v>
      </c>
      <c r="AJ143" s="45">
        <v>0</v>
      </c>
      <c r="AK143" s="45">
        <f t="shared" si="81"/>
        <v>0.3611</v>
      </c>
      <c r="AL143" s="45">
        <f t="shared" si="82"/>
        <v>0.00348095238095238</v>
      </c>
      <c r="AM143" s="45">
        <f t="shared" si="74"/>
        <v>0.0012569719047619</v>
      </c>
      <c r="AN143" s="45">
        <f t="shared" ref="AN143:AN206" si="85">IFERROR(AVERAGEIF(AO136:AO142,"&gt;0",AO136:AO142),0)</f>
        <v>0.792187500000004</v>
      </c>
      <c r="AO143" s="45">
        <f t="shared" si="75"/>
        <v>0.792187500000004</v>
      </c>
      <c r="AP143" s="45">
        <f t="shared" si="76"/>
        <v>1.05625</v>
      </c>
      <c r="AQ143" s="45">
        <f t="shared" si="77"/>
        <v>0</v>
      </c>
      <c r="AR143" s="45">
        <f t="shared" si="78"/>
        <v>0</v>
      </c>
      <c r="AS143" s="19">
        <f t="shared" si="83"/>
        <v>1.07916666666667</v>
      </c>
      <c r="AT143" s="19">
        <f t="shared" si="84"/>
        <v>1.03333333333334</v>
      </c>
      <c r="AU143" s="46">
        <v>0</v>
      </c>
      <c r="AV143" s="46">
        <v>0</v>
      </c>
      <c r="AW143" s="46">
        <v>0</v>
      </c>
      <c r="AX143" s="46">
        <v>1</v>
      </c>
      <c r="AY143" s="47">
        <v>0</v>
      </c>
      <c r="AZ143" s="47">
        <v>-1</v>
      </c>
    </row>
    <row r="144" hidden="1" customHeight="1" spans="1:52">
      <c r="A144" s="44">
        <v>45469</v>
      </c>
      <c r="B144" s="33">
        <f t="shared" si="62"/>
        <v>547</v>
      </c>
      <c r="C144" s="33">
        <f t="shared" si="63"/>
        <v>855</v>
      </c>
      <c r="D144" s="11">
        <f t="shared" si="64"/>
        <v>1402</v>
      </c>
      <c r="E144" s="34">
        <f t="shared" si="79"/>
        <v>-4.35989445590301e-6</v>
      </c>
      <c r="F144" s="35">
        <f t="shared" si="65"/>
        <v>0.000649763827821</v>
      </c>
      <c r="G144" s="18">
        <f>(SUM($I$8:$I144)*(MAX(M$3-M$4,0))+(N144*MAX(M$4,0)))*(1-$AM$4)+(AM144*$AM$4)</f>
        <v>0.0890176444114769</v>
      </c>
      <c r="H144" s="18">
        <f t="shared" si="66"/>
        <v>0.75</v>
      </c>
      <c r="I144" s="18">
        <f t="shared" si="67"/>
        <v>0.000303030303030303</v>
      </c>
      <c r="J144" s="18">
        <f t="shared" si="68"/>
        <v>0.444438458229564</v>
      </c>
      <c r="K144" s="18">
        <f t="shared" si="69"/>
        <v>0.00101565181310866</v>
      </c>
      <c r="L144" s="18">
        <f t="shared" si="70"/>
        <v>0.000404040404040404</v>
      </c>
      <c r="M144" s="18">
        <v>0</v>
      </c>
      <c r="N144" s="18">
        <f t="shared" si="80"/>
        <v>0</v>
      </c>
      <c r="O144" s="11">
        <v>0</v>
      </c>
      <c r="P144" s="11">
        <v>0</v>
      </c>
      <c r="Q144" s="11">
        <f t="shared" si="61"/>
        <v>1</v>
      </c>
      <c r="R144" s="11">
        <v>0</v>
      </c>
      <c r="S144" s="11">
        <f t="shared" si="71"/>
        <v>0</v>
      </c>
      <c r="T144" s="11">
        <v>0</v>
      </c>
      <c r="U144" s="11">
        <f t="shared" si="60"/>
        <v>1</v>
      </c>
      <c r="V144" s="11">
        <v>0</v>
      </c>
      <c r="W144" s="11">
        <f t="shared" si="72"/>
        <v>1</v>
      </c>
      <c r="X144" s="11">
        <f t="shared" si="73"/>
        <v>0</v>
      </c>
      <c r="Y144" s="19">
        <v>0</v>
      </c>
      <c r="Z144" s="11">
        <v>0</v>
      </c>
      <c r="AA144" s="11">
        <v>2</v>
      </c>
      <c r="AB144" s="11">
        <v>0</v>
      </c>
      <c r="AC144" s="11">
        <v>0</v>
      </c>
      <c r="AD144" s="11">
        <v>0</v>
      </c>
      <c r="AE144" s="11">
        <v>0</v>
      </c>
      <c r="AF144" s="11">
        <v>0</v>
      </c>
      <c r="AG144" s="11">
        <v>0</v>
      </c>
      <c r="AH144" s="11">
        <v>0</v>
      </c>
      <c r="AI144" s="45">
        <v>0</v>
      </c>
      <c r="AJ144" s="45">
        <v>0</v>
      </c>
      <c r="AK144" s="45">
        <f t="shared" si="81"/>
        <v>0.3611</v>
      </c>
      <c r="AL144" s="45">
        <f t="shared" si="82"/>
        <v>0.00348095238095238</v>
      </c>
      <c r="AM144" s="45">
        <f t="shared" si="74"/>
        <v>0.0012569719047619</v>
      </c>
      <c r="AN144" s="45">
        <f t="shared" si="85"/>
        <v>0.792187500000004</v>
      </c>
      <c r="AO144" s="45">
        <f t="shared" si="75"/>
        <v>0.792187500000004</v>
      </c>
      <c r="AP144" s="45">
        <f t="shared" si="76"/>
        <v>1.05625</v>
      </c>
      <c r="AQ144" s="45">
        <f t="shared" si="77"/>
        <v>0</v>
      </c>
      <c r="AR144" s="45">
        <f t="shared" si="78"/>
        <v>0</v>
      </c>
      <c r="AS144" s="19">
        <f t="shared" si="83"/>
        <v>1.07916666666667</v>
      </c>
      <c r="AT144" s="19">
        <f t="shared" si="84"/>
        <v>1.03333333333334</v>
      </c>
      <c r="AU144" s="46">
        <v>0</v>
      </c>
      <c r="AV144" s="46">
        <v>0</v>
      </c>
      <c r="AW144" s="46">
        <v>0</v>
      </c>
      <c r="AX144" s="46">
        <v>1</v>
      </c>
      <c r="AY144" s="47">
        <v>0</v>
      </c>
      <c r="AZ144" s="47">
        <v>-1</v>
      </c>
    </row>
    <row r="145" hidden="1" customHeight="1" spans="1:52">
      <c r="A145" s="44">
        <v>45470</v>
      </c>
      <c r="B145" s="33">
        <f t="shared" si="62"/>
        <v>546</v>
      </c>
      <c r="C145" s="33">
        <f t="shared" si="63"/>
        <v>865</v>
      </c>
      <c r="D145" s="11">
        <f t="shared" si="64"/>
        <v>1411</v>
      </c>
      <c r="E145" s="34">
        <f t="shared" si="79"/>
        <v>-4.29670757973058e-6</v>
      </c>
      <c r="F145" s="35">
        <f t="shared" si="65"/>
        <v>0.000645467120241269</v>
      </c>
      <c r="G145" s="18">
        <f>(SUM($I$8:$I145)*(MAX(M$3-M$4,0))+(N145*MAX(M$4,0)))*(1-$AM$4)+(AM145*$AM$4)</f>
        <v>0.0890744625932951</v>
      </c>
      <c r="H145" s="18">
        <f t="shared" si="66"/>
        <v>0.75</v>
      </c>
      <c r="I145" s="18">
        <f t="shared" si="67"/>
        <v>0.000303030303030303</v>
      </c>
      <c r="J145" s="18">
        <f t="shared" si="68"/>
        <v>0.441499510245028</v>
      </c>
      <c r="K145" s="18">
        <f t="shared" si="69"/>
        <v>0.0010228946698809</v>
      </c>
      <c r="L145" s="18">
        <f t="shared" si="70"/>
        <v>0.000404040404040404</v>
      </c>
      <c r="M145" s="18">
        <v>0</v>
      </c>
      <c r="N145" s="18">
        <f t="shared" si="80"/>
        <v>0</v>
      </c>
      <c r="O145" s="11">
        <v>0</v>
      </c>
      <c r="P145" s="11">
        <v>0</v>
      </c>
      <c r="Q145" s="11">
        <f t="shared" si="61"/>
        <v>1</v>
      </c>
      <c r="R145" s="11">
        <v>0</v>
      </c>
      <c r="S145" s="11">
        <f t="shared" si="71"/>
        <v>0</v>
      </c>
      <c r="T145" s="11">
        <v>0</v>
      </c>
      <c r="U145" s="11">
        <f t="shared" si="60"/>
        <v>1</v>
      </c>
      <c r="V145" s="11">
        <v>0</v>
      </c>
      <c r="W145" s="11">
        <f t="shared" si="72"/>
        <v>1</v>
      </c>
      <c r="X145" s="11">
        <f t="shared" si="73"/>
        <v>0</v>
      </c>
      <c r="Y145" s="19">
        <v>0</v>
      </c>
      <c r="Z145" s="11">
        <v>0</v>
      </c>
      <c r="AA145" s="11">
        <v>2</v>
      </c>
      <c r="AB145" s="11">
        <v>0</v>
      </c>
      <c r="AC145" s="11">
        <v>0</v>
      </c>
      <c r="AD145" s="11">
        <v>0</v>
      </c>
      <c r="AE145" s="11">
        <v>0</v>
      </c>
      <c r="AF145" s="11">
        <v>0</v>
      </c>
      <c r="AG145" s="11">
        <v>0</v>
      </c>
      <c r="AH145" s="11">
        <v>0</v>
      </c>
      <c r="AI145" s="45">
        <v>0</v>
      </c>
      <c r="AJ145" s="45">
        <v>0</v>
      </c>
      <c r="AK145" s="45">
        <f t="shared" si="81"/>
        <v>0.3611</v>
      </c>
      <c r="AL145" s="45">
        <f t="shared" si="82"/>
        <v>0.00348095238095238</v>
      </c>
      <c r="AM145" s="45">
        <f t="shared" si="74"/>
        <v>0.0012569719047619</v>
      </c>
      <c r="AN145" s="45">
        <f t="shared" si="85"/>
        <v>0.792187500000004</v>
      </c>
      <c r="AO145" s="45">
        <f t="shared" si="75"/>
        <v>0.792187500000004</v>
      </c>
      <c r="AP145" s="45">
        <f t="shared" si="76"/>
        <v>1.05625</v>
      </c>
      <c r="AQ145" s="45">
        <f t="shared" si="77"/>
        <v>0</v>
      </c>
      <c r="AR145" s="45">
        <f t="shared" si="78"/>
        <v>0</v>
      </c>
      <c r="AS145" s="19">
        <f t="shared" si="83"/>
        <v>1.07916666666667</v>
      </c>
      <c r="AT145" s="19">
        <f t="shared" si="84"/>
        <v>1.03333333333334</v>
      </c>
      <c r="AU145" s="46">
        <v>0</v>
      </c>
      <c r="AV145" s="46">
        <v>0</v>
      </c>
      <c r="AW145" s="46">
        <v>0</v>
      </c>
      <c r="AX145" s="46">
        <v>1</v>
      </c>
      <c r="AY145" s="47">
        <v>0</v>
      </c>
      <c r="AZ145" s="47">
        <v>-1</v>
      </c>
    </row>
    <row r="146" hidden="1" customHeight="1" spans="1:52">
      <c r="A146" s="44">
        <v>45471</v>
      </c>
      <c r="B146" s="33">
        <f t="shared" si="62"/>
        <v>545</v>
      </c>
      <c r="C146" s="33">
        <f t="shared" si="63"/>
        <v>876</v>
      </c>
      <c r="D146" s="11">
        <f t="shared" si="64"/>
        <v>1421</v>
      </c>
      <c r="E146" s="34">
        <f t="shared" si="79"/>
        <v>-4.43926639807316e-6</v>
      </c>
      <c r="F146" s="35">
        <f t="shared" si="65"/>
        <v>0.000641027853843196</v>
      </c>
      <c r="G146" s="18">
        <f>(SUM($I$8:$I146)*(MAX(M$3-M$4,0))+(N146*MAX(M$4,0)))*(1-$AM$4)+(AM146*$AM$4)</f>
        <v>0.0891028716842042</v>
      </c>
      <c r="H146" s="18">
        <f t="shared" si="66"/>
        <v>0.75</v>
      </c>
      <c r="I146" s="18">
        <f t="shared" si="67"/>
        <v>0.000151515151515151</v>
      </c>
      <c r="J146" s="18">
        <f t="shared" si="68"/>
        <v>0.438463052028746</v>
      </c>
      <c r="K146" s="18">
        <f t="shared" si="69"/>
        <v>0.00103034302380047</v>
      </c>
      <c r="L146" s="18">
        <f t="shared" si="70"/>
        <v>0.000202020202020202</v>
      </c>
      <c r="M146" s="18">
        <v>0</v>
      </c>
      <c r="N146" s="18">
        <f t="shared" si="80"/>
        <v>0</v>
      </c>
      <c r="O146" s="11">
        <v>0</v>
      </c>
      <c r="P146" s="11">
        <v>0</v>
      </c>
      <c r="Q146" s="11">
        <f t="shared" si="61"/>
        <v>1</v>
      </c>
      <c r="R146" s="11">
        <v>0</v>
      </c>
      <c r="S146" s="11">
        <f t="shared" si="71"/>
        <v>0</v>
      </c>
      <c r="T146" s="11">
        <v>0</v>
      </c>
      <c r="U146" s="11">
        <f t="shared" si="60"/>
        <v>1</v>
      </c>
      <c r="V146" s="11">
        <v>0</v>
      </c>
      <c r="W146" s="11">
        <f t="shared" si="72"/>
        <v>1</v>
      </c>
      <c r="X146" s="11">
        <f t="shared" si="73"/>
        <v>0</v>
      </c>
      <c r="Y146" s="19">
        <v>0</v>
      </c>
      <c r="Z146" s="11">
        <v>0</v>
      </c>
      <c r="AA146" s="11">
        <v>1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45">
        <v>0</v>
      </c>
      <c r="AJ146" s="45">
        <v>0</v>
      </c>
      <c r="AK146" s="45">
        <f t="shared" si="81"/>
        <v>0.3611</v>
      </c>
      <c r="AL146" s="45">
        <f t="shared" si="82"/>
        <v>0.00348095238095238</v>
      </c>
      <c r="AM146" s="45">
        <f t="shared" si="74"/>
        <v>0.0012569719047619</v>
      </c>
      <c r="AN146" s="45">
        <f t="shared" si="85"/>
        <v>0.792187500000004</v>
      </c>
      <c r="AO146" s="45">
        <f t="shared" si="75"/>
        <v>0.792187500000004</v>
      </c>
      <c r="AP146" s="45">
        <f t="shared" si="76"/>
        <v>1.05625</v>
      </c>
      <c r="AQ146" s="45">
        <f t="shared" si="77"/>
        <v>0</v>
      </c>
      <c r="AR146" s="45">
        <f t="shared" si="78"/>
        <v>0</v>
      </c>
      <c r="AS146" s="19">
        <f t="shared" si="83"/>
        <v>1.07916666666667</v>
      </c>
      <c r="AT146" s="19">
        <f t="shared" si="84"/>
        <v>1.03333333333334</v>
      </c>
      <c r="AU146" s="46">
        <v>0</v>
      </c>
      <c r="AV146" s="46">
        <v>0</v>
      </c>
      <c r="AW146" s="46">
        <v>0</v>
      </c>
      <c r="AX146" s="46">
        <v>1</v>
      </c>
      <c r="AY146" s="47">
        <v>0</v>
      </c>
      <c r="AZ146" s="47">
        <v>-1</v>
      </c>
    </row>
    <row r="147" hidden="1" customHeight="1" spans="1:52">
      <c r="A147" s="44">
        <v>45472</v>
      </c>
      <c r="B147" s="33">
        <f t="shared" si="62"/>
        <v>544</v>
      </c>
      <c r="C147" s="33">
        <f t="shared" si="63"/>
        <v>886</v>
      </c>
      <c r="D147" s="11">
        <f t="shared" si="64"/>
        <v>1430</v>
      </c>
      <c r="E147" s="34">
        <f t="shared" si="79"/>
        <v>-4.17292622875015e-6</v>
      </c>
      <c r="F147" s="35">
        <f t="shared" si="65"/>
        <v>0.000636854927614446</v>
      </c>
      <c r="G147" s="18">
        <f>(SUM($I$8:$I147)*(MAX(M$3-M$4,0))+(N147*MAX(M$4,0)))*(1-$AM$4)+(AM147*$AM$4)</f>
        <v>0.0891596898660224</v>
      </c>
      <c r="H147" s="18">
        <f t="shared" si="66"/>
        <v>0.75</v>
      </c>
      <c r="I147" s="18">
        <f t="shared" si="67"/>
        <v>0.000303030303030303</v>
      </c>
      <c r="J147" s="18">
        <f t="shared" si="68"/>
        <v>0.435608770488281</v>
      </c>
      <c r="K147" s="18">
        <f t="shared" si="69"/>
        <v>0.0010374838777789</v>
      </c>
      <c r="L147" s="18">
        <f t="shared" si="70"/>
        <v>0.000404040404040404</v>
      </c>
      <c r="M147" s="18">
        <v>0</v>
      </c>
      <c r="N147" s="18">
        <f t="shared" si="80"/>
        <v>0</v>
      </c>
      <c r="O147" s="11">
        <v>0</v>
      </c>
      <c r="P147" s="11">
        <v>0</v>
      </c>
      <c r="Q147" s="11">
        <f t="shared" si="61"/>
        <v>1</v>
      </c>
      <c r="R147" s="11">
        <v>0</v>
      </c>
      <c r="S147" s="11">
        <f t="shared" si="71"/>
        <v>0</v>
      </c>
      <c r="T147" s="11">
        <v>0</v>
      </c>
      <c r="U147" s="11">
        <f t="shared" si="60"/>
        <v>1</v>
      </c>
      <c r="V147" s="11">
        <v>0</v>
      </c>
      <c r="W147" s="11">
        <f t="shared" si="72"/>
        <v>1</v>
      </c>
      <c r="X147" s="11">
        <f t="shared" si="73"/>
        <v>0</v>
      </c>
      <c r="Y147" s="19">
        <v>0</v>
      </c>
      <c r="Z147" s="11">
        <v>0</v>
      </c>
      <c r="AA147" s="11">
        <v>2</v>
      </c>
      <c r="AB147" s="11">
        <v>0</v>
      </c>
      <c r="AC147" s="11">
        <v>0</v>
      </c>
      <c r="AD147" s="11">
        <v>0</v>
      </c>
      <c r="AE147" s="11">
        <v>0</v>
      </c>
      <c r="AF147" s="11">
        <v>0</v>
      </c>
      <c r="AG147" s="11">
        <v>0</v>
      </c>
      <c r="AH147" s="11">
        <v>0</v>
      </c>
      <c r="AI147" s="45">
        <v>0</v>
      </c>
      <c r="AJ147" s="45">
        <v>0</v>
      </c>
      <c r="AK147" s="45">
        <f t="shared" si="81"/>
        <v>0.3611</v>
      </c>
      <c r="AL147" s="45">
        <f t="shared" si="82"/>
        <v>0.00348095238095238</v>
      </c>
      <c r="AM147" s="45">
        <f t="shared" si="74"/>
        <v>0.0012569719047619</v>
      </c>
      <c r="AN147" s="45">
        <f t="shared" si="85"/>
        <v>0.792187500000004</v>
      </c>
      <c r="AO147" s="45">
        <f t="shared" si="75"/>
        <v>0.792187500000004</v>
      </c>
      <c r="AP147" s="45">
        <f t="shared" si="76"/>
        <v>1.05625</v>
      </c>
      <c r="AQ147" s="45">
        <f t="shared" si="77"/>
        <v>0</v>
      </c>
      <c r="AR147" s="45">
        <f t="shared" si="78"/>
        <v>0</v>
      </c>
      <c r="AS147" s="19">
        <f t="shared" si="83"/>
        <v>1.07916666666667</v>
      </c>
      <c r="AT147" s="19">
        <f t="shared" si="84"/>
        <v>1.03333333333334</v>
      </c>
      <c r="AU147" s="46">
        <v>0</v>
      </c>
      <c r="AV147" s="46">
        <v>0</v>
      </c>
      <c r="AW147" s="46">
        <v>0</v>
      </c>
      <c r="AX147" s="46">
        <v>1</v>
      </c>
      <c r="AY147" s="47">
        <v>0</v>
      </c>
      <c r="AZ147" s="47">
        <v>-1</v>
      </c>
    </row>
    <row r="148" hidden="1" customHeight="1" spans="1:52">
      <c r="A148" s="44">
        <v>45473</v>
      </c>
      <c r="B148" s="33">
        <f t="shared" si="62"/>
        <v>543</v>
      </c>
      <c r="C148" s="33">
        <f t="shared" si="63"/>
        <v>896</v>
      </c>
      <c r="D148" s="11">
        <f t="shared" si="64"/>
        <v>1439</v>
      </c>
      <c r="E148" s="34">
        <f t="shared" si="79"/>
        <v>-4.11373578578921e-6</v>
      </c>
      <c r="F148" s="35">
        <f t="shared" si="65"/>
        <v>0.000632741191828657</v>
      </c>
      <c r="G148" s="18">
        <f>(SUM($I$8:$I148)*(MAX(M$3-M$4,0))+(N148*MAX(M$4,0)))*(1-$AM$4)+(AM148*$AM$4)</f>
        <v>0.0892165080478406</v>
      </c>
      <c r="H148" s="18">
        <f t="shared" si="66"/>
        <v>0.75</v>
      </c>
      <c r="I148" s="18">
        <f t="shared" si="67"/>
        <v>0.000303030303030303</v>
      </c>
      <c r="J148" s="18">
        <f t="shared" si="68"/>
        <v>0.432794975210801</v>
      </c>
      <c r="K148" s="18">
        <f t="shared" si="69"/>
        <v>0.00104457647290829</v>
      </c>
      <c r="L148" s="18">
        <f t="shared" si="70"/>
        <v>0.000404040404040404</v>
      </c>
      <c r="M148" s="18">
        <v>0</v>
      </c>
      <c r="N148" s="18">
        <f t="shared" si="80"/>
        <v>0</v>
      </c>
      <c r="O148" s="11">
        <v>0</v>
      </c>
      <c r="P148" s="11">
        <v>0</v>
      </c>
      <c r="Q148" s="11">
        <f t="shared" si="61"/>
        <v>1</v>
      </c>
      <c r="R148" s="11">
        <v>0</v>
      </c>
      <c r="S148" s="11">
        <f t="shared" si="71"/>
        <v>0</v>
      </c>
      <c r="T148" s="11">
        <v>0</v>
      </c>
      <c r="U148" s="11">
        <f t="shared" si="60"/>
        <v>1</v>
      </c>
      <c r="V148" s="11">
        <v>0</v>
      </c>
      <c r="W148" s="11">
        <f t="shared" si="72"/>
        <v>1</v>
      </c>
      <c r="X148" s="11">
        <f t="shared" si="73"/>
        <v>0</v>
      </c>
      <c r="Y148" s="19">
        <v>0</v>
      </c>
      <c r="Z148" s="11">
        <v>0</v>
      </c>
      <c r="AA148" s="11">
        <v>2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45">
        <v>0</v>
      </c>
      <c r="AJ148" s="45">
        <v>0</v>
      </c>
      <c r="AK148" s="45">
        <f t="shared" si="81"/>
        <v>0.3611</v>
      </c>
      <c r="AL148" s="45">
        <f t="shared" si="82"/>
        <v>0.00348095238095238</v>
      </c>
      <c r="AM148" s="45">
        <f t="shared" si="74"/>
        <v>0.0012569719047619</v>
      </c>
      <c r="AN148" s="45">
        <f t="shared" si="85"/>
        <v>0.792187500000004</v>
      </c>
      <c r="AO148" s="45">
        <f t="shared" si="75"/>
        <v>0.792187500000004</v>
      </c>
      <c r="AP148" s="45">
        <f t="shared" si="76"/>
        <v>1.05625</v>
      </c>
      <c r="AQ148" s="45">
        <f t="shared" si="77"/>
        <v>0</v>
      </c>
      <c r="AR148" s="45">
        <f t="shared" si="78"/>
        <v>0</v>
      </c>
      <c r="AS148" s="19">
        <f t="shared" si="83"/>
        <v>1.07916666666667</v>
      </c>
      <c r="AT148" s="19">
        <f t="shared" si="84"/>
        <v>1.03333333333334</v>
      </c>
      <c r="AU148" s="46">
        <v>0</v>
      </c>
      <c r="AV148" s="46">
        <v>0</v>
      </c>
      <c r="AW148" s="46">
        <v>0</v>
      </c>
      <c r="AX148" s="46">
        <v>1</v>
      </c>
      <c r="AY148" s="47">
        <v>0</v>
      </c>
      <c r="AZ148" s="47">
        <v>-1</v>
      </c>
    </row>
    <row r="149" hidden="1" customHeight="1" spans="1:52">
      <c r="A149" s="44">
        <v>45474</v>
      </c>
      <c r="B149" s="33">
        <f t="shared" si="62"/>
        <v>542</v>
      </c>
      <c r="C149" s="33">
        <f t="shared" si="63"/>
        <v>908</v>
      </c>
      <c r="D149" s="11">
        <f t="shared" si="64"/>
        <v>1450</v>
      </c>
      <c r="E149" s="34">
        <f t="shared" si="79"/>
        <v>-4.45592388611735e-6</v>
      </c>
      <c r="F149" s="35">
        <f t="shared" si="65"/>
        <v>0.000628285267942539</v>
      </c>
      <c r="G149" s="18">
        <f>(SUM($I$8:$I149)*(MAX(M$3-M$4,0))+(N149*MAX(M$4,0)))*(1-$AM$4)+(AM149*$AM$4)</f>
        <v>0.0892165080478406</v>
      </c>
      <c r="H149" s="18">
        <f t="shared" si="66"/>
        <v>0.791666666666667</v>
      </c>
      <c r="I149" s="18">
        <f t="shared" si="67"/>
        <v>0</v>
      </c>
      <c r="J149" s="18">
        <f t="shared" si="68"/>
        <v>0.429747123272697</v>
      </c>
      <c r="K149" s="18">
        <f t="shared" si="69"/>
        <v>0.00105212707883266</v>
      </c>
      <c r="L149" s="18">
        <f t="shared" si="70"/>
        <v>0</v>
      </c>
      <c r="M149" s="18">
        <v>0</v>
      </c>
      <c r="N149" s="18">
        <f t="shared" si="80"/>
        <v>0</v>
      </c>
      <c r="O149" s="11">
        <v>0</v>
      </c>
      <c r="P149" s="11">
        <v>0</v>
      </c>
      <c r="Q149" s="11">
        <f t="shared" si="61"/>
        <v>1</v>
      </c>
      <c r="R149" s="11">
        <v>0</v>
      </c>
      <c r="S149" s="11">
        <f t="shared" si="71"/>
        <v>0</v>
      </c>
      <c r="T149" s="11">
        <v>0</v>
      </c>
      <c r="U149" s="11">
        <f t="shared" si="60"/>
        <v>1</v>
      </c>
      <c r="V149" s="11">
        <v>0</v>
      </c>
      <c r="W149" s="11">
        <f t="shared" si="72"/>
        <v>1</v>
      </c>
      <c r="X149" s="11">
        <f t="shared" si="73"/>
        <v>0</v>
      </c>
      <c r="Y149" s="19">
        <v>0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11">
        <v>0</v>
      </c>
      <c r="AG149" s="11">
        <v>0</v>
      </c>
      <c r="AH149" s="11">
        <v>0</v>
      </c>
      <c r="AI149" s="45">
        <v>0</v>
      </c>
      <c r="AJ149" s="45">
        <v>0</v>
      </c>
      <c r="AK149" s="45">
        <f t="shared" si="81"/>
        <v>0.3611</v>
      </c>
      <c r="AL149" s="45">
        <f t="shared" si="82"/>
        <v>0.00348095238095238</v>
      </c>
      <c r="AM149" s="45">
        <f t="shared" si="74"/>
        <v>0.0012569719047619</v>
      </c>
      <c r="AN149" s="45">
        <f t="shared" si="85"/>
        <v>0.792187500000004</v>
      </c>
      <c r="AO149" s="45">
        <f t="shared" si="75"/>
        <v>0.792187500000004</v>
      </c>
      <c r="AP149" s="45">
        <f t="shared" si="76"/>
        <v>1.05625</v>
      </c>
      <c r="AQ149" s="45">
        <f t="shared" si="77"/>
        <v>0</v>
      </c>
      <c r="AR149" s="45">
        <f t="shared" si="78"/>
        <v>0</v>
      </c>
      <c r="AS149" s="19">
        <f t="shared" si="83"/>
        <v>1.07916666666667</v>
      </c>
      <c r="AT149" s="19">
        <f t="shared" si="84"/>
        <v>1.03333333333334</v>
      </c>
      <c r="AU149" s="46">
        <v>0</v>
      </c>
      <c r="AV149" s="46">
        <v>0</v>
      </c>
      <c r="AW149" s="46">
        <v>0</v>
      </c>
      <c r="AX149" s="46">
        <v>1</v>
      </c>
      <c r="AY149" s="47">
        <v>0</v>
      </c>
      <c r="AZ149" s="47">
        <v>-1</v>
      </c>
    </row>
    <row r="150" hidden="1" customHeight="1" spans="1:52">
      <c r="A150" s="44">
        <v>45475</v>
      </c>
      <c r="B150" s="33">
        <f t="shared" si="62"/>
        <v>541</v>
      </c>
      <c r="C150" s="33">
        <f t="shared" si="63"/>
        <v>919</v>
      </c>
      <c r="D150" s="11">
        <f t="shared" si="64"/>
        <v>1460</v>
      </c>
      <c r="E150" s="34">
        <f t="shared" si="79"/>
        <v>-4.39360327232543e-6</v>
      </c>
      <c r="F150" s="35">
        <f t="shared" si="65"/>
        <v>0.000623891664670214</v>
      </c>
      <c r="G150" s="18">
        <f>(SUM($I$8:$I150)*(MAX(M$3-M$4,0))+(N150*MAX(M$4,0)))*(1-$AM$4)+(AM150*$AM$4)</f>
        <v>0.0892165080478406</v>
      </c>
      <c r="H150" s="18">
        <f t="shared" si="66"/>
        <v>0.791666666666667</v>
      </c>
      <c r="I150" s="18">
        <f t="shared" si="67"/>
        <v>0</v>
      </c>
      <c r="J150" s="18">
        <f t="shared" si="68"/>
        <v>0.426741898634426</v>
      </c>
      <c r="K150" s="18">
        <f t="shared" si="69"/>
        <v>0.00105962680474228</v>
      </c>
      <c r="L150" s="18">
        <f t="shared" si="70"/>
        <v>0</v>
      </c>
      <c r="M150" s="18">
        <v>0</v>
      </c>
      <c r="N150" s="18">
        <f t="shared" si="80"/>
        <v>0</v>
      </c>
      <c r="O150" s="11">
        <v>0</v>
      </c>
      <c r="P150" s="11">
        <v>0</v>
      </c>
      <c r="Q150" s="11">
        <f t="shared" si="61"/>
        <v>1</v>
      </c>
      <c r="R150" s="11">
        <v>0</v>
      </c>
      <c r="S150" s="11">
        <f t="shared" si="71"/>
        <v>0</v>
      </c>
      <c r="T150" s="11">
        <v>0</v>
      </c>
      <c r="U150" s="11">
        <f t="shared" si="60"/>
        <v>1</v>
      </c>
      <c r="V150" s="11">
        <v>0</v>
      </c>
      <c r="W150" s="11">
        <f t="shared" si="72"/>
        <v>1</v>
      </c>
      <c r="X150" s="11">
        <f t="shared" si="73"/>
        <v>0</v>
      </c>
      <c r="Y150" s="19">
        <v>0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45">
        <v>0</v>
      </c>
      <c r="AJ150" s="45">
        <v>0</v>
      </c>
      <c r="AK150" s="45">
        <f t="shared" si="81"/>
        <v>0.3611</v>
      </c>
      <c r="AL150" s="45">
        <f t="shared" si="82"/>
        <v>0.00348095238095238</v>
      </c>
      <c r="AM150" s="45">
        <f t="shared" si="74"/>
        <v>0.0012569719047619</v>
      </c>
      <c r="AN150" s="45">
        <f t="shared" si="85"/>
        <v>0.792187500000004</v>
      </c>
      <c r="AO150" s="45">
        <f t="shared" si="75"/>
        <v>0.792187500000004</v>
      </c>
      <c r="AP150" s="45">
        <f t="shared" si="76"/>
        <v>1.05625</v>
      </c>
      <c r="AQ150" s="45">
        <f t="shared" si="77"/>
        <v>0</v>
      </c>
      <c r="AR150" s="45">
        <f t="shared" si="78"/>
        <v>0</v>
      </c>
      <c r="AS150" s="19">
        <f t="shared" si="83"/>
        <v>1.07916666666667</v>
      </c>
      <c r="AT150" s="19">
        <f t="shared" si="84"/>
        <v>1.03333333333334</v>
      </c>
      <c r="AU150" s="46">
        <v>0</v>
      </c>
      <c r="AV150" s="46">
        <v>0</v>
      </c>
      <c r="AW150" s="46">
        <v>0</v>
      </c>
      <c r="AX150" s="46">
        <v>1</v>
      </c>
      <c r="AY150" s="47">
        <v>0</v>
      </c>
      <c r="AZ150" s="47">
        <v>-1</v>
      </c>
    </row>
    <row r="151" hidden="1" customHeight="1" spans="1:52">
      <c r="A151" s="44">
        <v>45476</v>
      </c>
      <c r="B151" s="33">
        <f t="shared" si="62"/>
        <v>540</v>
      </c>
      <c r="C151" s="33">
        <f t="shared" si="63"/>
        <v>930</v>
      </c>
      <c r="D151" s="11">
        <f t="shared" si="64"/>
        <v>1470</v>
      </c>
      <c r="E151" s="34">
        <f t="shared" si="79"/>
        <v>-4.33258100465423e-6</v>
      </c>
      <c r="F151" s="35">
        <f t="shared" si="65"/>
        <v>0.000619559083665559</v>
      </c>
      <c r="G151" s="18">
        <f>(SUM($I$8:$I151)*(MAX(M$3-M$4,0))+(N151*MAX(M$4,0)))*(1-$AM$4)+(AM151*$AM$4)</f>
        <v>0.0892165080478406</v>
      </c>
      <c r="H151" s="18">
        <f t="shared" si="66"/>
        <v>0.791666666666667</v>
      </c>
      <c r="I151" s="18">
        <f t="shared" si="67"/>
        <v>0</v>
      </c>
      <c r="J151" s="18">
        <f t="shared" si="68"/>
        <v>0.423778413227243</v>
      </c>
      <c r="K151" s="18">
        <f t="shared" si="69"/>
        <v>0.00106707701254214</v>
      </c>
      <c r="L151" s="18">
        <f t="shared" si="70"/>
        <v>0</v>
      </c>
      <c r="M151" s="18">
        <v>0</v>
      </c>
      <c r="N151" s="18">
        <f t="shared" si="80"/>
        <v>0</v>
      </c>
      <c r="O151" s="11">
        <v>0</v>
      </c>
      <c r="P151" s="11">
        <v>0</v>
      </c>
      <c r="Q151" s="11">
        <f t="shared" si="61"/>
        <v>1</v>
      </c>
      <c r="R151" s="11">
        <v>0</v>
      </c>
      <c r="S151" s="11">
        <f t="shared" si="71"/>
        <v>0</v>
      </c>
      <c r="T151" s="11">
        <v>0</v>
      </c>
      <c r="U151" s="11">
        <f t="shared" si="60"/>
        <v>1</v>
      </c>
      <c r="V151" s="11">
        <v>0</v>
      </c>
      <c r="W151" s="11">
        <f t="shared" si="72"/>
        <v>1</v>
      </c>
      <c r="X151" s="11">
        <f t="shared" si="73"/>
        <v>0</v>
      </c>
      <c r="Y151" s="19">
        <v>0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11">
        <v>0</v>
      </c>
      <c r="AG151" s="11">
        <v>0</v>
      </c>
      <c r="AH151" s="11">
        <v>0</v>
      </c>
      <c r="AI151" s="45">
        <v>0</v>
      </c>
      <c r="AJ151" s="45">
        <v>0</v>
      </c>
      <c r="AK151" s="45">
        <f t="shared" si="81"/>
        <v>0.3611</v>
      </c>
      <c r="AL151" s="45">
        <f t="shared" si="82"/>
        <v>0.00348095238095238</v>
      </c>
      <c r="AM151" s="45">
        <f t="shared" si="74"/>
        <v>0.0012569719047619</v>
      </c>
      <c r="AN151" s="45">
        <f t="shared" si="85"/>
        <v>0.792187500000004</v>
      </c>
      <c r="AO151" s="45">
        <f t="shared" si="75"/>
        <v>0.792187500000004</v>
      </c>
      <c r="AP151" s="45">
        <f t="shared" si="76"/>
        <v>1.05625</v>
      </c>
      <c r="AQ151" s="45">
        <f t="shared" si="77"/>
        <v>0</v>
      </c>
      <c r="AR151" s="45">
        <f t="shared" si="78"/>
        <v>0</v>
      </c>
      <c r="AS151" s="19">
        <f t="shared" si="83"/>
        <v>1.07916666666667</v>
      </c>
      <c r="AT151" s="19">
        <f t="shared" si="84"/>
        <v>1.03333333333334</v>
      </c>
      <c r="AU151" s="46">
        <v>0</v>
      </c>
      <c r="AV151" s="46">
        <v>0</v>
      </c>
      <c r="AW151" s="46">
        <v>0</v>
      </c>
      <c r="AX151" s="46">
        <v>1</v>
      </c>
      <c r="AY151" s="47">
        <v>0</v>
      </c>
      <c r="AZ151" s="47">
        <v>-1</v>
      </c>
    </row>
    <row r="152" hidden="1" customHeight="1" spans="1:52">
      <c r="A152" s="44">
        <v>45477</v>
      </c>
      <c r="B152" s="33">
        <f t="shared" si="62"/>
        <v>539</v>
      </c>
      <c r="C152" s="33">
        <f t="shared" si="63"/>
        <v>941</v>
      </c>
      <c r="D152" s="11">
        <f t="shared" si="64"/>
        <v>1480</v>
      </c>
      <c r="E152" s="34">
        <f t="shared" si="79"/>
        <v>-4.27282126665911e-6</v>
      </c>
      <c r="F152" s="35">
        <f t="shared" si="65"/>
        <v>0.0006152862623989</v>
      </c>
      <c r="G152" s="18">
        <f>(SUM($I$8:$I152)*(MAX(M$3-M$4,0))+(N152*MAX(M$4,0)))*(1-$AM$4)+(AM152*$AM$4)</f>
        <v>0.0892165080478406</v>
      </c>
      <c r="H152" s="18">
        <f t="shared" si="66"/>
        <v>0.791666666666667</v>
      </c>
      <c r="I152" s="18">
        <f t="shared" si="67"/>
        <v>0</v>
      </c>
      <c r="J152" s="18">
        <f t="shared" si="68"/>
        <v>0.420855803480848</v>
      </c>
      <c r="K152" s="18">
        <f t="shared" si="69"/>
        <v>0.00107447902879249</v>
      </c>
      <c r="L152" s="18">
        <f t="shared" si="70"/>
        <v>0</v>
      </c>
      <c r="M152" s="18">
        <v>0</v>
      </c>
      <c r="N152" s="18">
        <f t="shared" si="80"/>
        <v>0</v>
      </c>
      <c r="O152" s="11">
        <v>0</v>
      </c>
      <c r="P152" s="11">
        <v>0</v>
      </c>
      <c r="Q152" s="11">
        <f t="shared" si="61"/>
        <v>1</v>
      </c>
      <c r="R152" s="11">
        <v>0</v>
      </c>
      <c r="S152" s="11">
        <f t="shared" si="71"/>
        <v>0</v>
      </c>
      <c r="T152" s="11">
        <v>0</v>
      </c>
      <c r="U152" s="11">
        <f t="shared" si="60"/>
        <v>1</v>
      </c>
      <c r="V152" s="11">
        <v>0</v>
      </c>
      <c r="W152" s="11">
        <f t="shared" si="72"/>
        <v>1</v>
      </c>
      <c r="X152" s="11">
        <f t="shared" si="73"/>
        <v>0</v>
      </c>
      <c r="Y152" s="19">
        <v>0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45">
        <v>0</v>
      </c>
      <c r="AJ152" s="45">
        <v>0</v>
      </c>
      <c r="AK152" s="45">
        <f t="shared" si="81"/>
        <v>0.3611</v>
      </c>
      <c r="AL152" s="45">
        <f t="shared" si="82"/>
        <v>0.00348095238095238</v>
      </c>
      <c r="AM152" s="45">
        <f t="shared" si="74"/>
        <v>0.0012569719047619</v>
      </c>
      <c r="AN152" s="45">
        <f t="shared" si="85"/>
        <v>0.792187500000004</v>
      </c>
      <c r="AO152" s="45">
        <f t="shared" si="75"/>
        <v>0.792187500000004</v>
      </c>
      <c r="AP152" s="45">
        <f t="shared" si="76"/>
        <v>1.05625</v>
      </c>
      <c r="AQ152" s="45">
        <f t="shared" si="77"/>
        <v>0</v>
      </c>
      <c r="AR152" s="45">
        <f t="shared" si="78"/>
        <v>0</v>
      </c>
      <c r="AS152" s="19">
        <f t="shared" si="83"/>
        <v>1.07916666666667</v>
      </c>
      <c r="AT152" s="19">
        <f t="shared" si="84"/>
        <v>1.03333333333334</v>
      </c>
      <c r="AU152" s="46">
        <v>0</v>
      </c>
      <c r="AV152" s="46">
        <v>0</v>
      </c>
      <c r="AW152" s="46">
        <v>0</v>
      </c>
      <c r="AX152" s="46">
        <v>1</v>
      </c>
      <c r="AY152" s="47">
        <v>0</v>
      </c>
      <c r="AZ152" s="47">
        <v>-1</v>
      </c>
    </row>
    <row r="153" hidden="1" customHeight="1" spans="1:52">
      <c r="A153" s="44">
        <v>45478</v>
      </c>
      <c r="B153" s="33">
        <f t="shared" si="62"/>
        <v>538</v>
      </c>
      <c r="C153" s="33">
        <f t="shared" si="63"/>
        <v>952</v>
      </c>
      <c r="D153" s="11">
        <f t="shared" si="64"/>
        <v>1490</v>
      </c>
      <c r="E153" s="34">
        <f t="shared" si="79"/>
        <v>-4.21428946848553e-6</v>
      </c>
      <c r="F153" s="35">
        <f t="shared" si="65"/>
        <v>0.000611071972930415</v>
      </c>
      <c r="G153" s="18">
        <f>(SUM($I$8:$I153)*(MAX(M$3-M$4,0))+(N153*MAX(M$4,0)))*(1-$AM$4)+(AM153*$AM$4)</f>
        <v>0.0892165080478406</v>
      </c>
      <c r="H153" s="18">
        <f t="shared" si="66"/>
        <v>0.791666666666667</v>
      </c>
      <c r="I153" s="18">
        <f t="shared" si="67"/>
        <v>0</v>
      </c>
      <c r="J153" s="18">
        <f t="shared" si="68"/>
        <v>0.417973229484404</v>
      </c>
      <c r="K153" s="18">
        <f t="shared" si="69"/>
        <v>0.00108183414593977</v>
      </c>
      <c r="L153" s="18">
        <f t="shared" si="70"/>
        <v>0</v>
      </c>
      <c r="M153" s="18">
        <v>0</v>
      </c>
      <c r="N153" s="18">
        <f t="shared" si="80"/>
        <v>0</v>
      </c>
      <c r="O153" s="11">
        <v>0</v>
      </c>
      <c r="P153" s="11">
        <v>0</v>
      </c>
      <c r="Q153" s="11">
        <f t="shared" si="61"/>
        <v>1</v>
      </c>
      <c r="R153" s="11">
        <v>0</v>
      </c>
      <c r="S153" s="11">
        <f t="shared" si="71"/>
        <v>0</v>
      </c>
      <c r="T153" s="11">
        <v>0</v>
      </c>
      <c r="U153" s="11">
        <f t="shared" si="60"/>
        <v>1</v>
      </c>
      <c r="V153" s="11">
        <v>0</v>
      </c>
      <c r="W153" s="11">
        <f t="shared" si="72"/>
        <v>1</v>
      </c>
      <c r="X153" s="11">
        <f t="shared" si="73"/>
        <v>0</v>
      </c>
      <c r="Y153" s="19">
        <v>0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0</v>
      </c>
      <c r="AF153" s="11">
        <v>0</v>
      </c>
      <c r="AG153" s="11">
        <v>0</v>
      </c>
      <c r="AH153" s="11">
        <v>0</v>
      </c>
      <c r="AI153" s="45">
        <v>0</v>
      </c>
      <c r="AJ153" s="45">
        <v>0</v>
      </c>
      <c r="AK153" s="45">
        <f t="shared" si="81"/>
        <v>0.3611</v>
      </c>
      <c r="AL153" s="45">
        <f t="shared" si="82"/>
        <v>0.00348095238095238</v>
      </c>
      <c r="AM153" s="45">
        <f t="shared" si="74"/>
        <v>0.0012569719047619</v>
      </c>
      <c r="AN153" s="45">
        <f t="shared" si="85"/>
        <v>0.792187500000004</v>
      </c>
      <c r="AO153" s="45">
        <f t="shared" si="75"/>
        <v>0.792187500000004</v>
      </c>
      <c r="AP153" s="45">
        <f t="shared" si="76"/>
        <v>1.05625</v>
      </c>
      <c r="AQ153" s="45">
        <f t="shared" si="77"/>
        <v>0</v>
      </c>
      <c r="AR153" s="45">
        <f t="shared" si="78"/>
        <v>0</v>
      </c>
      <c r="AS153" s="19">
        <f t="shared" si="83"/>
        <v>1.07916666666667</v>
      </c>
      <c r="AT153" s="19">
        <f t="shared" si="84"/>
        <v>1.03333333333334</v>
      </c>
      <c r="AU153" s="46">
        <v>0</v>
      </c>
      <c r="AV153" s="46">
        <v>0</v>
      </c>
      <c r="AW153" s="46">
        <v>0</v>
      </c>
      <c r="AX153" s="46">
        <v>1</v>
      </c>
      <c r="AY153" s="47">
        <v>0</v>
      </c>
      <c r="AZ153" s="47">
        <v>-1</v>
      </c>
    </row>
    <row r="154" hidden="1" customHeight="1" spans="1:52">
      <c r="A154" s="44">
        <v>45479</v>
      </c>
      <c r="B154" s="33">
        <f t="shared" si="62"/>
        <v>537</v>
      </c>
      <c r="C154" s="33">
        <f t="shared" si="63"/>
        <v>964</v>
      </c>
      <c r="D154" s="11">
        <f t="shared" si="64"/>
        <v>1501</v>
      </c>
      <c r="E154" s="34">
        <f t="shared" si="79"/>
        <v>-4.15695219680562e-6</v>
      </c>
      <c r="F154" s="35">
        <f t="shared" si="65"/>
        <v>0.000606915020733609</v>
      </c>
      <c r="G154" s="18">
        <f>(SUM($I$8:$I154)*(MAX(M$3-M$4,0))+(N154*MAX(M$4,0)))*(1-$AM$4)+(AM154*$AM$4)</f>
        <v>0.0892165080478406</v>
      </c>
      <c r="H154" s="18">
        <f t="shared" si="66"/>
        <v>0.791666666666667</v>
      </c>
      <c r="I154" s="18">
        <f t="shared" si="67"/>
        <v>0</v>
      </c>
      <c r="J154" s="18">
        <f t="shared" si="68"/>
        <v>0.415129874181789</v>
      </c>
      <c r="K154" s="18">
        <f t="shared" si="69"/>
        <v>0.0010891436234976</v>
      </c>
      <c r="L154" s="18">
        <f t="shared" si="70"/>
        <v>0</v>
      </c>
      <c r="M154" s="18">
        <v>0</v>
      </c>
      <c r="N154" s="18">
        <f t="shared" si="80"/>
        <v>0</v>
      </c>
      <c r="O154" s="11">
        <v>0</v>
      </c>
      <c r="P154" s="11">
        <v>0</v>
      </c>
      <c r="Q154" s="11">
        <f t="shared" si="61"/>
        <v>1</v>
      </c>
      <c r="R154" s="11">
        <v>0</v>
      </c>
      <c r="S154" s="11">
        <f t="shared" si="71"/>
        <v>0</v>
      </c>
      <c r="T154" s="11">
        <v>0</v>
      </c>
      <c r="U154" s="11">
        <f t="shared" si="60"/>
        <v>1</v>
      </c>
      <c r="V154" s="11">
        <v>0</v>
      </c>
      <c r="W154" s="11">
        <f t="shared" si="72"/>
        <v>1</v>
      </c>
      <c r="X154" s="11">
        <f t="shared" si="73"/>
        <v>0</v>
      </c>
      <c r="Y154" s="19">
        <v>0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45">
        <v>0</v>
      </c>
      <c r="AJ154" s="45">
        <v>0</v>
      </c>
      <c r="AK154" s="45">
        <f t="shared" si="81"/>
        <v>0.3611</v>
      </c>
      <c r="AL154" s="45">
        <f t="shared" si="82"/>
        <v>0.00348095238095238</v>
      </c>
      <c r="AM154" s="45">
        <f t="shared" si="74"/>
        <v>0.0012569719047619</v>
      </c>
      <c r="AN154" s="45">
        <f t="shared" si="85"/>
        <v>0.792187500000004</v>
      </c>
      <c r="AO154" s="45">
        <f t="shared" si="75"/>
        <v>0.792187500000004</v>
      </c>
      <c r="AP154" s="45">
        <f t="shared" si="76"/>
        <v>1.05625</v>
      </c>
      <c r="AQ154" s="45">
        <f t="shared" si="77"/>
        <v>0</v>
      </c>
      <c r="AR154" s="45">
        <f t="shared" si="78"/>
        <v>0</v>
      </c>
      <c r="AS154" s="19">
        <f t="shared" si="83"/>
        <v>1.07916666666667</v>
      </c>
      <c r="AT154" s="19">
        <f t="shared" si="84"/>
        <v>1.03333333333334</v>
      </c>
      <c r="AU154" s="46">
        <v>0</v>
      </c>
      <c r="AV154" s="46">
        <v>0</v>
      </c>
      <c r="AW154" s="46">
        <v>0</v>
      </c>
      <c r="AX154" s="46">
        <v>1</v>
      </c>
      <c r="AY154" s="47">
        <v>0</v>
      </c>
      <c r="AZ154" s="47">
        <v>-1</v>
      </c>
    </row>
    <row r="155" hidden="1" customHeight="1" spans="1:52">
      <c r="A155" s="44">
        <v>45480</v>
      </c>
      <c r="B155" s="33">
        <f t="shared" si="62"/>
        <v>536</v>
      </c>
      <c r="C155" s="33">
        <f t="shared" si="63"/>
        <v>975</v>
      </c>
      <c r="D155" s="11">
        <f t="shared" si="64"/>
        <v>1511</v>
      </c>
      <c r="E155" s="34">
        <f t="shared" si="79"/>
        <v>-4.1007771671189e-6</v>
      </c>
      <c r="F155" s="35">
        <f t="shared" si="65"/>
        <v>0.00060281424356649</v>
      </c>
      <c r="G155" s="18">
        <f>(SUM($I$8:$I155)*(MAX(M$3-M$4,0))+(N155*MAX(M$4,0)))*(1-$AM$4)+(AM155*$AM$4)</f>
        <v>0.0892165080478406</v>
      </c>
      <c r="H155" s="18">
        <f t="shared" si="66"/>
        <v>0.791666666666667</v>
      </c>
      <c r="I155" s="18">
        <f t="shared" si="67"/>
        <v>0</v>
      </c>
      <c r="J155" s="18">
        <f t="shared" si="68"/>
        <v>0.412324942599479</v>
      </c>
      <c r="K155" s="18">
        <f t="shared" si="69"/>
        <v>0.00109640868918008</v>
      </c>
      <c r="L155" s="18">
        <f t="shared" si="70"/>
        <v>0</v>
      </c>
      <c r="M155" s="18">
        <v>0</v>
      </c>
      <c r="N155" s="18">
        <f t="shared" si="80"/>
        <v>0</v>
      </c>
      <c r="O155" s="11">
        <v>0</v>
      </c>
      <c r="P155" s="11">
        <v>0</v>
      </c>
      <c r="Q155" s="11">
        <f t="shared" si="61"/>
        <v>1</v>
      </c>
      <c r="R155" s="11">
        <v>0</v>
      </c>
      <c r="S155" s="11">
        <f t="shared" si="71"/>
        <v>0</v>
      </c>
      <c r="T155" s="11">
        <v>0</v>
      </c>
      <c r="U155" s="11">
        <f t="shared" si="60"/>
        <v>1</v>
      </c>
      <c r="V155" s="11">
        <v>0</v>
      </c>
      <c r="W155" s="11">
        <f t="shared" si="72"/>
        <v>1</v>
      </c>
      <c r="X155" s="11">
        <f t="shared" si="73"/>
        <v>0</v>
      </c>
      <c r="Y155" s="19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1">
        <v>0</v>
      </c>
      <c r="AG155" s="11">
        <v>0</v>
      </c>
      <c r="AH155" s="11">
        <v>0</v>
      </c>
      <c r="AI155" s="45">
        <v>0</v>
      </c>
      <c r="AJ155" s="45">
        <v>0</v>
      </c>
      <c r="AK155" s="45">
        <f t="shared" si="81"/>
        <v>0.3611</v>
      </c>
      <c r="AL155" s="45">
        <f t="shared" si="82"/>
        <v>0.00348095238095238</v>
      </c>
      <c r="AM155" s="45">
        <f t="shared" si="74"/>
        <v>0.0012569719047619</v>
      </c>
      <c r="AN155" s="45">
        <f t="shared" si="85"/>
        <v>0.792187500000004</v>
      </c>
      <c r="AO155" s="45">
        <f t="shared" si="75"/>
        <v>0.792187500000004</v>
      </c>
      <c r="AP155" s="45">
        <f t="shared" si="76"/>
        <v>1.05625</v>
      </c>
      <c r="AQ155" s="45">
        <f t="shared" si="77"/>
        <v>0</v>
      </c>
      <c r="AR155" s="45">
        <f t="shared" si="78"/>
        <v>0</v>
      </c>
      <c r="AS155" s="19">
        <f t="shared" si="83"/>
        <v>1.07916666666667</v>
      </c>
      <c r="AT155" s="19">
        <f t="shared" si="84"/>
        <v>1.03333333333334</v>
      </c>
      <c r="AU155" s="46">
        <v>0</v>
      </c>
      <c r="AV155" s="46">
        <v>0</v>
      </c>
      <c r="AW155" s="46">
        <v>0</v>
      </c>
      <c r="AX155" s="46">
        <v>1</v>
      </c>
      <c r="AY155" s="47">
        <v>0</v>
      </c>
      <c r="AZ155" s="47">
        <v>-1</v>
      </c>
    </row>
    <row r="156" hidden="1" customHeight="1" spans="1:52">
      <c r="A156" s="44">
        <v>45481</v>
      </c>
      <c r="B156" s="33">
        <f t="shared" si="62"/>
        <v>535</v>
      </c>
      <c r="C156" s="33">
        <f t="shared" si="63"/>
        <v>986</v>
      </c>
      <c r="D156" s="11">
        <f t="shared" si="64"/>
        <v>1521</v>
      </c>
      <c r="E156" s="34">
        <f t="shared" si="79"/>
        <v>-4.04573317829861e-6</v>
      </c>
      <c r="F156" s="35">
        <f t="shared" si="65"/>
        <v>0.000598768510388192</v>
      </c>
      <c r="G156" s="18">
        <f>(SUM($I$8:$I156)*(MAX(M$3-M$4,0))+(N156*MAX(M$4,0)))*(1-$AM$4)+(AM156*$AM$4)</f>
        <v>0.0892165080478406</v>
      </c>
      <c r="H156" s="18">
        <f t="shared" si="66"/>
        <v>0.791666666666667</v>
      </c>
      <c r="I156" s="18">
        <f t="shared" si="67"/>
        <v>0</v>
      </c>
      <c r="J156" s="18">
        <f t="shared" si="68"/>
        <v>0.409557661105523</v>
      </c>
      <c r="K156" s="18">
        <f t="shared" si="69"/>
        <v>0.00110363053998968</v>
      </c>
      <c r="L156" s="18">
        <f t="shared" si="70"/>
        <v>0</v>
      </c>
      <c r="M156" s="18">
        <v>0</v>
      </c>
      <c r="N156" s="18">
        <f t="shared" si="80"/>
        <v>0</v>
      </c>
      <c r="O156" s="11">
        <v>0</v>
      </c>
      <c r="P156" s="11">
        <v>0</v>
      </c>
      <c r="Q156" s="11">
        <f t="shared" si="61"/>
        <v>1</v>
      </c>
      <c r="R156" s="11">
        <v>0</v>
      </c>
      <c r="S156" s="11">
        <f t="shared" si="71"/>
        <v>0</v>
      </c>
      <c r="T156" s="11">
        <v>0</v>
      </c>
      <c r="U156" s="11">
        <f t="shared" si="60"/>
        <v>1</v>
      </c>
      <c r="V156" s="11">
        <v>0</v>
      </c>
      <c r="W156" s="11">
        <f t="shared" si="72"/>
        <v>1</v>
      </c>
      <c r="X156" s="11">
        <f t="shared" si="73"/>
        <v>0</v>
      </c>
      <c r="Y156" s="19">
        <v>0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45">
        <v>0</v>
      </c>
      <c r="AJ156" s="45">
        <v>0</v>
      </c>
      <c r="AK156" s="45">
        <f t="shared" si="81"/>
        <v>0.3611</v>
      </c>
      <c r="AL156" s="45">
        <f t="shared" si="82"/>
        <v>0.00348095238095238</v>
      </c>
      <c r="AM156" s="45">
        <f t="shared" si="74"/>
        <v>0.0012569719047619</v>
      </c>
      <c r="AN156" s="45">
        <f t="shared" si="85"/>
        <v>0.792187500000004</v>
      </c>
      <c r="AO156" s="45">
        <f t="shared" si="75"/>
        <v>0.792187500000004</v>
      </c>
      <c r="AP156" s="45">
        <f t="shared" si="76"/>
        <v>1.05625</v>
      </c>
      <c r="AQ156" s="45">
        <f t="shared" si="77"/>
        <v>0</v>
      </c>
      <c r="AR156" s="45">
        <f t="shared" si="78"/>
        <v>0</v>
      </c>
      <c r="AS156" s="19">
        <f t="shared" si="83"/>
        <v>1.07916666666667</v>
      </c>
      <c r="AT156" s="19">
        <f t="shared" si="84"/>
        <v>1.03333333333334</v>
      </c>
      <c r="AU156" s="46">
        <v>0</v>
      </c>
      <c r="AV156" s="46">
        <v>0</v>
      </c>
      <c r="AW156" s="46">
        <v>0</v>
      </c>
      <c r="AX156" s="46">
        <v>1</v>
      </c>
      <c r="AY156" s="47">
        <v>0</v>
      </c>
      <c r="AZ156" s="47">
        <v>-1</v>
      </c>
    </row>
    <row r="157" hidden="1" customHeight="1" spans="1:52">
      <c r="A157" s="44">
        <v>45482</v>
      </c>
      <c r="B157" s="33">
        <f t="shared" si="62"/>
        <v>534</v>
      </c>
      <c r="C157" s="33">
        <f t="shared" si="63"/>
        <v>997</v>
      </c>
      <c r="D157" s="11">
        <f t="shared" si="64"/>
        <v>1531</v>
      </c>
      <c r="E157" s="34">
        <f t="shared" si="79"/>
        <v>-3.99179006925466e-6</v>
      </c>
      <c r="F157" s="35">
        <f t="shared" si="65"/>
        <v>0.000594776720318937</v>
      </c>
      <c r="G157" s="18">
        <f>(SUM($I$8:$I157)*(MAX(M$3-M$4,0))+(N157*MAX(M$4,0)))*(1-$AM$4)+(AM157*$AM$4)</f>
        <v>0.0892165080478406</v>
      </c>
      <c r="H157" s="18">
        <f t="shared" si="66"/>
        <v>0.791666666666667</v>
      </c>
      <c r="I157" s="18">
        <f t="shared" si="67"/>
        <v>0</v>
      </c>
      <c r="J157" s="18">
        <f t="shared" si="68"/>
        <v>0.406827276698153</v>
      </c>
      <c r="K157" s="18">
        <f t="shared" si="69"/>
        <v>0.00111081034326189</v>
      </c>
      <c r="L157" s="18">
        <f t="shared" si="70"/>
        <v>0</v>
      </c>
      <c r="M157" s="18">
        <v>0</v>
      </c>
      <c r="N157" s="18">
        <f t="shared" si="80"/>
        <v>0</v>
      </c>
      <c r="O157" s="11">
        <v>0</v>
      </c>
      <c r="P157" s="11">
        <v>0</v>
      </c>
      <c r="Q157" s="11">
        <f t="shared" si="61"/>
        <v>1</v>
      </c>
      <c r="R157" s="11">
        <v>0</v>
      </c>
      <c r="S157" s="11">
        <f t="shared" si="71"/>
        <v>0</v>
      </c>
      <c r="T157" s="11">
        <v>0</v>
      </c>
      <c r="U157" s="11">
        <f t="shared" si="60"/>
        <v>1</v>
      </c>
      <c r="V157" s="11">
        <v>0</v>
      </c>
      <c r="W157" s="11">
        <f t="shared" si="72"/>
        <v>1</v>
      </c>
      <c r="X157" s="11">
        <f t="shared" si="73"/>
        <v>0</v>
      </c>
      <c r="Y157" s="19">
        <v>0</v>
      </c>
      <c r="Z157" s="11">
        <v>0</v>
      </c>
      <c r="AA157" s="11">
        <v>0</v>
      </c>
      <c r="AB157" s="11">
        <v>0</v>
      </c>
      <c r="AC157" s="11">
        <v>0</v>
      </c>
      <c r="AD157" s="11">
        <v>0</v>
      </c>
      <c r="AE157" s="11">
        <v>0</v>
      </c>
      <c r="AF157" s="11">
        <v>0</v>
      </c>
      <c r="AG157" s="11">
        <v>0</v>
      </c>
      <c r="AH157" s="11">
        <v>0</v>
      </c>
      <c r="AI157" s="45">
        <v>0</v>
      </c>
      <c r="AJ157" s="45">
        <v>0</v>
      </c>
      <c r="AK157" s="45">
        <f t="shared" si="81"/>
        <v>0.3611</v>
      </c>
      <c r="AL157" s="45">
        <f t="shared" si="82"/>
        <v>0.00348095238095238</v>
      </c>
      <c r="AM157" s="45">
        <f t="shared" si="74"/>
        <v>0.0012569719047619</v>
      </c>
      <c r="AN157" s="45">
        <f t="shared" si="85"/>
        <v>0.792187500000004</v>
      </c>
      <c r="AO157" s="45">
        <f t="shared" si="75"/>
        <v>0.792187500000004</v>
      </c>
      <c r="AP157" s="45">
        <f t="shared" si="76"/>
        <v>1.05625</v>
      </c>
      <c r="AQ157" s="45">
        <f t="shared" si="77"/>
        <v>0</v>
      </c>
      <c r="AR157" s="45">
        <f t="shared" si="78"/>
        <v>0</v>
      </c>
      <c r="AS157" s="19">
        <f t="shared" si="83"/>
        <v>1.07916666666667</v>
      </c>
      <c r="AT157" s="19">
        <f t="shared" si="84"/>
        <v>1.03333333333334</v>
      </c>
      <c r="AU157" s="46">
        <v>0</v>
      </c>
      <c r="AV157" s="46">
        <v>0</v>
      </c>
      <c r="AW157" s="46">
        <v>0</v>
      </c>
      <c r="AX157" s="46">
        <v>1</v>
      </c>
      <c r="AY157" s="47">
        <v>0</v>
      </c>
      <c r="AZ157" s="47">
        <v>-1</v>
      </c>
    </row>
    <row r="158" hidden="1" customHeight="1" spans="1:52">
      <c r="A158" s="44">
        <v>45483</v>
      </c>
      <c r="B158" s="33">
        <f t="shared" si="62"/>
        <v>533</v>
      </c>
      <c r="C158" s="33">
        <f t="shared" si="63"/>
        <v>1009</v>
      </c>
      <c r="D158" s="11">
        <f t="shared" si="64"/>
        <v>1542</v>
      </c>
      <c r="E158" s="34">
        <f t="shared" si="79"/>
        <v>-3.9389186776088e-6</v>
      </c>
      <c r="F158" s="35">
        <f t="shared" si="65"/>
        <v>0.000590837801641328</v>
      </c>
      <c r="G158" s="18">
        <f>(SUM($I$8:$I158)*(MAX(M$3-M$4,0))+(N158*MAX(M$4,0)))*(1-$AM$4)+(AM158*$AM$4)</f>
        <v>0.0892165080478406</v>
      </c>
      <c r="H158" s="18">
        <f t="shared" si="66"/>
        <v>0.791666666666667</v>
      </c>
      <c r="I158" s="18">
        <f t="shared" si="67"/>
        <v>0</v>
      </c>
      <c r="J158" s="18">
        <f t="shared" si="68"/>
        <v>0.404133056322668</v>
      </c>
      <c r="K158" s="18">
        <f t="shared" si="69"/>
        <v>0.00111794923766854</v>
      </c>
      <c r="L158" s="18">
        <f t="shared" si="70"/>
        <v>0</v>
      </c>
      <c r="M158" s="18">
        <v>0</v>
      </c>
      <c r="N158" s="18">
        <f t="shared" si="80"/>
        <v>0</v>
      </c>
      <c r="O158" s="11">
        <v>0</v>
      </c>
      <c r="P158" s="11">
        <v>0</v>
      </c>
      <c r="Q158" s="11">
        <f t="shared" si="61"/>
        <v>1</v>
      </c>
      <c r="R158" s="11">
        <v>0</v>
      </c>
      <c r="S158" s="11">
        <f t="shared" si="71"/>
        <v>0</v>
      </c>
      <c r="T158" s="11">
        <v>0</v>
      </c>
      <c r="U158" s="11">
        <f t="shared" si="60"/>
        <v>1</v>
      </c>
      <c r="V158" s="11">
        <v>0</v>
      </c>
      <c r="W158" s="11">
        <f t="shared" si="72"/>
        <v>1</v>
      </c>
      <c r="X158" s="11">
        <f t="shared" si="73"/>
        <v>0</v>
      </c>
      <c r="Y158" s="19">
        <v>0</v>
      </c>
      <c r="Z158" s="11">
        <v>0</v>
      </c>
      <c r="AA158" s="11">
        <v>0</v>
      </c>
      <c r="AB158" s="11">
        <v>0</v>
      </c>
      <c r="AC158" s="11">
        <v>0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45">
        <v>0</v>
      </c>
      <c r="AJ158" s="45">
        <v>0</v>
      </c>
      <c r="AK158" s="45">
        <f t="shared" si="81"/>
        <v>0.3611</v>
      </c>
      <c r="AL158" s="45">
        <f t="shared" si="82"/>
        <v>0.00348095238095238</v>
      </c>
      <c r="AM158" s="45">
        <f t="shared" si="74"/>
        <v>0.0012569719047619</v>
      </c>
      <c r="AN158" s="45">
        <f t="shared" si="85"/>
        <v>0.792187500000004</v>
      </c>
      <c r="AO158" s="45">
        <f t="shared" si="75"/>
        <v>0.792187500000004</v>
      </c>
      <c r="AP158" s="45">
        <f t="shared" si="76"/>
        <v>1.05625</v>
      </c>
      <c r="AQ158" s="45">
        <f t="shared" si="77"/>
        <v>0</v>
      </c>
      <c r="AR158" s="45">
        <f t="shared" si="78"/>
        <v>0</v>
      </c>
      <c r="AS158" s="19">
        <f t="shared" si="83"/>
        <v>1.07916666666667</v>
      </c>
      <c r="AT158" s="19">
        <f t="shared" si="84"/>
        <v>1.03333333333334</v>
      </c>
      <c r="AU158" s="46">
        <v>0</v>
      </c>
      <c r="AV158" s="46">
        <v>0</v>
      </c>
      <c r="AW158" s="46">
        <v>0</v>
      </c>
      <c r="AX158" s="46">
        <v>1</v>
      </c>
      <c r="AY158" s="47">
        <v>0</v>
      </c>
      <c r="AZ158" s="47">
        <v>-1</v>
      </c>
    </row>
    <row r="159" hidden="1" customHeight="1" spans="1:52">
      <c r="A159" s="44">
        <v>45484</v>
      </c>
      <c r="B159" s="33">
        <f t="shared" si="62"/>
        <v>532</v>
      </c>
      <c r="C159" s="33">
        <f t="shared" si="63"/>
        <v>1020</v>
      </c>
      <c r="D159" s="11">
        <f t="shared" si="64"/>
        <v>1552</v>
      </c>
      <c r="E159" s="34">
        <f t="shared" si="79"/>
        <v>-3.88709080027198e-6</v>
      </c>
      <c r="F159" s="35">
        <f t="shared" si="65"/>
        <v>0.000586950710841056</v>
      </c>
      <c r="G159" s="18">
        <f>(SUM($I$8:$I159)*(MAX(M$3-M$4,0))+(N159*MAX(M$4,0)))*(1-$AM$4)+(AM159*$AM$4)</f>
        <v>0.0892165080478406</v>
      </c>
      <c r="H159" s="18">
        <f t="shared" si="66"/>
        <v>0.791666666666667</v>
      </c>
      <c r="I159" s="18">
        <f t="shared" si="67"/>
        <v>0</v>
      </c>
      <c r="J159" s="18">
        <f t="shared" si="68"/>
        <v>0.401474286215282</v>
      </c>
      <c r="K159" s="18">
        <f t="shared" si="69"/>
        <v>0.0011250483341818</v>
      </c>
      <c r="L159" s="18">
        <f t="shared" si="70"/>
        <v>0</v>
      </c>
      <c r="M159" s="18">
        <v>0</v>
      </c>
      <c r="N159" s="18">
        <f t="shared" si="80"/>
        <v>0</v>
      </c>
      <c r="O159" s="11">
        <v>0</v>
      </c>
      <c r="P159" s="11">
        <v>0</v>
      </c>
      <c r="Q159" s="11">
        <f t="shared" si="61"/>
        <v>1</v>
      </c>
      <c r="R159" s="11">
        <v>0</v>
      </c>
      <c r="S159" s="11">
        <f t="shared" si="71"/>
        <v>0</v>
      </c>
      <c r="T159" s="11">
        <v>0</v>
      </c>
      <c r="U159" s="11">
        <f t="shared" si="60"/>
        <v>1</v>
      </c>
      <c r="V159" s="11">
        <v>0</v>
      </c>
      <c r="W159" s="11">
        <f t="shared" si="72"/>
        <v>1</v>
      </c>
      <c r="X159" s="11">
        <f t="shared" si="73"/>
        <v>0</v>
      </c>
      <c r="Y159" s="19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1">
        <v>0</v>
      </c>
      <c r="AG159" s="11">
        <v>0</v>
      </c>
      <c r="AH159" s="11">
        <v>0</v>
      </c>
      <c r="AI159" s="45">
        <v>0</v>
      </c>
      <c r="AJ159" s="45">
        <v>0</v>
      </c>
      <c r="AK159" s="45">
        <f t="shared" si="81"/>
        <v>0.3611</v>
      </c>
      <c r="AL159" s="45">
        <f t="shared" si="82"/>
        <v>0.00348095238095238</v>
      </c>
      <c r="AM159" s="45">
        <f t="shared" si="74"/>
        <v>0.0012569719047619</v>
      </c>
      <c r="AN159" s="45">
        <f t="shared" si="85"/>
        <v>0.792187500000004</v>
      </c>
      <c r="AO159" s="45">
        <f t="shared" si="75"/>
        <v>0.792187500000004</v>
      </c>
      <c r="AP159" s="45">
        <f t="shared" si="76"/>
        <v>1.05625</v>
      </c>
      <c r="AQ159" s="45">
        <f t="shared" si="77"/>
        <v>0</v>
      </c>
      <c r="AR159" s="45">
        <f t="shared" si="78"/>
        <v>0</v>
      </c>
      <c r="AS159" s="19">
        <f t="shared" si="83"/>
        <v>1.07916666666667</v>
      </c>
      <c r="AT159" s="19">
        <f t="shared" si="84"/>
        <v>1.03333333333334</v>
      </c>
      <c r="AU159" s="46">
        <v>0</v>
      </c>
      <c r="AV159" s="46">
        <v>0</v>
      </c>
      <c r="AW159" s="46">
        <v>0</v>
      </c>
      <c r="AX159" s="46">
        <v>1</v>
      </c>
      <c r="AY159" s="47">
        <v>0</v>
      </c>
      <c r="AZ159" s="47">
        <v>-1</v>
      </c>
    </row>
    <row r="160" hidden="1" customHeight="1" spans="1:52">
      <c r="A160" s="44">
        <v>45485</v>
      </c>
      <c r="B160" s="33">
        <f t="shared" si="62"/>
        <v>531</v>
      </c>
      <c r="C160" s="33">
        <f t="shared" si="63"/>
        <v>1031</v>
      </c>
      <c r="D160" s="11">
        <f t="shared" si="64"/>
        <v>1562</v>
      </c>
      <c r="E160" s="34">
        <f t="shared" si="79"/>
        <v>-3.8362791558239e-6</v>
      </c>
      <c r="F160" s="35">
        <f t="shared" si="65"/>
        <v>0.000583114431685232</v>
      </c>
      <c r="G160" s="18">
        <f>(SUM($I$8:$I160)*(MAX(M$3-M$4,0))+(N160*MAX(M$4,0)))*(1-$AM$4)+(AM160*$AM$4)</f>
        <v>0.0892165080478406</v>
      </c>
      <c r="H160" s="18">
        <f t="shared" si="66"/>
        <v>0.791666666666667</v>
      </c>
      <c r="I160" s="18">
        <f t="shared" si="67"/>
        <v>0</v>
      </c>
      <c r="J160" s="18">
        <f t="shared" si="68"/>
        <v>0.398850271272699</v>
      </c>
      <c r="K160" s="18">
        <f t="shared" si="69"/>
        <v>0.00113210871700057</v>
      </c>
      <c r="L160" s="18">
        <f t="shared" si="70"/>
        <v>0</v>
      </c>
      <c r="M160" s="18">
        <v>0</v>
      </c>
      <c r="N160" s="18">
        <f t="shared" si="80"/>
        <v>0</v>
      </c>
      <c r="O160" s="11">
        <v>0</v>
      </c>
      <c r="P160" s="11">
        <v>0</v>
      </c>
      <c r="Q160" s="11">
        <f t="shared" si="61"/>
        <v>1</v>
      </c>
      <c r="R160" s="11">
        <v>0</v>
      </c>
      <c r="S160" s="11">
        <f t="shared" si="71"/>
        <v>0</v>
      </c>
      <c r="T160" s="11">
        <v>0</v>
      </c>
      <c r="U160" s="11">
        <f t="shared" si="60"/>
        <v>1</v>
      </c>
      <c r="V160" s="11">
        <v>0</v>
      </c>
      <c r="W160" s="11">
        <f t="shared" si="72"/>
        <v>1</v>
      </c>
      <c r="X160" s="11">
        <f t="shared" si="73"/>
        <v>0</v>
      </c>
      <c r="Y160" s="19">
        <v>0</v>
      </c>
      <c r="Z160" s="11">
        <v>0</v>
      </c>
      <c r="AA160" s="11">
        <v>0</v>
      </c>
      <c r="AB160" s="11">
        <v>0</v>
      </c>
      <c r="AC160" s="11">
        <v>0</v>
      </c>
      <c r="AD160" s="11">
        <v>0</v>
      </c>
      <c r="AE160" s="11">
        <v>0</v>
      </c>
      <c r="AF160" s="11">
        <v>0</v>
      </c>
      <c r="AG160" s="11">
        <v>0</v>
      </c>
      <c r="AH160" s="11">
        <v>0</v>
      </c>
      <c r="AI160" s="45">
        <v>0</v>
      </c>
      <c r="AJ160" s="45">
        <v>0</v>
      </c>
      <c r="AK160" s="45">
        <f t="shared" si="81"/>
        <v>0.3611</v>
      </c>
      <c r="AL160" s="45">
        <f t="shared" si="82"/>
        <v>0.00348095238095238</v>
      </c>
      <c r="AM160" s="45">
        <f t="shared" si="74"/>
        <v>0.0012569719047619</v>
      </c>
      <c r="AN160" s="45">
        <f t="shared" si="85"/>
        <v>0.792187500000004</v>
      </c>
      <c r="AO160" s="45">
        <f t="shared" si="75"/>
        <v>0.792187500000004</v>
      </c>
      <c r="AP160" s="45">
        <f t="shared" si="76"/>
        <v>1.05625</v>
      </c>
      <c r="AQ160" s="45">
        <f t="shared" si="77"/>
        <v>0</v>
      </c>
      <c r="AR160" s="45">
        <f t="shared" si="78"/>
        <v>0</v>
      </c>
      <c r="AS160" s="19">
        <f t="shared" si="83"/>
        <v>1.07916666666667</v>
      </c>
      <c r="AT160" s="19">
        <f t="shared" si="84"/>
        <v>1.03333333333334</v>
      </c>
      <c r="AU160" s="46">
        <v>0</v>
      </c>
      <c r="AV160" s="46">
        <v>0</v>
      </c>
      <c r="AW160" s="46">
        <v>0</v>
      </c>
      <c r="AX160" s="46">
        <v>1</v>
      </c>
      <c r="AY160" s="47">
        <v>0</v>
      </c>
      <c r="AZ160" s="47">
        <v>-1</v>
      </c>
    </row>
    <row r="161" hidden="1" customHeight="1" spans="1:52">
      <c r="A161" s="44">
        <v>45486</v>
      </c>
      <c r="B161" s="33">
        <f t="shared" si="62"/>
        <v>530</v>
      </c>
      <c r="C161" s="33">
        <f t="shared" si="63"/>
        <v>1042</v>
      </c>
      <c r="D161" s="11">
        <f t="shared" si="64"/>
        <v>1572</v>
      </c>
      <c r="E161" s="34">
        <f t="shared" si="79"/>
        <v>-3.78645734860537e-6</v>
      </c>
      <c r="F161" s="35">
        <f t="shared" si="65"/>
        <v>0.000579327974336627</v>
      </c>
      <c r="G161" s="18">
        <f>(SUM($I$8:$I161)*(MAX(M$3-M$4,0))+(N161*MAX(M$4,0)))*(1-$AM$4)+(AM161*$AM$4)</f>
        <v>0.0892165080478406</v>
      </c>
      <c r="H161" s="18">
        <f t="shared" si="66"/>
        <v>0.791666666666667</v>
      </c>
      <c r="I161" s="18">
        <f t="shared" si="67"/>
        <v>0</v>
      </c>
      <c r="J161" s="18">
        <f t="shared" si="68"/>
        <v>0.396260334446253</v>
      </c>
      <c r="K161" s="18">
        <f t="shared" si="69"/>
        <v>0.00113913144444103</v>
      </c>
      <c r="L161" s="18">
        <f t="shared" si="70"/>
        <v>0</v>
      </c>
      <c r="M161" s="18">
        <v>0</v>
      </c>
      <c r="N161" s="18">
        <f t="shared" si="80"/>
        <v>0</v>
      </c>
      <c r="O161" s="11">
        <v>0</v>
      </c>
      <c r="P161" s="11">
        <v>0</v>
      </c>
      <c r="Q161" s="11">
        <f t="shared" si="61"/>
        <v>1</v>
      </c>
      <c r="R161" s="11">
        <v>0</v>
      </c>
      <c r="S161" s="11">
        <f t="shared" si="71"/>
        <v>0</v>
      </c>
      <c r="T161" s="11">
        <v>0</v>
      </c>
      <c r="U161" s="11">
        <f t="shared" si="60"/>
        <v>1</v>
      </c>
      <c r="V161" s="11">
        <v>0</v>
      </c>
      <c r="W161" s="11">
        <f t="shared" si="72"/>
        <v>1</v>
      </c>
      <c r="X161" s="11">
        <f t="shared" si="73"/>
        <v>0</v>
      </c>
      <c r="Y161" s="19">
        <v>0</v>
      </c>
      <c r="Z161" s="11">
        <v>0</v>
      </c>
      <c r="AA161" s="11">
        <v>0</v>
      </c>
      <c r="AB161" s="11">
        <v>0</v>
      </c>
      <c r="AC161" s="11">
        <v>0</v>
      </c>
      <c r="AD161" s="11">
        <v>0</v>
      </c>
      <c r="AE161" s="11">
        <v>0</v>
      </c>
      <c r="AF161" s="11">
        <v>0</v>
      </c>
      <c r="AG161" s="11">
        <v>0</v>
      </c>
      <c r="AH161" s="11">
        <v>0</v>
      </c>
      <c r="AI161" s="45">
        <v>0</v>
      </c>
      <c r="AJ161" s="45">
        <v>0</v>
      </c>
      <c r="AK161" s="45">
        <f t="shared" si="81"/>
        <v>0.3611</v>
      </c>
      <c r="AL161" s="45">
        <f t="shared" si="82"/>
        <v>0.00348095238095238</v>
      </c>
      <c r="AM161" s="45">
        <f t="shared" si="74"/>
        <v>0.0012569719047619</v>
      </c>
      <c r="AN161" s="45">
        <f t="shared" si="85"/>
        <v>0.792187500000004</v>
      </c>
      <c r="AO161" s="45">
        <f t="shared" si="75"/>
        <v>0.792187500000004</v>
      </c>
      <c r="AP161" s="45">
        <f t="shared" si="76"/>
        <v>1.05625</v>
      </c>
      <c r="AQ161" s="45">
        <f t="shared" si="77"/>
        <v>0</v>
      </c>
      <c r="AR161" s="45">
        <f t="shared" si="78"/>
        <v>0</v>
      </c>
      <c r="AS161" s="19">
        <f t="shared" si="83"/>
        <v>1.07916666666667</v>
      </c>
      <c r="AT161" s="19">
        <f t="shared" si="84"/>
        <v>1.03333333333334</v>
      </c>
      <c r="AU161" s="46">
        <v>0</v>
      </c>
      <c r="AV161" s="46">
        <v>0</v>
      </c>
      <c r="AW161" s="46">
        <v>0</v>
      </c>
      <c r="AX161" s="46">
        <v>1</v>
      </c>
      <c r="AY161" s="47">
        <v>0</v>
      </c>
      <c r="AZ161" s="47">
        <v>-1</v>
      </c>
    </row>
    <row r="162" hidden="1" customHeight="1" spans="1:52">
      <c r="A162" s="44">
        <v>45487</v>
      </c>
      <c r="B162" s="33">
        <f t="shared" si="62"/>
        <v>529</v>
      </c>
      <c r="C162" s="33">
        <f t="shared" si="63"/>
        <v>1053</v>
      </c>
      <c r="D162" s="11">
        <f t="shared" si="64"/>
        <v>1582</v>
      </c>
      <c r="E162" s="34">
        <f t="shared" si="79"/>
        <v>-3.73759983442982e-6</v>
      </c>
      <c r="F162" s="35">
        <f t="shared" si="65"/>
        <v>0.000575590374502197</v>
      </c>
      <c r="G162" s="18">
        <f>(SUM($I$8:$I162)*(MAX(M$3-M$4,0))+(N162*MAX(M$4,0)))*(1-$AM$4)+(AM162*$AM$4)</f>
        <v>0.0892165080478406</v>
      </c>
      <c r="H162" s="18">
        <f t="shared" si="66"/>
        <v>0.791666666666667</v>
      </c>
      <c r="I162" s="18">
        <f t="shared" si="67"/>
        <v>0</v>
      </c>
      <c r="J162" s="18">
        <f t="shared" si="68"/>
        <v>0.393703816159503</v>
      </c>
      <c r="K162" s="18">
        <f t="shared" si="69"/>
        <v>0.001146117549793</v>
      </c>
      <c r="L162" s="18">
        <f t="shared" si="70"/>
        <v>0</v>
      </c>
      <c r="M162" s="18">
        <v>0</v>
      </c>
      <c r="N162" s="18">
        <f t="shared" si="80"/>
        <v>0</v>
      </c>
      <c r="O162" s="11">
        <v>0</v>
      </c>
      <c r="P162" s="11">
        <v>0</v>
      </c>
      <c r="Q162" s="11">
        <f t="shared" si="61"/>
        <v>1</v>
      </c>
      <c r="R162" s="11">
        <v>0</v>
      </c>
      <c r="S162" s="11">
        <f t="shared" si="71"/>
        <v>0</v>
      </c>
      <c r="T162" s="11">
        <v>0</v>
      </c>
      <c r="U162" s="11">
        <f t="shared" si="60"/>
        <v>1</v>
      </c>
      <c r="V162" s="11">
        <v>0</v>
      </c>
      <c r="W162" s="11">
        <f t="shared" si="72"/>
        <v>1</v>
      </c>
      <c r="X162" s="11">
        <f t="shared" si="73"/>
        <v>0</v>
      </c>
      <c r="Y162" s="19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1">
        <v>0</v>
      </c>
      <c r="AG162" s="11">
        <v>0</v>
      </c>
      <c r="AH162" s="11">
        <v>0</v>
      </c>
      <c r="AI162" s="45">
        <v>0</v>
      </c>
      <c r="AJ162" s="45">
        <v>0</v>
      </c>
      <c r="AK162" s="45">
        <f t="shared" si="81"/>
        <v>0.3611</v>
      </c>
      <c r="AL162" s="45">
        <f t="shared" si="82"/>
        <v>0.00348095238095238</v>
      </c>
      <c r="AM162" s="45">
        <f t="shared" si="74"/>
        <v>0.0012569719047619</v>
      </c>
      <c r="AN162" s="45">
        <f t="shared" si="85"/>
        <v>0.792187500000004</v>
      </c>
      <c r="AO162" s="45">
        <f t="shared" si="75"/>
        <v>0.792187500000004</v>
      </c>
      <c r="AP162" s="45">
        <f t="shared" si="76"/>
        <v>1.05625</v>
      </c>
      <c r="AQ162" s="45">
        <f t="shared" si="77"/>
        <v>0</v>
      </c>
      <c r="AR162" s="45">
        <f t="shared" si="78"/>
        <v>0</v>
      </c>
      <c r="AS162" s="19">
        <f t="shared" si="83"/>
        <v>1.07916666666667</v>
      </c>
      <c r="AT162" s="19">
        <f t="shared" si="84"/>
        <v>1.03333333333334</v>
      </c>
      <c r="AU162" s="46">
        <v>0</v>
      </c>
      <c r="AV162" s="46">
        <v>0</v>
      </c>
      <c r="AW162" s="46">
        <v>0</v>
      </c>
      <c r="AX162" s="46">
        <v>1</v>
      </c>
      <c r="AY162" s="47">
        <v>0</v>
      </c>
      <c r="AZ162" s="47">
        <v>-1</v>
      </c>
    </row>
    <row r="163" hidden="1" customHeight="1" spans="1:52">
      <c r="A163" s="44">
        <v>45488</v>
      </c>
      <c r="B163" s="33">
        <f t="shared" si="62"/>
        <v>528</v>
      </c>
      <c r="C163" s="33">
        <f t="shared" si="63"/>
        <v>1065</v>
      </c>
      <c r="D163" s="11">
        <f t="shared" si="64"/>
        <v>1593</v>
      </c>
      <c r="E163" s="34">
        <f t="shared" si="79"/>
        <v>-3.68968188783458e-6</v>
      </c>
      <c r="F163" s="35">
        <f t="shared" si="65"/>
        <v>0.000571900692614363</v>
      </c>
      <c r="G163" s="18">
        <f>(SUM($I$8:$I163)*(MAX(M$3-M$4,0))+(N163*MAX(M$4,0)))*(1-$AM$4)+(AM163*$AM$4)</f>
        <v>0.0892165080478406</v>
      </c>
      <c r="H163" s="18">
        <f t="shared" si="66"/>
        <v>0.791666666666667</v>
      </c>
      <c r="I163" s="18">
        <f t="shared" si="67"/>
        <v>0</v>
      </c>
      <c r="J163" s="18">
        <f t="shared" si="68"/>
        <v>0.391180073748224</v>
      </c>
      <c r="K163" s="18">
        <f t="shared" si="69"/>
        <v>0.00115306804214351</v>
      </c>
      <c r="L163" s="18">
        <f t="shared" si="70"/>
        <v>0</v>
      </c>
      <c r="M163" s="18">
        <v>0</v>
      </c>
      <c r="N163" s="18">
        <f t="shared" si="80"/>
        <v>0</v>
      </c>
      <c r="O163" s="11">
        <v>0</v>
      </c>
      <c r="P163" s="11">
        <v>0</v>
      </c>
      <c r="Q163" s="11">
        <f t="shared" si="61"/>
        <v>1</v>
      </c>
      <c r="R163" s="11">
        <v>0</v>
      </c>
      <c r="S163" s="11">
        <f t="shared" si="71"/>
        <v>0</v>
      </c>
      <c r="T163" s="11">
        <v>0</v>
      </c>
      <c r="U163" s="11">
        <f t="shared" si="60"/>
        <v>1</v>
      </c>
      <c r="V163" s="11">
        <v>0</v>
      </c>
      <c r="W163" s="11">
        <f t="shared" si="72"/>
        <v>1</v>
      </c>
      <c r="X163" s="11">
        <f t="shared" si="73"/>
        <v>0</v>
      </c>
      <c r="Y163" s="19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1">
        <v>0</v>
      </c>
      <c r="AG163" s="11">
        <v>0</v>
      </c>
      <c r="AH163" s="11">
        <v>0</v>
      </c>
      <c r="AI163" s="45">
        <v>0</v>
      </c>
      <c r="AJ163" s="45">
        <v>0</v>
      </c>
      <c r="AK163" s="45">
        <f t="shared" si="81"/>
        <v>0.3611</v>
      </c>
      <c r="AL163" s="45">
        <f t="shared" si="82"/>
        <v>0.00348095238095238</v>
      </c>
      <c r="AM163" s="45">
        <f t="shared" si="74"/>
        <v>0.0012569719047619</v>
      </c>
      <c r="AN163" s="45">
        <f t="shared" si="85"/>
        <v>0.792187500000004</v>
      </c>
      <c r="AO163" s="45">
        <f t="shared" si="75"/>
        <v>0.792187500000004</v>
      </c>
      <c r="AP163" s="45">
        <f t="shared" si="76"/>
        <v>1.05625</v>
      </c>
      <c r="AQ163" s="45">
        <f t="shared" si="77"/>
        <v>0</v>
      </c>
      <c r="AR163" s="45">
        <f t="shared" si="78"/>
        <v>0</v>
      </c>
      <c r="AS163" s="19">
        <f t="shared" si="83"/>
        <v>1.07916666666667</v>
      </c>
      <c r="AT163" s="19">
        <f t="shared" si="84"/>
        <v>1.03333333333334</v>
      </c>
      <c r="AU163" s="46">
        <v>0</v>
      </c>
      <c r="AV163" s="46">
        <v>0</v>
      </c>
      <c r="AW163" s="46">
        <v>0</v>
      </c>
      <c r="AX163" s="46">
        <v>1</v>
      </c>
      <c r="AY163" s="47">
        <v>0</v>
      </c>
      <c r="AZ163" s="47">
        <v>-1</v>
      </c>
    </row>
    <row r="164" hidden="1" customHeight="1" spans="1:52">
      <c r="A164" s="44">
        <v>45489</v>
      </c>
      <c r="B164" s="33">
        <f t="shared" si="62"/>
        <v>527</v>
      </c>
      <c r="C164" s="33">
        <f t="shared" si="63"/>
        <v>1076</v>
      </c>
      <c r="D164" s="11">
        <f t="shared" si="64"/>
        <v>1603</v>
      </c>
      <c r="E164" s="34">
        <f t="shared" si="79"/>
        <v>-3.64267957079221e-6</v>
      </c>
      <c r="F164" s="35">
        <f t="shared" si="65"/>
        <v>0.00056825801304357</v>
      </c>
      <c r="G164" s="18">
        <f>(SUM($I$8:$I164)*(MAX(M$3-M$4,0))+(N164*MAX(M$4,0)))*(1-$AM$4)+(AM164*$AM$4)</f>
        <v>0.0892165080478406</v>
      </c>
      <c r="H164" s="18">
        <f t="shared" si="66"/>
        <v>0.791666666666667</v>
      </c>
      <c r="I164" s="18">
        <f t="shared" si="67"/>
        <v>0</v>
      </c>
      <c r="J164" s="18">
        <f t="shared" si="68"/>
        <v>0.388688480921802</v>
      </c>
      <c r="K164" s="18">
        <f t="shared" si="69"/>
        <v>0.00115998390716926</v>
      </c>
      <c r="L164" s="18">
        <f t="shared" si="70"/>
        <v>0</v>
      </c>
      <c r="M164" s="18">
        <v>0</v>
      </c>
      <c r="N164" s="18">
        <f t="shared" si="80"/>
        <v>0</v>
      </c>
      <c r="O164" s="11">
        <v>0</v>
      </c>
      <c r="P164" s="11">
        <v>0</v>
      </c>
      <c r="Q164" s="11">
        <f t="shared" si="61"/>
        <v>1</v>
      </c>
      <c r="R164" s="11">
        <v>0</v>
      </c>
      <c r="S164" s="11">
        <f t="shared" si="71"/>
        <v>0</v>
      </c>
      <c r="T164" s="11">
        <v>0</v>
      </c>
      <c r="U164" s="11">
        <f t="shared" si="60"/>
        <v>1</v>
      </c>
      <c r="V164" s="11">
        <v>0</v>
      </c>
      <c r="W164" s="11">
        <f t="shared" si="72"/>
        <v>1</v>
      </c>
      <c r="X164" s="11">
        <f t="shared" si="73"/>
        <v>0</v>
      </c>
      <c r="Y164" s="19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1">
        <v>0</v>
      </c>
      <c r="AG164" s="11">
        <v>0</v>
      </c>
      <c r="AH164" s="11">
        <v>0</v>
      </c>
      <c r="AI164" s="45">
        <v>0</v>
      </c>
      <c r="AJ164" s="45">
        <v>0</v>
      </c>
      <c r="AK164" s="45">
        <f t="shared" si="81"/>
        <v>0.3611</v>
      </c>
      <c r="AL164" s="45">
        <f t="shared" si="82"/>
        <v>0.00348095238095238</v>
      </c>
      <c r="AM164" s="45">
        <f t="shared" si="74"/>
        <v>0.0012569719047619</v>
      </c>
      <c r="AN164" s="45">
        <f t="shared" si="85"/>
        <v>0.792187500000004</v>
      </c>
      <c r="AO164" s="45">
        <f t="shared" si="75"/>
        <v>0.792187500000004</v>
      </c>
      <c r="AP164" s="45">
        <f t="shared" si="76"/>
        <v>1.05625</v>
      </c>
      <c r="AQ164" s="45">
        <f t="shared" si="77"/>
        <v>0</v>
      </c>
      <c r="AR164" s="45">
        <f t="shared" si="78"/>
        <v>0</v>
      </c>
      <c r="AS164" s="19">
        <f t="shared" si="83"/>
        <v>1.07916666666667</v>
      </c>
      <c r="AT164" s="19">
        <f t="shared" si="84"/>
        <v>1.03333333333334</v>
      </c>
      <c r="AU164" s="46">
        <v>0</v>
      </c>
      <c r="AV164" s="46">
        <v>0</v>
      </c>
      <c r="AW164" s="46">
        <v>0</v>
      </c>
      <c r="AX164" s="46">
        <v>1</v>
      </c>
      <c r="AY164" s="47">
        <v>0</v>
      </c>
      <c r="AZ164" s="47">
        <v>-1</v>
      </c>
    </row>
    <row r="165" hidden="1" customHeight="1" spans="1:52">
      <c r="A165" s="44">
        <v>45490</v>
      </c>
      <c r="B165" s="33">
        <f t="shared" si="62"/>
        <v>526</v>
      </c>
      <c r="C165" s="33">
        <f t="shared" si="63"/>
        <v>1087</v>
      </c>
      <c r="D165" s="11">
        <f t="shared" si="64"/>
        <v>1613</v>
      </c>
      <c r="E165" s="34">
        <f t="shared" si="79"/>
        <v>-3.59656970280741e-6</v>
      </c>
      <c r="F165" s="35">
        <f t="shared" si="65"/>
        <v>0.000564661443340763</v>
      </c>
      <c r="G165" s="18">
        <f>(SUM($I$8:$I165)*(MAX(M$3-M$4,0))+(N165*MAX(M$4,0)))*(1-$AM$4)+(AM165*$AM$4)</f>
        <v>0.0892165080478406</v>
      </c>
      <c r="H165" s="18">
        <f t="shared" si="66"/>
        <v>0.791666666666667</v>
      </c>
      <c r="I165" s="18">
        <f t="shared" si="67"/>
        <v>0</v>
      </c>
      <c r="J165" s="18">
        <f t="shared" si="68"/>
        <v>0.386228427245082</v>
      </c>
      <c r="K165" s="18">
        <f t="shared" si="69"/>
        <v>0.00116686610789908</v>
      </c>
      <c r="L165" s="18">
        <f t="shared" si="70"/>
        <v>0</v>
      </c>
      <c r="M165" s="18">
        <v>0</v>
      </c>
      <c r="N165" s="18">
        <f t="shared" si="80"/>
        <v>0</v>
      </c>
      <c r="O165" s="11">
        <v>0</v>
      </c>
      <c r="P165" s="11">
        <v>0</v>
      </c>
      <c r="Q165" s="11">
        <f t="shared" si="61"/>
        <v>1</v>
      </c>
      <c r="R165" s="11">
        <v>0</v>
      </c>
      <c r="S165" s="11">
        <f t="shared" si="71"/>
        <v>0</v>
      </c>
      <c r="T165" s="11">
        <v>0</v>
      </c>
      <c r="U165" s="11">
        <f t="shared" si="60"/>
        <v>1</v>
      </c>
      <c r="V165" s="11">
        <v>0</v>
      </c>
      <c r="W165" s="11">
        <f t="shared" si="72"/>
        <v>1</v>
      </c>
      <c r="X165" s="11">
        <f t="shared" si="73"/>
        <v>0</v>
      </c>
      <c r="Y165" s="19">
        <v>0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1">
        <v>0</v>
      </c>
      <c r="AG165" s="11">
        <v>0</v>
      </c>
      <c r="AH165" s="11">
        <v>0</v>
      </c>
      <c r="AI165" s="45">
        <v>0</v>
      </c>
      <c r="AJ165" s="45">
        <v>0</v>
      </c>
      <c r="AK165" s="45">
        <f t="shared" si="81"/>
        <v>0.3611</v>
      </c>
      <c r="AL165" s="45">
        <f t="shared" si="82"/>
        <v>0.00348095238095238</v>
      </c>
      <c r="AM165" s="45">
        <f t="shared" si="74"/>
        <v>0.0012569719047619</v>
      </c>
      <c r="AN165" s="45">
        <f t="shared" si="85"/>
        <v>0.792187500000004</v>
      </c>
      <c r="AO165" s="45">
        <f t="shared" si="75"/>
        <v>0.792187500000004</v>
      </c>
      <c r="AP165" s="45">
        <f t="shared" si="76"/>
        <v>1.05625</v>
      </c>
      <c r="AQ165" s="45">
        <f t="shared" si="77"/>
        <v>0</v>
      </c>
      <c r="AR165" s="45">
        <f t="shared" si="78"/>
        <v>0</v>
      </c>
      <c r="AS165" s="19">
        <f t="shared" si="83"/>
        <v>1.07916666666667</v>
      </c>
      <c r="AT165" s="19">
        <f t="shared" si="84"/>
        <v>1.03333333333334</v>
      </c>
      <c r="AU165" s="46">
        <v>0</v>
      </c>
      <c r="AV165" s="46">
        <v>0</v>
      </c>
      <c r="AW165" s="46">
        <v>0</v>
      </c>
      <c r="AX165" s="46">
        <v>1</v>
      </c>
      <c r="AY165" s="47">
        <v>0</v>
      </c>
      <c r="AZ165" s="47">
        <v>-1</v>
      </c>
    </row>
    <row r="166" hidden="1" customHeight="1" spans="1:52">
      <c r="A166" s="44">
        <v>45491</v>
      </c>
      <c r="B166" s="33">
        <f t="shared" si="62"/>
        <v>525</v>
      </c>
      <c r="C166" s="33">
        <f t="shared" si="63"/>
        <v>1098</v>
      </c>
      <c r="D166" s="11">
        <f t="shared" si="64"/>
        <v>1623</v>
      </c>
      <c r="E166" s="34">
        <f t="shared" si="79"/>
        <v>-3.55132983233177e-6</v>
      </c>
      <c r="F166" s="35">
        <f t="shared" si="65"/>
        <v>0.000561110113508431</v>
      </c>
      <c r="G166" s="18">
        <f>(SUM($I$8:$I166)*(MAX(M$3-M$4,0))+(N166*MAX(M$4,0)))*(1-$AM$4)+(AM166*$AM$4)</f>
        <v>0.0892165080478406</v>
      </c>
      <c r="H166" s="18">
        <f t="shared" si="66"/>
        <v>0.791666666666667</v>
      </c>
      <c r="I166" s="18">
        <f t="shared" si="67"/>
        <v>0</v>
      </c>
      <c r="J166" s="18">
        <f t="shared" si="68"/>
        <v>0.383799317639767</v>
      </c>
      <c r="K166" s="18">
        <f t="shared" si="69"/>
        <v>0.00117371558544806</v>
      </c>
      <c r="L166" s="18">
        <f t="shared" si="70"/>
        <v>0</v>
      </c>
      <c r="M166" s="18">
        <v>0</v>
      </c>
      <c r="N166" s="18">
        <f t="shared" si="80"/>
        <v>0</v>
      </c>
      <c r="O166" s="11">
        <v>0</v>
      </c>
      <c r="P166" s="11">
        <v>0</v>
      </c>
      <c r="Q166" s="11">
        <f t="shared" si="61"/>
        <v>1</v>
      </c>
      <c r="R166" s="11">
        <v>0</v>
      </c>
      <c r="S166" s="11">
        <f t="shared" si="71"/>
        <v>0</v>
      </c>
      <c r="T166" s="11">
        <v>0</v>
      </c>
      <c r="U166" s="11">
        <f t="shared" si="60"/>
        <v>1</v>
      </c>
      <c r="V166" s="11">
        <v>0</v>
      </c>
      <c r="W166" s="11">
        <f t="shared" si="72"/>
        <v>1</v>
      </c>
      <c r="X166" s="11">
        <f t="shared" si="73"/>
        <v>0</v>
      </c>
      <c r="Y166" s="19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1">
        <v>0</v>
      </c>
      <c r="AG166" s="11">
        <v>0</v>
      </c>
      <c r="AH166" s="11">
        <v>0</v>
      </c>
      <c r="AI166" s="45">
        <v>0</v>
      </c>
      <c r="AJ166" s="45">
        <v>0</v>
      </c>
      <c r="AK166" s="45">
        <f t="shared" si="81"/>
        <v>0.3611</v>
      </c>
      <c r="AL166" s="45">
        <f t="shared" si="82"/>
        <v>0.00348095238095238</v>
      </c>
      <c r="AM166" s="45">
        <f t="shared" si="74"/>
        <v>0.0012569719047619</v>
      </c>
      <c r="AN166" s="45">
        <f t="shared" si="85"/>
        <v>0.792187500000004</v>
      </c>
      <c r="AO166" s="45">
        <f t="shared" si="75"/>
        <v>0.792187500000004</v>
      </c>
      <c r="AP166" s="45">
        <f t="shared" si="76"/>
        <v>1.05625</v>
      </c>
      <c r="AQ166" s="45">
        <f t="shared" si="77"/>
        <v>0</v>
      </c>
      <c r="AR166" s="45">
        <f t="shared" si="78"/>
        <v>0</v>
      </c>
      <c r="AS166" s="19">
        <f t="shared" si="83"/>
        <v>1.07916666666667</v>
      </c>
      <c r="AT166" s="19">
        <f t="shared" si="84"/>
        <v>1.03333333333334</v>
      </c>
      <c r="AU166" s="46">
        <v>0</v>
      </c>
      <c r="AV166" s="46">
        <v>0</v>
      </c>
      <c r="AW166" s="46">
        <v>0</v>
      </c>
      <c r="AX166" s="46">
        <v>1</v>
      </c>
      <c r="AY166" s="47">
        <v>0</v>
      </c>
      <c r="AZ166" s="47">
        <v>-1</v>
      </c>
    </row>
    <row r="167" hidden="1" customHeight="1" spans="1:52">
      <c r="A167" s="44">
        <v>45492</v>
      </c>
      <c r="B167" s="33">
        <f t="shared" si="62"/>
        <v>524</v>
      </c>
      <c r="C167" s="33">
        <f t="shared" si="63"/>
        <v>1109</v>
      </c>
      <c r="D167" s="11">
        <f t="shared" si="64"/>
        <v>1633</v>
      </c>
      <c r="E167" s="34">
        <f t="shared" si="79"/>
        <v>-3.5069382094277e-6</v>
      </c>
      <c r="F167" s="35">
        <f t="shared" si="65"/>
        <v>0.000557603175299004</v>
      </c>
      <c r="G167" s="18">
        <f>(SUM($I$8:$I167)*(MAX(M$3-M$4,0))+(N167*MAX(M$4,0)))*(1-$AM$4)+(AM167*$AM$4)</f>
        <v>0.0892165080478406</v>
      </c>
      <c r="H167" s="18">
        <f t="shared" si="66"/>
        <v>0.791666666666667</v>
      </c>
      <c r="I167" s="18">
        <f t="shared" si="67"/>
        <v>0</v>
      </c>
      <c r="J167" s="18">
        <f t="shared" si="68"/>
        <v>0.381400571904518</v>
      </c>
      <c r="K167" s="18">
        <f t="shared" si="69"/>
        <v>0.0011805332597242</v>
      </c>
      <c r="L167" s="18">
        <f t="shared" si="70"/>
        <v>0</v>
      </c>
      <c r="M167" s="18">
        <v>0</v>
      </c>
      <c r="N167" s="18">
        <f t="shared" si="80"/>
        <v>0</v>
      </c>
      <c r="O167" s="11">
        <v>0</v>
      </c>
      <c r="P167" s="11">
        <v>0</v>
      </c>
      <c r="Q167" s="11">
        <f t="shared" si="61"/>
        <v>1</v>
      </c>
      <c r="R167" s="11">
        <v>0</v>
      </c>
      <c r="S167" s="11">
        <f t="shared" si="71"/>
        <v>0</v>
      </c>
      <c r="T167" s="11">
        <v>0</v>
      </c>
      <c r="U167" s="11">
        <f t="shared" si="60"/>
        <v>1</v>
      </c>
      <c r="V167" s="11">
        <v>0</v>
      </c>
      <c r="W167" s="11">
        <f t="shared" si="72"/>
        <v>1</v>
      </c>
      <c r="X167" s="11">
        <f t="shared" si="73"/>
        <v>0</v>
      </c>
      <c r="Y167" s="19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1">
        <v>0</v>
      </c>
      <c r="AG167" s="11">
        <v>0</v>
      </c>
      <c r="AH167" s="11">
        <v>0</v>
      </c>
      <c r="AI167" s="45">
        <v>0</v>
      </c>
      <c r="AJ167" s="45">
        <v>0</v>
      </c>
      <c r="AK167" s="45">
        <f t="shared" si="81"/>
        <v>0.3611</v>
      </c>
      <c r="AL167" s="45">
        <f t="shared" si="82"/>
        <v>0.00348095238095238</v>
      </c>
      <c r="AM167" s="45">
        <f t="shared" si="74"/>
        <v>0.0012569719047619</v>
      </c>
      <c r="AN167" s="45">
        <f t="shared" si="85"/>
        <v>0.792187500000004</v>
      </c>
      <c r="AO167" s="45">
        <f t="shared" si="75"/>
        <v>0.792187500000004</v>
      </c>
      <c r="AP167" s="45">
        <f t="shared" si="76"/>
        <v>1.05625</v>
      </c>
      <c r="AQ167" s="45">
        <f t="shared" si="77"/>
        <v>0</v>
      </c>
      <c r="AR167" s="45">
        <f t="shared" si="78"/>
        <v>0</v>
      </c>
      <c r="AS167" s="19">
        <f t="shared" si="83"/>
        <v>1.07916666666667</v>
      </c>
      <c r="AT167" s="19">
        <f t="shared" si="84"/>
        <v>1.03333333333334</v>
      </c>
      <c r="AU167" s="46">
        <v>0</v>
      </c>
      <c r="AV167" s="46">
        <v>0</v>
      </c>
      <c r="AW167" s="46">
        <v>0</v>
      </c>
      <c r="AX167" s="46">
        <v>1</v>
      </c>
      <c r="AY167" s="47">
        <v>0</v>
      </c>
      <c r="AZ167" s="47">
        <v>-1</v>
      </c>
    </row>
    <row r="168" hidden="1" customHeight="1" spans="1:52">
      <c r="A168" s="44">
        <v>45493</v>
      </c>
      <c r="B168" s="33">
        <f t="shared" si="62"/>
        <v>523</v>
      </c>
      <c r="C168" s="33">
        <f t="shared" si="63"/>
        <v>1115</v>
      </c>
      <c r="D168" s="11">
        <f t="shared" si="64"/>
        <v>1638</v>
      </c>
      <c r="E168" s="34">
        <f t="shared" si="79"/>
        <v>-1.58799879491195e-6</v>
      </c>
      <c r="F168" s="35">
        <f t="shared" si="65"/>
        <v>0.000556015176504092</v>
      </c>
      <c r="G168" s="18">
        <f>(SUM($I$8:$I168)*(MAX(M$3-M$4,0))+(N168*MAX(M$4,0)))*(1-$AM$4)+(AM168*$AM$4)</f>
        <v>0.0895184434171588</v>
      </c>
      <c r="H168" s="18">
        <f t="shared" si="66"/>
        <v>0.791666666666667</v>
      </c>
      <c r="I168" s="18">
        <f t="shared" si="67"/>
        <v>0.00161032196969698</v>
      </c>
      <c r="J168" s="18">
        <f t="shared" si="68"/>
        <v>0.380314380728799</v>
      </c>
      <c r="K168" s="18">
        <f t="shared" si="69"/>
        <v>0.00118486734086272</v>
      </c>
      <c r="L168" s="18">
        <f t="shared" si="70"/>
        <v>0.00203409090909092</v>
      </c>
      <c r="M168" s="18">
        <v>0</v>
      </c>
      <c r="N168" s="18">
        <f t="shared" si="80"/>
        <v>0</v>
      </c>
      <c r="O168" s="11">
        <v>0</v>
      </c>
      <c r="P168" s="11">
        <v>0</v>
      </c>
      <c r="Q168" s="11">
        <f t="shared" si="61"/>
        <v>1</v>
      </c>
      <c r="R168" s="11">
        <v>0</v>
      </c>
      <c r="S168" s="11">
        <f t="shared" si="71"/>
        <v>0</v>
      </c>
      <c r="T168" s="11">
        <v>0</v>
      </c>
      <c r="U168" s="11">
        <f t="shared" si="60"/>
        <v>1</v>
      </c>
      <c r="V168" s="11">
        <v>0</v>
      </c>
      <c r="W168" s="11">
        <f t="shared" si="72"/>
        <v>1</v>
      </c>
      <c r="X168" s="11">
        <f t="shared" si="73"/>
        <v>0</v>
      </c>
      <c r="Y168" s="19">
        <v>4.17</v>
      </c>
      <c r="Z168" s="11">
        <v>0</v>
      </c>
      <c r="AA168" s="11">
        <v>0</v>
      </c>
      <c r="AB168" s="11">
        <v>3</v>
      </c>
      <c r="AC168" s="11">
        <v>0</v>
      </c>
      <c r="AD168" s="11">
        <v>0</v>
      </c>
      <c r="AE168" s="11">
        <v>0</v>
      </c>
      <c r="AF168" s="11">
        <v>0</v>
      </c>
      <c r="AG168" s="11">
        <v>0</v>
      </c>
      <c r="AH168" s="11">
        <v>0</v>
      </c>
      <c r="AI168" s="45">
        <v>0</v>
      </c>
      <c r="AJ168" s="45">
        <v>0</v>
      </c>
      <c r="AK168" s="45">
        <f t="shared" si="81"/>
        <v>0.3611</v>
      </c>
      <c r="AL168" s="45">
        <f t="shared" si="82"/>
        <v>0.00348095238095238</v>
      </c>
      <c r="AM168" s="45">
        <f t="shared" si="74"/>
        <v>0.0012569719047619</v>
      </c>
      <c r="AN168" s="45">
        <f t="shared" si="85"/>
        <v>0.792187500000004</v>
      </c>
      <c r="AO168" s="45">
        <f t="shared" si="75"/>
        <v>0.792187500000004</v>
      </c>
      <c r="AP168" s="45">
        <f t="shared" si="76"/>
        <v>1.05625</v>
      </c>
      <c r="AQ168" s="45">
        <f t="shared" si="77"/>
        <v>0</v>
      </c>
      <c r="AR168" s="45">
        <f t="shared" si="78"/>
        <v>0</v>
      </c>
      <c r="AS168" s="19">
        <f t="shared" si="83"/>
        <v>1.07916666666667</v>
      </c>
      <c r="AT168" s="19">
        <f t="shared" si="84"/>
        <v>1.03333333333334</v>
      </c>
      <c r="AU168" s="46">
        <v>0</v>
      </c>
      <c r="AV168" s="46">
        <v>0</v>
      </c>
      <c r="AW168" s="46">
        <v>0</v>
      </c>
      <c r="AX168" s="46">
        <v>1</v>
      </c>
      <c r="AY168" s="47">
        <v>0</v>
      </c>
      <c r="AZ168" s="47">
        <v>-1</v>
      </c>
    </row>
    <row r="169" hidden="1" customHeight="1" spans="1:52">
      <c r="A169" s="44">
        <v>45494</v>
      </c>
      <c r="B169" s="33">
        <f t="shared" si="62"/>
        <v>522</v>
      </c>
      <c r="C169" s="33">
        <f t="shared" si="63"/>
        <v>1118</v>
      </c>
      <c r="D169" s="11">
        <f t="shared" si="64"/>
        <v>1640</v>
      </c>
      <c r="E169" s="34">
        <f t="shared" si="79"/>
        <v>-1.14149028706222e-6</v>
      </c>
      <c r="F169" s="35">
        <f t="shared" si="65"/>
        <v>0.000554873686217029</v>
      </c>
      <c r="G169" s="18">
        <f>(SUM($I$8:$I169)*(MAX(M$3-M$4,0))+(N169*MAX(M$4,0)))*(1-$AM$4)+(AM169*$AM$4)</f>
        <v>0.0898895371671588</v>
      </c>
      <c r="H169" s="18">
        <f t="shared" si="66"/>
        <v>0.791666666666667</v>
      </c>
      <c r="I169" s="18">
        <f t="shared" si="67"/>
        <v>0.00197916666666667</v>
      </c>
      <c r="J169" s="18">
        <f t="shared" si="68"/>
        <v>0.379533601372448</v>
      </c>
      <c r="K169" s="18">
        <f t="shared" si="69"/>
        <v>0.00118863294756236</v>
      </c>
      <c r="L169" s="18">
        <f t="shared" si="70"/>
        <v>0.00250000000000001</v>
      </c>
      <c r="M169" s="18">
        <v>0</v>
      </c>
      <c r="N169" s="18">
        <f t="shared" si="80"/>
        <v>0</v>
      </c>
      <c r="O169" s="11">
        <v>0</v>
      </c>
      <c r="P169" s="11">
        <v>0</v>
      </c>
      <c r="Q169" s="11">
        <f t="shared" si="61"/>
        <v>1</v>
      </c>
      <c r="R169" s="11">
        <v>0</v>
      </c>
      <c r="S169" s="11">
        <f t="shared" si="71"/>
        <v>0</v>
      </c>
      <c r="T169" s="11">
        <v>0</v>
      </c>
      <c r="U169" s="11">
        <f t="shared" si="60"/>
        <v>1</v>
      </c>
      <c r="V169" s="11">
        <v>0</v>
      </c>
      <c r="W169" s="11">
        <f t="shared" si="72"/>
        <v>1</v>
      </c>
      <c r="X169" s="11">
        <f t="shared" si="73"/>
        <v>0</v>
      </c>
      <c r="Y169" s="19">
        <v>5</v>
      </c>
      <c r="Z169" s="11">
        <v>0</v>
      </c>
      <c r="AA169" s="11">
        <v>0</v>
      </c>
      <c r="AB169" s="11">
        <v>4</v>
      </c>
      <c r="AC169" s="11">
        <v>0</v>
      </c>
      <c r="AD169" s="11">
        <v>0</v>
      </c>
      <c r="AE169" s="11">
        <v>0</v>
      </c>
      <c r="AF169" s="11">
        <v>0</v>
      </c>
      <c r="AG169" s="11">
        <v>0</v>
      </c>
      <c r="AH169" s="11">
        <v>0</v>
      </c>
      <c r="AI169" s="45">
        <v>0</v>
      </c>
      <c r="AJ169" s="45">
        <v>0</v>
      </c>
      <c r="AK169" s="45">
        <f t="shared" si="81"/>
        <v>0.3611</v>
      </c>
      <c r="AL169" s="45">
        <f t="shared" si="82"/>
        <v>0.00348095238095238</v>
      </c>
      <c r="AM169" s="45">
        <f t="shared" si="74"/>
        <v>0.0012569719047619</v>
      </c>
      <c r="AN169" s="45">
        <f t="shared" si="85"/>
        <v>0.792187500000004</v>
      </c>
      <c r="AO169" s="45">
        <f t="shared" si="75"/>
        <v>0.792187500000004</v>
      </c>
      <c r="AP169" s="45">
        <f t="shared" si="76"/>
        <v>1.05625</v>
      </c>
      <c r="AQ169" s="45">
        <f t="shared" si="77"/>
        <v>0</v>
      </c>
      <c r="AR169" s="45">
        <f t="shared" si="78"/>
        <v>0</v>
      </c>
      <c r="AS169" s="19">
        <f t="shared" si="83"/>
        <v>1.07916666666667</v>
      </c>
      <c r="AT169" s="19">
        <f t="shared" si="84"/>
        <v>1.03333333333334</v>
      </c>
      <c r="AU169" s="46">
        <v>0</v>
      </c>
      <c r="AV169" s="46">
        <v>0</v>
      </c>
      <c r="AW169" s="46">
        <v>0</v>
      </c>
      <c r="AX169" s="46">
        <v>1</v>
      </c>
      <c r="AY169" s="47">
        <v>0</v>
      </c>
      <c r="AZ169" s="47">
        <v>-1</v>
      </c>
    </row>
    <row r="170" hidden="1" customHeight="1" spans="1:52">
      <c r="A170" s="44">
        <v>45495</v>
      </c>
      <c r="B170" s="33">
        <f t="shared" si="62"/>
        <v>521</v>
      </c>
      <c r="C170" s="33">
        <f t="shared" si="63"/>
        <v>1129</v>
      </c>
      <c r="D170" s="11">
        <f t="shared" si="64"/>
        <v>1650</v>
      </c>
      <c r="E170" s="34">
        <f t="shared" si="79"/>
        <v>-3.40413304427626e-6</v>
      </c>
      <c r="F170" s="35">
        <f t="shared" si="65"/>
        <v>0.000551469553172753</v>
      </c>
      <c r="G170" s="18">
        <f>(SUM($I$8:$I170)*(MAX(M$3-M$4,0))+(N170*MAX(M$4,0)))*(1-$AM$4)+(AM170*$AM$4)</f>
        <v>0.0898895371671588</v>
      </c>
      <c r="H170" s="18">
        <f t="shared" si="66"/>
        <v>0.791666666666667</v>
      </c>
      <c r="I170" s="18">
        <f t="shared" si="67"/>
        <v>0</v>
      </c>
      <c r="J170" s="18">
        <f t="shared" si="68"/>
        <v>0.377205174370163</v>
      </c>
      <c r="K170" s="18">
        <f t="shared" si="69"/>
        <v>0.00119538354247569</v>
      </c>
      <c r="L170" s="18">
        <f t="shared" si="70"/>
        <v>0</v>
      </c>
      <c r="M170" s="18">
        <v>0</v>
      </c>
      <c r="N170" s="18">
        <f t="shared" si="80"/>
        <v>0</v>
      </c>
      <c r="O170" s="11">
        <v>0</v>
      </c>
      <c r="P170" s="11">
        <v>0</v>
      </c>
      <c r="Q170" s="11">
        <f t="shared" si="61"/>
        <v>1</v>
      </c>
      <c r="R170" s="11">
        <v>0</v>
      </c>
      <c r="S170" s="11">
        <f t="shared" si="71"/>
        <v>0</v>
      </c>
      <c r="T170" s="11">
        <v>0</v>
      </c>
      <c r="U170" s="11">
        <f t="shared" si="60"/>
        <v>1</v>
      </c>
      <c r="V170" s="11">
        <v>0</v>
      </c>
      <c r="W170" s="11">
        <f t="shared" si="72"/>
        <v>1</v>
      </c>
      <c r="X170" s="11">
        <f t="shared" si="73"/>
        <v>0</v>
      </c>
      <c r="Y170" s="19">
        <v>0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11">
        <v>0</v>
      </c>
      <c r="AG170" s="11">
        <v>0</v>
      </c>
      <c r="AH170" s="11">
        <v>0</v>
      </c>
      <c r="AI170" s="45">
        <v>0</v>
      </c>
      <c r="AJ170" s="45">
        <v>0</v>
      </c>
      <c r="AK170" s="45">
        <f t="shared" si="81"/>
        <v>0.3611</v>
      </c>
      <c r="AL170" s="45">
        <f t="shared" si="82"/>
        <v>0.00348095238095238</v>
      </c>
      <c r="AM170" s="45">
        <f t="shared" si="74"/>
        <v>0.0012569719047619</v>
      </c>
      <c r="AN170" s="45">
        <f t="shared" si="85"/>
        <v>0.792187500000004</v>
      </c>
      <c r="AO170" s="45">
        <f t="shared" si="75"/>
        <v>0.792187500000004</v>
      </c>
      <c r="AP170" s="45">
        <f t="shared" si="76"/>
        <v>1.05625</v>
      </c>
      <c r="AQ170" s="45">
        <f t="shared" si="77"/>
        <v>0</v>
      </c>
      <c r="AR170" s="45">
        <f t="shared" si="78"/>
        <v>0</v>
      </c>
      <c r="AS170" s="19">
        <f t="shared" si="83"/>
        <v>1.07916666666667</v>
      </c>
      <c r="AT170" s="19">
        <f t="shared" si="84"/>
        <v>1.03333333333334</v>
      </c>
      <c r="AU170" s="46">
        <v>0</v>
      </c>
      <c r="AV170" s="46">
        <v>0</v>
      </c>
      <c r="AW170" s="46">
        <v>0</v>
      </c>
      <c r="AX170" s="46">
        <v>1</v>
      </c>
      <c r="AY170" s="47">
        <v>0</v>
      </c>
      <c r="AZ170" s="47">
        <v>-1</v>
      </c>
    </row>
    <row r="171" hidden="1" customHeight="1" spans="1:52">
      <c r="A171" s="44">
        <v>45496</v>
      </c>
      <c r="B171" s="33">
        <f t="shared" si="62"/>
        <v>520</v>
      </c>
      <c r="C171" s="33">
        <f t="shared" si="63"/>
        <v>1140</v>
      </c>
      <c r="D171" s="11">
        <f t="shared" si="64"/>
        <v>1660</v>
      </c>
      <c r="E171" s="34">
        <f t="shared" si="79"/>
        <v>-3.36261922666314e-6</v>
      </c>
      <c r="F171" s="35">
        <f t="shared" si="65"/>
        <v>0.00054810693394609</v>
      </c>
      <c r="G171" s="18">
        <f>(SUM($I$8:$I171)*(MAX(M$3-M$4,0))+(N171*MAX(M$4,0)))*(1-$AM$4)+(AM171*$AM$4)</f>
        <v>0.0898895371671588</v>
      </c>
      <c r="H171" s="18">
        <f t="shared" si="66"/>
        <v>0.791666666666667</v>
      </c>
      <c r="I171" s="18">
        <f t="shared" si="67"/>
        <v>0</v>
      </c>
      <c r="J171" s="18">
        <f t="shared" si="68"/>
        <v>0.374905142819126</v>
      </c>
      <c r="K171" s="18">
        <f t="shared" si="69"/>
        <v>0.0012021054945786</v>
      </c>
      <c r="L171" s="18">
        <f t="shared" si="70"/>
        <v>0</v>
      </c>
      <c r="M171" s="18">
        <v>0</v>
      </c>
      <c r="N171" s="18">
        <f t="shared" si="80"/>
        <v>0</v>
      </c>
      <c r="O171" s="11">
        <v>0</v>
      </c>
      <c r="P171" s="11">
        <v>0</v>
      </c>
      <c r="Q171" s="11">
        <f t="shared" si="61"/>
        <v>1</v>
      </c>
      <c r="R171" s="11">
        <v>0</v>
      </c>
      <c r="S171" s="11">
        <f t="shared" si="71"/>
        <v>0</v>
      </c>
      <c r="T171" s="11">
        <v>0</v>
      </c>
      <c r="U171" s="11">
        <f t="shared" si="60"/>
        <v>1</v>
      </c>
      <c r="V171" s="11">
        <v>0</v>
      </c>
      <c r="W171" s="11">
        <f t="shared" si="72"/>
        <v>1</v>
      </c>
      <c r="X171" s="11">
        <f t="shared" si="73"/>
        <v>0</v>
      </c>
      <c r="Y171" s="19">
        <v>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11">
        <v>0</v>
      </c>
      <c r="AG171" s="11">
        <v>0</v>
      </c>
      <c r="AH171" s="11">
        <v>0</v>
      </c>
      <c r="AI171" s="45">
        <v>0</v>
      </c>
      <c r="AJ171" s="45">
        <v>0</v>
      </c>
      <c r="AK171" s="45">
        <f t="shared" si="81"/>
        <v>0.3611</v>
      </c>
      <c r="AL171" s="45">
        <f t="shared" si="82"/>
        <v>0.00348095238095238</v>
      </c>
      <c r="AM171" s="45">
        <f t="shared" si="74"/>
        <v>0.0012569719047619</v>
      </c>
      <c r="AN171" s="45">
        <f t="shared" si="85"/>
        <v>0.792187500000004</v>
      </c>
      <c r="AO171" s="45">
        <f t="shared" si="75"/>
        <v>0.792187500000004</v>
      </c>
      <c r="AP171" s="45">
        <f t="shared" si="76"/>
        <v>1.05625</v>
      </c>
      <c r="AQ171" s="45">
        <f t="shared" si="77"/>
        <v>0</v>
      </c>
      <c r="AR171" s="45">
        <f t="shared" si="78"/>
        <v>0</v>
      </c>
      <c r="AS171" s="19">
        <f t="shared" si="83"/>
        <v>1.07916666666667</v>
      </c>
      <c r="AT171" s="19">
        <f t="shared" si="84"/>
        <v>1.03333333333334</v>
      </c>
      <c r="AU171" s="46">
        <v>0</v>
      </c>
      <c r="AV171" s="46">
        <v>0</v>
      </c>
      <c r="AW171" s="46">
        <v>0</v>
      </c>
      <c r="AX171" s="46">
        <v>1</v>
      </c>
      <c r="AY171" s="47">
        <v>0</v>
      </c>
      <c r="AZ171" s="47">
        <v>-1</v>
      </c>
    </row>
    <row r="172" hidden="1" customHeight="1" spans="1:52">
      <c r="A172" s="44">
        <v>45497</v>
      </c>
      <c r="B172" s="33">
        <f t="shared" si="62"/>
        <v>519</v>
      </c>
      <c r="C172" s="33">
        <f t="shared" si="63"/>
        <v>1152</v>
      </c>
      <c r="D172" s="11">
        <f t="shared" si="64"/>
        <v>1671</v>
      </c>
      <c r="E172" s="34">
        <f t="shared" si="79"/>
        <v>-3.32186020573393e-6</v>
      </c>
      <c r="F172" s="35">
        <f t="shared" si="65"/>
        <v>0.000544785073740356</v>
      </c>
      <c r="G172" s="18">
        <f>(SUM($I$8:$I172)*(MAX(M$3-M$4,0))+(N172*MAX(M$4,0)))*(1-$AM$4)+(AM172*$AM$4)</f>
        <v>0.0898895371671588</v>
      </c>
      <c r="H172" s="18">
        <f t="shared" si="66"/>
        <v>0.791666666666667</v>
      </c>
      <c r="I172" s="18">
        <f t="shared" si="67"/>
        <v>0</v>
      </c>
      <c r="J172" s="18">
        <f t="shared" si="68"/>
        <v>0.372632990438404</v>
      </c>
      <c r="K172" s="18">
        <f t="shared" si="69"/>
        <v>0.00120879963306666</v>
      </c>
      <c r="L172" s="18">
        <f t="shared" si="70"/>
        <v>0</v>
      </c>
      <c r="M172" s="18">
        <v>0</v>
      </c>
      <c r="N172" s="18">
        <f t="shared" si="80"/>
        <v>0</v>
      </c>
      <c r="O172" s="11">
        <v>0</v>
      </c>
      <c r="P172" s="11">
        <v>0</v>
      </c>
      <c r="Q172" s="11">
        <f t="shared" si="61"/>
        <v>1</v>
      </c>
      <c r="R172" s="11">
        <v>0</v>
      </c>
      <c r="S172" s="11">
        <f t="shared" si="71"/>
        <v>0</v>
      </c>
      <c r="T172" s="11">
        <v>0</v>
      </c>
      <c r="U172" s="11">
        <f t="shared" si="60"/>
        <v>1</v>
      </c>
      <c r="V172" s="11">
        <v>0</v>
      </c>
      <c r="W172" s="11">
        <f t="shared" si="72"/>
        <v>1</v>
      </c>
      <c r="X172" s="11">
        <f t="shared" si="73"/>
        <v>0</v>
      </c>
      <c r="Y172" s="19">
        <v>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11">
        <v>0</v>
      </c>
      <c r="AG172" s="11">
        <v>0</v>
      </c>
      <c r="AH172" s="11">
        <v>0</v>
      </c>
      <c r="AI172" s="45">
        <v>0</v>
      </c>
      <c r="AJ172" s="45">
        <v>0</v>
      </c>
      <c r="AK172" s="45">
        <f t="shared" si="81"/>
        <v>0.3611</v>
      </c>
      <c r="AL172" s="45">
        <f t="shared" si="82"/>
        <v>0.00348095238095238</v>
      </c>
      <c r="AM172" s="45">
        <f t="shared" si="74"/>
        <v>0.0012569719047619</v>
      </c>
      <c r="AN172" s="45">
        <f t="shared" si="85"/>
        <v>0.792187500000004</v>
      </c>
      <c r="AO172" s="45">
        <f t="shared" si="75"/>
        <v>0.792187500000004</v>
      </c>
      <c r="AP172" s="45">
        <f t="shared" si="76"/>
        <v>1.05625</v>
      </c>
      <c r="AQ172" s="45">
        <f t="shared" si="77"/>
        <v>0</v>
      </c>
      <c r="AR172" s="45">
        <f t="shared" si="78"/>
        <v>0</v>
      </c>
      <c r="AS172" s="19">
        <f t="shared" si="83"/>
        <v>1.07916666666667</v>
      </c>
      <c r="AT172" s="19">
        <f t="shared" si="84"/>
        <v>1.03333333333334</v>
      </c>
      <c r="AU172" s="46">
        <v>0</v>
      </c>
      <c r="AV172" s="46">
        <v>0</v>
      </c>
      <c r="AW172" s="46">
        <v>0</v>
      </c>
      <c r="AX172" s="46">
        <v>1</v>
      </c>
      <c r="AY172" s="47">
        <v>0</v>
      </c>
      <c r="AZ172" s="47">
        <v>-1</v>
      </c>
    </row>
    <row r="173" hidden="1" customHeight="1" spans="1:52">
      <c r="A173" s="44">
        <v>45498</v>
      </c>
      <c r="B173" s="33">
        <f t="shared" si="62"/>
        <v>518</v>
      </c>
      <c r="C173" s="33">
        <f t="shared" si="63"/>
        <v>1161</v>
      </c>
      <c r="D173" s="11">
        <f t="shared" si="64"/>
        <v>1679</v>
      </c>
      <c r="E173" s="34">
        <f t="shared" si="79"/>
        <v>-2.73989730438691e-6</v>
      </c>
      <c r="F173" s="35">
        <f t="shared" si="65"/>
        <v>0.000542045176435969</v>
      </c>
      <c r="G173" s="18">
        <f>(SUM($I$8:$I173)*(MAX(M$3-M$4,0))+(N173*MAX(M$4,0)))*(1-$AM$4)+(AM173*$AM$4)</f>
        <v>0.0899794992883709</v>
      </c>
      <c r="H173" s="18">
        <f t="shared" si="66"/>
        <v>0.791666666666667</v>
      </c>
      <c r="I173" s="18">
        <f t="shared" si="67"/>
        <v>0.000479797979797982</v>
      </c>
      <c r="J173" s="18">
        <f t="shared" si="68"/>
        <v>0.370758900682203</v>
      </c>
      <c r="K173" s="18">
        <f t="shared" si="69"/>
        <v>0.00121475115698416</v>
      </c>
      <c r="L173" s="18">
        <f t="shared" si="70"/>
        <v>0.000606060606060608</v>
      </c>
      <c r="M173" s="18">
        <v>0</v>
      </c>
      <c r="N173" s="18">
        <f t="shared" si="80"/>
        <v>0</v>
      </c>
      <c r="O173" s="11">
        <v>0</v>
      </c>
      <c r="P173" s="11">
        <v>0</v>
      </c>
      <c r="Q173" s="11">
        <f t="shared" si="61"/>
        <v>1</v>
      </c>
      <c r="R173" s="11">
        <v>0</v>
      </c>
      <c r="S173" s="11">
        <f t="shared" si="71"/>
        <v>0</v>
      </c>
      <c r="T173" s="11">
        <v>0</v>
      </c>
      <c r="U173" s="11">
        <f t="shared" si="60"/>
        <v>1</v>
      </c>
      <c r="V173" s="11">
        <v>0</v>
      </c>
      <c r="W173" s="11">
        <f t="shared" si="72"/>
        <v>1</v>
      </c>
      <c r="X173" s="11">
        <f t="shared" si="73"/>
        <v>0</v>
      </c>
      <c r="Y173" s="19">
        <v>0</v>
      </c>
      <c r="Z173" s="11">
        <v>0</v>
      </c>
      <c r="AA173" s="11">
        <v>0</v>
      </c>
      <c r="AB173" s="11">
        <v>4</v>
      </c>
      <c r="AC173" s="11">
        <v>0</v>
      </c>
      <c r="AD173" s="11">
        <v>0</v>
      </c>
      <c r="AE173" s="11">
        <v>0</v>
      </c>
      <c r="AF173" s="11">
        <v>0</v>
      </c>
      <c r="AG173" s="11">
        <v>0</v>
      </c>
      <c r="AH173" s="11">
        <v>0</v>
      </c>
      <c r="AI173" s="45">
        <v>0</v>
      </c>
      <c r="AJ173" s="45">
        <v>0</v>
      </c>
      <c r="AK173" s="45">
        <f t="shared" si="81"/>
        <v>0.3611</v>
      </c>
      <c r="AL173" s="45">
        <f t="shared" si="82"/>
        <v>0.00348095238095238</v>
      </c>
      <c r="AM173" s="45">
        <f t="shared" si="74"/>
        <v>0.0012569719047619</v>
      </c>
      <c r="AN173" s="45">
        <f t="shared" si="85"/>
        <v>0.792187500000004</v>
      </c>
      <c r="AO173" s="45">
        <f t="shared" si="75"/>
        <v>0.792187500000004</v>
      </c>
      <c r="AP173" s="45">
        <f t="shared" si="76"/>
        <v>1.05625</v>
      </c>
      <c r="AQ173" s="45">
        <f t="shared" si="77"/>
        <v>0</v>
      </c>
      <c r="AR173" s="45">
        <f t="shared" si="78"/>
        <v>0</v>
      </c>
      <c r="AS173" s="19">
        <f t="shared" si="83"/>
        <v>1.07916666666667</v>
      </c>
      <c r="AT173" s="19">
        <f t="shared" si="84"/>
        <v>1.03333333333334</v>
      </c>
      <c r="AU173" s="46">
        <v>0</v>
      </c>
      <c r="AV173" s="46">
        <v>0</v>
      </c>
      <c r="AW173" s="46">
        <v>0</v>
      </c>
      <c r="AX173" s="46">
        <v>1</v>
      </c>
      <c r="AY173" s="47">
        <v>0</v>
      </c>
      <c r="AZ173" s="47">
        <v>-1</v>
      </c>
    </row>
    <row r="174" hidden="1" customHeight="1" spans="1:52">
      <c r="A174" s="44">
        <v>45499</v>
      </c>
      <c r="B174" s="33">
        <f t="shared" si="62"/>
        <v>517</v>
      </c>
      <c r="C174" s="33">
        <f t="shared" si="63"/>
        <v>1171</v>
      </c>
      <c r="D174" s="11">
        <f t="shared" si="64"/>
        <v>1688</v>
      </c>
      <c r="E174" s="34">
        <f t="shared" si="79"/>
        <v>-2.97643183131671e-6</v>
      </c>
      <c r="F174" s="35">
        <f t="shared" si="65"/>
        <v>0.000539068744604652</v>
      </c>
      <c r="G174" s="18">
        <f>(SUM($I$8:$I174)*(MAX(M$3-M$4,0))+(N174*MAX(M$4,0)))*(1-$AM$4)+(AM174*$AM$4)</f>
        <v>0.0900244803489769</v>
      </c>
      <c r="H174" s="18">
        <f t="shared" si="66"/>
        <v>0.791666666666667</v>
      </c>
      <c r="I174" s="18">
        <f t="shared" si="67"/>
        <v>0.000239898989898991</v>
      </c>
      <c r="J174" s="18">
        <f t="shared" si="68"/>
        <v>0.368723021309582</v>
      </c>
      <c r="K174" s="18">
        <f t="shared" si="69"/>
        <v>0.00122103864350178</v>
      </c>
      <c r="L174" s="18">
        <f t="shared" si="70"/>
        <v>0.000303030303030304</v>
      </c>
      <c r="M174" s="18">
        <v>0</v>
      </c>
      <c r="N174" s="18">
        <f t="shared" si="80"/>
        <v>0</v>
      </c>
      <c r="O174" s="11">
        <v>0</v>
      </c>
      <c r="P174" s="11">
        <v>0</v>
      </c>
      <c r="Q174" s="11">
        <f t="shared" si="61"/>
        <v>1</v>
      </c>
      <c r="R174" s="11">
        <v>0</v>
      </c>
      <c r="S174" s="11">
        <f t="shared" si="71"/>
        <v>0</v>
      </c>
      <c r="T174" s="11">
        <v>0</v>
      </c>
      <c r="U174" s="11">
        <f t="shared" si="60"/>
        <v>1</v>
      </c>
      <c r="V174" s="11">
        <v>0</v>
      </c>
      <c r="W174" s="11">
        <f t="shared" si="72"/>
        <v>1</v>
      </c>
      <c r="X174" s="11">
        <f t="shared" si="73"/>
        <v>0</v>
      </c>
      <c r="Y174" s="19">
        <v>0</v>
      </c>
      <c r="Z174" s="11">
        <v>0</v>
      </c>
      <c r="AA174" s="11">
        <v>0</v>
      </c>
      <c r="AB174" s="11">
        <v>2</v>
      </c>
      <c r="AC174" s="11">
        <v>0</v>
      </c>
      <c r="AD174" s="11">
        <v>0</v>
      </c>
      <c r="AE174" s="11">
        <v>0</v>
      </c>
      <c r="AF174" s="11">
        <v>0</v>
      </c>
      <c r="AG174" s="11">
        <v>0</v>
      </c>
      <c r="AH174" s="11">
        <v>0</v>
      </c>
      <c r="AI174" s="45">
        <v>0</v>
      </c>
      <c r="AJ174" s="45">
        <v>0</v>
      </c>
      <c r="AK174" s="45">
        <f t="shared" si="81"/>
        <v>0.3611</v>
      </c>
      <c r="AL174" s="45">
        <f t="shared" si="82"/>
        <v>0.00348095238095238</v>
      </c>
      <c r="AM174" s="45">
        <f t="shared" si="74"/>
        <v>0.0012569719047619</v>
      </c>
      <c r="AN174" s="45">
        <f t="shared" si="85"/>
        <v>0.792187500000004</v>
      </c>
      <c r="AO174" s="45">
        <f t="shared" si="75"/>
        <v>0.792187500000004</v>
      </c>
      <c r="AP174" s="45">
        <f t="shared" si="76"/>
        <v>1.05625</v>
      </c>
      <c r="AQ174" s="45">
        <f t="shared" si="77"/>
        <v>0</v>
      </c>
      <c r="AR174" s="45">
        <f t="shared" si="78"/>
        <v>0</v>
      </c>
      <c r="AS174" s="19">
        <f t="shared" si="83"/>
        <v>1.07916666666667</v>
      </c>
      <c r="AT174" s="19">
        <f t="shared" si="84"/>
        <v>1.03333333333334</v>
      </c>
      <c r="AU174" s="46">
        <v>0</v>
      </c>
      <c r="AV174" s="46">
        <v>0</v>
      </c>
      <c r="AW174" s="46">
        <v>0</v>
      </c>
      <c r="AX174" s="46">
        <v>1</v>
      </c>
      <c r="AY174" s="47">
        <v>0</v>
      </c>
      <c r="AZ174" s="47">
        <v>-1</v>
      </c>
    </row>
    <row r="175" hidden="1" customHeight="1" spans="1:52">
      <c r="A175" s="44">
        <v>45500</v>
      </c>
      <c r="B175" s="33">
        <f t="shared" si="62"/>
        <v>516</v>
      </c>
      <c r="C175" s="33">
        <f t="shared" si="63"/>
        <v>1181</v>
      </c>
      <c r="D175" s="11">
        <f t="shared" si="64"/>
        <v>1697</v>
      </c>
      <c r="E175" s="34">
        <f t="shared" si="79"/>
        <v>-2.77365786380843e-6</v>
      </c>
      <c r="F175" s="35">
        <f t="shared" si="65"/>
        <v>0.000536295086740844</v>
      </c>
      <c r="G175" s="18">
        <f>(SUM($I$8:$I175)*(MAX(M$3-M$4,0))+(N175*MAX(M$4,0)))*(1-$AM$4)+(AM175*$AM$4)</f>
        <v>0.0900975745724618</v>
      </c>
      <c r="H175" s="18">
        <f t="shared" si="66"/>
        <v>0.791666666666667</v>
      </c>
      <c r="I175" s="18">
        <f t="shared" si="67"/>
        <v>0.00038983585858586</v>
      </c>
      <c r="J175" s="18">
        <f t="shared" si="68"/>
        <v>0.366825839330737</v>
      </c>
      <c r="K175" s="18">
        <f t="shared" si="69"/>
        <v>0.00122708170672338</v>
      </c>
      <c r="L175" s="18">
        <f t="shared" si="70"/>
        <v>0.000492424242424244</v>
      </c>
      <c r="M175" s="18">
        <v>0</v>
      </c>
      <c r="N175" s="18">
        <f t="shared" si="80"/>
        <v>0</v>
      </c>
      <c r="O175" s="11">
        <v>0</v>
      </c>
      <c r="P175" s="11">
        <v>0</v>
      </c>
      <c r="Q175" s="11">
        <f t="shared" si="61"/>
        <v>1</v>
      </c>
      <c r="R175" s="11">
        <v>0</v>
      </c>
      <c r="S175" s="11">
        <f t="shared" si="71"/>
        <v>0</v>
      </c>
      <c r="T175" s="11">
        <v>0</v>
      </c>
      <c r="U175" s="11">
        <f t="shared" si="60"/>
        <v>1</v>
      </c>
      <c r="V175" s="11">
        <v>0</v>
      </c>
      <c r="W175" s="11">
        <f t="shared" si="72"/>
        <v>1</v>
      </c>
      <c r="X175" s="11">
        <f t="shared" si="73"/>
        <v>0</v>
      </c>
      <c r="Y175" s="19">
        <v>0.5</v>
      </c>
      <c r="Z175" s="11">
        <v>0</v>
      </c>
      <c r="AA175" s="11">
        <v>0</v>
      </c>
      <c r="AB175" s="11">
        <v>2</v>
      </c>
      <c r="AC175" s="11">
        <v>0</v>
      </c>
      <c r="AD175" s="11">
        <v>0</v>
      </c>
      <c r="AE175" s="11">
        <v>0</v>
      </c>
      <c r="AF175" s="11">
        <v>0</v>
      </c>
      <c r="AG175" s="11">
        <v>0</v>
      </c>
      <c r="AH175" s="11">
        <v>0</v>
      </c>
      <c r="AI175" s="45">
        <v>0</v>
      </c>
      <c r="AJ175" s="45">
        <v>0</v>
      </c>
      <c r="AK175" s="45">
        <f t="shared" si="81"/>
        <v>0.3611</v>
      </c>
      <c r="AL175" s="45">
        <f t="shared" si="82"/>
        <v>0.00348095238095238</v>
      </c>
      <c r="AM175" s="45">
        <f t="shared" si="74"/>
        <v>0.0012569719047619</v>
      </c>
      <c r="AN175" s="45">
        <f t="shared" si="85"/>
        <v>0.792187500000004</v>
      </c>
      <c r="AO175" s="45">
        <f t="shared" si="75"/>
        <v>0.792187500000004</v>
      </c>
      <c r="AP175" s="45">
        <f t="shared" si="76"/>
        <v>1.05625</v>
      </c>
      <c r="AQ175" s="45">
        <f t="shared" si="77"/>
        <v>0</v>
      </c>
      <c r="AR175" s="45">
        <f t="shared" si="78"/>
        <v>0</v>
      </c>
      <c r="AS175" s="19">
        <f t="shared" si="83"/>
        <v>1.07916666666667</v>
      </c>
      <c r="AT175" s="19">
        <f t="shared" si="84"/>
        <v>1.03333333333334</v>
      </c>
      <c r="AU175" s="46">
        <v>0</v>
      </c>
      <c r="AV175" s="46">
        <v>0</v>
      </c>
      <c r="AW175" s="46">
        <v>0</v>
      </c>
      <c r="AX175" s="46">
        <v>1</v>
      </c>
      <c r="AY175" s="47">
        <v>0</v>
      </c>
      <c r="AZ175" s="47">
        <v>-1</v>
      </c>
    </row>
    <row r="176" hidden="1" customHeight="1" spans="1:52">
      <c r="A176" s="44">
        <v>45501</v>
      </c>
      <c r="B176" s="33">
        <f t="shared" si="62"/>
        <v>515</v>
      </c>
      <c r="C176" s="33">
        <f t="shared" si="63"/>
        <v>1191</v>
      </c>
      <c r="D176" s="11">
        <f t="shared" si="64"/>
        <v>1706</v>
      </c>
      <c r="E176" s="34">
        <f t="shared" si="79"/>
        <v>-2.90718358659625e-6</v>
      </c>
      <c r="F176" s="35">
        <f t="shared" si="65"/>
        <v>0.000533387903154248</v>
      </c>
      <c r="G176" s="18">
        <f>(SUM($I$8:$I176)*(MAX(M$3-M$4,0))+(N176*MAX(M$4,0)))*(1-$AM$4)+(AM176*$AM$4)</f>
        <v>0.0901425556330679</v>
      </c>
      <c r="H176" s="18">
        <f t="shared" si="66"/>
        <v>0.791666666666667</v>
      </c>
      <c r="I176" s="18">
        <f t="shared" si="67"/>
        <v>0.000239898989898991</v>
      </c>
      <c r="J176" s="18">
        <f t="shared" si="68"/>
        <v>0.364837325757505</v>
      </c>
      <c r="K176" s="18">
        <f t="shared" si="69"/>
        <v>0.00123332558105339</v>
      </c>
      <c r="L176" s="18">
        <f t="shared" si="70"/>
        <v>0.000303030303030304</v>
      </c>
      <c r="M176" s="18">
        <v>0</v>
      </c>
      <c r="N176" s="18">
        <f t="shared" si="80"/>
        <v>0</v>
      </c>
      <c r="O176" s="11">
        <v>0</v>
      </c>
      <c r="P176" s="11">
        <v>0</v>
      </c>
      <c r="Q176" s="11">
        <f t="shared" si="61"/>
        <v>1</v>
      </c>
      <c r="R176" s="11">
        <v>0</v>
      </c>
      <c r="S176" s="11">
        <f t="shared" si="71"/>
        <v>0</v>
      </c>
      <c r="T176" s="11">
        <v>0</v>
      </c>
      <c r="U176" s="11">
        <f t="shared" si="60"/>
        <v>1</v>
      </c>
      <c r="V176" s="11">
        <v>0</v>
      </c>
      <c r="W176" s="11">
        <f t="shared" si="72"/>
        <v>1</v>
      </c>
      <c r="X176" s="11">
        <f t="shared" si="73"/>
        <v>0</v>
      </c>
      <c r="Y176" s="19">
        <v>0</v>
      </c>
      <c r="Z176" s="11">
        <v>0</v>
      </c>
      <c r="AA176" s="11">
        <v>0</v>
      </c>
      <c r="AB176" s="11">
        <v>2</v>
      </c>
      <c r="AC176" s="11">
        <v>0</v>
      </c>
      <c r="AD176" s="11">
        <v>0</v>
      </c>
      <c r="AE176" s="11">
        <v>0</v>
      </c>
      <c r="AF176" s="11">
        <v>0</v>
      </c>
      <c r="AG176" s="11">
        <v>0</v>
      </c>
      <c r="AH176" s="11">
        <v>0</v>
      </c>
      <c r="AI176" s="45">
        <v>0</v>
      </c>
      <c r="AJ176" s="45">
        <v>0</v>
      </c>
      <c r="AK176" s="45">
        <f t="shared" si="81"/>
        <v>0.3611</v>
      </c>
      <c r="AL176" s="45">
        <f t="shared" si="82"/>
        <v>0.00348095238095238</v>
      </c>
      <c r="AM176" s="45">
        <f t="shared" si="74"/>
        <v>0.0012569719047619</v>
      </c>
      <c r="AN176" s="45">
        <f t="shared" si="85"/>
        <v>0.792187500000004</v>
      </c>
      <c r="AO176" s="45">
        <f t="shared" si="75"/>
        <v>0.792187500000004</v>
      </c>
      <c r="AP176" s="45">
        <f t="shared" si="76"/>
        <v>1.05625</v>
      </c>
      <c r="AQ176" s="45">
        <f t="shared" si="77"/>
        <v>0</v>
      </c>
      <c r="AR176" s="45">
        <f t="shared" si="78"/>
        <v>0</v>
      </c>
      <c r="AS176" s="19">
        <f t="shared" si="83"/>
        <v>1.07916666666667</v>
      </c>
      <c r="AT176" s="19">
        <f t="shared" si="84"/>
        <v>1.03333333333334</v>
      </c>
      <c r="AU176" s="46">
        <v>0</v>
      </c>
      <c r="AV176" s="46">
        <v>0</v>
      </c>
      <c r="AW176" s="46">
        <v>0</v>
      </c>
      <c r="AX176" s="46">
        <v>1</v>
      </c>
      <c r="AY176" s="47">
        <v>0</v>
      </c>
      <c r="AZ176" s="47">
        <v>-1</v>
      </c>
    </row>
    <row r="177" hidden="1" customHeight="1" spans="1:52">
      <c r="A177" s="44">
        <v>45502</v>
      </c>
      <c r="B177" s="33">
        <f t="shared" si="62"/>
        <v>514</v>
      </c>
      <c r="C177" s="33">
        <f t="shared" si="63"/>
        <v>1202</v>
      </c>
      <c r="D177" s="11">
        <f t="shared" si="64"/>
        <v>1716</v>
      </c>
      <c r="E177" s="34">
        <f t="shared" si="79"/>
        <v>-3.13757590090743e-6</v>
      </c>
      <c r="F177" s="35">
        <f t="shared" si="65"/>
        <v>0.00053025032725334</v>
      </c>
      <c r="G177" s="18">
        <f>(SUM($I$8:$I177)*(MAX(M$3-M$4,0))+(N177*MAX(M$4,0)))*(1-$AM$4)+(AM177*$AM$4)</f>
        <v>0.0901425556330679</v>
      </c>
      <c r="H177" s="18">
        <f t="shared" si="66"/>
        <v>0.791666666666667</v>
      </c>
      <c r="I177" s="18">
        <f t="shared" si="67"/>
        <v>0</v>
      </c>
      <c r="J177" s="18">
        <f t="shared" si="68"/>
        <v>0.362691223841285</v>
      </c>
      <c r="K177" s="18">
        <f t="shared" si="69"/>
        <v>0.00123990034272124</v>
      </c>
      <c r="L177" s="18">
        <f t="shared" si="70"/>
        <v>0</v>
      </c>
      <c r="M177" s="18">
        <v>0</v>
      </c>
      <c r="N177" s="18">
        <f t="shared" si="80"/>
        <v>0</v>
      </c>
      <c r="O177" s="11">
        <v>0</v>
      </c>
      <c r="P177" s="11">
        <v>0</v>
      </c>
      <c r="Q177" s="11">
        <f t="shared" si="61"/>
        <v>1</v>
      </c>
      <c r="R177" s="11">
        <v>0</v>
      </c>
      <c r="S177" s="11">
        <f t="shared" si="71"/>
        <v>0</v>
      </c>
      <c r="T177" s="11">
        <v>0</v>
      </c>
      <c r="U177" s="11">
        <f t="shared" si="60"/>
        <v>1</v>
      </c>
      <c r="V177" s="11">
        <v>0</v>
      </c>
      <c r="W177" s="11">
        <f t="shared" si="72"/>
        <v>1</v>
      </c>
      <c r="X177" s="11">
        <f t="shared" si="73"/>
        <v>0</v>
      </c>
      <c r="Y177" s="19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1">
        <v>0</v>
      </c>
      <c r="AG177" s="11">
        <v>0</v>
      </c>
      <c r="AH177" s="11">
        <v>0</v>
      </c>
      <c r="AI177" s="45">
        <v>0</v>
      </c>
      <c r="AJ177" s="45">
        <v>0</v>
      </c>
      <c r="AK177" s="45">
        <f t="shared" si="81"/>
        <v>0.3611</v>
      </c>
      <c r="AL177" s="45">
        <f t="shared" si="82"/>
        <v>0.00348095238095238</v>
      </c>
      <c r="AM177" s="45">
        <f t="shared" si="74"/>
        <v>0.0012569719047619</v>
      </c>
      <c r="AN177" s="45">
        <f t="shared" si="85"/>
        <v>0.792187500000004</v>
      </c>
      <c r="AO177" s="45">
        <f t="shared" si="75"/>
        <v>0.792187500000004</v>
      </c>
      <c r="AP177" s="45">
        <f t="shared" si="76"/>
        <v>1.05625</v>
      </c>
      <c r="AQ177" s="45">
        <f t="shared" si="77"/>
        <v>0</v>
      </c>
      <c r="AR177" s="45">
        <f t="shared" si="78"/>
        <v>0</v>
      </c>
      <c r="AS177" s="19">
        <f t="shared" si="83"/>
        <v>1.07916666666667</v>
      </c>
      <c r="AT177" s="19">
        <f t="shared" si="84"/>
        <v>1.03333333333334</v>
      </c>
      <c r="AU177" s="46">
        <v>0</v>
      </c>
      <c r="AV177" s="46">
        <v>0</v>
      </c>
      <c r="AW177" s="46">
        <v>0</v>
      </c>
      <c r="AX177" s="46">
        <v>1</v>
      </c>
      <c r="AY177" s="47">
        <v>0</v>
      </c>
      <c r="AZ177" s="47">
        <v>-1</v>
      </c>
    </row>
    <row r="178" hidden="1" customHeight="1" spans="1:52">
      <c r="A178" s="44">
        <v>45503</v>
      </c>
      <c r="B178" s="33">
        <f t="shared" si="62"/>
        <v>513</v>
      </c>
      <c r="C178" s="33">
        <f t="shared" si="63"/>
        <v>1213</v>
      </c>
      <c r="D178" s="11">
        <f t="shared" si="64"/>
        <v>1726</v>
      </c>
      <c r="E178" s="34">
        <f t="shared" si="79"/>
        <v>-3.10087910674467e-6</v>
      </c>
      <c r="F178" s="35">
        <f t="shared" si="65"/>
        <v>0.000527149448146596</v>
      </c>
      <c r="G178" s="18">
        <f>(SUM($I$8:$I178)*(MAX(M$3-M$4,0))+(N178*MAX(M$4,0)))*(1-$AM$4)+(AM178*$AM$4)</f>
        <v>0.0901425556330679</v>
      </c>
      <c r="H178" s="18">
        <f t="shared" si="66"/>
        <v>0.791666666666667</v>
      </c>
      <c r="I178" s="18">
        <f t="shared" si="67"/>
        <v>0</v>
      </c>
      <c r="J178" s="18">
        <f t="shared" si="68"/>
        <v>0.360570222532271</v>
      </c>
      <c r="K178" s="18">
        <f t="shared" si="69"/>
        <v>0.0012464518079293</v>
      </c>
      <c r="L178" s="18">
        <f t="shared" si="70"/>
        <v>0</v>
      </c>
      <c r="M178" s="18">
        <v>0</v>
      </c>
      <c r="N178" s="18">
        <f t="shared" si="80"/>
        <v>0</v>
      </c>
      <c r="O178" s="11">
        <v>0</v>
      </c>
      <c r="P178" s="11">
        <v>0</v>
      </c>
      <c r="Q178" s="11">
        <f t="shared" si="61"/>
        <v>1</v>
      </c>
      <c r="R178" s="11">
        <v>0</v>
      </c>
      <c r="S178" s="11">
        <f t="shared" si="71"/>
        <v>0</v>
      </c>
      <c r="T178" s="11">
        <v>0</v>
      </c>
      <c r="U178" s="11">
        <f t="shared" si="60"/>
        <v>1</v>
      </c>
      <c r="V178" s="11">
        <v>0</v>
      </c>
      <c r="W178" s="11">
        <f t="shared" si="72"/>
        <v>1</v>
      </c>
      <c r="X178" s="11">
        <f t="shared" si="73"/>
        <v>0</v>
      </c>
      <c r="Y178" s="19">
        <v>0</v>
      </c>
      <c r="Z178" s="11">
        <v>0</v>
      </c>
      <c r="AA178" s="11">
        <v>0</v>
      </c>
      <c r="AB178" s="11">
        <v>0</v>
      </c>
      <c r="AC178" s="11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45">
        <v>0</v>
      </c>
      <c r="AJ178" s="45">
        <v>0</v>
      </c>
      <c r="AK178" s="45">
        <f t="shared" si="81"/>
        <v>0.3611</v>
      </c>
      <c r="AL178" s="45">
        <f t="shared" si="82"/>
        <v>0.00348095238095238</v>
      </c>
      <c r="AM178" s="45">
        <f t="shared" si="74"/>
        <v>0.0012569719047619</v>
      </c>
      <c r="AN178" s="45">
        <f t="shared" si="85"/>
        <v>0.792187500000004</v>
      </c>
      <c r="AO178" s="45">
        <f t="shared" si="75"/>
        <v>0.792187500000004</v>
      </c>
      <c r="AP178" s="45">
        <f t="shared" si="76"/>
        <v>1.05625</v>
      </c>
      <c r="AQ178" s="45">
        <f t="shared" si="77"/>
        <v>0</v>
      </c>
      <c r="AR178" s="45">
        <f t="shared" si="78"/>
        <v>0</v>
      </c>
      <c r="AS178" s="19">
        <f t="shared" si="83"/>
        <v>1.07916666666667</v>
      </c>
      <c r="AT178" s="19">
        <f t="shared" si="84"/>
        <v>1.03333333333334</v>
      </c>
      <c r="AU178" s="46">
        <v>0</v>
      </c>
      <c r="AV178" s="46">
        <v>0</v>
      </c>
      <c r="AW178" s="46">
        <v>0</v>
      </c>
      <c r="AX178" s="46">
        <v>1</v>
      </c>
      <c r="AY178" s="47">
        <v>0</v>
      </c>
      <c r="AZ178" s="47">
        <v>-1</v>
      </c>
    </row>
    <row r="179" hidden="1" customHeight="1" spans="1:52">
      <c r="A179" s="44">
        <v>45504</v>
      </c>
      <c r="B179" s="33">
        <f t="shared" si="62"/>
        <v>512</v>
      </c>
      <c r="C179" s="33">
        <f t="shared" si="63"/>
        <v>1224</v>
      </c>
      <c r="D179" s="11">
        <f t="shared" si="64"/>
        <v>1736</v>
      </c>
      <c r="E179" s="34">
        <f t="shared" si="79"/>
        <v>-3.06482237294535e-6</v>
      </c>
      <c r="F179" s="35">
        <f t="shared" si="65"/>
        <v>0.00052408462577365</v>
      </c>
      <c r="G179" s="18">
        <f>(SUM($I$8:$I179)*(MAX(M$3-M$4,0))+(N179*MAX(M$4,0)))*(1-$AM$4)+(AM179*$AM$4)</f>
        <v>0.0901425556330679</v>
      </c>
      <c r="H179" s="18">
        <f t="shared" si="66"/>
        <v>0.791666666666667</v>
      </c>
      <c r="I179" s="18">
        <f t="shared" si="67"/>
        <v>0</v>
      </c>
      <c r="J179" s="18">
        <f t="shared" si="68"/>
        <v>0.358473884029177</v>
      </c>
      <c r="K179" s="18">
        <f t="shared" si="69"/>
        <v>0.00125298069525551</v>
      </c>
      <c r="L179" s="18">
        <f t="shared" si="70"/>
        <v>0</v>
      </c>
      <c r="M179" s="18">
        <v>0</v>
      </c>
      <c r="N179" s="18">
        <f t="shared" si="80"/>
        <v>0</v>
      </c>
      <c r="O179" s="11">
        <v>0</v>
      </c>
      <c r="P179" s="11">
        <v>0</v>
      </c>
      <c r="Q179" s="11">
        <f t="shared" si="61"/>
        <v>1</v>
      </c>
      <c r="R179" s="11">
        <v>0</v>
      </c>
      <c r="S179" s="11">
        <f t="shared" si="71"/>
        <v>0</v>
      </c>
      <c r="T179" s="11">
        <v>0</v>
      </c>
      <c r="U179" s="11">
        <f t="shared" si="60"/>
        <v>1</v>
      </c>
      <c r="V179" s="11">
        <v>0</v>
      </c>
      <c r="W179" s="11">
        <f t="shared" si="72"/>
        <v>1</v>
      </c>
      <c r="X179" s="11">
        <f t="shared" si="73"/>
        <v>0</v>
      </c>
      <c r="Y179" s="19">
        <v>0</v>
      </c>
      <c r="Z179" s="11">
        <v>0</v>
      </c>
      <c r="AA179" s="11">
        <v>0</v>
      </c>
      <c r="AB179" s="11">
        <v>0</v>
      </c>
      <c r="AC179" s="11">
        <v>0</v>
      </c>
      <c r="AD179" s="11">
        <v>0</v>
      </c>
      <c r="AE179" s="11">
        <v>0</v>
      </c>
      <c r="AF179" s="11">
        <v>0</v>
      </c>
      <c r="AG179" s="11">
        <v>0</v>
      </c>
      <c r="AH179" s="11">
        <v>0</v>
      </c>
      <c r="AI179" s="45">
        <v>0</v>
      </c>
      <c r="AJ179" s="45">
        <v>0</v>
      </c>
      <c r="AK179" s="45">
        <f t="shared" si="81"/>
        <v>0.3611</v>
      </c>
      <c r="AL179" s="45">
        <f t="shared" si="82"/>
        <v>0.00348095238095238</v>
      </c>
      <c r="AM179" s="45">
        <f t="shared" si="74"/>
        <v>0.0012569719047619</v>
      </c>
      <c r="AN179" s="45">
        <f t="shared" si="85"/>
        <v>0.792187500000004</v>
      </c>
      <c r="AO179" s="45">
        <f t="shared" si="75"/>
        <v>0.792187500000004</v>
      </c>
      <c r="AP179" s="45">
        <f t="shared" si="76"/>
        <v>1.05625</v>
      </c>
      <c r="AQ179" s="45">
        <f t="shared" si="77"/>
        <v>0</v>
      </c>
      <c r="AR179" s="45">
        <f t="shared" si="78"/>
        <v>0</v>
      </c>
      <c r="AS179" s="19">
        <f t="shared" si="83"/>
        <v>1.07916666666667</v>
      </c>
      <c r="AT179" s="19">
        <f t="shared" si="84"/>
        <v>1.03333333333334</v>
      </c>
      <c r="AU179" s="46">
        <v>0</v>
      </c>
      <c r="AV179" s="46">
        <v>0</v>
      </c>
      <c r="AW179" s="46">
        <v>0</v>
      </c>
      <c r="AX179" s="46">
        <v>1</v>
      </c>
      <c r="AY179" s="47">
        <v>0</v>
      </c>
      <c r="AZ179" s="47">
        <v>-1</v>
      </c>
    </row>
    <row r="180" hidden="1" customHeight="1" spans="1:52">
      <c r="A180" s="44">
        <v>45505</v>
      </c>
      <c r="B180" s="33">
        <f t="shared" si="62"/>
        <v>511</v>
      </c>
      <c r="C180" s="33">
        <f t="shared" si="63"/>
        <v>1235</v>
      </c>
      <c r="D180" s="11">
        <f t="shared" si="64"/>
        <v>1746</v>
      </c>
      <c r="E180" s="34">
        <f t="shared" si="79"/>
        <v>-3.02939090042573e-6</v>
      </c>
      <c r="F180" s="35">
        <f t="shared" si="65"/>
        <v>0.000521055234873225</v>
      </c>
      <c r="G180" s="18">
        <f>(SUM($I$8:$I180)*(MAX(M$3-M$4,0))+(N180*MAX(M$4,0)))*(1-$AM$4)+(AM180*$AM$4)</f>
        <v>0.0901425556330679</v>
      </c>
      <c r="H180" s="18">
        <f t="shared" si="66"/>
        <v>0.833333333333333</v>
      </c>
      <c r="I180" s="18">
        <f t="shared" si="67"/>
        <v>0</v>
      </c>
      <c r="J180" s="18">
        <f t="shared" si="68"/>
        <v>0.356401780653286</v>
      </c>
      <c r="K180" s="18">
        <f t="shared" si="69"/>
        <v>0.00125948770909337</v>
      </c>
      <c r="L180" s="18">
        <f t="shared" si="70"/>
        <v>0</v>
      </c>
      <c r="M180" s="18">
        <v>0</v>
      </c>
      <c r="N180" s="18">
        <f t="shared" si="80"/>
        <v>0</v>
      </c>
      <c r="O180" s="11">
        <v>0</v>
      </c>
      <c r="P180" s="11">
        <v>0</v>
      </c>
      <c r="Q180" s="11">
        <f t="shared" si="61"/>
        <v>1</v>
      </c>
      <c r="R180" s="11">
        <v>0</v>
      </c>
      <c r="S180" s="11">
        <f t="shared" si="71"/>
        <v>0</v>
      </c>
      <c r="T180" s="11">
        <v>0</v>
      </c>
      <c r="U180" s="11">
        <f t="shared" si="60"/>
        <v>1</v>
      </c>
      <c r="V180" s="11">
        <v>0</v>
      </c>
      <c r="W180" s="11">
        <f t="shared" si="72"/>
        <v>1</v>
      </c>
      <c r="X180" s="11">
        <f t="shared" si="73"/>
        <v>0</v>
      </c>
      <c r="Y180" s="19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45">
        <v>0</v>
      </c>
      <c r="AJ180" s="45">
        <v>0</v>
      </c>
      <c r="AK180" s="45">
        <f t="shared" si="81"/>
        <v>0.3611</v>
      </c>
      <c r="AL180" s="45">
        <f t="shared" si="82"/>
        <v>0.00348095238095238</v>
      </c>
      <c r="AM180" s="45">
        <f t="shared" si="74"/>
        <v>0.0012569719047619</v>
      </c>
      <c r="AN180" s="45">
        <f t="shared" si="85"/>
        <v>0.792187500000004</v>
      </c>
      <c r="AO180" s="45">
        <f t="shared" si="75"/>
        <v>0.792187500000004</v>
      </c>
      <c r="AP180" s="45">
        <f t="shared" si="76"/>
        <v>1.05625</v>
      </c>
      <c r="AQ180" s="45">
        <f t="shared" si="77"/>
        <v>0</v>
      </c>
      <c r="AR180" s="45">
        <f t="shared" si="78"/>
        <v>0</v>
      </c>
      <c r="AS180" s="19">
        <f t="shared" si="83"/>
        <v>1.07916666666667</v>
      </c>
      <c r="AT180" s="19">
        <f t="shared" si="84"/>
        <v>1.03333333333334</v>
      </c>
      <c r="AU180" s="46">
        <v>0</v>
      </c>
      <c r="AV180" s="46">
        <v>0</v>
      </c>
      <c r="AW180" s="46">
        <v>0</v>
      </c>
      <c r="AX180" s="46">
        <v>1</v>
      </c>
      <c r="AY180" s="47">
        <v>0</v>
      </c>
      <c r="AZ180" s="47">
        <v>-1</v>
      </c>
    </row>
    <row r="181" hidden="1" customHeight="1" spans="1:52">
      <c r="A181" s="44">
        <v>45506</v>
      </c>
      <c r="B181" s="33">
        <f t="shared" si="62"/>
        <v>510</v>
      </c>
      <c r="C181" s="33">
        <f t="shared" si="63"/>
        <v>1246</v>
      </c>
      <c r="D181" s="11">
        <f t="shared" si="64"/>
        <v>1756</v>
      </c>
      <c r="E181" s="34">
        <f t="shared" si="79"/>
        <v>-2.99457031536327e-6</v>
      </c>
      <c r="F181" s="35">
        <f t="shared" si="65"/>
        <v>0.000518060664557861</v>
      </c>
      <c r="G181" s="18">
        <f>(SUM($I$8:$I181)*(MAX(M$3-M$4,0))+(N181*MAX(M$4,0)))*(1-$AM$4)+(AM181*$AM$4)</f>
        <v>0.0901425556330679</v>
      </c>
      <c r="H181" s="18">
        <f t="shared" si="66"/>
        <v>0.833333333333333</v>
      </c>
      <c r="I181" s="18">
        <f t="shared" si="67"/>
        <v>0</v>
      </c>
      <c r="J181" s="18">
        <f t="shared" si="68"/>
        <v>0.354353494557577</v>
      </c>
      <c r="K181" s="18">
        <f t="shared" si="69"/>
        <v>0.00126597354008318</v>
      </c>
      <c r="L181" s="18">
        <f t="shared" si="70"/>
        <v>0</v>
      </c>
      <c r="M181" s="18">
        <v>0</v>
      </c>
      <c r="N181" s="18">
        <f t="shared" si="80"/>
        <v>0</v>
      </c>
      <c r="O181" s="11">
        <v>0</v>
      </c>
      <c r="P181" s="11">
        <v>0</v>
      </c>
      <c r="Q181" s="11">
        <f t="shared" si="61"/>
        <v>1</v>
      </c>
      <c r="R181" s="11">
        <v>0</v>
      </c>
      <c r="S181" s="11">
        <f t="shared" si="71"/>
        <v>0</v>
      </c>
      <c r="T181" s="11">
        <v>0</v>
      </c>
      <c r="U181" s="11">
        <f t="shared" ref="U181:U244" si="86">MAX(1,T181)/(MAX(1,O181))</f>
        <v>1</v>
      </c>
      <c r="V181" s="11">
        <v>0</v>
      </c>
      <c r="W181" s="11">
        <f t="shared" si="72"/>
        <v>1</v>
      </c>
      <c r="X181" s="11">
        <f t="shared" si="73"/>
        <v>0</v>
      </c>
      <c r="Y181" s="19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1">
        <v>0</v>
      </c>
      <c r="AG181" s="11">
        <v>0</v>
      </c>
      <c r="AH181" s="11">
        <v>0</v>
      </c>
      <c r="AI181" s="45">
        <v>0</v>
      </c>
      <c r="AJ181" s="45">
        <v>0</v>
      </c>
      <c r="AK181" s="45">
        <f t="shared" si="81"/>
        <v>0.3611</v>
      </c>
      <c r="AL181" s="45">
        <f t="shared" si="82"/>
        <v>0.00348095238095238</v>
      </c>
      <c r="AM181" s="45">
        <f t="shared" si="74"/>
        <v>0.0012569719047619</v>
      </c>
      <c r="AN181" s="45">
        <f t="shared" si="85"/>
        <v>0.792187500000004</v>
      </c>
      <c r="AO181" s="45">
        <f t="shared" si="75"/>
        <v>0.792187500000004</v>
      </c>
      <c r="AP181" s="45">
        <f t="shared" si="76"/>
        <v>1.05625</v>
      </c>
      <c r="AQ181" s="45">
        <f t="shared" si="77"/>
        <v>0</v>
      </c>
      <c r="AR181" s="45">
        <f t="shared" si="78"/>
        <v>0</v>
      </c>
      <c r="AS181" s="19">
        <f t="shared" si="83"/>
        <v>1.07916666666667</v>
      </c>
      <c r="AT181" s="19">
        <f t="shared" si="84"/>
        <v>1.03333333333334</v>
      </c>
      <c r="AU181" s="46">
        <v>0</v>
      </c>
      <c r="AV181" s="46">
        <v>0</v>
      </c>
      <c r="AW181" s="46">
        <v>0</v>
      </c>
      <c r="AX181" s="46">
        <v>1</v>
      </c>
      <c r="AY181" s="47">
        <v>0</v>
      </c>
      <c r="AZ181" s="47">
        <v>-1</v>
      </c>
    </row>
    <row r="182" hidden="1" customHeight="1" spans="1:52">
      <c r="A182" s="44">
        <v>45507</v>
      </c>
      <c r="B182" s="33">
        <f t="shared" si="62"/>
        <v>509</v>
      </c>
      <c r="C182" s="33">
        <f t="shared" si="63"/>
        <v>1255</v>
      </c>
      <c r="D182" s="11">
        <f t="shared" si="64"/>
        <v>1764</v>
      </c>
      <c r="E182" s="34">
        <f t="shared" si="79"/>
        <v>-2.28393972820948e-6</v>
      </c>
      <c r="F182" s="35">
        <f t="shared" si="65"/>
        <v>0.000515776724829652</v>
      </c>
      <c r="G182" s="18">
        <f>(SUM($I$8:$I182)*(MAX(M$3-M$4,0))+(N182*MAX(M$4,0)))*(1-$AM$4)+(AM182*$AM$4)</f>
        <v>0.0902609268451891</v>
      </c>
      <c r="H182" s="18">
        <f t="shared" si="66"/>
        <v>0.833333333333333</v>
      </c>
      <c r="I182" s="18">
        <f t="shared" si="67"/>
        <v>0.000631313131313133</v>
      </c>
      <c r="J182" s="18">
        <f t="shared" si="68"/>
        <v>0.352791279783482</v>
      </c>
      <c r="K182" s="18">
        <f t="shared" si="69"/>
        <v>0.00127152990219355</v>
      </c>
      <c r="L182" s="18">
        <f t="shared" si="70"/>
        <v>0.00075757575757576</v>
      </c>
      <c r="M182" s="18">
        <v>0</v>
      </c>
      <c r="N182" s="18">
        <f t="shared" si="80"/>
        <v>0</v>
      </c>
      <c r="O182" s="11">
        <v>0</v>
      </c>
      <c r="P182" s="11">
        <v>0</v>
      </c>
      <c r="Q182" s="11">
        <f t="shared" si="61"/>
        <v>1</v>
      </c>
      <c r="R182" s="11">
        <v>0</v>
      </c>
      <c r="S182" s="11">
        <f t="shared" si="71"/>
        <v>0</v>
      </c>
      <c r="T182" s="11">
        <v>0</v>
      </c>
      <c r="U182" s="11">
        <f t="shared" si="86"/>
        <v>1</v>
      </c>
      <c r="V182" s="11">
        <v>0</v>
      </c>
      <c r="W182" s="11">
        <f t="shared" si="72"/>
        <v>1</v>
      </c>
      <c r="X182" s="11">
        <f t="shared" si="73"/>
        <v>0</v>
      </c>
      <c r="Y182" s="19">
        <v>0</v>
      </c>
      <c r="Z182" s="11">
        <v>0</v>
      </c>
      <c r="AA182" s="11">
        <v>0</v>
      </c>
      <c r="AB182" s="11">
        <v>5</v>
      </c>
      <c r="AC182" s="11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45">
        <v>0</v>
      </c>
      <c r="AJ182" s="45">
        <v>0</v>
      </c>
      <c r="AK182" s="45">
        <f t="shared" si="81"/>
        <v>0.3611</v>
      </c>
      <c r="AL182" s="45">
        <f t="shared" si="82"/>
        <v>0.00348095238095238</v>
      </c>
      <c r="AM182" s="45">
        <f t="shared" si="74"/>
        <v>0.0012569719047619</v>
      </c>
      <c r="AN182" s="45">
        <f t="shared" si="85"/>
        <v>0.792187500000004</v>
      </c>
      <c r="AO182" s="45">
        <f t="shared" si="75"/>
        <v>0.792187500000004</v>
      </c>
      <c r="AP182" s="45">
        <f t="shared" si="76"/>
        <v>1.05625</v>
      </c>
      <c r="AQ182" s="45">
        <f t="shared" si="77"/>
        <v>0</v>
      </c>
      <c r="AR182" s="45">
        <f t="shared" si="78"/>
        <v>0</v>
      </c>
      <c r="AS182" s="19">
        <f t="shared" si="83"/>
        <v>1.07916666666667</v>
      </c>
      <c r="AT182" s="19">
        <f t="shared" si="84"/>
        <v>1.03333333333334</v>
      </c>
      <c r="AU182" s="46">
        <v>0</v>
      </c>
      <c r="AV182" s="46">
        <v>0</v>
      </c>
      <c r="AW182" s="46">
        <v>0</v>
      </c>
      <c r="AX182" s="46">
        <v>1</v>
      </c>
      <c r="AY182" s="47">
        <v>0</v>
      </c>
      <c r="AZ182" s="47">
        <v>-1</v>
      </c>
    </row>
    <row r="183" hidden="1" customHeight="1" spans="1:52">
      <c r="A183" s="44">
        <v>45508</v>
      </c>
      <c r="B183" s="33">
        <f t="shared" si="62"/>
        <v>508</v>
      </c>
      <c r="C183" s="33">
        <f t="shared" si="63"/>
        <v>1259</v>
      </c>
      <c r="D183" s="11">
        <f t="shared" si="64"/>
        <v>1767</v>
      </c>
      <c r="E183" s="34">
        <f t="shared" si="79"/>
        <v>-1.22560058012729e-6</v>
      </c>
      <c r="F183" s="35">
        <f t="shared" si="65"/>
        <v>0.000514551124249525</v>
      </c>
      <c r="G183" s="18">
        <f>(SUM($I$8:$I183)*(MAX(M$3-M$4,0))+(N183*MAX(M$4,0)))*(1-$AM$4)+(AM183*$AM$4)</f>
        <v>0.0905609978679163</v>
      </c>
      <c r="H183" s="18">
        <f t="shared" si="66"/>
        <v>0.833333333333333</v>
      </c>
      <c r="I183" s="18">
        <f t="shared" si="67"/>
        <v>0.00160037878787879</v>
      </c>
      <c r="J183" s="18">
        <f t="shared" si="68"/>
        <v>0.351952968986675</v>
      </c>
      <c r="K183" s="18">
        <f t="shared" si="69"/>
        <v>0.00127568313191599</v>
      </c>
      <c r="L183" s="18">
        <f t="shared" si="70"/>
        <v>0.00192045454545455</v>
      </c>
      <c r="M183" s="18">
        <v>0</v>
      </c>
      <c r="N183" s="18">
        <f t="shared" si="80"/>
        <v>0</v>
      </c>
      <c r="O183" s="11">
        <v>0</v>
      </c>
      <c r="P183" s="11">
        <v>0</v>
      </c>
      <c r="Q183" s="11">
        <f t="shared" ref="Q183:Q246" si="87">($P$2-$P$4)+((P183/(MAX(1/FACT(128),O183)))*$P$4)</f>
        <v>1</v>
      </c>
      <c r="R183" s="11">
        <v>0</v>
      </c>
      <c r="S183" s="11">
        <f t="shared" si="71"/>
        <v>0</v>
      </c>
      <c r="T183" s="11">
        <v>0</v>
      </c>
      <c r="U183" s="11">
        <f t="shared" si="86"/>
        <v>1</v>
      </c>
      <c r="V183" s="11">
        <v>0</v>
      </c>
      <c r="W183" s="11">
        <f t="shared" si="72"/>
        <v>1</v>
      </c>
      <c r="X183" s="11">
        <f t="shared" si="73"/>
        <v>0</v>
      </c>
      <c r="Y183" s="19">
        <v>2.67</v>
      </c>
      <c r="Z183" s="11">
        <v>0</v>
      </c>
      <c r="AA183" s="11">
        <v>0</v>
      </c>
      <c r="AB183" s="11">
        <v>6</v>
      </c>
      <c r="AC183" s="11">
        <v>0</v>
      </c>
      <c r="AD183" s="11">
        <v>0</v>
      </c>
      <c r="AE183" s="11">
        <v>0</v>
      </c>
      <c r="AF183" s="11">
        <v>0</v>
      </c>
      <c r="AG183" s="11">
        <v>0</v>
      </c>
      <c r="AH183" s="11">
        <v>0</v>
      </c>
      <c r="AI183" s="45">
        <v>0</v>
      </c>
      <c r="AJ183" s="45">
        <v>0</v>
      </c>
      <c r="AK183" s="45">
        <f t="shared" si="81"/>
        <v>0.3611</v>
      </c>
      <c r="AL183" s="45">
        <f t="shared" si="82"/>
        <v>0.00348095238095238</v>
      </c>
      <c r="AM183" s="45">
        <f t="shared" si="74"/>
        <v>0.0012569719047619</v>
      </c>
      <c r="AN183" s="45">
        <f t="shared" si="85"/>
        <v>0.792187500000004</v>
      </c>
      <c r="AO183" s="45">
        <f t="shared" si="75"/>
        <v>0.792187500000004</v>
      </c>
      <c r="AP183" s="45">
        <f t="shared" si="76"/>
        <v>1.05625</v>
      </c>
      <c r="AQ183" s="45">
        <f t="shared" si="77"/>
        <v>0</v>
      </c>
      <c r="AR183" s="45">
        <f t="shared" si="78"/>
        <v>0</v>
      </c>
      <c r="AS183" s="19">
        <f t="shared" si="83"/>
        <v>1.07916666666667</v>
      </c>
      <c r="AT183" s="19">
        <f t="shared" si="84"/>
        <v>1.03333333333334</v>
      </c>
      <c r="AU183" s="46">
        <v>0</v>
      </c>
      <c r="AV183" s="46">
        <v>0</v>
      </c>
      <c r="AW183" s="46">
        <v>0</v>
      </c>
      <c r="AX183" s="46">
        <v>1</v>
      </c>
      <c r="AY183" s="47">
        <v>0</v>
      </c>
      <c r="AZ183" s="47">
        <v>-1</v>
      </c>
    </row>
    <row r="184" hidden="1" customHeight="1" spans="1:52">
      <c r="A184" s="44">
        <v>45509</v>
      </c>
      <c r="B184" s="33">
        <f t="shared" si="62"/>
        <v>507</v>
      </c>
      <c r="C184" s="33">
        <f t="shared" si="63"/>
        <v>1270</v>
      </c>
      <c r="D184" s="11">
        <f t="shared" si="64"/>
        <v>1777</v>
      </c>
      <c r="E184" s="34">
        <f t="shared" si="79"/>
        <v>-2.90706849858486e-6</v>
      </c>
      <c r="F184" s="35">
        <f t="shared" si="65"/>
        <v>0.00051164405575094</v>
      </c>
      <c r="G184" s="18">
        <f>(SUM($I$8:$I184)*(MAX(M$3-M$4,0))+(N184*MAX(M$4,0)))*(1-$AM$4)+(AM184*$AM$4)</f>
        <v>0.0905609978679163</v>
      </c>
      <c r="H184" s="18">
        <f t="shared" si="66"/>
        <v>0.833333333333333</v>
      </c>
      <c r="I184" s="18">
        <f t="shared" si="67"/>
        <v>0</v>
      </c>
      <c r="J184" s="18">
        <f t="shared" si="68"/>
        <v>0.349964534133643</v>
      </c>
      <c r="K184" s="18">
        <f t="shared" si="69"/>
        <v>0.00128212123445041</v>
      </c>
      <c r="L184" s="18">
        <f t="shared" si="70"/>
        <v>0</v>
      </c>
      <c r="M184" s="18">
        <v>0</v>
      </c>
      <c r="N184" s="18">
        <f t="shared" si="80"/>
        <v>0</v>
      </c>
      <c r="O184" s="11">
        <v>0</v>
      </c>
      <c r="P184" s="11">
        <v>0</v>
      </c>
      <c r="Q184" s="11">
        <f t="shared" si="87"/>
        <v>1</v>
      </c>
      <c r="R184" s="11">
        <v>0</v>
      </c>
      <c r="S184" s="11">
        <f t="shared" si="71"/>
        <v>0</v>
      </c>
      <c r="T184" s="11">
        <v>0</v>
      </c>
      <c r="U184" s="11">
        <f t="shared" si="86"/>
        <v>1</v>
      </c>
      <c r="V184" s="11">
        <v>0</v>
      </c>
      <c r="W184" s="11">
        <f t="shared" si="72"/>
        <v>1</v>
      </c>
      <c r="X184" s="11">
        <f t="shared" si="73"/>
        <v>0</v>
      </c>
      <c r="Y184" s="19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1">
        <v>0</v>
      </c>
      <c r="AG184" s="11">
        <v>0</v>
      </c>
      <c r="AH184" s="11">
        <v>0</v>
      </c>
      <c r="AI184" s="45">
        <v>0</v>
      </c>
      <c r="AJ184" s="45">
        <v>0</v>
      </c>
      <c r="AK184" s="45">
        <f t="shared" si="81"/>
        <v>0.3611</v>
      </c>
      <c r="AL184" s="45">
        <f t="shared" si="82"/>
        <v>0.00348095238095238</v>
      </c>
      <c r="AM184" s="45">
        <f t="shared" si="74"/>
        <v>0.0012569719047619</v>
      </c>
      <c r="AN184" s="45">
        <f t="shared" si="85"/>
        <v>0.792187500000004</v>
      </c>
      <c r="AO184" s="45">
        <f t="shared" si="75"/>
        <v>0.792187500000004</v>
      </c>
      <c r="AP184" s="45">
        <f t="shared" si="76"/>
        <v>1.05625</v>
      </c>
      <c r="AQ184" s="45">
        <f t="shared" si="77"/>
        <v>0</v>
      </c>
      <c r="AR184" s="45">
        <f t="shared" si="78"/>
        <v>0</v>
      </c>
      <c r="AS184" s="19">
        <f t="shared" si="83"/>
        <v>1.07916666666667</v>
      </c>
      <c r="AT184" s="19">
        <f t="shared" si="84"/>
        <v>1.03333333333334</v>
      </c>
      <c r="AU184" s="46">
        <v>0</v>
      </c>
      <c r="AV184" s="46">
        <v>0</v>
      </c>
      <c r="AW184" s="46">
        <v>0</v>
      </c>
      <c r="AX184" s="46">
        <v>1</v>
      </c>
      <c r="AY184" s="47">
        <v>0</v>
      </c>
      <c r="AZ184" s="47">
        <v>-1</v>
      </c>
    </row>
    <row r="185" hidden="1" customHeight="1" spans="1:52">
      <c r="A185" s="44">
        <v>45510</v>
      </c>
      <c r="B185" s="33">
        <f t="shared" si="62"/>
        <v>506</v>
      </c>
      <c r="C185" s="33">
        <f t="shared" si="63"/>
        <v>1282</v>
      </c>
      <c r="D185" s="11">
        <f t="shared" si="64"/>
        <v>1788</v>
      </c>
      <c r="E185" s="34">
        <f t="shared" si="79"/>
        <v>-2.87440480758951e-6</v>
      </c>
      <c r="F185" s="35">
        <f t="shared" si="65"/>
        <v>0.00050876965094335</v>
      </c>
      <c r="G185" s="18">
        <f>(SUM($I$8:$I185)*(MAX(M$3-M$4,0))+(N185*MAX(M$4,0)))*(1-$AM$4)+(AM185*$AM$4)</f>
        <v>0.0905609978679163</v>
      </c>
      <c r="H185" s="18">
        <f t="shared" si="66"/>
        <v>0.833333333333333</v>
      </c>
      <c r="I185" s="18">
        <f t="shared" si="67"/>
        <v>0</v>
      </c>
      <c r="J185" s="18">
        <f t="shared" si="68"/>
        <v>0.347998441245252</v>
      </c>
      <c r="K185" s="18">
        <f t="shared" si="69"/>
        <v>0.0012885406299501</v>
      </c>
      <c r="L185" s="18">
        <f t="shared" si="70"/>
        <v>0</v>
      </c>
      <c r="M185" s="18">
        <v>0</v>
      </c>
      <c r="N185" s="18">
        <f t="shared" si="80"/>
        <v>0</v>
      </c>
      <c r="O185" s="11">
        <v>0</v>
      </c>
      <c r="P185" s="11">
        <v>0</v>
      </c>
      <c r="Q185" s="11">
        <f t="shared" si="87"/>
        <v>1</v>
      </c>
      <c r="R185" s="11">
        <v>0</v>
      </c>
      <c r="S185" s="11">
        <f t="shared" si="71"/>
        <v>0</v>
      </c>
      <c r="T185" s="11">
        <v>0</v>
      </c>
      <c r="U185" s="11">
        <f t="shared" si="86"/>
        <v>1</v>
      </c>
      <c r="V185" s="11">
        <v>0</v>
      </c>
      <c r="W185" s="11">
        <f t="shared" si="72"/>
        <v>1</v>
      </c>
      <c r="X185" s="11">
        <f t="shared" si="73"/>
        <v>0</v>
      </c>
      <c r="Y185" s="19">
        <v>0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11">
        <v>0</v>
      </c>
      <c r="AG185" s="11">
        <v>0</v>
      </c>
      <c r="AH185" s="11">
        <v>0</v>
      </c>
      <c r="AI185" s="45">
        <v>0</v>
      </c>
      <c r="AJ185" s="45">
        <v>0</v>
      </c>
      <c r="AK185" s="45">
        <f t="shared" si="81"/>
        <v>0.3611</v>
      </c>
      <c r="AL185" s="45">
        <f t="shared" si="82"/>
        <v>0.00348095238095238</v>
      </c>
      <c r="AM185" s="45">
        <f t="shared" si="74"/>
        <v>0.0012569719047619</v>
      </c>
      <c r="AN185" s="45">
        <f t="shared" si="85"/>
        <v>0.792187500000004</v>
      </c>
      <c r="AO185" s="45">
        <f t="shared" si="75"/>
        <v>0.792187500000004</v>
      </c>
      <c r="AP185" s="45">
        <f t="shared" si="76"/>
        <v>1.05625</v>
      </c>
      <c r="AQ185" s="45">
        <f t="shared" si="77"/>
        <v>0</v>
      </c>
      <c r="AR185" s="45">
        <f t="shared" si="78"/>
        <v>0</v>
      </c>
      <c r="AS185" s="19">
        <f t="shared" si="83"/>
        <v>1.07916666666667</v>
      </c>
      <c r="AT185" s="19">
        <f t="shared" si="84"/>
        <v>1.03333333333334</v>
      </c>
      <c r="AU185" s="46">
        <v>0</v>
      </c>
      <c r="AV185" s="46">
        <v>0</v>
      </c>
      <c r="AW185" s="46">
        <v>0</v>
      </c>
      <c r="AX185" s="46">
        <v>1</v>
      </c>
      <c r="AY185" s="47">
        <v>0</v>
      </c>
      <c r="AZ185" s="47">
        <v>-1</v>
      </c>
    </row>
    <row r="186" hidden="1" customHeight="1" spans="1:52">
      <c r="A186" s="44">
        <v>45511</v>
      </c>
      <c r="B186" s="33">
        <f t="shared" si="62"/>
        <v>505</v>
      </c>
      <c r="C186" s="33">
        <f t="shared" si="63"/>
        <v>1293</v>
      </c>
      <c r="D186" s="11">
        <f t="shared" si="64"/>
        <v>1798</v>
      </c>
      <c r="E186" s="34">
        <f t="shared" si="79"/>
        <v>-2.8422885527562e-6</v>
      </c>
      <c r="F186" s="35">
        <f t="shared" si="65"/>
        <v>0.000505927362390594</v>
      </c>
      <c r="G186" s="18">
        <f>(SUM($I$8:$I186)*(MAX(M$3-M$4,0))+(N186*MAX(M$4,0)))*(1-$AM$4)+(AM186*$AM$4)</f>
        <v>0.0905609978679163</v>
      </c>
      <c r="H186" s="18">
        <f t="shared" si="66"/>
        <v>0.833333333333333</v>
      </c>
      <c r="I186" s="18">
        <f t="shared" si="67"/>
        <v>0</v>
      </c>
      <c r="J186" s="18">
        <f t="shared" si="68"/>
        <v>0.346054315875166</v>
      </c>
      <c r="K186" s="18">
        <f t="shared" si="69"/>
        <v>0.00129494194876205</v>
      </c>
      <c r="L186" s="18">
        <f t="shared" si="70"/>
        <v>0</v>
      </c>
      <c r="M186" s="18">
        <v>0</v>
      </c>
      <c r="N186" s="18">
        <f t="shared" si="80"/>
        <v>0</v>
      </c>
      <c r="O186" s="11">
        <v>0</v>
      </c>
      <c r="P186" s="11">
        <v>0</v>
      </c>
      <c r="Q186" s="11">
        <f t="shared" si="87"/>
        <v>1</v>
      </c>
      <c r="R186" s="11">
        <v>0</v>
      </c>
      <c r="S186" s="11">
        <f t="shared" si="71"/>
        <v>0</v>
      </c>
      <c r="T186" s="11">
        <v>0</v>
      </c>
      <c r="U186" s="11">
        <f t="shared" si="86"/>
        <v>1</v>
      </c>
      <c r="V186" s="11">
        <v>0</v>
      </c>
      <c r="W186" s="11">
        <f t="shared" si="72"/>
        <v>1</v>
      </c>
      <c r="X186" s="11">
        <f t="shared" si="73"/>
        <v>0</v>
      </c>
      <c r="Y186" s="19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1">
        <v>0</v>
      </c>
      <c r="AG186" s="11">
        <v>0</v>
      </c>
      <c r="AH186" s="11">
        <v>0</v>
      </c>
      <c r="AI186" s="45">
        <v>0</v>
      </c>
      <c r="AJ186" s="45">
        <v>0</v>
      </c>
      <c r="AK186" s="45">
        <f t="shared" si="81"/>
        <v>0.3611</v>
      </c>
      <c r="AL186" s="45">
        <f t="shared" si="82"/>
        <v>0.00348095238095238</v>
      </c>
      <c r="AM186" s="45">
        <f t="shared" si="74"/>
        <v>0.0012569719047619</v>
      </c>
      <c r="AN186" s="45">
        <f t="shared" si="85"/>
        <v>0.792187500000004</v>
      </c>
      <c r="AO186" s="45">
        <f t="shared" si="75"/>
        <v>0.792187500000004</v>
      </c>
      <c r="AP186" s="45">
        <f t="shared" si="76"/>
        <v>1.05625</v>
      </c>
      <c r="AQ186" s="45">
        <f t="shared" si="77"/>
        <v>0</v>
      </c>
      <c r="AR186" s="45">
        <f t="shared" si="78"/>
        <v>0</v>
      </c>
      <c r="AS186" s="19">
        <f t="shared" si="83"/>
        <v>1.07916666666667</v>
      </c>
      <c r="AT186" s="19">
        <f t="shared" si="84"/>
        <v>1.03333333333334</v>
      </c>
      <c r="AU186" s="46">
        <v>0</v>
      </c>
      <c r="AV186" s="46">
        <v>0</v>
      </c>
      <c r="AW186" s="46">
        <v>0</v>
      </c>
      <c r="AX186" s="46">
        <v>1</v>
      </c>
      <c r="AY186" s="47">
        <v>0</v>
      </c>
      <c r="AZ186" s="47">
        <v>-1</v>
      </c>
    </row>
    <row r="187" hidden="1" customHeight="1" spans="1:52">
      <c r="A187" s="44">
        <v>45512</v>
      </c>
      <c r="B187" s="33">
        <f t="shared" si="62"/>
        <v>504</v>
      </c>
      <c r="C187" s="33">
        <f t="shared" si="63"/>
        <v>1304</v>
      </c>
      <c r="D187" s="11">
        <f t="shared" si="64"/>
        <v>1808</v>
      </c>
      <c r="E187" s="34">
        <f t="shared" si="79"/>
        <v>-2.81070756883665e-6</v>
      </c>
      <c r="F187" s="35">
        <f t="shared" si="65"/>
        <v>0.000503116654821757</v>
      </c>
      <c r="G187" s="18">
        <f>(SUM($I$8:$I187)*(MAX(M$3-M$4,0))+(N187*MAX(M$4,0)))*(1-$AM$4)+(AM187*$AM$4)</f>
        <v>0.0905609978679163</v>
      </c>
      <c r="H187" s="18">
        <f t="shared" si="66"/>
        <v>0.833333333333333</v>
      </c>
      <c r="I187" s="18">
        <f t="shared" si="67"/>
        <v>0</v>
      </c>
      <c r="J187" s="18">
        <f t="shared" si="68"/>
        <v>0.344131791898082</v>
      </c>
      <c r="K187" s="18">
        <f t="shared" si="69"/>
        <v>0.00130132580972603</v>
      </c>
      <c r="L187" s="18">
        <f t="shared" si="70"/>
        <v>0</v>
      </c>
      <c r="M187" s="18">
        <v>0</v>
      </c>
      <c r="N187" s="18">
        <f t="shared" si="80"/>
        <v>0</v>
      </c>
      <c r="O187" s="11">
        <v>0</v>
      </c>
      <c r="P187" s="11">
        <v>0</v>
      </c>
      <c r="Q187" s="11">
        <f t="shared" si="87"/>
        <v>1</v>
      </c>
      <c r="R187" s="11">
        <v>0</v>
      </c>
      <c r="S187" s="11">
        <f t="shared" si="71"/>
        <v>0</v>
      </c>
      <c r="T187" s="11">
        <v>0</v>
      </c>
      <c r="U187" s="11">
        <f t="shared" si="86"/>
        <v>1</v>
      </c>
      <c r="V187" s="11">
        <v>0</v>
      </c>
      <c r="W187" s="11">
        <f t="shared" si="72"/>
        <v>1</v>
      </c>
      <c r="X187" s="11">
        <f t="shared" si="73"/>
        <v>0</v>
      </c>
      <c r="Y187" s="19">
        <v>0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11">
        <v>0</v>
      </c>
      <c r="AG187" s="11">
        <v>0</v>
      </c>
      <c r="AH187" s="11">
        <v>0</v>
      </c>
      <c r="AI187" s="45">
        <v>0</v>
      </c>
      <c r="AJ187" s="45">
        <v>0</v>
      </c>
      <c r="AK187" s="45">
        <f t="shared" si="81"/>
        <v>0.3611</v>
      </c>
      <c r="AL187" s="45">
        <f t="shared" si="82"/>
        <v>0.00348095238095238</v>
      </c>
      <c r="AM187" s="45">
        <f t="shared" si="74"/>
        <v>0.0012569719047619</v>
      </c>
      <c r="AN187" s="45">
        <f t="shared" si="85"/>
        <v>0.792187500000004</v>
      </c>
      <c r="AO187" s="45">
        <f t="shared" si="75"/>
        <v>0.792187500000004</v>
      </c>
      <c r="AP187" s="45">
        <f t="shared" si="76"/>
        <v>1.05625</v>
      </c>
      <c r="AQ187" s="45">
        <f t="shared" si="77"/>
        <v>0</v>
      </c>
      <c r="AR187" s="45">
        <f t="shared" si="78"/>
        <v>0</v>
      </c>
      <c r="AS187" s="19">
        <f t="shared" si="83"/>
        <v>1.07916666666667</v>
      </c>
      <c r="AT187" s="19">
        <f t="shared" si="84"/>
        <v>1.03333333333334</v>
      </c>
      <c r="AU187" s="46">
        <v>0</v>
      </c>
      <c r="AV187" s="46">
        <v>0</v>
      </c>
      <c r="AW187" s="46">
        <v>0</v>
      </c>
      <c r="AX187" s="46">
        <v>1</v>
      </c>
      <c r="AY187" s="47">
        <v>0</v>
      </c>
      <c r="AZ187" s="47">
        <v>-1</v>
      </c>
    </row>
    <row r="188" hidden="1" customHeight="1" spans="1:52">
      <c r="A188" s="44">
        <v>45513</v>
      </c>
      <c r="B188" s="33">
        <f t="shared" si="62"/>
        <v>503</v>
      </c>
      <c r="C188" s="33">
        <f t="shared" si="63"/>
        <v>1315</v>
      </c>
      <c r="D188" s="11">
        <f t="shared" si="64"/>
        <v>1818</v>
      </c>
      <c r="E188" s="34">
        <f t="shared" si="79"/>
        <v>-2.77965002663946e-6</v>
      </c>
      <c r="F188" s="35">
        <f t="shared" si="65"/>
        <v>0.000500337004795118</v>
      </c>
      <c r="G188" s="18">
        <f>(SUM($I$8:$I188)*(MAX(M$3-M$4,0))+(N188*MAX(M$4,0)))*(1-$AM$4)+(AM188*$AM$4)</f>
        <v>0.0905609978679163</v>
      </c>
      <c r="H188" s="18">
        <f t="shared" si="66"/>
        <v>0.833333333333333</v>
      </c>
      <c r="I188" s="18">
        <f t="shared" si="67"/>
        <v>0</v>
      </c>
      <c r="J188" s="18">
        <f t="shared" si="68"/>
        <v>0.342230511279861</v>
      </c>
      <c r="K188" s="18">
        <f t="shared" si="69"/>
        <v>0.00130769282051718</v>
      </c>
      <c r="L188" s="18">
        <f t="shared" si="70"/>
        <v>0</v>
      </c>
      <c r="M188" s="18">
        <v>0</v>
      </c>
      <c r="N188" s="18">
        <f t="shared" si="80"/>
        <v>0</v>
      </c>
      <c r="O188" s="11">
        <v>0</v>
      </c>
      <c r="P188" s="11">
        <v>0</v>
      </c>
      <c r="Q188" s="11">
        <f t="shared" si="87"/>
        <v>1</v>
      </c>
      <c r="R188" s="11">
        <v>0</v>
      </c>
      <c r="S188" s="11">
        <f t="shared" si="71"/>
        <v>0</v>
      </c>
      <c r="T188" s="11">
        <v>0</v>
      </c>
      <c r="U188" s="11">
        <f t="shared" si="86"/>
        <v>1</v>
      </c>
      <c r="V188" s="11">
        <v>0</v>
      </c>
      <c r="W188" s="11">
        <f t="shared" si="72"/>
        <v>1</v>
      </c>
      <c r="X188" s="11">
        <f t="shared" si="73"/>
        <v>0</v>
      </c>
      <c r="Y188" s="19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45">
        <v>0</v>
      </c>
      <c r="AJ188" s="45">
        <v>0</v>
      </c>
      <c r="AK188" s="45">
        <f t="shared" si="81"/>
        <v>0.3611</v>
      </c>
      <c r="AL188" s="45">
        <f t="shared" si="82"/>
        <v>0.00348095238095238</v>
      </c>
      <c r="AM188" s="45">
        <f t="shared" si="74"/>
        <v>0.0012569719047619</v>
      </c>
      <c r="AN188" s="45">
        <f t="shared" si="85"/>
        <v>0.792187500000004</v>
      </c>
      <c r="AO188" s="45">
        <f t="shared" si="75"/>
        <v>0.792187500000004</v>
      </c>
      <c r="AP188" s="45">
        <f t="shared" si="76"/>
        <v>1.05625</v>
      </c>
      <c r="AQ188" s="45">
        <f t="shared" si="77"/>
        <v>0</v>
      </c>
      <c r="AR188" s="45">
        <f t="shared" si="78"/>
        <v>0</v>
      </c>
      <c r="AS188" s="19">
        <f t="shared" si="83"/>
        <v>1.07916666666667</v>
      </c>
      <c r="AT188" s="19">
        <f t="shared" si="84"/>
        <v>1.03333333333334</v>
      </c>
      <c r="AU188" s="46">
        <v>0</v>
      </c>
      <c r="AV188" s="46">
        <v>0</v>
      </c>
      <c r="AW188" s="46">
        <v>0</v>
      </c>
      <c r="AX188" s="46">
        <v>1</v>
      </c>
      <c r="AY188" s="47">
        <v>0</v>
      </c>
      <c r="AZ188" s="47">
        <v>-1</v>
      </c>
    </row>
    <row r="189" hidden="1" customHeight="1" spans="1:52">
      <c r="A189" s="44">
        <v>45514</v>
      </c>
      <c r="B189" s="33">
        <f t="shared" si="62"/>
        <v>502</v>
      </c>
      <c r="C189" s="33">
        <f t="shared" si="63"/>
        <v>1322</v>
      </c>
      <c r="D189" s="11">
        <f t="shared" si="64"/>
        <v>1824</v>
      </c>
      <c r="E189" s="34">
        <f t="shared" si="79"/>
        <v>-1.76376163973349e-6</v>
      </c>
      <c r="F189" s="35">
        <f t="shared" si="65"/>
        <v>0.000498573243155384</v>
      </c>
      <c r="G189" s="18">
        <f>(SUM($I$8:$I189)*(MAX(M$3-M$4,0))+(N189*MAX(M$4,0)))*(1-$AM$4)+(AM189*$AM$4)</f>
        <v>0.09074033025428</v>
      </c>
      <c r="H189" s="18">
        <f t="shared" si="66"/>
        <v>0.833333333333333</v>
      </c>
      <c r="I189" s="18">
        <f t="shared" si="67"/>
        <v>0.000956439393939397</v>
      </c>
      <c r="J189" s="18">
        <f t="shared" si="68"/>
        <v>0.341024098318283</v>
      </c>
      <c r="K189" s="18">
        <f t="shared" si="69"/>
        <v>0.00131270099936597</v>
      </c>
      <c r="L189" s="18">
        <f t="shared" si="70"/>
        <v>0.00114772727272728</v>
      </c>
      <c r="M189" s="18">
        <v>0</v>
      </c>
      <c r="N189" s="18">
        <f t="shared" si="80"/>
        <v>0</v>
      </c>
      <c r="O189" s="11">
        <v>0</v>
      </c>
      <c r="P189" s="11">
        <v>0</v>
      </c>
      <c r="Q189" s="11">
        <f t="shared" si="87"/>
        <v>1</v>
      </c>
      <c r="R189" s="11">
        <v>0</v>
      </c>
      <c r="S189" s="11">
        <f t="shared" si="71"/>
        <v>0</v>
      </c>
      <c r="T189" s="11">
        <v>0</v>
      </c>
      <c r="U189" s="11">
        <f t="shared" si="86"/>
        <v>1</v>
      </c>
      <c r="V189" s="11">
        <v>0</v>
      </c>
      <c r="W189" s="11">
        <f t="shared" si="72"/>
        <v>1</v>
      </c>
      <c r="X189" s="11">
        <f t="shared" si="73"/>
        <v>0</v>
      </c>
      <c r="Y189" s="19">
        <v>1.83</v>
      </c>
      <c r="Z189" s="11">
        <v>0</v>
      </c>
      <c r="AA189" s="11">
        <v>0</v>
      </c>
      <c r="AB189" s="11">
        <v>3</v>
      </c>
      <c r="AC189" s="11">
        <v>0</v>
      </c>
      <c r="AD189" s="11">
        <v>0</v>
      </c>
      <c r="AE189" s="11">
        <v>0</v>
      </c>
      <c r="AF189" s="11">
        <v>0</v>
      </c>
      <c r="AG189" s="11">
        <v>0</v>
      </c>
      <c r="AH189" s="11">
        <v>0</v>
      </c>
      <c r="AI189" s="45">
        <v>0</v>
      </c>
      <c r="AJ189" s="45">
        <v>0</v>
      </c>
      <c r="AK189" s="45">
        <f t="shared" si="81"/>
        <v>0.3611</v>
      </c>
      <c r="AL189" s="45">
        <f t="shared" si="82"/>
        <v>0.00348095238095238</v>
      </c>
      <c r="AM189" s="45">
        <f t="shared" si="74"/>
        <v>0.0012569719047619</v>
      </c>
      <c r="AN189" s="45">
        <f t="shared" si="85"/>
        <v>0.792187500000004</v>
      </c>
      <c r="AO189" s="45">
        <f t="shared" si="75"/>
        <v>0.792187500000004</v>
      </c>
      <c r="AP189" s="45">
        <f t="shared" si="76"/>
        <v>1.05625</v>
      </c>
      <c r="AQ189" s="45">
        <f t="shared" si="77"/>
        <v>0</v>
      </c>
      <c r="AR189" s="45">
        <f t="shared" si="78"/>
        <v>0</v>
      </c>
      <c r="AS189" s="19">
        <f t="shared" si="83"/>
        <v>1.07916666666667</v>
      </c>
      <c r="AT189" s="19">
        <f t="shared" si="84"/>
        <v>1.03333333333334</v>
      </c>
      <c r="AU189" s="46">
        <v>0</v>
      </c>
      <c r="AV189" s="46">
        <v>0</v>
      </c>
      <c r="AW189" s="46">
        <v>0</v>
      </c>
      <c r="AX189" s="46">
        <v>1</v>
      </c>
      <c r="AY189" s="47">
        <v>0</v>
      </c>
      <c r="AZ189" s="47">
        <v>-1</v>
      </c>
    </row>
    <row r="190" hidden="1" customHeight="1" spans="1:52">
      <c r="A190" s="44">
        <v>45515</v>
      </c>
      <c r="B190" s="33">
        <f t="shared" si="62"/>
        <v>501</v>
      </c>
      <c r="C190" s="33">
        <f t="shared" si="63"/>
        <v>1330</v>
      </c>
      <c r="D190" s="11">
        <f t="shared" si="64"/>
        <v>1831</v>
      </c>
      <c r="E190" s="34">
        <f t="shared" si="79"/>
        <v>-1.93853672365081e-6</v>
      </c>
      <c r="F190" s="35">
        <f t="shared" si="65"/>
        <v>0.000496634706431734</v>
      </c>
      <c r="G190" s="18">
        <f>(SUM($I$8:$I190)*(MAX(M$3-M$4,0))+(N190*MAX(M$4,0)))*(1-$AM$4)+(AM190*$AM$4)</f>
        <v>0.0908841512770072</v>
      </c>
      <c r="H190" s="18">
        <f t="shared" si="66"/>
        <v>0.833333333333333</v>
      </c>
      <c r="I190" s="18">
        <f t="shared" si="67"/>
        <v>0.000767045454545457</v>
      </c>
      <c r="J190" s="18">
        <f t="shared" si="68"/>
        <v>0.339698139199306</v>
      </c>
      <c r="K190" s="18">
        <f t="shared" si="69"/>
        <v>0.00131796778602933</v>
      </c>
      <c r="L190" s="18">
        <f t="shared" si="70"/>
        <v>0.000920454545454548</v>
      </c>
      <c r="M190" s="18">
        <v>0</v>
      </c>
      <c r="N190" s="18">
        <f t="shared" si="80"/>
        <v>0</v>
      </c>
      <c r="O190" s="11">
        <v>0</v>
      </c>
      <c r="P190" s="11">
        <v>0</v>
      </c>
      <c r="Q190" s="11">
        <f t="shared" si="87"/>
        <v>1</v>
      </c>
      <c r="R190" s="11">
        <v>0</v>
      </c>
      <c r="S190" s="11">
        <f t="shared" si="71"/>
        <v>0</v>
      </c>
      <c r="T190" s="11">
        <v>0</v>
      </c>
      <c r="U190" s="11">
        <f t="shared" si="86"/>
        <v>1</v>
      </c>
      <c r="V190" s="11">
        <v>0</v>
      </c>
      <c r="W190" s="11">
        <f t="shared" si="72"/>
        <v>1</v>
      </c>
      <c r="X190" s="11">
        <f t="shared" si="73"/>
        <v>0</v>
      </c>
      <c r="Y190" s="19">
        <v>0.83</v>
      </c>
      <c r="Z190" s="11">
        <v>0</v>
      </c>
      <c r="AA190" s="11">
        <v>0</v>
      </c>
      <c r="AB190" s="11">
        <v>4</v>
      </c>
      <c r="AC190" s="11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45">
        <v>0</v>
      </c>
      <c r="AJ190" s="45">
        <v>0</v>
      </c>
      <c r="AK190" s="45">
        <f t="shared" si="81"/>
        <v>0.3611</v>
      </c>
      <c r="AL190" s="45">
        <f t="shared" si="82"/>
        <v>0.00348095238095238</v>
      </c>
      <c r="AM190" s="45">
        <f t="shared" si="74"/>
        <v>0.0012569719047619</v>
      </c>
      <c r="AN190" s="45">
        <f t="shared" si="85"/>
        <v>0.792187500000004</v>
      </c>
      <c r="AO190" s="45">
        <f t="shared" si="75"/>
        <v>0.792187500000004</v>
      </c>
      <c r="AP190" s="45">
        <f t="shared" si="76"/>
        <v>1.05625</v>
      </c>
      <c r="AQ190" s="45">
        <f t="shared" si="77"/>
        <v>0</v>
      </c>
      <c r="AR190" s="45">
        <f t="shared" si="78"/>
        <v>0</v>
      </c>
      <c r="AS190" s="19">
        <f t="shared" si="83"/>
        <v>1.07916666666667</v>
      </c>
      <c r="AT190" s="19">
        <f t="shared" si="84"/>
        <v>1.03333333333334</v>
      </c>
      <c r="AU190" s="46">
        <v>0</v>
      </c>
      <c r="AV190" s="46">
        <v>0</v>
      </c>
      <c r="AW190" s="46">
        <v>0</v>
      </c>
      <c r="AX190" s="46">
        <v>1</v>
      </c>
      <c r="AY190" s="47">
        <v>0</v>
      </c>
      <c r="AZ190" s="47">
        <v>-1</v>
      </c>
    </row>
    <row r="191" hidden="1" customHeight="1" spans="1:52">
      <c r="A191" s="44">
        <v>45516</v>
      </c>
      <c r="B191" s="33">
        <f t="shared" si="62"/>
        <v>500</v>
      </c>
      <c r="C191" s="33">
        <f t="shared" si="63"/>
        <v>1341</v>
      </c>
      <c r="D191" s="11">
        <f t="shared" si="64"/>
        <v>1841</v>
      </c>
      <c r="E191" s="34">
        <f t="shared" si="79"/>
        <v>-2.69910166538986e-6</v>
      </c>
      <c r="F191" s="35">
        <f t="shared" si="65"/>
        <v>0.000493935604766344</v>
      </c>
      <c r="G191" s="18">
        <f>(SUM($I$8:$I191)*(MAX(M$3-M$4,0))+(N191*MAX(M$4,0)))*(1-$AM$4)+(AM191*$AM$4)</f>
        <v>0.0908841512770072</v>
      </c>
      <c r="H191" s="18">
        <f t="shared" si="66"/>
        <v>0.833333333333333</v>
      </c>
      <c r="I191" s="18">
        <f t="shared" si="67"/>
        <v>0</v>
      </c>
      <c r="J191" s="18">
        <f t="shared" si="68"/>
        <v>0.337851953660179</v>
      </c>
      <c r="K191" s="18">
        <f t="shared" si="69"/>
        <v>0.00132429609267964</v>
      </c>
      <c r="L191" s="18">
        <f t="shared" si="70"/>
        <v>0</v>
      </c>
      <c r="M191" s="18">
        <v>0</v>
      </c>
      <c r="N191" s="18">
        <f t="shared" si="80"/>
        <v>0</v>
      </c>
      <c r="O191" s="11">
        <v>0</v>
      </c>
      <c r="P191" s="11">
        <v>0</v>
      </c>
      <c r="Q191" s="11">
        <f t="shared" si="87"/>
        <v>1</v>
      </c>
      <c r="R191" s="11">
        <v>0</v>
      </c>
      <c r="S191" s="11">
        <f t="shared" si="71"/>
        <v>0</v>
      </c>
      <c r="T191" s="11">
        <v>0</v>
      </c>
      <c r="U191" s="11">
        <f t="shared" si="86"/>
        <v>1</v>
      </c>
      <c r="V191" s="11">
        <v>0</v>
      </c>
      <c r="W191" s="11">
        <f t="shared" si="72"/>
        <v>1</v>
      </c>
      <c r="X191" s="11">
        <f t="shared" si="73"/>
        <v>0</v>
      </c>
      <c r="Y191" s="19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1">
        <v>0</v>
      </c>
      <c r="AG191" s="11">
        <v>0</v>
      </c>
      <c r="AH191" s="11">
        <v>0</v>
      </c>
      <c r="AI191" s="45">
        <v>0</v>
      </c>
      <c r="AJ191" s="45">
        <v>0</v>
      </c>
      <c r="AK191" s="45">
        <f t="shared" si="81"/>
        <v>0.3611</v>
      </c>
      <c r="AL191" s="45">
        <f t="shared" si="82"/>
        <v>0.00348095238095238</v>
      </c>
      <c r="AM191" s="45">
        <f t="shared" si="74"/>
        <v>0.0012569719047619</v>
      </c>
      <c r="AN191" s="45">
        <f t="shared" si="85"/>
        <v>0.792187500000004</v>
      </c>
      <c r="AO191" s="45">
        <f t="shared" si="75"/>
        <v>0.792187500000004</v>
      </c>
      <c r="AP191" s="45">
        <f t="shared" si="76"/>
        <v>1.05625</v>
      </c>
      <c r="AQ191" s="45">
        <f t="shared" si="77"/>
        <v>0</v>
      </c>
      <c r="AR191" s="45">
        <f t="shared" si="78"/>
        <v>0</v>
      </c>
      <c r="AS191" s="19">
        <f t="shared" si="83"/>
        <v>1.07916666666667</v>
      </c>
      <c r="AT191" s="19">
        <f t="shared" si="84"/>
        <v>1.03333333333334</v>
      </c>
      <c r="AU191" s="46">
        <v>0</v>
      </c>
      <c r="AV191" s="46">
        <v>0</v>
      </c>
      <c r="AW191" s="46">
        <v>0</v>
      </c>
      <c r="AX191" s="46">
        <v>1</v>
      </c>
      <c r="AY191" s="47">
        <v>0</v>
      </c>
      <c r="AZ191" s="47">
        <v>-1</v>
      </c>
    </row>
    <row r="192" hidden="1" customHeight="1" spans="1:52">
      <c r="A192" s="44">
        <v>45517</v>
      </c>
      <c r="B192" s="33">
        <f t="shared" si="62"/>
        <v>499</v>
      </c>
      <c r="C192" s="33">
        <f t="shared" si="63"/>
        <v>1352</v>
      </c>
      <c r="D192" s="11">
        <f t="shared" si="64"/>
        <v>1851</v>
      </c>
      <c r="E192" s="34">
        <f t="shared" si="79"/>
        <v>-2.66992218792613e-6</v>
      </c>
      <c r="F192" s="35">
        <f t="shared" si="65"/>
        <v>0.000491265682578418</v>
      </c>
      <c r="G192" s="18">
        <f>(SUM($I$8:$I192)*(MAX(M$3-M$4,0))+(N192*MAX(M$4,0)))*(1-$AM$4)+(AM192*$AM$4)</f>
        <v>0.0908841512770072</v>
      </c>
      <c r="H192" s="18">
        <f t="shared" si="66"/>
        <v>0.833333333333333</v>
      </c>
      <c r="I192" s="18">
        <f t="shared" si="67"/>
        <v>0</v>
      </c>
      <c r="J192" s="18">
        <f t="shared" si="68"/>
        <v>0.336025726883638</v>
      </c>
      <c r="K192" s="18">
        <f t="shared" si="69"/>
        <v>0.00133060976576425</v>
      </c>
      <c r="L192" s="18">
        <f t="shared" si="70"/>
        <v>0</v>
      </c>
      <c r="M192" s="18">
        <v>0</v>
      </c>
      <c r="N192" s="18">
        <f t="shared" si="80"/>
        <v>0</v>
      </c>
      <c r="O192" s="11">
        <v>0</v>
      </c>
      <c r="P192" s="11">
        <v>0</v>
      </c>
      <c r="Q192" s="11">
        <f t="shared" si="87"/>
        <v>1</v>
      </c>
      <c r="R192" s="11">
        <v>0</v>
      </c>
      <c r="S192" s="11">
        <f t="shared" si="71"/>
        <v>0</v>
      </c>
      <c r="T192" s="11">
        <v>0</v>
      </c>
      <c r="U192" s="11">
        <f t="shared" si="86"/>
        <v>1</v>
      </c>
      <c r="V192" s="11">
        <v>0</v>
      </c>
      <c r="W192" s="11">
        <f t="shared" si="72"/>
        <v>1</v>
      </c>
      <c r="X192" s="11">
        <f t="shared" si="73"/>
        <v>0</v>
      </c>
      <c r="Y192" s="19">
        <v>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11">
        <v>0</v>
      </c>
      <c r="AG192" s="11">
        <v>0</v>
      </c>
      <c r="AH192" s="11">
        <v>0</v>
      </c>
      <c r="AI192" s="45">
        <v>0</v>
      </c>
      <c r="AJ192" s="45">
        <v>0</v>
      </c>
      <c r="AK192" s="45">
        <f t="shared" si="81"/>
        <v>0.3611</v>
      </c>
      <c r="AL192" s="45">
        <f t="shared" si="82"/>
        <v>0.00348095238095238</v>
      </c>
      <c r="AM192" s="45">
        <f t="shared" si="74"/>
        <v>0.0012569719047619</v>
      </c>
      <c r="AN192" s="45">
        <f t="shared" si="85"/>
        <v>0.792187500000004</v>
      </c>
      <c r="AO192" s="45">
        <f t="shared" si="75"/>
        <v>0.792187500000004</v>
      </c>
      <c r="AP192" s="45">
        <f t="shared" si="76"/>
        <v>1.05625</v>
      </c>
      <c r="AQ192" s="45">
        <f t="shared" si="77"/>
        <v>0</v>
      </c>
      <c r="AR192" s="45">
        <f t="shared" si="78"/>
        <v>0</v>
      </c>
      <c r="AS192" s="19">
        <f t="shared" si="83"/>
        <v>1.07916666666667</v>
      </c>
      <c r="AT192" s="19">
        <f t="shared" si="84"/>
        <v>1.03333333333334</v>
      </c>
      <c r="AU192" s="46">
        <v>0</v>
      </c>
      <c r="AV192" s="46">
        <v>0</v>
      </c>
      <c r="AW192" s="46">
        <v>0</v>
      </c>
      <c r="AX192" s="46">
        <v>1</v>
      </c>
      <c r="AY192" s="47">
        <v>0</v>
      </c>
      <c r="AZ192" s="47">
        <v>-1</v>
      </c>
    </row>
    <row r="193" hidden="1" customHeight="1" spans="1:52">
      <c r="A193" s="44">
        <v>45518</v>
      </c>
      <c r="B193" s="33">
        <f t="shared" si="62"/>
        <v>498</v>
      </c>
      <c r="C193" s="33">
        <f t="shared" si="63"/>
        <v>1363</v>
      </c>
      <c r="D193" s="11">
        <f t="shared" si="64"/>
        <v>1861</v>
      </c>
      <c r="E193" s="34">
        <f t="shared" si="79"/>
        <v>-2.64121334719576e-6</v>
      </c>
      <c r="F193" s="35">
        <f t="shared" si="65"/>
        <v>0.000488624469231222</v>
      </c>
      <c r="G193" s="18">
        <f>(SUM($I$8:$I193)*(MAX(M$3-M$4,0))+(N193*MAX(M$4,0)))*(1-$AM$4)+(AM193*$AM$4)</f>
        <v>0.0908841512770072</v>
      </c>
      <c r="H193" s="18">
        <f t="shared" si="66"/>
        <v>0.833333333333333</v>
      </c>
      <c r="I193" s="18">
        <f t="shared" si="67"/>
        <v>0</v>
      </c>
      <c r="J193" s="18">
        <f t="shared" si="68"/>
        <v>0.334219136954156</v>
      </c>
      <c r="K193" s="18">
        <f t="shared" si="69"/>
        <v>0.00133690936354587</v>
      </c>
      <c r="L193" s="18">
        <f t="shared" si="70"/>
        <v>0</v>
      </c>
      <c r="M193" s="18">
        <v>0</v>
      </c>
      <c r="N193" s="18">
        <f t="shared" si="80"/>
        <v>0</v>
      </c>
      <c r="O193" s="11">
        <v>0</v>
      </c>
      <c r="P193" s="11">
        <v>0</v>
      </c>
      <c r="Q193" s="11">
        <f t="shared" si="87"/>
        <v>1</v>
      </c>
      <c r="R193" s="11">
        <v>0</v>
      </c>
      <c r="S193" s="11">
        <f t="shared" si="71"/>
        <v>0</v>
      </c>
      <c r="T193" s="11">
        <v>0</v>
      </c>
      <c r="U193" s="11">
        <f t="shared" si="86"/>
        <v>1</v>
      </c>
      <c r="V193" s="11">
        <v>0</v>
      </c>
      <c r="W193" s="11">
        <f t="shared" si="72"/>
        <v>1</v>
      </c>
      <c r="X193" s="11">
        <f t="shared" si="73"/>
        <v>0</v>
      </c>
      <c r="Y193" s="19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1">
        <v>0</v>
      </c>
      <c r="AG193" s="11">
        <v>0</v>
      </c>
      <c r="AH193" s="11">
        <v>0</v>
      </c>
      <c r="AI193" s="45">
        <v>0</v>
      </c>
      <c r="AJ193" s="45">
        <v>0</v>
      </c>
      <c r="AK193" s="45">
        <f t="shared" si="81"/>
        <v>0.3611</v>
      </c>
      <c r="AL193" s="45">
        <f t="shared" si="82"/>
        <v>0.00348095238095238</v>
      </c>
      <c r="AM193" s="45">
        <f t="shared" si="74"/>
        <v>0.0012569719047619</v>
      </c>
      <c r="AN193" s="45">
        <f t="shared" si="85"/>
        <v>0.792187500000004</v>
      </c>
      <c r="AO193" s="45">
        <f t="shared" si="75"/>
        <v>0.792187500000004</v>
      </c>
      <c r="AP193" s="45">
        <f t="shared" si="76"/>
        <v>1.05625</v>
      </c>
      <c r="AQ193" s="45">
        <f t="shared" si="77"/>
        <v>0</v>
      </c>
      <c r="AR193" s="45">
        <f t="shared" si="78"/>
        <v>0</v>
      </c>
      <c r="AS193" s="19">
        <f t="shared" si="83"/>
        <v>1.07916666666667</v>
      </c>
      <c r="AT193" s="19">
        <f t="shared" si="84"/>
        <v>1.03333333333334</v>
      </c>
      <c r="AU193" s="46">
        <v>0</v>
      </c>
      <c r="AV193" s="46">
        <v>0</v>
      </c>
      <c r="AW193" s="46">
        <v>0</v>
      </c>
      <c r="AX193" s="46">
        <v>1</v>
      </c>
      <c r="AY193" s="47">
        <v>0</v>
      </c>
      <c r="AZ193" s="47">
        <v>-1</v>
      </c>
    </row>
    <row r="194" hidden="1" customHeight="1" spans="1:52">
      <c r="A194" s="44">
        <v>45519</v>
      </c>
      <c r="B194" s="33">
        <f t="shared" si="62"/>
        <v>497</v>
      </c>
      <c r="C194" s="33">
        <f t="shared" si="63"/>
        <v>1374</v>
      </c>
      <c r="D194" s="11">
        <f t="shared" si="64"/>
        <v>1871</v>
      </c>
      <c r="E194" s="34">
        <f t="shared" si="79"/>
        <v>-2.61296507610284e-6</v>
      </c>
      <c r="F194" s="35">
        <f t="shared" si="65"/>
        <v>0.000486011504155119</v>
      </c>
      <c r="G194" s="18">
        <f>(SUM($I$8:$I194)*(MAX(M$3-M$4,0))+(N194*MAX(M$4,0)))*(1-$AM$4)+(AM194*$AM$4)</f>
        <v>0.0908841512770072</v>
      </c>
      <c r="H194" s="18">
        <f t="shared" si="66"/>
        <v>0.833333333333333</v>
      </c>
      <c r="I194" s="18">
        <f t="shared" si="67"/>
        <v>0</v>
      </c>
      <c r="J194" s="18">
        <f t="shared" si="68"/>
        <v>0.332431868842101</v>
      </c>
      <c r="K194" s="18">
        <f t="shared" si="69"/>
        <v>0.00134319543492535</v>
      </c>
      <c r="L194" s="18">
        <f t="shared" si="70"/>
        <v>0</v>
      </c>
      <c r="M194" s="18">
        <v>0</v>
      </c>
      <c r="N194" s="18">
        <f t="shared" si="80"/>
        <v>0</v>
      </c>
      <c r="O194" s="11">
        <v>0</v>
      </c>
      <c r="P194" s="11">
        <v>0</v>
      </c>
      <c r="Q194" s="11">
        <f t="shared" si="87"/>
        <v>1</v>
      </c>
      <c r="R194" s="11">
        <v>0</v>
      </c>
      <c r="S194" s="11">
        <f t="shared" si="71"/>
        <v>0</v>
      </c>
      <c r="T194" s="11">
        <v>0</v>
      </c>
      <c r="U194" s="11">
        <f t="shared" si="86"/>
        <v>1</v>
      </c>
      <c r="V194" s="11">
        <v>0</v>
      </c>
      <c r="W194" s="11">
        <f t="shared" si="72"/>
        <v>1</v>
      </c>
      <c r="X194" s="11">
        <f t="shared" si="73"/>
        <v>0</v>
      </c>
      <c r="Y194" s="19">
        <v>0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1">
        <v>0</v>
      </c>
      <c r="AG194" s="11">
        <v>0</v>
      </c>
      <c r="AH194" s="11">
        <v>0</v>
      </c>
      <c r="AI194" s="45">
        <v>0</v>
      </c>
      <c r="AJ194" s="45">
        <v>0</v>
      </c>
      <c r="AK194" s="45">
        <f t="shared" si="81"/>
        <v>0.3611</v>
      </c>
      <c r="AL194" s="45">
        <f t="shared" si="82"/>
        <v>0.00348095238095238</v>
      </c>
      <c r="AM194" s="45">
        <f t="shared" si="74"/>
        <v>0.0012569719047619</v>
      </c>
      <c r="AN194" s="45">
        <f t="shared" si="85"/>
        <v>0.792187500000004</v>
      </c>
      <c r="AO194" s="45">
        <f t="shared" si="75"/>
        <v>0.792187500000004</v>
      </c>
      <c r="AP194" s="45">
        <f t="shared" si="76"/>
        <v>1.05625</v>
      </c>
      <c r="AQ194" s="45">
        <f t="shared" si="77"/>
        <v>0</v>
      </c>
      <c r="AR194" s="45">
        <f t="shared" si="78"/>
        <v>0</v>
      </c>
      <c r="AS194" s="19">
        <f t="shared" si="83"/>
        <v>1.07916666666667</v>
      </c>
      <c r="AT194" s="19">
        <f t="shared" si="84"/>
        <v>1.03333333333334</v>
      </c>
      <c r="AU194" s="46">
        <v>0</v>
      </c>
      <c r="AV194" s="46">
        <v>0</v>
      </c>
      <c r="AW194" s="46">
        <v>0</v>
      </c>
      <c r="AX194" s="46">
        <v>1</v>
      </c>
      <c r="AY194" s="47">
        <v>0</v>
      </c>
      <c r="AZ194" s="47">
        <v>-1</v>
      </c>
    </row>
    <row r="195" hidden="1" customHeight="1" spans="1:52">
      <c r="A195" s="44">
        <v>45520</v>
      </c>
      <c r="B195" s="33">
        <f t="shared" si="62"/>
        <v>496</v>
      </c>
      <c r="C195" s="33">
        <f t="shared" si="63"/>
        <v>1385</v>
      </c>
      <c r="D195" s="11">
        <f t="shared" si="64"/>
        <v>1881</v>
      </c>
      <c r="E195" s="34">
        <f t="shared" si="79"/>
        <v>-2.5851675752932e-6</v>
      </c>
      <c r="F195" s="35">
        <f t="shared" si="65"/>
        <v>0.000483426336579826</v>
      </c>
      <c r="G195" s="18">
        <f>(SUM($I$8:$I195)*(MAX(M$3-M$4,0))+(N195*MAX(M$4,0)))*(1-$AM$4)+(AM195*$AM$4)</f>
        <v>0.0908841512770072</v>
      </c>
      <c r="H195" s="18">
        <f t="shared" si="66"/>
        <v>0.833333333333333</v>
      </c>
      <c r="I195" s="18">
        <f t="shared" si="67"/>
        <v>0</v>
      </c>
      <c r="J195" s="18">
        <f t="shared" si="68"/>
        <v>0.330663614220601</v>
      </c>
      <c r="K195" s="18">
        <f t="shared" si="69"/>
        <v>0.00134946851971653</v>
      </c>
      <c r="L195" s="18">
        <f t="shared" si="70"/>
        <v>0</v>
      </c>
      <c r="M195" s="18">
        <v>0</v>
      </c>
      <c r="N195" s="18">
        <f t="shared" si="80"/>
        <v>0</v>
      </c>
      <c r="O195" s="11">
        <v>0</v>
      </c>
      <c r="P195" s="11">
        <v>0</v>
      </c>
      <c r="Q195" s="11">
        <f t="shared" si="87"/>
        <v>1</v>
      </c>
      <c r="R195" s="11">
        <v>0</v>
      </c>
      <c r="S195" s="11">
        <f t="shared" si="71"/>
        <v>0</v>
      </c>
      <c r="T195" s="11">
        <v>0</v>
      </c>
      <c r="U195" s="11">
        <f t="shared" si="86"/>
        <v>1</v>
      </c>
      <c r="V195" s="11">
        <v>0</v>
      </c>
      <c r="W195" s="11">
        <f t="shared" si="72"/>
        <v>1</v>
      </c>
      <c r="X195" s="11">
        <f t="shared" si="73"/>
        <v>0</v>
      </c>
      <c r="Y195" s="19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1">
        <v>0</v>
      </c>
      <c r="AG195" s="11">
        <v>0</v>
      </c>
      <c r="AH195" s="11">
        <v>0</v>
      </c>
      <c r="AI195" s="45">
        <v>0</v>
      </c>
      <c r="AJ195" s="45">
        <v>0</v>
      </c>
      <c r="AK195" s="45">
        <f t="shared" si="81"/>
        <v>0.3611</v>
      </c>
      <c r="AL195" s="45">
        <f t="shared" si="82"/>
        <v>0.00348095238095238</v>
      </c>
      <c r="AM195" s="45">
        <f t="shared" si="74"/>
        <v>0.0012569719047619</v>
      </c>
      <c r="AN195" s="45">
        <f t="shared" si="85"/>
        <v>0.792187500000004</v>
      </c>
      <c r="AO195" s="45">
        <f t="shared" si="75"/>
        <v>0.792187500000004</v>
      </c>
      <c r="AP195" s="45">
        <f t="shared" si="76"/>
        <v>1.05625</v>
      </c>
      <c r="AQ195" s="45">
        <f t="shared" si="77"/>
        <v>0</v>
      </c>
      <c r="AR195" s="45">
        <f t="shared" si="78"/>
        <v>0</v>
      </c>
      <c r="AS195" s="19">
        <f t="shared" si="83"/>
        <v>1.07916666666667</v>
      </c>
      <c r="AT195" s="19">
        <f t="shared" si="84"/>
        <v>1.03333333333334</v>
      </c>
      <c r="AU195" s="46">
        <v>0</v>
      </c>
      <c r="AV195" s="46">
        <v>0</v>
      </c>
      <c r="AW195" s="46">
        <v>0</v>
      </c>
      <c r="AX195" s="46">
        <v>1</v>
      </c>
      <c r="AY195" s="47">
        <v>0</v>
      </c>
      <c r="AZ195" s="47">
        <v>-1</v>
      </c>
    </row>
    <row r="196" hidden="1" customHeight="1" spans="1:52">
      <c r="A196" s="44">
        <v>45521</v>
      </c>
      <c r="B196" s="33">
        <f t="shared" si="62"/>
        <v>495</v>
      </c>
      <c r="C196" s="33">
        <f t="shared" si="63"/>
        <v>1395</v>
      </c>
      <c r="D196" s="11">
        <f t="shared" si="64"/>
        <v>1890</v>
      </c>
      <c r="E196" s="34">
        <f t="shared" si="79"/>
        <v>-2.43255076272792e-6</v>
      </c>
      <c r="F196" s="35">
        <f t="shared" si="65"/>
        <v>0.000480993785817098</v>
      </c>
      <c r="G196" s="18">
        <f>(SUM($I$8:$I196)*(MAX(M$3-M$4,0))+(N196*MAX(M$4,0)))*(1-$AM$4)+(AM196*$AM$4)</f>
        <v>0.0909078255194315</v>
      </c>
      <c r="H196" s="18">
        <f t="shared" si="66"/>
        <v>0.833333333333333</v>
      </c>
      <c r="I196" s="18">
        <f t="shared" si="67"/>
        <v>0.000126262626262627</v>
      </c>
      <c r="J196" s="18">
        <f t="shared" si="68"/>
        <v>0.328999749498895</v>
      </c>
      <c r="K196" s="18">
        <f t="shared" si="69"/>
        <v>0.00135555606161839</v>
      </c>
      <c r="L196" s="18">
        <f t="shared" si="70"/>
        <v>0.000151515151515152</v>
      </c>
      <c r="M196" s="18">
        <v>0</v>
      </c>
      <c r="N196" s="18">
        <f t="shared" si="80"/>
        <v>0</v>
      </c>
      <c r="O196" s="11">
        <v>0</v>
      </c>
      <c r="P196" s="11">
        <v>0</v>
      </c>
      <c r="Q196" s="11">
        <f t="shared" si="87"/>
        <v>1</v>
      </c>
      <c r="R196" s="11">
        <v>0</v>
      </c>
      <c r="S196" s="11">
        <f t="shared" si="71"/>
        <v>0</v>
      </c>
      <c r="T196" s="11">
        <v>0</v>
      </c>
      <c r="U196" s="11">
        <f t="shared" si="86"/>
        <v>1</v>
      </c>
      <c r="V196" s="11">
        <v>0</v>
      </c>
      <c r="W196" s="11">
        <f t="shared" si="72"/>
        <v>1</v>
      </c>
      <c r="X196" s="11">
        <f t="shared" si="73"/>
        <v>0</v>
      </c>
      <c r="Y196" s="19">
        <v>0</v>
      </c>
      <c r="Z196" s="11">
        <v>0</v>
      </c>
      <c r="AA196" s="11">
        <v>0</v>
      </c>
      <c r="AB196" s="11">
        <v>1</v>
      </c>
      <c r="AC196" s="11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45">
        <v>0</v>
      </c>
      <c r="AJ196" s="45">
        <v>0</v>
      </c>
      <c r="AK196" s="45">
        <f t="shared" si="81"/>
        <v>0.3611</v>
      </c>
      <c r="AL196" s="45">
        <f t="shared" si="82"/>
        <v>0.00348095238095238</v>
      </c>
      <c r="AM196" s="45">
        <f t="shared" si="74"/>
        <v>0.0012569719047619</v>
      </c>
      <c r="AN196" s="45">
        <f t="shared" si="85"/>
        <v>0.792187500000004</v>
      </c>
      <c r="AO196" s="45">
        <f t="shared" si="75"/>
        <v>0.792187500000004</v>
      </c>
      <c r="AP196" s="45">
        <f t="shared" si="76"/>
        <v>1.05625</v>
      </c>
      <c r="AQ196" s="45">
        <f t="shared" si="77"/>
        <v>0</v>
      </c>
      <c r="AR196" s="45">
        <f t="shared" si="78"/>
        <v>0</v>
      </c>
      <c r="AS196" s="19">
        <f t="shared" si="83"/>
        <v>1.07916666666667</v>
      </c>
      <c r="AT196" s="19">
        <f t="shared" si="84"/>
        <v>1.03333333333334</v>
      </c>
      <c r="AU196" s="46">
        <v>0</v>
      </c>
      <c r="AV196" s="46">
        <v>0</v>
      </c>
      <c r="AW196" s="46">
        <v>0</v>
      </c>
      <c r="AX196" s="46">
        <v>1</v>
      </c>
      <c r="AY196" s="47">
        <v>0</v>
      </c>
      <c r="AZ196" s="47">
        <v>-1</v>
      </c>
    </row>
    <row r="197" hidden="1" customHeight="1" spans="1:52">
      <c r="A197" s="44">
        <v>45522</v>
      </c>
      <c r="B197" s="33">
        <f t="shared" si="62"/>
        <v>494</v>
      </c>
      <c r="C197" s="33">
        <f t="shared" si="63"/>
        <v>1406</v>
      </c>
      <c r="D197" s="11">
        <f t="shared" si="64"/>
        <v>1900</v>
      </c>
      <c r="E197" s="34">
        <f t="shared" si="79"/>
        <v>-2.5315462411426e-6</v>
      </c>
      <c r="F197" s="35">
        <f t="shared" si="65"/>
        <v>0.000478462239575955</v>
      </c>
      <c r="G197" s="18">
        <f>(SUM($I$8:$I197)*(MAX(M$3-M$4,0))+(N197*MAX(M$4,0)))*(1-$AM$4)+(AM197*$AM$4)</f>
        <v>0.0909078255194315</v>
      </c>
      <c r="H197" s="18">
        <f t="shared" si="66"/>
        <v>0.833333333333333</v>
      </c>
      <c r="I197" s="18">
        <f t="shared" si="67"/>
        <v>0</v>
      </c>
      <c r="J197" s="18">
        <f t="shared" si="68"/>
        <v>0.327268171869953</v>
      </c>
      <c r="K197" s="18">
        <f t="shared" si="69"/>
        <v>0.00136180532010131</v>
      </c>
      <c r="L197" s="18">
        <f t="shared" si="70"/>
        <v>0</v>
      </c>
      <c r="M197" s="18">
        <v>0</v>
      </c>
      <c r="N197" s="18">
        <f t="shared" si="80"/>
        <v>0</v>
      </c>
      <c r="O197" s="11">
        <v>0</v>
      </c>
      <c r="P197" s="11">
        <v>0</v>
      </c>
      <c r="Q197" s="11">
        <f t="shared" si="87"/>
        <v>1</v>
      </c>
      <c r="R197" s="11">
        <v>0</v>
      </c>
      <c r="S197" s="11">
        <f t="shared" si="71"/>
        <v>0</v>
      </c>
      <c r="T197" s="11">
        <v>0</v>
      </c>
      <c r="U197" s="11">
        <f t="shared" si="86"/>
        <v>1</v>
      </c>
      <c r="V197" s="11">
        <v>0</v>
      </c>
      <c r="W197" s="11">
        <f t="shared" si="72"/>
        <v>1</v>
      </c>
      <c r="X197" s="11">
        <f t="shared" si="73"/>
        <v>0</v>
      </c>
      <c r="Y197" s="19">
        <v>0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1">
        <v>0</v>
      </c>
      <c r="AG197" s="11">
        <v>0</v>
      </c>
      <c r="AH197" s="11">
        <v>0</v>
      </c>
      <c r="AI197" s="45">
        <v>0</v>
      </c>
      <c r="AJ197" s="45">
        <v>0</v>
      </c>
      <c r="AK197" s="45">
        <f t="shared" si="81"/>
        <v>0.3611</v>
      </c>
      <c r="AL197" s="45">
        <f t="shared" si="82"/>
        <v>0.00348095238095238</v>
      </c>
      <c r="AM197" s="45">
        <f t="shared" si="74"/>
        <v>0.0012569719047619</v>
      </c>
      <c r="AN197" s="45">
        <f t="shared" si="85"/>
        <v>0.792187500000004</v>
      </c>
      <c r="AO197" s="45">
        <f t="shared" si="75"/>
        <v>0.792187500000004</v>
      </c>
      <c r="AP197" s="45">
        <f t="shared" si="76"/>
        <v>1.05625</v>
      </c>
      <c r="AQ197" s="45">
        <f t="shared" si="77"/>
        <v>0</v>
      </c>
      <c r="AR197" s="45">
        <f t="shared" si="78"/>
        <v>0</v>
      </c>
      <c r="AS197" s="19">
        <f t="shared" si="83"/>
        <v>1.07916666666667</v>
      </c>
      <c r="AT197" s="19">
        <f t="shared" si="84"/>
        <v>1.03333333333334</v>
      </c>
      <c r="AU197" s="46">
        <v>0</v>
      </c>
      <c r="AV197" s="46">
        <v>0</v>
      </c>
      <c r="AW197" s="46">
        <v>0</v>
      </c>
      <c r="AX197" s="46">
        <v>1</v>
      </c>
      <c r="AY197" s="47">
        <v>0</v>
      </c>
      <c r="AZ197" s="47">
        <v>-1</v>
      </c>
    </row>
    <row r="198" hidden="1" customHeight="1" spans="1:52">
      <c r="A198" s="44">
        <v>45523</v>
      </c>
      <c r="B198" s="33">
        <f t="shared" si="62"/>
        <v>493</v>
      </c>
      <c r="C198" s="33">
        <f t="shared" si="63"/>
        <v>1417</v>
      </c>
      <c r="D198" s="11">
        <f t="shared" si="64"/>
        <v>1910</v>
      </c>
      <c r="E198" s="34">
        <f t="shared" si="79"/>
        <v>-2.50503790353901e-6</v>
      </c>
      <c r="F198" s="35">
        <f t="shared" si="65"/>
        <v>0.000475957201672416</v>
      </c>
      <c r="G198" s="18">
        <f>(SUM($I$8:$I198)*(MAX(M$3-M$4,0))+(N198*MAX(M$4,0)))*(1-$AM$4)+(AM198*$AM$4)</f>
        <v>0.0909078255194315</v>
      </c>
      <c r="H198" s="18">
        <f t="shared" si="66"/>
        <v>0.833333333333333</v>
      </c>
      <c r="I198" s="18">
        <f t="shared" si="67"/>
        <v>0</v>
      </c>
      <c r="J198" s="18">
        <f t="shared" si="68"/>
        <v>0.325554725943933</v>
      </c>
      <c r="K198" s="18">
        <f t="shared" si="69"/>
        <v>0.00136804315224354</v>
      </c>
      <c r="L198" s="18">
        <f t="shared" si="70"/>
        <v>0</v>
      </c>
      <c r="M198" s="18">
        <v>0</v>
      </c>
      <c r="N198" s="18">
        <f t="shared" si="80"/>
        <v>0</v>
      </c>
      <c r="O198" s="11">
        <v>0</v>
      </c>
      <c r="P198" s="11">
        <v>0</v>
      </c>
      <c r="Q198" s="11">
        <f t="shared" si="87"/>
        <v>1</v>
      </c>
      <c r="R198" s="11">
        <v>0</v>
      </c>
      <c r="S198" s="11">
        <f t="shared" si="71"/>
        <v>0</v>
      </c>
      <c r="T198" s="11">
        <v>0</v>
      </c>
      <c r="U198" s="11">
        <f t="shared" si="86"/>
        <v>1</v>
      </c>
      <c r="V198" s="11">
        <v>0</v>
      </c>
      <c r="W198" s="11">
        <f t="shared" si="72"/>
        <v>1</v>
      </c>
      <c r="X198" s="11">
        <f t="shared" si="73"/>
        <v>0</v>
      </c>
      <c r="Y198" s="19">
        <v>0</v>
      </c>
      <c r="Z198" s="11">
        <v>0</v>
      </c>
      <c r="AA198" s="11">
        <v>0</v>
      </c>
      <c r="AB198" s="11">
        <v>0</v>
      </c>
      <c r="AC198" s="11">
        <v>0</v>
      </c>
      <c r="AD198" s="11">
        <v>0</v>
      </c>
      <c r="AE198" s="11">
        <v>0</v>
      </c>
      <c r="AF198" s="11">
        <v>0</v>
      </c>
      <c r="AG198" s="11">
        <v>0</v>
      </c>
      <c r="AH198" s="11">
        <v>0</v>
      </c>
      <c r="AI198" s="45">
        <v>0</v>
      </c>
      <c r="AJ198" s="45">
        <v>0</v>
      </c>
      <c r="AK198" s="45">
        <f t="shared" si="81"/>
        <v>0.3611</v>
      </c>
      <c r="AL198" s="45">
        <f t="shared" si="82"/>
        <v>0.00348095238095238</v>
      </c>
      <c r="AM198" s="45">
        <f t="shared" si="74"/>
        <v>0.0012569719047619</v>
      </c>
      <c r="AN198" s="45">
        <f t="shared" si="85"/>
        <v>0.792187500000004</v>
      </c>
      <c r="AO198" s="45">
        <f t="shared" si="75"/>
        <v>0.792187500000004</v>
      </c>
      <c r="AP198" s="45">
        <f t="shared" si="76"/>
        <v>1.05625</v>
      </c>
      <c r="AQ198" s="45">
        <f t="shared" si="77"/>
        <v>0</v>
      </c>
      <c r="AR198" s="45">
        <f t="shared" si="78"/>
        <v>0</v>
      </c>
      <c r="AS198" s="19">
        <f t="shared" si="83"/>
        <v>1.07916666666667</v>
      </c>
      <c r="AT198" s="19">
        <f t="shared" si="84"/>
        <v>1.03333333333334</v>
      </c>
      <c r="AU198" s="46">
        <v>0</v>
      </c>
      <c r="AV198" s="46">
        <v>0</v>
      </c>
      <c r="AW198" s="46">
        <v>0</v>
      </c>
      <c r="AX198" s="46">
        <v>1</v>
      </c>
      <c r="AY198" s="47">
        <v>0</v>
      </c>
      <c r="AZ198" s="47">
        <v>-1</v>
      </c>
    </row>
    <row r="199" hidden="1" customHeight="1" spans="1:52">
      <c r="A199" s="44">
        <v>45524</v>
      </c>
      <c r="B199" s="33">
        <f t="shared" si="62"/>
        <v>492</v>
      </c>
      <c r="C199" s="33">
        <f t="shared" si="63"/>
        <v>1428</v>
      </c>
      <c r="D199" s="11">
        <f t="shared" si="64"/>
        <v>1920</v>
      </c>
      <c r="E199" s="34">
        <f t="shared" si="79"/>
        <v>-2.47894375871054e-6</v>
      </c>
      <c r="F199" s="35">
        <f t="shared" si="65"/>
        <v>0.000473478257913706</v>
      </c>
      <c r="G199" s="18">
        <f>(SUM($I$8:$I199)*(MAX(M$3-M$4,0))+(N199*MAX(M$4,0)))*(1-$AM$4)+(AM199*$AM$4)</f>
        <v>0.0909078255194315</v>
      </c>
      <c r="H199" s="18">
        <f t="shared" si="66"/>
        <v>0.833333333333333</v>
      </c>
      <c r="I199" s="18">
        <f t="shared" si="67"/>
        <v>0</v>
      </c>
      <c r="J199" s="18">
        <f t="shared" si="68"/>
        <v>0.323859128412975</v>
      </c>
      <c r="K199" s="18">
        <f t="shared" si="69"/>
        <v>0.00137427006420127</v>
      </c>
      <c r="L199" s="18">
        <f t="shared" si="70"/>
        <v>0</v>
      </c>
      <c r="M199" s="18">
        <v>0</v>
      </c>
      <c r="N199" s="18">
        <f t="shared" si="80"/>
        <v>0</v>
      </c>
      <c r="O199" s="11">
        <v>0</v>
      </c>
      <c r="P199" s="11">
        <v>0</v>
      </c>
      <c r="Q199" s="11">
        <f t="shared" si="87"/>
        <v>1</v>
      </c>
      <c r="R199" s="11">
        <v>0</v>
      </c>
      <c r="S199" s="11">
        <f t="shared" si="71"/>
        <v>0</v>
      </c>
      <c r="T199" s="11">
        <v>0</v>
      </c>
      <c r="U199" s="11">
        <f t="shared" si="86"/>
        <v>1</v>
      </c>
      <c r="V199" s="11">
        <v>0</v>
      </c>
      <c r="W199" s="11">
        <f t="shared" si="72"/>
        <v>1</v>
      </c>
      <c r="X199" s="11">
        <f t="shared" si="73"/>
        <v>0</v>
      </c>
      <c r="Y199" s="19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1">
        <v>0</v>
      </c>
      <c r="AG199" s="11">
        <v>0</v>
      </c>
      <c r="AH199" s="11">
        <v>0</v>
      </c>
      <c r="AI199" s="45">
        <v>0</v>
      </c>
      <c r="AJ199" s="45">
        <v>0</v>
      </c>
      <c r="AK199" s="45">
        <f t="shared" si="81"/>
        <v>0.3611</v>
      </c>
      <c r="AL199" s="45">
        <f t="shared" si="82"/>
        <v>0.00348095238095238</v>
      </c>
      <c r="AM199" s="45">
        <f t="shared" si="74"/>
        <v>0.0012569719047619</v>
      </c>
      <c r="AN199" s="45">
        <f t="shared" si="85"/>
        <v>0.792187500000004</v>
      </c>
      <c r="AO199" s="45">
        <f t="shared" si="75"/>
        <v>0.792187500000004</v>
      </c>
      <c r="AP199" s="45">
        <f t="shared" si="76"/>
        <v>1.05625</v>
      </c>
      <c r="AQ199" s="45">
        <f t="shared" si="77"/>
        <v>0</v>
      </c>
      <c r="AR199" s="45">
        <f t="shared" si="78"/>
        <v>0</v>
      </c>
      <c r="AS199" s="19">
        <f t="shared" si="83"/>
        <v>1.07916666666667</v>
      </c>
      <c r="AT199" s="19">
        <f t="shared" si="84"/>
        <v>1.03333333333334</v>
      </c>
      <c r="AU199" s="46">
        <v>0</v>
      </c>
      <c r="AV199" s="46">
        <v>0</v>
      </c>
      <c r="AW199" s="46">
        <v>0</v>
      </c>
      <c r="AX199" s="46">
        <v>1</v>
      </c>
      <c r="AY199" s="47">
        <v>0</v>
      </c>
      <c r="AZ199" s="47">
        <v>-1</v>
      </c>
    </row>
    <row r="200" hidden="1" customHeight="1" spans="1:52">
      <c r="A200" s="44">
        <v>45525</v>
      </c>
      <c r="B200" s="33">
        <f t="shared" ref="B200:B263" si="88">B$2-A200+1</f>
        <v>491</v>
      </c>
      <c r="C200" s="33">
        <f t="shared" ref="C200:C263" si="89">D200-B200</f>
        <v>1439</v>
      </c>
      <c r="D200" s="11">
        <f t="shared" ref="D200:D263" si="90">IF(F200&gt;0,ROUND(((1-G200)/F200),0),FACT(128))</f>
        <v>1930</v>
      </c>
      <c r="E200" s="34">
        <f t="shared" si="79"/>
        <v>-2.45325522235077e-6</v>
      </c>
      <c r="F200" s="35">
        <f t="shared" ref="F200:F263" si="91">G200/(ROW()-7)</f>
        <v>0.000471025002691355</v>
      </c>
      <c r="G200" s="18">
        <f>(SUM($I$8:$I200)*(MAX(M$3-M$4,0))+(N200*MAX(M$4,0)))*(1-$AM$4)+(AM200*$AM$4)</f>
        <v>0.0909078255194315</v>
      </c>
      <c r="H200" s="18">
        <f t="shared" ref="H200:H263" si="92">0.5+(MONTH(A200)+(YEAR(A200)-2024)*12)/((YEAR(B$2)-2023)*12)</f>
        <v>0.833333333333333</v>
      </c>
      <c r="I200" s="18">
        <f t="shared" ref="I200:I263" si="93">L200*H200</f>
        <v>0</v>
      </c>
      <c r="J200" s="18">
        <f t="shared" ref="J200:J263" si="94">F200*B200+G200</f>
        <v>0.322181101840887</v>
      </c>
      <c r="K200" s="18">
        <f t="shared" ref="K200:K263" si="95">((1-G200)/B200)-F200</f>
        <v>0.00138048655429555</v>
      </c>
      <c r="L200" s="18">
        <f t="shared" ref="L200:L263" si="96">Y200*Y$6+X200*X$6+Z200*Z$6+AA200*AA$6+AB200*AB$6+AC200*AC$6+AD200*AD$6+AE200*AE$6+AF200*AF$6+AG200*AG$6+AH200*AH$6</f>
        <v>0</v>
      </c>
      <c r="M200" s="18">
        <v>0</v>
      </c>
      <c r="N200" s="18">
        <f t="shared" si="80"/>
        <v>0</v>
      </c>
      <c r="O200" s="11">
        <v>0</v>
      </c>
      <c r="P200" s="11">
        <v>0</v>
      </c>
      <c r="Q200" s="11">
        <f t="shared" si="87"/>
        <v>1</v>
      </c>
      <c r="R200" s="11">
        <v>0</v>
      </c>
      <c r="S200" s="11">
        <f t="shared" ref="S200:S263" si="97">O200*$R$5/MAX(1/FACT(128),R200)</f>
        <v>0</v>
      </c>
      <c r="T200" s="11">
        <v>0</v>
      </c>
      <c r="U200" s="11">
        <f t="shared" si="86"/>
        <v>1</v>
      </c>
      <c r="V200" s="11">
        <v>0</v>
      </c>
      <c r="W200" s="11">
        <f t="shared" ref="W200:W263" si="98">($V$4*V200/(MAX(1,O200)))+1</f>
        <v>1</v>
      </c>
      <c r="X200" s="11">
        <f t="shared" ref="X200:X263" si="99">O200*Q200*S200*U200*W200</f>
        <v>0</v>
      </c>
      <c r="Y200" s="19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1">
        <v>0</v>
      </c>
      <c r="AG200" s="11">
        <v>0</v>
      </c>
      <c r="AH200" s="11">
        <v>0</v>
      </c>
      <c r="AI200" s="45">
        <v>0</v>
      </c>
      <c r="AJ200" s="45">
        <v>0</v>
      </c>
      <c r="AK200" s="45">
        <f t="shared" si="81"/>
        <v>0.3611</v>
      </c>
      <c r="AL200" s="45">
        <f t="shared" si="82"/>
        <v>0.00348095238095238</v>
      </c>
      <c r="AM200" s="45">
        <f t="shared" ref="AM200:AM263" si="100">AL200*AK200</f>
        <v>0.0012569719047619</v>
      </c>
      <c r="AN200" s="45">
        <f t="shared" si="85"/>
        <v>0.792187500000004</v>
      </c>
      <c r="AO200" s="45">
        <f t="shared" ref="AO200:AO263" si="101">AP200*0.75+AQ200*0.125+AR200*0.125</f>
        <v>0.792187500000004</v>
      </c>
      <c r="AP200" s="45">
        <f t="shared" ref="AP200:AP263" si="102">AVERAGE(AS200:AT200)</f>
        <v>1.05625</v>
      </c>
      <c r="AQ200" s="45">
        <f t="shared" ref="AQ200:AQ263" si="103">AY200/AQ$5</f>
        <v>0</v>
      </c>
      <c r="AR200" s="45">
        <f t="shared" ref="AR200:AR263" si="104">IF(AZ200&gt;=0,1/(AZ200+1),0)</f>
        <v>0</v>
      </c>
      <c r="AS200" s="19">
        <f t="shared" si="83"/>
        <v>1.07916666666667</v>
      </c>
      <c r="AT200" s="19">
        <f t="shared" si="84"/>
        <v>1.03333333333334</v>
      </c>
      <c r="AU200" s="46">
        <v>0</v>
      </c>
      <c r="AV200" s="46">
        <v>0</v>
      </c>
      <c r="AW200" s="46">
        <v>0</v>
      </c>
      <c r="AX200" s="46">
        <v>1</v>
      </c>
      <c r="AY200" s="47">
        <v>0</v>
      </c>
      <c r="AZ200" s="47">
        <v>-1</v>
      </c>
    </row>
    <row r="201" hidden="1" customHeight="1" spans="1:52">
      <c r="A201" s="44">
        <v>45526</v>
      </c>
      <c r="B201" s="33">
        <f t="shared" si="88"/>
        <v>490</v>
      </c>
      <c r="C201" s="33">
        <f t="shared" si="89"/>
        <v>1450</v>
      </c>
      <c r="D201" s="11">
        <f t="shared" si="90"/>
        <v>1940</v>
      </c>
      <c r="E201" s="34">
        <f t="shared" ref="E201:E264" si="105">F201-F200</f>
        <v>-2.42796393139878e-6</v>
      </c>
      <c r="F201" s="35">
        <f t="shared" si="91"/>
        <v>0.000468597038759956</v>
      </c>
      <c r="G201" s="18">
        <f>(SUM($I$8:$I201)*(MAX(M$3-M$4,0))+(N201*MAX(M$4,0)))*(1-$AM$4)+(AM201*$AM$4)</f>
        <v>0.0909078255194315</v>
      </c>
      <c r="H201" s="18">
        <f t="shared" si="92"/>
        <v>0.833333333333333</v>
      </c>
      <c r="I201" s="18">
        <f t="shared" si="93"/>
        <v>0</v>
      </c>
      <c r="J201" s="18">
        <f t="shared" si="94"/>
        <v>0.32052037451181</v>
      </c>
      <c r="K201" s="18">
        <f t="shared" si="95"/>
        <v>0.0013866931132412</v>
      </c>
      <c r="L201" s="18">
        <f t="shared" si="96"/>
        <v>0</v>
      </c>
      <c r="M201" s="18">
        <v>0</v>
      </c>
      <c r="N201" s="18">
        <f t="shared" ref="N201:N264" si="106">IF(M201&gt;N200,M201,N200)</f>
        <v>0</v>
      </c>
      <c r="O201" s="11">
        <v>0</v>
      </c>
      <c r="P201" s="11">
        <v>0</v>
      </c>
      <c r="Q201" s="11">
        <f t="shared" si="87"/>
        <v>1</v>
      </c>
      <c r="R201" s="11">
        <v>0</v>
      </c>
      <c r="S201" s="11">
        <f t="shared" si="97"/>
        <v>0</v>
      </c>
      <c r="T201" s="11">
        <v>0</v>
      </c>
      <c r="U201" s="11">
        <f t="shared" si="86"/>
        <v>1</v>
      </c>
      <c r="V201" s="11">
        <v>0</v>
      </c>
      <c r="W201" s="11">
        <f t="shared" si="98"/>
        <v>1</v>
      </c>
      <c r="X201" s="11">
        <f t="shared" si="99"/>
        <v>0</v>
      </c>
      <c r="Y201" s="19">
        <v>0</v>
      </c>
      <c r="Z201" s="11">
        <v>0</v>
      </c>
      <c r="AA201" s="11">
        <v>0</v>
      </c>
      <c r="AB201" s="11">
        <v>0</v>
      </c>
      <c r="AC201" s="11">
        <v>0</v>
      </c>
      <c r="AD201" s="11">
        <v>0</v>
      </c>
      <c r="AE201" s="11">
        <v>0</v>
      </c>
      <c r="AF201" s="11">
        <v>0</v>
      </c>
      <c r="AG201" s="11">
        <v>0</v>
      </c>
      <c r="AH201" s="11">
        <v>0</v>
      </c>
      <c r="AI201" s="45">
        <v>0</v>
      </c>
      <c r="AJ201" s="45">
        <v>0</v>
      </c>
      <c r="AK201" s="45">
        <f t="shared" ref="AK201:AK264" si="107">IF(AI201&gt;0,AI201,AK200)</f>
        <v>0.3611</v>
      </c>
      <c r="AL201" s="45">
        <f t="shared" ref="AL201:AL264" si="108">IF(AJ201&gt;0,AJ201,AL200)</f>
        <v>0.00348095238095238</v>
      </c>
      <c r="AM201" s="45">
        <f t="shared" si="100"/>
        <v>0.0012569719047619</v>
      </c>
      <c r="AN201" s="45">
        <f t="shared" si="85"/>
        <v>0.792187500000004</v>
      </c>
      <c r="AO201" s="45">
        <f t="shared" si="101"/>
        <v>0.792187500000004</v>
      </c>
      <c r="AP201" s="45">
        <f t="shared" si="102"/>
        <v>1.05625</v>
      </c>
      <c r="AQ201" s="45">
        <f t="shared" si="103"/>
        <v>0</v>
      </c>
      <c r="AR201" s="45">
        <f t="shared" si="104"/>
        <v>0</v>
      </c>
      <c r="AS201" s="19">
        <f t="shared" ref="AS201:AS264" si="109">IF((("24:00"-AX201+AU201)/$AS$5)&gt;0,(("24:00"-AX201+AU201)/$AS$5),AS200)</f>
        <v>1.07916666666667</v>
      </c>
      <c r="AT201" s="19">
        <f t="shared" ref="AT201:AT264" si="110">IF(((AW201-AV201)/$AT$5)&gt;0,((AW201-AV201)/$AT$5),AT200)</f>
        <v>1.03333333333334</v>
      </c>
      <c r="AU201" s="46">
        <v>0</v>
      </c>
      <c r="AV201" s="46">
        <v>0</v>
      </c>
      <c r="AW201" s="46">
        <v>0</v>
      </c>
      <c r="AX201" s="46">
        <v>1</v>
      </c>
      <c r="AY201" s="47">
        <v>0</v>
      </c>
      <c r="AZ201" s="47">
        <v>-1</v>
      </c>
    </row>
    <row r="202" hidden="1" customHeight="1" spans="1:52">
      <c r="A202" s="44">
        <v>45527</v>
      </c>
      <c r="B202" s="33">
        <f t="shared" si="88"/>
        <v>489</v>
      </c>
      <c r="C202" s="33">
        <f t="shared" si="89"/>
        <v>1461</v>
      </c>
      <c r="D202" s="11">
        <f t="shared" si="90"/>
        <v>1950</v>
      </c>
      <c r="E202" s="34">
        <f t="shared" si="105"/>
        <v>-2.40306173723051e-6</v>
      </c>
      <c r="F202" s="35">
        <f t="shared" si="91"/>
        <v>0.000466193977022726</v>
      </c>
      <c r="G202" s="18">
        <f>(SUM($I$8:$I202)*(MAX(M$3-M$4,0))+(N202*MAX(M$4,0)))*(1-$AM$4)+(AM202*$AM$4)</f>
        <v>0.0909078255194315</v>
      </c>
      <c r="H202" s="18">
        <f t="shared" si="92"/>
        <v>0.833333333333333</v>
      </c>
      <c r="I202" s="18">
        <f t="shared" si="93"/>
        <v>0</v>
      </c>
      <c r="J202" s="18">
        <f t="shared" si="94"/>
        <v>0.318876680283544</v>
      </c>
      <c r="K202" s="18">
        <f t="shared" si="95"/>
        <v>0.00139289022436903</v>
      </c>
      <c r="L202" s="18">
        <f t="shared" si="96"/>
        <v>0</v>
      </c>
      <c r="M202" s="18">
        <v>0</v>
      </c>
      <c r="N202" s="18">
        <f t="shared" si="106"/>
        <v>0</v>
      </c>
      <c r="O202" s="11">
        <v>0</v>
      </c>
      <c r="P202" s="11">
        <v>0</v>
      </c>
      <c r="Q202" s="11">
        <f t="shared" si="87"/>
        <v>1</v>
      </c>
      <c r="R202" s="11">
        <v>0</v>
      </c>
      <c r="S202" s="11">
        <f t="shared" si="97"/>
        <v>0</v>
      </c>
      <c r="T202" s="11">
        <v>0</v>
      </c>
      <c r="U202" s="11">
        <f t="shared" si="86"/>
        <v>1</v>
      </c>
      <c r="V202" s="11">
        <v>0</v>
      </c>
      <c r="W202" s="11">
        <f t="shared" si="98"/>
        <v>1</v>
      </c>
      <c r="X202" s="11">
        <f t="shared" si="99"/>
        <v>0</v>
      </c>
      <c r="Y202" s="19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1">
        <v>0</v>
      </c>
      <c r="AG202" s="11">
        <v>0</v>
      </c>
      <c r="AH202" s="11">
        <v>0</v>
      </c>
      <c r="AI202" s="45">
        <v>0</v>
      </c>
      <c r="AJ202" s="45">
        <v>0</v>
      </c>
      <c r="AK202" s="45">
        <f t="shared" si="107"/>
        <v>0.3611</v>
      </c>
      <c r="AL202" s="45">
        <f t="shared" si="108"/>
        <v>0.00348095238095238</v>
      </c>
      <c r="AM202" s="45">
        <f t="shared" si="100"/>
        <v>0.0012569719047619</v>
      </c>
      <c r="AN202" s="45">
        <f t="shared" si="85"/>
        <v>0.792187500000004</v>
      </c>
      <c r="AO202" s="45">
        <f t="shared" si="101"/>
        <v>0.792187500000004</v>
      </c>
      <c r="AP202" s="45">
        <f t="shared" si="102"/>
        <v>1.05625</v>
      </c>
      <c r="AQ202" s="45">
        <f t="shared" si="103"/>
        <v>0</v>
      </c>
      <c r="AR202" s="45">
        <f t="shared" si="104"/>
        <v>0</v>
      </c>
      <c r="AS202" s="19">
        <f t="shared" si="109"/>
        <v>1.07916666666667</v>
      </c>
      <c r="AT202" s="19">
        <f t="shared" si="110"/>
        <v>1.03333333333334</v>
      </c>
      <c r="AU202" s="46">
        <v>0</v>
      </c>
      <c r="AV202" s="46">
        <v>0</v>
      </c>
      <c r="AW202" s="46">
        <v>0</v>
      </c>
      <c r="AX202" s="46">
        <v>1</v>
      </c>
      <c r="AY202" s="47">
        <v>0</v>
      </c>
      <c r="AZ202" s="47">
        <v>-1</v>
      </c>
    </row>
    <row r="203" hidden="1" customHeight="1" spans="1:52">
      <c r="A203" s="44">
        <v>45528</v>
      </c>
      <c r="B203" s="33">
        <f t="shared" si="88"/>
        <v>488</v>
      </c>
      <c r="C203" s="33">
        <f t="shared" si="89"/>
        <v>1472</v>
      </c>
      <c r="D203" s="11">
        <f t="shared" si="90"/>
        <v>1960</v>
      </c>
      <c r="E203" s="34">
        <f t="shared" si="105"/>
        <v>-2.37854069909556e-6</v>
      </c>
      <c r="F203" s="35">
        <f t="shared" si="91"/>
        <v>0.00046381543632363</v>
      </c>
      <c r="G203" s="18">
        <f>(SUM($I$8:$I203)*(MAX(M$3-M$4,0))+(N203*MAX(M$4,0)))*(1-$AM$4)+(AM203*$AM$4)</f>
        <v>0.0909078255194315</v>
      </c>
      <c r="H203" s="18">
        <f t="shared" si="92"/>
        <v>0.833333333333333</v>
      </c>
      <c r="I203" s="18">
        <f t="shared" si="93"/>
        <v>0</v>
      </c>
      <c r="J203" s="18">
        <f t="shared" si="94"/>
        <v>0.317249758445363</v>
      </c>
      <c r="K203" s="18">
        <f t="shared" si="95"/>
        <v>0.00139907836384147</v>
      </c>
      <c r="L203" s="18">
        <f t="shared" si="96"/>
        <v>0</v>
      </c>
      <c r="M203" s="18">
        <v>0</v>
      </c>
      <c r="N203" s="18">
        <f t="shared" si="106"/>
        <v>0</v>
      </c>
      <c r="O203" s="11">
        <v>0</v>
      </c>
      <c r="P203" s="11">
        <v>0</v>
      </c>
      <c r="Q203" s="11">
        <f t="shared" si="87"/>
        <v>1</v>
      </c>
      <c r="R203" s="11">
        <v>0</v>
      </c>
      <c r="S203" s="11">
        <f t="shared" si="97"/>
        <v>0</v>
      </c>
      <c r="T203" s="11">
        <v>0</v>
      </c>
      <c r="U203" s="11">
        <f t="shared" si="86"/>
        <v>1</v>
      </c>
      <c r="V203" s="11">
        <v>0</v>
      </c>
      <c r="W203" s="11">
        <f t="shared" si="98"/>
        <v>1</v>
      </c>
      <c r="X203" s="11">
        <f t="shared" si="99"/>
        <v>0</v>
      </c>
      <c r="Y203" s="19">
        <v>0</v>
      </c>
      <c r="Z203" s="11">
        <v>0</v>
      </c>
      <c r="AA203" s="11">
        <v>0</v>
      </c>
      <c r="AB203" s="11">
        <v>0</v>
      </c>
      <c r="AC203" s="11">
        <v>0</v>
      </c>
      <c r="AD203" s="11">
        <v>0</v>
      </c>
      <c r="AE203" s="11">
        <v>0</v>
      </c>
      <c r="AF203" s="11">
        <v>0</v>
      </c>
      <c r="AG203" s="11">
        <v>0</v>
      </c>
      <c r="AH203" s="11">
        <v>0</v>
      </c>
      <c r="AI203" s="45">
        <v>0</v>
      </c>
      <c r="AJ203" s="45">
        <v>0</v>
      </c>
      <c r="AK203" s="45">
        <f t="shared" si="107"/>
        <v>0.3611</v>
      </c>
      <c r="AL203" s="45">
        <f t="shared" si="108"/>
        <v>0.00348095238095238</v>
      </c>
      <c r="AM203" s="45">
        <f t="shared" si="100"/>
        <v>0.0012569719047619</v>
      </c>
      <c r="AN203" s="45">
        <f t="shared" si="85"/>
        <v>0.792187500000004</v>
      </c>
      <c r="AO203" s="45">
        <f t="shared" si="101"/>
        <v>0.792187500000004</v>
      </c>
      <c r="AP203" s="45">
        <f t="shared" si="102"/>
        <v>1.05625</v>
      </c>
      <c r="AQ203" s="45">
        <f t="shared" si="103"/>
        <v>0</v>
      </c>
      <c r="AR203" s="45">
        <f t="shared" si="104"/>
        <v>0</v>
      </c>
      <c r="AS203" s="19">
        <f t="shared" si="109"/>
        <v>1.07916666666667</v>
      </c>
      <c r="AT203" s="19">
        <f t="shared" si="110"/>
        <v>1.03333333333334</v>
      </c>
      <c r="AU203" s="46">
        <v>0</v>
      </c>
      <c r="AV203" s="46">
        <v>0</v>
      </c>
      <c r="AW203" s="46">
        <v>0</v>
      </c>
      <c r="AX203" s="46">
        <v>1</v>
      </c>
      <c r="AY203" s="47">
        <v>0</v>
      </c>
      <c r="AZ203" s="47">
        <v>-1</v>
      </c>
    </row>
    <row r="204" hidden="1" customHeight="1" spans="1:52">
      <c r="A204" s="44">
        <v>45529</v>
      </c>
      <c r="B204" s="33">
        <f t="shared" si="88"/>
        <v>487</v>
      </c>
      <c r="C204" s="33">
        <f t="shared" si="89"/>
        <v>1483</v>
      </c>
      <c r="D204" s="11">
        <f t="shared" si="90"/>
        <v>1970</v>
      </c>
      <c r="E204" s="34">
        <f t="shared" si="105"/>
        <v>-2.35439307778493e-6</v>
      </c>
      <c r="F204" s="35">
        <f t="shared" si="91"/>
        <v>0.000461461043245845</v>
      </c>
      <c r="G204" s="18">
        <f>(SUM($I$8:$I204)*(MAX(M$3-M$4,0))+(N204*MAX(M$4,0)))*(1-$AM$4)+(AM204*$AM$4)</f>
        <v>0.0909078255194315</v>
      </c>
      <c r="H204" s="18">
        <f t="shared" si="92"/>
        <v>0.833333333333333</v>
      </c>
      <c r="I204" s="18">
        <f t="shared" si="93"/>
        <v>0</v>
      </c>
      <c r="J204" s="18">
        <f t="shared" si="94"/>
        <v>0.315639353580158</v>
      </c>
      <c r="K204" s="18">
        <f t="shared" si="95"/>
        <v>0.0014052580008621</v>
      </c>
      <c r="L204" s="18">
        <f t="shared" si="96"/>
        <v>0</v>
      </c>
      <c r="M204" s="18">
        <v>0</v>
      </c>
      <c r="N204" s="18">
        <f t="shared" si="106"/>
        <v>0</v>
      </c>
      <c r="O204" s="11">
        <v>0</v>
      </c>
      <c r="P204" s="11">
        <v>0</v>
      </c>
      <c r="Q204" s="11">
        <f t="shared" si="87"/>
        <v>1</v>
      </c>
      <c r="R204" s="11">
        <v>0</v>
      </c>
      <c r="S204" s="11">
        <f t="shared" si="97"/>
        <v>0</v>
      </c>
      <c r="T204" s="11">
        <v>0</v>
      </c>
      <c r="U204" s="11">
        <f t="shared" si="86"/>
        <v>1</v>
      </c>
      <c r="V204" s="11">
        <v>0</v>
      </c>
      <c r="W204" s="11">
        <f t="shared" si="98"/>
        <v>1</v>
      </c>
      <c r="X204" s="11">
        <f t="shared" si="99"/>
        <v>0</v>
      </c>
      <c r="Y204" s="19">
        <v>0</v>
      </c>
      <c r="Z204" s="11">
        <v>0</v>
      </c>
      <c r="AA204" s="11">
        <v>0</v>
      </c>
      <c r="AB204" s="11">
        <v>0</v>
      </c>
      <c r="AC204" s="11">
        <v>0</v>
      </c>
      <c r="AD204" s="11">
        <v>0</v>
      </c>
      <c r="AE204" s="11">
        <v>0</v>
      </c>
      <c r="AF204" s="11">
        <v>0</v>
      </c>
      <c r="AG204" s="11">
        <v>0</v>
      </c>
      <c r="AH204" s="11">
        <v>0</v>
      </c>
      <c r="AI204" s="45">
        <v>0</v>
      </c>
      <c r="AJ204" s="45">
        <v>0</v>
      </c>
      <c r="AK204" s="45">
        <f t="shared" si="107"/>
        <v>0.3611</v>
      </c>
      <c r="AL204" s="45">
        <f t="shared" si="108"/>
        <v>0.00348095238095238</v>
      </c>
      <c r="AM204" s="45">
        <f t="shared" si="100"/>
        <v>0.0012569719047619</v>
      </c>
      <c r="AN204" s="45">
        <f t="shared" si="85"/>
        <v>0.792187500000004</v>
      </c>
      <c r="AO204" s="45">
        <f t="shared" si="101"/>
        <v>0.792187500000004</v>
      </c>
      <c r="AP204" s="45">
        <f t="shared" si="102"/>
        <v>1.05625</v>
      </c>
      <c r="AQ204" s="45">
        <f t="shared" si="103"/>
        <v>0</v>
      </c>
      <c r="AR204" s="45">
        <f t="shared" si="104"/>
        <v>0</v>
      </c>
      <c r="AS204" s="19">
        <f t="shared" si="109"/>
        <v>1.07916666666667</v>
      </c>
      <c r="AT204" s="19">
        <f t="shared" si="110"/>
        <v>1.03333333333334</v>
      </c>
      <c r="AU204" s="46">
        <v>0</v>
      </c>
      <c r="AV204" s="46">
        <v>0</v>
      </c>
      <c r="AW204" s="46">
        <v>0</v>
      </c>
      <c r="AX204" s="46">
        <v>1</v>
      </c>
      <c r="AY204" s="47">
        <v>0</v>
      </c>
      <c r="AZ204" s="47">
        <v>-1</v>
      </c>
    </row>
    <row r="205" hidden="1" customHeight="1" spans="1:52">
      <c r="A205" s="44">
        <v>45530</v>
      </c>
      <c r="B205" s="33">
        <f t="shared" si="88"/>
        <v>486</v>
      </c>
      <c r="C205" s="33">
        <f t="shared" si="89"/>
        <v>1494</v>
      </c>
      <c r="D205" s="11">
        <f t="shared" si="90"/>
        <v>1980</v>
      </c>
      <c r="E205" s="34">
        <f t="shared" si="105"/>
        <v>-2.33061132952448e-6</v>
      </c>
      <c r="F205" s="35">
        <f t="shared" si="91"/>
        <v>0.000459130431916321</v>
      </c>
      <c r="G205" s="18">
        <f>(SUM($I$8:$I205)*(MAX(M$3-M$4,0))+(N205*MAX(M$4,0)))*(1-$AM$4)+(AM205*$AM$4)</f>
        <v>0.0909078255194315</v>
      </c>
      <c r="H205" s="18">
        <f t="shared" si="92"/>
        <v>0.833333333333333</v>
      </c>
      <c r="I205" s="18">
        <f t="shared" si="93"/>
        <v>0</v>
      </c>
      <c r="J205" s="18">
        <f t="shared" si="94"/>
        <v>0.314045215430763</v>
      </c>
      <c r="K205" s="18">
        <f t="shared" si="95"/>
        <v>0.00141142959787909</v>
      </c>
      <c r="L205" s="18">
        <f t="shared" si="96"/>
        <v>0</v>
      </c>
      <c r="M205" s="18">
        <v>0</v>
      </c>
      <c r="N205" s="18">
        <f t="shared" si="106"/>
        <v>0</v>
      </c>
      <c r="O205" s="11">
        <v>0</v>
      </c>
      <c r="P205" s="11">
        <v>0</v>
      </c>
      <c r="Q205" s="11">
        <f t="shared" si="87"/>
        <v>1</v>
      </c>
      <c r="R205" s="11">
        <v>0</v>
      </c>
      <c r="S205" s="11">
        <f t="shared" si="97"/>
        <v>0</v>
      </c>
      <c r="T205" s="11">
        <v>0</v>
      </c>
      <c r="U205" s="11">
        <f t="shared" si="86"/>
        <v>1</v>
      </c>
      <c r="V205" s="11">
        <v>0</v>
      </c>
      <c r="W205" s="11">
        <f t="shared" si="98"/>
        <v>1</v>
      </c>
      <c r="X205" s="11">
        <f t="shared" si="99"/>
        <v>0</v>
      </c>
      <c r="Y205" s="19">
        <v>0</v>
      </c>
      <c r="Z205" s="11">
        <v>0</v>
      </c>
      <c r="AA205" s="11">
        <v>0</v>
      </c>
      <c r="AB205" s="11">
        <v>0</v>
      </c>
      <c r="AC205" s="11">
        <v>0</v>
      </c>
      <c r="AD205" s="11">
        <v>0</v>
      </c>
      <c r="AE205" s="11">
        <v>0</v>
      </c>
      <c r="AF205" s="11">
        <v>0</v>
      </c>
      <c r="AG205" s="11">
        <v>0</v>
      </c>
      <c r="AH205" s="11">
        <v>0</v>
      </c>
      <c r="AI205" s="45">
        <v>0</v>
      </c>
      <c r="AJ205" s="45">
        <v>0</v>
      </c>
      <c r="AK205" s="45">
        <f t="shared" si="107"/>
        <v>0.3611</v>
      </c>
      <c r="AL205" s="45">
        <f t="shared" si="108"/>
        <v>0.00348095238095238</v>
      </c>
      <c r="AM205" s="45">
        <f t="shared" si="100"/>
        <v>0.0012569719047619</v>
      </c>
      <c r="AN205" s="45">
        <f t="shared" si="85"/>
        <v>0.792187500000004</v>
      </c>
      <c r="AO205" s="45">
        <f t="shared" si="101"/>
        <v>0.792187500000004</v>
      </c>
      <c r="AP205" s="45">
        <f t="shared" si="102"/>
        <v>1.05625</v>
      </c>
      <c r="AQ205" s="45">
        <f t="shared" si="103"/>
        <v>0</v>
      </c>
      <c r="AR205" s="45">
        <f t="shared" si="104"/>
        <v>0</v>
      </c>
      <c r="AS205" s="19">
        <f t="shared" si="109"/>
        <v>1.07916666666667</v>
      </c>
      <c r="AT205" s="19">
        <f t="shared" si="110"/>
        <v>1.03333333333334</v>
      </c>
      <c r="AU205" s="46">
        <v>0</v>
      </c>
      <c r="AV205" s="46">
        <v>0</v>
      </c>
      <c r="AW205" s="46">
        <v>0</v>
      </c>
      <c r="AX205" s="46">
        <v>1</v>
      </c>
      <c r="AY205" s="47">
        <v>0</v>
      </c>
      <c r="AZ205" s="47">
        <v>-1</v>
      </c>
    </row>
    <row r="206" hidden="1" customHeight="1" spans="1:52">
      <c r="A206" s="44">
        <v>45531</v>
      </c>
      <c r="B206" s="33">
        <f t="shared" si="88"/>
        <v>485</v>
      </c>
      <c r="C206" s="33">
        <f t="shared" si="89"/>
        <v>1505</v>
      </c>
      <c r="D206" s="11">
        <f t="shared" si="90"/>
        <v>1990</v>
      </c>
      <c r="E206" s="34">
        <f t="shared" si="105"/>
        <v>-2.30718810008201e-6</v>
      </c>
      <c r="F206" s="35">
        <f t="shared" si="91"/>
        <v>0.000456823243816239</v>
      </c>
      <c r="G206" s="18">
        <f>(SUM($I$8:$I206)*(MAX(M$3-M$4,0))+(N206*MAX(M$4,0)))*(1-$AM$4)+(AM206*$AM$4)</f>
        <v>0.0909078255194315</v>
      </c>
      <c r="H206" s="18">
        <f t="shared" si="92"/>
        <v>0.833333333333333</v>
      </c>
      <c r="I206" s="18">
        <f t="shared" si="93"/>
        <v>0</v>
      </c>
      <c r="J206" s="18">
        <f t="shared" si="94"/>
        <v>0.312467098770307</v>
      </c>
      <c r="K206" s="18">
        <f t="shared" si="95"/>
        <v>0.00141759361078287</v>
      </c>
      <c r="L206" s="18">
        <f t="shared" si="96"/>
        <v>0</v>
      </c>
      <c r="M206" s="18">
        <v>0</v>
      </c>
      <c r="N206" s="18">
        <f t="shared" si="106"/>
        <v>0</v>
      </c>
      <c r="O206" s="11">
        <v>0</v>
      </c>
      <c r="P206" s="11">
        <v>0</v>
      </c>
      <c r="Q206" s="11">
        <f t="shared" si="87"/>
        <v>1</v>
      </c>
      <c r="R206" s="11">
        <v>0</v>
      </c>
      <c r="S206" s="11">
        <f t="shared" si="97"/>
        <v>0</v>
      </c>
      <c r="T206" s="11">
        <v>0</v>
      </c>
      <c r="U206" s="11">
        <f t="shared" si="86"/>
        <v>1</v>
      </c>
      <c r="V206" s="11">
        <v>0</v>
      </c>
      <c r="W206" s="11">
        <f t="shared" si="98"/>
        <v>1</v>
      </c>
      <c r="X206" s="11">
        <f t="shared" si="99"/>
        <v>0</v>
      </c>
      <c r="Y206" s="19">
        <v>0</v>
      </c>
      <c r="Z206" s="11">
        <v>0</v>
      </c>
      <c r="AA206" s="11">
        <v>0</v>
      </c>
      <c r="AB206" s="11">
        <v>0</v>
      </c>
      <c r="AC206" s="11">
        <v>0</v>
      </c>
      <c r="AD206" s="11">
        <v>0</v>
      </c>
      <c r="AE206" s="11">
        <v>0</v>
      </c>
      <c r="AF206" s="11">
        <v>0</v>
      </c>
      <c r="AG206" s="11">
        <v>0</v>
      </c>
      <c r="AH206" s="11">
        <v>0</v>
      </c>
      <c r="AI206" s="45">
        <v>0</v>
      </c>
      <c r="AJ206" s="45">
        <v>0</v>
      </c>
      <c r="AK206" s="45">
        <f t="shared" si="107"/>
        <v>0.3611</v>
      </c>
      <c r="AL206" s="45">
        <f t="shared" si="108"/>
        <v>0.00348095238095238</v>
      </c>
      <c r="AM206" s="45">
        <f t="shared" si="100"/>
        <v>0.0012569719047619</v>
      </c>
      <c r="AN206" s="45">
        <f t="shared" si="85"/>
        <v>0.792187500000004</v>
      </c>
      <c r="AO206" s="45">
        <f t="shared" si="101"/>
        <v>0.792187500000004</v>
      </c>
      <c r="AP206" s="45">
        <f t="shared" si="102"/>
        <v>1.05625</v>
      </c>
      <c r="AQ206" s="45">
        <f t="shared" si="103"/>
        <v>0</v>
      </c>
      <c r="AR206" s="45">
        <f t="shared" si="104"/>
        <v>0</v>
      </c>
      <c r="AS206" s="19">
        <f t="shared" si="109"/>
        <v>1.07916666666667</v>
      </c>
      <c r="AT206" s="19">
        <f t="shared" si="110"/>
        <v>1.03333333333334</v>
      </c>
      <c r="AU206" s="46">
        <v>0</v>
      </c>
      <c r="AV206" s="46">
        <v>0</v>
      </c>
      <c r="AW206" s="46">
        <v>0</v>
      </c>
      <c r="AX206" s="46">
        <v>1</v>
      </c>
      <c r="AY206" s="47">
        <v>0</v>
      </c>
      <c r="AZ206" s="47">
        <v>-1</v>
      </c>
    </row>
    <row r="207" hidden="1" customHeight="1" spans="1:52">
      <c r="A207" s="44">
        <v>45532</v>
      </c>
      <c r="B207" s="33">
        <f t="shared" si="88"/>
        <v>484</v>
      </c>
      <c r="C207" s="33">
        <f t="shared" si="89"/>
        <v>1516</v>
      </c>
      <c r="D207" s="11">
        <f t="shared" si="90"/>
        <v>2000</v>
      </c>
      <c r="E207" s="34">
        <f t="shared" si="105"/>
        <v>-2.2841162190812e-6</v>
      </c>
      <c r="F207" s="35">
        <f t="shared" si="91"/>
        <v>0.000454539127597157</v>
      </c>
      <c r="G207" s="18">
        <f>(SUM($I$8:$I207)*(MAX(M$3-M$4,0))+(N207*MAX(M$4,0)))*(1-$AM$4)+(AM207*$AM$4)</f>
        <v>0.0909078255194315</v>
      </c>
      <c r="H207" s="18">
        <f t="shared" si="92"/>
        <v>0.833333333333333</v>
      </c>
      <c r="I207" s="18">
        <f t="shared" si="93"/>
        <v>0</v>
      </c>
      <c r="J207" s="18">
        <f t="shared" si="94"/>
        <v>0.310904763276456</v>
      </c>
      <c r="K207" s="18">
        <f t="shared" si="95"/>
        <v>0.00142375048909823</v>
      </c>
      <c r="L207" s="18">
        <f t="shared" si="96"/>
        <v>0</v>
      </c>
      <c r="M207" s="18">
        <v>0</v>
      </c>
      <c r="N207" s="18">
        <f t="shared" si="106"/>
        <v>0</v>
      </c>
      <c r="O207" s="11">
        <v>0</v>
      </c>
      <c r="P207" s="11">
        <v>0</v>
      </c>
      <c r="Q207" s="11">
        <f t="shared" si="87"/>
        <v>1</v>
      </c>
      <c r="R207" s="11">
        <v>0</v>
      </c>
      <c r="S207" s="11">
        <f t="shared" si="97"/>
        <v>0</v>
      </c>
      <c r="T207" s="11">
        <v>0</v>
      </c>
      <c r="U207" s="11">
        <f t="shared" si="86"/>
        <v>1</v>
      </c>
      <c r="V207" s="11">
        <v>0</v>
      </c>
      <c r="W207" s="11">
        <f t="shared" si="98"/>
        <v>1</v>
      </c>
      <c r="X207" s="11">
        <f t="shared" si="99"/>
        <v>0</v>
      </c>
      <c r="Y207" s="19">
        <v>0</v>
      </c>
      <c r="Z207" s="11">
        <v>0</v>
      </c>
      <c r="AA207" s="11">
        <v>0</v>
      </c>
      <c r="AB207" s="11">
        <v>0</v>
      </c>
      <c r="AC207" s="11">
        <v>0</v>
      </c>
      <c r="AD207" s="11">
        <v>0</v>
      </c>
      <c r="AE207" s="11">
        <v>0</v>
      </c>
      <c r="AF207" s="11">
        <v>0</v>
      </c>
      <c r="AG207" s="11">
        <v>0</v>
      </c>
      <c r="AH207" s="11">
        <v>0</v>
      </c>
      <c r="AI207" s="45">
        <v>0</v>
      </c>
      <c r="AJ207" s="45">
        <v>0</v>
      </c>
      <c r="AK207" s="45">
        <f t="shared" si="107"/>
        <v>0.3611</v>
      </c>
      <c r="AL207" s="45">
        <f t="shared" si="108"/>
        <v>0.00348095238095238</v>
      </c>
      <c r="AM207" s="45">
        <f t="shared" si="100"/>
        <v>0.0012569719047619</v>
      </c>
      <c r="AN207" s="45">
        <f t="shared" ref="AN207:AN270" si="111">IFERROR(AVERAGEIF(AO200:AO206,"&gt;0",AO200:AO206),0)</f>
        <v>0.792187500000004</v>
      </c>
      <c r="AO207" s="45">
        <f t="shared" si="101"/>
        <v>0.792187500000004</v>
      </c>
      <c r="AP207" s="45">
        <f t="shared" si="102"/>
        <v>1.05625</v>
      </c>
      <c r="AQ207" s="45">
        <f t="shared" si="103"/>
        <v>0</v>
      </c>
      <c r="AR207" s="45">
        <f t="shared" si="104"/>
        <v>0</v>
      </c>
      <c r="AS207" s="19">
        <f t="shared" si="109"/>
        <v>1.07916666666667</v>
      </c>
      <c r="AT207" s="19">
        <f t="shared" si="110"/>
        <v>1.03333333333334</v>
      </c>
      <c r="AU207" s="46">
        <v>0</v>
      </c>
      <c r="AV207" s="46">
        <v>0</v>
      </c>
      <c r="AW207" s="46">
        <v>0</v>
      </c>
      <c r="AX207" s="46">
        <v>1</v>
      </c>
      <c r="AY207" s="47">
        <v>0</v>
      </c>
      <c r="AZ207" s="47">
        <v>-1</v>
      </c>
    </row>
    <row r="208" hidden="1" customHeight="1" spans="1:52">
      <c r="A208" s="44">
        <v>45533</v>
      </c>
      <c r="B208" s="33">
        <f t="shared" si="88"/>
        <v>483</v>
      </c>
      <c r="C208" s="33">
        <f t="shared" si="89"/>
        <v>1527</v>
      </c>
      <c r="D208" s="11">
        <f t="shared" si="90"/>
        <v>2010</v>
      </c>
      <c r="E208" s="34">
        <f t="shared" si="105"/>
        <v>-2.26138869451319e-6</v>
      </c>
      <c r="F208" s="35">
        <f t="shared" si="91"/>
        <v>0.000452277738902644</v>
      </c>
      <c r="G208" s="18">
        <f>(SUM($I$8:$I208)*(MAX(M$3-M$4,0))+(N208*MAX(M$4,0)))*(1-$AM$4)+(AM208*$AM$4)</f>
        <v>0.0909078255194315</v>
      </c>
      <c r="H208" s="18">
        <f t="shared" si="92"/>
        <v>0.833333333333333</v>
      </c>
      <c r="I208" s="18">
        <f t="shared" si="93"/>
        <v>0</v>
      </c>
      <c r="J208" s="18">
        <f t="shared" si="94"/>
        <v>0.309357973409409</v>
      </c>
      <c r="K208" s="18">
        <f t="shared" si="95"/>
        <v>0.001429900676171</v>
      </c>
      <c r="L208" s="18">
        <f t="shared" si="96"/>
        <v>0</v>
      </c>
      <c r="M208" s="18">
        <v>0</v>
      </c>
      <c r="N208" s="18">
        <f t="shared" si="106"/>
        <v>0</v>
      </c>
      <c r="O208" s="11">
        <v>0</v>
      </c>
      <c r="P208" s="11">
        <v>0</v>
      </c>
      <c r="Q208" s="11">
        <f t="shared" si="87"/>
        <v>1</v>
      </c>
      <c r="R208" s="11">
        <v>0</v>
      </c>
      <c r="S208" s="11">
        <f t="shared" si="97"/>
        <v>0</v>
      </c>
      <c r="T208" s="11">
        <v>0</v>
      </c>
      <c r="U208" s="11">
        <f t="shared" si="86"/>
        <v>1</v>
      </c>
      <c r="V208" s="11">
        <v>0</v>
      </c>
      <c r="W208" s="11">
        <f t="shared" si="98"/>
        <v>1</v>
      </c>
      <c r="X208" s="11">
        <f t="shared" si="99"/>
        <v>0</v>
      </c>
      <c r="Y208" s="19">
        <v>0</v>
      </c>
      <c r="Z208" s="11">
        <v>0</v>
      </c>
      <c r="AA208" s="11">
        <v>0</v>
      </c>
      <c r="AB208" s="11">
        <v>0</v>
      </c>
      <c r="AC208" s="11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45">
        <v>0</v>
      </c>
      <c r="AJ208" s="45">
        <v>0</v>
      </c>
      <c r="AK208" s="45">
        <f t="shared" si="107"/>
        <v>0.3611</v>
      </c>
      <c r="AL208" s="45">
        <f t="shared" si="108"/>
        <v>0.00348095238095238</v>
      </c>
      <c r="AM208" s="45">
        <f t="shared" si="100"/>
        <v>0.0012569719047619</v>
      </c>
      <c r="AN208" s="45">
        <f t="shared" si="111"/>
        <v>0.792187500000004</v>
      </c>
      <c r="AO208" s="45">
        <f t="shared" si="101"/>
        <v>0.792187500000004</v>
      </c>
      <c r="AP208" s="45">
        <f t="shared" si="102"/>
        <v>1.05625</v>
      </c>
      <c r="AQ208" s="45">
        <f t="shared" si="103"/>
        <v>0</v>
      </c>
      <c r="AR208" s="45">
        <f t="shared" si="104"/>
        <v>0</v>
      </c>
      <c r="AS208" s="19">
        <f t="shared" si="109"/>
        <v>1.07916666666667</v>
      </c>
      <c r="AT208" s="19">
        <f t="shared" si="110"/>
        <v>1.03333333333334</v>
      </c>
      <c r="AU208" s="46">
        <v>0</v>
      </c>
      <c r="AV208" s="46">
        <v>0</v>
      </c>
      <c r="AW208" s="46">
        <v>0</v>
      </c>
      <c r="AX208" s="46">
        <v>1</v>
      </c>
      <c r="AY208" s="47">
        <v>0</v>
      </c>
      <c r="AZ208" s="47">
        <v>-1</v>
      </c>
    </row>
    <row r="209" hidden="1" customHeight="1" spans="1:52">
      <c r="A209" s="44">
        <v>45534</v>
      </c>
      <c r="B209" s="33">
        <f t="shared" si="88"/>
        <v>482</v>
      </c>
      <c r="C209" s="33">
        <f t="shared" si="89"/>
        <v>1538</v>
      </c>
      <c r="D209" s="11">
        <f t="shared" si="90"/>
        <v>2020</v>
      </c>
      <c r="E209" s="34">
        <f t="shared" si="105"/>
        <v>-2.23899870743885e-6</v>
      </c>
      <c r="F209" s="35">
        <f t="shared" si="91"/>
        <v>0.000450038740195205</v>
      </c>
      <c r="G209" s="18">
        <f>(SUM($I$8:$I209)*(MAX(M$3-M$4,0))+(N209*MAX(M$4,0)))*(1-$AM$4)+(AM209*$AM$4)</f>
        <v>0.0909078255194315</v>
      </c>
      <c r="H209" s="18">
        <f t="shared" si="92"/>
        <v>0.833333333333333</v>
      </c>
      <c r="I209" s="18">
        <f t="shared" si="93"/>
        <v>0</v>
      </c>
      <c r="J209" s="18">
        <f t="shared" si="94"/>
        <v>0.30782649829352</v>
      </c>
      <c r="K209" s="18">
        <f t="shared" si="95"/>
        <v>0.00143604460934954</v>
      </c>
      <c r="L209" s="18">
        <f t="shared" si="96"/>
        <v>0</v>
      </c>
      <c r="M209" s="18">
        <v>0</v>
      </c>
      <c r="N209" s="18">
        <f t="shared" si="106"/>
        <v>0</v>
      </c>
      <c r="O209" s="11">
        <v>0</v>
      </c>
      <c r="P209" s="11">
        <v>0</v>
      </c>
      <c r="Q209" s="11">
        <f t="shared" si="87"/>
        <v>1</v>
      </c>
      <c r="R209" s="11">
        <v>0</v>
      </c>
      <c r="S209" s="11">
        <f t="shared" si="97"/>
        <v>0</v>
      </c>
      <c r="T209" s="11">
        <v>0</v>
      </c>
      <c r="U209" s="11">
        <f t="shared" si="86"/>
        <v>1</v>
      </c>
      <c r="V209" s="11">
        <v>0</v>
      </c>
      <c r="W209" s="11">
        <f t="shared" si="98"/>
        <v>1</v>
      </c>
      <c r="X209" s="11">
        <f t="shared" si="99"/>
        <v>0</v>
      </c>
      <c r="Y209" s="19">
        <v>0</v>
      </c>
      <c r="Z209" s="11">
        <v>0</v>
      </c>
      <c r="AA209" s="11">
        <v>0</v>
      </c>
      <c r="AB209" s="11">
        <v>0</v>
      </c>
      <c r="AC209" s="11">
        <v>0</v>
      </c>
      <c r="AD209" s="11">
        <v>0</v>
      </c>
      <c r="AE209" s="11">
        <v>0</v>
      </c>
      <c r="AF209" s="11">
        <v>0</v>
      </c>
      <c r="AG209" s="11">
        <v>0</v>
      </c>
      <c r="AH209" s="11">
        <v>0</v>
      </c>
      <c r="AI209" s="45">
        <v>0</v>
      </c>
      <c r="AJ209" s="45">
        <v>0</v>
      </c>
      <c r="AK209" s="45">
        <f t="shared" si="107"/>
        <v>0.3611</v>
      </c>
      <c r="AL209" s="45">
        <f t="shared" si="108"/>
        <v>0.00348095238095238</v>
      </c>
      <c r="AM209" s="45">
        <f t="shared" si="100"/>
        <v>0.0012569719047619</v>
      </c>
      <c r="AN209" s="45">
        <f t="shared" si="111"/>
        <v>0.792187500000004</v>
      </c>
      <c r="AO209" s="45">
        <f t="shared" si="101"/>
        <v>0.792187500000004</v>
      </c>
      <c r="AP209" s="45">
        <f t="shared" si="102"/>
        <v>1.05625</v>
      </c>
      <c r="AQ209" s="45">
        <f t="shared" si="103"/>
        <v>0</v>
      </c>
      <c r="AR209" s="45">
        <f t="shared" si="104"/>
        <v>0</v>
      </c>
      <c r="AS209" s="19">
        <f t="shared" si="109"/>
        <v>1.07916666666667</v>
      </c>
      <c r="AT209" s="19">
        <f t="shared" si="110"/>
        <v>1.03333333333334</v>
      </c>
      <c r="AU209" s="46">
        <v>0</v>
      </c>
      <c r="AV209" s="46">
        <v>0</v>
      </c>
      <c r="AW209" s="46">
        <v>0</v>
      </c>
      <c r="AX209" s="46">
        <v>1</v>
      </c>
      <c r="AY209" s="47">
        <v>0</v>
      </c>
      <c r="AZ209" s="47">
        <v>-1</v>
      </c>
    </row>
    <row r="210" hidden="1" customHeight="1" spans="1:52">
      <c r="A210" s="44">
        <v>45535</v>
      </c>
      <c r="B210" s="33">
        <f t="shared" si="88"/>
        <v>481</v>
      </c>
      <c r="C210" s="33">
        <f t="shared" si="89"/>
        <v>1544</v>
      </c>
      <c r="D210" s="11">
        <f t="shared" si="90"/>
        <v>2025</v>
      </c>
      <c r="E210" s="34">
        <f t="shared" si="105"/>
        <v>-1.14693382242747e-6</v>
      </c>
      <c r="F210" s="35">
        <f t="shared" si="91"/>
        <v>0.000448891806372778</v>
      </c>
      <c r="G210" s="18">
        <f>(SUM($I$8:$I210)*(MAX(M$3-M$4,0))+(N210*MAX(M$4,0)))*(1-$AM$4)+(AM210*$AM$4)</f>
        <v>0.0911250366936739</v>
      </c>
      <c r="H210" s="18">
        <f t="shared" si="92"/>
        <v>0.833333333333333</v>
      </c>
      <c r="I210" s="18">
        <f t="shared" si="93"/>
        <v>0.0011584595959596</v>
      </c>
      <c r="J210" s="18">
        <f t="shared" si="94"/>
        <v>0.30704199555898</v>
      </c>
      <c r="K210" s="18">
        <f t="shared" si="95"/>
        <v>0.00144066113189401</v>
      </c>
      <c r="L210" s="18">
        <f t="shared" si="96"/>
        <v>0.00139015151515152</v>
      </c>
      <c r="M210" s="18">
        <v>0</v>
      </c>
      <c r="N210" s="18">
        <f t="shared" si="106"/>
        <v>0</v>
      </c>
      <c r="O210" s="11">
        <v>0</v>
      </c>
      <c r="P210" s="11">
        <v>0</v>
      </c>
      <c r="Q210" s="11">
        <f t="shared" si="87"/>
        <v>1</v>
      </c>
      <c r="R210" s="11">
        <v>0</v>
      </c>
      <c r="S210" s="11">
        <f t="shared" si="97"/>
        <v>0</v>
      </c>
      <c r="T210" s="11">
        <v>0</v>
      </c>
      <c r="U210" s="11">
        <f t="shared" si="86"/>
        <v>1</v>
      </c>
      <c r="V210" s="11">
        <v>0</v>
      </c>
      <c r="W210" s="11">
        <f t="shared" si="98"/>
        <v>1</v>
      </c>
      <c r="X210" s="11">
        <f t="shared" si="99"/>
        <v>0</v>
      </c>
      <c r="Y210" s="19">
        <v>1.67</v>
      </c>
      <c r="Z210" s="11">
        <v>0</v>
      </c>
      <c r="AA210" s="11">
        <v>0</v>
      </c>
      <c r="AB210" s="11">
        <v>5</v>
      </c>
      <c r="AC210" s="11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45">
        <v>0</v>
      </c>
      <c r="AJ210" s="45">
        <v>0</v>
      </c>
      <c r="AK210" s="45">
        <f t="shared" si="107"/>
        <v>0.3611</v>
      </c>
      <c r="AL210" s="45">
        <f t="shared" si="108"/>
        <v>0.00348095238095238</v>
      </c>
      <c r="AM210" s="45">
        <f t="shared" si="100"/>
        <v>0.0012569719047619</v>
      </c>
      <c r="AN210" s="45">
        <f t="shared" si="111"/>
        <v>0.792187500000004</v>
      </c>
      <c r="AO210" s="45">
        <f t="shared" si="101"/>
        <v>0.792187500000004</v>
      </c>
      <c r="AP210" s="45">
        <f t="shared" si="102"/>
        <v>1.05625</v>
      </c>
      <c r="AQ210" s="45">
        <f t="shared" si="103"/>
        <v>0</v>
      </c>
      <c r="AR210" s="45">
        <f t="shared" si="104"/>
        <v>0</v>
      </c>
      <c r="AS210" s="19">
        <f t="shared" si="109"/>
        <v>1.07916666666667</v>
      </c>
      <c r="AT210" s="19">
        <f t="shared" si="110"/>
        <v>1.03333333333334</v>
      </c>
      <c r="AU210" s="46">
        <v>0</v>
      </c>
      <c r="AV210" s="46">
        <v>0</v>
      </c>
      <c r="AW210" s="46">
        <v>0</v>
      </c>
      <c r="AX210" s="46">
        <v>1</v>
      </c>
      <c r="AY210" s="47">
        <v>0</v>
      </c>
      <c r="AZ210" s="47">
        <v>-1</v>
      </c>
    </row>
    <row r="211" hidden="1" customHeight="1" spans="1:52">
      <c r="A211" s="44">
        <v>45536</v>
      </c>
      <c r="B211" s="33">
        <f t="shared" si="88"/>
        <v>480</v>
      </c>
      <c r="C211" s="33">
        <f t="shared" si="89"/>
        <v>1551</v>
      </c>
      <c r="D211" s="11">
        <f t="shared" si="90"/>
        <v>2031</v>
      </c>
      <c r="E211" s="34">
        <f t="shared" si="105"/>
        <v>-1.40840736189855e-6</v>
      </c>
      <c r="F211" s="35">
        <f t="shared" si="91"/>
        <v>0.000447483399010879</v>
      </c>
      <c r="G211" s="18">
        <f>(SUM($I$8:$I211)*(MAX(M$3-M$4,0))+(N211*MAX(M$4,0)))*(1-$AM$4)+(AM211*$AM$4)</f>
        <v>0.0912866133982194</v>
      </c>
      <c r="H211" s="18">
        <f t="shared" si="92"/>
        <v>0.875</v>
      </c>
      <c r="I211" s="18">
        <f t="shared" si="93"/>
        <v>0.000861742424242427</v>
      </c>
      <c r="J211" s="18">
        <f t="shared" si="94"/>
        <v>0.306078644923442</v>
      </c>
      <c r="K211" s="18">
        <f t="shared" si="95"/>
        <v>0.00144566948974283</v>
      </c>
      <c r="L211" s="18">
        <f t="shared" si="96"/>
        <v>0.000984848484848488</v>
      </c>
      <c r="M211" s="18">
        <v>0</v>
      </c>
      <c r="N211" s="18">
        <f t="shared" si="106"/>
        <v>0</v>
      </c>
      <c r="O211" s="11">
        <v>0</v>
      </c>
      <c r="P211" s="11">
        <v>0</v>
      </c>
      <c r="Q211" s="11">
        <f t="shared" si="87"/>
        <v>1</v>
      </c>
      <c r="R211" s="11">
        <v>0</v>
      </c>
      <c r="S211" s="11">
        <f t="shared" si="97"/>
        <v>0</v>
      </c>
      <c r="T211" s="11">
        <v>0</v>
      </c>
      <c r="U211" s="11">
        <f t="shared" si="86"/>
        <v>1</v>
      </c>
      <c r="V211" s="11">
        <v>0</v>
      </c>
      <c r="W211" s="11">
        <f t="shared" si="98"/>
        <v>1</v>
      </c>
      <c r="X211" s="11">
        <f t="shared" si="99"/>
        <v>0</v>
      </c>
      <c r="Y211" s="19">
        <v>1</v>
      </c>
      <c r="Z211" s="11">
        <v>0</v>
      </c>
      <c r="AA211" s="11">
        <v>0</v>
      </c>
      <c r="AB211" s="11">
        <v>4</v>
      </c>
      <c r="AC211" s="11">
        <v>0</v>
      </c>
      <c r="AD211" s="11">
        <v>0</v>
      </c>
      <c r="AE211" s="11">
        <v>0</v>
      </c>
      <c r="AF211" s="11">
        <v>0</v>
      </c>
      <c r="AG211" s="11">
        <v>0</v>
      </c>
      <c r="AH211" s="11">
        <v>0</v>
      </c>
      <c r="AI211" s="45">
        <v>0</v>
      </c>
      <c r="AJ211" s="45">
        <v>0</v>
      </c>
      <c r="AK211" s="45">
        <f t="shared" si="107"/>
        <v>0.3611</v>
      </c>
      <c r="AL211" s="45">
        <f t="shared" si="108"/>
        <v>0.00348095238095238</v>
      </c>
      <c r="AM211" s="45">
        <f t="shared" si="100"/>
        <v>0.0012569719047619</v>
      </c>
      <c r="AN211" s="45">
        <f t="shared" si="111"/>
        <v>0.792187500000004</v>
      </c>
      <c r="AO211" s="45">
        <f t="shared" si="101"/>
        <v>0.792187500000004</v>
      </c>
      <c r="AP211" s="45">
        <f t="shared" si="102"/>
        <v>1.05625</v>
      </c>
      <c r="AQ211" s="45">
        <f t="shared" si="103"/>
        <v>0</v>
      </c>
      <c r="AR211" s="45">
        <f t="shared" si="104"/>
        <v>0</v>
      </c>
      <c r="AS211" s="19">
        <f t="shared" si="109"/>
        <v>1.07916666666667</v>
      </c>
      <c r="AT211" s="19">
        <f t="shared" si="110"/>
        <v>1.03333333333334</v>
      </c>
      <c r="AU211" s="46">
        <v>0</v>
      </c>
      <c r="AV211" s="46">
        <v>0</v>
      </c>
      <c r="AW211" s="46">
        <v>0</v>
      </c>
      <c r="AX211" s="46">
        <v>1</v>
      </c>
      <c r="AY211" s="47">
        <v>0</v>
      </c>
      <c r="AZ211" s="47">
        <v>-1</v>
      </c>
    </row>
    <row r="212" hidden="1" customHeight="1" spans="1:52">
      <c r="A212" s="44">
        <v>45537</v>
      </c>
      <c r="B212" s="33">
        <f t="shared" si="88"/>
        <v>479</v>
      </c>
      <c r="C212" s="33">
        <f t="shared" si="89"/>
        <v>1562</v>
      </c>
      <c r="D212" s="11">
        <f t="shared" si="90"/>
        <v>2041</v>
      </c>
      <c r="E212" s="34">
        <f t="shared" si="105"/>
        <v>-2.18284584883356e-6</v>
      </c>
      <c r="F212" s="35">
        <f t="shared" si="91"/>
        <v>0.000445300553162046</v>
      </c>
      <c r="G212" s="18">
        <f>(SUM($I$8:$I212)*(MAX(M$3-M$4,0))+(N212*MAX(M$4,0)))*(1-$AM$4)+(AM212*$AM$4)</f>
        <v>0.0912866133982194</v>
      </c>
      <c r="H212" s="18">
        <f t="shared" si="92"/>
        <v>0.875</v>
      </c>
      <c r="I212" s="18">
        <f t="shared" si="93"/>
        <v>0</v>
      </c>
      <c r="J212" s="18">
        <f t="shared" si="94"/>
        <v>0.304585578362839</v>
      </c>
      <c r="K212" s="18">
        <f t="shared" si="95"/>
        <v>0.0014518046380734</v>
      </c>
      <c r="L212" s="18">
        <f t="shared" si="96"/>
        <v>0</v>
      </c>
      <c r="M212" s="18">
        <v>0</v>
      </c>
      <c r="N212" s="18">
        <f t="shared" si="106"/>
        <v>0</v>
      </c>
      <c r="O212" s="11">
        <v>0</v>
      </c>
      <c r="P212" s="11">
        <v>0</v>
      </c>
      <c r="Q212" s="11">
        <f t="shared" si="87"/>
        <v>1</v>
      </c>
      <c r="R212" s="11">
        <v>0</v>
      </c>
      <c r="S212" s="11">
        <f t="shared" si="97"/>
        <v>0</v>
      </c>
      <c r="T212" s="11">
        <v>0</v>
      </c>
      <c r="U212" s="11">
        <f t="shared" si="86"/>
        <v>1</v>
      </c>
      <c r="V212" s="11">
        <v>0</v>
      </c>
      <c r="W212" s="11">
        <f t="shared" si="98"/>
        <v>1</v>
      </c>
      <c r="X212" s="11">
        <f t="shared" si="99"/>
        <v>0</v>
      </c>
      <c r="Y212" s="19">
        <v>0</v>
      </c>
      <c r="Z212" s="11">
        <v>0</v>
      </c>
      <c r="AA212" s="11">
        <v>0</v>
      </c>
      <c r="AB212" s="11">
        <v>0</v>
      </c>
      <c r="AC212" s="11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45">
        <v>0</v>
      </c>
      <c r="AJ212" s="45">
        <v>0</v>
      </c>
      <c r="AK212" s="45">
        <f t="shared" si="107"/>
        <v>0.3611</v>
      </c>
      <c r="AL212" s="45">
        <f t="shared" si="108"/>
        <v>0.00348095238095238</v>
      </c>
      <c r="AM212" s="45">
        <f t="shared" si="100"/>
        <v>0.0012569719047619</v>
      </c>
      <c r="AN212" s="45">
        <f t="shared" si="111"/>
        <v>0.792187500000004</v>
      </c>
      <c r="AO212" s="45">
        <f t="shared" si="101"/>
        <v>0.792187500000004</v>
      </c>
      <c r="AP212" s="45">
        <f t="shared" si="102"/>
        <v>1.05625</v>
      </c>
      <c r="AQ212" s="45">
        <f t="shared" si="103"/>
        <v>0</v>
      </c>
      <c r="AR212" s="45">
        <f t="shared" si="104"/>
        <v>0</v>
      </c>
      <c r="AS212" s="19">
        <f t="shared" si="109"/>
        <v>1.07916666666667</v>
      </c>
      <c r="AT212" s="19">
        <f t="shared" si="110"/>
        <v>1.03333333333334</v>
      </c>
      <c r="AU212" s="46">
        <v>0</v>
      </c>
      <c r="AV212" s="46">
        <v>0</v>
      </c>
      <c r="AW212" s="46">
        <v>0</v>
      </c>
      <c r="AX212" s="46">
        <v>1</v>
      </c>
      <c r="AY212" s="47">
        <v>0</v>
      </c>
      <c r="AZ212" s="47">
        <v>-1</v>
      </c>
    </row>
    <row r="213" hidden="1" customHeight="1" spans="1:52">
      <c r="A213" s="44">
        <v>45538</v>
      </c>
      <c r="B213" s="33">
        <f t="shared" si="88"/>
        <v>478</v>
      </c>
      <c r="C213" s="33">
        <f t="shared" si="89"/>
        <v>1573</v>
      </c>
      <c r="D213" s="11">
        <f t="shared" si="90"/>
        <v>2051</v>
      </c>
      <c r="E213" s="34">
        <f t="shared" si="105"/>
        <v>-2.16165317068955e-6</v>
      </c>
      <c r="F213" s="35">
        <f t="shared" si="91"/>
        <v>0.000443138899991356</v>
      </c>
      <c r="G213" s="18">
        <f>(SUM($I$8:$I213)*(MAX(M$3-M$4,0))+(N213*MAX(M$4,0)))*(1-$AM$4)+(AM213*$AM$4)</f>
        <v>0.0912866133982194</v>
      </c>
      <c r="H213" s="18">
        <f t="shared" si="92"/>
        <v>0.875</v>
      </c>
      <c r="I213" s="18">
        <f t="shared" si="93"/>
        <v>0</v>
      </c>
      <c r="J213" s="18">
        <f t="shared" si="94"/>
        <v>0.303107007594088</v>
      </c>
      <c r="K213" s="18">
        <f t="shared" si="95"/>
        <v>0.0014579351305563</v>
      </c>
      <c r="L213" s="18">
        <f t="shared" si="96"/>
        <v>0</v>
      </c>
      <c r="M213" s="18">
        <v>0</v>
      </c>
      <c r="N213" s="18">
        <f t="shared" si="106"/>
        <v>0</v>
      </c>
      <c r="O213" s="11">
        <v>0</v>
      </c>
      <c r="P213" s="11">
        <v>0</v>
      </c>
      <c r="Q213" s="11">
        <f t="shared" si="87"/>
        <v>1</v>
      </c>
      <c r="R213" s="11">
        <v>0</v>
      </c>
      <c r="S213" s="11">
        <f t="shared" si="97"/>
        <v>0</v>
      </c>
      <c r="T213" s="11">
        <v>0</v>
      </c>
      <c r="U213" s="11">
        <f t="shared" si="86"/>
        <v>1</v>
      </c>
      <c r="V213" s="11">
        <v>0</v>
      </c>
      <c r="W213" s="11">
        <f t="shared" si="98"/>
        <v>1</v>
      </c>
      <c r="X213" s="11">
        <f t="shared" si="99"/>
        <v>0</v>
      </c>
      <c r="Y213" s="19">
        <v>0</v>
      </c>
      <c r="Z213" s="11">
        <v>0</v>
      </c>
      <c r="AA213" s="11">
        <v>0</v>
      </c>
      <c r="AB213" s="11">
        <v>0</v>
      </c>
      <c r="AC213" s="11">
        <v>0</v>
      </c>
      <c r="AD213" s="11">
        <v>0</v>
      </c>
      <c r="AE213" s="11">
        <v>0</v>
      </c>
      <c r="AF213" s="11">
        <v>0</v>
      </c>
      <c r="AG213" s="11">
        <v>0</v>
      </c>
      <c r="AH213" s="11">
        <v>0</v>
      </c>
      <c r="AI213" s="45">
        <v>0</v>
      </c>
      <c r="AJ213" s="45">
        <v>0</v>
      </c>
      <c r="AK213" s="45">
        <f t="shared" si="107"/>
        <v>0.3611</v>
      </c>
      <c r="AL213" s="45">
        <f t="shared" si="108"/>
        <v>0.00348095238095238</v>
      </c>
      <c r="AM213" s="45">
        <f t="shared" si="100"/>
        <v>0.0012569719047619</v>
      </c>
      <c r="AN213" s="45">
        <f t="shared" si="111"/>
        <v>0.792187500000004</v>
      </c>
      <c r="AO213" s="45">
        <f t="shared" si="101"/>
        <v>0.792187500000004</v>
      </c>
      <c r="AP213" s="45">
        <f t="shared" si="102"/>
        <v>1.05625</v>
      </c>
      <c r="AQ213" s="45">
        <f t="shared" si="103"/>
        <v>0</v>
      </c>
      <c r="AR213" s="45">
        <f t="shared" si="104"/>
        <v>0</v>
      </c>
      <c r="AS213" s="19">
        <f t="shared" si="109"/>
        <v>1.07916666666667</v>
      </c>
      <c r="AT213" s="19">
        <f t="shared" si="110"/>
        <v>1.03333333333334</v>
      </c>
      <c r="AU213" s="46">
        <v>0</v>
      </c>
      <c r="AV213" s="46">
        <v>0</v>
      </c>
      <c r="AW213" s="46">
        <v>0</v>
      </c>
      <c r="AX213" s="46">
        <v>1</v>
      </c>
      <c r="AY213" s="47">
        <v>0</v>
      </c>
      <c r="AZ213" s="47">
        <v>-1</v>
      </c>
    </row>
    <row r="214" hidden="1" customHeight="1" spans="1:52">
      <c r="A214" s="44">
        <v>45539</v>
      </c>
      <c r="B214" s="33">
        <f t="shared" si="88"/>
        <v>477</v>
      </c>
      <c r="C214" s="33">
        <f t="shared" si="89"/>
        <v>1584</v>
      </c>
      <c r="D214" s="11">
        <f t="shared" si="90"/>
        <v>2061</v>
      </c>
      <c r="E214" s="34">
        <f t="shared" si="105"/>
        <v>-2.14076763280848e-6</v>
      </c>
      <c r="F214" s="35">
        <f t="shared" si="91"/>
        <v>0.000440998132358548</v>
      </c>
      <c r="G214" s="18">
        <f>(SUM($I$8:$I214)*(MAX(M$3-M$4,0))+(N214*MAX(M$4,0)))*(1-$AM$4)+(AM214*$AM$4)</f>
        <v>0.0912866133982194</v>
      </c>
      <c r="H214" s="18">
        <f t="shared" si="92"/>
        <v>0.875</v>
      </c>
      <c r="I214" s="18">
        <f t="shared" si="93"/>
        <v>0</v>
      </c>
      <c r="J214" s="18">
        <f t="shared" si="94"/>
        <v>0.301642722533247</v>
      </c>
      <c r="K214" s="18">
        <f t="shared" si="95"/>
        <v>0.00146406137833701</v>
      </c>
      <c r="L214" s="18">
        <f t="shared" si="96"/>
        <v>0</v>
      </c>
      <c r="M214" s="18">
        <v>0</v>
      </c>
      <c r="N214" s="18">
        <f t="shared" si="106"/>
        <v>0</v>
      </c>
      <c r="O214" s="11">
        <v>0</v>
      </c>
      <c r="P214" s="11">
        <v>0</v>
      </c>
      <c r="Q214" s="11">
        <f t="shared" si="87"/>
        <v>1</v>
      </c>
      <c r="R214" s="11">
        <v>0</v>
      </c>
      <c r="S214" s="11">
        <f t="shared" si="97"/>
        <v>0</v>
      </c>
      <c r="T214" s="11">
        <v>0</v>
      </c>
      <c r="U214" s="11">
        <f t="shared" si="86"/>
        <v>1</v>
      </c>
      <c r="V214" s="11">
        <v>0</v>
      </c>
      <c r="W214" s="11">
        <f t="shared" si="98"/>
        <v>1</v>
      </c>
      <c r="X214" s="11">
        <f t="shared" si="99"/>
        <v>0</v>
      </c>
      <c r="Y214" s="19">
        <v>0</v>
      </c>
      <c r="Z214" s="11">
        <v>0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45">
        <v>0</v>
      </c>
      <c r="AJ214" s="45">
        <v>0</v>
      </c>
      <c r="AK214" s="45">
        <f t="shared" si="107"/>
        <v>0.3611</v>
      </c>
      <c r="AL214" s="45">
        <f t="shared" si="108"/>
        <v>0.00348095238095238</v>
      </c>
      <c r="AM214" s="45">
        <f t="shared" si="100"/>
        <v>0.0012569719047619</v>
      </c>
      <c r="AN214" s="45">
        <f t="shared" si="111"/>
        <v>0.792187500000004</v>
      </c>
      <c r="AO214" s="45">
        <f t="shared" si="101"/>
        <v>0.792187500000004</v>
      </c>
      <c r="AP214" s="45">
        <f t="shared" si="102"/>
        <v>1.05625</v>
      </c>
      <c r="AQ214" s="45">
        <f t="shared" si="103"/>
        <v>0</v>
      </c>
      <c r="AR214" s="45">
        <f t="shared" si="104"/>
        <v>0</v>
      </c>
      <c r="AS214" s="19">
        <f t="shared" si="109"/>
        <v>1.07916666666667</v>
      </c>
      <c r="AT214" s="19">
        <f t="shared" si="110"/>
        <v>1.03333333333334</v>
      </c>
      <c r="AU214" s="46">
        <v>0</v>
      </c>
      <c r="AV214" s="46">
        <v>0</v>
      </c>
      <c r="AW214" s="46">
        <v>0</v>
      </c>
      <c r="AX214" s="46">
        <v>1</v>
      </c>
      <c r="AY214" s="47">
        <v>0</v>
      </c>
      <c r="AZ214" s="47">
        <v>-1</v>
      </c>
    </row>
    <row r="215" hidden="1" customHeight="1" spans="1:52">
      <c r="A215" s="44">
        <v>45540</v>
      </c>
      <c r="B215" s="33">
        <f t="shared" si="88"/>
        <v>476</v>
      </c>
      <c r="C215" s="33">
        <f t="shared" si="89"/>
        <v>1595</v>
      </c>
      <c r="D215" s="11">
        <f t="shared" si="90"/>
        <v>2071</v>
      </c>
      <c r="E215" s="34">
        <f t="shared" si="105"/>
        <v>-2.1201833286469e-6</v>
      </c>
      <c r="F215" s="35">
        <f t="shared" si="91"/>
        <v>0.000438877949029901</v>
      </c>
      <c r="G215" s="18">
        <f>(SUM($I$8:$I215)*(MAX(M$3-M$4,0))+(N215*MAX(M$4,0)))*(1-$AM$4)+(AM215*$AM$4)</f>
        <v>0.0912866133982194</v>
      </c>
      <c r="H215" s="18">
        <f t="shared" si="92"/>
        <v>0.875</v>
      </c>
      <c r="I215" s="18">
        <f t="shared" si="93"/>
        <v>0</v>
      </c>
      <c r="J215" s="18">
        <f t="shared" si="94"/>
        <v>0.300192517136452</v>
      </c>
      <c r="K215" s="18">
        <f t="shared" si="95"/>
        <v>0.00147018378752846</v>
      </c>
      <c r="L215" s="18">
        <f t="shared" si="96"/>
        <v>0</v>
      </c>
      <c r="M215" s="18">
        <v>0</v>
      </c>
      <c r="N215" s="18">
        <f t="shared" si="106"/>
        <v>0</v>
      </c>
      <c r="O215" s="11">
        <v>0</v>
      </c>
      <c r="P215" s="11">
        <v>0</v>
      </c>
      <c r="Q215" s="11">
        <f t="shared" si="87"/>
        <v>1</v>
      </c>
      <c r="R215" s="11">
        <v>0</v>
      </c>
      <c r="S215" s="11">
        <f t="shared" si="97"/>
        <v>0</v>
      </c>
      <c r="T215" s="11">
        <v>0</v>
      </c>
      <c r="U215" s="11">
        <f t="shared" si="86"/>
        <v>1</v>
      </c>
      <c r="V215" s="11">
        <v>0</v>
      </c>
      <c r="W215" s="11">
        <f t="shared" si="98"/>
        <v>1</v>
      </c>
      <c r="X215" s="11">
        <f t="shared" si="99"/>
        <v>0</v>
      </c>
      <c r="Y215" s="19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1">
        <v>0</v>
      </c>
      <c r="AG215" s="11">
        <v>0</v>
      </c>
      <c r="AH215" s="11">
        <v>0</v>
      </c>
      <c r="AI215" s="45">
        <v>0</v>
      </c>
      <c r="AJ215" s="45">
        <v>0</v>
      </c>
      <c r="AK215" s="45">
        <f t="shared" si="107"/>
        <v>0.3611</v>
      </c>
      <c r="AL215" s="45">
        <f t="shared" si="108"/>
        <v>0.00348095238095238</v>
      </c>
      <c r="AM215" s="45">
        <f t="shared" si="100"/>
        <v>0.0012569719047619</v>
      </c>
      <c r="AN215" s="45">
        <f t="shared" si="111"/>
        <v>0.792187500000004</v>
      </c>
      <c r="AO215" s="45">
        <f t="shared" si="101"/>
        <v>0.792187500000004</v>
      </c>
      <c r="AP215" s="45">
        <f t="shared" si="102"/>
        <v>1.05625</v>
      </c>
      <c r="AQ215" s="45">
        <f t="shared" si="103"/>
        <v>0</v>
      </c>
      <c r="AR215" s="45">
        <f t="shared" si="104"/>
        <v>0</v>
      </c>
      <c r="AS215" s="19">
        <f t="shared" si="109"/>
        <v>1.07916666666667</v>
      </c>
      <c r="AT215" s="19">
        <f t="shared" si="110"/>
        <v>1.03333333333334</v>
      </c>
      <c r="AU215" s="46">
        <v>0</v>
      </c>
      <c r="AV215" s="46">
        <v>0</v>
      </c>
      <c r="AW215" s="46">
        <v>0</v>
      </c>
      <c r="AX215" s="46">
        <v>1</v>
      </c>
      <c r="AY215" s="47">
        <v>0</v>
      </c>
      <c r="AZ215" s="47">
        <v>-1</v>
      </c>
    </row>
    <row r="216" hidden="1" customHeight="1" spans="1:52">
      <c r="A216" s="44">
        <v>45541</v>
      </c>
      <c r="B216" s="33">
        <f t="shared" si="88"/>
        <v>475</v>
      </c>
      <c r="C216" s="33">
        <f t="shared" si="89"/>
        <v>1605</v>
      </c>
      <c r="D216" s="11">
        <f t="shared" si="90"/>
        <v>2080</v>
      </c>
      <c r="E216" s="34">
        <f t="shared" si="105"/>
        <v>-2.09989449296601e-6</v>
      </c>
      <c r="F216" s="35">
        <f t="shared" si="91"/>
        <v>0.000436778054536935</v>
      </c>
      <c r="G216" s="18">
        <f>(SUM($I$8:$I216)*(MAX(M$3-M$4,0))+(N216*MAX(M$4,0)))*(1-$AM$4)+(AM216*$AM$4)</f>
        <v>0.0912866133982194</v>
      </c>
      <c r="H216" s="18">
        <f t="shared" si="92"/>
        <v>0.875</v>
      </c>
      <c r="I216" s="18">
        <f t="shared" si="93"/>
        <v>0</v>
      </c>
      <c r="J216" s="18">
        <f t="shared" si="94"/>
        <v>0.298756189303263</v>
      </c>
      <c r="K216" s="18">
        <f t="shared" si="95"/>
        <v>0.00147630275936155</v>
      </c>
      <c r="L216" s="18">
        <f t="shared" si="96"/>
        <v>0</v>
      </c>
      <c r="M216" s="18">
        <v>0</v>
      </c>
      <c r="N216" s="18">
        <f t="shared" si="106"/>
        <v>0</v>
      </c>
      <c r="O216" s="11">
        <v>0</v>
      </c>
      <c r="P216" s="11">
        <v>0</v>
      </c>
      <c r="Q216" s="11">
        <f t="shared" si="87"/>
        <v>1</v>
      </c>
      <c r="R216" s="11">
        <v>0</v>
      </c>
      <c r="S216" s="11">
        <f t="shared" si="97"/>
        <v>0</v>
      </c>
      <c r="T216" s="11">
        <v>0</v>
      </c>
      <c r="U216" s="11">
        <f t="shared" si="86"/>
        <v>1</v>
      </c>
      <c r="V216" s="11">
        <v>0</v>
      </c>
      <c r="W216" s="11">
        <f t="shared" si="98"/>
        <v>1</v>
      </c>
      <c r="X216" s="11">
        <f t="shared" si="99"/>
        <v>0</v>
      </c>
      <c r="Y216" s="19">
        <v>0</v>
      </c>
      <c r="Z216" s="11">
        <v>0</v>
      </c>
      <c r="AA216" s="11">
        <v>0</v>
      </c>
      <c r="AB216" s="11">
        <v>0</v>
      </c>
      <c r="AC216" s="11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45">
        <v>0</v>
      </c>
      <c r="AJ216" s="45">
        <v>0</v>
      </c>
      <c r="AK216" s="45">
        <f t="shared" si="107"/>
        <v>0.3611</v>
      </c>
      <c r="AL216" s="45">
        <f t="shared" si="108"/>
        <v>0.00348095238095238</v>
      </c>
      <c r="AM216" s="45">
        <f t="shared" si="100"/>
        <v>0.0012569719047619</v>
      </c>
      <c r="AN216" s="45">
        <f t="shared" si="111"/>
        <v>0.792187500000004</v>
      </c>
      <c r="AO216" s="45">
        <f t="shared" si="101"/>
        <v>0.792187500000004</v>
      </c>
      <c r="AP216" s="45">
        <f t="shared" si="102"/>
        <v>1.05625</v>
      </c>
      <c r="AQ216" s="45">
        <f t="shared" si="103"/>
        <v>0</v>
      </c>
      <c r="AR216" s="45">
        <f t="shared" si="104"/>
        <v>0</v>
      </c>
      <c r="AS216" s="19">
        <f t="shared" si="109"/>
        <v>1.07916666666667</v>
      </c>
      <c r="AT216" s="19">
        <f t="shared" si="110"/>
        <v>1.03333333333334</v>
      </c>
      <c r="AU216" s="46">
        <v>0</v>
      </c>
      <c r="AV216" s="46">
        <v>0</v>
      </c>
      <c r="AW216" s="46">
        <v>0</v>
      </c>
      <c r="AX216" s="46">
        <v>1</v>
      </c>
      <c r="AY216" s="47">
        <v>0</v>
      </c>
      <c r="AZ216" s="47">
        <v>-1</v>
      </c>
    </row>
    <row r="217" hidden="1" customHeight="1" spans="1:52">
      <c r="A217" s="44">
        <v>45542</v>
      </c>
      <c r="B217" s="33">
        <f t="shared" si="88"/>
        <v>474</v>
      </c>
      <c r="C217" s="33">
        <f t="shared" si="89"/>
        <v>1613</v>
      </c>
      <c r="D217" s="11">
        <f t="shared" si="90"/>
        <v>2087</v>
      </c>
      <c r="E217" s="34">
        <f t="shared" si="105"/>
        <v>-1.37854606597674e-6</v>
      </c>
      <c r="F217" s="35">
        <f t="shared" si="91"/>
        <v>0.000435399508470958</v>
      </c>
      <c r="G217" s="18">
        <f>(SUM($I$8:$I217)*(MAX(M$3-M$4,0))+(N217*MAX(M$4,0)))*(1-$AM$4)+(AM217*$AM$4)</f>
        <v>0.0914338967789012</v>
      </c>
      <c r="H217" s="18">
        <f t="shared" si="92"/>
        <v>0.875</v>
      </c>
      <c r="I217" s="18">
        <f t="shared" si="93"/>
        <v>0.000785511363636366</v>
      </c>
      <c r="J217" s="18">
        <f t="shared" si="94"/>
        <v>0.297813263794135</v>
      </c>
      <c r="K217" s="18">
        <f t="shared" si="95"/>
        <v>0.00148140661646807</v>
      </c>
      <c r="L217" s="18">
        <f t="shared" si="96"/>
        <v>0.000897727272727276</v>
      </c>
      <c r="M217" s="18">
        <v>0</v>
      </c>
      <c r="N217" s="18">
        <f t="shared" si="106"/>
        <v>0</v>
      </c>
      <c r="O217" s="11">
        <v>0</v>
      </c>
      <c r="P217" s="11">
        <v>0</v>
      </c>
      <c r="Q217" s="11">
        <f t="shared" si="87"/>
        <v>1</v>
      </c>
      <c r="R217" s="11">
        <v>0</v>
      </c>
      <c r="S217" s="11">
        <f t="shared" si="97"/>
        <v>0</v>
      </c>
      <c r="T217" s="11">
        <v>0</v>
      </c>
      <c r="U217" s="11">
        <f t="shared" si="86"/>
        <v>1</v>
      </c>
      <c r="V217" s="11">
        <v>0</v>
      </c>
      <c r="W217" s="11">
        <f t="shared" si="98"/>
        <v>1</v>
      </c>
      <c r="X217" s="11">
        <f t="shared" si="99"/>
        <v>0</v>
      </c>
      <c r="Y217" s="19">
        <v>1.17</v>
      </c>
      <c r="Z217" s="11">
        <v>0</v>
      </c>
      <c r="AA217" s="11">
        <v>0</v>
      </c>
      <c r="AB217" s="11">
        <v>3</v>
      </c>
      <c r="AC217" s="11">
        <v>0</v>
      </c>
      <c r="AD217" s="11">
        <v>0</v>
      </c>
      <c r="AE217" s="11">
        <v>0</v>
      </c>
      <c r="AF217" s="11">
        <v>0</v>
      </c>
      <c r="AG217" s="11">
        <v>0</v>
      </c>
      <c r="AH217" s="11">
        <v>0</v>
      </c>
      <c r="AI217" s="45">
        <v>0</v>
      </c>
      <c r="AJ217" s="45">
        <v>0</v>
      </c>
      <c r="AK217" s="45">
        <f t="shared" si="107"/>
        <v>0.3611</v>
      </c>
      <c r="AL217" s="45">
        <f t="shared" si="108"/>
        <v>0.00348095238095238</v>
      </c>
      <c r="AM217" s="45">
        <f t="shared" si="100"/>
        <v>0.0012569719047619</v>
      </c>
      <c r="AN217" s="45">
        <f t="shared" si="111"/>
        <v>0.792187500000004</v>
      </c>
      <c r="AO217" s="45">
        <f t="shared" si="101"/>
        <v>0.792187500000004</v>
      </c>
      <c r="AP217" s="45">
        <f t="shared" si="102"/>
        <v>1.05625</v>
      </c>
      <c r="AQ217" s="45">
        <f t="shared" si="103"/>
        <v>0</v>
      </c>
      <c r="AR217" s="45">
        <f t="shared" si="104"/>
        <v>0</v>
      </c>
      <c r="AS217" s="19">
        <f t="shared" si="109"/>
        <v>1.07916666666667</v>
      </c>
      <c r="AT217" s="19">
        <f t="shared" si="110"/>
        <v>1.03333333333334</v>
      </c>
      <c r="AU217" s="46">
        <v>0</v>
      </c>
      <c r="AV217" s="46">
        <v>0</v>
      </c>
      <c r="AW217" s="46">
        <v>0</v>
      </c>
      <c r="AX217" s="46">
        <v>1</v>
      </c>
      <c r="AY217" s="47">
        <v>0</v>
      </c>
      <c r="AZ217" s="47">
        <v>-1</v>
      </c>
    </row>
    <row r="218" hidden="1" customHeight="1" spans="1:52">
      <c r="A218" s="44">
        <v>45543</v>
      </c>
      <c r="B218" s="33">
        <f t="shared" si="88"/>
        <v>473</v>
      </c>
      <c r="C218" s="33">
        <f t="shared" si="89"/>
        <v>1619</v>
      </c>
      <c r="D218" s="11">
        <f t="shared" si="90"/>
        <v>2092</v>
      </c>
      <c r="E218" s="34">
        <f t="shared" si="105"/>
        <v>-1.2496325710243e-6</v>
      </c>
      <c r="F218" s="35">
        <f t="shared" si="91"/>
        <v>0.000434149875899934</v>
      </c>
      <c r="G218" s="18">
        <f>(SUM($I$8:$I218)*(MAX(M$3-M$4,0))+(N218*MAX(M$4,0)))*(1-$AM$4)+(AM218*$AM$4)</f>
        <v>0.091605623814886</v>
      </c>
      <c r="H218" s="18">
        <f t="shared" si="92"/>
        <v>0.875</v>
      </c>
      <c r="I218" s="18">
        <f t="shared" si="93"/>
        <v>0.000915877525252528</v>
      </c>
      <c r="J218" s="18">
        <f t="shared" si="94"/>
        <v>0.296958515115555</v>
      </c>
      <c r="K218" s="18">
        <f t="shared" si="95"/>
        <v>0.00148634563400517</v>
      </c>
      <c r="L218" s="18">
        <f t="shared" si="96"/>
        <v>0.00104671717171717</v>
      </c>
      <c r="M218" s="18">
        <v>0</v>
      </c>
      <c r="N218" s="18">
        <f t="shared" si="106"/>
        <v>0</v>
      </c>
      <c r="O218" s="11">
        <v>0</v>
      </c>
      <c r="P218" s="11">
        <v>0</v>
      </c>
      <c r="Q218" s="11">
        <f t="shared" si="87"/>
        <v>1</v>
      </c>
      <c r="R218" s="11">
        <v>0</v>
      </c>
      <c r="S218" s="11">
        <f t="shared" si="97"/>
        <v>0</v>
      </c>
      <c r="T218" s="11">
        <v>0</v>
      </c>
      <c r="U218" s="11">
        <f t="shared" si="86"/>
        <v>1</v>
      </c>
      <c r="V218" s="11">
        <v>0</v>
      </c>
      <c r="W218" s="11">
        <f t="shared" si="98"/>
        <v>1</v>
      </c>
      <c r="X218" s="11">
        <f t="shared" si="99"/>
        <v>0</v>
      </c>
      <c r="Y218" s="19">
        <v>1.83</v>
      </c>
      <c r="Z218" s="11">
        <v>0</v>
      </c>
      <c r="AA218" s="11">
        <v>1</v>
      </c>
      <c r="AB218" s="11">
        <v>1</v>
      </c>
      <c r="AC218" s="11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45">
        <v>0</v>
      </c>
      <c r="AJ218" s="45">
        <v>0</v>
      </c>
      <c r="AK218" s="45">
        <f t="shared" si="107"/>
        <v>0.3611</v>
      </c>
      <c r="AL218" s="45">
        <f t="shared" si="108"/>
        <v>0.00348095238095238</v>
      </c>
      <c r="AM218" s="45">
        <f t="shared" si="100"/>
        <v>0.0012569719047619</v>
      </c>
      <c r="AN218" s="45">
        <f t="shared" si="111"/>
        <v>0.792187500000004</v>
      </c>
      <c r="AO218" s="45">
        <f t="shared" si="101"/>
        <v>0.792187500000004</v>
      </c>
      <c r="AP218" s="45">
        <f t="shared" si="102"/>
        <v>1.05625</v>
      </c>
      <c r="AQ218" s="45">
        <f t="shared" si="103"/>
        <v>0</v>
      </c>
      <c r="AR218" s="45">
        <f t="shared" si="104"/>
        <v>0</v>
      </c>
      <c r="AS218" s="19">
        <f t="shared" si="109"/>
        <v>1.07916666666667</v>
      </c>
      <c r="AT218" s="19">
        <f t="shared" si="110"/>
        <v>1.03333333333334</v>
      </c>
      <c r="AU218" s="46">
        <v>0</v>
      </c>
      <c r="AV218" s="46">
        <v>0</v>
      </c>
      <c r="AW218" s="46">
        <v>0</v>
      </c>
      <c r="AX218" s="46">
        <v>1</v>
      </c>
      <c r="AY218" s="47">
        <v>0</v>
      </c>
      <c r="AZ218" s="47">
        <v>-1</v>
      </c>
    </row>
    <row r="219" hidden="1" customHeight="1" spans="1:52">
      <c r="A219" s="44">
        <v>45544</v>
      </c>
      <c r="B219" s="33">
        <f t="shared" si="88"/>
        <v>472</v>
      </c>
      <c r="C219" s="33">
        <f t="shared" si="89"/>
        <v>1630</v>
      </c>
      <c r="D219" s="11">
        <f t="shared" si="90"/>
        <v>2102</v>
      </c>
      <c r="E219" s="34">
        <f t="shared" si="105"/>
        <v>-2.04787677311291e-6</v>
      </c>
      <c r="F219" s="35">
        <f t="shared" si="91"/>
        <v>0.000432101999126821</v>
      </c>
      <c r="G219" s="18">
        <f>(SUM($I$8:$I219)*(MAX(M$3-M$4,0))+(N219*MAX(M$4,0)))*(1-$AM$4)+(AM219*$AM$4)</f>
        <v>0.091605623814886</v>
      </c>
      <c r="H219" s="18">
        <f t="shared" si="92"/>
        <v>0.875</v>
      </c>
      <c r="I219" s="18">
        <f t="shared" si="93"/>
        <v>0</v>
      </c>
      <c r="J219" s="18">
        <f t="shared" si="94"/>
        <v>0.295557767402746</v>
      </c>
      <c r="K219" s="18">
        <f t="shared" si="95"/>
        <v>0.00149246235719757</v>
      </c>
      <c r="L219" s="18">
        <f t="shared" si="96"/>
        <v>0</v>
      </c>
      <c r="M219" s="18">
        <v>0</v>
      </c>
      <c r="N219" s="18">
        <f t="shared" si="106"/>
        <v>0</v>
      </c>
      <c r="O219" s="11">
        <v>0</v>
      </c>
      <c r="P219" s="11">
        <v>0</v>
      </c>
      <c r="Q219" s="11">
        <f t="shared" si="87"/>
        <v>1</v>
      </c>
      <c r="R219" s="11">
        <v>0</v>
      </c>
      <c r="S219" s="11">
        <f t="shared" si="97"/>
        <v>0</v>
      </c>
      <c r="T219" s="11">
        <v>0</v>
      </c>
      <c r="U219" s="11">
        <f t="shared" si="86"/>
        <v>1</v>
      </c>
      <c r="V219" s="11">
        <v>0</v>
      </c>
      <c r="W219" s="11">
        <f t="shared" si="98"/>
        <v>1</v>
      </c>
      <c r="X219" s="11">
        <f t="shared" si="99"/>
        <v>0</v>
      </c>
      <c r="Y219" s="19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1">
        <v>0</v>
      </c>
      <c r="AG219" s="11">
        <v>0</v>
      </c>
      <c r="AH219" s="11">
        <v>0</v>
      </c>
      <c r="AI219" s="45">
        <v>0</v>
      </c>
      <c r="AJ219" s="45">
        <v>0</v>
      </c>
      <c r="AK219" s="45">
        <f t="shared" si="107"/>
        <v>0.3611</v>
      </c>
      <c r="AL219" s="45">
        <f t="shared" si="108"/>
        <v>0.00348095238095238</v>
      </c>
      <c r="AM219" s="45">
        <f t="shared" si="100"/>
        <v>0.0012569719047619</v>
      </c>
      <c r="AN219" s="45">
        <f t="shared" si="111"/>
        <v>0.792187500000004</v>
      </c>
      <c r="AO219" s="45">
        <f t="shared" si="101"/>
        <v>0.792187500000004</v>
      </c>
      <c r="AP219" s="45">
        <f t="shared" si="102"/>
        <v>1.05625</v>
      </c>
      <c r="AQ219" s="45">
        <f t="shared" si="103"/>
        <v>0</v>
      </c>
      <c r="AR219" s="45">
        <f t="shared" si="104"/>
        <v>0</v>
      </c>
      <c r="AS219" s="19">
        <f t="shared" si="109"/>
        <v>1.07916666666667</v>
      </c>
      <c r="AT219" s="19">
        <f t="shared" si="110"/>
        <v>1.03333333333334</v>
      </c>
      <c r="AU219" s="46">
        <v>0</v>
      </c>
      <c r="AV219" s="46">
        <v>0</v>
      </c>
      <c r="AW219" s="46">
        <v>0</v>
      </c>
      <c r="AX219" s="46">
        <v>1</v>
      </c>
      <c r="AY219" s="47">
        <v>0</v>
      </c>
      <c r="AZ219" s="47">
        <v>-1</v>
      </c>
    </row>
    <row r="220" hidden="1" customHeight="1" spans="1:52">
      <c r="A220" s="44">
        <v>45545</v>
      </c>
      <c r="B220" s="33">
        <f t="shared" si="88"/>
        <v>471</v>
      </c>
      <c r="C220" s="33">
        <f t="shared" si="89"/>
        <v>1641</v>
      </c>
      <c r="D220" s="11">
        <f t="shared" si="90"/>
        <v>2112</v>
      </c>
      <c r="E220" s="34">
        <f t="shared" si="105"/>
        <v>-2.0286478832245e-6</v>
      </c>
      <c r="F220" s="35">
        <f t="shared" si="91"/>
        <v>0.000430073351243596</v>
      </c>
      <c r="G220" s="18">
        <f>(SUM($I$8:$I220)*(MAX(M$3-M$4,0))+(N220*MAX(M$4,0)))*(1-$AM$4)+(AM220*$AM$4)</f>
        <v>0.091605623814886</v>
      </c>
      <c r="H220" s="18">
        <f t="shared" si="92"/>
        <v>0.875</v>
      </c>
      <c r="I220" s="18">
        <f t="shared" si="93"/>
        <v>0</v>
      </c>
      <c r="J220" s="18">
        <f t="shared" si="94"/>
        <v>0.29417017225062</v>
      </c>
      <c r="K220" s="18">
        <f t="shared" si="95"/>
        <v>0.00149857712897958</v>
      </c>
      <c r="L220" s="18">
        <f t="shared" si="96"/>
        <v>0</v>
      </c>
      <c r="M220" s="18">
        <v>0</v>
      </c>
      <c r="N220" s="18">
        <f t="shared" si="106"/>
        <v>0</v>
      </c>
      <c r="O220" s="11">
        <v>0</v>
      </c>
      <c r="P220" s="11">
        <v>0</v>
      </c>
      <c r="Q220" s="11">
        <f t="shared" si="87"/>
        <v>1</v>
      </c>
      <c r="R220" s="11">
        <v>0</v>
      </c>
      <c r="S220" s="11">
        <f t="shared" si="97"/>
        <v>0</v>
      </c>
      <c r="T220" s="11">
        <v>0</v>
      </c>
      <c r="U220" s="11">
        <f t="shared" si="86"/>
        <v>1</v>
      </c>
      <c r="V220" s="11">
        <v>0</v>
      </c>
      <c r="W220" s="11">
        <f t="shared" si="98"/>
        <v>1</v>
      </c>
      <c r="X220" s="11">
        <f t="shared" si="99"/>
        <v>0</v>
      </c>
      <c r="Y220" s="19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45">
        <v>0</v>
      </c>
      <c r="AJ220" s="45">
        <v>0</v>
      </c>
      <c r="AK220" s="45">
        <f t="shared" si="107"/>
        <v>0.3611</v>
      </c>
      <c r="AL220" s="45">
        <f t="shared" si="108"/>
        <v>0.00348095238095238</v>
      </c>
      <c r="AM220" s="45">
        <f t="shared" si="100"/>
        <v>0.0012569719047619</v>
      </c>
      <c r="AN220" s="45">
        <f t="shared" si="111"/>
        <v>0.792187500000004</v>
      </c>
      <c r="AO220" s="45">
        <f t="shared" si="101"/>
        <v>0.792187500000004</v>
      </c>
      <c r="AP220" s="45">
        <f t="shared" si="102"/>
        <v>1.05625</v>
      </c>
      <c r="AQ220" s="45">
        <f t="shared" si="103"/>
        <v>0</v>
      </c>
      <c r="AR220" s="45">
        <f t="shared" si="104"/>
        <v>0</v>
      </c>
      <c r="AS220" s="19">
        <f t="shared" si="109"/>
        <v>1.07916666666667</v>
      </c>
      <c r="AT220" s="19">
        <f t="shared" si="110"/>
        <v>1.03333333333334</v>
      </c>
      <c r="AU220" s="46">
        <v>0</v>
      </c>
      <c r="AV220" s="46">
        <v>0</v>
      </c>
      <c r="AW220" s="46">
        <v>0</v>
      </c>
      <c r="AX220" s="46">
        <v>1</v>
      </c>
      <c r="AY220" s="47">
        <v>0</v>
      </c>
      <c r="AZ220" s="47">
        <v>-1</v>
      </c>
    </row>
    <row r="221" hidden="1" customHeight="1" spans="1:52">
      <c r="A221" s="44">
        <v>45546</v>
      </c>
      <c r="B221" s="33">
        <f t="shared" si="88"/>
        <v>470</v>
      </c>
      <c r="C221" s="33">
        <f t="shared" si="89"/>
        <v>1652</v>
      </c>
      <c r="D221" s="11">
        <f t="shared" si="90"/>
        <v>2122</v>
      </c>
      <c r="E221" s="34">
        <f t="shared" si="105"/>
        <v>-2.00968855721306e-6</v>
      </c>
      <c r="F221" s="35">
        <f t="shared" si="91"/>
        <v>0.000428063662686383</v>
      </c>
      <c r="G221" s="18">
        <f>(SUM($I$8:$I221)*(MAX(M$3-M$4,0))+(N221*MAX(M$4,0)))*(1-$AM$4)+(AM221*$AM$4)</f>
        <v>0.091605623814886</v>
      </c>
      <c r="H221" s="18">
        <f t="shared" si="92"/>
        <v>0.875</v>
      </c>
      <c r="I221" s="18">
        <f t="shared" si="93"/>
        <v>0</v>
      </c>
      <c r="J221" s="18">
        <f t="shared" si="94"/>
        <v>0.292795545277486</v>
      </c>
      <c r="K221" s="18">
        <f t="shared" si="95"/>
        <v>0.00150469032919684</v>
      </c>
      <c r="L221" s="18">
        <f t="shared" si="96"/>
        <v>0</v>
      </c>
      <c r="M221" s="18">
        <v>0</v>
      </c>
      <c r="N221" s="18">
        <f t="shared" si="106"/>
        <v>0</v>
      </c>
      <c r="O221" s="11">
        <v>0</v>
      </c>
      <c r="P221" s="11">
        <v>0</v>
      </c>
      <c r="Q221" s="11">
        <f t="shared" si="87"/>
        <v>1</v>
      </c>
      <c r="R221" s="11">
        <v>0</v>
      </c>
      <c r="S221" s="11">
        <f t="shared" si="97"/>
        <v>0</v>
      </c>
      <c r="T221" s="11">
        <v>0</v>
      </c>
      <c r="U221" s="11">
        <f t="shared" si="86"/>
        <v>1</v>
      </c>
      <c r="V221" s="11">
        <v>0</v>
      </c>
      <c r="W221" s="11">
        <f t="shared" si="98"/>
        <v>1</v>
      </c>
      <c r="X221" s="11">
        <f t="shared" si="99"/>
        <v>0</v>
      </c>
      <c r="Y221" s="19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1">
        <v>0</v>
      </c>
      <c r="AG221" s="11">
        <v>0</v>
      </c>
      <c r="AH221" s="11">
        <v>0</v>
      </c>
      <c r="AI221" s="45">
        <v>0</v>
      </c>
      <c r="AJ221" s="45">
        <v>0</v>
      </c>
      <c r="AK221" s="45">
        <f t="shared" si="107"/>
        <v>0.3611</v>
      </c>
      <c r="AL221" s="45">
        <f t="shared" si="108"/>
        <v>0.00348095238095238</v>
      </c>
      <c r="AM221" s="45">
        <f t="shared" si="100"/>
        <v>0.0012569719047619</v>
      </c>
      <c r="AN221" s="45">
        <f t="shared" si="111"/>
        <v>0.792187500000004</v>
      </c>
      <c r="AO221" s="45">
        <f t="shared" si="101"/>
        <v>0.792187500000004</v>
      </c>
      <c r="AP221" s="45">
        <f t="shared" si="102"/>
        <v>1.05625</v>
      </c>
      <c r="AQ221" s="45">
        <f t="shared" si="103"/>
        <v>0</v>
      </c>
      <c r="AR221" s="45">
        <f t="shared" si="104"/>
        <v>0</v>
      </c>
      <c r="AS221" s="19">
        <f t="shared" si="109"/>
        <v>1.07916666666667</v>
      </c>
      <c r="AT221" s="19">
        <f t="shared" si="110"/>
        <v>1.03333333333334</v>
      </c>
      <c r="AU221" s="46">
        <v>0</v>
      </c>
      <c r="AV221" s="46">
        <v>0</v>
      </c>
      <c r="AW221" s="46">
        <v>0</v>
      </c>
      <c r="AX221" s="46">
        <v>1</v>
      </c>
      <c r="AY221" s="47">
        <v>0</v>
      </c>
      <c r="AZ221" s="47">
        <v>-1</v>
      </c>
    </row>
    <row r="222" hidden="1" customHeight="1" spans="1:52">
      <c r="A222" s="44">
        <v>45547</v>
      </c>
      <c r="B222" s="33">
        <f t="shared" si="88"/>
        <v>469</v>
      </c>
      <c r="C222" s="33">
        <f t="shared" si="89"/>
        <v>1663</v>
      </c>
      <c r="D222" s="11">
        <f t="shared" si="90"/>
        <v>2132</v>
      </c>
      <c r="E222" s="34">
        <f t="shared" si="105"/>
        <v>-1.99099377993665e-6</v>
      </c>
      <c r="F222" s="35">
        <f t="shared" si="91"/>
        <v>0.000426072668906447</v>
      </c>
      <c r="G222" s="18">
        <f>(SUM($I$8:$I222)*(MAX(M$3-M$4,0))+(N222*MAX(M$4,0)))*(1-$AM$4)+(AM222*$AM$4)</f>
        <v>0.091605623814886</v>
      </c>
      <c r="H222" s="18">
        <f t="shared" si="92"/>
        <v>0.875</v>
      </c>
      <c r="I222" s="18">
        <f t="shared" si="93"/>
        <v>0</v>
      </c>
      <c r="J222" s="18">
        <f t="shared" si="94"/>
        <v>0.29143370553201</v>
      </c>
      <c r="K222" s="18">
        <f t="shared" si="95"/>
        <v>0.00151080233362045</v>
      </c>
      <c r="L222" s="18">
        <f t="shared" si="96"/>
        <v>0</v>
      </c>
      <c r="M222" s="18">
        <v>0</v>
      </c>
      <c r="N222" s="18">
        <f t="shared" si="106"/>
        <v>0</v>
      </c>
      <c r="O222" s="11">
        <v>0</v>
      </c>
      <c r="P222" s="11">
        <v>0</v>
      </c>
      <c r="Q222" s="11">
        <f t="shared" si="87"/>
        <v>1</v>
      </c>
      <c r="R222" s="11">
        <v>0</v>
      </c>
      <c r="S222" s="11">
        <f t="shared" si="97"/>
        <v>0</v>
      </c>
      <c r="T222" s="11">
        <v>0</v>
      </c>
      <c r="U222" s="11">
        <f t="shared" si="86"/>
        <v>1</v>
      </c>
      <c r="V222" s="11">
        <v>0</v>
      </c>
      <c r="W222" s="11">
        <f t="shared" si="98"/>
        <v>1</v>
      </c>
      <c r="X222" s="11">
        <f t="shared" si="99"/>
        <v>0</v>
      </c>
      <c r="Y222" s="19">
        <v>0</v>
      </c>
      <c r="Z222" s="11">
        <v>0</v>
      </c>
      <c r="AA222" s="11">
        <v>0</v>
      </c>
      <c r="AB222" s="11">
        <v>0</v>
      </c>
      <c r="AC222" s="11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45">
        <v>0</v>
      </c>
      <c r="AJ222" s="45">
        <v>0</v>
      </c>
      <c r="AK222" s="45">
        <f t="shared" si="107"/>
        <v>0.3611</v>
      </c>
      <c r="AL222" s="45">
        <f t="shared" si="108"/>
        <v>0.00348095238095238</v>
      </c>
      <c r="AM222" s="45">
        <f t="shared" si="100"/>
        <v>0.0012569719047619</v>
      </c>
      <c r="AN222" s="45">
        <f t="shared" si="111"/>
        <v>0.792187500000004</v>
      </c>
      <c r="AO222" s="45">
        <f t="shared" si="101"/>
        <v>0.792187500000004</v>
      </c>
      <c r="AP222" s="45">
        <f t="shared" si="102"/>
        <v>1.05625</v>
      </c>
      <c r="AQ222" s="45">
        <f t="shared" si="103"/>
        <v>0</v>
      </c>
      <c r="AR222" s="45">
        <f t="shared" si="104"/>
        <v>0</v>
      </c>
      <c r="AS222" s="19">
        <f t="shared" si="109"/>
        <v>1.07916666666667</v>
      </c>
      <c r="AT222" s="19">
        <f t="shared" si="110"/>
        <v>1.03333333333334</v>
      </c>
      <c r="AU222" s="46">
        <v>0</v>
      </c>
      <c r="AV222" s="46">
        <v>0</v>
      </c>
      <c r="AW222" s="46">
        <v>0</v>
      </c>
      <c r="AX222" s="46">
        <v>1</v>
      </c>
      <c r="AY222" s="47">
        <v>0</v>
      </c>
      <c r="AZ222" s="47">
        <v>-1</v>
      </c>
    </row>
    <row r="223" hidden="1" customHeight="1" spans="1:52">
      <c r="A223" s="44">
        <v>45548</v>
      </c>
      <c r="B223" s="33">
        <f t="shared" si="88"/>
        <v>468</v>
      </c>
      <c r="C223" s="33">
        <f t="shared" si="89"/>
        <v>1674</v>
      </c>
      <c r="D223" s="11">
        <f t="shared" si="90"/>
        <v>2142</v>
      </c>
      <c r="E223" s="34">
        <f t="shared" si="105"/>
        <v>-1.97255865234464e-6</v>
      </c>
      <c r="F223" s="35">
        <f t="shared" si="91"/>
        <v>0.000424100110254102</v>
      </c>
      <c r="G223" s="18">
        <f>(SUM($I$8:$I223)*(MAX(M$3-M$4,0))+(N223*MAX(M$4,0)))*(1-$AM$4)+(AM223*$AM$4)</f>
        <v>0.091605623814886</v>
      </c>
      <c r="H223" s="18">
        <f t="shared" si="92"/>
        <v>0.875</v>
      </c>
      <c r="I223" s="18">
        <f t="shared" si="93"/>
        <v>0</v>
      </c>
      <c r="J223" s="18">
        <f t="shared" si="94"/>
        <v>0.290084475413806</v>
      </c>
      <c r="K223" s="18">
        <f t="shared" si="95"/>
        <v>0.00151691351407306</v>
      </c>
      <c r="L223" s="18">
        <f t="shared" si="96"/>
        <v>0</v>
      </c>
      <c r="M223" s="18">
        <v>0</v>
      </c>
      <c r="N223" s="18">
        <f t="shared" si="106"/>
        <v>0</v>
      </c>
      <c r="O223" s="11">
        <v>0</v>
      </c>
      <c r="P223" s="11">
        <v>0</v>
      </c>
      <c r="Q223" s="11">
        <f t="shared" si="87"/>
        <v>1</v>
      </c>
      <c r="R223" s="11">
        <v>0</v>
      </c>
      <c r="S223" s="11">
        <f t="shared" si="97"/>
        <v>0</v>
      </c>
      <c r="T223" s="11">
        <v>0</v>
      </c>
      <c r="U223" s="11">
        <f t="shared" si="86"/>
        <v>1</v>
      </c>
      <c r="V223" s="11">
        <v>0</v>
      </c>
      <c r="W223" s="11">
        <f t="shared" si="98"/>
        <v>1</v>
      </c>
      <c r="X223" s="11">
        <f t="shared" si="99"/>
        <v>0</v>
      </c>
      <c r="Y223" s="19">
        <v>0</v>
      </c>
      <c r="Z223" s="11">
        <v>0</v>
      </c>
      <c r="AA223" s="11">
        <v>0</v>
      </c>
      <c r="AB223" s="11">
        <v>0</v>
      </c>
      <c r="AC223" s="11">
        <v>0</v>
      </c>
      <c r="AD223" s="11">
        <v>0</v>
      </c>
      <c r="AE223" s="11">
        <v>0</v>
      </c>
      <c r="AF223" s="11">
        <v>0</v>
      </c>
      <c r="AG223" s="11">
        <v>0</v>
      </c>
      <c r="AH223" s="11">
        <v>0</v>
      </c>
      <c r="AI223" s="45">
        <v>0</v>
      </c>
      <c r="AJ223" s="45">
        <v>0</v>
      </c>
      <c r="AK223" s="45">
        <f t="shared" si="107"/>
        <v>0.3611</v>
      </c>
      <c r="AL223" s="45">
        <f t="shared" si="108"/>
        <v>0.00348095238095238</v>
      </c>
      <c r="AM223" s="45">
        <f t="shared" si="100"/>
        <v>0.0012569719047619</v>
      </c>
      <c r="AN223" s="45">
        <f t="shared" si="111"/>
        <v>0.792187500000004</v>
      </c>
      <c r="AO223" s="45">
        <f t="shared" si="101"/>
        <v>0.792187500000004</v>
      </c>
      <c r="AP223" s="45">
        <f t="shared" si="102"/>
        <v>1.05625</v>
      </c>
      <c r="AQ223" s="45">
        <f t="shared" si="103"/>
        <v>0</v>
      </c>
      <c r="AR223" s="45">
        <f t="shared" si="104"/>
        <v>0</v>
      </c>
      <c r="AS223" s="19">
        <f t="shared" si="109"/>
        <v>1.07916666666667</v>
      </c>
      <c r="AT223" s="19">
        <f t="shared" si="110"/>
        <v>1.03333333333334</v>
      </c>
      <c r="AU223" s="46">
        <v>0</v>
      </c>
      <c r="AV223" s="46">
        <v>0</v>
      </c>
      <c r="AW223" s="46">
        <v>0</v>
      </c>
      <c r="AX223" s="46">
        <v>1</v>
      </c>
      <c r="AY223" s="47">
        <v>0</v>
      </c>
      <c r="AZ223" s="47">
        <v>-1</v>
      </c>
    </row>
    <row r="224" hidden="1" customHeight="1" spans="1:52">
      <c r="A224" s="44">
        <v>45549</v>
      </c>
      <c r="B224" s="33">
        <f t="shared" si="88"/>
        <v>467</v>
      </c>
      <c r="C224" s="33">
        <f t="shared" si="89"/>
        <v>1685</v>
      </c>
      <c r="D224" s="11">
        <f t="shared" si="90"/>
        <v>2152</v>
      </c>
      <c r="E224" s="34">
        <f t="shared" si="105"/>
        <v>-1.9543783882678e-6</v>
      </c>
      <c r="F224" s="35">
        <f t="shared" si="91"/>
        <v>0.000422145731865834</v>
      </c>
      <c r="G224" s="18">
        <f>(SUM($I$8:$I224)*(MAX(M$3-M$4,0))+(N224*MAX(M$4,0)))*(1-$AM$4)+(AM224*$AM$4)</f>
        <v>0.091605623814886</v>
      </c>
      <c r="H224" s="18">
        <f t="shared" si="92"/>
        <v>0.875</v>
      </c>
      <c r="I224" s="18">
        <f t="shared" si="93"/>
        <v>0</v>
      </c>
      <c r="J224" s="18">
        <f t="shared" si="94"/>
        <v>0.288747680596231</v>
      </c>
      <c r="K224" s="18">
        <f t="shared" si="95"/>
        <v>0.00152302423855197</v>
      </c>
      <c r="L224" s="18">
        <f t="shared" si="96"/>
        <v>0</v>
      </c>
      <c r="M224" s="18">
        <v>0</v>
      </c>
      <c r="N224" s="18">
        <f t="shared" si="106"/>
        <v>0</v>
      </c>
      <c r="O224" s="11">
        <v>0</v>
      </c>
      <c r="P224" s="11">
        <v>0</v>
      </c>
      <c r="Q224" s="11">
        <f t="shared" si="87"/>
        <v>1</v>
      </c>
      <c r="R224" s="11">
        <v>0</v>
      </c>
      <c r="S224" s="11">
        <f t="shared" si="97"/>
        <v>0</v>
      </c>
      <c r="T224" s="11">
        <v>0</v>
      </c>
      <c r="U224" s="11">
        <f t="shared" si="86"/>
        <v>1</v>
      </c>
      <c r="V224" s="11">
        <v>0</v>
      </c>
      <c r="W224" s="11">
        <f t="shared" si="98"/>
        <v>1</v>
      </c>
      <c r="X224" s="11">
        <f t="shared" si="99"/>
        <v>0</v>
      </c>
      <c r="Y224" s="19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45">
        <v>0</v>
      </c>
      <c r="AJ224" s="45">
        <v>0</v>
      </c>
      <c r="AK224" s="45">
        <f t="shared" si="107"/>
        <v>0.3611</v>
      </c>
      <c r="AL224" s="45">
        <f t="shared" si="108"/>
        <v>0.00348095238095238</v>
      </c>
      <c r="AM224" s="45">
        <f t="shared" si="100"/>
        <v>0.0012569719047619</v>
      </c>
      <c r="AN224" s="45">
        <f t="shared" si="111"/>
        <v>0.792187500000004</v>
      </c>
      <c r="AO224" s="45">
        <f t="shared" si="101"/>
        <v>0.792187500000004</v>
      </c>
      <c r="AP224" s="45">
        <f t="shared" si="102"/>
        <v>1.05625</v>
      </c>
      <c r="AQ224" s="45">
        <f t="shared" si="103"/>
        <v>0</v>
      </c>
      <c r="AR224" s="45">
        <f t="shared" si="104"/>
        <v>0</v>
      </c>
      <c r="AS224" s="19">
        <f t="shared" si="109"/>
        <v>1.07916666666667</v>
      </c>
      <c r="AT224" s="19">
        <f t="shared" si="110"/>
        <v>1.03333333333334</v>
      </c>
      <c r="AU224" s="46">
        <v>0</v>
      </c>
      <c r="AV224" s="46">
        <v>0</v>
      </c>
      <c r="AW224" s="46">
        <v>0</v>
      </c>
      <c r="AX224" s="46">
        <v>1</v>
      </c>
      <c r="AY224" s="47">
        <v>0</v>
      </c>
      <c r="AZ224" s="47">
        <v>-1</v>
      </c>
    </row>
    <row r="225" hidden="1" customHeight="1" spans="1:52">
      <c r="A225" s="44">
        <v>45550</v>
      </c>
      <c r="B225" s="33">
        <f t="shared" si="88"/>
        <v>466</v>
      </c>
      <c r="C225" s="33">
        <f t="shared" si="89"/>
        <v>1686</v>
      </c>
      <c r="D225" s="11">
        <f t="shared" si="90"/>
        <v>2152</v>
      </c>
      <c r="E225" s="34">
        <f t="shared" si="105"/>
        <v>-1.57622206223588e-7</v>
      </c>
      <c r="F225" s="35">
        <f t="shared" si="91"/>
        <v>0.000421988109659611</v>
      </c>
      <c r="G225" s="18">
        <f>(SUM($I$8:$I225)*(MAX(M$3-M$4,0))+(N225*MAX(M$4,0)))*(1-$AM$4)+(AM225*$AM$4)</f>
        <v>0.0919934079057951</v>
      </c>
      <c r="H225" s="18">
        <f t="shared" si="92"/>
        <v>0.875</v>
      </c>
      <c r="I225" s="18">
        <f t="shared" si="93"/>
        <v>0.00206818181818182</v>
      </c>
      <c r="J225" s="18">
        <f t="shared" si="94"/>
        <v>0.288639867007174</v>
      </c>
      <c r="K225" s="18">
        <f t="shared" si="95"/>
        <v>0.00152652389054255</v>
      </c>
      <c r="L225" s="18">
        <f t="shared" si="96"/>
        <v>0.00236363636363636</v>
      </c>
      <c r="M225" s="18">
        <v>0</v>
      </c>
      <c r="N225" s="18">
        <f t="shared" si="106"/>
        <v>0</v>
      </c>
      <c r="O225" s="11">
        <v>0</v>
      </c>
      <c r="P225" s="11">
        <v>0</v>
      </c>
      <c r="Q225" s="11">
        <f t="shared" si="87"/>
        <v>1</v>
      </c>
      <c r="R225" s="11">
        <v>0</v>
      </c>
      <c r="S225" s="11">
        <f t="shared" si="97"/>
        <v>0</v>
      </c>
      <c r="T225" s="11">
        <v>0</v>
      </c>
      <c r="U225" s="11">
        <f t="shared" si="86"/>
        <v>1</v>
      </c>
      <c r="V225" s="11">
        <v>0</v>
      </c>
      <c r="W225" s="11">
        <f t="shared" si="98"/>
        <v>1</v>
      </c>
      <c r="X225" s="11">
        <f t="shared" si="99"/>
        <v>0</v>
      </c>
      <c r="Y225" s="19">
        <v>0</v>
      </c>
      <c r="Z225" s="11">
        <v>2</v>
      </c>
      <c r="AA225" s="11">
        <v>9</v>
      </c>
      <c r="AB225" s="11">
        <v>0</v>
      </c>
      <c r="AC225" s="11">
        <v>0</v>
      </c>
      <c r="AD225" s="11">
        <v>0</v>
      </c>
      <c r="AE225" s="11">
        <v>0</v>
      </c>
      <c r="AF225" s="11">
        <v>0</v>
      </c>
      <c r="AG225" s="11">
        <v>0</v>
      </c>
      <c r="AH225" s="11">
        <v>0</v>
      </c>
      <c r="AI225" s="45">
        <v>0</v>
      </c>
      <c r="AJ225" s="45">
        <v>0</v>
      </c>
      <c r="AK225" s="45">
        <f t="shared" si="107"/>
        <v>0.3611</v>
      </c>
      <c r="AL225" s="45">
        <f t="shared" si="108"/>
        <v>0.00348095238095238</v>
      </c>
      <c r="AM225" s="45">
        <f t="shared" si="100"/>
        <v>0.0012569719047619</v>
      </c>
      <c r="AN225" s="45">
        <f t="shared" si="111"/>
        <v>0.792187500000004</v>
      </c>
      <c r="AO225" s="45">
        <f t="shared" si="101"/>
        <v>0.792187500000004</v>
      </c>
      <c r="AP225" s="45">
        <f t="shared" si="102"/>
        <v>1.05625</v>
      </c>
      <c r="AQ225" s="45">
        <f t="shared" si="103"/>
        <v>0</v>
      </c>
      <c r="AR225" s="45">
        <f t="shared" si="104"/>
        <v>0</v>
      </c>
      <c r="AS225" s="19">
        <f t="shared" si="109"/>
        <v>1.07916666666667</v>
      </c>
      <c r="AT225" s="19">
        <f t="shared" si="110"/>
        <v>1.03333333333334</v>
      </c>
      <c r="AU225" s="46">
        <v>0</v>
      </c>
      <c r="AV225" s="46">
        <v>0</v>
      </c>
      <c r="AW225" s="46">
        <v>0</v>
      </c>
      <c r="AX225" s="46">
        <v>1</v>
      </c>
      <c r="AY225" s="47">
        <v>0</v>
      </c>
      <c r="AZ225" s="47">
        <v>-1</v>
      </c>
    </row>
    <row r="226" hidden="1" customHeight="1" spans="1:52">
      <c r="A226" s="44">
        <v>45551</v>
      </c>
      <c r="B226" s="33">
        <f t="shared" si="88"/>
        <v>465</v>
      </c>
      <c r="C226" s="33">
        <f t="shared" si="89"/>
        <v>1687</v>
      </c>
      <c r="D226" s="11">
        <f t="shared" si="90"/>
        <v>2152</v>
      </c>
      <c r="E226" s="34">
        <f t="shared" si="105"/>
        <v>-1.76046396328626e-7</v>
      </c>
      <c r="F226" s="35">
        <f t="shared" si="91"/>
        <v>0.000421812063263282</v>
      </c>
      <c r="G226" s="18">
        <f>(SUM($I$8:$I226)*(MAX(M$3-M$4,0))+(N226*MAX(M$4,0)))*(1-$AM$4)+(AM226*$AM$4)</f>
        <v>0.0923768418546588</v>
      </c>
      <c r="H226" s="18">
        <f t="shared" si="92"/>
        <v>0.875</v>
      </c>
      <c r="I226" s="18">
        <f t="shared" si="93"/>
        <v>0.00204498106060607</v>
      </c>
      <c r="J226" s="18">
        <f t="shared" si="94"/>
        <v>0.288519451272085</v>
      </c>
      <c r="K226" s="18">
        <f t="shared" si="95"/>
        <v>0.00153006569618906</v>
      </c>
      <c r="L226" s="18">
        <f t="shared" si="96"/>
        <v>0.00233712121212122</v>
      </c>
      <c r="M226" s="18">
        <v>0</v>
      </c>
      <c r="N226" s="18">
        <f t="shared" si="106"/>
        <v>0</v>
      </c>
      <c r="O226" s="11">
        <v>0</v>
      </c>
      <c r="P226" s="11">
        <v>0</v>
      </c>
      <c r="Q226" s="11">
        <f t="shared" si="87"/>
        <v>1</v>
      </c>
      <c r="R226" s="11">
        <v>0</v>
      </c>
      <c r="S226" s="11">
        <f t="shared" si="97"/>
        <v>0</v>
      </c>
      <c r="T226" s="11">
        <v>0</v>
      </c>
      <c r="U226" s="11">
        <f t="shared" si="86"/>
        <v>1</v>
      </c>
      <c r="V226" s="11">
        <v>0</v>
      </c>
      <c r="W226" s="11">
        <f t="shared" si="98"/>
        <v>1</v>
      </c>
      <c r="X226" s="11">
        <f t="shared" si="99"/>
        <v>0</v>
      </c>
      <c r="Y226" s="19">
        <v>2.17</v>
      </c>
      <c r="Z226" s="11">
        <v>0</v>
      </c>
      <c r="AA226" s="11">
        <v>3</v>
      </c>
      <c r="AB226" s="11">
        <v>6</v>
      </c>
      <c r="AC226" s="11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45">
        <v>0</v>
      </c>
      <c r="AJ226" s="45">
        <v>0</v>
      </c>
      <c r="AK226" s="45">
        <f t="shared" si="107"/>
        <v>0.3611</v>
      </c>
      <c r="AL226" s="45">
        <f t="shared" si="108"/>
        <v>0.00348095238095238</v>
      </c>
      <c r="AM226" s="45">
        <f t="shared" si="100"/>
        <v>0.0012569719047619</v>
      </c>
      <c r="AN226" s="45">
        <f t="shared" si="111"/>
        <v>0.792187500000004</v>
      </c>
      <c r="AO226" s="45">
        <f t="shared" si="101"/>
        <v>0.792187500000004</v>
      </c>
      <c r="AP226" s="45">
        <f t="shared" si="102"/>
        <v>1.05625</v>
      </c>
      <c r="AQ226" s="45">
        <f t="shared" si="103"/>
        <v>0</v>
      </c>
      <c r="AR226" s="45">
        <f t="shared" si="104"/>
        <v>0</v>
      </c>
      <c r="AS226" s="19">
        <f t="shared" si="109"/>
        <v>1.07916666666667</v>
      </c>
      <c r="AT226" s="19">
        <f t="shared" si="110"/>
        <v>1.03333333333334</v>
      </c>
      <c r="AU226" s="46">
        <v>0</v>
      </c>
      <c r="AV226" s="46">
        <v>0</v>
      </c>
      <c r="AW226" s="46">
        <v>0</v>
      </c>
      <c r="AX226" s="46">
        <v>1</v>
      </c>
      <c r="AY226" s="47">
        <v>0</v>
      </c>
      <c r="AZ226" s="47">
        <v>-1</v>
      </c>
    </row>
    <row r="227" hidden="1" customHeight="1" spans="1:52">
      <c r="A227" s="44">
        <v>45552</v>
      </c>
      <c r="B227" s="33">
        <f t="shared" si="88"/>
        <v>464</v>
      </c>
      <c r="C227" s="33">
        <f t="shared" si="89"/>
        <v>1687</v>
      </c>
      <c r="D227" s="11">
        <f t="shared" si="90"/>
        <v>2151</v>
      </c>
      <c r="E227" s="34">
        <f t="shared" si="105"/>
        <v>-3.41491856319402e-8</v>
      </c>
      <c r="F227" s="35">
        <f t="shared" si="91"/>
        <v>0.00042177791407765</v>
      </c>
      <c r="G227" s="18">
        <f>(SUM($I$8:$I227)*(MAX(M$3-M$4,0))+(N227*MAX(M$4,0)))*(1-$AM$4)+(AM227*$AM$4)</f>
        <v>0.092791141097083</v>
      </c>
      <c r="H227" s="18">
        <f t="shared" si="92"/>
        <v>0.875</v>
      </c>
      <c r="I227" s="18">
        <f t="shared" si="93"/>
        <v>0.00220959595959596</v>
      </c>
      <c r="J227" s="18">
        <f t="shared" si="94"/>
        <v>0.288496093229113</v>
      </c>
      <c r="K227" s="18">
        <f t="shared" si="95"/>
        <v>0.00153341359217864</v>
      </c>
      <c r="L227" s="18">
        <f t="shared" si="96"/>
        <v>0.00252525252525253</v>
      </c>
      <c r="M227" s="18">
        <v>0</v>
      </c>
      <c r="N227" s="18">
        <f t="shared" si="106"/>
        <v>0</v>
      </c>
      <c r="O227" s="11">
        <v>0</v>
      </c>
      <c r="P227" s="11">
        <v>0</v>
      </c>
      <c r="Q227" s="11">
        <f t="shared" si="87"/>
        <v>1</v>
      </c>
      <c r="R227" s="11">
        <v>0</v>
      </c>
      <c r="S227" s="11">
        <f t="shared" si="97"/>
        <v>0</v>
      </c>
      <c r="T227" s="11">
        <v>0</v>
      </c>
      <c r="U227" s="11">
        <f t="shared" si="86"/>
        <v>1</v>
      </c>
      <c r="V227" s="11">
        <v>0</v>
      </c>
      <c r="W227" s="11">
        <f t="shared" si="98"/>
        <v>1</v>
      </c>
      <c r="X227" s="11">
        <f t="shared" si="99"/>
        <v>0</v>
      </c>
      <c r="Y227" s="19">
        <v>0</v>
      </c>
      <c r="Z227" s="11">
        <v>0</v>
      </c>
      <c r="AA227" s="11">
        <v>5</v>
      </c>
      <c r="AB227" s="11">
        <v>10</v>
      </c>
      <c r="AC227" s="11">
        <v>0</v>
      </c>
      <c r="AD227" s="11">
        <v>0</v>
      </c>
      <c r="AE227" s="11">
        <v>0</v>
      </c>
      <c r="AF227" s="11">
        <v>0</v>
      </c>
      <c r="AG227" s="11">
        <v>0</v>
      </c>
      <c r="AH227" s="11">
        <v>0</v>
      </c>
      <c r="AI227" s="45">
        <v>0</v>
      </c>
      <c r="AJ227" s="45">
        <v>0</v>
      </c>
      <c r="AK227" s="45">
        <f t="shared" si="107"/>
        <v>0.3611</v>
      </c>
      <c r="AL227" s="45">
        <f t="shared" si="108"/>
        <v>0.00348095238095238</v>
      </c>
      <c r="AM227" s="45">
        <f t="shared" si="100"/>
        <v>0.0012569719047619</v>
      </c>
      <c r="AN227" s="45">
        <f t="shared" si="111"/>
        <v>0.792187500000004</v>
      </c>
      <c r="AO227" s="45">
        <f t="shared" si="101"/>
        <v>0.792187500000004</v>
      </c>
      <c r="AP227" s="45">
        <f t="shared" si="102"/>
        <v>1.05625</v>
      </c>
      <c r="AQ227" s="45">
        <f t="shared" si="103"/>
        <v>0</v>
      </c>
      <c r="AR227" s="45">
        <f t="shared" si="104"/>
        <v>0</v>
      </c>
      <c r="AS227" s="19">
        <f t="shared" si="109"/>
        <v>1.07916666666667</v>
      </c>
      <c r="AT227" s="19">
        <f t="shared" si="110"/>
        <v>1.03333333333334</v>
      </c>
      <c r="AU227" s="46">
        <v>0</v>
      </c>
      <c r="AV227" s="46">
        <v>0</v>
      </c>
      <c r="AW227" s="46">
        <v>0</v>
      </c>
      <c r="AX227" s="46">
        <v>1</v>
      </c>
      <c r="AY227" s="47">
        <v>0</v>
      </c>
      <c r="AZ227" s="47">
        <v>-1</v>
      </c>
    </row>
    <row r="228" hidden="1" customHeight="1" spans="1:52">
      <c r="A228" s="44">
        <v>45553</v>
      </c>
      <c r="B228" s="33">
        <f t="shared" si="88"/>
        <v>463</v>
      </c>
      <c r="C228" s="33">
        <f t="shared" si="89"/>
        <v>1698</v>
      </c>
      <c r="D228" s="11">
        <f t="shared" si="90"/>
        <v>2161</v>
      </c>
      <c r="E228" s="34">
        <f t="shared" si="105"/>
        <v>-1.90849734876765e-6</v>
      </c>
      <c r="F228" s="35">
        <f t="shared" si="91"/>
        <v>0.000419869416728882</v>
      </c>
      <c r="G228" s="18">
        <f>(SUM($I$8:$I228)*(MAX(M$3-M$4,0))+(N228*MAX(M$4,0)))*(1-$AM$4)+(AM228*$AM$4)</f>
        <v>0.092791141097083</v>
      </c>
      <c r="H228" s="18">
        <f t="shared" si="92"/>
        <v>0.875</v>
      </c>
      <c r="I228" s="18">
        <f t="shared" si="93"/>
        <v>0</v>
      </c>
      <c r="J228" s="18">
        <f t="shared" si="94"/>
        <v>0.287190681042556</v>
      </c>
      <c r="K228" s="18">
        <f t="shared" si="95"/>
        <v>0.00153954496535085</v>
      </c>
      <c r="L228" s="18">
        <f t="shared" si="96"/>
        <v>0</v>
      </c>
      <c r="M228" s="18">
        <v>0</v>
      </c>
      <c r="N228" s="18">
        <f t="shared" si="106"/>
        <v>0</v>
      </c>
      <c r="O228" s="11">
        <v>0</v>
      </c>
      <c r="P228" s="11">
        <v>0</v>
      </c>
      <c r="Q228" s="11">
        <f t="shared" si="87"/>
        <v>1</v>
      </c>
      <c r="R228" s="11">
        <v>0</v>
      </c>
      <c r="S228" s="11">
        <f t="shared" si="97"/>
        <v>0</v>
      </c>
      <c r="T228" s="11">
        <v>0</v>
      </c>
      <c r="U228" s="11">
        <f t="shared" si="86"/>
        <v>1</v>
      </c>
      <c r="V228" s="11">
        <v>0</v>
      </c>
      <c r="W228" s="11">
        <f t="shared" si="98"/>
        <v>1</v>
      </c>
      <c r="X228" s="11">
        <f t="shared" si="99"/>
        <v>0</v>
      </c>
      <c r="Y228" s="19">
        <v>0</v>
      </c>
      <c r="Z228" s="11">
        <v>0</v>
      </c>
      <c r="AA228" s="11">
        <v>0</v>
      </c>
      <c r="AB228" s="11">
        <v>0</v>
      </c>
      <c r="AC228" s="11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45">
        <v>0</v>
      </c>
      <c r="AJ228" s="45">
        <v>0</v>
      </c>
      <c r="AK228" s="45">
        <f t="shared" si="107"/>
        <v>0.3611</v>
      </c>
      <c r="AL228" s="45">
        <f t="shared" si="108"/>
        <v>0.00348095238095238</v>
      </c>
      <c r="AM228" s="45">
        <f t="shared" si="100"/>
        <v>0.0012569719047619</v>
      </c>
      <c r="AN228" s="45">
        <f t="shared" si="111"/>
        <v>0.792187500000004</v>
      </c>
      <c r="AO228" s="45">
        <f t="shared" si="101"/>
        <v>0.792187500000004</v>
      </c>
      <c r="AP228" s="45">
        <f t="shared" si="102"/>
        <v>1.05625</v>
      </c>
      <c r="AQ228" s="45">
        <f t="shared" si="103"/>
        <v>0</v>
      </c>
      <c r="AR228" s="45">
        <f t="shared" si="104"/>
        <v>0</v>
      </c>
      <c r="AS228" s="19">
        <f t="shared" si="109"/>
        <v>1.07916666666667</v>
      </c>
      <c r="AT228" s="19">
        <f t="shared" si="110"/>
        <v>1.03333333333334</v>
      </c>
      <c r="AU228" s="46">
        <v>0</v>
      </c>
      <c r="AV228" s="46">
        <v>0</v>
      </c>
      <c r="AW228" s="46">
        <v>0</v>
      </c>
      <c r="AX228" s="46">
        <v>1</v>
      </c>
      <c r="AY228" s="47">
        <v>0</v>
      </c>
      <c r="AZ228" s="47">
        <v>-1</v>
      </c>
    </row>
    <row r="229" hidden="1" customHeight="1" spans="1:52">
      <c r="A229" s="44">
        <v>45554</v>
      </c>
      <c r="B229" s="33">
        <f t="shared" si="88"/>
        <v>462</v>
      </c>
      <c r="C229" s="33">
        <f t="shared" si="89"/>
        <v>1708</v>
      </c>
      <c r="D229" s="11">
        <f t="shared" si="90"/>
        <v>2170</v>
      </c>
      <c r="E229" s="34">
        <f t="shared" si="105"/>
        <v>-1.89130367895895e-6</v>
      </c>
      <c r="F229" s="35">
        <f t="shared" si="91"/>
        <v>0.000417978113049924</v>
      </c>
      <c r="G229" s="18">
        <f>(SUM($I$8:$I229)*(MAX(M$3-M$4,0))+(N229*MAX(M$4,0)))*(1-$AM$4)+(AM229*$AM$4)</f>
        <v>0.092791141097083</v>
      </c>
      <c r="H229" s="18">
        <f t="shared" si="92"/>
        <v>0.875</v>
      </c>
      <c r="I229" s="18">
        <f t="shared" si="93"/>
        <v>0</v>
      </c>
      <c r="J229" s="18">
        <f t="shared" si="94"/>
        <v>0.285897029326148</v>
      </c>
      <c r="K229" s="18">
        <f t="shared" si="95"/>
        <v>0.00154567742570098</v>
      </c>
      <c r="L229" s="18">
        <f t="shared" si="96"/>
        <v>0</v>
      </c>
      <c r="M229" s="18">
        <v>0</v>
      </c>
      <c r="N229" s="18">
        <f t="shared" si="106"/>
        <v>0</v>
      </c>
      <c r="O229" s="11">
        <v>0</v>
      </c>
      <c r="P229" s="11">
        <v>0</v>
      </c>
      <c r="Q229" s="11">
        <f t="shared" si="87"/>
        <v>1</v>
      </c>
      <c r="R229" s="11">
        <v>0</v>
      </c>
      <c r="S229" s="11">
        <f t="shared" si="97"/>
        <v>0</v>
      </c>
      <c r="T229" s="11">
        <v>0</v>
      </c>
      <c r="U229" s="11">
        <f t="shared" si="86"/>
        <v>1</v>
      </c>
      <c r="V229" s="11">
        <v>0</v>
      </c>
      <c r="W229" s="11">
        <f t="shared" si="98"/>
        <v>1</v>
      </c>
      <c r="X229" s="11">
        <f t="shared" si="99"/>
        <v>0</v>
      </c>
      <c r="Y229" s="19">
        <v>0</v>
      </c>
      <c r="Z229" s="11">
        <v>0</v>
      </c>
      <c r="AA229" s="11">
        <v>0</v>
      </c>
      <c r="AB229" s="11">
        <v>0</v>
      </c>
      <c r="AC229" s="11">
        <v>0</v>
      </c>
      <c r="AD229" s="11">
        <v>0</v>
      </c>
      <c r="AE229" s="11">
        <v>0</v>
      </c>
      <c r="AF229" s="11">
        <v>0</v>
      </c>
      <c r="AG229" s="11">
        <v>0</v>
      </c>
      <c r="AH229" s="11">
        <v>0</v>
      </c>
      <c r="AI229" s="45">
        <v>0</v>
      </c>
      <c r="AJ229" s="45">
        <v>0</v>
      </c>
      <c r="AK229" s="45">
        <f t="shared" si="107"/>
        <v>0.3611</v>
      </c>
      <c r="AL229" s="45">
        <f t="shared" si="108"/>
        <v>0.00348095238095238</v>
      </c>
      <c r="AM229" s="45">
        <f t="shared" si="100"/>
        <v>0.0012569719047619</v>
      </c>
      <c r="AN229" s="45">
        <f t="shared" si="111"/>
        <v>0.792187500000004</v>
      </c>
      <c r="AO229" s="45">
        <f t="shared" si="101"/>
        <v>0.792187500000004</v>
      </c>
      <c r="AP229" s="45">
        <f t="shared" si="102"/>
        <v>1.05625</v>
      </c>
      <c r="AQ229" s="45">
        <f t="shared" si="103"/>
        <v>0</v>
      </c>
      <c r="AR229" s="45">
        <f t="shared" si="104"/>
        <v>0</v>
      </c>
      <c r="AS229" s="19">
        <f t="shared" si="109"/>
        <v>1.07916666666667</v>
      </c>
      <c r="AT229" s="19">
        <f t="shared" si="110"/>
        <v>1.03333333333334</v>
      </c>
      <c r="AU229" s="46">
        <v>0</v>
      </c>
      <c r="AV229" s="46">
        <v>0</v>
      </c>
      <c r="AW229" s="46">
        <v>0</v>
      </c>
      <c r="AX229" s="46">
        <v>1</v>
      </c>
      <c r="AY229" s="47">
        <v>0</v>
      </c>
      <c r="AZ229" s="47">
        <v>-1</v>
      </c>
    </row>
    <row r="230" hidden="1" customHeight="1" spans="1:52">
      <c r="A230" s="44">
        <v>45555</v>
      </c>
      <c r="B230" s="33">
        <f t="shared" si="88"/>
        <v>461</v>
      </c>
      <c r="C230" s="33">
        <f t="shared" si="89"/>
        <v>1719</v>
      </c>
      <c r="D230" s="11">
        <f t="shared" si="90"/>
        <v>2180</v>
      </c>
      <c r="E230" s="34">
        <f t="shared" si="105"/>
        <v>-1.8743413141252e-6</v>
      </c>
      <c r="F230" s="35">
        <f t="shared" si="91"/>
        <v>0.000416103771735798</v>
      </c>
      <c r="G230" s="18">
        <f>(SUM($I$8:$I230)*(MAX(M$3-M$4,0))+(N230*MAX(M$4,0)))*(1-$AM$4)+(AM230*$AM$4)</f>
        <v>0.092791141097083</v>
      </c>
      <c r="H230" s="18">
        <f t="shared" si="92"/>
        <v>0.875</v>
      </c>
      <c r="I230" s="18">
        <f t="shared" si="93"/>
        <v>0</v>
      </c>
      <c r="J230" s="18">
        <f t="shared" si="94"/>
        <v>0.284614979867286</v>
      </c>
      <c r="K230" s="18">
        <f t="shared" si="95"/>
        <v>0.0015518113234983</v>
      </c>
      <c r="L230" s="18">
        <f t="shared" si="96"/>
        <v>0</v>
      </c>
      <c r="M230" s="18">
        <v>0</v>
      </c>
      <c r="N230" s="18">
        <f t="shared" si="106"/>
        <v>0</v>
      </c>
      <c r="O230" s="11">
        <v>0</v>
      </c>
      <c r="P230" s="11">
        <v>0</v>
      </c>
      <c r="Q230" s="11">
        <f t="shared" si="87"/>
        <v>1</v>
      </c>
      <c r="R230" s="11">
        <v>0</v>
      </c>
      <c r="S230" s="11">
        <f t="shared" si="97"/>
        <v>0</v>
      </c>
      <c r="T230" s="11">
        <v>0</v>
      </c>
      <c r="U230" s="11">
        <f t="shared" si="86"/>
        <v>1</v>
      </c>
      <c r="V230" s="11">
        <v>0</v>
      </c>
      <c r="W230" s="11">
        <f t="shared" si="98"/>
        <v>1</v>
      </c>
      <c r="X230" s="11">
        <f t="shared" si="99"/>
        <v>0</v>
      </c>
      <c r="Y230" s="19">
        <v>0</v>
      </c>
      <c r="Z230" s="11">
        <v>0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45">
        <v>0</v>
      </c>
      <c r="AJ230" s="45">
        <v>0</v>
      </c>
      <c r="AK230" s="45">
        <f t="shared" si="107"/>
        <v>0.3611</v>
      </c>
      <c r="AL230" s="45">
        <f t="shared" si="108"/>
        <v>0.00348095238095238</v>
      </c>
      <c r="AM230" s="45">
        <f t="shared" si="100"/>
        <v>0.0012569719047619</v>
      </c>
      <c r="AN230" s="45">
        <f t="shared" si="111"/>
        <v>0.792187500000004</v>
      </c>
      <c r="AO230" s="45">
        <f t="shared" si="101"/>
        <v>0.792187500000004</v>
      </c>
      <c r="AP230" s="45">
        <f t="shared" si="102"/>
        <v>1.05625</v>
      </c>
      <c r="AQ230" s="45">
        <f t="shared" si="103"/>
        <v>0</v>
      </c>
      <c r="AR230" s="45">
        <f t="shared" si="104"/>
        <v>0</v>
      </c>
      <c r="AS230" s="19">
        <f t="shared" si="109"/>
        <v>1.07916666666667</v>
      </c>
      <c r="AT230" s="19">
        <f t="shared" si="110"/>
        <v>1.03333333333334</v>
      </c>
      <c r="AU230" s="46">
        <v>0</v>
      </c>
      <c r="AV230" s="46">
        <v>0</v>
      </c>
      <c r="AW230" s="46">
        <v>0</v>
      </c>
      <c r="AX230" s="46">
        <v>1</v>
      </c>
      <c r="AY230" s="47">
        <v>0</v>
      </c>
      <c r="AZ230" s="47">
        <v>-1</v>
      </c>
    </row>
    <row r="231" hidden="1" customHeight="1" spans="1:52">
      <c r="A231" s="44">
        <v>45556</v>
      </c>
      <c r="B231" s="33">
        <f t="shared" si="88"/>
        <v>460</v>
      </c>
      <c r="C231" s="33">
        <f t="shared" si="89"/>
        <v>1713</v>
      </c>
      <c r="D231" s="11">
        <f t="shared" si="90"/>
        <v>2173</v>
      </c>
      <c r="E231" s="34">
        <f t="shared" si="105"/>
        <v>1.02769217163399e-6</v>
      </c>
      <c r="F231" s="35">
        <f t="shared" si="91"/>
        <v>0.000417131463907432</v>
      </c>
      <c r="G231" s="18">
        <f>(SUM($I$8:$I231)*(MAX(M$3-M$4,0))+(N231*MAX(M$4,0)))*(1-$AM$4)+(AM231*$AM$4)</f>
        <v>0.0934374479152648</v>
      </c>
      <c r="H231" s="18">
        <f t="shared" si="92"/>
        <v>0.875</v>
      </c>
      <c r="I231" s="18">
        <f t="shared" si="93"/>
        <v>0.00344696969696971</v>
      </c>
      <c r="J231" s="18">
        <f t="shared" si="94"/>
        <v>0.285317921312684</v>
      </c>
      <c r="K231" s="18">
        <f t="shared" si="95"/>
        <v>0.00155365669279851</v>
      </c>
      <c r="L231" s="18">
        <f t="shared" si="96"/>
        <v>0.00393939393939395</v>
      </c>
      <c r="M231" s="18">
        <v>0</v>
      </c>
      <c r="N231" s="18">
        <f t="shared" si="106"/>
        <v>0</v>
      </c>
      <c r="O231" s="11">
        <v>0</v>
      </c>
      <c r="P231" s="11">
        <v>0</v>
      </c>
      <c r="Q231" s="11">
        <f t="shared" si="87"/>
        <v>1</v>
      </c>
      <c r="R231" s="11">
        <v>0</v>
      </c>
      <c r="S231" s="11">
        <f t="shared" si="97"/>
        <v>0</v>
      </c>
      <c r="T231" s="11">
        <v>0</v>
      </c>
      <c r="U231" s="11">
        <f t="shared" si="86"/>
        <v>1</v>
      </c>
      <c r="V231" s="11">
        <v>0</v>
      </c>
      <c r="W231" s="11">
        <f t="shared" si="98"/>
        <v>1</v>
      </c>
      <c r="X231" s="11">
        <f t="shared" si="99"/>
        <v>0</v>
      </c>
      <c r="Y231" s="19">
        <v>0</v>
      </c>
      <c r="Z231" s="11">
        <v>0</v>
      </c>
      <c r="AA231" s="11">
        <v>0</v>
      </c>
      <c r="AB231" s="11">
        <v>26</v>
      </c>
      <c r="AC231" s="11">
        <v>0</v>
      </c>
      <c r="AD231" s="11">
        <v>0</v>
      </c>
      <c r="AE231" s="11">
        <v>0</v>
      </c>
      <c r="AF231" s="11">
        <v>0</v>
      </c>
      <c r="AG231" s="11">
        <v>0</v>
      </c>
      <c r="AH231" s="11">
        <v>0</v>
      </c>
      <c r="AI231" s="45">
        <v>0</v>
      </c>
      <c r="AJ231" s="45">
        <v>0</v>
      </c>
      <c r="AK231" s="45">
        <f t="shared" si="107"/>
        <v>0.3611</v>
      </c>
      <c r="AL231" s="45">
        <f t="shared" si="108"/>
        <v>0.00348095238095238</v>
      </c>
      <c r="AM231" s="45">
        <f t="shared" si="100"/>
        <v>0.0012569719047619</v>
      </c>
      <c r="AN231" s="45">
        <f t="shared" si="111"/>
        <v>0.792187500000004</v>
      </c>
      <c r="AO231" s="45">
        <f t="shared" si="101"/>
        <v>0.792187500000004</v>
      </c>
      <c r="AP231" s="45">
        <f t="shared" si="102"/>
        <v>1.05625</v>
      </c>
      <c r="AQ231" s="45">
        <f t="shared" si="103"/>
        <v>0</v>
      </c>
      <c r="AR231" s="45">
        <f t="shared" si="104"/>
        <v>0</v>
      </c>
      <c r="AS231" s="19">
        <f t="shared" si="109"/>
        <v>1.07916666666667</v>
      </c>
      <c r="AT231" s="19">
        <f t="shared" si="110"/>
        <v>1.03333333333334</v>
      </c>
      <c r="AU231" s="46">
        <v>0</v>
      </c>
      <c r="AV231" s="46">
        <v>0</v>
      </c>
      <c r="AW231" s="46">
        <v>0</v>
      </c>
      <c r="AX231" s="46">
        <v>1</v>
      </c>
      <c r="AY231" s="47">
        <v>0</v>
      </c>
      <c r="AZ231" s="47">
        <v>-1</v>
      </c>
    </row>
    <row r="232" hidden="1" customHeight="1" spans="1:52">
      <c r="A232" s="44">
        <v>45557</v>
      </c>
      <c r="B232" s="33">
        <f t="shared" si="88"/>
        <v>459</v>
      </c>
      <c r="C232" s="33">
        <f t="shared" si="89"/>
        <v>1710</v>
      </c>
      <c r="D232" s="11">
        <f t="shared" si="90"/>
        <v>2169</v>
      </c>
      <c r="E232" s="34">
        <f t="shared" si="105"/>
        <v>5.6037285681989e-7</v>
      </c>
      <c r="F232" s="35">
        <f t="shared" si="91"/>
        <v>0.000417691836764252</v>
      </c>
      <c r="G232" s="18">
        <f>(SUM($I$8:$I232)*(MAX(M$3-M$4,0))+(N232*MAX(M$4,0)))*(1-$AM$4)+(AM232*$AM$4)</f>
        <v>0.0939806632719568</v>
      </c>
      <c r="H232" s="18">
        <f t="shared" si="92"/>
        <v>0.875</v>
      </c>
      <c r="I232" s="18">
        <f t="shared" si="93"/>
        <v>0.00289714856902358</v>
      </c>
      <c r="J232" s="18">
        <f t="shared" si="94"/>
        <v>0.285701216346748</v>
      </c>
      <c r="K232" s="18">
        <f t="shared" si="95"/>
        <v>0.00155620650033388</v>
      </c>
      <c r="L232" s="18">
        <f t="shared" si="96"/>
        <v>0.00331102693602694</v>
      </c>
      <c r="M232" s="18">
        <v>0</v>
      </c>
      <c r="N232" s="18">
        <f t="shared" si="106"/>
        <v>0</v>
      </c>
      <c r="O232" s="11">
        <v>0</v>
      </c>
      <c r="P232" s="11">
        <v>0</v>
      </c>
      <c r="Q232" s="11">
        <f t="shared" si="87"/>
        <v>1</v>
      </c>
      <c r="R232" s="11">
        <v>0</v>
      </c>
      <c r="S232" s="11">
        <f t="shared" si="97"/>
        <v>0</v>
      </c>
      <c r="T232" s="11">
        <v>0</v>
      </c>
      <c r="U232" s="11">
        <f t="shared" si="86"/>
        <v>1</v>
      </c>
      <c r="V232" s="11">
        <v>0</v>
      </c>
      <c r="W232" s="11">
        <f t="shared" si="98"/>
        <v>1</v>
      </c>
      <c r="X232" s="11">
        <f t="shared" si="99"/>
        <v>0</v>
      </c>
      <c r="Y232" s="19">
        <v>2.83</v>
      </c>
      <c r="Z232" s="11">
        <v>0</v>
      </c>
      <c r="AA232" s="11">
        <v>0</v>
      </c>
      <c r="AB232" s="11">
        <v>7</v>
      </c>
      <c r="AC232" s="11">
        <v>0</v>
      </c>
      <c r="AD232" s="11">
        <v>14</v>
      </c>
      <c r="AE232" s="11">
        <v>0</v>
      </c>
      <c r="AF232" s="11">
        <v>0</v>
      </c>
      <c r="AG232" s="11">
        <v>0</v>
      </c>
      <c r="AH232" s="11">
        <v>0</v>
      </c>
      <c r="AI232" s="45">
        <v>0</v>
      </c>
      <c r="AJ232" s="45">
        <v>0</v>
      </c>
      <c r="AK232" s="45">
        <f t="shared" si="107"/>
        <v>0.3611</v>
      </c>
      <c r="AL232" s="45">
        <f t="shared" si="108"/>
        <v>0.00348095238095238</v>
      </c>
      <c r="AM232" s="45">
        <f t="shared" si="100"/>
        <v>0.0012569719047619</v>
      </c>
      <c r="AN232" s="45">
        <f t="shared" si="111"/>
        <v>0.792187500000004</v>
      </c>
      <c r="AO232" s="45">
        <f t="shared" si="101"/>
        <v>0.792187500000004</v>
      </c>
      <c r="AP232" s="45">
        <f t="shared" si="102"/>
        <v>1.05625</v>
      </c>
      <c r="AQ232" s="45">
        <f t="shared" si="103"/>
        <v>0</v>
      </c>
      <c r="AR232" s="45">
        <f t="shared" si="104"/>
        <v>0</v>
      </c>
      <c r="AS232" s="19">
        <f t="shared" si="109"/>
        <v>1.07916666666667</v>
      </c>
      <c r="AT232" s="19">
        <f t="shared" si="110"/>
        <v>1.03333333333334</v>
      </c>
      <c r="AU232" s="46">
        <v>0</v>
      </c>
      <c r="AV232" s="46">
        <v>0</v>
      </c>
      <c r="AW232" s="46">
        <v>0</v>
      </c>
      <c r="AX232" s="46">
        <v>1</v>
      </c>
      <c r="AY232" s="47">
        <v>0</v>
      </c>
      <c r="AZ232" s="47">
        <v>-1</v>
      </c>
    </row>
    <row r="233" hidden="1" customHeight="1" spans="1:52">
      <c r="A233" s="44">
        <v>45558</v>
      </c>
      <c r="B233" s="33">
        <f t="shared" si="88"/>
        <v>458</v>
      </c>
      <c r="C233" s="33">
        <f t="shared" si="89"/>
        <v>1721</v>
      </c>
      <c r="D233" s="11">
        <f t="shared" si="90"/>
        <v>2179</v>
      </c>
      <c r="E233" s="34">
        <f t="shared" si="105"/>
        <v>-1.84819396798337e-6</v>
      </c>
      <c r="F233" s="35">
        <f t="shared" si="91"/>
        <v>0.000415843642796269</v>
      </c>
      <c r="G233" s="18">
        <f>(SUM($I$8:$I233)*(MAX(M$3-M$4,0))+(N233*MAX(M$4,0)))*(1-$AM$4)+(AM233*$AM$4)</f>
        <v>0.0939806632719568</v>
      </c>
      <c r="H233" s="18">
        <f t="shared" si="92"/>
        <v>0.875</v>
      </c>
      <c r="I233" s="18">
        <f t="shared" si="93"/>
        <v>0</v>
      </c>
      <c r="J233" s="18">
        <f t="shared" si="94"/>
        <v>0.284437051672648</v>
      </c>
      <c r="K233" s="18">
        <f t="shared" si="95"/>
        <v>0.00156236451599859</v>
      </c>
      <c r="L233" s="18">
        <f t="shared" si="96"/>
        <v>0</v>
      </c>
      <c r="M233" s="18">
        <v>0</v>
      </c>
      <c r="N233" s="18">
        <f t="shared" si="106"/>
        <v>0</v>
      </c>
      <c r="O233" s="11">
        <v>0</v>
      </c>
      <c r="P233" s="11">
        <v>0</v>
      </c>
      <c r="Q233" s="11">
        <f t="shared" si="87"/>
        <v>1</v>
      </c>
      <c r="R233" s="11">
        <v>0</v>
      </c>
      <c r="S233" s="11">
        <f t="shared" si="97"/>
        <v>0</v>
      </c>
      <c r="T233" s="11">
        <v>0</v>
      </c>
      <c r="U233" s="11">
        <f t="shared" si="86"/>
        <v>1</v>
      </c>
      <c r="V233" s="11">
        <v>0</v>
      </c>
      <c r="W233" s="11">
        <f t="shared" si="98"/>
        <v>1</v>
      </c>
      <c r="X233" s="11">
        <f t="shared" si="99"/>
        <v>0</v>
      </c>
      <c r="Y233" s="19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1">
        <v>0</v>
      </c>
      <c r="AG233" s="11">
        <v>0</v>
      </c>
      <c r="AH233" s="11">
        <v>0</v>
      </c>
      <c r="AI233" s="45">
        <v>0</v>
      </c>
      <c r="AJ233" s="45">
        <v>0</v>
      </c>
      <c r="AK233" s="45">
        <f t="shared" si="107"/>
        <v>0.3611</v>
      </c>
      <c r="AL233" s="45">
        <f t="shared" si="108"/>
        <v>0.00348095238095238</v>
      </c>
      <c r="AM233" s="45">
        <f t="shared" si="100"/>
        <v>0.0012569719047619</v>
      </c>
      <c r="AN233" s="45">
        <f t="shared" si="111"/>
        <v>0.792187500000004</v>
      </c>
      <c r="AO233" s="45">
        <f t="shared" si="101"/>
        <v>0.792187500000004</v>
      </c>
      <c r="AP233" s="45">
        <f t="shared" si="102"/>
        <v>1.05625</v>
      </c>
      <c r="AQ233" s="45">
        <f t="shared" si="103"/>
        <v>0</v>
      </c>
      <c r="AR233" s="45">
        <f t="shared" si="104"/>
        <v>0</v>
      </c>
      <c r="AS233" s="19">
        <f t="shared" si="109"/>
        <v>1.07916666666667</v>
      </c>
      <c r="AT233" s="19">
        <f t="shared" si="110"/>
        <v>1.03333333333334</v>
      </c>
      <c r="AU233" s="46">
        <v>0</v>
      </c>
      <c r="AV233" s="46">
        <v>0</v>
      </c>
      <c r="AW233" s="46">
        <v>0</v>
      </c>
      <c r="AX233" s="46">
        <v>1</v>
      </c>
      <c r="AY233" s="47">
        <v>0</v>
      </c>
      <c r="AZ233" s="47">
        <v>-1</v>
      </c>
    </row>
    <row r="234" hidden="1" customHeight="1" spans="1:52">
      <c r="A234" s="44">
        <v>45559</v>
      </c>
      <c r="B234" s="33">
        <f t="shared" si="88"/>
        <v>457</v>
      </c>
      <c r="C234" s="33">
        <f t="shared" si="89"/>
        <v>1731</v>
      </c>
      <c r="D234" s="11">
        <f t="shared" si="90"/>
        <v>2188</v>
      </c>
      <c r="E234" s="34">
        <f t="shared" si="105"/>
        <v>-1.83191032068845e-6</v>
      </c>
      <c r="F234" s="35">
        <f t="shared" si="91"/>
        <v>0.00041401173247558</v>
      </c>
      <c r="G234" s="18">
        <f>(SUM($I$8:$I234)*(MAX(M$3-M$4,0))+(N234*MAX(M$4,0)))*(1-$AM$4)+(AM234*$AM$4)</f>
        <v>0.0939806632719568</v>
      </c>
      <c r="H234" s="18">
        <f t="shared" si="92"/>
        <v>0.875</v>
      </c>
      <c r="I234" s="18">
        <f t="shared" si="93"/>
        <v>0</v>
      </c>
      <c r="J234" s="18">
        <f t="shared" si="94"/>
        <v>0.283184025013297</v>
      </c>
      <c r="K234" s="18">
        <f t="shared" si="95"/>
        <v>0.00156852510938009</v>
      </c>
      <c r="L234" s="18">
        <f t="shared" si="96"/>
        <v>0</v>
      </c>
      <c r="M234" s="18">
        <v>0</v>
      </c>
      <c r="N234" s="18">
        <f t="shared" si="106"/>
        <v>0</v>
      </c>
      <c r="O234" s="11">
        <v>0</v>
      </c>
      <c r="P234" s="11">
        <v>0</v>
      </c>
      <c r="Q234" s="11">
        <f t="shared" si="87"/>
        <v>1</v>
      </c>
      <c r="R234" s="11">
        <v>0</v>
      </c>
      <c r="S234" s="11">
        <f t="shared" si="97"/>
        <v>0</v>
      </c>
      <c r="T234" s="11">
        <v>0</v>
      </c>
      <c r="U234" s="11">
        <f t="shared" si="86"/>
        <v>1</v>
      </c>
      <c r="V234" s="11">
        <v>0</v>
      </c>
      <c r="W234" s="11">
        <f t="shared" si="98"/>
        <v>1</v>
      </c>
      <c r="X234" s="11">
        <f t="shared" si="99"/>
        <v>0</v>
      </c>
      <c r="Y234" s="19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45">
        <v>0</v>
      </c>
      <c r="AJ234" s="45">
        <v>0</v>
      </c>
      <c r="AK234" s="45">
        <f t="shared" si="107"/>
        <v>0.3611</v>
      </c>
      <c r="AL234" s="45">
        <f t="shared" si="108"/>
        <v>0.00348095238095238</v>
      </c>
      <c r="AM234" s="45">
        <f t="shared" si="100"/>
        <v>0.0012569719047619</v>
      </c>
      <c r="AN234" s="45">
        <f t="shared" si="111"/>
        <v>0.792187500000004</v>
      </c>
      <c r="AO234" s="45">
        <f t="shared" si="101"/>
        <v>0.792187500000004</v>
      </c>
      <c r="AP234" s="45">
        <f t="shared" si="102"/>
        <v>1.05625</v>
      </c>
      <c r="AQ234" s="45">
        <f t="shared" si="103"/>
        <v>0</v>
      </c>
      <c r="AR234" s="45">
        <f t="shared" si="104"/>
        <v>0</v>
      </c>
      <c r="AS234" s="19">
        <f t="shared" si="109"/>
        <v>1.07916666666667</v>
      </c>
      <c r="AT234" s="19">
        <f t="shared" si="110"/>
        <v>1.03333333333334</v>
      </c>
      <c r="AU234" s="46">
        <v>0</v>
      </c>
      <c r="AV234" s="46">
        <v>0</v>
      </c>
      <c r="AW234" s="46">
        <v>0</v>
      </c>
      <c r="AX234" s="46">
        <v>1</v>
      </c>
      <c r="AY234" s="47">
        <v>0</v>
      </c>
      <c r="AZ234" s="47">
        <v>-1</v>
      </c>
    </row>
    <row r="235" hidden="1" customHeight="1" spans="1:52">
      <c r="A235" s="44">
        <v>45560</v>
      </c>
      <c r="B235" s="33">
        <f t="shared" si="88"/>
        <v>456</v>
      </c>
      <c r="C235" s="33">
        <f t="shared" si="89"/>
        <v>1742</v>
      </c>
      <c r="D235" s="11">
        <f t="shared" si="90"/>
        <v>2198</v>
      </c>
      <c r="E235" s="34">
        <f t="shared" si="105"/>
        <v>-1.81584093191043e-6</v>
      </c>
      <c r="F235" s="35">
        <f t="shared" si="91"/>
        <v>0.00041219589154367</v>
      </c>
      <c r="G235" s="18">
        <f>(SUM($I$8:$I235)*(MAX(M$3-M$4,0))+(N235*MAX(M$4,0)))*(1-$AM$4)+(AM235*$AM$4)</f>
        <v>0.0939806632719568</v>
      </c>
      <c r="H235" s="18">
        <f t="shared" si="92"/>
        <v>0.875</v>
      </c>
      <c r="I235" s="18">
        <f t="shared" si="93"/>
        <v>0</v>
      </c>
      <c r="J235" s="18">
        <f t="shared" si="94"/>
        <v>0.28194198981587</v>
      </c>
      <c r="K235" s="18">
        <f t="shared" si="95"/>
        <v>0.00157468861882485</v>
      </c>
      <c r="L235" s="18">
        <f t="shared" si="96"/>
        <v>0</v>
      </c>
      <c r="M235" s="18">
        <v>0</v>
      </c>
      <c r="N235" s="18">
        <f t="shared" si="106"/>
        <v>0</v>
      </c>
      <c r="O235" s="11">
        <v>0</v>
      </c>
      <c r="P235" s="11">
        <v>0</v>
      </c>
      <c r="Q235" s="11">
        <f t="shared" si="87"/>
        <v>1</v>
      </c>
      <c r="R235" s="11">
        <v>0</v>
      </c>
      <c r="S235" s="11">
        <f t="shared" si="97"/>
        <v>0</v>
      </c>
      <c r="T235" s="11">
        <v>0</v>
      </c>
      <c r="U235" s="11">
        <f t="shared" si="86"/>
        <v>1</v>
      </c>
      <c r="V235" s="11">
        <v>0</v>
      </c>
      <c r="W235" s="11">
        <f t="shared" si="98"/>
        <v>1</v>
      </c>
      <c r="X235" s="11">
        <f t="shared" si="99"/>
        <v>0</v>
      </c>
      <c r="Y235" s="19">
        <v>0</v>
      </c>
      <c r="Z235" s="11">
        <v>0</v>
      </c>
      <c r="AA235" s="11">
        <v>0</v>
      </c>
      <c r="AB235" s="11">
        <v>0</v>
      </c>
      <c r="AC235" s="11">
        <v>0</v>
      </c>
      <c r="AD235" s="11">
        <v>0</v>
      </c>
      <c r="AE235" s="11">
        <v>0</v>
      </c>
      <c r="AF235" s="11">
        <v>0</v>
      </c>
      <c r="AG235" s="11">
        <v>0</v>
      </c>
      <c r="AH235" s="11">
        <v>0</v>
      </c>
      <c r="AI235" s="45">
        <v>0</v>
      </c>
      <c r="AJ235" s="45">
        <v>0</v>
      </c>
      <c r="AK235" s="45">
        <f t="shared" si="107"/>
        <v>0.3611</v>
      </c>
      <c r="AL235" s="45">
        <f t="shared" si="108"/>
        <v>0.00348095238095238</v>
      </c>
      <c r="AM235" s="45">
        <f t="shared" si="100"/>
        <v>0.0012569719047619</v>
      </c>
      <c r="AN235" s="45">
        <f t="shared" si="111"/>
        <v>0.792187500000004</v>
      </c>
      <c r="AO235" s="45">
        <f t="shared" si="101"/>
        <v>0.792187500000004</v>
      </c>
      <c r="AP235" s="45">
        <f t="shared" si="102"/>
        <v>1.05625</v>
      </c>
      <c r="AQ235" s="45">
        <f t="shared" si="103"/>
        <v>0</v>
      </c>
      <c r="AR235" s="45">
        <f t="shared" si="104"/>
        <v>0</v>
      </c>
      <c r="AS235" s="19">
        <f t="shared" si="109"/>
        <v>1.07916666666667</v>
      </c>
      <c r="AT235" s="19">
        <f t="shared" si="110"/>
        <v>1.03333333333334</v>
      </c>
      <c r="AU235" s="46">
        <v>0</v>
      </c>
      <c r="AV235" s="46">
        <v>0</v>
      </c>
      <c r="AW235" s="46">
        <v>0</v>
      </c>
      <c r="AX235" s="46">
        <v>1</v>
      </c>
      <c r="AY235" s="47">
        <v>0</v>
      </c>
      <c r="AZ235" s="47">
        <v>-1</v>
      </c>
    </row>
    <row r="236" hidden="1" customHeight="1" spans="1:52">
      <c r="A236" s="44">
        <v>45561</v>
      </c>
      <c r="B236" s="33">
        <f t="shared" si="88"/>
        <v>455</v>
      </c>
      <c r="C236" s="33">
        <f t="shared" si="89"/>
        <v>1753</v>
      </c>
      <c r="D236" s="11">
        <f t="shared" si="90"/>
        <v>2208</v>
      </c>
      <c r="E236" s="34">
        <f t="shared" si="105"/>
        <v>-1.79998205914264e-6</v>
      </c>
      <c r="F236" s="35">
        <f t="shared" si="91"/>
        <v>0.000410395909484527</v>
      </c>
      <c r="G236" s="18">
        <f>(SUM($I$8:$I236)*(MAX(M$3-M$4,0))+(N236*MAX(M$4,0)))*(1-$AM$4)+(AM236*$AM$4)</f>
        <v>0.0939806632719568</v>
      </c>
      <c r="H236" s="18">
        <f t="shared" si="92"/>
        <v>0.875</v>
      </c>
      <c r="I236" s="18">
        <f t="shared" si="93"/>
        <v>0</v>
      </c>
      <c r="J236" s="18">
        <f t="shared" si="94"/>
        <v>0.280710802087417</v>
      </c>
      <c r="K236" s="18">
        <f t="shared" si="95"/>
        <v>0.00158085538002766</v>
      </c>
      <c r="L236" s="18">
        <f t="shared" si="96"/>
        <v>0</v>
      </c>
      <c r="M236" s="18">
        <v>0</v>
      </c>
      <c r="N236" s="18">
        <f t="shared" si="106"/>
        <v>0</v>
      </c>
      <c r="O236" s="11">
        <v>0</v>
      </c>
      <c r="P236" s="11">
        <v>0</v>
      </c>
      <c r="Q236" s="11">
        <f t="shared" si="87"/>
        <v>1</v>
      </c>
      <c r="R236" s="11">
        <v>0</v>
      </c>
      <c r="S236" s="11">
        <f t="shared" si="97"/>
        <v>0</v>
      </c>
      <c r="T236" s="11">
        <v>0</v>
      </c>
      <c r="U236" s="11">
        <f t="shared" si="86"/>
        <v>1</v>
      </c>
      <c r="V236" s="11">
        <v>0</v>
      </c>
      <c r="W236" s="11">
        <f t="shared" si="98"/>
        <v>1</v>
      </c>
      <c r="X236" s="11">
        <f t="shared" si="99"/>
        <v>0</v>
      </c>
      <c r="Y236" s="19">
        <v>0</v>
      </c>
      <c r="Z236" s="11">
        <v>0</v>
      </c>
      <c r="AA236" s="11">
        <v>0</v>
      </c>
      <c r="AB236" s="11">
        <v>0</v>
      </c>
      <c r="AC236" s="11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45">
        <v>0</v>
      </c>
      <c r="AJ236" s="45">
        <v>0</v>
      </c>
      <c r="AK236" s="45">
        <f t="shared" si="107"/>
        <v>0.3611</v>
      </c>
      <c r="AL236" s="45">
        <f t="shared" si="108"/>
        <v>0.00348095238095238</v>
      </c>
      <c r="AM236" s="45">
        <f t="shared" si="100"/>
        <v>0.0012569719047619</v>
      </c>
      <c r="AN236" s="45">
        <f t="shared" si="111"/>
        <v>0.792187500000004</v>
      </c>
      <c r="AO236" s="45">
        <f t="shared" si="101"/>
        <v>0.792187500000004</v>
      </c>
      <c r="AP236" s="45">
        <f t="shared" si="102"/>
        <v>1.05625</v>
      </c>
      <c r="AQ236" s="45">
        <f t="shared" si="103"/>
        <v>0</v>
      </c>
      <c r="AR236" s="45">
        <f t="shared" si="104"/>
        <v>0</v>
      </c>
      <c r="AS236" s="19">
        <f t="shared" si="109"/>
        <v>1.07916666666667</v>
      </c>
      <c r="AT236" s="19">
        <f t="shared" si="110"/>
        <v>1.03333333333334</v>
      </c>
      <c r="AU236" s="46">
        <v>0</v>
      </c>
      <c r="AV236" s="46">
        <v>0</v>
      </c>
      <c r="AW236" s="46">
        <v>0</v>
      </c>
      <c r="AX236" s="46">
        <v>1</v>
      </c>
      <c r="AY236" s="47">
        <v>0</v>
      </c>
      <c r="AZ236" s="47">
        <v>-1</v>
      </c>
    </row>
    <row r="237" hidden="1" customHeight="1" spans="1:52">
      <c r="A237" s="44">
        <v>45562</v>
      </c>
      <c r="B237" s="33">
        <f t="shared" si="88"/>
        <v>454</v>
      </c>
      <c r="C237" s="33">
        <f t="shared" si="89"/>
        <v>1763</v>
      </c>
      <c r="D237" s="11">
        <f t="shared" si="90"/>
        <v>2217</v>
      </c>
      <c r="E237" s="34">
        <f t="shared" si="105"/>
        <v>-1.78433004123708e-6</v>
      </c>
      <c r="F237" s="35">
        <f t="shared" si="91"/>
        <v>0.00040861157944329</v>
      </c>
      <c r="G237" s="18">
        <f>(SUM($I$8:$I237)*(MAX(M$3-M$4,0))+(N237*MAX(M$4,0)))*(1-$AM$4)+(AM237*$AM$4)</f>
        <v>0.0939806632719568</v>
      </c>
      <c r="H237" s="18">
        <f t="shared" si="92"/>
        <v>0.875</v>
      </c>
      <c r="I237" s="18">
        <f t="shared" si="93"/>
        <v>0</v>
      </c>
      <c r="J237" s="18">
        <f t="shared" si="94"/>
        <v>0.279490320339211</v>
      </c>
      <c r="K237" s="18">
        <f t="shared" si="95"/>
        <v>0.00158702572612509</v>
      </c>
      <c r="L237" s="18">
        <f t="shared" si="96"/>
        <v>0</v>
      </c>
      <c r="M237" s="18">
        <v>0</v>
      </c>
      <c r="N237" s="18">
        <f t="shared" si="106"/>
        <v>0</v>
      </c>
      <c r="O237" s="11">
        <v>0</v>
      </c>
      <c r="P237" s="11">
        <v>0</v>
      </c>
      <c r="Q237" s="11">
        <f t="shared" si="87"/>
        <v>1</v>
      </c>
      <c r="R237" s="11">
        <v>0</v>
      </c>
      <c r="S237" s="11">
        <f t="shared" si="97"/>
        <v>0</v>
      </c>
      <c r="T237" s="11">
        <v>0</v>
      </c>
      <c r="U237" s="11">
        <f t="shared" si="86"/>
        <v>1</v>
      </c>
      <c r="V237" s="11">
        <v>0</v>
      </c>
      <c r="W237" s="11">
        <f t="shared" si="98"/>
        <v>1</v>
      </c>
      <c r="X237" s="11">
        <f t="shared" si="99"/>
        <v>0</v>
      </c>
      <c r="Y237" s="19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0</v>
      </c>
      <c r="AF237" s="11">
        <v>0</v>
      </c>
      <c r="AG237" s="11">
        <v>0</v>
      </c>
      <c r="AH237" s="11">
        <v>0</v>
      </c>
      <c r="AI237" s="45">
        <v>0</v>
      </c>
      <c r="AJ237" s="45">
        <v>0</v>
      </c>
      <c r="AK237" s="45">
        <f t="shared" si="107"/>
        <v>0.3611</v>
      </c>
      <c r="AL237" s="45">
        <f t="shared" si="108"/>
        <v>0.00348095238095238</v>
      </c>
      <c r="AM237" s="45">
        <f t="shared" si="100"/>
        <v>0.0012569719047619</v>
      </c>
      <c r="AN237" s="45">
        <f t="shared" si="111"/>
        <v>0.792187500000004</v>
      </c>
      <c r="AO237" s="45">
        <f t="shared" si="101"/>
        <v>0.792187500000004</v>
      </c>
      <c r="AP237" s="45">
        <f t="shared" si="102"/>
        <v>1.05625</v>
      </c>
      <c r="AQ237" s="45">
        <f t="shared" si="103"/>
        <v>0</v>
      </c>
      <c r="AR237" s="45">
        <f t="shared" si="104"/>
        <v>0</v>
      </c>
      <c r="AS237" s="19">
        <f t="shared" si="109"/>
        <v>1.07916666666667</v>
      </c>
      <c r="AT237" s="19">
        <f t="shared" si="110"/>
        <v>1.03333333333334</v>
      </c>
      <c r="AU237" s="46">
        <v>0</v>
      </c>
      <c r="AV237" s="46">
        <v>0</v>
      </c>
      <c r="AW237" s="46">
        <v>0</v>
      </c>
      <c r="AX237" s="46">
        <v>1</v>
      </c>
      <c r="AY237" s="47">
        <v>0</v>
      </c>
      <c r="AZ237" s="47">
        <v>-1</v>
      </c>
    </row>
    <row r="238" hidden="1" customHeight="1" spans="1:52">
      <c r="A238" s="44">
        <v>45563</v>
      </c>
      <c r="B238" s="33">
        <f t="shared" si="88"/>
        <v>453</v>
      </c>
      <c r="C238" s="33">
        <f t="shared" si="89"/>
        <v>1774</v>
      </c>
      <c r="D238" s="11">
        <f t="shared" si="90"/>
        <v>2227</v>
      </c>
      <c r="E238" s="34">
        <f t="shared" si="105"/>
        <v>-1.76888129629129e-6</v>
      </c>
      <c r="F238" s="35">
        <f t="shared" si="91"/>
        <v>0.000406842698146999</v>
      </c>
      <c r="G238" s="18">
        <f>(SUM($I$8:$I238)*(MAX(M$3-M$4,0))+(N238*MAX(M$4,0)))*(1-$AM$4)+(AM238*$AM$4)</f>
        <v>0.0939806632719568</v>
      </c>
      <c r="H238" s="18">
        <f t="shared" si="92"/>
        <v>0.875</v>
      </c>
      <c r="I238" s="18">
        <f t="shared" si="93"/>
        <v>0</v>
      </c>
      <c r="J238" s="18">
        <f t="shared" si="94"/>
        <v>0.278280405532547</v>
      </c>
      <c r="K238" s="18">
        <f t="shared" si="95"/>
        <v>0.00159319998778687</v>
      </c>
      <c r="L238" s="18">
        <f t="shared" si="96"/>
        <v>0</v>
      </c>
      <c r="M238" s="18">
        <v>0</v>
      </c>
      <c r="N238" s="18">
        <f t="shared" si="106"/>
        <v>0</v>
      </c>
      <c r="O238" s="11">
        <v>0</v>
      </c>
      <c r="P238" s="11">
        <v>0</v>
      </c>
      <c r="Q238" s="11">
        <f t="shared" si="87"/>
        <v>1</v>
      </c>
      <c r="R238" s="11">
        <v>0</v>
      </c>
      <c r="S238" s="11">
        <f t="shared" si="97"/>
        <v>0</v>
      </c>
      <c r="T238" s="11">
        <v>0</v>
      </c>
      <c r="U238" s="11">
        <f t="shared" si="86"/>
        <v>1</v>
      </c>
      <c r="V238" s="11">
        <v>0</v>
      </c>
      <c r="W238" s="11">
        <f t="shared" si="98"/>
        <v>1</v>
      </c>
      <c r="X238" s="11">
        <f t="shared" si="99"/>
        <v>0</v>
      </c>
      <c r="Y238" s="19">
        <v>0</v>
      </c>
      <c r="Z238" s="11">
        <v>0</v>
      </c>
      <c r="AA238" s="11">
        <v>0</v>
      </c>
      <c r="AB238" s="11">
        <v>0</v>
      </c>
      <c r="AC238" s="11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45">
        <v>0</v>
      </c>
      <c r="AJ238" s="45">
        <v>0</v>
      </c>
      <c r="AK238" s="45">
        <f t="shared" si="107"/>
        <v>0.3611</v>
      </c>
      <c r="AL238" s="45">
        <f t="shared" si="108"/>
        <v>0.00348095238095238</v>
      </c>
      <c r="AM238" s="45">
        <f t="shared" si="100"/>
        <v>0.0012569719047619</v>
      </c>
      <c r="AN238" s="45">
        <f t="shared" si="111"/>
        <v>0.792187500000004</v>
      </c>
      <c r="AO238" s="45">
        <f t="shared" si="101"/>
        <v>0.792187500000004</v>
      </c>
      <c r="AP238" s="45">
        <f t="shared" si="102"/>
        <v>1.05625</v>
      </c>
      <c r="AQ238" s="45">
        <f t="shared" si="103"/>
        <v>0</v>
      </c>
      <c r="AR238" s="45">
        <f t="shared" si="104"/>
        <v>0</v>
      </c>
      <c r="AS238" s="19">
        <f t="shared" si="109"/>
        <v>1.07916666666667</v>
      </c>
      <c r="AT238" s="19">
        <f t="shared" si="110"/>
        <v>1.03333333333334</v>
      </c>
      <c r="AU238" s="46">
        <v>0</v>
      </c>
      <c r="AV238" s="46">
        <v>0</v>
      </c>
      <c r="AW238" s="46">
        <v>0</v>
      </c>
      <c r="AX238" s="46">
        <v>1</v>
      </c>
      <c r="AY238" s="47">
        <v>0</v>
      </c>
      <c r="AZ238" s="47">
        <v>-1</v>
      </c>
    </row>
    <row r="239" hidden="1" customHeight="1" spans="1:52">
      <c r="A239" s="44">
        <v>45564</v>
      </c>
      <c r="B239" s="33">
        <f t="shared" si="88"/>
        <v>452</v>
      </c>
      <c r="C239" s="33">
        <f t="shared" si="89"/>
        <v>1785</v>
      </c>
      <c r="D239" s="11">
        <f t="shared" si="90"/>
        <v>2237</v>
      </c>
      <c r="E239" s="34">
        <f t="shared" si="105"/>
        <v>-1.75363231959914e-6</v>
      </c>
      <c r="F239" s="35">
        <f t="shared" si="91"/>
        <v>0.0004050890658274</v>
      </c>
      <c r="G239" s="18">
        <f>(SUM($I$8:$I239)*(MAX(M$3-M$4,0))+(N239*MAX(M$4,0)))*(1-$AM$4)+(AM239*$AM$4)</f>
        <v>0.0939806632719568</v>
      </c>
      <c r="H239" s="18">
        <f t="shared" si="92"/>
        <v>0.875</v>
      </c>
      <c r="I239" s="18">
        <f t="shared" si="93"/>
        <v>0</v>
      </c>
      <c r="J239" s="18">
        <f t="shared" si="94"/>
        <v>0.277080921025942</v>
      </c>
      <c r="K239" s="18">
        <f t="shared" si="95"/>
        <v>0.00159937849330544</v>
      </c>
      <c r="L239" s="18">
        <f t="shared" si="96"/>
        <v>0</v>
      </c>
      <c r="M239" s="18">
        <v>0</v>
      </c>
      <c r="N239" s="18">
        <f t="shared" si="106"/>
        <v>0</v>
      </c>
      <c r="O239" s="11">
        <v>0</v>
      </c>
      <c r="P239" s="11">
        <v>0</v>
      </c>
      <c r="Q239" s="11">
        <f t="shared" si="87"/>
        <v>1</v>
      </c>
      <c r="R239" s="11">
        <v>0</v>
      </c>
      <c r="S239" s="11">
        <f t="shared" si="97"/>
        <v>0</v>
      </c>
      <c r="T239" s="11">
        <v>0</v>
      </c>
      <c r="U239" s="11">
        <f t="shared" si="86"/>
        <v>1</v>
      </c>
      <c r="V239" s="11">
        <v>0</v>
      </c>
      <c r="W239" s="11">
        <f t="shared" si="98"/>
        <v>1</v>
      </c>
      <c r="X239" s="11">
        <f t="shared" si="99"/>
        <v>0</v>
      </c>
      <c r="Y239" s="19">
        <v>0</v>
      </c>
      <c r="Z239" s="11">
        <v>0</v>
      </c>
      <c r="AA239" s="11">
        <v>0</v>
      </c>
      <c r="AB239" s="11">
        <v>0</v>
      </c>
      <c r="AC239" s="11">
        <v>0</v>
      </c>
      <c r="AD239" s="11">
        <v>0</v>
      </c>
      <c r="AE239" s="11">
        <v>0</v>
      </c>
      <c r="AF239" s="11">
        <v>0</v>
      </c>
      <c r="AG239" s="11">
        <v>0</v>
      </c>
      <c r="AH239" s="11">
        <v>0</v>
      </c>
      <c r="AI239" s="45">
        <v>0</v>
      </c>
      <c r="AJ239" s="45">
        <v>0</v>
      </c>
      <c r="AK239" s="45">
        <f t="shared" si="107"/>
        <v>0.3611</v>
      </c>
      <c r="AL239" s="45">
        <f t="shared" si="108"/>
        <v>0.00348095238095238</v>
      </c>
      <c r="AM239" s="45">
        <f t="shared" si="100"/>
        <v>0.0012569719047619</v>
      </c>
      <c r="AN239" s="45">
        <f t="shared" si="111"/>
        <v>0.792187500000004</v>
      </c>
      <c r="AO239" s="45">
        <f t="shared" si="101"/>
        <v>0.792187500000004</v>
      </c>
      <c r="AP239" s="45">
        <f t="shared" si="102"/>
        <v>1.05625</v>
      </c>
      <c r="AQ239" s="45">
        <f t="shared" si="103"/>
        <v>0</v>
      </c>
      <c r="AR239" s="45">
        <f t="shared" si="104"/>
        <v>0</v>
      </c>
      <c r="AS239" s="19">
        <f t="shared" si="109"/>
        <v>1.07916666666667</v>
      </c>
      <c r="AT239" s="19">
        <f t="shared" si="110"/>
        <v>1.03333333333334</v>
      </c>
      <c r="AU239" s="46">
        <v>0</v>
      </c>
      <c r="AV239" s="46">
        <v>0</v>
      </c>
      <c r="AW239" s="46">
        <v>0</v>
      </c>
      <c r="AX239" s="46">
        <v>1</v>
      </c>
      <c r="AY239" s="47">
        <v>0</v>
      </c>
      <c r="AZ239" s="47">
        <v>-1</v>
      </c>
    </row>
    <row r="240" hidden="1" customHeight="1" spans="1:52">
      <c r="A240" s="44">
        <v>45565</v>
      </c>
      <c r="B240" s="33">
        <f t="shared" si="88"/>
        <v>451</v>
      </c>
      <c r="C240" s="33">
        <f t="shared" si="89"/>
        <v>1795</v>
      </c>
      <c r="D240" s="11">
        <f t="shared" si="90"/>
        <v>2246</v>
      </c>
      <c r="E240" s="34">
        <f t="shared" si="105"/>
        <v>-1.73857968166269e-6</v>
      </c>
      <c r="F240" s="35">
        <f t="shared" si="91"/>
        <v>0.000403350486145737</v>
      </c>
      <c r="G240" s="18">
        <f>(SUM($I$8:$I240)*(MAX(M$3-M$4,0))+(N240*MAX(M$4,0)))*(1-$AM$4)+(AM240*$AM$4)</f>
        <v>0.0939806632719568</v>
      </c>
      <c r="H240" s="18">
        <f t="shared" si="92"/>
        <v>0.875</v>
      </c>
      <c r="I240" s="18">
        <f t="shared" si="93"/>
        <v>0</v>
      </c>
      <c r="J240" s="18">
        <f t="shared" si="94"/>
        <v>0.275891732523684</v>
      </c>
      <c r="K240" s="18">
        <f t="shared" si="95"/>
        <v>0.00160556156868363</v>
      </c>
      <c r="L240" s="18">
        <f t="shared" si="96"/>
        <v>0</v>
      </c>
      <c r="M240" s="18">
        <v>0</v>
      </c>
      <c r="N240" s="18">
        <f t="shared" si="106"/>
        <v>0</v>
      </c>
      <c r="O240" s="11">
        <v>0</v>
      </c>
      <c r="P240" s="11">
        <v>0</v>
      </c>
      <c r="Q240" s="11">
        <f t="shared" si="87"/>
        <v>1</v>
      </c>
      <c r="R240" s="11">
        <v>0</v>
      </c>
      <c r="S240" s="11">
        <f t="shared" si="97"/>
        <v>0</v>
      </c>
      <c r="T240" s="11">
        <v>0</v>
      </c>
      <c r="U240" s="11">
        <f t="shared" si="86"/>
        <v>1</v>
      </c>
      <c r="V240" s="11">
        <v>0</v>
      </c>
      <c r="W240" s="11">
        <f t="shared" si="98"/>
        <v>1</v>
      </c>
      <c r="X240" s="11">
        <f t="shared" si="99"/>
        <v>0</v>
      </c>
      <c r="Y240" s="19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45">
        <v>0</v>
      </c>
      <c r="AJ240" s="45">
        <v>0</v>
      </c>
      <c r="AK240" s="45">
        <f t="shared" si="107"/>
        <v>0.3611</v>
      </c>
      <c r="AL240" s="45">
        <f t="shared" si="108"/>
        <v>0.00348095238095238</v>
      </c>
      <c r="AM240" s="45">
        <f t="shared" si="100"/>
        <v>0.0012569719047619</v>
      </c>
      <c r="AN240" s="45">
        <f t="shared" si="111"/>
        <v>0.792187500000004</v>
      </c>
      <c r="AO240" s="45">
        <f t="shared" si="101"/>
        <v>0.792187500000004</v>
      </c>
      <c r="AP240" s="45">
        <f t="shared" si="102"/>
        <v>1.05625</v>
      </c>
      <c r="AQ240" s="45">
        <f t="shared" si="103"/>
        <v>0</v>
      </c>
      <c r="AR240" s="45">
        <f t="shared" si="104"/>
        <v>0</v>
      </c>
      <c r="AS240" s="19">
        <f t="shared" si="109"/>
        <v>1.07916666666667</v>
      </c>
      <c r="AT240" s="19">
        <f t="shared" si="110"/>
        <v>1.03333333333334</v>
      </c>
      <c r="AU240" s="46">
        <v>0</v>
      </c>
      <c r="AV240" s="46">
        <v>0</v>
      </c>
      <c r="AW240" s="46">
        <v>0</v>
      </c>
      <c r="AX240" s="46">
        <v>1</v>
      </c>
      <c r="AY240" s="47">
        <v>0</v>
      </c>
      <c r="AZ240" s="47">
        <v>-1</v>
      </c>
    </row>
    <row r="241" hidden="1" customHeight="1" spans="1:52">
      <c r="A241" s="44">
        <v>45566</v>
      </c>
      <c r="B241" s="33">
        <f t="shared" si="88"/>
        <v>450</v>
      </c>
      <c r="C241" s="33">
        <f t="shared" si="89"/>
        <v>1795</v>
      </c>
      <c r="D241" s="11">
        <f t="shared" si="90"/>
        <v>2245</v>
      </c>
      <c r="E241" s="34">
        <f t="shared" si="105"/>
        <v>1.06986882568113e-7</v>
      </c>
      <c r="F241" s="35">
        <f t="shared" si="91"/>
        <v>0.000403457473028305</v>
      </c>
      <c r="G241" s="18">
        <f>(SUM($I$8:$I241)*(MAX(M$3-M$4,0))+(N241*MAX(M$4,0)))*(1-$AM$4)+(AM241*$AM$4)</f>
        <v>0.0944090486886234</v>
      </c>
      <c r="H241" s="18">
        <f t="shared" si="92"/>
        <v>0.916666666666667</v>
      </c>
      <c r="I241" s="18">
        <f t="shared" si="93"/>
        <v>0.00228472222222223</v>
      </c>
      <c r="J241" s="18">
        <f t="shared" si="94"/>
        <v>0.275964911551361</v>
      </c>
      <c r="K241" s="18">
        <f t="shared" si="95"/>
        <v>0.0016089668632192</v>
      </c>
      <c r="L241" s="18">
        <f t="shared" si="96"/>
        <v>0.00249242424242425</v>
      </c>
      <c r="M241" s="18">
        <v>0</v>
      </c>
      <c r="N241" s="18">
        <f t="shared" si="106"/>
        <v>0</v>
      </c>
      <c r="O241" s="11">
        <v>0</v>
      </c>
      <c r="P241" s="11">
        <v>0</v>
      </c>
      <c r="Q241" s="11">
        <f t="shared" si="87"/>
        <v>1</v>
      </c>
      <c r="R241" s="11">
        <v>0</v>
      </c>
      <c r="S241" s="11">
        <f t="shared" si="97"/>
        <v>0</v>
      </c>
      <c r="T241" s="11">
        <v>0</v>
      </c>
      <c r="U241" s="11">
        <f t="shared" si="86"/>
        <v>1</v>
      </c>
      <c r="V241" s="11">
        <v>0</v>
      </c>
      <c r="W241" s="11">
        <f t="shared" si="98"/>
        <v>1</v>
      </c>
      <c r="X241" s="11">
        <f t="shared" si="99"/>
        <v>0</v>
      </c>
      <c r="Y241" s="19">
        <v>2.58</v>
      </c>
      <c r="Z241" s="11">
        <v>0</v>
      </c>
      <c r="AA241" s="11">
        <v>0</v>
      </c>
      <c r="AB241" s="11">
        <v>10</v>
      </c>
      <c r="AC241" s="11">
        <v>0</v>
      </c>
      <c r="AD241" s="11">
        <v>0</v>
      </c>
      <c r="AE241" s="11">
        <v>0</v>
      </c>
      <c r="AF241" s="11">
        <v>0</v>
      </c>
      <c r="AG241" s="11">
        <v>0</v>
      </c>
      <c r="AH241" s="11">
        <v>0</v>
      </c>
      <c r="AI241" s="45">
        <v>0</v>
      </c>
      <c r="AJ241" s="45">
        <v>0</v>
      </c>
      <c r="AK241" s="45">
        <f t="shared" si="107"/>
        <v>0.3611</v>
      </c>
      <c r="AL241" s="45">
        <f t="shared" si="108"/>
        <v>0.00348095238095238</v>
      </c>
      <c r="AM241" s="45">
        <f t="shared" si="100"/>
        <v>0.0012569719047619</v>
      </c>
      <c r="AN241" s="45">
        <f t="shared" si="111"/>
        <v>0.792187500000004</v>
      </c>
      <c r="AO241" s="45">
        <f t="shared" si="101"/>
        <v>0.792187500000004</v>
      </c>
      <c r="AP241" s="45">
        <f t="shared" si="102"/>
        <v>1.05625</v>
      </c>
      <c r="AQ241" s="45">
        <f t="shared" si="103"/>
        <v>0</v>
      </c>
      <c r="AR241" s="45">
        <f t="shared" si="104"/>
        <v>0</v>
      </c>
      <c r="AS241" s="19">
        <f t="shared" si="109"/>
        <v>1.07916666666667</v>
      </c>
      <c r="AT241" s="19">
        <f t="shared" si="110"/>
        <v>1.03333333333334</v>
      </c>
      <c r="AU241" s="46">
        <v>0</v>
      </c>
      <c r="AV241" s="46">
        <v>0</v>
      </c>
      <c r="AW241" s="46">
        <v>0</v>
      </c>
      <c r="AX241" s="46">
        <v>1</v>
      </c>
      <c r="AY241" s="47">
        <v>0</v>
      </c>
      <c r="AZ241" s="47">
        <v>-1</v>
      </c>
    </row>
    <row r="242" hidden="1" customHeight="1" spans="1:52">
      <c r="A242" s="44">
        <v>45567</v>
      </c>
      <c r="B242" s="33">
        <f t="shared" si="88"/>
        <v>449</v>
      </c>
      <c r="C242" s="33">
        <f t="shared" si="89"/>
        <v>1805</v>
      </c>
      <c r="D242" s="11">
        <f t="shared" si="90"/>
        <v>2254</v>
      </c>
      <c r="E242" s="34">
        <f t="shared" si="105"/>
        <v>-1.71684031075872e-6</v>
      </c>
      <c r="F242" s="35">
        <f t="shared" si="91"/>
        <v>0.000401740632717547</v>
      </c>
      <c r="G242" s="18">
        <f>(SUM($I$8:$I242)*(MAX(M$3-M$4,0))+(N242*MAX(M$4,0)))*(1-$AM$4)+(AM242*$AM$4)</f>
        <v>0.0944090486886234</v>
      </c>
      <c r="H242" s="18">
        <f t="shared" si="92"/>
        <v>0.916666666666667</v>
      </c>
      <c r="I242" s="18">
        <f t="shared" si="93"/>
        <v>0</v>
      </c>
      <c r="J242" s="18">
        <f t="shared" si="94"/>
        <v>0.274790592778802</v>
      </c>
      <c r="K242" s="18">
        <f t="shared" si="95"/>
        <v>0.00161516571764187</v>
      </c>
      <c r="L242" s="18">
        <f t="shared" si="96"/>
        <v>0</v>
      </c>
      <c r="M242" s="18">
        <v>0</v>
      </c>
      <c r="N242" s="18">
        <f t="shared" si="106"/>
        <v>0</v>
      </c>
      <c r="O242" s="11">
        <v>0</v>
      </c>
      <c r="P242" s="11">
        <v>0</v>
      </c>
      <c r="Q242" s="11">
        <f t="shared" si="87"/>
        <v>1</v>
      </c>
      <c r="R242" s="11">
        <v>0</v>
      </c>
      <c r="S242" s="11">
        <f t="shared" si="97"/>
        <v>0</v>
      </c>
      <c r="T242" s="11">
        <v>0</v>
      </c>
      <c r="U242" s="11">
        <f t="shared" si="86"/>
        <v>1</v>
      </c>
      <c r="V242" s="11">
        <v>0</v>
      </c>
      <c r="W242" s="11">
        <f t="shared" si="98"/>
        <v>1</v>
      </c>
      <c r="X242" s="11">
        <f t="shared" si="99"/>
        <v>0</v>
      </c>
      <c r="Y242" s="19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45">
        <v>0</v>
      </c>
      <c r="AJ242" s="45">
        <v>0</v>
      </c>
      <c r="AK242" s="45">
        <f t="shared" si="107"/>
        <v>0.3611</v>
      </c>
      <c r="AL242" s="45">
        <f t="shared" si="108"/>
        <v>0.00348095238095238</v>
      </c>
      <c r="AM242" s="45">
        <f t="shared" si="100"/>
        <v>0.0012569719047619</v>
      </c>
      <c r="AN242" s="45">
        <f t="shared" si="111"/>
        <v>0.792187500000004</v>
      </c>
      <c r="AO242" s="45">
        <f t="shared" si="101"/>
        <v>0.792187500000004</v>
      </c>
      <c r="AP242" s="45">
        <f t="shared" si="102"/>
        <v>1.05625</v>
      </c>
      <c r="AQ242" s="45">
        <f t="shared" si="103"/>
        <v>0</v>
      </c>
      <c r="AR242" s="45">
        <f t="shared" si="104"/>
        <v>0</v>
      </c>
      <c r="AS242" s="19">
        <f t="shared" si="109"/>
        <v>1.07916666666667</v>
      </c>
      <c r="AT242" s="19">
        <f t="shared" si="110"/>
        <v>1.03333333333334</v>
      </c>
      <c r="AU242" s="46">
        <v>0</v>
      </c>
      <c r="AV242" s="46">
        <v>0</v>
      </c>
      <c r="AW242" s="46">
        <v>0</v>
      </c>
      <c r="AX242" s="46">
        <v>1</v>
      </c>
      <c r="AY242" s="47">
        <v>0</v>
      </c>
      <c r="AZ242" s="47">
        <v>-1</v>
      </c>
    </row>
    <row r="243" hidden="1" customHeight="1" spans="1:52">
      <c r="A243" s="44">
        <v>45568</v>
      </c>
      <c r="B243" s="33">
        <f t="shared" si="88"/>
        <v>448</v>
      </c>
      <c r="C243" s="33">
        <f t="shared" si="89"/>
        <v>1816</v>
      </c>
      <c r="D243" s="11">
        <f t="shared" si="90"/>
        <v>2264</v>
      </c>
      <c r="E243" s="34">
        <f t="shared" si="105"/>
        <v>-1.70229081659977e-6</v>
      </c>
      <c r="F243" s="35">
        <f t="shared" si="91"/>
        <v>0.000400038341900947</v>
      </c>
      <c r="G243" s="18">
        <f>(SUM($I$8:$I243)*(MAX(M$3-M$4,0))+(N243*MAX(M$4,0)))*(1-$AM$4)+(AM243*$AM$4)</f>
        <v>0.0944090486886234</v>
      </c>
      <c r="H243" s="18">
        <f t="shared" si="92"/>
        <v>0.916666666666667</v>
      </c>
      <c r="I243" s="18">
        <f t="shared" si="93"/>
        <v>0</v>
      </c>
      <c r="J243" s="18">
        <f t="shared" si="94"/>
        <v>0.273626225860248</v>
      </c>
      <c r="K243" s="18">
        <f t="shared" si="95"/>
        <v>0.00162137003156195</v>
      </c>
      <c r="L243" s="18">
        <f t="shared" si="96"/>
        <v>0</v>
      </c>
      <c r="M243" s="18">
        <v>0</v>
      </c>
      <c r="N243" s="18">
        <f t="shared" si="106"/>
        <v>0</v>
      </c>
      <c r="O243" s="11">
        <v>0</v>
      </c>
      <c r="P243" s="11">
        <v>0</v>
      </c>
      <c r="Q243" s="11">
        <f t="shared" si="87"/>
        <v>1</v>
      </c>
      <c r="R243" s="11">
        <v>0</v>
      </c>
      <c r="S243" s="11">
        <f t="shared" si="97"/>
        <v>0</v>
      </c>
      <c r="T243" s="11">
        <v>0</v>
      </c>
      <c r="U243" s="11">
        <f t="shared" si="86"/>
        <v>1</v>
      </c>
      <c r="V243" s="11">
        <v>0</v>
      </c>
      <c r="W243" s="11">
        <f t="shared" si="98"/>
        <v>1</v>
      </c>
      <c r="X243" s="11">
        <f t="shared" si="99"/>
        <v>0</v>
      </c>
      <c r="Y243" s="19">
        <v>0</v>
      </c>
      <c r="Z243" s="11">
        <v>0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1">
        <v>0</v>
      </c>
      <c r="AG243" s="11">
        <v>0</v>
      </c>
      <c r="AH243" s="11">
        <v>0</v>
      </c>
      <c r="AI243" s="45">
        <v>0</v>
      </c>
      <c r="AJ243" s="45">
        <v>0</v>
      </c>
      <c r="AK243" s="45">
        <f t="shared" si="107"/>
        <v>0.3611</v>
      </c>
      <c r="AL243" s="45">
        <f t="shared" si="108"/>
        <v>0.00348095238095238</v>
      </c>
      <c r="AM243" s="45">
        <f t="shared" si="100"/>
        <v>0.0012569719047619</v>
      </c>
      <c r="AN243" s="45">
        <f t="shared" si="111"/>
        <v>0.792187500000004</v>
      </c>
      <c r="AO243" s="45">
        <f t="shared" si="101"/>
        <v>0.792187500000004</v>
      </c>
      <c r="AP243" s="45">
        <f t="shared" si="102"/>
        <v>1.05625</v>
      </c>
      <c r="AQ243" s="45">
        <f t="shared" si="103"/>
        <v>0</v>
      </c>
      <c r="AR243" s="45">
        <f t="shared" si="104"/>
        <v>0</v>
      </c>
      <c r="AS243" s="19">
        <f t="shared" si="109"/>
        <v>1.07916666666667</v>
      </c>
      <c r="AT243" s="19">
        <f t="shared" si="110"/>
        <v>1.03333333333334</v>
      </c>
      <c r="AU243" s="46">
        <v>0</v>
      </c>
      <c r="AV243" s="46">
        <v>0</v>
      </c>
      <c r="AW243" s="46">
        <v>0</v>
      </c>
      <c r="AX243" s="46">
        <v>1</v>
      </c>
      <c r="AY243" s="47">
        <v>0</v>
      </c>
      <c r="AZ243" s="47">
        <v>-1</v>
      </c>
    </row>
    <row r="244" hidden="1" customHeight="1" spans="1:52">
      <c r="A244" s="44">
        <v>45569</v>
      </c>
      <c r="B244" s="33">
        <f t="shared" si="88"/>
        <v>447</v>
      </c>
      <c r="C244" s="33">
        <f t="shared" si="89"/>
        <v>1824</v>
      </c>
      <c r="D244" s="11">
        <f t="shared" si="90"/>
        <v>2271</v>
      </c>
      <c r="E244" s="34">
        <f t="shared" si="105"/>
        <v>-1.24840369297171e-6</v>
      </c>
      <c r="F244" s="35">
        <f t="shared" si="91"/>
        <v>0.000398789938207975</v>
      </c>
      <c r="G244" s="18">
        <f>(SUM($I$8:$I244)*(MAX(M$3-M$4,0))+(N244*MAX(M$4,0)))*(1-$AM$4)+(AM244*$AM$4)</f>
        <v>0.0945132153552901</v>
      </c>
      <c r="H244" s="18">
        <f t="shared" si="92"/>
        <v>0.916666666666667</v>
      </c>
      <c r="I244" s="18">
        <f t="shared" si="93"/>
        <v>0.000555555555555558</v>
      </c>
      <c r="J244" s="18">
        <f t="shared" si="94"/>
        <v>0.272772317734255</v>
      </c>
      <c r="K244" s="18">
        <f t="shared" si="95"/>
        <v>0.00162690756659003</v>
      </c>
      <c r="L244" s="18">
        <f t="shared" si="96"/>
        <v>0.000606060606060608</v>
      </c>
      <c r="M244" s="18">
        <v>0</v>
      </c>
      <c r="N244" s="18">
        <f t="shared" si="106"/>
        <v>0</v>
      </c>
      <c r="O244" s="11">
        <v>0</v>
      </c>
      <c r="P244" s="11">
        <v>0</v>
      </c>
      <c r="Q244" s="11">
        <f t="shared" si="87"/>
        <v>1</v>
      </c>
      <c r="R244" s="11">
        <v>0</v>
      </c>
      <c r="S244" s="11">
        <f t="shared" si="97"/>
        <v>0</v>
      </c>
      <c r="T244" s="11">
        <v>0</v>
      </c>
      <c r="U244" s="11">
        <f t="shared" si="86"/>
        <v>1</v>
      </c>
      <c r="V244" s="11">
        <v>0</v>
      </c>
      <c r="W244" s="11">
        <f t="shared" si="98"/>
        <v>1</v>
      </c>
      <c r="X244" s="11">
        <f t="shared" si="99"/>
        <v>0</v>
      </c>
      <c r="Y244" s="19">
        <v>0</v>
      </c>
      <c r="Z244" s="11">
        <v>0</v>
      </c>
      <c r="AA244" s="11">
        <v>0</v>
      </c>
      <c r="AB244" s="11">
        <v>4</v>
      </c>
      <c r="AC244" s="11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45">
        <v>0</v>
      </c>
      <c r="AJ244" s="45">
        <v>0</v>
      </c>
      <c r="AK244" s="45">
        <f t="shared" si="107"/>
        <v>0.3611</v>
      </c>
      <c r="AL244" s="45">
        <f t="shared" si="108"/>
        <v>0.00348095238095238</v>
      </c>
      <c r="AM244" s="45">
        <f t="shared" si="100"/>
        <v>0.0012569719047619</v>
      </c>
      <c r="AN244" s="45">
        <f t="shared" si="111"/>
        <v>0.792187500000004</v>
      </c>
      <c r="AO244" s="45">
        <f t="shared" si="101"/>
        <v>0.792187500000004</v>
      </c>
      <c r="AP244" s="45">
        <f t="shared" si="102"/>
        <v>1.05625</v>
      </c>
      <c r="AQ244" s="45">
        <f t="shared" si="103"/>
        <v>0</v>
      </c>
      <c r="AR244" s="45">
        <f t="shared" si="104"/>
        <v>0</v>
      </c>
      <c r="AS244" s="19">
        <f t="shared" si="109"/>
        <v>1.07916666666667</v>
      </c>
      <c r="AT244" s="19">
        <f t="shared" si="110"/>
        <v>1.03333333333334</v>
      </c>
      <c r="AU244" s="46">
        <v>0</v>
      </c>
      <c r="AV244" s="46">
        <v>0</v>
      </c>
      <c r="AW244" s="46">
        <v>0</v>
      </c>
      <c r="AX244" s="46">
        <v>1</v>
      </c>
      <c r="AY244" s="47">
        <v>0</v>
      </c>
      <c r="AZ244" s="47">
        <v>-1</v>
      </c>
    </row>
    <row r="245" hidden="1" customHeight="1" spans="1:52">
      <c r="A245" s="44">
        <v>45570</v>
      </c>
      <c r="B245" s="33">
        <f t="shared" si="88"/>
        <v>446</v>
      </c>
      <c r="C245" s="33">
        <f t="shared" si="89"/>
        <v>1831</v>
      </c>
      <c r="D245" s="11">
        <f t="shared" si="90"/>
        <v>2277</v>
      </c>
      <c r="E245" s="34">
        <f t="shared" si="105"/>
        <v>-1.2379129056357e-6</v>
      </c>
      <c r="F245" s="35">
        <f t="shared" si="91"/>
        <v>0.000397552025302339</v>
      </c>
      <c r="G245" s="18">
        <f>(SUM($I$8:$I245)*(MAX(M$3-M$4,0))+(N245*MAX(M$4,0)))*(1-$AM$4)+(AM245*$AM$4)</f>
        <v>0.0946173820219568</v>
      </c>
      <c r="H245" s="18">
        <f t="shared" si="92"/>
        <v>0.916666666666667</v>
      </c>
      <c r="I245" s="18">
        <f t="shared" si="93"/>
        <v>0.000555555555555558</v>
      </c>
      <c r="J245" s="18">
        <f t="shared" si="94"/>
        <v>0.2719255853068</v>
      </c>
      <c r="K245" s="18">
        <f t="shared" si="95"/>
        <v>0.00163245384460359</v>
      </c>
      <c r="L245" s="18">
        <f t="shared" si="96"/>
        <v>0.000606060606060608</v>
      </c>
      <c r="M245" s="18">
        <v>0</v>
      </c>
      <c r="N245" s="18">
        <f t="shared" si="106"/>
        <v>0</v>
      </c>
      <c r="O245" s="11">
        <v>0</v>
      </c>
      <c r="P245" s="11">
        <v>0</v>
      </c>
      <c r="Q245" s="11">
        <f t="shared" si="87"/>
        <v>1</v>
      </c>
      <c r="R245" s="11">
        <v>0</v>
      </c>
      <c r="S245" s="11">
        <f t="shared" si="97"/>
        <v>0</v>
      </c>
      <c r="T245" s="11">
        <v>0</v>
      </c>
      <c r="U245" s="11">
        <f t="shared" ref="U245:U308" si="112">MAX(1,T245)/(MAX(1,O245))</f>
        <v>1</v>
      </c>
      <c r="V245" s="11">
        <v>0</v>
      </c>
      <c r="W245" s="11">
        <f t="shared" si="98"/>
        <v>1</v>
      </c>
      <c r="X245" s="11">
        <f t="shared" si="99"/>
        <v>0</v>
      </c>
      <c r="Y245" s="19">
        <v>0</v>
      </c>
      <c r="Z245" s="11">
        <v>0</v>
      </c>
      <c r="AA245" s="11">
        <v>0</v>
      </c>
      <c r="AB245" s="11">
        <v>4</v>
      </c>
      <c r="AC245" s="11">
        <v>0</v>
      </c>
      <c r="AD245" s="11">
        <v>0</v>
      </c>
      <c r="AE245" s="11">
        <v>0</v>
      </c>
      <c r="AF245" s="11">
        <v>0</v>
      </c>
      <c r="AG245" s="11">
        <v>0</v>
      </c>
      <c r="AH245" s="11">
        <v>0</v>
      </c>
      <c r="AI245" s="45">
        <v>0</v>
      </c>
      <c r="AJ245" s="45">
        <v>0</v>
      </c>
      <c r="AK245" s="45">
        <f t="shared" si="107"/>
        <v>0.3611</v>
      </c>
      <c r="AL245" s="45">
        <f t="shared" si="108"/>
        <v>0.00348095238095238</v>
      </c>
      <c r="AM245" s="45">
        <f t="shared" si="100"/>
        <v>0.0012569719047619</v>
      </c>
      <c r="AN245" s="45">
        <f t="shared" si="111"/>
        <v>0.792187500000004</v>
      </c>
      <c r="AO245" s="45">
        <f t="shared" si="101"/>
        <v>0.792187500000004</v>
      </c>
      <c r="AP245" s="45">
        <f t="shared" si="102"/>
        <v>1.05625</v>
      </c>
      <c r="AQ245" s="45">
        <f t="shared" si="103"/>
        <v>0</v>
      </c>
      <c r="AR245" s="45">
        <f t="shared" si="104"/>
        <v>0</v>
      </c>
      <c r="AS245" s="19">
        <f t="shared" si="109"/>
        <v>1.07916666666667</v>
      </c>
      <c r="AT245" s="19">
        <f t="shared" si="110"/>
        <v>1.03333333333334</v>
      </c>
      <c r="AU245" s="46">
        <v>0</v>
      </c>
      <c r="AV245" s="46">
        <v>0</v>
      </c>
      <c r="AW245" s="46">
        <v>0</v>
      </c>
      <c r="AX245" s="46">
        <v>1</v>
      </c>
      <c r="AY245" s="47">
        <v>0</v>
      </c>
      <c r="AZ245" s="47">
        <v>-1</v>
      </c>
    </row>
    <row r="246" hidden="1" customHeight="1" spans="1:52">
      <c r="A246" s="44">
        <v>45571</v>
      </c>
      <c r="B246" s="33">
        <f t="shared" si="88"/>
        <v>445</v>
      </c>
      <c r="C246" s="33">
        <f t="shared" si="89"/>
        <v>1838</v>
      </c>
      <c r="D246" s="11">
        <f t="shared" si="90"/>
        <v>2283</v>
      </c>
      <c r="E246" s="34">
        <f t="shared" si="105"/>
        <v>-1.06411237922881e-6</v>
      </c>
      <c r="F246" s="35">
        <f t="shared" si="91"/>
        <v>0.000396487912923111</v>
      </c>
      <c r="G246" s="18">
        <f>(SUM($I$8:$I246)*(MAX(M$3-M$4,0))+(N246*MAX(M$4,0)))*(1-$AM$4)+(AM246*$AM$4)</f>
        <v>0.0947606111886234</v>
      </c>
      <c r="H246" s="18">
        <f t="shared" si="92"/>
        <v>0.916666666666667</v>
      </c>
      <c r="I246" s="18">
        <f t="shared" si="93"/>
        <v>0.000763888888888892</v>
      </c>
      <c r="J246" s="18">
        <f t="shared" si="94"/>
        <v>0.271197732439408</v>
      </c>
      <c r="K246" s="18">
        <f t="shared" si="95"/>
        <v>0.00163775790463054</v>
      </c>
      <c r="L246" s="18">
        <f t="shared" si="96"/>
        <v>0.000833333333333336</v>
      </c>
      <c r="M246" s="18">
        <v>0</v>
      </c>
      <c r="N246" s="18">
        <f t="shared" si="106"/>
        <v>0</v>
      </c>
      <c r="O246" s="11">
        <v>0</v>
      </c>
      <c r="P246" s="11">
        <v>0</v>
      </c>
      <c r="Q246" s="11">
        <f t="shared" si="87"/>
        <v>1</v>
      </c>
      <c r="R246" s="11">
        <v>0</v>
      </c>
      <c r="S246" s="11">
        <f t="shared" si="97"/>
        <v>0</v>
      </c>
      <c r="T246" s="11">
        <v>0</v>
      </c>
      <c r="U246" s="11">
        <f t="shared" si="112"/>
        <v>1</v>
      </c>
      <c r="V246" s="11">
        <v>0</v>
      </c>
      <c r="W246" s="11">
        <f t="shared" si="98"/>
        <v>1</v>
      </c>
      <c r="X246" s="11">
        <f t="shared" si="99"/>
        <v>0</v>
      </c>
      <c r="Y246" s="19">
        <v>1</v>
      </c>
      <c r="Z246" s="11">
        <v>0</v>
      </c>
      <c r="AA246" s="11">
        <v>0</v>
      </c>
      <c r="AB246" s="11">
        <v>3</v>
      </c>
      <c r="AC246" s="11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45">
        <v>0</v>
      </c>
      <c r="AJ246" s="45">
        <v>0</v>
      </c>
      <c r="AK246" s="45">
        <f t="shared" si="107"/>
        <v>0.3611</v>
      </c>
      <c r="AL246" s="45">
        <f t="shared" si="108"/>
        <v>0.00348095238095238</v>
      </c>
      <c r="AM246" s="45">
        <f t="shared" si="100"/>
        <v>0.0012569719047619</v>
      </c>
      <c r="AN246" s="45">
        <f t="shared" si="111"/>
        <v>0.792187500000004</v>
      </c>
      <c r="AO246" s="45">
        <f t="shared" si="101"/>
        <v>0.792187500000004</v>
      </c>
      <c r="AP246" s="45">
        <f t="shared" si="102"/>
        <v>1.05625</v>
      </c>
      <c r="AQ246" s="45">
        <f t="shared" si="103"/>
        <v>0</v>
      </c>
      <c r="AR246" s="45">
        <f t="shared" si="104"/>
        <v>0</v>
      </c>
      <c r="AS246" s="19">
        <f t="shared" si="109"/>
        <v>1.07916666666667</v>
      </c>
      <c r="AT246" s="19">
        <f t="shared" si="110"/>
        <v>1.03333333333334</v>
      </c>
      <c r="AU246" s="46">
        <v>0</v>
      </c>
      <c r="AV246" s="46">
        <v>0</v>
      </c>
      <c r="AW246" s="46">
        <v>0</v>
      </c>
      <c r="AX246" s="46">
        <v>1</v>
      </c>
      <c r="AY246" s="47">
        <v>0</v>
      </c>
      <c r="AZ246" s="47">
        <v>-1</v>
      </c>
    </row>
    <row r="247" hidden="1" customHeight="1" spans="1:52">
      <c r="A247" s="44">
        <v>45572</v>
      </c>
      <c r="B247" s="33">
        <f t="shared" si="88"/>
        <v>444</v>
      </c>
      <c r="C247" s="33">
        <f t="shared" si="89"/>
        <v>1849</v>
      </c>
      <c r="D247" s="11">
        <f t="shared" si="90"/>
        <v>2293</v>
      </c>
      <c r="E247" s="34">
        <f t="shared" si="105"/>
        <v>-1.65203297051297e-6</v>
      </c>
      <c r="F247" s="35">
        <f t="shared" si="91"/>
        <v>0.000394835879952598</v>
      </c>
      <c r="G247" s="18">
        <f>(SUM($I$8:$I247)*(MAX(M$3-M$4,0))+(N247*MAX(M$4,0)))*(1-$AM$4)+(AM247*$AM$4)</f>
        <v>0.0947606111886234</v>
      </c>
      <c r="H247" s="18">
        <f t="shared" si="92"/>
        <v>0.916666666666667</v>
      </c>
      <c r="I247" s="18">
        <f t="shared" si="93"/>
        <v>0</v>
      </c>
      <c r="J247" s="18">
        <f t="shared" si="94"/>
        <v>0.270067741887577</v>
      </c>
      <c r="K247" s="18">
        <f t="shared" si="95"/>
        <v>0.00164399157232528</v>
      </c>
      <c r="L247" s="18">
        <f t="shared" si="96"/>
        <v>0</v>
      </c>
      <c r="M247" s="18">
        <v>0</v>
      </c>
      <c r="N247" s="18">
        <f t="shared" si="106"/>
        <v>0</v>
      </c>
      <c r="O247" s="11">
        <v>0</v>
      </c>
      <c r="P247" s="11">
        <v>0</v>
      </c>
      <c r="Q247" s="11">
        <f t="shared" ref="Q247:Q310" si="113">($P$2-$P$4)+((P247/(MAX(1/FACT(128),O247)))*$P$4)</f>
        <v>1</v>
      </c>
      <c r="R247" s="11">
        <v>0</v>
      </c>
      <c r="S247" s="11">
        <f t="shared" si="97"/>
        <v>0</v>
      </c>
      <c r="T247" s="11">
        <v>0</v>
      </c>
      <c r="U247" s="11">
        <f t="shared" si="112"/>
        <v>1</v>
      </c>
      <c r="V247" s="11">
        <v>0</v>
      </c>
      <c r="W247" s="11">
        <f t="shared" si="98"/>
        <v>1</v>
      </c>
      <c r="X247" s="11">
        <f t="shared" si="99"/>
        <v>0</v>
      </c>
      <c r="Y247" s="19">
        <v>0</v>
      </c>
      <c r="Z247" s="11">
        <v>0</v>
      </c>
      <c r="AA247" s="11">
        <v>0</v>
      </c>
      <c r="AB247" s="11">
        <v>0</v>
      </c>
      <c r="AC247" s="11">
        <v>0</v>
      </c>
      <c r="AD247" s="11">
        <v>0</v>
      </c>
      <c r="AE247" s="11">
        <v>0</v>
      </c>
      <c r="AF247" s="11">
        <v>0</v>
      </c>
      <c r="AG247" s="11">
        <v>0</v>
      </c>
      <c r="AH247" s="11">
        <v>0</v>
      </c>
      <c r="AI247" s="45">
        <v>0</v>
      </c>
      <c r="AJ247" s="45">
        <v>0</v>
      </c>
      <c r="AK247" s="45">
        <f t="shared" si="107"/>
        <v>0.3611</v>
      </c>
      <c r="AL247" s="45">
        <f t="shared" si="108"/>
        <v>0.00348095238095238</v>
      </c>
      <c r="AM247" s="45">
        <f t="shared" si="100"/>
        <v>0.0012569719047619</v>
      </c>
      <c r="AN247" s="45">
        <f t="shared" si="111"/>
        <v>0.792187500000004</v>
      </c>
      <c r="AO247" s="45">
        <f t="shared" si="101"/>
        <v>0.792187500000004</v>
      </c>
      <c r="AP247" s="45">
        <f t="shared" si="102"/>
        <v>1.05625</v>
      </c>
      <c r="AQ247" s="45">
        <f t="shared" si="103"/>
        <v>0</v>
      </c>
      <c r="AR247" s="45">
        <f t="shared" si="104"/>
        <v>0</v>
      </c>
      <c r="AS247" s="19">
        <f t="shared" si="109"/>
        <v>1.07916666666667</v>
      </c>
      <c r="AT247" s="19">
        <f t="shared" si="110"/>
        <v>1.03333333333334</v>
      </c>
      <c r="AU247" s="46">
        <v>0</v>
      </c>
      <c r="AV247" s="46">
        <v>0</v>
      </c>
      <c r="AW247" s="46">
        <v>0</v>
      </c>
      <c r="AX247" s="46">
        <v>1</v>
      </c>
      <c r="AY247" s="47">
        <v>0</v>
      </c>
      <c r="AZ247" s="47">
        <v>-1</v>
      </c>
    </row>
    <row r="248" hidden="1" customHeight="1" spans="1:52">
      <c r="A248" s="44">
        <v>45573</v>
      </c>
      <c r="B248" s="33">
        <f t="shared" si="88"/>
        <v>443</v>
      </c>
      <c r="C248" s="33">
        <f t="shared" si="89"/>
        <v>1859</v>
      </c>
      <c r="D248" s="11">
        <f t="shared" si="90"/>
        <v>2302</v>
      </c>
      <c r="E248" s="34">
        <f t="shared" si="105"/>
        <v>-1.63832315333025e-6</v>
      </c>
      <c r="F248" s="35">
        <f t="shared" si="91"/>
        <v>0.000393197556799267</v>
      </c>
      <c r="G248" s="18">
        <f>(SUM($I$8:$I248)*(MAX(M$3-M$4,0))+(N248*MAX(M$4,0)))*(1-$AM$4)+(AM248*$AM$4)</f>
        <v>0.0947606111886234</v>
      </c>
      <c r="H248" s="18">
        <f t="shared" si="92"/>
        <v>0.916666666666667</v>
      </c>
      <c r="I248" s="18">
        <f t="shared" si="93"/>
        <v>0</v>
      </c>
      <c r="J248" s="18">
        <f t="shared" si="94"/>
        <v>0.268947128850699</v>
      </c>
      <c r="K248" s="18">
        <f t="shared" si="95"/>
        <v>0.00165023221478398</v>
      </c>
      <c r="L248" s="18">
        <f t="shared" si="96"/>
        <v>0</v>
      </c>
      <c r="M248" s="18">
        <v>0</v>
      </c>
      <c r="N248" s="18">
        <f t="shared" si="106"/>
        <v>0</v>
      </c>
      <c r="O248" s="11">
        <v>0</v>
      </c>
      <c r="P248" s="11">
        <v>0</v>
      </c>
      <c r="Q248" s="11">
        <f t="shared" si="113"/>
        <v>1</v>
      </c>
      <c r="R248" s="11">
        <v>0</v>
      </c>
      <c r="S248" s="11">
        <f t="shared" si="97"/>
        <v>0</v>
      </c>
      <c r="T248" s="11">
        <v>0</v>
      </c>
      <c r="U248" s="11">
        <f t="shared" si="112"/>
        <v>1</v>
      </c>
      <c r="V248" s="11">
        <v>0</v>
      </c>
      <c r="W248" s="11">
        <f t="shared" si="98"/>
        <v>1</v>
      </c>
      <c r="X248" s="11">
        <f t="shared" si="99"/>
        <v>0</v>
      </c>
      <c r="Y248" s="19">
        <v>0</v>
      </c>
      <c r="Z248" s="11">
        <v>0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45">
        <v>0</v>
      </c>
      <c r="AJ248" s="45">
        <v>0</v>
      </c>
      <c r="AK248" s="45">
        <f t="shared" si="107"/>
        <v>0.3611</v>
      </c>
      <c r="AL248" s="45">
        <f t="shared" si="108"/>
        <v>0.00348095238095238</v>
      </c>
      <c r="AM248" s="45">
        <f t="shared" si="100"/>
        <v>0.0012569719047619</v>
      </c>
      <c r="AN248" s="45">
        <f t="shared" si="111"/>
        <v>0.792187500000004</v>
      </c>
      <c r="AO248" s="45">
        <f t="shared" si="101"/>
        <v>0.792187500000004</v>
      </c>
      <c r="AP248" s="45">
        <f t="shared" si="102"/>
        <v>1.05625</v>
      </c>
      <c r="AQ248" s="45">
        <f t="shared" si="103"/>
        <v>0</v>
      </c>
      <c r="AR248" s="45">
        <f t="shared" si="104"/>
        <v>0</v>
      </c>
      <c r="AS248" s="19">
        <f t="shared" si="109"/>
        <v>1.07916666666667</v>
      </c>
      <c r="AT248" s="19">
        <f t="shared" si="110"/>
        <v>1.03333333333334</v>
      </c>
      <c r="AU248" s="46">
        <v>0</v>
      </c>
      <c r="AV248" s="46">
        <v>0</v>
      </c>
      <c r="AW248" s="46">
        <v>0</v>
      </c>
      <c r="AX248" s="46">
        <v>1</v>
      </c>
      <c r="AY248" s="47">
        <v>0</v>
      </c>
      <c r="AZ248" s="47">
        <v>-1</v>
      </c>
    </row>
    <row r="249" hidden="1" customHeight="1" spans="1:52">
      <c r="A249" s="44">
        <v>45574</v>
      </c>
      <c r="B249" s="33">
        <f t="shared" si="88"/>
        <v>442</v>
      </c>
      <c r="C249" s="33">
        <f t="shared" si="89"/>
        <v>1870</v>
      </c>
      <c r="D249" s="11">
        <f t="shared" si="90"/>
        <v>2312</v>
      </c>
      <c r="E249" s="34">
        <f t="shared" si="105"/>
        <v>-1.624783292559e-6</v>
      </c>
      <c r="F249" s="35">
        <f t="shared" si="91"/>
        <v>0.000391572773506708</v>
      </c>
      <c r="G249" s="18">
        <f>(SUM($I$8:$I249)*(MAX(M$3-M$4,0))+(N249*MAX(M$4,0)))*(1-$AM$4)+(AM249*$AM$4)</f>
        <v>0.0947606111886234</v>
      </c>
      <c r="H249" s="18">
        <f t="shared" si="92"/>
        <v>0.916666666666667</v>
      </c>
      <c r="I249" s="18">
        <f t="shared" si="93"/>
        <v>0</v>
      </c>
      <c r="J249" s="18">
        <f t="shared" si="94"/>
        <v>0.267835777078589</v>
      </c>
      <c r="K249" s="18">
        <f t="shared" si="95"/>
        <v>0.00165648014235613</v>
      </c>
      <c r="L249" s="18">
        <f t="shared" si="96"/>
        <v>0</v>
      </c>
      <c r="M249" s="18">
        <v>0</v>
      </c>
      <c r="N249" s="18">
        <f t="shared" si="106"/>
        <v>0</v>
      </c>
      <c r="O249" s="11">
        <v>0</v>
      </c>
      <c r="P249" s="11">
        <v>0</v>
      </c>
      <c r="Q249" s="11">
        <f t="shared" si="113"/>
        <v>1</v>
      </c>
      <c r="R249" s="11">
        <v>0</v>
      </c>
      <c r="S249" s="11">
        <f t="shared" si="97"/>
        <v>0</v>
      </c>
      <c r="T249" s="11">
        <v>0</v>
      </c>
      <c r="U249" s="11">
        <f t="shared" si="112"/>
        <v>1</v>
      </c>
      <c r="V249" s="11">
        <v>0</v>
      </c>
      <c r="W249" s="11">
        <f t="shared" si="98"/>
        <v>1</v>
      </c>
      <c r="X249" s="11">
        <f t="shared" si="99"/>
        <v>0</v>
      </c>
      <c r="Y249" s="19">
        <v>0</v>
      </c>
      <c r="Z249" s="11">
        <v>0</v>
      </c>
      <c r="AA249" s="11">
        <v>0</v>
      </c>
      <c r="AB249" s="11">
        <v>0</v>
      </c>
      <c r="AC249" s="11">
        <v>0</v>
      </c>
      <c r="AD249" s="11">
        <v>0</v>
      </c>
      <c r="AE249" s="11">
        <v>0</v>
      </c>
      <c r="AF249" s="11">
        <v>0</v>
      </c>
      <c r="AG249" s="11">
        <v>0</v>
      </c>
      <c r="AH249" s="11">
        <v>0</v>
      </c>
      <c r="AI249" s="45">
        <v>0</v>
      </c>
      <c r="AJ249" s="45">
        <v>0</v>
      </c>
      <c r="AK249" s="45">
        <f t="shared" si="107"/>
        <v>0.3611</v>
      </c>
      <c r="AL249" s="45">
        <f t="shared" si="108"/>
        <v>0.00348095238095238</v>
      </c>
      <c r="AM249" s="45">
        <f t="shared" si="100"/>
        <v>0.0012569719047619</v>
      </c>
      <c r="AN249" s="45">
        <f t="shared" si="111"/>
        <v>0.792187500000004</v>
      </c>
      <c r="AO249" s="45">
        <f t="shared" si="101"/>
        <v>0.792187500000004</v>
      </c>
      <c r="AP249" s="45">
        <f t="shared" si="102"/>
        <v>1.05625</v>
      </c>
      <c r="AQ249" s="45">
        <f t="shared" si="103"/>
        <v>0</v>
      </c>
      <c r="AR249" s="45">
        <f t="shared" si="104"/>
        <v>0</v>
      </c>
      <c r="AS249" s="19">
        <f t="shared" si="109"/>
        <v>1.07916666666667</v>
      </c>
      <c r="AT249" s="19">
        <f t="shared" si="110"/>
        <v>1.03333333333334</v>
      </c>
      <c r="AU249" s="46">
        <v>0</v>
      </c>
      <c r="AV249" s="46">
        <v>0</v>
      </c>
      <c r="AW249" s="46">
        <v>0</v>
      </c>
      <c r="AX249" s="46">
        <v>1</v>
      </c>
      <c r="AY249" s="47">
        <v>0</v>
      </c>
      <c r="AZ249" s="47">
        <v>-1</v>
      </c>
    </row>
    <row r="250" hidden="1" customHeight="1" spans="1:52">
      <c r="A250" s="44">
        <v>45575</v>
      </c>
      <c r="B250" s="33">
        <f t="shared" si="88"/>
        <v>441</v>
      </c>
      <c r="C250" s="33">
        <f t="shared" si="89"/>
        <v>1880</v>
      </c>
      <c r="D250" s="11">
        <f t="shared" si="90"/>
        <v>2321</v>
      </c>
      <c r="E250" s="34">
        <f t="shared" si="105"/>
        <v>-1.61141059056258e-6</v>
      </c>
      <c r="F250" s="35">
        <f t="shared" si="91"/>
        <v>0.000389961362916146</v>
      </c>
      <c r="G250" s="18">
        <f>(SUM($I$8:$I250)*(MAX(M$3-M$4,0))+(N250*MAX(M$4,0)))*(1-$AM$4)+(AM250*$AM$4)</f>
        <v>0.0947606111886234</v>
      </c>
      <c r="H250" s="18">
        <f t="shared" si="92"/>
        <v>0.916666666666667</v>
      </c>
      <c r="I250" s="18">
        <f t="shared" si="93"/>
        <v>0</v>
      </c>
      <c r="J250" s="18">
        <f t="shared" si="94"/>
        <v>0.266733572234644</v>
      </c>
      <c r="K250" s="18">
        <f t="shared" si="95"/>
        <v>0.00166273566386702</v>
      </c>
      <c r="L250" s="18">
        <f t="shared" si="96"/>
        <v>0</v>
      </c>
      <c r="M250" s="18">
        <v>0</v>
      </c>
      <c r="N250" s="18">
        <f t="shared" si="106"/>
        <v>0</v>
      </c>
      <c r="O250" s="11">
        <v>0</v>
      </c>
      <c r="P250" s="11">
        <v>0</v>
      </c>
      <c r="Q250" s="11">
        <f t="shared" si="113"/>
        <v>1</v>
      </c>
      <c r="R250" s="11">
        <v>0</v>
      </c>
      <c r="S250" s="11">
        <f t="shared" si="97"/>
        <v>0</v>
      </c>
      <c r="T250" s="11">
        <v>0</v>
      </c>
      <c r="U250" s="11">
        <f t="shared" si="112"/>
        <v>1</v>
      </c>
      <c r="V250" s="11">
        <v>0</v>
      </c>
      <c r="W250" s="11">
        <f t="shared" si="98"/>
        <v>1</v>
      </c>
      <c r="X250" s="11">
        <f t="shared" si="99"/>
        <v>0</v>
      </c>
      <c r="Y250" s="19">
        <v>0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45">
        <v>0</v>
      </c>
      <c r="AJ250" s="45">
        <v>0</v>
      </c>
      <c r="AK250" s="45">
        <f t="shared" si="107"/>
        <v>0.3611</v>
      </c>
      <c r="AL250" s="45">
        <f t="shared" si="108"/>
        <v>0.00348095238095238</v>
      </c>
      <c r="AM250" s="45">
        <f t="shared" si="100"/>
        <v>0.0012569719047619</v>
      </c>
      <c r="AN250" s="45">
        <f t="shared" si="111"/>
        <v>0.792187500000004</v>
      </c>
      <c r="AO250" s="45">
        <f t="shared" si="101"/>
        <v>0.792187500000004</v>
      </c>
      <c r="AP250" s="45">
        <f t="shared" si="102"/>
        <v>1.05625</v>
      </c>
      <c r="AQ250" s="45">
        <f t="shared" si="103"/>
        <v>0</v>
      </c>
      <c r="AR250" s="45">
        <f t="shared" si="104"/>
        <v>0</v>
      </c>
      <c r="AS250" s="19">
        <f t="shared" si="109"/>
        <v>1.07916666666667</v>
      </c>
      <c r="AT250" s="19">
        <f t="shared" si="110"/>
        <v>1.03333333333334</v>
      </c>
      <c r="AU250" s="46">
        <v>0</v>
      </c>
      <c r="AV250" s="46">
        <v>0</v>
      </c>
      <c r="AW250" s="46">
        <v>0</v>
      </c>
      <c r="AX250" s="46">
        <v>1</v>
      </c>
      <c r="AY250" s="47">
        <v>0</v>
      </c>
      <c r="AZ250" s="47">
        <v>-1</v>
      </c>
    </row>
    <row r="251" hidden="1" customHeight="1" spans="1:52">
      <c r="A251" s="44">
        <v>45576</v>
      </c>
      <c r="B251" s="33">
        <f t="shared" si="88"/>
        <v>440</v>
      </c>
      <c r="C251" s="33">
        <f t="shared" si="89"/>
        <v>1891</v>
      </c>
      <c r="D251" s="11">
        <f t="shared" si="90"/>
        <v>2331</v>
      </c>
      <c r="E251" s="34">
        <f t="shared" si="105"/>
        <v>-1.59820230703338e-6</v>
      </c>
      <c r="F251" s="35">
        <f t="shared" si="91"/>
        <v>0.000388363160609112</v>
      </c>
      <c r="G251" s="18">
        <f>(SUM($I$8:$I251)*(MAX(M$3-M$4,0))+(N251*MAX(M$4,0)))*(1-$AM$4)+(AM251*$AM$4)</f>
        <v>0.0947606111886234</v>
      </c>
      <c r="H251" s="18">
        <f t="shared" si="92"/>
        <v>0.916666666666667</v>
      </c>
      <c r="I251" s="18">
        <f t="shared" si="93"/>
        <v>0</v>
      </c>
      <c r="J251" s="18">
        <f t="shared" si="94"/>
        <v>0.265640401856633</v>
      </c>
      <c r="K251" s="18">
        <f t="shared" si="95"/>
        <v>0.00166899908668947</v>
      </c>
      <c r="L251" s="18">
        <f t="shared" si="96"/>
        <v>0</v>
      </c>
      <c r="M251" s="18">
        <v>0</v>
      </c>
      <c r="N251" s="18">
        <f t="shared" si="106"/>
        <v>0</v>
      </c>
      <c r="O251" s="11">
        <v>0</v>
      </c>
      <c r="P251" s="11">
        <v>0</v>
      </c>
      <c r="Q251" s="11">
        <f t="shared" si="113"/>
        <v>1</v>
      </c>
      <c r="R251" s="11">
        <v>0</v>
      </c>
      <c r="S251" s="11">
        <f t="shared" si="97"/>
        <v>0</v>
      </c>
      <c r="T251" s="11">
        <v>0</v>
      </c>
      <c r="U251" s="11">
        <f t="shared" si="112"/>
        <v>1</v>
      </c>
      <c r="V251" s="11">
        <v>0</v>
      </c>
      <c r="W251" s="11">
        <f t="shared" si="98"/>
        <v>1</v>
      </c>
      <c r="X251" s="11">
        <f t="shared" si="99"/>
        <v>0</v>
      </c>
      <c r="Y251" s="19">
        <v>0</v>
      </c>
      <c r="Z251" s="11">
        <v>0</v>
      </c>
      <c r="AA251" s="11">
        <v>0</v>
      </c>
      <c r="AB251" s="11">
        <v>0</v>
      </c>
      <c r="AC251" s="11">
        <v>0</v>
      </c>
      <c r="AD251" s="11">
        <v>0</v>
      </c>
      <c r="AE251" s="11">
        <v>0</v>
      </c>
      <c r="AF251" s="11">
        <v>0</v>
      </c>
      <c r="AG251" s="11">
        <v>0</v>
      </c>
      <c r="AH251" s="11">
        <v>0</v>
      </c>
      <c r="AI251" s="45">
        <v>0</v>
      </c>
      <c r="AJ251" s="45">
        <v>0</v>
      </c>
      <c r="AK251" s="45">
        <f t="shared" si="107"/>
        <v>0.3611</v>
      </c>
      <c r="AL251" s="45">
        <f t="shared" si="108"/>
        <v>0.00348095238095238</v>
      </c>
      <c r="AM251" s="45">
        <f t="shared" si="100"/>
        <v>0.0012569719047619</v>
      </c>
      <c r="AN251" s="45">
        <f t="shared" si="111"/>
        <v>0.792187500000004</v>
      </c>
      <c r="AO251" s="45">
        <f t="shared" si="101"/>
        <v>0.792187500000004</v>
      </c>
      <c r="AP251" s="45">
        <f t="shared" si="102"/>
        <v>1.05625</v>
      </c>
      <c r="AQ251" s="45">
        <f t="shared" si="103"/>
        <v>0</v>
      </c>
      <c r="AR251" s="45">
        <f t="shared" si="104"/>
        <v>0</v>
      </c>
      <c r="AS251" s="19">
        <f t="shared" si="109"/>
        <v>1.07916666666667</v>
      </c>
      <c r="AT251" s="19">
        <f t="shared" si="110"/>
        <v>1.03333333333334</v>
      </c>
      <c r="AU251" s="46">
        <v>0</v>
      </c>
      <c r="AV251" s="46">
        <v>0</v>
      </c>
      <c r="AW251" s="46">
        <v>0</v>
      </c>
      <c r="AX251" s="46">
        <v>1</v>
      </c>
      <c r="AY251" s="47">
        <v>0</v>
      </c>
      <c r="AZ251" s="47">
        <v>-1</v>
      </c>
    </row>
    <row r="252" hidden="1" customHeight="1" spans="1:52">
      <c r="A252" s="44">
        <v>45577</v>
      </c>
      <c r="B252" s="33">
        <f t="shared" si="88"/>
        <v>439</v>
      </c>
      <c r="C252" s="33">
        <f t="shared" si="89"/>
        <v>1901</v>
      </c>
      <c r="D252" s="11">
        <f t="shared" si="90"/>
        <v>2340</v>
      </c>
      <c r="E252" s="34">
        <f t="shared" si="105"/>
        <v>-1.58515575758822e-6</v>
      </c>
      <c r="F252" s="35">
        <f t="shared" si="91"/>
        <v>0.000386778004851524</v>
      </c>
      <c r="G252" s="18">
        <f>(SUM($I$8:$I252)*(MAX(M$3-M$4,0))+(N252*MAX(M$4,0)))*(1-$AM$4)+(AM252*$AM$4)</f>
        <v>0.0947606111886234</v>
      </c>
      <c r="H252" s="18">
        <f t="shared" si="92"/>
        <v>0.916666666666667</v>
      </c>
      <c r="I252" s="18">
        <f t="shared" si="93"/>
        <v>0</v>
      </c>
      <c r="J252" s="18">
        <f t="shared" si="94"/>
        <v>0.264556155318443</v>
      </c>
      <c r="K252" s="18">
        <f t="shared" si="95"/>
        <v>0.00167527071681448</v>
      </c>
      <c r="L252" s="18">
        <f t="shared" si="96"/>
        <v>0</v>
      </c>
      <c r="M252" s="18">
        <v>0</v>
      </c>
      <c r="N252" s="18">
        <f t="shared" si="106"/>
        <v>0</v>
      </c>
      <c r="O252" s="11">
        <v>0</v>
      </c>
      <c r="P252" s="11">
        <v>0</v>
      </c>
      <c r="Q252" s="11">
        <f t="shared" si="113"/>
        <v>1</v>
      </c>
      <c r="R252" s="11">
        <v>0</v>
      </c>
      <c r="S252" s="11">
        <f t="shared" si="97"/>
        <v>0</v>
      </c>
      <c r="T252" s="11">
        <v>0</v>
      </c>
      <c r="U252" s="11">
        <f t="shared" si="112"/>
        <v>1</v>
      </c>
      <c r="V252" s="11">
        <v>0</v>
      </c>
      <c r="W252" s="11">
        <f t="shared" si="98"/>
        <v>1</v>
      </c>
      <c r="X252" s="11">
        <f t="shared" si="99"/>
        <v>0</v>
      </c>
      <c r="Y252" s="19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45">
        <v>0</v>
      </c>
      <c r="AJ252" s="45">
        <v>0</v>
      </c>
      <c r="AK252" s="45">
        <f t="shared" si="107"/>
        <v>0.3611</v>
      </c>
      <c r="AL252" s="45">
        <f t="shared" si="108"/>
        <v>0.00348095238095238</v>
      </c>
      <c r="AM252" s="45">
        <f t="shared" si="100"/>
        <v>0.0012569719047619</v>
      </c>
      <c r="AN252" s="45">
        <f t="shared" si="111"/>
        <v>0.792187500000004</v>
      </c>
      <c r="AO252" s="45">
        <f t="shared" si="101"/>
        <v>0.792187500000004</v>
      </c>
      <c r="AP252" s="45">
        <f t="shared" si="102"/>
        <v>1.05625</v>
      </c>
      <c r="AQ252" s="45">
        <f t="shared" si="103"/>
        <v>0</v>
      </c>
      <c r="AR252" s="45">
        <f t="shared" si="104"/>
        <v>0</v>
      </c>
      <c r="AS252" s="19">
        <f t="shared" si="109"/>
        <v>1.07916666666667</v>
      </c>
      <c r="AT252" s="19">
        <f t="shared" si="110"/>
        <v>1.03333333333334</v>
      </c>
      <c r="AU252" s="46">
        <v>0</v>
      </c>
      <c r="AV252" s="46">
        <v>0</v>
      </c>
      <c r="AW252" s="46">
        <v>0</v>
      </c>
      <c r="AX252" s="46">
        <v>1</v>
      </c>
      <c r="AY252" s="47">
        <v>0</v>
      </c>
      <c r="AZ252" s="47">
        <v>-1</v>
      </c>
    </row>
    <row r="253" hidden="1" customHeight="1" spans="1:52">
      <c r="A253" s="44">
        <v>45578</v>
      </c>
      <c r="B253" s="33">
        <f t="shared" si="88"/>
        <v>438</v>
      </c>
      <c r="C253" s="33">
        <f t="shared" si="89"/>
        <v>1912</v>
      </c>
      <c r="D253" s="11">
        <f t="shared" si="90"/>
        <v>2350</v>
      </c>
      <c r="E253" s="34">
        <f t="shared" si="105"/>
        <v>-1.57226831240455e-6</v>
      </c>
      <c r="F253" s="35">
        <f t="shared" si="91"/>
        <v>0.00038520573653912</v>
      </c>
      <c r="G253" s="18">
        <f>(SUM($I$8:$I253)*(MAX(M$3-M$4,0))+(N253*MAX(M$4,0)))*(1-$AM$4)+(AM253*$AM$4)</f>
        <v>0.0947606111886234</v>
      </c>
      <c r="H253" s="18">
        <f t="shared" si="92"/>
        <v>0.916666666666667</v>
      </c>
      <c r="I253" s="18">
        <f t="shared" si="93"/>
        <v>0</v>
      </c>
      <c r="J253" s="18">
        <f t="shared" si="94"/>
        <v>0.263480723792758</v>
      </c>
      <c r="K253" s="18">
        <f t="shared" si="95"/>
        <v>0.00168155085892064</v>
      </c>
      <c r="L253" s="18">
        <f t="shared" si="96"/>
        <v>0</v>
      </c>
      <c r="M253" s="18">
        <v>0</v>
      </c>
      <c r="N253" s="18">
        <f t="shared" si="106"/>
        <v>0</v>
      </c>
      <c r="O253" s="11">
        <v>0</v>
      </c>
      <c r="P253" s="11">
        <v>0</v>
      </c>
      <c r="Q253" s="11">
        <f t="shared" si="113"/>
        <v>1</v>
      </c>
      <c r="R253" s="11">
        <v>0</v>
      </c>
      <c r="S253" s="11">
        <f t="shared" si="97"/>
        <v>0</v>
      </c>
      <c r="T253" s="11">
        <v>0</v>
      </c>
      <c r="U253" s="11">
        <f t="shared" si="112"/>
        <v>1</v>
      </c>
      <c r="V253" s="11">
        <v>0</v>
      </c>
      <c r="W253" s="11">
        <f t="shared" si="98"/>
        <v>1</v>
      </c>
      <c r="X253" s="11">
        <f t="shared" si="99"/>
        <v>0</v>
      </c>
      <c r="Y253" s="19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1">
        <v>0</v>
      </c>
      <c r="AG253" s="11">
        <v>0</v>
      </c>
      <c r="AH253" s="11">
        <v>0</v>
      </c>
      <c r="AI253" s="45">
        <v>0</v>
      </c>
      <c r="AJ253" s="45">
        <v>0</v>
      </c>
      <c r="AK253" s="45">
        <f t="shared" si="107"/>
        <v>0.3611</v>
      </c>
      <c r="AL253" s="45">
        <f t="shared" si="108"/>
        <v>0.00348095238095238</v>
      </c>
      <c r="AM253" s="45">
        <f t="shared" si="100"/>
        <v>0.0012569719047619</v>
      </c>
      <c r="AN253" s="45">
        <f t="shared" si="111"/>
        <v>0.792187500000004</v>
      </c>
      <c r="AO253" s="45">
        <f t="shared" si="101"/>
        <v>0.792187500000004</v>
      </c>
      <c r="AP253" s="45">
        <f t="shared" si="102"/>
        <v>1.05625</v>
      </c>
      <c r="AQ253" s="45">
        <f t="shared" si="103"/>
        <v>0</v>
      </c>
      <c r="AR253" s="45">
        <f t="shared" si="104"/>
        <v>0</v>
      </c>
      <c r="AS253" s="19">
        <f t="shared" si="109"/>
        <v>1.07916666666667</v>
      </c>
      <c r="AT253" s="19">
        <f t="shared" si="110"/>
        <v>1.03333333333334</v>
      </c>
      <c r="AU253" s="46">
        <v>0</v>
      </c>
      <c r="AV253" s="46">
        <v>0</v>
      </c>
      <c r="AW253" s="46">
        <v>0</v>
      </c>
      <c r="AX253" s="46">
        <v>1</v>
      </c>
      <c r="AY253" s="47">
        <v>0</v>
      </c>
      <c r="AZ253" s="47">
        <v>-1</v>
      </c>
    </row>
    <row r="254" hidden="1" customHeight="1" spans="1:52">
      <c r="A254" s="44">
        <v>45579</v>
      </c>
      <c r="B254" s="33">
        <f t="shared" si="88"/>
        <v>437</v>
      </c>
      <c r="C254" s="33">
        <f t="shared" si="89"/>
        <v>1923</v>
      </c>
      <c r="D254" s="11">
        <f t="shared" si="90"/>
        <v>2360</v>
      </c>
      <c r="E254" s="34">
        <f t="shared" si="105"/>
        <v>-1.55953739489523e-6</v>
      </c>
      <c r="F254" s="35">
        <f t="shared" si="91"/>
        <v>0.000383646199144224</v>
      </c>
      <c r="G254" s="18">
        <f>(SUM($I$8:$I254)*(MAX(M$3-M$4,0))+(N254*MAX(M$4,0)))*(1-$AM$4)+(AM254*$AM$4)</f>
        <v>0.0947606111886234</v>
      </c>
      <c r="H254" s="18">
        <f t="shared" si="92"/>
        <v>0.916666666666667</v>
      </c>
      <c r="I254" s="18">
        <f t="shared" si="93"/>
        <v>0</v>
      </c>
      <c r="J254" s="18">
        <f t="shared" si="94"/>
        <v>0.262414000214649</v>
      </c>
      <c r="K254" s="18">
        <f t="shared" si="95"/>
        <v>0.00168783981644245</v>
      </c>
      <c r="L254" s="18">
        <f t="shared" si="96"/>
        <v>0</v>
      </c>
      <c r="M254" s="18">
        <v>0</v>
      </c>
      <c r="N254" s="18">
        <f t="shared" si="106"/>
        <v>0</v>
      </c>
      <c r="O254" s="11">
        <v>0</v>
      </c>
      <c r="P254" s="11">
        <v>0</v>
      </c>
      <c r="Q254" s="11">
        <f t="shared" si="113"/>
        <v>1</v>
      </c>
      <c r="R254" s="11">
        <v>0</v>
      </c>
      <c r="S254" s="11">
        <f t="shared" si="97"/>
        <v>0</v>
      </c>
      <c r="T254" s="11">
        <v>0</v>
      </c>
      <c r="U254" s="11">
        <f t="shared" si="112"/>
        <v>1</v>
      </c>
      <c r="V254" s="11">
        <v>0</v>
      </c>
      <c r="W254" s="11">
        <f t="shared" si="98"/>
        <v>1</v>
      </c>
      <c r="X254" s="11">
        <f t="shared" si="99"/>
        <v>0</v>
      </c>
      <c r="Y254" s="19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45">
        <v>0</v>
      </c>
      <c r="AJ254" s="45">
        <v>0</v>
      </c>
      <c r="AK254" s="45">
        <f t="shared" si="107"/>
        <v>0.3611</v>
      </c>
      <c r="AL254" s="45">
        <f t="shared" si="108"/>
        <v>0.00348095238095238</v>
      </c>
      <c r="AM254" s="45">
        <f t="shared" si="100"/>
        <v>0.0012569719047619</v>
      </c>
      <c r="AN254" s="45">
        <f t="shared" si="111"/>
        <v>0.792187500000004</v>
      </c>
      <c r="AO254" s="45">
        <f t="shared" si="101"/>
        <v>0.792187500000004</v>
      </c>
      <c r="AP254" s="45">
        <f t="shared" si="102"/>
        <v>1.05625</v>
      </c>
      <c r="AQ254" s="45">
        <f t="shared" si="103"/>
        <v>0</v>
      </c>
      <c r="AR254" s="45">
        <f t="shared" si="104"/>
        <v>0</v>
      </c>
      <c r="AS254" s="19">
        <f t="shared" si="109"/>
        <v>1.07916666666667</v>
      </c>
      <c r="AT254" s="19">
        <f t="shared" si="110"/>
        <v>1.03333333333334</v>
      </c>
      <c r="AU254" s="46">
        <v>0</v>
      </c>
      <c r="AV254" s="46">
        <v>0</v>
      </c>
      <c r="AW254" s="46">
        <v>0</v>
      </c>
      <c r="AX254" s="46">
        <v>1</v>
      </c>
      <c r="AY254" s="47">
        <v>0</v>
      </c>
      <c r="AZ254" s="47">
        <v>-1</v>
      </c>
    </row>
    <row r="255" hidden="1" customHeight="1" spans="1:52">
      <c r="A255" s="44">
        <v>45580</v>
      </c>
      <c r="B255" s="33">
        <f t="shared" si="88"/>
        <v>436</v>
      </c>
      <c r="C255" s="33">
        <f t="shared" si="89"/>
        <v>1933</v>
      </c>
      <c r="D255" s="11">
        <f t="shared" si="90"/>
        <v>2369</v>
      </c>
      <c r="E255" s="34">
        <f t="shared" si="105"/>
        <v>-1.54696048042024e-6</v>
      </c>
      <c r="F255" s="35">
        <f t="shared" si="91"/>
        <v>0.000382099238663804</v>
      </c>
      <c r="G255" s="18">
        <f>(SUM($I$8:$I255)*(MAX(M$3-M$4,0))+(N255*MAX(M$4,0)))*(1-$AM$4)+(AM255*$AM$4)</f>
        <v>0.0947606111886234</v>
      </c>
      <c r="H255" s="18">
        <f t="shared" si="92"/>
        <v>0.916666666666667</v>
      </c>
      <c r="I255" s="18">
        <f t="shared" si="93"/>
        <v>0</v>
      </c>
      <c r="J255" s="18">
        <f t="shared" si="94"/>
        <v>0.261355879246042</v>
      </c>
      <c r="K255" s="18">
        <f t="shared" si="95"/>
        <v>0.00169413789163752</v>
      </c>
      <c r="L255" s="18">
        <f t="shared" si="96"/>
        <v>0</v>
      </c>
      <c r="M255" s="18">
        <v>0</v>
      </c>
      <c r="N255" s="18">
        <f t="shared" si="106"/>
        <v>0</v>
      </c>
      <c r="O255" s="11">
        <v>0</v>
      </c>
      <c r="P255" s="11">
        <v>0</v>
      </c>
      <c r="Q255" s="11">
        <f t="shared" si="113"/>
        <v>1</v>
      </c>
      <c r="R255" s="11">
        <v>0</v>
      </c>
      <c r="S255" s="11">
        <f t="shared" si="97"/>
        <v>0</v>
      </c>
      <c r="T255" s="11">
        <v>0</v>
      </c>
      <c r="U255" s="11">
        <f t="shared" si="112"/>
        <v>1</v>
      </c>
      <c r="V255" s="11">
        <v>0</v>
      </c>
      <c r="W255" s="11">
        <f t="shared" si="98"/>
        <v>1</v>
      </c>
      <c r="X255" s="11">
        <f t="shared" si="99"/>
        <v>0</v>
      </c>
      <c r="Y255" s="19">
        <v>0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1">
        <v>0</v>
      </c>
      <c r="AG255" s="11">
        <v>0</v>
      </c>
      <c r="AH255" s="11">
        <v>0</v>
      </c>
      <c r="AI255" s="45">
        <v>0</v>
      </c>
      <c r="AJ255" s="45">
        <v>0</v>
      </c>
      <c r="AK255" s="45">
        <f t="shared" si="107"/>
        <v>0.3611</v>
      </c>
      <c r="AL255" s="45">
        <f t="shared" si="108"/>
        <v>0.00348095238095238</v>
      </c>
      <c r="AM255" s="45">
        <f t="shared" si="100"/>
        <v>0.0012569719047619</v>
      </c>
      <c r="AN255" s="45">
        <f t="shared" si="111"/>
        <v>0.792187500000004</v>
      </c>
      <c r="AO255" s="45">
        <f t="shared" si="101"/>
        <v>0.792187500000004</v>
      </c>
      <c r="AP255" s="45">
        <f t="shared" si="102"/>
        <v>1.05625</v>
      </c>
      <c r="AQ255" s="45">
        <f t="shared" si="103"/>
        <v>0</v>
      </c>
      <c r="AR255" s="45">
        <f t="shared" si="104"/>
        <v>0</v>
      </c>
      <c r="AS255" s="19">
        <f t="shared" si="109"/>
        <v>1.07916666666667</v>
      </c>
      <c r="AT255" s="19">
        <f t="shared" si="110"/>
        <v>1.03333333333334</v>
      </c>
      <c r="AU255" s="46">
        <v>0</v>
      </c>
      <c r="AV255" s="46">
        <v>0</v>
      </c>
      <c r="AW255" s="46">
        <v>0</v>
      </c>
      <c r="AX255" s="46">
        <v>1</v>
      </c>
      <c r="AY255" s="47">
        <v>0</v>
      </c>
      <c r="AZ255" s="47">
        <v>-1</v>
      </c>
    </row>
    <row r="256" hidden="1" customHeight="1" spans="1:52">
      <c r="A256" s="44">
        <v>45581</v>
      </c>
      <c r="B256" s="33">
        <f t="shared" si="88"/>
        <v>435</v>
      </c>
      <c r="C256" s="33">
        <f t="shared" si="89"/>
        <v>1944</v>
      </c>
      <c r="D256" s="11">
        <f t="shared" si="90"/>
        <v>2379</v>
      </c>
      <c r="E256" s="34">
        <f t="shared" si="105"/>
        <v>-1.53453509503537e-6</v>
      </c>
      <c r="F256" s="35">
        <f t="shared" si="91"/>
        <v>0.000380564703568769</v>
      </c>
      <c r="G256" s="18">
        <f>(SUM($I$8:$I256)*(MAX(M$3-M$4,0))+(N256*MAX(M$4,0)))*(1-$AM$4)+(AM256*$AM$4)</f>
        <v>0.0947606111886234</v>
      </c>
      <c r="H256" s="18">
        <f t="shared" si="92"/>
        <v>0.916666666666667</v>
      </c>
      <c r="I256" s="18">
        <f t="shared" si="93"/>
        <v>0</v>
      </c>
      <c r="J256" s="18">
        <f t="shared" si="94"/>
        <v>0.260306257241038</v>
      </c>
      <c r="K256" s="18">
        <f t="shared" si="95"/>
        <v>0.00170044538565279</v>
      </c>
      <c r="L256" s="18">
        <f t="shared" si="96"/>
        <v>0</v>
      </c>
      <c r="M256" s="18">
        <v>0</v>
      </c>
      <c r="N256" s="18">
        <f t="shared" si="106"/>
        <v>0</v>
      </c>
      <c r="O256" s="11">
        <v>0</v>
      </c>
      <c r="P256" s="11">
        <v>0</v>
      </c>
      <c r="Q256" s="11">
        <f t="shared" si="113"/>
        <v>1</v>
      </c>
      <c r="R256" s="11">
        <v>0</v>
      </c>
      <c r="S256" s="11">
        <f t="shared" si="97"/>
        <v>0</v>
      </c>
      <c r="T256" s="11">
        <v>0</v>
      </c>
      <c r="U256" s="11">
        <f t="shared" si="112"/>
        <v>1</v>
      </c>
      <c r="V256" s="11">
        <v>0</v>
      </c>
      <c r="W256" s="11">
        <f t="shared" si="98"/>
        <v>1</v>
      </c>
      <c r="X256" s="11">
        <f t="shared" si="99"/>
        <v>0</v>
      </c>
      <c r="Y256" s="19">
        <v>0</v>
      </c>
      <c r="Z256" s="11">
        <v>0</v>
      </c>
      <c r="AA256" s="11">
        <v>0</v>
      </c>
      <c r="AB256" s="11">
        <v>0</v>
      </c>
      <c r="AC256" s="11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45">
        <v>0</v>
      </c>
      <c r="AJ256" s="45">
        <v>0</v>
      </c>
      <c r="AK256" s="45">
        <f t="shared" si="107"/>
        <v>0.3611</v>
      </c>
      <c r="AL256" s="45">
        <f t="shared" si="108"/>
        <v>0.00348095238095238</v>
      </c>
      <c r="AM256" s="45">
        <f t="shared" si="100"/>
        <v>0.0012569719047619</v>
      </c>
      <c r="AN256" s="45">
        <f t="shared" si="111"/>
        <v>0.792187500000004</v>
      </c>
      <c r="AO256" s="45">
        <f t="shared" si="101"/>
        <v>0.792187500000004</v>
      </c>
      <c r="AP256" s="45">
        <f t="shared" si="102"/>
        <v>1.05625</v>
      </c>
      <c r="AQ256" s="45">
        <f t="shared" si="103"/>
        <v>0</v>
      </c>
      <c r="AR256" s="45">
        <f t="shared" si="104"/>
        <v>0</v>
      </c>
      <c r="AS256" s="19">
        <f t="shared" si="109"/>
        <v>1.07916666666667</v>
      </c>
      <c r="AT256" s="19">
        <f t="shared" si="110"/>
        <v>1.03333333333334</v>
      </c>
      <c r="AU256" s="46">
        <v>0</v>
      </c>
      <c r="AV256" s="46">
        <v>0</v>
      </c>
      <c r="AW256" s="46">
        <v>0</v>
      </c>
      <c r="AX256" s="46">
        <v>1</v>
      </c>
      <c r="AY256" s="47">
        <v>0</v>
      </c>
      <c r="AZ256" s="47">
        <v>-1</v>
      </c>
    </row>
    <row r="257" hidden="1" customHeight="1" spans="1:52">
      <c r="A257" s="44">
        <v>45582</v>
      </c>
      <c r="B257" s="33">
        <f t="shared" si="88"/>
        <v>434</v>
      </c>
      <c r="C257" s="33">
        <f t="shared" si="89"/>
        <v>1954</v>
      </c>
      <c r="D257" s="11">
        <f t="shared" si="90"/>
        <v>2388</v>
      </c>
      <c r="E257" s="34">
        <f t="shared" si="105"/>
        <v>-1.52225881427508e-6</v>
      </c>
      <c r="F257" s="35">
        <f t="shared" si="91"/>
        <v>0.000379042444754494</v>
      </c>
      <c r="G257" s="18">
        <f>(SUM($I$8:$I257)*(MAX(M$3-M$4,0))+(N257*MAX(M$4,0)))*(1-$AM$4)+(AM257*$AM$4)</f>
        <v>0.0947606111886234</v>
      </c>
      <c r="H257" s="18">
        <f t="shared" si="92"/>
        <v>0.916666666666667</v>
      </c>
      <c r="I257" s="18">
        <f t="shared" si="93"/>
        <v>0</v>
      </c>
      <c r="J257" s="18">
        <f t="shared" si="94"/>
        <v>0.259265032212074</v>
      </c>
      <c r="K257" s="18">
        <f t="shared" si="95"/>
        <v>0.00170676259858969</v>
      </c>
      <c r="L257" s="18">
        <f t="shared" si="96"/>
        <v>0</v>
      </c>
      <c r="M257" s="18">
        <v>0</v>
      </c>
      <c r="N257" s="18">
        <f t="shared" si="106"/>
        <v>0</v>
      </c>
      <c r="O257" s="11">
        <v>0</v>
      </c>
      <c r="P257" s="11">
        <v>0</v>
      </c>
      <c r="Q257" s="11">
        <f t="shared" si="113"/>
        <v>1</v>
      </c>
      <c r="R257" s="11">
        <v>0</v>
      </c>
      <c r="S257" s="11">
        <f t="shared" si="97"/>
        <v>0</v>
      </c>
      <c r="T257" s="11">
        <v>0</v>
      </c>
      <c r="U257" s="11">
        <f t="shared" si="112"/>
        <v>1</v>
      </c>
      <c r="V257" s="11">
        <v>0</v>
      </c>
      <c r="W257" s="11">
        <f t="shared" si="98"/>
        <v>1</v>
      </c>
      <c r="X257" s="11">
        <f t="shared" si="99"/>
        <v>0</v>
      </c>
      <c r="Y257" s="19">
        <v>0</v>
      </c>
      <c r="Z257" s="11">
        <v>0</v>
      </c>
      <c r="AA257" s="11">
        <v>0</v>
      </c>
      <c r="AB257" s="11">
        <v>0</v>
      </c>
      <c r="AC257" s="11">
        <v>0</v>
      </c>
      <c r="AD257" s="11">
        <v>0</v>
      </c>
      <c r="AE257" s="11">
        <v>0</v>
      </c>
      <c r="AF257" s="11">
        <v>0</v>
      </c>
      <c r="AG257" s="11">
        <v>0</v>
      </c>
      <c r="AH257" s="11">
        <v>0</v>
      </c>
      <c r="AI257" s="45">
        <v>0</v>
      </c>
      <c r="AJ257" s="45">
        <v>0</v>
      </c>
      <c r="AK257" s="45">
        <f t="shared" si="107"/>
        <v>0.3611</v>
      </c>
      <c r="AL257" s="45">
        <f t="shared" si="108"/>
        <v>0.00348095238095238</v>
      </c>
      <c r="AM257" s="45">
        <f t="shared" si="100"/>
        <v>0.0012569719047619</v>
      </c>
      <c r="AN257" s="45">
        <f t="shared" si="111"/>
        <v>0.792187500000004</v>
      </c>
      <c r="AO257" s="45">
        <f t="shared" si="101"/>
        <v>0.792187500000004</v>
      </c>
      <c r="AP257" s="45">
        <f t="shared" si="102"/>
        <v>1.05625</v>
      </c>
      <c r="AQ257" s="45">
        <f t="shared" si="103"/>
        <v>0</v>
      </c>
      <c r="AR257" s="45">
        <f t="shared" si="104"/>
        <v>0</v>
      </c>
      <c r="AS257" s="19">
        <f t="shared" si="109"/>
        <v>1.07916666666667</v>
      </c>
      <c r="AT257" s="19">
        <f t="shared" si="110"/>
        <v>1.03333333333334</v>
      </c>
      <c r="AU257" s="46">
        <v>0</v>
      </c>
      <c r="AV257" s="46">
        <v>0</v>
      </c>
      <c r="AW257" s="46">
        <v>0</v>
      </c>
      <c r="AX257" s="46">
        <v>1</v>
      </c>
      <c r="AY257" s="47">
        <v>0</v>
      </c>
      <c r="AZ257" s="47">
        <v>-1</v>
      </c>
    </row>
    <row r="258" hidden="1" customHeight="1" spans="1:52">
      <c r="A258" s="44">
        <v>45583</v>
      </c>
      <c r="B258" s="33">
        <f t="shared" si="88"/>
        <v>433</v>
      </c>
      <c r="C258" s="33">
        <f t="shared" si="89"/>
        <v>1965</v>
      </c>
      <c r="D258" s="11">
        <f t="shared" si="90"/>
        <v>2398</v>
      </c>
      <c r="E258" s="34">
        <f t="shared" si="105"/>
        <v>-1.51012926197008e-6</v>
      </c>
      <c r="F258" s="35">
        <f t="shared" si="91"/>
        <v>0.000377532315492524</v>
      </c>
      <c r="G258" s="18">
        <f>(SUM($I$8:$I258)*(MAX(M$3-M$4,0))+(N258*MAX(M$4,0)))*(1-$AM$4)+(AM258*$AM$4)</f>
        <v>0.0947606111886234</v>
      </c>
      <c r="H258" s="18">
        <f t="shared" si="92"/>
        <v>0.916666666666667</v>
      </c>
      <c r="I258" s="18">
        <f t="shared" si="93"/>
        <v>0</v>
      </c>
      <c r="J258" s="18">
        <f t="shared" si="94"/>
        <v>0.258232103796886</v>
      </c>
      <c r="K258" s="18">
        <f t="shared" si="95"/>
        <v>0.00171308982956839</v>
      </c>
      <c r="L258" s="18">
        <f t="shared" si="96"/>
        <v>0</v>
      </c>
      <c r="M258" s="18">
        <v>0</v>
      </c>
      <c r="N258" s="18">
        <f t="shared" si="106"/>
        <v>0</v>
      </c>
      <c r="O258" s="11">
        <v>0</v>
      </c>
      <c r="P258" s="11">
        <v>0</v>
      </c>
      <c r="Q258" s="11">
        <f t="shared" si="113"/>
        <v>1</v>
      </c>
      <c r="R258" s="11">
        <v>0</v>
      </c>
      <c r="S258" s="11">
        <f t="shared" si="97"/>
        <v>0</v>
      </c>
      <c r="T258" s="11">
        <v>0</v>
      </c>
      <c r="U258" s="11">
        <f t="shared" si="112"/>
        <v>1</v>
      </c>
      <c r="V258" s="11">
        <v>0</v>
      </c>
      <c r="W258" s="11">
        <f t="shared" si="98"/>
        <v>1</v>
      </c>
      <c r="X258" s="11">
        <f t="shared" si="99"/>
        <v>0</v>
      </c>
      <c r="Y258" s="19">
        <v>0</v>
      </c>
      <c r="Z258" s="11">
        <v>0</v>
      </c>
      <c r="AA258" s="11">
        <v>0</v>
      </c>
      <c r="AB258" s="11">
        <v>0</v>
      </c>
      <c r="AC258" s="11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45">
        <v>0</v>
      </c>
      <c r="AJ258" s="45">
        <v>0</v>
      </c>
      <c r="AK258" s="45">
        <f t="shared" si="107"/>
        <v>0.3611</v>
      </c>
      <c r="AL258" s="45">
        <f t="shared" si="108"/>
        <v>0.00348095238095238</v>
      </c>
      <c r="AM258" s="45">
        <f t="shared" si="100"/>
        <v>0.0012569719047619</v>
      </c>
      <c r="AN258" s="45">
        <f t="shared" si="111"/>
        <v>0.792187500000004</v>
      </c>
      <c r="AO258" s="45">
        <f t="shared" si="101"/>
        <v>0.792187500000004</v>
      </c>
      <c r="AP258" s="45">
        <f t="shared" si="102"/>
        <v>1.05625</v>
      </c>
      <c r="AQ258" s="45">
        <f t="shared" si="103"/>
        <v>0</v>
      </c>
      <c r="AR258" s="45">
        <f t="shared" si="104"/>
        <v>0</v>
      </c>
      <c r="AS258" s="19">
        <f t="shared" si="109"/>
        <v>1.07916666666667</v>
      </c>
      <c r="AT258" s="19">
        <f t="shared" si="110"/>
        <v>1.03333333333334</v>
      </c>
      <c r="AU258" s="46">
        <v>0</v>
      </c>
      <c r="AV258" s="46">
        <v>0</v>
      </c>
      <c r="AW258" s="46">
        <v>0</v>
      </c>
      <c r="AX258" s="46">
        <v>1</v>
      </c>
      <c r="AY258" s="47">
        <v>0</v>
      </c>
      <c r="AZ258" s="47">
        <v>-1</v>
      </c>
    </row>
    <row r="259" hidden="1" customHeight="1" spans="1:52">
      <c r="A259" s="44">
        <v>45584</v>
      </c>
      <c r="B259" s="33">
        <f t="shared" si="88"/>
        <v>432</v>
      </c>
      <c r="C259" s="33">
        <f t="shared" si="89"/>
        <v>1967</v>
      </c>
      <c r="D259" s="11">
        <f t="shared" si="90"/>
        <v>2399</v>
      </c>
      <c r="E259" s="34">
        <f t="shared" si="105"/>
        <v>-3.39301424646878e-7</v>
      </c>
      <c r="F259" s="35">
        <f t="shared" si="91"/>
        <v>0.000377193014067877</v>
      </c>
      <c r="G259" s="18">
        <f>(SUM($I$8:$I259)*(MAX(M$3-M$4,0))+(N259*MAX(M$4,0)))*(1-$AM$4)+(AM259*$AM$4)</f>
        <v>0.0950526395451049</v>
      </c>
      <c r="H259" s="18">
        <f t="shared" si="92"/>
        <v>0.916666666666667</v>
      </c>
      <c r="I259" s="18">
        <f t="shared" si="93"/>
        <v>0.00155748456790124</v>
      </c>
      <c r="J259" s="18">
        <f t="shared" si="94"/>
        <v>0.258000021622428</v>
      </c>
      <c r="K259" s="18">
        <f t="shared" si="95"/>
        <v>0.00171759254254068</v>
      </c>
      <c r="L259" s="18">
        <f t="shared" si="96"/>
        <v>0.00169907407407408</v>
      </c>
      <c r="M259" s="18">
        <v>0</v>
      </c>
      <c r="N259" s="18">
        <f t="shared" si="106"/>
        <v>0</v>
      </c>
      <c r="O259" s="11">
        <v>0</v>
      </c>
      <c r="P259" s="11">
        <v>0</v>
      </c>
      <c r="Q259" s="11">
        <f t="shared" si="113"/>
        <v>1</v>
      </c>
      <c r="R259" s="11">
        <v>0</v>
      </c>
      <c r="S259" s="11">
        <f t="shared" si="97"/>
        <v>0</v>
      </c>
      <c r="T259" s="11">
        <v>0</v>
      </c>
      <c r="U259" s="11">
        <f t="shared" si="112"/>
        <v>1</v>
      </c>
      <c r="V259" s="11">
        <v>0</v>
      </c>
      <c r="W259" s="11">
        <f t="shared" si="98"/>
        <v>1</v>
      </c>
      <c r="X259" s="11">
        <f t="shared" si="99"/>
        <v>0</v>
      </c>
      <c r="Y259" s="19">
        <v>1.33</v>
      </c>
      <c r="Z259" s="11">
        <v>0</v>
      </c>
      <c r="AA259" s="11">
        <v>0</v>
      </c>
      <c r="AB259" s="11">
        <v>4</v>
      </c>
      <c r="AC259" s="11">
        <v>0</v>
      </c>
      <c r="AD259" s="11">
        <v>7</v>
      </c>
      <c r="AE259" s="11">
        <v>0</v>
      </c>
      <c r="AF259" s="11">
        <v>0</v>
      </c>
      <c r="AG259" s="11">
        <v>0</v>
      </c>
      <c r="AH259" s="11">
        <v>0</v>
      </c>
      <c r="AI259" s="45">
        <v>0</v>
      </c>
      <c r="AJ259" s="45">
        <v>0</v>
      </c>
      <c r="AK259" s="45">
        <f t="shared" si="107"/>
        <v>0.3611</v>
      </c>
      <c r="AL259" s="45">
        <f t="shared" si="108"/>
        <v>0.00348095238095238</v>
      </c>
      <c r="AM259" s="45">
        <f t="shared" si="100"/>
        <v>0.0012569719047619</v>
      </c>
      <c r="AN259" s="45">
        <f t="shared" si="111"/>
        <v>0.792187500000004</v>
      </c>
      <c r="AO259" s="45">
        <f t="shared" si="101"/>
        <v>0.792187500000004</v>
      </c>
      <c r="AP259" s="45">
        <f t="shared" si="102"/>
        <v>1.05625</v>
      </c>
      <c r="AQ259" s="45">
        <f t="shared" si="103"/>
        <v>0</v>
      </c>
      <c r="AR259" s="45">
        <f t="shared" si="104"/>
        <v>0</v>
      </c>
      <c r="AS259" s="19">
        <f t="shared" si="109"/>
        <v>1.07916666666667</v>
      </c>
      <c r="AT259" s="19">
        <f t="shared" si="110"/>
        <v>1.03333333333334</v>
      </c>
      <c r="AU259" s="46">
        <v>0</v>
      </c>
      <c r="AV259" s="46">
        <v>0</v>
      </c>
      <c r="AW259" s="46">
        <v>0</v>
      </c>
      <c r="AX259" s="46">
        <v>1</v>
      </c>
      <c r="AY259" s="47">
        <v>0</v>
      </c>
      <c r="AZ259" s="47">
        <v>-1</v>
      </c>
    </row>
    <row r="260" hidden="1" customHeight="1" spans="1:52">
      <c r="A260" s="44">
        <v>45585</v>
      </c>
      <c r="B260" s="33">
        <f t="shared" si="88"/>
        <v>431</v>
      </c>
      <c r="C260" s="33">
        <f t="shared" si="89"/>
        <v>1972</v>
      </c>
      <c r="D260" s="11">
        <f t="shared" si="90"/>
        <v>2403</v>
      </c>
      <c r="E260" s="34">
        <f t="shared" si="105"/>
        <v>-7.47487392743838e-7</v>
      </c>
      <c r="F260" s="35">
        <f t="shared" si="91"/>
        <v>0.000376445526675133</v>
      </c>
      <c r="G260" s="18">
        <f>(SUM($I$8:$I260)*(MAX(M$3-M$4,0))+(N260*MAX(M$4,0)))*(1-$AM$4)+(AM260*$AM$4)</f>
        <v>0.0952407182488086</v>
      </c>
      <c r="H260" s="18">
        <f t="shared" si="92"/>
        <v>0.916666666666667</v>
      </c>
      <c r="I260" s="18">
        <f t="shared" si="93"/>
        <v>0.00100308641975309</v>
      </c>
      <c r="J260" s="18">
        <f t="shared" si="94"/>
        <v>0.257488740245791</v>
      </c>
      <c r="K260" s="18">
        <f t="shared" si="95"/>
        <v>0.00172276394374526</v>
      </c>
      <c r="L260" s="18">
        <f t="shared" si="96"/>
        <v>0.00109427609427609</v>
      </c>
      <c r="M260" s="18">
        <v>0</v>
      </c>
      <c r="N260" s="18">
        <f t="shared" si="106"/>
        <v>0</v>
      </c>
      <c r="O260" s="11">
        <v>0</v>
      </c>
      <c r="P260" s="11">
        <v>0</v>
      </c>
      <c r="Q260" s="11">
        <f t="shared" si="113"/>
        <v>1</v>
      </c>
      <c r="R260" s="11">
        <v>0</v>
      </c>
      <c r="S260" s="11">
        <f t="shared" si="97"/>
        <v>0</v>
      </c>
      <c r="T260" s="11">
        <v>0</v>
      </c>
      <c r="U260" s="11">
        <f t="shared" si="112"/>
        <v>1</v>
      </c>
      <c r="V260" s="11">
        <v>0</v>
      </c>
      <c r="W260" s="11">
        <f t="shared" si="98"/>
        <v>1</v>
      </c>
      <c r="X260" s="11">
        <f t="shared" si="99"/>
        <v>0</v>
      </c>
      <c r="Y260" s="19">
        <v>0</v>
      </c>
      <c r="Z260" s="11">
        <v>0</v>
      </c>
      <c r="AA260" s="11">
        <v>0</v>
      </c>
      <c r="AB260" s="11">
        <v>0</v>
      </c>
      <c r="AC260" s="11">
        <v>0</v>
      </c>
      <c r="AD260" s="11">
        <v>13</v>
      </c>
      <c r="AE260" s="11">
        <v>0</v>
      </c>
      <c r="AF260" s="11">
        <v>0</v>
      </c>
      <c r="AG260" s="11">
        <v>0</v>
      </c>
      <c r="AH260" s="11">
        <v>0</v>
      </c>
      <c r="AI260" s="45">
        <v>0</v>
      </c>
      <c r="AJ260" s="45">
        <v>0</v>
      </c>
      <c r="AK260" s="45">
        <f t="shared" si="107"/>
        <v>0.3611</v>
      </c>
      <c r="AL260" s="45">
        <f t="shared" si="108"/>
        <v>0.00348095238095238</v>
      </c>
      <c r="AM260" s="45">
        <f t="shared" si="100"/>
        <v>0.0012569719047619</v>
      </c>
      <c r="AN260" s="45">
        <f t="shared" si="111"/>
        <v>0.792187500000004</v>
      </c>
      <c r="AO260" s="45">
        <f t="shared" si="101"/>
        <v>0.792187500000004</v>
      </c>
      <c r="AP260" s="45">
        <f t="shared" si="102"/>
        <v>1.05625</v>
      </c>
      <c r="AQ260" s="45">
        <f t="shared" si="103"/>
        <v>0</v>
      </c>
      <c r="AR260" s="45">
        <f t="shared" si="104"/>
        <v>0</v>
      </c>
      <c r="AS260" s="19">
        <f t="shared" si="109"/>
        <v>1.07916666666667</v>
      </c>
      <c r="AT260" s="19">
        <f t="shared" si="110"/>
        <v>1.03333333333334</v>
      </c>
      <c r="AU260" s="46">
        <v>0</v>
      </c>
      <c r="AV260" s="46">
        <v>0</v>
      </c>
      <c r="AW260" s="46">
        <v>0</v>
      </c>
      <c r="AX260" s="46">
        <v>1</v>
      </c>
      <c r="AY260" s="47">
        <v>0</v>
      </c>
      <c r="AZ260" s="47">
        <v>-1</v>
      </c>
    </row>
    <row r="261" hidden="1" customHeight="1" spans="1:52">
      <c r="A261" s="44">
        <v>45586</v>
      </c>
      <c r="B261" s="33">
        <f t="shared" si="88"/>
        <v>430</v>
      </c>
      <c r="C261" s="33">
        <f t="shared" si="89"/>
        <v>1983</v>
      </c>
      <c r="D261" s="11">
        <f t="shared" si="90"/>
        <v>2413</v>
      </c>
      <c r="E261" s="34">
        <f t="shared" si="105"/>
        <v>-1.482069002658e-6</v>
      </c>
      <c r="F261" s="35">
        <f t="shared" si="91"/>
        <v>0.000374963457672475</v>
      </c>
      <c r="G261" s="18">
        <f>(SUM($I$8:$I261)*(MAX(M$3-M$4,0))+(N261*MAX(M$4,0)))*(1-$AM$4)+(AM261*$AM$4)</f>
        <v>0.0952407182488086</v>
      </c>
      <c r="H261" s="18">
        <f t="shared" si="92"/>
        <v>0.916666666666667</v>
      </c>
      <c r="I261" s="18">
        <f t="shared" si="93"/>
        <v>0</v>
      </c>
      <c r="J261" s="18">
        <f t="shared" si="94"/>
        <v>0.256475005047973</v>
      </c>
      <c r="K261" s="18">
        <f t="shared" si="95"/>
        <v>0.00172912789523727</v>
      </c>
      <c r="L261" s="18">
        <f t="shared" si="96"/>
        <v>0</v>
      </c>
      <c r="M261" s="18">
        <v>0</v>
      </c>
      <c r="N261" s="18">
        <f t="shared" si="106"/>
        <v>0</v>
      </c>
      <c r="O261" s="11">
        <v>0</v>
      </c>
      <c r="P261" s="11">
        <v>0</v>
      </c>
      <c r="Q261" s="11">
        <f t="shared" si="113"/>
        <v>1</v>
      </c>
      <c r="R261" s="11">
        <v>0</v>
      </c>
      <c r="S261" s="11">
        <f t="shared" si="97"/>
        <v>0</v>
      </c>
      <c r="T261" s="11">
        <v>0</v>
      </c>
      <c r="U261" s="11">
        <f t="shared" si="112"/>
        <v>1</v>
      </c>
      <c r="V261" s="11">
        <v>0</v>
      </c>
      <c r="W261" s="11">
        <f t="shared" si="98"/>
        <v>1</v>
      </c>
      <c r="X261" s="11">
        <f t="shared" si="99"/>
        <v>0</v>
      </c>
      <c r="Y261" s="19">
        <v>0</v>
      </c>
      <c r="Z261" s="11">
        <v>0</v>
      </c>
      <c r="AA261" s="11">
        <v>0</v>
      </c>
      <c r="AB261" s="11">
        <v>0</v>
      </c>
      <c r="AC261" s="11">
        <v>0</v>
      </c>
      <c r="AD261" s="11">
        <v>0</v>
      </c>
      <c r="AE261" s="11">
        <v>0</v>
      </c>
      <c r="AF261" s="11">
        <v>0</v>
      </c>
      <c r="AG261" s="11">
        <v>0</v>
      </c>
      <c r="AH261" s="11">
        <v>0</v>
      </c>
      <c r="AI261" s="45">
        <v>0</v>
      </c>
      <c r="AJ261" s="45">
        <v>0</v>
      </c>
      <c r="AK261" s="45">
        <f t="shared" si="107"/>
        <v>0.3611</v>
      </c>
      <c r="AL261" s="45">
        <f t="shared" si="108"/>
        <v>0.00348095238095238</v>
      </c>
      <c r="AM261" s="45">
        <f t="shared" si="100"/>
        <v>0.0012569719047619</v>
      </c>
      <c r="AN261" s="45">
        <f t="shared" si="111"/>
        <v>0.792187500000004</v>
      </c>
      <c r="AO261" s="45">
        <f t="shared" si="101"/>
        <v>0.792187500000004</v>
      </c>
      <c r="AP261" s="45">
        <f t="shared" si="102"/>
        <v>1.05625</v>
      </c>
      <c r="AQ261" s="45">
        <f t="shared" si="103"/>
        <v>0</v>
      </c>
      <c r="AR261" s="45">
        <f t="shared" si="104"/>
        <v>0</v>
      </c>
      <c r="AS261" s="19">
        <f t="shared" si="109"/>
        <v>1.07916666666667</v>
      </c>
      <c r="AT261" s="19">
        <f t="shared" si="110"/>
        <v>1.03333333333334</v>
      </c>
      <c r="AU261" s="46">
        <v>0</v>
      </c>
      <c r="AV261" s="46">
        <v>0</v>
      </c>
      <c r="AW261" s="46">
        <v>0</v>
      </c>
      <c r="AX261" s="46">
        <v>1</v>
      </c>
      <c r="AY261" s="47">
        <v>0</v>
      </c>
      <c r="AZ261" s="47">
        <v>-1</v>
      </c>
    </row>
    <row r="262" hidden="1" customHeight="1" spans="1:52">
      <c r="A262" s="44">
        <v>45587</v>
      </c>
      <c r="B262" s="33">
        <f t="shared" si="88"/>
        <v>429</v>
      </c>
      <c r="C262" s="33">
        <f t="shared" si="89"/>
        <v>1993</v>
      </c>
      <c r="D262" s="11">
        <f t="shared" si="90"/>
        <v>2422</v>
      </c>
      <c r="E262" s="34">
        <f t="shared" si="105"/>
        <v>-1.47044493204894e-6</v>
      </c>
      <c r="F262" s="35">
        <f t="shared" si="91"/>
        <v>0.000373493012740426</v>
      </c>
      <c r="G262" s="18">
        <f>(SUM($I$8:$I262)*(MAX(M$3-M$4,0))+(N262*MAX(M$4,0)))*(1-$AM$4)+(AM262*$AM$4)</f>
        <v>0.0952407182488086</v>
      </c>
      <c r="H262" s="18">
        <f t="shared" si="92"/>
        <v>0.916666666666667</v>
      </c>
      <c r="I262" s="18">
        <f t="shared" si="93"/>
        <v>0</v>
      </c>
      <c r="J262" s="18">
        <f t="shared" si="94"/>
        <v>0.255469220714451</v>
      </c>
      <c r="K262" s="18">
        <f t="shared" si="95"/>
        <v>0.0017355029820176</v>
      </c>
      <c r="L262" s="18">
        <f t="shared" si="96"/>
        <v>0</v>
      </c>
      <c r="M262" s="18">
        <v>0</v>
      </c>
      <c r="N262" s="18">
        <f t="shared" si="106"/>
        <v>0</v>
      </c>
      <c r="O262" s="11">
        <v>0</v>
      </c>
      <c r="P262" s="11">
        <v>0</v>
      </c>
      <c r="Q262" s="11">
        <f t="shared" si="113"/>
        <v>1</v>
      </c>
      <c r="R262" s="11">
        <v>0</v>
      </c>
      <c r="S262" s="11">
        <f t="shared" si="97"/>
        <v>0</v>
      </c>
      <c r="T262" s="11">
        <v>0</v>
      </c>
      <c r="U262" s="11">
        <f t="shared" si="112"/>
        <v>1</v>
      </c>
      <c r="V262" s="11">
        <v>0</v>
      </c>
      <c r="W262" s="11">
        <f t="shared" si="98"/>
        <v>1</v>
      </c>
      <c r="X262" s="11">
        <f t="shared" si="99"/>
        <v>0</v>
      </c>
      <c r="Y262" s="19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45">
        <v>0</v>
      </c>
      <c r="AJ262" s="45">
        <v>0</v>
      </c>
      <c r="AK262" s="45">
        <f t="shared" si="107"/>
        <v>0.3611</v>
      </c>
      <c r="AL262" s="45">
        <f t="shared" si="108"/>
        <v>0.00348095238095238</v>
      </c>
      <c r="AM262" s="45">
        <f t="shared" si="100"/>
        <v>0.0012569719047619</v>
      </c>
      <c r="AN262" s="45">
        <f t="shared" si="111"/>
        <v>0.792187500000004</v>
      </c>
      <c r="AO262" s="45">
        <f t="shared" si="101"/>
        <v>0.792187500000004</v>
      </c>
      <c r="AP262" s="45">
        <f t="shared" si="102"/>
        <v>1.05625</v>
      </c>
      <c r="AQ262" s="45">
        <f t="shared" si="103"/>
        <v>0</v>
      </c>
      <c r="AR262" s="45">
        <f t="shared" si="104"/>
        <v>0</v>
      </c>
      <c r="AS262" s="19">
        <f t="shared" si="109"/>
        <v>1.07916666666667</v>
      </c>
      <c r="AT262" s="19">
        <f t="shared" si="110"/>
        <v>1.03333333333334</v>
      </c>
      <c r="AU262" s="46">
        <v>0</v>
      </c>
      <c r="AV262" s="46">
        <v>0</v>
      </c>
      <c r="AW262" s="46">
        <v>0</v>
      </c>
      <c r="AX262" s="46">
        <v>1</v>
      </c>
      <c r="AY262" s="47">
        <v>0</v>
      </c>
      <c r="AZ262" s="47">
        <v>-1</v>
      </c>
    </row>
    <row r="263" hidden="1" customHeight="1" spans="1:52">
      <c r="A263" s="44">
        <v>45588</v>
      </c>
      <c r="B263" s="33">
        <f t="shared" si="88"/>
        <v>428</v>
      </c>
      <c r="C263" s="33">
        <f t="shared" si="89"/>
        <v>2004</v>
      </c>
      <c r="D263" s="11">
        <f t="shared" si="90"/>
        <v>2432</v>
      </c>
      <c r="E263" s="34">
        <f t="shared" si="105"/>
        <v>-1.45895708101727e-6</v>
      </c>
      <c r="F263" s="35">
        <f t="shared" si="91"/>
        <v>0.000372034055659409</v>
      </c>
      <c r="G263" s="18">
        <f>(SUM($I$8:$I263)*(MAX(M$3-M$4,0))+(N263*MAX(M$4,0)))*(1-$AM$4)+(AM263*$AM$4)</f>
        <v>0.0952407182488086</v>
      </c>
      <c r="H263" s="18">
        <f t="shared" si="92"/>
        <v>0.916666666666667</v>
      </c>
      <c r="I263" s="18">
        <f t="shared" si="93"/>
        <v>0</v>
      </c>
      <c r="J263" s="18">
        <f t="shared" si="94"/>
        <v>0.254471294071036</v>
      </c>
      <c r="K263" s="18">
        <f t="shared" si="95"/>
        <v>0.00174188949983403</v>
      </c>
      <c r="L263" s="18">
        <f t="shared" si="96"/>
        <v>0</v>
      </c>
      <c r="M263" s="18">
        <v>0</v>
      </c>
      <c r="N263" s="18">
        <f t="shared" si="106"/>
        <v>0</v>
      </c>
      <c r="O263" s="11">
        <v>0</v>
      </c>
      <c r="P263" s="11">
        <v>0</v>
      </c>
      <c r="Q263" s="11">
        <f t="shared" si="113"/>
        <v>1</v>
      </c>
      <c r="R263" s="11">
        <v>0</v>
      </c>
      <c r="S263" s="11">
        <f t="shared" si="97"/>
        <v>0</v>
      </c>
      <c r="T263" s="11">
        <v>0</v>
      </c>
      <c r="U263" s="11">
        <f t="shared" si="112"/>
        <v>1</v>
      </c>
      <c r="V263" s="11">
        <v>0</v>
      </c>
      <c r="W263" s="11">
        <f t="shared" si="98"/>
        <v>1</v>
      </c>
      <c r="X263" s="11">
        <f t="shared" si="99"/>
        <v>0</v>
      </c>
      <c r="Y263" s="19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1">
        <v>0</v>
      </c>
      <c r="AG263" s="11">
        <v>0</v>
      </c>
      <c r="AH263" s="11">
        <v>0</v>
      </c>
      <c r="AI263" s="45">
        <v>0</v>
      </c>
      <c r="AJ263" s="45">
        <v>0</v>
      </c>
      <c r="AK263" s="45">
        <f t="shared" si="107"/>
        <v>0.3611</v>
      </c>
      <c r="AL263" s="45">
        <f t="shared" si="108"/>
        <v>0.00348095238095238</v>
      </c>
      <c r="AM263" s="45">
        <f t="shared" si="100"/>
        <v>0.0012569719047619</v>
      </c>
      <c r="AN263" s="45">
        <f t="shared" si="111"/>
        <v>0.792187500000004</v>
      </c>
      <c r="AO263" s="45">
        <f t="shared" si="101"/>
        <v>0.792187500000004</v>
      </c>
      <c r="AP263" s="45">
        <f t="shared" si="102"/>
        <v>1.05625</v>
      </c>
      <c r="AQ263" s="45">
        <f t="shared" si="103"/>
        <v>0</v>
      </c>
      <c r="AR263" s="45">
        <f t="shared" si="104"/>
        <v>0</v>
      </c>
      <c r="AS263" s="19">
        <f t="shared" si="109"/>
        <v>1.07916666666667</v>
      </c>
      <c r="AT263" s="19">
        <f t="shared" si="110"/>
        <v>1.03333333333334</v>
      </c>
      <c r="AU263" s="46">
        <v>0</v>
      </c>
      <c r="AV263" s="46">
        <v>0</v>
      </c>
      <c r="AW263" s="46">
        <v>0</v>
      </c>
      <c r="AX263" s="46">
        <v>1</v>
      </c>
      <c r="AY263" s="47">
        <v>0</v>
      </c>
      <c r="AZ263" s="47">
        <v>-1</v>
      </c>
    </row>
    <row r="264" hidden="1" customHeight="1" spans="1:52">
      <c r="A264" s="44">
        <v>45589</v>
      </c>
      <c r="B264" s="33">
        <f t="shared" ref="B264:B327" si="114">B$2-A264+1</f>
        <v>427</v>
      </c>
      <c r="C264" s="33">
        <f t="shared" ref="C264:C327" si="115">D264-B264</f>
        <v>2014</v>
      </c>
      <c r="D264" s="11">
        <f t="shared" ref="D264:D327" si="116">IF(F264&gt;0,ROUND(((1-G264)/F264),0),FACT(128))</f>
        <v>2441</v>
      </c>
      <c r="E264" s="34">
        <f t="shared" si="105"/>
        <v>-1.44760332941406e-6</v>
      </c>
      <c r="F264" s="35">
        <f t="shared" ref="F264:F327" si="117">G264/(ROW()-7)</f>
        <v>0.000370586452329995</v>
      </c>
      <c r="G264" s="18">
        <f>(SUM($I$8:$I264)*(MAX(M$3-M$4,0))+(N264*MAX(M$4,0)))*(1-$AM$4)+(AM264*$AM$4)</f>
        <v>0.0952407182488086</v>
      </c>
      <c r="H264" s="18">
        <f t="shared" ref="H264:H327" si="118">0.5+(MONTH(A264)+(YEAR(A264)-2024)*12)/((YEAR(B$2)-2023)*12)</f>
        <v>0.916666666666667</v>
      </c>
      <c r="I264" s="18">
        <f t="shared" ref="I264:I327" si="119">L264*H264</f>
        <v>0</v>
      </c>
      <c r="J264" s="18">
        <f t="shared" ref="J264:J327" si="120">F264*B264+G264</f>
        <v>0.253481133393716</v>
      </c>
      <c r="K264" s="18">
        <f t="shared" ref="K264:K327" si="121">((1-G264)/B264)-F264</f>
        <v>0.00174828774380863</v>
      </c>
      <c r="L264" s="18">
        <f t="shared" ref="L264:L327" si="122">Y264*Y$6+X264*X$6+Z264*Z$6+AA264*AA$6+AB264*AB$6+AC264*AC$6+AD264*AD$6+AE264*AE$6+AF264*AF$6+AG264*AG$6+AH264*AH$6</f>
        <v>0</v>
      </c>
      <c r="M264" s="18">
        <v>0</v>
      </c>
      <c r="N264" s="18">
        <f t="shared" si="106"/>
        <v>0</v>
      </c>
      <c r="O264" s="11">
        <v>0</v>
      </c>
      <c r="P264" s="11">
        <v>0</v>
      </c>
      <c r="Q264" s="11">
        <f t="shared" si="113"/>
        <v>1</v>
      </c>
      <c r="R264" s="11">
        <v>0</v>
      </c>
      <c r="S264" s="11">
        <f t="shared" ref="S264:S327" si="123">O264*$R$5/MAX(1/FACT(128),R264)</f>
        <v>0</v>
      </c>
      <c r="T264" s="11">
        <v>0</v>
      </c>
      <c r="U264" s="11">
        <f t="shared" si="112"/>
        <v>1</v>
      </c>
      <c r="V264" s="11">
        <v>0</v>
      </c>
      <c r="W264" s="11">
        <f t="shared" ref="W264:W327" si="124">($V$4*V264/(MAX(1,O264)))+1</f>
        <v>1</v>
      </c>
      <c r="X264" s="11">
        <f t="shared" ref="X264:X327" si="125">O264*Q264*S264*U264*W264</f>
        <v>0</v>
      </c>
      <c r="Y264" s="19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45">
        <v>0</v>
      </c>
      <c r="AJ264" s="45">
        <v>0</v>
      </c>
      <c r="AK264" s="45">
        <f t="shared" si="107"/>
        <v>0.3611</v>
      </c>
      <c r="AL264" s="45">
        <f t="shared" si="108"/>
        <v>0.00348095238095238</v>
      </c>
      <c r="AM264" s="45">
        <f t="shared" ref="AM264:AM327" si="126">AL264*AK264</f>
        <v>0.0012569719047619</v>
      </c>
      <c r="AN264" s="45">
        <f t="shared" si="111"/>
        <v>0.792187500000004</v>
      </c>
      <c r="AO264" s="45">
        <f t="shared" ref="AO264:AO327" si="127">AP264*0.75+AQ264*0.125+AR264*0.125</f>
        <v>0.792187500000004</v>
      </c>
      <c r="AP264" s="45">
        <f t="shared" ref="AP264:AP327" si="128">AVERAGE(AS264:AT264)</f>
        <v>1.05625</v>
      </c>
      <c r="AQ264" s="45">
        <f t="shared" ref="AQ264:AQ327" si="129">AY264/AQ$5</f>
        <v>0</v>
      </c>
      <c r="AR264" s="45">
        <f t="shared" ref="AR264:AR327" si="130">IF(AZ264&gt;=0,1/(AZ264+1),0)</f>
        <v>0</v>
      </c>
      <c r="AS264" s="19">
        <f t="shared" si="109"/>
        <v>1.07916666666667</v>
      </c>
      <c r="AT264" s="19">
        <f t="shared" si="110"/>
        <v>1.03333333333334</v>
      </c>
      <c r="AU264" s="46">
        <v>0</v>
      </c>
      <c r="AV264" s="46">
        <v>0</v>
      </c>
      <c r="AW264" s="46">
        <v>0</v>
      </c>
      <c r="AX264" s="46">
        <v>1</v>
      </c>
      <c r="AY264" s="47">
        <v>0</v>
      </c>
      <c r="AZ264" s="47">
        <v>-1</v>
      </c>
    </row>
    <row r="265" hidden="1" customHeight="1" spans="1:52">
      <c r="A265" s="44">
        <v>45590</v>
      </c>
      <c r="B265" s="33">
        <f t="shared" si="114"/>
        <v>426</v>
      </c>
      <c r="C265" s="33">
        <f t="shared" si="115"/>
        <v>2025</v>
      </c>
      <c r="D265" s="11">
        <f t="shared" si="116"/>
        <v>2451</v>
      </c>
      <c r="E265" s="34">
        <f t="shared" ref="E265:E328" si="131">F265-F264</f>
        <v>-1.43638159817825e-6</v>
      </c>
      <c r="F265" s="35">
        <f t="shared" si="117"/>
        <v>0.000369150070731816</v>
      </c>
      <c r="G265" s="18">
        <f>(SUM($I$8:$I265)*(MAX(M$3-M$4,0))+(N265*MAX(M$4,0)))*(1-$AM$4)+(AM265*$AM$4)</f>
        <v>0.0952407182488086</v>
      </c>
      <c r="H265" s="18">
        <f t="shared" si="118"/>
        <v>0.916666666666667</v>
      </c>
      <c r="I265" s="18">
        <f t="shared" si="119"/>
        <v>0</v>
      </c>
      <c r="J265" s="18">
        <f t="shared" si="120"/>
        <v>0.252498648380562</v>
      </c>
      <c r="K265" s="18">
        <f t="shared" si="121"/>
        <v>0.00175469800849633</v>
      </c>
      <c r="L265" s="18">
        <f t="shared" si="122"/>
        <v>0</v>
      </c>
      <c r="M265" s="18">
        <v>0</v>
      </c>
      <c r="N265" s="18">
        <f t="shared" ref="N265:N328" si="132">IF(M265&gt;N264,M265,N264)</f>
        <v>0</v>
      </c>
      <c r="O265" s="11">
        <v>0</v>
      </c>
      <c r="P265" s="11">
        <v>0</v>
      </c>
      <c r="Q265" s="11">
        <f t="shared" si="113"/>
        <v>1</v>
      </c>
      <c r="R265" s="11">
        <v>0</v>
      </c>
      <c r="S265" s="11">
        <f t="shared" si="123"/>
        <v>0</v>
      </c>
      <c r="T265" s="11">
        <v>0</v>
      </c>
      <c r="U265" s="11">
        <f t="shared" si="112"/>
        <v>1</v>
      </c>
      <c r="V265" s="11">
        <v>0</v>
      </c>
      <c r="W265" s="11">
        <f t="shared" si="124"/>
        <v>1</v>
      </c>
      <c r="X265" s="11">
        <f t="shared" si="125"/>
        <v>0</v>
      </c>
      <c r="Y265" s="19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1">
        <v>0</v>
      </c>
      <c r="AG265" s="11">
        <v>0</v>
      </c>
      <c r="AH265" s="11">
        <v>0</v>
      </c>
      <c r="AI265" s="45">
        <v>0</v>
      </c>
      <c r="AJ265" s="45">
        <v>0</v>
      </c>
      <c r="AK265" s="45">
        <f t="shared" ref="AK265:AK328" si="133">IF(AI265&gt;0,AI265,AK264)</f>
        <v>0.3611</v>
      </c>
      <c r="AL265" s="45">
        <f t="shared" ref="AL265:AL328" si="134">IF(AJ265&gt;0,AJ265,AL264)</f>
        <v>0.00348095238095238</v>
      </c>
      <c r="AM265" s="45">
        <f t="shared" si="126"/>
        <v>0.0012569719047619</v>
      </c>
      <c r="AN265" s="45">
        <f t="shared" si="111"/>
        <v>0.792187500000004</v>
      </c>
      <c r="AO265" s="45">
        <f t="shared" si="127"/>
        <v>0.792187500000004</v>
      </c>
      <c r="AP265" s="45">
        <f t="shared" si="128"/>
        <v>1.05625</v>
      </c>
      <c r="AQ265" s="45">
        <f t="shared" si="129"/>
        <v>0</v>
      </c>
      <c r="AR265" s="45">
        <f t="shared" si="130"/>
        <v>0</v>
      </c>
      <c r="AS265" s="19">
        <f t="shared" ref="AS265:AS328" si="135">IF((("24:00"-AX265+AU265)/$AS$5)&gt;0,(("24:00"-AX265+AU265)/$AS$5),AS264)</f>
        <v>1.07916666666667</v>
      </c>
      <c r="AT265" s="19">
        <f t="shared" ref="AT265:AT328" si="136">IF(((AW265-AV265)/$AT$5)&gt;0,((AW265-AV265)/$AT$5),AT264)</f>
        <v>1.03333333333334</v>
      </c>
      <c r="AU265" s="46">
        <v>0</v>
      </c>
      <c r="AV265" s="46">
        <v>0</v>
      </c>
      <c r="AW265" s="46">
        <v>0</v>
      </c>
      <c r="AX265" s="46">
        <v>1</v>
      </c>
      <c r="AY265" s="47">
        <v>0</v>
      </c>
      <c r="AZ265" s="47">
        <v>-1</v>
      </c>
    </row>
    <row r="266" hidden="1" customHeight="1" spans="1:52">
      <c r="A266" s="44">
        <v>45591</v>
      </c>
      <c r="B266" s="33">
        <f t="shared" si="114"/>
        <v>425</v>
      </c>
      <c r="C266" s="33">
        <f t="shared" si="115"/>
        <v>2035</v>
      </c>
      <c r="D266" s="11">
        <f t="shared" si="116"/>
        <v>2460</v>
      </c>
      <c r="E266" s="34">
        <f t="shared" si="131"/>
        <v>-1.31357098666644e-6</v>
      </c>
      <c r="F266" s="35">
        <f t="shared" si="117"/>
        <v>0.00036783649974515</v>
      </c>
      <c r="G266" s="18">
        <f>(SUM($I$8:$I266)*(MAX(M$3-M$4,0))+(N266*MAX(M$4,0)))*(1-$AM$4)+(AM266*$AM$4)</f>
        <v>0.0952696534339938</v>
      </c>
      <c r="H266" s="18">
        <f t="shared" si="118"/>
        <v>0.916666666666667</v>
      </c>
      <c r="I266" s="18">
        <f t="shared" si="119"/>
        <v>0.000154320987654321</v>
      </c>
      <c r="J266" s="18">
        <f t="shared" si="120"/>
        <v>0.251600165825683</v>
      </c>
      <c r="K266" s="18">
        <f t="shared" si="121"/>
        <v>0.00176094078629251</v>
      </c>
      <c r="L266" s="18">
        <f t="shared" si="122"/>
        <v>0.000168350168350168</v>
      </c>
      <c r="M266" s="18">
        <v>0</v>
      </c>
      <c r="N266" s="18">
        <f t="shared" si="132"/>
        <v>0</v>
      </c>
      <c r="O266" s="11">
        <v>0</v>
      </c>
      <c r="P266" s="11">
        <v>0</v>
      </c>
      <c r="Q266" s="11">
        <f t="shared" si="113"/>
        <v>1</v>
      </c>
      <c r="R266" s="11">
        <v>0</v>
      </c>
      <c r="S266" s="11">
        <f t="shared" si="123"/>
        <v>0</v>
      </c>
      <c r="T266" s="11">
        <v>0</v>
      </c>
      <c r="U266" s="11">
        <f t="shared" si="112"/>
        <v>1</v>
      </c>
      <c r="V266" s="11">
        <v>0</v>
      </c>
      <c r="W266" s="11">
        <f t="shared" si="124"/>
        <v>1</v>
      </c>
      <c r="X266" s="11">
        <f t="shared" si="125"/>
        <v>0</v>
      </c>
      <c r="Y266" s="19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2</v>
      </c>
      <c r="AE266" s="11">
        <v>0</v>
      </c>
      <c r="AF266" s="11">
        <v>0</v>
      </c>
      <c r="AG266" s="11">
        <v>0</v>
      </c>
      <c r="AH266" s="11">
        <v>0</v>
      </c>
      <c r="AI266" s="45">
        <v>0</v>
      </c>
      <c r="AJ266" s="45">
        <v>0</v>
      </c>
      <c r="AK266" s="45">
        <f t="shared" si="133"/>
        <v>0.3611</v>
      </c>
      <c r="AL266" s="45">
        <f t="shared" si="134"/>
        <v>0.00348095238095238</v>
      </c>
      <c r="AM266" s="45">
        <f t="shared" si="126"/>
        <v>0.0012569719047619</v>
      </c>
      <c r="AN266" s="45">
        <f t="shared" si="111"/>
        <v>0.792187500000004</v>
      </c>
      <c r="AO266" s="45">
        <f t="shared" si="127"/>
        <v>0.792187500000004</v>
      </c>
      <c r="AP266" s="45">
        <f t="shared" si="128"/>
        <v>1.05625</v>
      </c>
      <c r="AQ266" s="45">
        <f t="shared" si="129"/>
        <v>0</v>
      </c>
      <c r="AR266" s="45">
        <f t="shared" si="130"/>
        <v>0</v>
      </c>
      <c r="AS266" s="19">
        <f t="shared" si="135"/>
        <v>1.07916666666667</v>
      </c>
      <c r="AT266" s="19">
        <f t="shared" si="136"/>
        <v>1.03333333333334</v>
      </c>
      <c r="AU266" s="46">
        <v>0</v>
      </c>
      <c r="AV266" s="46">
        <v>0</v>
      </c>
      <c r="AW266" s="46">
        <v>0</v>
      </c>
      <c r="AX266" s="46">
        <v>1</v>
      </c>
      <c r="AY266" s="47">
        <v>0</v>
      </c>
      <c r="AZ266" s="47">
        <v>-1</v>
      </c>
    </row>
    <row r="267" hidden="1" customHeight="1" spans="1:52">
      <c r="A267" s="44">
        <v>45592</v>
      </c>
      <c r="B267" s="33">
        <f t="shared" si="114"/>
        <v>424</v>
      </c>
      <c r="C267" s="33">
        <f t="shared" si="115"/>
        <v>2038</v>
      </c>
      <c r="D267" s="11">
        <f t="shared" si="116"/>
        <v>2462</v>
      </c>
      <c r="E267" s="34">
        <f t="shared" si="131"/>
        <v>-4.13153204148096e-7</v>
      </c>
      <c r="F267" s="35">
        <f t="shared" si="117"/>
        <v>0.000367423346541002</v>
      </c>
      <c r="G267" s="18">
        <f>(SUM($I$8:$I267)*(MAX(M$3-M$4,0))+(N267*MAX(M$4,0)))*(1-$AM$4)+(AM267*$AM$4)</f>
        <v>0.0955300701006605</v>
      </c>
      <c r="H267" s="18">
        <f t="shared" si="118"/>
        <v>0.916666666666667</v>
      </c>
      <c r="I267" s="18">
        <f t="shared" si="119"/>
        <v>0.00138888888888889</v>
      </c>
      <c r="J267" s="18">
        <f t="shared" si="120"/>
        <v>0.251317569034045</v>
      </c>
      <c r="K267" s="18">
        <f t="shared" si="121"/>
        <v>0.0017657604503914</v>
      </c>
      <c r="L267" s="18">
        <f t="shared" si="122"/>
        <v>0.00151515151515152</v>
      </c>
      <c r="M267" s="18">
        <v>0</v>
      </c>
      <c r="N267" s="18">
        <f t="shared" si="132"/>
        <v>0</v>
      </c>
      <c r="O267" s="11">
        <v>0</v>
      </c>
      <c r="P267" s="11">
        <v>0</v>
      </c>
      <c r="Q267" s="11">
        <f t="shared" si="113"/>
        <v>1</v>
      </c>
      <c r="R267" s="11">
        <v>0</v>
      </c>
      <c r="S267" s="11">
        <f t="shared" si="123"/>
        <v>0</v>
      </c>
      <c r="T267" s="11">
        <v>0</v>
      </c>
      <c r="U267" s="11">
        <f t="shared" si="112"/>
        <v>1</v>
      </c>
      <c r="V267" s="11">
        <v>0</v>
      </c>
      <c r="W267" s="11">
        <f t="shared" si="124"/>
        <v>1</v>
      </c>
      <c r="X267" s="11">
        <f t="shared" si="125"/>
        <v>0</v>
      </c>
      <c r="Y267" s="19">
        <v>0</v>
      </c>
      <c r="Z267" s="11">
        <v>0</v>
      </c>
      <c r="AA267" s="11">
        <v>0</v>
      </c>
      <c r="AB267" s="11">
        <v>10</v>
      </c>
      <c r="AC267" s="11">
        <v>0</v>
      </c>
      <c r="AD267" s="11">
        <v>0</v>
      </c>
      <c r="AE267" s="11">
        <v>0</v>
      </c>
      <c r="AF267" s="11">
        <v>0</v>
      </c>
      <c r="AG267" s="11">
        <v>0</v>
      </c>
      <c r="AH267" s="11">
        <v>0</v>
      </c>
      <c r="AI267" s="45">
        <v>0</v>
      </c>
      <c r="AJ267" s="45">
        <v>0</v>
      </c>
      <c r="AK267" s="45">
        <f t="shared" si="133"/>
        <v>0.3611</v>
      </c>
      <c r="AL267" s="45">
        <f t="shared" si="134"/>
        <v>0.00348095238095238</v>
      </c>
      <c r="AM267" s="45">
        <f t="shared" si="126"/>
        <v>0.0012569719047619</v>
      </c>
      <c r="AN267" s="45">
        <f t="shared" si="111"/>
        <v>0.792187500000004</v>
      </c>
      <c r="AO267" s="45">
        <f t="shared" si="127"/>
        <v>0.792187500000004</v>
      </c>
      <c r="AP267" s="45">
        <f t="shared" si="128"/>
        <v>1.05625</v>
      </c>
      <c r="AQ267" s="45">
        <f t="shared" si="129"/>
        <v>0</v>
      </c>
      <c r="AR267" s="45">
        <f t="shared" si="130"/>
        <v>0</v>
      </c>
      <c r="AS267" s="19">
        <f t="shared" si="135"/>
        <v>1.07916666666667</v>
      </c>
      <c r="AT267" s="19">
        <f t="shared" si="136"/>
        <v>1.03333333333334</v>
      </c>
      <c r="AU267" s="46">
        <v>0</v>
      </c>
      <c r="AV267" s="46">
        <v>0</v>
      </c>
      <c r="AW267" s="46">
        <v>0</v>
      </c>
      <c r="AX267" s="46">
        <v>1</v>
      </c>
      <c r="AY267" s="47">
        <v>0</v>
      </c>
      <c r="AZ267" s="47">
        <v>-1</v>
      </c>
    </row>
    <row r="268" hidden="1" customHeight="1" spans="1:52">
      <c r="A268" s="44">
        <v>45593</v>
      </c>
      <c r="B268" s="33">
        <f t="shared" si="114"/>
        <v>423</v>
      </c>
      <c r="C268" s="33">
        <f t="shared" si="115"/>
        <v>2048</v>
      </c>
      <c r="D268" s="11">
        <f t="shared" si="116"/>
        <v>2471</v>
      </c>
      <c r="E268" s="34">
        <f t="shared" si="131"/>
        <v>-1.40775228559768e-6</v>
      </c>
      <c r="F268" s="35">
        <f t="shared" si="117"/>
        <v>0.000366015594255404</v>
      </c>
      <c r="G268" s="18">
        <f>(SUM($I$8:$I268)*(MAX(M$3-M$4,0))+(N268*MAX(M$4,0)))*(1-$AM$4)+(AM268*$AM$4)</f>
        <v>0.0955300701006605</v>
      </c>
      <c r="H268" s="18">
        <f t="shared" si="118"/>
        <v>0.916666666666667</v>
      </c>
      <c r="I268" s="18">
        <f t="shared" si="119"/>
        <v>0</v>
      </c>
      <c r="J268" s="18">
        <f t="shared" si="120"/>
        <v>0.250354666470696</v>
      </c>
      <c r="K268" s="18">
        <f t="shared" si="121"/>
        <v>0.0017722111903766</v>
      </c>
      <c r="L268" s="18">
        <f t="shared" si="122"/>
        <v>0</v>
      </c>
      <c r="M268" s="18">
        <v>0</v>
      </c>
      <c r="N268" s="18">
        <f t="shared" si="132"/>
        <v>0</v>
      </c>
      <c r="O268" s="11">
        <v>0</v>
      </c>
      <c r="P268" s="11">
        <v>0</v>
      </c>
      <c r="Q268" s="11">
        <f t="shared" si="113"/>
        <v>1</v>
      </c>
      <c r="R268" s="11">
        <v>0</v>
      </c>
      <c r="S268" s="11">
        <f t="shared" si="123"/>
        <v>0</v>
      </c>
      <c r="T268" s="11">
        <v>0</v>
      </c>
      <c r="U268" s="11">
        <f t="shared" si="112"/>
        <v>1</v>
      </c>
      <c r="V268" s="11">
        <v>0</v>
      </c>
      <c r="W268" s="11">
        <f t="shared" si="124"/>
        <v>1</v>
      </c>
      <c r="X268" s="11">
        <f t="shared" si="125"/>
        <v>0</v>
      </c>
      <c r="Y268" s="19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45">
        <v>0</v>
      </c>
      <c r="AJ268" s="45">
        <v>0</v>
      </c>
      <c r="AK268" s="45">
        <f t="shared" si="133"/>
        <v>0.3611</v>
      </c>
      <c r="AL268" s="45">
        <f t="shared" si="134"/>
        <v>0.00348095238095238</v>
      </c>
      <c r="AM268" s="45">
        <f t="shared" si="126"/>
        <v>0.0012569719047619</v>
      </c>
      <c r="AN268" s="45">
        <f t="shared" si="111"/>
        <v>0.792187500000004</v>
      </c>
      <c r="AO268" s="45">
        <f t="shared" si="127"/>
        <v>0.792187500000004</v>
      </c>
      <c r="AP268" s="45">
        <f t="shared" si="128"/>
        <v>1.05625</v>
      </c>
      <c r="AQ268" s="45">
        <f t="shared" si="129"/>
        <v>0</v>
      </c>
      <c r="AR268" s="45">
        <f t="shared" si="130"/>
        <v>0</v>
      </c>
      <c r="AS268" s="19">
        <f t="shared" si="135"/>
        <v>1.07916666666667</v>
      </c>
      <c r="AT268" s="19">
        <f t="shared" si="136"/>
        <v>1.03333333333334</v>
      </c>
      <c r="AU268" s="46">
        <v>0</v>
      </c>
      <c r="AV268" s="46">
        <v>0</v>
      </c>
      <c r="AW268" s="46">
        <v>0</v>
      </c>
      <c r="AX268" s="46">
        <v>1</v>
      </c>
      <c r="AY268" s="47">
        <v>0</v>
      </c>
      <c r="AZ268" s="47">
        <v>-1</v>
      </c>
    </row>
    <row r="269" hidden="1" customHeight="1" spans="1:52">
      <c r="A269" s="44">
        <v>45594</v>
      </c>
      <c r="B269" s="33">
        <f t="shared" si="114"/>
        <v>422</v>
      </c>
      <c r="C269" s="33">
        <f t="shared" si="115"/>
        <v>2059</v>
      </c>
      <c r="D269" s="11">
        <f t="shared" si="116"/>
        <v>2481</v>
      </c>
      <c r="E269" s="34">
        <f t="shared" si="131"/>
        <v>-1.39700608494433e-6</v>
      </c>
      <c r="F269" s="35">
        <f t="shared" si="117"/>
        <v>0.00036461858817046</v>
      </c>
      <c r="G269" s="18">
        <f>(SUM($I$8:$I269)*(MAX(M$3-M$4,0))+(N269*MAX(M$4,0)))*(1-$AM$4)+(AM269*$AM$4)</f>
        <v>0.0955300701006605</v>
      </c>
      <c r="H269" s="18">
        <f t="shared" si="118"/>
        <v>0.916666666666667</v>
      </c>
      <c r="I269" s="18">
        <f t="shared" si="119"/>
        <v>0</v>
      </c>
      <c r="J269" s="18">
        <f t="shared" si="120"/>
        <v>0.249399114308595</v>
      </c>
      <c r="K269" s="18">
        <f t="shared" si="121"/>
        <v>0.00177867508457679</v>
      </c>
      <c r="L269" s="18">
        <f t="shared" si="122"/>
        <v>0</v>
      </c>
      <c r="M269" s="18">
        <v>0</v>
      </c>
      <c r="N269" s="18">
        <f t="shared" si="132"/>
        <v>0</v>
      </c>
      <c r="O269" s="11">
        <v>0</v>
      </c>
      <c r="P269" s="11">
        <v>0</v>
      </c>
      <c r="Q269" s="11">
        <f t="shared" si="113"/>
        <v>1</v>
      </c>
      <c r="R269" s="11">
        <v>0</v>
      </c>
      <c r="S269" s="11">
        <f t="shared" si="123"/>
        <v>0</v>
      </c>
      <c r="T269" s="11">
        <v>0</v>
      </c>
      <c r="U269" s="11">
        <f t="shared" si="112"/>
        <v>1</v>
      </c>
      <c r="V269" s="11">
        <v>0</v>
      </c>
      <c r="W269" s="11">
        <f t="shared" si="124"/>
        <v>1</v>
      </c>
      <c r="X269" s="11">
        <f t="shared" si="125"/>
        <v>0</v>
      </c>
      <c r="Y269" s="19">
        <v>0</v>
      </c>
      <c r="Z269" s="11">
        <v>0</v>
      </c>
      <c r="AA269" s="11">
        <v>0</v>
      </c>
      <c r="AB269" s="11">
        <v>0</v>
      </c>
      <c r="AC269" s="11">
        <v>0</v>
      </c>
      <c r="AD269" s="11">
        <v>0</v>
      </c>
      <c r="AE269" s="11">
        <v>0</v>
      </c>
      <c r="AF269" s="11">
        <v>0</v>
      </c>
      <c r="AG269" s="11">
        <v>0</v>
      </c>
      <c r="AH269" s="11">
        <v>0</v>
      </c>
      <c r="AI269" s="45">
        <v>0</v>
      </c>
      <c r="AJ269" s="45">
        <v>0</v>
      </c>
      <c r="AK269" s="45">
        <f t="shared" si="133"/>
        <v>0.3611</v>
      </c>
      <c r="AL269" s="45">
        <f t="shared" si="134"/>
        <v>0.00348095238095238</v>
      </c>
      <c r="AM269" s="45">
        <f t="shared" si="126"/>
        <v>0.0012569719047619</v>
      </c>
      <c r="AN269" s="45">
        <f t="shared" si="111"/>
        <v>0.792187500000004</v>
      </c>
      <c r="AO269" s="45">
        <f t="shared" si="127"/>
        <v>0.792187500000004</v>
      </c>
      <c r="AP269" s="45">
        <f t="shared" si="128"/>
        <v>1.05625</v>
      </c>
      <c r="AQ269" s="45">
        <f t="shared" si="129"/>
        <v>0</v>
      </c>
      <c r="AR269" s="45">
        <f t="shared" si="130"/>
        <v>0</v>
      </c>
      <c r="AS269" s="19">
        <f t="shared" si="135"/>
        <v>1.07916666666667</v>
      </c>
      <c r="AT269" s="19">
        <f t="shared" si="136"/>
        <v>1.03333333333334</v>
      </c>
      <c r="AU269" s="46">
        <v>0</v>
      </c>
      <c r="AV269" s="46">
        <v>0</v>
      </c>
      <c r="AW269" s="46">
        <v>0</v>
      </c>
      <c r="AX269" s="46">
        <v>1</v>
      </c>
      <c r="AY269" s="47">
        <v>0</v>
      </c>
      <c r="AZ269" s="47">
        <v>-1</v>
      </c>
    </row>
    <row r="270" hidden="1" customHeight="1" spans="1:52">
      <c r="A270" s="44">
        <v>45595</v>
      </c>
      <c r="B270" s="33">
        <f t="shared" si="114"/>
        <v>421</v>
      </c>
      <c r="C270" s="33">
        <f t="shared" si="115"/>
        <v>2069</v>
      </c>
      <c r="D270" s="11">
        <f t="shared" si="116"/>
        <v>2490</v>
      </c>
      <c r="E270" s="34">
        <f t="shared" si="131"/>
        <v>-1.38638246452644e-6</v>
      </c>
      <c r="F270" s="35">
        <f t="shared" si="117"/>
        <v>0.000363232205705933</v>
      </c>
      <c r="G270" s="18">
        <f>(SUM($I$8:$I270)*(MAX(M$3-M$4,0))+(N270*MAX(M$4,0)))*(1-$AM$4)+(AM270*$AM$4)</f>
        <v>0.0955300701006605</v>
      </c>
      <c r="H270" s="18">
        <f t="shared" si="118"/>
        <v>0.916666666666667</v>
      </c>
      <c r="I270" s="18">
        <f t="shared" si="119"/>
        <v>0</v>
      </c>
      <c r="J270" s="18">
        <f t="shared" si="120"/>
        <v>0.248450828702858</v>
      </c>
      <c r="K270" s="18">
        <f t="shared" si="121"/>
        <v>0.00178515242588395</v>
      </c>
      <c r="L270" s="18">
        <f t="shared" si="122"/>
        <v>0</v>
      </c>
      <c r="M270" s="18">
        <v>0</v>
      </c>
      <c r="N270" s="18">
        <f t="shared" si="132"/>
        <v>0</v>
      </c>
      <c r="O270" s="11">
        <v>0</v>
      </c>
      <c r="P270" s="11">
        <v>0</v>
      </c>
      <c r="Q270" s="11">
        <f t="shared" si="113"/>
        <v>1</v>
      </c>
      <c r="R270" s="11">
        <v>0</v>
      </c>
      <c r="S270" s="11">
        <f t="shared" si="123"/>
        <v>0</v>
      </c>
      <c r="T270" s="11">
        <v>0</v>
      </c>
      <c r="U270" s="11">
        <f t="shared" si="112"/>
        <v>1</v>
      </c>
      <c r="V270" s="11">
        <v>0</v>
      </c>
      <c r="W270" s="11">
        <f t="shared" si="124"/>
        <v>1</v>
      </c>
      <c r="X270" s="11">
        <f t="shared" si="125"/>
        <v>0</v>
      </c>
      <c r="Y270" s="19">
        <v>0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45">
        <v>0</v>
      </c>
      <c r="AJ270" s="45">
        <v>0</v>
      </c>
      <c r="AK270" s="45">
        <f t="shared" si="133"/>
        <v>0.3611</v>
      </c>
      <c r="AL270" s="45">
        <f t="shared" si="134"/>
        <v>0.00348095238095238</v>
      </c>
      <c r="AM270" s="45">
        <f t="shared" si="126"/>
        <v>0.0012569719047619</v>
      </c>
      <c r="AN270" s="45">
        <f t="shared" si="111"/>
        <v>0.792187500000003</v>
      </c>
      <c r="AO270" s="45">
        <f t="shared" si="127"/>
        <v>0.792187500000004</v>
      </c>
      <c r="AP270" s="45">
        <f t="shared" si="128"/>
        <v>1.05625</v>
      </c>
      <c r="AQ270" s="45">
        <f t="shared" si="129"/>
        <v>0</v>
      </c>
      <c r="AR270" s="45">
        <f t="shared" si="130"/>
        <v>0</v>
      </c>
      <c r="AS270" s="19">
        <f t="shared" si="135"/>
        <v>1.07916666666667</v>
      </c>
      <c r="AT270" s="19">
        <f t="shared" si="136"/>
        <v>1.03333333333334</v>
      </c>
      <c r="AU270" s="46">
        <v>0</v>
      </c>
      <c r="AV270" s="46">
        <v>0</v>
      </c>
      <c r="AW270" s="46">
        <v>0</v>
      </c>
      <c r="AX270" s="46">
        <v>1</v>
      </c>
      <c r="AY270" s="47">
        <v>0</v>
      </c>
      <c r="AZ270" s="47">
        <v>-1</v>
      </c>
    </row>
    <row r="271" hidden="1" customHeight="1" spans="1:52">
      <c r="A271" s="44">
        <v>45596</v>
      </c>
      <c r="B271" s="33">
        <f t="shared" si="114"/>
        <v>420</v>
      </c>
      <c r="C271" s="33">
        <f t="shared" si="115"/>
        <v>2080</v>
      </c>
      <c r="D271" s="11">
        <f t="shared" si="116"/>
        <v>2500</v>
      </c>
      <c r="E271" s="34">
        <f t="shared" si="131"/>
        <v>-1.37587956706791e-6</v>
      </c>
      <c r="F271" s="35">
        <f t="shared" si="117"/>
        <v>0.000361856326138865</v>
      </c>
      <c r="G271" s="18">
        <f>(SUM($I$8:$I271)*(MAX(M$3-M$4,0))+(N271*MAX(M$4,0)))*(1-$AM$4)+(AM271*$AM$4)</f>
        <v>0.0955300701006605</v>
      </c>
      <c r="H271" s="18">
        <f t="shared" si="118"/>
        <v>0.916666666666667</v>
      </c>
      <c r="I271" s="18">
        <f t="shared" si="119"/>
        <v>0</v>
      </c>
      <c r="J271" s="18">
        <f t="shared" si="120"/>
        <v>0.247509727078984</v>
      </c>
      <c r="K271" s="18">
        <f t="shared" si="121"/>
        <v>0.0017916435069548</v>
      </c>
      <c r="L271" s="18">
        <f t="shared" si="122"/>
        <v>0</v>
      </c>
      <c r="M271" s="18">
        <v>0</v>
      </c>
      <c r="N271" s="18">
        <f t="shared" si="132"/>
        <v>0</v>
      </c>
      <c r="O271" s="11">
        <v>0</v>
      </c>
      <c r="P271" s="11">
        <v>0</v>
      </c>
      <c r="Q271" s="11">
        <f t="shared" si="113"/>
        <v>1</v>
      </c>
      <c r="R271" s="11">
        <v>0</v>
      </c>
      <c r="S271" s="11">
        <f t="shared" si="123"/>
        <v>0</v>
      </c>
      <c r="T271" s="11">
        <v>0</v>
      </c>
      <c r="U271" s="11">
        <f t="shared" si="112"/>
        <v>1</v>
      </c>
      <c r="V271" s="11">
        <v>0</v>
      </c>
      <c r="W271" s="11">
        <f t="shared" si="124"/>
        <v>1</v>
      </c>
      <c r="X271" s="11">
        <f t="shared" si="125"/>
        <v>0</v>
      </c>
      <c r="Y271" s="19">
        <v>0</v>
      </c>
      <c r="Z271" s="11">
        <v>0</v>
      </c>
      <c r="AA271" s="11">
        <v>0</v>
      </c>
      <c r="AB271" s="11">
        <v>0</v>
      </c>
      <c r="AC271" s="11">
        <v>0</v>
      </c>
      <c r="AD271" s="11">
        <v>0</v>
      </c>
      <c r="AE271" s="11">
        <v>0</v>
      </c>
      <c r="AF271" s="11">
        <v>0</v>
      </c>
      <c r="AG271" s="11">
        <v>0</v>
      </c>
      <c r="AH271" s="11">
        <v>0</v>
      </c>
      <c r="AI271" s="45">
        <v>0</v>
      </c>
      <c r="AJ271" s="45">
        <v>0</v>
      </c>
      <c r="AK271" s="45">
        <f t="shared" si="133"/>
        <v>0.3611</v>
      </c>
      <c r="AL271" s="45">
        <f t="shared" si="134"/>
        <v>0.00348095238095238</v>
      </c>
      <c r="AM271" s="45">
        <f t="shared" si="126"/>
        <v>0.0012569719047619</v>
      </c>
      <c r="AN271" s="45">
        <f t="shared" ref="AN271:AN333" si="137">IFERROR(AVERAGEIF(AO264:AO270,"&gt;0",AO264:AO270),0)</f>
        <v>0.792187500000003</v>
      </c>
      <c r="AO271" s="45">
        <f t="shared" si="127"/>
        <v>0.792187500000004</v>
      </c>
      <c r="AP271" s="45">
        <f t="shared" si="128"/>
        <v>1.05625</v>
      </c>
      <c r="AQ271" s="45">
        <f t="shared" si="129"/>
        <v>0</v>
      </c>
      <c r="AR271" s="45">
        <f t="shared" si="130"/>
        <v>0</v>
      </c>
      <c r="AS271" s="19">
        <f t="shared" si="135"/>
        <v>1.07916666666667</v>
      </c>
      <c r="AT271" s="19">
        <f t="shared" si="136"/>
        <v>1.03333333333334</v>
      </c>
      <c r="AU271" s="46">
        <v>0</v>
      </c>
      <c r="AV271" s="46">
        <v>0</v>
      </c>
      <c r="AW271" s="46">
        <v>0</v>
      </c>
      <c r="AX271" s="46">
        <v>1</v>
      </c>
      <c r="AY271" s="47">
        <v>0</v>
      </c>
      <c r="AZ271" s="47">
        <v>-1</v>
      </c>
    </row>
    <row r="272" hidden="1" customHeight="1" spans="1:52">
      <c r="A272" s="44">
        <v>45597</v>
      </c>
      <c r="B272" s="33">
        <f t="shared" si="114"/>
        <v>419</v>
      </c>
      <c r="C272" s="33">
        <f t="shared" si="115"/>
        <v>2090</v>
      </c>
      <c r="D272" s="11">
        <f t="shared" si="116"/>
        <v>2509</v>
      </c>
      <c r="E272" s="34">
        <f t="shared" si="131"/>
        <v>-1.36549557033534e-6</v>
      </c>
      <c r="F272" s="35">
        <f t="shared" si="117"/>
        <v>0.00036049083056853</v>
      </c>
      <c r="G272" s="18">
        <f>(SUM($I$8:$I272)*(MAX(M$3-M$4,0))+(N272*MAX(M$4,0)))*(1-$AM$4)+(AM272*$AM$4)</f>
        <v>0.0955300701006605</v>
      </c>
      <c r="H272" s="18">
        <f t="shared" si="118"/>
        <v>0.958333333333333</v>
      </c>
      <c r="I272" s="18">
        <f t="shared" si="119"/>
        <v>0</v>
      </c>
      <c r="J272" s="18">
        <f t="shared" si="120"/>
        <v>0.246575728108875</v>
      </c>
      <c r="K272" s="18">
        <f t="shared" si="121"/>
        <v>0.00179814862026522</v>
      </c>
      <c r="L272" s="18">
        <f t="shared" si="122"/>
        <v>0</v>
      </c>
      <c r="M272" s="18">
        <v>0</v>
      </c>
      <c r="N272" s="18">
        <f t="shared" si="132"/>
        <v>0</v>
      </c>
      <c r="O272" s="11">
        <v>0</v>
      </c>
      <c r="P272" s="11">
        <v>0</v>
      </c>
      <c r="Q272" s="11">
        <f t="shared" si="113"/>
        <v>1</v>
      </c>
      <c r="R272" s="11">
        <v>0</v>
      </c>
      <c r="S272" s="11">
        <f t="shared" si="123"/>
        <v>0</v>
      </c>
      <c r="T272" s="11">
        <v>0</v>
      </c>
      <c r="U272" s="11">
        <f t="shared" si="112"/>
        <v>1</v>
      </c>
      <c r="V272" s="11">
        <v>0</v>
      </c>
      <c r="W272" s="11">
        <f t="shared" si="124"/>
        <v>1</v>
      </c>
      <c r="X272" s="11">
        <f t="shared" si="125"/>
        <v>0</v>
      </c>
      <c r="Y272" s="19">
        <v>0</v>
      </c>
      <c r="Z272" s="11">
        <v>0</v>
      </c>
      <c r="AA272" s="11">
        <v>0</v>
      </c>
      <c r="AB272" s="11">
        <v>0</v>
      </c>
      <c r="AC272" s="11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45">
        <v>0</v>
      </c>
      <c r="AJ272" s="45">
        <v>0</v>
      </c>
      <c r="AK272" s="45">
        <f t="shared" si="133"/>
        <v>0.3611</v>
      </c>
      <c r="AL272" s="45">
        <f t="shared" si="134"/>
        <v>0.00348095238095238</v>
      </c>
      <c r="AM272" s="45">
        <f t="shared" si="126"/>
        <v>0.0012569719047619</v>
      </c>
      <c r="AN272" s="45">
        <f t="shared" si="137"/>
        <v>0.792187500000003</v>
      </c>
      <c r="AO272" s="45">
        <f t="shared" si="127"/>
        <v>0.792187500000004</v>
      </c>
      <c r="AP272" s="45">
        <f t="shared" si="128"/>
        <v>1.05625</v>
      </c>
      <c r="AQ272" s="45">
        <f t="shared" si="129"/>
        <v>0</v>
      </c>
      <c r="AR272" s="45">
        <f t="shared" si="130"/>
        <v>0</v>
      </c>
      <c r="AS272" s="19">
        <f t="shared" si="135"/>
        <v>1.07916666666667</v>
      </c>
      <c r="AT272" s="19">
        <f t="shared" si="136"/>
        <v>1.03333333333334</v>
      </c>
      <c r="AU272" s="46">
        <v>0</v>
      </c>
      <c r="AV272" s="46">
        <v>0</v>
      </c>
      <c r="AW272" s="46">
        <v>0</v>
      </c>
      <c r="AX272" s="46">
        <v>1</v>
      </c>
      <c r="AY272" s="47">
        <v>0</v>
      </c>
      <c r="AZ272" s="47">
        <v>-1</v>
      </c>
    </row>
    <row r="273" hidden="1" customHeight="1" spans="1:52">
      <c r="A273" s="44">
        <v>45598</v>
      </c>
      <c r="B273" s="33">
        <f t="shared" si="114"/>
        <v>418</v>
      </c>
      <c r="C273" s="33">
        <f t="shared" si="115"/>
        <v>2099</v>
      </c>
      <c r="D273" s="11">
        <f t="shared" si="116"/>
        <v>2517</v>
      </c>
      <c r="E273" s="34">
        <f t="shared" si="131"/>
        <v>-1.12778191284845e-6</v>
      </c>
      <c r="F273" s="35">
        <f t="shared" si="117"/>
        <v>0.000359363048655682</v>
      </c>
      <c r="G273" s="18">
        <f>(SUM($I$8:$I273)*(MAX(M$3-M$4,0))+(N273*MAX(M$4,0)))*(1-$AM$4)+(AM273*$AM$4)</f>
        <v>0.0955905709424113</v>
      </c>
      <c r="H273" s="18">
        <f t="shared" si="118"/>
        <v>0.958333333333333</v>
      </c>
      <c r="I273" s="18">
        <f t="shared" si="119"/>
        <v>0.000322671156004489</v>
      </c>
      <c r="J273" s="18">
        <f t="shared" si="120"/>
        <v>0.245804325280486</v>
      </c>
      <c r="K273" s="18">
        <f t="shared" si="121"/>
        <v>0.00180429587253472</v>
      </c>
      <c r="L273" s="18">
        <f t="shared" si="122"/>
        <v>0.000336700336700337</v>
      </c>
      <c r="M273" s="18">
        <v>0</v>
      </c>
      <c r="N273" s="18">
        <f t="shared" si="132"/>
        <v>0</v>
      </c>
      <c r="O273" s="11">
        <v>0</v>
      </c>
      <c r="P273" s="11">
        <v>0</v>
      </c>
      <c r="Q273" s="11">
        <f t="shared" si="113"/>
        <v>1</v>
      </c>
      <c r="R273" s="11">
        <v>0</v>
      </c>
      <c r="S273" s="11">
        <f t="shared" si="123"/>
        <v>0</v>
      </c>
      <c r="T273" s="11">
        <v>0</v>
      </c>
      <c r="U273" s="11">
        <f t="shared" si="112"/>
        <v>1</v>
      </c>
      <c r="V273" s="11">
        <v>0</v>
      </c>
      <c r="W273" s="11">
        <f t="shared" si="124"/>
        <v>1</v>
      </c>
      <c r="X273" s="11">
        <f t="shared" si="125"/>
        <v>0</v>
      </c>
      <c r="Y273" s="19">
        <v>0</v>
      </c>
      <c r="Z273" s="11">
        <v>0</v>
      </c>
      <c r="AA273" s="11">
        <v>0</v>
      </c>
      <c r="AB273" s="11">
        <v>0</v>
      </c>
      <c r="AC273" s="11">
        <v>0</v>
      </c>
      <c r="AD273" s="11">
        <v>4</v>
      </c>
      <c r="AE273" s="11">
        <v>0</v>
      </c>
      <c r="AF273" s="11">
        <v>0</v>
      </c>
      <c r="AG273" s="11">
        <v>0</v>
      </c>
      <c r="AH273" s="11">
        <v>0</v>
      </c>
      <c r="AI273" s="45">
        <v>0</v>
      </c>
      <c r="AJ273" s="45">
        <v>0</v>
      </c>
      <c r="AK273" s="45">
        <f t="shared" si="133"/>
        <v>0.3611</v>
      </c>
      <c r="AL273" s="45">
        <f t="shared" si="134"/>
        <v>0.00348095238095238</v>
      </c>
      <c r="AM273" s="45">
        <f t="shared" si="126"/>
        <v>0.0012569719047619</v>
      </c>
      <c r="AN273" s="45">
        <f t="shared" si="137"/>
        <v>0.792187500000003</v>
      </c>
      <c r="AO273" s="45">
        <f t="shared" si="127"/>
        <v>0.792187500000004</v>
      </c>
      <c r="AP273" s="45">
        <f t="shared" si="128"/>
        <v>1.05625</v>
      </c>
      <c r="AQ273" s="45">
        <f t="shared" si="129"/>
        <v>0</v>
      </c>
      <c r="AR273" s="45">
        <f t="shared" si="130"/>
        <v>0</v>
      </c>
      <c r="AS273" s="19">
        <f t="shared" si="135"/>
        <v>1.07916666666667</v>
      </c>
      <c r="AT273" s="19">
        <f t="shared" si="136"/>
        <v>1.03333333333334</v>
      </c>
      <c r="AU273" s="46">
        <v>0</v>
      </c>
      <c r="AV273" s="46">
        <v>0</v>
      </c>
      <c r="AW273" s="46">
        <v>0</v>
      </c>
      <c r="AX273" s="46">
        <v>1</v>
      </c>
      <c r="AY273" s="47">
        <v>0</v>
      </c>
      <c r="AZ273" s="47">
        <v>-1</v>
      </c>
    </row>
    <row r="274" hidden="1" customHeight="1" spans="1:52">
      <c r="A274" s="44">
        <v>45599</v>
      </c>
      <c r="B274" s="33">
        <f t="shared" si="114"/>
        <v>417</v>
      </c>
      <c r="C274" s="33">
        <f t="shared" si="115"/>
        <v>2107</v>
      </c>
      <c r="D274" s="11">
        <f t="shared" si="116"/>
        <v>2524</v>
      </c>
      <c r="E274" s="34">
        <f t="shared" si="131"/>
        <v>-1.0060366517956e-6</v>
      </c>
      <c r="F274" s="35">
        <f t="shared" si="117"/>
        <v>0.000358357012003886</v>
      </c>
      <c r="G274" s="18">
        <f>(SUM($I$8:$I274)*(MAX(M$3-M$4,0))+(N274*MAX(M$4,0)))*(1-$AM$4)+(AM274*$AM$4)</f>
        <v>0.0956813222050376</v>
      </c>
      <c r="H274" s="18">
        <f t="shared" si="118"/>
        <v>0.958333333333333</v>
      </c>
      <c r="I274" s="18">
        <f t="shared" si="119"/>
        <v>0.000484006734006734</v>
      </c>
      <c r="J274" s="18">
        <f t="shared" si="120"/>
        <v>0.245116196210658</v>
      </c>
      <c r="K274" s="18">
        <f t="shared" si="121"/>
        <v>0.00181027291076581</v>
      </c>
      <c r="L274" s="18">
        <f t="shared" si="122"/>
        <v>0.000505050505050505</v>
      </c>
      <c r="M274" s="18">
        <v>0</v>
      </c>
      <c r="N274" s="18">
        <f t="shared" si="132"/>
        <v>0</v>
      </c>
      <c r="O274" s="11">
        <v>0</v>
      </c>
      <c r="P274" s="11">
        <v>0</v>
      </c>
      <c r="Q274" s="11">
        <f t="shared" si="113"/>
        <v>1</v>
      </c>
      <c r="R274" s="11">
        <v>0</v>
      </c>
      <c r="S274" s="11">
        <f t="shared" si="123"/>
        <v>0</v>
      </c>
      <c r="T274" s="11">
        <v>0</v>
      </c>
      <c r="U274" s="11">
        <f t="shared" si="112"/>
        <v>1</v>
      </c>
      <c r="V274" s="11">
        <v>0</v>
      </c>
      <c r="W274" s="11">
        <f t="shared" si="124"/>
        <v>1</v>
      </c>
      <c r="X274" s="11">
        <f t="shared" si="125"/>
        <v>0</v>
      </c>
      <c r="Y274" s="19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6</v>
      </c>
      <c r="AE274" s="11">
        <v>0</v>
      </c>
      <c r="AF274" s="11">
        <v>0</v>
      </c>
      <c r="AG274" s="11">
        <v>0</v>
      </c>
      <c r="AH274" s="11">
        <v>0</v>
      </c>
      <c r="AI274" s="45">
        <v>0</v>
      </c>
      <c r="AJ274" s="45">
        <v>0</v>
      </c>
      <c r="AK274" s="45">
        <f t="shared" si="133"/>
        <v>0.3611</v>
      </c>
      <c r="AL274" s="45">
        <f t="shared" si="134"/>
        <v>0.00348095238095238</v>
      </c>
      <c r="AM274" s="45">
        <f t="shared" si="126"/>
        <v>0.0012569719047619</v>
      </c>
      <c r="AN274" s="45">
        <f t="shared" si="137"/>
        <v>0.792187500000003</v>
      </c>
      <c r="AO274" s="45">
        <f t="shared" si="127"/>
        <v>0.792187500000004</v>
      </c>
      <c r="AP274" s="45">
        <f t="shared" si="128"/>
        <v>1.05625</v>
      </c>
      <c r="AQ274" s="45">
        <f t="shared" si="129"/>
        <v>0</v>
      </c>
      <c r="AR274" s="45">
        <f t="shared" si="130"/>
        <v>0</v>
      </c>
      <c r="AS274" s="19">
        <f t="shared" si="135"/>
        <v>1.07916666666667</v>
      </c>
      <c r="AT274" s="19">
        <f t="shared" si="136"/>
        <v>1.03333333333334</v>
      </c>
      <c r="AU274" s="46">
        <v>0</v>
      </c>
      <c r="AV274" s="46">
        <v>0</v>
      </c>
      <c r="AW274" s="46">
        <v>0</v>
      </c>
      <c r="AX274" s="46">
        <v>1</v>
      </c>
      <c r="AY274" s="47">
        <v>0</v>
      </c>
      <c r="AZ274" s="47">
        <v>-1</v>
      </c>
    </row>
    <row r="275" hidden="1" customHeight="1" spans="1:52">
      <c r="A275" s="44">
        <v>45600</v>
      </c>
      <c r="B275" s="33">
        <f t="shared" si="114"/>
        <v>416</v>
      </c>
      <c r="C275" s="33">
        <f t="shared" si="115"/>
        <v>2117</v>
      </c>
      <c r="D275" s="11">
        <f t="shared" si="116"/>
        <v>2533</v>
      </c>
      <c r="E275" s="34">
        <f t="shared" si="131"/>
        <v>-1.33715302986522e-6</v>
      </c>
      <c r="F275" s="35">
        <f t="shared" si="117"/>
        <v>0.000357019858974021</v>
      </c>
      <c r="G275" s="18">
        <f>(SUM($I$8:$I275)*(MAX(M$3-M$4,0))+(N275*MAX(M$4,0)))*(1-$AM$4)+(AM275*$AM$4)</f>
        <v>0.0956813222050376</v>
      </c>
      <c r="H275" s="18">
        <f t="shared" si="118"/>
        <v>0.958333333333333</v>
      </c>
      <c r="I275" s="18">
        <f t="shared" si="119"/>
        <v>0</v>
      </c>
      <c r="J275" s="18">
        <f t="shared" si="120"/>
        <v>0.24420158353823</v>
      </c>
      <c r="K275" s="18">
        <f t="shared" si="121"/>
        <v>0.00181682311649464</v>
      </c>
      <c r="L275" s="18">
        <f t="shared" si="122"/>
        <v>0</v>
      </c>
      <c r="M275" s="18">
        <v>0</v>
      </c>
      <c r="N275" s="18">
        <f t="shared" si="132"/>
        <v>0</v>
      </c>
      <c r="O275" s="11">
        <v>0</v>
      </c>
      <c r="P275" s="11">
        <v>0</v>
      </c>
      <c r="Q275" s="11">
        <f t="shared" si="113"/>
        <v>1</v>
      </c>
      <c r="R275" s="11">
        <v>0</v>
      </c>
      <c r="S275" s="11">
        <f t="shared" si="123"/>
        <v>0</v>
      </c>
      <c r="T275" s="11">
        <v>0</v>
      </c>
      <c r="U275" s="11">
        <f t="shared" si="112"/>
        <v>1</v>
      </c>
      <c r="V275" s="11">
        <v>0</v>
      </c>
      <c r="W275" s="11">
        <f t="shared" si="124"/>
        <v>1</v>
      </c>
      <c r="X275" s="11">
        <f t="shared" si="125"/>
        <v>0</v>
      </c>
      <c r="Y275" s="19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1">
        <v>0</v>
      </c>
      <c r="AG275" s="11">
        <v>0</v>
      </c>
      <c r="AH275" s="11">
        <v>0</v>
      </c>
      <c r="AI275" s="45">
        <v>0</v>
      </c>
      <c r="AJ275" s="45">
        <v>0</v>
      </c>
      <c r="AK275" s="45">
        <f t="shared" si="133"/>
        <v>0.3611</v>
      </c>
      <c r="AL275" s="45">
        <f t="shared" si="134"/>
        <v>0.00348095238095238</v>
      </c>
      <c r="AM275" s="45">
        <f t="shared" si="126"/>
        <v>0.0012569719047619</v>
      </c>
      <c r="AN275" s="45">
        <f t="shared" si="137"/>
        <v>0.792187500000003</v>
      </c>
      <c r="AO275" s="45">
        <f t="shared" si="127"/>
        <v>0.792187500000004</v>
      </c>
      <c r="AP275" s="45">
        <f t="shared" si="128"/>
        <v>1.05625</v>
      </c>
      <c r="AQ275" s="45">
        <f t="shared" si="129"/>
        <v>0</v>
      </c>
      <c r="AR275" s="45">
        <f t="shared" si="130"/>
        <v>0</v>
      </c>
      <c r="AS275" s="19">
        <f t="shared" si="135"/>
        <v>1.07916666666667</v>
      </c>
      <c r="AT275" s="19">
        <f t="shared" si="136"/>
        <v>1.03333333333334</v>
      </c>
      <c r="AU275" s="46">
        <v>0</v>
      </c>
      <c r="AV275" s="46">
        <v>0</v>
      </c>
      <c r="AW275" s="46">
        <v>0</v>
      </c>
      <c r="AX275" s="46">
        <v>1</v>
      </c>
      <c r="AY275" s="47">
        <v>0</v>
      </c>
      <c r="AZ275" s="47">
        <v>-1</v>
      </c>
    </row>
    <row r="276" hidden="1" customHeight="1" spans="1:52">
      <c r="A276" s="44">
        <v>45601</v>
      </c>
      <c r="B276" s="33">
        <f t="shared" si="114"/>
        <v>415</v>
      </c>
      <c r="C276" s="33">
        <f t="shared" si="115"/>
        <v>2127</v>
      </c>
      <c r="D276" s="11">
        <f t="shared" si="116"/>
        <v>2542</v>
      </c>
      <c r="E276" s="34">
        <f t="shared" si="131"/>
        <v>-1.32721137165067e-6</v>
      </c>
      <c r="F276" s="35">
        <f t="shared" si="117"/>
        <v>0.00035569264760237</v>
      </c>
      <c r="G276" s="18">
        <f>(SUM($I$8:$I276)*(MAX(M$3-M$4,0))+(N276*MAX(M$4,0)))*(1-$AM$4)+(AM276*$AM$4)</f>
        <v>0.0956813222050376</v>
      </c>
      <c r="H276" s="18">
        <f t="shared" si="118"/>
        <v>0.958333333333333</v>
      </c>
      <c r="I276" s="18">
        <f t="shared" si="119"/>
        <v>0</v>
      </c>
      <c r="J276" s="18">
        <f t="shared" si="120"/>
        <v>0.243293770960021</v>
      </c>
      <c r="K276" s="18">
        <f t="shared" si="121"/>
        <v>0.00182338850371079</v>
      </c>
      <c r="L276" s="18">
        <f t="shared" si="122"/>
        <v>0</v>
      </c>
      <c r="M276" s="18">
        <v>0</v>
      </c>
      <c r="N276" s="18">
        <f t="shared" si="132"/>
        <v>0</v>
      </c>
      <c r="O276" s="11">
        <v>0</v>
      </c>
      <c r="P276" s="11">
        <v>0</v>
      </c>
      <c r="Q276" s="11">
        <f t="shared" si="113"/>
        <v>1</v>
      </c>
      <c r="R276" s="11">
        <v>0</v>
      </c>
      <c r="S276" s="11">
        <f t="shared" si="123"/>
        <v>0</v>
      </c>
      <c r="T276" s="11">
        <v>0</v>
      </c>
      <c r="U276" s="11">
        <f t="shared" si="112"/>
        <v>1</v>
      </c>
      <c r="V276" s="11">
        <v>0</v>
      </c>
      <c r="W276" s="11">
        <f t="shared" si="124"/>
        <v>1</v>
      </c>
      <c r="X276" s="11">
        <f t="shared" si="125"/>
        <v>0</v>
      </c>
      <c r="Y276" s="19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45">
        <v>0</v>
      </c>
      <c r="AJ276" s="45">
        <v>0</v>
      </c>
      <c r="AK276" s="45">
        <f t="shared" si="133"/>
        <v>0.3611</v>
      </c>
      <c r="AL276" s="45">
        <f t="shared" si="134"/>
        <v>0.00348095238095238</v>
      </c>
      <c r="AM276" s="45">
        <f t="shared" si="126"/>
        <v>0.0012569719047619</v>
      </c>
      <c r="AN276" s="45">
        <f t="shared" si="137"/>
        <v>0.792187500000003</v>
      </c>
      <c r="AO276" s="45">
        <f t="shared" si="127"/>
        <v>0.792187500000004</v>
      </c>
      <c r="AP276" s="45">
        <f t="shared" si="128"/>
        <v>1.05625</v>
      </c>
      <c r="AQ276" s="45">
        <f t="shared" si="129"/>
        <v>0</v>
      </c>
      <c r="AR276" s="45">
        <f t="shared" si="130"/>
        <v>0</v>
      </c>
      <c r="AS276" s="19">
        <f t="shared" si="135"/>
        <v>1.07916666666667</v>
      </c>
      <c r="AT276" s="19">
        <f t="shared" si="136"/>
        <v>1.03333333333334</v>
      </c>
      <c r="AU276" s="46">
        <v>0</v>
      </c>
      <c r="AV276" s="46">
        <v>0</v>
      </c>
      <c r="AW276" s="46">
        <v>0</v>
      </c>
      <c r="AX276" s="46">
        <v>1</v>
      </c>
      <c r="AY276" s="47">
        <v>0</v>
      </c>
      <c r="AZ276" s="47">
        <v>-1</v>
      </c>
    </row>
    <row r="277" hidden="1" customHeight="1" spans="1:52">
      <c r="A277" s="44">
        <v>45602</v>
      </c>
      <c r="B277" s="33">
        <f t="shared" si="114"/>
        <v>414</v>
      </c>
      <c r="C277" s="33">
        <f t="shared" si="115"/>
        <v>2138</v>
      </c>
      <c r="D277" s="11">
        <f t="shared" si="116"/>
        <v>2552</v>
      </c>
      <c r="E277" s="34">
        <f t="shared" si="131"/>
        <v>-1.31738017630507e-6</v>
      </c>
      <c r="F277" s="35">
        <f t="shared" si="117"/>
        <v>0.000354375267426065</v>
      </c>
      <c r="G277" s="18">
        <f>(SUM($I$8:$I277)*(MAX(M$3-M$4,0))+(N277*MAX(M$4,0)))*(1-$AM$4)+(AM277*$AM$4)</f>
        <v>0.0956813222050376</v>
      </c>
      <c r="H277" s="18">
        <f t="shared" si="118"/>
        <v>0.958333333333333</v>
      </c>
      <c r="I277" s="18">
        <f t="shared" si="119"/>
        <v>0</v>
      </c>
      <c r="J277" s="18">
        <f t="shared" si="120"/>
        <v>0.242392682919429</v>
      </c>
      <c r="K277" s="18">
        <f t="shared" si="121"/>
        <v>0.00182996936492892</v>
      </c>
      <c r="L277" s="18">
        <f t="shared" si="122"/>
        <v>0</v>
      </c>
      <c r="M277" s="18">
        <v>0</v>
      </c>
      <c r="N277" s="18">
        <f t="shared" si="132"/>
        <v>0</v>
      </c>
      <c r="O277" s="11">
        <v>0</v>
      </c>
      <c r="P277" s="11">
        <v>0</v>
      </c>
      <c r="Q277" s="11">
        <f t="shared" si="113"/>
        <v>1</v>
      </c>
      <c r="R277" s="11">
        <v>0</v>
      </c>
      <c r="S277" s="11">
        <f t="shared" si="123"/>
        <v>0</v>
      </c>
      <c r="T277" s="11">
        <v>0</v>
      </c>
      <c r="U277" s="11">
        <f t="shared" si="112"/>
        <v>1</v>
      </c>
      <c r="V277" s="11">
        <v>0</v>
      </c>
      <c r="W277" s="11">
        <f t="shared" si="124"/>
        <v>1</v>
      </c>
      <c r="X277" s="11">
        <f t="shared" si="125"/>
        <v>0</v>
      </c>
      <c r="Y277" s="19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1">
        <v>0</v>
      </c>
      <c r="AG277" s="11">
        <v>0</v>
      </c>
      <c r="AH277" s="11">
        <v>0</v>
      </c>
      <c r="AI277" s="45">
        <v>0</v>
      </c>
      <c r="AJ277" s="45">
        <v>0</v>
      </c>
      <c r="AK277" s="45">
        <f t="shared" si="133"/>
        <v>0.3611</v>
      </c>
      <c r="AL277" s="45">
        <f t="shared" si="134"/>
        <v>0.00348095238095238</v>
      </c>
      <c r="AM277" s="45">
        <f t="shared" si="126"/>
        <v>0.0012569719047619</v>
      </c>
      <c r="AN277" s="45">
        <f t="shared" si="137"/>
        <v>0.792187500000003</v>
      </c>
      <c r="AO277" s="45">
        <f t="shared" si="127"/>
        <v>0.792187500000004</v>
      </c>
      <c r="AP277" s="45">
        <f t="shared" si="128"/>
        <v>1.05625</v>
      </c>
      <c r="AQ277" s="45">
        <f t="shared" si="129"/>
        <v>0</v>
      </c>
      <c r="AR277" s="45">
        <f t="shared" si="130"/>
        <v>0</v>
      </c>
      <c r="AS277" s="19">
        <f t="shared" si="135"/>
        <v>1.07916666666667</v>
      </c>
      <c r="AT277" s="19">
        <f t="shared" si="136"/>
        <v>1.03333333333334</v>
      </c>
      <c r="AU277" s="46">
        <v>0</v>
      </c>
      <c r="AV277" s="46">
        <v>0</v>
      </c>
      <c r="AW277" s="46">
        <v>0</v>
      </c>
      <c r="AX277" s="46">
        <v>1</v>
      </c>
      <c r="AY277" s="47">
        <v>0</v>
      </c>
      <c r="AZ277" s="47">
        <v>-1</v>
      </c>
    </row>
    <row r="278" hidden="1" customHeight="1" spans="1:52">
      <c r="A278" s="44">
        <v>45603</v>
      </c>
      <c r="B278" s="33">
        <f t="shared" si="114"/>
        <v>413</v>
      </c>
      <c r="C278" s="33">
        <f t="shared" si="115"/>
        <v>2148</v>
      </c>
      <c r="D278" s="11">
        <f t="shared" si="116"/>
        <v>2561</v>
      </c>
      <c r="E278" s="34">
        <f t="shared" si="131"/>
        <v>-1.3076578133803e-6</v>
      </c>
      <c r="F278" s="35">
        <f t="shared" si="117"/>
        <v>0.000353067609612685</v>
      </c>
      <c r="G278" s="18">
        <f>(SUM($I$8:$I278)*(MAX(M$3-M$4,0))+(N278*MAX(M$4,0)))*(1-$AM$4)+(AM278*$AM$4)</f>
        <v>0.0956813222050376</v>
      </c>
      <c r="H278" s="18">
        <f t="shared" si="118"/>
        <v>0.958333333333333</v>
      </c>
      <c r="I278" s="18">
        <f t="shared" si="119"/>
        <v>0</v>
      </c>
      <c r="J278" s="18">
        <f t="shared" si="120"/>
        <v>0.241498244975076</v>
      </c>
      <c r="K278" s="18">
        <f t="shared" si="121"/>
        <v>0.00183656599279643</v>
      </c>
      <c r="L278" s="18">
        <f t="shared" si="122"/>
        <v>0</v>
      </c>
      <c r="M278" s="18">
        <v>0</v>
      </c>
      <c r="N278" s="18">
        <f t="shared" si="132"/>
        <v>0</v>
      </c>
      <c r="O278" s="11">
        <v>0</v>
      </c>
      <c r="P278" s="11">
        <v>0</v>
      </c>
      <c r="Q278" s="11">
        <f t="shared" si="113"/>
        <v>1</v>
      </c>
      <c r="R278" s="11">
        <v>0</v>
      </c>
      <c r="S278" s="11">
        <f t="shared" si="123"/>
        <v>0</v>
      </c>
      <c r="T278" s="11">
        <v>0</v>
      </c>
      <c r="U278" s="11">
        <f t="shared" si="112"/>
        <v>1</v>
      </c>
      <c r="V278" s="11">
        <v>0</v>
      </c>
      <c r="W278" s="11">
        <f t="shared" si="124"/>
        <v>1</v>
      </c>
      <c r="X278" s="11">
        <f t="shared" si="125"/>
        <v>0</v>
      </c>
      <c r="Y278" s="19">
        <v>0</v>
      </c>
      <c r="Z278" s="11">
        <v>0</v>
      </c>
      <c r="AA278" s="11">
        <v>0</v>
      </c>
      <c r="AB278" s="11">
        <v>0</v>
      </c>
      <c r="AC278" s="11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45">
        <v>0</v>
      </c>
      <c r="AJ278" s="45">
        <v>0</v>
      </c>
      <c r="AK278" s="45">
        <f t="shared" si="133"/>
        <v>0.3611</v>
      </c>
      <c r="AL278" s="45">
        <f t="shared" si="134"/>
        <v>0.00348095238095238</v>
      </c>
      <c r="AM278" s="45">
        <f t="shared" si="126"/>
        <v>0.0012569719047619</v>
      </c>
      <c r="AN278" s="45">
        <f t="shared" si="137"/>
        <v>0.792187500000003</v>
      </c>
      <c r="AO278" s="45">
        <f t="shared" si="127"/>
        <v>0.792187500000004</v>
      </c>
      <c r="AP278" s="45">
        <f t="shared" si="128"/>
        <v>1.05625</v>
      </c>
      <c r="AQ278" s="45">
        <f t="shared" si="129"/>
        <v>0</v>
      </c>
      <c r="AR278" s="45">
        <f t="shared" si="130"/>
        <v>0</v>
      </c>
      <c r="AS278" s="19">
        <f t="shared" si="135"/>
        <v>1.07916666666667</v>
      </c>
      <c r="AT278" s="19">
        <f t="shared" si="136"/>
        <v>1.03333333333334</v>
      </c>
      <c r="AU278" s="46">
        <v>0</v>
      </c>
      <c r="AV278" s="46">
        <v>0</v>
      </c>
      <c r="AW278" s="46">
        <v>0</v>
      </c>
      <c r="AX278" s="46">
        <v>1</v>
      </c>
      <c r="AY278" s="47">
        <v>0</v>
      </c>
      <c r="AZ278" s="47">
        <v>-1</v>
      </c>
    </row>
    <row r="279" hidden="1" customHeight="1" spans="1:52">
      <c r="A279" s="44">
        <v>45604</v>
      </c>
      <c r="B279" s="33">
        <f t="shared" si="114"/>
        <v>412</v>
      </c>
      <c r="C279" s="33">
        <f t="shared" si="115"/>
        <v>2159</v>
      </c>
      <c r="D279" s="11">
        <f t="shared" si="116"/>
        <v>2571</v>
      </c>
      <c r="E279" s="34">
        <f t="shared" si="131"/>
        <v>-1.29804268239955e-6</v>
      </c>
      <c r="F279" s="35">
        <f t="shared" si="117"/>
        <v>0.000351769566930285</v>
      </c>
      <c r="G279" s="18">
        <f>(SUM($I$8:$I279)*(MAX(M$3-M$4,0))+(N279*MAX(M$4,0)))*(1-$AM$4)+(AM279*$AM$4)</f>
        <v>0.0956813222050376</v>
      </c>
      <c r="H279" s="18">
        <f t="shared" si="118"/>
        <v>0.958333333333333</v>
      </c>
      <c r="I279" s="18">
        <f t="shared" si="119"/>
        <v>0</v>
      </c>
      <c r="J279" s="18">
        <f t="shared" si="120"/>
        <v>0.240610383780315</v>
      </c>
      <c r="K279" s="18">
        <f t="shared" si="121"/>
        <v>0.00184317868014487</v>
      </c>
      <c r="L279" s="18">
        <f t="shared" si="122"/>
        <v>0</v>
      </c>
      <c r="M279" s="18">
        <v>0</v>
      </c>
      <c r="N279" s="18">
        <f t="shared" si="132"/>
        <v>0</v>
      </c>
      <c r="O279" s="11">
        <v>0</v>
      </c>
      <c r="P279" s="11">
        <v>0</v>
      </c>
      <c r="Q279" s="11">
        <f t="shared" si="113"/>
        <v>1</v>
      </c>
      <c r="R279" s="11">
        <v>0</v>
      </c>
      <c r="S279" s="11">
        <f t="shared" si="123"/>
        <v>0</v>
      </c>
      <c r="T279" s="11">
        <v>0</v>
      </c>
      <c r="U279" s="11">
        <f t="shared" si="112"/>
        <v>1</v>
      </c>
      <c r="V279" s="11">
        <v>0</v>
      </c>
      <c r="W279" s="11">
        <f t="shared" si="124"/>
        <v>1</v>
      </c>
      <c r="X279" s="11">
        <f t="shared" si="125"/>
        <v>0</v>
      </c>
      <c r="Y279" s="19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1">
        <v>0</v>
      </c>
      <c r="AG279" s="11">
        <v>0</v>
      </c>
      <c r="AH279" s="11">
        <v>0</v>
      </c>
      <c r="AI279" s="45">
        <v>0</v>
      </c>
      <c r="AJ279" s="45">
        <v>0</v>
      </c>
      <c r="AK279" s="45">
        <f t="shared" si="133"/>
        <v>0.3611</v>
      </c>
      <c r="AL279" s="45">
        <f t="shared" si="134"/>
        <v>0.00348095238095238</v>
      </c>
      <c r="AM279" s="45">
        <f t="shared" si="126"/>
        <v>0.0012569719047619</v>
      </c>
      <c r="AN279" s="45">
        <f t="shared" si="137"/>
        <v>0.792187500000003</v>
      </c>
      <c r="AO279" s="45">
        <f t="shared" si="127"/>
        <v>0.792187500000004</v>
      </c>
      <c r="AP279" s="45">
        <f t="shared" si="128"/>
        <v>1.05625</v>
      </c>
      <c r="AQ279" s="45">
        <f t="shared" si="129"/>
        <v>0</v>
      </c>
      <c r="AR279" s="45">
        <f t="shared" si="130"/>
        <v>0</v>
      </c>
      <c r="AS279" s="19">
        <f t="shared" si="135"/>
        <v>1.07916666666667</v>
      </c>
      <c r="AT279" s="19">
        <f t="shared" si="136"/>
        <v>1.03333333333334</v>
      </c>
      <c r="AU279" s="46">
        <v>0</v>
      </c>
      <c r="AV279" s="46">
        <v>0</v>
      </c>
      <c r="AW279" s="46">
        <v>0</v>
      </c>
      <c r="AX279" s="46">
        <v>1</v>
      </c>
      <c r="AY279" s="47">
        <v>0</v>
      </c>
      <c r="AZ279" s="47">
        <v>-1</v>
      </c>
    </row>
    <row r="280" hidden="1" customHeight="1" spans="1:52">
      <c r="A280" s="44">
        <v>45605</v>
      </c>
      <c r="B280" s="33">
        <f t="shared" si="114"/>
        <v>411</v>
      </c>
      <c r="C280" s="33">
        <f t="shared" si="115"/>
        <v>2169</v>
      </c>
      <c r="D280" s="11">
        <f t="shared" si="116"/>
        <v>2580</v>
      </c>
      <c r="E280" s="34">
        <f t="shared" si="131"/>
        <v>-1.28853321219885e-6</v>
      </c>
      <c r="F280" s="35">
        <f t="shared" si="117"/>
        <v>0.000350481033718086</v>
      </c>
      <c r="G280" s="18">
        <f>(SUM($I$8:$I280)*(MAX(M$3-M$4,0))+(N280*MAX(M$4,0)))*(1-$AM$4)+(AM280*$AM$4)</f>
        <v>0.0956813222050376</v>
      </c>
      <c r="H280" s="18">
        <f t="shared" si="118"/>
        <v>0.958333333333333</v>
      </c>
      <c r="I280" s="18">
        <f t="shared" si="119"/>
        <v>0</v>
      </c>
      <c r="J280" s="18">
        <f t="shared" si="120"/>
        <v>0.239729027063171</v>
      </c>
      <c r="K280" s="18">
        <f t="shared" si="121"/>
        <v>0.00184980772004095</v>
      </c>
      <c r="L280" s="18">
        <f t="shared" si="122"/>
        <v>0</v>
      </c>
      <c r="M280" s="18">
        <v>0</v>
      </c>
      <c r="N280" s="18">
        <f t="shared" si="132"/>
        <v>0</v>
      </c>
      <c r="O280" s="11">
        <v>0</v>
      </c>
      <c r="P280" s="11">
        <v>0</v>
      </c>
      <c r="Q280" s="11">
        <f t="shared" si="113"/>
        <v>1</v>
      </c>
      <c r="R280" s="11">
        <v>0</v>
      </c>
      <c r="S280" s="11">
        <f t="shared" si="123"/>
        <v>0</v>
      </c>
      <c r="T280" s="11">
        <v>0</v>
      </c>
      <c r="U280" s="11">
        <f t="shared" si="112"/>
        <v>1</v>
      </c>
      <c r="V280" s="11">
        <v>0</v>
      </c>
      <c r="W280" s="11">
        <f t="shared" si="124"/>
        <v>1</v>
      </c>
      <c r="X280" s="11">
        <f t="shared" si="125"/>
        <v>0</v>
      </c>
      <c r="Y280" s="19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45">
        <v>0</v>
      </c>
      <c r="AJ280" s="45">
        <v>0</v>
      </c>
      <c r="AK280" s="45">
        <f t="shared" si="133"/>
        <v>0.3611</v>
      </c>
      <c r="AL280" s="45">
        <f t="shared" si="134"/>
        <v>0.00348095238095238</v>
      </c>
      <c r="AM280" s="45">
        <f t="shared" si="126"/>
        <v>0.0012569719047619</v>
      </c>
      <c r="AN280" s="45">
        <f t="shared" si="137"/>
        <v>0.792187500000003</v>
      </c>
      <c r="AO280" s="45">
        <f t="shared" si="127"/>
        <v>0.792187500000004</v>
      </c>
      <c r="AP280" s="45">
        <f t="shared" si="128"/>
        <v>1.05625</v>
      </c>
      <c r="AQ280" s="45">
        <f t="shared" si="129"/>
        <v>0</v>
      </c>
      <c r="AR280" s="45">
        <f t="shared" si="130"/>
        <v>0</v>
      </c>
      <c r="AS280" s="19">
        <f t="shared" si="135"/>
        <v>1.07916666666667</v>
      </c>
      <c r="AT280" s="19">
        <f t="shared" si="136"/>
        <v>1.03333333333334</v>
      </c>
      <c r="AU280" s="46">
        <v>0</v>
      </c>
      <c r="AV280" s="46">
        <v>0</v>
      </c>
      <c r="AW280" s="46">
        <v>0</v>
      </c>
      <c r="AX280" s="46">
        <v>1</v>
      </c>
      <c r="AY280" s="47">
        <v>0</v>
      </c>
      <c r="AZ280" s="47">
        <v>-1</v>
      </c>
    </row>
    <row r="281" hidden="1" customHeight="1" spans="1:52">
      <c r="A281" s="44">
        <v>45606</v>
      </c>
      <c r="B281" s="33">
        <f t="shared" si="114"/>
        <v>410</v>
      </c>
      <c r="C281" s="33">
        <f t="shared" si="115"/>
        <v>2180</v>
      </c>
      <c r="D281" s="11">
        <f t="shared" si="116"/>
        <v>2590</v>
      </c>
      <c r="E281" s="34">
        <f t="shared" si="131"/>
        <v>-1.27912786028499e-6</v>
      </c>
      <c r="F281" s="35">
        <f t="shared" si="117"/>
        <v>0.000349201905857801</v>
      </c>
      <c r="G281" s="18">
        <f>(SUM($I$8:$I281)*(MAX(M$3-M$4,0))+(N281*MAX(M$4,0)))*(1-$AM$4)+(AM281*$AM$4)</f>
        <v>0.0956813222050376</v>
      </c>
      <c r="H281" s="18">
        <f t="shared" si="118"/>
        <v>0.958333333333333</v>
      </c>
      <c r="I281" s="18">
        <f t="shared" si="119"/>
        <v>0</v>
      </c>
      <c r="J281" s="18">
        <f t="shared" si="120"/>
        <v>0.238854103606736</v>
      </c>
      <c r="K281" s="18">
        <f t="shared" si="121"/>
        <v>0.00185645340583723</v>
      </c>
      <c r="L281" s="18">
        <f t="shared" si="122"/>
        <v>0</v>
      </c>
      <c r="M281" s="18">
        <v>0</v>
      </c>
      <c r="N281" s="18">
        <f t="shared" si="132"/>
        <v>0</v>
      </c>
      <c r="O281" s="11">
        <v>0</v>
      </c>
      <c r="P281" s="11">
        <v>0</v>
      </c>
      <c r="Q281" s="11">
        <f t="shared" si="113"/>
        <v>1</v>
      </c>
      <c r="R281" s="11">
        <v>0</v>
      </c>
      <c r="S281" s="11">
        <f t="shared" si="123"/>
        <v>0</v>
      </c>
      <c r="T281" s="11">
        <v>0</v>
      </c>
      <c r="U281" s="11">
        <f t="shared" si="112"/>
        <v>1</v>
      </c>
      <c r="V281" s="11">
        <v>0</v>
      </c>
      <c r="W281" s="11">
        <f t="shared" si="124"/>
        <v>1</v>
      </c>
      <c r="X281" s="11">
        <f t="shared" si="125"/>
        <v>0</v>
      </c>
      <c r="Y281" s="19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1">
        <v>0</v>
      </c>
      <c r="AG281" s="11">
        <v>0</v>
      </c>
      <c r="AH281" s="11">
        <v>0</v>
      </c>
      <c r="AI281" s="45">
        <v>0</v>
      </c>
      <c r="AJ281" s="45">
        <v>0</v>
      </c>
      <c r="AK281" s="45">
        <f t="shared" si="133"/>
        <v>0.3611</v>
      </c>
      <c r="AL281" s="45">
        <f t="shared" si="134"/>
        <v>0.00348095238095238</v>
      </c>
      <c r="AM281" s="45">
        <f t="shared" si="126"/>
        <v>0.0012569719047619</v>
      </c>
      <c r="AN281" s="45">
        <f t="shared" si="137"/>
        <v>0.792187500000003</v>
      </c>
      <c r="AO281" s="45">
        <f t="shared" si="127"/>
        <v>0.792187500000004</v>
      </c>
      <c r="AP281" s="45">
        <f t="shared" si="128"/>
        <v>1.05625</v>
      </c>
      <c r="AQ281" s="45">
        <f t="shared" si="129"/>
        <v>0</v>
      </c>
      <c r="AR281" s="45">
        <f t="shared" si="130"/>
        <v>0</v>
      </c>
      <c r="AS281" s="19">
        <f t="shared" si="135"/>
        <v>1.07916666666667</v>
      </c>
      <c r="AT281" s="19">
        <f t="shared" si="136"/>
        <v>1.03333333333334</v>
      </c>
      <c r="AU281" s="46">
        <v>0</v>
      </c>
      <c r="AV281" s="46">
        <v>0</v>
      </c>
      <c r="AW281" s="46">
        <v>0</v>
      </c>
      <c r="AX281" s="46">
        <v>1</v>
      </c>
      <c r="AY281" s="47">
        <v>0</v>
      </c>
      <c r="AZ281" s="47">
        <v>-1</v>
      </c>
    </row>
    <row r="282" hidden="1" customHeight="1" spans="1:52">
      <c r="A282" s="44">
        <v>45607</v>
      </c>
      <c r="B282" s="33">
        <f t="shared" si="114"/>
        <v>409</v>
      </c>
      <c r="C282" s="33">
        <f t="shared" si="115"/>
        <v>2190</v>
      </c>
      <c r="D282" s="11">
        <f t="shared" si="116"/>
        <v>2599</v>
      </c>
      <c r="E282" s="34">
        <f t="shared" si="131"/>
        <v>-1.2698251122102e-6</v>
      </c>
      <c r="F282" s="35">
        <f t="shared" si="117"/>
        <v>0.000347932080745591</v>
      </c>
      <c r="G282" s="18">
        <f>(SUM($I$8:$I282)*(MAX(M$3-M$4,0))+(N282*MAX(M$4,0)))*(1-$AM$4)+(AM282*$AM$4)</f>
        <v>0.0956813222050376</v>
      </c>
      <c r="H282" s="18">
        <f t="shared" si="118"/>
        <v>0.958333333333333</v>
      </c>
      <c r="I282" s="18">
        <f t="shared" si="119"/>
        <v>0</v>
      </c>
      <c r="J282" s="18">
        <f t="shared" si="120"/>
        <v>0.237985543229984</v>
      </c>
      <c r="K282" s="18">
        <f t="shared" si="121"/>
        <v>0.00186311603122253</v>
      </c>
      <c r="L282" s="18">
        <f t="shared" si="122"/>
        <v>0</v>
      </c>
      <c r="M282" s="18">
        <v>0</v>
      </c>
      <c r="N282" s="18">
        <f t="shared" si="132"/>
        <v>0</v>
      </c>
      <c r="O282" s="11">
        <v>0</v>
      </c>
      <c r="P282" s="11">
        <v>0</v>
      </c>
      <c r="Q282" s="11">
        <f t="shared" si="113"/>
        <v>1</v>
      </c>
      <c r="R282" s="11">
        <v>0</v>
      </c>
      <c r="S282" s="11">
        <f t="shared" si="123"/>
        <v>0</v>
      </c>
      <c r="T282" s="11">
        <v>0</v>
      </c>
      <c r="U282" s="11">
        <f t="shared" si="112"/>
        <v>1</v>
      </c>
      <c r="V282" s="11">
        <v>0</v>
      </c>
      <c r="W282" s="11">
        <f t="shared" si="124"/>
        <v>1</v>
      </c>
      <c r="X282" s="11">
        <f t="shared" si="125"/>
        <v>0</v>
      </c>
      <c r="Y282" s="19">
        <v>0</v>
      </c>
      <c r="Z282" s="11">
        <v>0</v>
      </c>
      <c r="AA282" s="11">
        <v>0</v>
      </c>
      <c r="AB282" s="11">
        <v>0</v>
      </c>
      <c r="AC282" s="11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45">
        <v>0</v>
      </c>
      <c r="AJ282" s="45">
        <v>0</v>
      </c>
      <c r="AK282" s="45">
        <f t="shared" si="133"/>
        <v>0.3611</v>
      </c>
      <c r="AL282" s="45">
        <f t="shared" si="134"/>
        <v>0.00348095238095238</v>
      </c>
      <c r="AM282" s="45">
        <f t="shared" si="126"/>
        <v>0.0012569719047619</v>
      </c>
      <c r="AN282" s="45">
        <f t="shared" si="137"/>
        <v>0.792187500000003</v>
      </c>
      <c r="AO282" s="45">
        <f t="shared" si="127"/>
        <v>0.792187500000004</v>
      </c>
      <c r="AP282" s="45">
        <f t="shared" si="128"/>
        <v>1.05625</v>
      </c>
      <c r="AQ282" s="45">
        <f t="shared" si="129"/>
        <v>0</v>
      </c>
      <c r="AR282" s="45">
        <f t="shared" si="130"/>
        <v>0</v>
      </c>
      <c r="AS282" s="19">
        <f t="shared" si="135"/>
        <v>1.07916666666667</v>
      </c>
      <c r="AT282" s="19">
        <f t="shared" si="136"/>
        <v>1.03333333333334</v>
      </c>
      <c r="AU282" s="46">
        <v>0</v>
      </c>
      <c r="AV282" s="46">
        <v>0</v>
      </c>
      <c r="AW282" s="46">
        <v>0</v>
      </c>
      <c r="AX282" s="46">
        <v>1</v>
      </c>
      <c r="AY282" s="47">
        <v>0</v>
      </c>
      <c r="AZ282" s="47">
        <v>-1</v>
      </c>
    </row>
    <row r="283" hidden="1" customHeight="1" spans="1:52">
      <c r="A283" s="44">
        <v>45608</v>
      </c>
      <c r="B283" s="33">
        <f t="shared" si="114"/>
        <v>408</v>
      </c>
      <c r="C283" s="33">
        <f t="shared" si="115"/>
        <v>2201</v>
      </c>
      <c r="D283" s="11">
        <f t="shared" si="116"/>
        <v>2609</v>
      </c>
      <c r="E283" s="34">
        <f t="shared" si="131"/>
        <v>-1.26062348096228e-6</v>
      </c>
      <c r="F283" s="35">
        <f t="shared" si="117"/>
        <v>0.000346671457264629</v>
      </c>
      <c r="G283" s="18">
        <f>(SUM($I$8:$I283)*(MAX(M$3-M$4,0))+(N283*MAX(M$4,0)))*(1-$AM$4)+(AM283*$AM$4)</f>
        <v>0.0956813222050376</v>
      </c>
      <c r="H283" s="18">
        <f t="shared" si="118"/>
        <v>0.958333333333333</v>
      </c>
      <c r="I283" s="18">
        <f t="shared" si="119"/>
        <v>0</v>
      </c>
      <c r="J283" s="18">
        <f t="shared" si="120"/>
        <v>0.237123276769006</v>
      </c>
      <c r="K283" s="18">
        <f t="shared" si="121"/>
        <v>0.00186979589027204</v>
      </c>
      <c r="L283" s="18">
        <f t="shared" si="122"/>
        <v>0</v>
      </c>
      <c r="M283" s="18">
        <v>0</v>
      </c>
      <c r="N283" s="18">
        <f t="shared" si="132"/>
        <v>0</v>
      </c>
      <c r="O283" s="11">
        <v>0</v>
      </c>
      <c r="P283" s="11">
        <v>0</v>
      </c>
      <c r="Q283" s="11">
        <f t="shared" si="113"/>
        <v>1</v>
      </c>
      <c r="R283" s="11">
        <v>0</v>
      </c>
      <c r="S283" s="11">
        <f t="shared" si="123"/>
        <v>0</v>
      </c>
      <c r="T283" s="11">
        <v>0</v>
      </c>
      <c r="U283" s="11">
        <f t="shared" si="112"/>
        <v>1</v>
      </c>
      <c r="V283" s="11">
        <v>0</v>
      </c>
      <c r="W283" s="11">
        <f t="shared" si="124"/>
        <v>1</v>
      </c>
      <c r="X283" s="11">
        <f t="shared" si="125"/>
        <v>0</v>
      </c>
      <c r="Y283" s="19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1">
        <v>0</v>
      </c>
      <c r="AG283" s="11">
        <v>0</v>
      </c>
      <c r="AH283" s="11">
        <v>0</v>
      </c>
      <c r="AI283" s="45">
        <v>0</v>
      </c>
      <c r="AJ283" s="45">
        <v>0</v>
      </c>
      <c r="AK283" s="45">
        <f t="shared" si="133"/>
        <v>0.3611</v>
      </c>
      <c r="AL283" s="45">
        <f t="shared" si="134"/>
        <v>0.00348095238095238</v>
      </c>
      <c r="AM283" s="45">
        <f t="shared" si="126"/>
        <v>0.0012569719047619</v>
      </c>
      <c r="AN283" s="45">
        <f t="shared" si="137"/>
        <v>0.792187500000003</v>
      </c>
      <c r="AO283" s="45">
        <f t="shared" si="127"/>
        <v>0.792187500000004</v>
      </c>
      <c r="AP283" s="45">
        <f t="shared" si="128"/>
        <v>1.05625</v>
      </c>
      <c r="AQ283" s="45">
        <f t="shared" si="129"/>
        <v>0</v>
      </c>
      <c r="AR283" s="45">
        <f t="shared" si="130"/>
        <v>0</v>
      </c>
      <c r="AS283" s="19">
        <f t="shared" si="135"/>
        <v>1.07916666666667</v>
      </c>
      <c r="AT283" s="19">
        <f t="shared" si="136"/>
        <v>1.03333333333334</v>
      </c>
      <c r="AU283" s="46">
        <v>0</v>
      </c>
      <c r="AV283" s="46">
        <v>0</v>
      </c>
      <c r="AW283" s="46">
        <v>0</v>
      </c>
      <c r="AX283" s="46">
        <v>1</v>
      </c>
      <c r="AY283" s="47">
        <v>0</v>
      </c>
      <c r="AZ283" s="47">
        <v>-1</v>
      </c>
    </row>
    <row r="284" hidden="1" customHeight="1" spans="1:52">
      <c r="A284" s="44">
        <v>45609</v>
      </c>
      <c r="B284" s="33">
        <f t="shared" si="114"/>
        <v>407</v>
      </c>
      <c r="C284" s="33">
        <f t="shared" si="115"/>
        <v>2211</v>
      </c>
      <c r="D284" s="11">
        <f t="shared" si="116"/>
        <v>2618</v>
      </c>
      <c r="E284" s="34">
        <f t="shared" si="131"/>
        <v>-1.2515215063705e-6</v>
      </c>
      <c r="F284" s="35">
        <f t="shared" si="117"/>
        <v>0.000345419935758258</v>
      </c>
      <c r="G284" s="18">
        <f>(SUM($I$8:$I284)*(MAX(M$3-M$4,0))+(N284*MAX(M$4,0)))*(1-$AM$4)+(AM284*$AM$4)</f>
        <v>0.0956813222050376</v>
      </c>
      <c r="H284" s="18">
        <f t="shared" si="118"/>
        <v>0.958333333333333</v>
      </c>
      <c r="I284" s="18">
        <f t="shared" si="119"/>
        <v>0</v>
      </c>
      <c r="J284" s="18">
        <f t="shared" si="120"/>
        <v>0.236267236058649</v>
      </c>
      <c r="K284" s="18">
        <f t="shared" si="121"/>
        <v>0.00187649327749718</v>
      </c>
      <c r="L284" s="18">
        <f t="shared" si="122"/>
        <v>0</v>
      </c>
      <c r="M284" s="18">
        <v>0</v>
      </c>
      <c r="N284" s="18">
        <f t="shared" si="132"/>
        <v>0</v>
      </c>
      <c r="O284" s="11">
        <v>0</v>
      </c>
      <c r="P284" s="11">
        <v>0</v>
      </c>
      <c r="Q284" s="11">
        <f t="shared" si="113"/>
        <v>1</v>
      </c>
      <c r="R284" s="11">
        <v>0</v>
      </c>
      <c r="S284" s="11">
        <f t="shared" si="123"/>
        <v>0</v>
      </c>
      <c r="T284" s="11">
        <v>0</v>
      </c>
      <c r="U284" s="11">
        <f t="shared" si="112"/>
        <v>1</v>
      </c>
      <c r="V284" s="11">
        <v>0</v>
      </c>
      <c r="W284" s="11">
        <f t="shared" si="124"/>
        <v>1</v>
      </c>
      <c r="X284" s="11">
        <f t="shared" si="125"/>
        <v>0</v>
      </c>
      <c r="Y284" s="19">
        <v>0</v>
      </c>
      <c r="Z284" s="11">
        <v>0</v>
      </c>
      <c r="AA284" s="11">
        <v>0</v>
      </c>
      <c r="AB284" s="11">
        <v>0</v>
      </c>
      <c r="AC284" s="11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45">
        <v>0</v>
      </c>
      <c r="AJ284" s="45">
        <v>0</v>
      </c>
      <c r="AK284" s="45">
        <f t="shared" si="133"/>
        <v>0.3611</v>
      </c>
      <c r="AL284" s="45">
        <f t="shared" si="134"/>
        <v>0.00348095238095238</v>
      </c>
      <c r="AM284" s="45">
        <f t="shared" si="126"/>
        <v>0.0012569719047619</v>
      </c>
      <c r="AN284" s="45">
        <f t="shared" si="137"/>
        <v>0.792187500000003</v>
      </c>
      <c r="AO284" s="45">
        <f t="shared" si="127"/>
        <v>0.792187500000004</v>
      </c>
      <c r="AP284" s="45">
        <f t="shared" si="128"/>
        <v>1.05625</v>
      </c>
      <c r="AQ284" s="45">
        <f t="shared" si="129"/>
        <v>0</v>
      </c>
      <c r="AR284" s="45">
        <f t="shared" si="130"/>
        <v>0</v>
      </c>
      <c r="AS284" s="19">
        <f t="shared" si="135"/>
        <v>1.07916666666667</v>
      </c>
      <c r="AT284" s="19">
        <f t="shared" si="136"/>
        <v>1.03333333333334</v>
      </c>
      <c r="AU284" s="46">
        <v>0</v>
      </c>
      <c r="AV284" s="46">
        <v>0</v>
      </c>
      <c r="AW284" s="46">
        <v>0</v>
      </c>
      <c r="AX284" s="46">
        <v>1</v>
      </c>
      <c r="AY284" s="47">
        <v>0</v>
      </c>
      <c r="AZ284" s="47">
        <v>-1</v>
      </c>
    </row>
    <row r="285" hidden="1" customHeight="1" spans="1:52">
      <c r="A285" s="44">
        <v>45610</v>
      </c>
      <c r="B285" s="33">
        <f t="shared" si="114"/>
        <v>406</v>
      </c>
      <c r="C285" s="33">
        <f t="shared" si="115"/>
        <v>2221</v>
      </c>
      <c r="D285" s="11">
        <f t="shared" si="116"/>
        <v>2627</v>
      </c>
      <c r="E285" s="34">
        <f t="shared" si="131"/>
        <v>-1.24251775452614e-6</v>
      </c>
      <c r="F285" s="35">
        <f t="shared" si="117"/>
        <v>0.000344177418003732</v>
      </c>
      <c r="G285" s="18">
        <f>(SUM($I$8:$I285)*(MAX(M$3-M$4,0))+(N285*MAX(M$4,0)))*(1-$AM$4)+(AM285*$AM$4)</f>
        <v>0.0956813222050376</v>
      </c>
      <c r="H285" s="18">
        <f t="shared" si="118"/>
        <v>0.958333333333333</v>
      </c>
      <c r="I285" s="18">
        <f t="shared" si="119"/>
        <v>0</v>
      </c>
      <c r="J285" s="18">
        <f t="shared" si="120"/>
        <v>0.235417353914553</v>
      </c>
      <c r="K285" s="18">
        <f t="shared" si="121"/>
        <v>0.00188320848789519</v>
      </c>
      <c r="L285" s="18">
        <f t="shared" si="122"/>
        <v>0</v>
      </c>
      <c r="M285" s="18">
        <v>0</v>
      </c>
      <c r="N285" s="18">
        <f t="shared" si="132"/>
        <v>0</v>
      </c>
      <c r="O285" s="11">
        <v>0</v>
      </c>
      <c r="P285" s="11">
        <v>0</v>
      </c>
      <c r="Q285" s="11">
        <f t="shared" si="113"/>
        <v>1</v>
      </c>
      <c r="R285" s="11">
        <v>0</v>
      </c>
      <c r="S285" s="11">
        <f t="shared" si="123"/>
        <v>0</v>
      </c>
      <c r="T285" s="11">
        <v>0</v>
      </c>
      <c r="U285" s="11">
        <f t="shared" si="112"/>
        <v>1</v>
      </c>
      <c r="V285" s="11">
        <v>0</v>
      </c>
      <c r="W285" s="11">
        <f t="shared" si="124"/>
        <v>1</v>
      </c>
      <c r="X285" s="11">
        <f t="shared" si="125"/>
        <v>0</v>
      </c>
      <c r="Y285" s="19">
        <v>0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1">
        <v>0</v>
      </c>
      <c r="AG285" s="11">
        <v>0</v>
      </c>
      <c r="AH285" s="11">
        <v>0</v>
      </c>
      <c r="AI285" s="45">
        <v>0</v>
      </c>
      <c r="AJ285" s="45">
        <v>0</v>
      </c>
      <c r="AK285" s="45">
        <f t="shared" si="133"/>
        <v>0.3611</v>
      </c>
      <c r="AL285" s="45">
        <f t="shared" si="134"/>
        <v>0.00348095238095238</v>
      </c>
      <c r="AM285" s="45">
        <f t="shared" si="126"/>
        <v>0.0012569719047619</v>
      </c>
      <c r="AN285" s="45">
        <f t="shared" si="137"/>
        <v>0.792187500000003</v>
      </c>
      <c r="AO285" s="45">
        <f t="shared" si="127"/>
        <v>0.792187500000004</v>
      </c>
      <c r="AP285" s="45">
        <f t="shared" si="128"/>
        <v>1.05625</v>
      </c>
      <c r="AQ285" s="45">
        <f t="shared" si="129"/>
        <v>0</v>
      </c>
      <c r="AR285" s="45">
        <f t="shared" si="130"/>
        <v>0</v>
      </c>
      <c r="AS285" s="19">
        <f t="shared" si="135"/>
        <v>1.07916666666667</v>
      </c>
      <c r="AT285" s="19">
        <f t="shared" si="136"/>
        <v>1.03333333333334</v>
      </c>
      <c r="AU285" s="46">
        <v>0</v>
      </c>
      <c r="AV285" s="46">
        <v>0</v>
      </c>
      <c r="AW285" s="46">
        <v>0</v>
      </c>
      <c r="AX285" s="46">
        <v>1</v>
      </c>
      <c r="AY285" s="47">
        <v>0</v>
      </c>
      <c r="AZ285" s="47">
        <v>-1</v>
      </c>
    </row>
    <row r="286" hidden="1" customHeight="1" spans="1:52">
      <c r="A286" s="44">
        <v>45611</v>
      </c>
      <c r="B286" s="33">
        <f t="shared" si="114"/>
        <v>405</v>
      </c>
      <c r="C286" s="33">
        <f t="shared" si="115"/>
        <v>2232</v>
      </c>
      <c r="D286" s="11">
        <f t="shared" si="116"/>
        <v>2637</v>
      </c>
      <c r="E286" s="34">
        <f t="shared" si="131"/>
        <v>-1.23361081721767e-6</v>
      </c>
      <c r="F286" s="35">
        <f t="shared" si="117"/>
        <v>0.000342943807186515</v>
      </c>
      <c r="G286" s="18">
        <f>(SUM($I$8:$I286)*(MAX(M$3-M$4,0))+(N286*MAX(M$4,0)))*(1-$AM$4)+(AM286*$AM$4)</f>
        <v>0.0956813222050376</v>
      </c>
      <c r="H286" s="18">
        <f t="shared" si="118"/>
        <v>0.958333333333333</v>
      </c>
      <c r="I286" s="18">
        <f t="shared" si="119"/>
        <v>0</v>
      </c>
      <c r="J286" s="18">
        <f t="shared" si="120"/>
        <v>0.234573564115576</v>
      </c>
      <c r="K286" s="18">
        <f t="shared" si="121"/>
        <v>0.00188994181699858</v>
      </c>
      <c r="L286" s="18">
        <f t="shared" si="122"/>
        <v>0</v>
      </c>
      <c r="M286" s="18">
        <v>0</v>
      </c>
      <c r="N286" s="18">
        <f t="shared" si="132"/>
        <v>0</v>
      </c>
      <c r="O286" s="11">
        <v>0</v>
      </c>
      <c r="P286" s="11">
        <v>0</v>
      </c>
      <c r="Q286" s="11">
        <f t="shared" si="113"/>
        <v>1</v>
      </c>
      <c r="R286" s="11">
        <v>0</v>
      </c>
      <c r="S286" s="11">
        <f t="shared" si="123"/>
        <v>0</v>
      </c>
      <c r="T286" s="11">
        <v>0</v>
      </c>
      <c r="U286" s="11">
        <f t="shared" si="112"/>
        <v>1</v>
      </c>
      <c r="V286" s="11">
        <v>0</v>
      </c>
      <c r="W286" s="11">
        <f t="shared" si="124"/>
        <v>1</v>
      </c>
      <c r="X286" s="11">
        <f t="shared" si="125"/>
        <v>0</v>
      </c>
      <c r="Y286" s="19">
        <v>0</v>
      </c>
      <c r="Z286" s="11">
        <v>0</v>
      </c>
      <c r="AA286" s="11">
        <v>0</v>
      </c>
      <c r="AB286" s="11">
        <v>0</v>
      </c>
      <c r="AC286" s="11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45">
        <v>0</v>
      </c>
      <c r="AJ286" s="45">
        <v>0</v>
      </c>
      <c r="AK286" s="45">
        <f t="shared" si="133"/>
        <v>0.3611</v>
      </c>
      <c r="AL286" s="45">
        <f t="shared" si="134"/>
        <v>0.00348095238095238</v>
      </c>
      <c r="AM286" s="45">
        <f t="shared" si="126"/>
        <v>0.0012569719047619</v>
      </c>
      <c r="AN286" s="45">
        <f t="shared" si="137"/>
        <v>0.792187500000003</v>
      </c>
      <c r="AO286" s="45">
        <f t="shared" si="127"/>
        <v>0.792187500000004</v>
      </c>
      <c r="AP286" s="45">
        <f t="shared" si="128"/>
        <v>1.05625</v>
      </c>
      <c r="AQ286" s="45">
        <f t="shared" si="129"/>
        <v>0</v>
      </c>
      <c r="AR286" s="45">
        <f t="shared" si="130"/>
        <v>0</v>
      </c>
      <c r="AS286" s="19">
        <f t="shared" si="135"/>
        <v>1.07916666666667</v>
      </c>
      <c r="AT286" s="19">
        <f t="shared" si="136"/>
        <v>1.03333333333334</v>
      </c>
      <c r="AU286" s="46">
        <v>0</v>
      </c>
      <c r="AV286" s="46">
        <v>0</v>
      </c>
      <c r="AW286" s="46">
        <v>0</v>
      </c>
      <c r="AX286" s="46">
        <v>1</v>
      </c>
      <c r="AY286" s="47">
        <v>0</v>
      </c>
      <c r="AZ286" s="47">
        <v>-1</v>
      </c>
    </row>
    <row r="287" hidden="1" customHeight="1" spans="1:52">
      <c r="A287" s="44">
        <v>45612</v>
      </c>
      <c r="B287" s="33">
        <f t="shared" si="114"/>
        <v>404</v>
      </c>
      <c r="C287" s="33">
        <f t="shared" si="115"/>
        <v>2242</v>
      </c>
      <c r="D287" s="11">
        <f t="shared" si="116"/>
        <v>2646</v>
      </c>
      <c r="E287" s="34">
        <f t="shared" si="131"/>
        <v>-1.2247993113804e-6</v>
      </c>
      <c r="F287" s="35">
        <f t="shared" si="117"/>
        <v>0.000341719007875134</v>
      </c>
      <c r="G287" s="18">
        <f>(SUM($I$8:$I287)*(MAX(M$3-M$4,0))+(N287*MAX(M$4,0)))*(1-$AM$4)+(AM287*$AM$4)</f>
        <v>0.0956813222050376</v>
      </c>
      <c r="H287" s="18">
        <f t="shared" si="118"/>
        <v>0.958333333333333</v>
      </c>
      <c r="I287" s="18">
        <f t="shared" si="119"/>
        <v>0</v>
      </c>
      <c r="J287" s="18">
        <f t="shared" si="120"/>
        <v>0.233735801386592</v>
      </c>
      <c r="K287" s="18">
        <f t="shared" si="121"/>
        <v>0.00189669356092428</v>
      </c>
      <c r="L287" s="18">
        <f t="shared" si="122"/>
        <v>0</v>
      </c>
      <c r="M287" s="18">
        <v>0</v>
      </c>
      <c r="N287" s="18">
        <f t="shared" si="132"/>
        <v>0</v>
      </c>
      <c r="O287" s="11">
        <v>0</v>
      </c>
      <c r="P287" s="11">
        <v>0</v>
      </c>
      <c r="Q287" s="11">
        <f t="shared" si="113"/>
        <v>1</v>
      </c>
      <c r="R287" s="11">
        <v>0</v>
      </c>
      <c r="S287" s="11">
        <f t="shared" si="123"/>
        <v>0</v>
      </c>
      <c r="T287" s="11">
        <v>0</v>
      </c>
      <c r="U287" s="11">
        <f t="shared" si="112"/>
        <v>1</v>
      </c>
      <c r="V287" s="11">
        <v>0</v>
      </c>
      <c r="W287" s="11">
        <f t="shared" si="124"/>
        <v>1</v>
      </c>
      <c r="X287" s="11">
        <f t="shared" si="125"/>
        <v>0</v>
      </c>
      <c r="Y287" s="19">
        <v>0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1">
        <v>0</v>
      </c>
      <c r="AG287" s="11">
        <v>0</v>
      </c>
      <c r="AH287" s="11">
        <v>0</v>
      </c>
      <c r="AI287" s="45">
        <v>0</v>
      </c>
      <c r="AJ287" s="45">
        <v>0</v>
      </c>
      <c r="AK287" s="45">
        <f t="shared" si="133"/>
        <v>0.3611</v>
      </c>
      <c r="AL287" s="45">
        <f t="shared" si="134"/>
        <v>0.00348095238095238</v>
      </c>
      <c r="AM287" s="45">
        <f t="shared" si="126"/>
        <v>0.0012569719047619</v>
      </c>
      <c r="AN287" s="45">
        <f t="shared" si="137"/>
        <v>0.792187500000003</v>
      </c>
      <c r="AO287" s="45">
        <f t="shared" si="127"/>
        <v>0.792187500000004</v>
      </c>
      <c r="AP287" s="45">
        <f t="shared" si="128"/>
        <v>1.05625</v>
      </c>
      <c r="AQ287" s="45">
        <f t="shared" si="129"/>
        <v>0</v>
      </c>
      <c r="AR287" s="45">
        <f t="shared" si="130"/>
        <v>0</v>
      </c>
      <c r="AS287" s="19">
        <f t="shared" si="135"/>
        <v>1.07916666666667</v>
      </c>
      <c r="AT287" s="19">
        <f t="shared" si="136"/>
        <v>1.03333333333334</v>
      </c>
      <c r="AU287" s="46">
        <v>0</v>
      </c>
      <c r="AV287" s="46">
        <v>0</v>
      </c>
      <c r="AW287" s="46">
        <v>0</v>
      </c>
      <c r="AX287" s="46">
        <v>1</v>
      </c>
      <c r="AY287" s="47">
        <v>0</v>
      </c>
      <c r="AZ287" s="47">
        <v>-1</v>
      </c>
    </row>
    <row r="288" hidden="1" customHeight="1" spans="1:52">
      <c r="A288" s="44">
        <v>45613</v>
      </c>
      <c r="B288" s="33">
        <f t="shared" si="114"/>
        <v>403</v>
      </c>
      <c r="C288" s="33">
        <f t="shared" si="115"/>
        <v>2253</v>
      </c>
      <c r="D288" s="11">
        <f t="shared" si="116"/>
        <v>2656</v>
      </c>
      <c r="E288" s="34">
        <f t="shared" si="131"/>
        <v>-1.21608187855923e-6</v>
      </c>
      <c r="F288" s="35">
        <f t="shared" si="117"/>
        <v>0.000340502925996575</v>
      </c>
      <c r="G288" s="18">
        <f>(SUM($I$8:$I288)*(MAX(M$3-M$4,0))+(N288*MAX(M$4,0)))*(1-$AM$4)+(AM288*$AM$4)</f>
        <v>0.0956813222050376</v>
      </c>
      <c r="H288" s="18">
        <f t="shared" si="118"/>
        <v>0.958333333333333</v>
      </c>
      <c r="I288" s="18">
        <f t="shared" si="119"/>
        <v>0</v>
      </c>
      <c r="J288" s="18">
        <f t="shared" si="120"/>
        <v>0.232904001381657</v>
      </c>
      <c r="K288" s="18">
        <f t="shared" si="121"/>
        <v>0.00190346401642269</v>
      </c>
      <c r="L288" s="18">
        <f t="shared" si="122"/>
        <v>0</v>
      </c>
      <c r="M288" s="18">
        <v>0</v>
      </c>
      <c r="N288" s="18">
        <f t="shared" si="132"/>
        <v>0</v>
      </c>
      <c r="O288" s="11">
        <v>0</v>
      </c>
      <c r="P288" s="11">
        <v>0</v>
      </c>
      <c r="Q288" s="11">
        <f t="shared" si="113"/>
        <v>1</v>
      </c>
      <c r="R288" s="11">
        <v>0</v>
      </c>
      <c r="S288" s="11">
        <f t="shared" si="123"/>
        <v>0</v>
      </c>
      <c r="T288" s="11">
        <v>0</v>
      </c>
      <c r="U288" s="11">
        <f t="shared" si="112"/>
        <v>1</v>
      </c>
      <c r="V288" s="11">
        <v>0</v>
      </c>
      <c r="W288" s="11">
        <f t="shared" si="124"/>
        <v>1</v>
      </c>
      <c r="X288" s="11">
        <f t="shared" si="125"/>
        <v>0</v>
      </c>
      <c r="Y288" s="19">
        <v>0</v>
      </c>
      <c r="Z288" s="11">
        <v>0</v>
      </c>
      <c r="AA288" s="11">
        <v>0</v>
      </c>
      <c r="AB288" s="11">
        <v>0</v>
      </c>
      <c r="AC288" s="11">
        <v>0</v>
      </c>
      <c r="AD288" s="11">
        <v>0</v>
      </c>
      <c r="AE288" s="11">
        <v>0</v>
      </c>
      <c r="AF288" s="11">
        <v>0</v>
      </c>
      <c r="AG288" s="11">
        <v>0</v>
      </c>
      <c r="AH288" s="11">
        <v>0</v>
      </c>
      <c r="AI288" s="45">
        <v>0</v>
      </c>
      <c r="AJ288" s="45">
        <v>0</v>
      </c>
      <c r="AK288" s="45">
        <f t="shared" si="133"/>
        <v>0.3611</v>
      </c>
      <c r="AL288" s="45">
        <f t="shared" si="134"/>
        <v>0.00348095238095238</v>
      </c>
      <c r="AM288" s="45">
        <f t="shared" si="126"/>
        <v>0.0012569719047619</v>
      </c>
      <c r="AN288" s="45">
        <f t="shared" si="137"/>
        <v>0.792187500000003</v>
      </c>
      <c r="AO288" s="45">
        <f t="shared" si="127"/>
        <v>0.792187500000004</v>
      </c>
      <c r="AP288" s="45">
        <f t="shared" si="128"/>
        <v>1.05625</v>
      </c>
      <c r="AQ288" s="45">
        <f t="shared" si="129"/>
        <v>0</v>
      </c>
      <c r="AR288" s="45">
        <f t="shared" si="130"/>
        <v>0</v>
      </c>
      <c r="AS288" s="19">
        <f t="shared" si="135"/>
        <v>1.07916666666667</v>
      </c>
      <c r="AT288" s="19">
        <f t="shared" si="136"/>
        <v>1.03333333333334</v>
      </c>
      <c r="AU288" s="46">
        <v>0</v>
      </c>
      <c r="AV288" s="46">
        <v>0</v>
      </c>
      <c r="AW288" s="46">
        <v>0</v>
      </c>
      <c r="AX288" s="46">
        <v>1</v>
      </c>
      <c r="AY288" s="47">
        <v>0</v>
      </c>
      <c r="AZ288" s="47">
        <v>-1</v>
      </c>
    </row>
    <row r="289" hidden="1" customHeight="1" spans="1:52">
      <c r="A289" s="44">
        <v>45614</v>
      </c>
      <c r="B289" s="33">
        <f t="shared" si="114"/>
        <v>402</v>
      </c>
      <c r="C289" s="33">
        <f t="shared" si="115"/>
        <v>2263</v>
      </c>
      <c r="D289" s="11">
        <f t="shared" si="116"/>
        <v>2665</v>
      </c>
      <c r="E289" s="34">
        <f t="shared" si="131"/>
        <v>-1.207457184385e-6</v>
      </c>
      <c r="F289" s="35">
        <f t="shared" si="117"/>
        <v>0.00033929546881219</v>
      </c>
      <c r="G289" s="18">
        <f>(SUM($I$8:$I289)*(MAX(M$3-M$4,0))+(N289*MAX(M$4,0)))*(1-$AM$4)+(AM289*$AM$4)</f>
        <v>0.0956813222050376</v>
      </c>
      <c r="H289" s="18">
        <f t="shared" si="118"/>
        <v>0.958333333333333</v>
      </c>
      <c r="I289" s="18">
        <f t="shared" si="119"/>
        <v>0</v>
      </c>
      <c r="J289" s="18">
        <f t="shared" si="120"/>
        <v>0.232078100667538</v>
      </c>
      <c r="K289" s="18">
        <f t="shared" si="121"/>
        <v>0.00191025348092652</v>
      </c>
      <c r="L289" s="18">
        <f t="shared" si="122"/>
        <v>0</v>
      </c>
      <c r="M289" s="18">
        <v>0</v>
      </c>
      <c r="N289" s="18">
        <f t="shared" si="132"/>
        <v>0</v>
      </c>
      <c r="O289" s="11">
        <v>0</v>
      </c>
      <c r="P289" s="11">
        <v>0</v>
      </c>
      <c r="Q289" s="11">
        <f t="shared" si="113"/>
        <v>1</v>
      </c>
      <c r="R289" s="11">
        <v>0</v>
      </c>
      <c r="S289" s="11">
        <f t="shared" si="123"/>
        <v>0</v>
      </c>
      <c r="T289" s="11">
        <v>0</v>
      </c>
      <c r="U289" s="11">
        <f t="shared" si="112"/>
        <v>1</v>
      </c>
      <c r="V289" s="11">
        <v>0</v>
      </c>
      <c r="W289" s="11">
        <f t="shared" si="124"/>
        <v>1</v>
      </c>
      <c r="X289" s="11">
        <f t="shared" si="125"/>
        <v>0</v>
      </c>
      <c r="Y289" s="19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1">
        <v>0</v>
      </c>
      <c r="AG289" s="11">
        <v>0</v>
      </c>
      <c r="AH289" s="11">
        <v>0</v>
      </c>
      <c r="AI289" s="45">
        <v>0</v>
      </c>
      <c r="AJ289" s="45">
        <v>0</v>
      </c>
      <c r="AK289" s="45">
        <f t="shared" si="133"/>
        <v>0.3611</v>
      </c>
      <c r="AL289" s="45">
        <f t="shared" si="134"/>
        <v>0.00348095238095238</v>
      </c>
      <c r="AM289" s="45">
        <f t="shared" si="126"/>
        <v>0.0012569719047619</v>
      </c>
      <c r="AN289" s="45">
        <f t="shared" si="137"/>
        <v>0.792187500000003</v>
      </c>
      <c r="AO289" s="45">
        <f t="shared" si="127"/>
        <v>0.792187500000004</v>
      </c>
      <c r="AP289" s="45">
        <f t="shared" si="128"/>
        <v>1.05625</v>
      </c>
      <c r="AQ289" s="45">
        <f t="shared" si="129"/>
        <v>0</v>
      </c>
      <c r="AR289" s="45">
        <f t="shared" si="130"/>
        <v>0</v>
      </c>
      <c r="AS289" s="19">
        <f t="shared" si="135"/>
        <v>1.07916666666667</v>
      </c>
      <c r="AT289" s="19">
        <f t="shared" si="136"/>
        <v>1.03333333333334</v>
      </c>
      <c r="AU289" s="46">
        <v>0</v>
      </c>
      <c r="AV289" s="46">
        <v>0</v>
      </c>
      <c r="AW289" s="46">
        <v>0</v>
      </c>
      <c r="AX289" s="46">
        <v>1</v>
      </c>
      <c r="AY289" s="47">
        <v>0</v>
      </c>
      <c r="AZ289" s="47">
        <v>-1</v>
      </c>
    </row>
    <row r="290" hidden="1" customHeight="1" spans="1:52">
      <c r="A290" s="44">
        <v>45615</v>
      </c>
      <c r="B290" s="33">
        <f t="shared" si="114"/>
        <v>401</v>
      </c>
      <c r="C290" s="33">
        <f t="shared" si="115"/>
        <v>2274</v>
      </c>
      <c r="D290" s="11">
        <f t="shared" si="116"/>
        <v>2675</v>
      </c>
      <c r="E290" s="34">
        <f t="shared" si="131"/>
        <v>-1.19892391806429e-6</v>
      </c>
      <c r="F290" s="35">
        <f t="shared" si="117"/>
        <v>0.000338096544894126</v>
      </c>
      <c r="G290" s="18">
        <f>(SUM($I$8:$I290)*(MAX(M$3-M$4,0))+(N290*MAX(M$4,0)))*(1-$AM$4)+(AM290*$AM$4)</f>
        <v>0.0956813222050376</v>
      </c>
      <c r="H290" s="18">
        <f t="shared" si="118"/>
        <v>0.958333333333333</v>
      </c>
      <c r="I290" s="18">
        <f t="shared" si="119"/>
        <v>0</v>
      </c>
      <c r="J290" s="18">
        <f t="shared" si="120"/>
        <v>0.231258036707582</v>
      </c>
      <c r="K290" s="18">
        <f t="shared" si="121"/>
        <v>0.00191706225259955</v>
      </c>
      <c r="L290" s="18">
        <f t="shared" si="122"/>
        <v>0</v>
      </c>
      <c r="M290" s="18">
        <v>0</v>
      </c>
      <c r="N290" s="18">
        <f t="shared" si="132"/>
        <v>0</v>
      </c>
      <c r="O290" s="11">
        <v>0</v>
      </c>
      <c r="P290" s="11">
        <v>0</v>
      </c>
      <c r="Q290" s="11">
        <f t="shared" si="113"/>
        <v>1</v>
      </c>
      <c r="R290" s="11">
        <v>0</v>
      </c>
      <c r="S290" s="11">
        <f t="shared" si="123"/>
        <v>0</v>
      </c>
      <c r="T290" s="11">
        <v>0</v>
      </c>
      <c r="U290" s="11">
        <f t="shared" si="112"/>
        <v>1</v>
      </c>
      <c r="V290" s="11">
        <v>0</v>
      </c>
      <c r="W290" s="11">
        <f t="shared" si="124"/>
        <v>1</v>
      </c>
      <c r="X290" s="11">
        <f t="shared" si="125"/>
        <v>0</v>
      </c>
      <c r="Y290" s="19">
        <v>0</v>
      </c>
      <c r="Z290" s="11">
        <v>0</v>
      </c>
      <c r="AA290" s="11">
        <v>0</v>
      </c>
      <c r="AB290" s="11">
        <v>0</v>
      </c>
      <c r="AC290" s="11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45">
        <v>0</v>
      </c>
      <c r="AJ290" s="45">
        <v>0</v>
      </c>
      <c r="AK290" s="45">
        <f t="shared" si="133"/>
        <v>0.3611</v>
      </c>
      <c r="AL290" s="45">
        <f t="shared" si="134"/>
        <v>0.00348095238095238</v>
      </c>
      <c r="AM290" s="45">
        <f t="shared" si="126"/>
        <v>0.0012569719047619</v>
      </c>
      <c r="AN290" s="45">
        <f t="shared" si="137"/>
        <v>0.792187500000003</v>
      </c>
      <c r="AO290" s="45">
        <f t="shared" si="127"/>
        <v>0.792187500000004</v>
      </c>
      <c r="AP290" s="45">
        <f t="shared" si="128"/>
        <v>1.05625</v>
      </c>
      <c r="AQ290" s="45">
        <f t="shared" si="129"/>
        <v>0</v>
      </c>
      <c r="AR290" s="45">
        <f t="shared" si="130"/>
        <v>0</v>
      </c>
      <c r="AS290" s="19">
        <f t="shared" si="135"/>
        <v>1.07916666666667</v>
      </c>
      <c r="AT290" s="19">
        <f t="shared" si="136"/>
        <v>1.03333333333334</v>
      </c>
      <c r="AU290" s="46">
        <v>0</v>
      </c>
      <c r="AV290" s="46">
        <v>0</v>
      </c>
      <c r="AW290" s="46">
        <v>0</v>
      </c>
      <c r="AX290" s="46">
        <v>1</v>
      </c>
      <c r="AY290" s="47">
        <v>0</v>
      </c>
      <c r="AZ290" s="47">
        <v>-1</v>
      </c>
    </row>
    <row r="291" hidden="1" customHeight="1" spans="1:52">
      <c r="A291" s="44">
        <v>45616</v>
      </c>
      <c r="B291" s="33">
        <f t="shared" si="114"/>
        <v>400</v>
      </c>
      <c r="C291" s="33">
        <f t="shared" si="115"/>
        <v>2284</v>
      </c>
      <c r="D291" s="11">
        <f t="shared" si="116"/>
        <v>2684</v>
      </c>
      <c r="E291" s="34">
        <f t="shared" si="131"/>
        <v>-1.19048079188073e-6</v>
      </c>
      <c r="F291" s="35">
        <f t="shared" si="117"/>
        <v>0.000336906064102245</v>
      </c>
      <c r="G291" s="18">
        <f>(SUM($I$8:$I291)*(MAX(M$3-M$4,0))+(N291*MAX(M$4,0)))*(1-$AM$4)+(AM291*$AM$4)</f>
        <v>0.0956813222050376</v>
      </c>
      <c r="H291" s="18">
        <f t="shared" si="118"/>
        <v>0.958333333333333</v>
      </c>
      <c r="I291" s="18">
        <f t="shared" si="119"/>
        <v>0</v>
      </c>
      <c r="J291" s="18">
        <f t="shared" si="120"/>
        <v>0.230443747845936</v>
      </c>
      <c r="K291" s="18">
        <f t="shared" si="121"/>
        <v>0.00192389063038516</v>
      </c>
      <c r="L291" s="18">
        <f t="shared" si="122"/>
        <v>0</v>
      </c>
      <c r="M291" s="18">
        <v>0</v>
      </c>
      <c r="N291" s="18">
        <f t="shared" si="132"/>
        <v>0</v>
      </c>
      <c r="O291" s="11">
        <v>0</v>
      </c>
      <c r="P291" s="11">
        <v>0</v>
      </c>
      <c r="Q291" s="11">
        <f t="shared" si="113"/>
        <v>1</v>
      </c>
      <c r="R291" s="11">
        <v>0</v>
      </c>
      <c r="S291" s="11">
        <f t="shared" si="123"/>
        <v>0</v>
      </c>
      <c r="T291" s="11">
        <v>0</v>
      </c>
      <c r="U291" s="11">
        <f t="shared" si="112"/>
        <v>1</v>
      </c>
      <c r="V291" s="11">
        <v>0</v>
      </c>
      <c r="W291" s="11">
        <f t="shared" si="124"/>
        <v>1</v>
      </c>
      <c r="X291" s="11">
        <f t="shared" si="125"/>
        <v>0</v>
      </c>
      <c r="Y291" s="19">
        <v>0</v>
      </c>
      <c r="Z291" s="11">
        <v>0</v>
      </c>
      <c r="AA291" s="11">
        <v>0</v>
      </c>
      <c r="AB291" s="11">
        <v>0</v>
      </c>
      <c r="AC291" s="11">
        <v>0</v>
      </c>
      <c r="AD291" s="11">
        <v>0</v>
      </c>
      <c r="AE291" s="11">
        <v>0</v>
      </c>
      <c r="AF291" s="11">
        <v>0</v>
      </c>
      <c r="AG291" s="11">
        <v>0</v>
      </c>
      <c r="AH291" s="11">
        <v>0</v>
      </c>
      <c r="AI291" s="45">
        <v>0</v>
      </c>
      <c r="AJ291" s="45">
        <v>0</v>
      </c>
      <c r="AK291" s="45">
        <f t="shared" si="133"/>
        <v>0.3611</v>
      </c>
      <c r="AL291" s="45">
        <f t="shared" si="134"/>
        <v>0.00348095238095238</v>
      </c>
      <c r="AM291" s="45">
        <f t="shared" si="126"/>
        <v>0.0012569719047619</v>
      </c>
      <c r="AN291" s="45">
        <f t="shared" si="137"/>
        <v>0.792187500000003</v>
      </c>
      <c r="AO291" s="45">
        <f t="shared" si="127"/>
        <v>0.792187500000004</v>
      </c>
      <c r="AP291" s="45">
        <f t="shared" si="128"/>
        <v>1.05625</v>
      </c>
      <c r="AQ291" s="45">
        <f t="shared" si="129"/>
        <v>0</v>
      </c>
      <c r="AR291" s="45">
        <f t="shared" si="130"/>
        <v>0</v>
      </c>
      <c r="AS291" s="19">
        <f t="shared" si="135"/>
        <v>1.07916666666667</v>
      </c>
      <c r="AT291" s="19">
        <f t="shared" si="136"/>
        <v>1.03333333333334</v>
      </c>
      <c r="AU291" s="46">
        <v>0</v>
      </c>
      <c r="AV291" s="46">
        <v>0</v>
      </c>
      <c r="AW291" s="46">
        <v>0</v>
      </c>
      <c r="AX291" s="46">
        <v>1</v>
      </c>
      <c r="AY291" s="47">
        <v>0</v>
      </c>
      <c r="AZ291" s="47">
        <v>-1</v>
      </c>
    </row>
    <row r="292" hidden="1" customHeight="1" spans="1:52">
      <c r="A292" s="44">
        <v>45617</v>
      </c>
      <c r="B292" s="33">
        <f t="shared" si="114"/>
        <v>399</v>
      </c>
      <c r="C292" s="33">
        <f t="shared" si="115"/>
        <v>2295</v>
      </c>
      <c r="D292" s="11">
        <f t="shared" si="116"/>
        <v>2694</v>
      </c>
      <c r="E292" s="34">
        <f t="shared" si="131"/>
        <v>-1.18212654070962e-6</v>
      </c>
      <c r="F292" s="35">
        <f t="shared" si="117"/>
        <v>0.000335723937561535</v>
      </c>
      <c r="G292" s="18">
        <f>(SUM($I$8:$I292)*(MAX(M$3-M$4,0))+(N292*MAX(M$4,0)))*(1-$AM$4)+(AM292*$AM$4)</f>
        <v>0.0956813222050376</v>
      </c>
      <c r="H292" s="18">
        <f t="shared" si="118"/>
        <v>0.958333333333333</v>
      </c>
      <c r="I292" s="18">
        <f t="shared" si="119"/>
        <v>0</v>
      </c>
      <c r="J292" s="18">
        <f t="shared" si="120"/>
        <v>0.22963517329209</v>
      </c>
      <c r="K292" s="18">
        <f t="shared" si="121"/>
        <v>0.00193073891405491</v>
      </c>
      <c r="L292" s="18">
        <f t="shared" si="122"/>
        <v>0</v>
      </c>
      <c r="M292" s="18">
        <v>0</v>
      </c>
      <c r="N292" s="18">
        <f t="shared" si="132"/>
        <v>0</v>
      </c>
      <c r="O292" s="11">
        <v>0</v>
      </c>
      <c r="P292" s="11">
        <v>0</v>
      </c>
      <c r="Q292" s="11">
        <f t="shared" si="113"/>
        <v>1</v>
      </c>
      <c r="R292" s="11">
        <v>0</v>
      </c>
      <c r="S292" s="11">
        <f t="shared" si="123"/>
        <v>0</v>
      </c>
      <c r="T292" s="11">
        <v>0</v>
      </c>
      <c r="U292" s="11">
        <f t="shared" si="112"/>
        <v>1</v>
      </c>
      <c r="V292" s="11">
        <v>0</v>
      </c>
      <c r="W292" s="11">
        <f t="shared" si="124"/>
        <v>1</v>
      </c>
      <c r="X292" s="11">
        <f t="shared" si="125"/>
        <v>0</v>
      </c>
      <c r="Y292" s="19">
        <v>0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45">
        <v>0</v>
      </c>
      <c r="AJ292" s="45">
        <v>0</v>
      </c>
      <c r="AK292" s="45">
        <f t="shared" si="133"/>
        <v>0.3611</v>
      </c>
      <c r="AL292" s="45">
        <f t="shared" si="134"/>
        <v>0.00348095238095238</v>
      </c>
      <c r="AM292" s="45">
        <f t="shared" si="126"/>
        <v>0.0012569719047619</v>
      </c>
      <c r="AN292" s="45">
        <f t="shared" si="137"/>
        <v>0.792187500000003</v>
      </c>
      <c r="AO292" s="45">
        <f t="shared" si="127"/>
        <v>0.792187500000004</v>
      </c>
      <c r="AP292" s="45">
        <f t="shared" si="128"/>
        <v>1.05625</v>
      </c>
      <c r="AQ292" s="45">
        <f t="shared" si="129"/>
        <v>0</v>
      </c>
      <c r="AR292" s="45">
        <f t="shared" si="130"/>
        <v>0</v>
      </c>
      <c r="AS292" s="19">
        <f t="shared" si="135"/>
        <v>1.07916666666667</v>
      </c>
      <c r="AT292" s="19">
        <f t="shared" si="136"/>
        <v>1.03333333333334</v>
      </c>
      <c r="AU292" s="46">
        <v>0</v>
      </c>
      <c r="AV292" s="46">
        <v>0</v>
      </c>
      <c r="AW292" s="46">
        <v>0</v>
      </c>
      <c r="AX292" s="46">
        <v>1</v>
      </c>
      <c r="AY292" s="47">
        <v>0</v>
      </c>
      <c r="AZ292" s="47">
        <v>-1</v>
      </c>
    </row>
    <row r="293" hidden="1" customHeight="1" spans="1:52">
      <c r="A293" s="44">
        <v>45618</v>
      </c>
      <c r="B293" s="33">
        <f t="shared" si="114"/>
        <v>398</v>
      </c>
      <c r="C293" s="33">
        <f t="shared" si="115"/>
        <v>2305</v>
      </c>
      <c r="D293" s="11">
        <f t="shared" si="116"/>
        <v>2703</v>
      </c>
      <c r="E293" s="34">
        <f t="shared" si="131"/>
        <v>-1.17385992154379e-6</v>
      </c>
      <c r="F293" s="35">
        <f t="shared" si="117"/>
        <v>0.000334550077639992</v>
      </c>
      <c r="G293" s="18">
        <f>(SUM($I$8:$I293)*(MAX(M$3-M$4,0))+(N293*MAX(M$4,0)))*(1-$AM$4)+(AM293*$AM$4)</f>
        <v>0.0956813222050376</v>
      </c>
      <c r="H293" s="18">
        <f t="shared" si="118"/>
        <v>0.958333333333333</v>
      </c>
      <c r="I293" s="18">
        <f t="shared" si="119"/>
        <v>0</v>
      </c>
      <c r="J293" s="18">
        <f t="shared" si="120"/>
        <v>0.228832253105754</v>
      </c>
      <c r="K293" s="18">
        <f t="shared" si="121"/>
        <v>0.0019376074042569</v>
      </c>
      <c r="L293" s="18">
        <f t="shared" si="122"/>
        <v>0</v>
      </c>
      <c r="M293" s="18">
        <v>0</v>
      </c>
      <c r="N293" s="18">
        <f t="shared" si="132"/>
        <v>0</v>
      </c>
      <c r="O293" s="11">
        <v>0</v>
      </c>
      <c r="P293" s="11">
        <v>0</v>
      </c>
      <c r="Q293" s="11">
        <f t="shared" si="113"/>
        <v>1</v>
      </c>
      <c r="R293" s="11">
        <v>0</v>
      </c>
      <c r="S293" s="11">
        <f t="shared" si="123"/>
        <v>0</v>
      </c>
      <c r="T293" s="11">
        <v>0</v>
      </c>
      <c r="U293" s="11">
        <f t="shared" si="112"/>
        <v>1</v>
      </c>
      <c r="V293" s="11">
        <v>0</v>
      </c>
      <c r="W293" s="11">
        <f t="shared" si="124"/>
        <v>1</v>
      </c>
      <c r="X293" s="11">
        <f t="shared" si="125"/>
        <v>0</v>
      </c>
      <c r="Y293" s="19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1">
        <v>0</v>
      </c>
      <c r="AG293" s="11">
        <v>0</v>
      </c>
      <c r="AH293" s="11">
        <v>0</v>
      </c>
      <c r="AI293" s="45">
        <v>0</v>
      </c>
      <c r="AJ293" s="45">
        <v>0</v>
      </c>
      <c r="AK293" s="45">
        <f t="shared" si="133"/>
        <v>0.3611</v>
      </c>
      <c r="AL293" s="45">
        <f t="shared" si="134"/>
        <v>0.00348095238095238</v>
      </c>
      <c r="AM293" s="45">
        <f t="shared" si="126"/>
        <v>0.0012569719047619</v>
      </c>
      <c r="AN293" s="45">
        <f t="shared" si="137"/>
        <v>0.792187500000003</v>
      </c>
      <c r="AO293" s="45">
        <f t="shared" si="127"/>
        <v>0.792187500000004</v>
      </c>
      <c r="AP293" s="45">
        <f t="shared" si="128"/>
        <v>1.05625</v>
      </c>
      <c r="AQ293" s="45">
        <f t="shared" si="129"/>
        <v>0</v>
      </c>
      <c r="AR293" s="45">
        <f t="shared" si="130"/>
        <v>0</v>
      </c>
      <c r="AS293" s="19">
        <f t="shared" si="135"/>
        <v>1.07916666666667</v>
      </c>
      <c r="AT293" s="19">
        <f t="shared" si="136"/>
        <v>1.03333333333334</v>
      </c>
      <c r="AU293" s="46">
        <v>0</v>
      </c>
      <c r="AV293" s="46">
        <v>0</v>
      </c>
      <c r="AW293" s="46">
        <v>0</v>
      </c>
      <c r="AX293" s="46">
        <v>1</v>
      </c>
      <c r="AY293" s="47">
        <v>0</v>
      </c>
      <c r="AZ293" s="47">
        <v>-1</v>
      </c>
    </row>
    <row r="294" hidden="1" customHeight="1" spans="1:52">
      <c r="A294" s="44">
        <v>45619</v>
      </c>
      <c r="B294" s="33">
        <f t="shared" si="114"/>
        <v>397</v>
      </c>
      <c r="C294" s="33">
        <f t="shared" si="115"/>
        <v>2310</v>
      </c>
      <c r="D294" s="11">
        <f t="shared" si="116"/>
        <v>2707</v>
      </c>
      <c r="E294" s="34">
        <f t="shared" si="131"/>
        <v>-5.85967814721914e-7</v>
      </c>
      <c r="F294" s="35">
        <f t="shared" si="117"/>
        <v>0.00033396410982527</v>
      </c>
      <c r="G294" s="18">
        <f>(SUM($I$8:$I294)*(MAX(M$3-M$4,0))+(N294*MAX(M$4,0)))*(1-$AM$4)+(AM294*$AM$4)</f>
        <v>0.0958476995198524</v>
      </c>
      <c r="H294" s="18">
        <f t="shared" si="118"/>
        <v>0.958333333333333</v>
      </c>
      <c r="I294" s="18">
        <f t="shared" si="119"/>
        <v>0.000887345679012346</v>
      </c>
      <c r="J294" s="18">
        <f t="shared" si="120"/>
        <v>0.228431451120484</v>
      </c>
      <c r="K294" s="18">
        <f t="shared" si="121"/>
        <v>0.00194349760423052</v>
      </c>
      <c r="L294" s="18">
        <f t="shared" si="122"/>
        <v>0.000925925925925926</v>
      </c>
      <c r="M294" s="18">
        <v>0</v>
      </c>
      <c r="N294" s="18">
        <f t="shared" si="132"/>
        <v>0</v>
      </c>
      <c r="O294" s="11">
        <v>0</v>
      </c>
      <c r="P294" s="11">
        <v>0</v>
      </c>
      <c r="Q294" s="11">
        <f t="shared" si="113"/>
        <v>1</v>
      </c>
      <c r="R294" s="11">
        <v>0</v>
      </c>
      <c r="S294" s="11">
        <f t="shared" si="123"/>
        <v>0</v>
      </c>
      <c r="T294" s="11">
        <v>0</v>
      </c>
      <c r="U294" s="11">
        <f t="shared" si="112"/>
        <v>1</v>
      </c>
      <c r="V294" s="11">
        <v>0</v>
      </c>
      <c r="W294" s="11">
        <f t="shared" si="124"/>
        <v>1</v>
      </c>
      <c r="X294" s="11">
        <f t="shared" si="125"/>
        <v>0</v>
      </c>
      <c r="Y294" s="19">
        <v>0</v>
      </c>
      <c r="Z294" s="11">
        <v>0</v>
      </c>
      <c r="AA294" s="11">
        <v>0</v>
      </c>
      <c r="AB294" s="11">
        <v>0</v>
      </c>
      <c r="AC294" s="11">
        <v>0</v>
      </c>
      <c r="AD294" s="11">
        <v>11</v>
      </c>
      <c r="AE294" s="11">
        <v>0</v>
      </c>
      <c r="AF294" s="11">
        <v>0</v>
      </c>
      <c r="AG294" s="11">
        <v>0</v>
      </c>
      <c r="AH294" s="11">
        <v>0</v>
      </c>
      <c r="AI294" s="45">
        <v>0</v>
      </c>
      <c r="AJ294" s="45">
        <v>0</v>
      </c>
      <c r="AK294" s="45">
        <f t="shared" si="133"/>
        <v>0.3611</v>
      </c>
      <c r="AL294" s="45">
        <f t="shared" si="134"/>
        <v>0.00348095238095238</v>
      </c>
      <c r="AM294" s="45">
        <f t="shared" si="126"/>
        <v>0.0012569719047619</v>
      </c>
      <c r="AN294" s="45">
        <f t="shared" si="137"/>
        <v>0.792187500000003</v>
      </c>
      <c r="AO294" s="45">
        <f t="shared" si="127"/>
        <v>0.792187500000004</v>
      </c>
      <c r="AP294" s="45">
        <f t="shared" si="128"/>
        <v>1.05625</v>
      </c>
      <c r="AQ294" s="45">
        <f t="shared" si="129"/>
        <v>0</v>
      </c>
      <c r="AR294" s="45">
        <f t="shared" si="130"/>
        <v>0</v>
      </c>
      <c r="AS294" s="19">
        <f t="shared" si="135"/>
        <v>1.07916666666667</v>
      </c>
      <c r="AT294" s="19">
        <f t="shared" si="136"/>
        <v>1.03333333333334</v>
      </c>
      <c r="AU294" s="46">
        <v>0</v>
      </c>
      <c r="AV294" s="46">
        <v>0</v>
      </c>
      <c r="AW294" s="46">
        <v>0</v>
      </c>
      <c r="AX294" s="46">
        <v>1</v>
      </c>
      <c r="AY294" s="47">
        <v>0</v>
      </c>
      <c r="AZ294" s="47">
        <v>-1</v>
      </c>
    </row>
    <row r="295" hidden="1" customHeight="1" spans="1:52">
      <c r="A295" s="44">
        <v>45620</v>
      </c>
      <c r="B295" s="33">
        <f t="shared" si="114"/>
        <v>396</v>
      </c>
      <c r="C295" s="33">
        <f t="shared" si="115"/>
        <v>2312</v>
      </c>
      <c r="D295" s="11">
        <f t="shared" si="116"/>
        <v>2708</v>
      </c>
      <c r="E295" s="34">
        <f t="shared" si="131"/>
        <v>-1.61753859405389e-7</v>
      </c>
      <c r="F295" s="35">
        <f t="shared" si="117"/>
        <v>0.000333802355965864</v>
      </c>
      <c r="G295" s="18">
        <f>(SUM($I$8:$I295)*(MAX(M$3-M$4,0))+(N295*MAX(M$4,0)))*(1-$AM$4)+(AM295*$AM$4)</f>
        <v>0.0961350785181689</v>
      </c>
      <c r="H295" s="18">
        <f t="shared" si="118"/>
        <v>0.958333333333333</v>
      </c>
      <c r="I295" s="18">
        <f t="shared" si="119"/>
        <v>0.00153268799102132</v>
      </c>
      <c r="J295" s="18">
        <f t="shared" si="120"/>
        <v>0.228320811480651</v>
      </c>
      <c r="K295" s="18">
        <f t="shared" si="121"/>
        <v>0.00194868481949331</v>
      </c>
      <c r="L295" s="18">
        <f t="shared" si="122"/>
        <v>0.0015993265993266</v>
      </c>
      <c r="M295" s="18">
        <v>0</v>
      </c>
      <c r="N295" s="18">
        <f t="shared" si="132"/>
        <v>0</v>
      </c>
      <c r="O295" s="11">
        <v>0</v>
      </c>
      <c r="P295" s="11">
        <v>0</v>
      </c>
      <c r="Q295" s="11">
        <f t="shared" si="113"/>
        <v>1</v>
      </c>
      <c r="R295" s="11">
        <v>0</v>
      </c>
      <c r="S295" s="11">
        <f t="shared" si="123"/>
        <v>0</v>
      </c>
      <c r="T295" s="11">
        <v>0</v>
      </c>
      <c r="U295" s="11">
        <f t="shared" si="112"/>
        <v>1</v>
      </c>
      <c r="V295" s="11">
        <v>0</v>
      </c>
      <c r="W295" s="11">
        <f t="shared" si="124"/>
        <v>1</v>
      </c>
      <c r="X295" s="11">
        <f t="shared" si="125"/>
        <v>0</v>
      </c>
      <c r="Y295" s="19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19</v>
      </c>
      <c r="AE295" s="11">
        <v>0</v>
      </c>
      <c r="AF295" s="11">
        <v>0</v>
      </c>
      <c r="AG295" s="11">
        <v>0</v>
      </c>
      <c r="AH295" s="11">
        <v>0</v>
      </c>
      <c r="AI295" s="45">
        <v>0</v>
      </c>
      <c r="AJ295" s="45">
        <v>0</v>
      </c>
      <c r="AK295" s="45">
        <f t="shared" si="133"/>
        <v>0.3611</v>
      </c>
      <c r="AL295" s="45">
        <f t="shared" si="134"/>
        <v>0.00348095238095238</v>
      </c>
      <c r="AM295" s="45">
        <f t="shared" si="126"/>
        <v>0.0012569719047619</v>
      </c>
      <c r="AN295" s="45">
        <f t="shared" si="137"/>
        <v>0.792187500000003</v>
      </c>
      <c r="AO295" s="45">
        <f t="shared" si="127"/>
        <v>0.792187500000004</v>
      </c>
      <c r="AP295" s="45">
        <f t="shared" si="128"/>
        <v>1.05625</v>
      </c>
      <c r="AQ295" s="45">
        <f t="shared" si="129"/>
        <v>0</v>
      </c>
      <c r="AR295" s="45">
        <f t="shared" si="130"/>
        <v>0</v>
      </c>
      <c r="AS295" s="19">
        <f t="shared" si="135"/>
        <v>1.07916666666667</v>
      </c>
      <c r="AT295" s="19">
        <f t="shared" si="136"/>
        <v>1.03333333333334</v>
      </c>
      <c r="AU295" s="46">
        <v>0</v>
      </c>
      <c r="AV295" s="46">
        <v>0</v>
      </c>
      <c r="AW295" s="46">
        <v>0</v>
      </c>
      <c r="AX295" s="46">
        <v>1</v>
      </c>
      <c r="AY295" s="47">
        <v>0</v>
      </c>
      <c r="AZ295" s="47">
        <v>-1</v>
      </c>
    </row>
    <row r="296" hidden="1" customHeight="1" spans="1:52">
      <c r="A296" s="44">
        <v>45621</v>
      </c>
      <c r="B296" s="33">
        <f t="shared" si="114"/>
        <v>395</v>
      </c>
      <c r="C296" s="33">
        <f t="shared" si="115"/>
        <v>2322</v>
      </c>
      <c r="D296" s="11">
        <f t="shared" si="116"/>
        <v>2717</v>
      </c>
      <c r="E296" s="34">
        <f t="shared" si="131"/>
        <v>-1.15502545316911e-6</v>
      </c>
      <c r="F296" s="35">
        <f t="shared" si="117"/>
        <v>0.000332647330512695</v>
      </c>
      <c r="G296" s="18">
        <f>(SUM($I$8:$I296)*(MAX(M$3-M$4,0))+(N296*MAX(M$4,0)))*(1-$AM$4)+(AM296*$AM$4)</f>
        <v>0.0961350785181689</v>
      </c>
      <c r="H296" s="18">
        <f t="shared" si="118"/>
        <v>0.958333333333333</v>
      </c>
      <c r="I296" s="18">
        <f t="shared" si="119"/>
        <v>0</v>
      </c>
      <c r="J296" s="18">
        <f t="shared" si="120"/>
        <v>0.227530774070684</v>
      </c>
      <c r="K296" s="18">
        <f t="shared" si="121"/>
        <v>0.00195561829349194</v>
      </c>
      <c r="L296" s="18">
        <f t="shared" si="122"/>
        <v>0</v>
      </c>
      <c r="M296" s="18">
        <v>0</v>
      </c>
      <c r="N296" s="18">
        <f t="shared" si="132"/>
        <v>0</v>
      </c>
      <c r="O296" s="11">
        <v>0</v>
      </c>
      <c r="P296" s="11">
        <v>0</v>
      </c>
      <c r="Q296" s="11">
        <f t="shared" si="113"/>
        <v>1</v>
      </c>
      <c r="R296" s="11">
        <v>0</v>
      </c>
      <c r="S296" s="11">
        <f t="shared" si="123"/>
        <v>0</v>
      </c>
      <c r="T296" s="11">
        <v>0</v>
      </c>
      <c r="U296" s="11">
        <f t="shared" si="112"/>
        <v>1</v>
      </c>
      <c r="V296" s="11">
        <v>0</v>
      </c>
      <c r="W296" s="11">
        <f t="shared" si="124"/>
        <v>1</v>
      </c>
      <c r="X296" s="11">
        <f t="shared" si="125"/>
        <v>0</v>
      </c>
      <c r="Y296" s="19">
        <v>0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45">
        <v>0</v>
      </c>
      <c r="AJ296" s="45">
        <v>0</v>
      </c>
      <c r="AK296" s="45">
        <f t="shared" si="133"/>
        <v>0.3611</v>
      </c>
      <c r="AL296" s="45">
        <f t="shared" si="134"/>
        <v>0.00348095238095238</v>
      </c>
      <c r="AM296" s="45">
        <f t="shared" si="126"/>
        <v>0.0012569719047619</v>
      </c>
      <c r="AN296" s="45">
        <f t="shared" si="137"/>
        <v>0.792187500000003</v>
      </c>
      <c r="AO296" s="45">
        <f t="shared" si="127"/>
        <v>0.792187500000004</v>
      </c>
      <c r="AP296" s="45">
        <f t="shared" si="128"/>
        <v>1.05625</v>
      </c>
      <c r="AQ296" s="45">
        <f t="shared" si="129"/>
        <v>0</v>
      </c>
      <c r="AR296" s="45">
        <f t="shared" si="130"/>
        <v>0</v>
      </c>
      <c r="AS296" s="19">
        <f t="shared" si="135"/>
        <v>1.07916666666667</v>
      </c>
      <c r="AT296" s="19">
        <f t="shared" si="136"/>
        <v>1.03333333333334</v>
      </c>
      <c r="AU296" s="46">
        <v>0</v>
      </c>
      <c r="AV296" s="46">
        <v>0</v>
      </c>
      <c r="AW296" s="46">
        <v>0</v>
      </c>
      <c r="AX296" s="46">
        <v>1</v>
      </c>
      <c r="AY296" s="47">
        <v>0</v>
      </c>
      <c r="AZ296" s="47">
        <v>-1</v>
      </c>
    </row>
    <row r="297" hidden="1" customHeight="1" spans="1:52">
      <c r="A297" s="44">
        <v>45622</v>
      </c>
      <c r="B297" s="33">
        <f t="shared" si="114"/>
        <v>394</v>
      </c>
      <c r="C297" s="33">
        <f t="shared" si="115"/>
        <v>2333</v>
      </c>
      <c r="D297" s="11">
        <f t="shared" si="116"/>
        <v>2727</v>
      </c>
      <c r="E297" s="34">
        <f t="shared" si="131"/>
        <v>-1.14705976038859e-6</v>
      </c>
      <c r="F297" s="35">
        <f t="shared" si="117"/>
        <v>0.000331500270752307</v>
      </c>
      <c r="G297" s="18">
        <f>(SUM($I$8:$I297)*(MAX(M$3-M$4,0))+(N297*MAX(M$4,0)))*(1-$AM$4)+(AM297*$AM$4)</f>
        <v>0.0961350785181689</v>
      </c>
      <c r="H297" s="18">
        <f t="shared" si="118"/>
        <v>0.958333333333333</v>
      </c>
      <c r="I297" s="18">
        <f t="shared" si="119"/>
        <v>0</v>
      </c>
      <c r="J297" s="18">
        <f t="shared" si="120"/>
        <v>0.226746185194578</v>
      </c>
      <c r="K297" s="18">
        <f t="shared" si="121"/>
        <v>0.00196257313402391</v>
      </c>
      <c r="L297" s="18">
        <f t="shared" si="122"/>
        <v>0</v>
      </c>
      <c r="M297" s="18">
        <v>0</v>
      </c>
      <c r="N297" s="18">
        <f t="shared" si="132"/>
        <v>0</v>
      </c>
      <c r="O297" s="11">
        <v>0</v>
      </c>
      <c r="P297" s="11">
        <v>0</v>
      </c>
      <c r="Q297" s="11">
        <f t="shared" si="113"/>
        <v>1</v>
      </c>
      <c r="R297" s="11">
        <v>0</v>
      </c>
      <c r="S297" s="11">
        <f t="shared" si="123"/>
        <v>0</v>
      </c>
      <c r="T297" s="11">
        <v>0</v>
      </c>
      <c r="U297" s="11">
        <f t="shared" si="112"/>
        <v>1</v>
      </c>
      <c r="V297" s="11">
        <v>0</v>
      </c>
      <c r="W297" s="11">
        <f t="shared" si="124"/>
        <v>1</v>
      </c>
      <c r="X297" s="11">
        <f t="shared" si="125"/>
        <v>0</v>
      </c>
      <c r="Y297" s="19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1">
        <v>0</v>
      </c>
      <c r="AG297" s="11">
        <v>0</v>
      </c>
      <c r="AH297" s="11">
        <v>0</v>
      </c>
      <c r="AI297" s="45">
        <v>0</v>
      </c>
      <c r="AJ297" s="45">
        <v>0</v>
      </c>
      <c r="AK297" s="45">
        <f t="shared" si="133"/>
        <v>0.3611</v>
      </c>
      <c r="AL297" s="45">
        <f t="shared" si="134"/>
        <v>0.00348095238095238</v>
      </c>
      <c r="AM297" s="45">
        <f t="shared" si="126"/>
        <v>0.0012569719047619</v>
      </c>
      <c r="AN297" s="45">
        <f t="shared" si="137"/>
        <v>0.792187500000003</v>
      </c>
      <c r="AO297" s="45">
        <f t="shared" si="127"/>
        <v>0.792187500000004</v>
      </c>
      <c r="AP297" s="45">
        <f t="shared" si="128"/>
        <v>1.05625</v>
      </c>
      <c r="AQ297" s="45">
        <f t="shared" si="129"/>
        <v>0</v>
      </c>
      <c r="AR297" s="45">
        <f t="shared" si="130"/>
        <v>0</v>
      </c>
      <c r="AS297" s="19">
        <f t="shared" si="135"/>
        <v>1.07916666666667</v>
      </c>
      <c r="AT297" s="19">
        <f t="shared" si="136"/>
        <v>1.03333333333334</v>
      </c>
      <c r="AU297" s="46">
        <v>0</v>
      </c>
      <c r="AV297" s="46">
        <v>0</v>
      </c>
      <c r="AW297" s="46">
        <v>0</v>
      </c>
      <c r="AX297" s="46">
        <v>1</v>
      </c>
      <c r="AY297" s="47">
        <v>0</v>
      </c>
      <c r="AZ297" s="47">
        <v>-1</v>
      </c>
    </row>
    <row r="298" hidden="1" customHeight="1" spans="1:52">
      <c r="A298" s="44">
        <v>45623</v>
      </c>
      <c r="B298" s="33">
        <f t="shared" si="114"/>
        <v>393</v>
      </c>
      <c r="C298" s="33">
        <f t="shared" si="115"/>
        <v>2343</v>
      </c>
      <c r="D298" s="11">
        <f t="shared" si="116"/>
        <v>2736</v>
      </c>
      <c r="E298" s="34">
        <f t="shared" si="131"/>
        <v>-1.13917618815222e-6</v>
      </c>
      <c r="F298" s="35">
        <f t="shared" si="117"/>
        <v>0.000330361094564154</v>
      </c>
      <c r="G298" s="18">
        <f>(SUM($I$8:$I298)*(MAX(M$3-M$4,0))+(N298*MAX(M$4,0)))*(1-$AM$4)+(AM298*$AM$4)</f>
        <v>0.0961350785181689</v>
      </c>
      <c r="H298" s="18">
        <f t="shared" si="118"/>
        <v>0.958333333333333</v>
      </c>
      <c r="I298" s="18">
        <f t="shared" si="119"/>
        <v>0</v>
      </c>
      <c r="J298" s="18">
        <f t="shared" si="120"/>
        <v>0.225966988681882</v>
      </c>
      <c r="K298" s="18">
        <f t="shared" si="121"/>
        <v>0.00196954964711989</v>
      </c>
      <c r="L298" s="18">
        <f t="shared" si="122"/>
        <v>0</v>
      </c>
      <c r="M298" s="18">
        <v>0</v>
      </c>
      <c r="N298" s="18">
        <f t="shared" si="132"/>
        <v>0</v>
      </c>
      <c r="O298" s="11">
        <v>0</v>
      </c>
      <c r="P298" s="11">
        <v>0</v>
      </c>
      <c r="Q298" s="11">
        <f t="shared" si="113"/>
        <v>1</v>
      </c>
      <c r="R298" s="11">
        <v>0</v>
      </c>
      <c r="S298" s="11">
        <f t="shared" si="123"/>
        <v>0</v>
      </c>
      <c r="T298" s="11">
        <v>0</v>
      </c>
      <c r="U298" s="11">
        <f t="shared" si="112"/>
        <v>1</v>
      </c>
      <c r="V298" s="11">
        <v>0</v>
      </c>
      <c r="W298" s="11">
        <f t="shared" si="124"/>
        <v>1</v>
      </c>
      <c r="X298" s="11">
        <f t="shared" si="125"/>
        <v>0</v>
      </c>
      <c r="Y298" s="19">
        <v>0</v>
      </c>
      <c r="Z298" s="11">
        <v>0</v>
      </c>
      <c r="AA298" s="11">
        <v>0</v>
      </c>
      <c r="AB298" s="11">
        <v>0</v>
      </c>
      <c r="AC298" s="11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45">
        <v>0</v>
      </c>
      <c r="AJ298" s="45">
        <v>0</v>
      </c>
      <c r="AK298" s="45">
        <f t="shared" si="133"/>
        <v>0.3611</v>
      </c>
      <c r="AL298" s="45">
        <f t="shared" si="134"/>
        <v>0.00348095238095238</v>
      </c>
      <c r="AM298" s="45">
        <f t="shared" si="126"/>
        <v>0.0012569719047619</v>
      </c>
      <c r="AN298" s="45">
        <f t="shared" si="137"/>
        <v>0.792187500000003</v>
      </c>
      <c r="AO298" s="45">
        <f t="shared" si="127"/>
        <v>0.792187500000004</v>
      </c>
      <c r="AP298" s="45">
        <f t="shared" si="128"/>
        <v>1.05625</v>
      </c>
      <c r="AQ298" s="45">
        <f t="shared" si="129"/>
        <v>0</v>
      </c>
      <c r="AR298" s="45">
        <f t="shared" si="130"/>
        <v>0</v>
      </c>
      <c r="AS298" s="19">
        <f t="shared" si="135"/>
        <v>1.07916666666667</v>
      </c>
      <c r="AT298" s="19">
        <f t="shared" si="136"/>
        <v>1.03333333333334</v>
      </c>
      <c r="AU298" s="46">
        <v>0</v>
      </c>
      <c r="AV298" s="46">
        <v>0</v>
      </c>
      <c r="AW298" s="46">
        <v>0</v>
      </c>
      <c r="AX298" s="46">
        <v>1</v>
      </c>
      <c r="AY298" s="47">
        <v>0</v>
      </c>
      <c r="AZ298" s="47">
        <v>-1</v>
      </c>
    </row>
    <row r="299" hidden="1" customHeight="1" spans="1:52">
      <c r="A299" s="44">
        <v>45624</v>
      </c>
      <c r="B299" s="33">
        <f t="shared" si="114"/>
        <v>392</v>
      </c>
      <c r="C299" s="33">
        <f t="shared" si="115"/>
        <v>2353</v>
      </c>
      <c r="D299" s="11">
        <f t="shared" si="116"/>
        <v>2745</v>
      </c>
      <c r="E299" s="34">
        <f t="shared" si="131"/>
        <v>-1.13137361152109e-6</v>
      </c>
      <c r="F299" s="35">
        <f t="shared" si="117"/>
        <v>0.000329229720952633</v>
      </c>
      <c r="G299" s="18">
        <f>(SUM($I$8:$I299)*(MAX(M$3-M$4,0))+(N299*MAX(M$4,0)))*(1-$AM$4)+(AM299*$AM$4)</f>
        <v>0.0961350785181689</v>
      </c>
      <c r="H299" s="18">
        <f t="shared" si="118"/>
        <v>0.958333333333333</v>
      </c>
      <c r="I299" s="18">
        <f t="shared" si="119"/>
        <v>0</v>
      </c>
      <c r="J299" s="18">
        <f t="shared" si="120"/>
        <v>0.225193129131601</v>
      </c>
      <c r="K299" s="18">
        <f t="shared" si="121"/>
        <v>0.0019765481399704</v>
      </c>
      <c r="L299" s="18">
        <f t="shared" si="122"/>
        <v>0</v>
      </c>
      <c r="M299" s="18">
        <v>0</v>
      </c>
      <c r="N299" s="18">
        <f t="shared" si="132"/>
        <v>0</v>
      </c>
      <c r="O299" s="11">
        <v>0</v>
      </c>
      <c r="P299" s="11">
        <v>0</v>
      </c>
      <c r="Q299" s="11">
        <f t="shared" si="113"/>
        <v>1</v>
      </c>
      <c r="R299" s="11">
        <v>0</v>
      </c>
      <c r="S299" s="11">
        <f t="shared" si="123"/>
        <v>0</v>
      </c>
      <c r="T299" s="11">
        <v>0</v>
      </c>
      <c r="U299" s="11">
        <f t="shared" si="112"/>
        <v>1</v>
      </c>
      <c r="V299" s="11">
        <v>0</v>
      </c>
      <c r="W299" s="11">
        <f t="shared" si="124"/>
        <v>1</v>
      </c>
      <c r="X299" s="11">
        <f t="shared" si="125"/>
        <v>0</v>
      </c>
      <c r="Y299" s="19">
        <v>0</v>
      </c>
      <c r="Z299" s="11">
        <v>0</v>
      </c>
      <c r="AA299" s="11">
        <v>0</v>
      </c>
      <c r="AB299" s="11">
        <v>0</v>
      </c>
      <c r="AC299" s="11">
        <v>0</v>
      </c>
      <c r="AD299" s="11">
        <v>0</v>
      </c>
      <c r="AE299" s="11">
        <v>0</v>
      </c>
      <c r="AF299" s="11">
        <v>0</v>
      </c>
      <c r="AG299" s="11">
        <v>0</v>
      </c>
      <c r="AH299" s="11">
        <v>0</v>
      </c>
      <c r="AI299" s="45">
        <v>0</v>
      </c>
      <c r="AJ299" s="45">
        <v>0</v>
      </c>
      <c r="AK299" s="45">
        <f t="shared" si="133"/>
        <v>0.3611</v>
      </c>
      <c r="AL299" s="45">
        <f t="shared" si="134"/>
        <v>0.00348095238095238</v>
      </c>
      <c r="AM299" s="45">
        <f t="shared" si="126"/>
        <v>0.0012569719047619</v>
      </c>
      <c r="AN299" s="45">
        <f t="shared" si="137"/>
        <v>0.792187500000003</v>
      </c>
      <c r="AO299" s="45">
        <f t="shared" si="127"/>
        <v>0.792187500000004</v>
      </c>
      <c r="AP299" s="45">
        <f t="shared" si="128"/>
        <v>1.05625</v>
      </c>
      <c r="AQ299" s="45">
        <f t="shared" si="129"/>
        <v>0</v>
      </c>
      <c r="AR299" s="45">
        <f t="shared" si="130"/>
        <v>0</v>
      </c>
      <c r="AS299" s="19">
        <f t="shared" si="135"/>
        <v>1.07916666666667</v>
      </c>
      <c r="AT299" s="19">
        <f t="shared" si="136"/>
        <v>1.03333333333334</v>
      </c>
      <c r="AU299" s="46">
        <v>0</v>
      </c>
      <c r="AV299" s="46">
        <v>0</v>
      </c>
      <c r="AW299" s="46">
        <v>0</v>
      </c>
      <c r="AX299" s="46">
        <v>1</v>
      </c>
      <c r="AY299" s="47">
        <v>0</v>
      </c>
      <c r="AZ299" s="47">
        <v>-1</v>
      </c>
    </row>
    <row r="300" hidden="1" customHeight="1" spans="1:52">
      <c r="A300" s="44">
        <v>45625</v>
      </c>
      <c r="B300" s="33">
        <f t="shared" si="114"/>
        <v>391</v>
      </c>
      <c r="C300" s="33">
        <f t="shared" si="115"/>
        <v>2364</v>
      </c>
      <c r="D300" s="11">
        <f t="shared" si="116"/>
        <v>2755</v>
      </c>
      <c r="E300" s="34">
        <f t="shared" si="131"/>
        <v>-1.12365092475302e-6</v>
      </c>
      <c r="F300" s="35">
        <f t="shared" si="117"/>
        <v>0.00032810607002788</v>
      </c>
      <c r="G300" s="18">
        <f>(SUM($I$8:$I300)*(MAX(M$3-M$4,0))+(N300*MAX(M$4,0)))*(1-$AM$4)+(AM300*$AM$4)</f>
        <v>0.0961350785181689</v>
      </c>
      <c r="H300" s="18">
        <f t="shared" si="118"/>
        <v>0.958333333333333</v>
      </c>
      <c r="I300" s="18">
        <f t="shared" si="119"/>
        <v>0</v>
      </c>
      <c r="J300" s="18">
        <f t="shared" si="120"/>
        <v>0.22442455189907</v>
      </c>
      <c r="K300" s="18">
        <f t="shared" si="121"/>
        <v>0.00198356892097425</v>
      </c>
      <c r="L300" s="18">
        <f t="shared" si="122"/>
        <v>0</v>
      </c>
      <c r="M300" s="18">
        <v>0</v>
      </c>
      <c r="N300" s="18">
        <f t="shared" si="132"/>
        <v>0</v>
      </c>
      <c r="O300" s="11">
        <v>0</v>
      </c>
      <c r="P300" s="11">
        <v>0</v>
      </c>
      <c r="Q300" s="11">
        <f t="shared" si="113"/>
        <v>1</v>
      </c>
      <c r="R300" s="11">
        <v>0</v>
      </c>
      <c r="S300" s="11">
        <f t="shared" si="123"/>
        <v>0</v>
      </c>
      <c r="T300" s="11">
        <v>0</v>
      </c>
      <c r="U300" s="11">
        <f t="shared" si="112"/>
        <v>1</v>
      </c>
      <c r="V300" s="11">
        <v>0</v>
      </c>
      <c r="W300" s="11">
        <f t="shared" si="124"/>
        <v>1</v>
      </c>
      <c r="X300" s="11">
        <f t="shared" si="125"/>
        <v>0</v>
      </c>
      <c r="Y300" s="19">
        <v>0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45">
        <v>0</v>
      </c>
      <c r="AJ300" s="45">
        <v>0</v>
      </c>
      <c r="AK300" s="45">
        <f t="shared" si="133"/>
        <v>0.3611</v>
      </c>
      <c r="AL300" s="45">
        <f t="shared" si="134"/>
        <v>0.00348095238095238</v>
      </c>
      <c r="AM300" s="45">
        <f t="shared" si="126"/>
        <v>0.0012569719047619</v>
      </c>
      <c r="AN300" s="45">
        <f t="shared" si="137"/>
        <v>0.792187500000003</v>
      </c>
      <c r="AO300" s="45">
        <f t="shared" si="127"/>
        <v>0.792187500000004</v>
      </c>
      <c r="AP300" s="45">
        <f t="shared" si="128"/>
        <v>1.05625</v>
      </c>
      <c r="AQ300" s="45">
        <f t="shared" si="129"/>
        <v>0</v>
      </c>
      <c r="AR300" s="45">
        <f t="shared" si="130"/>
        <v>0</v>
      </c>
      <c r="AS300" s="19">
        <f t="shared" si="135"/>
        <v>1.07916666666667</v>
      </c>
      <c r="AT300" s="19">
        <f t="shared" si="136"/>
        <v>1.03333333333334</v>
      </c>
      <c r="AU300" s="46">
        <v>0</v>
      </c>
      <c r="AV300" s="46">
        <v>0</v>
      </c>
      <c r="AW300" s="46">
        <v>0</v>
      </c>
      <c r="AX300" s="46">
        <v>1</v>
      </c>
      <c r="AY300" s="47">
        <v>0</v>
      </c>
      <c r="AZ300" s="47">
        <v>-1</v>
      </c>
    </row>
    <row r="301" hidden="1" customHeight="1" spans="1:52">
      <c r="A301" s="44">
        <v>45626</v>
      </c>
      <c r="B301" s="33">
        <f t="shared" si="114"/>
        <v>390</v>
      </c>
      <c r="C301" s="33">
        <f t="shared" si="115"/>
        <v>2374</v>
      </c>
      <c r="D301" s="11">
        <f t="shared" si="116"/>
        <v>2764</v>
      </c>
      <c r="E301" s="34">
        <f t="shared" si="131"/>
        <v>-1.06456074690529e-6</v>
      </c>
      <c r="F301" s="35">
        <f t="shared" si="117"/>
        <v>0.000327041509280975</v>
      </c>
      <c r="G301" s="18">
        <f>(SUM($I$8:$I301)*(MAX(M$3-M$4,0))+(N301*MAX(M$4,0)))*(1-$AM$4)+(AM301*$AM$4)</f>
        <v>0.0961502037286066</v>
      </c>
      <c r="H301" s="18">
        <f t="shared" si="118"/>
        <v>0.958333333333333</v>
      </c>
      <c r="I301" s="18">
        <f t="shared" si="119"/>
        <v>8.06677890011223e-5</v>
      </c>
      <c r="J301" s="18">
        <f t="shared" si="120"/>
        <v>0.223696392348187</v>
      </c>
      <c r="K301" s="18">
        <f t="shared" si="121"/>
        <v>0.00199052207090209</v>
      </c>
      <c r="L301" s="18">
        <f t="shared" si="122"/>
        <v>8.41750841750842e-5</v>
      </c>
      <c r="M301" s="18">
        <v>0</v>
      </c>
      <c r="N301" s="18">
        <f t="shared" si="132"/>
        <v>0</v>
      </c>
      <c r="O301" s="11">
        <v>0</v>
      </c>
      <c r="P301" s="11">
        <v>0</v>
      </c>
      <c r="Q301" s="11">
        <f t="shared" si="113"/>
        <v>1</v>
      </c>
      <c r="R301" s="11">
        <v>0</v>
      </c>
      <c r="S301" s="11">
        <f t="shared" si="123"/>
        <v>0</v>
      </c>
      <c r="T301" s="11">
        <v>0</v>
      </c>
      <c r="U301" s="11">
        <f t="shared" si="112"/>
        <v>1</v>
      </c>
      <c r="V301" s="11">
        <v>0</v>
      </c>
      <c r="W301" s="11">
        <f t="shared" si="124"/>
        <v>1</v>
      </c>
      <c r="X301" s="11">
        <f t="shared" si="125"/>
        <v>0</v>
      </c>
      <c r="Y301" s="19">
        <v>0</v>
      </c>
      <c r="Z301" s="11">
        <v>0</v>
      </c>
      <c r="AA301" s="11">
        <v>0</v>
      </c>
      <c r="AB301" s="11">
        <v>0</v>
      </c>
      <c r="AC301" s="11">
        <v>0</v>
      </c>
      <c r="AD301" s="11">
        <v>1</v>
      </c>
      <c r="AE301" s="11">
        <v>0</v>
      </c>
      <c r="AF301" s="11">
        <v>0</v>
      </c>
      <c r="AG301" s="11">
        <v>0</v>
      </c>
      <c r="AH301" s="11">
        <v>0</v>
      </c>
      <c r="AI301" s="45">
        <v>0</v>
      </c>
      <c r="AJ301" s="45">
        <v>0</v>
      </c>
      <c r="AK301" s="45">
        <f t="shared" si="133"/>
        <v>0.3611</v>
      </c>
      <c r="AL301" s="45">
        <f t="shared" si="134"/>
        <v>0.00348095238095238</v>
      </c>
      <c r="AM301" s="45">
        <f t="shared" si="126"/>
        <v>0.0012569719047619</v>
      </c>
      <c r="AN301" s="45">
        <f t="shared" si="137"/>
        <v>0.792187500000003</v>
      </c>
      <c r="AO301" s="45">
        <f t="shared" si="127"/>
        <v>0.792187500000004</v>
      </c>
      <c r="AP301" s="45">
        <f t="shared" si="128"/>
        <v>1.05625</v>
      </c>
      <c r="AQ301" s="45">
        <f t="shared" si="129"/>
        <v>0</v>
      </c>
      <c r="AR301" s="45">
        <f t="shared" si="130"/>
        <v>0</v>
      </c>
      <c r="AS301" s="19">
        <f t="shared" si="135"/>
        <v>1.07916666666667</v>
      </c>
      <c r="AT301" s="19">
        <f t="shared" si="136"/>
        <v>1.03333333333334</v>
      </c>
      <c r="AU301" s="46">
        <v>0</v>
      </c>
      <c r="AV301" s="46">
        <v>0</v>
      </c>
      <c r="AW301" s="46">
        <v>0</v>
      </c>
      <c r="AX301" s="46">
        <v>1</v>
      </c>
      <c r="AY301" s="47">
        <v>0</v>
      </c>
      <c r="AZ301" s="47">
        <v>-1</v>
      </c>
    </row>
    <row r="302" hidden="1" customHeight="1" spans="1:52">
      <c r="A302" s="44">
        <v>45627</v>
      </c>
      <c r="B302" s="33">
        <f t="shared" si="114"/>
        <v>389</v>
      </c>
      <c r="C302" s="33">
        <f t="shared" si="115"/>
        <v>2380</v>
      </c>
      <c r="D302" s="11">
        <f t="shared" si="116"/>
        <v>2769</v>
      </c>
      <c r="E302" s="34">
        <f t="shared" si="131"/>
        <v>-6.80606383113075e-7</v>
      </c>
      <c r="F302" s="35">
        <f t="shared" si="117"/>
        <v>0.000326360902897862</v>
      </c>
      <c r="G302" s="18">
        <f>(SUM($I$8:$I302)*(MAX(M$3-M$4,0))+(N302*MAX(M$4,0)))*(1-$AM$4)+(AM302*$AM$4)</f>
        <v>0.0962764663548692</v>
      </c>
      <c r="H302" s="18">
        <f t="shared" si="118"/>
        <v>1</v>
      </c>
      <c r="I302" s="18">
        <f t="shared" si="119"/>
        <v>0.000673400673400674</v>
      </c>
      <c r="J302" s="18">
        <f t="shared" si="120"/>
        <v>0.223230857582138</v>
      </c>
      <c r="K302" s="18">
        <f t="shared" si="121"/>
        <v>0.00199683584169116</v>
      </c>
      <c r="L302" s="18">
        <f t="shared" si="122"/>
        <v>0.000673400673400674</v>
      </c>
      <c r="M302" s="18">
        <v>0</v>
      </c>
      <c r="N302" s="18">
        <f t="shared" si="132"/>
        <v>0</v>
      </c>
      <c r="O302" s="11">
        <v>0</v>
      </c>
      <c r="P302" s="11">
        <v>0</v>
      </c>
      <c r="Q302" s="11">
        <f t="shared" si="113"/>
        <v>1</v>
      </c>
      <c r="R302" s="11">
        <v>0</v>
      </c>
      <c r="S302" s="11">
        <f t="shared" si="123"/>
        <v>0</v>
      </c>
      <c r="T302" s="11">
        <v>0</v>
      </c>
      <c r="U302" s="11">
        <f t="shared" si="112"/>
        <v>1</v>
      </c>
      <c r="V302" s="11">
        <v>0</v>
      </c>
      <c r="W302" s="11">
        <f t="shared" si="124"/>
        <v>1</v>
      </c>
      <c r="X302" s="11">
        <f t="shared" si="125"/>
        <v>0</v>
      </c>
      <c r="Y302" s="19">
        <v>0</v>
      </c>
      <c r="Z302" s="11">
        <v>0</v>
      </c>
      <c r="AA302" s="11">
        <v>0</v>
      </c>
      <c r="AB302" s="11">
        <v>0</v>
      </c>
      <c r="AC302" s="11">
        <v>0</v>
      </c>
      <c r="AD302" s="11">
        <v>8</v>
      </c>
      <c r="AE302" s="11">
        <v>0</v>
      </c>
      <c r="AF302" s="11">
        <v>0</v>
      </c>
      <c r="AG302" s="11">
        <v>0</v>
      </c>
      <c r="AH302" s="11">
        <v>0</v>
      </c>
      <c r="AI302" s="45">
        <v>0</v>
      </c>
      <c r="AJ302" s="45">
        <v>0</v>
      </c>
      <c r="AK302" s="45">
        <f t="shared" si="133"/>
        <v>0.3611</v>
      </c>
      <c r="AL302" s="45">
        <f t="shared" si="134"/>
        <v>0.00348095238095238</v>
      </c>
      <c r="AM302" s="45">
        <f t="shared" si="126"/>
        <v>0.0012569719047619</v>
      </c>
      <c r="AN302" s="45">
        <f t="shared" si="137"/>
        <v>0.792187500000003</v>
      </c>
      <c r="AO302" s="45">
        <f t="shared" si="127"/>
        <v>0.792187500000004</v>
      </c>
      <c r="AP302" s="45">
        <f t="shared" si="128"/>
        <v>1.05625</v>
      </c>
      <c r="AQ302" s="45">
        <f t="shared" si="129"/>
        <v>0</v>
      </c>
      <c r="AR302" s="45">
        <f t="shared" si="130"/>
        <v>0</v>
      </c>
      <c r="AS302" s="19">
        <f t="shared" si="135"/>
        <v>1.07916666666667</v>
      </c>
      <c r="AT302" s="19">
        <f t="shared" si="136"/>
        <v>1.03333333333334</v>
      </c>
      <c r="AU302" s="46">
        <v>0</v>
      </c>
      <c r="AV302" s="46">
        <v>0</v>
      </c>
      <c r="AW302" s="46">
        <v>0</v>
      </c>
      <c r="AX302" s="46">
        <v>1</v>
      </c>
      <c r="AY302" s="47">
        <v>0</v>
      </c>
      <c r="AZ302" s="47">
        <v>-1</v>
      </c>
    </row>
    <row r="303" hidden="1" customHeight="1" spans="1:52">
      <c r="A303" s="44">
        <v>45628</v>
      </c>
      <c r="B303" s="33">
        <f t="shared" si="114"/>
        <v>388</v>
      </c>
      <c r="C303" s="33">
        <f t="shared" si="115"/>
        <v>2383</v>
      </c>
      <c r="D303" s="11">
        <f t="shared" si="116"/>
        <v>2771</v>
      </c>
      <c r="E303" s="34">
        <f t="shared" si="131"/>
        <v>-3.02765130592657e-7</v>
      </c>
      <c r="F303" s="35">
        <f t="shared" si="117"/>
        <v>0.000326058137767269</v>
      </c>
      <c r="G303" s="18">
        <f>(SUM($I$8:$I303)*(MAX(M$3-M$4,0))+(N303*MAX(M$4,0)))*(1-$AM$4)+(AM303*$AM$4)</f>
        <v>0.0965132087791117</v>
      </c>
      <c r="H303" s="18">
        <f t="shared" si="118"/>
        <v>1</v>
      </c>
      <c r="I303" s="18">
        <f t="shared" si="119"/>
        <v>0.00126262626262626</v>
      </c>
      <c r="J303" s="18">
        <f t="shared" si="120"/>
        <v>0.223023766232812</v>
      </c>
      <c r="K303" s="18">
        <f t="shared" si="121"/>
        <v>0.00200251606641028</v>
      </c>
      <c r="L303" s="18">
        <f t="shared" si="122"/>
        <v>0.00126262626262626</v>
      </c>
      <c r="M303" s="18">
        <v>0</v>
      </c>
      <c r="N303" s="18">
        <f t="shared" si="132"/>
        <v>0</v>
      </c>
      <c r="O303" s="11">
        <v>0</v>
      </c>
      <c r="P303" s="11">
        <v>0</v>
      </c>
      <c r="Q303" s="11">
        <f t="shared" si="113"/>
        <v>1</v>
      </c>
      <c r="R303" s="11">
        <v>0</v>
      </c>
      <c r="S303" s="11">
        <f t="shared" si="123"/>
        <v>0</v>
      </c>
      <c r="T303" s="11">
        <v>0</v>
      </c>
      <c r="U303" s="11">
        <f t="shared" si="112"/>
        <v>1</v>
      </c>
      <c r="V303" s="11">
        <v>0</v>
      </c>
      <c r="W303" s="11">
        <f t="shared" si="124"/>
        <v>1</v>
      </c>
      <c r="X303" s="11">
        <f t="shared" si="125"/>
        <v>0</v>
      </c>
      <c r="Y303" s="19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15</v>
      </c>
      <c r="AE303" s="11">
        <v>0</v>
      </c>
      <c r="AF303" s="11">
        <v>0</v>
      </c>
      <c r="AG303" s="11">
        <v>0</v>
      </c>
      <c r="AH303" s="11">
        <v>0</v>
      </c>
      <c r="AI303" s="45">
        <v>0</v>
      </c>
      <c r="AJ303" s="45">
        <v>0</v>
      </c>
      <c r="AK303" s="45">
        <f t="shared" si="133"/>
        <v>0.3611</v>
      </c>
      <c r="AL303" s="45">
        <f t="shared" si="134"/>
        <v>0.00348095238095238</v>
      </c>
      <c r="AM303" s="45">
        <f t="shared" si="126"/>
        <v>0.0012569719047619</v>
      </c>
      <c r="AN303" s="45">
        <f t="shared" si="137"/>
        <v>0.792187500000003</v>
      </c>
      <c r="AO303" s="45">
        <f t="shared" si="127"/>
        <v>0.792187500000004</v>
      </c>
      <c r="AP303" s="45">
        <f t="shared" si="128"/>
        <v>1.05625</v>
      </c>
      <c r="AQ303" s="45">
        <f t="shared" si="129"/>
        <v>0</v>
      </c>
      <c r="AR303" s="45">
        <f t="shared" si="130"/>
        <v>0</v>
      </c>
      <c r="AS303" s="19">
        <f t="shared" si="135"/>
        <v>1.07916666666667</v>
      </c>
      <c r="AT303" s="19">
        <f t="shared" si="136"/>
        <v>1.03333333333334</v>
      </c>
      <c r="AU303" s="46">
        <v>0</v>
      </c>
      <c r="AV303" s="46">
        <v>0</v>
      </c>
      <c r="AW303" s="46">
        <v>0</v>
      </c>
      <c r="AX303" s="46">
        <v>1</v>
      </c>
      <c r="AY303" s="47">
        <v>0</v>
      </c>
      <c r="AZ303" s="47">
        <v>-1</v>
      </c>
    </row>
    <row r="304" hidden="1" customHeight="1" spans="1:52">
      <c r="A304" s="44">
        <v>45629</v>
      </c>
      <c r="B304" s="33">
        <f t="shared" si="114"/>
        <v>387</v>
      </c>
      <c r="C304" s="33">
        <f t="shared" si="115"/>
        <v>2388</v>
      </c>
      <c r="D304" s="11">
        <f t="shared" si="116"/>
        <v>2775</v>
      </c>
      <c r="E304" s="34">
        <f t="shared" si="131"/>
        <v>-5.66430488010061e-7</v>
      </c>
      <c r="F304" s="35">
        <f t="shared" si="117"/>
        <v>0.000325491707279259</v>
      </c>
      <c r="G304" s="18">
        <f>(SUM($I$8:$I304)*(MAX(M$3-M$4,0))+(N304*MAX(M$4,0)))*(1-$AM$4)+(AM304*$AM$4)</f>
        <v>0.09667103706194</v>
      </c>
      <c r="H304" s="18">
        <f t="shared" si="118"/>
        <v>1</v>
      </c>
      <c r="I304" s="18">
        <f t="shared" si="119"/>
        <v>0.000841750841750842</v>
      </c>
      <c r="J304" s="18">
        <f t="shared" si="120"/>
        <v>0.222636327779013</v>
      </c>
      <c r="K304" s="18">
        <f t="shared" si="121"/>
        <v>0.00200869165948575</v>
      </c>
      <c r="L304" s="18">
        <f t="shared" si="122"/>
        <v>0.000841750841750842</v>
      </c>
      <c r="M304" s="18">
        <v>0</v>
      </c>
      <c r="N304" s="18">
        <f t="shared" si="132"/>
        <v>0</v>
      </c>
      <c r="O304" s="11">
        <v>0</v>
      </c>
      <c r="P304" s="11">
        <v>0</v>
      </c>
      <c r="Q304" s="11">
        <f t="shared" si="113"/>
        <v>1</v>
      </c>
      <c r="R304" s="11">
        <v>0</v>
      </c>
      <c r="S304" s="11">
        <f t="shared" si="123"/>
        <v>0</v>
      </c>
      <c r="T304" s="11">
        <v>0</v>
      </c>
      <c r="U304" s="11">
        <f t="shared" si="112"/>
        <v>1</v>
      </c>
      <c r="V304" s="11">
        <v>0</v>
      </c>
      <c r="W304" s="11">
        <f t="shared" si="124"/>
        <v>1</v>
      </c>
      <c r="X304" s="11">
        <f t="shared" si="125"/>
        <v>0</v>
      </c>
      <c r="Y304" s="19">
        <v>0</v>
      </c>
      <c r="Z304" s="11">
        <v>0</v>
      </c>
      <c r="AA304" s="11">
        <v>0</v>
      </c>
      <c r="AB304" s="11">
        <v>0</v>
      </c>
      <c r="AC304" s="11">
        <v>0</v>
      </c>
      <c r="AD304" s="11">
        <v>10</v>
      </c>
      <c r="AE304" s="11">
        <v>0</v>
      </c>
      <c r="AF304" s="11">
        <v>0</v>
      </c>
      <c r="AG304" s="11">
        <v>0</v>
      </c>
      <c r="AH304" s="11">
        <v>0</v>
      </c>
      <c r="AI304" s="45">
        <v>0</v>
      </c>
      <c r="AJ304" s="45">
        <v>0</v>
      </c>
      <c r="AK304" s="45">
        <f t="shared" si="133"/>
        <v>0.3611</v>
      </c>
      <c r="AL304" s="45">
        <f t="shared" si="134"/>
        <v>0.00348095238095238</v>
      </c>
      <c r="AM304" s="45">
        <f t="shared" si="126"/>
        <v>0.0012569719047619</v>
      </c>
      <c r="AN304" s="45">
        <f t="shared" si="137"/>
        <v>0.792187500000003</v>
      </c>
      <c r="AO304" s="45">
        <f t="shared" si="127"/>
        <v>0.792187500000004</v>
      </c>
      <c r="AP304" s="45">
        <f t="shared" si="128"/>
        <v>1.05625</v>
      </c>
      <c r="AQ304" s="45">
        <f t="shared" si="129"/>
        <v>0</v>
      </c>
      <c r="AR304" s="45">
        <f t="shared" si="130"/>
        <v>0</v>
      </c>
      <c r="AS304" s="19">
        <f t="shared" si="135"/>
        <v>1.07916666666667</v>
      </c>
      <c r="AT304" s="19">
        <f t="shared" si="136"/>
        <v>1.03333333333334</v>
      </c>
      <c r="AU304" s="46">
        <v>0</v>
      </c>
      <c r="AV304" s="46">
        <v>0</v>
      </c>
      <c r="AW304" s="46">
        <v>0</v>
      </c>
      <c r="AX304" s="46">
        <v>1</v>
      </c>
      <c r="AY304" s="47">
        <v>0</v>
      </c>
      <c r="AZ304" s="47">
        <v>-1</v>
      </c>
    </row>
    <row r="305" hidden="1" customHeight="1" spans="1:52">
      <c r="A305" s="44">
        <v>45630</v>
      </c>
      <c r="B305" s="33">
        <f t="shared" si="114"/>
        <v>386</v>
      </c>
      <c r="C305" s="33">
        <f t="shared" si="115"/>
        <v>2398</v>
      </c>
      <c r="D305" s="11">
        <f t="shared" si="116"/>
        <v>2784</v>
      </c>
      <c r="E305" s="34">
        <f t="shared" si="131"/>
        <v>-1.03929154025639e-6</v>
      </c>
      <c r="F305" s="35">
        <f t="shared" si="117"/>
        <v>0.000324452415739003</v>
      </c>
      <c r="G305" s="18">
        <f>(SUM($I$8:$I305)*(MAX(M$3-M$4,0))+(N305*MAX(M$4,0)))*(1-$AM$4)+(AM305*$AM$4)</f>
        <v>0.0966868198902228</v>
      </c>
      <c r="H305" s="18">
        <f t="shared" si="118"/>
        <v>1</v>
      </c>
      <c r="I305" s="18">
        <f t="shared" si="119"/>
        <v>8.41750841750842e-5</v>
      </c>
      <c r="J305" s="18">
        <f t="shared" si="120"/>
        <v>0.221925452365478</v>
      </c>
      <c r="K305" s="18">
        <f t="shared" si="121"/>
        <v>0.00201573717003762</v>
      </c>
      <c r="L305" s="18">
        <f t="shared" si="122"/>
        <v>8.41750841750842e-5</v>
      </c>
      <c r="M305" s="18">
        <v>0</v>
      </c>
      <c r="N305" s="18">
        <f t="shared" si="132"/>
        <v>0</v>
      </c>
      <c r="O305" s="11">
        <v>0</v>
      </c>
      <c r="P305" s="11">
        <v>0</v>
      </c>
      <c r="Q305" s="11">
        <f t="shared" si="113"/>
        <v>1</v>
      </c>
      <c r="R305" s="11">
        <v>0</v>
      </c>
      <c r="S305" s="11">
        <f t="shared" si="123"/>
        <v>0</v>
      </c>
      <c r="T305" s="11">
        <v>0</v>
      </c>
      <c r="U305" s="11">
        <f t="shared" si="112"/>
        <v>1</v>
      </c>
      <c r="V305" s="11">
        <v>0</v>
      </c>
      <c r="W305" s="11">
        <f t="shared" si="124"/>
        <v>1</v>
      </c>
      <c r="X305" s="11">
        <f t="shared" si="125"/>
        <v>0</v>
      </c>
      <c r="Y305" s="19">
        <v>0</v>
      </c>
      <c r="Z305" s="11">
        <v>0</v>
      </c>
      <c r="AA305" s="11">
        <v>0</v>
      </c>
      <c r="AB305" s="11">
        <v>0</v>
      </c>
      <c r="AC305" s="11">
        <v>0</v>
      </c>
      <c r="AD305" s="11">
        <v>1</v>
      </c>
      <c r="AE305" s="11">
        <v>0</v>
      </c>
      <c r="AF305" s="11">
        <v>0</v>
      </c>
      <c r="AG305" s="11">
        <v>0</v>
      </c>
      <c r="AH305" s="11">
        <v>0</v>
      </c>
      <c r="AI305" s="45">
        <v>0</v>
      </c>
      <c r="AJ305" s="45">
        <v>0</v>
      </c>
      <c r="AK305" s="45">
        <f t="shared" si="133"/>
        <v>0.3611</v>
      </c>
      <c r="AL305" s="45">
        <f t="shared" si="134"/>
        <v>0.00348095238095238</v>
      </c>
      <c r="AM305" s="45">
        <f t="shared" si="126"/>
        <v>0.0012569719047619</v>
      </c>
      <c r="AN305" s="45">
        <f t="shared" si="137"/>
        <v>0.792187500000003</v>
      </c>
      <c r="AO305" s="45">
        <f t="shared" si="127"/>
        <v>0.792187500000004</v>
      </c>
      <c r="AP305" s="45">
        <f t="shared" si="128"/>
        <v>1.05625</v>
      </c>
      <c r="AQ305" s="45">
        <f t="shared" si="129"/>
        <v>0</v>
      </c>
      <c r="AR305" s="45">
        <f t="shared" si="130"/>
        <v>0</v>
      </c>
      <c r="AS305" s="19">
        <f t="shared" si="135"/>
        <v>1.07916666666667</v>
      </c>
      <c r="AT305" s="19">
        <f t="shared" si="136"/>
        <v>1.03333333333334</v>
      </c>
      <c r="AU305" s="46">
        <v>0</v>
      </c>
      <c r="AV305" s="46">
        <v>0</v>
      </c>
      <c r="AW305" s="46">
        <v>0</v>
      </c>
      <c r="AX305" s="46">
        <v>1</v>
      </c>
      <c r="AY305" s="47">
        <v>0</v>
      </c>
      <c r="AZ305" s="47">
        <v>-1</v>
      </c>
    </row>
    <row r="306" hidden="1" customHeight="1" spans="1:52">
      <c r="A306" s="44">
        <v>45631</v>
      </c>
      <c r="B306" s="33">
        <f t="shared" si="114"/>
        <v>385</v>
      </c>
      <c r="C306" s="33">
        <f t="shared" si="115"/>
        <v>2408</v>
      </c>
      <c r="D306" s="11">
        <f t="shared" si="116"/>
        <v>2793</v>
      </c>
      <c r="E306" s="34">
        <f t="shared" si="131"/>
        <v>-1.08512513625087e-6</v>
      </c>
      <c r="F306" s="35">
        <f t="shared" si="117"/>
        <v>0.000323367290602752</v>
      </c>
      <c r="G306" s="18">
        <f>(SUM($I$8:$I306)*(MAX(M$3-M$4,0))+(N306*MAX(M$4,0)))*(1-$AM$4)+(AM306*$AM$4)</f>
        <v>0.0966868198902228</v>
      </c>
      <c r="H306" s="18">
        <f t="shared" si="118"/>
        <v>1</v>
      </c>
      <c r="I306" s="18">
        <f t="shared" si="119"/>
        <v>0</v>
      </c>
      <c r="J306" s="18">
        <f t="shared" si="120"/>
        <v>0.221183226772282</v>
      </c>
      <c r="K306" s="18">
        <f t="shared" si="121"/>
        <v>0.00202290070968238</v>
      </c>
      <c r="L306" s="18">
        <f t="shared" si="122"/>
        <v>0</v>
      </c>
      <c r="M306" s="18">
        <v>0</v>
      </c>
      <c r="N306" s="18">
        <f t="shared" si="132"/>
        <v>0</v>
      </c>
      <c r="O306" s="11">
        <v>0</v>
      </c>
      <c r="P306" s="11">
        <v>0</v>
      </c>
      <c r="Q306" s="11">
        <f t="shared" si="113"/>
        <v>1</v>
      </c>
      <c r="R306" s="11">
        <v>0</v>
      </c>
      <c r="S306" s="11">
        <f t="shared" si="123"/>
        <v>0</v>
      </c>
      <c r="T306" s="11">
        <v>0</v>
      </c>
      <c r="U306" s="11">
        <f t="shared" si="112"/>
        <v>1</v>
      </c>
      <c r="V306" s="11">
        <v>0</v>
      </c>
      <c r="W306" s="11">
        <f t="shared" si="124"/>
        <v>1</v>
      </c>
      <c r="X306" s="11">
        <f t="shared" si="125"/>
        <v>0</v>
      </c>
      <c r="Y306" s="19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45">
        <v>0</v>
      </c>
      <c r="AJ306" s="45">
        <v>0</v>
      </c>
      <c r="AK306" s="45">
        <f t="shared" si="133"/>
        <v>0.3611</v>
      </c>
      <c r="AL306" s="45">
        <f t="shared" si="134"/>
        <v>0.00348095238095238</v>
      </c>
      <c r="AM306" s="45">
        <f t="shared" si="126"/>
        <v>0.0012569719047619</v>
      </c>
      <c r="AN306" s="45">
        <f t="shared" si="137"/>
        <v>0.792187500000003</v>
      </c>
      <c r="AO306" s="45">
        <f t="shared" si="127"/>
        <v>0.792187500000004</v>
      </c>
      <c r="AP306" s="45">
        <f t="shared" si="128"/>
        <v>1.05625</v>
      </c>
      <c r="AQ306" s="45">
        <f t="shared" si="129"/>
        <v>0</v>
      </c>
      <c r="AR306" s="45">
        <f t="shared" si="130"/>
        <v>0</v>
      </c>
      <c r="AS306" s="19">
        <f t="shared" si="135"/>
        <v>1.07916666666667</v>
      </c>
      <c r="AT306" s="19">
        <f t="shared" si="136"/>
        <v>1.03333333333334</v>
      </c>
      <c r="AU306" s="46">
        <v>0</v>
      </c>
      <c r="AV306" s="46">
        <v>0</v>
      </c>
      <c r="AW306" s="46">
        <v>0</v>
      </c>
      <c r="AX306" s="46">
        <v>1</v>
      </c>
      <c r="AY306" s="47">
        <v>0</v>
      </c>
      <c r="AZ306" s="47">
        <v>-1</v>
      </c>
    </row>
    <row r="307" hidden="1" customHeight="1" spans="1:52">
      <c r="A307" s="44">
        <v>45632</v>
      </c>
      <c r="B307" s="33">
        <f t="shared" si="114"/>
        <v>384</v>
      </c>
      <c r="C307" s="33">
        <f t="shared" si="115"/>
        <v>2419</v>
      </c>
      <c r="D307" s="11">
        <f t="shared" si="116"/>
        <v>2803</v>
      </c>
      <c r="E307" s="34">
        <f t="shared" si="131"/>
        <v>-1.07789096867583e-6</v>
      </c>
      <c r="F307" s="35">
        <f t="shared" si="117"/>
        <v>0.000322289399634076</v>
      </c>
      <c r="G307" s="18">
        <f>(SUM($I$8:$I307)*(MAX(M$3-M$4,0))+(N307*MAX(M$4,0)))*(1-$AM$4)+(AM307*$AM$4)</f>
        <v>0.0966868198902228</v>
      </c>
      <c r="H307" s="18">
        <f t="shared" si="118"/>
        <v>1</v>
      </c>
      <c r="I307" s="18">
        <f t="shared" si="119"/>
        <v>0</v>
      </c>
      <c r="J307" s="18">
        <f t="shared" si="120"/>
        <v>0.220445949349708</v>
      </c>
      <c r="K307" s="18">
        <f t="shared" si="121"/>
        <v>0.00203008867356847</v>
      </c>
      <c r="L307" s="18">
        <f t="shared" si="122"/>
        <v>0</v>
      </c>
      <c r="M307" s="18">
        <v>0</v>
      </c>
      <c r="N307" s="18">
        <f t="shared" si="132"/>
        <v>0</v>
      </c>
      <c r="O307" s="11">
        <v>0</v>
      </c>
      <c r="P307" s="11">
        <v>0</v>
      </c>
      <c r="Q307" s="11">
        <f t="shared" si="113"/>
        <v>1</v>
      </c>
      <c r="R307" s="11">
        <v>0</v>
      </c>
      <c r="S307" s="11">
        <f t="shared" si="123"/>
        <v>0</v>
      </c>
      <c r="T307" s="11">
        <v>0</v>
      </c>
      <c r="U307" s="11">
        <f t="shared" si="112"/>
        <v>1</v>
      </c>
      <c r="V307" s="11">
        <v>0</v>
      </c>
      <c r="W307" s="11">
        <f t="shared" si="124"/>
        <v>1</v>
      </c>
      <c r="X307" s="11">
        <f t="shared" si="125"/>
        <v>0</v>
      </c>
      <c r="Y307" s="19">
        <v>0</v>
      </c>
      <c r="Z307" s="11">
        <v>0</v>
      </c>
      <c r="AA307" s="11">
        <v>0</v>
      </c>
      <c r="AB307" s="11">
        <v>0</v>
      </c>
      <c r="AC307" s="11">
        <v>0</v>
      </c>
      <c r="AD307" s="11">
        <v>0</v>
      </c>
      <c r="AE307" s="11">
        <v>0</v>
      </c>
      <c r="AF307" s="11">
        <v>0</v>
      </c>
      <c r="AG307" s="11">
        <v>0</v>
      </c>
      <c r="AH307" s="11">
        <v>0</v>
      </c>
      <c r="AI307" s="45">
        <v>0</v>
      </c>
      <c r="AJ307" s="45">
        <v>0</v>
      </c>
      <c r="AK307" s="45">
        <f t="shared" si="133"/>
        <v>0.3611</v>
      </c>
      <c r="AL307" s="45">
        <f t="shared" si="134"/>
        <v>0.00348095238095238</v>
      </c>
      <c r="AM307" s="45">
        <f t="shared" si="126"/>
        <v>0.0012569719047619</v>
      </c>
      <c r="AN307" s="45">
        <f t="shared" si="137"/>
        <v>0.792187500000003</v>
      </c>
      <c r="AO307" s="45">
        <f t="shared" si="127"/>
        <v>0.792187500000004</v>
      </c>
      <c r="AP307" s="45">
        <f t="shared" si="128"/>
        <v>1.05625</v>
      </c>
      <c r="AQ307" s="45">
        <f t="shared" si="129"/>
        <v>0</v>
      </c>
      <c r="AR307" s="45">
        <f t="shared" si="130"/>
        <v>0</v>
      </c>
      <c r="AS307" s="19">
        <f t="shared" si="135"/>
        <v>1.07916666666667</v>
      </c>
      <c r="AT307" s="19">
        <f t="shared" si="136"/>
        <v>1.03333333333334</v>
      </c>
      <c r="AU307" s="46">
        <v>0</v>
      </c>
      <c r="AV307" s="46">
        <v>0</v>
      </c>
      <c r="AW307" s="46">
        <v>0</v>
      </c>
      <c r="AX307" s="46">
        <v>1</v>
      </c>
      <c r="AY307" s="47">
        <v>0</v>
      </c>
      <c r="AZ307" s="47">
        <v>-1</v>
      </c>
    </row>
    <row r="308" hidden="1" customHeight="1" spans="1:52">
      <c r="A308" s="44">
        <v>45633</v>
      </c>
      <c r="B308" s="33">
        <f t="shared" si="114"/>
        <v>383</v>
      </c>
      <c r="C308" s="33">
        <f t="shared" si="115"/>
        <v>2425</v>
      </c>
      <c r="D308" s="11">
        <f t="shared" si="116"/>
        <v>2808</v>
      </c>
      <c r="E308" s="34">
        <f t="shared" si="131"/>
        <v>-5.9881709331774e-7</v>
      </c>
      <c r="F308" s="35">
        <f t="shared" si="117"/>
        <v>0.000321690582540758</v>
      </c>
      <c r="G308" s="18">
        <f>(SUM($I$8:$I308)*(MAX(M$3-M$4,0))+(N308*MAX(M$4,0)))*(1-$AM$4)+(AM308*$AM$4)</f>
        <v>0.0968288653447683</v>
      </c>
      <c r="H308" s="18">
        <f t="shared" si="118"/>
        <v>1</v>
      </c>
      <c r="I308" s="18">
        <f t="shared" si="119"/>
        <v>0.000757575757575758</v>
      </c>
      <c r="J308" s="18">
        <f t="shared" si="120"/>
        <v>0.220036358457879</v>
      </c>
      <c r="K308" s="18">
        <f t="shared" si="121"/>
        <v>0.00203645859410476</v>
      </c>
      <c r="L308" s="18">
        <f t="shared" si="122"/>
        <v>0.000757575757575758</v>
      </c>
      <c r="M308" s="18">
        <v>0</v>
      </c>
      <c r="N308" s="18">
        <f t="shared" si="132"/>
        <v>0</v>
      </c>
      <c r="O308" s="11">
        <v>0</v>
      </c>
      <c r="P308" s="11">
        <v>0</v>
      </c>
      <c r="Q308" s="11">
        <f t="shared" si="113"/>
        <v>1</v>
      </c>
      <c r="R308" s="11">
        <v>0</v>
      </c>
      <c r="S308" s="11">
        <f t="shared" si="123"/>
        <v>0</v>
      </c>
      <c r="T308" s="11">
        <v>0</v>
      </c>
      <c r="U308" s="11">
        <f t="shared" si="112"/>
        <v>1</v>
      </c>
      <c r="V308" s="11">
        <v>0</v>
      </c>
      <c r="W308" s="11">
        <f t="shared" si="124"/>
        <v>1</v>
      </c>
      <c r="X308" s="11">
        <f t="shared" si="125"/>
        <v>0</v>
      </c>
      <c r="Y308" s="19">
        <v>0</v>
      </c>
      <c r="Z308" s="11">
        <v>0</v>
      </c>
      <c r="AA308" s="11">
        <v>0</v>
      </c>
      <c r="AB308" s="11">
        <v>0</v>
      </c>
      <c r="AC308" s="11">
        <v>0</v>
      </c>
      <c r="AD308" s="11">
        <v>9</v>
      </c>
      <c r="AE308" s="11">
        <v>0</v>
      </c>
      <c r="AF308" s="11">
        <v>0</v>
      </c>
      <c r="AG308" s="11">
        <v>0</v>
      </c>
      <c r="AH308" s="11">
        <v>0</v>
      </c>
      <c r="AI308" s="45">
        <v>0</v>
      </c>
      <c r="AJ308" s="45">
        <v>0</v>
      </c>
      <c r="AK308" s="45">
        <f t="shared" si="133"/>
        <v>0.3611</v>
      </c>
      <c r="AL308" s="45">
        <f t="shared" si="134"/>
        <v>0.00348095238095238</v>
      </c>
      <c r="AM308" s="45">
        <f t="shared" si="126"/>
        <v>0.0012569719047619</v>
      </c>
      <c r="AN308" s="45">
        <f t="shared" si="137"/>
        <v>0.792187500000003</v>
      </c>
      <c r="AO308" s="45">
        <f t="shared" si="127"/>
        <v>0.792187500000004</v>
      </c>
      <c r="AP308" s="45">
        <f t="shared" si="128"/>
        <v>1.05625</v>
      </c>
      <c r="AQ308" s="45">
        <f t="shared" si="129"/>
        <v>0</v>
      </c>
      <c r="AR308" s="45">
        <f t="shared" si="130"/>
        <v>0</v>
      </c>
      <c r="AS308" s="19">
        <f t="shared" si="135"/>
        <v>1.07916666666667</v>
      </c>
      <c r="AT308" s="19">
        <f t="shared" si="136"/>
        <v>1.03333333333334</v>
      </c>
      <c r="AU308" s="46">
        <v>0</v>
      </c>
      <c r="AV308" s="46">
        <v>0</v>
      </c>
      <c r="AW308" s="46">
        <v>0</v>
      </c>
      <c r="AX308" s="46">
        <v>1</v>
      </c>
      <c r="AY308" s="47">
        <v>0</v>
      </c>
      <c r="AZ308" s="47">
        <v>-1</v>
      </c>
    </row>
    <row r="309" hidden="1" customHeight="1" spans="1:52">
      <c r="A309" s="44">
        <v>45634</v>
      </c>
      <c r="B309" s="33">
        <f t="shared" si="114"/>
        <v>382</v>
      </c>
      <c r="C309" s="33">
        <f t="shared" si="115"/>
        <v>2426</v>
      </c>
      <c r="D309" s="11">
        <f t="shared" si="116"/>
        <v>2808</v>
      </c>
      <c r="E309" s="34">
        <f t="shared" si="131"/>
        <v>-1.76763250770372e-7</v>
      </c>
      <c r="F309" s="35">
        <f t="shared" si="117"/>
        <v>0.000321513819289988</v>
      </c>
      <c r="G309" s="18">
        <f>(SUM($I$8:$I309)*(MAX(M$3-M$4,0))+(N309*MAX(M$4,0)))*(1-$AM$4)+(AM309*$AM$4)</f>
        <v>0.0970971734255764</v>
      </c>
      <c r="H309" s="18">
        <f t="shared" si="118"/>
        <v>1</v>
      </c>
      <c r="I309" s="18">
        <f t="shared" si="119"/>
        <v>0.00143097643097643</v>
      </c>
      <c r="J309" s="18">
        <f t="shared" si="120"/>
        <v>0.219915452394352</v>
      </c>
      <c r="K309" s="18">
        <f t="shared" si="121"/>
        <v>0.00204210614556452</v>
      </c>
      <c r="L309" s="18">
        <f t="shared" si="122"/>
        <v>0.00143097643097643</v>
      </c>
      <c r="M309" s="18">
        <v>0</v>
      </c>
      <c r="N309" s="18">
        <f t="shared" si="132"/>
        <v>0</v>
      </c>
      <c r="O309" s="11">
        <v>0</v>
      </c>
      <c r="P309" s="11">
        <v>0</v>
      </c>
      <c r="Q309" s="11">
        <f t="shared" si="113"/>
        <v>1</v>
      </c>
      <c r="R309" s="11">
        <v>0</v>
      </c>
      <c r="S309" s="11">
        <f t="shared" si="123"/>
        <v>0</v>
      </c>
      <c r="T309" s="11">
        <v>0</v>
      </c>
      <c r="U309" s="11">
        <f t="shared" ref="U309:U333" si="138">MAX(1,T309)/(MAX(1,O309))</f>
        <v>1</v>
      </c>
      <c r="V309" s="11">
        <v>0</v>
      </c>
      <c r="W309" s="11">
        <f t="shared" si="124"/>
        <v>1</v>
      </c>
      <c r="X309" s="11">
        <f t="shared" si="125"/>
        <v>0</v>
      </c>
      <c r="Y309" s="19">
        <v>0</v>
      </c>
      <c r="Z309" s="11">
        <v>0</v>
      </c>
      <c r="AA309" s="11">
        <v>0</v>
      </c>
      <c r="AB309" s="11">
        <v>0</v>
      </c>
      <c r="AC309" s="11">
        <v>0</v>
      </c>
      <c r="AD309" s="11">
        <v>17</v>
      </c>
      <c r="AE309" s="11">
        <v>0</v>
      </c>
      <c r="AF309" s="11">
        <v>0</v>
      </c>
      <c r="AG309" s="11">
        <v>0</v>
      </c>
      <c r="AH309" s="11">
        <v>0</v>
      </c>
      <c r="AI309" s="45">
        <v>0</v>
      </c>
      <c r="AJ309" s="45">
        <v>0</v>
      </c>
      <c r="AK309" s="45">
        <f t="shared" si="133"/>
        <v>0.3611</v>
      </c>
      <c r="AL309" s="45">
        <f t="shared" si="134"/>
        <v>0.00348095238095238</v>
      </c>
      <c r="AM309" s="45">
        <f t="shared" si="126"/>
        <v>0.0012569719047619</v>
      </c>
      <c r="AN309" s="45">
        <f t="shared" si="137"/>
        <v>0.792187500000003</v>
      </c>
      <c r="AO309" s="45">
        <f t="shared" si="127"/>
        <v>0.792187500000004</v>
      </c>
      <c r="AP309" s="45">
        <f t="shared" si="128"/>
        <v>1.05625</v>
      </c>
      <c r="AQ309" s="45">
        <f t="shared" si="129"/>
        <v>0</v>
      </c>
      <c r="AR309" s="45">
        <f t="shared" si="130"/>
        <v>0</v>
      </c>
      <c r="AS309" s="19">
        <f t="shared" si="135"/>
        <v>1.07916666666667</v>
      </c>
      <c r="AT309" s="19">
        <f t="shared" si="136"/>
        <v>1.03333333333334</v>
      </c>
      <c r="AU309" s="46">
        <v>0</v>
      </c>
      <c r="AV309" s="46">
        <v>0</v>
      </c>
      <c r="AW309" s="46">
        <v>0</v>
      </c>
      <c r="AX309" s="46">
        <v>1</v>
      </c>
      <c r="AY309" s="47">
        <v>0</v>
      </c>
      <c r="AZ309" s="47">
        <v>-1</v>
      </c>
    </row>
    <row r="310" hidden="1" customHeight="1" spans="1:52">
      <c r="A310" s="44">
        <v>45635</v>
      </c>
      <c r="B310" s="33">
        <f t="shared" si="114"/>
        <v>381</v>
      </c>
      <c r="C310" s="33">
        <f t="shared" si="115"/>
        <v>2430</v>
      </c>
      <c r="D310" s="11">
        <f t="shared" si="116"/>
        <v>2811</v>
      </c>
      <c r="E310" s="34">
        <f t="shared" si="131"/>
        <v>-3.83950665390227e-7</v>
      </c>
      <c r="F310" s="35">
        <f t="shared" si="117"/>
        <v>0.000321129868624598</v>
      </c>
      <c r="G310" s="18">
        <f>(SUM($I$8:$I310)*(MAX(M$3-M$4,0))+(N310*MAX(M$4,0)))*(1-$AM$4)+(AM310*$AM$4)</f>
        <v>0.0973023501932531</v>
      </c>
      <c r="H310" s="18">
        <f t="shared" si="118"/>
        <v>1</v>
      </c>
      <c r="I310" s="18">
        <f t="shared" si="119"/>
        <v>0.00109427609427609</v>
      </c>
      <c r="J310" s="18">
        <f t="shared" si="120"/>
        <v>0.219652830139225</v>
      </c>
      <c r="K310" s="18">
        <f t="shared" si="121"/>
        <v>0.00204815530147185</v>
      </c>
      <c r="L310" s="18">
        <f t="shared" si="122"/>
        <v>0.00109427609427609</v>
      </c>
      <c r="M310" s="18">
        <v>0</v>
      </c>
      <c r="N310" s="18">
        <f t="shared" si="132"/>
        <v>0</v>
      </c>
      <c r="O310" s="11">
        <v>0</v>
      </c>
      <c r="P310" s="11">
        <v>0</v>
      </c>
      <c r="Q310" s="11">
        <f t="shared" si="113"/>
        <v>1</v>
      </c>
      <c r="R310" s="11">
        <v>0</v>
      </c>
      <c r="S310" s="11">
        <f t="shared" si="123"/>
        <v>0</v>
      </c>
      <c r="T310" s="11">
        <v>0</v>
      </c>
      <c r="U310" s="11">
        <f t="shared" si="138"/>
        <v>1</v>
      </c>
      <c r="V310" s="11">
        <v>0</v>
      </c>
      <c r="W310" s="11">
        <f t="shared" si="124"/>
        <v>1</v>
      </c>
      <c r="X310" s="11">
        <f t="shared" si="125"/>
        <v>0</v>
      </c>
      <c r="Y310" s="19">
        <v>0</v>
      </c>
      <c r="Z310" s="11">
        <v>0</v>
      </c>
      <c r="AA310" s="11">
        <v>0</v>
      </c>
      <c r="AB310" s="11">
        <v>0</v>
      </c>
      <c r="AC310" s="11">
        <v>0</v>
      </c>
      <c r="AD310" s="11">
        <v>13</v>
      </c>
      <c r="AE310" s="11">
        <v>0</v>
      </c>
      <c r="AF310" s="11">
        <v>0</v>
      </c>
      <c r="AG310" s="11">
        <v>0</v>
      </c>
      <c r="AH310" s="11">
        <v>0</v>
      </c>
      <c r="AI310" s="45">
        <v>0</v>
      </c>
      <c r="AJ310" s="45">
        <v>0</v>
      </c>
      <c r="AK310" s="45">
        <f t="shared" si="133"/>
        <v>0.3611</v>
      </c>
      <c r="AL310" s="45">
        <f t="shared" si="134"/>
        <v>0.00348095238095238</v>
      </c>
      <c r="AM310" s="45">
        <f t="shared" si="126"/>
        <v>0.0012569719047619</v>
      </c>
      <c r="AN310" s="45">
        <f t="shared" si="137"/>
        <v>0.792187500000003</v>
      </c>
      <c r="AO310" s="45">
        <f t="shared" si="127"/>
        <v>0.792187500000004</v>
      </c>
      <c r="AP310" s="45">
        <f t="shared" si="128"/>
        <v>1.05625</v>
      </c>
      <c r="AQ310" s="45">
        <f t="shared" si="129"/>
        <v>0</v>
      </c>
      <c r="AR310" s="45">
        <f t="shared" si="130"/>
        <v>0</v>
      </c>
      <c r="AS310" s="19">
        <f t="shared" si="135"/>
        <v>1.07916666666667</v>
      </c>
      <c r="AT310" s="19">
        <f t="shared" si="136"/>
        <v>1.03333333333334</v>
      </c>
      <c r="AU310" s="46">
        <v>0</v>
      </c>
      <c r="AV310" s="46">
        <v>0</v>
      </c>
      <c r="AW310" s="46">
        <v>0</v>
      </c>
      <c r="AX310" s="46">
        <v>1</v>
      </c>
      <c r="AY310" s="47">
        <v>0</v>
      </c>
      <c r="AZ310" s="47">
        <v>-1</v>
      </c>
    </row>
    <row r="311" hidden="1" customHeight="1" spans="1:52">
      <c r="A311" s="44">
        <v>45636</v>
      </c>
      <c r="B311" s="33">
        <f t="shared" si="114"/>
        <v>380</v>
      </c>
      <c r="C311" s="33">
        <f t="shared" si="115"/>
        <v>2434</v>
      </c>
      <c r="D311" s="11">
        <f t="shared" si="116"/>
        <v>2814</v>
      </c>
      <c r="E311" s="34">
        <f t="shared" si="131"/>
        <v>-4.33341872469286e-7</v>
      </c>
      <c r="F311" s="35">
        <f t="shared" si="117"/>
        <v>0.000320696526752128</v>
      </c>
      <c r="G311" s="18">
        <f>(SUM($I$8:$I311)*(MAX(M$3-M$4,0))+(N311*MAX(M$4,0)))*(1-$AM$4)+(AM311*$AM$4)</f>
        <v>0.0974917441326471</v>
      </c>
      <c r="H311" s="18">
        <f t="shared" si="118"/>
        <v>1</v>
      </c>
      <c r="I311" s="18">
        <f t="shared" si="119"/>
        <v>0.00101010101010101</v>
      </c>
      <c r="J311" s="18">
        <f t="shared" si="120"/>
        <v>0.219356424298456</v>
      </c>
      <c r="K311" s="18">
        <f t="shared" si="121"/>
        <v>0.00205432519921459</v>
      </c>
      <c r="L311" s="18">
        <f t="shared" si="122"/>
        <v>0.00101010101010101</v>
      </c>
      <c r="M311" s="18">
        <v>0</v>
      </c>
      <c r="N311" s="18">
        <f t="shared" si="132"/>
        <v>0</v>
      </c>
      <c r="O311" s="11">
        <v>0</v>
      </c>
      <c r="P311" s="11">
        <v>0</v>
      </c>
      <c r="Q311" s="11">
        <f t="shared" ref="Q311:Q333" si="139">($P$2-$P$4)+((P311/(MAX(1/FACT(128),O311)))*$P$4)</f>
        <v>1</v>
      </c>
      <c r="R311" s="11">
        <v>0</v>
      </c>
      <c r="S311" s="11">
        <f t="shared" si="123"/>
        <v>0</v>
      </c>
      <c r="T311" s="11">
        <v>0</v>
      </c>
      <c r="U311" s="11">
        <f t="shared" si="138"/>
        <v>1</v>
      </c>
      <c r="V311" s="11">
        <v>0</v>
      </c>
      <c r="W311" s="11">
        <f t="shared" si="124"/>
        <v>1</v>
      </c>
      <c r="X311" s="11">
        <f t="shared" si="125"/>
        <v>0</v>
      </c>
      <c r="Y311" s="19">
        <v>0</v>
      </c>
      <c r="Z311" s="11">
        <v>0</v>
      </c>
      <c r="AA311" s="11">
        <v>0</v>
      </c>
      <c r="AB311" s="11">
        <v>0</v>
      </c>
      <c r="AC311" s="11">
        <v>0</v>
      </c>
      <c r="AD311" s="11">
        <v>12</v>
      </c>
      <c r="AE311" s="11">
        <v>0</v>
      </c>
      <c r="AF311" s="11">
        <v>0</v>
      </c>
      <c r="AG311" s="11">
        <v>0</v>
      </c>
      <c r="AH311" s="11">
        <v>0</v>
      </c>
      <c r="AI311" s="45">
        <v>0</v>
      </c>
      <c r="AJ311" s="45">
        <v>0</v>
      </c>
      <c r="AK311" s="45">
        <f t="shared" si="133"/>
        <v>0.3611</v>
      </c>
      <c r="AL311" s="45">
        <f t="shared" si="134"/>
        <v>0.00348095238095238</v>
      </c>
      <c r="AM311" s="45">
        <f t="shared" si="126"/>
        <v>0.0012569719047619</v>
      </c>
      <c r="AN311" s="45">
        <f t="shared" si="137"/>
        <v>0.792187500000003</v>
      </c>
      <c r="AO311" s="45">
        <f t="shared" si="127"/>
        <v>0.792187500000004</v>
      </c>
      <c r="AP311" s="45">
        <f t="shared" si="128"/>
        <v>1.05625</v>
      </c>
      <c r="AQ311" s="45">
        <f t="shared" si="129"/>
        <v>0</v>
      </c>
      <c r="AR311" s="45">
        <f t="shared" si="130"/>
        <v>0</v>
      </c>
      <c r="AS311" s="19">
        <f t="shared" si="135"/>
        <v>1.07916666666667</v>
      </c>
      <c r="AT311" s="19">
        <f t="shared" si="136"/>
        <v>1.03333333333334</v>
      </c>
      <c r="AU311" s="46">
        <v>0</v>
      </c>
      <c r="AV311" s="46">
        <v>0</v>
      </c>
      <c r="AW311" s="46">
        <v>0</v>
      </c>
      <c r="AX311" s="46">
        <v>1</v>
      </c>
      <c r="AY311" s="47">
        <v>0</v>
      </c>
      <c r="AZ311" s="47">
        <v>-1</v>
      </c>
    </row>
    <row r="312" hidden="1" customHeight="1" spans="1:52">
      <c r="A312" s="44">
        <v>45637</v>
      </c>
      <c r="B312" s="33">
        <f t="shared" si="114"/>
        <v>379</v>
      </c>
      <c r="C312" s="33">
        <f t="shared" si="115"/>
        <v>2437</v>
      </c>
      <c r="D312" s="11">
        <f t="shared" si="116"/>
        <v>2816</v>
      </c>
      <c r="E312" s="34">
        <f t="shared" si="131"/>
        <v>-3.27006330467345e-7</v>
      </c>
      <c r="F312" s="35">
        <f t="shared" si="117"/>
        <v>0.000320369520421661</v>
      </c>
      <c r="G312" s="18">
        <f>(SUM($I$8:$I312)*(MAX(M$3-M$4,0))+(N312*MAX(M$4,0)))*(1-$AM$4)+(AM312*$AM$4)</f>
        <v>0.0977127037286066</v>
      </c>
      <c r="H312" s="18">
        <f t="shared" si="118"/>
        <v>1</v>
      </c>
      <c r="I312" s="18">
        <f t="shared" si="119"/>
        <v>0.00117845117845118</v>
      </c>
      <c r="J312" s="18">
        <f t="shared" si="120"/>
        <v>0.219132751968416</v>
      </c>
      <c r="K312" s="18">
        <f t="shared" si="121"/>
        <v>0.00206033574678518</v>
      </c>
      <c r="L312" s="18">
        <f t="shared" si="122"/>
        <v>0.00117845117845118</v>
      </c>
      <c r="M312" s="18">
        <v>0</v>
      </c>
      <c r="N312" s="18">
        <f t="shared" si="132"/>
        <v>0</v>
      </c>
      <c r="O312" s="11">
        <v>0</v>
      </c>
      <c r="P312" s="11">
        <v>0</v>
      </c>
      <c r="Q312" s="11">
        <f t="shared" si="139"/>
        <v>1</v>
      </c>
      <c r="R312" s="11">
        <v>0</v>
      </c>
      <c r="S312" s="11">
        <f t="shared" si="123"/>
        <v>0</v>
      </c>
      <c r="T312" s="11">
        <v>0</v>
      </c>
      <c r="U312" s="11">
        <f t="shared" si="138"/>
        <v>1</v>
      </c>
      <c r="V312" s="11">
        <v>0</v>
      </c>
      <c r="W312" s="11">
        <f t="shared" si="124"/>
        <v>1</v>
      </c>
      <c r="X312" s="11">
        <f t="shared" si="125"/>
        <v>0</v>
      </c>
      <c r="Y312" s="19">
        <v>0</v>
      </c>
      <c r="Z312" s="11">
        <v>0</v>
      </c>
      <c r="AA312" s="11">
        <v>0</v>
      </c>
      <c r="AB312" s="11">
        <v>0</v>
      </c>
      <c r="AC312" s="11">
        <v>0</v>
      </c>
      <c r="AD312" s="11">
        <v>14</v>
      </c>
      <c r="AE312" s="11">
        <v>0</v>
      </c>
      <c r="AF312" s="11">
        <v>0</v>
      </c>
      <c r="AG312" s="11">
        <v>0</v>
      </c>
      <c r="AH312" s="11">
        <v>0</v>
      </c>
      <c r="AI312" s="45">
        <v>0</v>
      </c>
      <c r="AJ312" s="45">
        <v>0</v>
      </c>
      <c r="AK312" s="45">
        <f t="shared" si="133"/>
        <v>0.3611</v>
      </c>
      <c r="AL312" s="45">
        <f t="shared" si="134"/>
        <v>0.00348095238095238</v>
      </c>
      <c r="AM312" s="45">
        <f t="shared" si="126"/>
        <v>0.0012569719047619</v>
      </c>
      <c r="AN312" s="45">
        <f t="shared" si="137"/>
        <v>0.792187500000003</v>
      </c>
      <c r="AO312" s="45">
        <f t="shared" si="127"/>
        <v>0.792187500000004</v>
      </c>
      <c r="AP312" s="45">
        <f t="shared" si="128"/>
        <v>1.05625</v>
      </c>
      <c r="AQ312" s="45">
        <f t="shared" si="129"/>
        <v>0</v>
      </c>
      <c r="AR312" s="45">
        <f t="shared" si="130"/>
        <v>0</v>
      </c>
      <c r="AS312" s="19">
        <f t="shared" si="135"/>
        <v>1.07916666666667</v>
      </c>
      <c r="AT312" s="19">
        <f t="shared" si="136"/>
        <v>1.03333333333334</v>
      </c>
      <c r="AU312" s="46">
        <v>0</v>
      </c>
      <c r="AV312" s="46">
        <v>0</v>
      </c>
      <c r="AW312" s="46">
        <v>0</v>
      </c>
      <c r="AX312" s="46">
        <v>1</v>
      </c>
      <c r="AY312" s="47">
        <v>0</v>
      </c>
      <c r="AZ312" s="47">
        <v>-1</v>
      </c>
    </row>
    <row r="313" hidden="1" customHeight="1" spans="1:52">
      <c r="A313" s="44">
        <v>45638</v>
      </c>
      <c r="B313" s="33">
        <f t="shared" si="114"/>
        <v>378</v>
      </c>
      <c r="C313" s="33">
        <f t="shared" si="115"/>
        <v>2441</v>
      </c>
      <c r="D313" s="11">
        <f t="shared" si="116"/>
        <v>2819</v>
      </c>
      <c r="E313" s="34">
        <f t="shared" si="131"/>
        <v>-3.76446904395121e-7</v>
      </c>
      <c r="F313" s="35">
        <f t="shared" si="117"/>
        <v>0.000319993073517266</v>
      </c>
      <c r="G313" s="18">
        <f>(SUM($I$8:$I313)*(MAX(M$3-M$4,0))+(N313*MAX(M$4,0)))*(1-$AM$4)+(AM313*$AM$4)</f>
        <v>0.0979178804962834</v>
      </c>
      <c r="H313" s="18">
        <f t="shared" si="118"/>
        <v>1</v>
      </c>
      <c r="I313" s="18">
        <f t="shared" si="119"/>
        <v>0.00109427609427609</v>
      </c>
      <c r="J313" s="18">
        <f t="shared" si="120"/>
        <v>0.21887526228581</v>
      </c>
      <c r="K313" s="18">
        <f t="shared" si="121"/>
        <v>0.00206646756009045</v>
      </c>
      <c r="L313" s="18">
        <f t="shared" si="122"/>
        <v>0.00109427609427609</v>
      </c>
      <c r="M313" s="18">
        <v>0</v>
      </c>
      <c r="N313" s="18">
        <f t="shared" si="132"/>
        <v>0</v>
      </c>
      <c r="O313" s="11">
        <v>0</v>
      </c>
      <c r="P313" s="11">
        <v>0</v>
      </c>
      <c r="Q313" s="11">
        <f t="shared" si="139"/>
        <v>1</v>
      </c>
      <c r="R313" s="11">
        <v>0</v>
      </c>
      <c r="S313" s="11">
        <f t="shared" si="123"/>
        <v>0</v>
      </c>
      <c r="T313" s="11">
        <v>0</v>
      </c>
      <c r="U313" s="11">
        <f t="shared" si="138"/>
        <v>1</v>
      </c>
      <c r="V313" s="11">
        <v>0</v>
      </c>
      <c r="W313" s="11">
        <f t="shared" si="124"/>
        <v>1</v>
      </c>
      <c r="X313" s="11">
        <f t="shared" si="125"/>
        <v>0</v>
      </c>
      <c r="Y313" s="19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13</v>
      </c>
      <c r="AE313" s="11">
        <v>0</v>
      </c>
      <c r="AF313" s="11">
        <v>0</v>
      </c>
      <c r="AG313" s="11">
        <v>0</v>
      </c>
      <c r="AH313" s="11">
        <v>0</v>
      </c>
      <c r="AI313" s="45">
        <v>0</v>
      </c>
      <c r="AJ313" s="45">
        <v>0</v>
      </c>
      <c r="AK313" s="45">
        <f t="shared" si="133"/>
        <v>0.3611</v>
      </c>
      <c r="AL313" s="45">
        <f t="shared" si="134"/>
        <v>0.00348095238095238</v>
      </c>
      <c r="AM313" s="45">
        <f t="shared" si="126"/>
        <v>0.0012569719047619</v>
      </c>
      <c r="AN313" s="45">
        <f t="shared" si="137"/>
        <v>0.792187500000003</v>
      </c>
      <c r="AO313" s="45">
        <f t="shared" si="127"/>
        <v>0.792187500000004</v>
      </c>
      <c r="AP313" s="45">
        <f t="shared" si="128"/>
        <v>1.05625</v>
      </c>
      <c r="AQ313" s="45">
        <f t="shared" si="129"/>
        <v>0</v>
      </c>
      <c r="AR313" s="45">
        <f t="shared" si="130"/>
        <v>0</v>
      </c>
      <c r="AS313" s="19">
        <f t="shared" si="135"/>
        <v>1.07916666666667</v>
      </c>
      <c r="AT313" s="19">
        <f t="shared" si="136"/>
        <v>1.03333333333334</v>
      </c>
      <c r="AU313" s="46">
        <v>0</v>
      </c>
      <c r="AV313" s="46">
        <v>0</v>
      </c>
      <c r="AW313" s="46">
        <v>0</v>
      </c>
      <c r="AX313" s="46">
        <v>1</v>
      </c>
      <c r="AY313" s="47">
        <v>0</v>
      </c>
      <c r="AZ313" s="47">
        <v>-1</v>
      </c>
    </row>
    <row r="314" hidden="1" customHeight="1" spans="1:52">
      <c r="A314" s="44">
        <v>45639</v>
      </c>
      <c r="B314" s="33">
        <f t="shared" si="114"/>
        <v>377</v>
      </c>
      <c r="C314" s="33">
        <f t="shared" si="115"/>
        <v>2451</v>
      </c>
      <c r="D314" s="11">
        <f t="shared" si="116"/>
        <v>2828</v>
      </c>
      <c r="E314" s="34">
        <f t="shared" si="131"/>
        <v>-1.04232271503995e-6</v>
      </c>
      <c r="F314" s="35">
        <f t="shared" si="117"/>
        <v>0.000318950750802226</v>
      </c>
      <c r="G314" s="18">
        <f>(SUM($I$8:$I314)*(MAX(M$3-M$4,0))+(N314*MAX(M$4,0)))*(1-$AM$4)+(AM314*$AM$4)</f>
        <v>0.0979178804962834</v>
      </c>
      <c r="H314" s="18">
        <f t="shared" si="118"/>
        <v>1</v>
      </c>
      <c r="I314" s="18">
        <f t="shared" si="119"/>
        <v>0</v>
      </c>
      <c r="J314" s="18">
        <f t="shared" si="120"/>
        <v>0.218162313548723</v>
      </c>
      <c r="K314" s="18">
        <f t="shared" si="121"/>
        <v>0.00207384001711214</v>
      </c>
      <c r="L314" s="18">
        <f t="shared" si="122"/>
        <v>0</v>
      </c>
      <c r="M314" s="18">
        <v>0</v>
      </c>
      <c r="N314" s="18">
        <f t="shared" si="132"/>
        <v>0</v>
      </c>
      <c r="O314" s="11">
        <v>0</v>
      </c>
      <c r="P314" s="11">
        <v>0</v>
      </c>
      <c r="Q314" s="11">
        <f t="shared" si="139"/>
        <v>1</v>
      </c>
      <c r="R314" s="11">
        <v>0</v>
      </c>
      <c r="S314" s="11">
        <f t="shared" si="123"/>
        <v>0</v>
      </c>
      <c r="T314" s="11">
        <v>0</v>
      </c>
      <c r="U314" s="11">
        <f t="shared" si="138"/>
        <v>1</v>
      </c>
      <c r="V314" s="11">
        <v>0</v>
      </c>
      <c r="W314" s="11">
        <f t="shared" si="124"/>
        <v>1</v>
      </c>
      <c r="X314" s="11">
        <f t="shared" si="125"/>
        <v>0</v>
      </c>
      <c r="Y314" s="19">
        <v>0</v>
      </c>
      <c r="Z314" s="11">
        <v>0</v>
      </c>
      <c r="AA314" s="11">
        <v>0</v>
      </c>
      <c r="AB314" s="11">
        <v>0</v>
      </c>
      <c r="AC314" s="11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45">
        <v>0</v>
      </c>
      <c r="AJ314" s="45">
        <v>0</v>
      </c>
      <c r="AK314" s="45">
        <f t="shared" si="133"/>
        <v>0.3611</v>
      </c>
      <c r="AL314" s="45">
        <f t="shared" si="134"/>
        <v>0.00348095238095238</v>
      </c>
      <c r="AM314" s="45">
        <f t="shared" si="126"/>
        <v>0.0012569719047619</v>
      </c>
      <c r="AN314" s="45">
        <f t="shared" si="137"/>
        <v>0.792187500000003</v>
      </c>
      <c r="AO314" s="45">
        <f t="shared" si="127"/>
        <v>0.792187500000004</v>
      </c>
      <c r="AP314" s="45">
        <f t="shared" si="128"/>
        <v>1.05625</v>
      </c>
      <c r="AQ314" s="45">
        <f t="shared" si="129"/>
        <v>0</v>
      </c>
      <c r="AR314" s="45">
        <f t="shared" si="130"/>
        <v>0</v>
      </c>
      <c r="AS314" s="19">
        <f t="shared" si="135"/>
        <v>1.07916666666667</v>
      </c>
      <c r="AT314" s="19">
        <f t="shared" si="136"/>
        <v>1.03333333333334</v>
      </c>
      <c r="AU314" s="46">
        <v>0</v>
      </c>
      <c r="AV314" s="46">
        <v>0</v>
      </c>
      <c r="AW314" s="46">
        <v>0</v>
      </c>
      <c r="AX314" s="46">
        <v>1</v>
      </c>
      <c r="AY314" s="47">
        <v>0</v>
      </c>
      <c r="AZ314" s="47">
        <v>-1</v>
      </c>
    </row>
    <row r="315" hidden="1" customHeight="1" spans="1:52">
      <c r="A315" s="44">
        <v>45640</v>
      </c>
      <c r="B315" s="33">
        <f t="shared" si="114"/>
        <v>376</v>
      </c>
      <c r="C315" s="33">
        <f t="shared" si="115"/>
        <v>2457</v>
      </c>
      <c r="D315" s="11">
        <f t="shared" si="116"/>
        <v>2833</v>
      </c>
      <c r="E315" s="34">
        <f t="shared" si="131"/>
        <v>-5.74367844989479e-7</v>
      </c>
      <c r="F315" s="35">
        <f t="shared" si="117"/>
        <v>0.000318376382957237</v>
      </c>
      <c r="G315" s="18">
        <f>(SUM($I$8:$I315)*(MAX(M$3-M$4,0))+(N315*MAX(M$4,0)))*(1-$AM$4)+(AM315*$AM$4)</f>
        <v>0.0980599259508289</v>
      </c>
      <c r="H315" s="18">
        <f t="shared" si="118"/>
        <v>1</v>
      </c>
      <c r="I315" s="18">
        <f t="shared" si="119"/>
        <v>0.000757575757575758</v>
      </c>
      <c r="J315" s="18">
        <f t="shared" si="120"/>
        <v>0.21776944594275</v>
      </c>
      <c r="K315" s="18">
        <f t="shared" si="121"/>
        <v>0.00208040040972673</v>
      </c>
      <c r="L315" s="18">
        <f t="shared" si="122"/>
        <v>0.000757575757575758</v>
      </c>
      <c r="M315" s="18">
        <v>0</v>
      </c>
      <c r="N315" s="18">
        <f t="shared" si="132"/>
        <v>0</v>
      </c>
      <c r="O315" s="11">
        <v>0</v>
      </c>
      <c r="P315" s="11">
        <v>0</v>
      </c>
      <c r="Q315" s="11">
        <f t="shared" si="139"/>
        <v>1</v>
      </c>
      <c r="R315" s="11">
        <v>0</v>
      </c>
      <c r="S315" s="11">
        <f t="shared" si="123"/>
        <v>0</v>
      </c>
      <c r="T315" s="11">
        <v>0</v>
      </c>
      <c r="U315" s="11">
        <f t="shared" si="138"/>
        <v>1</v>
      </c>
      <c r="V315" s="11">
        <v>0</v>
      </c>
      <c r="W315" s="11">
        <f t="shared" si="124"/>
        <v>1</v>
      </c>
      <c r="X315" s="11">
        <f t="shared" si="125"/>
        <v>0</v>
      </c>
      <c r="Y315" s="19">
        <v>0</v>
      </c>
      <c r="Z315" s="11">
        <v>0</v>
      </c>
      <c r="AA315" s="11">
        <v>0</v>
      </c>
      <c r="AB315" s="11">
        <v>0</v>
      </c>
      <c r="AC315" s="11">
        <v>0</v>
      </c>
      <c r="AD315" s="11">
        <v>9</v>
      </c>
      <c r="AE315" s="11">
        <v>0</v>
      </c>
      <c r="AF315" s="11">
        <v>0</v>
      </c>
      <c r="AG315" s="11">
        <v>0</v>
      </c>
      <c r="AH315" s="11">
        <v>0</v>
      </c>
      <c r="AI315" s="45">
        <v>0</v>
      </c>
      <c r="AJ315" s="45">
        <v>0</v>
      </c>
      <c r="AK315" s="45">
        <f t="shared" si="133"/>
        <v>0.3611</v>
      </c>
      <c r="AL315" s="45">
        <f t="shared" si="134"/>
        <v>0.00348095238095238</v>
      </c>
      <c r="AM315" s="45">
        <f t="shared" si="126"/>
        <v>0.0012569719047619</v>
      </c>
      <c r="AN315" s="45">
        <f t="shared" si="137"/>
        <v>0.792187500000003</v>
      </c>
      <c r="AO315" s="45">
        <f t="shared" si="127"/>
        <v>0.792187500000004</v>
      </c>
      <c r="AP315" s="45">
        <f t="shared" si="128"/>
        <v>1.05625</v>
      </c>
      <c r="AQ315" s="45">
        <f t="shared" si="129"/>
        <v>0</v>
      </c>
      <c r="AR315" s="45">
        <f t="shared" si="130"/>
        <v>0</v>
      </c>
      <c r="AS315" s="19">
        <f t="shared" si="135"/>
        <v>1.07916666666667</v>
      </c>
      <c r="AT315" s="19">
        <f t="shared" si="136"/>
        <v>1.03333333333334</v>
      </c>
      <c r="AU315" s="46">
        <v>0</v>
      </c>
      <c r="AV315" s="46">
        <v>0</v>
      </c>
      <c r="AW315" s="46">
        <v>0</v>
      </c>
      <c r="AX315" s="46">
        <v>1</v>
      </c>
      <c r="AY315" s="47">
        <v>0</v>
      </c>
      <c r="AZ315" s="47">
        <v>-1</v>
      </c>
    </row>
    <row r="316" hidden="1" customHeight="1" spans="1:52">
      <c r="A316" s="44">
        <v>45641</v>
      </c>
      <c r="B316" s="33">
        <f t="shared" si="114"/>
        <v>375</v>
      </c>
      <c r="C316" s="33">
        <f t="shared" si="115"/>
        <v>2467</v>
      </c>
      <c r="D316" s="11">
        <f t="shared" si="116"/>
        <v>2842</v>
      </c>
      <c r="E316" s="34">
        <f t="shared" si="131"/>
        <v>-1.03034428141502e-6</v>
      </c>
      <c r="F316" s="35">
        <f t="shared" si="117"/>
        <v>0.000317346038675822</v>
      </c>
      <c r="G316" s="18">
        <f>(SUM($I$8:$I316)*(MAX(M$3-M$4,0))+(N316*MAX(M$4,0)))*(1-$AM$4)+(AM316*$AM$4)</f>
        <v>0.0980599259508289</v>
      </c>
      <c r="H316" s="18">
        <f t="shared" si="118"/>
        <v>1</v>
      </c>
      <c r="I316" s="18">
        <f t="shared" si="119"/>
        <v>0</v>
      </c>
      <c r="J316" s="18">
        <f t="shared" si="120"/>
        <v>0.217064690454262</v>
      </c>
      <c r="K316" s="18">
        <f t="shared" si="121"/>
        <v>0.00208782749212197</v>
      </c>
      <c r="L316" s="18">
        <f t="shared" si="122"/>
        <v>0</v>
      </c>
      <c r="M316" s="18">
        <v>0</v>
      </c>
      <c r="N316" s="18">
        <f t="shared" si="132"/>
        <v>0</v>
      </c>
      <c r="O316" s="11">
        <v>0</v>
      </c>
      <c r="P316" s="11">
        <v>0</v>
      </c>
      <c r="Q316" s="11">
        <f t="shared" si="139"/>
        <v>1</v>
      </c>
      <c r="R316" s="11">
        <v>0</v>
      </c>
      <c r="S316" s="11">
        <f t="shared" si="123"/>
        <v>0</v>
      </c>
      <c r="T316" s="11">
        <v>0</v>
      </c>
      <c r="U316" s="11">
        <f t="shared" si="138"/>
        <v>1</v>
      </c>
      <c r="V316" s="11">
        <v>0</v>
      </c>
      <c r="W316" s="11">
        <f t="shared" si="124"/>
        <v>1</v>
      </c>
      <c r="X316" s="11">
        <f t="shared" si="125"/>
        <v>0</v>
      </c>
      <c r="Y316" s="19">
        <v>0</v>
      </c>
      <c r="Z316" s="11">
        <v>0</v>
      </c>
      <c r="AA316" s="11">
        <v>0</v>
      </c>
      <c r="AB316" s="11">
        <v>0</v>
      </c>
      <c r="AC316" s="11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45">
        <v>0</v>
      </c>
      <c r="AJ316" s="45">
        <v>0</v>
      </c>
      <c r="AK316" s="45">
        <f t="shared" si="133"/>
        <v>0.3611</v>
      </c>
      <c r="AL316" s="45">
        <f t="shared" si="134"/>
        <v>0.00348095238095238</v>
      </c>
      <c r="AM316" s="45">
        <f t="shared" si="126"/>
        <v>0.0012569719047619</v>
      </c>
      <c r="AN316" s="45">
        <f t="shared" si="137"/>
        <v>0.792187500000003</v>
      </c>
      <c r="AO316" s="45">
        <f t="shared" si="127"/>
        <v>0.792187500000004</v>
      </c>
      <c r="AP316" s="45">
        <f t="shared" si="128"/>
        <v>1.05625</v>
      </c>
      <c r="AQ316" s="45">
        <f t="shared" si="129"/>
        <v>0</v>
      </c>
      <c r="AR316" s="45">
        <f t="shared" si="130"/>
        <v>0</v>
      </c>
      <c r="AS316" s="19">
        <f t="shared" si="135"/>
        <v>1.07916666666667</v>
      </c>
      <c r="AT316" s="19">
        <f t="shared" si="136"/>
        <v>1.03333333333334</v>
      </c>
      <c r="AU316" s="46">
        <v>0</v>
      </c>
      <c r="AV316" s="46">
        <v>0</v>
      </c>
      <c r="AW316" s="46">
        <v>0</v>
      </c>
      <c r="AX316" s="46">
        <v>1</v>
      </c>
      <c r="AY316" s="47">
        <v>0</v>
      </c>
      <c r="AZ316" s="47">
        <v>-1</v>
      </c>
    </row>
    <row r="317" hidden="1" customHeight="1" spans="1:52">
      <c r="A317" s="44">
        <v>45642</v>
      </c>
      <c r="B317" s="33">
        <f t="shared" si="114"/>
        <v>374</v>
      </c>
      <c r="C317" s="33">
        <f t="shared" si="115"/>
        <v>2477</v>
      </c>
      <c r="D317" s="11">
        <f t="shared" si="116"/>
        <v>2851</v>
      </c>
      <c r="E317" s="34">
        <f t="shared" si="131"/>
        <v>-1.02369689895424e-6</v>
      </c>
      <c r="F317" s="35">
        <f t="shared" si="117"/>
        <v>0.000316322341776867</v>
      </c>
      <c r="G317" s="18">
        <f>(SUM($I$8:$I317)*(MAX(M$3-M$4,0))+(N317*MAX(M$4,0)))*(1-$AM$4)+(AM317*$AM$4)</f>
        <v>0.0980599259508289</v>
      </c>
      <c r="H317" s="18">
        <f t="shared" si="118"/>
        <v>1</v>
      </c>
      <c r="I317" s="18">
        <f t="shared" si="119"/>
        <v>0</v>
      </c>
      <c r="J317" s="18">
        <f t="shared" si="120"/>
        <v>0.216364481775377</v>
      </c>
      <c r="K317" s="18">
        <f t="shared" si="121"/>
        <v>0.00209528213429044</v>
      </c>
      <c r="L317" s="18">
        <f t="shared" si="122"/>
        <v>0</v>
      </c>
      <c r="M317" s="18">
        <v>0</v>
      </c>
      <c r="N317" s="18">
        <f t="shared" si="132"/>
        <v>0</v>
      </c>
      <c r="O317" s="11">
        <v>0</v>
      </c>
      <c r="P317" s="11">
        <v>0</v>
      </c>
      <c r="Q317" s="11">
        <f t="shared" si="139"/>
        <v>1</v>
      </c>
      <c r="R317" s="11">
        <v>0</v>
      </c>
      <c r="S317" s="11">
        <f t="shared" si="123"/>
        <v>0</v>
      </c>
      <c r="T317" s="11">
        <v>0</v>
      </c>
      <c r="U317" s="11">
        <f t="shared" si="138"/>
        <v>1</v>
      </c>
      <c r="V317" s="11">
        <v>0</v>
      </c>
      <c r="W317" s="11">
        <f t="shared" si="124"/>
        <v>1</v>
      </c>
      <c r="X317" s="11">
        <f t="shared" si="125"/>
        <v>0</v>
      </c>
      <c r="Y317" s="19">
        <v>0</v>
      </c>
      <c r="Z317" s="11">
        <v>0</v>
      </c>
      <c r="AA317" s="11">
        <v>0</v>
      </c>
      <c r="AB317" s="11">
        <v>0</v>
      </c>
      <c r="AC317" s="11">
        <v>0</v>
      </c>
      <c r="AD317" s="11">
        <v>0</v>
      </c>
      <c r="AE317" s="11">
        <v>0</v>
      </c>
      <c r="AF317" s="11">
        <v>0</v>
      </c>
      <c r="AG317" s="11">
        <v>0</v>
      </c>
      <c r="AH317" s="11">
        <v>0</v>
      </c>
      <c r="AI317" s="45">
        <v>0</v>
      </c>
      <c r="AJ317" s="45">
        <v>0</v>
      </c>
      <c r="AK317" s="45">
        <f t="shared" si="133"/>
        <v>0.3611</v>
      </c>
      <c r="AL317" s="45">
        <f t="shared" si="134"/>
        <v>0.00348095238095238</v>
      </c>
      <c r="AM317" s="45">
        <f t="shared" si="126"/>
        <v>0.0012569719047619</v>
      </c>
      <c r="AN317" s="45">
        <f t="shared" si="137"/>
        <v>0.792187500000003</v>
      </c>
      <c r="AO317" s="45">
        <f t="shared" si="127"/>
        <v>0.792187500000004</v>
      </c>
      <c r="AP317" s="45">
        <f t="shared" si="128"/>
        <v>1.05625</v>
      </c>
      <c r="AQ317" s="45">
        <f t="shared" si="129"/>
        <v>0</v>
      </c>
      <c r="AR317" s="45">
        <f t="shared" si="130"/>
        <v>0</v>
      </c>
      <c r="AS317" s="19">
        <f t="shared" si="135"/>
        <v>1.07916666666667</v>
      </c>
      <c r="AT317" s="19">
        <f t="shared" si="136"/>
        <v>1.03333333333334</v>
      </c>
      <c r="AU317" s="46">
        <v>0</v>
      </c>
      <c r="AV317" s="46">
        <v>0</v>
      </c>
      <c r="AW317" s="46">
        <v>0</v>
      </c>
      <c r="AX317" s="46">
        <v>1</v>
      </c>
      <c r="AY317" s="47">
        <v>0</v>
      </c>
      <c r="AZ317" s="47">
        <v>-1</v>
      </c>
    </row>
    <row r="318" hidden="1" customHeight="1" spans="1:52">
      <c r="A318" s="44">
        <v>45643</v>
      </c>
      <c r="B318" s="33">
        <f t="shared" si="114"/>
        <v>373</v>
      </c>
      <c r="C318" s="33">
        <f t="shared" si="115"/>
        <v>2488</v>
      </c>
      <c r="D318" s="11">
        <f t="shared" si="116"/>
        <v>2861</v>
      </c>
      <c r="E318" s="34">
        <f t="shared" si="131"/>
        <v>-1.01711363915393e-6</v>
      </c>
      <c r="F318" s="35">
        <f t="shared" si="117"/>
        <v>0.000315305228137713</v>
      </c>
      <c r="G318" s="18">
        <f>(SUM($I$8:$I318)*(MAX(M$3-M$4,0))+(N318*MAX(M$4,0)))*(1-$AM$4)+(AM318*$AM$4)</f>
        <v>0.0980599259508289</v>
      </c>
      <c r="H318" s="18">
        <f t="shared" si="118"/>
        <v>1</v>
      </c>
      <c r="I318" s="18">
        <f t="shared" si="119"/>
        <v>0</v>
      </c>
      <c r="J318" s="18">
        <f t="shared" si="120"/>
        <v>0.215668776046196</v>
      </c>
      <c r="K318" s="18">
        <f t="shared" si="121"/>
        <v>0.00210276467547937</v>
      </c>
      <c r="L318" s="18">
        <f t="shared" si="122"/>
        <v>0</v>
      </c>
      <c r="M318" s="18">
        <v>0</v>
      </c>
      <c r="N318" s="18">
        <f t="shared" si="132"/>
        <v>0</v>
      </c>
      <c r="O318" s="11">
        <v>0</v>
      </c>
      <c r="P318" s="11">
        <v>0</v>
      </c>
      <c r="Q318" s="11">
        <f t="shared" si="139"/>
        <v>1</v>
      </c>
      <c r="R318" s="11">
        <v>0</v>
      </c>
      <c r="S318" s="11">
        <f t="shared" si="123"/>
        <v>0</v>
      </c>
      <c r="T318" s="11">
        <v>0</v>
      </c>
      <c r="U318" s="11">
        <f t="shared" si="138"/>
        <v>1</v>
      </c>
      <c r="V318" s="11">
        <v>0</v>
      </c>
      <c r="W318" s="11">
        <f t="shared" si="124"/>
        <v>1</v>
      </c>
      <c r="X318" s="11">
        <f t="shared" si="125"/>
        <v>0</v>
      </c>
      <c r="Y318" s="19">
        <v>0</v>
      </c>
      <c r="Z318" s="11">
        <v>0</v>
      </c>
      <c r="AA318" s="11">
        <v>0</v>
      </c>
      <c r="AB318" s="11">
        <v>0</v>
      </c>
      <c r="AC318" s="11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45">
        <v>0</v>
      </c>
      <c r="AJ318" s="45">
        <v>0</v>
      </c>
      <c r="AK318" s="45">
        <f t="shared" si="133"/>
        <v>0.3611</v>
      </c>
      <c r="AL318" s="45">
        <f t="shared" si="134"/>
        <v>0.00348095238095238</v>
      </c>
      <c r="AM318" s="45">
        <f t="shared" si="126"/>
        <v>0.0012569719047619</v>
      </c>
      <c r="AN318" s="45">
        <f t="shared" si="137"/>
        <v>0.792187500000003</v>
      </c>
      <c r="AO318" s="45">
        <f t="shared" si="127"/>
        <v>0.792187500000004</v>
      </c>
      <c r="AP318" s="45">
        <f t="shared" si="128"/>
        <v>1.05625</v>
      </c>
      <c r="AQ318" s="45">
        <f t="shared" si="129"/>
        <v>0</v>
      </c>
      <c r="AR318" s="45">
        <f t="shared" si="130"/>
        <v>0</v>
      </c>
      <c r="AS318" s="19">
        <f t="shared" si="135"/>
        <v>1.07916666666667</v>
      </c>
      <c r="AT318" s="19">
        <f t="shared" si="136"/>
        <v>1.03333333333334</v>
      </c>
      <c r="AU318" s="46">
        <v>0</v>
      </c>
      <c r="AV318" s="46">
        <v>0</v>
      </c>
      <c r="AW318" s="46">
        <v>0</v>
      </c>
      <c r="AX318" s="46">
        <v>1</v>
      </c>
      <c r="AY318" s="47">
        <v>0</v>
      </c>
      <c r="AZ318" s="47">
        <v>-1</v>
      </c>
    </row>
    <row r="319" hidden="1" customHeight="1" spans="1:52">
      <c r="A319" s="44">
        <v>45644</v>
      </c>
      <c r="B319" s="33">
        <f t="shared" si="114"/>
        <v>372</v>
      </c>
      <c r="C319" s="33">
        <f t="shared" si="115"/>
        <v>2498</v>
      </c>
      <c r="D319" s="11">
        <f t="shared" si="116"/>
        <v>2870</v>
      </c>
      <c r="E319" s="34">
        <f t="shared" si="131"/>
        <v>-1.01059367992859e-6</v>
      </c>
      <c r="F319" s="35">
        <f t="shared" si="117"/>
        <v>0.000314294634457785</v>
      </c>
      <c r="G319" s="18">
        <f>(SUM($I$8:$I319)*(MAX(M$3-M$4,0))+(N319*MAX(M$4,0)))*(1-$AM$4)+(AM319*$AM$4)</f>
        <v>0.0980599259508289</v>
      </c>
      <c r="H319" s="18">
        <f t="shared" si="118"/>
        <v>1</v>
      </c>
      <c r="I319" s="18">
        <f t="shared" si="119"/>
        <v>0</v>
      </c>
      <c r="J319" s="18">
        <f t="shared" si="120"/>
        <v>0.214977529969125</v>
      </c>
      <c r="K319" s="18">
        <f t="shared" si="121"/>
        <v>0.00211027545707225</v>
      </c>
      <c r="L319" s="18">
        <f t="shared" si="122"/>
        <v>0</v>
      </c>
      <c r="M319" s="18">
        <v>0</v>
      </c>
      <c r="N319" s="18">
        <f t="shared" si="132"/>
        <v>0</v>
      </c>
      <c r="O319" s="11">
        <v>0</v>
      </c>
      <c r="P319" s="11">
        <v>0</v>
      </c>
      <c r="Q319" s="11">
        <f t="shared" si="139"/>
        <v>1</v>
      </c>
      <c r="R319" s="11">
        <v>0</v>
      </c>
      <c r="S319" s="11">
        <f t="shared" si="123"/>
        <v>0</v>
      </c>
      <c r="T319" s="11">
        <v>0</v>
      </c>
      <c r="U319" s="11">
        <f t="shared" si="138"/>
        <v>1</v>
      </c>
      <c r="V319" s="11">
        <v>0</v>
      </c>
      <c r="W319" s="11">
        <f t="shared" si="124"/>
        <v>1</v>
      </c>
      <c r="X319" s="11">
        <f t="shared" si="125"/>
        <v>0</v>
      </c>
      <c r="Y319" s="19">
        <v>0</v>
      </c>
      <c r="Z319" s="11">
        <v>0</v>
      </c>
      <c r="AA319" s="11">
        <v>0</v>
      </c>
      <c r="AB319" s="11">
        <v>0</v>
      </c>
      <c r="AC319" s="11">
        <v>0</v>
      </c>
      <c r="AD319" s="11">
        <v>0</v>
      </c>
      <c r="AE319" s="11">
        <v>0</v>
      </c>
      <c r="AF319" s="11">
        <v>0</v>
      </c>
      <c r="AG319" s="11">
        <v>0</v>
      </c>
      <c r="AH319" s="11">
        <v>0</v>
      </c>
      <c r="AI319" s="45">
        <v>0</v>
      </c>
      <c r="AJ319" s="45">
        <v>0</v>
      </c>
      <c r="AK319" s="45">
        <f t="shared" si="133"/>
        <v>0.3611</v>
      </c>
      <c r="AL319" s="45">
        <f t="shared" si="134"/>
        <v>0.00348095238095238</v>
      </c>
      <c r="AM319" s="45">
        <f t="shared" si="126"/>
        <v>0.0012569719047619</v>
      </c>
      <c r="AN319" s="45">
        <f t="shared" si="137"/>
        <v>0.792187500000003</v>
      </c>
      <c r="AO319" s="45">
        <f t="shared" si="127"/>
        <v>0.792187500000004</v>
      </c>
      <c r="AP319" s="45">
        <f t="shared" si="128"/>
        <v>1.05625</v>
      </c>
      <c r="AQ319" s="45">
        <f t="shared" si="129"/>
        <v>0</v>
      </c>
      <c r="AR319" s="45">
        <f t="shared" si="130"/>
        <v>0</v>
      </c>
      <c r="AS319" s="19">
        <f t="shared" si="135"/>
        <v>1.07916666666667</v>
      </c>
      <c r="AT319" s="19">
        <f t="shared" si="136"/>
        <v>1.03333333333334</v>
      </c>
      <c r="AU319" s="46">
        <v>0</v>
      </c>
      <c r="AV319" s="46">
        <v>0</v>
      </c>
      <c r="AW319" s="46">
        <v>0</v>
      </c>
      <c r="AX319" s="46">
        <v>1</v>
      </c>
      <c r="AY319" s="47">
        <v>0</v>
      </c>
      <c r="AZ319" s="47">
        <v>-1</v>
      </c>
    </row>
    <row r="320" hidden="1" customHeight="1" spans="1:52">
      <c r="A320" s="44">
        <v>45645</v>
      </c>
      <c r="B320" s="33">
        <f t="shared" si="114"/>
        <v>371</v>
      </c>
      <c r="C320" s="33">
        <f t="shared" si="115"/>
        <v>2508</v>
      </c>
      <c r="D320" s="11">
        <f t="shared" si="116"/>
        <v>2879</v>
      </c>
      <c r="E320" s="34">
        <f t="shared" si="131"/>
        <v>-1.0041362123252e-6</v>
      </c>
      <c r="F320" s="35">
        <f t="shared" si="117"/>
        <v>0.00031329049824546</v>
      </c>
      <c r="G320" s="18">
        <f>(SUM($I$8:$I320)*(MAX(M$3-M$4,0))+(N320*MAX(M$4,0)))*(1-$AM$4)+(AM320*$AM$4)</f>
        <v>0.0980599259508289</v>
      </c>
      <c r="H320" s="18">
        <f t="shared" si="118"/>
        <v>1</v>
      </c>
      <c r="I320" s="18">
        <f t="shared" si="119"/>
        <v>0</v>
      </c>
      <c r="J320" s="18">
        <f t="shared" si="120"/>
        <v>0.214290700799894</v>
      </c>
      <c r="K320" s="18">
        <f t="shared" si="121"/>
        <v>0.00211781482264179</v>
      </c>
      <c r="L320" s="18">
        <f t="shared" si="122"/>
        <v>0</v>
      </c>
      <c r="M320" s="18">
        <v>0</v>
      </c>
      <c r="N320" s="18">
        <f t="shared" si="132"/>
        <v>0</v>
      </c>
      <c r="O320" s="11">
        <v>0</v>
      </c>
      <c r="P320" s="11">
        <v>0</v>
      </c>
      <c r="Q320" s="11">
        <f t="shared" si="139"/>
        <v>1</v>
      </c>
      <c r="R320" s="11">
        <v>0</v>
      </c>
      <c r="S320" s="11">
        <f t="shared" si="123"/>
        <v>0</v>
      </c>
      <c r="T320" s="11">
        <v>0</v>
      </c>
      <c r="U320" s="11">
        <f t="shared" si="138"/>
        <v>1</v>
      </c>
      <c r="V320" s="11">
        <v>0</v>
      </c>
      <c r="W320" s="11">
        <f t="shared" si="124"/>
        <v>1</v>
      </c>
      <c r="X320" s="11">
        <f t="shared" si="125"/>
        <v>0</v>
      </c>
      <c r="Y320" s="19">
        <v>0</v>
      </c>
      <c r="Z320" s="11">
        <v>0</v>
      </c>
      <c r="AA320" s="11">
        <v>0</v>
      </c>
      <c r="AB320" s="11">
        <v>0</v>
      </c>
      <c r="AC320" s="11">
        <v>0</v>
      </c>
      <c r="AD320" s="11">
        <v>0</v>
      </c>
      <c r="AE320" s="11">
        <v>0</v>
      </c>
      <c r="AF320" s="11">
        <v>0</v>
      </c>
      <c r="AG320" s="11">
        <v>0</v>
      </c>
      <c r="AH320" s="11">
        <v>0</v>
      </c>
      <c r="AI320" s="45">
        <v>0</v>
      </c>
      <c r="AJ320" s="45">
        <v>0</v>
      </c>
      <c r="AK320" s="45">
        <f t="shared" si="133"/>
        <v>0.3611</v>
      </c>
      <c r="AL320" s="45">
        <f t="shared" si="134"/>
        <v>0.00348095238095238</v>
      </c>
      <c r="AM320" s="45">
        <f t="shared" si="126"/>
        <v>0.0012569719047619</v>
      </c>
      <c r="AN320" s="45">
        <f t="shared" si="137"/>
        <v>0.792187500000003</v>
      </c>
      <c r="AO320" s="45">
        <f t="shared" si="127"/>
        <v>0.792187500000004</v>
      </c>
      <c r="AP320" s="45">
        <f t="shared" si="128"/>
        <v>1.05625</v>
      </c>
      <c r="AQ320" s="45">
        <f t="shared" si="129"/>
        <v>0</v>
      </c>
      <c r="AR320" s="45">
        <f t="shared" si="130"/>
        <v>0</v>
      </c>
      <c r="AS320" s="19">
        <f t="shared" si="135"/>
        <v>1.07916666666667</v>
      </c>
      <c r="AT320" s="19">
        <f t="shared" si="136"/>
        <v>1.03333333333334</v>
      </c>
      <c r="AU320" s="46">
        <v>0</v>
      </c>
      <c r="AV320" s="46">
        <v>0</v>
      </c>
      <c r="AW320" s="46">
        <v>0</v>
      </c>
      <c r="AX320" s="46">
        <v>1</v>
      </c>
      <c r="AY320" s="47">
        <v>0</v>
      </c>
      <c r="AZ320" s="47">
        <v>-1</v>
      </c>
    </row>
    <row r="321" hidden="1" customHeight="1" spans="1:52">
      <c r="A321" s="44">
        <v>45646</v>
      </c>
      <c r="B321" s="33">
        <f t="shared" si="114"/>
        <v>370</v>
      </c>
      <c r="C321" s="33">
        <f t="shared" si="115"/>
        <v>2518</v>
      </c>
      <c r="D321" s="11">
        <f t="shared" si="116"/>
        <v>2888</v>
      </c>
      <c r="E321" s="34">
        <f t="shared" si="131"/>
        <v>-9.97740440272115e-7</v>
      </c>
      <c r="F321" s="35">
        <f t="shared" si="117"/>
        <v>0.000312292757805187</v>
      </c>
      <c r="G321" s="18">
        <f>(SUM($I$8:$I321)*(MAX(M$3-M$4,0))+(N321*MAX(M$4,0)))*(1-$AM$4)+(AM321*$AM$4)</f>
        <v>0.0980599259508289</v>
      </c>
      <c r="H321" s="18">
        <f t="shared" si="118"/>
        <v>1</v>
      </c>
      <c r="I321" s="18">
        <f t="shared" si="119"/>
        <v>0</v>
      </c>
      <c r="J321" s="18">
        <f t="shared" si="120"/>
        <v>0.213608246338748</v>
      </c>
      <c r="K321" s="18">
        <f t="shared" si="121"/>
        <v>0.00212538311800338</v>
      </c>
      <c r="L321" s="18">
        <f t="shared" si="122"/>
        <v>0</v>
      </c>
      <c r="M321" s="18">
        <v>0</v>
      </c>
      <c r="N321" s="18">
        <f t="shared" si="132"/>
        <v>0</v>
      </c>
      <c r="O321" s="11">
        <v>0</v>
      </c>
      <c r="P321" s="11">
        <v>0</v>
      </c>
      <c r="Q321" s="11">
        <f t="shared" si="139"/>
        <v>1</v>
      </c>
      <c r="R321" s="11">
        <v>0</v>
      </c>
      <c r="S321" s="11">
        <f t="shared" si="123"/>
        <v>0</v>
      </c>
      <c r="T321" s="11">
        <v>0</v>
      </c>
      <c r="U321" s="11">
        <f t="shared" si="138"/>
        <v>1</v>
      </c>
      <c r="V321" s="11">
        <v>0</v>
      </c>
      <c r="W321" s="11">
        <f t="shared" si="124"/>
        <v>1</v>
      </c>
      <c r="X321" s="11">
        <f t="shared" si="125"/>
        <v>0</v>
      </c>
      <c r="Y321" s="19">
        <v>0</v>
      </c>
      <c r="Z321" s="11">
        <v>0</v>
      </c>
      <c r="AA321" s="11">
        <v>0</v>
      </c>
      <c r="AB321" s="11">
        <v>0</v>
      </c>
      <c r="AC321" s="11">
        <v>0</v>
      </c>
      <c r="AD321" s="11">
        <v>0</v>
      </c>
      <c r="AE321" s="11">
        <v>0</v>
      </c>
      <c r="AF321" s="11">
        <v>0</v>
      </c>
      <c r="AG321" s="11">
        <v>0</v>
      </c>
      <c r="AH321" s="11">
        <v>0</v>
      </c>
      <c r="AI321" s="45">
        <v>0</v>
      </c>
      <c r="AJ321" s="45">
        <v>0</v>
      </c>
      <c r="AK321" s="45">
        <f t="shared" si="133"/>
        <v>0.3611</v>
      </c>
      <c r="AL321" s="45">
        <f t="shared" si="134"/>
        <v>0.00348095238095238</v>
      </c>
      <c r="AM321" s="45">
        <f t="shared" si="126"/>
        <v>0.0012569719047619</v>
      </c>
      <c r="AN321" s="45">
        <f t="shared" si="137"/>
        <v>0.792187500000003</v>
      </c>
      <c r="AO321" s="45">
        <f t="shared" si="127"/>
        <v>0.792187500000004</v>
      </c>
      <c r="AP321" s="45">
        <f t="shared" si="128"/>
        <v>1.05625</v>
      </c>
      <c r="AQ321" s="45">
        <f t="shared" si="129"/>
        <v>0</v>
      </c>
      <c r="AR321" s="45">
        <f t="shared" si="130"/>
        <v>0</v>
      </c>
      <c r="AS321" s="19">
        <f t="shared" si="135"/>
        <v>1.07916666666667</v>
      </c>
      <c r="AT321" s="19">
        <f t="shared" si="136"/>
        <v>1.03333333333334</v>
      </c>
      <c r="AU321" s="46">
        <v>0</v>
      </c>
      <c r="AV321" s="46">
        <v>0</v>
      </c>
      <c r="AW321" s="46">
        <v>0</v>
      </c>
      <c r="AX321" s="46">
        <v>1</v>
      </c>
      <c r="AY321" s="47">
        <v>0</v>
      </c>
      <c r="AZ321" s="47">
        <v>-1</v>
      </c>
    </row>
    <row r="322" hidden="1" customHeight="1" spans="1:52">
      <c r="A322" s="44">
        <v>45647</v>
      </c>
      <c r="B322" s="33">
        <f t="shared" si="114"/>
        <v>369</v>
      </c>
      <c r="C322" s="33">
        <f t="shared" si="115"/>
        <v>2527</v>
      </c>
      <c r="D322" s="11">
        <f t="shared" si="116"/>
        <v>2896</v>
      </c>
      <c r="E322" s="34">
        <f t="shared" si="131"/>
        <v>-8.91197146792207e-7</v>
      </c>
      <c r="F322" s="35">
        <f t="shared" si="117"/>
        <v>0.000311401560658395</v>
      </c>
      <c r="G322" s="18">
        <f>(SUM($I$8:$I322)*(MAX(M$3-M$4,0))+(N322*MAX(M$4,0)))*(1-$AM$4)+(AM322*$AM$4)</f>
        <v>0.0980914916073945</v>
      </c>
      <c r="H322" s="18">
        <f t="shared" si="118"/>
        <v>1</v>
      </c>
      <c r="I322" s="18">
        <f t="shared" si="119"/>
        <v>0.000168350168350168</v>
      </c>
      <c r="J322" s="18">
        <f t="shared" si="120"/>
        <v>0.212998667490342</v>
      </c>
      <c r="K322" s="18">
        <f t="shared" si="121"/>
        <v>0.00213279493905056</v>
      </c>
      <c r="L322" s="18">
        <f t="shared" si="122"/>
        <v>0.000168350168350168</v>
      </c>
      <c r="M322" s="18">
        <v>0</v>
      </c>
      <c r="N322" s="18">
        <f t="shared" si="132"/>
        <v>0</v>
      </c>
      <c r="O322" s="11">
        <v>0</v>
      </c>
      <c r="P322" s="11">
        <v>0</v>
      </c>
      <c r="Q322" s="11">
        <f t="shared" si="139"/>
        <v>1</v>
      </c>
      <c r="R322" s="11">
        <v>0</v>
      </c>
      <c r="S322" s="11">
        <f t="shared" si="123"/>
        <v>0</v>
      </c>
      <c r="T322" s="11">
        <v>0</v>
      </c>
      <c r="U322" s="11">
        <f t="shared" si="138"/>
        <v>1</v>
      </c>
      <c r="V322" s="11">
        <v>0</v>
      </c>
      <c r="W322" s="11">
        <f t="shared" si="124"/>
        <v>1</v>
      </c>
      <c r="X322" s="11">
        <f t="shared" si="125"/>
        <v>0</v>
      </c>
      <c r="Y322" s="19">
        <v>0</v>
      </c>
      <c r="Z322" s="11">
        <v>0</v>
      </c>
      <c r="AA322" s="11">
        <v>0</v>
      </c>
      <c r="AB322" s="11">
        <v>0</v>
      </c>
      <c r="AC322" s="11">
        <v>0</v>
      </c>
      <c r="AD322" s="11">
        <v>2</v>
      </c>
      <c r="AE322" s="11">
        <v>0</v>
      </c>
      <c r="AF322" s="11">
        <v>0</v>
      </c>
      <c r="AG322" s="11">
        <v>0</v>
      </c>
      <c r="AH322" s="11">
        <v>0</v>
      </c>
      <c r="AI322" s="45">
        <v>0</v>
      </c>
      <c r="AJ322" s="45">
        <v>0</v>
      </c>
      <c r="AK322" s="45">
        <f t="shared" si="133"/>
        <v>0.3611</v>
      </c>
      <c r="AL322" s="45">
        <f t="shared" si="134"/>
        <v>0.00348095238095238</v>
      </c>
      <c r="AM322" s="45">
        <f t="shared" si="126"/>
        <v>0.0012569719047619</v>
      </c>
      <c r="AN322" s="45">
        <f t="shared" si="137"/>
        <v>0.792187500000003</v>
      </c>
      <c r="AO322" s="45">
        <f t="shared" si="127"/>
        <v>0.792187500000004</v>
      </c>
      <c r="AP322" s="45">
        <f t="shared" si="128"/>
        <v>1.05625</v>
      </c>
      <c r="AQ322" s="45">
        <f t="shared" si="129"/>
        <v>0</v>
      </c>
      <c r="AR322" s="45">
        <f t="shared" si="130"/>
        <v>0</v>
      </c>
      <c r="AS322" s="19">
        <f t="shared" si="135"/>
        <v>1.07916666666667</v>
      </c>
      <c r="AT322" s="19">
        <f t="shared" si="136"/>
        <v>1.03333333333334</v>
      </c>
      <c r="AU322" s="46">
        <v>0</v>
      </c>
      <c r="AV322" s="46">
        <v>0</v>
      </c>
      <c r="AW322" s="46">
        <v>0</v>
      </c>
      <c r="AX322" s="46">
        <v>1</v>
      </c>
      <c r="AY322" s="47">
        <v>0</v>
      </c>
      <c r="AZ322" s="47">
        <v>-1</v>
      </c>
    </row>
    <row r="323" hidden="1" customHeight="1" spans="1:52">
      <c r="A323" s="44">
        <v>45648</v>
      </c>
      <c r="B323" s="33">
        <f t="shared" si="114"/>
        <v>368</v>
      </c>
      <c r="C323" s="33">
        <f t="shared" si="115"/>
        <v>2537</v>
      </c>
      <c r="D323" s="11">
        <f t="shared" si="116"/>
        <v>2905</v>
      </c>
      <c r="E323" s="34">
        <f t="shared" si="131"/>
        <v>-9.35502317644162e-7</v>
      </c>
      <c r="F323" s="35">
        <f t="shared" si="117"/>
        <v>0.000310466058340751</v>
      </c>
      <c r="G323" s="18">
        <f>(SUM($I$8:$I323)*(MAX(M$3-M$4,0))+(N323*MAX(M$4,0)))*(1-$AM$4)+(AM323*$AM$4)</f>
        <v>0.0981072744356773</v>
      </c>
      <c r="H323" s="18">
        <f t="shared" si="118"/>
        <v>1</v>
      </c>
      <c r="I323" s="18">
        <f t="shared" si="119"/>
        <v>8.41750841750842e-5</v>
      </c>
      <c r="J323" s="18">
        <f t="shared" si="120"/>
        <v>0.212358783905074</v>
      </c>
      <c r="K323" s="18">
        <f t="shared" si="121"/>
        <v>0.0021403293915623</v>
      </c>
      <c r="L323" s="18">
        <f t="shared" si="122"/>
        <v>8.41750841750842e-5</v>
      </c>
      <c r="M323" s="18">
        <v>0</v>
      </c>
      <c r="N323" s="18">
        <f t="shared" si="132"/>
        <v>0</v>
      </c>
      <c r="O323" s="11">
        <v>0</v>
      </c>
      <c r="P323" s="11">
        <v>0</v>
      </c>
      <c r="Q323" s="11">
        <f t="shared" si="139"/>
        <v>1</v>
      </c>
      <c r="R323" s="11">
        <v>0</v>
      </c>
      <c r="S323" s="11">
        <f t="shared" si="123"/>
        <v>0</v>
      </c>
      <c r="T323" s="11">
        <v>0</v>
      </c>
      <c r="U323" s="11">
        <f t="shared" si="138"/>
        <v>1</v>
      </c>
      <c r="V323" s="11">
        <v>0</v>
      </c>
      <c r="W323" s="11">
        <f t="shared" si="124"/>
        <v>1</v>
      </c>
      <c r="X323" s="11">
        <f t="shared" si="125"/>
        <v>0</v>
      </c>
      <c r="Y323" s="19">
        <v>0</v>
      </c>
      <c r="Z323" s="11">
        <v>0</v>
      </c>
      <c r="AA323" s="11">
        <v>0</v>
      </c>
      <c r="AB323" s="11">
        <v>0</v>
      </c>
      <c r="AC323" s="11">
        <v>0</v>
      </c>
      <c r="AD323" s="11">
        <v>1</v>
      </c>
      <c r="AE323" s="11">
        <v>0</v>
      </c>
      <c r="AF323" s="11">
        <v>0</v>
      </c>
      <c r="AG323" s="11">
        <v>0</v>
      </c>
      <c r="AH323" s="11">
        <v>0</v>
      </c>
      <c r="AI323" s="45">
        <v>0</v>
      </c>
      <c r="AJ323" s="45">
        <v>0</v>
      </c>
      <c r="AK323" s="45">
        <f t="shared" si="133"/>
        <v>0.3611</v>
      </c>
      <c r="AL323" s="45">
        <f t="shared" si="134"/>
        <v>0.00348095238095238</v>
      </c>
      <c r="AM323" s="45">
        <f t="shared" si="126"/>
        <v>0.0012569719047619</v>
      </c>
      <c r="AN323" s="45">
        <f t="shared" si="137"/>
        <v>0.792187500000003</v>
      </c>
      <c r="AO323" s="45">
        <f t="shared" si="127"/>
        <v>0.792187500000004</v>
      </c>
      <c r="AP323" s="45">
        <f t="shared" si="128"/>
        <v>1.05625</v>
      </c>
      <c r="AQ323" s="45">
        <f t="shared" si="129"/>
        <v>0</v>
      </c>
      <c r="AR323" s="45">
        <f t="shared" si="130"/>
        <v>0</v>
      </c>
      <c r="AS323" s="19">
        <f t="shared" si="135"/>
        <v>1.07916666666667</v>
      </c>
      <c r="AT323" s="19">
        <f t="shared" si="136"/>
        <v>1.03333333333334</v>
      </c>
      <c r="AU323" s="46">
        <v>0</v>
      </c>
      <c r="AV323" s="46">
        <v>0</v>
      </c>
      <c r="AW323" s="46">
        <v>0</v>
      </c>
      <c r="AX323" s="46">
        <v>1</v>
      </c>
      <c r="AY323" s="47">
        <v>0</v>
      </c>
      <c r="AZ323" s="47">
        <v>-1</v>
      </c>
    </row>
    <row r="324" hidden="1" customHeight="1" spans="1:52">
      <c r="A324" s="44">
        <v>45649</v>
      </c>
      <c r="B324" s="33">
        <f t="shared" si="114"/>
        <v>367</v>
      </c>
      <c r="C324" s="33">
        <f t="shared" si="115"/>
        <v>2547</v>
      </c>
      <c r="D324" s="11">
        <f t="shared" si="116"/>
        <v>2914</v>
      </c>
      <c r="E324" s="34">
        <f t="shared" si="131"/>
        <v>-9.79388196658485e-7</v>
      </c>
      <c r="F324" s="35">
        <f t="shared" si="117"/>
        <v>0.000309486670144093</v>
      </c>
      <c r="G324" s="18">
        <f>(SUM($I$8:$I324)*(MAX(M$3-M$4,0))+(N324*MAX(M$4,0)))*(1-$AM$4)+(AM324*$AM$4)</f>
        <v>0.0981072744356773</v>
      </c>
      <c r="H324" s="18">
        <f t="shared" si="118"/>
        <v>1</v>
      </c>
      <c r="I324" s="18">
        <f t="shared" si="119"/>
        <v>0</v>
      </c>
      <c r="J324" s="18">
        <f t="shared" si="120"/>
        <v>0.211688882378559</v>
      </c>
      <c r="K324" s="18">
        <f t="shared" si="121"/>
        <v>0.00214798669651619</v>
      </c>
      <c r="L324" s="18">
        <f t="shared" si="122"/>
        <v>0</v>
      </c>
      <c r="M324" s="18">
        <v>0</v>
      </c>
      <c r="N324" s="18">
        <f t="shared" si="132"/>
        <v>0</v>
      </c>
      <c r="O324" s="11">
        <v>0</v>
      </c>
      <c r="P324" s="11">
        <v>0</v>
      </c>
      <c r="Q324" s="11">
        <f t="shared" si="139"/>
        <v>1</v>
      </c>
      <c r="R324" s="11">
        <v>0</v>
      </c>
      <c r="S324" s="11">
        <f t="shared" si="123"/>
        <v>0</v>
      </c>
      <c r="T324" s="11">
        <v>0</v>
      </c>
      <c r="U324" s="11">
        <f t="shared" si="138"/>
        <v>1</v>
      </c>
      <c r="V324" s="11">
        <v>0</v>
      </c>
      <c r="W324" s="11">
        <f t="shared" si="124"/>
        <v>1</v>
      </c>
      <c r="X324" s="11">
        <f t="shared" si="125"/>
        <v>0</v>
      </c>
      <c r="Y324" s="19">
        <v>0</v>
      </c>
      <c r="Z324" s="11">
        <v>0</v>
      </c>
      <c r="AA324" s="11">
        <v>0</v>
      </c>
      <c r="AB324" s="11">
        <v>0</v>
      </c>
      <c r="AC324" s="11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45">
        <v>0</v>
      </c>
      <c r="AJ324" s="45">
        <v>0</v>
      </c>
      <c r="AK324" s="45">
        <f t="shared" si="133"/>
        <v>0.3611</v>
      </c>
      <c r="AL324" s="45">
        <f t="shared" si="134"/>
        <v>0.00348095238095238</v>
      </c>
      <c r="AM324" s="45">
        <f t="shared" si="126"/>
        <v>0.0012569719047619</v>
      </c>
      <c r="AN324" s="45">
        <f t="shared" si="137"/>
        <v>0.792187500000003</v>
      </c>
      <c r="AO324" s="45">
        <f t="shared" si="127"/>
        <v>0.792187500000004</v>
      </c>
      <c r="AP324" s="45">
        <f t="shared" si="128"/>
        <v>1.05625</v>
      </c>
      <c r="AQ324" s="45">
        <f t="shared" si="129"/>
        <v>0</v>
      </c>
      <c r="AR324" s="45">
        <f t="shared" si="130"/>
        <v>0</v>
      </c>
      <c r="AS324" s="19">
        <f t="shared" si="135"/>
        <v>1.07916666666667</v>
      </c>
      <c r="AT324" s="19">
        <f t="shared" si="136"/>
        <v>1.03333333333334</v>
      </c>
      <c r="AU324" s="46">
        <v>0</v>
      </c>
      <c r="AV324" s="46">
        <v>0</v>
      </c>
      <c r="AW324" s="46">
        <v>0</v>
      </c>
      <c r="AX324" s="46">
        <v>1</v>
      </c>
      <c r="AY324" s="47">
        <v>0</v>
      </c>
      <c r="AZ324" s="47">
        <v>-1</v>
      </c>
    </row>
    <row r="325" hidden="1" customHeight="1" spans="1:52">
      <c r="A325" s="44">
        <v>45650</v>
      </c>
      <c r="B325" s="33">
        <f t="shared" si="114"/>
        <v>366</v>
      </c>
      <c r="C325" s="33">
        <f t="shared" si="115"/>
        <v>2557</v>
      </c>
      <c r="D325" s="11">
        <f t="shared" si="116"/>
        <v>2923</v>
      </c>
      <c r="E325" s="34">
        <f t="shared" si="131"/>
        <v>-9.7322852246574e-7</v>
      </c>
      <c r="F325" s="35">
        <f t="shared" si="117"/>
        <v>0.000308513441621627</v>
      </c>
      <c r="G325" s="18">
        <f>(SUM($I$8:$I325)*(MAX(M$3-M$4,0))+(N325*MAX(M$4,0)))*(1-$AM$4)+(AM325*$AM$4)</f>
        <v>0.0981072744356773</v>
      </c>
      <c r="H325" s="18">
        <f t="shared" si="118"/>
        <v>1</v>
      </c>
      <c r="I325" s="18">
        <f t="shared" si="119"/>
        <v>0</v>
      </c>
      <c r="J325" s="18">
        <f t="shared" si="120"/>
        <v>0.211023194069193</v>
      </c>
      <c r="K325" s="18">
        <f t="shared" si="121"/>
        <v>0.00215567433314428</v>
      </c>
      <c r="L325" s="18">
        <f t="shared" si="122"/>
        <v>0</v>
      </c>
      <c r="M325" s="18">
        <v>0</v>
      </c>
      <c r="N325" s="18">
        <f t="shared" si="132"/>
        <v>0</v>
      </c>
      <c r="O325" s="11">
        <v>0</v>
      </c>
      <c r="P325" s="11">
        <v>0</v>
      </c>
      <c r="Q325" s="11">
        <f t="shared" si="139"/>
        <v>1</v>
      </c>
      <c r="R325" s="11">
        <v>0</v>
      </c>
      <c r="S325" s="11">
        <f t="shared" si="123"/>
        <v>0</v>
      </c>
      <c r="T325" s="11">
        <v>0</v>
      </c>
      <c r="U325" s="11">
        <f t="shared" si="138"/>
        <v>1</v>
      </c>
      <c r="V325" s="11">
        <v>0</v>
      </c>
      <c r="W325" s="11">
        <f t="shared" si="124"/>
        <v>1</v>
      </c>
      <c r="X325" s="11">
        <f t="shared" si="125"/>
        <v>0</v>
      </c>
      <c r="Y325" s="19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1">
        <v>0</v>
      </c>
      <c r="AG325" s="11">
        <v>0</v>
      </c>
      <c r="AH325" s="11">
        <v>0</v>
      </c>
      <c r="AI325" s="45">
        <v>0</v>
      </c>
      <c r="AJ325" s="45">
        <v>0</v>
      </c>
      <c r="AK325" s="45">
        <f t="shared" si="133"/>
        <v>0.3611</v>
      </c>
      <c r="AL325" s="45">
        <f t="shared" si="134"/>
        <v>0.00348095238095238</v>
      </c>
      <c r="AM325" s="45">
        <f t="shared" si="126"/>
        <v>0.0012569719047619</v>
      </c>
      <c r="AN325" s="45">
        <f t="shared" si="137"/>
        <v>0.792187500000003</v>
      </c>
      <c r="AO325" s="45">
        <f t="shared" si="127"/>
        <v>0.792187500000004</v>
      </c>
      <c r="AP325" s="45">
        <f t="shared" si="128"/>
        <v>1.05625</v>
      </c>
      <c r="AQ325" s="45">
        <f t="shared" si="129"/>
        <v>0</v>
      </c>
      <c r="AR325" s="45">
        <f t="shared" si="130"/>
        <v>0</v>
      </c>
      <c r="AS325" s="19">
        <f t="shared" si="135"/>
        <v>1.07916666666667</v>
      </c>
      <c r="AT325" s="19">
        <f t="shared" si="136"/>
        <v>1.03333333333334</v>
      </c>
      <c r="AU325" s="46">
        <v>0</v>
      </c>
      <c r="AV325" s="46">
        <v>0</v>
      </c>
      <c r="AW325" s="46">
        <v>0</v>
      </c>
      <c r="AX325" s="46">
        <v>1</v>
      </c>
      <c r="AY325" s="47">
        <v>0</v>
      </c>
      <c r="AZ325" s="47">
        <v>-1</v>
      </c>
    </row>
    <row r="326" hidden="1" customHeight="1" spans="1:52">
      <c r="A326" s="44">
        <v>45651</v>
      </c>
      <c r="B326" s="33">
        <f t="shared" si="114"/>
        <v>365</v>
      </c>
      <c r="C326" s="33">
        <f t="shared" si="115"/>
        <v>2568</v>
      </c>
      <c r="D326" s="11">
        <f t="shared" si="116"/>
        <v>2933</v>
      </c>
      <c r="E326" s="34">
        <f t="shared" si="131"/>
        <v>-9.67126776243304e-7</v>
      </c>
      <c r="F326" s="35">
        <f t="shared" si="117"/>
        <v>0.000307546314845384</v>
      </c>
      <c r="G326" s="18">
        <f>(SUM($I$8:$I326)*(MAX(M$3-M$4,0))+(N326*MAX(M$4,0)))*(1-$AM$4)+(AM326*$AM$4)</f>
        <v>0.0981072744356773</v>
      </c>
      <c r="H326" s="18">
        <f t="shared" si="118"/>
        <v>1</v>
      </c>
      <c r="I326" s="18">
        <f t="shared" si="119"/>
        <v>0</v>
      </c>
      <c r="J326" s="18">
        <f t="shared" si="120"/>
        <v>0.210361679354242</v>
      </c>
      <c r="K326" s="18">
        <f t="shared" si="121"/>
        <v>0.00216339265930345</v>
      </c>
      <c r="L326" s="18">
        <f t="shared" si="122"/>
        <v>0</v>
      </c>
      <c r="M326" s="18">
        <v>0</v>
      </c>
      <c r="N326" s="18">
        <f t="shared" si="132"/>
        <v>0</v>
      </c>
      <c r="O326" s="11">
        <v>0</v>
      </c>
      <c r="P326" s="11">
        <v>0</v>
      </c>
      <c r="Q326" s="11">
        <f t="shared" si="139"/>
        <v>1</v>
      </c>
      <c r="R326" s="11">
        <v>0</v>
      </c>
      <c r="S326" s="11">
        <f t="shared" si="123"/>
        <v>0</v>
      </c>
      <c r="T326" s="11">
        <v>0</v>
      </c>
      <c r="U326" s="11">
        <f t="shared" si="138"/>
        <v>1</v>
      </c>
      <c r="V326" s="11">
        <v>0</v>
      </c>
      <c r="W326" s="11">
        <f t="shared" si="124"/>
        <v>1</v>
      </c>
      <c r="X326" s="11">
        <f t="shared" si="125"/>
        <v>0</v>
      </c>
      <c r="Y326" s="19">
        <v>0</v>
      </c>
      <c r="Z326" s="11">
        <v>0</v>
      </c>
      <c r="AA326" s="11">
        <v>0</v>
      </c>
      <c r="AB326" s="11">
        <v>0</v>
      </c>
      <c r="AC326" s="11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45">
        <v>0</v>
      </c>
      <c r="AJ326" s="45">
        <v>0</v>
      </c>
      <c r="AK326" s="45">
        <f t="shared" si="133"/>
        <v>0.3611</v>
      </c>
      <c r="AL326" s="45">
        <f t="shared" si="134"/>
        <v>0.00348095238095238</v>
      </c>
      <c r="AM326" s="45">
        <f t="shared" si="126"/>
        <v>0.0012569719047619</v>
      </c>
      <c r="AN326" s="45">
        <f t="shared" si="137"/>
        <v>0.792187500000003</v>
      </c>
      <c r="AO326" s="45">
        <f t="shared" si="127"/>
        <v>0.792187500000004</v>
      </c>
      <c r="AP326" s="45">
        <f t="shared" si="128"/>
        <v>1.05625</v>
      </c>
      <c r="AQ326" s="45">
        <f t="shared" si="129"/>
        <v>0</v>
      </c>
      <c r="AR326" s="45">
        <f t="shared" si="130"/>
        <v>0</v>
      </c>
      <c r="AS326" s="19">
        <f t="shared" si="135"/>
        <v>1.07916666666667</v>
      </c>
      <c r="AT326" s="19">
        <f t="shared" si="136"/>
        <v>1.03333333333334</v>
      </c>
      <c r="AU326" s="46">
        <v>0</v>
      </c>
      <c r="AV326" s="46">
        <v>0</v>
      </c>
      <c r="AW326" s="46">
        <v>0</v>
      </c>
      <c r="AX326" s="46">
        <v>1</v>
      </c>
      <c r="AY326" s="47">
        <v>0</v>
      </c>
      <c r="AZ326" s="47">
        <v>-1</v>
      </c>
    </row>
    <row r="327" hidden="1" customHeight="1" spans="1:52">
      <c r="A327" s="44">
        <v>45652</v>
      </c>
      <c r="B327" s="33">
        <f t="shared" si="114"/>
        <v>364</v>
      </c>
      <c r="C327" s="33">
        <f t="shared" si="115"/>
        <v>2578</v>
      </c>
      <c r="D327" s="11">
        <f t="shared" si="116"/>
        <v>2942</v>
      </c>
      <c r="E327" s="34">
        <f t="shared" si="131"/>
        <v>-9.61082233891849e-7</v>
      </c>
      <c r="F327" s="35">
        <f t="shared" si="117"/>
        <v>0.000306585232611492</v>
      </c>
      <c r="G327" s="18">
        <f>(SUM($I$8:$I327)*(MAX(M$3-M$4,0))+(N327*MAX(M$4,0)))*(1-$AM$4)+(AM327*$AM$4)</f>
        <v>0.0981072744356773</v>
      </c>
      <c r="H327" s="18">
        <f t="shared" si="118"/>
        <v>1</v>
      </c>
      <c r="I327" s="18">
        <f t="shared" si="119"/>
        <v>0</v>
      </c>
      <c r="J327" s="18">
        <f t="shared" si="120"/>
        <v>0.20970429910626</v>
      </c>
      <c r="K327" s="18">
        <f t="shared" si="121"/>
        <v>0.00217114203542236</v>
      </c>
      <c r="L327" s="18">
        <f t="shared" si="122"/>
        <v>0</v>
      </c>
      <c r="M327" s="18">
        <v>0</v>
      </c>
      <c r="N327" s="18">
        <f t="shared" si="132"/>
        <v>0</v>
      </c>
      <c r="O327" s="11">
        <v>0</v>
      </c>
      <c r="P327" s="11">
        <v>0</v>
      </c>
      <c r="Q327" s="11">
        <f t="shared" si="139"/>
        <v>1</v>
      </c>
      <c r="R327" s="11">
        <v>0</v>
      </c>
      <c r="S327" s="11">
        <f t="shared" si="123"/>
        <v>0</v>
      </c>
      <c r="T327" s="11">
        <v>0</v>
      </c>
      <c r="U327" s="11">
        <f t="shared" si="138"/>
        <v>1</v>
      </c>
      <c r="V327" s="11">
        <v>0</v>
      </c>
      <c r="W327" s="11">
        <f t="shared" si="124"/>
        <v>1</v>
      </c>
      <c r="X327" s="11">
        <f t="shared" si="125"/>
        <v>0</v>
      </c>
      <c r="Y327" s="19">
        <v>0</v>
      </c>
      <c r="Z327" s="11">
        <v>0</v>
      </c>
      <c r="AA327" s="11">
        <v>0</v>
      </c>
      <c r="AB327" s="11">
        <v>0</v>
      </c>
      <c r="AC327" s="11">
        <v>0</v>
      </c>
      <c r="AD327" s="11">
        <v>0</v>
      </c>
      <c r="AE327" s="11">
        <v>0</v>
      </c>
      <c r="AF327" s="11">
        <v>0</v>
      </c>
      <c r="AG327" s="11">
        <v>0</v>
      </c>
      <c r="AH327" s="11">
        <v>0</v>
      </c>
      <c r="AI327" s="45">
        <v>0</v>
      </c>
      <c r="AJ327" s="45">
        <v>0</v>
      </c>
      <c r="AK327" s="45">
        <f t="shared" si="133"/>
        <v>0.3611</v>
      </c>
      <c r="AL327" s="45">
        <f t="shared" si="134"/>
        <v>0.00348095238095238</v>
      </c>
      <c r="AM327" s="45">
        <f t="shared" si="126"/>
        <v>0.0012569719047619</v>
      </c>
      <c r="AN327" s="45">
        <f t="shared" si="137"/>
        <v>0.792187500000003</v>
      </c>
      <c r="AO327" s="45">
        <f t="shared" si="127"/>
        <v>0.792187500000004</v>
      </c>
      <c r="AP327" s="45">
        <f t="shared" si="128"/>
        <v>1.05625</v>
      </c>
      <c r="AQ327" s="45">
        <f t="shared" si="129"/>
        <v>0</v>
      </c>
      <c r="AR327" s="45">
        <f t="shared" si="130"/>
        <v>0</v>
      </c>
      <c r="AS327" s="19">
        <f t="shared" si="135"/>
        <v>1.07916666666667</v>
      </c>
      <c r="AT327" s="19">
        <f t="shared" si="136"/>
        <v>1.03333333333334</v>
      </c>
      <c r="AU327" s="46">
        <v>0</v>
      </c>
      <c r="AV327" s="46">
        <v>0</v>
      </c>
      <c r="AW327" s="46">
        <v>0</v>
      </c>
      <c r="AX327" s="46">
        <v>1</v>
      </c>
      <c r="AY327" s="47">
        <v>0</v>
      </c>
      <c r="AZ327" s="47">
        <v>-1</v>
      </c>
    </row>
    <row r="328" hidden="1" customHeight="1" spans="1:52">
      <c r="A328" s="44">
        <v>45653</v>
      </c>
      <c r="B328" s="33">
        <f t="shared" ref="B328:B333" si="140">B$2-A328+1</f>
        <v>363</v>
      </c>
      <c r="C328" s="33">
        <f t="shared" ref="C328:C333" si="141">D328-B328</f>
        <v>2588</v>
      </c>
      <c r="D328" s="11">
        <f t="shared" ref="D328:D333" si="142">IF(F328&gt;0,ROUND(((1-G328)/F328),0),FACT(128))</f>
        <v>2951</v>
      </c>
      <c r="E328" s="34">
        <f t="shared" si="131"/>
        <v>-9.55094182590295e-7</v>
      </c>
      <c r="F328" s="35">
        <f t="shared" ref="F328:F333" si="143">G328/(ROW()-7)</f>
        <v>0.000305630138428901</v>
      </c>
      <c r="G328" s="18">
        <f>(SUM($I$8:$I328)*(MAX(M$3-M$4,0))+(N328*MAX(M$4,0)))*(1-$AM$4)+(AM328*$AM$4)</f>
        <v>0.0981072744356773</v>
      </c>
      <c r="H328" s="18">
        <f t="shared" ref="H328:H391" si="144">0.5+(MONTH(A328)+(YEAR(A328)-2024)*12)/((YEAR(B$2)-2023)*12)</f>
        <v>1</v>
      </c>
      <c r="I328" s="18">
        <f t="shared" ref="I328:I333" si="145">L328*H328</f>
        <v>0</v>
      </c>
      <c r="J328" s="18">
        <f t="shared" ref="J328:J391" si="146">F328*B328+G328</f>
        <v>0.209051014685369</v>
      </c>
      <c r="K328" s="18">
        <f t="shared" ref="K328:K391" si="147">((1-G328)/B328)-F328</f>
        <v>0.00217892282455821</v>
      </c>
      <c r="L328" s="18">
        <f t="shared" ref="L328:L391" si="148">Y328*Y$6+X328*X$6+Z328*Z$6+AA328*AA$6+AB328*AB$6+AC328*AC$6+AD328*AD$6+AE328*AE$6+AF328*AF$6+AG328*AG$6+AH328*AH$6</f>
        <v>0</v>
      </c>
      <c r="M328" s="18">
        <v>0</v>
      </c>
      <c r="N328" s="18">
        <f t="shared" si="132"/>
        <v>0</v>
      </c>
      <c r="O328" s="11">
        <v>0</v>
      </c>
      <c r="P328" s="11">
        <v>0</v>
      </c>
      <c r="Q328" s="11">
        <f t="shared" si="139"/>
        <v>1</v>
      </c>
      <c r="R328" s="11">
        <v>0</v>
      </c>
      <c r="S328" s="11">
        <f t="shared" ref="S328:S391" si="149">O328*$R$5/MAX(1/FACT(128),R328)</f>
        <v>0</v>
      </c>
      <c r="T328" s="11">
        <v>0</v>
      </c>
      <c r="U328" s="11">
        <f t="shared" si="138"/>
        <v>1</v>
      </c>
      <c r="V328" s="11">
        <v>0</v>
      </c>
      <c r="W328" s="11">
        <f t="shared" ref="W328:W333" si="150">($V$4*V328/(MAX(1,O328)))+1</f>
        <v>1</v>
      </c>
      <c r="X328" s="11">
        <f t="shared" ref="X328:X391" si="151">O328*Q328*S328*U328*W328</f>
        <v>0</v>
      </c>
      <c r="Y328" s="19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45">
        <v>0</v>
      </c>
      <c r="AJ328" s="45">
        <v>0</v>
      </c>
      <c r="AK328" s="45">
        <f t="shared" si="133"/>
        <v>0.3611</v>
      </c>
      <c r="AL328" s="45">
        <f t="shared" si="134"/>
        <v>0.00348095238095238</v>
      </c>
      <c r="AM328" s="45">
        <f t="shared" ref="AM328:AM333" si="152">AL328*AK328</f>
        <v>0.0012569719047619</v>
      </c>
      <c r="AN328" s="45">
        <f t="shared" si="137"/>
        <v>0.792187500000003</v>
      </c>
      <c r="AO328" s="45">
        <f t="shared" ref="AO328:AO333" si="153">AP328*0.75+AQ328*0.125+AR328*0.125</f>
        <v>0.792187500000004</v>
      </c>
      <c r="AP328" s="45">
        <f t="shared" ref="AP328:AP333" si="154">AVERAGE(AS328:AT328)</f>
        <v>1.05625</v>
      </c>
      <c r="AQ328" s="45">
        <f t="shared" ref="AQ328:AQ333" si="155">AY328/AQ$5</f>
        <v>0</v>
      </c>
      <c r="AR328" s="45">
        <f t="shared" ref="AR328:AR333" si="156">IF(AZ328&gt;=0,1/(AZ328+1),0)</f>
        <v>0</v>
      </c>
      <c r="AS328" s="19">
        <f t="shared" si="135"/>
        <v>1.07916666666667</v>
      </c>
      <c r="AT328" s="19">
        <f t="shared" si="136"/>
        <v>1.03333333333334</v>
      </c>
      <c r="AU328" s="46">
        <v>0</v>
      </c>
      <c r="AV328" s="46">
        <v>0</v>
      </c>
      <c r="AW328" s="46">
        <v>0</v>
      </c>
      <c r="AX328" s="46">
        <v>1</v>
      </c>
      <c r="AY328" s="47">
        <v>0</v>
      </c>
      <c r="AZ328" s="47">
        <v>-1</v>
      </c>
    </row>
    <row r="329" hidden="1" customHeight="1" spans="1:52">
      <c r="A329" s="44">
        <v>45654</v>
      </c>
      <c r="B329" s="33">
        <f t="shared" si="140"/>
        <v>362</v>
      </c>
      <c r="C329" s="33">
        <f t="shared" si="141"/>
        <v>2598</v>
      </c>
      <c r="D329" s="11">
        <f t="shared" si="142"/>
        <v>2960</v>
      </c>
      <c r="E329" s="34">
        <f t="shared" ref="E329:E392" si="157">F329-F328</f>
        <v>-9.49161920586674e-7</v>
      </c>
      <c r="F329" s="35">
        <f t="shared" si="143"/>
        <v>0.000304680976508315</v>
      </c>
      <c r="G329" s="18">
        <f>(SUM($I$8:$I329)*(MAX(M$3-M$4,0))+(N329*MAX(M$4,0)))*(1-$AM$4)+(AM329*$AM$4)</f>
        <v>0.0981072744356773</v>
      </c>
      <c r="H329" s="18">
        <f t="shared" si="144"/>
        <v>1</v>
      </c>
      <c r="I329" s="18">
        <f t="shared" si="145"/>
        <v>0</v>
      </c>
      <c r="J329" s="18">
        <f t="shared" si="146"/>
        <v>0.208401787931687</v>
      </c>
      <c r="K329" s="18">
        <f t="shared" si="147"/>
        <v>0.0021867353924539</v>
      </c>
      <c r="L329" s="18">
        <f t="shared" si="148"/>
        <v>0</v>
      </c>
      <c r="M329" s="18">
        <v>0</v>
      </c>
      <c r="N329" s="18">
        <f t="shared" ref="N329:N392" si="158">IF(M329&gt;N328,M329,N328)</f>
        <v>0</v>
      </c>
      <c r="O329" s="11">
        <v>0</v>
      </c>
      <c r="P329" s="11">
        <v>0</v>
      </c>
      <c r="Q329" s="11">
        <f t="shared" si="139"/>
        <v>1</v>
      </c>
      <c r="R329" s="11">
        <v>0</v>
      </c>
      <c r="S329" s="11">
        <f t="shared" si="149"/>
        <v>0</v>
      </c>
      <c r="T329" s="11">
        <v>0</v>
      </c>
      <c r="U329" s="11">
        <f t="shared" si="138"/>
        <v>1</v>
      </c>
      <c r="V329" s="11">
        <v>0</v>
      </c>
      <c r="W329" s="11">
        <f t="shared" si="150"/>
        <v>1</v>
      </c>
      <c r="X329" s="11">
        <f t="shared" si="151"/>
        <v>0</v>
      </c>
      <c r="Y329" s="19">
        <v>0</v>
      </c>
      <c r="Z329" s="11">
        <v>0</v>
      </c>
      <c r="AA329" s="11">
        <v>0</v>
      </c>
      <c r="AB329" s="11">
        <v>0</v>
      </c>
      <c r="AC329" s="11">
        <v>0</v>
      </c>
      <c r="AD329" s="11">
        <v>0</v>
      </c>
      <c r="AE329" s="11">
        <v>0</v>
      </c>
      <c r="AF329" s="11">
        <v>0</v>
      </c>
      <c r="AG329" s="11">
        <v>0</v>
      </c>
      <c r="AH329" s="11">
        <v>0</v>
      </c>
      <c r="AI329" s="45">
        <v>0</v>
      </c>
      <c r="AJ329" s="45">
        <v>0</v>
      </c>
      <c r="AK329" s="45">
        <f>IF(AI329&gt;0,AI329,AK328)</f>
        <v>0.3611</v>
      </c>
      <c r="AL329" s="45">
        <f>IF(AJ329&gt;0,AJ329,AL328)</f>
        <v>0.00348095238095238</v>
      </c>
      <c r="AM329" s="45">
        <f t="shared" si="152"/>
        <v>0.0012569719047619</v>
      </c>
      <c r="AN329" s="45">
        <f t="shared" si="137"/>
        <v>0.792187500000003</v>
      </c>
      <c r="AO329" s="45">
        <f t="shared" si="153"/>
        <v>0.792187500000004</v>
      </c>
      <c r="AP329" s="45">
        <f t="shared" si="154"/>
        <v>1.05625</v>
      </c>
      <c r="AQ329" s="45">
        <f t="shared" si="155"/>
        <v>0</v>
      </c>
      <c r="AR329" s="45">
        <f t="shared" si="156"/>
        <v>0</v>
      </c>
      <c r="AS329" s="19">
        <f>IF((("24:00"-AX329+AU329)/$AS$5)&gt;0,(("24:00"-AX329+AU329)/$AS$5),AS328)</f>
        <v>1.07916666666667</v>
      </c>
      <c r="AT329" s="19">
        <f>IF(((AW329-AV329)/$AT$5)&gt;0,((AW329-AV329)/$AT$5),AT328)</f>
        <v>1.03333333333334</v>
      </c>
      <c r="AU329" s="46">
        <v>0</v>
      </c>
      <c r="AV329" s="46">
        <v>0</v>
      </c>
      <c r="AW329" s="46">
        <v>0</v>
      </c>
      <c r="AX329" s="46">
        <v>1</v>
      </c>
      <c r="AY329" s="47">
        <v>0</v>
      </c>
      <c r="AZ329" s="47">
        <v>-1</v>
      </c>
    </row>
    <row r="330" hidden="1" customHeight="1" spans="1:52">
      <c r="A330" s="44">
        <v>45655</v>
      </c>
      <c r="B330" s="33">
        <f t="shared" si="140"/>
        <v>361</v>
      </c>
      <c r="C330" s="33">
        <f t="shared" si="141"/>
        <v>2608</v>
      </c>
      <c r="D330" s="11">
        <f t="shared" si="142"/>
        <v>2969</v>
      </c>
      <c r="E330" s="34">
        <f t="shared" si="157"/>
        <v>-9.43284756991689e-7</v>
      </c>
      <c r="F330" s="35">
        <f t="shared" si="143"/>
        <v>0.000303737691751323</v>
      </c>
      <c r="G330" s="18">
        <f>(SUM($I$8:$I330)*(MAX(M$3-M$4,0))+(N330*MAX(M$4,0)))*(1-$AM$4)+(AM330*$AM$4)</f>
        <v>0.0981072744356773</v>
      </c>
      <c r="H330" s="18">
        <f t="shared" si="144"/>
        <v>1</v>
      </c>
      <c r="I330" s="18">
        <f t="shared" si="145"/>
        <v>0</v>
      </c>
      <c r="J330" s="18">
        <f t="shared" si="146"/>
        <v>0.207756581157905</v>
      </c>
      <c r="K330" s="18">
        <f t="shared" si="147"/>
        <v>0.00219458010759583</v>
      </c>
      <c r="L330" s="18">
        <f t="shared" si="148"/>
        <v>0</v>
      </c>
      <c r="M330" s="18">
        <v>0</v>
      </c>
      <c r="N330" s="18">
        <f t="shared" si="158"/>
        <v>0</v>
      </c>
      <c r="O330" s="11">
        <v>0</v>
      </c>
      <c r="P330" s="11">
        <v>0</v>
      </c>
      <c r="Q330" s="11">
        <f t="shared" si="139"/>
        <v>1</v>
      </c>
      <c r="R330" s="11">
        <v>0</v>
      </c>
      <c r="S330" s="11">
        <f t="shared" si="149"/>
        <v>0</v>
      </c>
      <c r="T330" s="11">
        <v>0</v>
      </c>
      <c r="U330" s="11">
        <f t="shared" si="138"/>
        <v>1</v>
      </c>
      <c r="V330" s="11">
        <v>0</v>
      </c>
      <c r="W330" s="11">
        <f t="shared" si="150"/>
        <v>1</v>
      </c>
      <c r="X330" s="11">
        <f t="shared" si="151"/>
        <v>0</v>
      </c>
      <c r="Y330" s="19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1">
        <v>0</v>
      </c>
      <c r="AG330" s="11">
        <v>0</v>
      </c>
      <c r="AH330" s="11">
        <v>0</v>
      </c>
      <c r="AI330" s="45">
        <v>0</v>
      </c>
      <c r="AJ330" s="45">
        <v>0</v>
      </c>
      <c r="AK330" s="45">
        <f>IF(AI330&gt;0,AI330,AK329)</f>
        <v>0.3611</v>
      </c>
      <c r="AL330" s="45">
        <f>IF(AJ330&gt;0,AJ330,AL329)</f>
        <v>0.00348095238095238</v>
      </c>
      <c r="AM330" s="45">
        <f t="shared" si="152"/>
        <v>0.0012569719047619</v>
      </c>
      <c r="AN330" s="45">
        <f t="shared" si="137"/>
        <v>0.792187500000003</v>
      </c>
      <c r="AO330" s="45">
        <f t="shared" si="153"/>
        <v>0.792187500000004</v>
      </c>
      <c r="AP330" s="45">
        <f t="shared" si="154"/>
        <v>1.05625</v>
      </c>
      <c r="AQ330" s="45">
        <f t="shared" si="155"/>
        <v>0</v>
      </c>
      <c r="AR330" s="45">
        <f t="shared" si="156"/>
        <v>0</v>
      </c>
      <c r="AS330" s="19">
        <f>IF((("24:00"-AX330+AU330)/$AS$5)&gt;0,(("24:00"-AX330+AU330)/$AS$5),AS329)</f>
        <v>1.07916666666667</v>
      </c>
      <c r="AT330" s="19">
        <f>IF(((AW330-AV330)/$AT$5)&gt;0,((AW330-AV330)/$AT$5),AT329)</f>
        <v>1.03333333333334</v>
      </c>
      <c r="AU330" s="46">
        <v>0</v>
      </c>
      <c r="AV330" s="46">
        <v>0</v>
      </c>
      <c r="AW330" s="46">
        <v>0</v>
      </c>
      <c r="AX330" s="46">
        <v>1</v>
      </c>
      <c r="AY330" s="47">
        <v>0</v>
      </c>
      <c r="AZ330" s="47">
        <v>-1</v>
      </c>
    </row>
    <row r="331" hidden="1" customHeight="1" spans="1:52">
      <c r="A331" s="44">
        <v>45656</v>
      </c>
      <c r="B331" s="33">
        <f t="shared" si="140"/>
        <v>360</v>
      </c>
      <c r="C331" s="33">
        <f t="shared" si="141"/>
        <v>2619</v>
      </c>
      <c r="D331" s="11">
        <f t="shared" si="142"/>
        <v>2979</v>
      </c>
      <c r="E331" s="34">
        <f t="shared" si="157"/>
        <v>-9.37462011578146e-7</v>
      </c>
      <c r="F331" s="35">
        <f t="shared" si="143"/>
        <v>0.000302800229739745</v>
      </c>
      <c r="G331" s="18">
        <f>(SUM($I$8:$I331)*(MAX(M$3-M$4,0))+(N331*MAX(M$4,0)))*(1-$AM$4)+(AM331*$AM$4)</f>
        <v>0.0981072744356773</v>
      </c>
      <c r="H331" s="18">
        <f t="shared" si="144"/>
        <v>1</v>
      </c>
      <c r="I331" s="18">
        <f t="shared" si="145"/>
        <v>0</v>
      </c>
      <c r="J331" s="18">
        <f t="shared" si="146"/>
        <v>0.207115357141986</v>
      </c>
      <c r="K331" s="18">
        <f t="shared" si="147"/>
        <v>0.00220245734127226</v>
      </c>
      <c r="L331" s="18">
        <f t="shared" si="148"/>
        <v>0</v>
      </c>
      <c r="M331" s="18">
        <v>0</v>
      </c>
      <c r="N331" s="18">
        <f t="shared" si="158"/>
        <v>0</v>
      </c>
      <c r="O331" s="11">
        <v>0</v>
      </c>
      <c r="P331" s="11">
        <v>0</v>
      </c>
      <c r="Q331" s="11">
        <f t="shared" si="139"/>
        <v>1</v>
      </c>
      <c r="R331" s="11">
        <v>0</v>
      </c>
      <c r="S331" s="11">
        <f t="shared" si="149"/>
        <v>0</v>
      </c>
      <c r="T331" s="11">
        <v>0</v>
      </c>
      <c r="U331" s="11">
        <f t="shared" si="138"/>
        <v>1</v>
      </c>
      <c r="V331" s="11">
        <v>0</v>
      </c>
      <c r="W331" s="11">
        <f t="shared" si="150"/>
        <v>1</v>
      </c>
      <c r="X331" s="11">
        <f t="shared" si="151"/>
        <v>0</v>
      </c>
      <c r="Y331" s="19">
        <v>0</v>
      </c>
      <c r="Z331" s="11">
        <v>0</v>
      </c>
      <c r="AA331" s="11">
        <v>0</v>
      </c>
      <c r="AB331" s="11">
        <v>0</v>
      </c>
      <c r="AC331" s="11">
        <v>0</v>
      </c>
      <c r="AD331" s="11">
        <v>0</v>
      </c>
      <c r="AE331" s="11">
        <v>0</v>
      </c>
      <c r="AF331" s="11">
        <v>0</v>
      </c>
      <c r="AG331" s="11">
        <v>0</v>
      </c>
      <c r="AH331" s="11">
        <v>0</v>
      </c>
      <c r="AI331" s="45">
        <v>0</v>
      </c>
      <c r="AJ331" s="45">
        <v>0</v>
      </c>
      <c r="AK331" s="45">
        <f>IF(AI331&gt;0,AI331,AK330)</f>
        <v>0.3611</v>
      </c>
      <c r="AL331" s="45">
        <f>IF(AJ331&gt;0,AJ331,AL330)</f>
        <v>0.00348095238095238</v>
      </c>
      <c r="AM331" s="45">
        <f t="shared" si="152"/>
        <v>0.0012569719047619</v>
      </c>
      <c r="AN331" s="45">
        <f t="shared" si="137"/>
        <v>0.792187500000003</v>
      </c>
      <c r="AO331" s="45">
        <f t="shared" si="153"/>
        <v>0.792187500000004</v>
      </c>
      <c r="AP331" s="45">
        <f t="shared" si="154"/>
        <v>1.05625</v>
      </c>
      <c r="AQ331" s="45">
        <f t="shared" si="155"/>
        <v>0</v>
      </c>
      <c r="AR331" s="45">
        <f t="shared" si="156"/>
        <v>0</v>
      </c>
      <c r="AS331" s="19">
        <f>IF((("24:00"-AX331+AU331)/$AS$5)&gt;0,(("24:00"-AX331+AU331)/$AS$5),AS330)</f>
        <v>1.07916666666667</v>
      </c>
      <c r="AT331" s="19">
        <f>IF(((AW331-AV331)/$AT$5)&gt;0,((AW331-AV331)/$AT$5),AT330)</f>
        <v>1.03333333333334</v>
      </c>
      <c r="AU331" s="46">
        <v>0</v>
      </c>
      <c r="AV331" s="46">
        <v>0</v>
      </c>
      <c r="AW331" s="46">
        <v>0</v>
      </c>
      <c r="AX331" s="46">
        <v>1</v>
      </c>
      <c r="AY331" s="47">
        <v>0</v>
      </c>
      <c r="AZ331" s="47">
        <v>-1</v>
      </c>
    </row>
    <row r="332" hidden="1" customHeight="1" spans="1:52">
      <c r="A332" s="44">
        <v>45657</v>
      </c>
      <c r="B332" s="33">
        <f t="shared" si="140"/>
        <v>359</v>
      </c>
      <c r="C332" s="33">
        <f t="shared" si="141"/>
        <v>2629</v>
      </c>
      <c r="D332" s="11">
        <f t="shared" si="142"/>
        <v>2988</v>
      </c>
      <c r="E332" s="34">
        <f t="shared" si="157"/>
        <v>-9.31693014583838e-7</v>
      </c>
      <c r="F332" s="35">
        <f t="shared" si="143"/>
        <v>0.000301868536725161</v>
      </c>
      <c r="G332" s="18">
        <f>(SUM($I$8:$I332)*(MAX(M$3-M$4,0))+(N332*MAX(M$4,0)))*(1-$AM$4)+(AM332*$AM$4)</f>
        <v>0.0981072744356773</v>
      </c>
      <c r="H332" s="18">
        <f t="shared" si="144"/>
        <v>1</v>
      </c>
      <c r="I332" s="18">
        <f t="shared" si="145"/>
        <v>0</v>
      </c>
      <c r="J332" s="18">
        <f t="shared" si="146"/>
        <v>0.20647807912001</v>
      </c>
      <c r="K332" s="18">
        <f t="shared" si="147"/>
        <v>0.00221036746763228</v>
      </c>
      <c r="L332" s="18">
        <f t="shared" si="148"/>
        <v>0</v>
      </c>
      <c r="M332" s="18">
        <v>0</v>
      </c>
      <c r="N332" s="18">
        <f t="shared" si="158"/>
        <v>0</v>
      </c>
      <c r="O332" s="11">
        <v>0</v>
      </c>
      <c r="P332" s="11">
        <v>0</v>
      </c>
      <c r="Q332" s="11">
        <f t="shared" si="139"/>
        <v>1</v>
      </c>
      <c r="R332" s="11">
        <v>0</v>
      </c>
      <c r="S332" s="11">
        <f t="shared" si="149"/>
        <v>0</v>
      </c>
      <c r="T332" s="11">
        <v>0</v>
      </c>
      <c r="U332" s="11">
        <f t="shared" si="138"/>
        <v>1</v>
      </c>
      <c r="V332" s="11">
        <v>0</v>
      </c>
      <c r="W332" s="11">
        <f t="shared" si="150"/>
        <v>1</v>
      </c>
      <c r="X332" s="11">
        <f t="shared" si="151"/>
        <v>0</v>
      </c>
      <c r="Y332" s="19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45">
        <v>0</v>
      </c>
      <c r="AJ332" s="45">
        <v>0</v>
      </c>
      <c r="AK332" s="45">
        <f>IF(AI332&gt;0,AI332,AK331)</f>
        <v>0.3611</v>
      </c>
      <c r="AL332" s="45">
        <f>IF(AJ332&gt;0,AJ332,AL331)</f>
        <v>0.00348095238095238</v>
      </c>
      <c r="AM332" s="45">
        <f t="shared" si="152"/>
        <v>0.0012569719047619</v>
      </c>
      <c r="AN332" s="45">
        <f t="shared" si="137"/>
        <v>0.792187500000003</v>
      </c>
      <c r="AO332" s="45">
        <f t="shared" si="153"/>
        <v>0.792187500000004</v>
      </c>
      <c r="AP332" s="45">
        <f t="shared" si="154"/>
        <v>1.05625</v>
      </c>
      <c r="AQ332" s="45">
        <f t="shared" si="155"/>
        <v>0</v>
      </c>
      <c r="AR332" s="45">
        <f t="shared" si="156"/>
        <v>0</v>
      </c>
      <c r="AS332" s="19">
        <f>IF((("24:00"-AX332+AU332)/$AS$5)&gt;0,(("24:00"-AX332+AU332)/$AS$5),AS331)</f>
        <v>1.07916666666667</v>
      </c>
      <c r="AT332" s="19">
        <f>IF(((AW332-AV332)/$AT$5)&gt;0,((AW332-AV332)/$AT$5),AT331)</f>
        <v>1.03333333333334</v>
      </c>
      <c r="AU332" s="46">
        <v>0</v>
      </c>
      <c r="AV332" s="46">
        <v>0</v>
      </c>
      <c r="AW332" s="46">
        <v>0</v>
      </c>
      <c r="AX332" s="46">
        <v>1</v>
      </c>
      <c r="AY332" s="47">
        <v>0</v>
      </c>
      <c r="AZ332" s="47">
        <v>-1</v>
      </c>
    </row>
    <row r="333" hidden="1" customHeight="1" spans="1:52">
      <c r="A333" s="44">
        <v>45658</v>
      </c>
      <c r="B333" s="33">
        <f t="shared" si="140"/>
        <v>358</v>
      </c>
      <c r="C333" s="33">
        <f t="shared" si="141"/>
        <v>2607</v>
      </c>
      <c r="D333" s="11">
        <f t="shared" si="142"/>
        <v>2965</v>
      </c>
      <c r="E333" s="34">
        <f t="shared" si="157"/>
        <v>1.9497897646467e-6</v>
      </c>
      <c r="F333" s="35">
        <f t="shared" si="143"/>
        <v>0.000303818326489808</v>
      </c>
      <c r="G333" s="18">
        <f>(SUM($I$8:$I333)*(MAX(M$3-M$4,0))+(N333*MAX(M$4,0)))*(1-$AM$4)+(AM333*$AM$4)</f>
        <v>0.0990447744356773</v>
      </c>
      <c r="H333" s="18">
        <f t="shared" si="144"/>
        <v>1.04166666666667</v>
      </c>
      <c r="I333" s="18">
        <f t="shared" si="145"/>
        <v>0</v>
      </c>
      <c r="J333" s="18">
        <f t="shared" si="146"/>
        <v>0.207811735319029</v>
      </c>
      <c r="K333" s="18">
        <f t="shared" si="147"/>
        <v>0.00221281638179042</v>
      </c>
      <c r="L333" s="18">
        <f t="shared" si="148"/>
        <v>0</v>
      </c>
      <c r="M333" s="18">
        <v>0.0025</v>
      </c>
      <c r="N333" s="18">
        <f t="shared" si="158"/>
        <v>0.0025</v>
      </c>
      <c r="O333" s="11">
        <v>0</v>
      </c>
      <c r="P333" s="11">
        <v>0</v>
      </c>
      <c r="Q333" s="11">
        <f t="shared" si="139"/>
        <v>1</v>
      </c>
      <c r="R333" s="11">
        <v>0</v>
      </c>
      <c r="S333" s="11">
        <f t="shared" si="149"/>
        <v>0</v>
      </c>
      <c r="T333" s="11">
        <v>0</v>
      </c>
      <c r="U333" s="11">
        <f t="shared" si="138"/>
        <v>1</v>
      </c>
      <c r="V333" s="11">
        <v>0</v>
      </c>
      <c r="W333" s="11">
        <f t="shared" si="150"/>
        <v>1</v>
      </c>
      <c r="X333" s="11">
        <f t="shared" si="151"/>
        <v>0</v>
      </c>
      <c r="Y333" s="19">
        <v>0</v>
      </c>
      <c r="Z333" s="11">
        <v>0</v>
      </c>
      <c r="AA333" s="11">
        <v>0</v>
      </c>
      <c r="AB333" s="11">
        <v>0</v>
      </c>
      <c r="AC333" s="11">
        <v>0</v>
      </c>
      <c r="AD333" s="11">
        <v>0</v>
      </c>
      <c r="AE333" s="11">
        <v>0</v>
      </c>
      <c r="AF333" s="11">
        <v>0</v>
      </c>
      <c r="AG333" s="11">
        <v>0</v>
      </c>
      <c r="AH333" s="11">
        <v>0</v>
      </c>
      <c r="AI333" s="45">
        <v>0</v>
      </c>
      <c r="AJ333" s="45">
        <v>0</v>
      </c>
      <c r="AK333" s="45">
        <f>IF(AI333&gt;0,AI333,AK332)</f>
        <v>0.3611</v>
      </c>
      <c r="AL333" s="45">
        <f>IF(AJ333&gt;0,AJ333,AL332)</f>
        <v>0.00348095238095238</v>
      </c>
      <c r="AM333" s="45">
        <f t="shared" si="152"/>
        <v>0.0012569719047619</v>
      </c>
      <c r="AN333" s="45">
        <f t="shared" si="137"/>
        <v>0.792187500000003</v>
      </c>
      <c r="AO333" s="45">
        <f t="shared" si="153"/>
        <v>0.792187500000004</v>
      </c>
      <c r="AP333" s="45">
        <f t="shared" si="154"/>
        <v>1.05625</v>
      </c>
      <c r="AQ333" s="45">
        <f t="shared" si="155"/>
        <v>0</v>
      </c>
      <c r="AR333" s="45">
        <f t="shared" si="156"/>
        <v>0</v>
      </c>
      <c r="AS333" s="19">
        <f>IF((("24:00"-AX333+AU333)/$AS$5)&gt;0,(("24:00"-AX333+AU333)/$AS$5),AS332)</f>
        <v>1.07916666666667</v>
      </c>
      <c r="AT333" s="19">
        <f>IF(((AW333-AV333)/$AT$5)&gt;0,((AW333-AV333)/$AT$5),AT332)</f>
        <v>1.03333333333334</v>
      </c>
      <c r="AU333" s="46">
        <v>0</v>
      </c>
      <c r="AV333" s="46">
        <v>0</v>
      </c>
      <c r="AW333" s="46">
        <v>0</v>
      </c>
      <c r="AX333" s="46">
        <v>1</v>
      </c>
      <c r="AY333" s="47">
        <v>0</v>
      </c>
      <c r="AZ333" s="47">
        <v>-1</v>
      </c>
    </row>
    <row r="334" hidden="1" customHeight="1" spans="1:52">
      <c r="A334" s="44">
        <v>45659</v>
      </c>
      <c r="B334" s="33">
        <f t="shared" ref="B334:B345" si="159">B$2-A334+1</f>
        <v>357</v>
      </c>
      <c r="C334" s="33">
        <f t="shared" ref="C334:C345" si="160">D334-B334</f>
        <v>2587</v>
      </c>
      <c r="D334" s="11">
        <f t="shared" ref="D334:D345" si="161">IF(F334&gt;0,ROUND(((1-G334)/F334),0),FACT(128))</f>
        <v>2944</v>
      </c>
      <c r="E334" s="34">
        <f t="shared" si="157"/>
        <v>1.9378644449853e-6</v>
      </c>
      <c r="F334" s="35">
        <f t="shared" ref="F334:F345" si="162">G334/(ROW()-7)</f>
        <v>0.000305756190934793</v>
      </c>
      <c r="G334" s="18">
        <f>(SUM($I$8:$I334)*(MAX(M$3-M$4,0))+(N334*MAX(M$4,0)))*(1-$AM$4)+(AM334*$AM$4)</f>
        <v>0.0999822744356773</v>
      </c>
      <c r="H334" s="18">
        <f t="shared" si="144"/>
        <v>1.04166666666667</v>
      </c>
      <c r="I334" s="18">
        <f t="shared" ref="I334:I345" si="163">L334*H334</f>
        <v>0</v>
      </c>
      <c r="J334" s="18">
        <f t="shared" si="146"/>
        <v>0.209137234599398</v>
      </c>
      <c r="K334" s="18">
        <f t="shared" si="147"/>
        <v>0.00221530186386723</v>
      </c>
      <c r="L334" s="18">
        <f t="shared" si="148"/>
        <v>0</v>
      </c>
      <c r="M334" s="18">
        <v>0.005</v>
      </c>
      <c r="N334" s="18">
        <f t="shared" si="158"/>
        <v>0.005</v>
      </c>
      <c r="O334" s="11">
        <v>0</v>
      </c>
      <c r="P334" s="11">
        <v>0</v>
      </c>
      <c r="Q334" s="11">
        <f t="shared" ref="Q334:Q345" si="164">($P$2-$P$4)+((P334/(MAX(1/FACT(128),O334)))*$P$4)</f>
        <v>1</v>
      </c>
      <c r="R334" s="11">
        <v>0</v>
      </c>
      <c r="S334" s="11">
        <f t="shared" si="149"/>
        <v>0</v>
      </c>
      <c r="T334" s="11">
        <v>0</v>
      </c>
      <c r="U334" s="11">
        <f t="shared" ref="U334:U345" si="165">MAX(1,T334)/(MAX(1,O334))</f>
        <v>1</v>
      </c>
      <c r="V334" s="11">
        <v>0</v>
      </c>
      <c r="W334" s="11">
        <f t="shared" ref="W334:W345" si="166">($V$4*V334/(MAX(1,O334)))+1</f>
        <v>1</v>
      </c>
      <c r="X334" s="11">
        <f t="shared" si="151"/>
        <v>0</v>
      </c>
      <c r="Y334" s="19">
        <v>0</v>
      </c>
      <c r="Z334" s="11">
        <v>0</v>
      </c>
      <c r="AA334" s="11">
        <v>0</v>
      </c>
      <c r="AB334" s="11">
        <v>0</v>
      </c>
      <c r="AC334" s="11">
        <v>0</v>
      </c>
      <c r="AD334" s="11">
        <v>0</v>
      </c>
      <c r="AE334" s="11">
        <v>0</v>
      </c>
      <c r="AF334" s="11">
        <v>0</v>
      </c>
      <c r="AG334" s="11">
        <v>0</v>
      </c>
      <c r="AH334" s="11">
        <v>0</v>
      </c>
      <c r="AI334" s="45">
        <v>0</v>
      </c>
      <c r="AJ334" s="45">
        <v>0</v>
      </c>
      <c r="AK334" s="45">
        <f t="shared" ref="AK334:AK345" si="167">IF(AI334&gt;0,AI334,AK333)</f>
        <v>0.3611</v>
      </c>
      <c r="AL334" s="45">
        <f t="shared" ref="AL334:AL345" si="168">IF(AJ334&gt;0,AJ334,AL333)</f>
        <v>0.00348095238095238</v>
      </c>
      <c r="AM334" s="45">
        <f t="shared" ref="AM334:AM345" si="169">AL334*AK334</f>
        <v>0.0012569719047619</v>
      </c>
      <c r="AN334" s="45">
        <f t="shared" ref="AN334:AN345" si="170">IFERROR(AVERAGEIF(AO327:AO333,"&gt;0",AO327:AO333),0)</f>
        <v>0.792187500000003</v>
      </c>
      <c r="AO334" s="45">
        <f t="shared" ref="AO334:AO345" si="171">AP334*0.75+AQ334*0.125+AR334*0.125</f>
        <v>0.792187500000004</v>
      </c>
      <c r="AP334" s="45">
        <f t="shared" ref="AP334:AP345" si="172">AVERAGE(AS334:AT334)</f>
        <v>1.05625</v>
      </c>
      <c r="AQ334" s="45">
        <f t="shared" ref="AQ334:AQ345" si="173">AY334/AQ$5</f>
        <v>0</v>
      </c>
      <c r="AR334" s="45">
        <f t="shared" ref="AR334:AR345" si="174">IF(AZ334&gt;=0,1/(AZ334+1),0)</f>
        <v>0</v>
      </c>
      <c r="AS334" s="19">
        <f t="shared" ref="AS334:AS345" si="175">IF((("24:00"-AX334+AU334)/$AS$5)&gt;0,(("24:00"-AX334+AU334)/$AS$5),AS333)</f>
        <v>1.07916666666667</v>
      </c>
      <c r="AT334" s="19">
        <f t="shared" ref="AT334:AT345" si="176">IF(((AW334-AV334)/$AT$5)&gt;0,((AW334-AV334)/$AT$5),AT333)</f>
        <v>1.03333333333334</v>
      </c>
      <c r="AU334" s="46">
        <v>0</v>
      </c>
      <c r="AV334" s="46">
        <v>0</v>
      </c>
      <c r="AW334" s="46">
        <v>0</v>
      </c>
      <c r="AX334" s="46">
        <v>1</v>
      </c>
      <c r="AY334" s="47">
        <v>0</v>
      </c>
      <c r="AZ334" s="47">
        <v>-1</v>
      </c>
    </row>
    <row r="335" hidden="1" customHeight="1" spans="1:52">
      <c r="A335" s="44">
        <v>45660</v>
      </c>
      <c r="B335" s="33">
        <f t="shared" si="159"/>
        <v>356</v>
      </c>
      <c r="C335" s="33">
        <f t="shared" si="160"/>
        <v>2566</v>
      </c>
      <c r="D335" s="11">
        <f t="shared" si="161"/>
        <v>2922</v>
      </c>
      <c r="E335" s="34">
        <f t="shared" si="157"/>
        <v>1.92604819836958e-6</v>
      </c>
      <c r="F335" s="35">
        <f t="shared" si="162"/>
        <v>0.000307682239133163</v>
      </c>
      <c r="G335" s="18">
        <f>(SUM($I$8:$I335)*(MAX(M$3-M$4,0))+(N335*MAX(M$4,0)))*(1-$AM$4)+(AM335*$AM$4)</f>
        <v>0.100919774435677</v>
      </c>
      <c r="H335" s="18">
        <f t="shared" si="144"/>
        <v>1.04166666666667</v>
      </c>
      <c r="I335" s="18">
        <f t="shared" si="163"/>
        <v>0</v>
      </c>
      <c r="J335" s="18">
        <f t="shared" si="146"/>
        <v>0.210454651567083</v>
      </c>
      <c r="K335" s="18">
        <f t="shared" si="147"/>
        <v>0.00221782401245201</v>
      </c>
      <c r="L335" s="18">
        <f t="shared" si="148"/>
        <v>0</v>
      </c>
      <c r="M335" s="18">
        <v>0.0075</v>
      </c>
      <c r="N335" s="18">
        <f t="shared" si="158"/>
        <v>0.0075</v>
      </c>
      <c r="O335" s="11">
        <v>0</v>
      </c>
      <c r="P335" s="11">
        <v>0</v>
      </c>
      <c r="Q335" s="11">
        <f t="shared" si="164"/>
        <v>1</v>
      </c>
      <c r="R335" s="11">
        <v>0</v>
      </c>
      <c r="S335" s="11">
        <f t="shared" si="149"/>
        <v>0</v>
      </c>
      <c r="T335" s="11">
        <v>0</v>
      </c>
      <c r="U335" s="11">
        <f t="shared" si="165"/>
        <v>1</v>
      </c>
      <c r="V335" s="11">
        <v>0</v>
      </c>
      <c r="W335" s="11">
        <f t="shared" si="166"/>
        <v>1</v>
      </c>
      <c r="X335" s="11">
        <f t="shared" si="151"/>
        <v>0</v>
      </c>
      <c r="Y335" s="19">
        <v>0</v>
      </c>
      <c r="Z335" s="11">
        <v>0</v>
      </c>
      <c r="AA335" s="11">
        <v>0</v>
      </c>
      <c r="AB335" s="11">
        <v>0</v>
      </c>
      <c r="AC335" s="11">
        <v>0</v>
      </c>
      <c r="AD335" s="11">
        <v>0</v>
      </c>
      <c r="AE335" s="11">
        <v>0</v>
      </c>
      <c r="AF335" s="11">
        <v>0</v>
      </c>
      <c r="AG335" s="11">
        <v>0</v>
      </c>
      <c r="AH335" s="11">
        <v>0</v>
      </c>
      <c r="AI335" s="45">
        <v>0</v>
      </c>
      <c r="AJ335" s="45">
        <v>0</v>
      </c>
      <c r="AK335" s="45">
        <f t="shared" si="167"/>
        <v>0.3611</v>
      </c>
      <c r="AL335" s="45">
        <f t="shared" si="168"/>
        <v>0.00348095238095238</v>
      </c>
      <c r="AM335" s="45">
        <f t="shared" si="169"/>
        <v>0.0012569719047619</v>
      </c>
      <c r="AN335" s="45">
        <f t="shared" si="170"/>
        <v>0.792187500000003</v>
      </c>
      <c r="AO335" s="45">
        <f t="shared" si="171"/>
        <v>0.792187500000004</v>
      </c>
      <c r="AP335" s="45">
        <f t="shared" si="172"/>
        <v>1.05625</v>
      </c>
      <c r="AQ335" s="45">
        <f t="shared" si="173"/>
        <v>0</v>
      </c>
      <c r="AR335" s="45">
        <f t="shared" si="174"/>
        <v>0</v>
      </c>
      <c r="AS335" s="19">
        <f t="shared" si="175"/>
        <v>1.07916666666667</v>
      </c>
      <c r="AT335" s="19">
        <f t="shared" si="176"/>
        <v>1.03333333333334</v>
      </c>
      <c r="AU335" s="46">
        <v>0</v>
      </c>
      <c r="AV335" s="46">
        <v>0</v>
      </c>
      <c r="AW335" s="46">
        <v>0</v>
      </c>
      <c r="AX335" s="46">
        <v>1</v>
      </c>
      <c r="AY335" s="47">
        <v>0</v>
      </c>
      <c r="AZ335" s="47">
        <v>-1</v>
      </c>
    </row>
    <row r="336" hidden="1" customHeight="1" spans="1:52">
      <c r="A336" s="44">
        <v>45661</v>
      </c>
      <c r="B336" s="33">
        <f t="shared" si="159"/>
        <v>355</v>
      </c>
      <c r="C336" s="33">
        <f t="shared" si="160"/>
        <v>2546</v>
      </c>
      <c r="D336" s="11">
        <f t="shared" si="161"/>
        <v>2901</v>
      </c>
      <c r="E336" s="34">
        <f t="shared" si="157"/>
        <v>1.9143396986834e-6</v>
      </c>
      <c r="F336" s="35">
        <f t="shared" si="162"/>
        <v>0.000309596578831846</v>
      </c>
      <c r="G336" s="18">
        <f>(SUM($I$8:$I336)*(MAX(M$3-M$4,0))+(N336*MAX(M$4,0)))*(1-$AM$4)+(AM336*$AM$4)</f>
        <v>0.101857274435677</v>
      </c>
      <c r="H336" s="18">
        <f t="shared" si="144"/>
        <v>1.04166666666667</v>
      </c>
      <c r="I336" s="18">
        <f t="shared" si="163"/>
        <v>0</v>
      </c>
      <c r="J336" s="18">
        <f t="shared" si="146"/>
        <v>0.211764059920983</v>
      </c>
      <c r="K336" s="18">
        <f t="shared" si="147"/>
        <v>0.00222038292980005</v>
      </c>
      <c r="L336" s="18">
        <f t="shared" si="148"/>
        <v>0</v>
      </c>
      <c r="M336" s="18">
        <v>0.01</v>
      </c>
      <c r="N336" s="18">
        <f t="shared" si="158"/>
        <v>0.01</v>
      </c>
      <c r="O336" s="11">
        <v>0</v>
      </c>
      <c r="P336" s="11">
        <v>0</v>
      </c>
      <c r="Q336" s="11">
        <f t="shared" si="164"/>
        <v>1</v>
      </c>
      <c r="R336" s="11">
        <v>0</v>
      </c>
      <c r="S336" s="11">
        <f t="shared" si="149"/>
        <v>0</v>
      </c>
      <c r="T336" s="11">
        <v>0</v>
      </c>
      <c r="U336" s="11">
        <f t="shared" si="165"/>
        <v>1</v>
      </c>
      <c r="V336" s="11">
        <v>0</v>
      </c>
      <c r="W336" s="11">
        <f t="shared" si="166"/>
        <v>1</v>
      </c>
      <c r="X336" s="11">
        <f t="shared" si="151"/>
        <v>0</v>
      </c>
      <c r="Y336" s="19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45">
        <v>0</v>
      </c>
      <c r="AJ336" s="45">
        <v>0</v>
      </c>
      <c r="AK336" s="45">
        <f t="shared" si="167"/>
        <v>0.3611</v>
      </c>
      <c r="AL336" s="45">
        <f t="shared" si="168"/>
        <v>0.00348095238095238</v>
      </c>
      <c r="AM336" s="45">
        <f t="shared" si="169"/>
        <v>0.0012569719047619</v>
      </c>
      <c r="AN336" s="45">
        <f t="shared" si="170"/>
        <v>0.792187500000003</v>
      </c>
      <c r="AO336" s="45">
        <f t="shared" si="171"/>
        <v>0.792187500000004</v>
      </c>
      <c r="AP336" s="45">
        <f t="shared" si="172"/>
        <v>1.05625</v>
      </c>
      <c r="AQ336" s="45">
        <f t="shared" si="173"/>
        <v>0</v>
      </c>
      <c r="AR336" s="45">
        <f t="shared" si="174"/>
        <v>0</v>
      </c>
      <c r="AS336" s="19">
        <f t="shared" si="175"/>
        <v>1.07916666666667</v>
      </c>
      <c r="AT336" s="19">
        <f t="shared" si="176"/>
        <v>1.03333333333334</v>
      </c>
      <c r="AU336" s="46">
        <v>0</v>
      </c>
      <c r="AV336" s="46">
        <v>0</v>
      </c>
      <c r="AW336" s="46">
        <v>0</v>
      </c>
      <c r="AX336" s="46">
        <v>1</v>
      </c>
      <c r="AY336" s="47">
        <v>0</v>
      </c>
      <c r="AZ336" s="47">
        <v>-1</v>
      </c>
    </row>
    <row r="337" hidden="1" customHeight="1" spans="1:52">
      <c r="A337" s="44">
        <v>45662</v>
      </c>
      <c r="B337" s="33">
        <f t="shared" si="159"/>
        <v>354</v>
      </c>
      <c r="C337" s="33">
        <f t="shared" si="160"/>
        <v>2526</v>
      </c>
      <c r="D337" s="11">
        <f t="shared" si="161"/>
        <v>2880</v>
      </c>
      <c r="E337" s="34">
        <f t="shared" si="157"/>
        <v>1.90273763990345e-6</v>
      </c>
      <c r="F337" s="35">
        <f t="shared" si="162"/>
        <v>0.000311499316471749</v>
      </c>
      <c r="G337" s="18">
        <f>(SUM($I$8:$I337)*(MAX(M$3-M$4,0))+(N337*MAX(M$4,0)))*(1-$AM$4)+(AM337*$AM$4)</f>
        <v>0.102794774435677</v>
      </c>
      <c r="H337" s="18">
        <f t="shared" si="144"/>
        <v>1.04166666666667</v>
      </c>
      <c r="I337" s="18">
        <f t="shared" si="163"/>
        <v>0</v>
      </c>
      <c r="J337" s="18">
        <f t="shared" si="146"/>
        <v>0.213065532466677</v>
      </c>
      <c r="K337" s="18">
        <f t="shared" si="147"/>
        <v>0.00222297872184555</v>
      </c>
      <c r="L337" s="18">
        <f t="shared" si="148"/>
        <v>0</v>
      </c>
      <c r="M337" s="18">
        <v>0.0125</v>
      </c>
      <c r="N337" s="18">
        <f t="shared" si="158"/>
        <v>0.0125</v>
      </c>
      <c r="O337" s="11">
        <v>0</v>
      </c>
      <c r="P337" s="11">
        <v>0</v>
      </c>
      <c r="Q337" s="11">
        <f t="shared" si="164"/>
        <v>1</v>
      </c>
      <c r="R337" s="11">
        <v>0</v>
      </c>
      <c r="S337" s="11">
        <f t="shared" si="149"/>
        <v>0</v>
      </c>
      <c r="T337" s="11">
        <v>0</v>
      </c>
      <c r="U337" s="11">
        <f t="shared" si="165"/>
        <v>1</v>
      </c>
      <c r="V337" s="11">
        <v>0</v>
      </c>
      <c r="W337" s="11">
        <f t="shared" si="166"/>
        <v>1</v>
      </c>
      <c r="X337" s="11">
        <f t="shared" si="151"/>
        <v>0</v>
      </c>
      <c r="Y337" s="19">
        <v>0</v>
      </c>
      <c r="Z337" s="11">
        <v>0</v>
      </c>
      <c r="AA337" s="11">
        <v>0</v>
      </c>
      <c r="AB337" s="11">
        <v>0</v>
      </c>
      <c r="AC337" s="11">
        <v>0</v>
      </c>
      <c r="AD337" s="11">
        <v>0</v>
      </c>
      <c r="AE337" s="11">
        <v>0</v>
      </c>
      <c r="AF337" s="11">
        <v>0</v>
      </c>
      <c r="AG337" s="11">
        <v>0</v>
      </c>
      <c r="AH337" s="11">
        <v>0</v>
      </c>
      <c r="AI337" s="45">
        <v>0</v>
      </c>
      <c r="AJ337" s="45">
        <v>0</v>
      </c>
      <c r="AK337" s="45">
        <f t="shared" si="167"/>
        <v>0.3611</v>
      </c>
      <c r="AL337" s="45">
        <f t="shared" si="168"/>
        <v>0.00348095238095238</v>
      </c>
      <c r="AM337" s="45">
        <f t="shared" si="169"/>
        <v>0.0012569719047619</v>
      </c>
      <c r="AN337" s="45">
        <f t="shared" si="170"/>
        <v>0.792187500000003</v>
      </c>
      <c r="AO337" s="45">
        <f t="shared" si="171"/>
        <v>0.792187500000004</v>
      </c>
      <c r="AP337" s="45">
        <f t="shared" si="172"/>
        <v>1.05625</v>
      </c>
      <c r="AQ337" s="45">
        <f t="shared" si="173"/>
        <v>0</v>
      </c>
      <c r="AR337" s="45">
        <f t="shared" si="174"/>
        <v>0</v>
      </c>
      <c r="AS337" s="19">
        <f t="shared" si="175"/>
        <v>1.07916666666667</v>
      </c>
      <c r="AT337" s="19">
        <f t="shared" si="176"/>
        <v>1.03333333333334</v>
      </c>
      <c r="AU337" s="46">
        <v>0</v>
      </c>
      <c r="AV337" s="46">
        <v>0</v>
      </c>
      <c r="AW337" s="46">
        <v>0</v>
      </c>
      <c r="AX337" s="46">
        <v>1</v>
      </c>
      <c r="AY337" s="47">
        <v>0</v>
      </c>
      <c r="AZ337" s="47">
        <v>-1</v>
      </c>
    </row>
    <row r="338" hidden="1" customHeight="1" spans="1:52">
      <c r="A338" s="44">
        <v>45663</v>
      </c>
      <c r="B338" s="33">
        <f t="shared" si="159"/>
        <v>353</v>
      </c>
      <c r="C338" s="33">
        <f t="shared" si="160"/>
        <v>2507</v>
      </c>
      <c r="D338" s="11">
        <f t="shared" si="161"/>
        <v>2860</v>
      </c>
      <c r="E338" s="34">
        <f t="shared" si="157"/>
        <v>1.89124073573491e-6</v>
      </c>
      <c r="F338" s="35">
        <f t="shared" si="162"/>
        <v>0.000313390557207484</v>
      </c>
      <c r="G338" s="18">
        <f>(SUM($I$8:$I338)*(MAX(M$3-M$4,0))+(N338*MAX(M$4,0)))*(1-$AM$4)+(AM338*$AM$4)</f>
        <v>0.103732274435677</v>
      </c>
      <c r="H338" s="18">
        <f t="shared" si="144"/>
        <v>1.04166666666667</v>
      </c>
      <c r="I338" s="18">
        <f t="shared" si="163"/>
        <v>0</v>
      </c>
      <c r="J338" s="18">
        <f t="shared" si="146"/>
        <v>0.214359141129919</v>
      </c>
      <c r="K338" s="18">
        <f t="shared" si="147"/>
        <v>0.00222561149821553</v>
      </c>
      <c r="L338" s="18">
        <f t="shared" si="148"/>
        <v>0</v>
      </c>
      <c r="M338" s="18">
        <v>0.015</v>
      </c>
      <c r="N338" s="18">
        <f t="shared" si="158"/>
        <v>0.015</v>
      </c>
      <c r="O338" s="11">
        <v>0</v>
      </c>
      <c r="P338" s="11">
        <v>0</v>
      </c>
      <c r="Q338" s="11">
        <f t="shared" si="164"/>
        <v>1</v>
      </c>
      <c r="R338" s="11">
        <v>0</v>
      </c>
      <c r="S338" s="11">
        <f t="shared" si="149"/>
        <v>0</v>
      </c>
      <c r="T338" s="11">
        <v>0</v>
      </c>
      <c r="U338" s="11">
        <f t="shared" si="165"/>
        <v>1</v>
      </c>
      <c r="V338" s="11">
        <v>0</v>
      </c>
      <c r="W338" s="11">
        <f t="shared" si="166"/>
        <v>1</v>
      </c>
      <c r="X338" s="11">
        <f t="shared" si="151"/>
        <v>0</v>
      </c>
      <c r="Y338" s="19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1">
        <v>0</v>
      </c>
      <c r="AG338" s="11">
        <v>0</v>
      </c>
      <c r="AH338" s="11">
        <v>0</v>
      </c>
      <c r="AI338" s="45">
        <v>0</v>
      </c>
      <c r="AJ338" s="45">
        <v>0</v>
      </c>
      <c r="AK338" s="45">
        <f t="shared" si="167"/>
        <v>0.3611</v>
      </c>
      <c r="AL338" s="45">
        <f t="shared" si="168"/>
        <v>0.00348095238095238</v>
      </c>
      <c r="AM338" s="45">
        <f t="shared" si="169"/>
        <v>0.0012569719047619</v>
      </c>
      <c r="AN338" s="45">
        <f t="shared" si="170"/>
        <v>0.792187500000003</v>
      </c>
      <c r="AO338" s="45">
        <f t="shared" si="171"/>
        <v>0.792187500000004</v>
      </c>
      <c r="AP338" s="45">
        <f t="shared" si="172"/>
        <v>1.05625</v>
      </c>
      <c r="AQ338" s="45">
        <f t="shared" si="173"/>
        <v>0</v>
      </c>
      <c r="AR338" s="45">
        <f t="shared" si="174"/>
        <v>0</v>
      </c>
      <c r="AS338" s="19">
        <f t="shared" si="175"/>
        <v>1.07916666666667</v>
      </c>
      <c r="AT338" s="19">
        <f t="shared" si="176"/>
        <v>1.03333333333334</v>
      </c>
      <c r="AU338" s="46">
        <v>0</v>
      </c>
      <c r="AV338" s="46">
        <v>0</v>
      </c>
      <c r="AW338" s="46">
        <v>0</v>
      </c>
      <c r="AX338" s="46">
        <v>1</v>
      </c>
      <c r="AY338" s="47">
        <v>0</v>
      </c>
      <c r="AZ338" s="47">
        <v>-1</v>
      </c>
    </row>
    <row r="339" hidden="1" customHeight="1" spans="1:52">
      <c r="A339" s="44">
        <v>45664</v>
      </c>
      <c r="B339" s="33">
        <f t="shared" si="159"/>
        <v>352</v>
      </c>
      <c r="C339" s="33">
        <f t="shared" si="160"/>
        <v>2488</v>
      </c>
      <c r="D339" s="11">
        <f t="shared" si="161"/>
        <v>2840</v>
      </c>
      <c r="E339" s="34">
        <f t="shared" si="157"/>
        <v>1.87984771925459e-6</v>
      </c>
      <c r="F339" s="35">
        <f t="shared" si="162"/>
        <v>0.000315270404926739</v>
      </c>
      <c r="G339" s="18">
        <f>(SUM($I$8:$I339)*(MAX(M$3-M$4,0))+(N339*MAX(M$4,0)))*(1-$AM$4)+(AM339*$AM$4)</f>
        <v>0.104669774435677</v>
      </c>
      <c r="H339" s="18">
        <f t="shared" si="144"/>
        <v>1.04166666666667</v>
      </c>
      <c r="I339" s="18">
        <f t="shared" si="163"/>
        <v>0</v>
      </c>
      <c r="J339" s="18">
        <f t="shared" si="146"/>
        <v>0.215644956969889</v>
      </c>
      <c r="K339" s="18">
        <f t="shared" si="147"/>
        <v>0.00222828137224463</v>
      </c>
      <c r="L339" s="18">
        <f t="shared" si="148"/>
        <v>0</v>
      </c>
      <c r="M339" s="18">
        <v>0.0175</v>
      </c>
      <c r="N339" s="18">
        <f t="shared" si="158"/>
        <v>0.0175</v>
      </c>
      <c r="O339" s="11">
        <v>0</v>
      </c>
      <c r="P339" s="11">
        <v>0</v>
      </c>
      <c r="Q339" s="11">
        <f t="shared" si="164"/>
        <v>1</v>
      </c>
      <c r="R339" s="11">
        <v>0</v>
      </c>
      <c r="S339" s="11">
        <f t="shared" si="149"/>
        <v>0</v>
      </c>
      <c r="T339" s="11">
        <v>0</v>
      </c>
      <c r="U339" s="11">
        <f t="shared" si="165"/>
        <v>1</v>
      </c>
      <c r="V339" s="11">
        <v>0</v>
      </c>
      <c r="W339" s="11">
        <f t="shared" si="166"/>
        <v>1</v>
      </c>
      <c r="X339" s="11">
        <f t="shared" si="151"/>
        <v>0</v>
      </c>
      <c r="Y339" s="19">
        <v>0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1">
        <v>0</v>
      </c>
      <c r="AG339" s="11">
        <v>0</v>
      </c>
      <c r="AH339" s="11">
        <v>0</v>
      </c>
      <c r="AI339" s="45">
        <v>0</v>
      </c>
      <c r="AJ339" s="45">
        <v>0</v>
      </c>
      <c r="AK339" s="45">
        <f t="shared" si="167"/>
        <v>0.3611</v>
      </c>
      <c r="AL339" s="45">
        <f t="shared" si="168"/>
        <v>0.00348095238095238</v>
      </c>
      <c r="AM339" s="45">
        <f t="shared" si="169"/>
        <v>0.0012569719047619</v>
      </c>
      <c r="AN339" s="45">
        <f t="shared" si="170"/>
        <v>0.792187500000003</v>
      </c>
      <c r="AO339" s="45">
        <f t="shared" si="171"/>
        <v>0.792187500000004</v>
      </c>
      <c r="AP339" s="45">
        <f t="shared" si="172"/>
        <v>1.05625</v>
      </c>
      <c r="AQ339" s="45">
        <f t="shared" si="173"/>
        <v>0</v>
      </c>
      <c r="AR339" s="45">
        <f t="shared" si="174"/>
        <v>0</v>
      </c>
      <c r="AS339" s="19">
        <f t="shared" si="175"/>
        <v>1.07916666666667</v>
      </c>
      <c r="AT339" s="19">
        <f t="shared" si="176"/>
        <v>1.03333333333334</v>
      </c>
      <c r="AU339" s="46">
        <v>0</v>
      </c>
      <c r="AV339" s="46">
        <v>0</v>
      </c>
      <c r="AW339" s="46">
        <v>0</v>
      </c>
      <c r="AX339" s="46">
        <v>1</v>
      </c>
      <c r="AY339" s="47">
        <v>0</v>
      </c>
      <c r="AZ339" s="47">
        <v>-1</v>
      </c>
    </row>
    <row r="340" hidden="1" customHeight="1" spans="1:52">
      <c r="A340" s="44">
        <v>45665</v>
      </c>
      <c r="B340" s="33">
        <f t="shared" si="159"/>
        <v>351</v>
      </c>
      <c r="C340" s="33">
        <f t="shared" si="160"/>
        <v>2469</v>
      </c>
      <c r="D340" s="11">
        <f t="shared" si="161"/>
        <v>2820</v>
      </c>
      <c r="E340" s="34">
        <f t="shared" si="157"/>
        <v>1.86855734256238e-6</v>
      </c>
      <c r="F340" s="35">
        <f t="shared" si="162"/>
        <v>0.000317138962269301</v>
      </c>
      <c r="G340" s="18">
        <f>(SUM($I$8:$I340)*(MAX(M$3-M$4,0))+(N340*MAX(M$4,0)))*(1-$AM$4)+(AM340*$AM$4)</f>
        <v>0.105607274435677</v>
      </c>
      <c r="H340" s="18">
        <f t="shared" si="144"/>
        <v>1.04166666666667</v>
      </c>
      <c r="I340" s="18">
        <f t="shared" si="163"/>
        <v>0</v>
      </c>
      <c r="J340" s="18">
        <f t="shared" si="146"/>
        <v>0.216923050192202</v>
      </c>
      <c r="K340" s="18">
        <f t="shared" si="147"/>
        <v>0.00223098846099088</v>
      </c>
      <c r="L340" s="18">
        <f t="shared" si="148"/>
        <v>0</v>
      </c>
      <c r="M340" s="18">
        <v>0.02</v>
      </c>
      <c r="N340" s="18">
        <f t="shared" si="158"/>
        <v>0.02</v>
      </c>
      <c r="O340" s="11">
        <v>0</v>
      </c>
      <c r="P340" s="11">
        <v>0</v>
      </c>
      <c r="Q340" s="11">
        <f t="shared" si="164"/>
        <v>1</v>
      </c>
      <c r="R340" s="11">
        <v>0</v>
      </c>
      <c r="S340" s="11">
        <f t="shared" si="149"/>
        <v>0</v>
      </c>
      <c r="T340" s="11">
        <v>0</v>
      </c>
      <c r="U340" s="11">
        <f t="shared" si="165"/>
        <v>1</v>
      </c>
      <c r="V340" s="11">
        <v>0</v>
      </c>
      <c r="W340" s="11">
        <f t="shared" si="166"/>
        <v>1</v>
      </c>
      <c r="X340" s="11">
        <f t="shared" si="151"/>
        <v>0</v>
      </c>
      <c r="Y340" s="19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1">
        <v>0</v>
      </c>
      <c r="AG340" s="11">
        <v>0</v>
      </c>
      <c r="AH340" s="11">
        <v>0</v>
      </c>
      <c r="AI340" s="45">
        <v>0</v>
      </c>
      <c r="AJ340" s="45">
        <v>0</v>
      </c>
      <c r="AK340" s="45">
        <f t="shared" si="167"/>
        <v>0.3611</v>
      </c>
      <c r="AL340" s="45">
        <f t="shared" si="168"/>
        <v>0.00348095238095238</v>
      </c>
      <c r="AM340" s="45">
        <f t="shared" si="169"/>
        <v>0.0012569719047619</v>
      </c>
      <c r="AN340" s="45">
        <f t="shared" si="170"/>
        <v>0.792187500000003</v>
      </c>
      <c r="AO340" s="45">
        <f t="shared" si="171"/>
        <v>0.792187500000004</v>
      </c>
      <c r="AP340" s="45">
        <f t="shared" si="172"/>
        <v>1.05625</v>
      </c>
      <c r="AQ340" s="45">
        <f t="shared" si="173"/>
        <v>0</v>
      </c>
      <c r="AR340" s="45">
        <f t="shared" si="174"/>
        <v>0</v>
      </c>
      <c r="AS340" s="19">
        <f t="shared" si="175"/>
        <v>1.07916666666667</v>
      </c>
      <c r="AT340" s="19">
        <f t="shared" si="176"/>
        <v>1.03333333333334</v>
      </c>
      <c r="AU340" s="46">
        <v>0</v>
      </c>
      <c r="AV340" s="46">
        <v>0</v>
      </c>
      <c r="AW340" s="46">
        <v>0</v>
      </c>
      <c r="AX340" s="46">
        <v>1</v>
      </c>
      <c r="AY340" s="47">
        <v>0</v>
      </c>
      <c r="AZ340" s="47">
        <v>-1</v>
      </c>
    </row>
    <row r="341" hidden="1" customHeight="1" spans="1:52">
      <c r="A341" s="44">
        <v>45666</v>
      </c>
      <c r="B341" s="33">
        <f t="shared" si="159"/>
        <v>350</v>
      </c>
      <c r="C341" s="33">
        <f t="shared" si="160"/>
        <v>2451</v>
      </c>
      <c r="D341" s="11">
        <f t="shared" si="161"/>
        <v>2801</v>
      </c>
      <c r="E341" s="34">
        <f t="shared" si="157"/>
        <v>1.85736837643918e-6</v>
      </c>
      <c r="F341" s="35">
        <f t="shared" si="162"/>
        <v>0.000318996330645741</v>
      </c>
      <c r="G341" s="18">
        <f>(SUM($I$8:$I341)*(MAX(M$3-M$4,0))+(N341*MAX(M$4,0)))*(1-$AM$4)+(AM341*$AM$4)</f>
        <v>0.106544774435677</v>
      </c>
      <c r="H341" s="18">
        <f t="shared" si="144"/>
        <v>1.04166666666667</v>
      </c>
      <c r="I341" s="18">
        <f t="shared" si="163"/>
        <v>0</v>
      </c>
      <c r="J341" s="18">
        <f t="shared" si="146"/>
        <v>0.218193490161687</v>
      </c>
      <c r="K341" s="18">
        <f t="shared" si="147"/>
        <v>0.00223373288525232</v>
      </c>
      <c r="L341" s="18">
        <f t="shared" si="148"/>
        <v>0</v>
      </c>
      <c r="M341" s="18">
        <v>0.0225</v>
      </c>
      <c r="N341" s="18">
        <f t="shared" si="158"/>
        <v>0.0225</v>
      </c>
      <c r="O341" s="11">
        <v>0</v>
      </c>
      <c r="P341" s="11">
        <v>0</v>
      </c>
      <c r="Q341" s="11">
        <f t="shared" si="164"/>
        <v>1</v>
      </c>
      <c r="R341" s="11">
        <v>0</v>
      </c>
      <c r="S341" s="11">
        <f t="shared" si="149"/>
        <v>0</v>
      </c>
      <c r="T341" s="11">
        <v>0</v>
      </c>
      <c r="U341" s="11">
        <f t="shared" si="165"/>
        <v>1</v>
      </c>
      <c r="V341" s="11">
        <v>0</v>
      </c>
      <c r="W341" s="11">
        <f t="shared" si="166"/>
        <v>1</v>
      </c>
      <c r="X341" s="11">
        <f t="shared" si="151"/>
        <v>0</v>
      </c>
      <c r="Y341" s="19">
        <v>0</v>
      </c>
      <c r="Z341" s="11">
        <v>0</v>
      </c>
      <c r="AA341" s="11">
        <v>0</v>
      </c>
      <c r="AB341" s="11">
        <v>0</v>
      </c>
      <c r="AC341" s="11">
        <v>0</v>
      </c>
      <c r="AD341" s="11">
        <v>0</v>
      </c>
      <c r="AE341" s="11">
        <v>0</v>
      </c>
      <c r="AF341" s="11">
        <v>0</v>
      </c>
      <c r="AG341" s="11">
        <v>0</v>
      </c>
      <c r="AH341" s="11">
        <v>0</v>
      </c>
      <c r="AI341" s="45">
        <v>0</v>
      </c>
      <c r="AJ341" s="45">
        <v>0</v>
      </c>
      <c r="AK341" s="45">
        <f t="shared" si="167"/>
        <v>0.3611</v>
      </c>
      <c r="AL341" s="45">
        <f t="shared" si="168"/>
        <v>0.00348095238095238</v>
      </c>
      <c r="AM341" s="45">
        <f t="shared" si="169"/>
        <v>0.0012569719047619</v>
      </c>
      <c r="AN341" s="45">
        <f t="shared" si="170"/>
        <v>0.792187500000003</v>
      </c>
      <c r="AO341" s="45">
        <f t="shared" si="171"/>
        <v>0.792187500000004</v>
      </c>
      <c r="AP341" s="45">
        <f t="shared" si="172"/>
        <v>1.05625</v>
      </c>
      <c r="AQ341" s="45">
        <f t="shared" si="173"/>
        <v>0</v>
      </c>
      <c r="AR341" s="45">
        <f t="shared" si="174"/>
        <v>0</v>
      </c>
      <c r="AS341" s="19">
        <f t="shared" si="175"/>
        <v>1.07916666666667</v>
      </c>
      <c r="AT341" s="19">
        <f t="shared" si="176"/>
        <v>1.03333333333334</v>
      </c>
      <c r="AU341" s="46">
        <v>0</v>
      </c>
      <c r="AV341" s="46">
        <v>0</v>
      </c>
      <c r="AW341" s="46">
        <v>0</v>
      </c>
      <c r="AX341" s="46">
        <v>1</v>
      </c>
      <c r="AY341" s="47">
        <v>0</v>
      </c>
      <c r="AZ341" s="47">
        <v>-1</v>
      </c>
    </row>
    <row r="342" hidden="1" customHeight="1" spans="1:52">
      <c r="A342" s="44">
        <v>45667</v>
      </c>
      <c r="B342" s="33">
        <f t="shared" si="159"/>
        <v>349</v>
      </c>
      <c r="C342" s="33">
        <f t="shared" si="160"/>
        <v>2433</v>
      </c>
      <c r="D342" s="11">
        <f t="shared" si="161"/>
        <v>2782</v>
      </c>
      <c r="E342" s="34">
        <f t="shared" si="157"/>
        <v>1.84627961001272e-6</v>
      </c>
      <c r="F342" s="35">
        <f t="shared" si="162"/>
        <v>0.000320842610255753</v>
      </c>
      <c r="G342" s="18">
        <f>(SUM($I$8:$I342)*(MAX(M$3-M$4,0))+(N342*MAX(M$4,0)))*(1-$AM$4)+(AM342*$AM$4)</f>
        <v>0.107482274435677</v>
      </c>
      <c r="H342" s="18">
        <f t="shared" si="144"/>
        <v>1.04166666666667</v>
      </c>
      <c r="I342" s="18">
        <f t="shared" si="163"/>
        <v>0</v>
      </c>
      <c r="J342" s="18">
        <f t="shared" si="146"/>
        <v>0.219456345414935</v>
      </c>
      <c r="K342" s="18">
        <f t="shared" si="147"/>
        <v>0.00223651476958471</v>
      </c>
      <c r="L342" s="18">
        <f t="shared" si="148"/>
        <v>0</v>
      </c>
      <c r="M342" s="18">
        <v>0.025</v>
      </c>
      <c r="N342" s="18">
        <f t="shared" si="158"/>
        <v>0.025</v>
      </c>
      <c r="O342" s="11">
        <v>0</v>
      </c>
      <c r="P342" s="11">
        <v>0</v>
      </c>
      <c r="Q342" s="11">
        <f t="shared" si="164"/>
        <v>1</v>
      </c>
      <c r="R342" s="11">
        <v>0</v>
      </c>
      <c r="S342" s="11">
        <f t="shared" si="149"/>
        <v>0</v>
      </c>
      <c r="T342" s="11">
        <v>0</v>
      </c>
      <c r="U342" s="11">
        <f t="shared" si="165"/>
        <v>1</v>
      </c>
      <c r="V342" s="11">
        <v>0</v>
      </c>
      <c r="W342" s="11">
        <f t="shared" si="166"/>
        <v>1</v>
      </c>
      <c r="X342" s="11">
        <f t="shared" si="151"/>
        <v>0</v>
      </c>
      <c r="Y342" s="19">
        <v>0</v>
      </c>
      <c r="Z342" s="11">
        <v>0</v>
      </c>
      <c r="AA342" s="11">
        <v>0</v>
      </c>
      <c r="AB342" s="11">
        <v>0</v>
      </c>
      <c r="AC342" s="11">
        <v>0</v>
      </c>
      <c r="AD342" s="11">
        <v>0</v>
      </c>
      <c r="AE342" s="11">
        <v>0</v>
      </c>
      <c r="AF342" s="11">
        <v>0</v>
      </c>
      <c r="AG342" s="11">
        <v>0</v>
      </c>
      <c r="AH342" s="11">
        <v>0</v>
      </c>
      <c r="AI342" s="45">
        <v>0</v>
      </c>
      <c r="AJ342" s="45">
        <v>0</v>
      </c>
      <c r="AK342" s="45">
        <f t="shared" si="167"/>
        <v>0.3611</v>
      </c>
      <c r="AL342" s="45">
        <f t="shared" si="168"/>
        <v>0.00348095238095238</v>
      </c>
      <c r="AM342" s="45">
        <f t="shared" si="169"/>
        <v>0.0012569719047619</v>
      </c>
      <c r="AN342" s="45">
        <f t="shared" si="170"/>
        <v>0.792187500000003</v>
      </c>
      <c r="AO342" s="45">
        <f t="shared" si="171"/>
        <v>0.792187500000004</v>
      </c>
      <c r="AP342" s="45">
        <f t="shared" si="172"/>
        <v>1.05625</v>
      </c>
      <c r="AQ342" s="45">
        <f t="shared" si="173"/>
        <v>0</v>
      </c>
      <c r="AR342" s="45">
        <f t="shared" si="174"/>
        <v>0</v>
      </c>
      <c r="AS342" s="19">
        <f t="shared" si="175"/>
        <v>1.07916666666667</v>
      </c>
      <c r="AT342" s="19">
        <f t="shared" si="176"/>
        <v>1.03333333333334</v>
      </c>
      <c r="AU342" s="46">
        <v>0</v>
      </c>
      <c r="AV342" s="46">
        <v>0</v>
      </c>
      <c r="AW342" s="46">
        <v>0</v>
      </c>
      <c r="AX342" s="46">
        <v>1</v>
      </c>
      <c r="AY342" s="47">
        <v>0</v>
      </c>
      <c r="AZ342" s="47">
        <v>-1</v>
      </c>
    </row>
    <row r="343" hidden="1" customHeight="1" spans="1:52">
      <c r="A343" s="44">
        <v>45668</v>
      </c>
      <c r="B343" s="33">
        <f t="shared" si="159"/>
        <v>348</v>
      </c>
      <c r="C343" s="33">
        <f t="shared" si="160"/>
        <v>2415</v>
      </c>
      <c r="D343" s="11">
        <f t="shared" si="161"/>
        <v>2763</v>
      </c>
      <c r="E343" s="34">
        <f t="shared" si="157"/>
        <v>1.8352898504293e-6</v>
      </c>
      <c r="F343" s="35">
        <f t="shared" si="162"/>
        <v>0.000322677900106183</v>
      </c>
      <c r="G343" s="18">
        <f>(SUM($I$8:$I343)*(MAX(M$3-M$4,0))+(N343*MAX(M$4,0)))*(1-$AM$4)+(AM343*$AM$4)</f>
        <v>0.108419774435677</v>
      </c>
      <c r="H343" s="18">
        <f t="shared" si="144"/>
        <v>1.04166666666667</v>
      </c>
      <c r="I343" s="18">
        <f t="shared" si="163"/>
        <v>0</v>
      </c>
      <c r="J343" s="18">
        <f t="shared" si="146"/>
        <v>0.220711683672629</v>
      </c>
      <c r="K343" s="18">
        <f t="shared" si="147"/>
        <v>0.00223933424232003</v>
      </c>
      <c r="L343" s="18">
        <f t="shared" si="148"/>
        <v>0</v>
      </c>
      <c r="M343" s="18">
        <v>0.0275</v>
      </c>
      <c r="N343" s="18">
        <f t="shared" si="158"/>
        <v>0.0275</v>
      </c>
      <c r="O343" s="11">
        <v>0</v>
      </c>
      <c r="P343" s="11">
        <v>0</v>
      </c>
      <c r="Q343" s="11">
        <f t="shared" si="164"/>
        <v>1</v>
      </c>
      <c r="R343" s="11">
        <v>0</v>
      </c>
      <c r="S343" s="11">
        <f t="shared" si="149"/>
        <v>0</v>
      </c>
      <c r="T343" s="11">
        <v>0</v>
      </c>
      <c r="U343" s="11">
        <f t="shared" si="165"/>
        <v>1</v>
      </c>
      <c r="V343" s="11">
        <v>0</v>
      </c>
      <c r="W343" s="11">
        <f t="shared" si="166"/>
        <v>1</v>
      </c>
      <c r="X343" s="11">
        <f t="shared" si="151"/>
        <v>0</v>
      </c>
      <c r="Y343" s="19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1">
        <v>0</v>
      </c>
      <c r="AG343" s="11">
        <v>0</v>
      </c>
      <c r="AH343" s="11">
        <v>0</v>
      </c>
      <c r="AI343" s="45">
        <v>0</v>
      </c>
      <c r="AJ343" s="45">
        <v>0</v>
      </c>
      <c r="AK343" s="45">
        <f t="shared" si="167"/>
        <v>0.3611</v>
      </c>
      <c r="AL343" s="45">
        <f t="shared" si="168"/>
        <v>0.00348095238095238</v>
      </c>
      <c r="AM343" s="45">
        <f t="shared" si="169"/>
        <v>0.0012569719047619</v>
      </c>
      <c r="AN343" s="45">
        <f t="shared" si="170"/>
        <v>0.792187500000003</v>
      </c>
      <c r="AO343" s="45">
        <f t="shared" si="171"/>
        <v>0.792187500000004</v>
      </c>
      <c r="AP343" s="45">
        <f t="shared" si="172"/>
        <v>1.05625</v>
      </c>
      <c r="AQ343" s="45">
        <f t="shared" si="173"/>
        <v>0</v>
      </c>
      <c r="AR343" s="45">
        <f t="shared" si="174"/>
        <v>0</v>
      </c>
      <c r="AS343" s="19">
        <f t="shared" si="175"/>
        <v>1.07916666666667</v>
      </c>
      <c r="AT343" s="19">
        <f t="shared" si="176"/>
        <v>1.03333333333334</v>
      </c>
      <c r="AU343" s="46">
        <v>0</v>
      </c>
      <c r="AV343" s="46">
        <v>0</v>
      </c>
      <c r="AW343" s="46">
        <v>0</v>
      </c>
      <c r="AX343" s="46">
        <v>1</v>
      </c>
      <c r="AY343" s="47">
        <v>0</v>
      </c>
      <c r="AZ343" s="47">
        <v>-1</v>
      </c>
    </row>
    <row r="344" hidden="1" customHeight="1" spans="1:52">
      <c r="A344" s="44">
        <v>45669</v>
      </c>
      <c r="B344" s="33">
        <f t="shared" si="159"/>
        <v>347</v>
      </c>
      <c r="C344" s="33">
        <f t="shared" si="160"/>
        <v>2398</v>
      </c>
      <c r="D344" s="11">
        <f t="shared" si="161"/>
        <v>2745</v>
      </c>
      <c r="E344" s="34">
        <f t="shared" si="157"/>
        <v>1.82439792253356e-6</v>
      </c>
      <c r="F344" s="35">
        <f t="shared" si="162"/>
        <v>0.000324502298028716</v>
      </c>
      <c r="G344" s="18">
        <f>(SUM($I$8:$I344)*(MAX(M$3-M$4,0))+(N344*MAX(M$4,0)))*(1-$AM$4)+(AM344*$AM$4)</f>
        <v>0.109357274435677</v>
      </c>
      <c r="H344" s="18">
        <f t="shared" si="144"/>
        <v>1.04166666666667</v>
      </c>
      <c r="I344" s="18">
        <f t="shared" si="163"/>
        <v>0</v>
      </c>
      <c r="J344" s="18">
        <f t="shared" si="146"/>
        <v>0.221959571851642</v>
      </c>
      <c r="K344" s="18">
        <f t="shared" si="147"/>
        <v>0.00224219143558605</v>
      </c>
      <c r="L344" s="18">
        <f t="shared" si="148"/>
        <v>0</v>
      </c>
      <c r="M344" s="18">
        <v>0.03</v>
      </c>
      <c r="N344" s="18">
        <f t="shared" si="158"/>
        <v>0.03</v>
      </c>
      <c r="O344" s="11">
        <v>0</v>
      </c>
      <c r="P344" s="11">
        <v>0</v>
      </c>
      <c r="Q344" s="11">
        <f t="shared" si="164"/>
        <v>1</v>
      </c>
      <c r="R344" s="11">
        <v>0</v>
      </c>
      <c r="S344" s="11">
        <f t="shared" si="149"/>
        <v>0</v>
      </c>
      <c r="T344" s="11">
        <v>0</v>
      </c>
      <c r="U344" s="11">
        <f t="shared" si="165"/>
        <v>1</v>
      </c>
      <c r="V344" s="11">
        <v>0</v>
      </c>
      <c r="W344" s="11">
        <f t="shared" si="166"/>
        <v>1</v>
      </c>
      <c r="X344" s="11">
        <f t="shared" si="151"/>
        <v>0</v>
      </c>
      <c r="Y344" s="19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45">
        <v>0</v>
      </c>
      <c r="AJ344" s="45">
        <v>0</v>
      </c>
      <c r="AK344" s="45">
        <f t="shared" si="167"/>
        <v>0.3611</v>
      </c>
      <c r="AL344" s="45">
        <f t="shared" si="168"/>
        <v>0.00348095238095238</v>
      </c>
      <c r="AM344" s="45">
        <f t="shared" si="169"/>
        <v>0.0012569719047619</v>
      </c>
      <c r="AN344" s="45">
        <f t="shared" si="170"/>
        <v>0.792187500000003</v>
      </c>
      <c r="AO344" s="45">
        <f t="shared" si="171"/>
        <v>0.792187500000004</v>
      </c>
      <c r="AP344" s="45">
        <f t="shared" si="172"/>
        <v>1.05625</v>
      </c>
      <c r="AQ344" s="45">
        <f t="shared" si="173"/>
        <v>0</v>
      </c>
      <c r="AR344" s="45">
        <f t="shared" si="174"/>
        <v>0</v>
      </c>
      <c r="AS344" s="19">
        <f t="shared" si="175"/>
        <v>1.07916666666667</v>
      </c>
      <c r="AT344" s="19">
        <f t="shared" si="176"/>
        <v>1.03333333333334</v>
      </c>
      <c r="AU344" s="46">
        <v>0</v>
      </c>
      <c r="AV344" s="46">
        <v>0</v>
      </c>
      <c r="AW344" s="46">
        <v>0</v>
      </c>
      <c r="AX344" s="46">
        <v>1</v>
      </c>
      <c r="AY344" s="47">
        <v>0</v>
      </c>
      <c r="AZ344" s="47">
        <v>-1</v>
      </c>
    </row>
    <row r="345" hidden="1" customHeight="1" spans="1:52">
      <c r="A345" s="44">
        <v>45670</v>
      </c>
      <c r="B345" s="33">
        <f t="shared" si="159"/>
        <v>346</v>
      </c>
      <c r="C345" s="33">
        <f t="shared" si="160"/>
        <v>2381</v>
      </c>
      <c r="D345" s="11">
        <f t="shared" si="161"/>
        <v>2727</v>
      </c>
      <c r="E345" s="34">
        <f t="shared" si="157"/>
        <v>1.81360266855409e-6</v>
      </c>
      <c r="F345" s="35">
        <f t="shared" si="162"/>
        <v>0.00032631590069727</v>
      </c>
      <c r="G345" s="18">
        <f>(SUM($I$8:$I345)*(MAX(M$3-M$4,0))+(N345*MAX(M$4,0)))*(1-$AM$4)+(AM345*$AM$4)</f>
        <v>0.110294774435677</v>
      </c>
      <c r="H345" s="18">
        <f t="shared" si="144"/>
        <v>1.04166666666667</v>
      </c>
      <c r="I345" s="18">
        <f t="shared" si="163"/>
        <v>0</v>
      </c>
      <c r="J345" s="18">
        <f t="shared" si="146"/>
        <v>0.223200076076933</v>
      </c>
      <c r="K345" s="18">
        <f t="shared" si="147"/>
        <v>0.00224508648532678</v>
      </c>
      <c r="L345" s="18">
        <f t="shared" si="148"/>
        <v>0</v>
      </c>
      <c r="M345" s="18">
        <v>0.0325</v>
      </c>
      <c r="N345" s="18">
        <f t="shared" si="158"/>
        <v>0.0325</v>
      </c>
      <c r="O345" s="11">
        <v>0</v>
      </c>
      <c r="P345" s="11">
        <v>0</v>
      </c>
      <c r="Q345" s="11">
        <f t="shared" si="164"/>
        <v>1</v>
      </c>
      <c r="R345" s="11">
        <v>0</v>
      </c>
      <c r="S345" s="11">
        <f t="shared" si="149"/>
        <v>0</v>
      </c>
      <c r="T345" s="11">
        <v>0</v>
      </c>
      <c r="U345" s="11">
        <f t="shared" si="165"/>
        <v>1</v>
      </c>
      <c r="V345" s="11">
        <v>0</v>
      </c>
      <c r="W345" s="11">
        <f t="shared" si="166"/>
        <v>1</v>
      </c>
      <c r="X345" s="11">
        <f t="shared" si="151"/>
        <v>0</v>
      </c>
      <c r="Y345" s="19">
        <v>0</v>
      </c>
      <c r="Z345" s="11">
        <v>0</v>
      </c>
      <c r="AA345" s="11">
        <v>0</v>
      </c>
      <c r="AB345" s="11">
        <v>0</v>
      </c>
      <c r="AC345" s="11">
        <v>0</v>
      </c>
      <c r="AD345" s="11">
        <v>0</v>
      </c>
      <c r="AE345" s="11">
        <v>0</v>
      </c>
      <c r="AF345" s="11">
        <v>0</v>
      </c>
      <c r="AG345" s="11">
        <v>0</v>
      </c>
      <c r="AH345" s="11">
        <v>0</v>
      </c>
      <c r="AI345" s="45">
        <v>0</v>
      </c>
      <c r="AJ345" s="45">
        <v>0</v>
      </c>
      <c r="AK345" s="45">
        <f t="shared" si="167"/>
        <v>0.3611</v>
      </c>
      <c r="AL345" s="45">
        <f t="shared" si="168"/>
        <v>0.00348095238095238</v>
      </c>
      <c r="AM345" s="45">
        <f t="shared" si="169"/>
        <v>0.0012569719047619</v>
      </c>
      <c r="AN345" s="45">
        <f t="shared" si="170"/>
        <v>0.792187500000003</v>
      </c>
      <c r="AO345" s="45">
        <f t="shared" si="171"/>
        <v>0.792187500000004</v>
      </c>
      <c r="AP345" s="45">
        <f t="shared" si="172"/>
        <v>1.05625</v>
      </c>
      <c r="AQ345" s="45">
        <f t="shared" si="173"/>
        <v>0</v>
      </c>
      <c r="AR345" s="45">
        <f t="shared" si="174"/>
        <v>0</v>
      </c>
      <c r="AS345" s="19">
        <f t="shared" si="175"/>
        <v>1.07916666666667</v>
      </c>
      <c r="AT345" s="19">
        <f t="shared" si="176"/>
        <v>1.03333333333334</v>
      </c>
      <c r="AU345" s="46">
        <v>0</v>
      </c>
      <c r="AV345" s="46">
        <v>0</v>
      </c>
      <c r="AW345" s="46">
        <v>0</v>
      </c>
      <c r="AX345" s="46">
        <v>1</v>
      </c>
      <c r="AY345" s="47">
        <v>0</v>
      </c>
      <c r="AZ345" s="47">
        <v>-1</v>
      </c>
    </row>
    <row r="346" hidden="1" customHeight="1" spans="1:52">
      <c r="A346" s="44">
        <v>45671</v>
      </c>
      <c r="B346" s="33">
        <f t="shared" ref="B346:B409" si="177">B$2-A346+1</f>
        <v>345</v>
      </c>
      <c r="C346" s="33">
        <f t="shared" ref="C346:C409" si="178">D346-B346</f>
        <v>2364</v>
      </c>
      <c r="D346" s="11">
        <f t="shared" ref="D346:D409" si="179">IF(F346&gt;0,ROUND(((1-G346)/F346),0),FACT(128))</f>
        <v>2709</v>
      </c>
      <c r="E346" s="34">
        <f t="shared" si="157"/>
        <v>1.8029029477956e-6</v>
      </c>
      <c r="F346" s="35">
        <f t="shared" ref="F346:F409" si="180">G346/(ROW()-7)</f>
        <v>0.000328118803645066</v>
      </c>
      <c r="G346" s="18">
        <f>(SUM($I$8:$I346)*(MAX(M$3-M$4,0))+(N346*MAX(M$4,0)))*(1-$AM$4)+(AM346*$AM$4)</f>
        <v>0.111232274435677</v>
      </c>
      <c r="H346" s="18">
        <f t="shared" si="144"/>
        <v>1.04166666666667</v>
      </c>
      <c r="I346" s="18">
        <f t="shared" ref="I346:I409" si="181">L346*H346</f>
        <v>0</v>
      </c>
      <c r="J346" s="18">
        <f t="shared" si="146"/>
        <v>0.224433261693225</v>
      </c>
      <c r="K346" s="18">
        <f t="shared" si="147"/>
        <v>0.00224801953132399</v>
      </c>
      <c r="L346" s="18">
        <f t="shared" si="148"/>
        <v>0</v>
      </c>
      <c r="M346" s="18">
        <v>0.035</v>
      </c>
      <c r="N346" s="18">
        <f t="shared" si="158"/>
        <v>0.035</v>
      </c>
      <c r="O346" s="11">
        <v>0</v>
      </c>
      <c r="P346" s="11">
        <v>0</v>
      </c>
      <c r="Q346" s="11">
        <f t="shared" ref="Q346:Q409" si="182">($P$2-$P$4)+((P346/(MAX(1/FACT(128),O346)))*$P$4)</f>
        <v>1</v>
      </c>
      <c r="R346" s="11">
        <v>0</v>
      </c>
      <c r="S346" s="11">
        <f t="shared" si="149"/>
        <v>0</v>
      </c>
      <c r="T346" s="11">
        <v>0</v>
      </c>
      <c r="U346" s="11">
        <f t="shared" ref="U346:U409" si="183">MAX(1,T346)/(MAX(1,O346))</f>
        <v>1</v>
      </c>
      <c r="V346" s="11">
        <v>0</v>
      </c>
      <c r="W346" s="11">
        <f t="shared" ref="W346:W409" si="184">($V$4*V346/(MAX(1,O346)))+1</f>
        <v>1</v>
      </c>
      <c r="X346" s="11">
        <f t="shared" si="151"/>
        <v>0</v>
      </c>
      <c r="Y346" s="19">
        <v>0</v>
      </c>
      <c r="Z346" s="11">
        <v>0</v>
      </c>
      <c r="AA346" s="11">
        <v>0</v>
      </c>
      <c r="AB346" s="11">
        <v>0</v>
      </c>
      <c r="AC346" s="11">
        <v>0</v>
      </c>
      <c r="AD346" s="11">
        <v>0</v>
      </c>
      <c r="AE346" s="11">
        <v>0</v>
      </c>
      <c r="AF346" s="11">
        <v>0</v>
      </c>
      <c r="AG346" s="11">
        <v>0</v>
      </c>
      <c r="AH346" s="11">
        <v>0</v>
      </c>
      <c r="AI346" s="45">
        <v>0</v>
      </c>
      <c r="AJ346" s="45">
        <v>0</v>
      </c>
      <c r="AK346" s="45">
        <f t="shared" ref="AK346:AK409" si="185">IF(AI346&gt;0,AI346,AK345)</f>
        <v>0.3611</v>
      </c>
      <c r="AL346" s="45">
        <f t="shared" ref="AL346:AL409" si="186">IF(AJ346&gt;0,AJ346,AL345)</f>
        <v>0.00348095238095238</v>
      </c>
      <c r="AM346" s="45">
        <f t="shared" ref="AM346:AM409" si="187">AL346*AK346</f>
        <v>0.0012569719047619</v>
      </c>
      <c r="AN346" s="45">
        <f t="shared" ref="AN346:AN409" si="188">IFERROR(AVERAGEIF(AO339:AO345,"&gt;0",AO339:AO345),0)</f>
        <v>0.792187500000003</v>
      </c>
      <c r="AO346" s="45">
        <f t="shared" ref="AO346:AO409" si="189">AP346*0.75+AQ346*0.125+AR346*0.125</f>
        <v>0.792187500000004</v>
      </c>
      <c r="AP346" s="45">
        <f t="shared" ref="AP346:AP409" si="190">AVERAGE(AS346:AT346)</f>
        <v>1.05625</v>
      </c>
      <c r="AQ346" s="45">
        <f t="shared" ref="AQ346:AQ409" si="191">AY346/AQ$5</f>
        <v>0</v>
      </c>
      <c r="AR346" s="45">
        <f t="shared" ref="AR346:AR409" si="192">IF(AZ346&gt;=0,1/(AZ346+1),0)</f>
        <v>0</v>
      </c>
      <c r="AS346" s="19">
        <f t="shared" ref="AS346:AS409" si="193">IF((("24:00"-AX346+AU346)/$AS$5)&gt;0,(("24:00"-AX346+AU346)/$AS$5),AS345)</f>
        <v>1.07916666666667</v>
      </c>
      <c r="AT346" s="19">
        <f t="shared" ref="AT346:AT409" si="194">IF(((AW346-AV346)/$AT$5)&gt;0,((AW346-AV346)/$AT$5),AT345)</f>
        <v>1.03333333333334</v>
      </c>
      <c r="AU346" s="46">
        <v>0</v>
      </c>
      <c r="AV346" s="46">
        <v>0</v>
      </c>
      <c r="AW346" s="46">
        <v>0</v>
      </c>
      <c r="AX346" s="46">
        <v>1</v>
      </c>
      <c r="AY346" s="47">
        <v>0</v>
      </c>
      <c r="AZ346" s="47">
        <v>-1</v>
      </c>
    </row>
    <row r="347" hidden="1" customHeight="1" spans="1:52">
      <c r="A347" s="44">
        <v>45672</v>
      </c>
      <c r="B347" s="33">
        <f t="shared" si="177"/>
        <v>344</v>
      </c>
      <c r="C347" s="33">
        <f t="shared" si="178"/>
        <v>2347</v>
      </c>
      <c r="D347" s="11">
        <f t="shared" si="179"/>
        <v>2691</v>
      </c>
      <c r="E347" s="34">
        <f t="shared" si="157"/>
        <v>1.79229763633807e-6</v>
      </c>
      <c r="F347" s="35">
        <f t="shared" si="180"/>
        <v>0.000329911101281404</v>
      </c>
      <c r="G347" s="18">
        <f>(SUM($I$8:$I347)*(MAX(M$3-M$4,0))+(N347*MAX(M$4,0)))*(1-$AM$4)+(AM347*$AM$4)</f>
        <v>0.112169774435677</v>
      </c>
      <c r="H347" s="18">
        <f t="shared" si="144"/>
        <v>1.04166666666667</v>
      </c>
      <c r="I347" s="18">
        <f t="shared" si="181"/>
        <v>0</v>
      </c>
      <c r="J347" s="18">
        <f t="shared" si="146"/>
        <v>0.22565919327648</v>
      </c>
      <c r="K347" s="18">
        <f t="shared" si="147"/>
        <v>0.00225099071721953</v>
      </c>
      <c r="L347" s="18">
        <f t="shared" si="148"/>
        <v>0</v>
      </c>
      <c r="M347" s="18">
        <v>0.0375</v>
      </c>
      <c r="N347" s="18">
        <f t="shared" si="158"/>
        <v>0.0375</v>
      </c>
      <c r="O347" s="11">
        <v>0</v>
      </c>
      <c r="P347" s="11">
        <v>0</v>
      </c>
      <c r="Q347" s="11">
        <f t="shared" si="182"/>
        <v>1</v>
      </c>
      <c r="R347" s="11">
        <v>0</v>
      </c>
      <c r="S347" s="11">
        <f t="shared" si="149"/>
        <v>0</v>
      </c>
      <c r="T347" s="11">
        <v>0</v>
      </c>
      <c r="U347" s="11">
        <f t="shared" si="183"/>
        <v>1</v>
      </c>
      <c r="V347" s="11">
        <v>0</v>
      </c>
      <c r="W347" s="11">
        <f t="shared" si="184"/>
        <v>1</v>
      </c>
      <c r="X347" s="11">
        <f t="shared" si="151"/>
        <v>0</v>
      </c>
      <c r="Y347" s="19">
        <v>0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1">
        <v>0</v>
      </c>
      <c r="AG347" s="11">
        <v>0</v>
      </c>
      <c r="AH347" s="11">
        <v>0</v>
      </c>
      <c r="AI347" s="45">
        <v>0</v>
      </c>
      <c r="AJ347" s="45">
        <v>0</v>
      </c>
      <c r="AK347" s="45">
        <f t="shared" si="185"/>
        <v>0.3611</v>
      </c>
      <c r="AL347" s="45">
        <f t="shared" si="186"/>
        <v>0.00348095238095238</v>
      </c>
      <c r="AM347" s="45">
        <f t="shared" si="187"/>
        <v>0.0012569719047619</v>
      </c>
      <c r="AN347" s="45">
        <f t="shared" si="188"/>
        <v>0.792187500000003</v>
      </c>
      <c r="AO347" s="45">
        <f t="shared" si="189"/>
        <v>0.792187500000004</v>
      </c>
      <c r="AP347" s="45">
        <f t="shared" si="190"/>
        <v>1.05625</v>
      </c>
      <c r="AQ347" s="45">
        <f t="shared" si="191"/>
        <v>0</v>
      </c>
      <c r="AR347" s="45">
        <f t="shared" si="192"/>
        <v>0</v>
      </c>
      <c r="AS347" s="19">
        <f t="shared" si="193"/>
        <v>1.07916666666667</v>
      </c>
      <c r="AT347" s="19">
        <f t="shared" si="194"/>
        <v>1.03333333333334</v>
      </c>
      <c r="AU347" s="46">
        <v>0</v>
      </c>
      <c r="AV347" s="46">
        <v>0</v>
      </c>
      <c r="AW347" s="46">
        <v>0</v>
      </c>
      <c r="AX347" s="46">
        <v>1</v>
      </c>
      <c r="AY347" s="47">
        <v>0</v>
      </c>
      <c r="AZ347" s="47">
        <v>-1</v>
      </c>
    </row>
    <row r="348" hidden="1" customHeight="1" spans="1:52">
      <c r="A348" s="44">
        <v>45673</v>
      </c>
      <c r="B348" s="33">
        <f t="shared" si="177"/>
        <v>343</v>
      </c>
      <c r="C348" s="33">
        <f t="shared" si="178"/>
        <v>2331</v>
      </c>
      <c r="D348" s="11">
        <f t="shared" si="179"/>
        <v>2674</v>
      </c>
      <c r="E348" s="34">
        <f t="shared" si="157"/>
        <v>1.78178562674076e-6</v>
      </c>
      <c r="F348" s="35">
        <f t="shared" si="180"/>
        <v>0.000331692886908145</v>
      </c>
      <c r="G348" s="18">
        <f>(SUM($I$8:$I348)*(MAX(M$3-M$4,0))+(N348*MAX(M$4,0)))*(1-$AM$4)+(AM348*$AM$4)</f>
        <v>0.113107274435677</v>
      </c>
      <c r="H348" s="18">
        <f t="shared" si="144"/>
        <v>1.04166666666667</v>
      </c>
      <c r="I348" s="18">
        <f t="shared" si="181"/>
        <v>0</v>
      </c>
      <c r="J348" s="18">
        <f t="shared" si="146"/>
        <v>0.226877934645171</v>
      </c>
      <c r="K348" s="18">
        <f t="shared" si="147"/>
        <v>0.00225400019053886</v>
      </c>
      <c r="L348" s="18">
        <f t="shared" si="148"/>
        <v>0</v>
      </c>
      <c r="M348" s="18">
        <v>0.04</v>
      </c>
      <c r="N348" s="18">
        <f t="shared" si="158"/>
        <v>0.04</v>
      </c>
      <c r="O348" s="11">
        <v>0</v>
      </c>
      <c r="P348" s="11">
        <v>0</v>
      </c>
      <c r="Q348" s="11">
        <f t="shared" si="182"/>
        <v>1</v>
      </c>
      <c r="R348" s="11">
        <v>0</v>
      </c>
      <c r="S348" s="11">
        <f t="shared" si="149"/>
        <v>0</v>
      </c>
      <c r="T348" s="11">
        <v>0</v>
      </c>
      <c r="U348" s="11">
        <f t="shared" si="183"/>
        <v>1</v>
      </c>
      <c r="V348" s="11">
        <v>0</v>
      </c>
      <c r="W348" s="11">
        <f t="shared" si="184"/>
        <v>1</v>
      </c>
      <c r="X348" s="11">
        <f t="shared" si="151"/>
        <v>0</v>
      </c>
      <c r="Y348" s="19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45">
        <v>0</v>
      </c>
      <c r="AJ348" s="45">
        <v>0</v>
      </c>
      <c r="AK348" s="45">
        <f t="shared" si="185"/>
        <v>0.3611</v>
      </c>
      <c r="AL348" s="45">
        <f t="shared" si="186"/>
        <v>0.00348095238095238</v>
      </c>
      <c r="AM348" s="45">
        <f t="shared" si="187"/>
        <v>0.0012569719047619</v>
      </c>
      <c r="AN348" s="45">
        <f t="shared" si="188"/>
        <v>0.792187500000003</v>
      </c>
      <c r="AO348" s="45">
        <f t="shared" si="189"/>
        <v>0.792187500000004</v>
      </c>
      <c r="AP348" s="45">
        <f t="shared" si="190"/>
        <v>1.05625</v>
      </c>
      <c r="AQ348" s="45">
        <f t="shared" si="191"/>
        <v>0</v>
      </c>
      <c r="AR348" s="45">
        <f t="shared" si="192"/>
        <v>0</v>
      </c>
      <c r="AS348" s="19">
        <f t="shared" si="193"/>
        <v>1.07916666666667</v>
      </c>
      <c r="AT348" s="19">
        <f t="shared" si="194"/>
        <v>1.03333333333334</v>
      </c>
      <c r="AU348" s="46">
        <v>0</v>
      </c>
      <c r="AV348" s="46">
        <v>0</v>
      </c>
      <c r="AW348" s="46">
        <v>0</v>
      </c>
      <c r="AX348" s="46">
        <v>1</v>
      </c>
      <c r="AY348" s="47">
        <v>0</v>
      </c>
      <c r="AZ348" s="47">
        <v>-1</v>
      </c>
    </row>
    <row r="349" hidden="1" customHeight="1" spans="1:52">
      <c r="A349" s="44">
        <v>45674</v>
      </c>
      <c r="B349" s="33">
        <f t="shared" si="177"/>
        <v>342</v>
      </c>
      <c r="C349" s="33">
        <f t="shared" si="178"/>
        <v>2315</v>
      </c>
      <c r="D349" s="11">
        <f t="shared" si="179"/>
        <v>2657</v>
      </c>
      <c r="E349" s="34">
        <f t="shared" si="157"/>
        <v>1.77136582775402e-6</v>
      </c>
      <c r="F349" s="35">
        <f t="shared" si="180"/>
        <v>0.000333464252735899</v>
      </c>
      <c r="G349" s="18">
        <f>(SUM($I$8:$I349)*(MAX(M$3-M$4,0))+(N349*MAX(M$4,0)))*(1-$AM$4)+(AM349*$AM$4)</f>
        <v>0.114044774435677</v>
      </c>
      <c r="H349" s="18">
        <f t="shared" si="144"/>
        <v>1.04166666666667</v>
      </c>
      <c r="I349" s="18">
        <f t="shared" si="181"/>
        <v>0</v>
      </c>
      <c r="J349" s="18">
        <f t="shared" si="146"/>
        <v>0.228089548871355</v>
      </c>
      <c r="K349" s="18">
        <f t="shared" si="147"/>
        <v>0.00225704810271534</v>
      </c>
      <c r="L349" s="18">
        <f t="shared" si="148"/>
        <v>0</v>
      </c>
      <c r="M349" s="18">
        <v>0.0425</v>
      </c>
      <c r="N349" s="18">
        <f t="shared" si="158"/>
        <v>0.0425</v>
      </c>
      <c r="O349" s="11">
        <v>0</v>
      </c>
      <c r="P349" s="11">
        <v>0</v>
      </c>
      <c r="Q349" s="11">
        <f t="shared" si="182"/>
        <v>1</v>
      </c>
      <c r="R349" s="11">
        <v>0</v>
      </c>
      <c r="S349" s="11">
        <f t="shared" si="149"/>
        <v>0</v>
      </c>
      <c r="T349" s="11">
        <v>0</v>
      </c>
      <c r="U349" s="11">
        <f t="shared" si="183"/>
        <v>1</v>
      </c>
      <c r="V349" s="11">
        <v>0</v>
      </c>
      <c r="W349" s="11">
        <f t="shared" si="184"/>
        <v>1</v>
      </c>
      <c r="X349" s="11">
        <f t="shared" si="151"/>
        <v>0</v>
      </c>
      <c r="Y349" s="19">
        <v>0</v>
      </c>
      <c r="Z349" s="11">
        <v>0</v>
      </c>
      <c r="AA349" s="11">
        <v>0</v>
      </c>
      <c r="AB349" s="11">
        <v>0</v>
      </c>
      <c r="AC349" s="11">
        <v>0</v>
      </c>
      <c r="AD349" s="11">
        <v>0</v>
      </c>
      <c r="AE349" s="11">
        <v>0</v>
      </c>
      <c r="AF349" s="11">
        <v>0</v>
      </c>
      <c r="AG349" s="11">
        <v>0</v>
      </c>
      <c r="AH349" s="11">
        <v>0</v>
      </c>
      <c r="AI349" s="45">
        <v>0</v>
      </c>
      <c r="AJ349" s="45">
        <v>0</v>
      </c>
      <c r="AK349" s="45">
        <f t="shared" si="185"/>
        <v>0.3611</v>
      </c>
      <c r="AL349" s="45">
        <f t="shared" si="186"/>
        <v>0.00348095238095238</v>
      </c>
      <c r="AM349" s="45">
        <f t="shared" si="187"/>
        <v>0.0012569719047619</v>
      </c>
      <c r="AN349" s="45">
        <f t="shared" si="188"/>
        <v>0.792187500000003</v>
      </c>
      <c r="AO349" s="45">
        <f t="shared" si="189"/>
        <v>0.792187500000004</v>
      </c>
      <c r="AP349" s="45">
        <f t="shared" si="190"/>
        <v>1.05625</v>
      </c>
      <c r="AQ349" s="45">
        <f t="shared" si="191"/>
        <v>0</v>
      </c>
      <c r="AR349" s="45">
        <f t="shared" si="192"/>
        <v>0</v>
      </c>
      <c r="AS349" s="19">
        <f t="shared" si="193"/>
        <v>1.07916666666667</v>
      </c>
      <c r="AT349" s="19">
        <f t="shared" si="194"/>
        <v>1.03333333333334</v>
      </c>
      <c r="AU349" s="46">
        <v>0</v>
      </c>
      <c r="AV349" s="46">
        <v>0</v>
      </c>
      <c r="AW349" s="46">
        <v>0</v>
      </c>
      <c r="AX349" s="46">
        <v>1</v>
      </c>
      <c r="AY349" s="47">
        <v>0</v>
      </c>
      <c r="AZ349" s="47">
        <v>-1</v>
      </c>
    </row>
    <row r="350" hidden="1" customHeight="1" spans="1:52">
      <c r="A350" s="44">
        <v>45675</v>
      </c>
      <c r="B350" s="33">
        <f t="shared" si="177"/>
        <v>341</v>
      </c>
      <c r="C350" s="33">
        <f t="shared" si="178"/>
        <v>2299</v>
      </c>
      <c r="D350" s="11">
        <f t="shared" si="179"/>
        <v>2640</v>
      </c>
      <c r="E350" s="34">
        <f t="shared" si="157"/>
        <v>1.76103716403522e-6</v>
      </c>
      <c r="F350" s="35">
        <f t="shared" si="180"/>
        <v>0.000335225289899934</v>
      </c>
      <c r="G350" s="18">
        <f>(SUM($I$8:$I350)*(MAX(M$3-M$4,0))+(N350*MAX(M$4,0)))*(1-$AM$4)+(AM350*$AM$4)</f>
        <v>0.114982274435677</v>
      </c>
      <c r="H350" s="18">
        <f t="shared" si="144"/>
        <v>1.04166666666667</v>
      </c>
      <c r="I350" s="18">
        <f t="shared" si="181"/>
        <v>0</v>
      </c>
      <c r="J350" s="18">
        <f t="shared" si="146"/>
        <v>0.229294098291555</v>
      </c>
      <c r="K350" s="18">
        <f t="shared" si="147"/>
        <v>0.00226013460911568</v>
      </c>
      <c r="L350" s="18">
        <f t="shared" si="148"/>
        <v>0</v>
      </c>
      <c r="M350" s="18">
        <v>0.045</v>
      </c>
      <c r="N350" s="18">
        <f t="shared" si="158"/>
        <v>0.045</v>
      </c>
      <c r="O350" s="11">
        <v>0</v>
      </c>
      <c r="P350" s="11">
        <v>0</v>
      </c>
      <c r="Q350" s="11">
        <f t="shared" si="182"/>
        <v>1</v>
      </c>
      <c r="R350" s="11">
        <v>0</v>
      </c>
      <c r="S350" s="11">
        <f t="shared" si="149"/>
        <v>0</v>
      </c>
      <c r="T350" s="11">
        <v>0</v>
      </c>
      <c r="U350" s="11">
        <f t="shared" si="183"/>
        <v>1</v>
      </c>
      <c r="V350" s="11">
        <v>0</v>
      </c>
      <c r="W350" s="11">
        <f t="shared" si="184"/>
        <v>1</v>
      </c>
      <c r="X350" s="11">
        <f t="shared" si="151"/>
        <v>0</v>
      </c>
      <c r="Y350" s="19">
        <v>0</v>
      </c>
      <c r="Z350" s="11">
        <v>0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1">
        <v>0</v>
      </c>
      <c r="AG350" s="11">
        <v>0</v>
      </c>
      <c r="AH350" s="11">
        <v>0</v>
      </c>
      <c r="AI350" s="45">
        <v>0</v>
      </c>
      <c r="AJ350" s="45">
        <v>0</v>
      </c>
      <c r="AK350" s="45">
        <f t="shared" si="185"/>
        <v>0.3611</v>
      </c>
      <c r="AL350" s="45">
        <f t="shared" si="186"/>
        <v>0.00348095238095238</v>
      </c>
      <c r="AM350" s="45">
        <f t="shared" si="187"/>
        <v>0.0012569719047619</v>
      </c>
      <c r="AN350" s="45">
        <f t="shared" si="188"/>
        <v>0.792187500000003</v>
      </c>
      <c r="AO350" s="45">
        <f t="shared" si="189"/>
        <v>0.792187500000004</v>
      </c>
      <c r="AP350" s="45">
        <f t="shared" si="190"/>
        <v>1.05625</v>
      </c>
      <c r="AQ350" s="45">
        <f t="shared" si="191"/>
        <v>0</v>
      </c>
      <c r="AR350" s="45">
        <f t="shared" si="192"/>
        <v>0</v>
      </c>
      <c r="AS350" s="19">
        <f t="shared" si="193"/>
        <v>1.07916666666667</v>
      </c>
      <c r="AT350" s="19">
        <f t="shared" si="194"/>
        <v>1.03333333333334</v>
      </c>
      <c r="AU350" s="46">
        <v>0</v>
      </c>
      <c r="AV350" s="46">
        <v>0</v>
      </c>
      <c r="AW350" s="46">
        <v>0</v>
      </c>
      <c r="AX350" s="46">
        <v>1</v>
      </c>
      <c r="AY350" s="47">
        <v>0</v>
      </c>
      <c r="AZ350" s="47">
        <v>-1</v>
      </c>
    </row>
    <row r="351" hidden="1" customHeight="1" spans="1:52">
      <c r="A351" s="44">
        <v>45676</v>
      </c>
      <c r="B351" s="33">
        <f t="shared" si="177"/>
        <v>340</v>
      </c>
      <c r="C351" s="33">
        <f t="shared" si="178"/>
        <v>2284</v>
      </c>
      <c r="D351" s="11">
        <f t="shared" si="179"/>
        <v>2624</v>
      </c>
      <c r="E351" s="34">
        <f t="shared" si="157"/>
        <v>1.75079857587227e-6</v>
      </c>
      <c r="F351" s="35">
        <f t="shared" si="180"/>
        <v>0.000336976088475806</v>
      </c>
      <c r="G351" s="18">
        <f>(SUM($I$8:$I351)*(MAX(M$3-M$4,0))+(N351*MAX(M$4,0)))*(1-$AM$4)+(AM351*$AM$4)</f>
        <v>0.115919774435677</v>
      </c>
      <c r="H351" s="18">
        <f t="shared" si="144"/>
        <v>1.04166666666667</v>
      </c>
      <c r="I351" s="18">
        <f t="shared" si="181"/>
        <v>0</v>
      </c>
      <c r="J351" s="18">
        <f t="shared" si="146"/>
        <v>0.230491644517451</v>
      </c>
      <c r="K351" s="18">
        <f t="shared" si="147"/>
        <v>0.00226325986906632</v>
      </c>
      <c r="L351" s="18">
        <f t="shared" si="148"/>
        <v>0</v>
      </c>
      <c r="M351" s="18">
        <v>0.0475</v>
      </c>
      <c r="N351" s="18">
        <f t="shared" si="158"/>
        <v>0.0475</v>
      </c>
      <c r="O351" s="11">
        <v>0</v>
      </c>
      <c r="P351" s="11">
        <v>0</v>
      </c>
      <c r="Q351" s="11">
        <f t="shared" si="182"/>
        <v>1</v>
      </c>
      <c r="R351" s="11">
        <v>0</v>
      </c>
      <c r="S351" s="11">
        <f t="shared" si="149"/>
        <v>0</v>
      </c>
      <c r="T351" s="11">
        <v>0</v>
      </c>
      <c r="U351" s="11">
        <f t="shared" si="183"/>
        <v>1</v>
      </c>
      <c r="V351" s="11">
        <v>0</v>
      </c>
      <c r="W351" s="11">
        <f t="shared" si="184"/>
        <v>1</v>
      </c>
      <c r="X351" s="11">
        <f t="shared" si="151"/>
        <v>0</v>
      </c>
      <c r="Y351" s="19">
        <v>0</v>
      </c>
      <c r="Z351" s="11">
        <v>0</v>
      </c>
      <c r="AA351" s="11">
        <v>0</v>
      </c>
      <c r="AB351" s="11">
        <v>0</v>
      </c>
      <c r="AC351" s="11">
        <v>0</v>
      </c>
      <c r="AD351" s="11">
        <v>0</v>
      </c>
      <c r="AE351" s="11">
        <v>0</v>
      </c>
      <c r="AF351" s="11">
        <v>0</v>
      </c>
      <c r="AG351" s="11">
        <v>0</v>
      </c>
      <c r="AH351" s="11">
        <v>0</v>
      </c>
      <c r="AI351" s="45">
        <v>0</v>
      </c>
      <c r="AJ351" s="45">
        <v>0</v>
      </c>
      <c r="AK351" s="45">
        <f t="shared" si="185"/>
        <v>0.3611</v>
      </c>
      <c r="AL351" s="45">
        <f t="shared" si="186"/>
        <v>0.00348095238095238</v>
      </c>
      <c r="AM351" s="45">
        <f t="shared" si="187"/>
        <v>0.0012569719047619</v>
      </c>
      <c r="AN351" s="45">
        <f t="shared" si="188"/>
        <v>0.792187500000003</v>
      </c>
      <c r="AO351" s="45">
        <f t="shared" si="189"/>
        <v>0.792187500000004</v>
      </c>
      <c r="AP351" s="45">
        <f t="shared" si="190"/>
        <v>1.05625</v>
      </c>
      <c r="AQ351" s="45">
        <f t="shared" si="191"/>
        <v>0</v>
      </c>
      <c r="AR351" s="45">
        <f t="shared" si="192"/>
        <v>0</v>
      </c>
      <c r="AS351" s="19">
        <f t="shared" si="193"/>
        <v>1.07916666666667</v>
      </c>
      <c r="AT351" s="19">
        <f t="shared" si="194"/>
        <v>1.03333333333334</v>
      </c>
      <c r="AU351" s="46">
        <v>0</v>
      </c>
      <c r="AV351" s="46">
        <v>0</v>
      </c>
      <c r="AW351" s="46">
        <v>0</v>
      </c>
      <c r="AX351" s="46">
        <v>1</v>
      </c>
      <c r="AY351" s="47">
        <v>0</v>
      </c>
      <c r="AZ351" s="47">
        <v>-1</v>
      </c>
    </row>
    <row r="352" hidden="1" customHeight="1" spans="1:52">
      <c r="A352" s="44">
        <v>45677</v>
      </c>
      <c r="B352" s="33">
        <f t="shared" si="177"/>
        <v>339</v>
      </c>
      <c r="C352" s="33">
        <f t="shared" si="178"/>
        <v>2268</v>
      </c>
      <c r="D352" s="11">
        <f t="shared" si="179"/>
        <v>2607</v>
      </c>
      <c r="E352" s="34">
        <f t="shared" si="157"/>
        <v>1.74064901891074e-6</v>
      </c>
      <c r="F352" s="35">
        <f t="shared" si="180"/>
        <v>0.000338716737494717</v>
      </c>
      <c r="G352" s="18">
        <f>(SUM($I$8:$I352)*(MAX(M$3-M$4,0))+(N352*MAX(M$4,0)))*(1-$AM$4)+(AM352*$AM$4)</f>
        <v>0.116857274435677</v>
      </c>
      <c r="H352" s="18">
        <f t="shared" si="144"/>
        <v>1.04166666666667</v>
      </c>
      <c r="I352" s="18">
        <f t="shared" si="181"/>
        <v>0</v>
      </c>
      <c r="J352" s="18">
        <f t="shared" si="146"/>
        <v>0.231682248446386</v>
      </c>
      <c r="K352" s="18">
        <f t="shared" si="147"/>
        <v>0.00226642404588087</v>
      </c>
      <c r="L352" s="18">
        <f t="shared" si="148"/>
        <v>0</v>
      </c>
      <c r="M352" s="18">
        <v>0.05</v>
      </c>
      <c r="N352" s="18">
        <f t="shared" si="158"/>
        <v>0.05</v>
      </c>
      <c r="O352" s="11">
        <v>0</v>
      </c>
      <c r="P352" s="11">
        <v>0</v>
      </c>
      <c r="Q352" s="11">
        <f t="shared" si="182"/>
        <v>1</v>
      </c>
      <c r="R352" s="11">
        <v>0</v>
      </c>
      <c r="S352" s="11">
        <f t="shared" si="149"/>
        <v>0</v>
      </c>
      <c r="T352" s="11">
        <v>0</v>
      </c>
      <c r="U352" s="11">
        <f t="shared" si="183"/>
        <v>1</v>
      </c>
      <c r="V352" s="11">
        <v>0</v>
      </c>
      <c r="W352" s="11">
        <f t="shared" si="184"/>
        <v>1</v>
      </c>
      <c r="X352" s="11">
        <f t="shared" si="151"/>
        <v>0</v>
      </c>
      <c r="Y352" s="19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45">
        <v>0</v>
      </c>
      <c r="AJ352" s="45">
        <v>0</v>
      </c>
      <c r="AK352" s="45">
        <f t="shared" si="185"/>
        <v>0.3611</v>
      </c>
      <c r="AL352" s="45">
        <f t="shared" si="186"/>
        <v>0.00348095238095238</v>
      </c>
      <c r="AM352" s="45">
        <f t="shared" si="187"/>
        <v>0.0012569719047619</v>
      </c>
      <c r="AN352" s="45">
        <f t="shared" si="188"/>
        <v>0.792187500000003</v>
      </c>
      <c r="AO352" s="45">
        <f t="shared" si="189"/>
        <v>0.792187500000004</v>
      </c>
      <c r="AP352" s="45">
        <f t="shared" si="190"/>
        <v>1.05625</v>
      </c>
      <c r="AQ352" s="45">
        <f t="shared" si="191"/>
        <v>0</v>
      </c>
      <c r="AR352" s="45">
        <f t="shared" si="192"/>
        <v>0</v>
      </c>
      <c r="AS352" s="19">
        <f t="shared" si="193"/>
        <v>1.07916666666667</v>
      </c>
      <c r="AT352" s="19">
        <f t="shared" si="194"/>
        <v>1.03333333333334</v>
      </c>
      <c r="AU352" s="46">
        <v>0</v>
      </c>
      <c r="AV352" s="46">
        <v>0</v>
      </c>
      <c r="AW352" s="46">
        <v>0</v>
      </c>
      <c r="AX352" s="46">
        <v>1</v>
      </c>
      <c r="AY352" s="47">
        <v>0</v>
      </c>
      <c r="AZ352" s="47">
        <v>-1</v>
      </c>
    </row>
    <row r="353" hidden="1" customHeight="1" spans="1:52">
      <c r="A353" s="44">
        <v>45678</v>
      </c>
      <c r="B353" s="33">
        <f t="shared" si="177"/>
        <v>338</v>
      </c>
      <c r="C353" s="33">
        <f t="shared" si="178"/>
        <v>2253</v>
      </c>
      <c r="D353" s="11">
        <f t="shared" si="179"/>
        <v>2591</v>
      </c>
      <c r="E353" s="34">
        <f t="shared" si="157"/>
        <v>1.73058746388816e-6</v>
      </c>
      <c r="F353" s="35">
        <f t="shared" si="180"/>
        <v>0.000340447324958605</v>
      </c>
      <c r="G353" s="18">
        <f>(SUM($I$8:$I353)*(MAX(M$3-M$4,0))+(N353*MAX(M$4,0)))*(1-$AM$4)+(AM353*$AM$4)</f>
        <v>0.117794774435677</v>
      </c>
      <c r="H353" s="18">
        <f t="shared" si="144"/>
        <v>1.04166666666667</v>
      </c>
      <c r="I353" s="18">
        <f t="shared" si="181"/>
        <v>0</v>
      </c>
      <c r="J353" s="18">
        <f t="shared" si="146"/>
        <v>0.232865970271686</v>
      </c>
      <c r="K353" s="18">
        <f t="shared" si="147"/>
        <v>0.0022696273068885</v>
      </c>
      <c r="L353" s="18">
        <f t="shared" si="148"/>
        <v>0</v>
      </c>
      <c r="M353" s="18">
        <v>0.0525</v>
      </c>
      <c r="N353" s="18">
        <f t="shared" si="158"/>
        <v>0.0525</v>
      </c>
      <c r="O353" s="11">
        <v>0</v>
      </c>
      <c r="P353" s="11">
        <v>0</v>
      </c>
      <c r="Q353" s="11">
        <f t="shared" si="182"/>
        <v>1</v>
      </c>
      <c r="R353" s="11">
        <v>0</v>
      </c>
      <c r="S353" s="11">
        <f t="shared" si="149"/>
        <v>0</v>
      </c>
      <c r="T353" s="11">
        <v>0</v>
      </c>
      <c r="U353" s="11">
        <f t="shared" si="183"/>
        <v>1</v>
      </c>
      <c r="V353" s="11">
        <v>0</v>
      </c>
      <c r="W353" s="11">
        <f t="shared" si="184"/>
        <v>1</v>
      </c>
      <c r="X353" s="11">
        <f t="shared" si="151"/>
        <v>0</v>
      </c>
      <c r="Y353" s="19">
        <v>0</v>
      </c>
      <c r="Z353" s="11">
        <v>0</v>
      </c>
      <c r="AA353" s="11">
        <v>0</v>
      </c>
      <c r="AB353" s="11">
        <v>0</v>
      </c>
      <c r="AC353" s="11">
        <v>0</v>
      </c>
      <c r="AD353" s="11">
        <v>0</v>
      </c>
      <c r="AE353" s="11">
        <v>0</v>
      </c>
      <c r="AF353" s="11">
        <v>0</v>
      </c>
      <c r="AG353" s="11">
        <v>0</v>
      </c>
      <c r="AH353" s="11">
        <v>0</v>
      </c>
      <c r="AI353" s="45">
        <v>0</v>
      </c>
      <c r="AJ353" s="45">
        <v>0</v>
      </c>
      <c r="AK353" s="45">
        <f t="shared" si="185"/>
        <v>0.3611</v>
      </c>
      <c r="AL353" s="45">
        <f t="shared" si="186"/>
        <v>0.00348095238095238</v>
      </c>
      <c r="AM353" s="45">
        <f t="shared" si="187"/>
        <v>0.0012569719047619</v>
      </c>
      <c r="AN353" s="45">
        <f t="shared" si="188"/>
        <v>0.792187500000003</v>
      </c>
      <c r="AO353" s="45">
        <f t="shared" si="189"/>
        <v>0.792187500000004</v>
      </c>
      <c r="AP353" s="45">
        <f t="shared" si="190"/>
        <v>1.05625</v>
      </c>
      <c r="AQ353" s="45">
        <f t="shared" si="191"/>
        <v>0</v>
      </c>
      <c r="AR353" s="45">
        <f t="shared" si="192"/>
        <v>0</v>
      </c>
      <c r="AS353" s="19">
        <f t="shared" si="193"/>
        <v>1.07916666666667</v>
      </c>
      <c r="AT353" s="19">
        <f t="shared" si="194"/>
        <v>1.03333333333334</v>
      </c>
      <c r="AU353" s="46">
        <v>0</v>
      </c>
      <c r="AV353" s="46">
        <v>0</v>
      </c>
      <c r="AW353" s="46">
        <v>0</v>
      </c>
      <c r="AX353" s="46">
        <v>1</v>
      </c>
      <c r="AY353" s="47">
        <v>0</v>
      </c>
      <c r="AZ353" s="47">
        <v>-1</v>
      </c>
    </row>
    <row r="354" hidden="1" customHeight="1" spans="1:52">
      <c r="A354" s="44">
        <v>45679</v>
      </c>
      <c r="B354" s="33">
        <f t="shared" si="177"/>
        <v>337</v>
      </c>
      <c r="C354" s="33">
        <f t="shared" si="178"/>
        <v>2239</v>
      </c>
      <c r="D354" s="11">
        <f t="shared" si="179"/>
        <v>2576</v>
      </c>
      <c r="E354" s="34">
        <f t="shared" si="157"/>
        <v>1.72061289637279e-6</v>
      </c>
      <c r="F354" s="35">
        <f t="shared" si="180"/>
        <v>0.000342167937854978</v>
      </c>
      <c r="G354" s="18">
        <f>(SUM($I$8:$I354)*(MAX(M$3-M$4,0))+(N354*MAX(M$4,0)))*(1-$AM$4)+(AM354*$AM$4)</f>
        <v>0.118732274435677</v>
      </c>
      <c r="H354" s="18">
        <f t="shared" si="144"/>
        <v>1.04166666666667</v>
      </c>
      <c r="I354" s="18">
        <f t="shared" si="181"/>
        <v>0</v>
      </c>
      <c r="J354" s="18">
        <f t="shared" si="146"/>
        <v>0.234042869492805</v>
      </c>
      <c r="K354" s="18">
        <f t="shared" si="147"/>
        <v>0.00227286982346349</v>
      </c>
      <c r="L354" s="18">
        <f t="shared" si="148"/>
        <v>0</v>
      </c>
      <c r="M354" s="18">
        <v>0.055</v>
      </c>
      <c r="N354" s="18">
        <f t="shared" si="158"/>
        <v>0.055</v>
      </c>
      <c r="O354" s="11">
        <v>0</v>
      </c>
      <c r="P354" s="11">
        <v>0</v>
      </c>
      <c r="Q354" s="11">
        <f t="shared" si="182"/>
        <v>1</v>
      </c>
      <c r="R354" s="11">
        <v>0</v>
      </c>
      <c r="S354" s="11">
        <f t="shared" si="149"/>
        <v>0</v>
      </c>
      <c r="T354" s="11">
        <v>0</v>
      </c>
      <c r="U354" s="11">
        <f t="shared" si="183"/>
        <v>1</v>
      </c>
      <c r="V354" s="11">
        <v>0</v>
      </c>
      <c r="W354" s="11">
        <f t="shared" si="184"/>
        <v>1</v>
      </c>
      <c r="X354" s="11">
        <f t="shared" si="151"/>
        <v>0</v>
      </c>
      <c r="Y354" s="19">
        <v>0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45">
        <v>0</v>
      </c>
      <c r="AJ354" s="45">
        <v>0</v>
      </c>
      <c r="AK354" s="45">
        <f t="shared" si="185"/>
        <v>0.3611</v>
      </c>
      <c r="AL354" s="45">
        <f t="shared" si="186"/>
        <v>0.00348095238095238</v>
      </c>
      <c r="AM354" s="45">
        <f t="shared" si="187"/>
        <v>0.0012569719047619</v>
      </c>
      <c r="AN354" s="45">
        <f t="shared" si="188"/>
        <v>0.792187500000003</v>
      </c>
      <c r="AO354" s="45">
        <f t="shared" si="189"/>
        <v>0.792187500000004</v>
      </c>
      <c r="AP354" s="45">
        <f t="shared" si="190"/>
        <v>1.05625</v>
      </c>
      <c r="AQ354" s="45">
        <f t="shared" si="191"/>
        <v>0</v>
      </c>
      <c r="AR354" s="45">
        <f t="shared" si="192"/>
        <v>0</v>
      </c>
      <c r="AS354" s="19">
        <f t="shared" si="193"/>
        <v>1.07916666666667</v>
      </c>
      <c r="AT354" s="19">
        <f t="shared" si="194"/>
        <v>1.03333333333334</v>
      </c>
      <c r="AU354" s="46">
        <v>0</v>
      </c>
      <c r="AV354" s="46">
        <v>0</v>
      </c>
      <c r="AW354" s="46">
        <v>0</v>
      </c>
      <c r="AX354" s="46">
        <v>1</v>
      </c>
      <c r="AY354" s="47">
        <v>0</v>
      </c>
      <c r="AZ354" s="47">
        <v>-1</v>
      </c>
    </row>
    <row r="355" hidden="1" customHeight="1" spans="1:52">
      <c r="A355" s="44">
        <v>45680</v>
      </c>
      <c r="B355" s="33">
        <f t="shared" si="177"/>
        <v>336</v>
      </c>
      <c r="C355" s="33">
        <f t="shared" si="178"/>
        <v>2224</v>
      </c>
      <c r="D355" s="11">
        <f t="shared" si="179"/>
        <v>2560</v>
      </c>
      <c r="E355" s="34">
        <f t="shared" si="157"/>
        <v>1.71072431650872e-6</v>
      </c>
      <c r="F355" s="35">
        <f t="shared" si="180"/>
        <v>0.000343878662171487</v>
      </c>
      <c r="G355" s="18">
        <f>(SUM($I$8:$I355)*(MAX(M$3-M$4,0))+(N355*MAX(M$4,0)))*(1-$AM$4)+(AM355*$AM$4)</f>
        <v>0.119669774435677</v>
      </c>
      <c r="H355" s="18">
        <f t="shared" si="144"/>
        <v>1.04166666666667</v>
      </c>
      <c r="I355" s="18">
        <f t="shared" si="181"/>
        <v>0</v>
      </c>
      <c r="J355" s="18">
        <f t="shared" si="146"/>
        <v>0.235213004925297</v>
      </c>
      <c r="K355" s="18">
        <f t="shared" si="147"/>
        <v>0.00227615177105566</v>
      </c>
      <c r="L355" s="18">
        <f t="shared" si="148"/>
        <v>0</v>
      </c>
      <c r="M355" s="18">
        <v>0.0575</v>
      </c>
      <c r="N355" s="18">
        <f t="shared" si="158"/>
        <v>0.0575</v>
      </c>
      <c r="O355" s="11">
        <v>0</v>
      </c>
      <c r="P355" s="11">
        <v>0</v>
      </c>
      <c r="Q355" s="11">
        <f t="shared" si="182"/>
        <v>1</v>
      </c>
      <c r="R355" s="11">
        <v>0</v>
      </c>
      <c r="S355" s="11">
        <f t="shared" si="149"/>
        <v>0</v>
      </c>
      <c r="T355" s="11">
        <v>0</v>
      </c>
      <c r="U355" s="11">
        <f t="shared" si="183"/>
        <v>1</v>
      </c>
      <c r="V355" s="11">
        <v>0</v>
      </c>
      <c r="W355" s="11">
        <f t="shared" si="184"/>
        <v>1</v>
      </c>
      <c r="X355" s="11">
        <f t="shared" si="151"/>
        <v>0</v>
      </c>
      <c r="Y355" s="19">
        <v>0</v>
      </c>
      <c r="Z355" s="11">
        <v>0</v>
      </c>
      <c r="AA355" s="11">
        <v>0</v>
      </c>
      <c r="AB355" s="11">
        <v>0</v>
      </c>
      <c r="AC355" s="11">
        <v>0</v>
      </c>
      <c r="AD355" s="11">
        <v>0</v>
      </c>
      <c r="AE355" s="11">
        <v>0</v>
      </c>
      <c r="AF355" s="11">
        <v>0</v>
      </c>
      <c r="AG355" s="11">
        <v>0</v>
      </c>
      <c r="AH355" s="11">
        <v>0</v>
      </c>
      <c r="AI355" s="45">
        <v>0</v>
      </c>
      <c r="AJ355" s="45">
        <v>0</v>
      </c>
      <c r="AK355" s="45">
        <f t="shared" si="185"/>
        <v>0.3611</v>
      </c>
      <c r="AL355" s="45">
        <f t="shared" si="186"/>
        <v>0.00348095238095238</v>
      </c>
      <c r="AM355" s="45">
        <f t="shared" si="187"/>
        <v>0.0012569719047619</v>
      </c>
      <c r="AN355" s="45">
        <f t="shared" si="188"/>
        <v>0.792187500000003</v>
      </c>
      <c r="AO355" s="45">
        <f t="shared" si="189"/>
        <v>0.792187500000004</v>
      </c>
      <c r="AP355" s="45">
        <f t="shared" si="190"/>
        <v>1.05625</v>
      </c>
      <c r="AQ355" s="45">
        <f t="shared" si="191"/>
        <v>0</v>
      </c>
      <c r="AR355" s="45">
        <f t="shared" si="192"/>
        <v>0</v>
      </c>
      <c r="AS355" s="19">
        <f t="shared" si="193"/>
        <v>1.07916666666667</v>
      </c>
      <c r="AT355" s="19">
        <f t="shared" si="194"/>
        <v>1.03333333333334</v>
      </c>
      <c r="AU355" s="46">
        <v>0</v>
      </c>
      <c r="AV355" s="46">
        <v>0</v>
      </c>
      <c r="AW355" s="46">
        <v>0</v>
      </c>
      <c r="AX355" s="46">
        <v>1</v>
      </c>
      <c r="AY355" s="47">
        <v>0</v>
      </c>
      <c r="AZ355" s="47">
        <v>-1</v>
      </c>
    </row>
    <row r="356" hidden="1" customHeight="1" spans="1:52">
      <c r="A356" s="44">
        <v>45681</v>
      </c>
      <c r="B356" s="33">
        <f t="shared" si="177"/>
        <v>335</v>
      </c>
      <c r="C356" s="33">
        <f t="shared" si="178"/>
        <v>2210</v>
      </c>
      <c r="D356" s="11">
        <f t="shared" si="179"/>
        <v>2545</v>
      </c>
      <c r="E356" s="34">
        <f t="shared" si="157"/>
        <v>1.7009207387637e-6</v>
      </c>
      <c r="F356" s="35">
        <f t="shared" si="180"/>
        <v>0.00034557958291025</v>
      </c>
      <c r="G356" s="18">
        <f>(SUM($I$8:$I356)*(MAX(M$3-M$4,0))+(N356*MAX(M$4,0)))*(1-$AM$4)+(AM356*$AM$4)</f>
        <v>0.120607274435677</v>
      </c>
      <c r="H356" s="18">
        <f t="shared" si="144"/>
        <v>1.04166666666667</v>
      </c>
      <c r="I356" s="18">
        <f t="shared" si="181"/>
        <v>0</v>
      </c>
      <c r="J356" s="18">
        <f t="shared" si="146"/>
        <v>0.236376434710611</v>
      </c>
      <c r="K356" s="18">
        <f t="shared" si="147"/>
        <v>0.00227947332922206</v>
      </c>
      <c r="L356" s="18">
        <f t="shared" si="148"/>
        <v>0</v>
      </c>
      <c r="M356" s="18">
        <v>0.06</v>
      </c>
      <c r="N356" s="18">
        <f t="shared" si="158"/>
        <v>0.06</v>
      </c>
      <c r="O356" s="11">
        <v>0</v>
      </c>
      <c r="P356" s="11">
        <v>0</v>
      </c>
      <c r="Q356" s="11">
        <f t="shared" si="182"/>
        <v>1</v>
      </c>
      <c r="R356" s="11">
        <v>0</v>
      </c>
      <c r="S356" s="11">
        <f t="shared" si="149"/>
        <v>0</v>
      </c>
      <c r="T356" s="11">
        <v>0</v>
      </c>
      <c r="U356" s="11">
        <f t="shared" si="183"/>
        <v>1</v>
      </c>
      <c r="V356" s="11">
        <v>0</v>
      </c>
      <c r="W356" s="11">
        <f t="shared" si="184"/>
        <v>1</v>
      </c>
      <c r="X356" s="11">
        <f t="shared" si="151"/>
        <v>0</v>
      </c>
      <c r="Y356" s="19">
        <v>0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45">
        <v>0</v>
      </c>
      <c r="AJ356" s="45">
        <v>0</v>
      </c>
      <c r="AK356" s="45">
        <f t="shared" si="185"/>
        <v>0.3611</v>
      </c>
      <c r="AL356" s="45">
        <f t="shared" si="186"/>
        <v>0.00348095238095238</v>
      </c>
      <c r="AM356" s="45">
        <f t="shared" si="187"/>
        <v>0.0012569719047619</v>
      </c>
      <c r="AN356" s="45">
        <f t="shared" si="188"/>
        <v>0.792187500000003</v>
      </c>
      <c r="AO356" s="45">
        <f t="shared" si="189"/>
        <v>0.792187500000004</v>
      </c>
      <c r="AP356" s="45">
        <f t="shared" si="190"/>
        <v>1.05625</v>
      </c>
      <c r="AQ356" s="45">
        <f t="shared" si="191"/>
        <v>0</v>
      </c>
      <c r="AR356" s="45">
        <f t="shared" si="192"/>
        <v>0</v>
      </c>
      <c r="AS356" s="19">
        <f t="shared" si="193"/>
        <v>1.07916666666667</v>
      </c>
      <c r="AT356" s="19">
        <f t="shared" si="194"/>
        <v>1.03333333333334</v>
      </c>
      <c r="AU356" s="46">
        <v>0</v>
      </c>
      <c r="AV356" s="46">
        <v>0</v>
      </c>
      <c r="AW356" s="46">
        <v>0</v>
      </c>
      <c r="AX356" s="46">
        <v>1</v>
      </c>
      <c r="AY356" s="47">
        <v>0</v>
      </c>
      <c r="AZ356" s="47">
        <v>-1</v>
      </c>
    </row>
    <row r="357" hidden="1" customHeight="1" spans="1:52">
      <c r="A357" s="44">
        <v>45682</v>
      </c>
      <c r="B357" s="33">
        <f t="shared" si="177"/>
        <v>334</v>
      </c>
      <c r="C357" s="33">
        <f t="shared" si="178"/>
        <v>2196</v>
      </c>
      <c r="D357" s="11">
        <f t="shared" si="179"/>
        <v>2530</v>
      </c>
      <c r="E357" s="34">
        <f t="shared" si="157"/>
        <v>1.69120119168501e-6</v>
      </c>
      <c r="F357" s="35">
        <f t="shared" si="180"/>
        <v>0.000347270784101935</v>
      </c>
      <c r="G357" s="18">
        <f>(SUM($I$8:$I357)*(MAX(M$3-M$4,0))+(N357*MAX(M$4,0)))*(1-$AM$4)+(AM357*$AM$4)</f>
        <v>0.121544774435677</v>
      </c>
      <c r="H357" s="18">
        <f t="shared" si="144"/>
        <v>1.04166666666667</v>
      </c>
      <c r="I357" s="18">
        <f t="shared" si="181"/>
        <v>0</v>
      </c>
      <c r="J357" s="18">
        <f t="shared" si="146"/>
        <v>0.237533216325724</v>
      </c>
      <c r="K357" s="18">
        <f t="shared" si="147"/>
        <v>0.00228283468165951</v>
      </c>
      <c r="L357" s="18">
        <f t="shared" si="148"/>
        <v>0</v>
      </c>
      <c r="M357" s="18">
        <v>0.0625</v>
      </c>
      <c r="N357" s="18">
        <f t="shared" si="158"/>
        <v>0.0625</v>
      </c>
      <c r="O357" s="11">
        <v>0</v>
      </c>
      <c r="P357" s="11">
        <v>0</v>
      </c>
      <c r="Q357" s="11">
        <f t="shared" si="182"/>
        <v>1</v>
      </c>
      <c r="R357" s="11">
        <v>0</v>
      </c>
      <c r="S357" s="11">
        <f t="shared" si="149"/>
        <v>0</v>
      </c>
      <c r="T357" s="11">
        <v>0</v>
      </c>
      <c r="U357" s="11">
        <f t="shared" si="183"/>
        <v>1</v>
      </c>
      <c r="V357" s="11">
        <v>0</v>
      </c>
      <c r="W357" s="11">
        <f t="shared" si="184"/>
        <v>1</v>
      </c>
      <c r="X357" s="11">
        <f t="shared" si="151"/>
        <v>0</v>
      </c>
      <c r="Y357" s="19">
        <v>0</v>
      </c>
      <c r="Z357" s="11">
        <v>0</v>
      </c>
      <c r="AA357" s="11">
        <v>0</v>
      </c>
      <c r="AB357" s="11">
        <v>0</v>
      </c>
      <c r="AC357" s="11">
        <v>0</v>
      </c>
      <c r="AD357" s="11">
        <v>0</v>
      </c>
      <c r="AE357" s="11">
        <v>0</v>
      </c>
      <c r="AF357" s="11">
        <v>0</v>
      </c>
      <c r="AG357" s="11">
        <v>0</v>
      </c>
      <c r="AH357" s="11">
        <v>0</v>
      </c>
      <c r="AI357" s="45">
        <v>0</v>
      </c>
      <c r="AJ357" s="45">
        <v>0</v>
      </c>
      <c r="AK357" s="45">
        <f t="shared" si="185"/>
        <v>0.3611</v>
      </c>
      <c r="AL357" s="45">
        <f t="shared" si="186"/>
        <v>0.00348095238095238</v>
      </c>
      <c r="AM357" s="45">
        <f t="shared" si="187"/>
        <v>0.0012569719047619</v>
      </c>
      <c r="AN357" s="45">
        <f t="shared" si="188"/>
        <v>0.792187500000003</v>
      </c>
      <c r="AO357" s="45">
        <f t="shared" si="189"/>
        <v>0.792187500000004</v>
      </c>
      <c r="AP357" s="45">
        <f t="shared" si="190"/>
        <v>1.05625</v>
      </c>
      <c r="AQ357" s="45">
        <f t="shared" si="191"/>
        <v>0</v>
      </c>
      <c r="AR357" s="45">
        <f t="shared" si="192"/>
        <v>0</v>
      </c>
      <c r="AS357" s="19">
        <f t="shared" si="193"/>
        <v>1.07916666666667</v>
      </c>
      <c r="AT357" s="19">
        <f t="shared" si="194"/>
        <v>1.03333333333334</v>
      </c>
      <c r="AU357" s="46">
        <v>0</v>
      </c>
      <c r="AV357" s="46">
        <v>0</v>
      </c>
      <c r="AW357" s="46">
        <v>0</v>
      </c>
      <c r="AX357" s="46">
        <v>1</v>
      </c>
      <c r="AY357" s="47">
        <v>0</v>
      </c>
      <c r="AZ357" s="47">
        <v>-1</v>
      </c>
    </row>
    <row r="358" hidden="1" customHeight="1" spans="1:52">
      <c r="A358" s="44">
        <v>45683</v>
      </c>
      <c r="B358" s="33">
        <f t="shared" si="177"/>
        <v>333</v>
      </c>
      <c r="C358" s="33">
        <f t="shared" si="178"/>
        <v>2182</v>
      </c>
      <c r="D358" s="11">
        <f t="shared" si="179"/>
        <v>2515</v>
      </c>
      <c r="E358" s="34">
        <f t="shared" si="157"/>
        <v>1.68156471765823e-6</v>
      </c>
      <c r="F358" s="35">
        <f t="shared" si="180"/>
        <v>0.000348952348819594</v>
      </c>
      <c r="G358" s="18">
        <f>(SUM($I$8:$I358)*(MAX(M$3-M$4,0))+(N358*MAX(M$4,0)))*(1-$AM$4)+(AM358*$AM$4)</f>
        <v>0.122482274435677</v>
      </c>
      <c r="H358" s="18">
        <f t="shared" si="144"/>
        <v>1.04166666666667</v>
      </c>
      <c r="I358" s="18">
        <f t="shared" si="181"/>
        <v>0</v>
      </c>
      <c r="J358" s="18">
        <f t="shared" si="146"/>
        <v>0.238683406592602</v>
      </c>
      <c r="K358" s="18">
        <f t="shared" si="147"/>
        <v>0.00228623601623843</v>
      </c>
      <c r="L358" s="18">
        <f t="shared" si="148"/>
        <v>0</v>
      </c>
      <c r="M358" s="18">
        <v>0.065</v>
      </c>
      <c r="N358" s="18">
        <f t="shared" si="158"/>
        <v>0.065</v>
      </c>
      <c r="O358" s="11">
        <v>0</v>
      </c>
      <c r="P358" s="11">
        <v>0</v>
      </c>
      <c r="Q358" s="11">
        <f t="shared" si="182"/>
        <v>1</v>
      </c>
      <c r="R358" s="11">
        <v>0</v>
      </c>
      <c r="S358" s="11">
        <f t="shared" si="149"/>
        <v>0</v>
      </c>
      <c r="T358" s="11">
        <v>0</v>
      </c>
      <c r="U358" s="11">
        <f t="shared" si="183"/>
        <v>1</v>
      </c>
      <c r="V358" s="11">
        <v>0</v>
      </c>
      <c r="W358" s="11">
        <f t="shared" si="184"/>
        <v>1</v>
      </c>
      <c r="X358" s="11">
        <f t="shared" si="151"/>
        <v>0</v>
      </c>
      <c r="Y358" s="19">
        <v>0</v>
      </c>
      <c r="Z358" s="11">
        <v>0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45">
        <v>0</v>
      </c>
      <c r="AJ358" s="45">
        <v>0</v>
      </c>
      <c r="AK358" s="45">
        <f t="shared" si="185"/>
        <v>0.3611</v>
      </c>
      <c r="AL358" s="45">
        <f t="shared" si="186"/>
        <v>0.00348095238095238</v>
      </c>
      <c r="AM358" s="45">
        <f t="shared" si="187"/>
        <v>0.0012569719047619</v>
      </c>
      <c r="AN358" s="45">
        <f t="shared" si="188"/>
        <v>0.792187500000003</v>
      </c>
      <c r="AO358" s="45">
        <f t="shared" si="189"/>
        <v>0.792187500000004</v>
      </c>
      <c r="AP358" s="45">
        <f t="shared" si="190"/>
        <v>1.05625</v>
      </c>
      <c r="AQ358" s="45">
        <f t="shared" si="191"/>
        <v>0</v>
      </c>
      <c r="AR358" s="45">
        <f t="shared" si="192"/>
        <v>0</v>
      </c>
      <c r="AS358" s="19">
        <f t="shared" si="193"/>
        <v>1.07916666666667</v>
      </c>
      <c r="AT358" s="19">
        <f t="shared" si="194"/>
        <v>1.03333333333334</v>
      </c>
      <c r="AU358" s="46">
        <v>0</v>
      </c>
      <c r="AV358" s="46">
        <v>0</v>
      </c>
      <c r="AW358" s="46">
        <v>0</v>
      </c>
      <c r="AX358" s="46">
        <v>1</v>
      </c>
      <c r="AY358" s="47">
        <v>0</v>
      </c>
      <c r="AZ358" s="47">
        <v>-1</v>
      </c>
    </row>
    <row r="359" hidden="1" customHeight="1" spans="1:52">
      <c r="A359" s="44">
        <v>45684</v>
      </c>
      <c r="B359" s="33">
        <f t="shared" si="177"/>
        <v>332</v>
      </c>
      <c r="C359" s="33">
        <f t="shared" si="178"/>
        <v>2168</v>
      </c>
      <c r="D359" s="11">
        <f t="shared" si="179"/>
        <v>2500</v>
      </c>
      <c r="E359" s="34">
        <f t="shared" si="157"/>
        <v>1.67201037267167e-6</v>
      </c>
      <c r="F359" s="35">
        <f t="shared" si="180"/>
        <v>0.000350624359192265</v>
      </c>
      <c r="G359" s="18">
        <f>(SUM($I$8:$I359)*(MAX(M$3-M$4,0))+(N359*MAX(M$4,0)))*(1-$AM$4)+(AM359*$AM$4)</f>
        <v>0.123419774435677</v>
      </c>
      <c r="H359" s="18">
        <f t="shared" si="144"/>
        <v>1.04166666666667</v>
      </c>
      <c r="I359" s="18">
        <f t="shared" si="181"/>
        <v>0</v>
      </c>
      <c r="J359" s="18">
        <f t="shared" si="146"/>
        <v>0.239827061687509</v>
      </c>
      <c r="K359" s="18">
        <f t="shared" si="147"/>
        <v>0.00228967752503762</v>
      </c>
      <c r="L359" s="18">
        <f t="shared" si="148"/>
        <v>0</v>
      </c>
      <c r="M359" s="18">
        <v>0.0675</v>
      </c>
      <c r="N359" s="18">
        <f t="shared" si="158"/>
        <v>0.0675</v>
      </c>
      <c r="O359" s="11">
        <v>0</v>
      </c>
      <c r="P359" s="11">
        <v>0</v>
      </c>
      <c r="Q359" s="11">
        <f t="shared" si="182"/>
        <v>1</v>
      </c>
      <c r="R359" s="11">
        <v>0</v>
      </c>
      <c r="S359" s="11">
        <f t="shared" si="149"/>
        <v>0</v>
      </c>
      <c r="T359" s="11">
        <v>0</v>
      </c>
      <c r="U359" s="11">
        <f t="shared" si="183"/>
        <v>1</v>
      </c>
      <c r="V359" s="11">
        <v>0</v>
      </c>
      <c r="W359" s="11">
        <f t="shared" si="184"/>
        <v>1</v>
      </c>
      <c r="X359" s="11">
        <f t="shared" si="151"/>
        <v>0</v>
      </c>
      <c r="Y359" s="19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1">
        <v>0</v>
      </c>
      <c r="AG359" s="11">
        <v>0</v>
      </c>
      <c r="AH359" s="11">
        <v>0</v>
      </c>
      <c r="AI359" s="45">
        <v>0</v>
      </c>
      <c r="AJ359" s="45">
        <v>0</v>
      </c>
      <c r="AK359" s="45">
        <f t="shared" si="185"/>
        <v>0.3611</v>
      </c>
      <c r="AL359" s="45">
        <f t="shared" si="186"/>
        <v>0.00348095238095238</v>
      </c>
      <c r="AM359" s="45">
        <f t="shared" si="187"/>
        <v>0.0012569719047619</v>
      </c>
      <c r="AN359" s="45">
        <f t="shared" si="188"/>
        <v>0.792187500000003</v>
      </c>
      <c r="AO359" s="45">
        <f t="shared" si="189"/>
        <v>0.792187500000004</v>
      </c>
      <c r="AP359" s="45">
        <f t="shared" si="190"/>
        <v>1.05625</v>
      </c>
      <c r="AQ359" s="45">
        <f t="shared" si="191"/>
        <v>0</v>
      </c>
      <c r="AR359" s="45">
        <f t="shared" si="192"/>
        <v>0</v>
      </c>
      <c r="AS359" s="19">
        <f t="shared" si="193"/>
        <v>1.07916666666667</v>
      </c>
      <c r="AT359" s="19">
        <f t="shared" si="194"/>
        <v>1.03333333333334</v>
      </c>
      <c r="AU359" s="46">
        <v>0</v>
      </c>
      <c r="AV359" s="46">
        <v>0</v>
      </c>
      <c r="AW359" s="46">
        <v>0</v>
      </c>
      <c r="AX359" s="46">
        <v>1</v>
      </c>
      <c r="AY359" s="47">
        <v>0</v>
      </c>
      <c r="AZ359" s="47">
        <v>-1</v>
      </c>
    </row>
    <row r="360" hidden="1" customHeight="1" spans="1:52">
      <c r="A360" s="44">
        <v>45685</v>
      </c>
      <c r="B360" s="33">
        <f t="shared" si="177"/>
        <v>331</v>
      </c>
      <c r="C360" s="33">
        <f t="shared" si="178"/>
        <v>2155</v>
      </c>
      <c r="D360" s="11">
        <f t="shared" si="179"/>
        <v>2486</v>
      </c>
      <c r="E360" s="34">
        <f t="shared" si="157"/>
        <v>1.66253722608424e-6</v>
      </c>
      <c r="F360" s="35">
        <f t="shared" si="180"/>
        <v>0.000352286896418349</v>
      </c>
      <c r="G360" s="18">
        <f>(SUM($I$8:$I360)*(MAX(M$3-M$4,0))+(N360*MAX(M$4,0)))*(1-$AM$4)+(AM360*$AM$4)</f>
        <v>0.124357274435677</v>
      </c>
      <c r="H360" s="18">
        <f t="shared" si="144"/>
        <v>1.04166666666667</v>
      </c>
      <c r="I360" s="18">
        <f t="shared" si="181"/>
        <v>0</v>
      </c>
      <c r="J360" s="18">
        <f t="shared" si="146"/>
        <v>0.240964237150151</v>
      </c>
      <c r="K360" s="18">
        <f t="shared" si="147"/>
        <v>0.00229315940438021</v>
      </c>
      <c r="L360" s="18">
        <f t="shared" si="148"/>
        <v>0</v>
      </c>
      <c r="M360" s="18">
        <v>0.07</v>
      </c>
      <c r="N360" s="18">
        <f t="shared" si="158"/>
        <v>0.07</v>
      </c>
      <c r="O360" s="11">
        <v>0</v>
      </c>
      <c r="P360" s="11">
        <v>0</v>
      </c>
      <c r="Q360" s="11">
        <f t="shared" si="182"/>
        <v>1</v>
      </c>
      <c r="R360" s="11">
        <v>0</v>
      </c>
      <c r="S360" s="11">
        <f t="shared" si="149"/>
        <v>0</v>
      </c>
      <c r="T360" s="11">
        <v>0</v>
      </c>
      <c r="U360" s="11">
        <f t="shared" si="183"/>
        <v>1</v>
      </c>
      <c r="V360" s="11">
        <v>0</v>
      </c>
      <c r="W360" s="11">
        <f t="shared" si="184"/>
        <v>1</v>
      </c>
      <c r="X360" s="11">
        <f t="shared" si="151"/>
        <v>0</v>
      </c>
      <c r="Y360" s="19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45">
        <v>0</v>
      </c>
      <c r="AJ360" s="45">
        <v>0</v>
      </c>
      <c r="AK360" s="45">
        <f t="shared" si="185"/>
        <v>0.3611</v>
      </c>
      <c r="AL360" s="45">
        <f t="shared" si="186"/>
        <v>0.00348095238095238</v>
      </c>
      <c r="AM360" s="45">
        <f t="shared" si="187"/>
        <v>0.0012569719047619</v>
      </c>
      <c r="AN360" s="45">
        <f t="shared" si="188"/>
        <v>0.792187500000003</v>
      </c>
      <c r="AO360" s="45">
        <f t="shared" si="189"/>
        <v>0.792187500000004</v>
      </c>
      <c r="AP360" s="45">
        <f t="shared" si="190"/>
        <v>1.05625</v>
      </c>
      <c r="AQ360" s="45">
        <f t="shared" si="191"/>
        <v>0</v>
      </c>
      <c r="AR360" s="45">
        <f t="shared" si="192"/>
        <v>0</v>
      </c>
      <c r="AS360" s="19">
        <f t="shared" si="193"/>
        <v>1.07916666666667</v>
      </c>
      <c r="AT360" s="19">
        <f t="shared" si="194"/>
        <v>1.03333333333334</v>
      </c>
      <c r="AU360" s="46">
        <v>0</v>
      </c>
      <c r="AV360" s="46">
        <v>0</v>
      </c>
      <c r="AW360" s="46">
        <v>0</v>
      </c>
      <c r="AX360" s="46">
        <v>1</v>
      </c>
      <c r="AY360" s="47">
        <v>0</v>
      </c>
      <c r="AZ360" s="47">
        <v>-1</v>
      </c>
    </row>
    <row r="361" hidden="1" customHeight="1" spans="1:52">
      <c r="A361" s="44">
        <v>45686</v>
      </c>
      <c r="B361" s="33">
        <f t="shared" si="177"/>
        <v>330</v>
      </c>
      <c r="C361" s="33">
        <f t="shared" si="178"/>
        <v>2141</v>
      </c>
      <c r="D361" s="11">
        <f t="shared" si="179"/>
        <v>2471</v>
      </c>
      <c r="E361" s="34">
        <f t="shared" si="157"/>
        <v>1.65314436040016e-6</v>
      </c>
      <c r="F361" s="35">
        <f t="shared" si="180"/>
        <v>0.00035394004077875</v>
      </c>
      <c r="G361" s="18">
        <f>(SUM($I$8:$I361)*(MAX(M$3-M$4,0))+(N361*MAX(M$4,0)))*(1-$AM$4)+(AM361*$AM$4)</f>
        <v>0.125294774435677</v>
      </c>
      <c r="H361" s="18">
        <f t="shared" si="144"/>
        <v>1.04166666666667</v>
      </c>
      <c r="I361" s="18">
        <f t="shared" si="181"/>
        <v>0</v>
      </c>
      <c r="J361" s="18">
        <f t="shared" si="146"/>
        <v>0.242094987892665</v>
      </c>
      <c r="K361" s="18">
        <f t="shared" si="147"/>
        <v>0.00229668185487071</v>
      </c>
      <c r="L361" s="18">
        <f t="shared" si="148"/>
        <v>0</v>
      </c>
      <c r="M361" s="18">
        <v>0.0725</v>
      </c>
      <c r="N361" s="18">
        <f t="shared" si="158"/>
        <v>0.0725</v>
      </c>
      <c r="O361" s="11">
        <v>0</v>
      </c>
      <c r="P361" s="11">
        <v>0</v>
      </c>
      <c r="Q361" s="11">
        <f t="shared" si="182"/>
        <v>1</v>
      </c>
      <c r="R361" s="11">
        <v>0</v>
      </c>
      <c r="S361" s="11">
        <f t="shared" si="149"/>
        <v>0</v>
      </c>
      <c r="T361" s="11">
        <v>0</v>
      </c>
      <c r="U361" s="11">
        <f t="shared" si="183"/>
        <v>1</v>
      </c>
      <c r="V361" s="11">
        <v>0</v>
      </c>
      <c r="W361" s="11">
        <f t="shared" si="184"/>
        <v>1</v>
      </c>
      <c r="X361" s="11">
        <f t="shared" si="151"/>
        <v>0</v>
      </c>
      <c r="Y361" s="19">
        <v>0</v>
      </c>
      <c r="Z361" s="11">
        <v>0</v>
      </c>
      <c r="AA361" s="11">
        <v>0</v>
      </c>
      <c r="AB361" s="11">
        <v>0</v>
      </c>
      <c r="AC361" s="11">
        <v>0</v>
      </c>
      <c r="AD361" s="11">
        <v>0</v>
      </c>
      <c r="AE361" s="11">
        <v>0</v>
      </c>
      <c r="AF361" s="11">
        <v>0</v>
      </c>
      <c r="AG361" s="11">
        <v>0</v>
      </c>
      <c r="AH361" s="11">
        <v>0</v>
      </c>
      <c r="AI361" s="45">
        <v>0</v>
      </c>
      <c r="AJ361" s="45">
        <v>0</v>
      </c>
      <c r="AK361" s="45">
        <f t="shared" si="185"/>
        <v>0.3611</v>
      </c>
      <c r="AL361" s="45">
        <f t="shared" si="186"/>
        <v>0.00348095238095238</v>
      </c>
      <c r="AM361" s="45">
        <f t="shared" si="187"/>
        <v>0.0012569719047619</v>
      </c>
      <c r="AN361" s="45">
        <f t="shared" si="188"/>
        <v>0.792187500000003</v>
      </c>
      <c r="AO361" s="45">
        <f t="shared" si="189"/>
        <v>0.792187500000004</v>
      </c>
      <c r="AP361" s="45">
        <f t="shared" si="190"/>
        <v>1.05625</v>
      </c>
      <c r="AQ361" s="45">
        <f t="shared" si="191"/>
        <v>0</v>
      </c>
      <c r="AR361" s="45">
        <f t="shared" si="192"/>
        <v>0</v>
      </c>
      <c r="AS361" s="19">
        <f t="shared" si="193"/>
        <v>1.07916666666667</v>
      </c>
      <c r="AT361" s="19">
        <f t="shared" si="194"/>
        <v>1.03333333333334</v>
      </c>
      <c r="AU361" s="46">
        <v>0</v>
      </c>
      <c r="AV361" s="46">
        <v>0</v>
      </c>
      <c r="AW361" s="46">
        <v>0</v>
      </c>
      <c r="AX361" s="46">
        <v>1</v>
      </c>
      <c r="AY361" s="47">
        <v>0</v>
      </c>
      <c r="AZ361" s="47">
        <v>-1</v>
      </c>
    </row>
    <row r="362" hidden="1" customHeight="1" spans="1:52">
      <c r="A362" s="44">
        <v>45687</v>
      </c>
      <c r="B362" s="33">
        <f t="shared" si="177"/>
        <v>329</v>
      </c>
      <c r="C362" s="33">
        <f t="shared" si="178"/>
        <v>2128</v>
      </c>
      <c r="D362" s="11">
        <f t="shared" si="179"/>
        <v>2457</v>
      </c>
      <c r="E362" s="34">
        <f t="shared" si="157"/>
        <v>1.6438308710458e-6</v>
      </c>
      <c r="F362" s="35">
        <f t="shared" si="180"/>
        <v>0.000355583871649795</v>
      </c>
      <c r="G362" s="18">
        <f>(SUM($I$8:$I362)*(MAX(M$3-M$4,0))+(N362*MAX(M$4,0)))*(1-$AM$4)+(AM362*$AM$4)</f>
        <v>0.126232274435677</v>
      </c>
      <c r="H362" s="18">
        <f t="shared" si="144"/>
        <v>1.04166666666667</v>
      </c>
      <c r="I362" s="18">
        <f t="shared" si="181"/>
        <v>0</v>
      </c>
      <c r="J362" s="18">
        <f t="shared" si="146"/>
        <v>0.24321936820846</v>
      </c>
      <c r="K362" s="18">
        <f t="shared" si="147"/>
        <v>0.00230024508143325</v>
      </c>
      <c r="L362" s="18">
        <f t="shared" si="148"/>
        <v>0</v>
      </c>
      <c r="M362" s="18">
        <v>0.075</v>
      </c>
      <c r="N362" s="18">
        <f t="shared" si="158"/>
        <v>0.075</v>
      </c>
      <c r="O362" s="11">
        <v>0</v>
      </c>
      <c r="P362" s="11">
        <v>0</v>
      </c>
      <c r="Q362" s="11">
        <f t="shared" si="182"/>
        <v>1</v>
      </c>
      <c r="R362" s="11">
        <v>0</v>
      </c>
      <c r="S362" s="11">
        <f t="shared" si="149"/>
        <v>0</v>
      </c>
      <c r="T362" s="11">
        <v>0</v>
      </c>
      <c r="U362" s="11">
        <f t="shared" si="183"/>
        <v>1</v>
      </c>
      <c r="V362" s="11">
        <v>0</v>
      </c>
      <c r="W362" s="11">
        <f t="shared" si="184"/>
        <v>1</v>
      </c>
      <c r="X362" s="11">
        <f t="shared" si="151"/>
        <v>0</v>
      </c>
      <c r="Y362" s="19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45">
        <v>0</v>
      </c>
      <c r="AJ362" s="45">
        <v>0</v>
      </c>
      <c r="AK362" s="45">
        <f t="shared" si="185"/>
        <v>0.3611</v>
      </c>
      <c r="AL362" s="45">
        <f t="shared" si="186"/>
        <v>0.00348095238095238</v>
      </c>
      <c r="AM362" s="45">
        <f t="shared" si="187"/>
        <v>0.0012569719047619</v>
      </c>
      <c r="AN362" s="45">
        <f t="shared" si="188"/>
        <v>0.792187500000003</v>
      </c>
      <c r="AO362" s="45">
        <f t="shared" si="189"/>
        <v>0.792187500000004</v>
      </c>
      <c r="AP362" s="45">
        <f t="shared" si="190"/>
        <v>1.05625</v>
      </c>
      <c r="AQ362" s="45">
        <f t="shared" si="191"/>
        <v>0</v>
      </c>
      <c r="AR362" s="45">
        <f t="shared" si="192"/>
        <v>0</v>
      </c>
      <c r="AS362" s="19">
        <f t="shared" si="193"/>
        <v>1.07916666666667</v>
      </c>
      <c r="AT362" s="19">
        <f t="shared" si="194"/>
        <v>1.03333333333334</v>
      </c>
      <c r="AU362" s="46">
        <v>0</v>
      </c>
      <c r="AV362" s="46">
        <v>0</v>
      </c>
      <c r="AW362" s="46">
        <v>0</v>
      </c>
      <c r="AX362" s="46">
        <v>1</v>
      </c>
      <c r="AY362" s="47">
        <v>0</v>
      </c>
      <c r="AZ362" s="47">
        <v>-1</v>
      </c>
    </row>
    <row r="363" hidden="1" customHeight="1" spans="1:52">
      <c r="A363" s="44">
        <v>45688</v>
      </c>
      <c r="B363" s="33">
        <f t="shared" si="177"/>
        <v>328</v>
      </c>
      <c r="C363" s="33">
        <f t="shared" si="178"/>
        <v>2115</v>
      </c>
      <c r="D363" s="11">
        <f t="shared" si="179"/>
        <v>2443</v>
      </c>
      <c r="E363" s="34">
        <f t="shared" si="157"/>
        <v>1.63459586615219e-6</v>
      </c>
      <c r="F363" s="35">
        <f t="shared" si="180"/>
        <v>0.000357218467515948</v>
      </c>
      <c r="G363" s="18">
        <f>(SUM($I$8:$I363)*(MAX(M$3-M$4,0))+(N363*MAX(M$4,0)))*(1-$AM$4)+(AM363*$AM$4)</f>
        <v>0.127169774435677</v>
      </c>
      <c r="H363" s="18">
        <f t="shared" si="144"/>
        <v>1.04166666666667</v>
      </c>
      <c r="I363" s="18">
        <f t="shared" si="181"/>
        <v>0</v>
      </c>
      <c r="J363" s="18">
        <f t="shared" si="146"/>
        <v>0.244337431780908</v>
      </c>
      <c r="K363" s="18">
        <f t="shared" si="147"/>
        <v>0.00230384929335089</v>
      </c>
      <c r="L363" s="18">
        <f t="shared" si="148"/>
        <v>0</v>
      </c>
      <c r="M363" s="18">
        <v>0.0775</v>
      </c>
      <c r="N363" s="18">
        <f t="shared" si="158"/>
        <v>0.0775</v>
      </c>
      <c r="O363" s="11">
        <v>0</v>
      </c>
      <c r="P363" s="11">
        <v>0</v>
      </c>
      <c r="Q363" s="11">
        <f t="shared" si="182"/>
        <v>1</v>
      </c>
      <c r="R363" s="11">
        <v>0</v>
      </c>
      <c r="S363" s="11">
        <f t="shared" si="149"/>
        <v>0</v>
      </c>
      <c r="T363" s="11">
        <v>0</v>
      </c>
      <c r="U363" s="11">
        <f t="shared" si="183"/>
        <v>1</v>
      </c>
      <c r="V363" s="11">
        <v>0</v>
      </c>
      <c r="W363" s="11">
        <f t="shared" si="184"/>
        <v>1</v>
      </c>
      <c r="X363" s="11">
        <f t="shared" si="151"/>
        <v>0</v>
      </c>
      <c r="Y363" s="19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1">
        <v>0</v>
      </c>
      <c r="AG363" s="11">
        <v>0</v>
      </c>
      <c r="AH363" s="11">
        <v>0</v>
      </c>
      <c r="AI363" s="45">
        <v>0</v>
      </c>
      <c r="AJ363" s="45">
        <v>0</v>
      </c>
      <c r="AK363" s="45">
        <f t="shared" si="185"/>
        <v>0.3611</v>
      </c>
      <c r="AL363" s="45">
        <f t="shared" si="186"/>
        <v>0.00348095238095238</v>
      </c>
      <c r="AM363" s="45">
        <f t="shared" si="187"/>
        <v>0.0012569719047619</v>
      </c>
      <c r="AN363" s="45">
        <f t="shared" si="188"/>
        <v>0.792187500000003</v>
      </c>
      <c r="AO363" s="45">
        <f t="shared" si="189"/>
        <v>0.792187500000004</v>
      </c>
      <c r="AP363" s="45">
        <f t="shared" si="190"/>
        <v>1.05625</v>
      </c>
      <c r="AQ363" s="45">
        <f t="shared" si="191"/>
        <v>0</v>
      </c>
      <c r="AR363" s="45">
        <f t="shared" si="192"/>
        <v>0</v>
      </c>
      <c r="AS363" s="19">
        <f t="shared" si="193"/>
        <v>1.07916666666667</v>
      </c>
      <c r="AT363" s="19">
        <f t="shared" si="194"/>
        <v>1.03333333333334</v>
      </c>
      <c r="AU363" s="46">
        <v>0</v>
      </c>
      <c r="AV363" s="46">
        <v>0</v>
      </c>
      <c r="AW363" s="46">
        <v>0</v>
      </c>
      <c r="AX363" s="46">
        <v>1</v>
      </c>
      <c r="AY363" s="47">
        <v>0</v>
      </c>
      <c r="AZ363" s="47">
        <v>-1</v>
      </c>
    </row>
    <row r="364" hidden="1" customHeight="1" spans="1:52">
      <c r="A364" s="44">
        <v>45689</v>
      </c>
      <c r="B364" s="33">
        <f t="shared" si="177"/>
        <v>327</v>
      </c>
      <c r="C364" s="33">
        <f t="shared" si="178"/>
        <v>2103</v>
      </c>
      <c r="D364" s="11">
        <f t="shared" si="179"/>
        <v>2430</v>
      </c>
      <c r="E364" s="34">
        <f t="shared" si="157"/>
        <v>1.6254384663419e-6</v>
      </c>
      <c r="F364" s="35">
        <f t="shared" si="180"/>
        <v>0.000358843905982289</v>
      </c>
      <c r="G364" s="18">
        <f>(SUM($I$8:$I364)*(MAX(M$3-M$4,0))+(N364*MAX(M$4,0)))*(1-$AM$4)+(AM364*$AM$4)</f>
        <v>0.128107274435677</v>
      </c>
      <c r="H364" s="18">
        <f t="shared" si="144"/>
        <v>1.08333333333333</v>
      </c>
      <c r="I364" s="18">
        <f t="shared" si="181"/>
        <v>0</v>
      </c>
      <c r="J364" s="18">
        <f t="shared" si="146"/>
        <v>0.245449231691886</v>
      </c>
      <c r="K364" s="18">
        <f t="shared" si="147"/>
        <v>0.00230749470430616</v>
      </c>
      <c r="L364" s="18">
        <f t="shared" si="148"/>
        <v>0</v>
      </c>
      <c r="M364" s="18">
        <v>0.08</v>
      </c>
      <c r="N364" s="18">
        <f t="shared" si="158"/>
        <v>0.08</v>
      </c>
      <c r="O364" s="11">
        <v>0</v>
      </c>
      <c r="P364" s="11">
        <v>0</v>
      </c>
      <c r="Q364" s="11">
        <f t="shared" si="182"/>
        <v>1</v>
      </c>
      <c r="R364" s="11">
        <v>0</v>
      </c>
      <c r="S364" s="11">
        <f t="shared" si="149"/>
        <v>0</v>
      </c>
      <c r="T364" s="11">
        <v>0</v>
      </c>
      <c r="U364" s="11">
        <f t="shared" si="183"/>
        <v>1</v>
      </c>
      <c r="V364" s="11">
        <v>0</v>
      </c>
      <c r="W364" s="11">
        <f t="shared" si="184"/>
        <v>1</v>
      </c>
      <c r="X364" s="11">
        <f t="shared" si="151"/>
        <v>0</v>
      </c>
      <c r="Y364" s="19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45">
        <v>0</v>
      </c>
      <c r="AJ364" s="45">
        <v>0</v>
      </c>
      <c r="AK364" s="45">
        <f t="shared" si="185"/>
        <v>0.3611</v>
      </c>
      <c r="AL364" s="45">
        <f t="shared" si="186"/>
        <v>0.00348095238095238</v>
      </c>
      <c r="AM364" s="45">
        <f t="shared" si="187"/>
        <v>0.0012569719047619</v>
      </c>
      <c r="AN364" s="45">
        <f t="shared" si="188"/>
        <v>0.792187500000003</v>
      </c>
      <c r="AO364" s="45">
        <f t="shared" si="189"/>
        <v>0.792187500000004</v>
      </c>
      <c r="AP364" s="45">
        <f t="shared" si="190"/>
        <v>1.05625</v>
      </c>
      <c r="AQ364" s="45">
        <f t="shared" si="191"/>
        <v>0</v>
      </c>
      <c r="AR364" s="45">
        <f t="shared" si="192"/>
        <v>0</v>
      </c>
      <c r="AS364" s="19">
        <f t="shared" si="193"/>
        <v>1.07916666666667</v>
      </c>
      <c r="AT364" s="19">
        <f t="shared" si="194"/>
        <v>1.03333333333334</v>
      </c>
      <c r="AU364" s="46">
        <v>0</v>
      </c>
      <c r="AV364" s="46">
        <v>0</v>
      </c>
      <c r="AW364" s="46">
        <v>0</v>
      </c>
      <c r="AX364" s="46">
        <v>1</v>
      </c>
      <c r="AY364" s="47">
        <v>0</v>
      </c>
      <c r="AZ364" s="47">
        <v>-1</v>
      </c>
    </row>
    <row r="365" hidden="1" customHeight="1" spans="1:52">
      <c r="A365" s="44">
        <v>45690</v>
      </c>
      <c r="B365" s="33">
        <f t="shared" si="177"/>
        <v>326</v>
      </c>
      <c r="C365" s="33">
        <f t="shared" si="178"/>
        <v>2088</v>
      </c>
      <c r="D365" s="11">
        <f t="shared" si="179"/>
        <v>2414</v>
      </c>
      <c r="E365" s="34">
        <f t="shared" si="157"/>
        <v>1.9215439184514e-6</v>
      </c>
      <c r="F365" s="35">
        <f t="shared" si="180"/>
        <v>0.000360765449900741</v>
      </c>
      <c r="G365" s="18">
        <f>(SUM($I$8:$I365)*(MAX(M$3-M$4,0))+(N365*MAX(M$4,0)))*(1-$AM$4)+(AM365*$AM$4)</f>
        <v>0.129154031064465</v>
      </c>
      <c r="H365" s="18">
        <f t="shared" si="144"/>
        <v>1.08333333333333</v>
      </c>
      <c r="I365" s="18">
        <f t="shared" si="181"/>
        <v>0.00058270202020202</v>
      </c>
      <c r="J365" s="18">
        <f t="shared" si="146"/>
        <v>0.246763567732107</v>
      </c>
      <c r="K365" s="18">
        <f t="shared" si="147"/>
        <v>0.00231054120327575</v>
      </c>
      <c r="L365" s="18">
        <f t="shared" si="148"/>
        <v>0.00053787878787879</v>
      </c>
      <c r="M365" s="18">
        <v>0.0825</v>
      </c>
      <c r="N365" s="18">
        <f t="shared" si="158"/>
        <v>0.0825</v>
      </c>
      <c r="O365" s="11">
        <v>0</v>
      </c>
      <c r="P365" s="11">
        <v>0</v>
      </c>
      <c r="Q365" s="11">
        <f t="shared" si="182"/>
        <v>1</v>
      </c>
      <c r="R365" s="11">
        <v>0</v>
      </c>
      <c r="S365" s="11">
        <f t="shared" si="149"/>
        <v>0</v>
      </c>
      <c r="T365" s="11">
        <v>0</v>
      </c>
      <c r="U365" s="11">
        <f t="shared" si="183"/>
        <v>1</v>
      </c>
      <c r="V365" s="11">
        <v>0</v>
      </c>
      <c r="W365" s="11">
        <f t="shared" si="184"/>
        <v>1</v>
      </c>
      <c r="X365" s="11">
        <f t="shared" si="151"/>
        <v>0</v>
      </c>
      <c r="Y365" s="19">
        <v>1.42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1">
        <v>0</v>
      </c>
      <c r="AG365" s="11">
        <v>0</v>
      </c>
      <c r="AH365" s="11">
        <v>0</v>
      </c>
      <c r="AI365" s="45">
        <v>0</v>
      </c>
      <c r="AJ365" s="45">
        <v>0</v>
      </c>
      <c r="AK365" s="45">
        <f t="shared" si="185"/>
        <v>0.3611</v>
      </c>
      <c r="AL365" s="45">
        <f t="shared" si="186"/>
        <v>0.00348095238095238</v>
      </c>
      <c r="AM365" s="45">
        <f t="shared" si="187"/>
        <v>0.0012569719047619</v>
      </c>
      <c r="AN365" s="45">
        <f t="shared" si="188"/>
        <v>0.792187500000003</v>
      </c>
      <c r="AO365" s="45">
        <f t="shared" si="189"/>
        <v>0.792187500000004</v>
      </c>
      <c r="AP365" s="45">
        <f t="shared" si="190"/>
        <v>1.05625</v>
      </c>
      <c r="AQ365" s="45">
        <f t="shared" si="191"/>
        <v>0</v>
      </c>
      <c r="AR365" s="45">
        <f t="shared" si="192"/>
        <v>0</v>
      </c>
      <c r="AS365" s="19">
        <f t="shared" si="193"/>
        <v>1.07916666666667</v>
      </c>
      <c r="AT365" s="19">
        <f t="shared" si="194"/>
        <v>1.03333333333334</v>
      </c>
      <c r="AU365" s="46">
        <v>0</v>
      </c>
      <c r="AV365" s="46">
        <v>0</v>
      </c>
      <c r="AW365" s="46">
        <v>0</v>
      </c>
      <c r="AX365" s="46">
        <v>1</v>
      </c>
      <c r="AY365" s="47">
        <v>0</v>
      </c>
      <c r="AZ365" s="47">
        <v>-1</v>
      </c>
    </row>
    <row r="366" hidden="1" customHeight="1" spans="1:52">
      <c r="A366" s="44">
        <v>45691</v>
      </c>
      <c r="B366" s="33">
        <f t="shared" si="177"/>
        <v>325</v>
      </c>
      <c r="C366" s="33">
        <f t="shared" si="178"/>
        <v>2072</v>
      </c>
      <c r="D366" s="11">
        <f t="shared" si="179"/>
        <v>2397</v>
      </c>
      <c r="E366" s="34">
        <f t="shared" si="157"/>
        <v>2.0137130837575e-6</v>
      </c>
      <c r="F366" s="35">
        <f t="shared" si="180"/>
        <v>0.000362779162984498</v>
      </c>
      <c r="G366" s="18">
        <f>(SUM($I$8:$I366)*(MAX(M$3-M$4,0))+(N366*MAX(M$4,0)))*(1-$AM$4)+(AM366*$AM$4)</f>
        <v>0.130237719511435</v>
      </c>
      <c r="H366" s="18">
        <f t="shared" si="144"/>
        <v>1.08333333333333</v>
      </c>
      <c r="I366" s="18">
        <f t="shared" si="181"/>
        <v>0.000779671717171715</v>
      </c>
      <c r="J366" s="18">
        <f t="shared" si="146"/>
        <v>0.248140947481397</v>
      </c>
      <c r="K366" s="18">
        <f t="shared" si="147"/>
        <v>0.00231341246928801</v>
      </c>
      <c r="L366" s="18">
        <f t="shared" si="148"/>
        <v>0.00071969696969697</v>
      </c>
      <c r="M366" s="18">
        <v>0.085</v>
      </c>
      <c r="N366" s="18">
        <f t="shared" si="158"/>
        <v>0.085</v>
      </c>
      <c r="O366" s="11">
        <v>0</v>
      </c>
      <c r="P366" s="11">
        <v>0</v>
      </c>
      <c r="Q366" s="11">
        <f t="shared" si="182"/>
        <v>1</v>
      </c>
      <c r="R366" s="11">
        <v>0</v>
      </c>
      <c r="S366" s="11">
        <f t="shared" si="149"/>
        <v>0</v>
      </c>
      <c r="T366" s="11">
        <v>0</v>
      </c>
      <c r="U366" s="11">
        <f t="shared" si="183"/>
        <v>1</v>
      </c>
      <c r="V366" s="11">
        <v>0</v>
      </c>
      <c r="W366" s="11">
        <f t="shared" si="184"/>
        <v>1</v>
      </c>
      <c r="X366" s="11">
        <f t="shared" si="151"/>
        <v>0</v>
      </c>
      <c r="Y366" s="19">
        <v>0</v>
      </c>
      <c r="Z366" s="11">
        <v>0</v>
      </c>
      <c r="AA366" s="11">
        <v>3</v>
      </c>
      <c r="AB366" s="11">
        <v>0</v>
      </c>
      <c r="AC366" s="11">
        <v>1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45">
        <v>0</v>
      </c>
      <c r="AJ366" s="45">
        <v>0</v>
      </c>
      <c r="AK366" s="45">
        <f t="shared" si="185"/>
        <v>0.3611</v>
      </c>
      <c r="AL366" s="45">
        <f t="shared" si="186"/>
        <v>0.00348095238095238</v>
      </c>
      <c r="AM366" s="45">
        <f t="shared" si="187"/>
        <v>0.0012569719047619</v>
      </c>
      <c r="AN366" s="45">
        <f t="shared" si="188"/>
        <v>0.792187500000003</v>
      </c>
      <c r="AO366" s="45">
        <f t="shared" si="189"/>
        <v>0.792187500000004</v>
      </c>
      <c r="AP366" s="45">
        <f t="shared" si="190"/>
        <v>1.05625</v>
      </c>
      <c r="AQ366" s="45">
        <f t="shared" si="191"/>
        <v>0</v>
      </c>
      <c r="AR366" s="45">
        <f t="shared" si="192"/>
        <v>0</v>
      </c>
      <c r="AS366" s="19">
        <f t="shared" si="193"/>
        <v>1.07916666666667</v>
      </c>
      <c r="AT366" s="19">
        <f t="shared" si="194"/>
        <v>1.03333333333334</v>
      </c>
      <c r="AU366" s="46">
        <v>0</v>
      </c>
      <c r="AV366" s="46">
        <v>0</v>
      </c>
      <c r="AW366" s="46">
        <v>0</v>
      </c>
      <c r="AX366" s="46">
        <v>1</v>
      </c>
      <c r="AY366" s="47">
        <v>0</v>
      </c>
      <c r="AZ366" s="47">
        <v>-1</v>
      </c>
    </row>
    <row r="367" hidden="1" customHeight="1" spans="1:52">
      <c r="A367" s="44">
        <v>45692</v>
      </c>
      <c r="B367" s="33">
        <f t="shared" si="177"/>
        <v>324</v>
      </c>
      <c r="C367" s="33">
        <f t="shared" si="178"/>
        <v>2057</v>
      </c>
      <c r="D367" s="11">
        <f t="shared" si="179"/>
        <v>2381</v>
      </c>
      <c r="E367" s="34">
        <f t="shared" si="157"/>
        <v>1.99540159552568e-6</v>
      </c>
      <c r="F367" s="35">
        <f t="shared" si="180"/>
        <v>0.000364774564580024</v>
      </c>
      <c r="G367" s="18">
        <f>(SUM($I$8:$I367)*(MAX(M$3-M$4,0))+(N367*MAX(M$4,0)))*(1-$AM$4)+(AM367*$AM$4)</f>
        <v>0.131318843248809</v>
      </c>
      <c r="H367" s="18">
        <f t="shared" si="144"/>
        <v>1.08333333333333</v>
      </c>
      <c r="I367" s="18">
        <f t="shared" si="181"/>
        <v>0.000765993265993264</v>
      </c>
      <c r="J367" s="18">
        <f t="shared" si="146"/>
        <v>0.249505802172736</v>
      </c>
      <c r="K367" s="18">
        <f t="shared" si="147"/>
        <v>0.00231634011675081</v>
      </c>
      <c r="L367" s="18">
        <f t="shared" si="148"/>
        <v>0.000707070707070707</v>
      </c>
      <c r="M367" s="18">
        <v>0.0875</v>
      </c>
      <c r="N367" s="18">
        <f t="shared" si="158"/>
        <v>0.0875</v>
      </c>
      <c r="O367" s="11">
        <v>0</v>
      </c>
      <c r="P367" s="11">
        <v>0</v>
      </c>
      <c r="Q367" s="11">
        <f t="shared" si="182"/>
        <v>1</v>
      </c>
      <c r="R367" s="11">
        <v>0</v>
      </c>
      <c r="S367" s="11">
        <f t="shared" si="149"/>
        <v>0</v>
      </c>
      <c r="T367" s="11">
        <v>0</v>
      </c>
      <c r="U367" s="11">
        <f t="shared" si="183"/>
        <v>1</v>
      </c>
      <c r="V367" s="11">
        <v>0</v>
      </c>
      <c r="W367" s="11">
        <f t="shared" si="184"/>
        <v>1</v>
      </c>
      <c r="X367" s="11">
        <f t="shared" si="151"/>
        <v>0</v>
      </c>
      <c r="Y367" s="19">
        <v>0</v>
      </c>
      <c r="Z367" s="11">
        <v>0</v>
      </c>
      <c r="AA367" s="11">
        <v>3.5</v>
      </c>
      <c r="AB367" s="11">
        <v>0</v>
      </c>
      <c r="AC367" s="11">
        <v>0</v>
      </c>
      <c r="AD367" s="11">
        <v>0</v>
      </c>
      <c r="AE367" s="11">
        <v>0</v>
      </c>
      <c r="AF367" s="11">
        <v>0</v>
      </c>
      <c r="AG367" s="11">
        <v>0</v>
      </c>
      <c r="AH367" s="11">
        <v>0</v>
      </c>
      <c r="AI367" s="45">
        <v>0</v>
      </c>
      <c r="AJ367" s="45">
        <v>0</v>
      </c>
      <c r="AK367" s="45">
        <f t="shared" si="185"/>
        <v>0.3611</v>
      </c>
      <c r="AL367" s="45">
        <f t="shared" si="186"/>
        <v>0.00348095238095238</v>
      </c>
      <c r="AM367" s="45">
        <f t="shared" si="187"/>
        <v>0.0012569719047619</v>
      </c>
      <c r="AN367" s="45">
        <f t="shared" si="188"/>
        <v>0.792187500000003</v>
      </c>
      <c r="AO367" s="45">
        <f t="shared" si="189"/>
        <v>0.792187500000004</v>
      </c>
      <c r="AP367" s="45">
        <f t="shared" si="190"/>
        <v>1.05625</v>
      </c>
      <c r="AQ367" s="45">
        <f t="shared" si="191"/>
        <v>0</v>
      </c>
      <c r="AR367" s="45">
        <f t="shared" si="192"/>
        <v>0</v>
      </c>
      <c r="AS367" s="19">
        <f t="shared" si="193"/>
        <v>1.07916666666667</v>
      </c>
      <c r="AT367" s="19">
        <f t="shared" si="194"/>
        <v>1.03333333333334</v>
      </c>
      <c r="AU367" s="46">
        <v>0</v>
      </c>
      <c r="AV367" s="46">
        <v>0</v>
      </c>
      <c r="AW367" s="46">
        <v>0</v>
      </c>
      <c r="AX367" s="46">
        <v>1</v>
      </c>
      <c r="AY367" s="47">
        <v>0</v>
      </c>
      <c r="AZ367" s="47">
        <v>-1</v>
      </c>
    </row>
    <row r="368" hidden="1" customHeight="1" spans="1:52">
      <c r="A368" s="44">
        <v>45693</v>
      </c>
      <c r="B368" s="33">
        <f t="shared" si="177"/>
        <v>323</v>
      </c>
      <c r="C368" s="33">
        <f t="shared" si="178"/>
        <v>2043</v>
      </c>
      <c r="D368" s="11">
        <f t="shared" si="179"/>
        <v>2366</v>
      </c>
      <c r="E368" s="34">
        <f t="shared" si="157"/>
        <v>1.94953489133929e-6</v>
      </c>
      <c r="F368" s="35">
        <f t="shared" si="180"/>
        <v>0.000366724099471363</v>
      </c>
      <c r="G368" s="18">
        <f>(SUM($I$8:$I368)*(MAX(M$3-M$4,0))+(N368*MAX(M$4,0)))*(1-$AM$4)+(AM368*$AM$4)</f>
        <v>0.132387399909162</v>
      </c>
      <c r="H368" s="18">
        <f t="shared" si="144"/>
        <v>1.08333333333333</v>
      </c>
      <c r="I368" s="18">
        <f t="shared" si="181"/>
        <v>0.000698968855218855</v>
      </c>
      <c r="J368" s="18">
        <f t="shared" si="146"/>
        <v>0.250839284038413</v>
      </c>
      <c r="K368" s="18">
        <f t="shared" si="147"/>
        <v>0.0023193830215529</v>
      </c>
      <c r="L368" s="18">
        <f t="shared" si="148"/>
        <v>0.000645202020202022</v>
      </c>
      <c r="M368" s="18">
        <v>0.09</v>
      </c>
      <c r="N368" s="18">
        <f t="shared" si="158"/>
        <v>0.09</v>
      </c>
      <c r="O368" s="11">
        <v>0</v>
      </c>
      <c r="P368" s="11">
        <v>0</v>
      </c>
      <c r="Q368" s="11">
        <f t="shared" si="182"/>
        <v>1</v>
      </c>
      <c r="R368" s="11">
        <v>0</v>
      </c>
      <c r="S368" s="11">
        <f t="shared" si="149"/>
        <v>0</v>
      </c>
      <c r="T368" s="11">
        <v>0</v>
      </c>
      <c r="U368" s="11">
        <f t="shared" si="183"/>
        <v>1</v>
      </c>
      <c r="V368" s="11">
        <v>0</v>
      </c>
      <c r="W368" s="11">
        <f t="shared" si="184"/>
        <v>1</v>
      </c>
      <c r="X368" s="11">
        <f t="shared" si="151"/>
        <v>0</v>
      </c>
      <c r="Y368" s="19">
        <v>1.17</v>
      </c>
      <c r="Z368" s="11">
        <v>0</v>
      </c>
      <c r="AA368" s="11">
        <v>1</v>
      </c>
      <c r="AB368" s="11">
        <v>0</v>
      </c>
      <c r="AC368" s="11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45">
        <v>0</v>
      </c>
      <c r="AJ368" s="45">
        <v>0</v>
      </c>
      <c r="AK368" s="45">
        <f t="shared" si="185"/>
        <v>0.3611</v>
      </c>
      <c r="AL368" s="45">
        <f t="shared" si="186"/>
        <v>0.00348095238095238</v>
      </c>
      <c r="AM368" s="45">
        <f t="shared" si="187"/>
        <v>0.0012569719047619</v>
      </c>
      <c r="AN368" s="45">
        <f t="shared" si="188"/>
        <v>0.792187500000003</v>
      </c>
      <c r="AO368" s="45">
        <f t="shared" si="189"/>
        <v>0.792187500000004</v>
      </c>
      <c r="AP368" s="45">
        <f t="shared" si="190"/>
        <v>1.05625</v>
      </c>
      <c r="AQ368" s="45">
        <f t="shared" si="191"/>
        <v>0</v>
      </c>
      <c r="AR368" s="45">
        <f t="shared" si="192"/>
        <v>0</v>
      </c>
      <c r="AS368" s="19">
        <f t="shared" si="193"/>
        <v>1.07916666666667</v>
      </c>
      <c r="AT368" s="19">
        <f t="shared" si="194"/>
        <v>1.03333333333334</v>
      </c>
      <c r="AU368" s="46">
        <v>0</v>
      </c>
      <c r="AV368" s="46">
        <v>0</v>
      </c>
      <c r="AW368" s="46">
        <v>0</v>
      </c>
      <c r="AX368" s="46">
        <v>1</v>
      </c>
      <c r="AY368" s="47">
        <v>0</v>
      </c>
      <c r="AZ368" s="47">
        <v>-1</v>
      </c>
    </row>
    <row r="369" hidden="1" customHeight="1" spans="1:52">
      <c r="A369" s="44">
        <v>45694</v>
      </c>
      <c r="B369" s="33">
        <f t="shared" si="177"/>
        <v>322</v>
      </c>
      <c r="C369" s="33">
        <f t="shared" si="178"/>
        <v>2029</v>
      </c>
      <c r="D369" s="11">
        <f t="shared" si="179"/>
        <v>2351</v>
      </c>
      <c r="E369" s="34">
        <f t="shared" si="157"/>
        <v>1.91680099760968e-6</v>
      </c>
      <c r="F369" s="35">
        <f t="shared" si="180"/>
        <v>0.000368640900468973</v>
      </c>
      <c r="G369" s="18">
        <f>(SUM($I$8:$I369)*(MAX(M$3-M$4,0))+(N369*MAX(M$4,0)))*(1-$AM$4)+(AM369*$AM$4)</f>
        <v>0.133448005969768</v>
      </c>
      <c r="H369" s="18">
        <f t="shared" si="144"/>
        <v>1.08333333333333</v>
      </c>
      <c r="I369" s="18">
        <f t="shared" si="181"/>
        <v>0.000656565656565654</v>
      </c>
      <c r="J369" s="18">
        <f t="shared" si="146"/>
        <v>0.252150375920778</v>
      </c>
      <c r="K369" s="18">
        <f t="shared" si="147"/>
        <v>0.00232251436049448</v>
      </c>
      <c r="L369" s="18">
        <f t="shared" si="148"/>
        <v>0.000606060606060606</v>
      </c>
      <c r="M369" s="18">
        <v>0.0925</v>
      </c>
      <c r="N369" s="18">
        <f t="shared" si="158"/>
        <v>0.0925</v>
      </c>
      <c r="O369" s="11">
        <v>0</v>
      </c>
      <c r="P369" s="11">
        <v>0</v>
      </c>
      <c r="Q369" s="11">
        <f t="shared" si="182"/>
        <v>1</v>
      </c>
      <c r="R369" s="11">
        <v>0</v>
      </c>
      <c r="S369" s="11">
        <f t="shared" si="149"/>
        <v>0</v>
      </c>
      <c r="T369" s="11">
        <v>0</v>
      </c>
      <c r="U369" s="11">
        <f t="shared" si="183"/>
        <v>1</v>
      </c>
      <c r="V369" s="11">
        <v>0</v>
      </c>
      <c r="W369" s="11">
        <f t="shared" si="184"/>
        <v>1</v>
      </c>
      <c r="X369" s="11">
        <f t="shared" si="151"/>
        <v>0</v>
      </c>
      <c r="Y369" s="19">
        <v>0</v>
      </c>
      <c r="Z369" s="11">
        <v>0</v>
      </c>
      <c r="AA369" s="11">
        <v>3</v>
      </c>
      <c r="AB369" s="11">
        <v>0</v>
      </c>
      <c r="AC369" s="11">
        <v>0</v>
      </c>
      <c r="AD369" s="11">
        <v>0</v>
      </c>
      <c r="AE369" s="11">
        <v>0</v>
      </c>
      <c r="AF369" s="11">
        <v>0</v>
      </c>
      <c r="AG369" s="11">
        <v>0</v>
      </c>
      <c r="AH369" s="11">
        <v>0</v>
      </c>
      <c r="AI369" s="45">
        <v>0</v>
      </c>
      <c r="AJ369" s="45">
        <v>0</v>
      </c>
      <c r="AK369" s="45">
        <f t="shared" si="185"/>
        <v>0.3611</v>
      </c>
      <c r="AL369" s="45">
        <f t="shared" si="186"/>
        <v>0.00348095238095238</v>
      </c>
      <c r="AM369" s="45">
        <f t="shared" si="187"/>
        <v>0.0012569719047619</v>
      </c>
      <c r="AN369" s="45">
        <f t="shared" si="188"/>
        <v>0.792187500000003</v>
      </c>
      <c r="AO369" s="45">
        <f t="shared" si="189"/>
        <v>0.792187500000004</v>
      </c>
      <c r="AP369" s="45">
        <f t="shared" si="190"/>
        <v>1.05625</v>
      </c>
      <c r="AQ369" s="45">
        <f t="shared" si="191"/>
        <v>0</v>
      </c>
      <c r="AR369" s="45">
        <f t="shared" si="192"/>
        <v>0</v>
      </c>
      <c r="AS369" s="19">
        <f t="shared" si="193"/>
        <v>1.07916666666667</v>
      </c>
      <c r="AT369" s="19">
        <f t="shared" si="194"/>
        <v>1.03333333333334</v>
      </c>
      <c r="AU369" s="46">
        <v>0</v>
      </c>
      <c r="AV369" s="46">
        <v>0</v>
      </c>
      <c r="AW369" s="46">
        <v>0</v>
      </c>
      <c r="AX369" s="46">
        <v>1</v>
      </c>
      <c r="AY369" s="47">
        <v>0</v>
      </c>
      <c r="AZ369" s="47">
        <v>-1</v>
      </c>
    </row>
    <row r="370" hidden="1" customHeight="1" spans="1:52">
      <c r="A370" s="44">
        <v>45695</v>
      </c>
      <c r="B370" s="33">
        <f t="shared" si="177"/>
        <v>321</v>
      </c>
      <c r="C370" s="33">
        <f t="shared" si="178"/>
        <v>2015</v>
      </c>
      <c r="D370" s="11">
        <f t="shared" si="179"/>
        <v>2336</v>
      </c>
      <c r="E370" s="34">
        <f t="shared" si="157"/>
        <v>1.90624011057051e-6</v>
      </c>
      <c r="F370" s="35">
        <f t="shared" si="180"/>
        <v>0.000370547140579544</v>
      </c>
      <c r="G370" s="18">
        <f>(SUM($I$8:$I370)*(MAX(M$3-M$4,0))+(N370*MAX(M$4,0)))*(1-$AM$4)+(AM370*$AM$4)</f>
        <v>0.134508612030374</v>
      </c>
      <c r="H370" s="18">
        <f t="shared" si="144"/>
        <v>1.08333333333333</v>
      </c>
      <c r="I370" s="18">
        <f t="shared" si="181"/>
        <v>0.000656565656565654</v>
      </c>
      <c r="J370" s="18">
        <f t="shared" si="146"/>
        <v>0.253454244156408</v>
      </c>
      <c r="K370" s="18">
        <f t="shared" si="147"/>
        <v>0.00232568771290839</v>
      </c>
      <c r="L370" s="18">
        <f t="shared" si="148"/>
        <v>0.000606060606060606</v>
      </c>
      <c r="M370" s="18">
        <v>0.095</v>
      </c>
      <c r="N370" s="18">
        <f t="shared" si="158"/>
        <v>0.095</v>
      </c>
      <c r="O370" s="11">
        <v>0</v>
      </c>
      <c r="P370" s="11">
        <v>0</v>
      </c>
      <c r="Q370" s="11">
        <f t="shared" si="182"/>
        <v>1</v>
      </c>
      <c r="R370" s="11">
        <v>0</v>
      </c>
      <c r="S370" s="11">
        <f t="shared" si="149"/>
        <v>0</v>
      </c>
      <c r="T370" s="11">
        <v>0</v>
      </c>
      <c r="U370" s="11">
        <f t="shared" si="183"/>
        <v>1</v>
      </c>
      <c r="V370" s="11">
        <v>0</v>
      </c>
      <c r="W370" s="11">
        <f t="shared" si="184"/>
        <v>1</v>
      </c>
      <c r="X370" s="11">
        <f t="shared" si="151"/>
        <v>0</v>
      </c>
      <c r="Y370" s="19">
        <v>0</v>
      </c>
      <c r="Z370" s="11">
        <v>0</v>
      </c>
      <c r="AA370" s="11">
        <v>3</v>
      </c>
      <c r="AB370" s="11">
        <v>0</v>
      </c>
      <c r="AC370" s="11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45">
        <v>0</v>
      </c>
      <c r="AJ370" s="45">
        <v>0</v>
      </c>
      <c r="AK370" s="45">
        <f t="shared" si="185"/>
        <v>0.3611</v>
      </c>
      <c r="AL370" s="45">
        <f t="shared" si="186"/>
        <v>0.00348095238095238</v>
      </c>
      <c r="AM370" s="45">
        <f t="shared" si="187"/>
        <v>0.0012569719047619</v>
      </c>
      <c r="AN370" s="45">
        <f t="shared" si="188"/>
        <v>0.792187500000003</v>
      </c>
      <c r="AO370" s="45">
        <f t="shared" si="189"/>
        <v>0.792187500000004</v>
      </c>
      <c r="AP370" s="45">
        <f t="shared" si="190"/>
        <v>1.05625</v>
      </c>
      <c r="AQ370" s="45">
        <f t="shared" si="191"/>
        <v>0</v>
      </c>
      <c r="AR370" s="45">
        <f t="shared" si="192"/>
        <v>0</v>
      </c>
      <c r="AS370" s="19">
        <f t="shared" si="193"/>
        <v>1.07916666666667</v>
      </c>
      <c r="AT370" s="19">
        <f t="shared" si="194"/>
        <v>1.03333333333334</v>
      </c>
      <c r="AU370" s="46">
        <v>0</v>
      </c>
      <c r="AV370" s="46">
        <v>0</v>
      </c>
      <c r="AW370" s="46">
        <v>0</v>
      </c>
      <c r="AX370" s="46">
        <v>1</v>
      </c>
      <c r="AY370" s="47">
        <v>0</v>
      </c>
      <c r="AZ370" s="47">
        <v>-1</v>
      </c>
    </row>
    <row r="371" hidden="1" customHeight="1" spans="1:52">
      <c r="A371" s="44">
        <v>45696</v>
      </c>
      <c r="B371" s="33">
        <f t="shared" si="177"/>
        <v>320</v>
      </c>
      <c r="C371" s="33">
        <f t="shared" si="178"/>
        <v>2001</v>
      </c>
      <c r="D371" s="11">
        <f t="shared" si="179"/>
        <v>2321</v>
      </c>
      <c r="E371" s="34">
        <f t="shared" si="157"/>
        <v>1.89576626380915e-6</v>
      </c>
      <c r="F371" s="35">
        <f t="shared" si="180"/>
        <v>0.000372442906843353</v>
      </c>
      <c r="G371" s="18">
        <f>(SUM($I$8:$I371)*(MAX(M$3-M$4,0))+(N371*MAX(M$4,0)))*(1-$AM$4)+(AM371*$AM$4)</f>
        <v>0.13556921809098</v>
      </c>
      <c r="H371" s="18">
        <f t="shared" si="144"/>
        <v>1.08333333333333</v>
      </c>
      <c r="I371" s="18">
        <f t="shared" si="181"/>
        <v>0.000656565656565654</v>
      </c>
      <c r="J371" s="18">
        <f t="shared" si="146"/>
        <v>0.254750948280853</v>
      </c>
      <c r="K371" s="18">
        <f t="shared" si="147"/>
        <v>0.00232890328662233</v>
      </c>
      <c r="L371" s="18">
        <f t="shared" si="148"/>
        <v>0.000606060606060606</v>
      </c>
      <c r="M371" s="18">
        <v>0.0975</v>
      </c>
      <c r="N371" s="18">
        <f t="shared" si="158"/>
        <v>0.0975</v>
      </c>
      <c r="O371" s="11">
        <v>0</v>
      </c>
      <c r="P371" s="11">
        <v>0</v>
      </c>
      <c r="Q371" s="11">
        <f t="shared" si="182"/>
        <v>1</v>
      </c>
      <c r="R371" s="11">
        <v>0</v>
      </c>
      <c r="S371" s="11">
        <f t="shared" si="149"/>
        <v>0</v>
      </c>
      <c r="T371" s="11">
        <v>0</v>
      </c>
      <c r="U371" s="11">
        <f t="shared" si="183"/>
        <v>1</v>
      </c>
      <c r="V371" s="11">
        <v>0</v>
      </c>
      <c r="W371" s="11">
        <f t="shared" si="184"/>
        <v>1</v>
      </c>
      <c r="X371" s="11">
        <f t="shared" si="151"/>
        <v>0</v>
      </c>
      <c r="Y371" s="19">
        <v>0</v>
      </c>
      <c r="Z371" s="11">
        <v>0</v>
      </c>
      <c r="AA371" s="11">
        <v>3</v>
      </c>
      <c r="AB371" s="11">
        <v>0</v>
      </c>
      <c r="AC371" s="11">
        <v>0</v>
      </c>
      <c r="AD371" s="11">
        <v>0</v>
      </c>
      <c r="AE371" s="11">
        <v>0</v>
      </c>
      <c r="AF371" s="11">
        <v>0</v>
      </c>
      <c r="AG371" s="11">
        <v>0</v>
      </c>
      <c r="AH371" s="11">
        <v>0</v>
      </c>
      <c r="AI371" s="45">
        <v>0</v>
      </c>
      <c r="AJ371" s="45">
        <v>0</v>
      </c>
      <c r="AK371" s="45">
        <f t="shared" si="185"/>
        <v>0.3611</v>
      </c>
      <c r="AL371" s="45">
        <f t="shared" si="186"/>
        <v>0.00348095238095238</v>
      </c>
      <c r="AM371" s="45">
        <f t="shared" si="187"/>
        <v>0.0012569719047619</v>
      </c>
      <c r="AN371" s="45">
        <f t="shared" si="188"/>
        <v>0.792187500000003</v>
      </c>
      <c r="AO371" s="45">
        <f t="shared" si="189"/>
        <v>0.792187500000004</v>
      </c>
      <c r="AP371" s="45">
        <f t="shared" si="190"/>
        <v>1.05625</v>
      </c>
      <c r="AQ371" s="45">
        <f t="shared" si="191"/>
        <v>0</v>
      </c>
      <c r="AR371" s="45">
        <f t="shared" si="192"/>
        <v>0</v>
      </c>
      <c r="AS371" s="19">
        <f t="shared" si="193"/>
        <v>1.07916666666667</v>
      </c>
      <c r="AT371" s="19">
        <f t="shared" si="194"/>
        <v>1.03333333333334</v>
      </c>
      <c r="AU371" s="46">
        <v>0</v>
      </c>
      <c r="AV371" s="46">
        <v>0</v>
      </c>
      <c r="AW371" s="46">
        <v>0</v>
      </c>
      <c r="AX371" s="46">
        <v>1</v>
      </c>
      <c r="AY371" s="47">
        <v>0</v>
      </c>
      <c r="AZ371" s="47">
        <v>-1</v>
      </c>
    </row>
    <row r="372" hidden="1" customHeight="1" spans="1:52">
      <c r="A372" s="44">
        <v>45697</v>
      </c>
      <c r="B372" s="33">
        <f t="shared" si="177"/>
        <v>319</v>
      </c>
      <c r="C372" s="33">
        <f t="shared" si="178"/>
        <v>1987</v>
      </c>
      <c r="D372" s="11">
        <f t="shared" si="179"/>
        <v>2306</v>
      </c>
      <c r="E372" s="34">
        <f t="shared" si="157"/>
        <v>1.8853785034595e-6</v>
      </c>
      <c r="F372" s="35">
        <f t="shared" si="180"/>
        <v>0.000374328285346812</v>
      </c>
      <c r="G372" s="18">
        <f>(SUM($I$8:$I372)*(MAX(M$3-M$4,0))+(N372*MAX(M$4,0)))*(1-$AM$4)+(AM372*$AM$4)</f>
        <v>0.136629824151586</v>
      </c>
      <c r="H372" s="18">
        <f t="shared" si="144"/>
        <v>1.08333333333333</v>
      </c>
      <c r="I372" s="18">
        <f t="shared" si="181"/>
        <v>0.000656565656565654</v>
      </c>
      <c r="J372" s="18">
        <f t="shared" si="146"/>
        <v>0.25604054717722</v>
      </c>
      <c r="K372" s="18">
        <f t="shared" si="147"/>
        <v>0.0023321612941153</v>
      </c>
      <c r="L372" s="18">
        <f t="shared" si="148"/>
        <v>0.000606060606060606</v>
      </c>
      <c r="M372" s="18">
        <v>0.1</v>
      </c>
      <c r="N372" s="18">
        <f t="shared" si="158"/>
        <v>0.1</v>
      </c>
      <c r="O372" s="11">
        <v>0</v>
      </c>
      <c r="P372" s="11">
        <v>0</v>
      </c>
      <c r="Q372" s="11">
        <f t="shared" si="182"/>
        <v>1</v>
      </c>
      <c r="R372" s="11">
        <v>0</v>
      </c>
      <c r="S372" s="11">
        <f t="shared" si="149"/>
        <v>0</v>
      </c>
      <c r="T372" s="11">
        <v>0</v>
      </c>
      <c r="U372" s="11">
        <f t="shared" si="183"/>
        <v>1</v>
      </c>
      <c r="V372" s="11">
        <v>0</v>
      </c>
      <c r="W372" s="11">
        <f t="shared" si="184"/>
        <v>1</v>
      </c>
      <c r="X372" s="11">
        <f t="shared" si="151"/>
        <v>0</v>
      </c>
      <c r="Y372" s="19">
        <v>0</v>
      </c>
      <c r="Z372" s="11">
        <v>0</v>
      </c>
      <c r="AA372" s="11">
        <v>3</v>
      </c>
      <c r="AB372" s="11">
        <v>0</v>
      </c>
      <c r="AC372" s="11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45">
        <v>0</v>
      </c>
      <c r="AJ372" s="45">
        <v>0</v>
      </c>
      <c r="AK372" s="45">
        <f t="shared" si="185"/>
        <v>0.3611</v>
      </c>
      <c r="AL372" s="45">
        <f t="shared" si="186"/>
        <v>0.00348095238095238</v>
      </c>
      <c r="AM372" s="45">
        <f t="shared" si="187"/>
        <v>0.0012569719047619</v>
      </c>
      <c r="AN372" s="45">
        <f t="shared" si="188"/>
        <v>0.792187500000003</v>
      </c>
      <c r="AO372" s="45">
        <f t="shared" si="189"/>
        <v>0.792187500000004</v>
      </c>
      <c r="AP372" s="45">
        <f t="shared" si="190"/>
        <v>1.05625</v>
      </c>
      <c r="AQ372" s="45">
        <f t="shared" si="191"/>
        <v>0</v>
      </c>
      <c r="AR372" s="45">
        <f t="shared" si="192"/>
        <v>0</v>
      </c>
      <c r="AS372" s="19">
        <f t="shared" si="193"/>
        <v>1.07916666666667</v>
      </c>
      <c r="AT372" s="19">
        <f t="shared" si="194"/>
        <v>1.03333333333334</v>
      </c>
      <c r="AU372" s="46">
        <v>0</v>
      </c>
      <c r="AV372" s="46">
        <v>0</v>
      </c>
      <c r="AW372" s="46">
        <v>0</v>
      </c>
      <c r="AX372" s="46">
        <v>1</v>
      </c>
      <c r="AY372" s="47">
        <v>0</v>
      </c>
      <c r="AZ372" s="47">
        <v>-1</v>
      </c>
    </row>
    <row r="373" hidden="1" customHeight="1" spans="1:52">
      <c r="A373" s="44">
        <v>45698</v>
      </c>
      <c r="B373" s="33">
        <f t="shared" si="177"/>
        <v>318</v>
      </c>
      <c r="C373" s="33">
        <f t="shared" si="178"/>
        <v>1974</v>
      </c>
      <c r="D373" s="11">
        <f t="shared" si="179"/>
        <v>2292</v>
      </c>
      <c r="E373" s="34">
        <f t="shared" si="157"/>
        <v>1.87507588868648e-6</v>
      </c>
      <c r="F373" s="35">
        <f t="shared" si="180"/>
        <v>0.000376203361235499</v>
      </c>
      <c r="G373" s="18">
        <f>(SUM($I$8:$I373)*(MAX(M$3-M$4,0))+(N373*MAX(M$4,0)))*(1-$AM$4)+(AM373*$AM$4)</f>
        <v>0.137690430212193</v>
      </c>
      <c r="H373" s="18">
        <f t="shared" si="144"/>
        <v>1.08333333333333</v>
      </c>
      <c r="I373" s="18">
        <f t="shared" si="181"/>
        <v>0.000656565656565654</v>
      </c>
      <c r="J373" s="18">
        <f t="shared" si="146"/>
        <v>0.257323099085081</v>
      </c>
      <c r="K373" s="18">
        <f t="shared" si="147"/>
        <v>0.00233546195256264</v>
      </c>
      <c r="L373" s="18">
        <f t="shared" si="148"/>
        <v>0.000606060606060606</v>
      </c>
      <c r="M373" s="18">
        <v>0.1025</v>
      </c>
      <c r="N373" s="18">
        <f t="shared" si="158"/>
        <v>0.1025</v>
      </c>
      <c r="O373" s="11">
        <v>0</v>
      </c>
      <c r="P373" s="11">
        <v>0</v>
      </c>
      <c r="Q373" s="11">
        <f t="shared" si="182"/>
        <v>1</v>
      </c>
      <c r="R373" s="11">
        <v>0</v>
      </c>
      <c r="S373" s="11">
        <f t="shared" si="149"/>
        <v>0</v>
      </c>
      <c r="T373" s="11">
        <v>0</v>
      </c>
      <c r="U373" s="11">
        <f t="shared" si="183"/>
        <v>1</v>
      </c>
      <c r="V373" s="11">
        <v>0</v>
      </c>
      <c r="W373" s="11">
        <f t="shared" si="184"/>
        <v>1</v>
      </c>
      <c r="X373" s="11">
        <f t="shared" si="151"/>
        <v>0</v>
      </c>
      <c r="Y373" s="19">
        <v>0</v>
      </c>
      <c r="Z373" s="11">
        <v>0</v>
      </c>
      <c r="AA373" s="11">
        <v>3</v>
      </c>
      <c r="AB373" s="11">
        <v>0</v>
      </c>
      <c r="AC373" s="11">
        <v>0</v>
      </c>
      <c r="AD373" s="11">
        <v>0</v>
      </c>
      <c r="AE373" s="11">
        <v>0</v>
      </c>
      <c r="AF373" s="11">
        <v>0</v>
      </c>
      <c r="AG373" s="11">
        <v>0</v>
      </c>
      <c r="AH373" s="11">
        <v>0</v>
      </c>
      <c r="AI373" s="45">
        <v>0</v>
      </c>
      <c r="AJ373" s="45">
        <v>0</v>
      </c>
      <c r="AK373" s="45">
        <f t="shared" si="185"/>
        <v>0.3611</v>
      </c>
      <c r="AL373" s="45">
        <f t="shared" si="186"/>
        <v>0.00348095238095238</v>
      </c>
      <c r="AM373" s="45">
        <f t="shared" si="187"/>
        <v>0.0012569719047619</v>
      </c>
      <c r="AN373" s="45">
        <f t="shared" si="188"/>
        <v>0.792187500000003</v>
      </c>
      <c r="AO373" s="45">
        <f t="shared" si="189"/>
        <v>0.792187500000004</v>
      </c>
      <c r="AP373" s="45">
        <f t="shared" si="190"/>
        <v>1.05625</v>
      </c>
      <c r="AQ373" s="45">
        <f t="shared" si="191"/>
        <v>0</v>
      </c>
      <c r="AR373" s="45">
        <f t="shared" si="192"/>
        <v>0</v>
      </c>
      <c r="AS373" s="19">
        <f t="shared" si="193"/>
        <v>1.07916666666667</v>
      </c>
      <c r="AT373" s="19">
        <f t="shared" si="194"/>
        <v>1.03333333333334</v>
      </c>
      <c r="AU373" s="46">
        <v>0</v>
      </c>
      <c r="AV373" s="46">
        <v>0</v>
      </c>
      <c r="AW373" s="46">
        <v>0</v>
      </c>
      <c r="AX373" s="46">
        <v>1</v>
      </c>
      <c r="AY373" s="47">
        <v>0</v>
      </c>
      <c r="AZ373" s="47">
        <v>-1</v>
      </c>
    </row>
    <row r="374" hidden="1" customHeight="1" spans="1:52">
      <c r="A374" s="44">
        <v>45699</v>
      </c>
      <c r="B374" s="33">
        <f t="shared" si="177"/>
        <v>317</v>
      </c>
      <c r="C374" s="33">
        <f t="shared" si="178"/>
        <v>1961</v>
      </c>
      <c r="D374" s="11">
        <f t="shared" si="179"/>
        <v>2278</v>
      </c>
      <c r="E374" s="34">
        <f t="shared" si="157"/>
        <v>1.84389256289557e-6</v>
      </c>
      <c r="F374" s="35">
        <f t="shared" si="180"/>
        <v>0.000378047253798394</v>
      </c>
      <c r="G374" s="18">
        <f>(SUM($I$8:$I374)*(MAX(M$3-M$4,0))+(N374*MAX(M$4,0)))*(1-$AM$4)+(AM374*$AM$4)</f>
        <v>0.138743342144011</v>
      </c>
      <c r="H374" s="18">
        <f t="shared" si="144"/>
        <v>1.08333333333333</v>
      </c>
      <c r="I374" s="18">
        <f t="shared" si="181"/>
        <v>0.000615530303030303</v>
      </c>
      <c r="J374" s="18">
        <f t="shared" si="146"/>
        <v>0.258584321598102</v>
      </c>
      <c r="K374" s="18">
        <f t="shared" si="147"/>
        <v>0.00233885072051072</v>
      </c>
      <c r="L374" s="18">
        <f t="shared" si="148"/>
        <v>0.00056818181818182</v>
      </c>
      <c r="M374" s="18">
        <v>0.105</v>
      </c>
      <c r="N374" s="18">
        <f t="shared" si="158"/>
        <v>0.105</v>
      </c>
      <c r="O374" s="11">
        <v>0</v>
      </c>
      <c r="P374" s="11">
        <v>0</v>
      </c>
      <c r="Q374" s="11">
        <f t="shared" si="182"/>
        <v>1</v>
      </c>
      <c r="R374" s="11">
        <v>0</v>
      </c>
      <c r="S374" s="11">
        <f t="shared" si="149"/>
        <v>0</v>
      </c>
      <c r="T374" s="11">
        <v>0</v>
      </c>
      <c r="U374" s="11">
        <f t="shared" si="183"/>
        <v>1</v>
      </c>
      <c r="V374" s="11">
        <v>0</v>
      </c>
      <c r="W374" s="11">
        <f t="shared" si="184"/>
        <v>1</v>
      </c>
      <c r="X374" s="11">
        <f t="shared" si="151"/>
        <v>0</v>
      </c>
      <c r="Y374" s="19">
        <v>1.5</v>
      </c>
      <c r="Z374" s="11">
        <v>0</v>
      </c>
      <c r="AA374" s="11">
        <v>0</v>
      </c>
      <c r="AB374" s="11">
        <v>0</v>
      </c>
      <c r="AC374" s="11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45">
        <v>0</v>
      </c>
      <c r="AJ374" s="45">
        <v>0</v>
      </c>
      <c r="AK374" s="45">
        <f t="shared" si="185"/>
        <v>0.3611</v>
      </c>
      <c r="AL374" s="45">
        <f t="shared" si="186"/>
        <v>0.00348095238095238</v>
      </c>
      <c r="AM374" s="45">
        <f t="shared" si="187"/>
        <v>0.0012569719047619</v>
      </c>
      <c r="AN374" s="45">
        <f t="shared" si="188"/>
        <v>0.792187500000003</v>
      </c>
      <c r="AO374" s="45">
        <f t="shared" si="189"/>
        <v>0.792187500000004</v>
      </c>
      <c r="AP374" s="45">
        <f t="shared" si="190"/>
        <v>1.05625</v>
      </c>
      <c r="AQ374" s="45">
        <f t="shared" si="191"/>
        <v>0</v>
      </c>
      <c r="AR374" s="45">
        <f t="shared" si="192"/>
        <v>0</v>
      </c>
      <c r="AS374" s="19">
        <f t="shared" si="193"/>
        <v>1.07916666666667</v>
      </c>
      <c r="AT374" s="19">
        <f t="shared" si="194"/>
        <v>1.03333333333334</v>
      </c>
      <c r="AU374" s="46">
        <v>0</v>
      </c>
      <c r="AV374" s="46">
        <v>0</v>
      </c>
      <c r="AW374" s="46">
        <v>0</v>
      </c>
      <c r="AX374" s="46">
        <v>1</v>
      </c>
      <c r="AY374" s="47">
        <v>0</v>
      </c>
      <c r="AZ374" s="47">
        <v>-1</v>
      </c>
    </row>
    <row r="375" hidden="1" customHeight="1" spans="1:52">
      <c r="A375" s="44">
        <v>45700</v>
      </c>
      <c r="B375" s="33">
        <f t="shared" si="177"/>
        <v>316</v>
      </c>
      <c r="C375" s="33">
        <f t="shared" si="178"/>
        <v>1948</v>
      </c>
      <c r="D375" s="11">
        <f t="shared" si="179"/>
        <v>2264</v>
      </c>
      <c r="E375" s="34">
        <f t="shared" si="157"/>
        <v>1.85477936632525e-6</v>
      </c>
      <c r="F375" s="35">
        <f t="shared" si="180"/>
        <v>0.00037990203316472</v>
      </c>
      <c r="G375" s="18">
        <f>(SUM($I$8:$I375)*(MAX(M$3-M$4,0))+(N375*MAX(M$4,0)))*(1-$AM$4)+(AM375*$AM$4)</f>
        <v>0.139803948204617</v>
      </c>
      <c r="H375" s="18">
        <f t="shared" si="144"/>
        <v>1.08333333333333</v>
      </c>
      <c r="I375" s="18">
        <f t="shared" si="181"/>
        <v>0.000656565656565654</v>
      </c>
      <c r="J375" s="18">
        <f t="shared" si="146"/>
        <v>0.259852990684668</v>
      </c>
      <c r="K375" s="18">
        <f t="shared" si="147"/>
        <v>0.00234223737125105</v>
      </c>
      <c r="L375" s="18">
        <f t="shared" si="148"/>
        <v>0.000606060606060606</v>
      </c>
      <c r="M375" s="18">
        <v>0.1075</v>
      </c>
      <c r="N375" s="18">
        <f t="shared" si="158"/>
        <v>0.1075</v>
      </c>
      <c r="O375" s="11">
        <v>0</v>
      </c>
      <c r="P375" s="11">
        <v>0</v>
      </c>
      <c r="Q375" s="11">
        <f t="shared" si="182"/>
        <v>1</v>
      </c>
      <c r="R375" s="11">
        <v>0</v>
      </c>
      <c r="S375" s="11">
        <f t="shared" si="149"/>
        <v>0</v>
      </c>
      <c r="T375" s="11">
        <v>0</v>
      </c>
      <c r="U375" s="11">
        <f t="shared" si="183"/>
        <v>1</v>
      </c>
      <c r="V375" s="11">
        <v>0</v>
      </c>
      <c r="W375" s="11">
        <f t="shared" si="184"/>
        <v>1</v>
      </c>
      <c r="X375" s="11">
        <f t="shared" si="151"/>
        <v>0</v>
      </c>
      <c r="Y375" s="19">
        <v>0</v>
      </c>
      <c r="Z375" s="11">
        <v>0</v>
      </c>
      <c r="AA375" s="11">
        <v>3</v>
      </c>
      <c r="AB375" s="11">
        <v>0</v>
      </c>
      <c r="AC375" s="11">
        <v>0</v>
      </c>
      <c r="AD375" s="11">
        <v>0</v>
      </c>
      <c r="AE375" s="11">
        <v>0</v>
      </c>
      <c r="AF375" s="11">
        <v>0</v>
      </c>
      <c r="AG375" s="11">
        <v>0</v>
      </c>
      <c r="AH375" s="11">
        <v>0</v>
      </c>
      <c r="AI375" s="45">
        <v>0</v>
      </c>
      <c r="AJ375" s="45">
        <v>0</v>
      </c>
      <c r="AK375" s="45">
        <f t="shared" si="185"/>
        <v>0.3611</v>
      </c>
      <c r="AL375" s="45">
        <f t="shared" si="186"/>
        <v>0.00348095238095238</v>
      </c>
      <c r="AM375" s="45">
        <f t="shared" si="187"/>
        <v>0.0012569719047619</v>
      </c>
      <c r="AN375" s="45">
        <f t="shared" si="188"/>
        <v>0.792187500000003</v>
      </c>
      <c r="AO375" s="45">
        <f t="shared" si="189"/>
        <v>0.792187500000004</v>
      </c>
      <c r="AP375" s="45">
        <f t="shared" si="190"/>
        <v>1.05625</v>
      </c>
      <c r="AQ375" s="45">
        <f t="shared" si="191"/>
        <v>0</v>
      </c>
      <c r="AR375" s="45">
        <f t="shared" si="192"/>
        <v>0</v>
      </c>
      <c r="AS375" s="19">
        <f t="shared" si="193"/>
        <v>1.07916666666667</v>
      </c>
      <c r="AT375" s="19">
        <f t="shared" si="194"/>
        <v>1.03333333333334</v>
      </c>
      <c r="AU375" s="46">
        <v>0</v>
      </c>
      <c r="AV375" s="46">
        <v>0</v>
      </c>
      <c r="AW375" s="46">
        <v>0</v>
      </c>
      <c r="AX375" s="46">
        <v>1</v>
      </c>
      <c r="AY375" s="47">
        <v>0</v>
      </c>
      <c r="AZ375" s="47">
        <v>-1</v>
      </c>
    </row>
    <row r="376" hidden="1" customHeight="1" spans="1:52">
      <c r="A376" s="44">
        <v>45701</v>
      </c>
      <c r="B376" s="33">
        <f t="shared" si="177"/>
        <v>315</v>
      </c>
      <c r="C376" s="33">
        <f t="shared" si="178"/>
        <v>1936</v>
      </c>
      <c r="D376" s="11">
        <f t="shared" si="179"/>
        <v>2251</v>
      </c>
      <c r="E376" s="34">
        <f t="shared" si="157"/>
        <v>1.84472636162962e-6</v>
      </c>
      <c r="F376" s="35">
        <f t="shared" si="180"/>
        <v>0.000381746759526349</v>
      </c>
      <c r="G376" s="18">
        <f>(SUM($I$8:$I376)*(MAX(M$3-M$4,0))+(N376*MAX(M$4,0)))*(1-$AM$4)+(AM376*$AM$4)</f>
        <v>0.140864554265223</v>
      </c>
      <c r="H376" s="18">
        <f t="shared" si="144"/>
        <v>1.08333333333333</v>
      </c>
      <c r="I376" s="18">
        <f t="shared" si="181"/>
        <v>0.000656565656565654</v>
      </c>
      <c r="J376" s="18">
        <f t="shared" si="146"/>
        <v>0.261114783516023</v>
      </c>
      <c r="K376" s="18">
        <f t="shared" si="147"/>
        <v>0.00234566735391739</v>
      </c>
      <c r="L376" s="18">
        <f t="shared" si="148"/>
        <v>0.000606060606060606</v>
      </c>
      <c r="M376" s="18">
        <v>0.11</v>
      </c>
      <c r="N376" s="18">
        <f t="shared" si="158"/>
        <v>0.11</v>
      </c>
      <c r="O376" s="11">
        <v>0</v>
      </c>
      <c r="P376" s="11">
        <v>0</v>
      </c>
      <c r="Q376" s="11">
        <f t="shared" si="182"/>
        <v>1</v>
      </c>
      <c r="R376" s="11">
        <v>0</v>
      </c>
      <c r="S376" s="11">
        <f t="shared" si="149"/>
        <v>0</v>
      </c>
      <c r="T376" s="11">
        <v>0</v>
      </c>
      <c r="U376" s="11">
        <f t="shared" si="183"/>
        <v>1</v>
      </c>
      <c r="V376" s="11">
        <v>0</v>
      </c>
      <c r="W376" s="11">
        <f t="shared" si="184"/>
        <v>1</v>
      </c>
      <c r="X376" s="11">
        <f t="shared" si="151"/>
        <v>0</v>
      </c>
      <c r="Y376" s="19">
        <v>0</v>
      </c>
      <c r="Z376" s="11">
        <v>0</v>
      </c>
      <c r="AA376" s="11">
        <v>3</v>
      </c>
      <c r="AB376" s="11">
        <v>0</v>
      </c>
      <c r="AC376" s="11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45">
        <v>0</v>
      </c>
      <c r="AJ376" s="45">
        <v>0</v>
      </c>
      <c r="AK376" s="45">
        <f t="shared" si="185"/>
        <v>0.3611</v>
      </c>
      <c r="AL376" s="45">
        <f t="shared" si="186"/>
        <v>0.00348095238095238</v>
      </c>
      <c r="AM376" s="45">
        <f t="shared" si="187"/>
        <v>0.0012569719047619</v>
      </c>
      <c r="AN376" s="45">
        <f t="shared" si="188"/>
        <v>0.792187500000003</v>
      </c>
      <c r="AO376" s="45">
        <f t="shared" si="189"/>
        <v>0.792187500000004</v>
      </c>
      <c r="AP376" s="45">
        <f t="shared" si="190"/>
        <v>1.05625</v>
      </c>
      <c r="AQ376" s="45">
        <f t="shared" si="191"/>
        <v>0</v>
      </c>
      <c r="AR376" s="45">
        <f t="shared" si="192"/>
        <v>0</v>
      </c>
      <c r="AS376" s="19">
        <f t="shared" si="193"/>
        <v>1.07916666666667</v>
      </c>
      <c r="AT376" s="19">
        <f t="shared" si="194"/>
        <v>1.03333333333334</v>
      </c>
      <c r="AU376" s="46">
        <v>0</v>
      </c>
      <c r="AV376" s="46">
        <v>0</v>
      </c>
      <c r="AW376" s="46">
        <v>0</v>
      </c>
      <c r="AX376" s="46">
        <v>1</v>
      </c>
      <c r="AY376" s="47">
        <v>0</v>
      </c>
      <c r="AZ376" s="47">
        <v>-1</v>
      </c>
    </row>
    <row r="377" hidden="1" customHeight="1" spans="1:52">
      <c r="A377" s="44">
        <v>45702</v>
      </c>
      <c r="B377" s="33">
        <f t="shared" si="177"/>
        <v>314</v>
      </c>
      <c r="C377" s="33">
        <f t="shared" si="178"/>
        <v>1921</v>
      </c>
      <c r="D377" s="11">
        <f t="shared" si="179"/>
        <v>2235</v>
      </c>
      <c r="E377" s="34">
        <f t="shared" si="157"/>
        <v>2.09053266262332e-6</v>
      </c>
      <c r="F377" s="35">
        <f t="shared" si="180"/>
        <v>0.000383837292188972</v>
      </c>
      <c r="G377" s="18">
        <f>(SUM($I$8:$I377)*(MAX(M$3-M$4,0))+(N377*MAX(M$4,0)))*(1-$AM$4)+(AM377*$AM$4)</f>
        <v>0.14201979810992</v>
      </c>
      <c r="H377" s="18">
        <f t="shared" si="144"/>
        <v>1.08333333333333</v>
      </c>
      <c r="I377" s="18">
        <f t="shared" si="181"/>
        <v>0.0011613005050505</v>
      </c>
      <c r="J377" s="18">
        <f t="shared" si="146"/>
        <v>0.262544707857257</v>
      </c>
      <c r="K377" s="18">
        <f t="shared" si="147"/>
        <v>0.00234858373293867</v>
      </c>
      <c r="L377" s="18">
        <f t="shared" si="148"/>
        <v>0.0010719696969697</v>
      </c>
      <c r="M377" s="18">
        <v>0.1125</v>
      </c>
      <c r="N377" s="18">
        <f t="shared" si="158"/>
        <v>0.1125</v>
      </c>
      <c r="O377" s="11">
        <v>0</v>
      </c>
      <c r="P377" s="11">
        <v>0</v>
      </c>
      <c r="Q377" s="11">
        <f t="shared" si="182"/>
        <v>1</v>
      </c>
      <c r="R377" s="11">
        <v>0</v>
      </c>
      <c r="S377" s="11">
        <f t="shared" si="149"/>
        <v>0</v>
      </c>
      <c r="T377" s="11">
        <v>0</v>
      </c>
      <c r="U377" s="11">
        <f t="shared" si="183"/>
        <v>1</v>
      </c>
      <c r="V377" s="11">
        <v>0</v>
      </c>
      <c r="W377" s="11">
        <f t="shared" si="184"/>
        <v>1</v>
      </c>
      <c r="X377" s="11">
        <f t="shared" si="151"/>
        <v>0</v>
      </c>
      <c r="Y377" s="19">
        <v>2.83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1">
        <v>0</v>
      </c>
      <c r="AG377" s="11">
        <v>0</v>
      </c>
      <c r="AH377" s="11">
        <v>0</v>
      </c>
      <c r="AI377" s="45">
        <v>0</v>
      </c>
      <c r="AJ377" s="45">
        <v>0</v>
      </c>
      <c r="AK377" s="45">
        <f t="shared" si="185"/>
        <v>0.3611</v>
      </c>
      <c r="AL377" s="45">
        <f t="shared" si="186"/>
        <v>0.00348095238095238</v>
      </c>
      <c r="AM377" s="45">
        <f t="shared" si="187"/>
        <v>0.0012569719047619</v>
      </c>
      <c r="AN377" s="45">
        <f t="shared" si="188"/>
        <v>0.792187500000003</v>
      </c>
      <c r="AO377" s="45">
        <f t="shared" si="189"/>
        <v>0.792187500000004</v>
      </c>
      <c r="AP377" s="45">
        <f t="shared" si="190"/>
        <v>1.05625</v>
      </c>
      <c r="AQ377" s="45">
        <f t="shared" si="191"/>
        <v>0</v>
      </c>
      <c r="AR377" s="45">
        <f t="shared" si="192"/>
        <v>0</v>
      </c>
      <c r="AS377" s="19">
        <f t="shared" si="193"/>
        <v>1.07916666666667</v>
      </c>
      <c r="AT377" s="19">
        <f t="shared" si="194"/>
        <v>1.03333333333334</v>
      </c>
      <c r="AU377" s="46">
        <v>0</v>
      </c>
      <c r="AV377" s="46">
        <v>0</v>
      </c>
      <c r="AW377" s="46">
        <v>0</v>
      </c>
      <c r="AX377" s="46">
        <v>1</v>
      </c>
      <c r="AY377" s="47">
        <v>0</v>
      </c>
      <c r="AZ377" s="47">
        <v>-1</v>
      </c>
    </row>
    <row r="378" hidden="1" customHeight="1" spans="1:52">
      <c r="A378" s="44">
        <v>45703</v>
      </c>
      <c r="B378" s="33">
        <f t="shared" si="177"/>
        <v>313</v>
      </c>
      <c r="C378" s="33">
        <f t="shared" si="178"/>
        <v>1909</v>
      </c>
      <c r="D378" s="11">
        <f t="shared" si="179"/>
        <v>2222</v>
      </c>
      <c r="E378" s="34">
        <f t="shared" si="157"/>
        <v>1.82417457794361e-6</v>
      </c>
      <c r="F378" s="35">
        <f t="shared" si="180"/>
        <v>0.000385661466766916</v>
      </c>
      <c r="G378" s="18">
        <f>(SUM($I$8:$I378)*(MAX(M$3-M$4,0))+(N378*MAX(M$4,0)))*(1-$AM$4)+(AM378*$AM$4)</f>
        <v>0.143080404170526</v>
      </c>
      <c r="H378" s="18">
        <f t="shared" si="144"/>
        <v>1.08333333333333</v>
      </c>
      <c r="I378" s="18">
        <f t="shared" si="181"/>
        <v>0.000656565656565654</v>
      </c>
      <c r="J378" s="18">
        <f t="shared" si="146"/>
        <v>0.263792443268571</v>
      </c>
      <c r="K378" s="18">
        <f t="shared" si="147"/>
        <v>0.00235210082022821</v>
      </c>
      <c r="L378" s="18">
        <f t="shared" si="148"/>
        <v>0.000606060606060606</v>
      </c>
      <c r="M378" s="18">
        <v>0.115</v>
      </c>
      <c r="N378" s="18">
        <f t="shared" si="158"/>
        <v>0.115</v>
      </c>
      <c r="O378" s="11">
        <v>0</v>
      </c>
      <c r="P378" s="11">
        <v>0</v>
      </c>
      <c r="Q378" s="11">
        <f t="shared" si="182"/>
        <v>1</v>
      </c>
      <c r="R378" s="11">
        <v>0</v>
      </c>
      <c r="S378" s="11">
        <f t="shared" si="149"/>
        <v>0</v>
      </c>
      <c r="T378" s="11">
        <v>0</v>
      </c>
      <c r="U378" s="11">
        <f t="shared" si="183"/>
        <v>1</v>
      </c>
      <c r="V378" s="11">
        <v>0</v>
      </c>
      <c r="W378" s="11">
        <f t="shared" si="184"/>
        <v>1</v>
      </c>
      <c r="X378" s="11">
        <f t="shared" si="151"/>
        <v>0</v>
      </c>
      <c r="Y378" s="19">
        <v>0</v>
      </c>
      <c r="Z378" s="11">
        <v>0</v>
      </c>
      <c r="AA378" s="11">
        <v>3</v>
      </c>
      <c r="AB378" s="11">
        <v>0</v>
      </c>
      <c r="AC378" s="11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45">
        <v>0</v>
      </c>
      <c r="AJ378" s="45">
        <v>0</v>
      </c>
      <c r="AK378" s="45">
        <f t="shared" si="185"/>
        <v>0.3611</v>
      </c>
      <c r="AL378" s="45">
        <f t="shared" si="186"/>
        <v>0.00348095238095238</v>
      </c>
      <c r="AM378" s="45">
        <f t="shared" si="187"/>
        <v>0.0012569719047619</v>
      </c>
      <c r="AN378" s="45">
        <f t="shared" si="188"/>
        <v>0.792187500000003</v>
      </c>
      <c r="AO378" s="45">
        <f t="shared" si="189"/>
        <v>0.792187500000004</v>
      </c>
      <c r="AP378" s="45">
        <f t="shared" si="190"/>
        <v>1.05625</v>
      </c>
      <c r="AQ378" s="45">
        <f t="shared" si="191"/>
        <v>0</v>
      </c>
      <c r="AR378" s="45">
        <f t="shared" si="192"/>
        <v>0</v>
      </c>
      <c r="AS378" s="19">
        <f t="shared" si="193"/>
        <v>1.07916666666667</v>
      </c>
      <c r="AT378" s="19">
        <f t="shared" si="194"/>
        <v>1.03333333333334</v>
      </c>
      <c r="AU378" s="46">
        <v>0</v>
      </c>
      <c r="AV378" s="46">
        <v>0</v>
      </c>
      <c r="AW378" s="46">
        <v>0</v>
      </c>
      <c r="AX378" s="46">
        <v>1</v>
      </c>
      <c r="AY378" s="47">
        <v>0</v>
      </c>
      <c r="AZ378" s="47">
        <v>-1</v>
      </c>
    </row>
    <row r="379" hidden="1" customHeight="1" spans="1:52">
      <c r="A379" s="44">
        <v>45704</v>
      </c>
      <c r="B379" s="33">
        <f t="shared" si="177"/>
        <v>312</v>
      </c>
      <c r="C379" s="33">
        <f t="shared" si="178"/>
        <v>1897</v>
      </c>
      <c r="D379" s="11">
        <f t="shared" si="179"/>
        <v>2209</v>
      </c>
      <c r="E379" s="34">
        <f t="shared" si="157"/>
        <v>1.74266562914289e-6</v>
      </c>
      <c r="F379" s="35">
        <f t="shared" si="180"/>
        <v>0.000387404132396059</v>
      </c>
      <c r="G379" s="18">
        <f>(SUM($I$8:$I379)*(MAX(M$3-M$4,0))+(N379*MAX(M$4,0)))*(1-$AM$4)+(AM379*$AM$4)</f>
        <v>0.144114337251334</v>
      </c>
      <c r="H379" s="18">
        <f t="shared" si="144"/>
        <v>1.08333333333333</v>
      </c>
      <c r="I379" s="18">
        <f t="shared" si="181"/>
        <v>0.000514309764309763</v>
      </c>
      <c r="J379" s="18">
        <f t="shared" si="146"/>
        <v>0.264984426558904</v>
      </c>
      <c r="K379" s="18">
        <f t="shared" si="147"/>
        <v>0.00235581914564454</v>
      </c>
      <c r="L379" s="18">
        <f t="shared" si="148"/>
        <v>0.000474747474747475</v>
      </c>
      <c r="M379" s="18">
        <v>0.1175</v>
      </c>
      <c r="N379" s="18">
        <f t="shared" si="158"/>
        <v>0.1175</v>
      </c>
      <c r="O379" s="11">
        <v>0</v>
      </c>
      <c r="P379" s="11">
        <v>0</v>
      </c>
      <c r="Q379" s="11">
        <f t="shared" si="182"/>
        <v>1</v>
      </c>
      <c r="R379" s="11">
        <v>0</v>
      </c>
      <c r="S379" s="11">
        <f t="shared" si="149"/>
        <v>0</v>
      </c>
      <c r="T379" s="11">
        <v>0</v>
      </c>
      <c r="U379" s="11">
        <f t="shared" si="183"/>
        <v>1</v>
      </c>
      <c r="V379" s="11">
        <v>0</v>
      </c>
      <c r="W379" s="11">
        <f t="shared" si="184"/>
        <v>1</v>
      </c>
      <c r="X379" s="11">
        <f t="shared" si="151"/>
        <v>0</v>
      </c>
      <c r="Y379" s="19">
        <v>0</v>
      </c>
      <c r="Z379" s="11">
        <v>1</v>
      </c>
      <c r="AA379" s="11">
        <v>1</v>
      </c>
      <c r="AB379" s="11">
        <v>0</v>
      </c>
      <c r="AC379" s="11">
        <v>0</v>
      </c>
      <c r="AD379" s="11">
        <v>0</v>
      </c>
      <c r="AE379" s="11">
        <v>0</v>
      </c>
      <c r="AF379" s="11">
        <v>0</v>
      </c>
      <c r="AG379" s="11">
        <v>0</v>
      </c>
      <c r="AH379" s="11">
        <v>0</v>
      </c>
      <c r="AI379" s="45">
        <v>0</v>
      </c>
      <c r="AJ379" s="45">
        <v>0</v>
      </c>
      <c r="AK379" s="45">
        <f t="shared" si="185"/>
        <v>0.3611</v>
      </c>
      <c r="AL379" s="45">
        <f t="shared" si="186"/>
        <v>0.00348095238095238</v>
      </c>
      <c r="AM379" s="45">
        <f t="shared" si="187"/>
        <v>0.0012569719047619</v>
      </c>
      <c r="AN379" s="45">
        <f t="shared" si="188"/>
        <v>0.792187500000003</v>
      </c>
      <c r="AO379" s="45">
        <f t="shared" si="189"/>
        <v>0.792187500000004</v>
      </c>
      <c r="AP379" s="45">
        <f t="shared" si="190"/>
        <v>1.05625</v>
      </c>
      <c r="AQ379" s="45">
        <f t="shared" si="191"/>
        <v>0</v>
      </c>
      <c r="AR379" s="45">
        <f t="shared" si="192"/>
        <v>0</v>
      </c>
      <c r="AS379" s="19">
        <f t="shared" si="193"/>
        <v>1.07916666666667</v>
      </c>
      <c r="AT379" s="19">
        <f t="shared" si="194"/>
        <v>1.03333333333334</v>
      </c>
      <c r="AU379" s="46">
        <v>0</v>
      </c>
      <c r="AV379" s="46">
        <v>0</v>
      </c>
      <c r="AW379" s="46">
        <v>0</v>
      </c>
      <c r="AX379" s="46">
        <v>1</v>
      </c>
      <c r="AY379" s="47">
        <v>0</v>
      </c>
      <c r="AZ379" s="47">
        <v>-1</v>
      </c>
    </row>
    <row r="380" hidden="1" customHeight="1" spans="1:52">
      <c r="A380" s="44">
        <v>45705</v>
      </c>
      <c r="B380" s="33">
        <f t="shared" si="177"/>
        <v>311</v>
      </c>
      <c r="C380" s="33">
        <f t="shared" si="178"/>
        <v>1900</v>
      </c>
      <c r="D380" s="11">
        <f t="shared" si="179"/>
        <v>2211</v>
      </c>
      <c r="E380" s="34">
        <f t="shared" si="157"/>
        <v>-3.59521650342728e-7</v>
      </c>
      <c r="F380" s="35">
        <f t="shared" si="180"/>
        <v>0.000387044610745716</v>
      </c>
      <c r="G380" s="18">
        <f>(SUM($I$8:$I380)*(MAX(M$3-M$4,0))+(N380*MAX(M$4,0)))*(1-$AM$4)+(AM380*$AM$4)</f>
        <v>0.144367639808152</v>
      </c>
      <c r="H380" s="18">
        <f t="shared" si="144"/>
        <v>1.08333333333333</v>
      </c>
      <c r="I380" s="18">
        <f t="shared" si="181"/>
        <v>0.00075094696969697</v>
      </c>
      <c r="J380" s="18">
        <f t="shared" si="146"/>
        <v>0.26473851375007</v>
      </c>
      <c r="K380" s="18">
        <f t="shared" si="147"/>
        <v>0.00236418484324736</v>
      </c>
      <c r="L380" s="18">
        <f t="shared" si="148"/>
        <v>0.00069318181818182</v>
      </c>
      <c r="M380" s="18">
        <v>0.1178</v>
      </c>
      <c r="N380" s="18">
        <f t="shared" si="158"/>
        <v>0.1178</v>
      </c>
      <c r="O380" s="11">
        <v>0</v>
      </c>
      <c r="P380" s="11">
        <v>0</v>
      </c>
      <c r="Q380" s="11">
        <f t="shared" si="182"/>
        <v>1</v>
      </c>
      <c r="R380" s="11">
        <v>0</v>
      </c>
      <c r="S380" s="11">
        <f t="shared" si="149"/>
        <v>0</v>
      </c>
      <c r="T380" s="11">
        <v>0</v>
      </c>
      <c r="U380" s="11">
        <f t="shared" si="183"/>
        <v>1</v>
      </c>
      <c r="V380" s="11">
        <v>0</v>
      </c>
      <c r="W380" s="11">
        <f t="shared" si="184"/>
        <v>1</v>
      </c>
      <c r="X380" s="11">
        <f t="shared" si="151"/>
        <v>0</v>
      </c>
      <c r="Y380" s="19">
        <v>1.83</v>
      </c>
      <c r="Z380" s="11">
        <v>0</v>
      </c>
      <c r="AA380" s="11">
        <v>0</v>
      </c>
      <c r="AB380" s="11">
        <v>0</v>
      </c>
      <c r="AC380" s="11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45">
        <v>0</v>
      </c>
      <c r="AJ380" s="45">
        <v>0</v>
      </c>
      <c r="AK380" s="45">
        <f t="shared" si="185"/>
        <v>0.3611</v>
      </c>
      <c r="AL380" s="45">
        <f t="shared" si="186"/>
        <v>0.00348095238095238</v>
      </c>
      <c r="AM380" s="45">
        <f t="shared" si="187"/>
        <v>0.0012569719047619</v>
      </c>
      <c r="AN380" s="45">
        <f t="shared" si="188"/>
        <v>0.792187500000003</v>
      </c>
      <c r="AO380" s="45">
        <f t="shared" si="189"/>
        <v>0.792187500000004</v>
      </c>
      <c r="AP380" s="45">
        <f t="shared" si="190"/>
        <v>1.05625</v>
      </c>
      <c r="AQ380" s="45">
        <f t="shared" si="191"/>
        <v>0</v>
      </c>
      <c r="AR380" s="45">
        <f t="shared" si="192"/>
        <v>0</v>
      </c>
      <c r="AS380" s="19">
        <f t="shared" si="193"/>
        <v>1.07916666666667</v>
      </c>
      <c r="AT380" s="19">
        <f t="shared" si="194"/>
        <v>1.03333333333334</v>
      </c>
      <c r="AU380" s="46">
        <v>0</v>
      </c>
      <c r="AV380" s="46">
        <v>0</v>
      </c>
      <c r="AW380" s="46">
        <v>0</v>
      </c>
      <c r="AX380" s="46">
        <v>1</v>
      </c>
      <c r="AY380" s="47">
        <v>0</v>
      </c>
      <c r="AZ380" s="47">
        <v>-1</v>
      </c>
    </row>
    <row r="381" hidden="1" customHeight="1" spans="1:52">
      <c r="A381" s="44">
        <v>45706</v>
      </c>
      <c r="B381" s="33">
        <f t="shared" si="177"/>
        <v>310</v>
      </c>
      <c r="C381" s="33">
        <f t="shared" si="178"/>
        <v>1899</v>
      </c>
      <c r="D381" s="11">
        <f t="shared" si="179"/>
        <v>2209</v>
      </c>
      <c r="E381" s="34">
        <f t="shared" si="157"/>
        <v>8.69681719919578e-8</v>
      </c>
      <c r="F381" s="35">
        <f t="shared" si="180"/>
        <v>0.000387131578917708</v>
      </c>
      <c r="G381" s="18">
        <f>(SUM($I$8:$I381)*(MAX(M$3-M$4,0))+(N381*MAX(M$4,0)))*(1-$AM$4)+(AM381*$AM$4)</f>
        <v>0.144787210515223</v>
      </c>
      <c r="H381" s="18">
        <f t="shared" si="144"/>
        <v>1.08333333333333</v>
      </c>
      <c r="I381" s="18">
        <f t="shared" si="181"/>
        <v>0.000437710437710436</v>
      </c>
      <c r="J381" s="18">
        <f t="shared" si="146"/>
        <v>0.264797999979712</v>
      </c>
      <c r="K381" s="18">
        <f t="shared" si="147"/>
        <v>0.00237161935490415</v>
      </c>
      <c r="L381" s="18">
        <f t="shared" si="148"/>
        <v>0.000404040404040404</v>
      </c>
      <c r="M381" s="18">
        <v>0.1187</v>
      </c>
      <c r="N381" s="18">
        <f t="shared" si="158"/>
        <v>0.1187</v>
      </c>
      <c r="O381" s="11">
        <v>0</v>
      </c>
      <c r="P381" s="11">
        <v>0</v>
      </c>
      <c r="Q381" s="11">
        <f t="shared" si="182"/>
        <v>1</v>
      </c>
      <c r="R381" s="11">
        <v>0</v>
      </c>
      <c r="S381" s="11">
        <f t="shared" si="149"/>
        <v>0</v>
      </c>
      <c r="T381" s="11">
        <v>0</v>
      </c>
      <c r="U381" s="11">
        <f t="shared" si="183"/>
        <v>1</v>
      </c>
      <c r="V381" s="11">
        <v>0</v>
      </c>
      <c r="W381" s="11">
        <f t="shared" si="184"/>
        <v>1</v>
      </c>
      <c r="X381" s="11">
        <f t="shared" si="151"/>
        <v>0</v>
      </c>
      <c r="Y381" s="19">
        <v>0</v>
      </c>
      <c r="Z381" s="11">
        <v>0</v>
      </c>
      <c r="AA381" s="11">
        <v>2</v>
      </c>
      <c r="AB381" s="11">
        <v>0</v>
      </c>
      <c r="AC381" s="11">
        <v>0</v>
      </c>
      <c r="AD381" s="11">
        <v>0</v>
      </c>
      <c r="AE381" s="11">
        <v>0</v>
      </c>
      <c r="AF381" s="11">
        <v>0</v>
      </c>
      <c r="AG381" s="11">
        <v>0</v>
      </c>
      <c r="AH381" s="11">
        <v>0</v>
      </c>
      <c r="AI381" s="45">
        <v>0</v>
      </c>
      <c r="AJ381" s="45">
        <v>0</v>
      </c>
      <c r="AK381" s="45">
        <f t="shared" si="185"/>
        <v>0.3611</v>
      </c>
      <c r="AL381" s="45">
        <f t="shared" si="186"/>
        <v>0.00348095238095238</v>
      </c>
      <c r="AM381" s="45">
        <f t="shared" si="187"/>
        <v>0.0012569719047619</v>
      </c>
      <c r="AN381" s="45">
        <f t="shared" si="188"/>
        <v>0.792187500000003</v>
      </c>
      <c r="AO381" s="45">
        <f t="shared" si="189"/>
        <v>0.792187500000004</v>
      </c>
      <c r="AP381" s="45">
        <f t="shared" si="190"/>
        <v>1.05625</v>
      </c>
      <c r="AQ381" s="45">
        <f t="shared" si="191"/>
        <v>0</v>
      </c>
      <c r="AR381" s="45">
        <f t="shared" si="192"/>
        <v>0</v>
      </c>
      <c r="AS381" s="19">
        <f t="shared" si="193"/>
        <v>1.07916666666667</v>
      </c>
      <c r="AT381" s="19">
        <f t="shared" si="194"/>
        <v>1.03333333333334</v>
      </c>
      <c r="AU381" s="46">
        <v>0</v>
      </c>
      <c r="AV381" s="46">
        <v>0</v>
      </c>
      <c r="AW381" s="46">
        <v>0</v>
      </c>
      <c r="AX381" s="46">
        <v>1</v>
      </c>
      <c r="AY381" s="47">
        <v>0</v>
      </c>
      <c r="AZ381" s="47">
        <v>-1</v>
      </c>
    </row>
    <row r="382" hidden="1" customHeight="1" spans="1:52">
      <c r="A382" s="44">
        <v>45707</v>
      </c>
      <c r="B382" s="33">
        <f t="shared" si="177"/>
        <v>309</v>
      </c>
      <c r="C382" s="33">
        <f t="shared" si="178"/>
        <v>1905</v>
      </c>
      <c r="D382" s="11">
        <f t="shared" si="179"/>
        <v>2214</v>
      </c>
      <c r="E382" s="34">
        <f t="shared" si="157"/>
        <v>-8.13495658258585e-7</v>
      </c>
      <c r="F382" s="35">
        <f t="shared" si="180"/>
        <v>0.00038631808325945</v>
      </c>
      <c r="G382" s="18">
        <f>(SUM($I$8:$I382)*(MAX(M$3-M$4,0))+(N382*MAX(M$4,0)))*(1-$AM$4)+(AM382*$AM$4)</f>
        <v>0.144869281222294</v>
      </c>
      <c r="H382" s="18">
        <f t="shared" si="144"/>
        <v>1.08333333333333</v>
      </c>
      <c r="I382" s="18">
        <f t="shared" si="181"/>
        <v>0.000437710437710436</v>
      </c>
      <c r="J382" s="18">
        <f t="shared" si="146"/>
        <v>0.264241568949463</v>
      </c>
      <c r="K382" s="18">
        <f t="shared" si="147"/>
        <v>0.00238109524611824</v>
      </c>
      <c r="L382" s="18">
        <f t="shared" si="148"/>
        <v>0.000404040404040404</v>
      </c>
      <c r="M382" s="18">
        <v>0</v>
      </c>
      <c r="N382" s="18">
        <f t="shared" si="158"/>
        <v>0.1187</v>
      </c>
      <c r="O382" s="11">
        <v>0</v>
      </c>
      <c r="P382" s="11">
        <v>0</v>
      </c>
      <c r="Q382" s="11">
        <f t="shared" si="182"/>
        <v>1</v>
      </c>
      <c r="R382" s="11">
        <v>0</v>
      </c>
      <c r="S382" s="11">
        <f t="shared" si="149"/>
        <v>0</v>
      </c>
      <c r="T382" s="11">
        <v>0</v>
      </c>
      <c r="U382" s="11">
        <f t="shared" si="183"/>
        <v>1</v>
      </c>
      <c r="V382" s="11">
        <v>0</v>
      </c>
      <c r="W382" s="11">
        <f t="shared" si="184"/>
        <v>1</v>
      </c>
      <c r="X382" s="11">
        <f t="shared" si="151"/>
        <v>0</v>
      </c>
      <c r="Y382" s="19">
        <v>0</v>
      </c>
      <c r="Z382" s="11">
        <v>0</v>
      </c>
      <c r="AA382" s="11">
        <v>2</v>
      </c>
      <c r="AB382" s="11">
        <v>0</v>
      </c>
      <c r="AC382" s="11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45">
        <v>0</v>
      </c>
      <c r="AJ382" s="45">
        <v>0</v>
      </c>
      <c r="AK382" s="45">
        <f t="shared" si="185"/>
        <v>0.3611</v>
      </c>
      <c r="AL382" s="45">
        <f t="shared" si="186"/>
        <v>0.00348095238095238</v>
      </c>
      <c r="AM382" s="45">
        <f t="shared" si="187"/>
        <v>0.0012569719047619</v>
      </c>
      <c r="AN382" s="45">
        <f t="shared" si="188"/>
        <v>0.792187500000003</v>
      </c>
      <c r="AO382" s="45">
        <f t="shared" si="189"/>
        <v>0.792187500000004</v>
      </c>
      <c r="AP382" s="45">
        <f t="shared" si="190"/>
        <v>1.05625</v>
      </c>
      <c r="AQ382" s="45">
        <f t="shared" si="191"/>
        <v>0</v>
      </c>
      <c r="AR382" s="45">
        <f t="shared" si="192"/>
        <v>0</v>
      </c>
      <c r="AS382" s="19">
        <f t="shared" si="193"/>
        <v>1.07916666666667</v>
      </c>
      <c r="AT382" s="19">
        <f t="shared" si="194"/>
        <v>1.03333333333334</v>
      </c>
      <c r="AU382" s="46">
        <v>0</v>
      </c>
      <c r="AV382" s="46">
        <v>0</v>
      </c>
      <c r="AW382" s="46">
        <v>0</v>
      </c>
      <c r="AX382" s="46">
        <v>1</v>
      </c>
      <c r="AY382" s="47">
        <v>0</v>
      </c>
      <c r="AZ382" s="47">
        <v>-1</v>
      </c>
    </row>
    <row r="383" hidden="1" customHeight="1" spans="1:52">
      <c r="A383" s="44">
        <v>45708</v>
      </c>
      <c r="B383" s="33">
        <f t="shared" si="177"/>
        <v>308</v>
      </c>
      <c r="C383" s="33">
        <f t="shared" si="178"/>
        <v>1910</v>
      </c>
      <c r="D383" s="11">
        <f t="shared" si="179"/>
        <v>2218</v>
      </c>
      <c r="E383" s="34">
        <f t="shared" si="157"/>
        <v>-8.09168553693516e-7</v>
      </c>
      <c r="F383" s="35">
        <f t="shared" si="180"/>
        <v>0.000385508914705756</v>
      </c>
      <c r="G383" s="18">
        <f>(SUM($I$8:$I383)*(MAX(M$3-M$4,0))+(N383*MAX(M$4,0)))*(1-$AM$4)+(AM383*$AM$4)</f>
        <v>0.144951351929364</v>
      </c>
      <c r="H383" s="18">
        <f t="shared" si="144"/>
        <v>1.08333333333333</v>
      </c>
      <c r="I383" s="18">
        <f t="shared" si="181"/>
        <v>0.000437710437710436</v>
      </c>
      <c r="J383" s="18">
        <f t="shared" si="146"/>
        <v>0.263688097658737</v>
      </c>
      <c r="K383" s="18">
        <f t="shared" si="147"/>
        <v>0.00239062305954955</v>
      </c>
      <c r="L383" s="18">
        <f t="shared" si="148"/>
        <v>0.000404040404040404</v>
      </c>
      <c r="M383" s="18">
        <v>0</v>
      </c>
      <c r="N383" s="18">
        <f t="shared" si="158"/>
        <v>0.1187</v>
      </c>
      <c r="O383" s="11">
        <v>0</v>
      </c>
      <c r="P383" s="11">
        <v>0</v>
      </c>
      <c r="Q383" s="11">
        <f t="shared" si="182"/>
        <v>1</v>
      </c>
      <c r="R383" s="11">
        <v>0</v>
      </c>
      <c r="S383" s="11">
        <f t="shared" si="149"/>
        <v>0</v>
      </c>
      <c r="T383" s="11">
        <v>0</v>
      </c>
      <c r="U383" s="11">
        <f t="shared" si="183"/>
        <v>1</v>
      </c>
      <c r="V383" s="11">
        <v>0</v>
      </c>
      <c r="W383" s="11">
        <f t="shared" si="184"/>
        <v>1</v>
      </c>
      <c r="X383" s="11">
        <f t="shared" si="151"/>
        <v>0</v>
      </c>
      <c r="Y383" s="19">
        <v>0</v>
      </c>
      <c r="Z383" s="11">
        <v>0</v>
      </c>
      <c r="AA383" s="11">
        <v>2</v>
      </c>
      <c r="AB383" s="11">
        <v>0</v>
      </c>
      <c r="AC383" s="11">
        <v>0</v>
      </c>
      <c r="AD383" s="11">
        <v>0</v>
      </c>
      <c r="AE383" s="11">
        <v>0</v>
      </c>
      <c r="AF383" s="11">
        <v>0</v>
      </c>
      <c r="AG383" s="11">
        <v>0</v>
      </c>
      <c r="AH383" s="11">
        <v>0</v>
      </c>
      <c r="AI383" s="45">
        <v>0</v>
      </c>
      <c r="AJ383" s="45">
        <v>0</v>
      </c>
      <c r="AK383" s="45">
        <f t="shared" si="185"/>
        <v>0.3611</v>
      </c>
      <c r="AL383" s="45">
        <f t="shared" si="186"/>
        <v>0.00348095238095238</v>
      </c>
      <c r="AM383" s="45">
        <f t="shared" si="187"/>
        <v>0.0012569719047619</v>
      </c>
      <c r="AN383" s="45">
        <f t="shared" si="188"/>
        <v>0.792187500000003</v>
      </c>
      <c r="AO383" s="45">
        <f t="shared" si="189"/>
        <v>0.792187500000004</v>
      </c>
      <c r="AP383" s="45">
        <f t="shared" si="190"/>
        <v>1.05625</v>
      </c>
      <c r="AQ383" s="45">
        <f t="shared" si="191"/>
        <v>0</v>
      </c>
      <c r="AR383" s="45">
        <f t="shared" si="192"/>
        <v>0</v>
      </c>
      <c r="AS383" s="19">
        <f t="shared" si="193"/>
        <v>1.07916666666667</v>
      </c>
      <c r="AT383" s="19">
        <f t="shared" si="194"/>
        <v>1.03333333333334</v>
      </c>
      <c r="AU383" s="46">
        <v>0</v>
      </c>
      <c r="AV383" s="46">
        <v>0</v>
      </c>
      <c r="AW383" s="46">
        <v>0</v>
      </c>
      <c r="AX383" s="46">
        <v>1</v>
      </c>
      <c r="AY383" s="47">
        <v>0</v>
      </c>
      <c r="AZ383" s="47">
        <v>-1</v>
      </c>
    </row>
    <row r="384" hidden="1" customHeight="1" spans="1:52">
      <c r="A384" s="44">
        <v>45709</v>
      </c>
      <c r="B384" s="33">
        <f t="shared" si="177"/>
        <v>307</v>
      </c>
      <c r="C384" s="33">
        <f t="shared" si="178"/>
        <v>1915</v>
      </c>
      <c r="D384" s="11">
        <f t="shared" si="179"/>
        <v>2222</v>
      </c>
      <c r="E384" s="34">
        <f t="shared" si="157"/>
        <v>-7.66779400259148e-7</v>
      </c>
      <c r="F384" s="35">
        <f t="shared" si="180"/>
        <v>0.000384742135305497</v>
      </c>
      <c r="G384" s="18">
        <f>(SUM($I$8:$I384)*(MAX(M$3-M$4,0))+(N384*MAX(M$4,0)))*(1-$AM$4)+(AM384*$AM$4)</f>
        <v>0.145047785010172</v>
      </c>
      <c r="H384" s="18">
        <f t="shared" si="144"/>
        <v>1.08333333333333</v>
      </c>
      <c r="I384" s="18">
        <f t="shared" si="181"/>
        <v>0.000514309764309763</v>
      </c>
      <c r="J384" s="18">
        <f t="shared" si="146"/>
        <v>0.26316362054896</v>
      </c>
      <c r="K384" s="18">
        <f t="shared" si="147"/>
        <v>0.00240011849984052</v>
      </c>
      <c r="L384" s="18">
        <f t="shared" si="148"/>
        <v>0.000474747474747475</v>
      </c>
      <c r="M384" s="18">
        <v>0</v>
      </c>
      <c r="N384" s="18">
        <f t="shared" si="158"/>
        <v>0.1187</v>
      </c>
      <c r="O384" s="11">
        <v>0</v>
      </c>
      <c r="P384" s="11">
        <v>0</v>
      </c>
      <c r="Q384" s="11">
        <f t="shared" si="182"/>
        <v>1</v>
      </c>
      <c r="R384" s="11">
        <v>0</v>
      </c>
      <c r="S384" s="11">
        <f t="shared" si="149"/>
        <v>0</v>
      </c>
      <c r="T384" s="11">
        <v>0</v>
      </c>
      <c r="U384" s="11">
        <f t="shared" si="183"/>
        <v>1</v>
      </c>
      <c r="V384" s="11">
        <v>0</v>
      </c>
      <c r="W384" s="11">
        <f t="shared" si="184"/>
        <v>1</v>
      </c>
      <c r="X384" s="11">
        <f t="shared" si="151"/>
        <v>0</v>
      </c>
      <c r="Y384" s="19">
        <v>0</v>
      </c>
      <c r="Z384" s="11">
        <v>1</v>
      </c>
      <c r="AA384" s="11">
        <v>1</v>
      </c>
      <c r="AB384" s="11">
        <v>0</v>
      </c>
      <c r="AC384" s="11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45">
        <v>0</v>
      </c>
      <c r="AJ384" s="45">
        <v>0</v>
      </c>
      <c r="AK384" s="45">
        <f t="shared" si="185"/>
        <v>0.3611</v>
      </c>
      <c r="AL384" s="45">
        <f t="shared" si="186"/>
        <v>0.00348095238095238</v>
      </c>
      <c r="AM384" s="45">
        <f t="shared" si="187"/>
        <v>0.0012569719047619</v>
      </c>
      <c r="AN384" s="45">
        <f t="shared" si="188"/>
        <v>0.792187500000003</v>
      </c>
      <c r="AO384" s="45">
        <f t="shared" si="189"/>
        <v>0.792187500000004</v>
      </c>
      <c r="AP384" s="45">
        <f t="shared" si="190"/>
        <v>1.05625</v>
      </c>
      <c r="AQ384" s="45">
        <f t="shared" si="191"/>
        <v>0</v>
      </c>
      <c r="AR384" s="45">
        <f t="shared" si="192"/>
        <v>0</v>
      </c>
      <c r="AS384" s="19">
        <f t="shared" si="193"/>
        <v>1.07916666666667</v>
      </c>
      <c r="AT384" s="19">
        <f t="shared" si="194"/>
        <v>1.03333333333334</v>
      </c>
      <c r="AU384" s="46">
        <v>0</v>
      </c>
      <c r="AV384" s="46">
        <v>0</v>
      </c>
      <c r="AW384" s="46">
        <v>0</v>
      </c>
      <c r="AX384" s="46">
        <v>1</v>
      </c>
      <c r="AY384" s="47">
        <v>0</v>
      </c>
      <c r="AZ384" s="47">
        <v>-1</v>
      </c>
    </row>
    <row r="385" hidden="1" customHeight="1" spans="1:52">
      <c r="A385" s="44">
        <v>45710</v>
      </c>
      <c r="B385" s="33">
        <f t="shared" si="177"/>
        <v>306</v>
      </c>
      <c r="C385" s="33">
        <f t="shared" si="178"/>
        <v>1921</v>
      </c>
      <c r="D385" s="11">
        <f t="shared" si="179"/>
        <v>2227</v>
      </c>
      <c r="E385" s="34">
        <f t="shared" si="157"/>
        <v>-8.00718064113126e-7</v>
      </c>
      <c r="F385" s="35">
        <f t="shared" si="180"/>
        <v>0.000383941417241384</v>
      </c>
      <c r="G385" s="18">
        <f>(SUM($I$8:$I385)*(MAX(M$3-M$4,0))+(N385*MAX(M$4,0)))*(1-$AM$4)+(AM385*$AM$4)</f>
        <v>0.145129855717243</v>
      </c>
      <c r="H385" s="18">
        <f t="shared" si="144"/>
        <v>1.08333333333333</v>
      </c>
      <c r="I385" s="18">
        <f t="shared" si="181"/>
        <v>0.000437710437710436</v>
      </c>
      <c r="J385" s="18">
        <f t="shared" si="146"/>
        <v>0.262615929393107</v>
      </c>
      <c r="K385" s="18">
        <f t="shared" si="147"/>
        <v>0.00240975186472841</v>
      </c>
      <c r="L385" s="18">
        <f t="shared" si="148"/>
        <v>0.000404040404040404</v>
      </c>
      <c r="M385" s="18">
        <v>0</v>
      </c>
      <c r="N385" s="18">
        <f t="shared" si="158"/>
        <v>0.1187</v>
      </c>
      <c r="O385" s="11">
        <v>0</v>
      </c>
      <c r="P385" s="11">
        <v>0</v>
      </c>
      <c r="Q385" s="11">
        <f t="shared" si="182"/>
        <v>1</v>
      </c>
      <c r="R385" s="11">
        <v>0</v>
      </c>
      <c r="S385" s="11">
        <f t="shared" si="149"/>
        <v>0</v>
      </c>
      <c r="T385" s="11">
        <v>0</v>
      </c>
      <c r="U385" s="11">
        <f t="shared" si="183"/>
        <v>1</v>
      </c>
      <c r="V385" s="11">
        <v>0</v>
      </c>
      <c r="W385" s="11">
        <f t="shared" si="184"/>
        <v>1</v>
      </c>
      <c r="X385" s="11">
        <f t="shared" si="151"/>
        <v>0</v>
      </c>
      <c r="Y385" s="19">
        <v>0</v>
      </c>
      <c r="Z385" s="11">
        <v>0</v>
      </c>
      <c r="AA385" s="11">
        <v>2</v>
      </c>
      <c r="AB385" s="11">
        <v>0</v>
      </c>
      <c r="AC385" s="11">
        <v>0</v>
      </c>
      <c r="AD385" s="11">
        <v>0</v>
      </c>
      <c r="AE385" s="11">
        <v>0</v>
      </c>
      <c r="AF385" s="11">
        <v>0</v>
      </c>
      <c r="AG385" s="11">
        <v>0</v>
      </c>
      <c r="AH385" s="11">
        <v>0</v>
      </c>
      <c r="AI385" s="45">
        <v>0</v>
      </c>
      <c r="AJ385" s="45">
        <v>0</v>
      </c>
      <c r="AK385" s="45">
        <f t="shared" si="185"/>
        <v>0.3611</v>
      </c>
      <c r="AL385" s="45">
        <f t="shared" si="186"/>
        <v>0.00348095238095238</v>
      </c>
      <c r="AM385" s="45">
        <f t="shared" si="187"/>
        <v>0.0012569719047619</v>
      </c>
      <c r="AN385" s="45">
        <f t="shared" si="188"/>
        <v>0.792187500000003</v>
      </c>
      <c r="AO385" s="45">
        <f t="shared" si="189"/>
        <v>0.792187500000004</v>
      </c>
      <c r="AP385" s="45">
        <f t="shared" si="190"/>
        <v>1.05625</v>
      </c>
      <c r="AQ385" s="45">
        <f t="shared" si="191"/>
        <v>0</v>
      </c>
      <c r="AR385" s="45">
        <f t="shared" si="192"/>
        <v>0</v>
      </c>
      <c r="AS385" s="19">
        <f t="shared" si="193"/>
        <v>1.07916666666667</v>
      </c>
      <c r="AT385" s="19">
        <f t="shared" si="194"/>
        <v>1.03333333333334</v>
      </c>
      <c r="AU385" s="46">
        <v>0</v>
      </c>
      <c r="AV385" s="46">
        <v>0</v>
      </c>
      <c r="AW385" s="46">
        <v>0</v>
      </c>
      <c r="AX385" s="46">
        <v>1</v>
      </c>
      <c r="AY385" s="47">
        <v>0</v>
      </c>
      <c r="AZ385" s="47">
        <v>-1</v>
      </c>
    </row>
    <row r="386" hidden="1" customHeight="1" spans="1:52">
      <c r="A386" s="44">
        <v>45711</v>
      </c>
      <c r="B386" s="33">
        <f t="shared" si="177"/>
        <v>305</v>
      </c>
      <c r="C386" s="33">
        <f t="shared" si="178"/>
        <v>1926</v>
      </c>
      <c r="D386" s="11">
        <f t="shared" si="179"/>
        <v>2231</v>
      </c>
      <c r="E386" s="34">
        <f t="shared" si="157"/>
        <v>-7.96492638972812e-7</v>
      </c>
      <c r="F386" s="35">
        <f t="shared" si="180"/>
        <v>0.000383144924602411</v>
      </c>
      <c r="G386" s="18">
        <f>(SUM($I$8:$I386)*(MAX(M$3-M$4,0))+(N386*MAX(M$4,0)))*(1-$AM$4)+(AM386*$AM$4)</f>
        <v>0.145211926424314</v>
      </c>
      <c r="H386" s="18">
        <f t="shared" si="144"/>
        <v>1.08333333333333</v>
      </c>
      <c r="I386" s="18">
        <f t="shared" si="181"/>
        <v>0.000437710437710436</v>
      </c>
      <c r="J386" s="18">
        <f t="shared" si="146"/>
        <v>0.262071128428049</v>
      </c>
      <c r="K386" s="18">
        <f t="shared" si="147"/>
        <v>0.00241943892318672</v>
      </c>
      <c r="L386" s="18">
        <f t="shared" si="148"/>
        <v>0.000404040404040404</v>
      </c>
      <c r="M386" s="18">
        <v>0</v>
      </c>
      <c r="N386" s="18">
        <f t="shared" si="158"/>
        <v>0.1187</v>
      </c>
      <c r="O386" s="11">
        <v>0</v>
      </c>
      <c r="P386" s="11">
        <v>0</v>
      </c>
      <c r="Q386" s="11">
        <f t="shared" si="182"/>
        <v>1</v>
      </c>
      <c r="R386" s="11">
        <v>0</v>
      </c>
      <c r="S386" s="11">
        <f t="shared" si="149"/>
        <v>0</v>
      </c>
      <c r="T386" s="11">
        <v>0</v>
      </c>
      <c r="U386" s="11">
        <f t="shared" si="183"/>
        <v>1</v>
      </c>
      <c r="V386" s="11">
        <v>0</v>
      </c>
      <c r="W386" s="11">
        <f t="shared" si="184"/>
        <v>1</v>
      </c>
      <c r="X386" s="11">
        <f t="shared" si="151"/>
        <v>0</v>
      </c>
      <c r="Y386" s="19">
        <v>0</v>
      </c>
      <c r="Z386" s="11">
        <v>0</v>
      </c>
      <c r="AA386" s="11">
        <v>2</v>
      </c>
      <c r="AB386" s="11">
        <v>0</v>
      </c>
      <c r="AC386" s="11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45">
        <v>0</v>
      </c>
      <c r="AJ386" s="45">
        <v>0</v>
      </c>
      <c r="AK386" s="45">
        <f t="shared" si="185"/>
        <v>0.3611</v>
      </c>
      <c r="AL386" s="45">
        <f t="shared" si="186"/>
        <v>0.00348095238095238</v>
      </c>
      <c r="AM386" s="45">
        <f t="shared" si="187"/>
        <v>0.0012569719047619</v>
      </c>
      <c r="AN386" s="45">
        <f t="shared" si="188"/>
        <v>0.792187500000003</v>
      </c>
      <c r="AO386" s="45">
        <f t="shared" si="189"/>
        <v>0.792187500000004</v>
      </c>
      <c r="AP386" s="45">
        <f t="shared" si="190"/>
        <v>1.05625</v>
      </c>
      <c r="AQ386" s="45">
        <f t="shared" si="191"/>
        <v>0</v>
      </c>
      <c r="AR386" s="45">
        <f t="shared" si="192"/>
        <v>0</v>
      </c>
      <c r="AS386" s="19">
        <f t="shared" si="193"/>
        <v>1.07916666666667</v>
      </c>
      <c r="AT386" s="19">
        <f t="shared" si="194"/>
        <v>1.03333333333334</v>
      </c>
      <c r="AU386" s="46">
        <v>0</v>
      </c>
      <c r="AV386" s="46">
        <v>0</v>
      </c>
      <c r="AW386" s="46">
        <v>0</v>
      </c>
      <c r="AX386" s="46">
        <v>1</v>
      </c>
      <c r="AY386" s="47">
        <v>0</v>
      </c>
      <c r="AZ386" s="47">
        <v>-1</v>
      </c>
    </row>
    <row r="387" hidden="1" customHeight="1" spans="1:52">
      <c r="A387" s="44">
        <v>45712</v>
      </c>
      <c r="B387" s="33">
        <f t="shared" si="177"/>
        <v>304</v>
      </c>
      <c r="C387" s="33">
        <f t="shared" si="178"/>
        <v>1931</v>
      </c>
      <c r="D387" s="11">
        <f t="shared" si="179"/>
        <v>2235</v>
      </c>
      <c r="E387" s="34">
        <f t="shared" si="157"/>
        <v>-7.92300572451858e-7</v>
      </c>
      <c r="F387" s="35">
        <f t="shared" si="180"/>
        <v>0.000382352624029959</v>
      </c>
      <c r="G387" s="18">
        <f>(SUM($I$8:$I387)*(MAX(M$3-M$4,0))+(N387*MAX(M$4,0)))*(1-$AM$4)+(AM387*$AM$4)</f>
        <v>0.145293997131384</v>
      </c>
      <c r="H387" s="18">
        <f t="shared" si="144"/>
        <v>1.08333333333333</v>
      </c>
      <c r="I387" s="18">
        <f t="shared" si="181"/>
        <v>0.000437710437710436</v>
      </c>
      <c r="J387" s="18">
        <f t="shared" si="146"/>
        <v>0.261529194836492</v>
      </c>
      <c r="K387" s="18">
        <f t="shared" si="147"/>
        <v>0.00242918028014312</v>
      </c>
      <c r="L387" s="18">
        <f t="shared" si="148"/>
        <v>0.000404040404040404</v>
      </c>
      <c r="M387" s="18">
        <v>0</v>
      </c>
      <c r="N387" s="18">
        <f t="shared" si="158"/>
        <v>0.1187</v>
      </c>
      <c r="O387" s="11">
        <v>0</v>
      </c>
      <c r="P387" s="11">
        <v>0</v>
      </c>
      <c r="Q387" s="11">
        <f t="shared" si="182"/>
        <v>1</v>
      </c>
      <c r="R387" s="11">
        <v>0</v>
      </c>
      <c r="S387" s="11">
        <f t="shared" si="149"/>
        <v>0</v>
      </c>
      <c r="T387" s="11">
        <v>0</v>
      </c>
      <c r="U387" s="11">
        <f t="shared" si="183"/>
        <v>1</v>
      </c>
      <c r="V387" s="11">
        <v>0</v>
      </c>
      <c r="W387" s="11">
        <f t="shared" si="184"/>
        <v>1</v>
      </c>
      <c r="X387" s="11">
        <f t="shared" si="151"/>
        <v>0</v>
      </c>
      <c r="Y387" s="19">
        <v>0</v>
      </c>
      <c r="Z387" s="11">
        <v>0</v>
      </c>
      <c r="AA387" s="11">
        <v>2</v>
      </c>
      <c r="AB387" s="11">
        <v>0</v>
      </c>
      <c r="AC387" s="11">
        <v>0</v>
      </c>
      <c r="AD387" s="11">
        <v>0</v>
      </c>
      <c r="AE387" s="11">
        <v>0</v>
      </c>
      <c r="AF387" s="11">
        <v>0</v>
      </c>
      <c r="AG387" s="11">
        <v>0</v>
      </c>
      <c r="AH387" s="11">
        <v>0</v>
      </c>
      <c r="AI387" s="45">
        <v>0</v>
      </c>
      <c r="AJ387" s="45">
        <v>0</v>
      </c>
      <c r="AK387" s="45">
        <f t="shared" si="185"/>
        <v>0.3611</v>
      </c>
      <c r="AL387" s="45">
        <f t="shared" si="186"/>
        <v>0.00348095238095238</v>
      </c>
      <c r="AM387" s="45">
        <f t="shared" si="187"/>
        <v>0.0012569719047619</v>
      </c>
      <c r="AN387" s="45">
        <f t="shared" si="188"/>
        <v>0.792187500000003</v>
      </c>
      <c r="AO387" s="45">
        <f t="shared" si="189"/>
        <v>0.792187500000004</v>
      </c>
      <c r="AP387" s="45">
        <f t="shared" si="190"/>
        <v>1.05625</v>
      </c>
      <c r="AQ387" s="45">
        <f t="shared" si="191"/>
        <v>0</v>
      </c>
      <c r="AR387" s="45">
        <f t="shared" si="192"/>
        <v>0</v>
      </c>
      <c r="AS387" s="19">
        <f t="shared" si="193"/>
        <v>1.07916666666667</v>
      </c>
      <c r="AT387" s="19">
        <f t="shared" si="194"/>
        <v>1.03333333333334</v>
      </c>
      <c r="AU387" s="46">
        <v>0</v>
      </c>
      <c r="AV387" s="46">
        <v>0</v>
      </c>
      <c r="AW387" s="46">
        <v>0</v>
      </c>
      <c r="AX387" s="46">
        <v>1</v>
      </c>
      <c r="AY387" s="47">
        <v>0</v>
      </c>
      <c r="AZ387" s="47">
        <v>-1</v>
      </c>
    </row>
    <row r="388" hidden="1" customHeight="1" spans="1:52">
      <c r="A388" s="44">
        <v>45713</v>
      </c>
      <c r="B388" s="33">
        <f t="shared" si="177"/>
        <v>303</v>
      </c>
      <c r="C388" s="33">
        <f t="shared" si="178"/>
        <v>1937</v>
      </c>
      <c r="D388" s="11">
        <f t="shared" si="179"/>
        <v>2240</v>
      </c>
      <c r="E388" s="34">
        <f t="shared" si="157"/>
        <v>-7.88141514328732e-7</v>
      </c>
      <c r="F388" s="35">
        <f t="shared" si="180"/>
        <v>0.00038156448251563</v>
      </c>
      <c r="G388" s="18">
        <f>(SUM($I$8:$I388)*(MAX(M$3-M$4,0))+(N388*MAX(M$4,0)))*(1-$AM$4)+(AM388*$AM$4)</f>
        <v>0.145376067838455</v>
      </c>
      <c r="H388" s="18">
        <f t="shared" si="144"/>
        <v>1.08333333333333</v>
      </c>
      <c r="I388" s="18">
        <f t="shared" si="181"/>
        <v>0.000437710437710436</v>
      </c>
      <c r="J388" s="18">
        <f t="shared" si="146"/>
        <v>0.260990106040691</v>
      </c>
      <c r="K388" s="18">
        <f t="shared" si="147"/>
        <v>0.00243897654772049</v>
      </c>
      <c r="L388" s="18">
        <f t="shared" si="148"/>
        <v>0.000404040404040404</v>
      </c>
      <c r="M388" s="18">
        <v>0</v>
      </c>
      <c r="N388" s="18">
        <f t="shared" si="158"/>
        <v>0.1187</v>
      </c>
      <c r="O388" s="11">
        <v>0</v>
      </c>
      <c r="P388" s="11">
        <v>0</v>
      </c>
      <c r="Q388" s="11">
        <f t="shared" si="182"/>
        <v>1</v>
      </c>
      <c r="R388" s="11">
        <v>0</v>
      </c>
      <c r="S388" s="11">
        <f t="shared" si="149"/>
        <v>0</v>
      </c>
      <c r="T388" s="11">
        <v>0</v>
      </c>
      <c r="U388" s="11">
        <f t="shared" si="183"/>
        <v>1</v>
      </c>
      <c r="V388" s="11">
        <v>0</v>
      </c>
      <c r="W388" s="11">
        <f t="shared" si="184"/>
        <v>1</v>
      </c>
      <c r="X388" s="11">
        <f t="shared" si="151"/>
        <v>0</v>
      </c>
      <c r="Y388" s="19">
        <v>0</v>
      </c>
      <c r="Z388" s="11">
        <v>0</v>
      </c>
      <c r="AA388" s="11">
        <v>2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45">
        <v>0</v>
      </c>
      <c r="AJ388" s="45">
        <v>0</v>
      </c>
      <c r="AK388" s="45">
        <f t="shared" si="185"/>
        <v>0.3611</v>
      </c>
      <c r="AL388" s="45">
        <f t="shared" si="186"/>
        <v>0.00348095238095238</v>
      </c>
      <c r="AM388" s="45">
        <f t="shared" si="187"/>
        <v>0.0012569719047619</v>
      </c>
      <c r="AN388" s="45">
        <f t="shared" si="188"/>
        <v>0.792187500000003</v>
      </c>
      <c r="AO388" s="45">
        <f t="shared" si="189"/>
        <v>0.792187500000004</v>
      </c>
      <c r="AP388" s="45">
        <f t="shared" si="190"/>
        <v>1.05625</v>
      </c>
      <c r="AQ388" s="45">
        <f t="shared" si="191"/>
        <v>0</v>
      </c>
      <c r="AR388" s="45">
        <f t="shared" si="192"/>
        <v>0</v>
      </c>
      <c r="AS388" s="19">
        <f t="shared" si="193"/>
        <v>1.07916666666667</v>
      </c>
      <c r="AT388" s="19">
        <f t="shared" si="194"/>
        <v>1.03333333333334</v>
      </c>
      <c r="AU388" s="46">
        <v>0</v>
      </c>
      <c r="AV388" s="46">
        <v>0</v>
      </c>
      <c r="AW388" s="46">
        <v>0</v>
      </c>
      <c r="AX388" s="46">
        <v>1</v>
      </c>
      <c r="AY388" s="47">
        <v>0</v>
      </c>
      <c r="AZ388" s="47">
        <v>-1</v>
      </c>
    </row>
    <row r="389" hidden="1" customHeight="1" spans="1:52">
      <c r="A389" s="44">
        <v>45714</v>
      </c>
      <c r="B389" s="33">
        <f t="shared" si="177"/>
        <v>302</v>
      </c>
      <c r="C389" s="33">
        <f t="shared" si="178"/>
        <v>1942</v>
      </c>
      <c r="D389" s="11">
        <f t="shared" si="179"/>
        <v>2244</v>
      </c>
      <c r="E389" s="34">
        <f t="shared" si="157"/>
        <v>-7.84015118965688e-7</v>
      </c>
      <c r="F389" s="35">
        <f t="shared" si="180"/>
        <v>0.000380780467396665</v>
      </c>
      <c r="G389" s="18">
        <f>(SUM($I$8:$I389)*(MAX(M$3-M$4,0))+(N389*MAX(M$4,0)))*(1-$AM$4)+(AM389*$AM$4)</f>
        <v>0.145458138545526</v>
      </c>
      <c r="H389" s="18">
        <f t="shared" si="144"/>
        <v>1.08333333333333</v>
      </c>
      <c r="I389" s="18">
        <f t="shared" si="181"/>
        <v>0.000437710437710436</v>
      </c>
      <c r="J389" s="18">
        <f t="shared" si="146"/>
        <v>0.260453839699319</v>
      </c>
      <c r="K389" s="18">
        <f t="shared" si="147"/>
        <v>0.00244882834536649</v>
      </c>
      <c r="L389" s="18">
        <f t="shared" si="148"/>
        <v>0.000404040404040404</v>
      </c>
      <c r="M389" s="18">
        <v>0</v>
      </c>
      <c r="N389" s="18">
        <f t="shared" si="158"/>
        <v>0.1187</v>
      </c>
      <c r="O389" s="11">
        <v>0</v>
      </c>
      <c r="P389" s="11">
        <v>0</v>
      </c>
      <c r="Q389" s="11">
        <f t="shared" si="182"/>
        <v>1</v>
      </c>
      <c r="R389" s="11">
        <v>0</v>
      </c>
      <c r="S389" s="11">
        <f t="shared" si="149"/>
        <v>0</v>
      </c>
      <c r="T389" s="11">
        <v>0</v>
      </c>
      <c r="U389" s="11">
        <f t="shared" si="183"/>
        <v>1</v>
      </c>
      <c r="V389" s="11">
        <v>0</v>
      </c>
      <c r="W389" s="11">
        <f t="shared" si="184"/>
        <v>1</v>
      </c>
      <c r="X389" s="11">
        <f t="shared" si="151"/>
        <v>0</v>
      </c>
      <c r="Y389" s="19">
        <v>0</v>
      </c>
      <c r="Z389" s="11">
        <v>0</v>
      </c>
      <c r="AA389" s="11">
        <v>2</v>
      </c>
      <c r="AB389" s="11">
        <v>0</v>
      </c>
      <c r="AC389" s="11">
        <v>0</v>
      </c>
      <c r="AD389" s="11">
        <v>0</v>
      </c>
      <c r="AE389" s="11">
        <v>0</v>
      </c>
      <c r="AF389" s="11">
        <v>0</v>
      </c>
      <c r="AG389" s="11">
        <v>0</v>
      </c>
      <c r="AH389" s="11">
        <v>0</v>
      </c>
      <c r="AI389" s="45">
        <v>0</v>
      </c>
      <c r="AJ389" s="45">
        <v>0</v>
      </c>
      <c r="AK389" s="45">
        <f t="shared" si="185"/>
        <v>0.3611</v>
      </c>
      <c r="AL389" s="45">
        <f t="shared" si="186"/>
        <v>0.00348095238095238</v>
      </c>
      <c r="AM389" s="45">
        <f t="shared" si="187"/>
        <v>0.0012569719047619</v>
      </c>
      <c r="AN389" s="45">
        <f t="shared" si="188"/>
        <v>0.792187500000003</v>
      </c>
      <c r="AO389" s="45">
        <f t="shared" si="189"/>
        <v>0.792187500000004</v>
      </c>
      <c r="AP389" s="45">
        <f t="shared" si="190"/>
        <v>1.05625</v>
      </c>
      <c r="AQ389" s="45">
        <f t="shared" si="191"/>
        <v>0</v>
      </c>
      <c r="AR389" s="45">
        <f t="shared" si="192"/>
        <v>0</v>
      </c>
      <c r="AS389" s="19">
        <f t="shared" si="193"/>
        <v>1.07916666666667</v>
      </c>
      <c r="AT389" s="19">
        <f t="shared" si="194"/>
        <v>1.03333333333334</v>
      </c>
      <c r="AU389" s="46">
        <v>0</v>
      </c>
      <c r="AV389" s="46">
        <v>0</v>
      </c>
      <c r="AW389" s="46">
        <v>0</v>
      </c>
      <c r="AX389" s="46">
        <v>1</v>
      </c>
      <c r="AY389" s="47">
        <v>0</v>
      </c>
      <c r="AZ389" s="47">
        <v>-1</v>
      </c>
    </row>
    <row r="390" hidden="1" customHeight="1" spans="1:52">
      <c r="A390" s="44">
        <v>45715</v>
      </c>
      <c r="B390" s="33">
        <f t="shared" si="177"/>
        <v>301</v>
      </c>
      <c r="C390" s="33">
        <f t="shared" si="178"/>
        <v>1948</v>
      </c>
      <c r="D390" s="11">
        <f t="shared" si="179"/>
        <v>2249</v>
      </c>
      <c r="E390" s="34">
        <f t="shared" si="157"/>
        <v>-7.79921045237543e-7</v>
      </c>
      <c r="F390" s="35">
        <f t="shared" si="180"/>
        <v>0.000380000546351427</v>
      </c>
      <c r="G390" s="18">
        <f>(SUM($I$8:$I390)*(MAX(M$3-M$4,0))+(N390*MAX(M$4,0)))*(1-$AM$4)+(AM390*$AM$4)</f>
        <v>0.145540209252597</v>
      </c>
      <c r="H390" s="18">
        <f t="shared" si="144"/>
        <v>1.08333333333333</v>
      </c>
      <c r="I390" s="18">
        <f t="shared" si="181"/>
        <v>0.000437710437710436</v>
      </c>
      <c r="J390" s="18">
        <f t="shared" si="146"/>
        <v>0.259920373704376</v>
      </c>
      <c r="K390" s="18">
        <f t="shared" si="147"/>
        <v>0.00245873629998546</v>
      </c>
      <c r="L390" s="18">
        <f t="shared" si="148"/>
        <v>0.000404040404040404</v>
      </c>
      <c r="M390" s="18">
        <v>0</v>
      </c>
      <c r="N390" s="18">
        <f t="shared" si="158"/>
        <v>0.1187</v>
      </c>
      <c r="O390" s="11">
        <v>0</v>
      </c>
      <c r="P390" s="11">
        <v>0</v>
      </c>
      <c r="Q390" s="11">
        <f t="shared" si="182"/>
        <v>1</v>
      </c>
      <c r="R390" s="11">
        <v>0</v>
      </c>
      <c r="S390" s="11">
        <f t="shared" si="149"/>
        <v>0</v>
      </c>
      <c r="T390" s="11">
        <v>0</v>
      </c>
      <c r="U390" s="11">
        <f t="shared" si="183"/>
        <v>1</v>
      </c>
      <c r="V390" s="11">
        <v>0</v>
      </c>
      <c r="W390" s="11">
        <f t="shared" si="184"/>
        <v>1</v>
      </c>
      <c r="X390" s="11">
        <f t="shared" si="151"/>
        <v>0</v>
      </c>
      <c r="Y390" s="19">
        <v>0</v>
      </c>
      <c r="Z390" s="11">
        <v>0</v>
      </c>
      <c r="AA390" s="11">
        <v>2</v>
      </c>
      <c r="AB390" s="11">
        <v>0</v>
      </c>
      <c r="AC390" s="11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45">
        <v>0</v>
      </c>
      <c r="AJ390" s="45">
        <v>0</v>
      </c>
      <c r="AK390" s="45">
        <f t="shared" si="185"/>
        <v>0.3611</v>
      </c>
      <c r="AL390" s="45">
        <f t="shared" si="186"/>
        <v>0.00348095238095238</v>
      </c>
      <c r="AM390" s="45">
        <f t="shared" si="187"/>
        <v>0.0012569719047619</v>
      </c>
      <c r="AN390" s="45">
        <f t="shared" si="188"/>
        <v>0.792187500000003</v>
      </c>
      <c r="AO390" s="45">
        <f t="shared" si="189"/>
        <v>0.792187500000004</v>
      </c>
      <c r="AP390" s="45">
        <f t="shared" si="190"/>
        <v>1.05625</v>
      </c>
      <c r="AQ390" s="45">
        <f t="shared" si="191"/>
        <v>0</v>
      </c>
      <c r="AR390" s="45">
        <f t="shared" si="192"/>
        <v>0</v>
      </c>
      <c r="AS390" s="19">
        <f t="shared" si="193"/>
        <v>1.07916666666667</v>
      </c>
      <c r="AT390" s="19">
        <f t="shared" si="194"/>
        <v>1.03333333333334</v>
      </c>
      <c r="AU390" s="46">
        <v>0</v>
      </c>
      <c r="AV390" s="46">
        <v>0</v>
      </c>
      <c r="AW390" s="46">
        <v>0</v>
      </c>
      <c r="AX390" s="46">
        <v>1</v>
      </c>
      <c r="AY390" s="47">
        <v>0</v>
      </c>
      <c r="AZ390" s="47">
        <v>-1</v>
      </c>
    </row>
    <row r="391" hidden="1" customHeight="1" spans="1:52">
      <c r="A391" s="44">
        <v>45716</v>
      </c>
      <c r="B391" s="33">
        <f t="shared" si="177"/>
        <v>300</v>
      </c>
      <c r="C391" s="33">
        <f t="shared" si="178"/>
        <v>1953</v>
      </c>
      <c r="D391" s="11">
        <f t="shared" si="179"/>
        <v>2253</v>
      </c>
      <c r="E391" s="34">
        <f t="shared" si="157"/>
        <v>-7.75858956460218e-7</v>
      </c>
      <c r="F391" s="35">
        <f t="shared" si="180"/>
        <v>0.000379224687394967</v>
      </c>
      <c r="G391" s="18">
        <f>(SUM($I$8:$I391)*(MAX(M$3-M$4,0))+(N391*MAX(M$4,0)))*(1-$AM$4)+(AM391*$AM$4)</f>
        <v>0.145622279959667</v>
      </c>
      <c r="H391" s="18">
        <f t="shared" si="144"/>
        <v>1.08333333333333</v>
      </c>
      <c r="I391" s="18">
        <f t="shared" si="181"/>
        <v>0.000437710437710436</v>
      </c>
      <c r="J391" s="18">
        <f t="shared" si="146"/>
        <v>0.259389686178157</v>
      </c>
      <c r="K391" s="18">
        <f t="shared" si="147"/>
        <v>0.00246870104607281</v>
      </c>
      <c r="L391" s="18">
        <f t="shared" si="148"/>
        <v>0.000404040404040404</v>
      </c>
      <c r="M391" s="18">
        <v>0</v>
      </c>
      <c r="N391" s="18">
        <f t="shared" si="158"/>
        <v>0.1187</v>
      </c>
      <c r="O391" s="11">
        <v>0</v>
      </c>
      <c r="P391" s="11">
        <v>0</v>
      </c>
      <c r="Q391" s="11">
        <f t="shared" si="182"/>
        <v>1</v>
      </c>
      <c r="R391" s="11">
        <v>0</v>
      </c>
      <c r="S391" s="11">
        <f t="shared" si="149"/>
        <v>0</v>
      </c>
      <c r="T391" s="11">
        <v>0</v>
      </c>
      <c r="U391" s="11">
        <f t="shared" si="183"/>
        <v>1</v>
      </c>
      <c r="V391" s="11">
        <v>0</v>
      </c>
      <c r="W391" s="11">
        <f t="shared" si="184"/>
        <v>1</v>
      </c>
      <c r="X391" s="11">
        <f t="shared" si="151"/>
        <v>0</v>
      </c>
      <c r="Y391" s="19">
        <v>0</v>
      </c>
      <c r="Z391" s="11">
        <v>0</v>
      </c>
      <c r="AA391" s="11">
        <v>2</v>
      </c>
      <c r="AB391" s="11">
        <v>0</v>
      </c>
      <c r="AC391" s="11">
        <v>0</v>
      </c>
      <c r="AD391" s="11">
        <v>0</v>
      </c>
      <c r="AE391" s="11">
        <v>0</v>
      </c>
      <c r="AF391" s="11">
        <v>0</v>
      </c>
      <c r="AG391" s="11">
        <v>0</v>
      </c>
      <c r="AH391" s="11">
        <v>0</v>
      </c>
      <c r="AI391" s="45">
        <v>0</v>
      </c>
      <c r="AJ391" s="45">
        <v>0</v>
      </c>
      <c r="AK391" s="45">
        <f t="shared" si="185"/>
        <v>0.3611</v>
      </c>
      <c r="AL391" s="45">
        <f t="shared" si="186"/>
        <v>0.00348095238095238</v>
      </c>
      <c r="AM391" s="45">
        <f t="shared" si="187"/>
        <v>0.0012569719047619</v>
      </c>
      <c r="AN391" s="45">
        <f t="shared" si="188"/>
        <v>0.792187500000003</v>
      </c>
      <c r="AO391" s="45">
        <f t="shared" si="189"/>
        <v>0.792187500000004</v>
      </c>
      <c r="AP391" s="45">
        <f t="shared" si="190"/>
        <v>1.05625</v>
      </c>
      <c r="AQ391" s="45">
        <f t="shared" si="191"/>
        <v>0</v>
      </c>
      <c r="AR391" s="45">
        <f t="shared" si="192"/>
        <v>0</v>
      </c>
      <c r="AS391" s="19">
        <f t="shared" si="193"/>
        <v>1.07916666666667</v>
      </c>
      <c r="AT391" s="19">
        <f t="shared" si="194"/>
        <v>1.03333333333334</v>
      </c>
      <c r="AU391" s="46">
        <v>0</v>
      </c>
      <c r="AV391" s="46">
        <v>0</v>
      </c>
      <c r="AW391" s="46">
        <v>0</v>
      </c>
      <c r="AX391" s="46">
        <v>1</v>
      </c>
      <c r="AY391" s="47">
        <v>0</v>
      </c>
      <c r="AZ391" s="47">
        <v>-1</v>
      </c>
    </row>
    <row r="392" hidden="1" customHeight="1" spans="1:52">
      <c r="A392" s="44">
        <v>45717</v>
      </c>
      <c r="B392" s="33">
        <f t="shared" si="177"/>
        <v>299</v>
      </c>
      <c r="C392" s="33">
        <f t="shared" si="178"/>
        <v>1958</v>
      </c>
      <c r="D392" s="11">
        <f t="shared" si="179"/>
        <v>2257</v>
      </c>
      <c r="E392" s="34">
        <f t="shared" si="157"/>
        <v>-7.63629648487408e-7</v>
      </c>
      <c r="F392" s="35">
        <f t="shared" si="180"/>
        <v>0.00037846105774648</v>
      </c>
      <c r="G392" s="18">
        <f>(SUM($I$8:$I392)*(MAX(M$3-M$4,0))+(N392*MAX(M$4,0)))*(1-$AM$4)+(AM392*$AM$4)</f>
        <v>0.145707507232395</v>
      </c>
      <c r="H392" s="18">
        <f t="shared" ref="H392:H455" si="195">0.5+(MONTH(A392)+(YEAR(A392)-2024)*12)/((YEAR(B$2)-2023)*12)</f>
        <v>1.125</v>
      </c>
      <c r="I392" s="18">
        <f t="shared" si="181"/>
        <v>0.000454545454545454</v>
      </c>
      <c r="J392" s="18">
        <f t="shared" ref="J392:J455" si="196">F392*B392+G392</f>
        <v>0.258867363498592</v>
      </c>
      <c r="K392" s="18">
        <f t="shared" ref="K392:K455" si="197">((1-G392)/B392)-F392</f>
        <v>0.00247870446990437</v>
      </c>
      <c r="L392" s="18">
        <f t="shared" ref="L392:L455" si="198">Y392*Y$6+X392*X$6+Z392*Z$6+AA392*AA$6+AB392*AB$6+AC392*AC$6+AD392*AD$6+AE392*AE$6+AF392*AF$6+AG392*AG$6+AH392*AH$6</f>
        <v>0.000404040404040404</v>
      </c>
      <c r="M392" s="18">
        <v>0</v>
      </c>
      <c r="N392" s="18">
        <f t="shared" si="158"/>
        <v>0.1187</v>
      </c>
      <c r="O392" s="11">
        <v>0</v>
      </c>
      <c r="P392" s="11">
        <v>0</v>
      </c>
      <c r="Q392" s="11">
        <f t="shared" si="182"/>
        <v>1</v>
      </c>
      <c r="R392" s="11">
        <v>0</v>
      </c>
      <c r="S392" s="11">
        <f t="shared" ref="S392:S455" si="199">O392*$R$5/MAX(1/FACT(128),R392)</f>
        <v>0</v>
      </c>
      <c r="T392" s="11">
        <v>0</v>
      </c>
      <c r="U392" s="11">
        <f t="shared" si="183"/>
        <v>1</v>
      </c>
      <c r="V392" s="11">
        <v>0</v>
      </c>
      <c r="W392" s="11">
        <f t="shared" si="184"/>
        <v>1</v>
      </c>
      <c r="X392" s="11">
        <f t="shared" ref="X392:X455" si="200">O392*Q392*S392*U392*W392</f>
        <v>0</v>
      </c>
      <c r="Y392" s="19">
        <v>0</v>
      </c>
      <c r="Z392" s="11">
        <v>0</v>
      </c>
      <c r="AA392" s="11">
        <v>2</v>
      </c>
      <c r="AB392" s="11">
        <v>0</v>
      </c>
      <c r="AC392" s="11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45">
        <v>0</v>
      </c>
      <c r="AJ392" s="45">
        <v>0</v>
      </c>
      <c r="AK392" s="45">
        <f t="shared" si="185"/>
        <v>0.3611</v>
      </c>
      <c r="AL392" s="45">
        <f t="shared" si="186"/>
        <v>0.00348095238095238</v>
      </c>
      <c r="AM392" s="45">
        <f t="shared" si="187"/>
        <v>0.0012569719047619</v>
      </c>
      <c r="AN392" s="45">
        <f t="shared" si="188"/>
        <v>0.792187500000003</v>
      </c>
      <c r="AO392" s="45">
        <f t="shared" si="189"/>
        <v>0.792187500000004</v>
      </c>
      <c r="AP392" s="45">
        <f t="shared" si="190"/>
        <v>1.05625</v>
      </c>
      <c r="AQ392" s="45">
        <f t="shared" si="191"/>
        <v>0</v>
      </c>
      <c r="AR392" s="45">
        <f t="shared" si="192"/>
        <v>0</v>
      </c>
      <c r="AS392" s="19">
        <f t="shared" si="193"/>
        <v>1.07916666666667</v>
      </c>
      <c r="AT392" s="19">
        <f t="shared" si="194"/>
        <v>1.03333333333334</v>
      </c>
      <c r="AU392" s="46">
        <v>0</v>
      </c>
      <c r="AV392" s="46">
        <v>0</v>
      </c>
      <c r="AW392" s="46">
        <v>0</v>
      </c>
      <c r="AX392" s="46">
        <v>1</v>
      </c>
      <c r="AY392" s="47">
        <v>0</v>
      </c>
      <c r="AZ392" s="47">
        <v>-1</v>
      </c>
    </row>
    <row r="393" hidden="1" customHeight="1" spans="1:52">
      <c r="A393" s="44">
        <v>45718</v>
      </c>
      <c r="B393" s="33">
        <f t="shared" si="177"/>
        <v>298</v>
      </c>
      <c r="C393" s="33">
        <f t="shared" si="178"/>
        <v>1964</v>
      </c>
      <c r="D393" s="11">
        <f t="shared" si="179"/>
        <v>2262</v>
      </c>
      <c r="E393" s="34">
        <f t="shared" ref="E393:E456" si="201">F393-F392</f>
        <v>-7.59673018184556e-7</v>
      </c>
      <c r="F393" s="35">
        <f t="shared" si="180"/>
        <v>0.000377701384728295</v>
      </c>
      <c r="G393" s="18">
        <f>(SUM($I$8:$I393)*(MAX(M$3-M$4,0))+(N393*MAX(M$4,0)))*(1-$AM$4)+(AM393*$AM$4)</f>
        <v>0.145792734505122</v>
      </c>
      <c r="H393" s="18">
        <f t="shared" si="195"/>
        <v>1.125</v>
      </c>
      <c r="I393" s="18">
        <f t="shared" si="181"/>
        <v>0.000454545454545454</v>
      </c>
      <c r="J393" s="18">
        <f t="shared" si="196"/>
        <v>0.258347747154154</v>
      </c>
      <c r="K393" s="18">
        <f t="shared" si="197"/>
        <v>0.00248876594914714</v>
      </c>
      <c r="L393" s="18">
        <f t="shared" si="198"/>
        <v>0.000404040404040404</v>
      </c>
      <c r="M393" s="18">
        <v>0</v>
      </c>
      <c r="N393" s="18">
        <f t="shared" ref="N393:N456" si="202">IF(M393&gt;N392,M393,N392)</f>
        <v>0.1187</v>
      </c>
      <c r="O393" s="11">
        <v>0</v>
      </c>
      <c r="P393" s="11">
        <v>0</v>
      </c>
      <c r="Q393" s="11">
        <f t="shared" si="182"/>
        <v>1</v>
      </c>
      <c r="R393" s="11">
        <v>0</v>
      </c>
      <c r="S393" s="11">
        <f t="shared" si="199"/>
        <v>0</v>
      </c>
      <c r="T393" s="11">
        <v>0</v>
      </c>
      <c r="U393" s="11">
        <f t="shared" si="183"/>
        <v>1</v>
      </c>
      <c r="V393" s="11">
        <v>0</v>
      </c>
      <c r="W393" s="11">
        <f t="shared" si="184"/>
        <v>1</v>
      </c>
      <c r="X393" s="11">
        <f t="shared" si="200"/>
        <v>0</v>
      </c>
      <c r="Y393" s="19">
        <v>0</v>
      </c>
      <c r="Z393" s="11">
        <v>0</v>
      </c>
      <c r="AA393" s="11">
        <v>2</v>
      </c>
      <c r="AB393" s="11">
        <v>0</v>
      </c>
      <c r="AC393" s="11">
        <v>0</v>
      </c>
      <c r="AD393" s="11">
        <v>0</v>
      </c>
      <c r="AE393" s="11">
        <v>0</v>
      </c>
      <c r="AF393" s="11">
        <v>0</v>
      </c>
      <c r="AG393" s="11">
        <v>0</v>
      </c>
      <c r="AH393" s="11">
        <v>0</v>
      </c>
      <c r="AI393" s="45">
        <v>0</v>
      </c>
      <c r="AJ393" s="45">
        <v>0</v>
      </c>
      <c r="AK393" s="45">
        <f t="shared" si="185"/>
        <v>0.3611</v>
      </c>
      <c r="AL393" s="45">
        <f t="shared" si="186"/>
        <v>0.00348095238095238</v>
      </c>
      <c r="AM393" s="45">
        <f t="shared" si="187"/>
        <v>0.0012569719047619</v>
      </c>
      <c r="AN393" s="45">
        <f t="shared" si="188"/>
        <v>0.792187500000003</v>
      </c>
      <c r="AO393" s="45">
        <f t="shared" si="189"/>
        <v>0.792187500000004</v>
      </c>
      <c r="AP393" s="45">
        <f t="shared" si="190"/>
        <v>1.05625</v>
      </c>
      <c r="AQ393" s="45">
        <f t="shared" si="191"/>
        <v>0</v>
      </c>
      <c r="AR393" s="45">
        <f t="shared" si="192"/>
        <v>0</v>
      </c>
      <c r="AS393" s="19">
        <f t="shared" si="193"/>
        <v>1.07916666666667</v>
      </c>
      <c r="AT393" s="19">
        <f t="shared" si="194"/>
        <v>1.03333333333334</v>
      </c>
      <c r="AU393" s="46">
        <v>0</v>
      </c>
      <c r="AV393" s="46">
        <v>0</v>
      </c>
      <c r="AW393" s="46">
        <v>0</v>
      </c>
      <c r="AX393" s="46">
        <v>1</v>
      </c>
      <c r="AY393" s="47">
        <v>0</v>
      </c>
      <c r="AZ393" s="47">
        <v>-1</v>
      </c>
    </row>
    <row r="394" hidden="1" customHeight="1" spans="1:52">
      <c r="A394" s="44">
        <v>45719</v>
      </c>
      <c r="B394" s="33">
        <f t="shared" si="177"/>
        <v>297</v>
      </c>
      <c r="C394" s="33">
        <f t="shared" si="178"/>
        <v>1969</v>
      </c>
      <c r="D394" s="11">
        <f t="shared" si="179"/>
        <v>2266</v>
      </c>
      <c r="E394" s="34">
        <f t="shared" si="201"/>
        <v>-7.55747059434078e-7</v>
      </c>
      <c r="F394" s="35">
        <f t="shared" si="180"/>
        <v>0.000376945637668861</v>
      </c>
      <c r="G394" s="18">
        <f>(SUM($I$8:$I394)*(MAX(M$3-M$4,0))+(N394*MAX(M$4,0)))*(1-$AM$4)+(AM394*$AM$4)</f>
        <v>0.145877961777849</v>
      </c>
      <c r="H394" s="18">
        <f t="shared" si="195"/>
        <v>1.125</v>
      </c>
      <c r="I394" s="18">
        <f t="shared" si="181"/>
        <v>0.000454545454545454</v>
      </c>
      <c r="J394" s="18">
        <f t="shared" si="196"/>
        <v>0.257830816165501</v>
      </c>
      <c r="K394" s="18">
        <f t="shared" si="197"/>
        <v>0.0024988861408569</v>
      </c>
      <c r="L394" s="18">
        <f t="shared" si="198"/>
        <v>0.000404040404040404</v>
      </c>
      <c r="M394" s="18">
        <v>0</v>
      </c>
      <c r="N394" s="18">
        <f t="shared" si="202"/>
        <v>0.1187</v>
      </c>
      <c r="O394" s="11">
        <v>0</v>
      </c>
      <c r="P394" s="11">
        <v>0</v>
      </c>
      <c r="Q394" s="11">
        <f t="shared" si="182"/>
        <v>1</v>
      </c>
      <c r="R394" s="11">
        <v>0</v>
      </c>
      <c r="S394" s="11">
        <f t="shared" si="199"/>
        <v>0</v>
      </c>
      <c r="T394" s="11">
        <v>0</v>
      </c>
      <c r="U394" s="11">
        <f t="shared" si="183"/>
        <v>1</v>
      </c>
      <c r="V394" s="11">
        <v>0</v>
      </c>
      <c r="W394" s="11">
        <f t="shared" si="184"/>
        <v>1</v>
      </c>
      <c r="X394" s="11">
        <f t="shared" si="200"/>
        <v>0</v>
      </c>
      <c r="Y394" s="19">
        <v>0</v>
      </c>
      <c r="Z394" s="11">
        <v>0</v>
      </c>
      <c r="AA394" s="11">
        <v>2</v>
      </c>
      <c r="AB394" s="11">
        <v>0</v>
      </c>
      <c r="AC394" s="11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45">
        <v>0</v>
      </c>
      <c r="AJ394" s="45">
        <v>0</v>
      </c>
      <c r="AK394" s="45">
        <f t="shared" si="185"/>
        <v>0.3611</v>
      </c>
      <c r="AL394" s="45">
        <f t="shared" si="186"/>
        <v>0.00348095238095238</v>
      </c>
      <c r="AM394" s="45">
        <f t="shared" si="187"/>
        <v>0.0012569719047619</v>
      </c>
      <c r="AN394" s="45">
        <f t="shared" si="188"/>
        <v>0.792187500000003</v>
      </c>
      <c r="AO394" s="45">
        <f t="shared" si="189"/>
        <v>0.792187500000004</v>
      </c>
      <c r="AP394" s="45">
        <f t="shared" si="190"/>
        <v>1.05625</v>
      </c>
      <c r="AQ394" s="45">
        <f t="shared" si="191"/>
        <v>0</v>
      </c>
      <c r="AR394" s="45">
        <f t="shared" si="192"/>
        <v>0</v>
      </c>
      <c r="AS394" s="19">
        <f t="shared" si="193"/>
        <v>1.07916666666667</v>
      </c>
      <c r="AT394" s="19">
        <f t="shared" si="194"/>
        <v>1.03333333333334</v>
      </c>
      <c r="AU394" s="46">
        <v>0</v>
      </c>
      <c r="AV394" s="46">
        <v>0</v>
      </c>
      <c r="AW394" s="46">
        <v>0</v>
      </c>
      <c r="AX394" s="46">
        <v>1</v>
      </c>
      <c r="AY394" s="47">
        <v>0</v>
      </c>
      <c r="AZ394" s="47">
        <v>-1</v>
      </c>
    </row>
    <row r="395" hidden="1" customHeight="1" spans="1:52">
      <c r="A395" s="44">
        <v>45720</v>
      </c>
      <c r="B395" s="33">
        <f t="shared" si="177"/>
        <v>296</v>
      </c>
      <c r="C395" s="33">
        <f t="shared" si="178"/>
        <v>1974</v>
      </c>
      <c r="D395" s="11">
        <f t="shared" si="179"/>
        <v>2270</v>
      </c>
      <c r="E395" s="34">
        <f t="shared" si="201"/>
        <v>-7.51851456035079e-7</v>
      </c>
      <c r="F395" s="35">
        <f t="shared" si="180"/>
        <v>0.000376193786212826</v>
      </c>
      <c r="G395" s="18">
        <f>(SUM($I$8:$I395)*(MAX(M$3-M$4,0))+(N395*MAX(M$4,0)))*(1-$AM$4)+(AM395*$AM$4)</f>
        <v>0.145963189050576</v>
      </c>
      <c r="H395" s="18">
        <f t="shared" si="195"/>
        <v>1.125</v>
      </c>
      <c r="I395" s="18">
        <f t="shared" si="181"/>
        <v>0.000454545454545454</v>
      </c>
      <c r="J395" s="18">
        <f t="shared" si="196"/>
        <v>0.257316549769573</v>
      </c>
      <c r="K395" s="18">
        <f t="shared" si="197"/>
        <v>0.00250906571023793</v>
      </c>
      <c r="L395" s="18">
        <f t="shared" si="198"/>
        <v>0.000404040404040404</v>
      </c>
      <c r="M395" s="18">
        <v>0</v>
      </c>
      <c r="N395" s="18">
        <f t="shared" si="202"/>
        <v>0.1187</v>
      </c>
      <c r="O395" s="11">
        <v>0</v>
      </c>
      <c r="P395" s="11">
        <v>0</v>
      </c>
      <c r="Q395" s="11">
        <f t="shared" si="182"/>
        <v>1</v>
      </c>
      <c r="R395" s="11">
        <v>0</v>
      </c>
      <c r="S395" s="11">
        <f t="shared" si="199"/>
        <v>0</v>
      </c>
      <c r="T395" s="11">
        <v>0</v>
      </c>
      <c r="U395" s="11">
        <f t="shared" si="183"/>
        <v>1</v>
      </c>
      <c r="V395" s="11">
        <v>0</v>
      </c>
      <c r="W395" s="11">
        <f t="shared" si="184"/>
        <v>1</v>
      </c>
      <c r="X395" s="11">
        <f t="shared" si="200"/>
        <v>0</v>
      </c>
      <c r="Y395" s="19">
        <v>0</v>
      </c>
      <c r="Z395" s="11">
        <v>0</v>
      </c>
      <c r="AA395" s="11">
        <v>2</v>
      </c>
      <c r="AB395" s="11">
        <v>0</v>
      </c>
      <c r="AC395" s="11">
        <v>0</v>
      </c>
      <c r="AD395" s="11">
        <v>0</v>
      </c>
      <c r="AE395" s="11">
        <v>0</v>
      </c>
      <c r="AF395" s="11">
        <v>0</v>
      </c>
      <c r="AG395" s="11">
        <v>0</v>
      </c>
      <c r="AH395" s="11">
        <v>0</v>
      </c>
      <c r="AI395" s="45">
        <v>0</v>
      </c>
      <c r="AJ395" s="45">
        <v>0</v>
      </c>
      <c r="AK395" s="45">
        <f t="shared" si="185"/>
        <v>0.3611</v>
      </c>
      <c r="AL395" s="45">
        <f t="shared" si="186"/>
        <v>0.00348095238095238</v>
      </c>
      <c r="AM395" s="45">
        <f t="shared" si="187"/>
        <v>0.0012569719047619</v>
      </c>
      <c r="AN395" s="45">
        <f t="shared" si="188"/>
        <v>0.792187500000003</v>
      </c>
      <c r="AO395" s="45">
        <f t="shared" si="189"/>
        <v>0.792187500000004</v>
      </c>
      <c r="AP395" s="45">
        <f t="shared" si="190"/>
        <v>1.05625</v>
      </c>
      <c r="AQ395" s="45">
        <f t="shared" si="191"/>
        <v>0</v>
      </c>
      <c r="AR395" s="45">
        <f t="shared" si="192"/>
        <v>0</v>
      </c>
      <c r="AS395" s="19">
        <f t="shared" si="193"/>
        <v>1.07916666666667</v>
      </c>
      <c r="AT395" s="19">
        <f t="shared" si="194"/>
        <v>1.03333333333334</v>
      </c>
      <c r="AU395" s="46">
        <v>0</v>
      </c>
      <c r="AV395" s="46">
        <v>0</v>
      </c>
      <c r="AW395" s="46">
        <v>0</v>
      </c>
      <c r="AX395" s="46">
        <v>1</v>
      </c>
      <c r="AY395" s="47">
        <v>0</v>
      </c>
      <c r="AZ395" s="47">
        <v>-1</v>
      </c>
    </row>
    <row r="396" hidden="1" customHeight="1" spans="1:52">
      <c r="A396" s="44">
        <v>45721</v>
      </c>
      <c r="B396" s="33">
        <f t="shared" si="177"/>
        <v>295</v>
      </c>
      <c r="C396" s="33">
        <f t="shared" si="178"/>
        <v>1980</v>
      </c>
      <c r="D396" s="11">
        <f t="shared" si="179"/>
        <v>2275</v>
      </c>
      <c r="E396" s="34">
        <f t="shared" si="201"/>
        <v>-7.47985895849658e-7</v>
      </c>
      <c r="F396" s="35">
        <f t="shared" si="180"/>
        <v>0.000375445800316976</v>
      </c>
      <c r="G396" s="18">
        <f>(SUM($I$8:$I396)*(MAX(M$3-M$4,0))+(N396*MAX(M$4,0)))*(1-$AM$4)+(AM396*$AM$4)</f>
        <v>0.146048416323304</v>
      </c>
      <c r="H396" s="18">
        <f t="shared" si="195"/>
        <v>1.125</v>
      </c>
      <c r="I396" s="18">
        <f t="shared" si="181"/>
        <v>0.000454545454545454</v>
      </c>
      <c r="J396" s="18">
        <f t="shared" si="196"/>
        <v>0.256804927416812</v>
      </c>
      <c r="K396" s="18">
        <f t="shared" si="197"/>
        <v>0.00251930533079047</v>
      </c>
      <c r="L396" s="18">
        <f t="shared" si="198"/>
        <v>0.000404040404040404</v>
      </c>
      <c r="M396" s="18">
        <v>0</v>
      </c>
      <c r="N396" s="18">
        <f t="shared" si="202"/>
        <v>0.1187</v>
      </c>
      <c r="O396" s="11">
        <v>0</v>
      </c>
      <c r="P396" s="11">
        <v>0</v>
      </c>
      <c r="Q396" s="11">
        <f t="shared" si="182"/>
        <v>1</v>
      </c>
      <c r="R396" s="11">
        <v>0</v>
      </c>
      <c r="S396" s="11">
        <f t="shared" si="199"/>
        <v>0</v>
      </c>
      <c r="T396" s="11">
        <v>0</v>
      </c>
      <c r="U396" s="11">
        <f t="shared" si="183"/>
        <v>1</v>
      </c>
      <c r="V396" s="11">
        <v>0</v>
      </c>
      <c r="W396" s="11">
        <f t="shared" si="184"/>
        <v>1</v>
      </c>
      <c r="X396" s="11">
        <f t="shared" si="200"/>
        <v>0</v>
      </c>
      <c r="Y396" s="19">
        <v>0</v>
      </c>
      <c r="Z396" s="11">
        <v>0</v>
      </c>
      <c r="AA396" s="11">
        <v>2</v>
      </c>
      <c r="AB396" s="11">
        <v>0</v>
      </c>
      <c r="AC396" s="11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45">
        <v>0</v>
      </c>
      <c r="AJ396" s="45">
        <v>0</v>
      </c>
      <c r="AK396" s="45">
        <f t="shared" si="185"/>
        <v>0.3611</v>
      </c>
      <c r="AL396" s="45">
        <f t="shared" si="186"/>
        <v>0.00348095238095238</v>
      </c>
      <c r="AM396" s="45">
        <f t="shared" si="187"/>
        <v>0.0012569719047619</v>
      </c>
      <c r="AN396" s="45">
        <f t="shared" si="188"/>
        <v>0.792187500000003</v>
      </c>
      <c r="AO396" s="45">
        <f t="shared" si="189"/>
        <v>0.792187500000004</v>
      </c>
      <c r="AP396" s="45">
        <f t="shared" si="190"/>
        <v>1.05625</v>
      </c>
      <c r="AQ396" s="45">
        <f t="shared" si="191"/>
        <v>0</v>
      </c>
      <c r="AR396" s="45">
        <f t="shared" si="192"/>
        <v>0</v>
      </c>
      <c r="AS396" s="19">
        <f t="shared" si="193"/>
        <v>1.07916666666667</v>
      </c>
      <c r="AT396" s="19">
        <f t="shared" si="194"/>
        <v>1.03333333333334</v>
      </c>
      <c r="AU396" s="46">
        <v>0</v>
      </c>
      <c r="AV396" s="46">
        <v>0</v>
      </c>
      <c r="AW396" s="46">
        <v>0</v>
      </c>
      <c r="AX396" s="46">
        <v>1</v>
      </c>
      <c r="AY396" s="47">
        <v>0</v>
      </c>
      <c r="AZ396" s="47">
        <v>-1</v>
      </c>
    </row>
    <row r="397" hidden="1" customHeight="1" spans="1:52">
      <c r="A397" s="44">
        <v>45722</v>
      </c>
      <c r="B397" s="33">
        <f t="shared" si="177"/>
        <v>294</v>
      </c>
      <c r="C397" s="33">
        <f t="shared" si="178"/>
        <v>1985</v>
      </c>
      <c r="D397" s="11">
        <f t="shared" si="179"/>
        <v>2279</v>
      </c>
      <c r="E397" s="34">
        <f t="shared" si="201"/>
        <v>-7.44150070742893e-7</v>
      </c>
      <c r="F397" s="35">
        <f t="shared" si="180"/>
        <v>0.000374701650246233</v>
      </c>
      <c r="G397" s="18">
        <f>(SUM($I$8:$I397)*(MAX(M$3-M$4,0))+(N397*MAX(M$4,0)))*(1-$AM$4)+(AM397*$AM$4)</f>
        <v>0.146133643596031</v>
      </c>
      <c r="H397" s="18">
        <f t="shared" si="195"/>
        <v>1.125</v>
      </c>
      <c r="I397" s="18">
        <f t="shared" si="181"/>
        <v>0.000454545454545454</v>
      </c>
      <c r="J397" s="18">
        <f t="shared" si="196"/>
        <v>0.256295928768424</v>
      </c>
      <c r="K397" s="18">
        <f t="shared" si="197"/>
        <v>0.00252960568446114</v>
      </c>
      <c r="L397" s="18">
        <f t="shared" si="198"/>
        <v>0.000404040404040404</v>
      </c>
      <c r="M397" s="18">
        <v>0</v>
      </c>
      <c r="N397" s="18">
        <f t="shared" si="202"/>
        <v>0.1187</v>
      </c>
      <c r="O397" s="11">
        <v>0</v>
      </c>
      <c r="P397" s="11">
        <v>0</v>
      </c>
      <c r="Q397" s="11">
        <f t="shared" si="182"/>
        <v>1</v>
      </c>
      <c r="R397" s="11">
        <v>0</v>
      </c>
      <c r="S397" s="11">
        <f t="shared" si="199"/>
        <v>0</v>
      </c>
      <c r="T397" s="11">
        <v>0</v>
      </c>
      <c r="U397" s="11">
        <f t="shared" si="183"/>
        <v>1</v>
      </c>
      <c r="V397" s="11">
        <v>0</v>
      </c>
      <c r="W397" s="11">
        <f t="shared" si="184"/>
        <v>1</v>
      </c>
      <c r="X397" s="11">
        <f t="shared" si="200"/>
        <v>0</v>
      </c>
      <c r="Y397" s="19">
        <v>0</v>
      </c>
      <c r="Z397" s="11">
        <v>0</v>
      </c>
      <c r="AA397" s="11">
        <v>2</v>
      </c>
      <c r="AB397" s="11">
        <v>0</v>
      </c>
      <c r="AC397" s="11">
        <v>0</v>
      </c>
      <c r="AD397" s="11">
        <v>0</v>
      </c>
      <c r="AE397" s="11">
        <v>0</v>
      </c>
      <c r="AF397" s="11">
        <v>0</v>
      </c>
      <c r="AG397" s="11">
        <v>0</v>
      </c>
      <c r="AH397" s="11">
        <v>0</v>
      </c>
      <c r="AI397" s="45">
        <v>0</v>
      </c>
      <c r="AJ397" s="45">
        <v>0</v>
      </c>
      <c r="AK397" s="45">
        <f t="shared" si="185"/>
        <v>0.3611</v>
      </c>
      <c r="AL397" s="45">
        <f t="shared" si="186"/>
        <v>0.00348095238095238</v>
      </c>
      <c r="AM397" s="45">
        <f t="shared" si="187"/>
        <v>0.0012569719047619</v>
      </c>
      <c r="AN397" s="45">
        <f t="shared" si="188"/>
        <v>0.792187500000003</v>
      </c>
      <c r="AO397" s="45">
        <f t="shared" si="189"/>
        <v>0.792187500000004</v>
      </c>
      <c r="AP397" s="45">
        <f t="shared" si="190"/>
        <v>1.05625</v>
      </c>
      <c r="AQ397" s="45">
        <f t="shared" si="191"/>
        <v>0</v>
      </c>
      <c r="AR397" s="45">
        <f t="shared" si="192"/>
        <v>0</v>
      </c>
      <c r="AS397" s="19">
        <f t="shared" si="193"/>
        <v>1.07916666666667</v>
      </c>
      <c r="AT397" s="19">
        <f t="shared" si="194"/>
        <v>1.03333333333334</v>
      </c>
      <c r="AU397" s="46">
        <v>0</v>
      </c>
      <c r="AV397" s="46">
        <v>0</v>
      </c>
      <c r="AW397" s="46">
        <v>0</v>
      </c>
      <c r="AX397" s="46">
        <v>1</v>
      </c>
      <c r="AY397" s="47">
        <v>0</v>
      </c>
      <c r="AZ397" s="47">
        <v>-1</v>
      </c>
    </row>
    <row r="398" hidden="1" customHeight="1" spans="1:52">
      <c r="A398" s="44">
        <v>45723</v>
      </c>
      <c r="B398" s="33">
        <f t="shared" si="177"/>
        <v>293</v>
      </c>
      <c r="C398" s="33">
        <f t="shared" si="178"/>
        <v>1990</v>
      </c>
      <c r="D398" s="11">
        <f t="shared" si="179"/>
        <v>2283</v>
      </c>
      <c r="E398" s="34">
        <f t="shared" si="201"/>
        <v>-7.40343676518989e-7</v>
      </c>
      <c r="F398" s="35">
        <f t="shared" si="180"/>
        <v>0.000373961306569714</v>
      </c>
      <c r="G398" s="18">
        <f>(SUM($I$8:$I398)*(MAX(M$3-M$4,0))+(N398*MAX(M$4,0)))*(1-$AM$4)+(AM398*$AM$4)</f>
        <v>0.146218870868758</v>
      </c>
      <c r="H398" s="18">
        <f t="shared" si="195"/>
        <v>1.125</v>
      </c>
      <c r="I398" s="18">
        <f t="shared" si="181"/>
        <v>0.000454545454545454</v>
      </c>
      <c r="J398" s="18">
        <f t="shared" si="196"/>
        <v>0.255789533693685</v>
      </c>
      <c r="K398" s="18">
        <f t="shared" si="197"/>
        <v>0.0025399674617963</v>
      </c>
      <c r="L398" s="18">
        <f t="shared" si="198"/>
        <v>0.000404040404040404</v>
      </c>
      <c r="M398" s="18">
        <v>0</v>
      </c>
      <c r="N398" s="18">
        <f t="shared" si="202"/>
        <v>0.1187</v>
      </c>
      <c r="O398" s="11">
        <v>0</v>
      </c>
      <c r="P398" s="11">
        <v>0</v>
      </c>
      <c r="Q398" s="11">
        <f t="shared" si="182"/>
        <v>1</v>
      </c>
      <c r="R398" s="11">
        <v>0</v>
      </c>
      <c r="S398" s="11">
        <f t="shared" si="199"/>
        <v>0</v>
      </c>
      <c r="T398" s="11">
        <v>0</v>
      </c>
      <c r="U398" s="11">
        <f t="shared" si="183"/>
        <v>1</v>
      </c>
      <c r="V398" s="11">
        <v>0</v>
      </c>
      <c r="W398" s="11">
        <f t="shared" si="184"/>
        <v>1</v>
      </c>
      <c r="X398" s="11">
        <f t="shared" si="200"/>
        <v>0</v>
      </c>
      <c r="Y398" s="19">
        <v>0</v>
      </c>
      <c r="Z398" s="11">
        <v>0</v>
      </c>
      <c r="AA398" s="11">
        <v>2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45">
        <v>0</v>
      </c>
      <c r="AJ398" s="45">
        <v>0</v>
      </c>
      <c r="AK398" s="45">
        <f t="shared" si="185"/>
        <v>0.3611</v>
      </c>
      <c r="AL398" s="45">
        <f t="shared" si="186"/>
        <v>0.00348095238095238</v>
      </c>
      <c r="AM398" s="45">
        <f t="shared" si="187"/>
        <v>0.0012569719047619</v>
      </c>
      <c r="AN398" s="45">
        <f t="shared" si="188"/>
        <v>0.792187500000003</v>
      </c>
      <c r="AO398" s="45">
        <f t="shared" si="189"/>
        <v>0.792187500000004</v>
      </c>
      <c r="AP398" s="45">
        <f t="shared" si="190"/>
        <v>1.05625</v>
      </c>
      <c r="AQ398" s="45">
        <f t="shared" si="191"/>
        <v>0</v>
      </c>
      <c r="AR398" s="45">
        <f t="shared" si="192"/>
        <v>0</v>
      </c>
      <c r="AS398" s="19">
        <f t="shared" si="193"/>
        <v>1.07916666666667</v>
      </c>
      <c r="AT398" s="19">
        <f t="shared" si="194"/>
        <v>1.03333333333334</v>
      </c>
      <c r="AU398" s="46">
        <v>0</v>
      </c>
      <c r="AV398" s="46">
        <v>0</v>
      </c>
      <c r="AW398" s="46">
        <v>0</v>
      </c>
      <c r="AX398" s="46">
        <v>1</v>
      </c>
      <c r="AY398" s="47">
        <v>0</v>
      </c>
      <c r="AZ398" s="47">
        <v>-1</v>
      </c>
    </row>
    <row r="399" hidden="1" customHeight="1" spans="1:52">
      <c r="A399" s="44">
        <v>45724</v>
      </c>
      <c r="B399" s="33">
        <f t="shared" si="177"/>
        <v>292</v>
      </c>
      <c r="C399" s="33">
        <f t="shared" si="178"/>
        <v>1995</v>
      </c>
      <c r="D399" s="11">
        <f t="shared" si="179"/>
        <v>2287</v>
      </c>
      <c r="E399" s="34">
        <f t="shared" si="201"/>
        <v>-7.36566412863431e-7</v>
      </c>
      <c r="F399" s="35">
        <f t="shared" si="180"/>
        <v>0.000373224740156851</v>
      </c>
      <c r="G399" s="18">
        <f>(SUM($I$8:$I399)*(MAX(M$3-M$4,0))+(N399*MAX(M$4,0)))*(1-$AM$4)+(AM399*$AM$4)</f>
        <v>0.146304098141486</v>
      </c>
      <c r="H399" s="18">
        <f t="shared" si="195"/>
        <v>1.125</v>
      </c>
      <c r="I399" s="18">
        <f t="shared" si="181"/>
        <v>0.000454545454545454</v>
      </c>
      <c r="J399" s="18">
        <f t="shared" si="196"/>
        <v>0.255285722267286</v>
      </c>
      <c r="K399" s="18">
        <f t="shared" si="197"/>
        <v>0.00255039136209834</v>
      </c>
      <c r="L399" s="18">
        <f t="shared" si="198"/>
        <v>0.000404040404040404</v>
      </c>
      <c r="M399" s="18">
        <v>0</v>
      </c>
      <c r="N399" s="18">
        <f t="shared" si="202"/>
        <v>0.1187</v>
      </c>
      <c r="O399" s="11">
        <v>0</v>
      </c>
      <c r="P399" s="11">
        <v>0</v>
      </c>
      <c r="Q399" s="11">
        <f t="shared" si="182"/>
        <v>1</v>
      </c>
      <c r="R399" s="11">
        <v>0</v>
      </c>
      <c r="S399" s="11">
        <f t="shared" si="199"/>
        <v>0</v>
      </c>
      <c r="T399" s="11">
        <v>0</v>
      </c>
      <c r="U399" s="11">
        <f t="shared" si="183"/>
        <v>1</v>
      </c>
      <c r="V399" s="11">
        <v>0</v>
      </c>
      <c r="W399" s="11">
        <f t="shared" si="184"/>
        <v>1</v>
      </c>
      <c r="X399" s="11">
        <f t="shared" si="200"/>
        <v>0</v>
      </c>
      <c r="Y399" s="19">
        <v>0</v>
      </c>
      <c r="Z399" s="11">
        <v>0</v>
      </c>
      <c r="AA399" s="11">
        <v>2</v>
      </c>
      <c r="AB399" s="11">
        <v>0</v>
      </c>
      <c r="AC399" s="11">
        <v>0</v>
      </c>
      <c r="AD399" s="11">
        <v>0</v>
      </c>
      <c r="AE399" s="11">
        <v>0</v>
      </c>
      <c r="AF399" s="11">
        <v>0</v>
      </c>
      <c r="AG399" s="11">
        <v>0</v>
      </c>
      <c r="AH399" s="11">
        <v>0</v>
      </c>
      <c r="AI399" s="45">
        <v>0</v>
      </c>
      <c r="AJ399" s="45">
        <v>0</v>
      </c>
      <c r="AK399" s="45">
        <f t="shared" si="185"/>
        <v>0.3611</v>
      </c>
      <c r="AL399" s="45">
        <f t="shared" si="186"/>
        <v>0.00348095238095238</v>
      </c>
      <c r="AM399" s="45">
        <f t="shared" si="187"/>
        <v>0.0012569719047619</v>
      </c>
      <c r="AN399" s="45">
        <f t="shared" si="188"/>
        <v>0.792187500000003</v>
      </c>
      <c r="AO399" s="45">
        <f t="shared" si="189"/>
        <v>0.792187500000004</v>
      </c>
      <c r="AP399" s="45">
        <f t="shared" si="190"/>
        <v>1.05625</v>
      </c>
      <c r="AQ399" s="45">
        <f t="shared" si="191"/>
        <v>0</v>
      </c>
      <c r="AR399" s="45">
        <f t="shared" si="192"/>
        <v>0</v>
      </c>
      <c r="AS399" s="19">
        <f t="shared" si="193"/>
        <v>1.07916666666667</v>
      </c>
      <c r="AT399" s="19">
        <f t="shared" si="194"/>
        <v>1.03333333333334</v>
      </c>
      <c r="AU399" s="46">
        <v>0</v>
      </c>
      <c r="AV399" s="46">
        <v>0</v>
      </c>
      <c r="AW399" s="46">
        <v>0</v>
      </c>
      <c r="AX399" s="46">
        <v>1</v>
      </c>
      <c r="AY399" s="47">
        <v>0</v>
      </c>
      <c r="AZ399" s="47">
        <v>-1</v>
      </c>
    </row>
    <row r="400" hidden="1" customHeight="1" spans="1:52">
      <c r="A400" s="44">
        <v>45725</v>
      </c>
      <c r="B400" s="33">
        <f t="shared" si="177"/>
        <v>291</v>
      </c>
      <c r="C400" s="33">
        <f t="shared" si="178"/>
        <v>2001</v>
      </c>
      <c r="D400" s="11">
        <f t="shared" si="179"/>
        <v>2292</v>
      </c>
      <c r="E400" s="34">
        <f t="shared" si="201"/>
        <v>-7.87033805626841e-7</v>
      </c>
      <c r="F400" s="35">
        <f t="shared" si="180"/>
        <v>0.000372437706351224</v>
      </c>
      <c r="G400" s="18">
        <f>(SUM($I$8:$I400)*(MAX(M$3-M$4,0))+(N400*MAX(M$4,0)))*(1-$AM$4)+(AM400*$AM$4)</f>
        <v>0.146368018596031</v>
      </c>
      <c r="H400" s="18">
        <f t="shared" si="195"/>
        <v>1.125</v>
      </c>
      <c r="I400" s="18">
        <f t="shared" si="181"/>
        <v>0.000340909090909091</v>
      </c>
      <c r="J400" s="18">
        <f t="shared" si="196"/>
        <v>0.254747391144237</v>
      </c>
      <c r="K400" s="18">
        <f t="shared" si="197"/>
        <v>0.00256100552871396</v>
      </c>
      <c r="L400" s="18">
        <f t="shared" si="198"/>
        <v>0.000303030303030303</v>
      </c>
      <c r="M400" s="18">
        <v>0</v>
      </c>
      <c r="N400" s="18">
        <f t="shared" si="202"/>
        <v>0.1187</v>
      </c>
      <c r="O400" s="11">
        <v>0</v>
      </c>
      <c r="P400" s="11">
        <v>0</v>
      </c>
      <c r="Q400" s="11">
        <f t="shared" si="182"/>
        <v>1</v>
      </c>
      <c r="R400" s="11">
        <v>0</v>
      </c>
      <c r="S400" s="11">
        <f t="shared" si="199"/>
        <v>0</v>
      </c>
      <c r="T400" s="11">
        <v>0</v>
      </c>
      <c r="U400" s="11">
        <f t="shared" si="183"/>
        <v>1</v>
      </c>
      <c r="V400" s="11">
        <v>0</v>
      </c>
      <c r="W400" s="11">
        <f t="shared" si="184"/>
        <v>1</v>
      </c>
      <c r="X400" s="11">
        <f t="shared" si="200"/>
        <v>0</v>
      </c>
      <c r="Y400" s="19">
        <v>0</v>
      </c>
      <c r="Z400" s="11">
        <v>0</v>
      </c>
      <c r="AA400" s="11">
        <v>1.5</v>
      </c>
      <c r="AB400" s="11">
        <v>0</v>
      </c>
      <c r="AC400" s="11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45">
        <v>0</v>
      </c>
      <c r="AJ400" s="45">
        <v>0</v>
      </c>
      <c r="AK400" s="45">
        <f t="shared" si="185"/>
        <v>0.3611</v>
      </c>
      <c r="AL400" s="45">
        <f t="shared" si="186"/>
        <v>0.00348095238095238</v>
      </c>
      <c r="AM400" s="45">
        <f t="shared" si="187"/>
        <v>0.0012569719047619</v>
      </c>
      <c r="AN400" s="45">
        <f t="shared" si="188"/>
        <v>0.792187500000003</v>
      </c>
      <c r="AO400" s="45">
        <f t="shared" si="189"/>
        <v>0.792187500000004</v>
      </c>
      <c r="AP400" s="45">
        <f t="shared" si="190"/>
        <v>1.05625</v>
      </c>
      <c r="AQ400" s="45">
        <f t="shared" si="191"/>
        <v>0</v>
      </c>
      <c r="AR400" s="45">
        <f t="shared" si="192"/>
        <v>0</v>
      </c>
      <c r="AS400" s="19">
        <f t="shared" si="193"/>
        <v>1.07916666666667</v>
      </c>
      <c r="AT400" s="19">
        <f t="shared" si="194"/>
        <v>1.03333333333334</v>
      </c>
      <c r="AU400" s="46">
        <v>0</v>
      </c>
      <c r="AV400" s="46">
        <v>0</v>
      </c>
      <c r="AW400" s="46">
        <v>0</v>
      </c>
      <c r="AX400" s="46">
        <v>1</v>
      </c>
      <c r="AY400" s="47">
        <v>0</v>
      </c>
      <c r="AZ400" s="47">
        <v>-1</v>
      </c>
    </row>
    <row r="401" hidden="1" customHeight="1" spans="1:52">
      <c r="A401" s="44">
        <v>45726</v>
      </c>
      <c r="B401" s="33">
        <f t="shared" si="177"/>
        <v>290</v>
      </c>
      <c r="C401" s="33">
        <f t="shared" si="178"/>
        <v>2006</v>
      </c>
      <c r="D401" s="11">
        <f t="shared" si="179"/>
        <v>2296</v>
      </c>
      <c r="E401" s="34">
        <f t="shared" si="201"/>
        <v>-7.54196993507986e-7</v>
      </c>
      <c r="F401" s="35">
        <f t="shared" si="180"/>
        <v>0.000371683509357716</v>
      </c>
      <c r="G401" s="18">
        <f>(SUM($I$8:$I401)*(MAX(M$3-M$4,0))+(N401*MAX(M$4,0)))*(1-$AM$4)+(AM401*$AM$4)</f>
        <v>0.14644330268694</v>
      </c>
      <c r="H401" s="18">
        <f t="shared" si="195"/>
        <v>1.125</v>
      </c>
      <c r="I401" s="18">
        <f t="shared" si="181"/>
        <v>0.000401515151515152</v>
      </c>
      <c r="J401" s="18">
        <f t="shared" si="196"/>
        <v>0.254231520400678</v>
      </c>
      <c r="K401" s="18">
        <f t="shared" si="197"/>
        <v>0.00257161544689421</v>
      </c>
      <c r="L401" s="18">
        <f t="shared" si="198"/>
        <v>0.000356902356902357</v>
      </c>
      <c r="M401" s="18">
        <v>0</v>
      </c>
      <c r="N401" s="18">
        <f t="shared" si="202"/>
        <v>0.1187</v>
      </c>
      <c r="O401" s="11">
        <v>0</v>
      </c>
      <c r="P401" s="11">
        <v>0</v>
      </c>
      <c r="Q401" s="11">
        <f t="shared" si="182"/>
        <v>1</v>
      </c>
      <c r="R401" s="11">
        <v>0</v>
      </c>
      <c r="S401" s="11">
        <f t="shared" si="199"/>
        <v>0</v>
      </c>
      <c r="T401" s="11">
        <v>0</v>
      </c>
      <c r="U401" s="11">
        <f t="shared" si="183"/>
        <v>1</v>
      </c>
      <c r="V401" s="11">
        <v>0</v>
      </c>
      <c r="W401" s="11">
        <f t="shared" si="184"/>
        <v>1</v>
      </c>
      <c r="X401" s="11">
        <f t="shared" si="200"/>
        <v>0</v>
      </c>
      <c r="Y401" s="19">
        <v>0</v>
      </c>
      <c r="Z401" s="11">
        <v>1</v>
      </c>
      <c r="AA401" s="11">
        <v>0</v>
      </c>
      <c r="AB401" s="11">
        <v>0</v>
      </c>
      <c r="AC401" s="11">
        <v>0</v>
      </c>
      <c r="AD401" s="11">
        <v>1</v>
      </c>
      <c r="AE401" s="11">
        <v>0</v>
      </c>
      <c r="AF401" s="11">
        <v>0</v>
      </c>
      <c r="AG401" s="11">
        <v>0</v>
      </c>
      <c r="AH401" s="11">
        <v>0</v>
      </c>
      <c r="AI401" s="45">
        <v>0</v>
      </c>
      <c r="AJ401" s="45">
        <v>0</v>
      </c>
      <c r="AK401" s="45">
        <f t="shared" si="185"/>
        <v>0.3611</v>
      </c>
      <c r="AL401" s="45">
        <f t="shared" si="186"/>
        <v>0.00348095238095238</v>
      </c>
      <c r="AM401" s="45">
        <f t="shared" si="187"/>
        <v>0.0012569719047619</v>
      </c>
      <c r="AN401" s="45">
        <f t="shared" si="188"/>
        <v>0.792187500000003</v>
      </c>
      <c r="AO401" s="45">
        <f t="shared" si="189"/>
        <v>0.792187500000004</v>
      </c>
      <c r="AP401" s="45">
        <f t="shared" si="190"/>
        <v>1.05625</v>
      </c>
      <c r="AQ401" s="45">
        <f t="shared" si="191"/>
        <v>0</v>
      </c>
      <c r="AR401" s="45">
        <f t="shared" si="192"/>
        <v>0</v>
      </c>
      <c r="AS401" s="19">
        <f t="shared" si="193"/>
        <v>1.07916666666667</v>
      </c>
      <c r="AT401" s="19">
        <f t="shared" si="194"/>
        <v>1.03333333333334</v>
      </c>
      <c r="AU401" s="46">
        <v>0</v>
      </c>
      <c r="AV401" s="46">
        <v>0</v>
      </c>
      <c r="AW401" s="46">
        <v>0</v>
      </c>
      <c r="AX401" s="46">
        <v>1</v>
      </c>
      <c r="AY401" s="47">
        <v>0</v>
      </c>
      <c r="AZ401" s="47">
        <v>-1</v>
      </c>
    </row>
    <row r="402" hidden="1" customHeight="1" spans="1:52">
      <c r="A402" s="44">
        <v>45727</v>
      </c>
      <c r="B402" s="33">
        <f t="shared" si="177"/>
        <v>289</v>
      </c>
      <c r="C402" s="33">
        <f t="shared" si="178"/>
        <v>2012</v>
      </c>
      <c r="D402" s="11">
        <f t="shared" si="179"/>
        <v>2301</v>
      </c>
      <c r="E402" s="34">
        <f t="shared" si="201"/>
        <v>-7.52176318281937e-7</v>
      </c>
      <c r="F402" s="35">
        <f t="shared" si="180"/>
        <v>0.000370931333039434</v>
      </c>
      <c r="G402" s="18">
        <f>(SUM($I$8:$I402)*(MAX(M$3-M$4,0))+(N402*MAX(M$4,0)))*(1-$AM$4)+(AM402*$AM$4)</f>
        <v>0.146517876550576</v>
      </c>
      <c r="H402" s="18">
        <f t="shared" si="195"/>
        <v>1.125</v>
      </c>
      <c r="I402" s="18">
        <f t="shared" si="181"/>
        <v>0.000397727272727273</v>
      </c>
      <c r="J402" s="18">
        <f t="shared" si="196"/>
        <v>0.253717031798973</v>
      </c>
      <c r="K402" s="18">
        <f t="shared" si="197"/>
        <v>0.00258229400761601</v>
      </c>
      <c r="L402" s="18">
        <f t="shared" si="198"/>
        <v>0.000353535353535354</v>
      </c>
      <c r="M402" s="18">
        <v>0</v>
      </c>
      <c r="N402" s="18">
        <f t="shared" si="202"/>
        <v>0.1187</v>
      </c>
      <c r="O402" s="11">
        <v>0</v>
      </c>
      <c r="P402" s="11">
        <v>0</v>
      </c>
      <c r="Q402" s="11">
        <f t="shared" si="182"/>
        <v>1</v>
      </c>
      <c r="R402" s="11">
        <v>0</v>
      </c>
      <c r="S402" s="11">
        <f t="shared" si="199"/>
        <v>0</v>
      </c>
      <c r="T402" s="11">
        <v>0</v>
      </c>
      <c r="U402" s="11">
        <f t="shared" si="183"/>
        <v>1</v>
      </c>
      <c r="V402" s="11">
        <v>0</v>
      </c>
      <c r="W402" s="11">
        <f t="shared" si="184"/>
        <v>1</v>
      </c>
      <c r="X402" s="11">
        <f t="shared" si="200"/>
        <v>0</v>
      </c>
      <c r="Y402" s="19">
        <v>0</v>
      </c>
      <c r="Z402" s="11">
        <v>0</v>
      </c>
      <c r="AA402" s="11">
        <v>0.5</v>
      </c>
      <c r="AB402" s="11">
        <v>0</v>
      </c>
      <c r="AC402" s="11">
        <v>0</v>
      </c>
      <c r="AD402" s="11">
        <v>3</v>
      </c>
      <c r="AE402" s="11">
        <v>0</v>
      </c>
      <c r="AF402" s="11">
        <v>0</v>
      </c>
      <c r="AG402" s="11">
        <v>0</v>
      </c>
      <c r="AH402" s="11">
        <v>0</v>
      </c>
      <c r="AI402" s="45">
        <v>0</v>
      </c>
      <c r="AJ402" s="45">
        <v>0</v>
      </c>
      <c r="AK402" s="45">
        <f t="shared" si="185"/>
        <v>0.3611</v>
      </c>
      <c r="AL402" s="45">
        <f t="shared" si="186"/>
        <v>0.00348095238095238</v>
      </c>
      <c r="AM402" s="45">
        <f t="shared" si="187"/>
        <v>0.0012569719047619</v>
      </c>
      <c r="AN402" s="45">
        <f t="shared" si="188"/>
        <v>0.792187500000003</v>
      </c>
      <c r="AO402" s="45">
        <f t="shared" si="189"/>
        <v>0.792187500000004</v>
      </c>
      <c r="AP402" s="45">
        <f t="shared" si="190"/>
        <v>1.05625</v>
      </c>
      <c r="AQ402" s="45">
        <f t="shared" si="191"/>
        <v>0</v>
      </c>
      <c r="AR402" s="45">
        <f t="shared" si="192"/>
        <v>0</v>
      </c>
      <c r="AS402" s="19">
        <f t="shared" si="193"/>
        <v>1.07916666666667</v>
      </c>
      <c r="AT402" s="19">
        <f t="shared" si="194"/>
        <v>1.03333333333334</v>
      </c>
      <c r="AU402" s="46">
        <v>0</v>
      </c>
      <c r="AV402" s="46">
        <v>0</v>
      </c>
      <c r="AW402" s="46">
        <v>0</v>
      </c>
      <c r="AX402" s="46">
        <v>1</v>
      </c>
      <c r="AY402" s="47">
        <v>0</v>
      </c>
      <c r="AZ402" s="47">
        <v>-1</v>
      </c>
    </row>
    <row r="403" hidden="1" customHeight="1" spans="1:52">
      <c r="A403" s="44">
        <v>45728</v>
      </c>
      <c r="B403" s="33">
        <f t="shared" si="177"/>
        <v>288</v>
      </c>
      <c r="C403" s="33">
        <f t="shared" si="178"/>
        <v>2017</v>
      </c>
      <c r="D403" s="11">
        <f t="shared" si="179"/>
        <v>2305</v>
      </c>
      <c r="E403" s="34">
        <f t="shared" si="201"/>
        <v>-7.12507383708496e-7</v>
      </c>
      <c r="F403" s="35">
        <f t="shared" si="180"/>
        <v>0.000370218825655726</v>
      </c>
      <c r="G403" s="18">
        <f>(SUM($I$8:$I403)*(MAX(M$3-M$4,0))+(N403*MAX(M$4,0)))*(1-$AM$4)+(AM403*$AM$4)</f>
        <v>0.146606654959667</v>
      </c>
      <c r="H403" s="18">
        <f t="shared" si="195"/>
        <v>1.125</v>
      </c>
      <c r="I403" s="18">
        <f t="shared" si="181"/>
        <v>0.000473484848484849</v>
      </c>
      <c r="J403" s="18">
        <f t="shared" si="196"/>
        <v>0.253229676748516</v>
      </c>
      <c r="K403" s="18">
        <f t="shared" si="197"/>
        <v>0.00259295251128987</v>
      </c>
      <c r="L403" s="18">
        <f t="shared" si="198"/>
        <v>0.000420875420875421</v>
      </c>
      <c r="M403" s="18">
        <v>0</v>
      </c>
      <c r="N403" s="18">
        <f t="shared" si="202"/>
        <v>0.1187</v>
      </c>
      <c r="O403" s="11">
        <v>0</v>
      </c>
      <c r="P403" s="11">
        <v>0</v>
      </c>
      <c r="Q403" s="11">
        <f t="shared" si="182"/>
        <v>1</v>
      </c>
      <c r="R403" s="11">
        <v>0</v>
      </c>
      <c r="S403" s="11">
        <f t="shared" si="199"/>
        <v>0</v>
      </c>
      <c r="T403" s="11">
        <v>0</v>
      </c>
      <c r="U403" s="11">
        <f t="shared" si="183"/>
        <v>1</v>
      </c>
      <c r="V403" s="11">
        <v>0</v>
      </c>
      <c r="W403" s="11">
        <f t="shared" si="184"/>
        <v>1</v>
      </c>
      <c r="X403" s="11">
        <f t="shared" si="200"/>
        <v>0</v>
      </c>
      <c r="Y403" s="19">
        <v>0</v>
      </c>
      <c r="Z403" s="11">
        <v>0</v>
      </c>
      <c r="AA403" s="11">
        <v>0</v>
      </c>
      <c r="AB403" s="11">
        <v>0</v>
      </c>
      <c r="AC403" s="11">
        <v>0</v>
      </c>
      <c r="AD403" s="11">
        <v>5</v>
      </c>
      <c r="AE403" s="11">
        <v>0</v>
      </c>
      <c r="AF403" s="11">
        <v>0</v>
      </c>
      <c r="AG403" s="11">
        <v>0</v>
      </c>
      <c r="AH403" s="11">
        <v>0</v>
      </c>
      <c r="AI403" s="45">
        <v>0</v>
      </c>
      <c r="AJ403" s="45">
        <v>0</v>
      </c>
      <c r="AK403" s="45">
        <f t="shared" si="185"/>
        <v>0.3611</v>
      </c>
      <c r="AL403" s="45">
        <f t="shared" si="186"/>
        <v>0.00348095238095238</v>
      </c>
      <c r="AM403" s="45">
        <f t="shared" si="187"/>
        <v>0.0012569719047619</v>
      </c>
      <c r="AN403" s="45">
        <f t="shared" si="188"/>
        <v>0.792187500000003</v>
      </c>
      <c r="AO403" s="45">
        <f t="shared" si="189"/>
        <v>0.792187500000004</v>
      </c>
      <c r="AP403" s="45">
        <f t="shared" si="190"/>
        <v>1.05625</v>
      </c>
      <c r="AQ403" s="45">
        <f t="shared" si="191"/>
        <v>0</v>
      </c>
      <c r="AR403" s="45">
        <f t="shared" si="192"/>
        <v>0</v>
      </c>
      <c r="AS403" s="19">
        <f t="shared" si="193"/>
        <v>1.07916666666667</v>
      </c>
      <c r="AT403" s="19">
        <f t="shared" si="194"/>
        <v>1.03333333333334</v>
      </c>
      <c r="AU403" s="46">
        <v>0</v>
      </c>
      <c r="AV403" s="46">
        <v>0</v>
      </c>
      <c r="AW403" s="46">
        <v>0</v>
      </c>
      <c r="AX403" s="46">
        <v>1</v>
      </c>
      <c r="AY403" s="47">
        <v>0</v>
      </c>
      <c r="AZ403" s="47">
        <v>-1</v>
      </c>
    </row>
    <row r="404" hidden="1" customHeight="1" spans="1:52">
      <c r="A404" s="44">
        <v>45729</v>
      </c>
      <c r="B404" s="33">
        <f t="shared" si="177"/>
        <v>287</v>
      </c>
      <c r="C404" s="33">
        <f t="shared" si="178"/>
        <v>2022</v>
      </c>
      <c r="D404" s="11">
        <f t="shared" si="179"/>
        <v>2309</v>
      </c>
      <c r="E404" s="34">
        <f t="shared" si="201"/>
        <v>-6.19468647174875e-7</v>
      </c>
      <c r="F404" s="35">
        <f t="shared" si="180"/>
        <v>0.000369599357008551</v>
      </c>
      <c r="G404" s="18">
        <f>(SUM($I$8:$I404)*(MAX(M$3-M$4,0))+(N404*MAX(M$4,0)))*(1-$AM$4)+(AM404*$AM$4)</f>
        <v>0.146730944732395</v>
      </c>
      <c r="H404" s="18">
        <f t="shared" si="195"/>
        <v>1.125</v>
      </c>
      <c r="I404" s="18">
        <f t="shared" si="181"/>
        <v>0.000662878787878788</v>
      </c>
      <c r="J404" s="18">
        <f t="shared" si="196"/>
        <v>0.252805960193849</v>
      </c>
      <c r="K404" s="18">
        <f t="shared" si="197"/>
        <v>0.00260346355333154</v>
      </c>
      <c r="L404" s="18">
        <f t="shared" si="198"/>
        <v>0.000589225589225589</v>
      </c>
      <c r="M404" s="18">
        <v>0</v>
      </c>
      <c r="N404" s="18">
        <f t="shared" si="202"/>
        <v>0.1187</v>
      </c>
      <c r="O404" s="11">
        <v>0</v>
      </c>
      <c r="P404" s="11">
        <v>0</v>
      </c>
      <c r="Q404" s="11">
        <f t="shared" si="182"/>
        <v>1</v>
      </c>
      <c r="R404" s="11">
        <v>0</v>
      </c>
      <c r="S404" s="11">
        <f t="shared" si="199"/>
        <v>0</v>
      </c>
      <c r="T404" s="11">
        <v>0</v>
      </c>
      <c r="U404" s="11">
        <f t="shared" si="183"/>
        <v>1</v>
      </c>
      <c r="V404" s="11">
        <v>0</v>
      </c>
      <c r="W404" s="11">
        <f t="shared" si="184"/>
        <v>1</v>
      </c>
      <c r="X404" s="11">
        <f t="shared" si="200"/>
        <v>0</v>
      </c>
      <c r="Y404" s="19">
        <v>0</v>
      </c>
      <c r="Z404" s="11">
        <v>0</v>
      </c>
      <c r="AA404" s="11">
        <v>0</v>
      </c>
      <c r="AB404" s="11">
        <v>0</v>
      </c>
      <c r="AC404" s="11">
        <v>0</v>
      </c>
      <c r="AD404" s="11">
        <v>7</v>
      </c>
      <c r="AE404" s="11">
        <v>0</v>
      </c>
      <c r="AF404" s="11">
        <v>0</v>
      </c>
      <c r="AG404" s="11">
        <v>0</v>
      </c>
      <c r="AH404" s="11">
        <v>0</v>
      </c>
      <c r="AI404" s="45">
        <v>0</v>
      </c>
      <c r="AJ404" s="45">
        <v>0</v>
      </c>
      <c r="AK404" s="45">
        <f t="shared" si="185"/>
        <v>0.3611</v>
      </c>
      <c r="AL404" s="45">
        <f t="shared" si="186"/>
        <v>0.00348095238095238</v>
      </c>
      <c r="AM404" s="45">
        <f t="shared" si="187"/>
        <v>0.0012569719047619</v>
      </c>
      <c r="AN404" s="45">
        <f t="shared" si="188"/>
        <v>0.792187500000003</v>
      </c>
      <c r="AO404" s="45">
        <f t="shared" si="189"/>
        <v>0.792187500000004</v>
      </c>
      <c r="AP404" s="45">
        <f t="shared" si="190"/>
        <v>1.05625</v>
      </c>
      <c r="AQ404" s="45">
        <f t="shared" si="191"/>
        <v>0</v>
      </c>
      <c r="AR404" s="45">
        <f t="shared" si="192"/>
        <v>0</v>
      </c>
      <c r="AS404" s="19">
        <f t="shared" si="193"/>
        <v>1.07916666666667</v>
      </c>
      <c r="AT404" s="19">
        <f t="shared" si="194"/>
        <v>1.03333333333334</v>
      </c>
      <c r="AU404" s="46">
        <v>0</v>
      </c>
      <c r="AV404" s="46">
        <v>0</v>
      </c>
      <c r="AW404" s="46">
        <v>0</v>
      </c>
      <c r="AX404" s="46">
        <v>1</v>
      </c>
      <c r="AY404" s="47">
        <v>0</v>
      </c>
      <c r="AZ404" s="47">
        <v>-1</v>
      </c>
    </row>
    <row r="405" hidden="1" customHeight="1" spans="1:52">
      <c r="A405" s="44">
        <v>45730</v>
      </c>
      <c r="B405" s="33">
        <f t="shared" si="177"/>
        <v>286</v>
      </c>
      <c r="C405" s="33">
        <f t="shared" si="178"/>
        <v>2025</v>
      </c>
      <c r="D405" s="11">
        <f t="shared" si="179"/>
        <v>2311</v>
      </c>
      <c r="E405" s="34">
        <f t="shared" si="201"/>
        <v>-5.27131207650542e-7</v>
      </c>
      <c r="F405" s="35">
        <f t="shared" si="180"/>
        <v>0.0003690722258009</v>
      </c>
      <c r="G405" s="18">
        <f>(SUM($I$8:$I405)*(MAX(M$3-M$4,0))+(N405*MAX(M$4,0)))*(1-$AM$4)+(AM405*$AM$4)</f>
        <v>0.146890745868758</v>
      </c>
      <c r="H405" s="18">
        <f t="shared" si="195"/>
        <v>1.125</v>
      </c>
      <c r="I405" s="18">
        <f t="shared" si="181"/>
        <v>0.000852272727272728</v>
      </c>
      <c r="J405" s="18">
        <f t="shared" si="196"/>
        <v>0.252445402447816</v>
      </c>
      <c r="K405" s="18">
        <f t="shared" si="197"/>
        <v>0.00261382726416848</v>
      </c>
      <c r="L405" s="18">
        <f t="shared" si="198"/>
        <v>0.000757575757575758</v>
      </c>
      <c r="M405" s="18">
        <v>0</v>
      </c>
      <c r="N405" s="18">
        <f t="shared" si="202"/>
        <v>0.1187</v>
      </c>
      <c r="O405" s="11">
        <v>0</v>
      </c>
      <c r="P405" s="11">
        <v>0</v>
      </c>
      <c r="Q405" s="11">
        <f t="shared" si="182"/>
        <v>1</v>
      </c>
      <c r="R405" s="11">
        <v>0</v>
      </c>
      <c r="S405" s="11">
        <f t="shared" si="199"/>
        <v>0</v>
      </c>
      <c r="T405" s="11">
        <v>0</v>
      </c>
      <c r="U405" s="11">
        <f t="shared" si="183"/>
        <v>1</v>
      </c>
      <c r="V405" s="11">
        <v>0</v>
      </c>
      <c r="W405" s="11">
        <f t="shared" si="184"/>
        <v>1</v>
      </c>
      <c r="X405" s="11">
        <f t="shared" si="200"/>
        <v>0</v>
      </c>
      <c r="Y405" s="19">
        <v>0</v>
      </c>
      <c r="Z405" s="11">
        <v>0</v>
      </c>
      <c r="AA405" s="11">
        <v>0</v>
      </c>
      <c r="AB405" s="11">
        <v>0</v>
      </c>
      <c r="AC405" s="11">
        <v>0</v>
      </c>
      <c r="AD405" s="11">
        <v>9</v>
      </c>
      <c r="AE405" s="11">
        <v>0</v>
      </c>
      <c r="AF405" s="11">
        <v>0</v>
      </c>
      <c r="AG405" s="11">
        <v>0</v>
      </c>
      <c r="AH405" s="11">
        <v>0</v>
      </c>
      <c r="AI405" s="45">
        <v>0</v>
      </c>
      <c r="AJ405" s="45">
        <v>0</v>
      </c>
      <c r="AK405" s="45">
        <f t="shared" si="185"/>
        <v>0.3611</v>
      </c>
      <c r="AL405" s="45">
        <f t="shared" si="186"/>
        <v>0.00348095238095238</v>
      </c>
      <c r="AM405" s="45">
        <f t="shared" si="187"/>
        <v>0.0012569719047619</v>
      </c>
      <c r="AN405" s="45">
        <f t="shared" si="188"/>
        <v>0.792187500000003</v>
      </c>
      <c r="AO405" s="45">
        <f t="shared" si="189"/>
        <v>0.792187500000004</v>
      </c>
      <c r="AP405" s="45">
        <f t="shared" si="190"/>
        <v>1.05625</v>
      </c>
      <c r="AQ405" s="45">
        <f t="shared" si="191"/>
        <v>0</v>
      </c>
      <c r="AR405" s="45">
        <f t="shared" si="192"/>
        <v>0</v>
      </c>
      <c r="AS405" s="19">
        <f t="shared" si="193"/>
        <v>1.07916666666667</v>
      </c>
      <c r="AT405" s="19">
        <f t="shared" si="194"/>
        <v>1.03333333333334</v>
      </c>
      <c r="AU405" s="46">
        <v>0</v>
      </c>
      <c r="AV405" s="46">
        <v>0</v>
      </c>
      <c r="AW405" s="46">
        <v>0</v>
      </c>
      <c r="AX405" s="46">
        <v>1</v>
      </c>
      <c r="AY405" s="47">
        <v>0</v>
      </c>
      <c r="AZ405" s="47">
        <v>-1</v>
      </c>
    </row>
    <row r="406" hidden="1" customHeight="1" spans="1:52">
      <c r="A406" s="44">
        <v>45731</v>
      </c>
      <c r="B406" s="33">
        <f t="shared" si="177"/>
        <v>285</v>
      </c>
      <c r="C406" s="33">
        <f t="shared" si="178"/>
        <v>2029</v>
      </c>
      <c r="D406" s="11">
        <f t="shared" si="179"/>
        <v>2314</v>
      </c>
      <c r="E406" s="34">
        <f t="shared" si="201"/>
        <v>-4.35488034588672e-7</v>
      </c>
      <c r="F406" s="35">
        <f t="shared" si="180"/>
        <v>0.000368636737766312</v>
      </c>
      <c r="G406" s="18">
        <f>(SUM($I$8:$I406)*(MAX(M$3-M$4,0))+(N406*MAX(M$4,0)))*(1-$AM$4)+(AM406*$AM$4)</f>
        <v>0.147086058368758</v>
      </c>
      <c r="H406" s="18">
        <f t="shared" si="195"/>
        <v>1.125</v>
      </c>
      <c r="I406" s="18">
        <f t="shared" si="181"/>
        <v>0.00104166666666667</v>
      </c>
      <c r="J406" s="18">
        <f t="shared" si="196"/>
        <v>0.252147528632157</v>
      </c>
      <c r="K406" s="18">
        <f t="shared" si="197"/>
        <v>0.00262404375918541</v>
      </c>
      <c r="L406" s="18">
        <f t="shared" si="198"/>
        <v>0.000925925925925926</v>
      </c>
      <c r="M406" s="18">
        <v>0</v>
      </c>
      <c r="N406" s="18">
        <f t="shared" si="202"/>
        <v>0.1187</v>
      </c>
      <c r="O406" s="11">
        <v>0</v>
      </c>
      <c r="P406" s="11">
        <v>0</v>
      </c>
      <c r="Q406" s="11">
        <f t="shared" si="182"/>
        <v>1</v>
      </c>
      <c r="R406" s="11">
        <v>0</v>
      </c>
      <c r="S406" s="11">
        <f t="shared" si="199"/>
        <v>0</v>
      </c>
      <c r="T406" s="11">
        <v>0</v>
      </c>
      <c r="U406" s="11">
        <f t="shared" si="183"/>
        <v>1</v>
      </c>
      <c r="V406" s="11">
        <v>0</v>
      </c>
      <c r="W406" s="11">
        <f t="shared" si="184"/>
        <v>1</v>
      </c>
      <c r="X406" s="11">
        <f t="shared" si="200"/>
        <v>0</v>
      </c>
      <c r="Y406" s="19">
        <v>0</v>
      </c>
      <c r="Z406" s="11">
        <v>0</v>
      </c>
      <c r="AA406" s="11">
        <v>0</v>
      </c>
      <c r="AB406" s="11">
        <v>0</v>
      </c>
      <c r="AC406" s="11">
        <v>0</v>
      </c>
      <c r="AD406" s="11">
        <v>11</v>
      </c>
      <c r="AE406" s="11">
        <v>0</v>
      </c>
      <c r="AF406" s="11">
        <v>0</v>
      </c>
      <c r="AG406" s="11">
        <v>0</v>
      </c>
      <c r="AH406" s="11">
        <v>0</v>
      </c>
      <c r="AI406" s="45">
        <v>0</v>
      </c>
      <c r="AJ406" s="45">
        <v>0</v>
      </c>
      <c r="AK406" s="45">
        <f t="shared" si="185"/>
        <v>0.3611</v>
      </c>
      <c r="AL406" s="45">
        <f t="shared" si="186"/>
        <v>0.00348095238095238</v>
      </c>
      <c r="AM406" s="45">
        <f t="shared" si="187"/>
        <v>0.0012569719047619</v>
      </c>
      <c r="AN406" s="45">
        <f t="shared" si="188"/>
        <v>0.792187500000003</v>
      </c>
      <c r="AO406" s="45">
        <f t="shared" si="189"/>
        <v>0.792187500000004</v>
      </c>
      <c r="AP406" s="45">
        <f t="shared" si="190"/>
        <v>1.05625</v>
      </c>
      <c r="AQ406" s="45">
        <f t="shared" si="191"/>
        <v>0</v>
      </c>
      <c r="AR406" s="45">
        <f t="shared" si="192"/>
        <v>0</v>
      </c>
      <c r="AS406" s="19">
        <f t="shared" si="193"/>
        <v>1.07916666666667</v>
      </c>
      <c r="AT406" s="19">
        <f t="shared" si="194"/>
        <v>1.03333333333334</v>
      </c>
      <c r="AU406" s="46">
        <v>0</v>
      </c>
      <c r="AV406" s="46">
        <v>0</v>
      </c>
      <c r="AW406" s="46">
        <v>0</v>
      </c>
      <c r="AX406" s="46">
        <v>1</v>
      </c>
      <c r="AY406" s="47">
        <v>0</v>
      </c>
      <c r="AZ406" s="47">
        <v>-1</v>
      </c>
    </row>
    <row r="407" hidden="1" customHeight="1" spans="1:52">
      <c r="A407" s="44">
        <v>45732</v>
      </c>
      <c r="B407" s="33">
        <f t="shared" si="177"/>
        <v>284</v>
      </c>
      <c r="C407" s="33">
        <f t="shared" si="178"/>
        <v>2033</v>
      </c>
      <c r="D407" s="11">
        <f t="shared" si="179"/>
        <v>2317</v>
      </c>
      <c r="E407" s="34">
        <f t="shared" si="201"/>
        <v>-6.10867412597651e-7</v>
      </c>
      <c r="F407" s="35">
        <f t="shared" si="180"/>
        <v>0.000368025870353714</v>
      </c>
      <c r="G407" s="18">
        <f>(SUM($I$8:$I407)*(MAX(M$3-M$4,0))+(N407*MAX(M$4,0)))*(1-$AM$4)+(AM407*$AM$4)</f>
        <v>0.147210348141486</v>
      </c>
      <c r="H407" s="18">
        <f t="shared" si="195"/>
        <v>1.125</v>
      </c>
      <c r="I407" s="18">
        <f t="shared" si="181"/>
        <v>0.000662878787878788</v>
      </c>
      <c r="J407" s="18">
        <f t="shared" si="196"/>
        <v>0.25172969532194</v>
      </c>
      <c r="K407" s="18">
        <f t="shared" si="197"/>
        <v>0.00263475459393683</v>
      </c>
      <c r="L407" s="18">
        <f t="shared" si="198"/>
        <v>0.000589225589225589</v>
      </c>
      <c r="M407" s="18">
        <v>0</v>
      </c>
      <c r="N407" s="18">
        <f t="shared" si="202"/>
        <v>0.1187</v>
      </c>
      <c r="O407" s="11">
        <v>0</v>
      </c>
      <c r="P407" s="11">
        <v>0</v>
      </c>
      <c r="Q407" s="11">
        <f t="shared" si="182"/>
        <v>1</v>
      </c>
      <c r="R407" s="11">
        <v>0</v>
      </c>
      <c r="S407" s="11">
        <f t="shared" si="199"/>
        <v>0</v>
      </c>
      <c r="T407" s="11">
        <v>0</v>
      </c>
      <c r="U407" s="11">
        <f t="shared" si="183"/>
        <v>1</v>
      </c>
      <c r="V407" s="11">
        <v>0</v>
      </c>
      <c r="W407" s="11">
        <f t="shared" si="184"/>
        <v>1</v>
      </c>
      <c r="X407" s="11">
        <f t="shared" si="200"/>
        <v>0</v>
      </c>
      <c r="Y407" s="19">
        <v>0</v>
      </c>
      <c r="Z407" s="11">
        <v>0</v>
      </c>
      <c r="AA407" s="11">
        <v>0</v>
      </c>
      <c r="AB407" s="11">
        <v>0</v>
      </c>
      <c r="AC407" s="11">
        <v>0</v>
      </c>
      <c r="AD407" s="11">
        <v>7</v>
      </c>
      <c r="AE407" s="11">
        <v>0</v>
      </c>
      <c r="AF407" s="11">
        <v>0</v>
      </c>
      <c r="AG407" s="11">
        <v>0</v>
      </c>
      <c r="AH407" s="11">
        <v>0</v>
      </c>
      <c r="AI407" s="45">
        <v>0</v>
      </c>
      <c r="AJ407" s="45">
        <v>0</v>
      </c>
      <c r="AK407" s="45">
        <f t="shared" si="185"/>
        <v>0.3611</v>
      </c>
      <c r="AL407" s="45">
        <f t="shared" si="186"/>
        <v>0.00348095238095238</v>
      </c>
      <c r="AM407" s="45">
        <f t="shared" si="187"/>
        <v>0.0012569719047619</v>
      </c>
      <c r="AN407" s="45">
        <f t="shared" si="188"/>
        <v>0.792187500000003</v>
      </c>
      <c r="AO407" s="45">
        <f t="shared" si="189"/>
        <v>0.792187500000004</v>
      </c>
      <c r="AP407" s="45">
        <f t="shared" si="190"/>
        <v>1.05625</v>
      </c>
      <c r="AQ407" s="45">
        <f t="shared" si="191"/>
        <v>0</v>
      </c>
      <c r="AR407" s="45">
        <f t="shared" si="192"/>
        <v>0</v>
      </c>
      <c r="AS407" s="19">
        <f t="shared" si="193"/>
        <v>1.07916666666667</v>
      </c>
      <c r="AT407" s="19">
        <f t="shared" si="194"/>
        <v>1.03333333333334</v>
      </c>
      <c r="AU407" s="46">
        <v>0</v>
      </c>
      <c r="AV407" s="46">
        <v>0</v>
      </c>
      <c r="AW407" s="46">
        <v>0</v>
      </c>
      <c r="AX407" s="46">
        <v>1</v>
      </c>
      <c r="AY407" s="47">
        <v>0</v>
      </c>
      <c r="AZ407" s="47">
        <v>-1</v>
      </c>
    </row>
    <row r="408" hidden="1" customHeight="1" spans="1:52">
      <c r="A408" s="44">
        <v>45733</v>
      </c>
      <c r="B408" s="33">
        <f t="shared" si="177"/>
        <v>283</v>
      </c>
      <c r="C408" s="33">
        <f t="shared" si="178"/>
        <v>2038</v>
      </c>
      <c r="D408" s="11">
        <f t="shared" si="179"/>
        <v>2321</v>
      </c>
      <c r="E408" s="34">
        <f t="shared" si="201"/>
        <v>-6.07820692335287e-7</v>
      </c>
      <c r="F408" s="35">
        <f t="shared" si="180"/>
        <v>0.000367418049661379</v>
      </c>
      <c r="G408" s="18">
        <f>(SUM($I$8:$I408)*(MAX(M$3-M$4,0))+(N408*MAX(M$4,0)))*(1-$AM$4)+(AM408*$AM$4)</f>
        <v>0.147334637914213</v>
      </c>
      <c r="H408" s="18">
        <f t="shared" si="195"/>
        <v>1.125</v>
      </c>
      <c r="I408" s="18">
        <f t="shared" si="181"/>
        <v>0.000662878787878788</v>
      </c>
      <c r="J408" s="18">
        <f t="shared" si="196"/>
        <v>0.251313945968383</v>
      </c>
      <c r="K408" s="18">
        <f t="shared" si="197"/>
        <v>0.00264553375982904</v>
      </c>
      <c r="L408" s="18">
        <f t="shared" si="198"/>
        <v>0.000589225589225589</v>
      </c>
      <c r="M408" s="18">
        <v>0</v>
      </c>
      <c r="N408" s="18">
        <f t="shared" si="202"/>
        <v>0.1187</v>
      </c>
      <c r="O408" s="11">
        <v>0</v>
      </c>
      <c r="P408" s="11">
        <v>0</v>
      </c>
      <c r="Q408" s="11">
        <f t="shared" si="182"/>
        <v>1</v>
      </c>
      <c r="R408" s="11">
        <v>0</v>
      </c>
      <c r="S408" s="11">
        <f t="shared" si="199"/>
        <v>0</v>
      </c>
      <c r="T408" s="11">
        <v>0</v>
      </c>
      <c r="U408" s="11">
        <f t="shared" si="183"/>
        <v>1</v>
      </c>
      <c r="V408" s="11">
        <v>0</v>
      </c>
      <c r="W408" s="11">
        <f t="shared" si="184"/>
        <v>1</v>
      </c>
      <c r="X408" s="11">
        <f t="shared" si="200"/>
        <v>0</v>
      </c>
      <c r="Y408" s="19">
        <v>0</v>
      </c>
      <c r="Z408" s="11">
        <v>0</v>
      </c>
      <c r="AA408" s="11">
        <v>0</v>
      </c>
      <c r="AB408" s="11">
        <v>0</v>
      </c>
      <c r="AC408" s="11">
        <v>0</v>
      </c>
      <c r="AD408" s="11">
        <v>7</v>
      </c>
      <c r="AE408" s="11">
        <v>0</v>
      </c>
      <c r="AF408" s="11">
        <v>0</v>
      </c>
      <c r="AG408" s="11">
        <v>0</v>
      </c>
      <c r="AH408" s="11">
        <v>0</v>
      </c>
      <c r="AI408" s="45">
        <v>0</v>
      </c>
      <c r="AJ408" s="45">
        <v>0</v>
      </c>
      <c r="AK408" s="45">
        <f t="shared" si="185"/>
        <v>0.3611</v>
      </c>
      <c r="AL408" s="45">
        <f t="shared" si="186"/>
        <v>0.00348095238095238</v>
      </c>
      <c r="AM408" s="45">
        <f t="shared" si="187"/>
        <v>0.0012569719047619</v>
      </c>
      <c r="AN408" s="45">
        <f t="shared" si="188"/>
        <v>0.792187500000003</v>
      </c>
      <c r="AO408" s="45">
        <f t="shared" si="189"/>
        <v>0.792187500000004</v>
      </c>
      <c r="AP408" s="45">
        <f t="shared" si="190"/>
        <v>1.05625</v>
      </c>
      <c r="AQ408" s="45">
        <f t="shared" si="191"/>
        <v>0</v>
      </c>
      <c r="AR408" s="45">
        <f t="shared" si="192"/>
        <v>0</v>
      </c>
      <c r="AS408" s="19">
        <f t="shared" si="193"/>
        <v>1.07916666666667</v>
      </c>
      <c r="AT408" s="19">
        <f t="shared" si="194"/>
        <v>1.03333333333334</v>
      </c>
      <c r="AU408" s="46">
        <v>0</v>
      </c>
      <c r="AV408" s="46">
        <v>0</v>
      </c>
      <c r="AW408" s="46">
        <v>0</v>
      </c>
      <c r="AX408" s="46">
        <v>1</v>
      </c>
      <c r="AY408" s="47">
        <v>0</v>
      </c>
      <c r="AZ408" s="47">
        <v>-1</v>
      </c>
    </row>
    <row r="409" hidden="1" customHeight="1" spans="1:52">
      <c r="A409" s="44">
        <v>45734</v>
      </c>
      <c r="B409" s="33">
        <f t="shared" si="177"/>
        <v>282</v>
      </c>
      <c r="C409" s="33">
        <f t="shared" si="178"/>
        <v>2039</v>
      </c>
      <c r="D409" s="11">
        <f t="shared" si="179"/>
        <v>2321</v>
      </c>
      <c r="E409" s="34">
        <f t="shared" si="201"/>
        <v>-1.27778391287889e-7</v>
      </c>
      <c r="F409" s="35">
        <f t="shared" si="180"/>
        <v>0.000367290271270091</v>
      </c>
      <c r="G409" s="18">
        <f>(SUM($I$8:$I409)*(MAX(M$3-M$4,0))+(N409*MAX(M$4,0)))*(1-$AM$4)+(AM409*$AM$4)</f>
        <v>0.147650689050576</v>
      </c>
      <c r="H409" s="18">
        <f t="shared" si="195"/>
        <v>1.125</v>
      </c>
      <c r="I409" s="18">
        <f t="shared" si="181"/>
        <v>0.00168560606060606</v>
      </c>
      <c r="J409" s="18">
        <f t="shared" si="196"/>
        <v>0.251226545548742</v>
      </c>
      <c r="K409" s="18">
        <f t="shared" si="197"/>
        <v>0.0026552250157846</v>
      </c>
      <c r="L409" s="18">
        <f t="shared" si="198"/>
        <v>0.0014983164983165</v>
      </c>
      <c r="M409" s="18">
        <v>0</v>
      </c>
      <c r="N409" s="18">
        <f t="shared" si="202"/>
        <v>0.1187</v>
      </c>
      <c r="O409" s="11">
        <v>0</v>
      </c>
      <c r="P409" s="11">
        <v>0</v>
      </c>
      <c r="Q409" s="11">
        <f t="shared" si="182"/>
        <v>1</v>
      </c>
      <c r="R409" s="11">
        <v>0</v>
      </c>
      <c r="S409" s="11">
        <f t="shared" si="199"/>
        <v>0</v>
      </c>
      <c r="T409" s="11">
        <v>0</v>
      </c>
      <c r="U409" s="11">
        <f t="shared" si="183"/>
        <v>1</v>
      </c>
      <c r="V409" s="11">
        <v>0</v>
      </c>
      <c r="W409" s="11">
        <f t="shared" si="184"/>
        <v>1</v>
      </c>
      <c r="X409" s="11">
        <f t="shared" si="200"/>
        <v>0</v>
      </c>
      <c r="Y409" s="19">
        <v>0</v>
      </c>
      <c r="Z409" s="11">
        <v>0</v>
      </c>
      <c r="AA409" s="11">
        <v>0</v>
      </c>
      <c r="AB409" s="11">
        <v>6</v>
      </c>
      <c r="AC409" s="11">
        <v>0</v>
      </c>
      <c r="AD409" s="11">
        <v>7</v>
      </c>
      <c r="AE409" s="11">
        <v>0</v>
      </c>
      <c r="AF409" s="11">
        <v>0</v>
      </c>
      <c r="AG409" s="11">
        <v>0</v>
      </c>
      <c r="AH409" s="11">
        <v>0</v>
      </c>
      <c r="AI409" s="45">
        <v>0</v>
      </c>
      <c r="AJ409" s="45">
        <v>0</v>
      </c>
      <c r="AK409" s="45">
        <f t="shared" si="185"/>
        <v>0.3611</v>
      </c>
      <c r="AL409" s="45">
        <f t="shared" si="186"/>
        <v>0.00348095238095238</v>
      </c>
      <c r="AM409" s="45">
        <f t="shared" si="187"/>
        <v>0.0012569719047619</v>
      </c>
      <c r="AN409" s="45">
        <f t="shared" si="188"/>
        <v>0.792187500000003</v>
      </c>
      <c r="AO409" s="45">
        <f t="shared" si="189"/>
        <v>0.792187500000004</v>
      </c>
      <c r="AP409" s="45">
        <f t="shared" si="190"/>
        <v>1.05625</v>
      </c>
      <c r="AQ409" s="45">
        <f t="shared" si="191"/>
        <v>0</v>
      </c>
      <c r="AR409" s="45">
        <f t="shared" si="192"/>
        <v>0</v>
      </c>
      <c r="AS409" s="19">
        <f t="shared" si="193"/>
        <v>1.07916666666667</v>
      </c>
      <c r="AT409" s="19">
        <f t="shared" si="194"/>
        <v>1.03333333333334</v>
      </c>
      <c r="AU409" s="46">
        <v>0</v>
      </c>
      <c r="AV409" s="46">
        <v>0</v>
      </c>
      <c r="AW409" s="46">
        <v>0</v>
      </c>
      <c r="AX409" s="46">
        <v>1</v>
      </c>
      <c r="AY409" s="47">
        <v>0</v>
      </c>
      <c r="AZ409" s="47">
        <v>-1</v>
      </c>
    </row>
    <row r="410" hidden="1" customHeight="1" spans="1:52">
      <c r="A410" s="44">
        <v>45735</v>
      </c>
      <c r="B410" s="33">
        <f t="shared" ref="B410:B473" si="203">B$2-A410+1</f>
        <v>281</v>
      </c>
      <c r="C410" s="33">
        <f t="shared" ref="C410:C473" si="204">D410-B410</f>
        <v>2041</v>
      </c>
      <c r="D410" s="11">
        <f t="shared" ref="D410:D473" si="205">IF(F410&gt;0,ROUND(((1-G410)/F410),0),FACT(128))</f>
        <v>2322</v>
      </c>
      <c r="E410" s="34">
        <f t="shared" si="201"/>
        <v>-2.85755805091677e-7</v>
      </c>
      <c r="F410" s="35">
        <f t="shared" ref="F410:F473" si="206">G410/(ROW()-7)</f>
        <v>0.000367004515464999</v>
      </c>
      <c r="G410" s="18">
        <f>(SUM($I$8:$I410)*(MAX(M$3-M$4,0))+(N410*MAX(M$4,0)))*(1-$AM$4)+(AM410*$AM$4)</f>
        <v>0.147902819732395</v>
      </c>
      <c r="H410" s="18">
        <f t="shared" si="195"/>
        <v>1.125</v>
      </c>
      <c r="I410" s="18">
        <f t="shared" ref="I410:I473" si="207">L410*H410</f>
        <v>0.00134469696969697</v>
      </c>
      <c r="J410" s="18">
        <f t="shared" si="196"/>
        <v>0.251031088578059</v>
      </c>
      <c r="K410" s="18">
        <f t="shared" si="197"/>
        <v>0.00266536979153716</v>
      </c>
      <c r="L410" s="18">
        <f t="shared" si="198"/>
        <v>0.0011952861952862</v>
      </c>
      <c r="M410" s="18">
        <v>0</v>
      </c>
      <c r="N410" s="18">
        <f t="shared" si="202"/>
        <v>0.1187</v>
      </c>
      <c r="O410" s="11">
        <v>0</v>
      </c>
      <c r="P410" s="11">
        <v>0</v>
      </c>
      <c r="Q410" s="11">
        <f t="shared" ref="Q410:Q473" si="208">($P$2-$P$4)+((P410/(MAX(1/FACT(128),O410)))*$P$4)</f>
        <v>1</v>
      </c>
      <c r="R410" s="11">
        <v>0</v>
      </c>
      <c r="S410" s="11">
        <f t="shared" si="199"/>
        <v>0</v>
      </c>
      <c r="T410" s="11">
        <v>0</v>
      </c>
      <c r="U410" s="11">
        <f t="shared" ref="U410:U473" si="209">MAX(1,T410)/(MAX(1,O410))</f>
        <v>1</v>
      </c>
      <c r="V410" s="11">
        <v>0</v>
      </c>
      <c r="W410" s="11">
        <f t="shared" ref="W410:W473" si="210">($V$4*V410/(MAX(1,O410)))+1</f>
        <v>1</v>
      </c>
      <c r="X410" s="11">
        <f t="shared" si="200"/>
        <v>0</v>
      </c>
      <c r="Y410" s="19">
        <v>0</v>
      </c>
      <c r="Z410" s="11">
        <v>0</v>
      </c>
      <c r="AA410" s="11">
        <v>3</v>
      </c>
      <c r="AB410" s="11">
        <v>0</v>
      </c>
      <c r="AC410" s="11">
        <v>0</v>
      </c>
      <c r="AD410" s="11">
        <v>7</v>
      </c>
      <c r="AE410" s="11">
        <v>0</v>
      </c>
      <c r="AF410" s="11">
        <v>0</v>
      </c>
      <c r="AG410" s="11">
        <v>0</v>
      </c>
      <c r="AH410" s="11">
        <v>0</v>
      </c>
      <c r="AI410" s="45">
        <v>0</v>
      </c>
      <c r="AJ410" s="45">
        <v>0</v>
      </c>
      <c r="AK410" s="45">
        <f t="shared" ref="AK410:AK473" si="211">IF(AI410&gt;0,AI410,AK409)</f>
        <v>0.3611</v>
      </c>
      <c r="AL410" s="45">
        <f t="shared" ref="AL410:AL473" si="212">IF(AJ410&gt;0,AJ410,AL409)</f>
        <v>0.00348095238095238</v>
      </c>
      <c r="AM410" s="45">
        <f t="shared" ref="AM410:AM473" si="213">AL410*AK410</f>
        <v>0.0012569719047619</v>
      </c>
      <c r="AN410" s="45">
        <f t="shared" ref="AN410:AN473" si="214">IFERROR(AVERAGEIF(AO403:AO409,"&gt;0",AO403:AO409),0)</f>
        <v>0.792187500000004</v>
      </c>
      <c r="AO410" s="45">
        <f t="shared" ref="AO410:AO473" si="215">AP410*0.75+AQ410*0.125+AR410*0.125</f>
        <v>0.792187500000004</v>
      </c>
      <c r="AP410" s="45">
        <f t="shared" ref="AP410:AP473" si="216">AVERAGE(AS410:AT410)</f>
        <v>1.05625000000001</v>
      </c>
      <c r="AQ410" s="45">
        <f t="shared" ref="AQ410:AQ473" si="217">AY410/AQ$5</f>
        <v>0</v>
      </c>
      <c r="AR410" s="45">
        <f t="shared" ref="AR410:AR473" si="218">IF(AZ410&gt;=0,1/(AZ410+1),0)</f>
        <v>0</v>
      </c>
      <c r="AS410" s="19">
        <f t="shared" ref="AS410:AS473" si="219">IF((("24:00"-AX410+AU410)/$AS$5)&gt;0,(("24:00"-AX410+AU410)/$AS$5),AS409)</f>
        <v>1.07916666666667</v>
      </c>
      <c r="AT410" s="19">
        <f t="shared" ref="AT410:AT473" si="220">IF(((AW410-AV410)/$AT$5)&gt;0,((AW410-AV410)/$AT$5),AT409)</f>
        <v>1.03333333333334</v>
      </c>
      <c r="AU410" s="46">
        <v>0</v>
      </c>
      <c r="AV410" s="46">
        <v>0</v>
      </c>
      <c r="AW410" s="46">
        <v>0</v>
      </c>
      <c r="AX410" s="46">
        <v>1</v>
      </c>
      <c r="AY410" s="47">
        <v>0</v>
      </c>
      <c r="AZ410" s="47">
        <v>-1</v>
      </c>
    </row>
    <row r="411" hidden="1" customHeight="1" spans="1:52">
      <c r="A411" s="44">
        <v>45736</v>
      </c>
      <c r="B411" s="33">
        <f t="shared" si="203"/>
        <v>280</v>
      </c>
      <c r="C411" s="33">
        <f t="shared" si="204"/>
        <v>2042</v>
      </c>
      <c r="D411" s="11">
        <f t="shared" si="205"/>
        <v>2322</v>
      </c>
      <c r="E411" s="34">
        <f t="shared" si="201"/>
        <v>-1.78861874463221e-7</v>
      </c>
      <c r="F411" s="35">
        <f t="shared" si="206"/>
        <v>0.000366825653590536</v>
      </c>
      <c r="G411" s="18">
        <f>(SUM($I$8:$I411)*(MAX(M$3-M$4,0))+(N411*MAX(M$4,0)))*(1-$AM$4)+(AM411*$AM$4)</f>
        <v>0.148197564050576</v>
      </c>
      <c r="H411" s="18">
        <f t="shared" si="195"/>
        <v>1.125</v>
      </c>
      <c r="I411" s="18">
        <f t="shared" si="207"/>
        <v>0.0015719696969697</v>
      </c>
      <c r="J411" s="18">
        <f t="shared" si="196"/>
        <v>0.250908747055926</v>
      </c>
      <c r="K411" s="18">
        <f t="shared" si="197"/>
        <v>0.00267532590337169</v>
      </c>
      <c r="L411" s="18">
        <f t="shared" si="198"/>
        <v>0.0013973063973064</v>
      </c>
      <c r="M411" s="18">
        <v>0</v>
      </c>
      <c r="N411" s="18">
        <f t="shared" si="202"/>
        <v>0.1187</v>
      </c>
      <c r="O411" s="11">
        <v>0</v>
      </c>
      <c r="P411" s="11">
        <v>0</v>
      </c>
      <c r="Q411" s="11">
        <f t="shared" si="208"/>
        <v>1</v>
      </c>
      <c r="R411" s="11">
        <v>0</v>
      </c>
      <c r="S411" s="11">
        <f t="shared" si="199"/>
        <v>0</v>
      </c>
      <c r="T411" s="11">
        <v>0</v>
      </c>
      <c r="U411" s="11">
        <f t="shared" si="209"/>
        <v>1</v>
      </c>
      <c r="V411" s="11">
        <v>0</v>
      </c>
      <c r="W411" s="11">
        <f t="shared" si="210"/>
        <v>1</v>
      </c>
      <c r="X411" s="11">
        <f t="shared" si="200"/>
        <v>0</v>
      </c>
      <c r="Y411" s="19">
        <v>0</v>
      </c>
      <c r="Z411" s="11">
        <v>0</v>
      </c>
      <c r="AA411" s="11">
        <v>4</v>
      </c>
      <c r="AB411" s="11">
        <v>0</v>
      </c>
      <c r="AC411" s="11">
        <v>0</v>
      </c>
      <c r="AD411" s="11">
        <v>7</v>
      </c>
      <c r="AE411" s="11">
        <v>0</v>
      </c>
      <c r="AF411" s="11">
        <v>0</v>
      </c>
      <c r="AG411" s="11">
        <v>0</v>
      </c>
      <c r="AH411" s="11">
        <v>0</v>
      </c>
      <c r="AI411" s="45">
        <v>0</v>
      </c>
      <c r="AJ411" s="45">
        <v>0</v>
      </c>
      <c r="AK411" s="45">
        <f t="shared" si="211"/>
        <v>0.3611</v>
      </c>
      <c r="AL411" s="45">
        <f t="shared" si="212"/>
        <v>0.00348095238095238</v>
      </c>
      <c r="AM411" s="45">
        <f t="shared" si="213"/>
        <v>0.0012569719047619</v>
      </c>
      <c r="AN411" s="45">
        <f t="shared" si="214"/>
        <v>0.792187500000004</v>
      </c>
      <c r="AO411" s="45">
        <f t="shared" si="215"/>
        <v>0.792187500000004</v>
      </c>
      <c r="AP411" s="45">
        <f t="shared" si="216"/>
        <v>1.05625000000001</v>
      </c>
      <c r="AQ411" s="45">
        <f t="shared" si="217"/>
        <v>0</v>
      </c>
      <c r="AR411" s="45">
        <f t="shared" si="218"/>
        <v>0</v>
      </c>
      <c r="AS411" s="19">
        <f t="shared" si="219"/>
        <v>1.07916666666667</v>
      </c>
      <c r="AT411" s="19">
        <f t="shared" si="220"/>
        <v>1.03333333333334</v>
      </c>
      <c r="AU411" s="46">
        <v>0</v>
      </c>
      <c r="AV411" s="46">
        <v>0</v>
      </c>
      <c r="AW411" s="46">
        <v>0</v>
      </c>
      <c r="AX411" s="46">
        <v>1</v>
      </c>
      <c r="AY411" s="47">
        <v>0</v>
      </c>
      <c r="AZ411" s="47">
        <v>-1</v>
      </c>
    </row>
    <row r="412" hidden="1" customHeight="1" spans="1:52">
      <c r="A412" s="44">
        <v>45737</v>
      </c>
      <c r="B412" s="33">
        <f t="shared" si="203"/>
        <v>279</v>
      </c>
      <c r="C412" s="33">
        <f t="shared" si="204"/>
        <v>2043</v>
      </c>
      <c r="D412" s="11">
        <f t="shared" si="205"/>
        <v>2322</v>
      </c>
      <c r="E412" s="34">
        <f t="shared" si="201"/>
        <v>-1.77978605947493e-7</v>
      </c>
      <c r="F412" s="35">
        <f t="shared" si="206"/>
        <v>0.000366647674984588</v>
      </c>
      <c r="G412" s="18">
        <f>(SUM($I$8:$I412)*(MAX(M$3-M$4,0))+(N412*MAX(M$4,0)))*(1-$AM$4)+(AM412*$AM$4)</f>
        <v>0.148492308368758</v>
      </c>
      <c r="H412" s="18">
        <f t="shared" si="195"/>
        <v>1.125</v>
      </c>
      <c r="I412" s="18">
        <f t="shared" si="207"/>
        <v>0.0015719696969697</v>
      </c>
      <c r="J412" s="18">
        <f t="shared" si="196"/>
        <v>0.250787009689458</v>
      </c>
      <c r="K412" s="18">
        <f t="shared" si="197"/>
        <v>0.00268535121975105</v>
      </c>
      <c r="L412" s="18">
        <f t="shared" si="198"/>
        <v>0.0013973063973064</v>
      </c>
      <c r="M412" s="18">
        <v>0</v>
      </c>
      <c r="N412" s="18">
        <f t="shared" si="202"/>
        <v>0.1187</v>
      </c>
      <c r="O412" s="11">
        <v>0</v>
      </c>
      <c r="P412" s="11">
        <v>0</v>
      </c>
      <c r="Q412" s="11">
        <f t="shared" si="208"/>
        <v>1</v>
      </c>
      <c r="R412" s="11">
        <v>0</v>
      </c>
      <c r="S412" s="11">
        <f t="shared" si="199"/>
        <v>0</v>
      </c>
      <c r="T412" s="11">
        <v>0</v>
      </c>
      <c r="U412" s="11">
        <f t="shared" si="209"/>
        <v>1</v>
      </c>
      <c r="V412" s="11">
        <v>0</v>
      </c>
      <c r="W412" s="11">
        <f t="shared" si="210"/>
        <v>1</v>
      </c>
      <c r="X412" s="11">
        <f t="shared" si="200"/>
        <v>0</v>
      </c>
      <c r="Y412" s="19">
        <v>0</v>
      </c>
      <c r="Z412" s="11">
        <v>0</v>
      </c>
      <c r="AA412" s="11">
        <v>4</v>
      </c>
      <c r="AB412" s="11">
        <v>0</v>
      </c>
      <c r="AC412" s="11">
        <v>0</v>
      </c>
      <c r="AD412" s="11">
        <v>7</v>
      </c>
      <c r="AE412" s="11">
        <v>0</v>
      </c>
      <c r="AF412" s="11">
        <v>0</v>
      </c>
      <c r="AG412" s="11">
        <v>0</v>
      </c>
      <c r="AH412" s="11">
        <v>0</v>
      </c>
      <c r="AI412" s="45">
        <v>0</v>
      </c>
      <c r="AJ412" s="45">
        <v>0</v>
      </c>
      <c r="AK412" s="45">
        <f t="shared" si="211"/>
        <v>0.3611</v>
      </c>
      <c r="AL412" s="45">
        <f t="shared" si="212"/>
        <v>0.00348095238095238</v>
      </c>
      <c r="AM412" s="45">
        <f t="shared" si="213"/>
        <v>0.0012569719047619</v>
      </c>
      <c r="AN412" s="45">
        <f t="shared" si="214"/>
        <v>0.792187500000004</v>
      </c>
      <c r="AO412" s="45">
        <f t="shared" si="215"/>
        <v>0.792187500000004</v>
      </c>
      <c r="AP412" s="45">
        <f t="shared" si="216"/>
        <v>1.05625000000001</v>
      </c>
      <c r="AQ412" s="45">
        <f t="shared" si="217"/>
        <v>0</v>
      </c>
      <c r="AR412" s="45">
        <f t="shared" si="218"/>
        <v>0</v>
      </c>
      <c r="AS412" s="19">
        <f t="shared" si="219"/>
        <v>1.07916666666667</v>
      </c>
      <c r="AT412" s="19">
        <f t="shared" si="220"/>
        <v>1.03333333333334</v>
      </c>
      <c r="AU412" s="46">
        <v>0</v>
      </c>
      <c r="AV412" s="46">
        <v>0</v>
      </c>
      <c r="AW412" s="46">
        <v>0</v>
      </c>
      <c r="AX412" s="46">
        <v>1</v>
      </c>
      <c r="AY412" s="47">
        <v>0</v>
      </c>
      <c r="AZ412" s="47">
        <v>-1</v>
      </c>
    </row>
    <row r="413" hidden="1" customHeight="1" spans="1:52">
      <c r="A413" s="44">
        <v>45738</v>
      </c>
      <c r="B413" s="33">
        <f t="shared" si="203"/>
        <v>278</v>
      </c>
      <c r="C413" s="33">
        <f t="shared" si="204"/>
        <v>2045</v>
      </c>
      <c r="D413" s="11">
        <f t="shared" si="205"/>
        <v>2323</v>
      </c>
      <c r="E413" s="34">
        <f t="shared" si="201"/>
        <v>-1.90221825980825e-7</v>
      </c>
      <c r="F413" s="35">
        <f t="shared" si="206"/>
        <v>0.000366457453158607</v>
      </c>
      <c r="G413" s="18">
        <f>(SUM($I$8:$I413)*(MAX(M$3-M$4,0))+(N413*MAX(M$4,0)))*(1-$AM$4)+(AM413*$AM$4)</f>
        <v>0.148781725982395</v>
      </c>
      <c r="H413" s="18">
        <f t="shared" si="195"/>
        <v>1.125</v>
      </c>
      <c r="I413" s="18">
        <f t="shared" si="207"/>
        <v>0.00154356060606061</v>
      </c>
      <c r="J413" s="18">
        <f t="shared" si="196"/>
        <v>0.250656897960488</v>
      </c>
      <c r="K413" s="18">
        <f t="shared" si="197"/>
        <v>0.00269547878431479</v>
      </c>
      <c r="L413" s="18">
        <f t="shared" si="198"/>
        <v>0.00137205387205387</v>
      </c>
      <c r="M413" s="18">
        <v>0</v>
      </c>
      <c r="N413" s="18">
        <f t="shared" si="202"/>
        <v>0.1187</v>
      </c>
      <c r="O413" s="11">
        <v>0</v>
      </c>
      <c r="P413" s="11">
        <v>0</v>
      </c>
      <c r="Q413" s="11">
        <f t="shared" si="208"/>
        <v>1</v>
      </c>
      <c r="R413" s="11">
        <v>0</v>
      </c>
      <c r="S413" s="11">
        <f t="shared" si="199"/>
        <v>0</v>
      </c>
      <c r="T413" s="11">
        <v>0</v>
      </c>
      <c r="U413" s="11">
        <f t="shared" si="209"/>
        <v>1</v>
      </c>
      <c r="V413" s="11">
        <v>0</v>
      </c>
      <c r="W413" s="11">
        <f t="shared" si="210"/>
        <v>1</v>
      </c>
      <c r="X413" s="11">
        <f t="shared" si="200"/>
        <v>0</v>
      </c>
      <c r="Y413" s="19">
        <v>0</v>
      </c>
      <c r="Z413" s="11">
        <v>0</v>
      </c>
      <c r="AA413" s="11">
        <v>2</v>
      </c>
      <c r="AB413" s="11">
        <v>1</v>
      </c>
      <c r="AC413" s="11">
        <v>2</v>
      </c>
      <c r="AD413" s="11">
        <v>7</v>
      </c>
      <c r="AE413" s="11">
        <v>0</v>
      </c>
      <c r="AF413" s="11">
        <v>0</v>
      </c>
      <c r="AG413" s="11">
        <v>0</v>
      </c>
      <c r="AH413" s="11">
        <v>0</v>
      </c>
      <c r="AI413" s="45">
        <v>0</v>
      </c>
      <c r="AJ413" s="45">
        <v>0</v>
      </c>
      <c r="AK413" s="45">
        <f t="shared" si="211"/>
        <v>0.3611</v>
      </c>
      <c r="AL413" s="45">
        <f t="shared" si="212"/>
        <v>0.00348095238095238</v>
      </c>
      <c r="AM413" s="45">
        <f t="shared" si="213"/>
        <v>0.0012569719047619</v>
      </c>
      <c r="AN413" s="45">
        <f t="shared" si="214"/>
        <v>0.792187500000004</v>
      </c>
      <c r="AO413" s="45">
        <f t="shared" si="215"/>
        <v>0.792187500000004</v>
      </c>
      <c r="AP413" s="45">
        <f t="shared" si="216"/>
        <v>1.05625000000001</v>
      </c>
      <c r="AQ413" s="45">
        <f t="shared" si="217"/>
        <v>0</v>
      </c>
      <c r="AR413" s="45">
        <f t="shared" si="218"/>
        <v>0</v>
      </c>
      <c r="AS413" s="19">
        <f t="shared" si="219"/>
        <v>1.07916666666667</v>
      </c>
      <c r="AT413" s="19">
        <f t="shared" si="220"/>
        <v>1.03333333333334</v>
      </c>
      <c r="AU413" s="46">
        <v>0</v>
      </c>
      <c r="AV413" s="46">
        <v>0</v>
      </c>
      <c r="AW413" s="46">
        <v>0</v>
      </c>
      <c r="AX413" s="46">
        <v>1</v>
      </c>
      <c r="AY413" s="47">
        <v>0</v>
      </c>
      <c r="AZ413" s="47">
        <v>-1</v>
      </c>
    </row>
    <row r="414" hidden="1" customHeight="1" spans="1:52">
      <c r="A414" s="44">
        <v>45739</v>
      </c>
      <c r="B414" s="33">
        <f t="shared" si="203"/>
        <v>277</v>
      </c>
      <c r="C414" s="33">
        <f t="shared" si="204"/>
        <v>2043</v>
      </c>
      <c r="D414" s="11">
        <f t="shared" si="205"/>
        <v>2320</v>
      </c>
      <c r="E414" s="34">
        <f t="shared" si="201"/>
        <v>1.96800846606149e-7</v>
      </c>
      <c r="F414" s="35">
        <f t="shared" si="206"/>
        <v>0.000366654254005214</v>
      </c>
      <c r="G414" s="18">
        <f>(SUM($I$8:$I414)*(MAX(M$3-M$4,0))+(N414*MAX(M$4,0)))*(1-$AM$4)+(AM414*$AM$4)</f>
        <v>0.149228281380122</v>
      </c>
      <c r="H414" s="18">
        <f t="shared" si="195"/>
        <v>1.125</v>
      </c>
      <c r="I414" s="18">
        <f t="shared" si="207"/>
        <v>0.00238162878787879</v>
      </c>
      <c r="J414" s="18">
        <f t="shared" si="196"/>
        <v>0.250791509739566</v>
      </c>
      <c r="K414" s="18">
        <f t="shared" si="197"/>
        <v>0.00270472379155391</v>
      </c>
      <c r="L414" s="18">
        <f t="shared" si="198"/>
        <v>0.00211700336700337</v>
      </c>
      <c r="M414" s="18">
        <v>0</v>
      </c>
      <c r="N414" s="18">
        <f t="shared" si="202"/>
        <v>0.1187</v>
      </c>
      <c r="O414" s="11">
        <v>0</v>
      </c>
      <c r="P414" s="11">
        <v>0</v>
      </c>
      <c r="Q414" s="11">
        <f t="shared" si="208"/>
        <v>1</v>
      </c>
      <c r="R414" s="11">
        <v>0</v>
      </c>
      <c r="S414" s="11">
        <f t="shared" si="199"/>
        <v>0</v>
      </c>
      <c r="T414" s="11">
        <v>0</v>
      </c>
      <c r="U414" s="11">
        <f t="shared" si="209"/>
        <v>1</v>
      </c>
      <c r="V414" s="11">
        <v>0</v>
      </c>
      <c r="W414" s="11">
        <f t="shared" si="210"/>
        <v>1</v>
      </c>
      <c r="X414" s="11">
        <f t="shared" si="200"/>
        <v>0</v>
      </c>
      <c r="Y414" s="19">
        <v>0</v>
      </c>
      <c r="Z414" s="11">
        <v>0</v>
      </c>
      <c r="AA414" s="11">
        <v>0</v>
      </c>
      <c r="AB414" s="11">
        <v>8</v>
      </c>
      <c r="AC414" s="11">
        <v>5</v>
      </c>
      <c r="AD414" s="11">
        <v>4</v>
      </c>
      <c r="AE414" s="11">
        <v>0</v>
      </c>
      <c r="AF414" s="11">
        <v>0</v>
      </c>
      <c r="AG414" s="11">
        <v>0</v>
      </c>
      <c r="AH414" s="11">
        <v>0</v>
      </c>
      <c r="AI414" s="45">
        <v>0</v>
      </c>
      <c r="AJ414" s="45">
        <v>0</v>
      </c>
      <c r="AK414" s="45">
        <f t="shared" si="211"/>
        <v>0.3611</v>
      </c>
      <c r="AL414" s="45">
        <f t="shared" si="212"/>
        <v>0.00348095238095238</v>
      </c>
      <c r="AM414" s="45">
        <f t="shared" si="213"/>
        <v>0.0012569719047619</v>
      </c>
      <c r="AN414" s="45">
        <f t="shared" si="214"/>
        <v>0.792187500000004</v>
      </c>
      <c r="AO414" s="45">
        <f t="shared" si="215"/>
        <v>0.792187500000004</v>
      </c>
      <c r="AP414" s="45">
        <f t="shared" si="216"/>
        <v>1.05625000000001</v>
      </c>
      <c r="AQ414" s="45">
        <f t="shared" si="217"/>
        <v>0</v>
      </c>
      <c r="AR414" s="45">
        <f t="shared" si="218"/>
        <v>0</v>
      </c>
      <c r="AS414" s="19">
        <f t="shared" si="219"/>
        <v>1.07916666666667</v>
      </c>
      <c r="AT414" s="19">
        <f t="shared" si="220"/>
        <v>1.03333333333334</v>
      </c>
      <c r="AU414" s="46">
        <v>0</v>
      </c>
      <c r="AV414" s="46">
        <v>0</v>
      </c>
      <c r="AW414" s="46">
        <v>0</v>
      </c>
      <c r="AX414" s="46">
        <v>1</v>
      </c>
      <c r="AY414" s="47">
        <v>0</v>
      </c>
      <c r="AZ414" s="47">
        <v>-1</v>
      </c>
    </row>
    <row r="415" hidden="1" customHeight="1" spans="1:52">
      <c r="A415" s="44">
        <v>45740</v>
      </c>
      <c r="B415" s="33">
        <f t="shared" si="203"/>
        <v>276</v>
      </c>
      <c r="C415" s="33">
        <f t="shared" si="204"/>
        <v>2040</v>
      </c>
      <c r="D415" s="11">
        <f t="shared" si="205"/>
        <v>2316</v>
      </c>
      <c r="E415" s="34">
        <f t="shared" si="201"/>
        <v>4.72180694283109e-7</v>
      </c>
      <c r="F415" s="35">
        <f t="shared" si="206"/>
        <v>0.000367126434699497</v>
      </c>
      <c r="G415" s="18">
        <f>(SUM($I$8:$I415)*(MAX(M$3-M$4,0))+(N415*MAX(M$4,0)))*(1-$AM$4)+(AM415*$AM$4)</f>
        <v>0.149787585357395</v>
      </c>
      <c r="H415" s="18">
        <f t="shared" si="195"/>
        <v>1.125</v>
      </c>
      <c r="I415" s="18">
        <f t="shared" si="207"/>
        <v>0.00298295454545456</v>
      </c>
      <c r="J415" s="18">
        <f t="shared" si="196"/>
        <v>0.251114481334456</v>
      </c>
      <c r="K415" s="18">
        <f t="shared" si="197"/>
        <v>0.00271335332849835</v>
      </c>
      <c r="L415" s="18">
        <f t="shared" si="198"/>
        <v>0.00265151515151516</v>
      </c>
      <c r="M415" s="18">
        <v>0</v>
      </c>
      <c r="N415" s="18">
        <f t="shared" si="202"/>
        <v>0.1187</v>
      </c>
      <c r="O415" s="11">
        <v>0</v>
      </c>
      <c r="P415" s="11">
        <v>0</v>
      </c>
      <c r="Q415" s="11">
        <f t="shared" si="208"/>
        <v>1</v>
      </c>
      <c r="R415" s="11">
        <v>0</v>
      </c>
      <c r="S415" s="11">
        <f t="shared" si="199"/>
        <v>0</v>
      </c>
      <c r="T415" s="11">
        <v>0</v>
      </c>
      <c r="U415" s="11">
        <f t="shared" si="209"/>
        <v>1</v>
      </c>
      <c r="V415" s="11">
        <v>0</v>
      </c>
      <c r="W415" s="11">
        <f t="shared" si="210"/>
        <v>1</v>
      </c>
      <c r="X415" s="11">
        <f t="shared" si="200"/>
        <v>0</v>
      </c>
      <c r="Y415" s="19">
        <v>7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1">
        <v>0</v>
      </c>
      <c r="AG415" s="11">
        <v>0</v>
      </c>
      <c r="AH415" s="11">
        <v>0</v>
      </c>
      <c r="AI415" s="45">
        <v>0</v>
      </c>
      <c r="AJ415" s="45">
        <v>0</v>
      </c>
      <c r="AK415" s="45">
        <f t="shared" si="211"/>
        <v>0.3611</v>
      </c>
      <c r="AL415" s="45">
        <f t="shared" si="212"/>
        <v>0.00348095238095238</v>
      </c>
      <c r="AM415" s="45">
        <f t="shared" si="213"/>
        <v>0.0012569719047619</v>
      </c>
      <c r="AN415" s="45">
        <f t="shared" si="214"/>
        <v>0.792187500000004</v>
      </c>
      <c r="AO415" s="45">
        <f t="shared" si="215"/>
        <v>0.792187500000004</v>
      </c>
      <c r="AP415" s="45">
        <f t="shared" si="216"/>
        <v>1.05625000000001</v>
      </c>
      <c r="AQ415" s="45">
        <f t="shared" si="217"/>
        <v>0</v>
      </c>
      <c r="AR415" s="45">
        <f t="shared" si="218"/>
        <v>0</v>
      </c>
      <c r="AS415" s="19">
        <f t="shared" si="219"/>
        <v>1.07916666666667</v>
      </c>
      <c r="AT415" s="19">
        <f t="shared" si="220"/>
        <v>1.03333333333334</v>
      </c>
      <c r="AU415" s="46">
        <v>0</v>
      </c>
      <c r="AV415" s="46">
        <v>0</v>
      </c>
      <c r="AW415" s="46">
        <v>0</v>
      </c>
      <c r="AX415" s="46">
        <v>1</v>
      </c>
      <c r="AY415" s="47">
        <v>0</v>
      </c>
      <c r="AZ415" s="47">
        <v>-1</v>
      </c>
    </row>
    <row r="416" hidden="1" customHeight="1" spans="1:52">
      <c r="A416" s="44">
        <v>45741</v>
      </c>
      <c r="B416" s="33">
        <f t="shared" si="203"/>
        <v>275</v>
      </c>
      <c r="C416" s="33">
        <f t="shared" si="204"/>
        <v>2036</v>
      </c>
      <c r="D416" s="11">
        <f t="shared" si="205"/>
        <v>2311</v>
      </c>
      <c r="E416" s="34">
        <f t="shared" si="201"/>
        <v>5.50618852701926e-7</v>
      </c>
      <c r="F416" s="35">
        <f t="shared" si="206"/>
        <v>0.000367677053552199</v>
      </c>
      <c r="G416" s="18">
        <f>(SUM($I$8:$I416)*(MAX(M$3-M$4,0))+(N416*MAX(M$4,0)))*(1-$AM$4)+(AM416*$AM$4)</f>
        <v>0.150379914902849</v>
      </c>
      <c r="H416" s="18">
        <f t="shared" si="195"/>
        <v>1.125</v>
      </c>
      <c r="I416" s="18">
        <f t="shared" si="207"/>
        <v>0.00315909090909092</v>
      </c>
      <c r="J416" s="18">
        <f t="shared" si="196"/>
        <v>0.251491104629704</v>
      </c>
      <c r="K416" s="18">
        <f t="shared" si="197"/>
        <v>0.00272185052861926</v>
      </c>
      <c r="L416" s="18">
        <f t="shared" si="198"/>
        <v>0.00280808080808081</v>
      </c>
      <c r="M416" s="18">
        <v>0</v>
      </c>
      <c r="N416" s="18">
        <f t="shared" si="202"/>
        <v>0.1187</v>
      </c>
      <c r="O416" s="11">
        <v>0</v>
      </c>
      <c r="P416" s="11">
        <v>0</v>
      </c>
      <c r="Q416" s="11">
        <f t="shared" si="208"/>
        <v>1</v>
      </c>
      <c r="R416" s="11">
        <v>0</v>
      </c>
      <c r="S416" s="11">
        <f t="shared" si="199"/>
        <v>0</v>
      </c>
      <c r="T416" s="11">
        <v>0</v>
      </c>
      <c r="U416" s="11">
        <f t="shared" si="209"/>
        <v>1</v>
      </c>
      <c r="V416" s="11">
        <v>0</v>
      </c>
      <c r="W416" s="11">
        <f t="shared" si="210"/>
        <v>1</v>
      </c>
      <c r="X416" s="11">
        <f t="shared" si="200"/>
        <v>0</v>
      </c>
      <c r="Y416" s="19">
        <v>4.08</v>
      </c>
      <c r="Z416" s="11">
        <v>0</v>
      </c>
      <c r="AA416" s="11">
        <v>4</v>
      </c>
      <c r="AB416" s="11">
        <v>3</v>
      </c>
      <c r="AC416" s="11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45">
        <v>0</v>
      </c>
      <c r="AJ416" s="45">
        <v>0</v>
      </c>
      <c r="AK416" s="45">
        <f t="shared" si="211"/>
        <v>0.3611</v>
      </c>
      <c r="AL416" s="45">
        <f t="shared" si="212"/>
        <v>0.00348095238095238</v>
      </c>
      <c r="AM416" s="45">
        <f t="shared" si="213"/>
        <v>0.0012569719047619</v>
      </c>
      <c r="AN416" s="45">
        <f t="shared" si="214"/>
        <v>0.792187500000004</v>
      </c>
      <c r="AO416" s="45">
        <f t="shared" si="215"/>
        <v>0.792187500000004</v>
      </c>
      <c r="AP416" s="45">
        <f t="shared" si="216"/>
        <v>1.05625000000001</v>
      </c>
      <c r="AQ416" s="45">
        <f t="shared" si="217"/>
        <v>0</v>
      </c>
      <c r="AR416" s="45">
        <f t="shared" si="218"/>
        <v>0</v>
      </c>
      <c r="AS416" s="19">
        <f t="shared" si="219"/>
        <v>1.07916666666667</v>
      </c>
      <c r="AT416" s="19">
        <f t="shared" si="220"/>
        <v>1.03333333333334</v>
      </c>
      <c r="AU416" s="46">
        <v>0</v>
      </c>
      <c r="AV416" s="46">
        <v>0</v>
      </c>
      <c r="AW416" s="46">
        <v>0</v>
      </c>
      <c r="AX416" s="46">
        <v>1</v>
      </c>
      <c r="AY416" s="47">
        <v>0</v>
      </c>
      <c r="AZ416" s="47">
        <v>-1</v>
      </c>
    </row>
    <row r="417" hidden="1" customHeight="1" spans="1:52">
      <c r="A417" s="44">
        <v>45742</v>
      </c>
      <c r="B417" s="33">
        <f t="shared" si="203"/>
        <v>274</v>
      </c>
      <c r="C417" s="33">
        <f t="shared" si="204"/>
        <v>2035</v>
      </c>
      <c r="D417" s="11">
        <f t="shared" si="205"/>
        <v>2309</v>
      </c>
      <c r="E417" s="34">
        <f t="shared" si="201"/>
        <v>3.86479846841412e-8</v>
      </c>
      <c r="F417" s="35">
        <f t="shared" si="206"/>
        <v>0.000367715701536883</v>
      </c>
      <c r="G417" s="18">
        <f>(SUM($I$8:$I417)*(MAX(M$3-M$4,0))+(N417*MAX(M$4,0)))*(1-$AM$4)+(AM417*$AM$4)</f>
        <v>0.150763437630122</v>
      </c>
      <c r="H417" s="18">
        <f t="shared" si="195"/>
        <v>1.125</v>
      </c>
      <c r="I417" s="18">
        <f t="shared" si="207"/>
        <v>0.00204545454545455</v>
      </c>
      <c r="J417" s="18">
        <f t="shared" si="196"/>
        <v>0.251517539851228</v>
      </c>
      <c r="K417" s="18">
        <f t="shared" si="197"/>
        <v>0.00273168781076194</v>
      </c>
      <c r="L417" s="18">
        <f t="shared" si="198"/>
        <v>0.00181818181818182</v>
      </c>
      <c r="M417" s="18">
        <v>0</v>
      </c>
      <c r="N417" s="18">
        <f t="shared" si="202"/>
        <v>0.1187</v>
      </c>
      <c r="O417" s="11">
        <v>0</v>
      </c>
      <c r="P417" s="11">
        <v>0</v>
      </c>
      <c r="Q417" s="11">
        <f t="shared" si="208"/>
        <v>1</v>
      </c>
      <c r="R417" s="11">
        <v>0</v>
      </c>
      <c r="S417" s="11">
        <f t="shared" si="199"/>
        <v>0</v>
      </c>
      <c r="T417" s="11">
        <v>0</v>
      </c>
      <c r="U417" s="11">
        <f t="shared" si="209"/>
        <v>1</v>
      </c>
      <c r="V417" s="11">
        <v>0</v>
      </c>
      <c r="W417" s="11">
        <f t="shared" si="210"/>
        <v>1</v>
      </c>
      <c r="X417" s="11">
        <f t="shared" si="200"/>
        <v>0</v>
      </c>
      <c r="Y417" s="19">
        <v>0</v>
      </c>
      <c r="Z417" s="11">
        <v>0</v>
      </c>
      <c r="AA417" s="11">
        <v>9</v>
      </c>
      <c r="AB417" s="11">
        <v>0</v>
      </c>
      <c r="AC417" s="11">
        <v>0</v>
      </c>
      <c r="AD417" s="11">
        <v>0</v>
      </c>
      <c r="AE417" s="11">
        <v>0</v>
      </c>
      <c r="AF417" s="11">
        <v>0</v>
      </c>
      <c r="AG417" s="11">
        <v>0</v>
      </c>
      <c r="AH417" s="11">
        <v>0</v>
      </c>
      <c r="AI417" s="45">
        <v>0</v>
      </c>
      <c r="AJ417" s="45">
        <v>0</v>
      </c>
      <c r="AK417" s="45">
        <f t="shared" si="211"/>
        <v>0.3611</v>
      </c>
      <c r="AL417" s="45">
        <f t="shared" si="212"/>
        <v>0.00348095238095238</v>
      </c>
      <c r="AM417" s="45">
        <f t="shared" si="213"/>
        <v>0.0012569719047619</v>
      </c>
      <c r="AN417" s="45">
        <f t="shared" si="214"/>
        <v>0.792187500000004</v>
      </c>
      <c r="AO417" s="45">
        <f t="shared" si="215"/>
        <v>0.792187500000004</v>
      </c>
      <c r="AP417" s="45">
        <f t="shared" si="216"/>
        <v>1.05625000000001</v>
      </c>
      <c r="AQ417" s="45">
        <f t="shared" si="217"/>
        <v>0</v>
      </c>
      <c r="AR417" s="45">
        <f t="shared" si="218"/>
        <v>0</v>
      </c>
      <c r="AS417" s="19">
        <f t="shared" si="219"/>
        <v>1.07916666666667</v>
      </c>
      <c r="AT417" s="19">
        <f t="shared" si="220"/>
        <v>1.03333333333334</v>
      </c>
      <c r="AU417" s="46">
        <v>0</v>
      </c>
      <c r="AV417" s="46">
        <v>0</v>
      </c>
      <c r="AW417" s="46">
        <v>0</v>
      </c>
      <c r="AX417" s="46">
        <v>1</v>
      </c>
      <c r="AY417" s="47">
        <v>0</v>
      </c>
      <c r="AZ417" s="47">
        <v>-1</v>
      </c>
    </row>
    <row r="418" hidden="1" customHeight="1" spans="1:52">
      <c r="A418" s="44">
        <v>45743</v>
      </c>
      <c r="B418" s="33">
        <f t="shared" si="203"/>
        <v>273</v>
      </c>
      <c r="C418" s="33">
        <f t="shared" si="204"/>
        <v>2038</v>
      </c>
      <c r="D418" s="11">
        <f t="shared" si="205"/>
        <v>2311</v>
      </c>
      <c r="E418" s="34">
        <f t="shared" si="201"/>
        <v>-2.79068699824314e-7</v>
      </c>
      <c r="F418" s="35">
        <f t="shared" si="206"/>
        <v>0.000367436632837058</v>
      </c>
      <c r="G418" s="18">
        <f>(SUM($I$8:$I418)*(MAX(M$3-M$4,0))+(N418*MAX(M$4,0)))*(1-$AM$4)+(AM418*$AM$4)</f>
        <v>0.151016456096031</v>
      </c>
      <c r="H418" s="18">
        <f t="shared" si="195"/>
        <v>1.125</v>
      </c>
      <c r="I418" s="18">
        <f t="shared" si="207"/>
        <v>0.00134943181818182</v>
      </c>
      <c r="J418" s="18">
        <f t="shared" si="196"/>
        <v>0.251326656860548</v>
      </c>
      <c r="K418" s="18">
        <f t="shared" si="197"/>
        <v>0.00274239319831301</v>
      </c>
      <c r="L418" s="18">
        <f t="shared" si="198"/>
        <v>0.00119949494949495</v>
      </c>
      <c r="M418" s="18">
        <v>0</v>
      </c>
      <c r="N418" s="18">
        <f t="shared" si="202"/>
        <v>0.1187</v>
      </c>
      <c r="O418" s="11">
        <v>0</v>
      </c>
      <c r="P418" s="11">
        <v>0</v>
      </c>
      <c r="Q418" s="11">
        <f t="shared" si="208"/>
        <v>1</v>
      </c>
      <c r="R418" s="11">
        <v>0</v>
      </c>
      <c r="S418" s="11">
        <f t="shared" si="199"/>
        <v>0</v>
      </c>
      <c r="T418" s="11">
        <v>0</v>
      </c>
      <c r="U418" s="11">
        <f t="shared" si="209"/>
        <v>1</v>
      </c>
      <c r="V418" s="11">
        <v>0</v>
      </c>
      <c r="W418" s="11">
        <f t="shared" si="210"/>
        <v>1</v>
      </c>
      <c r="X418" s="11">
        <f t="shared" si="200"/>
        <v>0</v>
      </c>
      <c r="Y418" s="19">
        <v>0.5</v>
      </c>
      <c r="Z418" s="11">
        <v>0</v>
      </c>
      <c r="AA418" s="11">
        <v>5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45">
        <v>0</v>
      </c>
      <c r="AJ418" s="45">
        <v>0</v>
      </c>
      <c r="AK418" s="45">
        <f t="shared" si="211"/>
        <v>0.3611</v>
      </c>
      <c r="AL418" s="45">
        <f t="shared" si="212"/>
        <v>0.00348095238095238</v>
      </c>
      <c r="AM418" s="45">
        <f t="shared" si="213"/>
        <v>0.0012569719047619</v>
      </c>
      <c r="AN418" s="45">
        <f t="shared" si="214"/>
        <v>0.792187500000004</v>
      </c>
      <c r="AO418" s="45">
        <f t="shared" si="215"/>
        <v>0.792187500000004</v>
      </c>
      <c r="AP418" s="45">
        <f t="shared" si="216"/>
        <v>1.05625000000001</v>
      </c>
      <c r="AQ418" s="45">
        <f t="shared" si="217"/>
        <v>0</v>
      </c>
      <c r="AR418" s="45">
        <f t="shared" si="218"/>
        <v>0</v>
      </c>
      <c r="AS418" s="19">
        <f t="shared" si="219"/>
        <v>1.07916666666667</v>
      </c>
      <c r="AT418" s="19">
        <f t="shared" si="220"/>
        <v>1.03333333333334</v>
      </c>
      <c r="AU418" s="46">
        <v>0</v>
      </c>
      <c r="AV418" s="46">
        <v>0</v>
      </c>
      <c r="AW418" s="46">
        <v>0</v>
      </c>
      <c r="AX418" s="46">
        <v>1</v>
      </c>
      <c r="AY418" s="47">
        <v>0</v>
      </c>
      <c r="AZ418" s="47">
        <v>-1</v>
      </c>
    </row>
    <row r="419" hidden="1" customHeight="1" spans="1:52">
      <c r="A419" s="44">
        <v>45744</v>
      </c>
      <c r="B419" s="33">
        <f t="shared" si="203"/>
        <v>272</v>
      </c>
      <c r="C419" s="33">
        <f t="shared" si="204"/>
        <v>2039</v>
      </c>
      <c r="D419" s="11">
        <f t="shared" si="205"/>
        <v>2311</v>
      </c>
      <c r="E419" s="34">
        <f t="shared" si="201"/>
        <v>-2.02295445985747e-7</v>
      </c>
      <c r="F419" s="35">
        <f t="shared" si="206"/>
        <v>0.000367234337391073</v>
      </c>
      <c r="G419" s="18">
        <f>(SUM($I$8:$I419)*(MAX(M$3-M$4,0))+(N419*MAX(M$4,0)))*(1-$AM$4)+(AM419*$AM$4)</f>
        <v>0.151300547005122</v>
      </c>
      <c r="H419" s="18">
        <f t="shared" si="195"/>
        <v>1.125</v>
      </c>
      <c r="I419" s="18">
        <f t="shared" si="207"/>
        <v>0.00151515151515152</v>
      </c>
      <c r="J419" s="18">
        <f t="shared" si="196"/>
        <v>0.251188286775494</v>
      </c>
      <c r="K419" s="18">
        <f t="shared" si="197"/>
        <v>0.00275298423979598</v>
      </c>
      <c r="L419" s="18">
        <f t="shared" si="198"/>
        <v>0.00134680134680135</v>
      </c>
      <c r="M419" s="18">
        <v>0</v>
      </c>
      <c r="N419" s="18">
        <f t="shared" si="202"/>
        <v>0.1187</v>
      </c>
      <c r="O419" s="11">
        <v>0</v>
      </c>
      <c r="P419" s="11">
        <v>0</v>
      </c>
      <c r="Q419" s="11">
        <f t="shared" si="208"/>
        <v>1</v>
      </c>
      <c r="R419" s="11">
        <v>0</v>
      </c>
      <c r="S419" s="11">
        <f t="shared" si="199"/>
        <v>0</v>
      </c>
      <c r="T419" s="11">
        <v>0</v>
      </c>
      <c r="U419" s="11">
        <f t="shared" si="209"/>
        <v>1</v>
      </c>
      <c r="V419" s="11">
        <v>0</v>
      </c>
      <c r="W419" s="11">
        <f t="shared" si="210"/>
        <v>1</v>
      </c>
      <c r="X419" s="11">
        <f t="shared" si="200"/>
        <v>0</v>
      </c>
      <c r="Y419" s="19">
        <v>0</v>
      </c>
      <c r="Z419" s="11">
        <v>0</v>
      </c>
      <c r="AA419" s="11">
        <v>1</v>
      </c>
      <c r="AB419" s="11">
        <v>7</v>
      </c>
      <c r="AC419" s="11">
        <v>0</v>
      </c>
      <c r="AD419" s="11">
        <v>1</v>
      </c>
      <c r="AE419" s="11">
        <v>0</v>
      </c>
      <c r="AF419" s="11">
        <v>0</v>
      </c>
      <c r="AG419" s="11">
        <v>0</v>
      </c>
      <c r="AH419" s="11">
        <v>0</v>
      </c>
      <c r="AI419" s="45">
        <v>0</v>
      </c>
      <c r="AJ419" s="45">
        <v>0</v>
      </c>
      <c r="AK419" s="45">
        <f t="shared" si="211"/>
        <v>0.3611</v>
      </c>
      <c r="AL419" s="45">
        <f t="shared" si="212"/>
        <v>0.00348095238095238</v>
      </c>
      <c r="AM419" s="45">
        <f t="shared" si="213"/>
        <v>0.0012569719047619</v>
      </c>
      <c r="AN419" s="45">
        <f t="shared" si="214"/>
        <v>0.792187500000004</v>
      </c>
      <c r="AO419" s="45">
        <f t="shared" si="215"/>
        <v>0.792187500000004</v>
      </c>
      <c r="AP419" s="45">
        <f t="shared" si="216"/>
        <v>1.05625000000001</v>
      </c>
      <c r="AQ419" s="45">
        <f t="shared" si="217"/>
        <v>0</v>
      </c>
      <c r="AR419" s="45">
        <f t="shared" si="218"/>
        <v>0</v>
      </c>
      <c r="AS419" s="19">
        <f t="shared" si="219"/>
        <v>1.07916666666667</v>
      </c>
      <c r="AT419" s="19">
        <f t="shared" si="220"/>
        <v>1.03333333333334</v>
      </c>
      <c r="AU419" s="46">
        <v>0</v>
      </c>
      <c r="AV419" s="46">
        <v>0</v>
      </c>
      <c r="AW419" s="46">
        <v>0</v>
      </c>
      <c r="AX419" s="46">
        <v>1</v>
      </c>
      <c r="AY419" s="47">
        <v>0</v>
      </c>
      <c r="AZ419" s="47">
        <v>-1</v>
      </c>
    </row>
    <row r="420" hidden="1" customHeight="1" spans="1:52">
      <c r="A420" s="44">
        <v>45745</v>
      </c>
      <c r="B420" s="33">
        <f t="shared" si="203"/>
        <v>271</v>
      </c>
      <c r="C420" s="33">
        <f t="shared" si="204"/>
        <v>2041</v>
      </c>
      <c r="D420" s="11">
        <f t="shared" si="205"/>
        <v>2312</v>
      </c>
      <c r="E420" s="34">
        <f t="shared" si="201"/>
        <v>-2.31410182985293e-7</v>
      </c>
      <c r="F420" s="35">
        <f t="shared" si="206"/>
        <v>0.000367002927208087</v>
      </c>
      <c r="G420" s="18">
        <f>(SUM($I$8:$I420)*(MAX(M$3-M$4,0))+(N420*MAX(M$4,0)))*(1-$AM$4)+(AM420*$AM$4)</f>
        <v>0.15157220893694</v>
      </c>
      <c r="H420" s="18">
        <f t="shared" si="195"/>
        <v>1.125</v>
      </c>
      <c r="I420" s="18">
        <f t="shared" si="207"/>
        <v>0.00144886363636364</v>
      </c>
      <c r="J420" s="18">
        <f t="shared" si="196"/>
        <v>0.251030002210332</v>
      </c>
      <c r="K420" s="18">
        <f t="shared" si="197"/>
        <v>0.00276372692911317</v>
      </c>
      <c r="L420" s="18">
        <f t="shared" si="198"/>
        <v>0.00128787878787879</v>
      </c>
      <c r="M420" s="18">
        <v>0</v>
      </c>
      <c r="N420" s="18">
        <f t="shared" si="202"/>
        <v>0.1187</v>
      </c>
      <c r="O420" s="11">
        <v>0</v>
      </c>
      <c r="P420" s="11">
        <v>0</v>
      </c>
      <c r="Q420" s="11">
        <f t="shared" si="208"/>
        <v>1</v>
      </c>
      <c r="R420" s="11">
        <v>0</v>
      </c>
      <c r="S420" s="11">
        <f t="shared" si="199"/>
        <v>0</v>
      </c>
      <c r="T420" s="11">
        <v>0</v>
      </c>
      <c r="U420" s="11">
        <f t="shared" si="209"/>
        <v>1</v>
      </c>
      <c r="V420" s="11">
        <v>0</v>
      </c>
      <c r="W420" s="11">
        <f t="shared" si="210"/>
        <v>1</v>
      </c>
      <c r="X420" s="11">
        <f t="shared" si="200"/>
        <v>0</v>
      </c>
      <c r="Y420" s="19">
        <v>1</v>
      </c>
      <c r="Z420" s="11">
        <v>0</v>
      </c>
      <c r="AA420" s="11">
        <v>0</v>
      </c>
      <c r="AB420" s="11">
        <v>6</v>
      </c>
      <c r="AC420" s="11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45">
        <v>0</v>
      </c>
      <c r="AJ420" s="45">
        <v>0</v>
      </c>
      <c r="AK420" s="45">
        <f t="shared" si="211"/>
        <v>0.3611</v>
      </c>
      <c r="AL420" s="45">
        <f t="shared" si="212"/>
        <v>0.00348095238095238</v>
      </c>
      <c r="AM420" s="45">
        <f t="shared" si="213"/>
        <v>0.0012569719047619</v>
      </c>
      <c r="AN420" s="45">
        <f t="shared" si="214"/>
        <v>0.792187500000004</v>
      </c>
      <c r="AO420" s="45">
        <f t="shared" si="215"/>
        <v>0.792187500000004</v>
      </c>
      <c r="AP420" s="45">
        <f t="shared" si="216"/>
        <v>1.05625000000001</v>
      </c>
      <c r="AQ420" s="45">
        <f t="shared" si="217"/>
        <v>0</v>
      </c>
      <c r="AR420" s="45">
        <f t="shared" si="218"/>
        <v>0</v>
      </c>
      <c r="AS420" s="19">
        <f t="shared" si="219"/>
        <v>1.07916666666667</v>
      </c>
      <c r="AT420" s="19">
        <f t="shared" si="220"/>
        <v>1.03333333333334</v>
      </c>
      <c r="AU420" s="46">
        <v>0</v>
      </c>
      <c r="AV420" s="46">
        <v>0</v>
      </c>
      <c r="AW420" s="46">
        <v>0</v>
      </c>
      <c r="AX420" s="46">
        <v>1</v>
      </c>
      <c r="AY420" s="47">
        <v>0</v>
      </c>
      <c r="AZ420" s="47">
        <v>-1</v>
      </c>
    </row>
    <row r="421" hidden="1" customHeight="1" spans="1:52">
      <c r="A421" s="44">
        <v>45746</v>
      </c>
      <c r="B421" s="33">
        <f t="shared" si="203"/>
        <v>270</v>
      </c>
      <c r="C421" s="33">
        <f t="shared" si="204"/>
        <v>2042</v>
      </c>
      <c r="D421" s="11">
        <f t="shared" si="205"/>
        <v>2312</v>
      </c>
      <c r="E421" s="34">
        <f t="shared" si="201"/>
        <v>-2.0520270900071e-7</v>
      </c>
      <c r="F421" s="35">
        <f t="shared" si="206"/>
        <v>0.000366797724499087</v>
      </c>
      <c r="G421" s="18">
        <f>(SUM($I$8:$I421)*(MAX(M$3-M$4,0))+(N421*MAX(M$4,0)))*(1-$AM$4)+(AM421*$AM$4)</f>
        <v>0.151854257942622</v>
      </c>
      <c r="H421" s="18">
        <f t="shared" si="195"/>
        <v>1.125</v>
      </c>
      <c r="I421" s="18">
        <f t="shared" si="207"/>
        <v>0.00150426136363637</v>
      </c>
      <c r="J421" s="18">
        <f t="shared" si="196"/>
        <v>0.250889643557375</v>
      </c>
      <c r="K421" s="18">
        <f t="shared" si="197"/>
        <v>0.00277448280163935</v>
      </c>
      <c r="L421" s="18">
        <f t="shared" si="198"/>
        <v>0.00133712121212122</v>
      </c>
      <c r="M421" s="18">
        <v>0</v>
      </c>
      <c r="N421" s="18">
        <f t="shared" si="202"/>
        <v>0.1187</v>
      </c>
      <c r="O421" s="11">
        <v>0</v>
      </c>
      <c r="P421" s="11">
        <v>0</v>
      </c>
      <c r="Q421" s="11">
        <f t="shared" si="208"/>
        <v>1</v>
      </c>
      <c r="R421" s="11">
        <v>0</v>
      </c>
      <c r="S421" s="11">
        <f t="shared" si="199"/>
        <v>0</v>
      </c>
      <c r="T421" s="11">
        <v>0</v>
      </c>
      <c r="U421" s="11">
        <f t="shared" si="209"/>
        <v>1</v>
      </c>
      <c r="V421" s="11">
        <v>0</v>
      </c>
      <c r="W421" s="11">
        <f t="shared" si="210"/>
        <v>1</v>
      </c>
      <c r="X421" s="11">
        <f t="shared" si="200"/>
        <v>0</v>
      </c>
      <c r="Y421" s="19">
        <v>2.33</v>
      </c>
      <c r="Z421" s="11">
        <v>0</v>
      </c>
      <c r="AA421" s="11">
        <v>0</v>
      </c>
      <c r="AB421" s="11">
        <v>3</v>
      </c>
      <c r="AC421" s="11">
        <v>0</v>
      </c>
      <c r="AD421" s="11">
        <v>0</v>
      </c>
      <c r="AE421" s="11">
        <v>0</v>
      </c>
      <c r="AF421" s="11">
        <v>0</v>
      </c>
      <c r="AG421" s="11">
        <v>0</v>
      </c>
      <c r="AH421" s="11">
        <v>0</v>
      </c>
      <c r="AI421" s="45">
        <v>0</v>
      </c>
      <c r="AJ421" s="45">
        <v>0</v>
      </c>
      <c r="AK421" s="45">
        <f t="shared" si="211"/>
        <v>0.3611</v>
      </c>
      <c r="AL421" s="45">
        <f t="shared" si="212"/>
        <v>0.00348095238095238</v>
      </c>
      <c r="AM421" s="45">
        <f t="shared" si="213"/>
        <v>0.0012569719047619</v>
      </c>
      <c r="AN421" s="45">
        <f t="shared" si="214"/>
        <v>0.792187500000004</v>
      </c>
      <c r="AO421" s="45">
        <f t="shared" si="215"/>
        <v>0.792187500000004</v>
      </c>
      <c r="AP421" s="45">
        <f t="shared" si="216"/>
        <v>1.05625000000001</v>
      </c>
      <c r="AQ421" s="45">
        <f t="shared" si="217"/>
        <v>0</v>
      </c>
      <c r="AR421" s="45">
        <f t="shared" si="218"/>
        <v>0</v>
      </c>
      <c r="AS421" s="19">
        <f t="shared" si="219"/>
        <v>1.07916666666667</v>
      </c>
      <c r="AT421" s="19">
        <f t="shared" si="220"/>
        <v>1.03333333333334</v>
      </c>
      <c r="AU421" s="46">
        <v>0</v>
      </c>
      <c r="AV421" s="46">
        <v>0</v>
      </c>
      <c r="AW421" s="46">
        <v>0</v>
      </c>
      <c r="AX421" s="46">
        <v>1</v>
      </c>
      <c r="AY421" s="47">
        <v>0</v>
      </c>
      <c r="AZ421" s="47">
        <v>-1</v>
      </c>
    </row>
    <row r="422" hidden="1" customHeight="1" spans="1:52">
      <c r="A422" s="44">
        <v>45747</v>
      </c>
      <c r="B422" s="33">
        <f t="shared" si="203"/>
        <v>269</v>
      </c>
      <c r="C422" s="33">
        <f t="shared" si="204"/>
        <v>2044</v>
      </c>
      <c r="D422" s="11">
        <f t="shared" si="205"/>
        <v>2313</v>
      </c>
      <c r="E422" s="34">
        <f t="shared" si="201"/>
        <v>-2.04213780282498e-7</v>
      </c>
      <c r="F422" s="35">
        <f t="shared" si="206"/>
        <v>0.000366593510718804</v>
      </c>
      <c r="G422" s="18">
        <f>(SUM($I$8:$I422)*(MAX(M$3-M$4,0))+(N422*MAX(M$4,0)))*(1-$AM$4)+(AM422*$AM$4)</f>
        <v>0.152136306948304</v>
      </c>
      <c r="H422" s="18">
        <f t="shared" si="195"/>
        <v>1.125</v>
      </c>
      <c r="I422" s="18">
        <f t="shared" si="207"/>
        <v>0.00150426136363637</v>
      </c>
      <c r="J422" s="18">
        <f t="shared" si="196"/>
        <v>0.250749961331662</v>
      </c>
      <c r="K422" s="18">
        <f t="shared" si="197"/>
        <v>0.00278531612887858</v>
      </c>
      <c r="L422" s="18">
        <f t="shared" si="198"/>
        <v>0.00133712121212122</v>
      </c>
      <c r="M422" s="18">
        <v>0</v>
      </c>
      <c r="N422" s="18">
        <f t="shared" si="202"/>
        <v>0.1187</v>
      </c>
      <c r="O422" s="11">
        <v>0</v>
      </c>
      <c r="P422" s="11">
        <v>0</v>
      </c>
      <c r="Q422" s="11">
        <f t="shared" si="208"/>
        <v>1</v>
      </c>
      <c r="R422" s="11">
        <v>0</v>
      </c>
      <c r="S422" s="11">
        <f t="shared" si="199"/>
        <v>0</v>
      </c>
      <c r="T422" s="11">
        <v>0</v>
      </c>
      <c r="U422" s="11">
        <f t="shared" si="209"/>
        <v>1</v>
      </c>
      <c r="V422" s="11">
        <v>0</v>
      </c>
      <c r="W422" s="11">
        <f t="shared" si="210"/>
        <v>1</v>
      </c>
      <c r="X422" s="11">
        <f t="shared" si="200"/>
        <v>0</v>
      </c>
      <c r="Y422" s="19">
        <v>3.53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45">
        <v>0</v>
      </c>
      <c r="AJ422" s="45">
        <v>0</v>
      </c>
      <c r="AK422" s="45">
        <f t="shared" si="211"/>
        <v>0.3611</v>
      </c>
      <c r="AL422" s="45">
        <f t="shared" si="212"/>
        <v>0.00348095238095238</v>
      </c>
      <c r="AM422" s="45">
        <f t="shared" si="213"/>
        <v>0.0012569719047619</v>
      </c>
      <c r="AN422" s="45">
        <f t="shared" si="214"/>
        <v>0.792187500000004</v>
      </c>
      <c r="AO422" s="45">
        <f t="shared" si="215"/>
        <v>0.792187500000004</v>
      </c>
      <c r="AP422" s="45">
        <f t="shared" si="216"/>
        <v>1.05625000000001</v>
      </c>
      <c r="AQ422" s="45">
        <f t="shared" si="217"/>
        <v>0</v>
      </c>
      <c r="AR422" s="45">
        <f t="shared" si="218"/>
        <v>0</v>
      </c>
      <c r="AS422" s="19">
        <f t="shared" si="219"/>
        <v>1.07916666666667</v>
      </c>
      <c r="AT422" s="19">
        <f t="shared" si="220"/>
        <v>1.03333333333334</v>
      </c>
      <c r="AU422" s="46">
        <v>0</v>
      </c>
      <c r="AV422" s="46">
        <v>0</v>
      </c>
      <c r="AW422" s="46">
        <v>0</v>
      </c>
      <c r="AX422" s="46">
        <v>1</v>
      </c>
      <c r="AY422" s="47">
        <v>0</v>
      </c>
      <c r="AZ422" s="47">
        <v>-1</v>
      </c>
    </row>
    <row r="423" hidden="1" customHeight="1" spans="1:52">
      <c r="A423" s="44">
        <v>45748</v>
      </c>
      <c r="B423" s="33">
        <f t="shared" si="203"/>
        <v>268</v>
      </c>
      <c r="C423" s="33">
        <f t="shared" si="204"/>
        <v>2017</v>
      </c>
      <c r="D423" s="11">
        <f t="shared" si="205"/>
        <v>2285</v>
      </c>
      <c r="E423" s="34">
        <f t="shared" si="201"/>
        <v>3.67218743781172e-6</v>
      </c>
      <c r="F423" s="35">
        <f t="shared" si="206"/>
        <v>0.000370265698156616</v>
      </c>
      <c r="G423" s="18">
        <f>(SUM($I$8:$I423)*(MAX(M$3-M$4,0))+(N423*MAX(M$4,0)))*(1-$AM$4)+(AM423*$AM$4)</f>
        <v>0.154030530433152</v>
      </c>
      <c r="H423" s="18">
        <f t="shared" si="195"/>
        <v>1.16666666666667</v>
      </c>
      <c r="I423" s="18">
        <f t="shared" si="207"/>
        <v>0.00150252525252526</v>
      </c>
      <c r="J423" s="18">
        <f t="shared" si="196"/>
        <v>0.253261737539125</v>
      </c>
      <c r="K423" s="18">
        <f t="shared" si="197"/>
        <v>0.00278633680022714</v>
      </c>
      <c r="L423" s="18">
        <f t="shared" si="198"/>
        <v>0.00128787878787879</v>
      </c>
      <c r="M423" s="18">
        <v>0.123</v>
      </c>
      <c r="N423" s="18">
        <f t="shared" si="202"/>
        <v>0.123</v>
      </c>
      <c r="O423" s="11">
        <v>0</v>
      </c>
      <c r="P423" s="11">
        <v>0</v>
      </c>
      <c r="Q423" s="11">
        <f t="shared" si="208"/>
        <v>1</v>
      </c>
      <c r="R423" s="11">
        <v>0</v>
      </c>
      <c r="S423" s="11">
        <f t="shared" si="199"/>
        <v>0</v>
      </c>
      <c r="T423" s="11">
        <v>0</v>
      </c>
      <c r="U423" s="11">
        <f t="shared" si="209"/>
        <v>1</v>
      </c>
      <c r="V423" s="11">
        <v>0</v>
      </c>
      <c r="W423" s="11">
        <f t="shared" si="210"/>
        <v>1</v>
      </c>
      <c r="X423" s="11">
        <f t="shared" si="200"/>
        <v>0</v>
      </c>
      <c r="Y423" s="19">
        <v>3</v>
      </c>
      <c r="Z423" s="11">
        <v>0</v>
      </c>
      <c r="AA423" s="11">
        <v>0</v>
      </c>
      <c r="AB423" s="11">
        <v>1</v>
      </c>
      <c r="AC423" s="11">
        <v>0</v>
      </c>
      <c r="AD423" s="11">
        <v>0</v>
      </c>
      <c r="AE423" s="11">
        <v>0</v>
      </c>
      <c r="AF423" s="11">
        <v>0</v>
      </c>
      <c r="AG423" s="11">
        <v>0</v>
      </c>
      <c r="AH423" s="11">
        <v>0</v>
      </c>
      <c r="AI423" s="45">
        <v>0</v>
      </c>
      <c r="AJ423" s="45">
        <v>0</v>
      </c>
      <c r="AK423" s="45">
        <f t="shared" si="211"/>
        <v>0.3611</v>
      </c>
      <c r="AL423" s="45">
        <f t="shared" si="212"/>
        <v>0.00348095238095238</v>
      </c>
      <c r="AM423" s="45">
        <f t="shared" si="213"/>
        <v>0.0012569719047619</v>
      </c>
      <c r="AN423" s="45">
        <f t="shared" si="214"/>
        <v>0.792187500000004</v>
      </c>
      <c r="AO423" s="45">
        <f t="shared" si="215"/>
        <v>0.792187500000004</v>
      </c>
      <c r="AP423" s="45">
        <f t="shared" si="216"/>
        <v>1.05625000000001</v>
      </c>
      <c r="AQ423" s="45">
        <f t="shared" si="217"/>
        <v>0</v>
      </c>
      <c r="AR423" s="45">
        <f t="shared" si="218"/>
        <v>0</v>
      </c>
      <c r="AS423" s="19">
        <f t="shared" si="219"/>
        <v>1.07916666666667</v>
      </c>
      <c r="AT423" s="19">
        <f t="shared" si="220"/>
        <v>1.03333333333334</v>
      </c>
      <c r="AU423" s="46">
        <v>0</v>
      </c>
      <c r="AV423" s="46">
        <v>0</v>
      </c>
      <c r="AW423" s="46">
        <v>0</v>
      </c>
      <c r="AX423" s="46">
        <v>1</v>
      </c>
      <c r="AY423" s="47">
        <v>0</v>
      </c>
      <c r="AZ423" s="47">
        <v>-1</v>
      </c>
    </row>
    <row r="424" hidden="1" customHeight="1" spans="1:52">
      <c r="A424" s="44">
        <v>45749</v>
      </c>
      <c r="B424" s="33">
        <f t="shared" si="203"/>
        <v>267</v>
      </c>
      <c r="C424" s="33">
        <f t="shared" si="204"/>
        <v>2018</v>
      </c>
      <c r="D424" s="11">
        <f t="shared" si="205"/>
        <v>2285</v>
      </c>
      <c r="E424" s="34">
        <f t="shared" si="201"/>
        <v>-2.12331446782052e-7</v>
      </c>
      <c r="F424" s="35">
        <f t="shared" si="206"/>
        <v>0.000370053366709834</v>
      </c>
      <c r="G424" s="18">
        <f>(SUM($I$8:$I424)*(MAX(M$3-M$4,0))+(N424*MAX(M$4,0)))*(1-$AM$4)+(AM424*$AM$4)</f>
        <v>0.154312253918001</v>
      </c>
      <c r="H424" s="18">
        <f t="shared" si="195"/>
        <v>1.16666666666667</v>
      </c>
      <c r="I424" s="18">
        <f t="shared" si="207"/>
        <v>0.00150252525252526</v>
      </c>
      <c r="J424" s="18">
        <f t="shared" si="196"/>
        <v>0.253116502829526</v>
      </c>
      <c r="K424" s="18">
        <f t="shared" si="197"/>
        <v>0.00279731646880327</v>
      </c>
      <c r="L424" s="18">
        <f t="shared" si="198"/>
        <v>0.00128787878787879</v>
      </c>
      <c r="M424" s="18">
        <v>0</v>
      </c>
      <c r="N424" s="18">
        <f t="shared" si="202"/>
        <v>0.123</v>
      </c>
      <c r="O424" s="11">
        <v>0</v>
      </c>
      <c r="P424" s="11">
        <v>0</v>
      </c>
      <c r="Q424" s="11">
        <f t="shared" si="208"/>
        <v>1</v>
      </c>
      <c r="R424" s="11">
        <v>0</v>
      </c>
      <c r="S424" s="11">
        <f t="shared" si="199"/>
        <v>0</v>
      </c>
      <c r="T424" s="11">
        <v>0</v>
      </c>
      <c r="U424" s="11">
        <f t="shared" si="209"/>
        <v>1</v>
      </c>
      <c r="V424" s="11">
        <v>0</v>
      </c>
      <c r="W424" s="11">
        <f t="shared" si="210"/>
        <v>1</v>
      </c>
      <c r="X424" s="11">
        <f t="shared" si="200"/>
        <v>0</v>
      </c>
      <c r="Y424" s="19">
        <v>3</v>
      </c>
      <c r="Z424" s="11">
        <v>0</v>
      </c>
      <c r="AA424" s="11">
        <v>0</v>
      </c>
      <c r="AB424" s="11">
        <v>1</v>
      </c>
      <c r="AC424" s="11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45">
        <v>0</v>
      </c>
      <c r="AJ424" s="45">
        <v>0</v>
      </c>
      <c r="AK424" s="45">
        <f t="shared" si="211"/>
        <v>0.3611</v>
      </c>
      <c r="AL424" s="45">
        <f t="shared" si="212"/>
        <v>0.00348095238095238</v>
      </c>
      <c r="AM424" s="45">
        <f t="shared" si="213"/>
        <v>0.0012569719047619</v>
      </c>
      <c r="AN424" s="45">
        <f t="shared" si="214"/>
        <v>0.792187500000004</v>
      </c>
      <c r="AO424" s="45">
        <f t="shared" si="215"/>
        <v>0.792187500000004</v>
      </c>
      <c r="AP424" s="45">
        <f t="shared" si="216"/>
        <v>1.05625000000001</v>
      </c>
      <c r="AQ424" s="45">
        <f t="shared" si="217"/>
        <v>0</v>
      </c>
      <c r="AR424" s="45">
        <f t="shared" si="218"/>
        <v>0</v>
      </c>
      <c r="AS424" s="19">
        <f t="shared" si="219"/>
        <v>1.07916666666667</v>
      </c>
      <c r="AT424" s="19">
        <f t="shared" si="220"/>
        <v>1.03333333333334</v>
      </c>
      <c r="AU424" s="46">
        <v>0</v>
      </c>
      <c r="AV424" s="46">
        <v>0</v>
      </c>
      <c r="AW424" s="46">
        <v>0</v>
      </c>
      <c r="AX424" s="46">
        <v>1</v>
      </c>
      <c r="AY424" s="47">
        <v>0</v>
      </c>
      <c r="AZ424" s="47">
        <v>-1</v>
      </c>
    </row>
    <row r="425" hidden="1" customHeight="1" spans="1:52">
      <c r="A425" s="44">
        <v>45750</v>
      </c>
      <c r="B425" s="33">
        <f t="shared" si="203"/>
        <v>266</v>
      </c>
      <c r="C425" s="33">
        <f t="shared" si="204"/>
        <v>2020</v>
      </c>
      <c r="D425" s="11">
        <f t="shared" si="205"/>
        <v>2286</v>
      </c>
      <c r="E425" s="34">
        <f t="shared" si="201"/>
        <v>-2.11315506845329e-7</v>
      </c>
      <c r="F425" s="35">
        <f t="shared" si="206"/>
        <v>0.000369842051202989</v>
      </c>
      <c r="G425" s="18">
        <f>(SUM($I$8:$I425)*(MAX(M$3-M$4,0))+(N425*MAX(M$4,0)))*(1-$AM$4)+(AM425*$AM$4)</f>
        <v>0.154593977402849</v>
      </c>
      <c r="H425" s="18">
        <f t="shared" si="195"/>
        <v>1.16666666666667</v>
      </c>
      <c r="I425" s="18">
        <f t="shared" si="207"/>
        <v>0.00150252525252526</v>
      </c>
      <c r="J425" s="18">
        <f t="shared" si="196"/>
        <v>0.252971963022844</v>
      </c>
      <c r="K425" s="18">
        <f t="shared" si="197"/>
        <v>0.00280837607886149</v>
      </c>
      <c r="L425" s="18">
        <f t="shared" si="198"/>
        <v>0.00128787878787879</v>
      </c>
      <c r="M425" s="18">
        <v>0</v>
      </c>
      <c r="N425" s="18">
        <f t="shared" si="202"/>
        <v>0.123</v>
      </c>
      <c r="O425" s="11">
        <v>0</v>
      </c>
      <c r="P425" s="11">
        <v>0</v>
      </c>
      <c r="Q425" s="11">
        <f t="shared" si="208"/>
        <v>1</v>
      </c>
      <c r="R425" s="11">
        <v>0</v>
      </c>
      <c r="S425" s="11">
        <f t="shared" si="199"/>
        <v>0</v>
      </c>
      <c r="T425" s="11">
        <v>0</v>
      </c>
      <c r="U425" s="11">
        <f t="shared" si="209"/>
        <v>1</v>
      </c>
      <c r="V425" s="11">
        <v>0</v>
      </c>
      <c r="W425" s="11">
        <f t="shared" si="210"/>
        <v>1</v>
      </c>
      <c r="X425" s="11">
        <f t="shared" si="200"/>
        <v>0</v>
      </c>
      <c r="Y425" s="19">
        <v>3</v>
      </c>
      <c r="Z425" s="11">
        <v>0</v>
      </c>
      <c r="AA425" s="11">
        <v>0</v>
      </c>
      <c r="AB425" s="11">
        <v>1</v>
      </c>
      <c r="AC425" s="11">
        <v>0</v>
      </c>
      <c r="AD425" s="11">
        <v>0</v>
      </c>
      <c r="AE425" s="11">
        <v>0</v>
      </c>
      <c r="AF425" s="11">
        <v>0</v>
      </c>
      <c r="AG425" s="11">
        <v>0</v>
      </c>
      <c r="AH425" s="11">
        <v>0</v>
      </c>
      <c r="AI425" s="45">
        <v>0</v>
      </c>
      <c r="AJ425" s="45">
        <v>0</v>
      </c>
      <c r="AK425" s="45">
        <f t="shared" si="211"/>
        <v>0.3611</v>
      </c>
      <c r="AL425" s="45">
        <f t="shared" si="212"/>
        <v>0.00348095238095238</v>
      </c>
      <c r="AM425" s="45">
        <f t="shared" si="213"/>
        <v>0.0012569719047619</v>
      </c>
      <c r="AN425" s="45">
        <f t="shared" si="214"/>
        <v>0.792187500000004</v>
      </c>
      <c r="AO425" s="45">
        <f t="shared" si="215"/>
        <v>0.792187500000004</v>
      </c>
      <c r="AP425" s="45">
        <f t="shared" si="216"/>
        <v>1.05625000000001</v>
      </c>
      <c r="AQ425" s="45">
        <f t="shared" si="217"/>
        <v>0</v>
      </c>
      <c r="AR425" s="45">
        <f t="shared" si="218"/>
        <v>0</v>
      </c>
      <c r="AS425" s="19">
        <f t="shared" si="219"/>
        <v>1.07916666666667</v>
      </c>
      <c r="AT425" s="19">
        <f t="shared" si="220"/>
        <v>1.03333333333334</v>
      </c>
      <c r="AU425" s="46">
        <v>0</v>
      </c>
      <c r="AV425" s="46">
        <v>0</v>
      </c>
      <c r="AW425" s="46">
        <v>0</v>
      </c>
      <c r="AX425" s="46">
        <v>1</v>
      </c>
      <c r="AY425" s="47">
        <v>0</v>
      </c>
      <c r="AZ425" s="47">
        <v>-1</v>
      </c>
    </row>
    <row r="426" hidden="1" customHeight="1" spans="1:52">
      <c r="A426" s="44">
        <v>45751</v>
      </c>
      <c r="B426" s="33">
        <f t="shared" si="203"/>
        <v>265</v>
      </c>
      <c r="C426" s="33">
        <f t="shared" si="204"/>
        <v>2021</v>
      </c>
      <c r="D426" s="11">
        <f t="shared" si="205"/>
        <v>2286</v>
      </c>
      <c r="E426" s="34">
        <f t="shared" si="201"/>
        <v>-2.10306840941544e-7</v>
      </c>
      <c r="F426" s="35">
        <f t="shared" si="206"/>
        <v>0.000369631744362047</v>
      </c>
      <c r="G426" s="18">
        <f>(SUM($I$8:$I426)*(MAX(M$3-M$4,0))+(N426*MAX(M$4,0)))*(1-$AM$4)+(AM426*$AM$4)</f>
        <v>0.154875700887698</v>
      </c>
      <c r="H426" s="18">
        <f t="shared" si="195"/>
        <v>1.16666666666667</v>
      </c>
      <c r="I426" s="18">
        <f t="shared" si="207"/>
        <v>0.00150252525252526</v>
      </c>
      <c r="J426" s="18">
        <f t="shared" si="196"/>
        <v>0.25282811314364</v>
      </c>
      <c r="K426" s="18">
        <f t="shared" si="197"/>
        <v>0.00281951655417494</v>
      </c>
      <c r="L426" s="18">
        <f t="shared" si="198"/>
        <v>0.00128787878787879</v>
      </c>
      <c r="M426" s="18">
        <v>0</v>
      </c>
      <c r="N426" s="18">
        <f t="shared" si="202"/>
        <v>0.123</v>
      </c>
      <c r="O426" s="11">
        <v>0</v>
      </c>
      <c r="P426" s="11">
        <v>0</v>
      </c>
      <c r="Q426" s="11">
        <f t="shared" si="208"/>
        <v>1</v>
      </c>
      <c r="R426" s="11">
        <v>0</v>
      </c>
      <c r="S426" s="11">
        <f t="shared" si="199"/>
        <v>0</v>
      </c>
      <c r="T426" s="11">
        <v>0</v>
      </c>
      <c r="U426" s="11">
        <f t="shared" si="209"/>
        <v>1</v>
      </c>
      <c r="V426" s="11">
        <v>0</v>
      </c>
      <c r="W426" s="11">
        <f t="shared" si="210"/>
        <v>1</v>
      </c>
      <c r="X426" s="11">
        <f t="shared" si="200"/>
        <v>0</v>
      </c>
      <c r="Y426" s="19">
        <v>3</v>
      </c>
      <c r="Z426" s="11">
        <v>0</v>
      </c>
      <c r="AA426" s="11">
        <v>0</v>
      </c>
      <c r="AB426" s="11">
        <v>1</v>
      </c>
      <c r="AC426" s="11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45">
        <v>0</v>
      </c>
      <c r="AJ426" s="45">
        <v>0</v>
      </c>
      <c r="AK426" s="45">
        <f t="shared" si="211"/>
        <v>0.3611</v>
      </c>
      <c r="AL426" s="45">
        <f t="shared" si="212"/>
        <v>0.00348095238095238</v>
      </c>
      <c r="AM426" s="45">
        <f t="shared" si="213"/>
        <v>0.0012569719047619</v>
      </c>
      <c r="AN426" s="45">
        <f t="shared" si="214"/>
        <v>0.792187500000004</v>
      </c>
      <c r="AO426" s="45">
        <f t="shared" si="215"/>
        <v>0.792187500000004</v>
      </c>
      <c r="AP426" s="45">
        <f t="shared" si="216"/>
        <v>1.05625000000001</v>
      </c>
      <c r="AQ426" s="45">
        <f t="shared" si="217"/>
        <v>0</v>
      </c>
      <c r="AR426" s="45">
        <f t="shared" si="218"/>
        <v>0</v>
      </c>
      <c r="AS426" s="19">
        <f t="shared" si="219"/>
        <v>1.07916666666667</v>
      </c>
      <c r="AT426" s="19">
        <f t="shared" si="220"/>
        <v>1.03333333333334</v>
      </c>
      <c r="AU426" s="46">
        <v>0</v>
      </c>
      <c r="AV426" s="46">
        <v>0</v>
      </c>
      <c r="AW426" s="46">
        <v>0</v>
      </c>
      <c r="AX426" s="46">
        <v>1</v>
      </c>
      <c r="AY426" s="47">
        <v>0</v>
      </c>
      <c r="AZ426" s="47">
        <v>-1</v>
      </c>
    </row>
    <row r="427" hidden="1" customHeight="1" spans="1:52">
      <c r="A427" s="44">
        <v>45752</v>
      </c>
      <c r="B427" s="33">
        <f t="shared" si="203"/>
        <v>264</v>
      </c>
      <c r="C427" s="33">
        <f t="shared" si="204"/>
        <v>2023</v>
      </c>
      <c r="D427" s="11">
        <f t="shared" si="205"/>
        <v>2287</v>
      </c>
      <c r="E427" s="34">
        <f t="shared" si="201"/>
        <v>-2.23115354541716e-7</v>
      </c>
      <c r="F427" s="35">
        <f t="shared" si="206"/>
        <v>0.000369408629007505</v>
      </c>
      <c r="G427" s="18">
        <f>(SUM($I$8:$I427)*(MAX(M$3-M$4,0))+(N427*MAX(M$4,0)))*(1-$AM$4)+(AM427*$AM$4)</f>
        <v>0.155151624183152</v>
      </c>
      <c r="H427" s="18">
        <f t="shared" si="195"/>
        <v>1.16666666666667</v>
      </c>
      <c r="I427" s="18">
        <f t="shared" si="207"/>
        <v>0.00147159090909092</v>
      </c>
      <c r="J427" s="18">
        <f t="shared" si="196"/>
        <v>0.252675502241134</v>
      </c>
      <c r="K427" s="18">
        <f t="shared" si="197"/>
        <v>0.00283077461272298</v>
      </c>
      <c r="L427" s="18">
        <f t="shared" si="198"/>
        <v>0.00126136363636364</v>
      </c>
      <c r="M427" s="18">
        <v>0</v>
      </c>
      <c r="N427" s="18">
        <f t="shared" si="202"/>
        <v>0.123</v>
      </c>
      <c r="O427" s="11">
        <v>0</v>
      </c>
      <c r="P427" s="11">
        <v>0</v>
      </c>
      <c r="Q427" s="11">
        <f t="shared" si="208"/>
        <v>1</v>
      </c>
      <c r="R427" s="11">
        <v>0</v>
      </c>
      <c r="S427" s="11">
        <f t="shared" si="199"/>
        <v>0</v>
      </c>
      <c r="T427" s="11">
        <v>0</v>
      </c>
      <c r="U427" s="11">
        <f t="shared" si="209"/>
        <v>1</v>
      </c>
      <c r="V427" s="11">
        <v>0</v>
      </c>
      <c r="W427" s="11">
        <f t="shared" si="210"/>
        <v>1</v>
      </c>
      <c r="X427" s="11">
        <f t="shared" si="200"/>
        <v>0</v>
      </c>
      <c r="Y427" s="19">
        <v>3.33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1">
        <v>0</v>
      </c>
      <c r="AG427" s="11">
        <v>0</v>
      </c>
      <c r="AH427" s="11">
        <v>0</v>
      </c>
      <c r="AI427" s="45">
        <v>0</v>
      </c>
      <c r="AJ427" s="45">
        <v>0</v>
      </c>
      <c r="AK427" s="45">
        <f t="shared" si="211"/>
        <v>0.3611</v>
      </c>
      <c r="AL427" s="45">
        <f t="shared" si="212"/>
        <v>0.00348095238095238</v>
      </c>
      <c r="AM427" s="45">
        <f t="shared" si="213"/>
        <v>0.0012569719047619</v>
      </c>
      <c r="AN427" s="45">
        <f t="shared" si="214"/>
        <v>0.792187500000004</v>
      </c>
      <c r="AO427" s="45">
        <f t="shared" si="215"/>
        <v>0.792187500000004</v>
      </c>
      <c r="AP427" s="45">
        <f t="shared" si="216"/>
        <v>1.05625000000001</v>
      </c>
      <c r="AQ427" s="45">
        <f t="shared" si="217"/>
        <v>0</v>
      </c>
      <c r="AR427" s="45">
        <f t="shared" si="218"/>
        <v>0</v>
      </c>
      <c r="AS427" s="19">
        <f t="shared" si="219"/>
        <v>1.07916666666667</v>
      </c>
      <c r="AT427" s="19">
        <f t="shared" si="220"/>
        <v>1.03333333333334</v>
      </c>
      <c r="AU427" s="46">
        <v>0</v>
      </c>
      <c r="AV427" s="46">
        <v>0</v>
      </c>
      <c r="AW427" s="46">
        <v>0</v>
      </c>
      <c r="AX427" s="46">
        <v>1</v>
      </c>
      <c r="AY427" s="47">
        <v>0</v>
      </c>
      <c r="AZ427" s="47">
        <v>-1</v>
      </c>
    </row>
    <row r="428" hidden="1" customHeight="1" spans="1:52">
      <c r="A428" s="44">
        <v>45753</v>
      </c>
      <c r="B428" s="33">
        <f t="shared" si="203"/>
        <v>263</v>
      </c>
      <c r="C428" s="33">
        <f t="shared" si="204"/>
        <v>2025</v>
      </c>
      <c r="D428" s="11">
        <f t="shared" si="205"/>
        <v>2288</v>
      </c>
      <c r="E428" s="34">
        <f t="shared" si="201"/>
        <v>-2.02222352397815e-7</v>
      </c>
      <c r="F428" s="35">
        <f t="shared" si="206"/>
        <v>0.000369206406655107</v>
      </c>
      <c r="G428" s="18">
        <f>(SUM($I$8:$I428)*(MAX(M$3-M$4,0))+(N428*MAX(M$4,0)))*(1-$AM$4)+(AM428*$AM$4)</f>
        <v>0.1554358972018</v>
      </c>
      <c r="H428" s="18">
        <f t="shared" si="195"/>
        <v>1.16666666666667</v>
      </c>
      <c r="I428" s="18">
        <f t="shared" si="207"/>
        <v>0.00151612276612277</v>
      </c>
      <c r="J428" s="18">
        <f t="shared" si="196"/>
        <v>0.252537182152094</v>
      </c>
      <c r="K428" s="18">
        <f t="shared" si="197"/>
        <v>0.00284206394618976</v>
      </c>
      <c r="L428" s="18">
        <f t="shared" si="198"/>
        <v>0.0012995337995338</v>
      </c>
      <c r="M428" s="18">
        <v>0</v>
      </c>
      <c r="N428" s="18">
        <f t="shared" si="202"/>
        <v>0.123</v>
      </c>
      <c r="O428" s="11">
        <v>0</v>
      </c>
      <c r="P428" s="11">
        <v>0</v>
      </c>
      <c r="Q428" s="11">
        <f t="shared" si="208"/>
        <v>1</v>
      </c>
      <c r="R428" s="11">
        <v>0</v>
      </c>
      <c r="S428" s="11">
        <f t="shared" si="199"/>
        <v>0</v>
      </c>
      <c r="T428" s="11">
        <v>0</v>
      </c>
      <c r="U428" s="11">
        <f t="shared" si="209"/>
        <v>1</v>
      </c>
      <c r="V428" s="11">
        <v>0</v>
      </c>
      <c r="W428" s="11">
        <f t="shared" si="210"/>
        <v>1</v>
      </c>
      <c r="X428" s="11">
        <f t="shared" si="200"/>
        <v>0</v>
      </c>
      <c r="Y428" s="19">
        <v>1</v>
      </c>
      <c r="Z428" s="11">
        <v>0</v>
      </c>
      <c r="AA428" s="11">
        <v>0</v>
      </c>
      <c r="AB428" s="11">
        <v>1</v>
      </c>
      <c r="AC428" s="11">
        <v>0</v>
      </c>
      <c r="AD428" s="11">
        <v>9</v>
      </c>
      <c r="AE428" s="11">
        <v>0</v>
      </c>
      <c r="AF428" s="11">
        <v>0</v>
      </c>
      <c r="AG428" s="11">
        <v>0</v>
      </c>
      <c r="AH428" s="11">
        <v>1</v>
      </c>
      <c r="AI428" s="45">
        <v>0</v>
      </c>
      <c r="AJ428" s="45">
        <v>0</v>
      </c>
      <c r="AK428" s="45">
        <f t="shared" si="211"/>
        <v>0.3611</v>
      </c>
      <c r="AL428" s="45">
        <f t="shared" si="212"/>
        <v>0.00348095238095238</v>
      </c>
      <c r="AM428" s="45">
        <f t="shared" si="213"/>
        <v>0.0012569719047619</v>
      </c>
      <c r="AN428" s="45">
        <f t="shared" si="214"/>
        <v>0.792187500000004</v>
      </c>
      <c r="AO428" s="45">
        <f t="shared" si="215"/>
        <v>0.792187500000004</v>
      </c>
      <c r="AP428" s="45">
        <f t="shared" si="216"/>
        <v>1.05625000000001</v>
      </c>
      <c r="AQ428" s="45">
        <f t="shared" si="217"/>
        <v>0</v>
      </c>
      <c r="AR428" s="45">
        <f t="shared" si="218"/>
        <v>0</v>
      </c>
      <c r="AS428" s="19">
        <f t="shared" si="219"/>
        <v>1.07916666666667</v>
      </c>
      <c r="AT428" s="19">
        <f t="shared" si="220"/>
        <v>1.03333333333334</v>
      </c>
      <c r="AU428" s="46">
        <v>0</v>
      </c>
      <c r="AV428" s="46">
        <v>0</v>
      </c>
      <c r="AW428" s="46">
        <v>0</v>
      </c>
      <c r="AX428" s="46">
        <v>1</v>
      </c>
      <c r="AY428" s="47">
        <v>0</v>
      </c>
      <c r="AZ428" s="47">
        <v>-1</v>
      </c>
    </row>
    <row r="429" hidden="1" customHeight="1" spans="1:52">
      <c r="A429" s="44">
        <v>45754</v>
      </c>
      <c r="B429" s="33">
        <f t="shared" si="203"/>
        <v>262</v>
      </c>
      <c r="C429" s="33">
        <f t="shared" si="204"/>
        <v>2026</v>
      </c>
      <c r="D429" s="11">
        <f t="shared" si="205"/>
        <v>2288</v>
      </c>
      <c r="E429" s="34">
        <f t="shared" si="201"/>
        <v>-2.20395525368745e-7</v>
      </c>
      <c r="F429" s="35">
        <f t="shared" si="206"/>
        <v>0.000368986011129739</v>
      </c>
      <c r="G429" s="18">
        <f>(SUM($I$8:$I429)*(MAX(M$3-M$4,0))+(N429*MAX(M$4,0)))*(1-$AM$4)+(AM429*$AM$4)</f>
        <v>0.15571209669675</v>
      </c>
      <c r="H429" s="18">
        <f t="shared" si="195"/>
        <v>1.16666666666667</v>
      </c>
      <c r="I429" s="18">
        <f t="shared" si="207"/>
        <v>0.00147306397306398</v>
      </c>
      <c r="J429" s="18">
        <f t="shared" si="196"/>
        <v>0.252386431612741</v>
      </c>
      <c r="K429" s="18">
        <f t="shared" si="197"/>
        <v>0.00285348690224145</v>
      </c>
      <c r="L429" s="18">
        <f t="shared" si="198"/>
        <v>0.00126262626262626</v>
      </c>
      <c r="M429" s="18">
        <v>0</v>
      </c>
      <c r="N429" s="18">
        <f t="shared" si="202"/>
        <v>0.123</v>
      </c>
      <c r="O429" s="11">
        <v>0</v>
      </c>
      <c r="P429" s="11">
        <v>0</v>
      </c>
      <c r="Q429" s="11">
        <f t="shared" si="208"/>
        <v>1</v>
      </c>
      <c r="R429" s="11">
        <v>0</v>
      </c>
      <c r="S429" s="11">
        <f t="shared" si="199"/>
        <v>0</v>
      </c>
      <c r="T429" s="11">
        <v>0</v>
      </c>
      <c r="U429" s="11">
        <f t="shared" si="209"/>
        <v>1</v>
      </c>
      <c r="V429" s="11">
        <v>0</v>
      </c>
      <c r="W429" s="11">
        <f t="shared" si="210"/>
        <v>1</v>
      </c>
      <c r="X429" s="11">
        <f t="shared" si="200"/>
        <v>0</v>
      </c>
      <c r="Y429" s="19">
        <v>0</v>
      </c>
      <c r="Z429" s="11">
        <v>0</v>
      </c>
      <c r="AA429" s="11">
        <v>5</v>
      </c>
      <c r="AB429" s="11">
        <v>0</v>
      </c>
      <c r="AC429" s="11">
        <v>0</v>
      </c>
      <c r="AD429" s="11">
        <v>3</v>
      </c>
      <c r="AE429" s="11">
        <v>0</v>
      </c>
      <c r="AF429" s="11">
        <v>0</v>
      </c>
      <c r="AG429" s="11">
        <v>0</v>
      </c>
      <c r="AH429" s="11">
        <v>0</v>
      </c>
      <c r="AI429" s="45">
        <v>0</v>
      </c>
      <c r="AJ429" s="45">
        <v>0</v>
      </c>
      <c r="AK429" s="45">
        <f t="shared" si="211"/>
        <v>0.3611</v>
      </c>
      <c r="AL429" s="45">
        <f t="shared" si="212"/>
        <v>0.00348095238095238</v>
      </c>
      <c r="AM429" s="45">
        <f t="shared" si="213"/>
        <v>0.0012569719047619</v>
      </c>
      <c r="AN429" s="45">
        <f t="shared" si="214"/>
        <v>0.792187500000004</v>
      </c>
      <c r="AO429" s="45">
        <f t="shared" si="215"/>
        <v>0.792187500000004</v>
      </c>
      <c r="AP429" s="45">
        <f t="shared" si="216"/>
        <v>1.05625000000001</v>
      </c>
      <c r="AQ429" s="45">
        <f t="shared" si="217"/>
        <v>0</v>
      </c>
      <c r="AR429" s="45">
        <f t="shared" si="218"/>
        <v>0</v>
      </c>
      <c r="AS429" s="19">
        <f t="shared" si="219"/>
        <v>1.07916666666667</v>
      </c>
      <c r="AT429" s="19">
        <f t="shared" si="220"/>
        <v>1.03333333333334</v>
      </c>
      <c r="AU429" s="46">
        <v>0</v>
      </c>
      <c r="AV429" s="46">
        <v>0</v>
      </c>
      <c r="AW429" s="46">
        <v>0</v>
      </c>
      <c r="AX429" s="46">
        <v>1</v>
      </c>
      <c r="AY429" s="47">
        <v>0</v>
      </c>
      <c r="AZ429" s="47">
        <v>-1</v>
      </c>
    </row>
    <row r="430" hidden="1" customHeight="1" spans="1:52">
      <c r="A430" s="44">
        <v>45755</v>
      </c>
      <c r="B430" s="33">
        <f t="shared" si="203"/>
        <v>261</v>
      </c>
      <c r="C430" s="33">
        <f t="shared" si="204"/>
        <v>2028</v>
      </c>
      <c r="D430" s="11">
        <f t="shared" si="205"/>
        <v>2289</v>
      </c>
      <c r="E430" s="34">
        <f t="shared" si="201"/>
        <v>-2.25230051146066e-7</v>
      </c>
      <c r="F430" s="35">
        <f t="shared" si="206"/>
        <v>0.000368760781078593</v>
      </c>
      <c r="G430" s="18">
        <f>(SUM($I$8:$I430)*(MAX(M$3-M$4,0))+(N430*MAX(M$4,0)))*(1-$AM$4)+(AM430*$AM$4)</f>
        <v>0.155985810396245</v>
      </c>
      <c r="H430" s="18">
        <f t="shared" si="195"/>
        <v>1.16666666666667</v>
      </c>
      <c r="I430" s="18">
        <f t="shared" si="207"/>
        <v>0.0014598063973064</v>
      </c>
      <c r="J430" s="18">
        <f t="shared" si="196"/>
        <v>0.252232374257757</v>
      </c>
      <c r="K430" s="18">
        <f t="shared" si="197"/>
        <v>0.00286501006031511</v>
      </c>
      <c r="L430" s="18">
        <f t="shared" si="198"/>
        <v>0.00125126262626263</v>
      </c>
      <c r="M430" s="18">
        <v>0</v>
      </c>
      <c r="N430" s="18">
        <f t="shared" si="202"/>
        <v>0.123</v>
      </c>
      <c r="O430" s="11">
        <v>0</v>
      </c>
      <c r="P430" s="11">
        <v>0</v>
      </c>
      <c r="Q430" s="11">
        <f t="shared" si="208"/>
        <v>1</v>
      </c>
      <c r="R430" s="11">
        <v>0</v>
      </c>
      <c r="S430" s="11">
        <f t="shared" si="199"/>
        <v>0</v>
      </c>
      <c r="T430" s="11">
        <v>0</v>
      </c>
      <c r="U430" s="11">
        <f t="shared" si="209"/>
        <v>1</v>
      </c>
      <c r="V430" s="11">
        <v>0</v>
      </c>
      <c r="W430" s="11">
        <f t="shared" si="210"/>
        <v>1</v>
      </c>
      <c r="X430" s="11">
        <f t="shared" si="200"/>
        <v>0</v>
      </c>
      <c r="Y430" s="19">
        <v>1.17</v>
      </c>
      <c r="Z430" s="11">
        <v>0</v>
      </c>
      <c r="AA430" s="11">
        <v>4</v>
      </c>
      <c r="AB430" s="11">
        <v>0</v>
      </c>
      <c r="AC430" s="11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45">
        <v>0</v>
      </c>
      <c r="AJ430" s="45">
        <v>0</v>
      </c>
      <c r="AK430" s="45">
        <f t="shared" si="211"/>
        <v>0.3611</v>
      </c>
      <c r="AL430" s="45">
        <f t="shared" si="212"/>
        <v>0.00348095238095238</v>
      </c>
      <c r="AM430" s="45">
        <f t="shared" si="213"/>
        <v>0.0012569719047619</v>
      </c>
      <c r="AN430" s="45">
        <f t="shared" si="214"/>
        <v>0.792187500000004</v>
      </c>
      <c r="AO430" s="45">
        <f t="shared" si="215"/>
        <v>0.792187500000004</v>
      </c>
      <c r="AP430" s="45">
        <f t="shared" si="216"/>
        <v>1.05625000000001</v>
      </c>
      <c r="AQ430" s="45">
        <f t="shared" si="217"/>
        <v>0</v>
      </c>
      <c r="AR430" s="45">
        <f t="shared" si="218"/>
        <v>0</v>
      </c>
      <c r="AS430" s="19">
        <f t="shared" si="219"/>
        <v>1.07916666666667</v>
      </c>
      <c r="AT430" s="19">
        <f t="shared" si="220"/>
        <v>1.03333333333334</v>
      </c>
      <c r="AU430" s="46">
        <v>0</v>
      </c>
      <c r="AV430" s="46">
        <v>0</v>
      </c>
      <c r="AW430" s="46">
        <v>0</v>
      </c>
      <c r="AX430" s="46">
        <v>1</v>
      </c>
      <c r="AY430" s="47">
        <v>0</v>
      </c>
      <c r="AZ430" s="47">
        <v>-1</v>
      </c>
    </row>
    <row r="431" hidden="1" customHeight="1" spans="1:52">
      <c r="A431" s="44">
        <v>45756</v>
      </c>
      <c r="B431" s="33">
        <f t="shared" si="203"/>
        <v>260</v>
      </c>
      <c r="C431" s="33">
        <f t="shared" si="204"/>
        <v>2029</v>
      </c>
      <c r="D431" s="11">
        <f t="shared" si="205"/>
        <v>2289</v>
      </c>
      <c r="E431" s="34">
        <f t="shared" si="201"/>
        <v>-2.00933882697578e-7</v>
      </c>
      <c r="F431" s="35">
        <f t="shared" si="206"/>
        <v>0.000368559847195895</v>
      </c>
      <c r="G431" s="18">
        <f>(SUM($I$8:$I431)*(MAX(M$3-M$4,0))+(N431*MAX(M$4,0)))*(1-$AM$4)+(AM431*$AM$4)</f>
        <v>0.15626937521106</v>
      </c>
      <c r="H431" s="18">
        <f t="shared" si="195"/>
        <v>1.16666666666667</v>
      </c>
      <c r="I431" s="18">
        <f t="shared" si="207"/>
        <v>0.00151234567901235</v>
      </c>
      <c r="J431" s="18">
        <f t="shared" si="196"/>
        <v>0.252094935481992</v>
      </c>
      <c r="K431" s="18">
        <f t="shared" si="197"/>
        <v>0.00287655794045388</v>
      </c>
      <c r="L431" s="18">
        <f t="shared" si="198"/>
        <v>0.0012962962962963</v>
      </c>
      <c r="M431" s="18">
        <v>0</v>
      </c>
      <c r="N431" s="18">
        <f t="shared" si="202"/>
        <v>0.123</v>
      </c>
      <c r="O431" s="11">
        <v>0</v>
      </c>
      <c r="P431" s="11">
        <v>0</v>
      </c>
      <c r="Q431" s="11">
        <f t="shared" si="208"/>
        <v>1</v>
      </c>
      <c r="R431" s="11">
        <v>0</v>
      </c>
      <c r="S431" s="11">
        <f t="shared" si="199"/>
        <v>0</v>
      </c>
      <c r="T431" s="11">
        <v>0</v>
      </c>
      <c r="U431" s="11">
        <f t="shared" si="209"/>
        <v>1</v>
      </c>
      <c r="V431" s="11">
        <v>0</v>
      </c>
      <c r="W431" s="11">
        <f t="shared" si="210"/>
        <v>1</v>
      </c>
      <c r="X431" s="11">
        <f t="shared" si="200"/>
        <v>0</v>
      </c>
      <c r="Y431" s="19">
        <v>0</v>
      </c>
      <c r="Z431" s="11">
        <v>0</v>
      </c>
      <c r="AA431" s="11">
        <v>6</v>
      </c>
      <c r="AB431" s="11">
        <v>0</v>
      </c>
      <c r="AC431" s="11">
        <v>0</v>
      </c>
      <c r="AD431" s="11">
        <v>1</v>
      </c>
      <c r="AE431" s="11">
        <v>0</v>
      </c>
      <c r="AF431" s="11">
        <v>0</v>
      </c>
      <c r="AG431" s="11">
        <v>0</v>
      </c>
      <c r="AH431" s="11">
        <v>0</v>
      </c>
      <c r="AI431" s="45">
        <v>0</v>
      </c>
      <c r="AJ431" s="45">
        <v>0</v>
      </c>
      <c r="AK431" s="45">
        <f t="shared" si="211"/>
        <v>0.3611</v>
      </c>
      <c r="AL431" s="45">
        <f t="shared" si="212"/>
        <v>0.00348095238095238</v>
      </c>
      <c r="AM431" s="45">
        <f t="shared" si="213"/>
        <v>0.0012569719047619</v>
      </c>
      <c r="AN431" s="45">
        <f t="shared" si="214"/>
        <v>0.792187500000004</v>
      </c>
      <c r="AO431" s="45">
        <f t="shared" si="215"/>
        <v>0.792187500000004</v>
      </c>
      <c r="AP431" s="45">
        <f t="shared" si="216"/>
        <v>1.05625000000001</v>
      </c>
      <c r="AQ431" s="45">
        <f t="shared" si="217"/>
        <v>0</v>
      </c>
      <c r="AR431" s="45">
        <f t="shared" si="218"/>
        <v>0</v>
      </c>
      <c r="AS431" s="19">
        <f t="shared" si="219"/>
        <v>1.07916666666667</v>
      </c>
      <c r="AT431" s="19">
        <f t="shared" si="220"/>
        <v>1.03333333333334</v>
      </c>
      <c r="AU431" s="46">
        <v>0</v>
      </c>
      <c r="AV431" s="46">
        <v>0</v>
      </c>
      <c r="AW431" s="46">
        <v>0</v>
      </c>
      <c r="AX431" s="46">
        <v>1</v>
      </c>
      <c r="AY431" s="47">
        <v>0</v>
      </c>
      <c r="AZ431" s="47">
        <v>-1</v>
      </c>
    </row>
    <row r="432" hidden="1" customHeight="1" spans="1:52">
      <c r="A432" s="44">
        <v>45757</v>
      </c>
      <c r="B432" s="33">
        <f t="shared" si="203"/>
        <v>259</v>
      </c>
      <c r="C432" s="33">
        <f t="shared" si="204"/>
        <v>2031</v>
      </c>
      <c r="D432" s="11">
        <f t="shared" si="205"/>
        <v>2290</v>
      </c>
      <c r="E432" s="34">
        <f t="shared" si="201"/>
        <v>-1.9998831148494e-7</v>
      </c>
      <c r="F432" s="35">
        <f t="shared" si="206"/>
        <v>0.00036835985888441</v>
      </c>
      <c r="G432" s="18">
        <f>(SUM($I$8:$I432)*(MAX(M$3-M$4,0))+(N432*MAX(M$4,0)))*(1-$AM$4)+(AM432*$AM$4)</f>
        <v>0.156552940025874</v>
      </c>
      <c r="H432" s="18">
        <f t="shared" si="195"/>
        <v>1.16666666666667</v>
      </c>
      <c r="I432" s="18">
        <f t="shared" si="207"/>
        <v>0.00151234567901235</v>
      </c>
      <c r="J432" s="18">
        <f t="shared" si="196"/>
        <v>0.251958143476937</v>
      </c>
      <c r="K432" s="18">
        <f t="shared" si="197"/>
        <v>0.00288819249622804</v>
      </c>
      <c r="L432" s="18">
        <f t="shared" si="198"/>
        <v>0.0012962962962963</v>
      </c>
      <c r="M432" s="18">
        <v>0</v>
      </c>
      <c r="N432" s="18">
        <f t="shared" si="202"/>
        <v>0.123</v>
      </c>
      <c r="O432" s="11">
        <v>0</v>
      </c>
      <c r="P432" s="11">
        <v>0</v>
      </c>
      <c r="Q432" s="11">
        <f t="shared" si="208"/>
        <v>1</v>
      </c>
      <c r="R432" s="11">
        <v>0</v>
      </c>
      <c r="S432" s="11">
        <f t="shared" si="199"/>
        <v>0</v>
      </c>
      <c r="T432" s="11">
        <v>0</v>
      </c>
      <c r="U432" s="11">
        <f t="shared" si="209"/>
        <v>1</v>
      </c>
      <c r="V432" s="11">
        <v>0</v>
      </c>
      <c r="W432" s="11">
        <f t="shared" si="210"/>
        <v>1</v>
      </c>
      <c r="X432" s="11">
        <f t="shared" si="200"/>
        <v>0</v>
      </c>
      <c r="Y432" s="19">
        <v>0</v>
      </c>
      <c r="Z432" s="11">
        <v>0</v>
      </c>
      <c r="AA432" s="11">
        <v>6</v>
      </c>
      <c r="AB432" s="11">
        <v>0</v>
      </c>
      <c r="AC432" s="11">
        <v>0</v>
      </c>
      <c r="AD432" s="11">
        <v>1</v>
      </c>
      <c r="AE432" s="11">
        <v>0</v>
      </c>
      <c r="AF432" s="11">
        <v>0</v>
      </c>
      <c r="AG432" s="11">
        <v>0</v>
      </c>
      <c r="AH432" s="11">
        <v>0</v>
      </c>
      <c r="AI432" s="45">
        <v>0</v>
      </c>
      <c r="AJ432" s="45">
        <v>0</v>
      </c>
      <c r="AK432" s="45">
        <f t="shared" si="211"/>
        <v>0.3611</v>
      </c>
      <c r="AL432" s="45">
        <f t="shared" si="212"/>
        <v>0.00348095238095238</v>
      </c>
      <c r="AM432" s="45">
        <f t="shared" si="213"/>
        <v>0.0012569719047619</v>
      </c>
      <c r="AN432" s="45">
        <f t="shared" si="214"/>
        <v>0.792187500000004</v>
      </c>
      <c r="AO432" s="45">
        <f t="shared" si="215"/>
        <v>0.792187500000004</v>
      </c>
      <c r="AP432" s="45">
        <f t="shared" si="216"/>
        <v>1.05625000000001</v>
      </c>
      <c r="AQ432" s="45">
        <f t="shared" si="217"/>
        <v>0</v>
      </c>
      <c r="AR432" s="45">
        <f t="shared" si="218"/>
        <v>0</v>
      </c>
      <c r="AS432" s="19">
        <f t="shared" si="219"/>
        <v>1.07916666666667</v>
      </c>
      <c r="AT432" s="19">
        <f t="shared" si="220"/>
        <v>1.03333333333334</v>
      </c>
      <c r="AU432" s="46">
        <v>0</v>
      </c>
      <c r="AV432" s="46">
        <v>0</v>
      </c>
      <c r="AW432" s="46">
        <v>0</v>
      </c>
      <c r="AX432" s="46">
        <v>1</v>
      </c>
      <c r="AY432" s="47">
        <v>0</v>
      </c>
      <c r="AZ432" s="47">
        <v>-1</v>
      </c>
    </row>
    <row r="433" hidden="1" customHeight="1" spans="1:52">
      <c r="A433" s="44">
        <v>45758</v>
      </c>
      <c r="B433" s="33">
        <f t="shared" si="203"/>
        <v>258</v>
      </c>
      <c r="C433" s="33">
        <f t="shared" si="204"/>
        <v>2032</v>
      </c>
      <c r="D433" s="11">
        <f t="shared" si="205"/>
        <v>2290</v>
      </c>
      <c r="E433" s="34">
        <f t="shared" si="201"/>
        <v>-2.24983624102257e-7</v>
      </c>
      <c r="F433" s="35">
        <f t="shared" si="206"/>
        <v>0.000368134875260308</v>
      </c>
      <c r="G433" s="18">
        <f>(SUM($I$8:$I433)*(MAX(M$3-M$4,0))+(N433*MAX(M$4,0)))*(1-$AM$4)+(AM433*$AM$4)</f>
        <v>0.156825456860891</v>
      </c>
      <c r="H433" s="18">
        <f t="shared" si="195"/>
        <v>1.16666666666667</v>
      </c>
      <c r="I433" s="18">
        <f t="shared" si="207"/>
        <v>0.00145342312008979</v>
      </c>
      <c r="J433" s="18">
        <f t="shared" si="196"/>
        <v>0.251804254678051</v>
      </c>
      <c r="K433" s="18">
        <f t="shared" si="197"/>
        <v>0.0028999835089998</v>
      </c>
      <c r="L433" s="18">
        <f t="shared" si="198"/>
        <v>0.00124579124579125</v>
      </c>
      <c r="M433" s="18">
        <v>0</v>
      </c>
      <c r="N433" s="18">
        <f t="shared" si="202"/>
        <v>0.123</v>
      </c>
      <c r="O433" s="11">
        <v>0</v>
      </c>
      <c r="P433" s="11">
        <v>0</v>
      </c>
      <c r="Q433" s="11">
        <f t="shared" si="208"/>
        <v>1</v>
      </c>
      <c r="R433" s="11">
        <v>0</v>
      </c>
      <c r="S433" s="11">
        <f t="shared" si="199"/>
        <v>0</v>
      </c>
      <c r="T433" s="11">
        <v>0</v>
      </c>
      <c r="U433" s="11">
        <f t="shared" si="209"/>
        <v>1</v>
      </c>
      <c r="V433" s="11">
        <v>0</v>
      </c>
      <c r="W433" s="11">
        <f t="shared" si="210"/>
        <v>1</v>
      </c>
      <c r="X433" s="11">
        <f t="shared" si="200"/>
        <v>0</v>
      </c>
      <c r="Y433" s="19">
        <v>2</v>
      </c>
      <c r="Z433" s="11">
        <v>0</v>
      </c>
      <c r="AA433" s="11">
        <v>2</v>
      </c>
      <c r="AB433" s="11">
        <v>0</v>
      </c>
      <c r="AC433" s="11">
        <v>0</v>
      </c>
      <c r="AD433" s="11">
        <v>1</v>
      </c>
      <c r="AE433" s="11">
        <v>0</v>
      </c>
      <c r="AF433" s="11">
        <v>0</v>
      </c>
      <c r="AG433" s="11">
        <v>0</v>
      </c>
      <c r="AH433" s="11">
        <v>0</v>
      </c>
      <c r="AI433" s="45">
        <v>0</v>
      </c>
      <c r="AJ433" s="45">
        <v>0</v>
      </c>
      <c r="AK433" s="45">
        <f t="shared" si="211"/>
        <v>0.3611</v>
      </c>
      <c r="AL433" s="45">
        <f t="shared" si="212"/>
        <v>0.00348095238095238</v>
      </c>
      <c r="AM433" s="45">
        <f t="shared" si="213"/>
        <v>0.0012569719047619</v>
      </c>
      <c r="AN433" s="45">
        <f t="shared" si="214"/>
        <v>0.792187500000004</v>
      </c>
      <c r="AO433" s="45">
        <f t="shared" si="215"/>
        <v>0.792187500000004</v>
      </c>
      <c r="AP433" s="45">
        <f t="shared" si="216"/>
        <v>1.05625000000001</v>
      </c>
      <c r="AQ433" s="45">
        <f t="shared" si="217"/>
        <v>0</v>
      </c>
      <c r="AR433" s="45">
        <f t="shared" si="218"/>
        <v>0</v>
      </c>
      <c r="AS433" s="19">
        <f t="shared" si="219"/>
        <v>1.07916666666667</v>
      </c>
      <c r="AT433" s="19">
        <f t="shared" si="220"/>
        <v>1.03333333333334</v>
      </c>
      <c r="AU433" s="46">
        <v>0</v>
      </c>
      <c r="AV433" s="46">
        <v>0</v>
      </c>
      <c r="AW433" s="46">
        <v>0</v>
      </c>
      <c r="AX433" s="46">
        <v>1</v>
      </c>
      <c r="AY433" s="47">
        <v>0</v>
      </c>
      <c r="AZ433" s="47">
        <v>-1</v>
      </c>
    </row>
    <row r="434" hidden="1" customHeight="1" spans="1:52">
      <c r="A434" s="44">
        <v>45759</v>
      </c>
      <c r="B434" s="33">
        <f t="shared" si="203"/>
        <v>257</v>
      </c>
      <c r="C434" s="33">
        <f t="shared" si="204"/>
        <v>2034</v>
      </c>
      <c r="D434" s="11">
        <f t="shared" si="205"/>
        <v>2291</v>
      </c>
      <c r="E434" s="34">
        <f t="shared" si="201"/>
        <v>-2.25007898676903e-7</v>
      </c>
      <c r="F434" s="35">
        <f t="shared" si="206"/>
        <v>0.000367909867361631</v>
      </c>
      <c r="G434" s="18">
        <f>(SUM($I$8:$I434)*(MAX(M$3-M$4,0))+(N434*MAX(M$4,0)))*(1-$AM$4)+(AM434*$AM$4)</f>
        <v>0.157097513363416</v>
      </c>
      <c r="H434" s="18">
        <f t="shared" si="195"/>
        <v>1.16666666666667</v>
      </c>
      <c r="I434" s="18">
        <f t="shared" si="207"/>
        <v>0.00145096801346802</v>
      </c>
      <c r="J434" s="18">
        <f t="shared" si="196"/>
        <v>0.251650349275356</v>
      </c>
      <c r="K434" s="18">
        <f t="shared" si="197"/>
        <v>0.00291186634523208</v>
      </c>
      <c r="L434" s="18">
        <f t="shared" si="198"/>
        <v>0.00124368686868687</v>
      </c>
      <c r="M434" s="18">
        <v>0</v>
      </c>
      <c r="N434" s="18">
        <f t="shared" si="202"/>
        <v>0.123</v>
      </c>
      <c r="O434" s="11">
        <v>0</v>
      </c>
      <c r="P434" s="11">
        <v>0</v>
      </c>
      <c r="Q434" s="11">
        <f t="shared" si="208"/>
        <v>1</v>
      </c>
      <c r="R434" s="11">
        <v>0</v>
      </c>
      <c r="S434" s="11">
        <f t="shared" si="199"/>
        <v>0</v>
      </c>
      <c r="T434" s="11">
        <v>0</v>
      </c>
      <c r="U434" s="11">
        <f t="shared" si="209"/>
        <v>1</v>
      </c>
      <c r="V434" s="11">
        <v>0</v>
      </c>
      <c r="W434" s="11">
        <f t="shared" si="210"/>
        <v>1</v>
      </c>
      <c r="X434" s="11">
        <f t="shared" si="200"/>
        <v>0</v>
      </c>
      <c r="Y434" s="19">
        <v>2.75</v>
      </c>
      <c r="Z434" s="11">
        <v>0</v>
      </c>
      <c r="AA434" s="11">
        <v>1</v>
      </c>
      <c r="AB434" s="11">
        <v>0</v>
      </c>
      <c r="AC434" s="11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45">
        <v>0</v>
      </c>
      <c r="AJ434" s="45">
        <v>0</v>
      </c>
      <c r="AK434" s="45">
        <f t="shared" si="211"/>
        <v>0.3611</v>
      </c>
      <c r="AL434" s="45">
        <f t="shared" si="212"/>
        <v>0.00348095238095238</v>
      </c>
      <c r="AM434" s="45">
        <f t="shared" si="213"/>
        <v>0.0012569719047619</v>
      </c>
      <c r="AN434" s="45">
        <f t="shared" si="214"/>
        <v>0.792187500000004</v>
      </c>
      <c r="AO434" s="45">
        <f t="shared" si="215"/>
        <v>0.792187500000004</v>
      </c>
      <c r="AP434" s="45">
        <f t="shared" si="216"/>
        <v>1.05625000000001</v>
      </c>
      <c r="AQ434" s="45">
        <f t="shared" si="217"/>
        <v>0</v>
      </c>
      <c r="AR434" s="45">
        <f t="shared" si="218"/>
        <v>0</v>
      </c>
      <c r="AS434" s="19">
        <f t="shared" si="219"/>
        <v>1.07916666666667</v>
      </c>
      <c r="AT434" s="19">
        <f t="shared" si="220"/>
        <v>1.03333333333334</v>
      </c>
      <c r="AU434" s="46">
        <v>0</v>
      </c>
      <c r="AV434" s="46">
        <v>0</v>
      </c>
      <c r="AW434" s="46">
        <v>0</v>
      </c>
      <c r="AX434" s="46">
        <v>1</v>
      </c>
      <c r="AY434" s="47">
        <v>0</v>
      </c>
      <c r="AZ434" s="47">
        <v>-1</v>
      </c>
    </row>
    <row r="435" hidden="1" customHeight="1" spans="1:52">
      <c r="A435" s="44">
        <v>45760</v>
      </c>
      <c r="B435" s="33">
        <f t="shared" si="203"/>
        <v>256</v>
      </c>
      <c r="C435" s="33">
        <f t="shared" si="204"/>
        <v>2036</v>
      </c>
      <c r="D435" s="11">
        <f t="shared" si="205"/>
        <v>2292</v>
      </c>
      <c r="E435" s="34">
        <f t="shared" si="201"/>
        <v>-2.07823311828659e-7</v>
      </c>
      <c r="F435" s="35">
        <f t="shared" si="206"/>
        <v>0.000367702044049802</v>
      </c>
      <c r="G435" s="18">
        <f>(SUM($I$8:$I435)*(MAX(M$3-M$4,0))+(N435*MAX(M$4,0)))*(1-$AM$4)+(AM435*$AM$4)</f>
        <v>0.157376474853315</v>
      </c>
      <c r="H435" s="18">
        <f t="shared" si="195"/>
        <v>1.16666666666667</v>
      </c>
      <c r="I435" s="18">
        <f t="shared" si="207"/>
        <v>0.00148779461279462</v>
      </c>
      <c r="J435" s="18">
        <f t="shared" si="196"/>
        <v>0.251508198130065</v>
      </c>
      <c r="K435" s="18">
        <f t="shared" si="197"/>
        <v>0.00292379610105443</v>
      </c>
      <c r="L435" s="18">
        <f t="shared" si="198"/>
        <v>0.00127525252525253</v>
      </c>
      <c r="M435" s="18">
        <v>0</v>
      </c>
      <c r="N435" s="18">
        <f t="shared" si="202"/>
        <v>0.123</v>
      </c>
      <c r="O435" s="11">
        <v>0</v>
      </c>
      <c r="P435" s="11">
        <v>0</v>
      </c>
      <c r="Q435" s="11">
        <f t="shared" si="208"/>
        <v>1</v>
      </c>
      <c r="R435" s="11">
        <v>0</v>
      </c>
      <c r="S435" s="11">
        <f t="shared" si="199"/>
        <v>0</v>
      </c>
      <c r="T435" s="11">
        <v>0</v>
      </c>
      <c r="U435" s="11">
        <f t="shared" si="209"/>
        <v>1</v>
      </c>
      <c r="V435" s="11">
        <v>0</v>
      </c>
      <c r="W435" s="11">
        <f t="shared" si="210"/>
        <v>1</v>
      </c>
      <c r="X435" s="11">
        <f t="shared" si="200"/>
        <v>0</v>
      </c>
      <c r="Y435" s="19">
        <v>0</v>
      </c>
      <c r="Z435" s="11">
        <v>0</v>
      </c>
      <c r="AA435" s="11">
        <v>5</v>
      </c>
      <c r="AB435" s="11">
        <v>1</v>
      </c>
      <c r="AC435" s="11">
        <v>1</v>
      </c>
      <c r="AD435" s="11">
        <v>0</v>
      </c>
      <c r="AE435" s="11">
        <v>0</v>
      </c>
      <c r="AF435" s="11">
        <v>0</v>
      </c>
      <c r="AG435" s="11">
        <v>0</v>
      </c>
      <c r="AH435" s="11">
        <v>0</v>
      </c>
      <c r="AI435" s="45">
        <v>0</v>
      </c>
      <c r="AJ435" s="45">
        <v>0</v>
      </c>
      <c r="AK435" s="45">
        <f t="shared" si="211"/>
        <v>0.3611</v>
      </c>
      <c r="AL435" s="45">
        <f t="shared" si="212"/>
        <v>0.00348095238095238</v>
      </c>
      <c r="AM435" s="45">
        <f t="shared" si="213"/>
        <v>0.0012569719047619</v>
      </c>
      <c r="AN435" s="45">
        <f t="shared" si="214"/>
        <v>0.792187500000004</v>
      </c>
      <c r="AO435" s="45">
        <f t="shared" si="215"/>
        <v>0.792187500000004</v>
      </c>
      <c r="AP435" s="45">
        <f t="shared" si="216"/>
        <v>1.05625000000001</v>
      </c>
      <c r="AQ435" s="45">
        <f t="shared" si="217"/>
        <v>0</v>
      </c>
      <c r="AR435" s="45">
        <f t="shared" si="218"/>
        <v>0</v>
      </c>
      <c r="AS435" s="19">
        <f t="shared" si="219"/>
        <v>1.07916666666667</v>
      </c>
      <c r="AT435" s="19">
        <f t="shared" si="220"/>
        <v>1.03333333333334</v>
      </c>
      <c r="AU435" s="46">
        <v>0</v>
      </c>
      <c r="AV435" s="46">
        <v>0</v>
      </c>
      <c r="AW435" s="46">
        <v>0</v>
      </c>
      <c r="AX435" s="46">
        <v>1</v>
      </c>
      <c r="AY435" s="47">
        <v>0</v>
      </c>
      <c r="AZ435" s="47">
        <v>-1</v>
      </c>
    </row>
    <row r="436" hidden="1" customHeight="1" spans="1:52">
      <c r="A436" s="44">
        <v>45761</v>
      </c>
      <c r="B436" s="33">
        <f t="shared" si="203"/>
        <v>255</v>
      </c>
      <c r="C436" s="33">
        <f t="shared" si="204"/>
        <v>2037</v>
      </c>
      <c r="D436" s="11">
        <f t="shared" si="205"/>
        <v>2292</v>
      </c>
      <c r="E436" s="34">
        <f t="shared" si="201"/>
        <v>-1.96124077470787e-7</v>
      </c>
      <c r="F436" s="35">
        <f t="shared" si="206"/>
        <v>0.000367505919972332</v>
      </c>
      <c r="G436" s="18">
        <f>(SUM($I$8:$I436)*(MAX(M$3-M$4,0))+(N436*MAX(M$4,0)))*(1-$AM$4)+(AM436*$AM$4)</f>
        <v>0.15766003966813</v>
      </c>
      <c r="H436" s="18">
        <f t="shared" si="195"/>
        <v>1.16666666666667</v>
      </c>
      <c r="I436" s="18">
        <f t="shared" si="207"/>
        <v>0.00151234567901235</v>
      </c>
      <c r="J436" s="18">
        <f t="shared" si="196"/>
        <v>0.251374049261075</v>
      </c>
      <c r="K436" s="18">
        <f t="shared" si="197"/>
        <v>0.00293578804211343</v>
      </c>
      <c r="L436" s="18">
        <f t="shared" si="198"/>
        <v>0.0012962962962963</v>
      </c>
      <c r="M436" s="18">
        <v>0</v>
      </c>
      <c r="N436" s="18">
        <f t="shared" si="202"/>
        <v>0.123</v>
      </c>
      <c r="O436" s="11">
        <v>0</v>
      </c>
      <c r="P436" s="11">
        <v>0</v>
      </c>
      <c r="Q436" s="11">
        <f t="shared" si="208"/>
        <v>1</v>
      </c>
      <c r="R436" s="11">
        <v>0</v>
      </c>
      <c r="S436" s="11">
        <f t="shared" si="199"/>
        <v>0</v>
      </c>
      <c r="T436" s="11">
        <v>0</v>
      </c>
      <c r="U436" s="11">
        <f t="shared" si="209"/>
        <v>1</v>
      </c>
      <c r="V436" s="11">
        <v>0</v>
      </c>
      <c r="W436" s="11">
        <f t="shared" si="210"/>
        <v>1</v>
      </c>
      <c r="X436" s="11">
        <f t="shared" si="200"/>
        <v>0</v>
      </c>
      <c r="Y436" s="19">
        <v>0</v>
      </c>
      <c r="Z436" s="11">
        <v>0</v>
      </c>
      <c r="AA436" s="11">
        <v>6</v>
      </c>
      <c r="AB436" s="11">
        <v>0</v>
      </c>
      <c r="AC436" s="11">
        <v>0</v>
      </c>
      <c r="AD436" s="11">
        <v>1</v>
      </c>
      <c r="AE436" s="11">
        <v>0</v>
      </c>
      <c r="AF436" s="11">
        <v>0</v>
      </c>
      <c r="AG436" s="11">
        <v>0</v>
      </c>
      <c r="AH436" s="11">
        <v>0</v>
      </c>
      <c r="AI436" s="45">
        <v>0</v>
      </c>
      <c r="AJ436" s="45">
        <v>0</v>
      </c>
      <c r="AK436" s="45">
        <f t="shared" si="211"/>
        <v>0.3611</v>
      </c>
      <c r="AL436" s="45">
        <f t="shared" si="212"/>
        <v>0.00348095238095238</v>
      </c>
      <c r="AM436" s="45">
        <f t="shared" si="213"/>
        <v>0.0012569719047619</v>
      </c>
      <c r="AN436" s="45">
        <f t="shared" si="214"/>
        <v>0.792187500000004</v>
      </c>
      <c r="AO436" s="45">
        <f t="shared" si="215"/>
        <v>0.792187500000004</v>
      </c>
      <c r="AP436" s="45">
        <f t="shared" si="216"/>
        <v>1.05625000000001</v>
      </c>
      <c r="AQ436" s="45">
        <f t="shared" si="217"/>
        <v>0</v>
      </c>
      <c r="AR436" s="45">
        <f t="shared" si="218"/>
        <v>0</v>
      </c>
      <c r="AS436" s="19">
        <f t="shared" si="219"/>
        <v>1.07916666666667</v>
      </c>
      <c r="AT436" s="19">
        <f t="shared" si="220"/>
        <v>1.03333333333334</v>
      </c>
      <c r="AU436" s="46">
        <v>0</v>
      </c>
      <c r="AV436" s="46">
        <v>0</v>
      </c>
      <c r="AW436" s="46">
        <v>0</v>
      </c>
      <c r="AX436" s="46">
        <v>1</v>
      </c>
      <c r="AY436" s="47">
        <v>0</v>
      </c>
      <c r="AZ436" s="47">
        <v>-1</v>
      </c>
    </row>
    <row r="437" hidden="1" customHeight="1" spans="1:52">
      <c r="A437" s="44">
        <v>45762</v>
      </c>
      <c r="B437" s="33">
        <f t="shared" si="203"/>
        <v>254</v>
      </c>
      <c r="C437" s="33">
        <f t="shared" si="204"/>
        <v>2038</v>
      </c>
      <c r="D437" s="11">
        <f t="shared" si="205"/>
        <v>2292</v>
      </c>
      <c r="E437" s="34">
        <f t="shared" si="201"/>
        <v>-1.95211872459336e-7</v>
      </c>
      <c r="F437" s="35">
        <f t="shared" si="206"/>
        <v>0.000367310708099872</v>
      </c>
      <c r="G437" s="18">
        <f>(SUM($I$8:$I437)*(MAX(M$3-M$4,0))+(N437*MAX(M$4,0)))*(1-$AM$4)+(AM437*$AM$4)</f>
        <v>0.157943604482945</v>
      </c>
      <c r="H437" s="18">
        <f t="shared" si="195"/>
        <v>1.16666666666667</v>
      </c>
      <c r="I437" s="18">
        <f t="shared" si="207"/>
        <v>0.00151234567901235</v>
      </c>
      <c r="J437" s="18">
        <f t="shared" si="196"/>
        <v>0.251240524340313</v>
      </c>
      <c r="K437" s="18">
        <f t="shared" si="197"/>
        <v>0.00294787195141609</v>
      </c>
      <c r="L437" s="18">
        <f t="shared" si="198"/>
        <v>0.0012962962962963</v>
      </c>
      <c r="M437" s="18">
        <v>0</v>
      </c>
      <c r="N437" s="18">
        <f t="shared" si="202"/>
        <v>0.123</v>
      </c>
      <c r="O437" s="11">
        <v>0</v>
      </c>
      <c r="P437" s="11">
        <v>0</v>
      </c>
      <c r="Q437" s="11">
        <f t="shared" si="208"/>
        <v>1</v>
      </c>
      <c r="R437" s="11">
        <v>0</v>
      </c>
      <c r="S437" s="11">
        <f t="shared" si="199"/>
        <v>0</v>
      </c>
      <c r="T437" s="11">
        <v>0</v>
      </c>
      <c r="U437" s="11">
        <f t="shared" si="209"/>
        <v>1</v>
      </c>
      <c r="V437" s="11">
        <v>0</v>
      </c>
      <c r="W437" s="11">
        <f t="shared" si="210"/>
        <v>1</v>
      </c>
      <c r="X437" s="11">
        <f t="shared" si="200"/>
        <v>0</v>
      </c>
      <c r="Y437" s="19">
        <v>0</v>
      </c>
      <c r="Z437" s="11">
        <v>0</v>
      </c>
      <c r="AA437" s="11">
        <v>6</v>
      </c>
      <c r="AB437" s="11">
        <v>0</v>
      </c>
      <c r="AC437" s="11">
        <v>0</v>
      </c>
      <c r="AD437" s="11">
        <v>1</v>
      </c>
      <c r="AE437" s="11">
        <v>0</v>
      </c>
      <c r="AF437" s="11">
        <v>0</v>
      </c>
      <c r="AG437" s="11">
        <v>0</v>
      </c>
      <c r="AH437" s="11">
        <v>0</v>
      </c>
      <c r="AI437" s="45">
        <v>0</v>
      </c>
      <c r="AJ437" s="45">
        <v>0</v>
      </c>
      <c r="AK437" s="45">
        <f t="shared" si="211"/>
        <v>0.3611</v>
      </c>
      <c r="AL437" s="45">
        <f t="shared" si="212"/>
        <v>0.00348095238095238</v>
      </c>
      <c r="AM437" s="45">
        <f t="shared" si="213"/>
        <v>0.0012569719047619</v>
      </c>
      <c r="AN437" s="45">
        <f t="shared" si="214"/>
        <v>0.792187500000004</v>
      </c>
      <c r="AO437" s="45">
        <f t="shared" si="215"/>
        <v>0.792187500000004</v>
      </c>
      <c r="AP437" s="45">
        <f t="shared" si="216"/>
        <v>1.05625000000001</v>
      </c>
      <c r="AQ437" s="45">
        <f t="shared" si="217"/>
        <v>0</v>
      </c>
      <c r="AR437" s="45">
        <f t="shared" si="218"/>
        <v>0</v>
      </c>
      <c r="AS437" s="19">
        <f t="shared" si="219"/>
        <v>1.07916666666667</v>
      </c>
      <c r="AT437" s="19">
        <f t="shared" si="220"/>
        <v>1.03333333333334</v>
      </c>
      <c r="AU437" s="46">
        <v>0</v>
      </c>
      <c r="AV437" s="46">
        <v>0</v>
      </c>
      <c r="AW437" s="46">
        <v>0</v>
      </c>
      <c r="AX437" s="46">
        <v>1</v>
      </c>
      <c r="AY437" s="47">
        <v>0</v>
      </c>
      <c r="AZ437" s="47">
        <v>-1</v>
      </c>
    </row>
    <row r="438" hidden="1" customHeight="1" spans="1:52">
      <c r="A438" s="44">
        <v>45763</v>
      </c>
      <c r="B438" s="33">
        <f t="shared" si="203"/>
        <v>253</v>
      </c>
      <c r="C438" s="33">
        <f t="shared" si="204"/>
        <v>2040</v>
      </c>
      <c r="D438" s="11">
        <f t="shared" si="205"/>
        <v>2293</v>
      </c>
      <c r="E438" s="34">
        <f t="shared" si="201"/>
        <v>-2.29979114858283e-7</v>
      </c>
      <c r="F438" s="35">
        <f t="shared" si="206"/>
        <v>0.000367080728985014</v>
      </c>
      <c r="G438" s="18">
        <f>(SUM($I$8:$I438)*(MAX(M$3-M$4,0))+(N438*MAX(M$4,0)))*(1-$AM$4)+(AM438*$AM$4)</f>
        <v>0.158211794192541</v>
      </c>
      <c r="H438" s="18">
        <f t="shared" si="195"/>
        <v>1.16666666666667</v>
      </c>
      <c r="I438" s="18">
        <f t="shared" si="207"/>
        <v>0.00143034511784512</v>
      </c>
      <c r="J438" s="18">
        <f t="shared" si="196"/>
        <v>0.25108321862575</v>
      </c>
      <c r="K438" s="18">
        <f t="shared" si="197"/>
        <v>0.00296014538092589</v>
      </c>
      <c r="L438" s="18">
        <f t="shared" si="198"/>
        <v>0.0012260101010101</v>
      </c>
      <c r="M438" s="18">
        <v>0</v>
      </c>
      <c r="N438" s="18">
        <f t="shared" si="202"/>
        <v>0.123</v>
      </c>
      <c r="O438" s="11">
        <v>0</v>
      </c>
      <c r="P438" s="11">
        <v>0</v>
      </c>
      <c r="Q438" s="11">
        <f t="shared" si="208"/>
        <v>1</v>
      </c>
      <c r="R438" s="11">
        <v>0</v>
      </c>
      <c r="S438" s="11">
        <f t="shared" si="199"/>
        <v>0</v>
      </c>
      <c r="T438" s="11">
        <v>0</v>
      </c>
      <c r="U438" s="11">
        <f t="shared" si="209"/>
        <v>1</v>
      </c>
      <c r="V438" s="11">
        <v>0</v>
      </c>
      <c r="W438" s="11">
        <f t="shared" si="210"/>
        <v>1</v>
      </c>
      <c r="X438" s="11">
        <f t="shared" si="200"/>
        <v>0</v>
      </c>
      <c r="Y438" s="19">
        <v>2.17</v>
      </c>
      <c r="Z438" s="11">
        <v>0</v>
      </c>
      <c r="AA438" s="11">
        <v>2</v>
      </c>
      <c r="AB438" s="11">
        <v>0</v>
      </c>
      <c r="AC438" s="11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45">
        <v>0</v>
      </c>
      <c r="AJ438" s="45">
        <v>0</v>
      </c>
      <c r="AK438" s="45">
        <f t="shared" si="211"/>
        <v>0.3611</v>
      </c>
      <c r="AL438" s="45">
        <f t="shared" si="212"/>
        <v>0.00348095238095238</v>
      </c>
      <c r="AM438" s="45">
        <f t="shared" si="213"/>
        <v>0.0012569719047619</v>
      </c>
      <c r="AN438" s="45">
        <f t="shared" si="214"/>
        <v>0.792187500000004</v>
      </c>
      <c r="AO438" s="45">
        <f t="shared" si="215"/>
        <v>0.792187500000004</v>
      </c>
      <c r="AP438" s="45">
        <f t="shared" si="216"/>
        <v>1.05625000000001</v>
      </c>
      <c r="AQ438" s="45">
        <f t="shared" si="217"/>
        <v>0</v>
      </c>
      <c r="AR438" s="45">
        <f t="shared" si="218"/>
        <v>0</v>
      </c>
      <c r="AS438" s="19">
        <f t="shared" si="219"/>
        <v>1.07916666666667</v>
      </c>
      <c r="AT438" s="19">
        <f t="shared" si="220"/>
        <v>1.03333333333334</v>
      </c>
      <c r="AU438" s="46">
        <v>0</v>
      </c>
      <c r="AV438" s="46">
        <v>0</v>
      </c>
      <c r="AW438" s="46">
        <v>0</v>
      </c>
      <c r="AX438" s="46">
        <v>1</v>
      </c>
      <c r="AY438" s="47">
        <v>0</v>
      </c>
      <c r="AZ438" s="47">
        <v>-1</v>
      </c>
    </row>
    <row r="439" hidden="1" customHeight="1" spans="1:52">
      <c r="A439" s="44">
        <v>45764</v>
      </c>
      <c r="B439" s="33">
        <f t="shared" si="203"/>
        <v>252</v>
      </c>
      <c r="C439" s="33">
        <f t="shared" si="204"/>
        <v>2042</v>
      </c>
      <c r="D439" s="11">
        <f t="shared" si="205"/>
        <v>2294</v>
      </c>
      <c r="E439" s="34">
        <f t="shared" si="201"/>
        <v>-1.93323875393955e-7</v>
      </c>
      <c r="F439" s="35">
        <f t="shared" si="206"/>
        <v>0.00036688740510962</v>
      </c>
      <c r="G439" s="18">
        <f>(SUM($I$8:$I439)*(MAX(M$3-M$4,0))+(N439*MAX(M$4,0)))*(1-$AM$4)+(AM439*$AM$4)</f>
        <v>0.158495359007356</v>
      </c>
      <c r="H439" s="18">
        <f t="shared" si="195"/>
        <v>1.16666666666667</v>
      </c>
      <c r="I439" s="18">
        <f t="shared" si="207"/>
        <v>0.00151234567901235</v>
      </c>
      <c r="J439" s="18">
        <f t="shared" si="196"/>
        <v>0.25095098509498</v>
      </c>
      <c r="K439" s="18">
        <f t="shared" si="197"/>
        <v>0.00297241672581357</v>
      </c>
      <c r="L439" s="18">
        <f t="shared" si="198"/>
        <v>0.0012962962962963</v>
      </c>
      <c r="M439" s="18">
        <v>0</v>
      </c>
      <c r="N439" s="18">
        <f t="shared" si="202"/>
        <v>0.123</v>
      </c>
      <c r="O439" s="11">
        <v>0</v>
      </c>
      <c r="P439" s="11">
        <v>0</v>
      </c>
      <c r="Q439" s="11">
        <f t="shared" si="208"/>
        <v>1</v>
      </c>
      <c r="R439" s="11">
        <v>0</v>
      </c>
      <c r="S439" s="11">
        <f t="shared" si="199"/>
        <v>0</v>
      </c>
      <c r="T439" s="11">
        <v>0</v>
      </c>
      <c r="U439" s="11">
        <f t="shared" si="209"/>
        <v>1</v>
      </c>
      <c r="V439" s="11">
        <v>0</v>
      </c>
      <c r="W439" s="11">
        <f t="shared" si="210"/>
        <v>1</v>
      </c>
      <c r="X439" s="11">
        <f t="shared" si="200"/>
        <v>0</v>
      </c>
      <c r="Y439" s="19">
        <v>0</v>
      </c>
      <c r="Z439" s="11">
        <v>0</v>
      </c>
      <c r="AA439" s="11">
        <v>6</v>
      </c>
      <c r="AB439" s="11">
        <v>0</v>
      </c>
      <c r="AC439" s="11">
        <v>0</v>
      </c>
      <c r="AD439" s="11">
        <v>1</v>
      </c>
      <c r="AE439" s="11">
        <v>0</v>
      </c>
      <c r="AF439" s="11">
        <v>0</v>
      </c>
      <c r="AG439" s="11">
        <v>0</v>
      </c>
      <c r="AH439" s="11">
        <v>0</v>
      </c>
      <c r="AI439" s="45">
        <v>0</v>
      </c>
      <c r="AJ439" s="45">
        <v>0</v>
      </c>
      <c r="AK439" s="45">
        <f t="shared" si="211"/>
        <v>0.3611</v>
      </c>
      <c r="AL439" s="45">
        <f t="shared" si="212"/>
        <v>0.00348095238095238</v>
      </c>
      <c r="AM439" s="45">
        <f t="shared" si="213"/>
        <v>0.0012569719047619</v>
      </c>
      <c r="AN439" s="45">
        <f t="shared" si="214"/>
        <v>0.792187500000004</v>
      </c>
      <c r="AO439" s="45">
        <f t="shared" si="215"/>
        <v>0.792187500000004</v>
      </c>
      <c r="AP439" s="45">
        <f t="shared" si="216"/>
        <v>1.05625000000001</v>
      </c>
      <c r="AQ439" s="45">
        <f t="shared" si="217"/>
        <v>0</v>
      </c>
      <c r="AR439" s="45">
        <f t="shared" si="218"/>
        <v>0</v>
      </c>
      <c r="AS439" s="19">
        <f t="shared" si="219"/>
        <v>1.07916666666667</v>
      </c>
      <c r="AT439" s="19">
        <f t="shared" si="220"/>
        <v>1.03333333333334</v>
      </c>
      <c r="AU439" s="46">
        <v>0</v>
      </c>
      <c r="AV439" s="46">
        <v>0</v>
      </c>
      <c r="AW439" s="46">
        <v>0</v>
      </c>
      <c r="AX439" s="46">
        <v>1</v>
      </c>
      <c r="AY439" s="47">
        <v>0</v>
      </c>
      <c r="AZ439" s="47">
        <v>-1</v>
      </c>
    </row>
    <row r="440" hidden="1" customHeight="1" spans="1:52">
      <c r="A440" s="44">
        <v>45765</v>
      </c>
      <c r="B440" s="33">
        <f t="shared" si="203"/>
        <v>251</v>
      </c>
      <c r="C440" s="33">
        <f t="shared" si="204"/>
        <v>2043</v>
      </c>
      <c r="D440" s="11">
        <f t="shared" si="205"/>
        <v>2294</v>
      </c>
      <c r="E440" s="34">
        <f t="shared" si="201"/>
        <v>-1.92430924468351e-7</v>
      </c>
      <c r="F440" s="35">
        <f t="shared" si="206"/>
        <v>0.000366694974185152</v>
      </c>
      <c r="G440" s="18">
        <f>(SUM($I$8:$I440)*(MAX(M$3-M$4,0))+(N440*MAX(M$4,0)))*(1-$AM$4)+(AM440*$AM$4)</f>
        <v>0.158778923822171</v>
      </c>
      <c r="H440" s="18">
        <f t="shared" si="195"/>
        <v>1.16666666666667</v>
      </c>
      <c r="I440" s="18">
        <f t="shared" si="207"/>
        <v>0.00151234567901235</v>
      </c>
      <c r="J440" s="18">
        <f t="shared" si="196"/>
        <v>0.250819362342644</v>
      </c>
      <c r="K440" s="18">
        <f t="shared" si="197"/>
        <v>0.00298478341696158</v>
      </c>
      <c r="L440" s="18">
        <f t="shared" si="198"/>
        <v>0.0012962962962963</v>
      </c>
      <c r="M440" s="18">
        <v>0</v>
      </c>
      <c r="N440" s="18">
        <f t="shared" si="202"/>
        <v>0.123</v>
      </c>
      <c r="O440" s="11">
        <v>0</v>
      </c>
      <c r="P440" s="11">
        <v>0</v>
      </c>
      <c r="Q440" s="11">
        <f t="shared" si="208"/>
        <v>1</v>
      </c>
      <c r="R440" s="11">
        <v>0</v>
      </c>
      <c r="S440" s="11">
        <f t="shared" si="199"/>
        <v>0</v>
      </c>
      <c r="T440" s="11">
        <v>0</v>
      </c>
      <c r="U440" s="11">
        <f t="shared" si="209"/>
        <v>1</v>
      </c>
      <c r="V440" s="11">
        <v>0</v>
      </c>
      <c r="W440" s="11">
        <f t="shared" si="210"/>
        <v>1</v>
      </c>
      <c r="X440" s="11">
        <f t="shared" si="200"/>
        <v>0</v>
      </c>
      <c r="Y440" s="19">
        <v>0</v>
      </c>
      <c r="Z440" s="11">
        <v>0</v>
      </c>
      <c r="AA440" s="11">
        <v>6</v>
      </c>
      <c r="AB440" s="11">
        <v>0</v>
      </c>
      <c r="AC440" s="11">
        <v>0</v>
      </c>
      <c r="AD440" s="11">
        <v>1</v>
      </c>
      <c r="AE440" s="11">
        <v>0</v>
      </c>
      <c r="AF440" s="11">
        <v>0</v>
      </c>
      <c r="AG440" s="11">
        <v>0</v>
      </c>
      <c r="AH440" s="11">
        <v>0</v>
      </c>
      <c r="AI440" s="45">
        <v>0</v>
      </c>
      <c r="AJ440" s="45">
        <v>0</v>
      </c>
      <c r="AK440" s="45">
        <f t="shared" si="211"/>
        <v>0.3611</v>
      </c>
      <c r="AL440" s="45">
        <f t="shared" si="212"/>
        <v>0.00348095238095238</v>
      </c>
      <c r="AM440" s="45">
        <f t="shared" si="213"/>
        <v>0.0012569719047619</v>
      </c>
      <c r="AN440" s="45">
        <f t="shared" si="214"/>
        <v>0.792187500000004</v>
      </c>
      <c r="AO440" s="45">
        <f t="shared" si="215"/>
        <v>0.792187500000004</v>
      </c>
      <c r="AP440" s="45">
        <f t="shared" si="216"/>
        <v>1.05625000000001</v>
      </c>
      <c r="AQ440" s="45">
        <f t="shared" si="217"/>
        <v>0</v>
      </c>
      <c r="AR440" s="45">
        <f t="shared" si="218"/>
        <v>0</v>
      </c>
      <c r="AS440" s="19">
        <f t="shared" si="219"/>
        <v>1.07916666666667</v>
      </c>
      <c r="AT440" s="19">
        <f t="shared" si="220"/>
        <v>1.03333333333334</v>
      </c>
      <c r="AU440" s="46">
        <v>0</v>
      </c>
      <c r="AV440" s="46">
        <v>0</v>
      </c>
      <c r="AW440" s="46">
        <v>0</v>
      </c>
      <c r="AX440" s="46">
        <v>1</v>
      </c>
      <c r="AY440" s="47">
        <v>0</v>
      </c>
      <c r="AZ440" s="47">
        <v>-1</v>
      </c>
    </row>
    <row r="441" hidden="1" customHeight="1" spans="1:52">
      <c r="A441" s="44">
        <v>45766</v>
      </c>
      <c r="B441" s="33">
        <f t="shared" si="203"/>
        <v>250</v>
      </c>
      <c r="C441" s="33">
        <f t="shared" si="204"/>
        <v>2044</v>
      </c>
      <c r="D441" s="11">
        <f t="shared" si="205"/>
        <v>2294</v>
      </c>
      <c r="E441" s="34">
        <f t="shared" si="201"/>
        <v>-1.91544146014623e-7</v>
      </c>
      <c r="F441" s="35">
        <f t="shared" si="206"/>
        <v>0.000366503430039137</v>
      </c>
      <c r="G441" s="18">
        <f>(SUM($I$8:$I441)*(MAX(M$3-M$4,0))+(N441*MAX(M$4,0)))*(1-$AM$4)+(AM441*$AM$4)</f>
        <v>0.159062488636985</v>
      </c>
      <c r="H441" s="18">
        <f t="shared" si="195"/>
        <v>1.16666666666667</v>
      </c>
      <c r="I441" s="18">
        <f t="shared" si="207"/>
        <v>0.00151234567901235</v>
      </c>
      <c r="J441" s="18">
        <f t="shared" si="196"/>
        <v>0.25068834614677</v>
      </c>
      <c r="K441" s="18">
        <f t="shared" si="197"/>
        <v>0.00299724661541292</v>
      </c>
      <c r="L441" s="18">
        <f t="shared" si="198"/>
        <v>0.0012962962962963</v>
      </c>
      <c r="M441" s="18">
        <v>0</v>
      </c>
      <c r="N441" s="18">
        <f t="shared" si="202"/>
        <v>0.123</v>
      </c>
      <c r="O441" s="11">
        <v>0</v>
      </c>
      <c r="P441" s="11">
        <v>0</v>
      </c>
      <c r="Q441" s="11">
        <f t="shared" si="208"/>
        <v>1</v>
      </c>
      <c r="R441" s="11">
        <v>0</v>
      </c>
      <c r="S441" s="11">
        <f t="shared" si="199"/>
        <v>0</v>
      </c>
      <c r="T441" s="11">
        <v>0</v>
      </c>
      <c r="U441" s="11">
        <f t="shared" si="209"/>
        <v>1</v>
      </c>
      <c r="V441" s="11">
        <v>0</v>
      </c>
      <c r="W441" s="11">
        <f t="shared" si="210"/>
        <v>1</v>
      </c>
      <c r="X441" s="11">
        <f t="shared" si="200"/>
        <v>0</v>
      </c>
      <c r="Y441" s="19">
        <v>0</v>
      </c>
      <c r="Z441" s="11">
        <v>0</v>
      </c>
      <c r="AA441" s="11">
        <v>6</v>
      </c>
      <c r="AB441" s="11">
        <v>0</v>
      </c>
      <c r="AC441" s="11">
        <v>0</v>
      </c>
      <c r="AD441" s="11">
        <v>1</v>
      </c>
      <c r="AE441" s="11">
        <v>0</v>
      </c>
      <c r="AF441" s="11">
        <v>0</v>
      </c>
      <c r="AG441" s="11">
        <v>0</v>
      </c>
      <c r="AH441" s="11">
        <v>0</v>
      </c>
      <c r="AI441" s="45">
        <v>0</v>
      </c>
      <c r="AJ441" s="45">
        <v>0</v>
      </c>
      <c r="AK441" s="45">
        <f t="shared" si="211"/>
        <v>0.3611</v>
      </c>
      <c r="AL441" s="45">
        <f t="shared" si="212"/>
        <v>0.00348095238095238</v>
      </c>
      <c r="AM441" s="45">
        <f t="shared" si="213"/>
        <v>0.0012569719047619</v>
      </c>
      <c r="AN441" s="45">
        <f t="shared" si="214"/>
        <v>0.792187500000004</v>
      </c>
      <c r="AO441" s="45">
        <f t="shared" si="215"/>
        <v>0.792187500000004</v>
      </c>
      <c r="AP441" s="45">
        <f t="shared" si="216"/>
        <v>1.05625000000001</v>
      </c>
      <c r="AQ441" s="45">
        <f t="shared" si="217"/>
        <v>0</v>
      </c>
      <c r="AR441" s="45">
        <f t="shared" si="218"/>
        <v>0</v>
      </c>
      <c r="AS441" s="19">
        <f t="shared" si="219"/>
        <v>1.07916666666667</v>
      </c>
      <c r="AT441" s="19">
        <f t="shared" si="220"/>
        <v>1.03333333333334</v>
      </c>
      <c r="AU441" s="46">
        <v>0</v>
      </c>
      <c r="AV441" s="46">
        <v>0</v>
      </c>
      <c r="AW441" s="46">
        <v>0</v>
      </c>
      <c r="AX441" s="46">
        <v>1</v>
      </c>
      <c r="AY441" s="47">
        <v>0</v>
      </c>
      <c r="AZ441" s="47">
        <v>-1</v>
      </c>
    </row>
    <row r="442" hidden="1" customHeight="1" spans="1:52">
      <c r="A442" s="44">
        <v>45767</v>
      </c>
      <c r="B442" s="33">
        <f t="shared" si="203"/>
        <v>249</v>
      </c>
      <c r="C442" s="33">
        <f t="shared" si="204"/>
        <v>2046</v>
      </c>
      <c r="D442" s="11">
        <f t="shared" si="205"/>
        <v>2295</v>
      </c>
      <c r="E442" s="34">
        <f t="shared" si="201"/>
        <v>-2.06960311711923e-7</v>
      </c>
      <c r="F442" s="35">
        <f t="shared" si="206"/>
        <v>0.000366296469727425</v>
      </c>
      <c r="G442" s="18">
        <f>(SUM($I$8:$I442)*(MAX(M$3-M$4,0))+(N442*MAX(M$4,0)))*(1-$AM$4)+(AM442*$AM$4)</f>
        <v>0.15933896433143</v>
      </c>
      <c r="H442" s="18">
        <f t="shared" si="195"/>
        <v>1.16666666666667</v>
      </c>
      <c r="I442" s="18">
        <f t="shared" si="207"/>
        <v>0.00147453703703704</v>
      </c>
      <c r="J442" s="18">
        <f t="shared" si="196"/>
        <v>0.250546785293559</v>
      </c>
      <c r="K442" s="18">
        <f t="shared" si="197"/>
        <v>0.00300985226789735</v>
      </c>
      <c r="L442" s="18">
        <f t="shared" si="198"/>
        <v>0.00126388888888889</v>
      </c>
      <c r="M442" s="18">
        <v>0</v>
      </c>
      <c r="N442" s="18">
        <f t="shared" si="202"/>
        <v>0.123</v>
      </c>
      <c r="O442" s="11">
        <v>0</v>
      </c>
      <c r="P442" s="11">
        <v>0</v>
      </c>
      <c r="Q442" s="11">
        <f t="shared" si="208"/>
        <v>1</v>
      </c>
      <c r="R442" s="11">
        <v>0</v>
      </c>
      <c r="S442" s="11">
        <f t="shared" si="199"/>
        <v>0</v>
      </c>
      <c r="T442" s="11">
        <v>0</v>
      </c>
      <c r="U442" s="11">
        <f t="shared" si="209"/>
        <v>1</v>
      </c>
      <c r="V442" s="11">
        <v>0</v>
      </c>
      <c r="W442" s="11">
        <f t="shared" si="210"/>
        <v>1</v>
      </c>
      <c r="X442" s="11">
        <f t="shared" si="200"/>
        <v>0</v>
      </c>
      <c r="Y442" s="19">
        <v>1.87</v>
      </c>
      <c r="Z442" s="11">
        <v>0</v>
      </c>
      <c r="AA442" s="11">
        <v>2</v>
      </c>
      <c r="AB442" s="11">
        <v>1</v>
      </c>
      <c r="AC442" s="11">
        <v>0</v>
      </c>
      <c r="AD442" s="11">
        <v>0</v>
      </c>
      <c r="AE442" s="11">
        <v>0</v>
      </c>
      <c r="AF442" s="11">
        <v>0</v>
      </c>
      <c r="AG442" s="11">
        <v>0</v>
      </c>
      <c r="AH442" s="11">
        <v>0</v>
      </c>
      <c r="AI442" s="45">
        <v>0</v>
      </c>
      <c r="AJ442" s="45">
        <v>0</v>
      </c>
      <c r="AK442" s="45">
        <f t="shared" si="211"/>
        <v>0.3611</v>
      </c>
      <c r="AL442" s="45">
        <f t="shared" si="212"/>
        <v>0.00348095238095238</v>
      </c>
      <c r="AM442" s="45">
        <f t="shared" si="213"/>
        <v>0.0012569719047619</v>
      </c>
      <c r="AN442" s="45">
        <f t="shared" si="214"/>
        <v>0.792187500000004</v>
      </c>
      <c r="AO442" s="45">
        <f t="shared" si="215"/>
        <v>0.792187500000004</v>
      </c>
      <c r="AP442" s="45">
        <f t="shared" si="216"/>
        <v>1.05625000000001</v>
      </c>
      <c r="AQ442" s="45">
        <f t="shared" si="217"/>
        <v>0</v>
      </c>
      <c r="AR442" s="45">
        <f t="shared" si="218"/>
        <v>0</v>
      </c>
      <c r="AS442" s="19">
        <f t="shared" si="219"/>
        <v>1.07916666666667</v>
      </c>
      <c r="AT442" s="19">
        <f t="shared" si="220"/>
        <v>1.03333333333334</v>
      </c>
      <c r="AU442" s="46">
        <v>0</v>
      </c>
      <c r="AV442" s="46">
        <v>0</v>
      </c>
      <c r="AW442" s="46">
        <v>0</v>
      </c>
      <c r="AX442" s="46">
        <v>1</v>
      </c>
      <c r="AY442" s="47">
        <v>0</v>
      </c>
      <c r="AZ442" s="47">
        <v>-1</v>
      </c>
    </row>
    <row r="443" hidden="1" customHeight="1" spans="1:52">
      <c r="A443" s="44">
        <v>45768</v>
      </c>
      <c r="B443" s="33">
        <f t="shared" si="203"/>
        <v>248</v>
      </c>
      <c r="C443" s="33">
        <f t="shared" si="204"/>
        <v>2047</v>
      </c>
      <c r="D443" s="11">
        <f t="shared" si="205"/>
        <v>2295</v>
      </c>
      <c r="E443" s="34">
        <f t="shared" si="201"/>
        <v>-1.8975150209308e-7</v>
      </c>
      <c r="F443" s="35">
        <f t="shared" si="206"/>
        <v>0.000366106718225332</v>
      </c>
      <c r="G443" s="18">
        <f>(SUM($I$8:$I443)*(MAX(M$3-M$4,0))+(N443*MAX(M$4,0)))*(1-$AM$4)+(AM443*$AM$4)</f>
        <v>0.159622529146245</v>
      </c>
      <c r="H443" s="18">
        <f t="shared" si="195"/>
        <v>1.16666666666667</v>
      </c>
      <c r="I443" s="18">
        <f t="shared" si="207"/>
        <v>0.00151234567901235</v>
      </c>
      <c r="J443" s="18">
        <f t="shared" si="196"/>
        <v>0.250416995266127</v>
      </c>
      <c r="K443" s="18">
        <f t="shared" si="197"/>
        <v>0.00302251211586239</v>
      </c>
      <c r="L443" s="18">
        <f t="shared" si="198"/>
        <v>0.0012962962962963</v>
      </c>
      <c r="M443" s="18">
        <v>0</v>
      </c>
      <c r="N443" s="18">
        <f t="shared" si="202"/>
        <v>0.123</v>
      </c>
      <c r="O443" s="11">
        <v>0</v>
      </c>
      <c r="P443" s="11">
        <v>0</v>
      </c>
      <c r="Q443" s="11">
        <f t="shared" si="208"/>
        <v>1</v>
      </c>
      <c r="R443" s="11">
        <v>0</v>
      </c>
      <c r="S443" s="11">
        <f t="shared" si="199"/>
        <v>0</v>
      </c>
      <c r="T443" s="11">
        <v>0</v>
      </c>
      <c r="U443" s="11">
        <f t="shared" si="209"/>
        <v>1</v>
      </c>
      <c r="V443" s="11">
        <v>0</v>
      </c>
      <c r="W443" s="11">
        <f t="shared" si="210"/>
        <v>1</v>
      </c>
      <c r="X443" s="11">
        <f t="shared" si="200"/>
        <v>0</v>
      </c>
      <c r="Y443" s="19">
        <v>0</v>
      </c>
      <c r="Z443" s="11">
        <v>0</v>
      </c>
      <c r="AA443" s="11">
        <v>6</v>
      </c>
      <c r="AB443" s="11">
        <v>0</v>
      </c>
      <c r="AC443" s="11">
        <v>0</v>
      </c>
      <c r="AD443" s="11">
        <v>1</v>
      </c>
      <c r="AE443" s="11">
        <v>0</v>
      </c>
      <c r="AF443" s="11">
        <v>0</v>
      </c>
      <c r="AG443" s="11">
        <v>0</v>
      </c>
      <c r="AH443" s="11">
        <v>0</v>
      </c>
      <c r="AI443" s="45">
        <v>0</v>
      </c>
      <c r="AJ443" s="45">
        <v>0</v>
      </c>
      <c r="AK443" s="45">
        <f t="shared" si="211"/>
        <v>0.3611</v>
      </c>
      <c r="AL443" s="45">
        <f t="shared" si="212"/>
        <v>0.00348095238095238</v>
      </c>
      <c r="AM443" s="45">
        <f t="shared" si="213"/>
        <v>0.0012569719047619</v>
      </c>
      <c r="AN443" s="45">
        <f t="shared" si="214"/>
        <v>0.792187500000004</v>
      </c>
      <c r="AO443" s="45">
        <f t="shared" si="215"/>
        <v>0.792187500000004</v>
      </c>
      <c r="AP443" s="45">
        <f t="shared" si="216"/>
        <v>1.05625000000001</v>
      </c>
      <c r="AQ443" s="45">
        <f t="shared" si="217"/>
        <v>0</v>
      </c>
      <c r="AR443" s="45">
        <f t="shared" si="218"/>
        <v>0</v>
      </c>
      <c r="AS443" s="19">
        <f t="shared" si="219"/>
        <v>1.07916666666667</v>
      </c>
      <c r="AT443" s="19">
        <f t="shared" si="220"/>
        <v>1.03333333333334</v>
      </c>
      <c r="AU443" s="46">
        <v>0</v>
      </c>
      <c r="AV443" s="46">
        <v>0</v>
      </c>
      <c r="AW443" s="46">
        <v>0</v>
      </c>
      <c r="AX443" s="46">
        <v>1</v>
      </c>
      <c r="AY443" s="47">
        <v>0</v>
      </c>
      <c r="AZ443" s="47">
        <v>-1</v>
      </c>
    </row>
    <row r="444" hidden="1" customHeight="1" spans="1:52">
      <c r="A444" s="44">
        <v>45769</v>
      </c>
      <c r="B444" s="33">
        <f t="shared" si="203"/>
        <v>247</v>
      </c>
      <c r="C444" s="33">
        <f t="shared" si="204"/>
        <v>2049</v>
      </c>
      <c r="D444" s="11">
        <f t="shared" si="205"/>
        <v>2296</v>
      </c>
      <c r="E444" s="34">
        <f t="shared" si="201"/>
        <v>-1.88883074165962e-7</v>
      </c>
      <c r="F444" s="35">
        <f t="shared" si="206"/>
        <v>0.000365917835151166</v>
      </c>
      <c r="G444" s="18">
        <f>(SUM($I$8:$I444)*(MAX(M$3-M$4,0))+(N444*MAX(M$4,0)))*(1-$AM$4)+(AM444*$AM$4)</f>
        <v>0.15990609396106</v>
      </c>
      <c r="H444" s="18">
        <f t="shared" si="195"/>
        <v>1.16666666666667</v>
      </c>
      <c r="I444" s="18">
        <f t="shared" si="207"/>
        <v>0.00151234567901235</v>
      </c>
      <c r="J444" s="18">
        <f t="shared" si="196"/>
        <v>0.250287799243398</v>
      </c>
      <c r="K444" s="18">
        <f t="shared" si="197"/>
        <v>0.0030352720678405</v>
      </c>
      <c r="L444" s="18">
        <f t="shared" si="198"/>
        <v>0.0012962962962963</v>
      </c>
      <c r="M444" s="18">
        <v>0</v>
      </c>
      <c r="N444" s="18">
        <f t="shared" si="202"/>
        <v>0.123</v>
      </c>
      <c r="O444" s="11">
        <v>0</v>
      </c>
      <c r="P444" s="11">
        <v>0</v>
      </c>
      <c r="Q444" s="11">
        <f t="shared" si="208"/>
        <v>1</v>
      </c>
      <c r="R444" s="11">
        <v>0</v>
      </c>
      <c r="S444" s="11">
        <f t="shared" si="199"/>
        <v>0</v>
      </c>
      <c r="T444" s="11">
        <v>0</v>
      </c>
      <c r="U444" s="11">
        <f t="shared" si="209"/>
        <v>1</v>
      </c>
      <c r="V444" s="11">
        <v>0</v>
      </c>
      <c r="W444" s="11">
        <f t="shared" si="210"/>
        <v>1</v>
      </c>
      <c r="X444" s="11">
        <f t="shared" si="200"/>
        <v>0</v>
      </c>
      <c r="Y444" s="19">
        <v>0</v>
      </c>
      <c r="Z444" s="11">
        <v>0</v>
      </c>
      <c r="AA444" s="11">
        <v>6</v>
      </c>
      <c r="AB444" s="11">
        <v>0</v>
      </c>
      <c r="AC444" s="11">
        <v>0</v>
      </c>
      <c r="AD444" s="11">
        <v>1</v>
      </c>
      <c r="AE444" s="11">
        <v>0</v>
      </c>
      <c r="AF444" s="11">
        <v>0</v>
      </c>
      <c r="AG444" s="11">
        <v>0</v>
      </c>
      <c r="AH444" s="11">
        <v>0</v>
      </c>
      <c r="AI444" s="45">
        <v>0</v>
      </c>
      <c r="AJ444" s="45">
        <v>0</v>
      </c>
      <c r="AK444" s="45">
        <f t="shared" si="211"/>
        <v>0.3611</v>
      </c>
      <c r="AL444" s="45">
        <f t="shared" si="212"/>
        <v>0.00348095238095238</v>
      </c>
      <c r="AM444" s="45">
        <f t="shared" si="213"/>
        <v>0.0012569719047619</v>
      </c>
      <c r="AN444" s="45">
        <f t="shared" si="214"/>
        <v>0.792187500000004</v>
      </c>
      <c r="AO444" s="45">
        <f t="shared" si="215"/>
        <v>0.792187500000004</v>
      </c>
      <c r="AP444" s="45">
        <f t="shared" si="216"/>
        <v>1.05625000000001</v>
      </c>
      <c r="AQ444" s="45">
        <f t="shared" si="217"/>
        <v>0</v>
      </c>
      <c r="AR444" s="45">
        <f t="shared" si="218"/>
        <v>0</v>
      </c>
      <c r="AS444" s="19">
        <f t="shared" si="219"/>
        <v>1.07916666666667</v>
      </c>
      <c r="AT444" s="19">
        <f t="shared" si="220"/>
        <v>1.03333333333334</v>
      </c>
      <c r="AU444" s="46">
        <v>0</v>
      </c>
      <c r="AV444" s="46">
        <v>0</v>
      </c>
      <c r="AW444" s="46">
        <v>0</v>
      </c>
      <c r="AX444" s="46">
        <v>1</v>
      </c>
      <c r="AY444" s="47">
        <v>0</v>
      </c>
      <c r="AZ444" s="47">
        <v>-1</v>
      </c>
    </row>
    <row r="445" hidden="1" customHeight="1" spans="1:52">
      <c r="A445" s="44">
        <v>45770</v>
      </c>
      <c r="B445" s="33">
        <f t="shared" si="203"/>
        <v>246</v>
      </c>
      <c r="C445" s="33">
        <f t="shared" si="204"/>
        <v>2050</v>
      </c>
      <c r="D445" s="11">
        <f t="shared" si="205"/>
        <v>2296</v>
      </c>
      <c r="E445" s="34">
        <f t="shared" si="201"/>
        <v>-1.88020594375251e-7</v>
      </c>
      <c r="F445" s="35">
        <f t="shared" si="206"/>
        <v>0.000365729814556791</v>
      </c>
      <c r="G445" s="18">
        <f>(SUM($I$8:$I445)*(MAX(M$3-M$4,0))+(N445*MAX(M$4,0)))*(1-$AM$4)+(AM445*$AM$4)</f>
        <v>0.160189658775874</v>
      </c>
      <c r="H445" s="18">
        <f t="shared" si="195"/>
        <v>1.16666666666667</v>
      </c>
      <c r="I445" s="18">
        <f t="shared" si="207"/>
        <v>0.00151234567901235</v>
      </c>
      <c r="J445" s="18">
        <f t="shared" si="196"/>
        <v>0.250159193156845</v>
      </c>
      <c r="K445" s="18">
        <f t="shared" si="197"/>
        <v>0.00304813336115104</v>
      </c>
      <c r="L445" s="18">
        <f t="shared" si="198"/>
        <v>0.0012962962962963</v>
      </c>
      <c r="M445" s="18">
        <v>0</v>
      </c>
      <c r="N445" s="18">
        <f t="shared" si="202"/>
        <v>0.123</v>
      </c>
      <c r="O445" s="11">
        <v>0</v>
      </c>
      <c r="P445" s="11">
        <v>0</v>
      </c>
      <c r="Q445" s="11">
        <f t="shared" si="208"/>
        <v>1</v>
      </c>
      <c r="R445" s="11">
        <v>0</v>
      </c>
      <c r="S445" s="11">
        <f t="shared" si="199"/>
        <v>0</v>
      </c>
      <c r="T445" s="11">
        <v>0</v>
      </c>
      <c r="U445" s="11">
        <f t="shared" si="209"/>
        <v>1</v>
      </c>
      <c r="V445" s="11">
        <v>0</v>
      </c>
      <c r="W445" s="11">
        <f t="shared" si="210"/>
        <v>1</v>
      </c>
      <c r="X445" s="11">
        <f t="shared" si="200"/>
        <v>0</v>
      </c>
      <c r="Y445" s="19">
        <v>0</v>
      </c>
      <c r="Z445" s="11">
        <v>0</v>
      </c>
      <c r="AA445" s="11">
        <v>6</v>
      </c>
      <c r="AB445" s="11">
        <v>0</v>
      </c>
      <c r="AC445" s="11">
        <v>0</v>
      </c>
      <c r="AD445" s="11">
        <v>1</v>
      </c>
      <c r="AE445" s="11">
        <v>0</v>
      </c>
      <c r="AF445" s="11">
        <v>0</v>
      </c>
      <c r="AG445" s="11">
        <v>0</v>
      </c>
      <c r="AH445" s="11">
        <v>0</v>
      </c>
      <c r="AI445" s="45">
        <v>0</v>
      </c>
      <c r="AJ445" s="45">
        <v>0</v>
      </c>
      <c r="AK445" s="45">
        <f t="shared" si="211"/>
        <v>0.3611</v>
      </c>
      <c r="AL445" s="45">
        <f t="shared" si="212"/>
        <v>0.00348095238095238</v>
      </c>
      <c r="AM445" s="45">
        <f t="shared" si="213"/>
        <v>0.0012569719047619</v>
      </c>
      <c r="AN445" s="45">
        <f t="shared" si="214"/>
        <v>0.792187500000004</v>
      </c>
      <c r="AO445" s="45">
        <f t="shared" si="215"/>
        <v>0.792187500000004</v>
      </c>
      <c r="AP445" s="45">
        <f t="shared" si="216"/>
        <v>1.05625000000001</v>
      </c>
      <c r="AQ445" s="45">
        <f t="shared" si="217"/>
        <v>0</v>
      </c>
      <c r="AR445" s="45">
        <f t="shared" si="218"/>
        <v>0</v>
      </c>
      <c r="AS445" s="19">
        <f t="shared" si="219"/>
        <v>1.07916666666667</v>
      </c>
      <c r="AT445" s="19">
        <f t="shared" si="220"/>
        <v>1.03333333333334</v>
      </c>
      <c r="AU445" s="46">
        <v>0</v>
      </c>
      <c r="AV445" s="46">
        <v>0</v>
      </c>
      <c r="AW445" s="46">
        <v>0</v>
      </c>
      <c r="AX445" s="46">
        <v>1</v>
      </c>
      <c r="AY445" s="47">
        <v>0</v>
      </c>
      <c r="AZ445" s="47">
        <v>-1</v>
      </c>
    </row>
    <row r="446" hidden="1" customHeight="1" spans="1:52">
      <c r="A446" s="44">
        <v>45771</v>
      </c>
      <c r="B446" s="33">
        <f t="shared" si="203"/>
        <v>245</v>
      </c>
      <c r="C446" s="33">
        <f t="shared" si="204"/>
        <v>2052</v>
      </c>
      <c r="D446" s="11">
        <f t="shared" si="205"/>
        <v>2297</v>
      </c>
      <c r="E446" s="34">
        <f t="shared" si="201"/>
        <v>-1.87164008523847e-7</v>
      </c>
      <c r="F446" s="35">
        <f t="shared" si="206"/>
        <v>0.000365542650548267</v>
      </c>
      <c r="G446" s="18">
        <f>(SUM($I$8:$I446)*(MAX(M$3-M$4,0))+(N446*MAX(M$4,0)))*(1-$AM$4)+(AM446*$AM$4)</f>
        <v>0.160473223590689</v>
      </c>
      <c r="H446" s="18">
        <f t="shared" si="195"/>
        <v>1.16666666666667</v>
      </c>
      <c r="I446" s="18">
        <f t="shared" si="207"/>
        <v>0.00151234567901235</v>
      </c>
      <c r="J446" s="18">
        <f t="shared" si="196"/>
        <v>0.250031172975015</v>
      </c>
      <c r="K446" s="18">
        <f t="shared" si="197"/>
        <v>0.00306109725316321</v>
      </c>
      <c r="L446" s="18">
        <f t="shared" si="198"/>
        <v>0.0012962962962963</v>
      </c>
      <c r="M446" s="18">
        <v>0</v>
      </c>
      <c r="N446" s="18">
        <f t="shared" si="202"/>
        <v>0.123</v>
      </c>
      <c r="O446" s="11">
        <v>0</v>
      </c>
      <c r="P446" s="11">
        <v>0</v>
      </c>
      <c r="Q446" s="11">
        <f t="shared" si="208"/>
        <v>1</v>
      </c>
      <c r="R446" s="11">
        <v>0</v>
      </c>
      <c r="S446" s="11">
        <f t="shared" si="199"/>
        <v>0</v>
      </c>
      <c r="T446" s="11">
        <v>0</v>
      </c>
      <c r="U446" s="11">
        <f t="shared" si="209"/>
        <v>1</v>
      </c>
      <c r="V446" s="11">
        <v>0</v>
      </c>
      <c r="W446" s="11">
        <f t="shared" si="210"/>
        <v>1</v>
      </c>
      <c r="X446" s="11">
        <f t="shared" si="200"/>
        <v>0</v>
      </c>
      <c r="Y446" s="19">
        <v>0</v>
      </c>
      <c r="Z446" s="11">
        <v>0</v>
      </c>
      <c r="AA446" s="11">
        <v>6</v>
      </c>
      <c r="AB446" s="11">
        <v>0</v>
      </c>
      <c r="AC446" s="11">
        <v>0</v>
      </c>
      <c r="AD446" s="11">
        <v>1</v>
      </c>
      <c r="AE446" s="11">
        <v>0</v>
      </c>
      <c r="AF446" s="11">
        <v>0</v>
      </c>
      <c r="AG446" s="11">
        <v>0</v>
      </c>
      <c r="AH446" s="11">
        <v>0</v>
      </c>
      <c r="AI446" s="45">
        <v>0</v>
      </c>
      <c r="AJ446" s="45">
        <v>0</v>
      </c>
      <c r="AK446" s="45">
        <f t="shared" si="211"/>
        <v>0.3611</v>
      </c>
      <c r="AL446" s="45">
        <f t="shared" si="212"/>
        <v>0.00348095238095238</v>
      </c>
      <c r="AM446" s="45">
        <f t="shared" si="213"/>
        <v>0.0012569719047619</v>
      </c>
      <c r="AN446" s="45">
        <f t="shared" si="214"/>
        <v>0.792187500000004</v>
      </c>
      <c r="AO446" s="45">
        <f t="shared" si="215"/>
        <v>0.792187500000004</v>
      </c>
      <c r="AP446" s="45">
        <f t="shared" si="216"/>
        <v>1.05625000000001</v>
      </c>
      <c r="AQ446" s="45">
        <f t="shared" si="217"/>
        <v>0</v>
      </c>
      <c r="AR446" s="45">
        <f t="shared" si="218"/>
        <v>0</v>
      </c>
      <c r="AS446" s="19">
        <f t="shared" si="219"/>
        <v>1.07916666666667</v>
      </c>
      <c r="AT446" s="19">
        <f t="shared" si="220"/>
        <v>1.03333333333334</v>
      </c>
      <c r="AU446" s="46">
        <v>0</v>
      </c>
      <c r="AV446" s="46">
        <v>0</v>
      </c>
      <c r="AW446" s="46">
        <v>0</v>
      </c>
      <c r="AX446" s="46">
        <v>1</v>
      </c>
      <c r="AY446" s="47">
        <v>0</v>
      </c>
      <c r="AZ446" s="47">
        <v>-1</v>
      </c>
    </row>
    <row r="447" hidden="1" customHeight="1" spans="1:52">
      <c r="A447" s="44">
        <v>45772</v>
      </c>
      <c r="B447" s="33">
        <f t="shared" si="203"/>
        <v>244</v>
      </c>
      <c r="C447" s="33">
        <f t="shared" si="204"/>
        <v>2053</v>
      </c>
      <c r="D447" s="11">
        <f t="shared" si="205"/>
        <v>2297</v>
      </c>
      <c r="E447" s="34">
        <f t="shared" si="201"/>
        <v>-1.86313263030589e-7</v>
      </c>
      <c r="F447" s="35">
        <f t="shared" si="206"/>
        <v>0.000365356337285236</v>
      </c>
      <c r="G447" s="18">
        <f>(SUM($I$8:$I447)*(MAX(M$3-M$4,0))+(N447*MAX(M$4,0)))*(1-$AM$4)+(AM447*$AM$4)</f>
        <v>0.160756788405504</v>
      </c>
      <c r="H447" s="18">
        <f t="shared" si="195"/>
        <v>1.16666666666667</v>
      </c>
      <c r="I447" s="18">
        <f t="shared" si="207"/>
        <v>0.00151234567901235</v>
      </c>
      <c r="J447" s="18">
        <f t="shared" si="196"/>
        <v>0.249903734703102</v>
      </c>
      <c r="K447" s="18">
        <f t="shared" si="197"/>
        <v>0.0030741650217086</v>
      </c>
      <c r="L447" s="18">
        <f t="shared" si="198"/>
        <v>0.0012962962962963</v>
      </c>
      <c r="M447" s="18">
        <v>0</v>
      </c>
      <c r="N447" s="18">
        <f t="shared" si="202"/>
        <v>0.123</v>
      </c>
      <c r="O447" s="11">
        <v>0</v>
      </c>
      <c r="P447" s="11">
        <v>0</v>
      </c>
      <c r="Q447" s="11">
        <f t="shared" si="208"/>
        <v>1</v>
      </c>
      <c r="R447" s="11">
        <v>0</v>
      </c>
      <c r="S447" s="11">
        <f t="shared" si="199"/>
        <v>0</v>
      </c>
      <c r="T447" s="11">
        <v>0</v>
      </c>
      <c r="U447" s="11">
        <f t="shared" si="209"/>
        <v>1</v>
      </c>
      <c r="V447" s="11">
        <v>0</v>
      </c>
      <c r="W447" s="11">
        <f t="shared" si="210"/>
        <v>1</v>
      </c>
      <c r="X447" s="11">
        <f t="shared" si="200"/>
        <v>0</v>
      </c>
      <c r="Y447" s="19">
        <v>0</v>
      </c>
      <c r="Z447" s="11">
        <v>0</v>
      </c>
      <c r="AA447" s="11">
        <v>6</v>
      </c>
      <c r="AB447" s="11">
        <v>0</v>
      </c>
      <c r="AC447" s="11">
        <v>0</v>
      </c>
      <c r="AD447" s="11">
        <v>1</v>
      </c>
      <c r="AE447" s="11">
        <v>0</v>
      </c>
      <c r="AF447" s="11">
        <v>0</v>
      </c>
      <c r="AG447" s="11">
        <v>0</v>
      </c>
      <c r="AH447" s="11">
        <v>0</v>
      </c>
      <c r="AI447" s="45">
        <v>0</v>
      </c>
      <c r="AJ447" s="45">
        <v>0</v>
      </c>
      <c r="AK447" s="45">
        <f t="shared" si="211"/>
        <v>0.3611</v>
      </c>
      <c r="AL447" s="45">
        <f t="shared" si="212"/>
        <v>0.00348095238095238</v>
      </c>
      <c r="AM447" s="45">
        <f t="shared" si="213"/>
        <v>0.0012569719047619</v>
      </c>
      <c r="AN447" s="45">
        <f t="shared" si="214"/>
        <v>0.792187500000004</v>
      </c>
      <c r="AO447" s="45">
        <f t="shared" si="215"/>
        <v>0.792187500000004</v>
      </c>
      <c r="AP447" s="45">
        <f t="shared" si="216"/>
        <v>1.05625000000001</v>
      </c>
      <c r="AQ447" s="45">
        <f t="shared" si="217"/>
        <v>0</v>
      </c>
      <c r="AR447" s="45">
        <f t="shared" si="218"/>
        <v>0</v>
      </c>
      <c r="AS447" s="19">
        <f t="shared" si="219"/>
        <v>1.07916666666667</v>
      </c>
      <c r="AT447" s="19">
        <f t="shared" si="220"/>
        <v>1.03333333333334</v>
      </c>
      <c r="AU447" s="46">
        <v>0</v>
      </c>
      <c r="AV447" s="46">
        <v>0</v>
      </c>
      <c r="AW447" s="46">
        <v>0</v>
      </c>
      <c r="AX447" s="46">
        <v>1</v>
      </c>
      <c r="AY447" s="47">
        <v>0</v>
      </c>
      <c r="AZ447" s="47">
        <v>-1</v>
      </c>
    </row>
    <row r="448" hidden="1" customHeight="1" spans="1:52">
      <c r="A448" s="44">
        <v>45773</v>
      </c>
      <c r="B448" s="33">
        <f t="shared" si="203"/>
        <v>243</v>
      </c>
      <c r="C448" s="33">
        <f t="shared" si="204"/>
        <v>2054</v>
      </c>
      <c r="D448" s="11">
        <f t="shared" si="205"/>
        <v>2297</v>
      </c>
      <c r="E448" s="34">
        <f t="shared" si="201"/>
        <v>-1.8546830492152e-7</v>
      </c>
      <c r="F448" s="35">
        <f t="shared" si="206"/>
        <v>0.000365170868980315</v>
      </c>
      <c r="G448" s="18">
        <f>(SUM($I$8:$I448)*(MAX(M$3-M$4,0))+(N448*MAX(M$4,0)))*(1-$AM$4)+(AM448*$AM$4)</f>
        <v>0.161040353220319</v>
      </c>
      <c r="H448" s="18">
        <f t="shared" si="195"/>
        <v>1.16666666666667</v>
      </c>
      <c r="I448" s="18">
        <f t="shared" si="207"/>
        <v>0.00151234567901235</v>
      </c>
      <c r="J448" s="18">
        <f t="shared" si="196"/>
        <v>0.249776874382535</v>
      </c>
      <c r="K448" s="18">
        <f t="shared" si="197"/>
        <v>0.00308733796550397</v>
      </c>
      <c r="L448" s="18">
        <f t="shared" si="198"/>
        <v>0.0012962962962963</v>
      </c>
      <c r="M448" s="18">
        <v>0</v>
      </c>
      <c r="N448" s="18">
        <f t="shared" si="202"/>
        <v>0.123</v>
      </c>
      <c r="O448" s="11">
        <v>0</v>
      </c>
      <c r="P448" s="11">
        <v>0</v>
      </c>
      <c r="Q448" s="11">
        <f t="shared" si="208"/>
        <v>1</v>
      </c>
      <c r="R448" s="11">
        <v>0</v>
      </c>
      <c r="S448" s="11">
        <f t="shared" si="199"/>
        <v>0</v>
      </c>
      <c r="T448" s="11">
        <v>0</v>
      </c>
      <c r="U448" s="11">
        <f t="shared" si="209"/>
        <v>1</v>
      </c>
      <c r="V448" s="11">
        <v>0</v>
      </c>
      <c r="W448" s="11">
        <f t="shared" si="210"/>
        <v>1</v>
      </c>
      <c r="X448" s="11">
        <f t="shared" si="200"/>
        <v>0</v>
      </c>
      <c r="Y448" s="19">
        <v>0</v>
      </c>
      <c r="Z448" s="11">
        <v>0</v>
      </c>
      <c r="AA448" s="11">
        <v>6</v>
      </c>
      <c r="AB448" s="11">
        <v>0</v>
      </c>
      <c r="AC448" s="11">
        <v>0</v>
      </c>
      <c r="AD448" s="11">
        <v>1</v>
      </c>
      <c r="AE448" s="11">
        <v>0</v>
      </c>
      <c r="AF448" s="11">
        <v>0</v>
      </c>
      <c r="AG448" s="11">
        <v>0</v>
      </c>
      <c r="AH448" s="11">
        <v>0</v>
      </c>
      <c r="AI448" s="45">
        <v>0</v>
      </c>
      <c r="AJ448" s="45">
        <v>0</v>
      </c>
      <c r="AK448" s="45">
        <f t="shared" si="211"/>
        <v>0.3611</v>
      </c>
      <c r="AL448" s="45">
        <f t="shared" si="212"/>
        <v>0.00348095238095238</v>
      </c>
      <c r="AM448" s="45">
        <f t="shared" si="213"/>
        <v>0.0012569719047619</v>
      </c>
      <c r="AN448" s="45">
        <f t="shared" si="214"/>
        <v>0.792187500000004</v>
      </c>
      <c r="AO448" s="45">
        <f t="shared" si="215"/>
        <v>0.792187500000004</v>
      </c>
      <c r="AP448" s="45">
        <f t="shared" si="216"/>
        <v>1.05625000000001</v>
      </c>
      <c r="AQ448" s="45">
        <f t="shared" si="217"/>
        <v>0</v>
      </c>
      <c r="AR448" s="45">
        <f t="shared" si="218"/>
        <v>0</v>
      </c>
      <c r="AS448" s="19">
        <f t="shared" si="219"/>
        <v>1.07916666666667</v>
      </c>
      <c r="AT448" s="19">
        <f t="shared" si="220"/>
        <v>1.03333333333334</v>
      </c>
      <c r="AU448" s="46">
        <v>0</v>
      </c>
      <c r="AV448" s="46">
        <v>0</v>
      </c>
      <c r="AW448" s="46">
        <v>0</v>
      </c>
      <c r="AX448" s="46">
        <v>1</v>
      </c>
      <c r="AY448" s="47">
        <v>0</v>
      </c>
      <c r="AZ448" s="47">
        <v>-1</v>
      </c>
    </row>
    <row r="449" hidden="1" customHeight="1" spans="1:52">
      <c r="A449" s="44">
        <v>45774</v>
      </c>
      <c r="B449" s="33">
        <f t="shared" si="203"/>
        <v>242</v>
      </c>
      <c r="C449" s="33">
        <f t="shared" si="204"/>
        <v>2056</v>
      </c>
      <c r="D449" s="11">
        <f t="shared" si="205"/>
        <v>2298</v>
      </c>
      <c r="E449" s="34">
        <f t="shared" si="201"/>
        <v>-1.88794986723619e-7</v>
      </c>
      <c r="F449" s="35">
        <f t="shared" si="206"/>
        <v>0.000364982073993591</v>
      </c>
      <c r="G449" s="18">
        <f>(SUM($I$8:$I449)*(MAX(M$3-M$4,0))+(N449*MAX(M$4,0)))*(1-$AM$4)+(AM449*$AM$4)</f>
        <v>0.161322076705167</v>
      </c>
      <c r="H449" s="18">
        <f t="shared" si="195"/>
        <v>1.16666666666667</v>
      </c>
      <c r="I449" s="18">
        <f t="shared" si="207"/>
        <v>0.00150252525252526</v>
      </c>
      <c r="J449" s="18">
        <f t="shared" si="196"/>
        <v>0.249647738611616</v>
      </c>
      <c r="K449" s="18">
        <f t="shared" si="197"/>
        <v>0.00310062917929084</v>
      </c>
      <c r="L449" s="18">
        <f t="shared" si="198"/>
        <v>0.00128787878787879</v>
      </c>
      <c r="M449" s="18">
        <v>0</v>
      </c>
      <c r="N449" s="18">
        <f t="shared" si="202"/>
        <v>0.123</v>
      </c>
      <c r="O449" s="11">
        <v>0</v>
      </c>
      <c r="P449" s="11">
        <v>0</v>
      </c>
      <c r="Q449" s="11">
        <f t="shared" si="208"/>
        <v>1</v>
      </c>
      <c r="R449" s="11">
        <v>0</v>
      </c>
      <c r="S449" s="11">
        <f t="shared" si="199"/>
        <v>0</v>
      </c>
      <c r="T449" s="11">
        <v>0</v>
      </c>
      <c r="U449" s="11">
        <f t="shared" si="209"/>
        <v>1</v>
      </c>
      <c r="V449" s="11">
        <v>0</v>
      </c>
      <c r="W449" s="11">
        <f t="shared" si="210"/>
        <v>1</v>
      </c>
      <c r="X449" s="11">
        <f t="shared" si="200"/>
        <v>0</v>
      </c>
      <c r="Y449" s="19">
        <v>3.4</v>
      </c>
      <c r="Z449" s="11">
        <v>0</v>
      </c>
      <c r="AA449" s="11">
        <v>0</v>
      </c>
      <c r="AB449" s="11">
        <v>0</v>
      </c>
      <c r="AC449" s="11">
        <v>0</v>
      </c>
      <c r="AD449" s="11">
        <v>0</v>
      </c>
      <c r="AE449" s="11">
        <v>0</v>
      </c>
      <c r="AF449" s="11">
        <v>0</v>
      </c>
      <c r="AG449" s="11">
        <v>0</v>
      </c>
      <c r="AH449" s="11">
        <v>0</v>
      </c>
      <c r="AI449" s="45">
        <v>0</v>
      </c>
      <c r="AJ449" s="45">
        <v>0</v>
      </c>
      <c r="AK449" s="45">
        <f t="shared" si="211"/>
        <v>0.3611</v>
      </c>
      <c r="AL449" s="45">
        <f t="shared" si="212"/>
        <v>0.00348095238095238</v>
      </c>
      <c r="AM449" s="45">
        <f t="shared" si="213"/>
        <v>0.0012569719047619</v>
      </c>
      <c r="AN449" s="45">
        <f t="shared" si="214"/>
        <v>0.792187500000004</v>
      </c>
      <c r="AO449" s="45">
        <f t="shared" si="215"/>
        <v>0.792187500000004</v>
      </c>
      <c r="AP449" s="45">
        <f t="shared" si="216"/>
        <v>1.05625000000001</v>
      </c>
      <c r="AQ449" s="45">
        <f t="shared" si="217"/>
        <v>0</v>
      </c>
      <c r="AR449" s="45">
        <f t="shared" si="218"/>
        <v>0</v>
      </c>
      <c r="AS449" s="19">
        <f t="shared" si="219"/>
        <v>1.07916666666667</v>
      </c>
      <c r="AT449" s="19">
        <f t="shared" si="220"/>
        <v>1.03333333333334</v>
      </c>
      <c r="AU449" s="46">
        <v>0</v>
      </c>
      <c r="AV449" s="46">
        <v>0</v>
      </c>
      <c r="AW449" s="46">
        <v>0</v>
      </c>
      <c r="AX449" s="46">
        <v>1</v>
      </c>
      <c r="AY449" s="47">
        <v>0</v>
      </c>
      <c r="AZ449" s="47">
        <v>-1</v>
      </c>
    </row>
    <row r="450" hidden="1" customHeight="1" spans="1:52">
      <c r="A450" s="44">
        <v>45775</v>
      </c>
      <c r="B450" s="33">
        <f t="shared" si="203"/>
        <v>241</v>
      </c>
      <c r="C450" s="33">
        <f t="shared" si="204"/>
        <v>2057</v>
      </c>
      <c r="D450" s="11">
        <f t="shared" si="205"/>
        <v>2298</v>
      </c>
      <c r="E450" s="34">
        <f t="shared" si="201"/>
        <v>-1.83786138101077e-7</v>
      </c>
      <c r="F450" s="35">
        <f t="shared" si="206"/>
        <v>0.00036479828785549</v>
      </c>
      <c r="G450" s="18">
        <f>(SUM($I$8:$I450)*(MAX(M$3-M$4,0))+(N450*MAX(M$4,0)))*(1-$AM$4)+(AM450*$AM$4)</f>
        <v>0.161605641519982</v>
      </c>
      <c r="H450" s="18">
        <f t="shared" si="195"/>
        <v>1.16666666666667</v>
      </c>
      <c r="I450" s="18">
        <f t="shared" si="207"/>
        <v>0.00151234567901235</v>
      </c>
      <c r="J450" s="18">
        <f t="shared" si="196"/>
        <v>0.249522028893155</v>
      </c>
      <c r="K450" s="18">
        <f t="shared" si="197"/>
        <v>0.00311401647762176</v>
      </c>
      <c r="L450" s="18">
        <f t="shared" si="198"/>
        <v>0.0012962962962963</v>
      </c>
      <c r="M450" s="18">
        <v>0</v>
      </c>
      <c r="N450" s="18">
        <f t="shared" si="202"/>
        <v>0.123</v>
      </c>
      <c r="O450" s="11">
        <v>0</v>
      </c>
      <c r="P450" s="11">
        <v>0</v>
      </c>
      <c r="Q450" s="11">
        <f t="shared" si="208"/>
        <v>1</v>
      </c>
      <c r="R450" s="11">
        <v>0</v>
      </c>
      <c r="S450" s="11">
        <f t="shared" si="199"/>
        <v>0</v>
      </c>
      <c r="T450" s="11">
        <v>0</v>
      </c>
      <c r="U450" s="11">
        <f t="shared" si="209"/>
        <v>1</v>
      </c>
      <c r="V450" s="11">
        <v>0</v>
      </c>
      <c r="W450" s="11">
        <f t="shared" si="210"/>
        <v>1</v>
      </c>
      <c r="X450" s="11">
        <f t="shared" si="200"/>
        <v>0</v>
      </c>
      <c r="Y450" s="19">
        <v>0</v>
      </c>
      <c r="Z450" s="11">
        <v>0</v>
      </c>
      <c r="AA450" s="11">
        <v>6</v>
      </c>
      <c r="AB450" s="11">
        <v>0</v>
      </c>
      <c r="AC450" s="11">
        <v>0</v>
      </c>
      <c r="AD450" s="11">
        <v>1</v>
      </c>
      <c r="AE450" s="11">
        <v>0</v>
      </c>
      <c r="AF450" s="11">
        <v>0</v>
      </c>
      <c r="AG450" s="11">
        <v>0</v>
      </c>
      <c r="AH450" s="11">
        <v>0</v>
      </c>
      <c r="AI450" s="45">
        <v>0</v>
      </c>
      <c r="AJ450" s="45">
        <v>0</v>
      </c>
      <c r="AK450" s="45">
        <f t="shared" si="211"/>
        <v>0.3611</v>
      </c>
      <c r="AL450" s="45">
        <f t="shared" si="212"/>
        <v>0.00348095238095238</v>
      </c>
      <c r="AM450" s="45">
        <f t="shared" si="213"/>
        <v>0.0012569719047619</v>
      </c>
      <c r="AN450" s="45">
        <f t="shared" si="214"/>
        <v>0.792187500000004</v>
      </c>
      <c r="AO450" s="45">
        <f t="shared" si="215"/>
        <v>0.792187500000004</v>
      </c>
      <c r="AP450" s="45">
        <f t="shared" si="216"/>
        <v>1.05625000000001</v>
      </c>
      <c r="AQ450" s="45">
        <f t="shared" si="217"/>
        <v>0</v>
      </c>
      <c r="AR450" s="45">
        <f t="shared" si="218"/>
        <v>0</v>
      </c>
      <c r="AS450" s="19">
        <f t="shared" si="219"/>
        <v>1.07916666666667</v>
      </c>
      <c r="AT450" s="19">
        <f t="shared" si="220"/>
        <v>1.03333333333334</v>
      </c>
      <c r="AU450" s="46">
        <v>0</v>
      </c>
      <c r="AV450" s="46">
        <v>0</v>
      </c>
      <c r="AW450" s="46">
        <v>0</v>
      </c>
      <c r="AX450" s="46">
        <v>1</v>
      </c>
      <c r="AY450" s="47">
        <v>0</v>
      </c>
      <c r="AZ450" s="47">
        <v>-1</v>
      </c>
    </row>
    <row r="451" hidden="1" customHeight="1" spans="1:52">
      <c r="A451" s="44">
        <v>45776</v>
      </c>
      <c r="B451" s="33">
        <f t="shared" si="203"/>
        <v>240</v>
      </c>
      <c r="C451" s="33">
        <f t="shared" si="204"/>
        <v>2059</v>
      </c>
      <c r="D451" s="11">
        <f t="shared" si="205"/>
        <v>2299</v>
      </c>
      <c r="E451" s="34">
        <f t="shared" si="201"/>
        <v>-1.82958272614085e-7</v>
      </c>
      <c r="F451" s="35">
        <f t="shared" si="206"/>
        <v>0.000364615329582876</v>
      </c>
      <c r="G451" s="18">
        <f>(SUM($I$8:$I451)*(MAX(M$3-M$4,0))+(N451*MAX(M$4,0)))*(1-$AM$4)+(AM451*$AM$4)</f>
        <v>0.161889206334797</v>
      </c>
      <c r="H451" s="18">
        <f t="shared" si="195"/>
        <v>1.16666666666667</v>
      </c>
      <c r="I451" s="18">
        <f t="shared" si="207"/>
        <v>0.00151234567901235</v>
      </c>
      <c r="J451" s="18">
        <f t="shared" si="196"/>
        <v>0.249396885434687</v>
      </c>
      <c r="K451" s="18">
        <f t="shared" si="197"/>
        <v>0.00312751297735547</v>
      </c>
      <c r="L451" s="18">
        <f t="shared" si="198"/>
        <v>0.0012962962962963</v>
      </c>
      <c r="M451" s="18">
        <v>0</v>
      </c>
      <c r="N451" s="18">
        <f t="shared" si="202"/>
        <v>0.123</v>
      </c>
      <c r="O451" s="11">
        <v>0</v>
      </c>
      <c r="P451" s="11">
        <v>0</v>
      </c>
      <c r="Q451" s="11">
        <f t="shared" si="208"/>
        <v>1</v>
      </c>
      <c r="R451" s="11">
        <v>0</v>
      </c>
      <c r="S451" s="11">
        <f t="shared" si="199"/>
        <v>0</v>
      </c>
      <c r="T451" s="11">
        <v>0</v>
      </c>
      <c r="U451" s="11">
        <f t="shared" si="209"/>
        <v>1</v>
      </c>
      <c r="V451" s="11">
        <v>0</v>
      </c>
      <c r="W451" s="11">
        <f t="shared" si="210"/>
        <v>1</v>
      </c>
      <c r="X451" s="11">
        <f t="shared" si="200"/>
        <v>0</v>
      </c>
      <c r="Y451" s="19">
        <v>0</v>
      </c>
      <c r="Z451" s="11">
        <v>0</v>
      </c>
      <c r="AA451" s="11">
        <v>6</v>
      </c>
      <c r="AB451" s="11">
        <v>0</v>
      </c>
      <c r="AC451" s="11">
        <v>0</v>
      </c>
      <c r="AD451" s="11">
        <v>1</v>
      </c>
      <c r="AE451" s="11">
        <v>0</v>
      </c>
      <c r="AF451" s="11">
        <v>0</v>
      </c>
      <c r="AG451" s="11">
        <v>0</v>
      </c>
      <c r="AH451" s="11">
        <v>0</v>
      </c>
      <c r="AI451" s="45">
        <v>0</v>
      </c>
      <c r="AJ451" s="45">
        <v>0</v>
      </c>
      <c r="AK451" s="45">
        <f t="shared" si="211"/>
        <v>0.3611</v>
      </c>
      <c r="AL451" s="45">
        <f t="shared" si="212"/>
        <v>0.00348095238095238</v>
      </c>
      <c r="AM451" s="45">
        <f t="shared" si="213"/>
        <v>0.0012569719047619</v>
      </c>
      <c r="AN451" s="45">
        <f t="shared" si="214"/>
        <v>0.792187500000004</v>
      </c>
      <c r="AO451" s="45">
        <f t="shared" si="215"/>
        <v>0.792187500000004</v>
      </c>
      <c r="AP451" s="45">
        <f t="shared" si="216"/>
        <v>1.05625000000001</v>
      </c>
      <c r="AQ451" s="45">
        <f t="shared" si="217"/>
        <v>0</v>
      </c>
      <c r="AR451" s="45">
        <f t="shared" si="218"/>
        <v>0</v>
      </c>
      <c r="AS451" s="19">
        <f t="shared" si="219"/>
        <v>1.07916666666667</v>
      </c>
      <c r="AT451" s="19">
        <f t="shared" si="220"/>
        <v>1.03333333333334</v>
      </c>
      <c r="AU451" s="46">
        <v>0</v>
      </c>
      <c r="AV451" s="46">
        <v>0</v>
      </c>
      <c r="AW451" s="46">
        <v>0</v>
      </c>
      <c r="AX451" s="46">
        <v>1</v>
      </c>
      <c r="AY451" s="47">
        <v>0</v>
      </c>
      <c r="AZ451" s="47">
        <v>-1</v>
      </c>
    </row>
    <row r="452" hidden="1" customHeight="1" spans="1:52">
      <c r="A452" s="44">
        <v>45777</v>
      </c>
      <c r="B452" s="33">
        <f t="shared" si="203"/>
        <v>239</v>
      </c>
      <c r="C452" s="33">
        <f t="shared" si="204"/>
        <v>2060</v>
      </c>
      <c r="D452" s="11">
        <f t="shared" si="205"/>
        <v>2299</v>
      </c>
      <c r="E452" s="34">
        <f t="shared" si="201"/>
        <v>-1.82135988242849e-7</v>
      </c>
      <c r="F452" s="35">
        <f t="shared" si="206"/>
        <v>0.000364433193594633</v>
      </c>
      <c r="G452" s="18">
        <f>(SUM($I$8:$I452)*(MAX(M$3-M$4,0))+(N452*MAX(M$4,0)))*(1-$AM$4)+(AM452*$AM$4)</f>
        <v>0.162172771149612</v>
      </c>
      <c r="H452" s="18">
        <f t="shared" si="195"/>
        <v>1.16666666666667</v>
      </c>
      <c r="I452" s="18">
        <f t="shared" si="207"/>
        <v>0.00151234567901235</v>
      </c>
      <c r="J452" s="18">
        <f t="shared" si="196"/>
        <v>0.249272304418729</v>
      </c>
      <c r="K452" s="18">
        <f t="shared" si="197"/>
        <v>0.0031411200651936</v>
      </c>
      <c r="L452" s="18">
        <f t="shared" si="198"/>
        <v>0.0012962962962963</v>
      </c>
      <c r="M452" s="18">
        <v>0</v>
      </c>
      <c r="N452" s="18">
        <f t="shared" si="202"/>
        <v>0.123</v>
      </c>
      <c r="O452" s="11">
        <v>0</v>
      </c>
      <c r="P452" s="11">
        <v>0</v>
      </c>
      <c r="Q452" s="11">
        <f t="shared" si="208"/>
        <v>1</v>
      </c>
      <c r="R452" s="11">
        <v>0</v>
      </c>
      <c r="S452" s="11">
        <f t="shared" si="199"/>
        <v>0</v>
      </c>
      <c r="T452" s="11">
        <v>0</v>
      </c>
      <c r="U452" s="11">
        <f t="shared" si="209"/>
        <v>1</v>
      </c>
      <c r="V452" s="11">
        <v>0</v>
      </c>
      <c r="W452" s="11">
        <f t="shared" si="210"/>
        <v>1</v>
      </c>
      <c r="X452" s="11">
        <f t="shared" si="200"/>
        <v>0</v>
      </c>
      <c r="Y452" s="19">
        <v>0</v>
      </c>
      <c r="Z452" s="11">
        <v>0</v>
      </c>
      <c r="AA452" s="11">
        <v>6</v>
      </c>
      <c r="AB452" s="11">
        <v>0</v>
      </c>
      <c r="AC452" s="11">
        <v>0</v>
      </c>
      <c r="AD452" s="11">
        <v>1</v>
      </c>
      <c r="AE452" s="11">
        <v>0</v>
      </c>
      <c r="AF452" s="11">
        <v>0</v>
      </c>
      <c r="AG452" s="11">
        <v>0</v>
      </c>
      <c r="AH452" s="11">
        <v>0</v>
      </c>
      <c r="AI452" s="45">
        <v>0</v>
      </c>
      <c r="AJ452" s="45">
        <v>0</v>
      </c>
      <c r="AK452" s="45">
        <f t="shared" si="211"/>
        <v>0.3611</v>
      </c>
      <c r="AL452" s="45">
        <f t="shared" si="212"/>
        <v>0.00348095238095238</v>
      </c>
      <c r="AM452" s="45">
        <f t="shared" si="213"/>
        <v>0.0012569719047619</v>
      </c>
      <c r="AN452" s="45">
        <f t="shared" si="214"/>
        <v>0.792187500000004</v>
      </c>
      <c r="AO452" s="45">
        <f t="shared" si="215"/>
        <v>0.792187500000004</v>
      </c>
      <c r="AP452" s="45">
        <f t="shared" si="216"/>
        <v>1.05625000000001</v>
      </c>
      <c r="AQ452" s="45">
        <f t="shared" si="217"/>
        <v>0</v>
      </c>
      <c r="AR452" s="45">
        <f t="shared" si="218"/>
        <v>0</v>
      </c>
      <c r="AS452" s="19">
        <f t="shared" si="219"/>
        <v>1.07916666666667</v>
      </c>
      <c r="AT452" s="19">
        <f t="shared" si="220"/>
        <v>1.03333333333334</v>
      </c>
      <c r="AU452" s="46">
        <v>0</v>
      </c>
      <c r="AV452" s="46">
        <v>0</v>
      </c>
      <c r="AW452" s="46">
        <v>0</v>
      </c>
      <c r="AX452" s="46">
        <v>1</v>
      </c>
      <c r="AY452" s="47">
        <v>0</v>
      </c>
      <c r="AZ452" s="47">
        <v>-1</v>
      </c>
    </row>
    <row r="453" hidden="1" customHeight="1" spans="1:52">
      <c r="A453" s="44">
        <v>45778</v>
      </c>
      <c r="B453" s="33">
        <f t="shared" si="203"/>
        <v>238</v>
      </c>
      <c r="C453" s="33">
        <f t="shared" si="204"/>
        <v>2062</v>
      </c>
      <c r="D453" s="11">
        <f t="shared" si="205"/>
        <v>2300</v>
      </c>
      <c r="E453" s="34">
        <f t="shared" si="201"/>
        <v>-2.0137215576998e-7</v>
      </c>
      <c r="F453" s="35">
        <f t="shared" si="206"/>
        <v>0.000364231821438863</v>
      </c>
      <c r="G453" s="18">
        <f>(SUM($I$8:$I453)*(MAX(M$3-M$4,0))+(N453*MAX(M$4,0)))*(1-$AM$4)+(AM453*$AM$4)</f>
        <v>0.162447392361733</v>
      </c>
      <c r="H453" s="18">
        <f t="shared" si="195"/>
        <v>1.20833333333333</v>
      </c>
      <c r="I453" s="18">
        <f t="shared" si="207"/>
        <v>0.00146464646464646</v>
      </c>
      <c r="J453" s="18">
        <f t="shared" si="196"/>
        <v>0.249134565864182</v>
      </c>
      <c r="K453" s="18">
        <f t="shared" si="197"/>
        <v>0.00315489678208327</v>
      </c>
      <c r="L453" s="18">
        <f t="shared" si="198"/>
        <v>0.00121212121212121</v>
      </c>
      <c r="M453" s="18">
        <v>0</v>
      </c>
      <c r="N453" s="18">
        <f t="shared" si="202"/>
        <v>0.123</v>
      </c>
      <c r="O453" s="11">
        <v>0</v>
      </c>
      <c r="P453" s="11">
        <v>0</v>
      </c>
      <c r="Q453" s="11">
        <f t="shared" si="208"/>
        <v>1</v>
      </c>
      <c r="R453" s="11">
        <v>0</v>
      </c>
      <c r="S453" s="11">
        <f t="shared" si="199"/>
        <v>0</v>
      </c>
      <c r="T453" s="11">
        <v>0</v>
      </c>
      <c r="U453" s="11">
        <f t="shared" si="209"/>
        <v>1</v>
      </c>
      <c r="V453" s="11">
        <v>0</v>
      </c>
      <c r="W453" s="11">
        <f t="shared" si="210"/>
        <v>1</v>
      </c>
      <c r="X453" s="11">
        <f t="shared" si="200"/>
        <v>0</v>
      </c>
      <c r="Y453" s="19">
        <v>0</v>
      </c>
      <c r="Z453" s="11">
        <v>0</v>
      </c>
      <c r="AA453" s="11">
        <v>6</v>
      </c>
      <c r="AB453" s="11">
        <v>0</v>
      </c>
      <c r="AC453" s="11">
        <v>0</v>
      </c>
      <c r="AD453" s="11">
        <v>0</v>
      </c>
      <c r="AE453" s="11">
        <v>0</v>
      </c>
      <c r="AF453" s="11">
        <v>0</v>
      </c>
      <c r="AG453" s="11">
        <v>0</v>
      </c>
      <c r="AH453" s="11">
        <v>0</v>
      </c>
      <c r="AI453" s="45">
        <v>0</v>
      </c>
      <c r="AJ453" s="45">
        <v>0</v>
      </c>
      <c r="AK453" s="45">
        <f t="shared" si="211"/>
        <v>0.3611</v>
      </c>
      <c r="AL453" s="45">
        <f t="shared" si="212"/>
        <v>0.00348095238095238</v>
      </c>
      <c r="AM453" s="45">
        <f t="shared" si="213"/>
        <v>0.0012569719047619</v>
      </c>
      <c r="AN453" s="45">
        <f t="shared" si="214"/>
        <v>0.792187500000004</v>
      </c>
      <c r="AO453" s="45">
        <f t="shared" si="215"/>
        <v>0.792187500000004</v>
      </c>
      <c r="AP453" s="45">
        <f t="shared" si="216"/>
        <v>1.05625000000001</v>
      </c>
      <c r="AQ453" s="45">
        <f t="shared" si="217"/>
        <v>0</v>
      </c>
      <c r="AR453" s="45">
        <f t="shared" si="218"/>
        <v>0</v>
      </c>
      <c r="AS453" s="19">
        <f t="shared" si="219"/>
        <v>1.07916666666667</v>
      </c>
      <c r="AT453" s="19">
        <f t="shared" si="220"/>
        <v>1.03333333333334</v>
      </c>
      <c r="AU453" s="46">
        <v>0</v>
      </c>
      <c r="AV453" s="46">
        <v>0</v>
      </c>
      <c r="AW453" s="46">
        <v>0</v>
      </c>
      <c r="AX453" s="46">
        <v>1</v>
      </c>
      <c r="AY453" s="47">
        <v>0</v>
      </c>
      <c r="AZ453" s="47">
        <v>-1</v>
      </c>
    </row>
    <row r="454" hidden="1" customHeight="1" spans="1:52">
      <c r="A454" s="44">
        <v>45779</v>
      </c>
      <c r="B454" s="33">
        <f t="shared" si="203"/>
        <v>237</v>
      </c>
      <c r="C454" s="33">
        <f t="shared" si="204"/>
        <v>2063</v>
      </c>
      <c r="D454" s="11">
        <f t="shared" si="205"/>
        <v>2300</v>
      </c>
      <c r="E454" s="34">
        <f t="shared" si="201"/>
        <v>-2.17110217328755e-7</v>
      </c>
      <c r="F454" s="35">
        <f t="shared" si="206"/>
        <v>0.000364014711221534</v>
      </c>
      <c r="G454" s="18">
        <f>(SUM($I$8:$I454)*(MAX(M$3-M$4,0))+(N454*MAX(M$4,0)))*(1-$AM$4)+(AM454*$AM$4)</f>
        <v>0.162714575916026</v>
      </c>
      <c r="H454" s="18">
        <f t="shared" si="195"/>
        <v>1.20833333333333</v>
      </c>
      <c r="I454" s="18">
        <f t="shared" si="207"/>
        <v>0.00142497895622896</v>
      </c>
      <c r="J454" s="18">
        <f t="shared" si="196"/>
        <v>0.24898606247553</v>
      </c>
      <c r="K454" s="18">
        <f t="shared" si="197"/>
        <v>0.00316883517942815</v>
      </c>
      <c r="L454" s="18">
        <f t="shared" si="198"/>
        <v>0.00117929292929293</v>
      </c>
      <c r="M454" s="18">
        <v>0</v>
      </c>
      <c r="N454" s="18">
        <f t="shared" si="202"/>
        <v>0.123</v>
      </c>
      <c r="O454" s="11">
        <v>0</v>
      </c>
      <c r="P454" s="11">
        <v>0</v>
      </c>
      <c r="Q454" s="11">
        <f t="shared" si="208"/>
        <v>1</v>
      </c>
      <c r="R454" s="11">
        <v>0</v>
      </c>
      <c r="S454" s="11">
        <f t="shared" si="199"/>
        <v>0</v>
      </c>
      <c r="T454" s="11">
        <v>0</v>
      </c>
      <c r="U454" s="11">
        <f t="shared" si="209"/>
        <v>1</v>
      </c>
      <c r="V454" s="11">
        <v>0</v>
      </c>
      <c r="W454" s="11">
        <f t="shared" si="210"/>
        <v>1</v>
      </c>
      <c r="X454" s="11">
        <f t="shared" si="200"/>
        <v>0</v>
      </c>
      <c r="Y454" s="19">
        <v>2.58</v>
      </c>
      <c r="Z454" s="11">
        <v>0</v>
      </c>
      <c r="AA454" s="11">
        <v>1</v>
      </c>
      <c r="AB454" s="11">
        <v>0</v>
      </c>
      <c r="AC454" s="11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45">
        <v>0</v>
      </c>
      <c r="AJ454" s="45">
        <v>0</v>
      </c>
      <c r="AK454" s="45">
        <f t="shared" si="211"/>
        <v>0.3611</v>
      </c>
      <c r="AL454" s="45">
        <f t="shared" si="212"/>
        <v>0.00348095238095238</v>
      </c>
      <c r="AM454" s="45">
        <f t="shared" si="213"/>
        <v>0.0012569719047619</v>
      </c>
      <c r="AN454" s="45">
        <f t="shared" si="214"/>
        <v>0.792187500000004</v>
      </c>
      <c r="AO454" s="45">
        <f t="shared" si="215"/>
        <v>0.792187500000004</v>
      </c>
      <c r="AP454" s="45">
        <f t="shared" si="216"/>
        <v>1.05625000000001</v>
      </c>
      <c r="AQ454" s="45">
        <f t="shared" si="217"/>
        <v>0</v>
      </c>
      <c r="AR454" s="45">
        <f t="shared" si="218"/>
        <v>0</v>
      </c>
      <c r="AS454" s="19">
        <f t="shared" si="219"/>
        <v>1.07916666666667</v>
      </c>
      <c r="AT454" s="19">
        <f t="shared" si="220"/>
        <v>1.03333333333334</v>
      </c>
      <c r="AU454" s="46">
        <v>0</v>
      </c>
      <c r="AV454" s="46">
        <v>0</v>
      </c>
      <c r="AW454" s="46">
        <v>0</v>
      </c>
      <c r="AX454" s="46">
        <v>1</v>
      </c>
      <c r="AY454" s="47">
        <v>0</v>
      </c>
      <c r="AZ454" s="47">
        <v>-1</v>
      </c>
    </row>
    <row r="455" hidden="1" customHeight="1" spans="1:52">
      <c r="A455" s="44">
        <v>45780</v>
      </c>
      <c r="B455" s="33">
        <f t="shared" si="203"/>
        <v>236</v>
      </c>
      <c r="C455" s="33">
        <f t="shared" si="204"/>
        <v>2065</v>
      </c>
      <c r="D455" s="11">
        <f t="shared" si="205"/>
        <v>2301</v>
      </c>
      <c r="E455" s="34">
        <f t="shared" si="201"/>
        <v>-1.99539060491763e-7</v>
      </c>
      <c r="F455" s="35">
        <f t="shared" si="206"/>
        <v>0.000363815172161043</v>
      </c>
      <c r="G455" s="18">
        <f>(SUM($I$8:$I455)*(MAX(M$3-M$4,0))+(N455*MAX(M$4,0)))*(1-$AM$4)+(AM455*$AM$4)</f>
        <v>0.162989197128147</v>
      </c>
      <c r="H455" s="18">
        <f t="shared" si="195"/>
        <v>1.20833333333333</v>
      </c>
      <c r="I455" s="18">
        <f t="shared" si="207"/>
        <v>0.00146464646464646</v>
      </c>
      <c r="J455" s="18">
        <f t="shared" si="196"/>
        <v>0.248849577758153</v>
      </c>
      <c r="K455" s="18">
        <f t="shared" si="197"/>
        <v>0.00318284077221121</v>
      </c>
      <c r="L455" s="18">
        <f t="shared" si="198"/>
        <v>0.00121212121212121</v>
      </c>
      <c r="M455" s="18">
        <v>0</v>
      </c>
      <c r="N455" s="18">
        <f t="shared" si="202"/>
        <v>0.123</v>
      </c>
      <c r="O455" s="11">
        <v>0</v>
      </c>
      <c r="P455" s="11">
        <v>0</v>
      </c>
      <c r="Q455" s="11">
        <f t="shared" si="208"/>
        <v>1</v>
      </c>
      <c r="R455" s="11">
        <v>0</v>
      </c>
      <c r="S455" s="11">
        <f t="shared" si="199"/>
        <v>0</v>
      </c>
      <c r="T455" s="11">
        <v>0</v>
      </c>
      <c r="U455" s="11">
        <f t="shared" si="209"/>
        <v>1</v>
      </c>
      <c r="V455" s="11">
        <v>0</v>
      </c>
      <c r="W455" s="11">
        <f t="shared" si="210"/>
        <v>1</v>
      </c>
      <c r="X455" s="11">
        <f t="shared" si="200"/>
        <v>0</v>
      </c>
      <c r="Y455" s="19">
        <v>0</v>
      </c>
      <c r="Z455" s="11">
        <v>0</v>
      </c>
      <c r="AA455" s="11">
        <v>6</v>
      </c>
      <c r="AB455" s="11">
        <v>0</v>
      </c>
      <c r="AC455" s="11">
        <v>0</v>
      </c>
      <c r="AD455" s="11">
        <v>0</v>
      </c>
      <c r="AE455" s="11">
        <v>0</v>
      </c>
      <c r="AF455" s="11">
        <v>0</v>
      </c>
      <c r="AG455" s="11">
        <v>0</v>
      </c>
      <c r="AH455" s="11">
        <v>0</v>
      </c>
      <c r="AI455" s="45">
        <v>0</v>
      </c>
      <c r="AJ455" s="45">
        <v>0</v>
      </c>
      <c r="AK455" s="45">
        <f t="shared" si="211"/>
        <v>0.3611</v>
      </c>
      <c r="AL455" s="45">
        <f t="shared" si="212"/>
        <v>0.00348095238095238</v>
      </c>
      <c r="AM455" s="45">
        <f t="shared" si="213"/>
        <v>0.0012569719047619</v>
      </c>
      <c r="AN455" s="45">
        <f t="shared" si="214"/>
        <v>0.792187500000004</v>
      </c>
      <c r="AO455" s="45">
        <f t="shared" si="215"/>
        <v>0.792187500000004</v>
      </c>
      <c r="AP455" s="45">
        <f t="shared" si="216"/>
        <v>1.05625000000001</v>
      </c>
      <c r="AQ455" s="45">
        <f t="shared" si="217"/>
        <v>0</v>
      </c>
      <c r="AR455" s="45">
        <f t="shared" si="218"/>
        <v>0</v>
      </c>
      <c r="AS455" s="19">
        <f t="shared" si="219"/>
        <v>1.07916666666667</v>
      </c>
      <c r="AT455" s="19">
        <f t="shared" si="220"/>
        <v>1.03333333333334</v>
      </c>
      <c r="AU455" s="46">
        <v>0</v>
      </c>
      <c r="AV455" s="46">
        <v>0</v>
      </c>
      <c r="AW455" s="46">
        <v>0</v>
      </c>
      <c r="AX455" s="46">
        <v>1</v>
      </c>
      <c r="AY455" s="47">
        <v>0</v>
      </c>
      <c r="AZ455" s="47">
        <v>-1</v>
      </c>
    </row>
    <row r="456" hidden="1" customHeight="1" spans="1:52">
      <c r="A456" s="44">
        <v>45781</v>
      </c>
      <c r="B456" s="33">
        <f t="shared" si="203"/>
        <v>235</v>
      </c>
      <c r="C456" s="33">
        <f t="shared" si="204"/>
        <v>2066</v>
      </c>
      <c r="D456" s="11">
        <f t="shared" si="205"/>
        <v>2301</v>
      </c>
      <c r="E456" s="34">
        <f t="shared" si="201"/>
        <v>-1.98650245077537e-7</v>
      </c>
      <c r="F456" s="35">
        <f t="shared" si="206"/>
        <v>0.000363616521915965</v>
      </c>
      <c r="G456" s="18">
        <f>(SUM($I$8:$I456)*(MAX(M$3-M$4,0))+(N456*MAX(M$4,0)))*(1-$AM$4)+(AM456*$AM$4)</f>
        <v>0.163263818340268</v>
      </c>
      <c r="H456" s="18">
        <f t="shared" ref="H456:H519" si="221">0.5+(MONTH(A456)+(YEAR(A456)-2024)*12)/((YEAR(B$2)-2023)*12)</f>
        <v>1.20833333333333</v>
      </c>
      <c r="I456" s="18">
        <f t="shared" si="207"/>
        <v>0.00146464646464646</v>
      </c>
      <c r="J456" s="18">
        <f t="shared" ref="J456:J519" si="222">F456*B456+G456</f>
        <v>0.24871370099052</v>
      </c>
      <c r="K456" s="18">
        <f t="shared" ref="K456:K519" si="223">((1-G456)/B456)-F456</f>
        <v>0.00319696297450842</v>
      </c>
      <c r="L456" s="18">
        <f t="shared" ref="L456:L519" si="224">Y456*Y$6+X456*X$6+Z456*Z$6+AA456*AA$6+AB456*AB$6+AC456*AC$6+AD456*AD$6+AE456*AE$6+AF456*AF$6+AG456*AG$6+AH456*AH$6</f>
        <v>0.00121212121212121</v>
      </c>
      <c r="M456" s="18">
        <v>0</v>
      </c>
      <c r="N456" s="18">
        <f t="shared" si="202"/>
        <v>0.123</v>
      </c>
      <c r="O456" s="11">
        <v>0</v>
      </c>
      <c r="P456" s="11">
        <v>0</v>
      </c>
      <c r="Q456" s="11">
        <f t="shared" si="208"/>
        <v>1</v>
      </c>
      <c r="R456" s="11">
        <v>0</v>
      </c>
      <c r="S456" s="11">
        <f t="shared" ref="S456:S519" si="225">O456*$R$5/MAX(1/FACT(128),R456)</f>
        <v>0</v>
      </c>
      <c r="T456" s="11">
        <v>0</v>
      </c>
      <c r="U456" s="11">
        <f t="shared" si="209"/>
        <v>1</v>
      </c>
      <c r="V456" s="11">
        <v>0</v>
      </c>
      <c r="W456" s="11">
        <f t="shared" si="210"/>
        <v>1</v>
      </c>
      <c r="X456" s="11">
        <f t="shared" ref="X456:X519" si="226">O456*Q456*S456*U456*W456</f>
        <v>0</v>
      </c>
      <c r="Y456" s="19">
        <v>0</v>
      </c>
      <c r="Z456" s="11">
        <v>0</v>
      </c>
      <c r="AA456" s="11">
        <v>6</v>
      </c>
      <c r="AB456" s="11">
        <v>0</v>
      </c>
      <c r="AC456" s="11">
        <v>0</v>
      </c>
      <c r="AD456" s="11">
        <v>0</v>
      </c>
      <c r="AE456" s="11">
        <v>0</v>
      </c>
      <c r="AF456" s="11">
        <v>0</v>
      </c>
      <c r="AG456" s="11">
        <v>0</v>
      </c>
      <c r="AH456" s="11">
        <v>0</v>
      </c>
      <c r="AI456" s="45">
        <v>0</v>
      </c>
      <c r="AJ456" s="45">
        <v>0</v>
      </c>
      <c r="AK456" s="45">
        <f t="shared" si="211"/>
        <v>0.3611</v>
      </c>
      <c r="AL456" s="45">
        <f t="shared" si="212"/>
        <v>0.00348095238095238</v>
      </c>
      <c r="AM456" s="45">
        <f t="shared" si="213"/>
        <v>0.0012569719047619</v>
      </c>
      <c r="AN456" s="45">
        <f t="shared" si="214"/>
        <v>0.792187500000004</v>
      </c>
      <c r="AO456" s="45">
        <f t="shared" si="215"/>
        <v>0.792187500000004</v>
      </c>
      <c r="AP456" s="45">
        <f t="shared" si="216"/>
        <v>1.05625000000001</v>
      </c>
      <c r="AQ456" s="45">
        <f t="shared" si="217"/>
        <v>0</v>
      </c>
      <c r="AR456" s="45">
        <f t="shared" si="218"/>
        <v>0</v>
      </c>
      <c r="AS456" s="19">
        <f t="shared" si="219"/>
        <v>1.07916666666667</v>
      </c>
      <c r="AT456" s="19">
        <f t="shared" si="220"/>
        <v>1.03333333333334</v>
      </c>
      <c r="AU456" s="46">
        <v>0</v>
      </c>
      <c r="AV456" s="46">
        <v>0</v>
      </c>
      <c r="AW456" s="46">
        <v>0</v>
      </c>
      <c r="AX456" s="46">
        <v>1</v>
      </c>
      <c r="AY456" s="47">
        <v>0</v>
      </c>
      <c r="AZ456" s="47">
        <v>-1</v>
      </c>
    </row>
    <row r="457" hidden="1" customHeight="1" spans="1:52">
      <c r="A457" s="44">
        <v>45782</v>
      </c>
      <c r="B457" s="33">
        <f t="shared" si="203"/>
        <v>234</v>
      </c>
      <c r="C457" s="33">
        <f t="shared" si="204"/>
        <v>2068</v>
      </c>
      <c r="D457" s="11">
        <f t="shared" si="205"/>
        <v>2302</v>
      </c>
      <c r="E457" s="34">
        <f t="shared" ref="E457:E520" si="227">F457-F456</f>
        <v>-1.9776735509945e-7</v>
      </c>
      <c r="F457" s="35">
        <f t="shared" si="206"/>
        <v>0.000363418754560866</v>
      </c>
      <c r="G457" s="18">
        <f>(SUM($I$8:$I457)*(MAX(M$3-M$4,0))+(N457*MAX(M$4,0)))*(1-$AM$4)+(AM457*$AM$4)</f>
        <v>0.16353843955239</v>
      </c>
      <c r="H457" s="18">
        <f t="shared" si="221"/>
        <v>1.20833333333333</v>
      </c>
      <c r="I457" s="18">
        <f t="shared" si="207"/>
        <v>0.00146464646464646</v>
      </c>
      <c r="J457" s="18">
        <f t="shared" si="222"/>
        <v>0.248578428119632</v>
      </c>
      <c r="K457" s="18">
        <f t="shared" si="223"/>
        <v>0.00321120329863405</v>
      </c>
      <c r="L457" s="18">
        <f t="shared" si="224"/>
        <v>0.00121212121212121</v>
      </c>
      <c r="M457" s="18">
        <v>0</v>
      </c>
      <c r="N457" s="18">
        <f t="shared" ref="N457:N520" si="228">IF(M457&gt;N456,M457,N456)</f>
        <v>0.123</v>
      </c>
      <c r="O457" s="11">
        <v>0</v>
      </c>
      <c r="P457" s="11">
        <v>0</v>
      </c>
      <c r="Q457" s="11">
        <f t="shared" si="208"/>
        <v>1</v>
      </c>
      <c r="R457" s="11">
        <v>0</v>
      </c>
      <c r="S457" s="11">
        <f t="shared" si="225"/>
        <v>0</v>
      </c>
      <c r="T457" s="11">
        <v>0</v>
      </c>
      <c r="U457" s="11">
        <f t="shared" si="209"/>
        <v>1</v>
      </c>
      <c r="V457" s="11">
        <v>0</v>
      </c>
      <c r="W457" s="11">
        <f t="shared" si="210"/>
        <v>1</v>
      </c>
      <c r="X457" s="11">
        <f t="shared" si="226"/>
        <v>0</v>
      </c>
      <c r="Y457" s="19">
        <v>0</v>
      </c>
      <c r="Z457" s="11">
        <v>0</v>
      </c>
      <c r="AA457" s="11">
        <v>6</v>
      </c>
      <c r="AB457" s="11">
        <v>0</v>
      </c>
      <c r="AC457" s="11">
        <v>0</v>
      </c>
      <c r="AD457" s="11">
        <v>0</v>
      </c>
      <c r="AE457" s="11">
        <v>0</v>
      </c>
      <c r="AF457" s="11">
        <v>0</v>
      </c>
      <c r="AG457" s="11">
        <v>0</v>
      </c>
      <c r="AH457" s="11">
        <v>0</v>
      </c>
      <c r="AI457" s="45">
        <v>0</v>
      </c>
      <c r="AJ457" s="45">
        <v>0</v>
      </c>
      <c r="AK457" s="45">
        <f t="shared" si="211"/>
        <v>0.3611</v>
      </c>
      <c r="AL457" s="45">
        <f t="shared" si="212"/>
        <v>0.00348095238095238</v>
      </c>
      <c r="AM457" s="45">
        <f t="shared" si="213"/>
        <v>0.0012569719047619</v>
      </c>
      <c r="AN457" s="45">
        <f t="shared" si="214"/>
        <v>0.792187500000004</v>
      </c>
      <c r="AO457" s="45">
        <f t="shared" si="215"/>
        <v>0.792187500000004</v>
      </c>
      <c r="AP457" s="45">
        <f t="shared" si="216"/>
        <v>1.05625000000001</v>
      </c>
      <c r="AQ457" s="45">
        <f t="shared" si="217"/>
        <v>0</v>
      </c>
      <c r="AR457" s="45">
        <f t="shared" si="218"/>
        <v>0</v>
      </c>
      <c r="AS457" s="19">
        <f t="shared" si="219"/>
        <v>1.07916666666667</v>
      </c>
      <c r="AT457" s="19">
        <f t="shared" si="220"/>
        <v>1.03333333333334</v>
      </c>
      <c r="AU457" s="46">
        <v>0</v>
      </c>
      <c r="AV457" s="46">
        <v>0</v>
      </c>
      <c r="AW457" s="46">
        <v>0</v>
      </c>
      <c r="AX457" s="46">
        <v>1</v>
      </c>
      <c r="AY457" s="47">
        <v>0</v>
      </c>
      <c r="AZ457" s="47">
        <v>-1</v>
      </c>
    </row>
    <row r="458" hidden="1" customHeight="1" spans="1:52">
      <c r="A458" s="44">
        <v>45783</v>
      </c>
      <c r="B458" s="33">
        <f t="shared" si="203"/>
        <v>233</v>
      </c>
      <c r="C458" s="33">
        <f t="shared" si="204"/>
        <v>2069</v>
      </c>
      <c r="D458" s="11">
        <f t="shared" si="205"/>
        <v>2302</v>
      </c>
      <c r="E458" s="34">
        <f t="shared" si="227"/>
        <v>-1.77861706343401e-7</v>
      </c>
      <c r="F458" s="35">
        <f t="shared" si="206"/>
        <v>0.000363240892854522</v>
      </c>
      <c r="G458" s="18">
        <f>(SUM($I$8:$I458)*(MAX(M$3-M$4,0))+(N458*MAX(M$4,0)))*(1-$AM$4)+(AM458*$AM$4)</f>
        <v>0.16382164267739</v>
      </c>
      <c r="H458" s="18">
        <f t="shared" si="221"/>
        <v>1.20833333333333</v>
      </c>
      <c r="I458" s="18">
        <f t="shared" si="207"/>
        <v>0.00151041666666667</v>
      </c>
      <c r="J458" s="18">
        <f t="shared" si="222"/>
        <v>0.248456770712493</v>
      </c>
      <c r="K458" s="18">
        <f t="shared" si="223"/>
        <v>0.00322550742183479</v>
      </c>
      <c r="L458" s="18">
        <f t="shared" si="224"/>
        <v>0.00125</v>
      </c>
      <c r="M458" s="18">
        <v>0</v>
      </c>
      <c r="N458" s="18">
        <f t="shared" si="228"/>
        <v>0.123</v>
      </c>
      <c r="O458" s="11">
        <v>0</v>
      </c>
      <c r="P458" s="11">
        <v>0</v>
      </c>
      <c r="Q458" s="11">
        <f t="shared" si="208"/>
        <v>1</v>
      </c>
      <c r="R458" s="11">
        <v>0</v>
      </c>
      <c r="S458" s="11">
        <f t="shared" si="225"/>
        <v>0</v>
      </c>
      <c r="T458" s="11">
        <v>0</v>
      </c>
      <c r="U458" s="11">
        <f t="shared" si="209"/>
        <v>1</v>
      </c>
      <c r="V458" s="11">
        <v>0</v>
      </c>
      <c r="W458" s="11">
        <f t="shared" si="210"/>
        <v>1</v>
      </c>
      <c r="X458" s="11">
        <f t="shared" si="226"/>
        <v>0</v>
      </c>
      <c r="Y458" s="19">
        <v>2.5</v>
      </c>
      <c r="Z458" s="11">
        <v>0</v>
      </c>
      <c r="AA458" s="11">
        <v>1.5</v>
      </c>
      <c r="AB458" s="11">
        <v>0</v>
      </c>
      <c r="AC458" s="11">
        <v>0</v>
      </c>
      <c r="AD458" s="11">
        <v>0</v>
      </c>
      <c r="AE458" s="11">
        <v>0</v>
      </c>
      <c r="AF458" s="11">
        <v>0</v>
      </c>
      <c r="AG458" s="11">
        <v>0</v>
      </c>
      <c r="AH458" s="11">
        <v>0</v>
      </c>
      <c r="AI458" s="45">
        <v>0</v>
      </c>
      <c r="AJ458" s="45">
        <v>0</v>
      </c>
      <c r="AK458" s="45">
        <f t="shared" si="211"/>
        <v>0.3611</v>
      </c>
      <c r="AL458" s="45">
        <f t="shared" si="212"/>
        <v>0.00348095238095238</v>
      </c>
      <c r="AM458" s="45">
        <f t="shared" si="213"/>
        <v>0.0012569719047619</v>
      </c>
      <c r="AN458" s="45">
        <f t="shared" si="214"/>
        <v>0.792187500000004</v>
      </c>
      <c r="AO458" s="45">
        <f t="shared" si="215"/>
        <v>0.792187500000004</v>
      </c>
      <c r="AP458" s="45">
        <f t="shared" si="216"/>
        <v>1.05625000000001</v>
      </c>
      <c r="AQ458" s="45">
        <f t="shared" si="217"/>
        <v>0</v>
      </c>
      <c r="AR458" s="45">
        <f t="shared" si="218"/>
        <v>0</v>
      </c>
      <c r="AS458" s="19">
        <f t="shared" si="219"/>
        <v>1.07916666666667</v>
      </c>
      <c r="AT458" s="19">
        <f t="shared" si="220"/>
        <v>1.03333333333334</v>
      </c>
      <c r="AU458" s="46">
        <v>0</v>
      </c>
      <c r="AV458" s="46">
        <v>0</v>
      </c>
      <c r="AW458" s="46">
        <v>0</v>
      </c>
      <c r="AX458" s="46">
        <v>1</v>
      </c>
      <c r="AY458" s="47">
        <v>0</v>
      </c>
      <c r="AZ458" s="47">
        <v>-1</v>
      </c>
    </row>
    <row r="459" hidden="1" customHeight="1" spans="1:52">
      <c r="A459" s="44">
        <v>45784</v>
      </c>
      <c r="B459" s="33">
        <f t="shared" si="203"/>
        <v>232</v>
      </c>
      <c r="C459" s="33">
        <f t="shared" si="204"/>
        <v>2070</v>
      </c>
      <c r="D459" s="11">
        <f t="shared" si="205"/>
        <v>2302</v>
      </c>
      <c r="E459" s="34">
        <f t="shared" si="227"/>
        <v>-1.96061240560416e-7</v>
      </c>
      <c r="F459" s="35">
        <f t="shared" si="206"/>
        <v>0.000363044831613962</v>
      </c>
      <c r="G459" s="18">
        <f>(SUM($I$8:$I459)*(MAX(M$3-M$4,0))+(N459*MAX(M$4,0)))*(1-$AM$4)+(AM459*$AM$4)</f>
        <v>0.164096263889511</v>
      </c>
      <c r="H459" s="18">
        <f t="shared" si="221"/>
        <v>1.20833333333333</v>
      </c>
      <c r="I459" s="18">
        <f t="shared" si="207"/>
        <v>0.00146464646464646</v>
      </c>
      <c r="J459" s="18">
        <f t="shared" si="222"/>
        <v>0.24832266482395</v>
      </c>
      <c r="K459" s="18">
        <f t="shared" si="223"/>
        <v>0.00323998851368987</v>
      </c>
      <c r="L459" s="18">
        <f t="shared" si="224"/>
        <v>0.00121212121212121</v>
      </c>
      <c r="M459" s="18">
        <v>0</v>
      </c>
      <c r="N459" s="18">
        <f t="shared" si="228"/>
        <v>0.123</v>
      </c>
      <c r="O459" s="11">
        <v>0</v>
      </c>
      <c r="P459" s="11">
        <v>0</v>
      </c>
      <c r="Q459" s="11">
        <f t="shared" si="208"/>
        <v>1</v>
      </c>
      <c r="R459" s="11">
        <v>0</v>
      </c>
      <c r="S459" s="11">
        <f t="shared" si="225"/>
        <v>0</v>
      </c>
      <c r="T459" s="11">
        <v>0</v>
      </c>
      <c r="U459" s="11">
        <f t="shared" si="209"/>
        <v>1</v>
      </c>
      <c r="V459" s="11">
        <v>0</v>
      </c>
      <c r="W459" s="11">
        <f t="shared" si="210"/>
        <v>1</v>
      </c>
      <c r="X459" s="11">
        <f t="shared" si="226"/>
        <v>0</v>
      </c>
      <c r="Y459" s="19">
        <v>0</v>
      </c>
      <c r="Z459" s="11">
        <v>0</v>
      </c>
      <c r="AA459" s="11">
        <v>6</v>
      </c>
      <c r="AB459" s="11">
        <v>0</v>
      </c>
      <c r="AC459" s="11">
        <v>0</v>
      </c>
      <c r="AD459" s="11">
        <v>0</v>
      </c>
      <c r="AE459" s="11">
        <v>0</v>
      </c>
      <c r="AF459" s="11">
        <v>0</v>
      </c>
      <c r="AG459" s="11">
        <v>0</v>
      </c>
      <c r="AH459" s="11">
        <v>0</v>
      </c>
      <c r="AI459" s="45">
        <v>0</v>
      </c>
      <c r="AJ459" s="45">
        <v>0</v>
      </c>
      <c r="AK459" s="45">
        <f t="shared" si="211"/>
        <v>0.3611</v>
      </c>
      <c r="AL459" s="45">
        <f t="shared" si="212"/>
        <v>0.00348095238095238</v>
      </c>
      <c r="AM459" s="45">
        <f t="shared" si="213"/>
        <v>0.0012569719047619</v>
      </c>
      <c r="AN459" s="45">
        <f t="shared" si="214"/>
        <v>0.792187500000004</v>
      </c>
      <c r="AO459" s="45">
        <f t="shared" si="215"/>
        <v>0.792187500000004</v>
      </c>
      <c r="AP459" s="45">
        <f t="shared" si="216"/>
        <v>1.05625000000001</v>
      </c>
      <c r="AQ459" s="45">
        <f t="shared" si="217"/>
        <v>0</v>
      </c>
      <c r="AR459" s="45">
        <f t="shared" si="218"/>
        <v>0</v>
      </c>
      <c r="AS459" s="19">
        <f t="shared" si="219"/>
        <v>1.07916666666667</v>
      </c>
      <c r="AT459" s="19">
        <f t="shared" si="220"/>
        <v>1.03333333333334</v>
      </c>
      <c r="AU459" s="46">
        <v>0</v>
      </c>
      <c r="AV459" s="46">
        <v>0</v>
      </c>
      <c r="AW459" s="46">
        <v>0</v>
      </c>
      <c r="AX459" s="46">
        <v>1</v>
      </c>
      <c r="AY459" s="47">
        <v>0</v>
      </c>
      <c r="AZ459" s="47">
        <v>-1</v>
      </c>
    </row>
    <row r="460" hidden="1" customHeight="1" spans="1:52">
      <c r="A460" s="44">
        <v>45785</v>
      </c>
      <c r="B460" s="33">
        <f t="shared" si="203"/>
        <v>231</v>
      </c>
      <c r="C460" s="33">
        <f t="shared" si="204"/>
        <v>2072</v>
      </c>
      <c r="D460" s="11">
        <f t="shared" si="205"/>
        <v>2303</v>
      </c>
      <c r="E460" s="34">
        <f t="shared" si="227"/>
        <v>-1.95195628019298e-7</v>
      </c>
      <c r="F460" s="35">
        <f t="shared" si="206"/>
        <v>0.000362849635985943</v>
      </c>
      <c r="G460" s="18">
        <f>(SUM($I$8:$I460)*(MAX(M$3-M$4,0))+(N460*MAX(M$4,0)))*(1-$AM$4)+(AM460*$AM$4)</f>
        <v>0.164370885101632</v>
      </c>
      <c r="H460" s="18">
        <f t="shared" si="221"/>
        <v>1.20833333333333</v>
      </c>
      <c r="I460" s="18">
        <f t="shared" si="207"/>
        <v>0.00146464646464646</v>
      </c>
      <c r="J460" s="18">
        <f t="shared" si="222"/>
        <v>0.248189151014385</v>
      </c>
      <c r="K460" s="18">
        <f t="shared" si="223"/>
        <v>0.00325459241985115</v>
      </c>
      <c r="L460" s="18">
        <f t="shared" si="224"/>
        <v>0.00121212121212121</v>
      </c>
      <c r="M460" s="18">
        <v>0</v>
      </c>
      <c r="N460" s="18">
        <f t="shared" si="228"/>
        <v>0.123</v>
      </c>
      <c r="O460" s="11">
        <v>0</v>
      </c>
      <c r="P460" s="11">
        <v>0</v>
      </c>
      <c r="Q460" s="11">
        <f t="shared" si="208"/>
        <v>1</v>
      </c>
      <c r="R460" s="11">
        <v>0</v>
      </c>
      <c r="S460" s="11">
        <f t="shared" si="225"/>
        <v>0</v>
      </c>
      <c r="T460" s="11">
        <v>0</v>
      </c>
      <c r="U460" s="11">
        <f t="shared" si="209"/>
        <v>1</v>
      </c>
      <c r="V460" s="11">
        <v>0</v>
      </c>
      <c r="W460" s="11">
        <f t="shared" si="210"/>
        <v>1</v>
      </c>
      <c r="X460" s="11">
        <f t="shared" si="226"/>
        <v>0</v>
      </c>
      <c r="Y460" s="19">
        <v>0</v>
      </c>
      <c r="Z460" s="11">
        <v>0</v>
      </c>
      <c r="AA460" s="11">
        <v>6</v>
      </c>
      <c r="AB460" s="11">
        <v>0</v>
      </c>
      <c r="AC460" s="11">
        <v>0</v>
      </c>
      <c r="AD460" s="11">
        <v>0</v>
      </c>
      <c r="AE460" s="11">
        <v>0</v>
      </c>
      <c r="AF460" s="11">
        <v>0</v>
      </c>
      <c r="AG460" s="11">
        <v>0</v>
      </c>
      <c r="AH460" s="11">
        <v>0</v>
      </c>
      <c r="AI460" s="45">
        <v>0</v>
      </c>
      <c r="AJ460" s="45">
        <v>0</v>
      </c>
      <c r="AK460" s="45">
        <f t="shared" si="211"/>
        <v>0.3611</v>
      </c>
      <c r="AL460" s="45">
        <f t="shared" si="212"/>
        <v>0.00348095238095238</v>
      </c>
      <c r="AM460" s="45">
        <f t="shared" si="213"/>
        <v>0.0012569719047619</v>
      </c>
      <c r="AN460" s="45">
        <f t="shared" si="214"/>
        <v>0.792187500000004</v>
      </c>
      <c r="AO460" s="45">
        <f t="shared" si="215"/>
        <v>0.792187500000004</v>
      </c>
      <c r="AP460" s="45">
        <f t="shared" si="216"/>
        <v>1.05625000000001</v>
      </c>
      <c r="AQ460" s="45">
        <f t="shared" si="217"/>
        <v>0</v>
      </c>
      <c r="AR460" s="45">
        <f t="shared" si="218"/>
        <v>0</v>
      </c>
      <c r="AS460" s="19">
        <f t="shared" si="219"/>
        <v>1.07916666666667</v>
      </c>
      <c r="AT460" s="19">
        <f t="shared" si="220"/>
        <v>1.03333333333334</v>
      </c>
      <c r="AU460" s="46">
        <v>0</v>
      </c>
      <c r="AV460" s="46">
        <v>0</v>
      </c>
      <c r="AW460" s="46">
        <v>0</v>
      </c>
      <c r="AX460" s="46">
        <v>1</v>
      </c>
      <c r="AY460" s="47">
        <v>0</v>
      </c>
      <c r="AZ460" s="47">
        <v>-1</v>
      </c>
    </row>
    <row r="461" hidden="1" customHeight="1" spans="1:52">
      <c r="A461" s="44">
        <v>45786</v>
      </c>
      <c r="B461" s="33">
        <f t="shared" si="203"/>
        <v>230</v>
      </c>
      <c r="C461" s="33">
        <f t="shared" si="204"/>
        <v>2073</v>
      </c>
      <c r="D461" s="11">
        <f t="shared" si="205"/>
        <v>2303</v>
      </c>
      <c r="E461" s="34">
        <f t="shared" si="227"/>
        <v>-1.94335735384825e-7</v>
      </c>
      <c r="F461" s="35">
        <f t="shared" si="206"/>
        <v>0.000362655300250558</v>
      </c>
      <c r="G461" s="18">
        <f>(SUM($I$8:$I461)*(MAX(M$3-M$4,0))+(N461*MAX(M$4,0)))*(1-$AM$4)+(AM461*$AM$4)</f>
        <v>0.164645506313753</v>
      </c>
      <c r="H461" s="18">
        <f t="shared" si="221"/>
        <v>1.20833333333333</v>
      </c>
      <c r="I461" s="18">
        <f t="shared" si="207"/>
        <v>0.00146464646464646</v>
      </c>
      <c r="J461" s="18">
        <f t="shared" si="222"/>
        <v>0.248056225371382</v>
      </c>
      <c r="K461" s="18">
        <f t="shared" si="223"/>
        <v>0.00326932075925486</v>
      </c>
      <c r="L461" s="18">
        <f t="shared" si="224"/>
        <v>0.00121212121212121</v>
      </c>
      <c r="M461" s="18">
        <v>0</v>
      </c>
      <c r="N461" s="18">
        <f t="shared" si="228"/>
        <v>0.123</v>
      </c>
      <c r="O461" s="11">
        <v>0</v>
      </c>
      <c r="P461" s="11">
        <v>0</v>
      </c>
      <c r="Q461" s="11">
        <f t="shared" si="208"/>
        <v>1</v>
      </c>
      <c r="R461" s="11">
        <v>0</v>
      </c>
      <c r="S461" s="11">
        <f t="shared" si="225"/>
        <v>0</v>
      </c>
      <c r="T461" s="11">
        <v>0</v>
      </c>
      <c r="U461" s="11">
        <f t="shared" si="209"/>
        <v>1</v>
      </c>
      <c r="V461" s="11">
        <v>0</v>
      </c>
      <c r="W461" s="11">
        <f t="shared" si="210"/>
        <v>1</v>
      </c>
      <c r="X461" s="11">
        <f t="shared" si="226"/>
        <v>0</v>
      </c>
      <c r="Y461" s="19">
        <v>0</v>
      </c>
      <c r="Z461" s="11">
        <v>0</v>
      </c>
      <c r="AA461" s="11">
        <v>6</v>
      </c>
      <c r="AB461" s="11">
        <v>0</v>
      </c>
      <c r="AC461" s="11">
        <v>0</v>
      </c>
      <c r="AD461" s="11">
        <v>0</v>
      </c>
      <c r="AE461" s="11">
        <v>0</v>
      </c>
      <c r="AF461" s="11">
        <v>0</v>
      </c>
      <c r="AG461" s="11">
        <v>0</v>
      </c>
      <c r="AH461" s="11">
        <v>0</v>
      </c>
      <c r="AI461" s="45">
        <v>0</v>
      </c>
      <c r="AJ461" s="45">
        <v>0</v>
      </c>
      <c r="AK461" s="45">
        <f t="shared" si="211"/>
        <v>0.3611</v>
      </c>
      <c r="AL461" s="45">
        <f t="shared" si="212"/>
        <v>0.00348095238095238</v>
      </c>
      <c r="AM461" s="45">
        <f t="shared" si="213"/>
        <v>0.0012569719047619</v>
      </c>
      <c r="AN461" s="45">
        <f t="shared" si="214"/>
        <v>0.792187500000004</v>
      </c>
      <c r="AO461" s="45">
        <f t="shared" si="215"/>
        <v>0.792187500000004</v>
      </c>
      <c r="AP461" s="45">
        <f t="shared" si="216"/>
        <v>1.05625000000001</v>
      </c>
      <c r="AQ461" s="45">
        <f t="shared" si="217"/>
        <v>0</v>
      </c>
      <c r="AR461" s="45">
        <f t="shared" si="218"/>
        <v>0</v>
      </c>
      <c r="AS461" s="19">
        <f t="shared" si="219"/>
        <v>1.07916666666667</v>
      </c>
      <c r="AT461" s="19">
        <f t="shared" si="220"/>
        <v>1.03333333333334</v>
      </c>
      <c r="AU461" s="46">
        <v>0</v>
      </c>
      <c r="AV461" s="46">
        <v>0</v>
      </c>
      <c r="AW461" s="46">
        <v>0</v>
      </c>
      <c r="AX461" s="46">
        <v>1</v>
      </c>
      <c r="AY461" s="47">
        <v>0</v>
      </c>
      <c r="AZ461" s="47">
        <v>-1</v>
      </c>
    </row>
    <row r="462" hidden="1" customHeight="1" spans="1:52">
      <c r="A462" s="44">
        <v>45787</v>
      </c>
      <c r="B462" s="33">
        <f t="shared" si="203"/>
        <v>229</v>
      </c>
      <c r="C462" s="33">
        <f t="shared" si="204"/>
        <v>2075</v>
      </c>
      <c r="D462" s="11">
        <f t="shared" si="205"/>
        <v>2304</v>
      </c>
      <c r="E462" s="34">
        <f t="shared" si="227"/>
        <v>-1.93481512372187e-7</v>
      </c>
      <c r="F462" s="35">
        <f t="shared" si="206"/>
        <v>0.000362461818738186</v>
      </c>
      <c r="G462" s="18">
        <f>(SUM($I$8:$I462)*(MAX(M$3-M$4,0))+(N462*MAX(M$4,0)))*(1-$AM$4)+(AM462*$AM$4)</f>
        <v>0.164920127525874</v>
      </c>
      <c r="H462" s="18">
        <f t="shared" si="221"/>
        <v>1.20833333333333</v>
      </c>
      <c r="I462" s="18">
        <f t="shared" si="207"/>
        <v>0.00146464646464646</v>
      </c>
      <c r="J462" s="18">
        <f t="shared" si="222"/>
        <v>0.247923884016919</v>
      </c>
      <c r="K462" s="18">
        <f t="shared" si="223"/>
        <v>0.00328417517896542</v>
      </c>
      <c r="L462" s="18">
        <f t="shared" si="224"/>
        <v>0.00121212121212121</v>
      </c>
      <c r="M462" s="18">
        <v>0</v>
      </c>
      <c r="N462" s="18">
        <f t="shared" si="228"/>
        <v>0.123</v>
      </c>
      <c r="O462" s="11">
        <v>0</v>
      </c>
      <c r="P462" s="11">
        <v>0</v>
      </c>
      <c r="Q462" s="11">
        <f t="shared" si="208"/>
        <v>1</v>
      </c>
      <c r="R462" s="11">
        <v>0</v>
      </c>
      <c r="S462" s="11">
        <f t="shared" si="225"/>
        <v>0</v>
      </c>
      <c r="T462" s="11">
        <v>0</v>
      </c>
      <c r="U462" s="11">
        <f t="shared" si="209"/>
        <v>1</v>
      </c>
      <c r="V462" s="11">
        <v>0</v>
      </c>
      <c r="W462" s="11">
        <f t="shared" si="210"/>
        <v>1</v>
      </c>
      <c r="X462" s="11">
        <f t="shared" si="226"/>
        <v>0</v>
      </c>
      <c r="Y462" s="19">
        <v>0</v>
      </c>
      <c r="Z462" s="11">
        <v>0</v>
      </c>
      <c r="AA462" s="11">
        <v>6</v>
      </c>
      <c r="AB462" s="11">
        <v>0</v>
      </c>
      <c r="AC462" s="11">
        <v>0</v>
      </c>
      <c r="AD462" s="11">
        <v>0</v>
      </c>
      <c r="AE462" s="11">
        <v>0</v>
      </c>
      <c r="AF462" s="11">
        <v>0</v>
      </c>
      <c r="AG462" s="11">
        <v>0</v>
      </c>
      <c r="AH462" s="11">
        <v>0</v>
      </c>
      <c r="AI462" s="45">
        <v>0</v>
      </c>
      <c r="AJ462" s="45">
        <v>0</v>
      </c>
      <c r="AK462" s="45">
        <f t="shared" si="211"/>
        <v>0.3611</v>
      </c>
      <c r="AL462" s="45">
        <f t="shared" si="212"/>
        <v>0.00348095238095238</v>
      </c>
      <c r="AM462" s="45">
        <f t="shared" si="213"/>
        <v>0.0012569719047619</v>
      </c>
      <c r="AN462" s="45">
        <f t="shared" si="214"/>
        <v>0.792187500000004</v>
      </c>
      <c r="AO462" s="45">
        <f t="shared" si="215"/>
        <v>0.792187500000004</v>
      </c>
      <c r="AP462" s="45">
        <f t="shared" si="216"/>
        <v>1.05625000000001</v>
      </c>
      <c r="AQ462" s="45">
        <f t="shared" si="217"/>
        <v>0</v>
      </c>
      <c r="AR462" s="45">
        <f t="shared" si="218"/>
        <v>0</v>
      </c>
      <c r="AS462" s="19">
        <f t="shared" si="219"/>
        <v>1.07916666666667</v>
      </c>
      <c r="AT462" s="19">
        <f t="shared" si="220"/>
        <v>1.03333333333334</v>
      </c>
      <c r="AU462" s="46">
        <v>0</v>
      </c>
      <c r="AV462" s="46">
        <v>0</v>
      </c>
      <c r="AW462" s="46">
        <v>0</v>
      </c>
      <c r="AX462" s="46">
        <v>1</v>
      </c>
      <c r="AY462" s="47">
        <v>0</v>
      </c>
      <c r="AZ462" s="47">
        <v>-1</v>
      </c>
    </row>
    <row r="463" hidden="1" customHeight="1" spans="1:52">
      <c r="A463" s="44">
        <v>45788</v>
      </c>
      <c r="B463" s="33">
        <f t="shared" si="203"/>
        <v>228</v>
      </c>
      <c r="C463" s="33">
        <f t="shared" si="204"/>
        <v>2076</v>
      </c>
      <c r="D463" s="11">
        <f t="shared" si="205"/>
        <v>2304</v>
      </c>
      <c r="E463" s="34">
        <f t="shared" si="227"/>
        <v>-1.9263290924773e-7</v>
      </c>
      <c r="F463" s="35">
        <f t="shared" si="206"/>
        <v>0.000362269185828938</v>
      </c>
      <c r="G463" s="18">
        <f>(SUM($I$8:$I463)*(MAX(M$3-M$4,0))+(N463*MAX(M$4,0)))*(1-$AM$4)+(AM463*$AM$4)</f>
        <v>0.165194748737996</v>
      </c>
      <c r="H463" s="18">
        <f t="shared" si="221"/>
        <v>1.20833333333333</v>
      </c>
      <c r="I463" s="18">
        <f t="shared" si="207"/>
        <v>0.00146464646464646</v>
      </c>
      <c r="J463" s="18">
        <f t="shared" si="222"/>
        <v>0.247792123106994</v>
      </c>
      <c r="K463" s="18">
        <f t="shared" si="223"/>
        <v>0.00329915735479389</v>
      </c>
      <c r="L463" s="18">
        <f t="shared" si="224"/>
        <v>0.00121212121212121</v>
      </c>
      <c r="M463" s="18">
        <v>0</v>
      </c>
      <c r="N463" s="18">
        <f t="shared" si="228"/>
        <v>0.123</v>
      </c>
      <c r="O463" s="11">
        <v>0</v>
      </c>
      <c r="P463" s="11">
        <v>0</v>
      </c>
      <c r="Q463" s="11">
        <f t="shared" si="208"/>
        <v>1</v>
      </c>
      <c r="R463" s="11">
        <v>0</v>
      </c>
      <c r="S463" s="11">
        <f t="shared" si="225"/>
        <v>0</v>
      </c>
      <c r="T463" s="11">
        <v>0</v>
      </c>
      <c r="U463" s="11">
        <f t="shared" si="209"/>
        <v>1</v>
      </c>
      <c r="V463" s="11">
        <v>0</v>
      </c>
      <c r="W463" s="11">
        <f t="shared" si="210"/>
        <v>1</v>
      </c>
      <c r="X463" s="11">
        <f t="shared" si="226"/>
        <v>0</v>
      </c>
      <c r="Y463" s="19">
        <v>0</v>
      </c>
      <c r="Z463" s="11">
        <v>0</v>
      </c>
      <c r="AA463" s="11">
        <v>6</v>
      </c>
      <c r="AB463" s="11">
        <v>0</v>
      </c>
      <c r="AC463" s="11">
        <v>0</v>
      </c>
      <c r="AD463" s="11">
        <v>0</v>
      </c>
      <c r="AE463" s="11">
        <v>0</v>
      </c>
      <c r="AF463" s="11">
        <v>0</v>
      </c>
      <c r="AG463" s="11">
        <v>0</v>
      </c>
      <c r="AH463" s="11">
        <v>0</v>
      </c>
      <c r="AI463" s="45">
        <v>0</v>
      </c>
      <c r="AJ463" s="45">
        <v>0</v>
      </c>
      <c r="AK463" s="45">
        <f t="shared" si="211"/>
        <v>0.3611</v>
      </c>
      <c r="AL463" s="45">
        <f t="shared" si="212"/>
        <v>0.00348095238095238</v>
      </c>
      <c r="AM463" s="45">
        <f t="shared" si="213"/>
        <v>0.0012569719047619</v>
      </c>
      <c r="AN463" s="45">
        <f t="shared" si="214"/>
        <v>0.792187500000004</v>
      </c>
      <c r="AO463" s="45">
        <f t="shared" si="215"/>
        <v>0.792187500000004</v>
      </c>
      <c r="AP463" s="45">
        <f t="shared" si="216"/>
        <v>1.05625000000001</v>
      </c>
      <c r="AQ463" s="45">
        <f t="shared" si="217"/>
        <v>0</v>
      </c>
      <c r="AR463" s="45">
        <f t="shared" si="218"/>
        <v>0</v>
      </c>
      <c r="AS463" s="19">
        <f t="shared" si="219"/>
        <v>1.07916666666667</v>
      </c>
      <c r="AT463" s="19">
        <f t="shared" si="220"/>
        <v>1.03333333333334</v>
      </c>
      <c r="AU463" s="46">
        <v>0</v>
      </c>
      <c r="AV463" s="46">
        <v>0</v>
      </c>
      <c r="AW463" s="46">
        <v>0</v>
      </c>
      <c r="AX463" s="46">
        <v>1</v>
      </c>
      <c r="AY463" s="47">
        <v>0</v>
      </c>
      <c r="AZ463" s="47">
        <v>-1</v>
      </c>
    </row>
    <row r="464" hidden="1" customHeight="1" spans="1:52">
      <c r="A464" s="44">
        <v>45789</v>
      </c>
      <c r="B464" s="33">
        <f t="shared" si="203"/>
        <v>227</v>
      </c>
      <c r="C464" s="33">
        <f t="shared" si="204"/>
        <v>2078</v>
      </c>
      <c r="D464" s="11">
        <f t="shared" si="205"/>
        <v>2305</v>
      </c>
      <c r="E464" s="34">
        <f t="shared" si="227"/>
        <v>-1.91789876822124e-7</v>
      </c>
      <c r="F464" s="35">
        <f t="shared" si="206"/>
        <v>0.000362077395952116</v>
      </c>
      <c r="G464" s="18">
        <f>(SUM($I$8:$I464)*(MAX(M$3-M$4,0))+(N464*MAX(M$4,0)))*(1-$AM$4)+(AM464*$AM$4)</f>
        <v>0.165469369950117</v>
      </c>
      <c r="H464" s="18">
        <f t="shared" si="221"/>
        <v>1.20833333333333</v>
      </c>
      <c r="I464" s="18">
        <f t="shared" si="207"/>
        <v>0.00146464646464646</v>
      </c>
      <c r="J464" s="18">
        <f t="shared" si="222"/>
        <v>0.247660938831247</v>
      </c>
      <c r="K464" s="18">
        <f t="shared" si="223"/>
        <v>0.00331426899193283</v>
      </c>
      <c r="L464" s="18">
        <f t="shared" si="224"/>
        <v>0.00121212121212121</v>
      </c>
      <c r="M464" s="18">
        <v>0</v>
      </c>
      <c r="N464" s="18">
        <f t="shared" si="228"/>
        <v>0.123</v>
      </c>
      <c r="O464" s="11">
        <v>0</v>
      </c>
      <c r="P464" s="11">
        <v>0</v>
      </c>
      <c r="Q464" s="11">
        <f t="shared" si="208"/>
        <v>1</v>
      </c>
      <c r="R464" s="11">
        <v>0</v>
      </c>
      <c r="S464" s="11">
        <f t="shared" si="225"/>
        <v>0</v>
      </c>
      <c r="T464" s="11">
        <v>0</v>
      </c>
      <c r="U464" s="11">
        <f t="shared" si="209"/>
        <v>1</v>
      </c>
      <c r="V464" s="11">
        <v>0</v>
      </c>
      <c r="W464" s="11">
        <f t="shared" si="210"/>
        <v>1</v>
      </c>
      <c r="X464" s="11">
        <f t="shared" si="226"/>
        <v>0</v>
      </c>
      <c r="Y464" s="19">
        <v>0</v>
      </c>
      <c r="Z464" s="11">
        <v>0</v>
      </c>
      <c r="AA464" s="11">
        <v>6</v>
      </c>
      <c r="AB464" s="11">
        <v>0</v>
      </c>
      <c r="AC464" s="11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45">
        <v>0</v>
      </c>
      <c r="AJ464" s="45">
        <v>0</v>
      </c>
      <c r="AK464" s="45">
        <f t="shared" si="211"/>
        <v>0.3611</v>
      </c>
      <c r="AL464" s="45">
        <f t="shared" si="212"/>
        <v>0.00348095238095238</v>
      </c>
      <c r="AM464" s="45">
        <f t="shared" si="213"/>
        <v>0.0012569719047619</v>
      </c>
      <c r="AN464" s="45">
        <f t="shared" si="214"/>
        <v>0.792187500000004</v>
      </c>
      <c r="AO464" s="45">
        <f t="shared" si="215"/>
        <v>0.792187500000004</v>
      </c>
      <c r="AP464" s="45">
        <f t="shared" si="216"/>
        <v>1.05625000000001</v>
      </c>
      <c r="AQ464" s="45">
        <f t="shared" si="217"/>
        <v>0</v>
      </c>
      <c r="AR464" s="45">
        <f t="shared" si="218"/>
        <v>0</v>
      </c>
      <c r="AS464" s="19">
        <f t="shared" si="219"/>
        <v>1.07916666666667</v>
      </c>
      <c r="AT464" s="19">
        <f t="shared" si="220"/>
        <v>1.03333333333334</v>
      </c>
      <c r="AU464" s="46">
        <v>0</v>
      </c>
      <c r="AV464" s="46">
        <v>0</v>
      </c>
      <c r="AW464" s="46">
        <v>0</v>
      </c>
      <c r="AX464" s="46">
        <v>1</v>
      </c>
      <c r="AY464" s="47">
        <v>0</v>
      </c>
      <c r="AZ464" s="47">
        <v>-1</v>
      </c>
    </row>
    <row r="465" hidden="1" customHeight="1" spans="1:52">
      <c r="A465" s="44">
        <v>45790</v>
      </c>
      <c r="B465" s="33">
        <f t="shared" si="203"/>
        <v>226</v>
      </c>
      <c r="C465" s="33">
        <f t="shared" si="204"/>
        <v>2079</v>
      </c>
      <c r="D465" s="11">
        <f t="shared" si="205"/>
        <v>2305</v>
      </c>
      <c r="E465" s="34">
        <f t="shared" si="227"/>
        <v>-1.90952366442988e-7</v>
      </c>
      <c r="F465" s="35">
        <f t="shared" si="206"/>
        <v>0.000361886443585673</v>
      </c>
      <c r="G465" s="18">
        <f>(SUM($I$8:$I465)*(MAX(M$3-M$4,0))+(N465*MAX(M$4,0)))*(1-$AM$4)+(AM465*$AM$4)</f>
        <v>0.165743991162238</v>
      </c>
      <c r="H465" s="18">
        <f t="shared" si="221"/>
        <v>1.20833333333333</v>
      </c>
      <c r="I465" s="18">
        <f t="shared" si="207"/>
        <v>0.00146464646464646</v>
      </c>
      <c r="J465" s="18">
        <f t="shared" si="222"/>
        <v>0.2475303274126</v>
      </c>
      <c r="K465" s="18">
        <f t="shared" si="223"/>
        <v>0.00332951182560796</v>
      </c>
      <c r="L465" s="18">
        <f t="shared" si="224"/>
        <v>0.00121212121212121</v>
      </c>
      <c r="M465" s="18">
        <v>0</v>
      </c>
      <c r="N465" s="18">
        <f t="shared" si="228"/>
        <v>0.123</v>
      </c>
      <c r="O465" s="11">
        <v>0</v>
      </c>
      <c r="P465" s="11">
        <v>0</v>
      </c>
      <c r="Q465" s="11">
        <f t="shared" si="208"/>
        <v>1</v>
      </c>
      <c r="R465" s="11">
        <v>0</v>
      </c>
      <c r="S465" s="11">
        <f t="shared" si="225"/>
        <v>0</v>
      </c>
      <c r="T465" s="11">
        <v>0</v>
      </c>
      <c r="U465" s="11">
        <f t="shared" si="209"/>
        <v>1</v>
      </c>
      <c r="V465" s="11">
        <v>0</v>
      </c>
      <c r="W465" s="11">
        <f t="shared" si="210"/>
        <v>1</v>
      </c>
      <c r="X465" s="11">
        <f t="shared" si="226"/>
        <v>0</v>
      </c>
      <c r="Y465" s="19">
        <v>0</v>
      </c>
      <c r="Z465" s="11">
        <v>0</v>
      </c>
      <c r="AA465" s="11">
        <v>6</v>
      </c>
      <c r="AB465" s="11">
        <v>0</v>
      </c>
      <c r="AC465" s="11">
        <v>0</v>
      </c>
      <c r="AD465" s="11">
        <v>0</v>
      </c>
      <c r="AE465" s="11">
        <v>0</v>
      </c>
      <c r="AF465" s="11">
        <v>0</v>
      </c>
      <c r="AG465" s="11">
        <v>0</v>
      </c>
      <c r="AH465" s="11">
        <v>0</v>
      </c>
      <c r="AI465" s="45">
        <v>0</v>
      </c>
      <c r="AJ465" s="45">
        <v>0</v>
      </c>
      <c r="AK465" s="45">
        <f t="shared" si="211"/>
        <v>0.3611</v>
      </c>
      <c r="AL465" s="45">
        <f t="shared" si="212"/>
        <v>0.00348095238095238</v>
      </c>
      <c r="AM465" s="45">
        <f t="shared" si="213"/>
        <v>0.0012569719047619</v>
      </c>
      <c r="AN465" s="45">
        <f t="shared" si="214"/>
        <v>0.792187500000004</v>
      </c>
      <c r="AO465" s="45">
        <f t="shared" si="215"/>
        <v>0.792187500000004</v>
      </c>
      <c r="AP465" s="45">
        <f t="shared" si="216"/>
        <v>1.05625000000001</v>
      </c>
      <c r="AQ465" s="45">
        <f t="shared" si="217"/>
        <v>0</v>
      </c>
      <c r="AR465" s="45">
        <f t="shared" si="218"/>
        <v>0</v>
      </c>
      <c r="AS465" s="19">
        <f t="shared" si="219"/>
        <v>1.07916666666667</v>
      </c>
      <c r="AT465" s="19">
        <f t="shared" si="220"/>
        <v>1.03333333333334</v>
      </c>
      <c r="AU465" s="46">
        <v>0</v>
      </c>
      <c r="AV465" s="46">
        <v>0</v>
      </c>
      <c r="AW465" s="46">
        <v>0</v>
      </c>
      <c r="AX465" s="46">
        <v>1</v>
      </c>
      <c r="AY465" s="47">
        <v>0</v>
      </c>
      <c r="AZ465" s="47">
        <v>-1</v>
      </c>
    </row>
    <row r="466" hidden="1" customHeight="1" spans="1:52">
      <c r="A466" s="44">
        <v>45791</v>
      </c>
      <c r="B466" s="33">
        <f t="shared" si="203"/>
        <v>225</v>
      </c>
      <c r="C466" s="33">
        <f t="shared" si="204"/>
        <v>2069</v>
      </c>
      <c r="D466" s="11">
        <f t="shared" si="205"/>
        <v>2294</v>
      </c>
      <c r="E466" s="34">
        <f t="shared" si="227"/>
        <v>1.29878234738485e-6</v>
      </c>
      <c r="F466" s="35">
        <f t="shared" si="206"/>
        <v>0.000363185225933058</v>
      </c>
      <c r="G466" s="18">
        <f>(SUM($I$8:$I466)*(MAX(M$3-M$4,0))+(N466*MAX(M$4,0)))*(1-$AM$4)+(AM466*$AM$4)</f>
        <v>0.166702018703273</v>
      </c>
      <c r="H466" s="18">
        <f t="shared" si="221"/>
        <v>1.20833333333333</v>
      </c>
      <c r="I466" s="18">
        <f t="shared" si="207"/>
        <v>0.00510948021885521</v>
      </c>
      <c r="J466" s="18">
        <f t="shared" si="222"/>
        <v>0.248418694538211</v>
      </c>
      <c r="K466" s="18">
        <f t="shared" si="223"/>
        <v>0.00334036135760795</v>
      </c>
      <c r="L466" s="18">
        <f t="shared" si="224"/>
        <v>0.00422853535353535</v>
      </c>
      <c r="M466" s="18">
        <v>0</v>
      </c>
      <c r="N466" s="18">
        <f t="shared" si="228"/>
        <v>0.123</v>
      </c>
      <c r="O466" s="11">
        <v>0</v>
      </c>
      <c r="P466" s="11">
        <v>0</v>
      </c>
      <c r="Q466" s="11">
        <f t="shared" si="208"/>
        <v>1</v>
      </c>
      <c r="R466" s="11">
        <v>0</v>
      </c>
      <c r="S466" s="11">
        <f t="shared" si="225"/>
        <v>0</v>
      </c>
      <c r="T466" s="11">
        <v>0</v>
      </c>
      <c r="U466" s="11">
        <f t="shared" si="209"/>
        <v>1</v>
      </c>
      <c r="V466" s="11">
        <v>0</v>
      </c>
      <c r="W466" s="11">
        <f t="shared" si="210"/>
        <v>1</v>
      </c>
      <c r="X466" s="11">
        <f t="shared" si="226"/>
        <v>0</v>
      </c>
      <c r="Y466" s="19">
        <v>1.83</v>
      </c>
      <c r="Z466" s="11">
        <v>0</v>
      </c>
      <c r="AA466" s="11">
        <v>17.5</v>
      </c>
      <c r="AB466" s="11">
        <v>0</v>
      </c>
      <c r="AC466" s="11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45">
        <v>0</v>
      </c>
      <c r="AJ466" s="45">
        <v>0</v>
      </c>
      <c r="AK466" s="45">
        <f t="shared" si="211"/>
        <v>0.3611</v>
      </c>
      <c r="AL466" s="45">
        <f t="shared" si="212"/>
        <v>0.00348095238095238</v>
      </c>
      <c r="AM466" s="45">
        <f t="shared" si="213"/>
        <v>0.0012569719047619</v>
      </c>
      <c r="AN466" s="45">
        <f t="shared" si="214"/>
        <v>0.792187500000004</v>
      </c>
      <c r="AO466" s="45">
        <f t="shared" si="215"/>
        <v>0.792187500000004</v>
      </c>
      <c r="AP466" s="45">
        <f t="shared" si="216"/>
        <v>1.05625000000001</v>
      </c>
      <c r="AQ466" s="45">
        <f t="shared" si="217"/>
        <v>0</v>
      </c>
      <c r="AR466" s="45">
        <f t="shared" si="218"/>
        <v>0</v>
      </c>
      <c r="AS466" s="19">
        <f t="shared" si="219"/>
        <v>1.07916666666667</v>
      </c>
      <c r="AT466" s="19">
        <f t="shared" si="220"/>
        <v>1.03333333333334</v>
      </c>
      <c r="AU466" s="46">
        <v>0</v>
      </c>
      <c r="AV466" s="46">
        <v>0</v>
      </c>
      <c r="AW466" s="46">
        <v>0</v>
      </c>
      <c r="AX466" s="46">
        <v>1</v>
      </c>
      <c r="AY466" s="47">
        <v>0</v>
      </c>
      <c r="AZ466" s="47">
        <v>-1</v>
      </c>
    </row>
    <row r="467" hidden="1" customHeight="1" spans="1:52">
      <c r="A467" s="44">
        <v>45792</v>
      </c>
      <c r="B467" s="33">
        <f t="shared" si="203"/>
        <v>224</v>
      </c>
      <c r="C467" s="33">
        <f t="shared" si="204"/>
        <v>2075</v>
      </c>
      <c r="D467" s="11">
        <f t="shared" si="205"/>
        <v>2299</v>
      </c>
      <c r="E467" s="34">
        <f t="shared" si="227"/>
        <v>-6.90032660680118e-7</v>
      </c>
      <c r="F467" s="35">
        <f t="shared" si="206"/>
        <v>0.000362495193272377</v>
      </c>
      <c r="G467" s="18">
        <f>(SUM($I$8:$I467)*(MAX(M$3-M$4,0))+(N467*MAX(M$4,0)))*(1-$AM$4)+(AM467*$AM$4)</f>
        <v>0.166747788905294</v>
      </c>
      <c r="H467" s="18">
        <f t="shared" si="221"/>
        <v>1.20833333333333</v>
      </c>
      <c r="I467" s="18">
        <f t="shared" si="207"/>
        <v>0.000244107744107743</v>
      </c>
      <c r="J467" s="18">
        <f t="shared" si="222"/>
        <v>0.247946712198306</v>
      </c>
      <c r="K467" s="18">
        <f t="shared" si="223"/>
        <v>0.0033573807491147</v>
      </c>
      <c r="L467" s="18">
        <f t="shared" si="224"/>
        <v>0.000202020202020202</v>
      </c>
      <c r="M467" s="18">
        <v>0</v>
      </c>
      <c r="N467" s="18">
        <f t="shared" si="228"/>
        <v>0.123</v>
      </c>
      <c r="O467" s="11">
        <v>0</v>
      </c>
      <c r="P467" s="11">
        <v>0</v>
      </c>
      <c r="Q467" s="11">
        <f t="shared" si="208"/>
        <v>1</v>
      </c>
      <c r="R467" s="11">
        <v>0</v>
      </c>
      <c r="S467" s="11">
        <f t="shared" si="225"/>
        <v>0</v>
      </c>
      <c r="T467" s="11">
        <v>0</v>
      </c>
      <c r="U467" s="11">
        <f t="shared" si="209"/>
        <v>1</v>
      </c>
      <c r="V467" s="11">
        <v>0</v>
      </c>
      <c r="W467" s="11">
        <f t="shared" si="210"/>
        <v>1</v>
      </c>
      <c r="X467" s="11">
        <f t="shared" si="226"/>
        <v>0</v>
      </c>
      <c r="Y467" s="19">
        <v>0</v>
      </c>
      <c r="Z467" s="11">
        <v>0</v>
      </c>
      <c r="AA467" s="11">
        <v>1</v>
      </c>
      <c r="AB467" s="11">
        <v>0</v>
      </c>
      <c r="AC467" s="11">
        <v>0</v>
      </c>
      <c r="AD467" s="11">
        <v>0</v>
      </c>
      <c r="AE467" s="11">
        <v>0</v>
      </c>
      <c r="AF467" s="11">
        <v>0</v>
      </c>
      <c r="AG467" s="11">
        <v>0</v>
      </c>
      <c r="AH467" s="11">
        <v>0</v>
      </c>
      <c r="AI467" s="45">
        <v>0</v>
      </c>
      <c r="AJ467" s="45">
        <v>0</v>
      </c>
      <c r="AK467" s="45">
        <f t="shared" si="211"/>
        <v>0.3611</v>
      </c>
      <c r="AL467" s="45">
        <f t="shared" si="212"/>
        <v>0.00348095238095238</v>
      </c>
      <c r="AM467" s="45">
        <f t="shared" si="213"/>
        <v>0.0012569719047619</v>
      </c>
      <c r="AN467" s="45">
        <f t="shared" si="214"/>
        <v>0.792187500000004</v>
      </c>
      <c r="AO467" s="45">
        <f t="shared" si="215"/>
        <v>0.792187500000004</v>
      </c>
      <c r="AP467" s="45">
        <f t="shared" si="216"/>
        <v>1.05625000000001</v>
      </c>
      <c r="AQ467" s="45">
        <f t="shared" si="217"/>
        <v>0</v>
      </c>
      <c r="AR467" s="45">
        <f t="shared" si="218"/>
        <v>0</v>
      </c>
      <c r="AS467" s="19">
        <f t="shared" si="219"/>
        <v>1.07916666666667</v>
      </c>
      <c r="AT467" s="19">
        <f t="shared" si="220"/>
        <v>1.03333333333334</v>
      </c>
      <c r="AU467" s="46">
        <v>0</v>
      </c>
      <c r="AV467" s="46">
        <v>0</v>
      </c>
      <c r="AW467" s="46">
        <v>0</v>
      </c>
      <c r="AX467" s="46">
        <v>1</v>
      </c>
      <c r="AY467" s="47">
        <v>0</v>
      </c>
      <c r="AZ467" s="47">
        <v>-1</v>
      </c>
    </row>
    <row r="468" hidden="1" customHeight="1" spans="1:52">
      <c r="A468" s="44">
        <v>45793</v>
      </c>
      <c r="B468" s="33">
        <f t="shared" si="203"/>
        <v>223</v>
      </c>
      <c r="C468" s="33">
        <f t="shared" si="204"/>
        <v>2080</v>
      </c>
      <c r="D468" s="11">
        <f t="shared" si="205"/>
        <v>2303</v>
      </c>
      <c r="E468" s="34">
        <f t="shared" si="227"/>
        <v>-6.87039026577355e-7</v>
      </c>
      <c r="F468" s="35">
        <f t="shared" si="206"/>
        <v>0.0003618081542458</v>
      </c>
      <c r="G468" s="18">
        <f>(SUM($I$8:$I468)*(MAX(M$3-M$4,0))+(N468*MAX(M$4,0)))*(1-$AM$4)+(AM468*$AM$4)</f>
        <v>0.166793559107314</v>
      </c>
      <c r="H468" s="18">
        <f t="shared" si="221"/>
        <v>1.20833333333333</v>
      </c>
      <c r="I468" s="18">
        <f t="shared" si="207"/>
        <v>0.000244107744107743</v>
      </c>
      <c r="J468" s="18">
        <f t="shared" si="222"/>
        <v>0.247476777504127</v>
      </c>
      <c r="K468" s="18">
        <f t="shared" si="223"/>
        <v>0.0033745435986362</v>
      </c>
      <c r="L468" s="18">
        <f t="shared" si="224"/>
        <v>0.000202020202020202</v>
      </c>
      <c r="M468" s="18">
        <v>0</v>
      </c>
      <c r="N468" s="18">
        <f t="shared" si="228"/>
        <v>0.123</v>
      </c>
      <c r="O468" s="11">
        <v>0</v>
      </c>
      <c r="P468" s="11">
        <v>0</v>
      </c>
      <c r="Q468" s="11">
        <f t="shared" si="208"/>
        <v>1</v>
      </c>
      <c r="R468" s="11">
        <v>0</v>
      </c>
      <c r="S468" s="11">
        <f t="shared" si="225"/>
        <v>0</v>
      </c>
      <c r="T468" s="11">
        <v>0</v>
      </c>
      <c r="U468" s="11">
        <f t="shared" si="209"/>
        <v>1</v>
      </c>
      <c r="V468" s="11">
        <v>0</v>
      </c>
      <c r="W468" s="11">
        <f t="shared" si="210"/>
        <v>1</v>
      </c>
      <c r="X468" s="11">
        <f t="shared" si="226"/>
        <v>0</v>
      </c>
      <c r="Y468" s="19">
        <v>0</v>
      </c>
      <c r="Z468" s="11">
        <v>0</v>
      </c>
      <c r="AA468" s="11">
        <v>1</v>
      </c>
      <c r="AB468" s="11">
        <v>0</v>
      </c>
      <c r="AC468" s="11">
        <v>0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45">
        <v>0</v>
      </c>
      <c r="AJ468" s="45">
        <v>0</v>
      </c>
      <c r="AK468" s="45">
        <f t="shared" si="211"/>
        <v>0.3611</v>
      </c>
      <c r="AL468" s="45">
        <f t="shared" si="212"/>
        <v>0.00348095238095238</v>
      </c>
      <c r="AM468" s="45">
        <f t="shared" si="213"/>
        <v>0.0012569719047619</v>
      </c>
      <c r="AN468" s="45">
        <f t="shared" si="214"/>
        <v>0.792187500000004</v>
      </c>
      <c r="AO468" s="45">
        <f t="shared" si="215"/>
        <v>0.792187500000004</v>
      </c>
      <c r="AP468" s="45">
        <f t="shared" si="216"/>
        <v>1.05625000000001</v>
      </c>
      <c r="AQ468" s="45">
        <f t="shared" si="217"/>
        <v>0</v>
      </c>
      <c r="AR468" s="45">
        <f t="shared" si="218"/>
        <v>0</v>
      </c>
      <c r="AS468" s="19">
        <f t="shared" si="219"/>
        <v>1.07916666666667</v>
      </c>
      <c r="AT468" s="19">
        <f t="shared" si="220"/>
        <v>1.03333333333334</v>
      </c>
      <c r="AU468" s="46">
        <v>0</v>
      </c>
      <c r="AV468" s="46">
        <v>0</v>
      </c>
      <c r="AW468" s="46">
        <v>0</v>
      </c>
      <c r="AX468" s="46">
        <v>1</v>
      </c>
      <c r="AY468" s="47">
        <v>0</v>
      </c>
      <c r="AZ468" s="47">
        <v>-1</v>
      </c>
    </row>
    <row r="469" hidden="1" customHeight="1" spans="1:52">
      <c r="A469" s="44">
        <v>45794</v>
      </c>
      <c r="B469" s="33">
        <f t="shared" si="203"/>
        <v>222</v>
      </c>
      <c r="C469" s="33">
        <f t="shared" si="204"/>
        <v>2083</v>
      </c>
      <c r="D469" s="11">
        <f t="shared" si="205"/>
        <v>2305</v>
      </c>
      <c r="E469" s="34">
        <f t="shared" si="227"/>
        <v>-3.42893547659114e-7</v>
      </c>
      <c r="F469" s="35">
        <f t="shared" si="206"/>
        <v>0.000361465260698141</v>
      </c>
      <c r="G469" s="18">
        <f>(SUM($I$8:$I469)*(MAX(M$3-M$4,0))+(N469*MAX(M$4,0)))*(1-$AM$4)+(AM469*$AM$4)</f>
        <v>0.166996950442541</v>
      </c>
      <c r="H469" s="18">
        <f t="shared" si="221"/>
        <v>1.20833333333333</v>
      </c>
      <c r="I469" s="18">
        <f t="shared" si="207"/>
        <v>0.00108475378787879</v>
      </c>
      <c r="J469" s="18">
        <f t="shared" si="222"/>
        <v>0.247242238317528</v>
      </c>
      <c r="K469" s="18">
        <f t="shared" si="223"/>
        <v>0.00339080072829942</v>
      </c>
      <c r="L469" s="18">
        <f t="shared" si="224"/>
        <v>0.000897727272727276</v>
      </c>
      <c r="M469" s="18">
        <v>0</v>
      </c>
      <c r="N469" s="18">
        <f t="shared" si="228"/>
        <v>0.123</v>
      </c>
      <c r="O469" s="11">
        <v>0</v>
      </c>
      <c r="P469" s="11">
        <v>0</v>
      </c>
      <c r="Q469" s="11">
        <f t="shared" si="208"/>
        <v>1</v>
      </c>
      <c r="R469" s="11">
        <v>0</v>
      </c>
      <c r="S469" s="11">
        <f t="shared" si="225"/>
        <v>0</v>
      </c>
      <c r="T469" s="11">
        <v>0</v>
      </c>
      <c r="U469" s="11">
        <f t="shared" si="209"/>
        <v>1</v>
      </c>
      <c r="V469" s="11">
        <v>0</v>
      </c>
      <c r="W469" s="11">
        <f t="shared" si="210"/>
        <v>1</v>
      </c>
      <c r="X469" s="11">
        <f t="shared" si="226"/>
        <v>0</v>
      </c>
      <c r="Y469" s="19">
        <v>2.37</v>
      </c>
      <c r="Z469" s="11">
        <v>0</v>
      </c>
      <c r="AA469" s="11">
        <v>0</v>
      </c>
      <c r="AB469" s="11">
        <v>0</v>
      </c>
      <c r="AC469" s="11">
        <v>0</v>
      </c>
      <c r="AD469" s="11">
        <v>0</v>
      </c>
      <c r="AE469" s="11">
        <v>0</v>
      </c>
      <c r="AF469" s="11">
        <v>0</v>
      </c>
      <c r="AG469" s="11">
        <v>0</v>
      </c>
      <c r="AH469" s="11">
        <v>0</v>
      </c>
      <c r="AI469" s="45">
        <v>0</v>
      </c>
      <c r="AJ469" s="45">
        <v>0</v>
      </c>
      <c r="AK469" s="45">
        <f t="shared" si="211"/>
        <v>0.3611</v>
      </c>
      <c r="AL469" s="45">
        <f t="shared" si="212"/>
        <v>0.00348095238095238</v>
      </c>
      <c r="AM469" s="45">
        <f t="shared" si="213"/>
        <v>0.0012569719047619</v>
      </c>
      <c r="AN469" s="45">
        <f t="shared" si="214"/>
        <v>0.792187500000004</v>
      </c>
      <c r="AO469" s="45">
        <f t="shared" si="215"/>
        <v>0.792187500000004</v>
      </c>
      <c r="AP469" s="45">
        <f t="shared" si="216"/>
        <v>1.05625000000001</v>
      </c>
      <c r="AQ469" s="45">
        <f t="shared" si="217"/>
        <v>0</v>
      </c>
      <c r="AR469" s="45">
        <f t="shared" si="218"/>
        <v>0</v>
      </c>
      <c r="AS469" s="19">
        <f t="shared" si="219"/>
        <v>1.07916666666667</v>
      </c>
      <c r="AT469" s="19">
        <f t="shared" si="220"/>
        <v>1.03333333333334</v>
      </c>
      <c r="AU469" s="46">
        <v>0</v>
      </c>
      <c r="AV469" s="46">
        <v>0</v>
      </c>
      <c r="AW469" s="46">
        <v>0</v>
      </c>
      <c r="AX469" s="46">
        <v>1</v>
      </c>
      <c r="AY469" s="47">
        <v>0</v>
      </c>
      <c r="AZ469" s="47">
        <v>-1</v>
      </c>
    </row>
    <row r="470" hidden="1" customHeight="1" spans="1:52">
      <c r="A470" s="44">
        <v>45795</v>
      </c>
      <c r="B470" s="33">
        <f t="shared" si="203"/>
        <v>221</v>
      </c>
      <c r="C470" s="33">
        <f t="shared" si="204"/>
        <v>2075</v>
      </c>
      <c r="D470" s="11">
        <f t="shared" si="205"/>
        <v>2296</v>
      </c>
      <c r="E470" s="34">
        <f t="shared" si="227"/>
        <v>9.486548831377e-7</v>
      </c>
      <c r="F470" s="35">
        <f t="shared" si="206"/>
        <v>0.000362413915581279</v>
      </c>
      <c r="G470" s="18">
        <f>(SUM($I$8:$I470)*(MAX(M$3-M$4,0))+(N470*MAX(M$4,0)))*(1-$AM$4)+(AM470*$AM$4)</f>
        <v>0.167797642914132</v>
      </c>
      <c r="H470" s="18">
        <f t="shared" si="221"/>
        <v>1.20833333333333</v>
      </c>
      <c r="I470" s="18">
        <f t="shared" si="207"/>
        <v>0.00427035984848484</v>
      </c>
      <c r="J470" s="18">
        <f t="shared" si="222"/>
        <v>0.247891118257595</v>
      </c>
      <c r="K470" s="18">
        <f t="shared" si="223"/>
        <v>0.00340320760969414</v>
      </c>
      <c r="L470" s="18">
        <f t="shared" si="224"/>
        <v>0.00353409090909091</v>
      </c>
      <c r="M470" s="18">
        <v>0</v>
      </c>
      <c r="N470" s="18">
        <f t="shared" si="228"/>
        <v>0.123</v>
      </c>
      <c r="O470" s="11">
        <v>0</v>
      </c>
      <c r="P470" s="11">
        <v>0</v>
      </c>
      <c r="Q470" s="11">
        <f t="shared" si="208"/>
        <v>1</v>
      </c>
      <c r="R470" s="11">
        <v>0</v>
      </c>
      <c r="S470" s="11">
        <f t="shared" si="225"/>
        <v>0</v>
      </c>
      <c r="T470" s="11">
        <v>0</v>
      </c>
      <c r="U470" s="11">
        <f t="shared" si="209"/>
        <v>1</v>
      </c>
      <c r="V470" s="11">
        <v>0</v>
      </c>
      <c r="W470" s="11">
        <f t="shared" si="210"/>
        <v>1</v>
      </c>
      <c r="X470" s="11">
        <f t="shared" si="226"/>
        <v>0</v>
      </c>
      <c r="Y470" s="19">
        <v>3.17</v>
      </c>
      <c r="Z470" s="11">
        <v>3</v>
      </c>
      <c r="AA470" s="11">
        <v>7.5</v>
      </c>
      <c r="AB470" s="11">
        <v>0</v>
      </c>
      <c r="AC470" s="11">
        <v>0</v>
      </c>
      <c r="AD470" s="11">
        <v>0</v>
      </c>
      <c r="AE470" s="11">
        <v>0</v>
      </c>
      <c r="AF470" s="11">
        <v>0</v>
      </c>
      <c r="AG470" s="11">
        <v>0</v>
      </c>
      <c r="AH470" s="11">
        <v>0</v>
      </c>
      <c r="AI470" s="45">
        <v>0</v>
      </c>
      <c r="AJ470" s="45">
        <v>0</v>
      </c>
      <c r="AK470" s="45">
        <f t="shared" si="211"/>
        <v>0.3611</v>
      </c>
      <c r="AL470" s="45">
        <f t="shared" si="212"/>
        <v>0.00348095238095238</v>
      </c>
      <c r="AM470" s="45">
        <f t="shared" si="213"/>
        <v>0.0012569719047619</v>
      </c>
      <c r="AN470" s="45">
        <f t="shared" si="214"/>
        <v>0.792187500000004</v>
      </c>
      <c r="AO470" s="45">
        <f t="shared" si="215"/>
        <v>0.792187500000004</v>
      </c>
      <c r="AP470" s="45">
        <f t="shared" si="216"/>
        <v>1.05625000000001</v>
      </c>
      <c r="AQ470" s="45">
        <f t="shared" si="217"/>
        <v>0</v>
      </c>
      <c r="AR470" s="45">
        <f t="shared" si="218"/>
        <v>0</v>
      </c>
      <c r="AS470" s="19">
        <f t="shared" si="219"/>
        <v>1.07916666666667</v>
      </c>
      <c r="AT470" s="19">
        <f t="shared" si="220"/>
        <v>1.03333333333334</v>
      </c>
      <c r="AU470" s="46">
        <v>0</v>
      </c>
      <c r="AV470" s="46">
        <v>0</v>
      </c>
      <c r="AW470" s="46">
        <v>0</v>
      </c>
      <c r="AX470" s="46">
        <v>1</v>
      </c>
      <c r="AY470" s="47">
        <v>0</v>
      </c>
      <c r="AZ470" s="47">
        <v>-1</v>
      </c>
    </row>
    <row r="471" hidden="1" customHeight="1" spans="1:52">
      <c r="A471" s="44">
        <v>45796</v>
      </c>
      <c r="B471" s="33">
        <f t="shared" si="203"/>
        <v>220</v>
      </c>
      <c r="C471" s="33">
        <f t="shared" si="204"/>
        <v>2056</v>
      </c>
      <c r="D471" s="11">
        <f t="shared" si="205"/>
        <v>2276</v>
      </c>
      <c r="E471" s="34">
        <f t="shared" si="227"/>
        <v>2.4907898118024e-6</v>
      </c>
      <c r="F471" s="35">
        <f t="shared" si="206"/>
        <v>0.000364904705393081</v>
      </c>
      <c r="G471" s="18">
        <f>(SUM($I$8:$I471)*(MAX(M$3-M$4,0))+(N471*MAX(M$4,0)))*(1-$AM$4)+(AM471*$AM$4)</f>
        <v>0.16931578330239</v>
      </c>
      <c r="H471" s="18">
        <f t="shared" si="221"/>
        <v>1.20833333333333</v>
      </c>
      <c r="I471" s="18">
        <f t="shared" si="207"/>
        <v>0.00809674873737373</v>
      </c>
      <c r="J471" s="18">
        <f t="shared" si="222"/>
        <v>0.249594818488867</v>
      </c>
      <c r="K471" s="18">
        <f t="shared" si="223"/>
        <v>0.00341093264323242</v>
      </c>
      <c r="L471" s="18">
        <f t="shared" si="224"/>
        <v>0.00670075757575759</v>
      </c>
      <c r="M471" s="18">
        <v>0</v>
      </c>
      <c r="N471" s="18">
        <f t="shared" si="228"/>
        <v>0.123</v>
      </c>
      <c r="O471" s="11">
        <v>0</v>
      </c>
      <c r="P471" s="11">
        <v>0</v>
      </c>
      <c r="Q471" s="11">
        <f t="shared" si="208"/>
        <v>1</v>
      </c>
      <c r="R471" s="11">
        <v>0</v>
      </c>
      <c r="S471" s="11">
        <f t="shared" si="225"/>
        <v>0</v>
      </c>
      <c r="T471" s="11">
        <v>0</v>
      </c>
      <c r="U471" s="11">
        <f t="shared" si="209"/>
        <v>1</v>
      </c>
      <c r="V471" s="11">
        <v>0</v>
      </c>
      <c r="W471" s="11">
        <f t="shared" si="210"/>
        <v>1</v>
      </c>
      <c r="X471" s="11">
        <f t="shared" si="226"/>
        <v>0</v>
      </c>
      <c r="Y471" s="19">
        <v>8.25</v>
      </c>
      <c r="Z471" s="11">
        <v>2</v>
      </c>
      <c r="AA471" s="11">
        <v>15</v>
      </c>
      <c r="AB471" s="11">
        <v>0</v>
      </c>
      <c r="AC471" s="11">
        <v>0</v>
      </c>
      <c r="AD471" s="11">
        <v>0</v>
      </c>
      <c r="AE471" s="11">
        <v>0</v>
      </c>
      <c r="AF471" s="11">
        <v>0</v>
      </c>
      <c r="AG471" s="11">
        <v>0</v>
      </c>
      <c r="AH471" s="11">
        <v>0</v>
      </c>
      <c r="AI471" s="45">
        <v>0</v>
      </c>
      <c r="AJ471" s="45">
        <v>0</v>
      </c>
      <c r="AK471" s="45">
        <f t="shared" si="211"/>
        <v>0.3611</v>
      </c>
      <c r="AL471" s="45">
        <f t="shared" si="212"/>
        <v>0.00348095238095238</v>
      </c>
      <c r="AM471" s="45">
        <f t="shared" si="213"/>
        <v>0.0012569719047619</v>
      </c>
      <c r="AN471" s="45">
        <f t="shared" si="214"/>
        <v>0.792187500000004</v>
      </c>
      <c r="AO471" s="45">
        <f t="shared" si="215"/>
        <v>0.792187500000004</v>
      </c>
      <c r="AP471" s="45">
        <f t="shared" si="216"/>
        <v>1.05625000000001</v>
      </c>
      <c r="AQ471" s="45">
        <f t="shared" si="217"/>
        <v>0</v>
      </c>
      <c r="AR471" s="45">
        <f t="shared" si="218"/>
        <v>0</v>
      </c>
      <c r="AS471" s="19">
        <f t="shared" si="219"/>
        <v>1.07916666666667</v>
      </c>
      <c r="AT471" s="19">
        <f t="shared" si="220"/>
        <v>1.03333333333334</v>
      </c>
      <c r="AU471" s="46">
        <v>0</v>
      </c>
      <c r="AV471" s="46">
        <v>0</v>
      </c>
      <c r="AW471" s="46">
        <v>0</v>
      </c>
      <c r="AX471" s="46">
        <v>1</v>
      </c>
      <c r="AY471" s="47">
        <v>0</v>
      </c>
      <c r="AZ471" s="47">
        <v>-1</v>
      </c>
    </row>
    <row r="472" hidden="1" customHeight="1" spans="1:52">
      <c r="A472" s="44">
        <v>45797</v>
      </c>
      <c r="B472" s="33">
        <f t="shared" si="203"/>
        <v>219</v>
      </c>
      <c r="C472" s="33">
        <f t="shared" si="204"/>
        <v>2040</v>
      </c>
      <c r="D472" s="11">
        <f t="shared" si="205"/>
        <v>2259</v>
      </c>
      <c r="E472" s="34">
        <f t="shared" si="227"/>
        <v>2.19032182939251e-6</v>
      </c>
      <c r="F472" s="35">
        <f t="shared" si="206"/>
        <v>0.000367095027222474</v>
      </c>
      <c r="G472" s="18">
        <f>(SUM($I$8:$I472)*(MAX(M$3-M$4,0))+(N472*MAX(M$4,0)))*(1-$AM$4)+(AM472*$AM$4)</f>
        <v>0.17069918765845</v>
      </c>
      <c r="H472" s="18">
        <f t="shared" si="221"/>
        <v>1.20833333333333</v>
      </c>
      <c r="I472" s="18">
        <f t="shared" si="207"/>
        <v>0.00737815656565655</v>
      </c>
      <c r="J472" s="18">
        <f t="shared" si="222"/>
        <v>0.251092998620172</v>
      </c>
      <c r="K472" s="18">
        <f t="shared" si="223"/>
        <v>0.00341966667296725</v>
      </c>
      <c r="L472" s="18">
        <f t="shared" si="224"/>
        <v>0.00610606060606061</v>
      </c>
      <c r="M472" s="18">
        <v>0</v>
      </c>
      <c r="N472" s="18">
        <f t="shared" si="228"/>
        <v>0.123</v>
      </c>
      <c r="O472" s="11">
        <v>0</v>
      </c>
      <c r="P472" s="11">
        <v>0</v>
      </c>
      <c r="Q472" s="11">
        <f t="shared" si="208"/>
        <v>1</v>
      </c>
      <c r="R472" s="11">
        <v>0</v>
      </c>
      <c r="S472" s="11">
        <f t="shared" si="225"/>
        <v>0</v>
      </c>
      <c r="T472" s="11">
        <v>0</v>
      </c>
      <c r="U472" s="11">
        <f t="shared" si="209"/>
        <v>1</v>
      </c>
      <c r="V472" s="11">
        <v>0</v>
      </c>
      <c r="W472" s="11">
        <f t="shared" si="210"/>
        <v>1</v>
      </c>
      <c r="X472" s="11">
        <f t="shared" si="226"/>
        <v>0</v>
      </c>
      <c r="Y472" s="19">
        <v>7</v>
      </c>
      <c r="Z472" s="11">
        <v>1</v>
      </c>
      <c r="AA472" s="11">
        <v>15</v>
      </c>
      <c r="AB472" s="11">
        <v>1</v>
      </c>
      <c r="AC472" s="11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45">
        <v>0</v>
      </c>
      <c r="AJ472" s="45">
        <v>0</v>
      </c>
      <c r="AK472" s="45">
        <f t="shared" si="211"/>
        <v>0.3611</v>
      </c>
      <c r="AL472" s="45">
        <f t="shared" si="212"/>
        <v>0.00348095238095238</v>
      </c>
      <c r="AM472" s="45">
        <f t="shared" si="213"/>
        <v>0.0012569719047619</v>
      </c>
      <c r="AN472" s="45">
        <f t="shared" si="214"/>
        <v>0.792187500000004</v>
      </c>
      <c r="AO472" s="45">
        <f t="shared" si="215"/>
        <v>0.792187500000004</v>
      </c>
      <c r="AP472" s="45">
        <f t="shared" si="216"/>
        <v>1.05625000000001</v>
      </c>
      <c r="AQ472" s="45">
        <f t="shared" si="217"/>
        <v>0</v>
      </c>
      <c r="AR472" s="45">
        <f t="shared" si="218"/>
        <v>0</v>
      </c>
      <c r="AS472" s="19">
        <f t="shared" si="219"/>
        <v>1.07916666666667</v>
      </c>
      <c r="AT472" s="19">
        <f t="shared" si="220"/>
        <v>1.03333333333334</v>
      </c>
      <c r="AU472" s="46">
        <v>0</v>
      </c>
      <c r="AV472" s="46">
        <v>0</v>
      </c>
      <c r="AW472" s="46">
        <v>0</v>
      </c>
      <c r="AX472" s="46">
        <v>1</v>
      </c>
      <c r="AY472" s="47">
        <v>0</v>
      </c>
      <c r="AZ472" s="47">
        <v>-1</v>
      </c>
    </row>
    <row r="473" hidden="1" customHeight="1" spans="1:52">
      <c r="A473" s="44">
        <v>45798</v>
      </c>
      <c r="B473" s="33">
        <f t="shared" si="203"/>
        <v>218</v>
      </c>
      <c r="C473" s="33">
        <f t="shared" si="204"/>
        <v>2003</v>
      </c>
      <c r="D473" s="11">
        <f t="shared" si="205"/>
        <v>2221</v>
      </c>
      <c r="E473" s="34">
        <f t="shared" si="227"/>
        <v>5.0546809844966e-6</v>
      </c>
      <c r="F473" s="35">
        <f t="shared" si="206"/>
        <v>0.00037214970820697</v>
      </c>
      <c r="G473" s="18">
        <f>(SUM($I$8:$I473)*(MAX(M$3-M$4,0))+(N473*MAX(M$4,0)))*(1-$AM$4)+(AM473*$AM$4)</f>
        <v>0.173421764024448</v>
      </c>
      <c r="H473" s="18">
        <f t="shared" si="221"/>
        <v>1.20833333333333</v>
      </c>
      <c r="I473" s="18">
        <f t="shared" si="207"/>
        <v>0.014520407285322</v>
      </c>
      <c r="J473" s="18">
        <f t="shared" si="222"/>
        <v>0.254550400413568</v>
      </c>
      <c r="K473" s="18">
        <f t="shared" si="223"/>
        <v>0.00341949357608455</v>
      </c>
      <c r="L473" s="18">
        <f t="shared" si="224"/>
        <v>0.0120168887878527</v>
      </c>
      <c r="M473" s="18">
        <v>0</v>
      </c>
      <c r="N473" s="18">
        <f t="shared" si="228"/>
        <v>0.123</v>
      </c>
      <c r="O473" s="11">
        <v>15</v>
      </c>
      <c r="P473" s="11">
        <v>0</v>
      </c>
      <c r="Q473" s="11">
        <f t="shared" si="208"/>
        <v>1</v>
      </c>
      <c r="R473" s="11">
        <v>3061.21</v>
      </c>
      <c r="S473" s="11">
        <f t="shared" si="225"/>
        <v>0.588002783213174</v>
      </c>
      <c r="T473" s="11">
        <v>13</v>
      </c>
      <c r="U473" s="11">
        <f t="shared" si="209"/>
        <v>0.866666666666667</v>
      </c>
      <c r="V473" s="11">
        <v>0</v>
      </c>
      <c r="W473" s="11">
        <f t="shared" si="210"/>
        <v>1</v>
      </c>
      <c r="X473" s="11">
        <f t="shared" si="226"/>
        <v>7.64403618177127</v>
      </c>
      <c r="Y473" s="19">
        <v>7.42</v>
      </c>
      <c r="Z473" s="11">
        <v>13</v>
      </c>
      <c r="AA473" s="11">
        <v>7</v>
      </c>
      <c r="AB473" s="11">
        <v>0</v>
      </c>
      <c r="AC473" s="11">
        <v>0</v>
      </c>
      <c r="AD473" s="11">
        <v>0</v>
      </c>
      <c r="AE473" s="11">
        <v>0</v>
      </c>
      <c r="AF473" s="11">
        <v>0</v>
      </c>
      <c r="AG473" s="11">
        <v>0</v>
      </c>
      <c r="AH473" s="11">
        <v>0</v>
      </c>
      <c r="AI473" s="45">
        <v>0</v>
      </c>
      <c r="AJ473" s="45">
        <v>0</v>
      </c>
      <c r="AK473" s="45">
        <f t="shared" si="211"/>
        <v>0.3611</v>
      </c>
      <c r="AL473" s="45">
        <f t="shared" si="212"/>
        <v>0.00348095238095238</v>
      </c>
      <c r="AM473" s="45">
        <f t="shared" si="213"/>
        <v>0.0012569719047619</v>
      </c>
      <c r="AN473" s="45">
        <f t="shared" si="214"/>
        <v>0.792187500000004</v>
      </c>
      <c r="AO473" s="45">
        <f t="shared" si="215"/>
        <v>0.792187500000004</v>
      </c>
      <c r="AP473" s="45">
        <f t="shared" si="216"/>
        <v>1.05625000000001</v>
      </c>
      <c r="AQ473" s="45">
        <f t="shared" si="217"/>
        <v>0</v>
      </c>
      <c r="AR473" s="45">
        <f t="shared" si="218"/>
        <v>0</v>
      </c>
      <c r="AS473" s="19">
        <f t="shared" si="219"/>
        <v>1.07916666666667</v>
      </c>
      <c r="AT473" s="19">
        <f t="shared" si="220"/>
        <v>1.03333333333334</v>
      </c>
      <c r="AU473" s="46">
        <v>0</v>
      </c>
      <c r="AV473" s="46">
        <v>0</v>
      </c>
      <c r="AW473" s="46">
        <v>0</v>
      </c>
      <c r="AX473" s="46">
        <v>1</v>
      </c>
      <c r="AY473" s="47">
        <v>0</v>
      </c>
      <c r="AZ473" s="47">
        <v>-1</v>
      </c>
    </row>
    <row r="474" hidden="1" customHeight="1" spans="1:52">
      <c r="A474" s="44">
        <v>45799</v>
      </c>
      <c r="B474" s="33">
        <f t="shared" ref="B474:B537" si="229">B$2-A474+1</f>
        <v>217</v>
      </c>
      <c r="C474" s="33">
        <f t="shared" ref="C474:C537" si="230">D474-B474</f>
        <v>1986</v>
      </c>
      <c r="D474" s="11">
        <f t="shared" ref="D474:D537" si="231">IF(F474&gt;0,ROUND(((1-G474)/F474),0),FACT(128))</f>
        <v>2203</v>
      </c>
      <c r="E474" s="34">
        <f t="shared" si="227"/>
        <v>2.31920990864296e-6</v>
      </c>
      <c r="F474" s="35">
        <f t="shared" ref="F474:F537" si="232">G474/(ROW()-7)</f>
        <v>0.000374468918115613</v>
      </c>
      <c r="G474" s="18">
        <f>(SUM($I$8:$I474)*(MAX(M$3-M$4,0))+(N474*MAX(M$4,0)))*(1-$AM$4)+(AM474*$AM$4)</f>
        <v>0.174876984759991</v>
      </c>
      <c r="H474" s="18">
        <f t="shared" si="221"/>
        <v>1.20833333333333</v>
      </c>
      <c r="I474" s="18">
        <f t="shared" ref="I474:I537" si="233">L474*H474</f>
        <v>0.00776117725623065</v>
      </c>
      <c r="J474" s="18">
        <f t="shared" si="222"/>
        <v>0.256136739991079</v>
      </c>
      <c r="K474" s="18">
        <f t="shared" si="223"/>
        <v>0.00342794129036369</v>
      </c>
      <c r="L474" s="18">
        <f t="shared" si="224"/>
        <v>0.00642304324653573</v>
      </c>
      <c r="M474" s="18">
        <v>0</v>
      </c>
      <c r="N474" s="18">
        <f t="shared" si="228"/>
        <v>0.123</v>
      </c>
      <c r="O474" s="11">
        <v>7</v>
      </c>
      <c r="P474" s="11">
        <v>7</v>
      </c>
      <c r="Q474" s="11">
        <f t="shared" ref="Q474:Q537" si="234">($P$2-$P$4)+((P474/(MAX(1/FACT(128),O474)))*$P$4)</f>
        <v>1.5</v>
      </c>
      <c r="R474" s="11">
        <v>5970</v>
      </c>
      <c r="S474" s="11">
        <f t="shared" si="225"/>
        <v>0.14070351758794</v>
      </c>
      <c r="T474" s="11">
        <v>7</v>
      </c>
      <c r="U474" s="11">
        <f t="shared" ref="U474:U537" si="235">MAX(1,T474)/(MAX(1,O474))</f>
        <v>1</v>
      </c>
      <c r="V474" s="11">
        <v>0</v>
      </c>
      <c r="W474" s="11">
        <f t="shared" ref="W474:W537" si="236">($V$4*V474/(MAX(1,O474)))+1</f>
        <v>1</v>
      </c>
      <c r="X474" s="11">
        <f t="shared" si="226"/>
        <v>1.47738693467337</v>
      </c>
      <c r="Y474" s="19">
        <v>9.75</v>
      </c>
      <c r="Z474" s="11">
        <v>7</v>
      </c>
      <c r="AA474" s="11">
        <v>0</v>
      </c>
      <c r="AB474" s="11">
        <v>0</v>
      </c>
      <c r="AC474" s="11">
        <v>0</v>
      </c>
      <c r="AD474" s="11">
        <v>0</v>
      </c>
      <c r="AE474" s="11">
        <v>0</v>
      </c>
      <c r="AF474" s="11">
        <v>0</v>
      </c>
      <c r="AG474" s="11">
        <v>0</v>
      </c>
      <c r="AH474" s="11">
        <v>0</v>
      </c>
      <c r="AI474" s="45">
        <v>0</v>
      </c>
      <c r="AJ474" s="45">
        <v>0</v>
      </c>
      <c r="AK474" s="45">
        <f t="shared" ref="AK474:AK537" si="237">IF(AI474&gt;0,AI474,AK473)</f>
        <v>0.3611</v>
      </c>
      <c r="AL474" s="45">
        <f t="shared" ref="AL474:AL537" si="238">IF(AJ474&gt;0,AJ474,AL473)</f>
        <v>0.00348095238095238</v>
      </c>
      <c r="AM474" s="45">
        <f t="shared" ref="AM474:AM537" si="239">AL474*AK474</f>
        <v>0.0012569719047619</v>
      </c>
      <c r="AN474" s="45">
        <f t="shared" ref="AN474:AN537" si="240">IFERROR(AVERAGEIF(AO467:AO473,"&gt;0",AO467:AO473),0)</f>
        <v>0.792187500000004</v>
      </c>
      <c r="AO474" s="45">
        <f t="shared" ref="AO474:AO537" si="241">AP474*0.75+AQ474*0.125+AR474*0.125</f>
        <v>0.792187500000004</v>
      </c>
      <c r="AP474" s="45">
        <f t="shared" ref="AP474:AP537" si="242">AVERAGE(AS474:AT474)</f>
        <v>1.05625000000001</v>
      </c>
      <c r="AQ474" s="45">
        <f t="shared" ref="AQ474:AQ537" si="243">AY474/AQ$5</f>
        <v>0</v>
      </c>
      <c r="AR474" s="45">
        <f t="shared" ref="AR474:AR537" si="244">IF(AZ474&gt;=0,1/(AZ474+1),0)</f>
        <v>0</v>
      </c>
      <c r="AS474" s="19">
        <f t="shared" ref="AS474:AS537" si="245">IF((("24:00"-AX474+AU474)/$AS$5)&gt;0,(("24:00"-AX474+AU474)/$AS$5),AS473)</f>
        <v>1.07916666666667</v>
      </c>
      <c r="AT474" s="19">
        <f t="shared" ref="AT474:AT537" si="246">IF(((AW474-AV474)/$AT$5)&gt;0,((AW474-AV474)/$AT$5),AT473)</f>
        <v>1.03333333333334</v>
      </c>
      <c r="AU474" s="46">
        <v>0</v>
      </c>
      <c r="AV474" s="46">
        <v>0</v>
      </c>
      <c r="AW474" s="46">
        <v>0</v>
      </c>
      <c r="AX474" s="46">
        <v>1</v>
      </c>
      <c r="AY474" s="47">
        <v>0</v>
      </c>
      <c r="AZ474" s="47">
        <v>-1</v>
      </c>
    </row>
    <row r="475" hidden="1" customHeight="1" spans="1:52">
      <c r="A475" s="44">
        <v>45800</v>
      </c>
      <c r="B475" s="33">
        <f t="shared" si="229"/>
        <v>216</v>
      </c>
      <c r="C475" s="33">
        <f t="shared" si="230"/>
        <v>1968</v>
      </c>
      <c r="D475" s="11">
        <f t="shared" si="231"/>
        <v>2184</v>
      </c>
      <c r="E475" s="34">
        <f t="shared" si="227"/>
        <v>2.59472660646393e-6</v>
      </c>
      <c r="F475" s="35">
        <f t="shared" si="232"/>
        <v>0.000377063644722077</v>
      </c>
      <c r="G475" s="18">
        <f>(SUM($I$8:$I475)*(MAX(M$3-M$4,0))+(N475*MAX(M$4,0)))*(1-$AM$4)+(AM475*$AM$4)</f>
        <v>0.176465785729932</v>
      </c>
      <c r="H475" s="18">
        <f t="shared" si="221"/>
        <v>1.20833333333333</v>
      </c>
      <c r="I475" s="18">
        <f t="shared" si="233"/>
        <v>0.0084736051730173</v>
      </c>
      <c r="J475" s="18">
        <f t="shared" si="222"/>
        <v>0.257911532989901</v>
      </c>
      <c r="K475" s="18">
        <f t="shared" si="223"/>
        <v>0.00343559475467639</v>
      </c>
      <c r="L475" s="18">
        <f t="shared" si="224"/>
        <v>0.0070126387638764</v>
      </c>
      <c r="M475" s="18">
        <v>0</v>
      </c>
      <c r="N475" s="18">
        <f t="shared" si="228"/>
        <v>0.123</v>
      </c>
      <c r="O475" s="11">
        <v>20</v>
      </c>
      <c r="P475" s="11">
        <v>20</v>
      </c>
      <c r="Q475" s="11">
        <f t="shared" si="234"/>
        <v>1.5</v>
      </c>
      <c r="R475" s="11">
        <v>6060</v>
      </c>
      <c r="S475" s="11">
        <f t="shared" si="225"/>
        <v>0.396039603960396</v>
      </c>
      <c r="T475" s="11">
        <v>11</v>
      </c>
      <c r="U475" s="11">
        <f t="shared" si="235"/>
        <v>0.55</v>
      </c>
      <c r="V475" s="11">
        <v>2</v>
      </c>
      <c r="W475" s="11">
        <f t="shared" si="236"/>
        <v>1.05</v>
      </c>
      <c r="X475" s="11">
        <f t="shared" si="226"/>
        <v>6.86138613861386</v>
      </c>
      <c r="Y475" s="19">
        <v>8.45</v>
      </c>
      <c r="Z475" s="11">
        <v>0</v>
      </c>
      <c r="AA475" s="11">
        <v>0</v>
      </c>
      <c r="AB475" s="11">
        <v>0</v>
      </c>
      <c r="AC475" s="11">
        <v>0</v>
      </c>
      <c r="AD475" s="11">
        <v>0</v>
      </c>
      <c r="AE475" s="11">
        <v>0</v>
      </c>
      <c r="AF475" s="11">
        <v>0</v>
      </c>
      <c r="AG475" s="11">
        <v>0</v>
      </c>
      <c r="AH475" s="11">
        <v>0</v>
      </c>
      <c r="AI475" s="45">
        <v>0</v>
      </c>
      <c r="AJ475" s="45">
        <v>0</v>
      </c>
      <c r="AK475" s="45">
        <f t="shared" si="237"/>
        <v>0.3611</v>
      </c>
      <c r="AL475" s="45">
        <f t="shared" si="238"/>
        <v>0.00348095238095238</v>
      </c>
      <c r="AM475" s="45">
        <f t="shared" si="239"/>
        <v>0.0012569719047619</v>
      </c>
      <c r="AN475" s="45">
        <f t="shared" si="240"/>
        <v>0.792187500000004</v>
      </c>
      <c r="AO475" s="45">
        <f t="shared" si="241"/>
        <v>0.792187500000004</v>
      </c>
      <c r="AP475" s="45">
        <f t="shared" si="242"/>
        <v>1.05625000000001</v>
      </c>
      <c r="AQ475" s="45">
        <f t="shared" si="243"/>
        <v>0</v>
      </c>
      <c r="AR475" s="45">
        <f t="shared" si="244"/>
        <v>0</v>
      </c>
      <c r="AS475" s="19">
        <f t="shared" si="245"/>
        <v>1.07916666666667</v>
      </c>
      <c r="AT475" s="19">
        <f t="shared" si="246"/>
        <v>1.03333333333334</v>
      </c>
      <c r="AU475" s="46">
        <v>0</v>
      </c>
      <c r="AV475" s="46">
        <v>0</v>
      </c>
      <c r="AW475" s="46">
        <v>0</v>
      </c>
      <c r="AX475" s="46">
        <v>1</v>
      </c>
      <c r="AY475" s="47">
        <v>0</v>
      </c>
      <c r="AZ475" s="47">
        <v>-1</v>
      </c>
    </row>
    <row r="476" hidden="1" customHeight="1" spans="1:52">
      <c r="A476" s="44">
        <v>45801</v>
      </c>
      <c r="B476" s="33">
        <f t="shared" si="229"/>
        <v>215</v>
      </c>
      <c r="C476" s="33">
        <f t="shared" si="230"/>
        <v>1964</v>
      </c>
      <c r="D476" s="11">
        <f t="shared" si="231"/>
        <v>2179</v>
      </c>
      <c r="E476" s="34">
        <f t="shared" si="227"/>
        <v>5.35463492548399e-7</v>
      </c>
      <c r="F476" s="35">
        <f t="shared" si="232"/>
        <v>0.000377599108214626</v>
      </c>
      <c r="G476" s="18">
        <f>(SUM($I$8:$I476)*(MAX(M$3-M$4,0))+(N476*MAX(M$4,0)))*(1-$AM$4)+(AM476*$AM$4)</f>
        <v>0.177093981752659</v>
      </c>
      <c r="H476" s="18">
        <f t="shared" si="221"/>
        <v>1.20833333333333</v>
      </c>
      <c r="I476" s="18">
        <f t="shared" si="233"/>
        <v>0.00335037878787878</v>
      </c>
      <c r="J476" s="18">
        <f t="shared" si="222"/>
        <v>0.258277790018804</v>
      </c>
      <c r="K476" s="18">
        <f t="shared" si="223"/>
        <v>0.00344987074409859</v>
      </c>
      <c r="L476" s="18">
        <f t="shared" si="224"/>
        <v>0.00277272727272728</v>
      </c>
      <c r="M476" s="18">
        <v>0</v>
      </c>
      <c r="N476" s="18">
        <f t="shared" si="228"/>
        <v>0.123</v>
      </c>
      <c r="O476" s="11">
        <v>0</v>
      </c>
      <c r="P476" s="11">
        <v>0</v>
      </c>
      <c r="Q476" s="11">
        <f t="shared" si="234"/>
        <v>1</v>
      </c>
      <c r="R476" s="11">
        <v>0</v>
      </c>
      <c r="S476" s="11">
        <f t="shared" si="225"/>
        <v>0</v>
      </c>
      <c r="T476" s="11">
        <v>0</v>
      </c>
      <c r="U476" s="11">
        <f t="shared" si="235"/>
        <v>1</v>
      </c>
      <c r="V476" s="11">
        <v>0</v>
      </c>
      <c r="W476" s="11">
        <f t="shared" si="236"/>
        <v>1</v>
      </c>
      <c r="X476" s="11">
        <f t="shared" si="226"/>
        <v>0</v>
      </c>
      <c r="Y476" s="19">
        <v>1</v>
      </c>
      <c r="Z476" s="11">
        <v>6</v>
      </c>
      <c r="AA476" s="11">
        <v>0</v>
      </c>
      <c r="AB476" s="11">
        <v>5</v>
      </c>
      <c r="AC476" s="11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45">
        <v>0</v>
      </c>
      <c r="AJ476" s="45">
        <v>0</v>
      </c>
      <c r="AK476" s="45">
        <f t="shared" si="237"/>
        <v>0.3611</v>
      </c>
      <c r="AL476" s="45">
        <f t="shared" si="238"/>
        <v>0.00348095238095238</v>
      </c>
      <c r="AM476" s="45">
        <f t="shared" si="239"/>
        <v>0.0012569719047619</v>
      </c>
      <c r="AN476" s="45">
        <f t="shared" si="240"/>
        <v>0.792187500000004</v>
      </c>
      <c r="AO476" s="45">
        <f t="shared" si="241"/>
        <v>0.792187500000004</v>
      </c>
      <c r="AP476" s="45">
        <f t="shared" si="242"/>
        <v>1.05625000000001</v>
      </c>
      <c r="AQ476" s="45">
        <f t="shared" si="243"/>
        <v>0</v>
      </c>
      <c r="AR476" s="45">
        <f t="shared" si="244"/>
        <v>0</v>
      </c>
      <c r="AS476" s="19">
        <f t="shared" si="245"/>
        <v>1.07916666666667</v>
      </c>
      <c r="AT476" s="19">
        <f t="shared" si="246"/>
        <v>1.03333333333334</v>
      </c>
      <c r="AU476" s="46">
        <v>0</v>
      </c>
      <c r="AV476" s="46">
        <v>0</v>
      </c>
      <c r="AW476" s="46">
        <v>0</v>
      </c>
      <c r="AX476" s="46">
        <v>1</v>
      </c>
      <c r="AY476" s="47">
        <v>0</v>
      </c>
      <c r="AZ476" s="47">
        <v>-1</v>
      </c>
    </row>
    <row r="477" hidden="1" customHeight="1" spans="1:52">
      <c r="A477" s="44">
        <v>45802</v>
      </c>
      <c r="B477" s="33">
        <f t="shared" si="229"/>
        <v>214</v>
      </c>
      <c r="C477" s="33">
        <f t="shared" si="230"/>
        <v>1919</v>
      </c>
      <c r="D477" s="11">
        <f t="shared" si="231"/>
        <v>2133</v>
      </c>
      <c r="E477" s="34">
        <f t="shared" si="227"/>
        <v>6.50706893797907e-6</v>
      </c>
      <c r="F477" s="35">
        <f t="shared" si="232"/>
        <v>0.000384106177152605</v>
      </c>
      <c r="G477" s="18">
        <f>(SUM($I$8:$I477)*(MAX(M$3-M$4,0))+(N477*MAX(M$4,0)))*(1-$AM$4)+(AM477*$AM$4)</f>
        <v>0.180529903261724</v>
      </c>
      <c r="H477" s="18">
        <f t="shared" si="221"/>
        <v>1.20833333333333</v>
      </c>
      <c r="I477" s="18">
        <f t="shared" si="233"/>
        <v>0.0183249147150122</v>
      </c>
      <c r="J477" s="18">
        <f t="shared" si="222"/>
        <v>0.262728625172382</v>
      </c>
      <c r="K477" s="18">
        <f t="shared" si="223"/>
        <v>0.00344519334031597</v>
      </c>
      <c r="L477" s="18">
        <f t="shared" si="224"/>
        <v>0.0151654466606998</v>
      </c>
      <c r="M477" s="18">
        <v>0</v>
      </c>
      <c r="N477" s="18">
        <f t="shared" si="228"/>
        <v>0.123</v>
      </c>
      <c r="O477" s="11">
        <v>20</v>
      </c>
      <c r="P477" s="11">
        <v>20</v>
      </c>
      <c r="Q477" s="11">
        <f t="shared" si="234"/>
        <v>1.5</v>
      </c>
      <c r="R477" s="11">
        <v>4740</v>
      </c>
      <c r="S477" s="11">
        <f t="shared" si="225"/>
        <v>0.506329113924051</v>
      </c>
      <c r="T477" s="11">
        <v>19</v>
      </c>
      <c r="U477" s="11">
        <f t="shared" si="235"/>
        <v>0.95</v>
      </c>
      <c r="V477" s="11">
        <v>0</v>
      </c>
      <c r="W477" s="11">
        <f t="shared" si="236"/>
        <v>1</v>
      </c>
      <c r="X477" s="11">
        <f t="shared" si="226"/>
        <v>14.4303797468354</v>
      </c>
      <c r="Y477" s="19">
        <v>14.33</v>
      </c>
      <c r="Z477" s="11">
        <v>6</v>
      </c>
      <c r="AA477" s="11">
        <v>0</v>
      </c>
      <c r="AB477" s="11">
        <v>0</v>
      </c>
      <c r="AC477" s="11">
        <v>0</v>
      </c>
      <c r="AD477" s="11">
        <v>1</v>
      </c>
      <c r="AE477" s="11">
        <v>0</v>
      </c>
      <c r="AF477" s="11">
        <v>0</v>
      </c>
      <c r="AG477" s="11">
        <v>0</v>
      </c>
      <c r="AH477" s="11">
        <v>0</v>
      </c>
      <c r="AI477" s="45">
        <v>0</v>
      </c>
      <c r="AJ477" s="45">
        <v>0</v>
      </c>
      <c r="AK477" s="45">
        <f t="shared" si="237"/>
        <v>0.3611</v>
      </c>
      <c r="AL477" s="45">
        <f t="shared" si="238"/>
        <v>0.00348095238095238</v>
      </c>
      <c r="AM477" s="45">
        <f t="shared" si="239"/>
        <v>0.0012569719047619</v>
      </c>
      <c r="AN477" s="45">
        <f t="shared" si="240"/>
        <v>0.792187500000004</v>
      </c>
      <c r="AO477" s="45">
        <f t="shared" si="241"/>
        <v>0.792187500000004</v>
      </c>
      <c r="AP477" s="45">
        <f t="shared" si="242"/>
        <v>1.05625000000001</v>
      </c>
      <c r="AQ477" s="45">
        <f t="shared" si="243"/>
        <v>0</v>
      </c>
      <c r="AR477" s="45">
        <f t="shared" si="244"/>
        <v>0</v>
      </c>
      <c r="AS477" s="19">
        <f t="shared" si="245"/>
        <v>1.07916666666667</v>
      </c>
      <c r="AT477" s="19">
        <f t="shared" si="246"/>
        <v>1.03333333333334</v>
      </c>
      <c r="AU477" s="46">
        <v>0</v>
      </c>
      <c r="AV477" s="46">
        <v>0</v>
      </c>
      <c r="AW477" s="46">
        <v>0</v>
      </c>
      <c r="AX477" s="46">
        <v>1</v>
      </c>
      <c r="AY477" s="47">
        <v>0</v>
      </c>
      <c r="AZ477" s="47">
        <v>-1</v>
      </c>
    </row>
    <row r="478" hidden="1" customHeight="1" spans="1:52">
      <c r="A478" s="44">
        <v>45803</v>
      </c>
      <c r="B478" s="33">
        <f t="shared" si="229"/>
        <v>213</v>
      </c>
      <c r="C478" s="33">
        <f t="shared" si="230"/>
        <v>1902</v>
      </c>
      <c r="D478" s="11">
        <f t="shared" si="231"/>
        <v>2115</v>
      </c>
      <c r="E478" s="34">
        <f t="shared" si="227"/>
        <v>2.62757811714584e-6</v>
      </c>
      <c r="F478" s="35">
        <f t="shared" si="232"/>
        <v>0.00038673375526975</v>
      </c>
      <c r="G478" s="18">
        <f>(SUM($I$8:$I478)*(MAX(M$3-M$4,0))+(N478*MAX(M$4,0)))*(1-$AM$4)+(AM478*$AM$4)</f>
        <v>0.182151598732052</v>
      </c>
      <c r="H478" s="18">
        <f t="shared" si="221"/>
        <v>1.20833333333333</v>
      </c>
      <c r="I478" s="18">
        <f t="shared" si="233"/>
        <v>0.0086490425084175</v>
      </c>
      <c r="J478" s="18">
        <f t="shared" si="222"/>
        <v>0.264525888604509</v>
      </c>
      <c r="K478" s="18">
        <f t="shared" si="223"/>
        <v>0.00345293010044831</v>
      </c>
      <c r="L478" s="18">
        <f t="shared" si="224"/>
        <v>0.00715782828282829</v>
      </c>
      <c r="M478" s="18">
        <v>0</v>
      </c>
      <c r="N478" s="18">
        <f t="shared" si="228"/>
        <v>0.123</v>
      </c>
      <c r="O478" s="11">
        <v>0</v>
      </c>
      <c r="P478" s="11">
        <v>0</v>
      </c>
      <c r="Q478" s="11">
        <f t="shared" si="234"/>
        <v>1</v>
      </c>
      <c r="R478" s="11">
        <v>0</v>
      </c>
      <c r="S478" s="11">
        <f t="shared" si="225"/>
        <v>0</v>
      </c>
      <c r="T478" s="11">
        <v>0</v>
      </c>
      <c r="U478" s="11">
        <f t="shared" si="235"/>
        <v>1</v>
      </c>
      <c r="V478" s="11">
        <v>0</v>
      </c>
      <c r="W478" s="11">
        <f t="shared" si="236"/>
        <v>1</v>
      </c>
      <c r="X478" s="11">
        <f t="shared" si="226"/>
        <v>0</v>
      </c>
      <c r="Y478" s="19">
        <v>5.83</v>
      </c>
      <c r="Z478" s="11">
        <v>10</v>
      </c>
      <c r="AA478" s="11">
        <v>11</v>
      </c>
      <c r="AB478" s="11">
        <v>0</v>
      </c>
      <c r="AC478" s="11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45">
        <v>0</v>
      </c>
      <c r="AJ478" s="45">
        <v>0</v>
      </c>
      <c r="AK478" s="45">
        <f t="shared" si="237"/>
        <v>0.3611</v>
      </c>
      <c r="AL478" s="45">
        <f t="shared" si="238"/>
        <v>0.00348095238095238</v>
      </c>
      <c r="AM478" s="45">
        <f t="shared" si="239"/>
        <v>0.0012569719047619</v>
      </c>
      <c r="AN478" s="45">
        <f t="shared" si="240"/>
        <v>0.792187500000004</v>
      </c>
      <c r="AO478" s="45">
        <f t="shared" si="241"/>
        <v>0.792187500000004</v>
      </c>
      <c r="AP478" s="45">
        <f t="shared" si="242"/>
        <v>1.05625000000001</v>
      </c>
      <c r="AQ478" s="45">
        <f t="shared" si="243"/>
        <v>0</v>
      </c>
      <c r="AR478" s="45">
        <f t="shared" si="244"/>
        <v>0</v>
      </c>
      <c r="AS478" s="19">
        <f t="shared" si="245"/>
        <v>1.07916666666667</v>
      </c>
      <c r="AT478" s="19">
        <f t="shared" si="246"/>
        <v>1.03333333333334</v>
      </c>
      <c r="AU478" s="46">
        <v>0</v>
      </c>
      <c r="AV478" s="46">
        <v>0</v>
      </c>
      <c r="AW478" s="46">
        <v>0</v>
      </c>
      <c r="AX478" s="46">
        <v>1</v>
      </c>
      <c r="AY478" s="47">
        <v>0</v>
      </c>
      <c r="AZ478" s="47">
        <v>-1</v>
      </c>
    </row>
    <row r="479" hidden="1" customHeight="1" spans="1:52">
      <c r="A479" s="44">
        <v>45804</v>
      </c>
      <c r="B479" s="33">
        <f t="shared" si="229"/>
        <v>212</v>
      </c>
      <c r="C479" s="33">
        <f t="shared" si="230"/>
        <v>1879</v>
      </c>
      <c r="D479" s="11">
        <f t="shared" si="231"/>
        <v>2091</v>
      </c>
      <c r="E479" s="34">
        <f t="shared" si="227"/>
        <v>3.40998842144881e-6</v>
      </c>
      <c r="F479" s="35">
        <f t="shared" si="232"/>
        <v>0.000390143743691199</v>
      </c>
      <c r="G479" s="18">
        <f>(SUM($I$8:$I479)*(MAX(M$3-M$4,0))+(N479*MAX(M$4,0)))*(1-$AM$4)+(AM479*$AM$4)</f>
        <v>0.184147847022246</v>
      </c>
      <c r="H479" s="18">
        <f t="shared" si="221"/>
        <v>1.20833333333333</v>
      </c>
      <c r="I479" s="18">
        <f t="shared" si="233"/>
        <v>0.0106466575476992</v>
      </c>
      <c r="J479" s="18">
        <f t="shared" si="222"/>
        <v>0.26685832068478</v>
      </c>
      <c r="K479" s="18">
        <f t="shared" si="223"/>
        <v>0.00345821546846802</v>
      </c>
      <c r="L479" s="18">
        <f t="shared" si="224"/>
        <v>0.00881102693602696</v>
      </c>
      <c r="M479" s="18">
        <v>0</v>
      </c>
      <c r="N479" s="18">
        <f t="shared" si="228"/>
        <v>0.123</v>
      </c>
      <c r="O479" s="11">
        <v>0</v>
      </c>
      <c r="P479" s="11">
        <v>0</v>
      </c>
      <c r="Q479" s="11">
        <f t="shared" si="234"/>
        <v>1</v>
      </c>
      <c r="R479" s="11">
        <v>0</v>
      </c>
      <c r="S479" s="11">
        <f t="shared" si="225"/>
        <v>0</v>
      </c>
      <c r="T479" s="11">
        <v>0</v>
      </c>
      <c r="U479" s="11">
        <f t="shared" si="235"/>
        <v>1</v>
      </c>
      <c r="V479" s="11">
        <v>0</v>
      </c>
      <c r="W479" s="11">
        <f t="shared" si="236"/>
        <v>1</v>
      </c>
      <c r="X479" s="11">
        <f t="shared" si="226"/>
        <v>0</v>
      </c>
      <c r="Y479" s="19">
        <v>12.95</v>
      </c>
      <c r="Z479" s="11">
        <v>0</v>
      </c>
      <c r="AA479" s="11">
        <v>11</v>
      </c>
      <c r="AB479" s="11">
        <v>10</v>
      </c>
      <c r="AC479" s="11">
        <v>0</v>
      </c>
      <c r="AD479" s="11">
        <v>2</v>
      </c>
      <c r="AE479" s="11">
        <v>0</v>
      </c>
      <c r="AF479" s="11">
        <v>0</v>
      </c>
      <c r="AG479" s="11">
        <v>0</v>
      </c>
      <c r="AH479" s="11">
        <v>0</v>
      </c>
      <c r="AI479" s="45">
        <v>0</v>
      </c>
      <c r="AJ479" s="45">
        <v>0</v>
      </c>
      <c r="AK479" s="45">
        <f t="shared" si="237"/>
        <v>0.3611</v>
      </c>
      <c r="AL479" s="45">
        <f t="shared" si="238"/>
        <v>0.00348095238095238</v>
      </c>
      <c r="AM479" s="45">
        <f t="shared" si="239"/>
        <v>0.0012569719047619</v>
      </c>
      <c r="AN479" s="45">
        <f t="shared" si="240"/>
        <v>0.792187500000004</v>
      </c>
      <c r="AO479" s="45">
        <f t="shared" si="241"/>
        <v>0.792187500000004</v>
      </c>
      <c r="AP479" s="45">
        <f t="shared" si="242"/>
        <v>1.05625000000001</v>
      </c>
      <c r="AQ479" s="45">
        <f t="shared" si="243"/>
        <v>0</v>
      </c>
      <c r="AR479" s="45">
        <f t="shared" si="244"/>
        <v>0</v>
      </c>
      <c r="AS479" s="19">
        <f t="shared" si="245"/>
        <v>1.07916666666667</v>
      </c>
      <c r="AT479" s="19">
        <f t="shared" si="246"/>
        <v>1.03333333333334</v>
      </c>
      <c r="AU479" s="46">
        <v>0</v>
      </c>
      <c r="AV479" s="46">
        <v>0</v>
      </c>
      <c r="AW479" s="46">
        <v>0</v>
      </c>
      <c r="AX479" s="46">
        <v>1</v>
      </c>
      <c r="AY479" s="47">
        <v>0</v>
      </c>
      <c r="AZ479" s="47">
        <v>-1</v>
      </c>
    </row>
    <row r="480" hidden="1" customHeight="1" spans="1:52">
      <c r="A480" s="44">
        <v>45805</v>
      </c>
      <c r="B480" s="33">
        <f t="shared" si="229"/>
        <v>211</v>
      </c>
      <c r="C480" s="33">
        <f t="shared" si="230"/>
        <v>1864</v>
      </c>
      <c r="D480" s="11">
        <f t="shared" si="231"/>
        <v>2075</v>
      </c>
      <c r="E480" s="34">
        <f t="shared" si="227"/>
        <v>2.2825620902379e-6</v>
      </c>
      <c r="F480" s="35">
        <f t="shared" si="232"/>
        <v>0.000392426305781437</v>
      </c>
      <c r="G480" s="18">
        <f>(SUM($I$8:$I480)*(MAX(M$3-M$4,0))+(N480*MAX(M$4,0)))*(1-$AM$4)+(AM480*$AM$4)</f>
        <v>0.18561764263462</v>
      </c>
      <c r="H480" s="18">
        <f t="shared" si="221"/>
        <v>1.20833333333333</v>
      </c>
      <c r="I480" s="18">
        <f t="shared" si="233"/>
        <v>0.00783890993265992</v>
      </c>
      <c r="J480" s="18">
        <f t="shared" si="222"/>
        <v>0.268419593154503</v>
      </c>
      <c r="K480" s="18">
        <f t="shared" si="223"/>
        <v>0.00346720571964691</v>
      </c>
      <c r="L480" s="18">
        <f t="shared" si="224"/>
        <v>0.00648737373737375</v>
      </c>
      <c r="M480" s="18">
        <v>0</v>
      </c>
      <c r="N480" s="18">
        <f t="shared" si="228"/>
        <v>0.123</v>
      </c>
      <c r="O480" s="11">
        <v>0</v>
      </c>
      <c r="P480" s="11">
        <v>0</v>
      </c>
      <c r="Q480" s="11">
        <f t="shared" si="234"/>
        <v>1</v>
      </c>
      <c r="R480" s="11">
        <v>0</v>
      </c>
      <c r="S480" s="11">
        <f t="shared" si="225"/>
        <v>0</v>
      </c>
      <c r="T480" s="11">
        <v>0</v>
      </c>
      <c r="U480" s="11">
        <f t="shared" si="235"/>
        <v>1</v>
      </c>
      <c r="V480" s="11">
        <v>0</v>
      </c>
      <c r="W480" s="11">
        <f t="shared" si="236"/>
        <v>1</v>
      </c>
      <c r="X480" s="11">
        <f t="shared" si="226"/>
        <v>0</v>
      </c>
      <c r="Y480" s="19">
        <v>5.5</v>
      </c>
      <c r="Z480" s="11">
        <v>8</v>
      </c>
      <c r="AA480" s="11">
        <v>11</v>
      </c>
      <c r="AB480" s="11">
        <v>0</v>
      </c>
      <c r="AC480" s="11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45">
        <v>0</v>
      </c>
      <c r="AJ480" s="45">
        <v>0</v>
      </c>
      <c r="AK480" s="45">
        <f t="shared" si="237"/>
        <v>0.3611</v>
      </c>
      <c r="AL480" s="45">
        <f t="shared" si="238"/>
        <v>0.00348095238095238</v>
      </c>
      <c r="AM480" s="45">
        <f t="shared" si="239"/>
        <v>0.0012569719047619</v>
      </c>
      <c r="AN480" s="45">
        <f t="shared" si="240"/>
        <v>0.792187500000004</v>
      </c>
      <c r="AO480" s="45">
        <f t="shared" si="241"/>
        <v>0.792187500000004</v>
      </c>
      <c r="AP480" s="45">
        <f t="shared" si="242"/>
        <v>1.05625000000001</v>
      </c>
      <c r="AQ480" s="45">
        <f t="shared" si="243"/>
        <v>0</v>
      </c>
      <c r="AR480" s="45">
        <f t="shared" si="244"/>
        <v>0</v>
      </c>
      <c r="AS480" s="19">
        <f t="shared" si="245"/>
        <v>1.07916666666667</v>
      </c>
      <c r="AT480" s="19">
        <f t="shared" si="246"/>
        <v>1.03333333333334</v>
      </c>
      <c r="AU480" s="46">
        <v>0</v>
      </c>
      <c r="AV480" s="46">
        <v>0</v>
      </c>
      <c r="AW480" s="46">
        <v>0</v>
      </c>
      <c r="AX480" s="46">
        <v>1</v>
      </c>
      <c r="AY480" s="47">
        <v>0</v>
      </c>
      <c r="AZ480" s="47">
        <v>-1</v>
      </c>
    </row>
    <row r="481" hidden="1" customHeight="1" spans="1:52">
      <c r="A481" s="44">
        <v>45806</v>
      </c>
      <c r="B481" s="33">
        <f t="shared" si="229"/>
        <v>210</v>
      </c>
      <c r="C481" s="33">
        <f t="shared" si="230"/>
        <v>1733</v>
      </c>
      <c r="D481" s="11">
        <f t="shared" si="231"/>
        <v>1943</v>
      </c>
      <c r="E481" s="34">
        <f t="shared" si="227"/>
        <v>2.12465934510789e-5</v>
      </c>
      <c r="F481" s="35">
        <f t="shared" si="232"/>
        <v>0.000413672899232516</v>
      </c>
      <c r="G481" s="18">
        <f>(SUM($I$8:$I481)*(MAX(M$3-M$4,0))+(N481*MAX(M$4,0)))*(1-$AM$4)+(AM481*$AM$4)</f>
        <v>0.196080954236213</v>
      </c>
      <c r="H481" s="18">
        <f t="shared" si="221"/>
        <v>1.20833333333333</v>
      </c>
      <c r="I481" s="18">
        <f t="shared" si="233"/>
        <v>0.00860432854182853</v>
      </c>
      <c r="J481" s="18">
        <f t="shared" si="222"/>
        <v>0.282952263075041</v>
      </c>
      <c r="K481" s="18">
        <f t="shared" si="223"/>
        <v>0.003414513032976</v>
      </c>
      <c r="L481" s="18">
        <f t="shared" si="224"/>
        <v>0.00712082362082363</v>
      </c>
      <c r="M481" s="18">
        <v>0.1466</v>
      </c>
      <c r="N481" s="18">
        <f t="shared" si="228"/>
        <v>0.1466</v>
      </c>
      <c r="O481" s="11">
        <v>0</v>
      </c>
      <c r="P481" s="11">
        <v>0</v>
      </c>
      <c r="Q481" s="11">
        <f t="shared" si="234"/>
        <v>1</v>
      </c>
      <c r="R481" s="11">
        <v>0</v>
      </c>
      <c r="S481" s="11">
        <f t="shared" si="225"/>
        <v>0</v>
      </c>
      <c r="T481" s="11">
        <v>0</v>
      </c>
      <c r="U481" s="11">
        <f t="shared" si="235"/>
        <v>1</v>
      </c>
      <c r="V481" s="11">
        <v>0</v>
      </c>
      <c r="W481" s="11">
        <f t="shared" si="236"/>
        <v>1</v>
      </c>
      <c r="X481" s="11">
        <f t="shared" si="226"/>
        <v>0</v>
      </c>
      <c r="Y481" s="19">
        <v>4.92</v>
      </c>
      <c r="Z481" s="11">
        <v>11</v>
      </c>
      <c r="AA481" s="11">
        <v>11</v>
      </c>
      <c r="AB481" s="11">
        <v>0</v>
      </c>
      <c r="AC481" s="11">
        <v>0</v>
      </c>
      <c r="AD481" s="11">
        <v>0</v>
      </c>
      <c r="AE481" s="11">
        <v>0</v>
      </c>
      <c r="AF481" s="11">
        <v>0</v>
      </c>
      <c r="AG481" s="11">
        <v>0</v>
      </c>
      <c r="AH481" s="11">
        <v>3</v>
      </c>
      <c r="AI481" s="45">
        <v>0</v>
      </c>
      <c r="AJ481" s="45">
        <v>0</v>
      </c>
      <c r="AK481" s="45">
        <f t="shared" si="237"/>
        <v>0.3611</v>
      </c>
      <c r="AL481" s="45">
        <f t="shared" si="238"/>
        <v>0.00348095238095238</v>
      </c>
      <c r="AM481" s="45">
        <f t="shared" si="239"/>
        <v>0.0012569719047619</v>
      </c>
      <c r="AN481" s="45">
        <f t="shared" si="240"/>
        <v>0.792187500000004</v>
      </c>
      <c r="AO481" s="45">
        <f t="shared" si="241"/>
        <v>0.792187500000004</v>
      </c>
      <c r="AP481" s="45">
        <f t="shared" si="242"/>
        <v>1.05625000000001</v>
      </c>
      <c r="AQ481" s="45">
        <f t="shared" si="243"/>
        <v>0</v>
      </c>
      <c r="AR481" s="45">
        <f t="shared" si="244"/>
        <v>0</v>
      </c>
      <c r="AS481" s="19">
        <f t="shared" si="245"/>
        <v>1.07916666666667</v>
      </c>
      <c r="AT481" s="19">
        <f t="shared" si="246"/>
        <v>1.03333333333334</v>
      </c>
      <c r="AU481" s="46">
        <v>0</v>
      </c>
      <c r="AV481" s="46">
        <v>0</v>
      </c>
      <c r="AW481" s="46">
        <v>0</v>
      </c>
      <c r="AX481" s="46">
        <v>1</v>
      </c>
      <c r="AY481" s="47">
        <v>0</v>
      </c>
      <c r="AZ481" s="47">
        <v>-1</v>
      </c>
    </row>
    <row r="482" hidden="1" customHeight="1" spans="1:52">
      <c r="A482" s="44">
        <v>45807</v>
      </c>
      <c r="B482" s="33">
        <f t="shared" si="229"/>
        <v>209</v>
      </c>
      <c r="C482" s="33">
        <f t="shared" si="230"/>
        <v>1260</v>
      </c>
      <c r="D482" s="11">
        <f t="shared" si="231"/>
        <v>1469</v>
      </c>
      <c r="E482" s="34">
        <f t="shared" si="227"/>
        <v>0.000100858869965751</v>
      </c>
      <c r="F482" s="35">
        <f t="shared" si="232"/>
        <v>0.000514531769198267</v>
      </c>
      <c r="G482" s="18">
        <f>(SUM($I$8:$I482)*(MAX(M$3-M$4,0))+(N482*MAX(M$4,0)))*(1-$AM$4)+(AM482*$AM$4)</f>
        <v>0.244402590369177</v>
      </c>
      <c r="H482" s="18">
        <f t="shared" si="221"/>
        <v>1.20833333333333</v>
      </c>
      <c r="I482" s="18">
        <f t="shared" si="233"/>
        <v>0.0131153927091427</v>
      </c>
      <c r="J482" s="18">
        <f t="shared" si="222"/>
        <v>0.351939730131615</v>
      </c>
      <c r="K482" s="18">
        <f t="shared" si="223"/>
        <v>0.00310076684147553</v>
      </c>
      <c r="L482" s="18">
        <f t="shared" si="224"/>
        <v>0.0108541181041181</v>
      </c>
      <c r="M482" s="18">
        <v>0.2689</v>
      </c>
      <c r="N482" s="18">
        <f t="shared" si="228"/>
        <v>0.2689</v>
      </c>
      <c r="O482" s="11">
        <v>0</v>
      </c>
      <c r="P482" s="11">
        <v>0</v>
      </c>
      <c r="Q482" s="11">
        <f t="shared" si="234"/>
        <v>1</v>
      </c>
      <c r="R482" s="11">
        <v>0</v>
      </c>
      <c r="S482" s="11">
        <f t="shared" si="225"/>
        <v>0</v>
      </c>
      <c r="T482" s="11">
        <v>0</v>
      </c>
      <c r="U482" s="11">
        <f t="shared" si="235"/>
        <v>1</v>
      </c>
      <c r="V482" s="11">
        <v>0</v>
      </c>
      <c r="W482" s="11">
        <f t="shared" si="236"/>
        <v>1</v>
      </c>
      <c r="X482" s="11">
        <f t="shared" si="226"/>
        <v>0</v>
      </c>
      <c r="Y482" s="19">
        <v>21.5</v>
      </c>
      <c r="Z482" s="11">
        <v>8</v>
      </c>
      <c r="AA482" s="11">
        <v>0</v>
      </c>
      <c r="AB482" s="11">
        <v>0</v>
      </c>
      <c r="AC482" s="11">
        <v>0</v>
      </c>
      <c r="AD482" s="11">
        <v>6</v>
      </c>
      <c r="AE482" s="11">
        <v>0</v>
      </c>
      <c r="AF482" s="11">
        <v>0</v>
      </c>
      <c r="AG482" s="11">
        <v>0</v>
      </c>
      <c r="AH482" s="11">
        <v>2</v>
      </c>
      <c r="AI482" s="45">
        <v>0</v>
      </c>
      <c r="AJ482" s="45">
        <v>0</v>
      </c>
      <c r="AK482" s="45">
        <f t="shared" si="237"/>
        <v>0.3611</v>
      </c>
      <c r="AL482" s="45">
        <f t="shared" si="238"/>
        <v>0.00348095238095238</v>
      </c>
      <c r="AM482" s="45">
        <f t="shared" si="239"/>
        <v>0.0012569719047619</v>
      </c>
      <c r="AN482" s="45">
        <f t="shared" si="240"/>
        <v>0.792187500000004</v>
      </c>
      <c r="AO482" s="45">
        <f t="shared" si="241"/>
        <v>0.792187500000004</v>
      </c>
      <c r="AP482" s="45">
        <f t="shared" si="242"/>
        <v>1.05625000000001</v>
      </c>
      <c r="AQ482" s="45">
        <f t="shared" si="243"/>
        <v>0</v>
      </c>
      <c r="AR482" s="45">
        <f t="shared" si="244"/>
        <v>0</v>
      </c>
      <c r="AS482" s="19">
        <f t="shared" si="245"/>
        <v>1.07916666666667</v>
      </c>
      <c r="AT482" s="19">
        <f t="shared" si="246"/>
        <v>1.03333333333334</v>
      </c>
      <c r="AU482" s="46">
        <v>0</v>
      </c>
      <c r="AV482" s="46">
        <v>0</v>
      </c>
      <c r="AW482" s="46">
        <v>0</v>
      </c>
      <c r="AX482" s="46">
        <v>1</v>
      </c>
      <c r="AY482" s="47">
        <v>0</v>
      </c>
      <c r="AZ482" s="47">
        <v>-1</v>
      </c>
    </row>
    <row r="483" hidden="1" customHeight="1" spans="1:52">
      <c r="A483" s="44">
        <v>45808</v>
      </c>
      <c r="B483" s="33">
        <f t="shared" si="229"/>
        <v>208</v>
      </c>
      <c r="C483" s="33">
        <f t="shared" si="230"/>
        <v>1242</v>
      </c>
      <c r="D483" s="11">
        <f t="shared" si="231"/>
        <v>1450</v>
      </c>
      <c r="E483" s="34">
        <f t="shared" si="227"/>
        <v>4.58518944974581e-6</v>
      </c>
      <c r="F483" s="35">
        <f t="shared" si="232"/>
        <v>0.000519116958648013</v>
      </c>
      <c r="G483" s="18">
        <f>(SUM($I$8:$I483)*(MAX(M$3-M$4,0))+(N483*MAX(M$4,0)))*(1-$AM$4)+(AM483*$AM$4)</f>
        <v>0.247099672316454</v>
      </c>
      <c r="H483" s="18">
        <f t="shared" si="221"/>
        <v>1.20833333333333</v>
      </c>
      <c r="I483" s="18">
        <f t="shared" si="233"/>
        <v>0.00998443705214537</v>
      </c>
      <c r="J483" s="18">
        <f t="shared" si="222"/>
        <v>0.355075999715241</v>
      </c>
      <c r="K483" s="18">
        <f t="shared" si="223"/>
        <v>0.00310059615521519</v>
      </c>
      <c r="L483" s="18">
        <f t="shared" si="224"/>
        <v>0.0082629823879824</v>
      </c>
      <c r="M483" s="18">
        <v>0.2711</v>
      </c>
      <c r="N483" s="18">
        <f t="shared" si="228"/>
        <v>0.2711</v>
      </c>
      <c r="O483" s="11">
        <v>0</v>
      </c>
      <c r="P483" s="11">
        <v>0</v>
      </c>
      <c r="Q483" s="11">
        <f t="shared" si="234"/>
        <v>1</v>
      </c>
      <c r="R483" s="11">
        <v>0</v>
      </c>
      <c r="S483" s="11">
        <f t="shared" si="225"/>
        <v>0</v>
      </c>
      <c r="T483" s="11">
        <v>0</v>
      </c>
      <c r="U483" s="11">
        <f t="shared" si="235"/>
        <v>1</v>
      </c>
      <c r="V483" s="11">
        <v>0</v>
      </c>
      <c r="W483" s="11">
        <f t="shared" si="236"/>
        <v>1</v>
      </c>
      <c r="X483" s="11">
        <f t="shared" si="226"/>
        <v>0</v>
      </c>
      <c r="Y483" s="19">
        <v>9.75</v>
      </c>
      <c r="Z483" s="11">
        <v>8</v>
      </c>
      <c r="AA483" s="11">
        <v>11</v>
      </c>
      <c r="AB483" s="11">
        <v>0</v>
      </c>
      <c r="AC483" s="11">
        <v>0</v>
      </c>
      <c r="AD483" s="11">
        <v>1</v>
      </c>
      <c r="AE483" s="11">
        <v>0</v>
      </c>
      <c r="AF483" s="11">
        <v>0</v>
      </c>
      <c r="AG483" s="11">
        <v>0</v>
      </c>
      <c r="AH483" s="11">
        <v>7</v>
      </c>
      <c r="AI483" s="45">
        <v>0</v>
      </c>
      <c r="AJ483" s="45">
        <v>0</v>
      </c>
      <c r="AK483" s="45">
        <f t="shared" si="237"/>
        <v>0.3611</v>
      </c>
      <c r="AL483" s="45">
        <f t="shared" si="238"/>
        <v>0.00348095238095238</v>
      </c>
      <c r="AM483" s="45">
        <f t="shared" si="239"/>
        <v>0.0012569719047619</v>
      </c>
      <c r="AN483" s="45">
        <f t="shared" si="240"/>
        <v>0.792187500000004</v>
      </c>
      <c r="AO483" s="45">
        <f t="shared" si="241"/>
        <v>0.792187500000004</v>
      </c>
      <c r="AP483" s="45">
        <f t="shared" si="242"/>
        <v>1.05625000000001</v>
      </c>
      <c r="AQ483" s="45">
        <f t="shared" si="243"/>
        <v>0</v>
      </c>
      <c r="AR483" s="45">
        <f t="shared" si="244"/>
        <v>0</v>
      </c>
      <c r="AS483" s="19">
        <f t="shared" si="245"/>
        <v>1.07916666666667</v>
      </c>
      <c r="AT483" s="19">
        <f t="shared" si="246"/>
        <v>1.03333333333334</v>
      </c>
      <c r="AU483" s="46">
        <v>0</v>
      </c>
      <c r="AV483" s="46">
        <v>0</v>
      </c>
      <c r="AW483" s="46">
        <v>0</v>
      </c>
      <c r="AX483" s="46">
        <v>1</v>
      </c>
      <c r="AY483" s="47">
        <v>0</v>
      </c>
      <c r="AZ483" s="47">
        <v>-1</v>
      </c>
    </row>
    <row r="484" hidden="1" customHeight="1" spans="1:52">
      <c r="A484" s="44">
        <v>45809</v>
      </c>
      <c r="B484" s="33">
        <f t="shared" si="229"/>
        <v>207</v>
      </c>
      <c r="C484" s="33">
        <f t="shared" si="230"/>
        <v>1219</v>
      </c>
      <c r="D484" s="11">
        <f t="shared" si="231"/>
        <v>1426</v>
      </c>
      <c r="E484" s="34">
        <f t="shared" si="227"/>
        <v>6.35623883036142e-6</v>
      </c>
      <c r="F484" s="35">
        <f t="shared" si="232"/>
        <v>0.000525473197478374</v>
      </c>
      <c r="G484" s="18">
        <f>(SUM($I$8:$I484)*(MAX(M$3-M$4,0))+(N484*MAX(M$4,0)))*(1-$AM$4)+(AM484*$AM$4)</f>
        <v>0.250650715197185</v>
      </c>
      <c r="H484" s="18">
        <f t="shared" si="221"/>
        <v>1.25</v>
      </c>
      <c r="I484" s="18">
        <f t="shared" si="233"/>
        <v>0.0147388953638954</v>
      </c>
      <c r="J484" s="18">
        <f t="shared" si="222"/>
        <v>0.359423667075208</v>
      </c>
      <c r="K484" s="18">
        <f t="shared" si="223"/>
        <v>0.00309457165664151</v>
      </c>
      <c r="L484" s="18">
        <f t="shared" si="224"/>
        <v>0.0117911162911163</v>
      </c>
      <c r="M484" s="18">
        <v>0.2732</v>
      </c>
      <c r="N484" s="18">
        <f t="shared" si="228"/>
        <v>0.2732</v>
      </c>
      <c r="O484" s="11">
        <v>0</v>
      </c>
      <c r="P484" s="11">
        <v>0</v>
      </c>
      <c r="Q484" s="11">
        <f t="shared" si="234"/>
        <v>1</v>
      </c>
      <c r="R484" s="11">
        <v>0</v>
      </c>
      <c r="S484" s="11">
        <f t="shared" si="225"/>
        <v>0</v>
      </c>
      <c r="T484" s="11">
        <v>0</v>
      </c>
      <c r="U484" s="11">
        <f t="shared" si="235"/>
        <v>1</v>
      </c>
      <c r="V484" s="11">
        <v>0</v>
      </c>
      <c r="W484" s="11">
        <f t="shared" si="236"/>
        <v>1</v>
      </c>
      <c r="X484" s="11">
        <f t="shared" si="226"/>
        <v>0</v>
      </c>
      <c r="Y484" s="19">
        <v>11.08</v>
      </c>
      <c r="Z484" s="11">
        <v>12</v>
      </c>
      <c r="AA484" s="11">
        <v>20.5</v>
      </c>
      <c r="AB484" s="11">
        <v>0</v>
      </c>
      <c r="AC484" s="11">
        <v>0</v>
      </c>
      <c r="AD484" s="11">
        <v>2</v>
      </c>
      <c r="AE484" s="11">
        <v>0</v>
      </c>
      <c r="AF484" s="11">
        <v>0</v>
      </c>
      <c r="AG484" s="11">
        <v>0</v>
      </c>
      <c r="AH484" s="11">
        <v>1</v>
      </c>
      <c r="AI484" s="45">
        <v>0</v>
      </c>
      <c r="AJ484" s="45">
        <v>0</v>
      </c>
      <c r="AK484" s="45">
        <f t="shared" si="237"/>
        <v>0.3611</v>
      </c>
      <c r="AL484" s="45">
        <f t="shared" si="238"/>
        <v>0.00348095238095238</v>
      </c>
      <c r="AM484" s="45">
        <f t="shared" si="239"/>
        <v>0.0012569719047619</v>
      </c>
      <c r="AN484" s="45">
        <f t="shared" si="240"/>
        <v>0.792187500000004</v>
      </c>
      <c r="AO484" s="45">
        <f t="shared" si="241"/>
        <v>0.792187500000004</v>
      </c>
      <c r="AP484" s="45">
        <f t="shared" si="242"/>
        <v>1.05625000000001</v>
      </c>
      <c r="AQ484" s="45">
        <f t="shared" si="243"/>
        <v>0</v>
      </c>
      <c r="AR484" s="45">
        <f t="shared" si="244"/>
        <v>0</v>
      </c>
      <c r="AS484" s="19">
        <f t="shared" si="245"/>
        <v>1.07916666666667</v>
      </c>
      <c r="AT484" s="19">
        <f t="shared" si="246"/>
        <v>1.03333333333334</v>
      </c>
      <c r="AU484" s="46">
        <v>0</v>
      </c>
      <c r="AV484" s="46">
        <v>0</v>
      </c>
      <c r="AW484" s="46">
        <v>0</v>
      </c>
      <c r="AX484" s="46">
        <v>1</v>
      </c>
      <c r="AY484" s="47">
        <v>0</v>
      </c>
      <c r="AZ484" s="47">
        <v>-1</v>
      </c>
    </row>
    <row r="485" hidden="1" customHeight="1" spans="1:52">
      <c r="A485" s="44">
        <v>45810</v>
      </c>
      <c r="B485" s="33">
        <f t="shared" si="229"/>
        <v>206</v>
      </c>
      <c r="C485" s="33">
        <f t="shared" si="230"/>
        <v>1216</v>
      </c>
      <c r="D485" s="11">
        <f t="shared" si="231"/>
        <v>1422</v>
      </c>
      <c r="E485" s="34">
        <f t="shared" si="227"/>
        <v>8.35565983044748e-7</v>
      </c>
      <c r="F485" s="35">
        <f t="shared" si="232"/>
        <v>0.000526308763461419</v>
      </c>
      <c r="G485" s="18">
        <f>(SUM($I$8:$I485)*(MAX(M$3-M$4,0))+(N485*MAX(M$4,0)))*(1-$AM$4)+(AM485*$AM$4)</f>
        <v>0.251575588934558</v>
      </c>
      <c r="H485" s="18">
        <f t="shared" si="221"/>
        <v>1.25</v>
      </c>
      <c r="I485" s="18">
        <f t="shared" si="233"/>
        <v>0.00493265993265994</v>
      </c>
      <c r="J485" s="18">
        <f t="shared" si="222"/>
        <v>0.359995194207611</v>
      </c>
      <c r="K485" s="18">
        <f t="shared" si="223"/>
        <v>0.00310681944559412</v>
      </c>
      <c r="L485" s="18">
        <f t="shared" si="224"/>
        <v>0.00394612794612796</v>
      </c>
      <c r="M485" s="18">
        <v>0</v>
      </c>
      <c r="N485" s="18">
        <f t="shared" si="228"/>
        <v>0.2732</v>
      </c>
      <c r="O485" s="11">
        <v>0</v>
      </c>
      <c r="P485" s="11">
        <v>0</v>
      </c>
      <c r="Q485" s="11">
        <f t="shared" si="234"/>
        <v>1</v>
      </c>
      <c r="R485" s="11">
        <v>0</v>
      </c>
      <c r="S485" s="11">
        <f t="shared" si="225"/>
        <v>0</v>
      </c>
      <c r="T485" s="11">
        <v>0</v>
      </c>
      <c r="U485" s="11">
        <f t="shared" si="235"/>
        <v>1</v>
      </c>
      <c r="V485" s="11">
        <v>0</v>
      </c>
      <c r="W485" s="11">
        <f t="shared" si="236"/>
        <v>1</v>
      </c>
      <c r="X485" s="11">
        <f t="shared" si="226"/>
        <v>0</v>
      </c>
      <c r="Y485" s="19">
        <v>7.12</v>
      </c>
      <c r="Z485" s="11">
        <v>1</v>
      </c>
      <c r="AA485" s="11">
        <v>4</v>
      </c>
      <c r="AB485" s="11">
        <v>0</v>
      </c>
      <c r="AC485" s="11">
        <v>0</v>
      </c>
      <c r="AD485" s="11">
        <v>2</v>
      </c>
      <c r="AE485" s="11">
        <v>0</v>
      </c>
      <c r="AF485" s="11">
        <v>0</v>
      </c>
      <c r="AG485" s="11">
        <v>0</v>
      </c>
      <c r="AH485" s="11">
        <v>0</v>
      </c>
      <c r="AI485" s="45">
        <v>0</v>
      </c>
      <c r="AJ485" s="45">
        <v>0</v>
      </c>
      <c r="AK485" s="45">
        <f t="shared" si="237"/>
        <v>0.3611</v>
      </c>
      <c r="AL485" s="45">
        <f t="shared" si="238"/>
        <v>0.00348095238095238</v>
      </c>
      <c r="AM485" s="45">
        <f t="shared" si="239"/>
        <v>0.0012569719047619</v>
      </c>
      <c r="AN485" s="45">
        <f t="shared" si="240"/>
        <v>0.792187500000004</v>
      </c>
      <c r="AO485" s="45">
        <f t="shared" si="241"/>
        <v>0.792187500000004</v>
      </c>
      <c r="AP485" s="45">
        <f t="shared" si="242"/>
        <v>1.05625000000001</v>
      </c>
      <c r="AQ485" s="45">
        <f t="shared" si="243"/>
        <v>0</v>
      </c>
      <c r="AR485" s="45">
        <f t="shared" si="244"/>
        <v>0</v>
      </c>
      <c r="AS485" s="19">
        <f t="shared" si="245"/>
        <v>1.07916666666667</v>
      </c>
      <c r="AT485" s="19">
        <f t="shared" si="246"/>
        <v>1.03333333333334</v>
      </c>
      <c r="AU485" s="46">
        <v>0</v>
      </c>
      <c r="AV485" s="46">
        <v>0</v>
      </c>
      <c r="AW485" s="46">
        <v>0</v>
      </c>
      <c r="AX485" s="46">
        <v>1</v>
      </c>
      <c r="AY485" s="47">
        <v>0</v>
      </c>
      <c r="AZ485" s="47">
        <v>-1</v>
      </c>
    </row>
    <row r="486" hidden="1" customHeight="1" spans="1:52">
      <c r="A486" s="44">
        <v>45811</v>
      </c>
      <c r="B486" s="33">
        <f t="shared" si="229"/>
        <v>205</v>
      </c>
      <c r="C486" s="33">
        <f t="shared" si="230"/>
        <v>1184</v>
      </c>
      <c r="D486" s="11">
        <f t="shared" si="231"/>
        <v>1389</v>
      </c>
      <c r="E486" s="34">
        <f t="shared" si="227"/>
        <v>9.04991415812226e-6</v>
      </c>
      <c r="F486" s="35">
        <f t="shared" si="232"/>
        <v>0.000535358677619541</v>
      </c>
      <c r="G486" s="18">
        <f>(SUM($I$8:$I486)*(MAX(M$3-M$4,0))+(N486*MAX(M$4,0)))*(1-$AM$4)+(AM486*$AM$4)</f>
        <v>0.25643680657976</v>
      </c>
      <c r="H486" s="18">
        <f t="shared" si="221"/>
        <v>1.25</v>
      </c>
      <c r="I486" s="18">
        <f t="shared" si="233"/>
        <v>0.0133264941077441</v>
      </c>
      <c r="J486" s="18">
        <f t="shared" si="222"/>
        <v>0.366185335491766</v>
      </c>
      <c r="K486" s="18">
        <f t="shared" si="223"/>
        <v>0.00309177885125968</v>
      </c>
      <c r="L486" s="18">
        <f t="shared" si="224"/>
        <v>0.0106611952861953</v>
      </c>
      <c r="M486" s="18">
        <v>0.2795</v>
      </c>
      <c r="N486" s="18">
        <f t="shared" si="228"/>
        <v>0.2795</v>
      </c>
      <c r="O486" s="11">
        <v>0</v>
      </c>
      <c r="P486" s="11">
        <v>0</v>
      </c>
      <c r="Q486" s="11">
        <f t="shared" si="234"/>
        <v>1</v>
      </c>
      <c r="R486" s="11">
        <v>0</v>
      </c>
      <c r="S486" s="11">
        <f t="shared" si="225"/>
        <v>0</v>
      </c>
      <c r="T486" s="11">
        <v>0</v>
      </c>
      <c r="U486" s="11">
        <f t="shared" si="235"/>
        <v>1</v>
      </c>
      <c r="V486" s="11">
        <v>0</v>
      </c>
      <c r="W486" s="11">
        <f t="shared" si="236"/>
        <v>1</v>
      </c>
      <c r="X486" s="11">
        <f t="shared" si="226"/>
        <v>0</v>
      </c>
      <c r="Y486" s="19">
        <v>8.75</v>
      </c>
      <c r="Z486" s="11">
        <v>17</v>
      </c>
      <c r="AA486" s="11">
        <v>10</v>
      </c>
      <c r="AB486" s="11">
        <v>4</v>
      </c>
      <c r="AC486" s="11">
        <v>0</v>
      </c>
      <c r="AD486" s="11">
        <v>1</v>
      </c>
      <c r="AE486" s="11">
        <v>0</v>
      </c>
      <c r="AF486" s="11">
        <v>0</v>
      </c>
      <c r="AG486" s="11">
        <v>0</v>
      </c>
      <c r="AH486" s="11">
        <v>0</v>
      </c>
      <c r="AI486" s="45">
        <v>0</v>
      </c>
      <c r="AJ486" s="45">
        <v>0</v>
      </c>
      <c r="AK486" s="45">
        <f t="shared" si="237"/>
        <v>0.3611</v>
      </c>
      <c r="AL486" s="45">
        <f t="shared" si="238"/>
        <v>0.00348095238095238</v>
      </c>
      <c r="AM486" s="45">
        <f t="shared" si="239"/>
        <v>0.0012569719047619</v>
      </c>
      <c r="AN486" s="45">
        <f t="shared" si="240"/>
        <v>0.792187500000004</v>
      </c>
      <c r="AO486" s="45">
        <f t="shared" si="241"/>
        <v>0.792187500000004</v>
      </c>
      <c r="AP486" s="45">
        <f t="shared" si="242"/>
        <v>1.05625000000001</v>
      </c>
      <c r="AQ486" s="45">
        <f t="shared" si="243"/>
        <v>0</v>
      </c>
      <c r="AR486" s="45">
        <f t="shared" si="244"/>
        <v>0</v>
      </c>
      <c r="AS486" s="19">
        <f t="shared" si="245"/>
        <v>1.07916666666667</v>
      </c>
      <c r="AT486" s="19">
        <f t="shared" si="246"/>
        <v>1.03333333333334</v>
      </c>
      <c r="AU486" s="46">
        <v>0</v>
      </c>
      <c r="AV486" s="46">
        <v>0</v>
      </c>
      <c r="AW486" s="46">
        <v>0</v>
      </c>
      <c r="AX486" s="46">
        <v>1</v>
      </c>
      <c r="AY486" s="47">
        <v>0</v>
      </c>
      <c r="AZ486" s="47">
        <v>-1</v>
      </c>
    </row>
    <row r="487" hidden="1" customHeight="1" spans="1:52">
      <c r="A487" s="44">
        <v>45812</v>
      </c>
      <c r="B487" s="33">
        <f t="shared" si="229"/>
        <v>204</v>
      </c>
      <c r="C487" s="33">
        <f t="shared" si="230"/>
        <v>1179</v>
      </c>
      <c r="D487" s="11">
        <f t="shared" si="231"/>
        <v>1383</v>
      </c>
      <c r="E487" s="34">
        <f t="shared" si="227"/>
        <v>1.26997264921435e-6</v>
      </c>
      <c r="F487" s="35">
        <f t="shared" si="232"/>
        <v>0.000536628650268756</v>
      </c>
      <c r="G487" s="18">
        <f>(SUM($I$8:$I487)*(MAX(M$3-M$4,0))+(N487*MAX(M$4,0)))*(1-$AM$4)+(AM487*$AM$4)</f>
        <v>0.257581752129003</v>
      </c>
      <c r="H487" s="18">
        <f t="shared" si="221"/>
        <v>1.25</v>
      </c>
      <c r="I487" s="18">
        <f t="shared" si="233"/>
        <v>0.00610637626262627</v>
      </c>
      <c r="J487" s="18">
        <f t="shared" si="222"/>
        <v>0.367053996783829</v>
      </c>
      <c r="K487" s="18">
        <f t="shared" si="223"/>
        <v>0.00310267648635378</v>
      </c>
      <c r="L487" s="18">
        <f t="shared" si="224"/>
        <v>0.00488510101010101</v>
      </c>
      <c r="M487" s="18">
        <v>0</v>
      </c>
      <c r="N487" s="18">
        <f t="shared" si="228"/>
        <v>0.2795</v>
      </c>
      <c r="O487" s="11">
        <v>0</v>
      </c>
      <c r="P487" s="11">
        <v>0</v>
      </c>
      <c r="Q487" s="11">
        <f t="shared" si="234"/>
        <v>1</v>
      </c>
      <c r="R487" s="11">
        <v>0</v>
      </c>
      <c r="S487" s="11">
        <f t="shared" si="225"/>
        <v>0</v>
      </c>
      <c r="T487" s="11">
        <v>0</v>
      </c>
      <c r="U487" s="11">
        <f t="shared" si="235"/>
        <v>1</v>
      </c>
      <c r="V487" s="11">
        <v>0</v>
      </c>
      <c r="W487" s="11">
        <f t="shared" si="236"/>
        <v>1</v>
      </c>
      <c r="X487" s="11">
        <f t="shared" si="226"/>
        <v>0</v>
      </c>
      <c r="Y487" s="19">
        <v>1.83</v>
      </c>
      <c r="Z487" s="11">
        <v>5</v>
      </c>
      <c r="AA487" s="11">
        <v>14</v>
      </c>
      <c r="AB487" s="11">
        <v>0</v>
      </c>
      <c r="AC487" s="11">
        <v>0</v>
      </c>
      <c r="AD487" s="11">
        <v>0</v>
      </c>
      <c r="AE487" s="11">
        <v>0</v>
      </c>
      <c r="AF487" s="11">
        <v>0</v>
      </c>
      <c r="AG487" s="11">
        <v>0</v>
      </c>
      <c r="AH487" s="11">
        <v>0</v>
      </c>
      <c r="AI487" s="45">
        <v>0</v>
      </c>
      <c r="AJ487" s="45">
        <v>0</v>
      </c>
      <c r="AK487" s="45">
        <f t="shared" si="237"/>
        <v>0.3611</v>
      </c>
      <c r="AL487" s="45">
        <f t="shared" si="238"/>
        <v>0.00348095238095238</v>
      </c>
      <c r="AM487" s="45">
        <f t="shared" si="239"/>
        <v>0.0012569719047619</v>
      </c>
      <c r="AN487" s="45">
        <f t="shared" si="240"/>
        <v>0.792187500000004</v>
      </c>
      <c r="AO487" s="45">
        <f t="shared" si="241"/>
        <v>0.792187500000004</v>
      </c>
      <c r="AP487" s="45">
        <f t="shared" si="242"/>
        <v>1.05625000000001</v>
      </c>
      <c r="AQ487" s="45">
        <f t="shared" si="243"/>
        <v>0</v>
      </c>
      <c r="AR487" s="45">
        <f t="shared" si="244"/>
        <v>0</v>
      </c>
      <c r="AS487" s="19">
        <f t="shared" si="245"/>
        <v>1.07916666666667</v>
      </c>
      <c r="AT487" s="19">
        <f t="shared" si="246"/>
        <v>1.03333333333334</v>
      </c>
      <c r="AU487" s="46">
        <v>0</v>
      </c>
      <c r="AV487" s="46">
        <v>0</v>
      </c>
      <c r="AW487" s="46">
        <v>0</v>
      </c>
      <c r="AX487" s="46">
        <v>1</v>
      </c>
      <c r="AY487" s="47">
        <v>0</v>
      </c>
      <c r="AZ487" s="47">
        <v>-1</v>
      </c>
    </row>
    <row r="488" hidden="1" customHeight="1" spans="1:52">
      <c r="A488" s="44">
        <v>45813</v>
      </c>
      <c r="B488" s="33">
        <f t="shared" si="229"/>
        <v>203</v>
      </c>
      <c r="C488" s="33">
        <f t="shared" si="230"/>
        <v>1179</v>
      </c>
      <c r="D488" s="11">
        <f t="shared" si="231"/>
        <v>1382</v>
      </c>
      <c r="E488" s="34">
        <f t="shared" si="227"/>
        <v>2.52015303731546e-7</v>
      </c>
      <c r="F488" s="35">
        <f t="shared" si="232"/>
        <v>0.000536880665572487</v>
      </c>
      <c r="G488" s="18">
        <f>(SUM($I$8:$I488)*(MAX(M$3-M$4,0))+(N488*MAX(M$4,0)))*(1-$AM$4)+(AM488*$AM$4)</f>
        <v>0.258239600140366</v>
      </c>
      <c r="H488" s="18">
        <f t="shared" si="221"/>
        <v>1.25</v>
      </c>
      <c r="I488" s="18">
        <f t="shared" si="233"/>
        <v>0.00350852272727274</v>
      </c>
      <c r="J488" s="18">
        <f t="shared" si="222"/>
        <v>0.367226375251581</v>
      </c>
      <c r="K488" s="18">
        <f t="shared" si="223"/>
        <v>0.00311711145196265</v>
      </c>
      <c r="L488" s="18">
        <f t="shared" si="224"/>
        <v>0.00280681818181819</v>
      </c>
      <c r="M488" s="18">
        <v>0</v>
      </c>
      <c r="N488" s="18">
        <f t="shared" si="228"/>
        <v>0.2795</v>
      </c>
      <c r="O488" s="11">
        <v>0</v>
      </c>
      <c r="P488" s="11">
        <v>0</v>
      </c>
      <c r="Q488" s="11">
        <f t="shared" si="234"/>
        <v>1</v>
      </c>
      <c r="R488" s="11">
        <v>0</v>
      </c>
      <c r="S488" s="11">
        <f t="shared" si="225"/>
        <v>0</v>
      </c>
      <c r="T488" s="11">
        <v>0</v>
      </c>
      <c r="U488" s="11">
        <f t="shared" si="235"/>
        <v>1</v>
      </c>
      <c r="V488" s="11">
        <v>0</v>
      </c>
      <c r="W488" s="11">
        <f t="shared" si="236"/>
        <v>1</v>
      </c>
      <c r="X488" s="11">
        <f t="shared" si="226"/>
        <v>0</v>
      </c>
      <c r="Y488" s="19">
        <v>5.25</v>
      </c>
      <c r="Z488" s="11">
        <v>3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1">
        <v>0</v>
      </c>
      <c r="AG488" s="11">
        <v>0</v>
      </c>
      <c r="AH488" s="11">
        <v>0</v>
      </c>
      <c r="AI488" s="45">
        <v>0</v>
      </c>
      <c r="AJ488" s="45">
        <v>0</v>
      </c>
      <c r="AK488" s="45">
        <f t="shared" si="237"/>
        <v>0.3611</v>
      </c>
      <c r="AL488" s="45">
        <f t="shared" si="238"/>
        <v>0.00348095238095238</v>
      </c>
      <c r="AM488" s="45">
        <f t="shared" si="239"/>
        <v>0.0012569719047619</v>
      </c>
      <c r="AN488" s="45">
        <f t="shared" si="240"/>
        <v>0.792187500000004</v>
      </c>
      <c r="AO488" s="45">
        <f t="shared" si="241"/>
        <v>0.792187500000004</v>
      </c>
      <c r="AP488" s="45">
        <f t="shared" si="242"/>
        <v>1.05625000000001</v>
      </c>
      <c r="AQ488" s="45">
        <f t="shared" si="243"/>
        <v>0</v>
      </c>
      <c r="AR488" s="45">
        <f t="shared" si="244"/>
        <v>0</v>
      </c>
      <c r="AS488" s="19">
        <f t="shared" si="245"/>
        <v>1.07916666666667</v>
      </c>
      <c r="AT488" s="19">
        <f t="shared" si="246"/>
        <v>1.03333333333334</v>
      </c>
      <c r="AU488" s="46">
        <v>0</v>
      </c>
      <c r="AV488" s="46">
        <v>0</v>
      </c>
      <c r="AW488" s="46">
        <v>0</v>
      </c>
      <c r="AX488" s="46">
        <v>1</v>
      </c>
      <c r="AY488" s="47">
        <v>0</v>
      </c>
      <c r="AZ488" s="47">
        <v>-1</v>
      </c>
    </row>
    <row r="489" hidden="1" customHeight="1" spans="1:52">
      <c r="A489" s="44">
        <v>45814</v>
      </c>
      <c r="B489" s="33">
        <f t="shared" si="229"/>
        <v>202</v>
      </c>
      <c r="C489" s="33">
        <f t="shared" si="230"/>
        <v>1182</v>
      </c>
      <c r="D489" s="11">
        <f t="shared" si="231"/>
        <v>1384</v>
      </c>
      <c r="E489" s="34">
        <f t="shared" si="227"/>
        <v>-1.11386030201763e-6</v>
      </c>
      <c r="F489" s="35">
        <f t="shared" si="232"/>
        <v>0.00053576680527047</v>
      </c>
      <c r="G489" s="18">
        <f>(SUM($I$8:$I489)*(MAX(M$3-M$4,0))+(N489*MAX(M$4,0)))*(1-$AM$4)+(AM489*$AM$4)</f>
        <v>0.258239600140366</v>
      </c>
      <c r="H489" s="18">
        <f t="shared" si="221"/>
        <v>1.25</v>
      </c>
      <c r="I489" s="18">
        <f t="shared" si="233"/>
        <v>0</v>
      </c>
      <c r="J489" s="18">
        <f t="shared" si="222"/>
        <v>0.366464494805001</v>
      </c>
      <c r="K489" s="18">
        <f t="shared" si="223"/>
        <v>0.00313631438215346</v>
      </c>
      <c r="L489" s="18">
        <f t="shared" si="224"/>
        <v>0</v>
      </c>
      <c r="M489" s="18">
        <v>0</v>
      </c>
      <c r="N489" s="18">
        <f t="shared" si="228"/>
        <v>0.2795</v>
      </c>
      <c r="O489" s="11">
        <v>0</v>
      </c>
      <c r="P489" s="11">
        <v>0</v>
      </c>
      <c r="Q489" s="11">
        <f t="shared" si="234"/>
        <v>1</v>
      </c>
      <c r="R489" s="11">
        <v>0</v>
      </c>
      <c r="S489" s="11">
        <f t="shared" si="225"/>
        <v>0</v>
      </c>
      <c r="T489" s="11">
        <v>0</v>
      </c>
      <c r="U489" s="11">
        <f t="shared" si="235"/>
        <v>1</v>
      </c>
      <c r="V489" s="11">
        <v>0</v>
      </c>
      <c r="W489" s="11">
        <f t="shared" si="236"/>
        <v>1</v>
      </c>
      <c r="X489" s="11">
        <f t="shared" si="226"/>
        <v>0</v>
      </c>
      <c r="Y489" s="19">
        <v>0</v>
      </c>
      <c r="Z489" s="11">
        <v>0</v>
      </c>
      <c r="AA489" s="11">
        <v>0</v>
      </c>
      <c r="AB489" s="11">
        <v>0</v>
      </c>
      <c r="AC489" s="11">
        <v>0</v>
      </c>
      <c r="AD489" s="11">
        <v>0</v>
      </c>
      <c r="AE489" s="11">
        <v>0</v>
      </c>
      <c r="AF489" s="11">
        <v>0</v>
      </c>
      <c r="AG489" s="11">
        <v>0</v>
      </c>
      <c r="AH489" s="11">
        <v>0</v>
      </c>
      <c r="AI489" s="45">
        <v>0</v>
      </c>
      <c r="AJ489" s="45">
        <v>0</v>
      </c>
      <c r="AK489" s="45">
        <f t="shared" si="237"/>
        <v>0.3611</v>
      </c>
      <c r="AL489" s="45">
        <f t="shared" si="238"/>
        <v>0.00348095238095238</v>
      </c>
      <c r="AM489" s="45">
        <f t="shared" si="239"/>
        <v>0.0012569719047619</v>
      </c>
      <c r="AN489" s="45">
        <f t="shared" si="240"/>
        <v>0.792187500000004</v>
      </c>
      <c r="AO489" s="45">
        <f t="shared" si="241"/>
        <v>0.792187500000004</v>
      </c>
      <c r="AP489" s="45">
        <f t="shared" si="242"/>
        <v>1.05625000000001</v>
      </c>
      <c r="AQ489" s="45">
        <f t="shared" si="243"/>
        <v>0</v>
      </c>
      <c r="AR489" s="45">
        <f t="shared" si="244"/>
        <v>0</v>
      </c>
      <c r="AS489" s="19">
        <f t="shared" si="245"/>
        <v>1.07916666666667</v>
      </c>
      <c r="AT489" s="19">
        <f t="shared" si="246"/>
        <v>1.03333333333334</v>
      </c>
      <c r="AU489" s="46">
        <v>0</v>
      </c>
      <c r="AV489" s="46">
        <v>0</v>
      </c>
      <c r="AW489" s="46">
        <v>0</v>
      </c>
      <c r="AX489" s="46">
        <v>1</v>
      </c>
      <c r="AY489" s="47">
        <v>0</v>
      </c>
      <c r="AZ489" s="47">
        <v>-1</v>
      </c>
    </row>
    <row r="490" hidden="1" customHeight="1" spans="1:52">
      <c r="A490" s="44">
        <v>45815</v>
      </c>
      <c r="B490" s="33">
        <f t="shared" si="229"/>
        <v>201</v>
      </c>
      <c r="C490" s="33">
        <f t="shared" si="230"/>
        <v>1182</v>
      </c>
      <c r="D490" s="11">
        <f t="shared" si="231"/>
        <v>1383</v>
      </c>
      <c r="E490" s="34">
        <f t="shared" si="227"/>
        <v>2.36213559575544e-7</v>
      </c>
      <c r="F490" s="35">
        <f t="shared" si="232"/>
        <v>0.000536003018830045</v>
      </c>
      <c r="G490" s="18">
        <f>(SUM($I$8:$I490)*(MAX(M$3-M$4,0))+(N490*MAX(M$4,0)))*(1-$AM$4)+(AM490*$AM$4)</f>
        <v>0.258889458094912</v>
      </c>
      <c r="H490" s="18">
        <f t="shared" si="221"/>
        <v>1.25</v>
      </c>
      <c r="I490" s="18">
        <f t="shared" si="233"/>
        <v>0.0034659090909091</v>
      </c>
      <c r="J490" s="18">
        <f t="shared" si="222"/>
        <v>0.366626064879751</v>
      </c>
      <c r="K490" s="18">
        <f t="shared" si="223"/>
        <v>0.00315111410507587</v>
      </c>
      <c r="L490" s="18">
        <f t="shared" si="224"/>
        <v>0.00277272727272728</v>
      </c>
      <c r="M490" s="18">
        <v>0</v>
      </c>
      <c r="N490" s="18">
        <f t="shared" si="228"/>
        <v>0.2795</v>
      </c>
      <c r="O490" s="11">
        <v>0</v>
      </c>
      <c r="P490" s="11">
        <v>0</v>
      </c>
      <c r="Q490" s="11">
        <f t="shared" si="234"/>
        <v>1</v>
      </c>
      <c r="R490" s="11">
        <v>0</v>
      </c>
      <c r="S490" s="11">
        <f t="shared" si="225"/>
        <v>0</v>
      </c>
      <c r="T490" s="11">
        <v>0</v>
      </c>
      <c r="U490" s="11">
        <f t="shared" si="235"/>
        <v>1</v>
      </c>
      <c r="V490" s="11">
        <v>0</v>
      </c>
      <c r="W490" s="11">
        <f t="shared" si="236"/>
        <v>1</v>
      </c>
      <c r="X490" s="11">
        <f t="shared" si="226"/>
        <v>0</v>
      </c>
      <c r="Y490" s="19">
        <v>4.92</v>
      </c>
      <c r="Z490" s="11">
        <v>0</v>
      </c>
      <c r="AA490" s="11">
        <v>0</v>
      </c>
      <c r="AB490" s="11">
        <v>6</v>
      </c>
      <c r="AC490" s="11">
        <v>0</v>
      </c>
      <c r="AD490" s="11">
        <v>0</v>
      </c>
      <c r="AE490" s="11">
        <v>0</v>
      </c>
      <c r="AF490" s="11">
        <v>0</v>
      </c>
      <c r="AG490" s="11">
        <v>0</v>
      </c>
      <c r="AH490" s="11">
        <v>0</v>
      </c>
      <c r="AI490" s="45">
        <v>0</v>
      </c>
      <c r="AJ490" s="45">
        <v>0</v>
      </c>
      <c r="AK490" s="45">
        <f t="shared" si="237"/>
        <v>0.3611</v>
      </c>
      <c r="AL490" s="45">
        <f t="shared" si="238"/>
        <v>0.00348095238095238</v>
      </c>
      <c r="AM490" s="45">
        <f t="shared" si="239"/>
        <v>0.0012569719047619</v>
      </c>
      <c r="AN490" s="45">
        <f t="shared" si="240"/>
        <v>0.792187500000004</v>
      </c>
      <c r="AO490" s="45">
        <f t="shared" si="241"/>
        <v>0.792187500000004</v>
      </c>
      <c r="AP490" s="45">
        <f t="shared" si="242"/>
        <v>1.05625000000001</v>
      </c>
      <c r="AQ490" s="45">
        <f t="shared" si="243"/>
        <v>0</v>
      </c>
      <c r="AR490" s="45">
        <f t="shared" si="244"/>
        <v>0</v>
      </c>
      <c r="AS490" s="19">
        <f t="shared" si="245"/>
        <v>1.07916666666667</v>
      </c>
      <c r="AT490" s="19">
        <f t="shared" si="246"/>
        <v>1.03333333333334</v>
      </c>
      <c r="AU490" s="46">
        <v>0</v>
      </c>
      <c r="AV490" s="46">
        <v>0</v>
      </c>
      <c r="AW490" s="46">
        <v>0</v>
      </c>
      <c r="AX490" s="46">
        <v>1</v>
      </c>
      <c r="AY490" s="47">
        <v>0</v>
      </c>
      <c r="AZ490" s="47">
        <v>-1</v>
      </c>
    </row>
    <row r="491" hidden="1" customHeight="1" spans="1:52">
      <c r="A491" s="44">
        <v>45816</v>
      </c>
      <c r="B491" s="33">
        <f t="shared" si="229"/>
        <v>200</v>
      </c>
      <c r="C491" s="33">
        <f t="shared" si="230"/>
        <v>1154</v>
      </c>
      <c r="D491" s="11">
        <f t="shared" si="231"/>
        <v>1354</v>
      </c>
      <c r="E491" s="34">
        <f t="shared" si="227"/>
        <v>8.129814699387e-6</v>
      </c>
      <c r="F491" s="35">
        <f t="shared" si="232"/>
        <v>0.000544132833529432</v>
      </c>
      <c r="G491" s="18">
        <f>(SUM($I$8:$I491)*(MAX(M$3-M$4,0))+(N491*MAX(M$4,0)))*(1-$AM$4)+(AM491*$AM$4)</f>
        <v>0.263360291428245</v>
      </c>
      <c r="H491" s="18">
        <f t="shared" si="221"/>
        <v>1.25</v>
      </c>
      <c r="I491" s="18">
        <f t="shared" si="233"/>
        <v>0.0194444444444445</v>
      </c>
      <c r="J491" s="18">
        <f t="shared" si="222"/>
        <v>0.372186858134132</v>
      </c>
      <c r="K491" s="18">
        <f t="shared" si="223"/>
        <v>0.00313906570932934</v>
      </c>
      <c r="L491" s="18">
        <f t="shared" si="224"/>
        <v>0.0155555555555556</v>
      </c>
      <c r="M491" s="18">
        <v>0.2817</v>
      </c>
      <c r="N491" s="18">
        <f t="shared" si="228"/>
        <v>0.2817</v>
      </c>
      <c r="O491" s="11">
        <v>0</v>
      </c>
      <c r="P491" s="11">
        <v>0</v>
      </c>
      <c r="Q491" s="11">
        <f t="shared" si="234"/>
        <v>1</v>
      </c>
      <c r="R491" s="11">
        <v>0</v>
      </c>
      <c r="S491" s="11">
        <f t="shared" si="225"/>
        <v>0</v>
      </c>
      <c r="T491" s="11">
        <v>0</v>
      </c>
      <c r="U491" s="11">
        <f t="shared" si="235"/>
        <v>1</v>
      </c>
      <c r="V491" s="11">
        <v>0</v>
      </c>
      <c r="W491" s="11">
        <f t="shared" si="236"/>
        <v>1</v>
      </c>
      <c r="X491" s="11">
        <f t="shared" si="226"/>
        <v>0</v>
      </c>
      <c r="Y491" s="19">
        <v>12.08</v>
      </c>
      <c r="Z491" s="11">
        <v>11</v>
      </c>
      <c r="AA491" s="11">
        <v>32</v>
      </c>
      <c r="AB491" s="11">
        <v>10</v>
      </c>
      <c r="AC491" s="11">
        <v>0</v>
      </c>
      <c r="AD491" s="11">
        <v>0</v>
      </c>
      <c r="AE491" s="11">
        <v>0</v>
      </c>
      <c r="AF491" s="11">
        <v>0</v>
      </c>
      <c r="AG491" s="11">
        <v>0</v>
      </c>
      <c r="AH491" s="11">
        <v>0</v>
      </c>
      <c r="AI491" s="45">
        <v>0</v>
      </c>
      <c r="AJ491" s="45">
        <v>0</v>
      </c>
      <c r="AK491" s="45">
        <f t="shared" si="237"/>
        <v>0.3611</v>
      </c>
      <c r="AL491" s="45">
        <f t="shared" si="238"/>
        <v>0.00348095238095238</v>
      </c>
      <c r="AM491" s="45">
        <f t="shared" si="239"/>
        <v>0.0012569719047619</v>
      </c>
      <c r="AN491" s="45">
        <f t="shared" si="240"/>
        <v>0.792187500000004</v>
      </c>
      <c r="AO491" s="45">
        <f t="shared" si="241"/>
        <v>0.792187500000004</v>
      </c>
      <c r="AP491" s="45">
        <f t="shared" si="242"/>
        <v>1.05625000000001</v>
      </c>
      <c r="AQ491" s="45">
        <f t="shared" si="243"/>
        <v>0</v>
      </c>
      <c r="AR491" s="45">
        <f t="shared" si="244"/>
        <v>0</v>
      </c>
      <c r="AS491" s="19">
        <f t="shared" si="245"/>
        <v>1.07916666666667</v>
      </c>
      <c r="AT491" s="19">
        <f t="shared" si="246"/>
        <v>1.03333333333334</v>
      </c>
      <c r="AU491" s="46">
        <v>0</v>
      </c>
      <c r="AV491" s="46">
        <v>0</v>
      </c>
      <c r="AW491" s="46">
        <v>0</v>
      </c>
      <c r="AX491" s="46">
        <v>1</v>
      </c>
      <c r="AY491" s="47">
        <v>0</v>
      </c>
      <c r="AZ491" s="47">
        <v>-1</v>
      </c>
    </row>
    <row r="492" hidden="1" customHeight="1" spans="1:52">
      <c r="A492" s="44">
        <v>45817</v>
      </c>
      <c r="B492" s="33">
        <f t="shared" si="229"/>
        <v>199</v>
      </c>
      <c r="C492" s="33">
        <f t="shared" si="230"/>
        <v>1103</v>
      </c>
      <c r="D492" s="11">
        <f t="shared" si="231"/>
        <v>1302</v>
      </c>
      <c r="E492" s="34">
        <f t="shared" si="227"/>
        <v>1.54700596059688e-5</v>
      </c>
      <c r="F492" s="35">
        <f t="shared" si="232"/>
        <v>0.000559602893135401</v>
      </c>
      <c r="G492" s="18">
        <f>(SUM($I$8:$I492)*(MAX(M$3-M$4,0))+(N492*MAX(M$4,0)))*(1-$AM$4)+(AM492*$AM$4)</f>
        <v>0.271407403170669</v>
      </c>
      <c r="H492" s="18">
        <f t="shared" si="221"/>
        <v>1.25</v>
      </c>
      <c r="I492" s="18">
        <f t="shared" si="233"/>
        <v>0.0199179292929293</v>
      </c>
      <c r="J492" s="18">
        <f t="shared" si="222"/>
        <v>0.382768378904614</v>
      </c>
      <c r="K492" s="18">
        <f t="shared" si="223"/>
        <v>0.00310166643766526</v>
      </c>
      <c r="L492" s="18">
        <f t="shared" si="224"/>
        <v>0.0159343434343435</v>
      </c>
      <c r="M492" s="18">
        <v>0.2932</v>
      </c>
      <c r="N492" s="18">
        <f t="shared" si="228"/>
        <v>0.2932</v>
      </c>
      <c r="O492" s="11">
        <v>0</v>
      </c>
      <c r="P492" s="11">
        <v>0</v>
      </c>
      <c r="Q492" s="11">
        <f t="shared" si="234"/>
        <v>1</v>
      </c>
      <c r="R492" s="11">
        <v>0</v>
      </c>
      <c r="S492" s="11">
        <f t="shared" si="225"/>
        <v>0</v>
      </c>
      <c r="T492" s="11">
        <v>0</v>
      </c>
      <c r="U492" s="11">
        <f t="shared" si="235"/>
        <v>1</v>
      </c>
      <c r="V492" s="11">
        <v>0</v>
      </c>
      <c r="W492" s="11">
        <f t="shared" si="236"/>
        <v>1</v>
      </c>
      <c r="X492" s="11">
        <f t="shared" si="226"/>
        <v>0</v>
      </c>
      <c r="Y492" s="19">
        <v>19.08</v>
      </c>
      <c r="Z492" s="11">
        <v>21</v>
      </c>
      <c r="AA492" s="11">
        <v>11</v>
      </c>
      <c r="AB492" s="11">
        <v>5</v>
      </c>
      <c r="AC492" s="11">
        <v>0</v>
      </c>
      <c r="AD492" s="11">
        <v>0</v>
      </c>
      <c r="AE492" s="11">
        <v>0</v>
      </c>
      <c r="AF492" s="11">
        <v>0</v>
      </c>
      <c r="AG492" s="11">
        <v>0</v>
      </c>
      <c r="AH492" s="11">
        <v>0</v>
      </c>
      <c r="AI492" s="45">
        <v>0</v>
      </c>
      <c r="AJ492" s="45">
        <v>0</v>
      </c>
      <c r="AK492" s="45">
        <f t="shared" si="237"/>
        <v>0.3611</v>
      </c>
      <c r="AL492" s="45">
        <f t="shared" si="238"/>
        <v>0.00348095238095238</v>
      </c>
      <c r="AM492" s="45">
        <f t="shared" si="239"/>
        <v>0.0012569719047619</v>
      </c>
      <c r="AN492" s="45">
        <f t="shared" si="240"/>
        <v>0.792187500000004</v>
      </c>
      <c r="AO492" s="45">
        <f t="shared" si="241"/>
        <v>0.792187500000004</v>
      </c>
      <c r="AP492" s="45">
        <f t="shared" si="242"/>
        <v>1.05625000000001</v>
      </c>
      <c r="AQ492" s="45">
        <f t="shared" si="243"/>
        <v>0</v>
      </c>
      <c r="AR492" s="45">
        <f t="shared" si="244"/>
        <v>0</v>
      </c>
      <c r="AS492" s="19">
        <f t="shared" si="245"/>
        <v>1.07916666666667</v>
      </c>
      <c r="AT492" s="19">
        <f t="shared" si="246"/>
        <v>1.03333333333334</v>
      </c>
      <c r="AU492" s="46">
        <v>0</v>
      </c>
      <c r="AV492" s="46">
        <v>0</v>
      </c>
      <c r="AW492" s="46">
        <v>0</v>
      </c>
      <c r="AX492" s="46">
        <v>1</v>
      </c>
      <c r="AY492" s="47">
        <v>0</v>
      </c>
      <c r="AZ492" s="47">
        <v>-1</v>
      </c>
    </row>
    <row r="493" hidden="1" customHeight="1" spans="1:52">
      <c r="A493" s="44">
        <v>45818</v>
      </c>
      <c r="B493" s="33">
        <f t="shared" si="229"/>
        <v>198</v>
      </c>
      <c r="C493" s="33">
        <f t="shared" si="230"/>
        <v>1065</v>
      </c>
      <c r="D493" s="11">
        <f t="shared" si="231"/>
        <v>1263</v>
      </c>
      <c r="E493" s="34">
        <f t="shared" si="227"/>
        <v>1.22186551955686e-5</v>
      </c>
      <c r="F493" s="35">
        <f t="shared" si="232"/>
        <v>0.00057182154833097</v>
      </c>
      <c r="G493" s="18">
        <f>(SUM($I$8:$I493)*(MAX(M$3-M$4,0))+(N493*MAX(M$4,0)))*(1-$AM$4)+(AM493*$AM$4)</f>
        <v>0.277905272488851</v>
      </c>
      <c r="H493" s="18">
        <f t="shared" si="221"/>
        <v>1.25</v>
      </c>
      <c r="I493" s="18">
        <f t="shared" si="233"/>
        <v>0.0186553030303031</v>
      </c>
      <c r="J493" s="18">
        <f t="shared" si="222"/>
        <v>0.391125939058383</v>
      </c>
      <c r="K493" s="18">
        <f t="shared" si="223"/>
        <v>0.00307512151990716</v>
      </c>
      <c r="L493" s="18">
        <f t="shared" si="224"/>
        <v>0.0149242424242424</v>
      </c>
      <c r="M493" s="18">
        <v>0.3012</v>
      </c>
      <c r="N493" s="18">
        <f t="shared" si="228"/>
        <v>0.3012</v>
      </c>
      <c r="O493" s="11">
        <v>0</v>
      </c>
      <c r="P493" s="11">
        <v>0</v>
      </c>
      <c r="Q493" s="11">
        <f t="shared" si="234"/>
        <v>1</v>
      </c>
      <c r="R493" s="11">
        <v>0</v>
      </c>
      <c r="S493" s="11">
        <f t="shared" si="225"/>
        <v>0</v>
      </c>
      <c r="T493" s="11">
        <v>0</v>
      </c>
      <c r="U493" s="11">
        <f t="shared" si="235"/>
        <v>1</v>
      </c>
      <c r="V493" s="11">
        <v>0</v>
      </c>
      <c r="W493" s="11">
        <f t="shared" si="236"/>
        <v>1</v>
      </c>
      <c r="X493" s="11">
        <f t="shared" si="226"/>
        <v>0</v>
      </c>
      <c r="Y493" s="19">
        <v>7.08</v>
      </c>
      <c r="Z493" s="11">
        <v>31</v>
      </c>
      <c r="AA493" s="11">
        <v>15</v>
      </c>
      <c r="AB493" s="11">
        <v>5</v>
      </c>
      <c r="AC493" s="11">
        <v>0</v>
      </c>
      <c r="AD493" s="11">
        <v>0</v>
      </c>
      <c r="AE493" s="11">
        <v>0</v>
      </c>
      <c r="AF493" s="11">
        <v>0</v>
      </c>
      <c r="AG493" s="11">
        <v>0</v>
      </c>
      <c r="AH493" s="11">
        <v>0</v>
      </c>
      <c r="AI493" s="45">
        <v>0</v>
      </c>
      <c r="AJ493" s="45">
        <v>0</v>
      </c>
      <c r="AK493" s="45">
        <f t="shared" si="237"/>
        <v>0.3611</v>
      </c>
      <c r="AL493" s="45">
        <f t="shared" si="238"/>
        <v>0.00348095238095238</v>
      </c>
      <c r="AM493" s="45">
        <f t="shared" si="239"/>
        <v>0.0012569719047619</v>
      </c>
      <c r="AN493" s="45">
        <f t="shared" si="240"/>
        <v>0.792187500000004</v>
      </c>
      <c r="AO493" s="45">
        <f t="shared" si="241"/>
        <v>0.792187500000004</v>
      </c>
      <c r="AP493" s="45">
        <f t="shared" si="242"/>
        <v>1.05625000000001</v>
      </c>
      <c r="AQ493" s="45">
        <f t="shared" si="243"/>
        <v>0</v>
      </c>
      <c r="AR493" s="45">
        <f t="shared" si="244"/>
        <v>0</v>
      </c>
      <c r="AS493" s="19">
        <f t="shared" si="245"/>
        <v>1.07916666666667</v>
      </c>
      <c r="AT493" s="19">
        <f t="shared" si="246"/>
        <v>1.03333333333334</v>
      </c>
      <c r="AU493" s="46">
        <v>0</v>
      </c>
      <c r="AV493" s="46">
        <v>0</v>
      </c>
      <c r="AW493" s="46">
        <v>0</v>
      </c>
      <c r="AX493" s="46">
        <v>1</v>
      </c>
      <c r="AY493" s="47">
        <v>0</v>
      </c>
      <c r="AZ493" s="47">
        <v>-1</v>
      </c>
    </row>
    <row r="494" hidden="1" customHeight="1" spans="1:52">
      <c r="A494" s="44">
        <v>45819</v>
      </c>
      <c r="B494" s="33">
        <f t="shared" si="229"/>
        <v>197</v>
      </c>
      <c r="C494" s="33">
        <f t="shared" si="230"/>
        <v>1025</v>
      </c>
      <c r="D494" s="11">
        <f t="shared" si="231"/>
        <v>1222</v>
      </c>
      <c r="E494" s="34">
        <f t="shared" si="227"/>
        <v>1.3295092762123e-5</v>
      </c>
      <c r="F494" s="35">
        <f t="shared" si="232"/>
        <v>0.000585116641093093</v>
      </c>
      <c r="G494" s="18">
        <f>(SUM($I$8:$I494)*(MAX(M$3-M$4,0))+(N494*MAX(M$4,0)))*(1-$AM$4)+(AM494*$AM$4)</f>
        <v>0.284951804212336</v>
      </c>
      <c r="H494" s="18">
        <f t="shared" si="221"/>
        <v>1.25</v>
      </c>
      <c r="I494" s="18">
        <f t="shared" si="233"/>
        <v>0.0151815025252526</v>
      </c>
      <c r="J494" s="18">
        <f t="shared" si="222"/>
        <v>0.400219782507675</v>
      </c>
      <c r="K494" s="18">
        <f t="shared" si="223"/>
        <v>0.00304456963194073</v>
      </c>
      <c r="L494" s="18">
        <f t="shared" si="224"/>
        <v>0.012145202020202</v>
      </c>
      <c r="M494" s="18">
        <v>0.3124</v>
      </c>
      <c r="N494" s="18">
        <f t="shared" si="228"/>
        <v>0.3124</v>
      </c>
      <c r="O494" s="11">
        <v>0</v>
      </c>
      <c r="P494" s="11">
        <v>0</v>
      </c>
      <c r="Q494" s="11">
        <f t="shared" si="234"/>
        <v>1</v>
      </c>
      <c r="R494" s="11">
        <v>0</v>
      </c>
      <c r="S494" s="11">
        <f t="shared" si="225"/>
        <v>0</v>
      </c>
      <c r="T494" s="11">
        <v>0</v>
      </c>
      <c r="U494" s="11">
        <f t="shared" si="235"/>
        <v>1</v>
      </c>
      <c r="V494" s="11">
        <v>0</v>
      </c>
      <c r="W494" s="11">
        <f t="shared" si="236"/>
        <v>1</v>
      </c>
      <c r="X494" s="11">
        <f t="shared" si="226"/>
        <v>0</v>
      </c>
      <c r="Y494" s="19">
        <v>10.33</v>
      </c>
      <c r="Z494" s="11">
        <v>20</v>
      </c>
      <c r="AA494" s="11">
        <v>10</v>
      </c>
      <c r="AB494" s="11">
        <v>5</v>
      </c>
      <c r="AC494" s="11">
        <v>0</v>
      </c>
      <c r="AD494" s="11">
        <v>0</v>
      </c>
      <c r="AE494" s="11">
        <v>0</v>
      </c>
      <c r="AF494" s="11">
        <v>0</v>
      </c>
      <c r="AG494" s="11">
        <v>0</v>
      </c>
      <c r="AH494" s="11">
        <v>0</v>
      </c>
      <c r="AI494" s="45">
        <v>0</v>
      </c>
      <c r="AJ494" s="45">
        <v>0</v>
      </c>
      <c r="AK494" s="45">
        <f t="shared" si="237"/>
        <v>0.3611</v>
      </c>
      <c r="AL494" s="45">
        <f t="shared" si="238"/>
        <v>0.00348095238095238</v>
      </c>
      <c r="AM494" s="45">
        <f t="shared" si="239"/>
        <v>0.0012569719047619</v>
      </c>
      <c r="AN494" s="45">
        <f t="shared" si="240"/>
        <v>0.792187500000004</v>
      </c>
      <c r="AO494" s="45">
        <f t="shared" si="241"/>
        <v>0.792187500000004</v>
      </c>
      <c r="AP494" s="45">
        <f t="shared" si="242"/>
        <v>1.05625000000001</v>
      </c>
      <c r="AQ494" s="45">
        <f t="shared" si="243"/>
        <v>0</v>
      </c>
      <c r="AR494" s="45">
        <f t="shared" si="244"/>
        <v>0</v>
      </c>
      <c r="AS494" s="19">
        <f t="shared" si="245"/>
        <v>1.07916666666667</v>
      </c>
      <c r="AT494" s="19">
        <f t="shared" si="246"/>
        <v>1.03333333333334</v>
      </c>
      <c r="AU494" s="46">
        <v>0</v>
      </c>
      <c r="AV494" s="46">
        <v>0</v>
      </c>
      <c r="AW494" s="46">
        <v>0</v>
      </c>
      <c r="AX494" s="46">
        <v>1</v>
      </c>
      <c r="AY494" s="47">
        <v>0</v>
      </c>
      <c r="AZ494" s="47">
        <v>-1</v>
      </c>
    </row>
    <row r="495" hidden="1" customHeight="1" spans="1:52">
      <c r="A495" s="44">
        <v>45820</v>
      </c>
      <c r="B495" s="33">
        <f t="shared" si="229"/>
        <v>196</v>
      </c>
      <c r="C495" s="33">
        <f t="shared" si="230"/>
        <v>998</v>
      </c>
      <c r="D495" s="11">
        <f t="shared" si="231"/>
        <v>1194</v>
      </c>
      <c r="E495" s="34">
        <f t="shared" si="227"/>
        <v>9.56871997447387e-6</v>
      </c>
      <c r="F495" s="35">
        <f t="shared" si="232"/>
        <v>0.000594685361067566</v>
      </c>
      <c r="G495" s="18">
        <f>(SUM($I$8:$I495)*(MAX(M$3-M$4,0))+(N495*MAX(M$4,0)))*(1-$AM$4)+(AM495*$AM$4)</f>
        <v>0.290206456200972</v>
      </c>
      <c r="H495" s="18">
        <f t="shared" si="221"/>
        <v>1.25</v>
      </c>
      <c r="I495" s="18">
        <f t="shared" si="233"/>
        <v>0.0198248106060606</v>
      </c>
      <c r="J495" s="18">
        <f t="shared" si="222"/>
        <v>0.406764786970215</v>
      </c>
      <c r="K495" s="18">
        <f t="shared" si="223"/>
        <v>0.00302671027056013</v>
      </c>
      <c r="L495" s="18">
        <f t="shared" si="224"/>
        <v>0.0158598484848485</v>
      </c>
      <c r="M495" s="18">
        <v>0.3165</v>
      </c>
      <c r="N495" s="18">
        <f t="shared" si="228"/>
        <v>0.3165</v>
      </c>
      <c r="O495" s="11">
        <v>0</v>
      </c>
      <c r="P495" s="11">
        <v>0</v>
      </c>
      <c r="Q495" s="11">
        <f t="shared" si="234"/>
        <v>1</v>
      </c>
      <c r="R495" s="11">
        <v>0</v>
      </c>
      <c r="S495" s="11">
        <f t="shared" si="225"/>
        <v>0</v>
      </c>
      <c r="T495" s="11">
        <v>0</v>
      </c>
      <c r="U495" s="11">
        <f t="shared" si="235"/>
        <v>1</v>
      </c>
      <c r="V495" s="11">
        <v>0</v>
      </c>
      <c r="W495" s="11">
        <f t="shared" si="236"/>
        <v>1</v>
      </c>
      <c r="X495" s="11">
        <f t="shared" si="226"/>
        <v>0</v>
      </c>
      <c r="Y495" s="19">
        <v>14.67</v>
      </c>
      <c r="Z495" s="11">
        <v>25</v>
      </c>
      <c r="AA495" s="11">
        <v>12</v>
      </c>
      <c r="AB495" s="11">
        <v>7</v>
      </c>
      <c r="AC495" s="11">
        <v>0</v>
      </c>
      <c r="AD495" s="11">
        <v>0</v>
      </c>
      <c r="AE495" s="11">
        <v>0</v>
      </c>
      <c r="AF495" s="11">
        <v>0</v>
      </c>
      <c r="AG495" s="11">
        <v>0</v>
      </c>
      <c r="AH495" s="11">
        <v>0</v>
      </c>
      <c r="AI495" s="45">
        <v>0</v>
      </c>
      <c r="AJ495" s="45">
        <v>0</v>
      </c>
      <c r="AK495" s="45">
        <f t="shared" si="237"/>
        <v>0.3611</v>
      </c>
      <c r="AL495" s="45">
        <f t="shared" si="238"/>
        <v>0.00348095238095238</v>
      </c>
      <c r="AM495" s="45">
        <f t="shared" si="239"/>
        <v>0.0012569719047619</v>
      </c>
      <c r="AN495" s="45">
        <f t="shared" si="240"/>
        <v>0.792187500000004</v>
      </c>
      <c r="AO495" s="45">
        <f t="shared" si="241"/>
        <v>0.792187500000004</v>
      </c>
      <c r="AP495" s="45">
        <f t="shared" si="242"/>
        <v>1.05625000000001</v>
      </c>
      <c r="AQ495" s="45">
        <f t="shared" si="243"/>
        <v>0</v>
      </c>
      <c r="AR495" s="45">
        <f t="shared" si="244"/>
        <v>0</v>
      </c>
      <c r="AS495" s="19">
        <f t="shared" si="245"/>
        <v>1.07916666666667</v>
      </c>
      <c r="AT495" s="19">
        <f t="shared" si="246"/>
        <v>1.03333333333334</v>
      </c>
      <c r="AU495" s="46">
        <v>0</v>
      </c>
      <c r="AV495" s="46">
        <v>0</v>
      </c>
      <c r="AW495" s="46">
        <v>0</v>
      </c>
      <c r="AX495" s="46">
        <v>1</v>
      </c>
      <c r="AY495" s="47">
        <v>0</v>
      </c>
      <c r="AZ495" s="47">
        <v>-1</v>
      </c>
    </row>
    <row r="496" hidden="1" customHeight="1" spans="1:52">
      <c r="A496" s="44">
        <v>45821</v>
      </c>
      <c r="B496" s="33">
        <f t="shared" si="229"/>
        <v>195</v>
      </c>
      <c r="C496" s="33">
        <f t="shared" si="230"/>
        <v>968</v>
      </c>
      <c r="D496" s="11">
        <f t="shared" si="231"/>
        <v>1163</v>
      </c>
      <c r="E496" s="34">
        <f t="shared" si="227"/>
        <v>1.06645679546862e-5</v>
      </c>
      <c r="F496" s="35">
        <f t="shared" si="232"/>
        <v>0.000605349929022253</v>
      </c>
      <c r="G496" s="18">
        <f>(SUM($I$8:$I496)*(MAX(M$3-M$4,0))+(N496*MAX(M$4,0)))*(1-$AM$4)+(AM496*$AM$4)</f>
        <v>0.296016115291882</v>
      </c>
      <c r="H496" s="18">
        <f t="shared" si="221"/>
        <v>1.25</v>
      </c>
      <c r="I496" s="18">
        <f t="shared" si="233"/>
        <v>0.0209848484848485</v>
      </c>
      <c r="J496" s="18">
        <f t="shared" si="222"/>
        <v>0.414059351451221</v>
      </c>
      <c r="K496" s="18">
        <f t="shared" si="223"/>
        <v>0.00300482383871169</v>
      </c>
      <c r="L496" s="18">
        <f t="shared" si="224"/>
        <v>0.0167878787878788</v>
      </c>
      <c r="M496" s="18">
        <v>0.3215</v>
      </c>
      <c r="N496" s="18">
        <f t="shared" si="228"/>
        <v>0.3215</v>
      </c>
      <c r="O496" s="11">
        <v>0</v>
      </c>
      <c r="P496" s="11">
        <v>0</v>
      </c>
      <c r="Q496" s="11">
        <f t="shared" si="234"/>
        <v>1</v>
      </c>
      <c r="R496" s="11">
        <v>0</v>
      </c>
      <c r="S496" s="11">
        <f t="shared" si="225"/>
        <v>0</v>
      </c>
      <c r="T496" s="11">
        <v>0</v>
      </c>
      <c r="U496" s="11">
        <f t="shared" si="235"/>
        <v>1</v>
      </c>
      <c r="V496" s="11">
        <v>0</v>
      </c>
      <c r="W496" s="11">
        <f t="shared" si="236"/>
        <v>1</v>
      </c>
      <c r="X496" s="11">
        <f t="shared" si="226"/>
        <v>0</v>
      </c>
      <c r="Y496" s="19">
        <v>7.92</v>
      </c>
      <c r="Z496" s="11">
        <v>30</v>
      </c>
      <c r="AA496" s="11">
        <v>24</v>
      </c>
      <c r="AB496" s="11">
        <v>5</v>
      </c>
      <c r="AC496" s="11">
        <v>0</v>
      </c>
      <c r="AD496" s="11">
        <v>0</v>
      </c>
      <c r="AE496" s="11">
        <v>0</v>
      </c>
      <c r="AF496" s="11">
        <v>0</v>
      </c>
      <c r="AG496" s="11">
        <v>0</v>
      </c>
      <c r="AH496" s="11">
        <v>0</v>
      </c>
      <c r="AI496" s="45">
        <v>0</v>
      </c>
      <c r="AJ496" s="45">
        <v>0</v>
      </c>
      <c r="AK496" s="45">
        <f t="shared" si="237"/>
        <v>0.3611</v>
      </c>
      <c r="AL496" s="45">
        <f t="shared" si="238"/>
        <v>0.00348095238095238</v>
      </c>
      <c r="AM496" s="45">
        <f t="shared" si="239"/>
        <v>0.0012569719047619</v>
      </c>
      <c r="AN496" s="45">
        <f t="shared" si="240"/>
        <v>0.792187500000004</v>
      </c>
      <c r="AO496" s="45">
        <f t="shared" si="241"/>
        <v>0.792187500000004</v>
      </c>
      <c r="AP496" s="45">
        <f t="shared" si="242"/>
        <v>1.05625000000001</v>
      </c>
      <c r="AQ496" s="45">
        <f t="shared" si="243"/>
        <v>0</v>
      </c>
      <c r="AR496" s="45">
        <f t="shared" si="244"/>
        <v>0</v>
      </c>
      <c r="AS496" s="19">
        <f t="shared" si="245"/>
        <v>1.07916666666667</v>
      </c>
      <c r="AT496" s="19">
        <f t="shared" si="246"/>
        <v>1.03333333333334</v>
      </c>
      <c r="AU496" s="46">
        <v>0</v>
      </c>
      <c r="AV496" s="46">
        <v>0</v>
      </c>
      <c r="AW496" s="46">
        <v>0</v>
      </c>
      <c r="AX496" s="46">
        <v>1</v>
      </c>
      <c r="AY496" s="47">
        <v>0</v>
      </c>
      <c r="AZ496" s="47">
        <v>-1</v>
      </c>
    </row>
    <row r="497" hidden="1" customHeight="1" spans="1:52">
      <c r="A497" s="44">
        <v>45822</v>
      </c>
      <c r="B497" s="33">
        <f t="shared" si="229"/>
        <v>194</v>
      </c>
      <c r="C497" s="33">
        <f t="shared" si="230"/>
        <v>931</v>
      </c>
      <c r="D497" s="11">
        <f t="shared" si="231"/>
        <v>1125</v>
      </c>
      <c r="E497" s="34">
        <f t="shared" si="227"/>
        <v>1.39538409766398e-5</v>
      </c>
      <c r="F497" s="35">
        <f t="shared" si="232"/>
        <v>0.000619303769998892</v>
      </c>
      <c r="G497" s="18">
        <f>(SUM($I$8:$I497)*(MAX(M$3-M$4,0))+(N497*MAX(M$4,0)))*(1-$AM$4)+(AM497*$AM$4)</f>
        <v>0.303458847299457</v>
      </c>
      <c r="H497" s="18">
        <f t="shared" si="221"/>
        <v>1.25</v>
      </c>
      <c r="I497" s="18">
        <f t="shared" si="233"/>
        <v>0.0228945707070707</v>
      </c>
      <c r="J497" s="18">
        <f t="shared" si="222"/>
        <v>0.423603778679242</v>
      </c>
      <c r="K497" s="18">
        <f t="shared" si="223"/>
        <v>0.0029711145428905</v>
      </c>
      <c r="L497" s="18">
        <f t="shared" si="224"/>
        <v>0.0183156565656566</v>
      </c>
      <c r="M497" s="18">
        <v>0.3299</v>
      </c>
      <c r="N497" s="18">
        <f t="shared" si="228"/>
        <v>0.3299</v>
      </c>
      <c r="O497" s="11">
        <v>0</v>
      </c>
      <c r="P497" s="11">
        <v>0</v>
      </c>
      <c r="Q497" s="11">
        <f t="shared" si="234"/>
        <v>1</v>
      </c>
      <c r="R497" s="11">
        <v>0</v>
      </c>
      <c r="S497" s="11">
        <f t="shared" si="225"/>
        <v>0</v>
      </c>
      <c r="T497" s="11">
        <v>0</v>
      </c>
      <c r="U497" s="11">
        <f t="shared" si="235"/>
        <v>1</v>
      </c>
      <c r="V497" s="11">
        <v>0</v>
      </c>
      <c r="W497" s="11">
        <f t="shared" si="236"/>
        <v>1</v>
      </c>
      <c r="X497" s="11">
        <f t="shared" si="226"/>
        <v>0</v>
      </c>
      <c r="Y497" s="19">
        <v>7.42</v>
      </c>
      <c r="Z497" s="11">
        <v>40</v>
      </c>
      <c r="AA497" s="11">
        <v>19</v>
      </c>
      <c r="AB497" s="11">
        <v>5</v>
      </c>
      <c r="AC497" s="11">
        <v>0</v>
      </c>
      <c r="AD497" s="11">
        <v>0</v>
      </c>
      <c r="AE497" s="11">
        <v>0</v>
      </c>
      <c r="AF497" s="11">
        <v>0</v>
      </c>
      <c r="AG497" s="11">
        <v>0</v>
      </c>
      <c r="AH497" s="11">
        <v>0</v>
      </c>
      <c r="AI497" s="45">
        <v>0</v>
      </c>
      <c r="AJ497" s="45">
        <v>0</v>
      </c>
      <c r="AK497" s="45">
        <f t="shared" si="237"/>
        <v>0.3611</v>
      </c>
      <c r="AL497" s="45">
        <f t="shared" si="238"/>
        <v>0.00348095238095238</v>
      </c>
      <c r="AM497" s="45">
        <f t="shared" si="239"/>
        <v>0.0012569719047619</v>
      </c>
      <c r="AN497" s="45">
        <f t="shared" si="240"/>
        <v>0.792187500000004</v>
      </c>
      <c r="AO497" s="45">
        <f t="shared" si="241"/>
        <v>0.792187500000004</v>
      </c>
      <c r="AP497" s="45">
        <f t="shared" si="242"/>
        <v>1.05625000000001</v>
      </c>
      <c r="AQ497" s="45">
        <f t="shared" si="243"/>
        <v>0</v>
      </c>
      <c r="AR497" s="45">
        <f t="shared" si="244"/>
        <v>0</v>
      </c>
      <c r="AS497" s="19">
        <f t="shared" si="245"/>
        <v>1.07916666666667</v>
      </c>
      <c r="AT497" s="19">
        <f t="shared" si="246"/>
        <v>1.03333333333334</v>
      </c>
      <c r="AU497" s="46">
        <v>0</v>
      </c>
      <c r="AV497" s="46">
        <v>0</v>
      </c>
      <c r="AW497" s="46">
        <v>0</v>
      </c>
      <c r="AX497" s="46">
        <v>1</v>
      </c>
      <c r="AY497" s="47">
        <v>0</v>
      </c>
      <c r="AZ497" s="47">
        <v>-1</v>
      </c>
    </row>
    <row r="498" hidden="1" customHeight="1" spans="1:52">
      <c r="A498" s="44">
        <v>45823</v>
      </c>
      <c r="B498" s="33">
        <f t="shared" si="229"/>
        <v>193</v>
      </c>
      <c r="C498" s="33">
        <f t="shared" si="230"/>
        <v>891</v>
      </c>
      <c r="D498" s="11">
        <f t="shared" si="231"/>
        <v>1084</v>
      </c>
      <c r="E498" s="34">
        <f t="shared" si="227"/>
        <v>1.58002476757413e-5</v>
      </c>
      <c r="F498" s="35">
        <f t="shared" si="232"/>
        <v>0.000635104017674634</v>
      </c>
      <c r="G498" s="18">
        <f>(SUM($I$8:$I498)*(MAX(M$3-M$4,0))+(N498*MAX(M$4,0)))*(1-$AM$4)+(AM498*$AM$4)</f>
        <v>0.311836072678245</v>
      </c>
      <c r="H498" s="18">
        <f t="shared" si="221"/>
        <v>1.25</v>
      </c>
      <c r="I498" s="18">
        <f t="shared" si="233"/>
        <v>0.0234785353535354</v>
      </c>
      <c r="J498" s="18">
        <f t="shared" si="222"/>
        <v>0.434411148089449</v>
      </c>
      <c r="K498" s="18">
        <f t="shared" si="223"/>
        <v>0.00293051218606503</v>
      </c>
      <c r="L498" s="18">
        <f t="shared" si="224"/>
        <v>0.0187828282828283</v>
      </c>
      <c r="M498" s="18">
        <v>0.3405</v>
      </c>
      <c r="N498" s="18">
        <f t="shared" si="228"/>
        <v>0.3405</v>
      </c>
      <c r="O498" s="11">
        <v>0</v>
      </c>
      <c r="P498" s="11">
        <v>0</v>
      </c>
      <c r="Q498" s="11">
        <f t="shared" si="234"/>
        <v>1</v>
      </c>
      <c r="R498" s="11">
        <v>0</v>
      </c>
      <c r="S498" s="11">
        <f t="shared" si="225"/>
        <v>0</v>
      </c>
      <c r="T498" s="11">
        <v>0</v>
      </c>
      <c r="U498" s="11">
        <f t="shared" si="235"/>
        <v>1</v>
      </c>
      <c r="V498" s="11">
        <v>0</v>
      </c>
      <c r="W498" s="11">
        <f t="shared" si="236"/>
        <v>1</v>
      </c>
      <c r="X498" s="11">
        <f t="shared" si="226"/>
        <v>0</v>
      </c>
      <c r="Y498" s="19">
        <v>8.92</v>
      </c>
      <c r="Z498" s="11">
        <v>30</v>
      </c>
      <c r="AA498" s="11">
        <v>32</v>
      </c>
      <c r="AB498" s="11">
        <v>5</v>
      </c>
      <c r="AC498" s="11">
        <v>0</v>
      </c>
      <c r="AD498" s="11">
        <v>0</v>
      </c>
      <c r="AE498" s="11">
        <v>0</v>
      </c>
      <c r="AF498" s="11">
        <v>0</v>
      </c>
      <c r="AG498" s="11">
        <v>0</v>
      </c>
      <c r="AH498" s="11">
        <v>0</v>
      </c>
      <c r="AI498" s="45">
        <v>0</v>
      </c>
      <c r="AJ498" s="45">
        <v>0</v>
      </c>
      <c r="AK498" s="45">
        <f t="shared" si="237"/>
        <v>0.3611</v>
      </c>
      <c r="AL498" s="45">
        <f t="shared" si="238"/>
        <v>0.00348095238095238</v>
      </c>
      <c r="AM498" s="45">
        <f t="shared" si="239"/>
        <v>0.0012569719047619</v>
      </c>
      <c r="AN498" s="45">
        <f t="shared" si="240"/>
        <v>0.792187500000004</v>
      </c>
      <c r="AO498" s="45">
        <f t="shared" si="241"/>
        <v>0.792187500000004</v>
      </c>
      <c r="AP498" s="45">
        <f t="shared" si="242"/>
        <v>1.05625000000001</v>
      </c>
      <c r="AQ498" s="45">
        <f t="shared" si="243"/>
        <v>0</v>
      </c>
      <c r="AR498" s="45">
        <f t="shared" si="244"/>
        <v>0</v>
      </c>
      <c r="AS498" s="19">
        <f t="shared" si="245"/>
        <v>1.07916666666667</v>
      </c>
      <c r="AT498" s="19">
        <f t="shared" si="246"/>
        <v>1.03333333333334</v>
      </c>
      <c r="AU498" s="46">
        <v>0</v>
      </c>
      <c r="AV498" s="46">
        <v>0</v>
      </c>
      <c r="AW498" s="46">
        <v>0</v>
      </c>
      <c r="AX498" s="46">
        <v>1</v>
      </c>
      <c r="AY498" s="47">
        <v>0</v>
      </c>
      <c r="AZ498" s="47">
        <v>-1</v>
      </c>
    </row>
    <row r="499" hidden="1" customHeight="1" spans="1:52">
      <c r="A499" s="44">
        <v>45824</v>
      </c>
      <c r="B499" s="33">
        <f t="shared" si="229"/>
        <v>192</v>
      </c>
      <c r="C499" s="33">
        <f t="shared" si="230"/>
        <v>873</v>
      </c>
      <c r="D499" s="11">
        <f t="shared" si="231"/>
        <v>1065</v>
      </c>
      <c r="E499" s="34">
        <f t="shared" si="227"/>
        <v>7.22486422405377e-6</v>
      </c>
      <c r="F499" s="35">
        <f t="shared" si="232"/>
        <v>0.000642328881898687</v>
      </c>
      <c r="G499" s="18">
        <f>(SUM($I$8:$I499)*(MAX(M$3-M$4,0))+(N499*MAX(M$4,0)))*(1-$AM$4)+(AM499*$AM$4)</f>
        <v>0.316025809894154</v>
      </c>
      <c r="H499" s="18">
        <f t="shared" si="221"/>
        <v>1.25</v>
      </c>
      <c r="I499" s="18">
        <f t="shared" si="233"/>
        <v>0.0137452651515152</v>
      </c>
      <c r="J499" s="18">
        <f t="shared" si="222"/>
        <v>0.439352955218702</v>
      </c>
      <c r="K499" s="18">
        <f t="shared" si="223"/>
        <v>0.00292003669156926</v>
      </c>
      <c r="L499" s="18">
        <f t="shared" si="224"/>
        <v>0.0109962121212121</v>
      </c>
      <c r="M499" s="18">
        <v>0.3448</v>
      </c>
      <c r="N499" s="18">
        <f t="shared" si="228"/>
        <v>0.3448</v>
      </c>
      <c r="O499" s="11">
        <v>0</v>
      </c>
      <c r="P499" s="11">
        <v>0</v>
      </c>
      <c r="Q499" s="11">
        <f t="shared" si="234"/>
        <v>1</v>
      </c>
      <c r="R499" s="11">
        <v>0</v>
      </c>
      <c r="S499" s="11">
        <f t="shared" si="225"/>
        <v>0</v>
      </c>
      <c r="T499" s="11">
        <v>0</v>
      </c>
      <c r="U499" s="11">
        <f t="shared" si="235"/>
        <v>1</v>
      </c>
      <c r="V499" s="11">
        <v>0</v>
      </c>
      <c r="W499" s="11">
        <f t="shared" si="236"/>
        <v>1</v>
      </c>
      <c r="X499" s="11">
        <f t="shared" si="226"/>
        <v>0</v>
      </c>
      <c r="Y499" s="19">
        <v>11.83</v>
      </c>
      <c r="Z499" s="11">
        <v>10</v>
      </c>
      <c r="AA499" s="11">
        <v>15</v>
      </c>
      <c r="AB499" s="11">
        <v>5</v>
      </c>
      <c r="AC499" s="11">
        <v>0</v>
      </c>
      <c r="AD499" s="11">
        <v>0</v>
      </c>
      <c r="AE499" s="11">
        <v>0</v>
      </c>
      <c r="AF499" s="11">
        <v>0</v>
      </c>
      <c r="AG499" s="11">
        <v>0</v>
      </c>
      <c r="AH499" s="11">
        <v>0</v>
      </c>
      <c r="AI499" s="45">
        <v>0</v>
      </c>
      <c r="AJ499" s="45">
        <v>0</v>
      </c>
      <c r="AK499" s="45">
        <f t="shared" si="237"/>
        <v>0.3611</v>
      </c>
      <c r="AL499" s="45">
        <f t="shared" si="238"/>
        <v>0.00348095238095238</v>
      </c>
      <c r="AM499" s="45">
        <f t="shared" si="239"/>
        <v>0.0012569719047619</v>
      </c>
      <c r="AN499" s="45">
        <f t="shared" si="240"/>
        <v>0.792187500000004</v>
      </c>
      <c r="AO499" s="45">
        <f t="shared" si="241"/>
        <v>0.792187500000004</v>
      </c>
      <c r="AP499" s="45">
        <f t="shared" si="242"/>
        <v>1.05625000000001</v>
      </c>
      <c r="AQ499" s="45">
        <f t="shared" si="243"/>
        <v>0</v>
      </c>
      <c r="AR499" s="45">
        <f t="shared" si="244"/>
        <v>0</v>
      </c>
      <c r="AS499" s="19">
        <f t="shared" si="245"/>
        <v>1.07916666666667</v>
      </c>
      <c r="AT499" s="19">
        <f t="shared" si="246"/>
        <v>1.03333333333334</v>
      </c>
      <c r="AU499" s="46">
        <v>0</v>
      </c>
      <c r="AV499" s="46">
        <v>0</v>
      </c>
      <c r="AW499" s="46">
        <v>0</v>
      </c>
      <c r="AX499" s="46">
        <v>1</v>
      </c>
      <c r="AY499" s="47">
        <v>0</v>
      </c>
      <c r="AZ499" s="47">
        <v>-1</v>
      </c>
    </row>
    <row r="500" hidden="1" customHeight="1" spans="1:52">
      <c r="A500" s="44">
        <v>45825</v>
      </c>
      <c r="B500" s="33">
        <f t="shared" si="229"/>
        <v>191</v>
      </c>
      <c r="C500" s="33">
        <f t="shared" si="230"/>
        <v>867</v>
      </c>
      <c r="D500" s="11">
        <f t="shared" si="231"/>
        <v>1058</v>
      </c>
      <c r="E500" s="34">
        <f t="shared" si="227"/>
        <v>2.56217384426484e-6</v>
      </c>
      <c r="F500" s="35">
        <f t="shared" si="232"/>
        <v>0.000644891055742952</v>
      </c>
      <c r="G500" s="18">
        <f>(SUM($I$8:$I500)*(MAX(M$3-M$4,0))+(N500*MAX(M$4,0)))*(1-$AM$4)+(AM500*$AM$4)</f>
        <v>0.317931290481275</v>
      </c>
      <c r="H500" s="18">
        <f t="shared" si="221"/>
        <v>1.25</v>
      </c>
      <c r="I500" s="18">
        <f t="shared" si="233"/>
        <v>0.0101625631313131</v>
      </c>
      <c r="J500" s="18">
        <f t="shared" si="222"/>
        <v>0.441105482128179</v>
      </c>
      <c r="K500" s="18">
        <f t="shared" si="223"/>
        <v>0.00292614930822943</v>
      </c>
      <c r="L500" s="18">
        <f t="shared" si="224"/>
        <v>0.00813005050505052</v>
      </c>
      <c r="M500" s="18">
        <v>0</v>
      </c>
      <c r="N500" s="18">
        <f t="shared" si="228"/>
        <v>0.3448</v>
      </c>
      <c r="O500" s="11">
        <v>0</v>
      </c>
      <c r="P500" s="11">
        <v>0</v>
      </c>
      <c r="Q500" s="11">
        <f t="shared" si="234"/>
        <v>1</v>
      </c>
      <c r="R500" s="11">
        <v>0</v>
      </c>
      <c r="S500" s="11">
        <f t="shared" si="225"/>
        <v>0</v>
      </c>
      <c r="T500" s="11">
        <v>0</v>
      </c>
      <c r="U500" s="11">
        <f t="shared" si="235"/>
        <v>1</v>
      </c>
      <c r="V500" s="11">
        <v>0</v>
      </c>
      <c r="W500" s="11">
        <f t="shared" si="236"/>
        <v>1</v>
      </c>
      <c r="X500" s="11">
        <f t="shared" si="226"/>
        <v>0</v>
      </c>
      <c r="Y500" s="19">
        <v>9.33</v>
      </c>
      <c r="Z500" s="11">
        <v>0</v>
      </c>
      <c r="AA500" s="11">
        <v>19</v>
      </c>
      <c r="AB500" s="11">
        <v>5</v>
      </c>
      <c r="AC500" s="11">
        <v>0</v>
      </c>
      <c r="AD500" s="11">
        <v>0</v>
      </c>
      <c r="AE500" s="11">
        <v>0</v>
      </c>
      <c r="AF500" s="11">
        <v>0</v>
      </c>
      <c r="AG500" s="11">
        <v>0</v>
      </c>
      <c r="AH500" s="11">
        <v>0</v>
      </c>
      <c r="AI500" s="45">
        <v>0</v>
      </c>
      <c r="AJ500" s="45">
        <v>0</v>
      </c>
      <c r="AK500" s="45">
        <f t="shared" si="237"/>
        <v>0.3611</v>
      </c>
      <c r="AL500" s="45">
        <f t="shared" si="238"/>
        <v>0.00348095238095238</v>
      </c>
      <c r="AM500" s="45">
        <f t="shared" si="239"/>
        <v>0.0012569719047619</v>
      </c>
      <c r="AN500" s="45">
        <f t="shared" si="240"/>
        <v>0.792187500000004</v>
      </c>
      <c r="AO500" s="45">
        <f t="shared" si="241"/>
        <v>0.792187500000004</v>
      </c>
      <c r="AP500" s="45">
        <f t="shared" si="242"/>
        <v>1.05625000000001</v>
      </c>
      <c r="AQ500" s="45">
        <f t="shared" si="243"/>
        <v>0</v>
      </c>
      <c r="AR500" s="45">
        <f t="shared" si="244"/>
        <v>0</v>
      </c>
      <c r="AS500" s="19">
        <f t="shared" si="245"/>
        <v>1.07916666666667</v>
      </c>
      <c r="AT500" s="19">
        <f t="shared" si="246"/>
        <v>1.03333333333334</v>
      </c>
      <c r="AU500" s="46">
        <v>0</v>
      </c>
      <c r="AV500" s="46">
        <v>0</v>
      </c>
      <c r="AW500" s="46">
        <v>0</v>
      </c>
      <c r="AX500" s="46">
        <v>1</v>
      </c>
      <c r="AY500" s="47">
        <v>0</v>
      </c>
      <c r="AZ500" s="47">
        <v>-1</v>
      </c>
    </row>
    <row r="501" hidden="1" customHeight="1" spans="1:52">
      <c r="A501" s="44">
        <v>45826</v>
      </c>
      <c r="B501" s="33">
        <f t="shared" si="229"/>
        <v>190</v>
      </c>
      <c r="C501" s="33">
        <f t="shared" si="230"/>
        <v>863</v>
      </c>
      <c r="D501" s="11">
        <f t="shared" si="231"/>
        <v>1053</v>
      </c>
      <c r="E501" s="34">
        <f t="shared" si="227"/>
        <v>1.3309477846572e-6</v>
      </c>
      <c r="F501" s="35">
        <f t="shared" si="232"/>
        <v>0.00064622200352761</v>
      </c>
      <c r="G501" s="18">
        <f>(SUM($I$8:$I501)*(MAX(M$3-M$4,0))+(N501*MAX(M$4,0)))*(1-$AM$4)+(AM501*$AM$4)</f>
        <v>0.319233669742639</v>
      </c>
      <c r="H501" s="18">
        <f t="shared" si="221"/>
        <v>1.25</v>
      </c>
      <c r="I501" s="18">
        <f t="shared" si="233"/>
        <v>0.00694602272727275</v>
      </c>
      <c r="J501" s="18">
        <f t="shared" si="222"/>
        <v>0.442015850412885</v>
      </c>
      <c r="K501" s="18">
        <f t="shared" si="223"/>
        <v>0.00293675868203745</v>
      </c>
      <c r="L501" s="18">
        <f t="shared" si="224"/>
        <v>0.0055568181818182</v>
      </c>
      <c r="M501" s="18">
        <v>0</v>
      </c>
      <c r="N501" s="18">
        <f t="shared" si="228"/>
        <v>0.3448</v>
      </c>
      <c r="O501" s="11">
        <v>0</v>
      </c>
      <c r="P501" s="11">
        <v>0</v>
      </c>
      <c r="Q501" s="11">
        <f t="shared" si="234"/>
        <v>1</v>
      </c>
      <c r="R501" s="11">
        <v>0</v>
      </c>
      <c r="S501" s="11">
        <f t="shared" si="225"/>
        <v>0</v>
      </c>
      <c r="T501" s="11">
        <v>0</v>
      </c>
      <c r="U501" s="11">
        <f t="shared" si="235"/>
        <v>1</v>
      </c>
      <c r="V501" s="11">
        <v>0</v>
      </c>
      <c r="W501" s="11">
        <f t="shared" si="236"/>
        <v>1</v>
      </c>
      <c r="X501" s="11">
        <f t="shared" si="226"/>
        <v>0</v>
      </c>
      <c r="Y501" s="19">
        <v>14.67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1">
        <v>0</v>
      </c>
      <c r="AG501" s="11">
        <v>0</v>
      </c>
      <c r="AH501" s="11">
        <v>0</v>
      </c>
      <c r="AI501" s="45">
        <v>0</v>
      </c>
      <c r="AJ501" s="45">
        <v>0</v>
      </c>
      <c r="AK501" s="45">
        <f t="shared" si="237"/>
        <v>0.3611</v>
      </c>
      <c r="AL501" s="45">
        <f t="shared" si="238"/>
        <v>0.00348095238095238</v>
      </c>
      <c r="AM501" s="45">
        <f t="shared" si="239"/>
        <v>0.0012569719047619</v>
      </c>
      <c r="AN501" s="45">
        <f t="shared" si="240"/>
        <v>0.792187500000004</v>
      </c>
      <c r="AO501" s="45">
        <f t="shared" si="241"/>
        <v>0.792187500000004</v>
      </c>
      <c r="AP501" s="45">
        <f t="shared" si="242"/>
        <v>1.05625000000001</v>
      </c>
      <c r="AQ501" s="45">
        <f t="shared" si="243"/>
        <v>0</v>
      </c>
      <c r="AR501" s="45">
        <f t="shared" si="244"/>
        <v>0</v>
      </c>
      <c r="AS501" s="19">
        <f t="shared" si="245"/>
        <v>1.07916666666667</v>
      </c>
      <c r="AT501" s="19">
        <f t="shared" si="246"/>
        <v>1.03333333333334</v>
      </c>
      <c r="AU501" s="46">
        <v>0</v>
      </c>
      <c r="AV501" s="46">
        <v>0</v>
      </c>
      <c r="AW501" s="46">
        <v>0</v>
      </c>
      <c r="AX501" s="46">
        <v>1</v>
      </c>
      <c r="AY501" s="47">
        <v>0</v>
      </c>
      <c r="AZ501" s="47">
        <v>-1</v>
      </c>
    </row>
    <row r="502" hidden="1" customHeight="1" spans="1:52">
      <c r="A502" s="44">
        <v>45827</v>
      </c>
      <c r="B502" s="33">
        <f t="shared" si="229"/>
        <v>189</v>
      </c>
      <c r="C502" s="33">
        <f t="shared" si="230"/>
        <v>839</v>
      </c>
      <c r="D502" s="11">
        <f t="shared" si="231"/>
        <v>1028</v>
      </c>
      <c r="E502" s="34">
        <f t="shared" si="227"/>
        <v>1.03489001076578e-5</v>
      </c>
      <c r="F502" s="35">
        <f t="shared" si="232"/>
        <v>0.000656570903635267</v>
      </c>
      <c r="G502" s="18">
        <f>(SUM($I$8:$I502)*(MAX(M$3-M$4,0))+(N502*MAX(M$4,0)))*(1-$AM$4)+(AM502*$AM$4)</f>
        <v>0.325002597299457</v>
      </c>
      <c r="H502" s="18">
        <f t="shared" si="221"/>
        <v>1.25</v>
      </c>
      <c r="I502" s="18">
        <f t="shared" si="233"/>
        <v>0.0181676136363637</v>
      </c>
      <c r="J502" s="18">
        <f t="shared" si="222"/>
        <v>0.449094498086523</v>
      </c>
      <c r="K502" s="18">
        <f t="shared" si="223"/>
        <v>0.00291484392546813</v>
      </c>
      <c r="L502" s="18">
        <f t="shared" si="224"/>
        <v>0.0145340909090909</v>
      </c>
      <c r="M502" s="18">
        <v>0.3511</v>
      </c>
      <c r="N502" s="18">
        <f t="shared" si="228"/>
        <v>0.3511</v>
      </c>
      <c r="O502" s="11">
        <v>0</v>
      </c>
      <c r="P502" s="11">
        <v>0</v>
      </c>
      <c r="Q502" s="11">
        <f t="shared" si="234"/>
        <v>1</v>
      </c>
      <c r="R502" s="11">
        <v>0</v>
      </c>
      <c r="S502" s="11">
        <f t="shared" si="225"/>
        <v>0</v>
      </c>
      <c r="T502" s="11">
        <v>0</v>
      </c>
      <c r="U502" s="11">
        <f t="shared" si="235"/>
        <v>1</v>
      </c>
      <c r="V502" s="11">
        <v>0</v>
      </c>
      <c r="W502" s="11">
        <f t="shared" si="236"/>
        <v>1</v>
      </c>
      <c r="X502" s="11">
        <f t="shared" si="226"/>
        <v>0</v>
      </c>
      <c r="Y502" s="19">
        <v>21.17</v>
      </c>
      <c r="Z502" s="11">
        <v>10</v>
      </c>
      <c r="AA502" s="11">
        <v>15</v>
      </c>
      <c r="AB502" s="11">
        <v>5</v>
      </c>
      <c r="AC502" s="11">
        <v>0</v>
      </c>
      <c r="AD502" s="11">
        <v>0</v>
      </c>
      <c r="AE502" s="11">
        <v>0</v>
      </c>
      <c r="AF502" s="11">
        <v>0</v>
      </c>
      <c r="AG502" s="11">
        <v>0</v>
      </c>
      <c r="AH502" s="11">
        <v>0</v>
      </c>
      <c r="AI502" s="45">
        <v>0</v>
      </c>
      <c r="AJ502" s="45">
        <v>0</v>
      </c>
      <c r="AK502" s="45">
        <f t="shared" si="237"/>
        <v>0.3611</v>
      </c>
      <c r="AL502" s="45">
        <f t="shared" si="238"/>
        <v>0.00348095238095238</v>
      </c>
      <c r="AM502" s="45">
        <f t="shared" si="239"/>
        <v>0.0012569719047619</v>
      </c>
      <c r="AN502" s="45">
        <f t="shared" si="240"/>
        <v>0.792187500000004</v>
      </c>
      <c r="AO502" s="45">
        <f t="shared" si="241"/>
        <v>0.792187500000004</v>
      </c>
      <c r="AP502" s="45">
        <f t="shared" si="242"/>
        <v>1.05625000000001</v>
      </c>
      <c r="AQ502" s="45">
        <f t="shared" si="243"/>
        <v>0</v>
      </c>
      <c r="AR502" s="45">
        <f t="shared" si="244"/>
        <v>0</v>
      </c>
      <c r="AS502" s="19">
        <f t="shared" si="245"/>
        <v>1.07916666666667</v>
      </c>
      <c r="AT502" s="19">
        <f t="shared" si="246"/>
        <v>1.03333333333334</v>
      </c>
      <c r="AU502" s="46">
        <v>0</v>
      </c>
      <c r="AV502" s="46">
        <v>0</v>
      </c>
      <c r="AW502" s="46">
        <v>0</v>
      </c>
      <c r="AX502" s="46">
        <v>1</v>
      </c>
      <c r="AY502" s="47">
        <v>0</v>
      </c>
      <c r="AZ502" s="47">
        <v>-1</v>
      </c>
    </row>
    <row r="503" hidden="1" customHeight="1" spans="1:52">
      <c r="A503" s="44">
        <v>45828</v>
      </c>
      <c r="B503" s="33">
        <f t="shared" si="229"/>
        <v>188</v>
      </c>
      <c r="C503" s="33">
        <f t="shared" si="230"/>
        <v>831</v>
      </c>
      <c r="D503" s="11">
        <f t="shared" si="231"/>
        <v>1019</v>
      </c>
      <c r="E503" s="34">
        <f t="shared" si="227"/>
        <v>3.6468569116592e-6</v>
      </c>
      <c r="F503" s="35">
        <f t="shared" si="232"/>
        <v>0.000660217760546926</v>
      </c>
      <c r="G503" s="18">
        <f>(SUM($I$8:$I503)*(MAX(M$3-M$4,0))+(N503*MAX(M$4,0)))*(1-$AM$4)+(AM503*$AM$4)</f>
        <v>0.327468009231276</v>
      </c>
      <c r="H503" s="18">
        <f t="shared" si="221"/>
        <v>1.25</v>
      </c>
      <c r="I503" s="18">
        <f t="shared" si="233"/>
        <v>0.00894886363636366</v>
      </c>
      <c r="J503" s="18">
        <f t="shared" si="222"/>
        <v>0.451588948214098</v>
      </c>
      <c r="K503" s="18">
        <f t="shared" si="223"/>
        <v>0.00291708006269097</v>
      </c>
      <c r="L503" s="18">
        <f t="shared" si="224"/>
        <v>0.00715909090909093</v>
      </c>
      <c r="M503" s="18">
        <v>0.3532</v>
      </c>
      <c r="N503" s="18">
        <f t="shared" si="228"/>
        <v>0.3532</v>
      </c>
      <c r="O503" s="11">
        <v>0</v>
      </c>
      <c r="P503" s="11">
        <v>0</v>
      </c>
      <c r="Q503" s="11">
        <f t="shared" si="234"/>
        <v>1</v>
      </c>
      <c r="R503" s="11">
        <v>0</v>
      </c>
      <c r="S503" s="11">
        <f t="shared" si="225"/>
        <v>0</v>
      </c>
      <c r="T503" s="11">
        <v>0</v>
      </c>
      <c r="U503" s="11">
        <f t="shared" si="235"/>
        <v>1</v>
      </c>
      <c r="V503" s="11">
        <v>0</v>
      </c>
      <c r="W503" s="11">
        <f t="shared" si="236"/>
        <v>1</v>
      </c>
      <c r="X503" s="11">
        <f t="shared" si="226"/>
        <v>0</v>
      </c>
      <c r="Y503" s="19">
        <v>14.58</v>
      </c>
      <c r="Z503" s="11">
        <v>6</v>
      </c>
      <c r="AA503" s="11">
        <v>0</v>
      </c>
      <c r="AB503" s="11">
        <v>0</v>
      </c>
      <c r="AC503" s="11">
        <v>0</v>
      </c>
      <c r="AD503" s="11">
        <v>0</v>
      </c>
      <c r="AE503" s="11">
        <v>0</v>
      </c>
      <c r="AF503" s="11">
        <v>0</v>
      </c>
      <c r="AG503" s="11">
        <v>0</v>
      </c>
      <c r="AH503" s="11">
        <v>0</v>
      </c>
      <c r="AI503" s="45">
        <v>0</v>
      </c>
      <c r="AJ503" s="45">
        <v>0</v>
      </c>
      <c r="AK503" s="45">
        <f t="shared" si="237"/>
        <v>0.3611</v>
      </c>
      <c r="AL503" s="45">
        <f t="shared" si="238"/>
        <v>0.00348095238095238</v>
      </c>
      <c r="AM503" s="45">
        <f t="shared" si="239"/>
        <v>0.0012569719047619</v>
      </c>
      <c r="AN503" s="45">
        <f t="shared" si="240"/>
        <v>0.792187500000004</v>
      </c>
      <c r="AO503" s="45">
        <f t="shared" si="241"/>
        <v>0.792187500000004</v>
      </c>
      <c r="AP503" s="45">
        <f t="shared" si="242"/>
        <v>1.05625000000001</v>
      </c>
      <c r="AQ503" s="45">
        <f t="shared" si="243"/>
        <v>0</v>
      </c>
      <c r="AR503" s="45">
        <f t="shared" si="244"/>
        <v>0</v>
      </c>
      <c r="AS503" s="19">
        <f t="shared" si="245"/>
        <v>1.07916666666667</v>
      </c>
      <c r="AT503" s="19">
        <f t="shared" si="246"/>
        <v>1.03333333333334</v>
      </c>
      <c r="AU503" s="46">
        <v>0</v>
      </c>
      <c r="AV503" s="46">
        <v>0</v>
      </c>
      <c r="AW503" s="46">
        <v>0</v>
      </c>
      <c r="AX503" s="46">
        <v>1</v>
      </c>
      <c r="AY503" s="47">
        <v>0</v>
      </c>
      <c r="AZ503" s="47">
        <v>-1</v>
      </c>
    </row>
    <row r="504" hidden="1" customHeight="1" spans="1:52">
      <c r="A504" s="44">
        <v>45829</v>
      </c>
      <c r="B504" s="33">
        <f t="shared" si="229"/>
        <v>187</v>
      </c>
      <c r="C504" s="33">
        <f t="shared" si="230"/>
        <v>793</v>
      </c>
      <c r="D504" s="11">
        <f t="shared" si="231"/>
        <v>980</v>
      </c>
      <c r="E504" s="34">
        <f t="shared" si="227"/>
        <v>1.67650506159351e-5</v>
      </c>
      <c r="F504" s="35">
        <f t="shared" si="232"/>
        <v>0.000676982811162862</v>
      </c>
      <c r="G504" s="18">
        <f>(SUM($I$8:$I504)*(MAX(M$3-M$4,0))+(N504*MAX(M$4,0)))*(1-$AM$4)+(AM504*$AM$4)</f>
        <v>0.336460457147942</v>
      </c>
      <c r="H504" s="18">
        <f t="shared" si="221"/>
        <v>1.25</v>
      </c>
      <c r="I504" s="18">
        <f t="shared" si="233"/>
        <v>0.0181597222222223</v>
      </c>
      <c r="J504" s="18">
        <f t="shared" si="222"/>
        <v>0.463056242835397</v>
      </c>
      <c r="K504" s="18">
        <f t="shared" si="223"/>
        <v>0.00287135699018504</v>
      </c>
      <c r="L504" s="18">
        <f t="shared" si="224"/>
        <v>0.0145277777777778</v>
      </c>
      <c r="M504" s="18">
        <v>0.3681</v>
      </c>
      <c r="N504" s="18">
        <f t="shared" si="228"/>
        <v>0.3681</v>
      </c>
      <c r="O504" s="11">
        <v>0</v>
      </c>
      <c r="P504" s="11">
        <v>0</v>
      </c>
      <c r="Q504" s="11">
        <f t="shared" si="234"/>
        <v>1</v>
      </c>
      <c r="R504" s="11">
        <v>0</v>
      </c>
      <c r="S504" s="11">
        <f t="shared" si="225"/>
        <v>0</v>
      </c>
      <c r="T504" s="11">
        <v>0</v>
      </c>
      <c r="U504" s="11">
        <f t="shared" si="235"/>
        <v>1</v>
      </c>
      <c r="V504" s="11">
        <v>0</v>
      </c>
      <c r="W504" s="11">
        <f t="shared" si="236"/>
        <v>1</v>
      </c>
      <c r="X504" s="11">
        <f t="shared" si="226"/>
        <v>0</v>
      </c>
      <c r="Y504" s="19">
        <v>11.58</v>
      </c>
      <c r="Z504" s="11">
        <v>27</v>
      </c>
      <c r="AA504" s="11">
        <v>10</v>
      </c>
      <c r="AB504" s="11">
        <v>5</v>
      </c>
      <c r="AC504" s="11">
        <v>0</v>
      </c>
      <c r="AD504" s="11">
        <v>0</v>
      </c>
      <c r="AE504" s="11">
        <v>0</v>
      </c>
      <c r="AF504" s="11">
        <v>0</v>
      </c>
      <c r="AG504" s="11">
        <v>0</v>
      </c>
      <c r="AH504" s="11">
        <v>0</v>
      </c>
      <c r="AI504" s="45">
        <v>0</v>
      </c>
      <c r="AJ504" s="45">
        <v>0</v>
      </c>
      <c r="AK504" s="45">
        <f t="shared" si="237"/>
        <v>0.3611</v>
      </c>
      <c r="AL504" s="45">
        <f t="shared" si="238"/>
        <v>0.00348095238095238</v>
      </c>
      <c r="AM504" s="45">
        <f t="shared" si="239"/>
        <v>0.0012569719047619</v>
      </c>
      <c r="AN504" s="45">
        <f t="shared" si="240"/>
        <v>0.792187500000004</v>
      </c>
      <c r="AO504" s="45">
        <f t="shared" si="241"/>
        <v>0.792187500000004</v>
      </c>
      <c r="AP504" s="45">
        <f t="shared" si="242"/>
        <v>1.05625000000001</v>
      </c>
      <c r="AQ504" s="45">
        <f t="shared" si="243"/>
        <v>0</v>
      </c>
      <c r="AR504" s="45">
        <f t="shared" si="244"/>
        <v>0</v>
      </c>
      <c r="AS504" s="19">
        <f t="shared" si="245"/>
        <v>1.07916666666667</v>
      </c>
      <c r="AT504" s="19">
        <f t="shared" si="246"/>
        <v>1.03333333333334</v>
      </c>
      <c r="AU504" s="46">
        <v>0</v>
      </c>
      <c r="AV504" s="46">
        <v>0</v>
      </c>
      <c r="AW504" s="46">
        <v>0</v>
      </c>
      <c r="AX504" s="46">
        <v>1</v>
      </c>
      <c r="AY504" s="47">
        <v>0</v>
      </c>
      <c r="AZ504" s="47">
        <v>-1</v>
      </c>
    </row>
    <row r="505" hidden="1" customHeight="1" spans="1:52">
      <c r="A505" s="44">
        <v>45830</v>
      </c>
      <c r="B505" s="33">
        <f t="shared" si="229"/>
        <v>186</v>
      </c>
      <c r="C505" s="33">
        <f t="shared" si="230"/>
        <v>771</v>
      </c>
      <c r="D505" s="11">
        <f t="shared" si="231"/>
        <v>957</v>
      </c>
      <c r="E505" s="34">
        <f t="shared" si="227"/>
        <v>1.02140211440687e-5</v>
      </c>
      <c r="F505" s="35">
        <f t="shared" si="232"/>
        <v>0.00068719683230693</v>
      </c>
      <c r="G505" s="18">
        <f>(SUM($I$8:$I505)*(MAX(M$3-M$4,0))+(N505*MAX(M$4,0)))*(1-$AM$4)+(AM505*$AM$4)</f>
        <v>0.342224022488851</v>
      </c>
      <c r="H505" s="18">
        <f t="shared" si="221"/>
        <v>1.25</v>
      </c>
      <c r="I505" s="18">
        <f t="shared" si="233"/>
        <v>0.0223390151515152</v>
      </c>
      <c r="J505" s="18">
        <f t="shared" si="222"/>
        <v>0.47004263329794</v>
      </c>
      <c r="K505" s="18">
        <f t="shared" si="223"/>
        <v>0.00284923315431215</v>
      </c>
      <c r="L505" s="18">
        <f t="shared" si="224"/>
        <v>0.0178712121212121</v>
      </c>
      <c r="M505" s="18">
        <v>0.3723</v>
      </c>
      <c r="N505" s="18">
        <f t="shared" si="228"/>
        <v>0.3723</v>
      </c>
      <c r="O505" s="11">
        <v>0</v>
      </c>
      <c r="P505" s="11">
        <v>0</v>
      </c>
      <c r="Q505" s="11">
        <f t="shared" si="234"/>
        <v>1</v>
      </c>
      <c r="R505" s="11">
        <v>0</v>
      </c>
      <c r="S505" s="11">
        <f t="shared" si="225"/>
        <v>0</v>
      </c>
      <c r="T505" s="11">
        <v>0</v>
      </c>
      <c r="U505" s="11">
        <f t="shared" si="235"/>
        <v>1</v>
      </c>
      <c r="V505" s="11">
        <v>0</v>
      </c>
      <c r="W505" s="11">
        <f t="shared" si="236"/>
        <v>1</v>
      </c>
      <c r="X505" s="11">
        <f t="shared" si="226"/>
        <v>0</v>
      </c>
      <c r="Y505" s="19">
        <v>15.58</v>
      </c>
      <c r="Z505" s="11">
        <v>30</v>
      </c>
      <c r="AA505" s="11">
        <v>15</v>
      </c>
      <c r="AB505" s="11">
        <v>5</v>
      </c>
      <c r="AC505" s="11">
        <v>0</v>
      </c>
      <c r="AD505" s="11">
        <v>0</v>
      </c>
      <c r="AE505" s="11">
        <v>0</v>
      </c>
      <c r="AF505" s="11">
        <v>0</v>
      </c>
      <c r="AG505" s="11">
        <v>0</v>
      </c>
      <c r="AH505" s="11">
        <v>0</v>
      </c>
      <c r="AI505" s="45">
        <v>0</v>
      </c>
      <c r="AJ505" s="45">
        <v>0</v>
      </c>
      <c r="AK505" s="45">
        <f t="shared" si="237"/>
        <v>0.3611</v>
      </c>
      <c r="AL505" s="45">
        <f t="shared" si="238"/>
        <v>0.00348095238095238</v>
      </c>
      <c r="AM505" s="45">
        <f t="shared" si="239"/>
        <v>0.0012569719047619</v>
      </c>
      <c r="AN505" s="45">
        <f t="shared" si="240"/>
        <v>0.792187500000004</v>
      </c>
      <c r="AO505" s="45">
        <f t="shared" si="241"/>
        <v>0.792187500000004</v>
      </c>
      <c r="AP505" s="45">
        <f t="shared" si="242"/>
        <v>1.05625000000001</v>
      </c>
      <c r="AQ505" s="45">
        <f t="shared" si="243"/>
        <v>0</v>
      </c>
      <c r="AR505" s="45">
        <f t="shared" si="244"/>
        <v>0</v>
      </c>
      <c r="AS505" s="19">
        <f t="shared" si="245"/>
        <v>1.07916666666667</v>
      </c>
      <c r="AT505" s="19">
        <f t="shared" si="246"/>
        <v>1.03333333333334</v>
      </c>
      <c r="AU505" s="46">
        <v>0</v>
      </c>
      <c r="AV505" s="46">
        <v>0</v>
      </c>
      <c r="AW505" s="46">
        <v>0</v>
      </c>
      <c r="AX505" s="46">
        <v>1</v>
      </c>
      <c r="AY505" s="47">
        <v>0</v>
      </c>
      <c r="AZ505" s="47">
        <v>-1</v>
      </c>
    </row>
    <row r="506" hidden="1" customHeight="1" spans="1:52">
      <c r="A506" s="44">
        <v>45831</v>
      </c>
      <c r="B506" s="33">
        <f t="shared" si="229"/>
        <v>185</v>
      </c>
      <c r="C506" s="33">
        <f t="shared" si="230"/>
        <v>766</v>
      </c>
      <c r="D506" s="11">
        <f t="shared" si="231"/>
        <v>951</v>
      </c>
      <c r="E506" s="34">
        <f t="shared" si="227"/>
        <v>2.46279992766572e-6</v>
      </c>
      <c r="F506" s="35">
        <f t="shared" si="232"/>
        <v>0.000689659632234596</v>
      </c>
      <c r="G506" s="18">
        <f>(SUM($I$8:$I506)*(MAX(M$3-M$4,0))+(N506*MAX(M$4,0)))*(1-$AM$4)+(AM506*$AM$4)</f>
        <v>0.344140156485063</v>
      </c>
      <c r="H506" s="18">
        <f t="shared" si="221"/>
        <v>1.25</v>
      </c>
      <c r="I506" s="18">
        <f t="shared" si="233"/>
        <v>0.0102193813131313</v>
      </c>
      <c r="J506" s="18">
        <f t="shared" si="222"/>
        <v>0.471727188448464</v>
      </c>
      <c r="K506" s="18">
        <f t="shared" si="223"/>
        <v>0.00285552871108938</v>
      </c>
      <c r="L506" s="18">
        <f t="shared" si="224"/>
        <v>0.00817550505050506</v>
      </c>
      <c r="M506" s="18">
        <v>0</v>
      </c>
      <c r="N506" s="18">
        <f t="shared" si="228"/>
        <v>0.3723</v>
      </c>
      <c r="O506" s="11">
        <v>0</v>
      </c>
      <c r="P506" s="11">
        <v>0</v>
      </c>
      <c r="Q506" s="11">
        <f t="shared" si="234"/>
        <v>1</v>
      </c>
      <c r="R506" s="11">
        <v>0</v>
      </c>
      <c r="S506" s="11">
        <f t="shared" si="225"/>
        <v>0</v>
      </c>
      <c r="T506" s="11">
        <v>0</v>
      </c>
      <c r="U506" s="11">
        <f t="shared" si="235"/>
        <v>1</v>
      </c>
      <c r="V506" s="11">
        <v>0</v>
      </c>
      <c r="W506" s="11">
        <f t="shared" si="236"/>
        <v>1</v>
      </c>
      <c r="X506" s="11">
        <f t="shared" si="226"/>
        <v>0</v>
      </c>
      <c r="Y506" s="19">
        <v>4.25</v>
      </c>
      <c r="Z506" s="11">
        <v>5</v>
      </c>
      <c r="AA506" s="11">
        <v>22</v>
      </c>
      <c r="AB506" s="11">
        <v>5</v>
      </c>
      <c r="AC506" s="11">
        <v>0</v>
      </c>
      <c r="AD506" s="11">
        <v>0</v>
      </c>
      <c r="AE506" s="11">
        <v>0</v>
      </c>
      <c r="AF506" s="11">
        <v>0</v>
      </c>
      <c r="AG506" s="11">
        <v>0</v>
      </c>
      <c r="AH506" s="11">
        <v>0</v>
      </c>
      <c r="AI506" s="45">
        <v>0</v>
      </c>
      <c r="AJ506" s="45">
        <v>0</v>
      </c>
      <c r="AK506" s="45">
        <f t="shared" si="237"/>
        <v>0.3611</v>
      </c>
      <c r="AL506" s="45">
        <f t="shared" si="238"/>
        <v>0.00348095238095238</v>
      </c>
      <c r="AM506" s="45">
        <f t="shared" si="239"/>
        <v>0.0012569719047619</v>
      </c>
      <c r="AN506" s="45">
        <f t="shared" si="240"/>
        <v>0.792187500000004</v>
      </c>
      <c r="AO506" s="45">
        <f t="shared" si="241"/>
        <v>0.792187500000004</v>
      </c>
      <c r="AP506" s="45">
        <f t="shared" si="242"/>
        <v>1.05625000000001</v>
      </c>
      <c r="AQ506" s="45">
        <f t="shared" si="243"/>
        <v>0</v>
      </c>
      <c r="AR506" s="45">
        <f t="shared" si="244"/>
        <v>0</v>
      </c>
      <c r="AS506" s="19">
        <f t="shared" si="245"/>
        <v>1.07916666666667</v>
      </c>
      <c r="AT506" s="19">
        <f t="shared" si="246"/>
        <v>1.03333333333334</v>
      </c>
      <c r="AU506" s="46">
        <v>0</v>
      </c>
      <c r="AV506" s="46">
        <v>0</v>
      </c>
      <c r="AW506" s="46">
        <v>0</v>
      </c>
      <c r="AX506" s="46">
        <v>1</v>
      </c>
      <c r="AY506" s="47">
        <v>0</v>
      </c>
      <c r="AZ506" s="47">
        <v>-1</v>
      </c>
    </row>
    <row r="507" hidden="1" customHeight="1" spans="1:52">
      <c r="A507" s="44">
        <v>45832</v>
      </c>
      <c r="B507" s="33">
        <f t="shared" si="229"/>
        <v>184</v>
      </c>
      <c r="C507" s="33">
        <f t="shared" si="230"/>
        <v>708</v>
      </c>
      <c r="D507" s="11">
        <f t="shared" si="231"/>
        <v>892</v>
      </c>
      <c r="E507" s="34">
        <f t="shared" si="227"/>
        <v>2.86809553567429e-5</v>
      </c>
      <c r="F507" s="35">
        <f t="shared" si="232"/>
        <v>0.000718340587591339</v>
      </c>
      <c r="G507" s="18">
        <f>(SUM($I$8:$I507)*(MAX(M$3-M$4,0))+(N507*MAX(M$4,0)))*(1-$AM$4)+(AM507*$AM$4)</f>
        <v>0.35917029379567</v>
      </c>
      <c r="H507" s="18">
        <f t="shared" si="221"/>
        <v>1.25</v>
      </c>
      <c r="I507" s="18">
        <f t="shared" si="233"/>
        <v>0.0207607323232324</v>
      </c>
      <c r="J507" s="18">
        <f t="shared" si="222"/>
        <v>0.491344961912476</v>
      </c>
      <c r="K507" s="18">
        <f t="shared" si="223"/>
        <v>0.0027644295548235</v>
      </c>
      <c r="L507" s="18">
        <f t="shared" si="224"/>
        <v>0.0166085858585859</v>
      </c>
      <c r="M507" s="18">
        <v>0.402</v>
      </c>
      <c r="N507" s="18">
        <f t="shared" si="228"/>
        <v>0.402</v>
      </c>
      <c r="O507" s="11">
        <v>0</v>
      </c>
      <c r="P507" s="11">
        <v>0</v>
      </c>
      <c r="Q507" s="11">
        <f t="shared" si="234"/>
        <v>1</v>
      </c>
      <c r="R507" s="11">
        <v>0</v>
      </c>
      <c r="S507" s="11">
        <f t="shared" si="225"/>
        <v>0</v>
      </c>
      <c r="T507" s="11">
        <v>0</v>
      </c>
      <c r="U507" s="11">
        <f t="shared" si="235"/>
        <v>1</v>
      </c>
      <c r="V507" s="11">
        <v>0</v>
      </c>
      <c r="W507" s="11">
        <f t="shared" si="236"/>
        <v>1</v>
      </c>
      <c r="X507" s="11">
        <f t="shared" si="226"/>
        <v>0</v>
      </c>
      <c r="Y507" s="19">
        <v>11.5</v>
      </c>
      <c r="Z507" s="11">
        <v>34</v>
      </c>
      <c r="AA507" s="11">
        <v>11</v>
      </c>
      <c r="AB507" s="11">
        <v>5</v>
      </c>
      <c r="AC507" s="11">
        <v>0</v>
      </c>
      <c r="AD507" s="11">
        <v>0</v>
      </c>
      <c r="AE507" s="11">
        <v>0</v>
      </c>
      <c r="AF507" s="11">
        <v>0</v>
      </c>
      <c r="AG507" s="11">
        <v>0</v>
      </c>
      <c r="AH507" s="11">
        <v>0</v>
      </c>
      <c r="AI507" s="45">
        <v>0</v>
      </c>
      <c r="AJ507" s="45">
        <v>0</v>
      </c>
      <c r="AK507" s="45">
        <f t="shared" si="237"/>
        <v>0.3611</v>
      </c>
      <c r="AL507" s="45">
        <f t="shared" si="238"/>
        <v>0.00348095238095238</v>
      </c>
      <c r="AM507" s="45">
        <f t="shared" si="239"/>
        <v>0.0012569719047619</v>
      </c>
      <c r="AN507" s="45">
        <f t="shared" si="240"/>
        <v>0.792187500000004</v>
      </c>
      <c r="AO507" s="45">
        <f t="shared" si="241"/>
        <v>0.792187500000004</v>
      </c>
      <c r="AP507" s="45">
        <f t="shared" si="242"/>
        <v>1.05625000000001</v>
      </c>
      <c r="AQ507" s="45">
        <f t="shared" si="243"/>
        <v>0</v>
      </c>
      <c r="AR507" s="45">
        <f t="shared" si="244"/>
        <v>0</v>
      </c>
      <c r="AS507" s="19">
        <f t="shared" si="245"/>
        <v>1.07916666666667</v>
      </c>
      <c r="AT507" s="19">
        <f t="shared" si="246"/>
        <v>1.03333333333334</v>
      </c>
      <c r="AU507" s="46">
        <v>0</v>
      </c>
      <c r="AV507" s="46">
        <v>0</v>
      </c>
      <c r="AW507" s="46">
        <v>0</v>
      </c>
      <c r="AX507" s="46">
        <v>1</v>
      </c>
      <c r="AY507" s="47">
        <v>0</v>
      </c>
      <c r="AZ507" s="47">
        <v>-1</v>
      </c>
    </row>
    <row r="508" hidden="1" customHeight="1" spans="1:52">
      <c r="A508" s="44">
        <v>45833</v>
      </c>
      <c r="B508" s="33">
        <f t="shared" si="229"/>
        <v>183</v>
      </c>
      <c r="C508" s="33">
        <f t="shared" si="230"/>
        <v>699</v>
      </c>
      <c r="D508" s="11">
        <f t="shared" si="231"/>
        <v>882</v>
      </c>
      <c r="E508" s="34">
        <f t="shared" si="227"/>
        <v>4.59704613406441e-6</v>
      </c>
      <c r="F508" s="35">
        <f t="shared" si="232"/>
        <v>0.000722937633725403</v>
      </c>
      <c r="G508" s="18">
        <f>(SUM($I$8:$I508)*(MAX(M$3-M$4,0))+(N508*MAX(M$4,0)))*(1-$AM$4)+(AM508*$AM$4)</f>
        <v>0.362191754496427</v>
      </c>
      <c r="H508" s="18">
        <f t="shared" si="221"/>
        <v>1.25</v>
      </c>
      <c r="I508" s="18">
        <f t="shared" si="233"/>
        <v>0.0119144570707071</v>
      </c>
      <c r="J508" s="18">
        <f t="shared" si="222"/>
        <v>0.494489341468176</v>
      </c>
      <c r="K508" s="18">
        <f t="shared" si="223"/>
        <v>0.00276235332531051</v>
      </c>
      <c r="L508" s="18">
        <f t="shared" si="224"/>
        <v>0.00953156565656567</v>
      </c>
      <c r="M508" s="18">
        <v>0.4041</v>
      </c>
      <c r="N508" s="18">
        <f t="shared" si="228"/>
        <v>0.4041</v>
      </c>
      <c r="O508" s="11">
        <v>0</v>
      </c>
      <c r="P508" s="11">
        <v>0</v>
      </c>
      <c r="Q508" s="11">
        <f t="shared" si="234"/>
        <v>1</v>
      </c>
      <c r="R508" s="11">
        <v>0</v>
      </c>
      <c r="S508" s="11">
        <f t="shared" si="225"/>
        <v>0</v>
      </c>
      <c r="T508" s="11">
        <v>0</v>
      </c>
      <c r="U508" s="11">
        <f t="shared" si="235"/>
        <v>1</v>
      </c>
      <c r="V508" s="11">
        <v>0</v>
      </c>
      <c r="W508" s="11">
        <f t="shared" si="236"/>
        <v>1</v>
      </c>
      <c r="X508" s="11">
        <f t="shared" si="226"/>
        <v>0</v>
      </c>
      <c r="Y508" s="19">
        <v>7.83</v>
      </c>
      <c r="Z508" s="11">
        <v>5</v>
      </c>
      <c r="AA508" s="11">
        <v>22</v>
      </c>
      <c r="AB508" s="11">
        <v>5</v>
      </c>
      <c r="AC508" s="11">
        <v>0</v>
      </c>
      <c r="AD508" s="11">
        <v>0</v>
      </c>
      <c r="AE508" s="11">
        <v>0</v>
      </c>
      <c r="AF508" s="11">
        <v>0</v>
      </c>
      <c r="AG508" s="11">
        <v>0</v>
      </c>
      <c r="AH508" s="11">
        <v>0</v>
      </c>
      <c r="AI508" s="45">
        <v>0</v>
      </c>
      <c r="AJ508" s="45">
        <v>0</v>
      </c>
      <c r="AK508" s="45">
        <f t="shared" si="237"/>
        <v>0.3611</v>
      </c>
      <c r="AL508" s="45">
        <f t="shared" si="238"/>
        <v>0.00348095238095238</v>
      </c>
      <c r="AM508" s="45">
        <f t="shared" si="239"/>
        <v>0.0012569719047619</v>
      </c>
      <c r="AN508" s="45">
        <f t="shared" si="240"/>
        <v>0.792187500000004</v>
      </c>
      <c r="AO508" s="45">
        <f t="shared" si="241"/>
        <v>0.792187500000004</v>
      </c>
      <c r="AP508" s="45">
        <f t="shared" si="242"/>
        <v>1.05625000000001</v>
      </c>
      <c r="AQ508" s="45">
        <f t="shared" si="243"/>
        <v>0</v>
      </c>
      <c r="AR508" s="45">
        <f t="shared" si="244"/>
        <v>0</v>
      </c>
      <c r="AS508" s="19">
        <f t="shared" si="245"/>
        <v>1.07916666666667</v>
      </c>
      <c r="AT508" s="19">
        <f t="shared" si="246"/>
        <v>1.03333333333334</v>
      </c>
      <c r="AU508" s="46">
        <v>0</v>
      </c>
      <c r="AV508" s="46">
        <v>0</v>
      </c>
      <c r="AW508" s="46">
        <v>0</v>
      </c>
      <c r="AX508" s="46">
        <v>1</v>
      </c>
      <c r="AY508" s="47">
        <v>0</v>
      </c>
      <c r="AZ508" s="47">
        <v>-1</v>
      </c>
    </row>
    <row r="509" hidden="1" customHeight="1" spans="1:52">
      <c r="A509" s="44">
        <v>45834</v>
      </c>
      <c r="B509" s="33">
        <f t="shared" si="229"/>
        <v>182</v>
      </c>
      <c r="C509" s="33">
        <f t="shared" si="230"/>
        <v>691</v>
      </c>
      <c r="D509" s="11">
        <f t="shared" si="231"/>
        <v>873</v>
      </c>
      <c r="E509" s="34">
        <f t="shared" si="227"/>
        <v>4.47674804340587e-6</v>
      </c>
      <c r="F509" s="35">
        <f t="shared" si="232"/>
        <v>0.000727414381768809</v>
      </c>
      <c r="G509" s="18">
        <f>(SUM($I$8:$I509)*(MAX(M$3-M$4,0))+(N509*MAX(M$4,0)))*(1-$AM$4)+(AM509*$AM$4)</f>
        <v>0.365162019647942</v>
      </c>
      <c r="H509" s="18">
        <f t="shared" si="221"/>
        <v>1.25</v>
      </c>
      <c r="I509" s="18">
        <f t="shared" si="233"/>
        <v>0.0116414141414142</v>
      </c>
      <c r="J509" s="18">
        <f t="shared" si="222"/>
        <v>0.497551437129866</v>
      </c>
      <c r="K509" s="18">
        <f t="shared" si="223"/>
        <v>0.00276070638939634</v>
      </c>
      <c r="L509" s="18">
        <f t="shared" si="224"/>
        <v>0.00931313131313133</v>
      </c>
      <c r="M509" s="18">
        <v>0.4062</v>
      </c>
      <c r="N509" s="18">
        <f t="shared" si="228"/>
        <v>0.4062</v>
      </c>
      <c r="O509" s="11">
        <v>0</v>
      </c>
      <c r="P509" s="11">
        <v>0</v>
      </c>
      <c r="Q509" s="11">
        <f t="shared" si="234"/>
        <v>1</v>
      </c>
      <c r="R509" s="11">
        <v>0</v>
      </c>
      <c r="S509" s="11">
        <f t="shared" si="225"/>
        <v>0</v>
      </c>
      <c r="T509" s="11">
        <v>0</v>
      </c>
      <c r="U509" s="11">
        <f t="shared" si="235"/>
        <v>1</v>
      </c>
      <c r="V509" s="11">
        <v>0</v>
      </c>
      <c r="W509" s="11">
        <f t="shared" si="236"/>
        <v>1</v>
      </c>
      <c r="X509" s="11">
        <f t="shared" si="226"/>
        <v>0</v>
      </c>
      <c r="Y509" s="19">
        <v>5.92</v>
      </c>
      <c r="Z509" s="11">
        <v>10</v>
      </c>
      <c r="AA509" s="11">
        <v>14</v>
      </c>
      <c r="AB509" s="11">
        <v>10</v>
      </c>
      <c r="AC509" s="11">
        <v>0</v>
      </c>
      <c r="AD509" s="11">
        <v>0</v>
      </c>
      <c r="AE509" s="11">
        <v>0</v>
      </c>
      <c r="AF509" s="11">
        <v>0</v>
      </c>
      <c r="AG509" s="11">
        <v>0</v>
      </c>
      <c r="AH509" s="11">
        <v>0</v>
      </c>
      <c r="AI509" s="45">
        <v>0</v>
      </c>
      <c r="AJ509" s="45">
        <v>0</v>
      </c>
      <c r="AK509" s="45">
        <f t="shared" si="237"/>
        <v>0.3611</v>
      </c>
      <c r="AL509" s="45">
        <f t="shared" si="238"/>
        <v>0.00348095238095238</v>
      </c>
      <c r="AM509" s="45">
        <f t="shared" si="239"/>
        <v>0.0012569719047619</v>
      </c>
      <c r="AN509" s="45">
        <f t="shared" si="240"/>
        <v>0.792187500000004</v>
      </c>
      <c r="AO509" s="45">
        <f t="shared" si="241"/>
        <v>0.792187500000004</v>
      </c>
      <c r="AP509" s="45">
        <f t="shared" si="242"/>
        <v>1.05625000000001</v>
      </c>
      <c r="AQ509" s="45">
        <f t="shared" si="243"/>
        <v>0</v>
      </c>
      <c r="AR509" s="45">
        <f t="shared" si="244"/>
        <v>0</v>
      </c>
      <c r="AS509" s="19">
        <f t="shared" si="245"/>
        <v>1.07916666666667</v>
      </c>
      <c r="AT509" s="19">
        <f t="shared" si="246"/>
        <v>1.03333333333334</v>
      </c>
      <c r="AU509" s="46">
        <v>0</v>
      </c>
      <c r="AV509" s="46">
        <v>0</v>
      </c>
      <c r="AW509" s="46">
        <v>0</v>
      </c>
      <c r="AX509" s="46">
        <v>1</v>
      </c>
      <c r="AY509" s="47">
        <v>0</v>
      </c>
      <c r="AZ509" s="47">
        <v>-1</v>
      </c>
    </row>
    <row r="510" hidden="1" customHeight="1" spans="1:52">
      <c r="A510" s="44">
        <v>45835</v>
      </c>
      <c r="B510" s="33">
        <f t="shared" si="229"/>
        <v>181</v>
      </c>
      <c r="C510" s="33">
        <f t="shared" si="230"/>
        <v>688</v>
      </c>
      <c r="D510" s="11">
        <f t="shared" si="231"/>
        <v>869</v>
      </c>
      <c r="E510" s="34">
        <f t="shared" si="227"/>
        <v>1.39016829487487e-6</v>
      </c>
      <c r="F510" s="35">
        <f t="shared" si="232"/>
        <v>0.000728804550063684</v>
      </c>
      <c r="G510" s="18">
        <f>(SUM($I$8:$I510)*(MAX(M$3-M$4,0))+(N510*MAX(M$4,0)))*(1-$AM$4)+(AM510*$AM$4)</f>
        <v>0.366588688682033</v>
      </c>
      <c r="H510" s="18">
        <f t="shared" si="221"/>
        <v>1.25</v>
      </c>
      <c r="I510" s="18">
        <f t="shared" si="233"/>
        <v>0.00760890151515153</v>
      </c>
      <c r="J510" s="18">
        <f t="shared" si="222"/>
        <v>0.49850231224356</v>
      </c>
      <c r="K510" s="18">
        <f t="shared" si="223"/>
        <v>0.0027707054572179</v>
      </c>
      <c r="L510" s="18">
        <f t="shared" si="224"/>
        <v>0.00608712121212122</v>
      </c>
      <c r="M510" s="18">
        <v>0</v>
      </c>
      <c r="N510" s="18">
        <f t="shared" si="228"/>
        <v>0.4062</v>
      </c>
      <c r="O510" s="11">
        <v>0</v>
      </c>
      <c r="P510" s="11">
        <v>0</v>
      </c>
      <c r="Q510" s="11">
        <f t="shared" si="234"/>
        <v>1</v>
      </c>
      <c r="R510" s="11">
        <v>0</v>
      </c>
      <c r="S510" s="11">
        <f t="shared" si="225"/>
        <v>0</v>
      </c>
      <c r="T510" s="11">
        <v>0</v>
      </c>
      <c r="U510" s="11">
        <f t="shared" si="235"/>
        <v>1</v>
      </c>
      <c r="V510" s="11">
        <v>0</v>
      </c>
      <c r="W510" s="11">
        <f t="shared" si="236"/>
        <v>1</v>
      </c>
      <c r="X510" s="11">
        <f t="shared" si="226"/>
        <v>0</v>
      </c>
      <c r="Y510" s="19">
        <v>1.67</v>
      </c>
      <c r="Z510" s="11">
        <v>20</v>
      </c>
      <c r="AA510" s="11">
        <v>0</v>
      </c>
      <c r="AB510" s="11">
        <v>0</v>
      </c>
      <c r="AC510" s="11">
        <v>0</v>
      </c>
      <c r="AD510" s="11">
        <v>0</v>
      </c>
      <c r="AE510" s="11">
        <v>0</v>
      </c>
      <c r="AF510" s="11">
        <v>0</v>
      </c>
      <c r="AG510" s="11">
        <v>0</v>
      </c>
      <c r="AH510" s="11">
        <v>0</v>
      </c>
      <c r="AI510" s="45">
        <v>0</v>
      </c>
      <c r="AJ510" s="45">
        <v>0</v>
      </c>
      <c r="AK510" s="45">
        <f t="shared" si="237"/>
        <v>0.3611</v>
      </c>
      <c r="AL510" s="45">
        <f t="shared" si="238"/>
        <v>0.00348095238095238</v>
      </c>
      <c r="AM510" s="45">
        <f t="shared" si="239"/>
        <v>0.0012569719047619</v>
      </c>
      <c r="AN510" s="45">
        <f t="shared" si="240"/>
        <v>0.792187500000004</v>
      </c>
      <c r="AO510" s="45">
        <f t="shared" si="241"/>
        <v>0.792187500000004</v>
      </c>
      <c r="AP510" s="45">
        <f t="shared" si="242"/>
        <v>1.05625000000001</v>
      </c>
      <c r="AQ510" s="45">
        <f t="shared" si="243"/>
        <v>0</v>
      </c>
      <c r="AR510" s="45">
        <f t="shared" si="244"/>
        <v>0</v>
      </c>
      <c r="AS510" s="19">
        <f t="shared" si="245"/>
        <v>1.07916666666667</v>
      </c>
      <c r="AT510" s="19">
        <f t="shared" si="246"/>
        <v>1.03333333333334</v>
      </c>
      <c r="AU510" s="46">
        <v>0</v>
      </c>
      <c r="AV510" s="46">
        <v>0</v>
      </c>
      <c r="AW510" s="46">
        <v>0</v>
      </c>
      <c r="AX510" s="46">
        <v>1</v>
      </c>
      <c r="AY510" s="47">
        <v>0</v>
      </c>
      <c r="AZ510" s="47">
        <v>-1</v>
      </c>
    </row>
    <row r="511" hidden="1" customHeight="1" spans="1:52">
      <c r="A511" s="44">
        <v>45836</v>
      </c>
      <c r="B511" s="33">
        <f t="shared" si="229"/>
        <v>180</v>
      </c>
      <c r="C511" s="33">
        <f t="shared" si="230"/>
        <v>691</v>
      </c>
      <c r="D511" s="11">
        <f t="shared" si="231"/>
        <v>871</v>
      </c>
      <c r="E511" s="34">
        <f t="shared" si="227"/>
        <v>-1.44604077393588e-6</v>
      </c>
      <c r="F511" s="35">
        <f t="shared" si="232"/>
        <v>0.000727358509289748</v>
      </c>
      <c r="G511" s="18">
        <f>(SUM($I$8:$I511)*(MAX(M$3-M$4,0))+(N511*MAX(M$4,0)))*(1-$AM$4)+(AM511*$AM$4)</f>
        <v>0.366588688682033</v>
      </c>
      <c r="H511" s="18">
        <f t="shared" si="221"/>
        <v>1.25</v>
      </c>
      <c r="I511" s="18">
        <f t="shared" si="233"/>
        <v>0</v>
      </c>
      <c r="J511" s="18">
        <f t="shared" si="222"/>
        <v>0.497513220354188</v>
      </c>
      <c r="K511" s="18">
        <f t="shared" si="223"/>
        <v>0.00279159322025451</v>
      </c>
      <c r="L511" s="18">
        <f t="shared" si="224"/>
        <v>0</v>
      </c>
      <c r="M511" s="18">
        <v>0</v>
      </c>
      <c r="N511" s="18">
        <f t="shared" si="228"/>
        <v>0.4062</v>
      </c>
      <c r="O511" s="11">
        <v>0</v>
      </c>
      <c r="P511" s="11">
        <v>0</v>
      </c>
      <c r="Q511" s="11">
        <f t="shared" si="234"/>
        <v>1</v>
      </c>
      <c r="R511" s="11">
        <v>0</v>
      </c>
      <c r="S511" s="11">
        <f t="shared" si="225"/>
        <v>0</v>
      </c>
      <c r="T511" s="11">
        <v>0</v>
      </c>
      <c r="U511" s="11">
        <f t="shared" si="235"/>
        <v>1</v>
      </c>
      <c r="V511" s="11">
        <v>0</v>
      </c>
      <c r="W511" s="11">
        <f t="shared" si="236"/>
        <v>1</v>
      </c>
      <c r="X511" s="11">
        <f t="shared" si="226"/>
        <v>0</v>
      </c>
      <c r="Y511" s="19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1">
        <v>0</v>
      </c>
      <c r="AG511" s="11">
        <v>0</v>
      </c>
      <c r="AH511" s="11">
        <v>0</v>
      </c>
      <c r="AI511" s="45">
        <v>0</v>
      </c>
      <c r="AJ511" s="45">
        <v>0</v>
      </c>
      <c r="AK511" s="45">
        <f t="shared" si="237"/>
        <v>0.3611</v>
      </c>
      <c r="AL511" s="45">
        <f t="shared" si="238"/>
        <v>0.00348095238095238</v>
      </c>
      <c r="AM511" s="45">
        <f t="shared" si="239"/>
        <v>0.0012569719047619</v>
      </c>
      <c r="AN511" s="45">
        <f t="shared" si="240"/>
        <v>0.792187500000004</v>
      </c>
      <c r="AO511" s="45">
        <f t="shared" si="241"/>
        <v>0.792187500000004</v>
      </c>
      <c r="AP511" s="45">
        <f t="shared" si="242"/>
        <v>1.05625000000001</v>
      </c>
      <c r="AQ511" s="45">
        <f t="shared" si="243"/>
        <v>0</v>
      </c>
      <c r="AR511" s="45">
        <f t="shared" si="244"/>
        <v>0</v>
      </c>
      <c r="AS511" s="19">
        <f t="shared" si="245"/>
        <v>1.07916666666667</v>
      </c>
      <c r="AT511" s="19">
        <f t="shared" si="246"/>
        <v>1.03333333333334</v>
      </c>
      <c r="AU511" s="46">
        <v>0</v>
      </c>
      <c r="AV511" s="46">
        <v>0</v>
      </c>
      <c r="AW511" s="46">
        <v>0</v>
      </c>
      <c r="AX511" s="46">
        <v>1</v>
      </c>
      <c r="AY511" s="47">
        <v>0</v>
      </c>
      <c r="AZ511" s="47">
        <v>-1</v>
      </c>
    </row>
    <row r="512" hidden="1" customHeight="1" spans="1:52">
      <c r="A512" s="44">
        <v>45837</v>
      </c>
      <c r="B512" s="33">
        <f t="shared" si="229"/>
        <v>179</v>
      </c>
      <c r="C512" s="33">
        <f t="shared" si="230"/>
        <v>675</v>
      </c>
      <c r="D512" s="11">
        <f t="shared" si="231"/>
        <v>854</v>
      </c>
      <c r="E512" s="34">
        <f t="shared" si="227"/>
        <v>8.34293788289466e-6</v>
      </c>
      <c r="F512" s="35">
        <f t="shared" si="232"/>
        <v>0.000735701447172643</v>
      </c>
      <c r="G512" s="18">
        <f>(SUM($I$8:$I512)*(MAX(M$3-M$4,0))+(N512*MAX(M$4,0)))*(1-$AM$4)+(AM512*$AM$4)</f>
        <v>0.371529230822185</v>
      </c>
      <c r="H512" s="18">
        <f t="shared" si="221"/>
        <v>1.25</v>
      </c>
      <c r="I512" s="18">
        <f t="shared" si="233"/>
        <v>0.0135495580808081</v>
      </c>
      <c r="J512" s="18">
        <f t="shared" si="222"/>
        <v>0.503219789866088</v>
      </c>
      <c r="K512" s="18">
        <f t="shared" si="223"/>
        <v>0.0027753084365023</v>
      </c>
      <c r="L512" s="18">
        <f t="shared" si="224"/>
        <v>0.0108396464646465</v>
      </c>
      <c r="M512" s="18">
        <v>0.4126</v>
      </c>
      <c r="N512" s="18">
        <f t="shared" si="228"/>
        <v>0.4126</v>
      </c>
      <c r="O512" s="11">
        <v>0</v>
      </c>
      <c r="P512" s="11">
        <v>0</v>
      </c>
      <c r="Q512" s="11">
        <f t="shared" si="234"/>
        <v>1</v>
      </c>
      <c r="R512" s="11">
        <v>0</v>
      </c>
      <c r="S512" s="11">
        <f t="shared" si="225"/>
        <v>0</v>
      </c>
      <c r="T512" s="11">
        <v>0</v>
      </c>
      <c r="U512" s="11">
        <f t="shared" si="235"/>
        <v>1</v>
      </c>
      <c r="V512" s="11">
        <v>0</v>
      </c>
      <c r="W512" s="11">
        <f t="shared" si="236"/>
        <v>1</v>
      </c>
      <c r="X512" s="11">
        <f t="shared" si="226"/>
        <v>0</v>
      </c>
      <c r="Y512" s="19">
        <v>9.83</v>
      </c>
      <c r="Z512" s="11">
        <v>1</v>
      </c>
      <c r="AA512" s="11">
        <v>29</v>
      </c>
      <c r="AB512" s="11">
        <v>5</v>
      </c>
      <c r="AC512" s="11">
        <v>2</v>
      </c>
      <c r="AD512" s="11">
        <v>0</v>
      </c>
      <c r="AE512" s="11">
        <v>0</v>
      </c>
      <c r="AF512" s="11">
        <v>0</v>
      </c>
      <c r="AG512" s="11">
        <v>0</v>
      </c>
      <c r="AH512" s="11">
        <v>0</v>
      </c>
      <c r="AI512" s="45">
        <v>0</v>
      </c>
      <c r="AJ512" s="45">
        <v>0</v>
      </c>
      <c r="AK512" s="45">
        <f t="shared" si="237"/>
        <v>0.3611</v>
      </c>
      <c r="AL512" s="45">
        <f t="shared" si="238"/>
        <v>0.00348095238095238</v>
      </c>
      <c r="AM512" s="45">
        <f t="shared" si="239"/>
        <v>0.0012569719047619</v>
      </c>
      <c r="AN512" s="45">
        <f t="shared" si="240"/>
        <v>0.792187500000004</v>
      </c>
      <c r="AO512" s="45">
        <f t="shared" si="241"/>
        <v>0.792187500000004</v>
      </c>
      <c r="AP512" s="45">
        <f t="shared" si="242"/>
        <v>1.05625000000001</v>
      </c>
      <c r="AQ512" s="45">
        <f t="shared" si="243"/>
        <v>0</v>
      </c>
      <c r="AR512" s="45">
        <f t="shared" si="244"/>
        <v>0</v>
      </c>
      <c r="AS512" s="19">
        <f t="shared" si="245"/>
        <v>1.07916666666667</v>
      </c>
      <c r="AT512" s="19">
        <f t="shared" si="246"/>
        <v>1.03333333333334</v>
      </c>
      <c r="AU512" s="46">
        <v>0</v>
      </c>
      <c r="AV512" s="46">
        <v>0</v>
      </c>
      <c r="AW512" s="46">
        <v>0</v>
      </c>
      <c r="AX512" s="46">
        <v>1</v>
      </c>
      <c r="AY512" s="47">
        <v>0</v>
      </c>
      <c r="AZ512" s="47">
        <v>-1</v>
      </c>
    </row>
    <row r="513" hidden="1" customHeight="1" spans="1:52">
      <c r="A513" s="44">
        <v>45838</v>
      </c>
      <c r="B513" s="33">
        <f t="shared" si="229"/>
        <v>178</v>
      </c>
      <c r="C513" s="33">
        <f t="shared" si="230"/>
        <v>648</v>
      </c>
      <c r="D513" s="11">
        <f t="shared" si="231"/>
        <v>826</v>
      </c>
      <c r="E513" s="34">
        <f t="shared" si="227"/>
        <v>1.49120109290516e-5</v>
      </c>
      <c r="F513" s="35">
        <f t="shared" si="232"/>
        <v>0.000750613458101695</v>
      </c>
      <c r="G513" s="18">
        <f>(SUM($I$8:$I513)*(MAX(M$3-M$4,0))+(N513*MAX(M$4,0)))*(1-$AM$4)+(AM513*$AM$4)</f>
        <v>0.379810409799457</v>
      </c>
      <c r="H513" s="18">
        <f t="shared" si="221"/>
        <v>1.25</v>
      </c>
      <c r="I513" s="18">
        <f t="shared" si="233"/>
        <v>0.0175662878787879</v>
      </c>
      <c r="J513" s="18">
        <f t="shared" si="222"/>
        <v>0.513419605341559</v>
      </c>
      <c r="K513" s="18">
        <f t="shared" si="223"/>
        <v>0.00273359772280023</v>
      </c>
      <c r="L513" s="18">
        <f t="shared" si="224"/>
        <v>0.0140530303030303</v>
      </c>
      <c r="M513" s="18">
        <v>0.4259</v>
      </c>
      <c r="N513" s="18">
        <f t="shared" si="228"/>
        <v>0.4259</v>
      </c>
      <c r="O513" s="11">
        <v>0</v>
      </c>
      <c r="P513" s="11">
        <v>0</v>
      </c>
      <c r="Q513" s="11">
        <f t="shared" si="234"/>
        <v>1</v>
      </c>
      <c r="R513" s="11">
        <v>0</v>
      </c>
      <c r="S513" s="11">
        <f t="shared" si="225"/>
        <v>0</v>
      </c>
      <c r="T513" s="11">
        <v>0</v>
      </c>
      <c r="U513" s="11">
        <f t="shared" si="235"/>
        <v>1</v>
      </c>
      <c r="V513" s="11">
        <v>0</v>
      </c>
      <c r="W513" s="11">
        <f t="shared" si="236"/>
        <v>1</v>
      </c>
      <c r="X513" s="11">
        <f t="shared" si="226"/>
        <v>0</v>
      </c>
      <c r="Y513" s="19">
        <v>7.58</v>
      </c>
      <c r="Z513" s="11">
        <v>41</v>
      </c>
      <c r="AA513" s="11">
        <v>0</v>
      </c>
      <c r="AB513" s="11">
        <v>0</v>
      </c>
      <c r="AC513" s="11">
        <v>0</v>
      </c>
      <c r="AD513" s="11">
        <v>0</v>
      </c>
      <c r="AE513" s="11">
        <v>0</v>
      </c>
      <c r="AF513" s="11">
        <v>0</v>
      </c>
      <c r="AG513" s="11">
        <v>0</v>
      </c>
      <c r="AH513" s="11">
        <v>0</v>
      </c>
      <c r="AI513" s="45">
        <v>0</v>
      </c>
      <c r="AJ513" s="45">
        <v>0</v>
      </c>
      <c r="AK513" s="45">
        <f t="shared" si="237"/>
        <v>0.3611</v>
      </c>
      <c r="AL513" s="45">
        <f t="shared" si="238"/>
        <v>0.00348095238095238</v>
      </c>
      <c r="AM513" s="45">
        <f t="shared" si="239"/>
        <v>0.0012569719047619</v>
      </c>
      <c r="AN513" s="45">
        <f t="shared" si="240"/>
        <v>0.792187500000004</v>
      </c>
      <c r="AO513" s="45">
        <f t="shared" si="241"/>
        <v>0.792187500000004</v>
      </c>
      <c r="AP513" s="45">
        <f t="shared" si="242"/>
        <v>1.05625000000001</v>
      </c>
      <c r="AQ513" s="45">
        <f t="shared" si="243"/>
        <v>0</v>
      </c>
      <c r="AR513" s="45">
        <f t="shared" si="244"/>
        <v>0</v>
      </c>
      <c r="AS513" s="19">
        <f t="shared" si="245"/>
        <v>1.07916666666667</v>
      </c>
      <c r="AT513" s="19">
        <f t="shared" si="246"/>
        <v>1.03333333333334</v>
      </c>
      <c r="AU513" s="46">
        <v>0</v>
      </c>
      <c r="AV513" s="46">
        <v>0</v>
      </c>
      <c r="AW513" s="46">
        <v>0</v>
      </c>
      <c r="AX513" s="46">
        <v>1</v>
      </c>
      <c r="AY513" s="47">
        <v>0</v>
      </c>
      <c r="AZ513" s="47">
        <v>-1</v>
      </c>
    </row>
    <row r="514" hidden="1" customHeight="1" spans="1:52">
      <c r="A514" s="44">
        <v>45839</v>
      </c>
      <c r="B514" s="33">
        <f t="shared" si="229"/>
        <v>177</v>
      </c>
      <c r="C514" s="33">
        <f t="shared" si="230"/>
        <v>613</v>
      </c>
      <c r="D514" s="11">
        <f t="shared" si="231"/>
        <v>790</v>
      </c>
      <c r="E514" s="34">
        <f t="shared" si="227"/>
        <v>2.04675540318955e-5</v>
      </c>
      <c r="F514" s="35">
        <f t="shared" si="232"/>
        <v>0.00077108101213359</v>
      </c>
      <c r="G514" s="18">
        <f>(SUM($I$8:$I514)*(MAX(M$3-M$4,0))+(N514*MAX(M$4,0)))*(1-$AM$4)+(AM514*$AM$4)</f>
        <v>0.39093807315173</v>
      </c>
      <c r="H514" s="18">
        <f t="shared" si="221"/>
        <v>1.29166666666667</v>
      </c>
      <c r="I514" s="18">
        <f t="shared" si="233"/>
        <v>0.018347537878788</v>
      </c>
      <c r="J514" s="18">
        <f t="shared" si="222"/>
        <v>0.527419412299376</v>
      </c>
      <c r="K514" s="18">
        <f t="shared" si="223"/>
        <v>0.00266994682316737</v>
      </c>
      <c r="L514" s="18">
        <f t="shared" si="224"/>
        <v>0.0142045454545455</v>
      </c>
      <c r="M514" s="18">
        <v>0.4464</v>
      </c>
      <c r="N514" s="18">
        <f t="shared" si="228"/>
        <v>0.4464</v>
      </c>
      <c r="O514" s="11">
        <v>0</v>
      </c>
      <c r="P514" s="11">
        <v>0</v>
      </c>
      <c r="Q514" s="11">
        <f t="shared" si="234"/>
        <v>1</v>
      </c>
      <c r="R514" s="11">
        <v>0</v>
      </c>
      <c r="S514" s="11">
        <f t="shared" si="225"/>
        <v>0</v>
      </c>
      <c r="T514" s="11">
        <v>0</v>
      </c>
      <c r="U514" s="11">
        <f t="shared" si="235"/>
        <v>1</v>
      </c>
      <c r="V514" s="11">
        <v>0</v>
      </c>
      <c r="W514" s="11">
        <f t="shared" si="236"/>
        <v>1</v>
      </c>
      <c r="X514" s="11">
        <f t="shared" si="226"/>
        <v>0</v>
      </c>
      <c r="Y514" s="19">
        <v>9.42</v>
      </c>
      <c r="Z514" s="11">
        <v>39</v>
      </c>
      <c r="AA514" s="11">
        <v>0</v>
      </c>
      <c r="AB514" s="11">
        <v>0</v>
      </c>
      <c r="AC514" s="11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45">
        <v>0</v>
      </c>
      <c r="AJ514" s="45">
        <v>0</v>
      </c>
      <c r="AK514" s="45">
        <f t="shared" si="237"/>
        <v>0.3611</v>
      </c>
      <c r="AL514" s="45">
        <f t="shared" si="238"/>
        <v>0.00348095238095238</v>
      </c>
      <c r="AM514" s="45">
        <f t="shared" si="239"/>
        <v>0.0012569719047619</v>
      </c>
      <c r="AN514" s="45">
        <f t="shared" si="240"/>
        <v>0.792187500000004</v>
      </c>
      <c r="AO514" s="45">
        <f t="shared" si="241"/>
        <v>0.792187500000004</v>
      </c>
      <c r="AP514" s="45">
        <f t="shared" si="242"/>
        <v>1.05625000000001</v>
      </c>
      <c r="AQ514" s="45">
        <f t="shared" si="243"/>
        <v>0</v>
      </c>
      <c r="AR514" s="45">
        <f t="shared" si="244"/>
        <v>0</v>
      </c>
      <c r="AS514" s="19">
        <f t="shared" si="245"/>
        <v>1.07916666666667</v>
      </c>
      <c r="AT514" s="19">
        <f t="shared" si="246"/>
        <v>1.03333333333334</v>
      </c>
      <c r="AU514" s="46">
        <v>0</v>
      </c>
      <c r="AV514" s="46">
        <v>0</v>
      </c>
      <c r="AW514" s="46">
        <v>0</v>
      </c>
      <c r="AX514" s="46">
        <v>1</v>
      </c>
      <c r="AY514" s="47">
        <v>0</v>
      </c>
      <c r="AZ514" s="47">
        <v>-1</v>
      </c>
    </row>
    <row r="515" hidden="1" customHeight="1" spans="1:52">
      <c r="A515" s="44">
        <v>45840</v>
      </c>
      <c r="B515" s="33">
        <f t="shared" si="229"/>
        <v>176</v>
      </c>
      <c r="C515" s="33">
        <f t="shared" si="230"/>
        <v>540</v>
      </c>
      <c r="D515" s="11">
        <f t="shared" si="231"/>
        <v>716</v>
      </c>
      <c r="E515" s="34">
        <f t="shared" si="227"/>
        <v>4.58104997151391e-5</v>
      </c>
      <c r="F515" s="35">
        <f t="shared" si="232"/>
        <v>0.000816891511848729</v>
      </c>
      <c r="G515" s="18">
        <f>(SUM($I$8:$I515)*(MAX(M$3-M$4,0))+(N515*MAX(M$4,0)))*(1-$AM$4)+(AM515*$AM$4)</f>
        <v>0.414980888019154</v>
      </c>
      <c r="H515" s="18">
        <f t="shared" si="221"/>
        <v>1.29166666666667</v>
      </c>
      <c r="I515" s="18">
        <f t="shared" si="233"/>
        <v>0.0274283459595961</v>
      </c>
      <c r="J515" s="18">
        <f t="shared" si="222"/>
        <v>0.558753794104531</v>
      </c>
      <c r="K515" s="18">
        <f t="shared" si="223"/>
        <v>0.00250708071531517</v>
      </c>
      <c r="L515" s="18">
        <f t="shared" si="224"/>
        <v>0.0212348484848485</v>
      </c>
      <c r="M515" s="18">
        <v>0.4968</v>
      </c>
      <c r="N515" s="18">
        <f t="shared" si="228"/>
        <v>0.4968</v>
      </c>
      <c r="O515" s="11">
        <v>0</v>
      </c>
      <c r="P515" s="11">
        <v>0</v>
      </c>
      <c r="Q515" s="11">
        <f t="shared" si="234"/>
        <v>1</v>
      </c>
      <c r="R515" s="11">
        <v>0</v>
      </c>
      <c r="S515" s="11">
        <f t="shared" si="225"/>
        <v>0</v>
      </c>
      <c r="T515" s="11">
        <v>0</v>
      </c>
      <c r="U515" s="11">
        <f t="shared" si="235"/>
        <v>1</v>
      </c>
      <c r="V515" s="11">
        <v>0</v>
      </c>
      <c r="W515" s="11">
        <f t="shared" si="236"/>
        <v>1</v>
      </c>
      <c r="X515" s="11">
        <f t="shared" si="226"/>
        <v>0</v>
      </c>
      <c r="Y515" s="19">
        <v>11.42</v>
      </c>
      <c r="Z515" s="11">
        <v>62</v>
      </c>
      <c r="AA515" s="11">
        <v>0</v>
      </c>
      <c r="AB515" s="11">
        <v>0</v>
      </c>
      <c r="AC515" s="11">
        <v>0</v>
      </c>
      <c r="AD515" s="11">
        <v>0</v>
      </c>
      <c r="AE515" s="11">
        <v>0</v>
      </c>
      <c r="AF515" s="11">
        <v>0</v>
      </c>
      <c r="AG515" s="11">
        <v>0</v>
      </c>
      <c r="AH515" s="11">
        <v>0</v>
      </c>
      <c r="AI515" s="45">
        <v>0</v>
      </c>
      <c r="AJ515" s="45">
        <v>0</v>
      </c>
      <c r="AK515" s="45">
        <f t="shared" si="237"/>
        <v>0.3611</v>
      </c>
      <c r="AL515" s="45">
        <f t="shared" si="238"/>
        <v>0.00348095238095238</v>
      </c>
      <c r="AM515" s="45">
        <f t="shared" si="239"/>
        <v>0.0012569719047619</v>
      </c>
      <c r="AN515" s="45">
        <f t="shared" si="240"/>
        <v>0.792187500000004</v>
      </c>
      <c r="AO515" s="45">
        <f t="shared" si="241"/>
        <v>0.792187500000004</v>
      </c>
      <c r="AP515" s="45">
        <f t="shared" si="242"/>
        <v>1.05625000000001</v>
      </c>
      <c r="AQ515" s="45">
        <f t="shared" si="243"/>
        <v>0</v>
      </c>
      <c r="AR515" s="45">
        <f t="shared" si="244"/>
        <v>0</v>
      </c>
      <c r="AS515" s="19">
        <f t="shared" si="245"/>
        <v>1.07916666666667</v>
      </c>
      <c r="AT515" s="19">
        <f t="shared" si="246"/>
        <v>1.03333333333334</v>
      </c>
      <c r="AU515" s="46">
        <v>0</v>
      </c>
      <c r="AV515" s="46">
        <v>0</v>
      </c>
      <c r="AW515" s="46">
        <v>0</v>
      </c>
      <c r="AX515" s="46">
        <v>1</v>
      </c>
      <c r="AY515" s="47">
        <v>0</v>
      </c>
      <c r="AZ515" s="47">
        <v>-1</v>
      </c>
    </row>
    <row r="516" hidden="1" customHeight="1" spans="1:52">
      <c r="A516" s="44">
        <v>45841</v>
      </c>
      <c r="B516" s="33">
        <f t="shared" si="229"/>
        <v>175</v>
      </c>
      <c r="C516" s="33">
        <f t="shared" si="230"/>
        <v>501</v>
      </c>
      <c r="D516" s="11">
        <f t="shared" si="231"/>
        <v>676</v>
      </c>
      <c r="E516" s="34">
        <f t="shared" si="227"/>
        <v>2.68293585973088e-5</v>
      </c>
      <c r="F516" s="35">
        <f t="shared" si="232"/>
        <v>0.000843720870446038</v>
      </c>
      <c r="G516" s="18">
        <f>(SUM($I$8:$I516)*(MAX(M$3-M$4,0))+(N516*MAX(M$4,0)))*(1-$AM$4)+(AM516*$AM$4)</f>
        <v>0.429453923057033</v>
      </c>
      <c r="H516" s="18">
        <f t="shared" si="221"/>
        <v>1.29166666666667</v>
      </c>
      <c r="I516" s="18">
        <f t="shared" si="233"/>
        <v>0.0323895202020203</v>
      </c>
      <c r="J516" s="18">
        <f t="shared" si="222"/>
        <v>0.57710507538509</v>
      </c>
      <c r="K516" s="18">
        <f t="shared" si="223"/>
        <v>0.00241654242637091</v>
      </c>
      <c r="L516" s="18">
        <f t="shared" si="224"/>
        <v>0.0250757575757576</v>
      </c>
      <c r="M516" s="18">
        <v>0.5192</v>
      </c>
      <c r="N516" s="18">
        <f t="shared" si="228"/>
        <v>0.5192</v>
      </c>
      <c r="O516" s="11">
        <v>0</v>
      </c>
      <c r="P516" s="11">
        <v>0</v>
      </c>
      <c r="Q516" s="11">
        <f t="shared" si="234"/>
        <v>1</v>
      </c>
      <c r="R516" s="11">
        <v>0</v>
      </c>
      <c r="S516" s="11">
        <f t="shared" si="225"/>
        <v>0</v>
      </c>
      <c r="T516" s="11">
        <v>0</v>
      </c>
      <c r="U516" s="11">
        <f t="shared" si="235"/>
        <v>1</v>
      </c>
      <c r="V516" s="11">
        <v>0</v>
      </c>
      <c r="W516" s="11">
        <f t="shared" si="236"/>
        <v>1</v>
      </c>
      <c r="X516" s="11">
        <f t="shared" si="226"/>
        <v>0</v>
      </c>
      <c r="Y516" s="19">
        <v>15.08</v>
      </c>
      <c r="Z516" s="11">
        <v>71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45">
        <v>0</v>
      </c>
      <c r="AJ516" s="45">
        <v>0</v>
      </c>
      <c r="AK516" s="45">
        <f t="shared" si="237"/>
        <v>0.3611</v>
      </c>
      <c r="AL516" s="45">
        <f t="shared" si="238"/>
        <v>0.00348095238095238</v>
      </c>
      <c r="AM516" s="45">
        <f t="shared" si="239"/>
        <v>0.0012569719047619</v>
      </c>
      <c r="AN516" s="45">
        <f t="shared" si="240"/>
        <v>0.792187500000004</v>
      </c>
      <c r="AO516" s="45">
        <f t="shared" si="241"/>
        <v>0.792187500000004</v>
      </c>
      <c r="AP516" s="45">
        <f t="shared" si="242"/>
        <v>1.05625000000001</v>
      </c>
      <c r="AQ516" s="45">
        <f t="shared" si="243"/>
        <v>0</v>
      </c>
      <c r="AR516" s="45">
        <f t="shared" si="244"/>
        <v>0</v>
      </c>
      <c r="AS516" s="19">
        <f t="shared" si="245"/>
        <v>1.07916666666667</v>
      </c>
      <c r="AT516" s="19">
        <f t="shared" si="246"/>
        <v>1.03333333333334</v>
      </c>
      <c r="AU516" s="46">
        <v>0</v>
      </c>
      <c r="AV516" s="46">
        <v>0</v>
      </c>
      <c r="AW516" s="46">
        <v>0</v>
      </c>
      <c r="AX516" s="46">
        <v>1</v>
      </c>
      <c r="AY516" s="47">
        <v>0</v>
      </c>
      <c r="AZ516" s="47">
        <v>-1</v>
      </c>
    </row>
    <row r="517" hidden="1" customHeight="1" spans="1:52">
      <c r="A517" s="44">
        <v>45842</v>
      </c>
      <c r="B517" s="33">
        <f t="shared" si="229"/>
        <v>174</v>
      </c>
      <c r="C517" s="33">
        <f t="shared" si="230"/>
        <v>504</v>
      </c>
      <c r="D517" s="11">
        <f t="shared" si="231"/>
        <v>678</v>
      </c>
      <c r="E517" s="34">
        <f t="shared" si="227"/>
        <v>-1.65435464793344e-6</v>
      </c>
      <c r="F517" s="35">
        <f t="shared" si="232"/>
        <v>0.000842066515798104</v>
      </c>
      <c r="G517" s="18">
        <f>(SUM($I$8:$I517)*(MAX(M$3-M$4,0))+(N517*MAX(M$4,0)))*(1-$AM$4)+(AM517*$AM$4)</f>
        <v>0.429453923057033</v>
      </c>
      <c r="H517" s="18">
        <f t="shared" si="221"/>
        <v>1.29166666666667</v>
      </c>
      <c r="I517" s="18">
        <f t="shared" si="233"/>
        <v>0</v>
      </c>
      <c r="J517" s="18">
        <f t="shared" si="222"/>
        <v>0.575973496805903</v>
      </c>
      <c r="K517" s="18">
        <f t="shared" si="223"/>
        <v>0.00243693392640285</v>
      </c>
      <c r="L517" s="18">
        <f t="shared" si="224"/>
        <v>0</v>
      </c>
      <c r="M517" s="18">
        <v>0</v>
      </c>
      <c r="N517" s="18">
        <f t="shared" si="228"/>
        <v>0.5192</v>
      </c>
      <c r="O517" s="11">
        <v>0</v>
      </c>
      <c r="P517" s="11">
        <v>0</v>
      </c>
      <c r="Q517" s="11">
        <f t="shared" si="234"/>
        <v>1</v>
      </c>
      <c r="R517" s="11">
        <v>0</v>
      </c>
      <c r="S517" s="11">
        <f t="shared" si="225"/>
        <v>0</v>
      </c>
      <c r="T517" s="11">
        <v>0</v>
      </c>
      <c r="U517" s="11">
        <f t="shared" si="235"/>
        <v>1</v>
      </c>
      <c r="V517" s="11">
        <v>0</v>
      </c>
      <c r="W517" s="11">
        <f t="shared" si="236"/>
        <v>1</v>
      </c>
      <c r="X517" s="11">
        <f t="shared" si="226"/>
        <v>0</v>
      </c>
      <c r="Y517" s="19">
        <v>0</v>
      </c>
      <c r="Z517" s="11">
        <v>0</v>
      </c>
      <c r="AA517" s="11">
        <v>0</v>
      </c>
      <c r="AB517" s="11">
        <v>0</v>
      </c>
      <c r="AC517" s="11">
        <v>0</v>
      </c>
      <c r="AD517" s="11">
        <v>0</v>
      </c>
      <c r="AE517" s="11">
        <v>0</v>
      </c>
      <c r="AF517" s="11">
        <v>0</v>
      </c>
      <c r="AG517" s="11">
        <v>0</v>
      </c>
      <c r="AH517" s="11">
        <v>0</v>
      </c>
      <c r="AI517" s="45">
        <v>0</v>
      </c>
      <c r="AJ517" s="45">
        <v>0</v>
      </c>
      <c r="AK517" s="45">
        <f t="shared" si="237"/>
        <v>0.3611</v>
      </c>
      <c r="AL517" s="45">
        <f t="shared" si="238"/>
        <v>0.00348095238095238</v>
      </c>
      <c r="AM517" s="45">
        <f t="shared" si="239"/>
        <v>0.0012569719047619</v>
      </c>
      <c r="AN517" s="45">
        <f t="shared" si="240"/>
        <v>0.792187500000004</v>
      </c>
      <c r="AO517" s="45">
        <f t="shared" si="241"/>
        <v>0.792187500000004</v>
      </c>
      <c r="AP517" s="45">
        <f t="shared" si="242"/>
        <v>1.05625000000001</v>
      </c>
      <c r="AQ517" s="45">
        <f t="shared" si="243"/>
        <v>0</v>
      </c>
      <c r="AR517" s="45">
        <f t="shared" si="244"/>
        <v>0</v>
      </c>
      <c r="AS517" s="19">
        <f t="shared" si="245"/>
        <v>1.07916666666667</v>
      </c>
      <c r="AT517" s="19">
        <f t="shared" si="246"/>
        <v>1.03333333333334</v>
      </c>
      <c r="AU517" s="46">
        <v>0</v>
      </c>
      <c r="AV517" s="46">
        <v>0</v>
      </c>
      <c r="AW517" s="46">
        <v>0</v>
      </c>
      <c r="AX517" s="46">
        <v>1</v>
      </c>
      <c r="AY517" s="47">
        <v>0</v>
      </c>
      <c r="AZ517" s="47">
        <v>-1</v>
      </c>
    </row>
    <row r="518" hidden="1" customHeight="1" spans="1:52">
      <c r="A518" s="44">
        <v>45843</v>
      </c>
      <c r="B518" s="33">
        <f t="shared" si="229"/>
        <v>173</v>
      </c>
      <c r="C518" s="33">
        <f t="shared" si="230"/>
        <v>506</v>
      </c>
      <c r="D518" s="11">
        <f t="shared" si="231"/>
        <v>679</v>
      </c>
      <c r="E518" s="34">
        <f t="shared" si="227"/>
        <v>-1.64787967866554e-6</v>
      </c>
      <c r="F518" s="35">
        <f t="shared" si="232"/>
        <v>0.000840418636119439</v>
      </c>
      <c r="G518" s="18">
        <f>(SUM($I$8:$I518)*(MAX(M$3-M$4,0))+(N518*MAX(M$4,0)))*(1-$AM$4)+(AM518*$AM$4)</f>
        <v>0.429453923057033</v>
      </c>
      <c r="H518" s="18">
        <f t="shared" si="221"/>
        <v>1.29166666666667</v>
      </c>
      <c r="I518" s="18">
        <f t="shared" si="233"/>
        <v>0</v>
      </c>
      <c r="J518" s="18">
        <f t="shared" si="222"/>
        <v>0.574846347105696</v>
      </c>
      <c r="K518" s="18">
        <f t="shared" si="223"/>
        <v>0.00245753556586303</v>
      </c>
      <c r="L518" s="18">
        <f t="shared" si="224"/>
        <v>0</v>
      </c>
      <c r="M518" s="18">
        <v>0</v>
      </c>
      <c r="N518" s="18">
        <f t="shared" si="228"/>
        <v>0.5192</v>
      </c>
      <c r="O518" s="11">
        <v>0</v>
      </c>
      <c r="P518" s="11">
        <v>0</v>
      </c>
      <c r="Q518" s="11">
        <f t="shared" si="234"/>
        <v>1</v>
      </c>
      <c r="R518" s="11">
        <v>0</v>
      </c>
      <c r="S518" s="11">
        <f t="shared" si="225"/>
        <v>0</v>
      </c>
      <c r="T518" s="11">
        <v>0</v>
      </c>
      <c r="U518" s="11">
        <f t="shared" si="235"/>
        <v>1</v>
      </c>
      <c r="V518" s="11">
        <v>0</v>
      </c>
      <c r="W518" s="11">
        <f t="shared" si="236"/>
        <v>1</v>
      </c>
      <c r="X518" s="11">
        <f t="shared" si="226"/>
        <v>0</v>
      </c>
      <c r="Y518" s="19">
        <v>0</v>
      </c>
      <c r="Z518" s="11">
        <v>0</v>
      </c>
      <c r="AA518" s="11">
        <v>0</v>
      </c>
      <c r="AB518" s="11">
        <v>0</v>
      </c>
      <c r="AC518" s="11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45">
        <v>0</v>
      </c>
      <c r="AJ518" s="45">
        <v>0</v>
      </c>
      <c r="AK518" s="45">
        <f t="shared" si="237"/>
        <v>0.3611</v>
      </c>
      <c r="AL518" s="45">
        <f t="shared" si="238"/>
        <v>0.00348095238095238</v>
      </c>
      <c r="AM518" s="45">
        <f t="shared" si="239"/>
        <v>0.0012569719047619</v>
      </c>
      <c r="AN518" s="45">
        <f t="shared" si="240"/>
        <v>0.792187500000004</v>
      </c>
      <c r="AO518" s="45">
        <f t="shared" si="241"/>
        <v>0.792187500000004</v>
      </c>
      <c r="AP518" s="45">
        <f t="shared" si="242"/>
        <v>1.05625000000001</v>
      </c>
      <c r="AQ518" s="45">
        <f t="shared" si="243"/>
        <v>0</v>
      </c>
      <c r="AR518" s="45">
        <f t="shared" si="244"/>
        <v>0</v>
      </c>
      <c r="AS518" s="19">
        <f t="shared" si="245"/>
        <v>1.07916666666667</v>
      </c>
      <c r="AT518" s="19">
        <f t="shared" si="246"/>
        <v>1.03333333333334</v>
      </c>
      <c r="AU518" s="46">
        <v>0</v>
      </c>
      <c r="AV518" s="46">
        <v>0</v>
      </c>
      <c r="AW518" s="46">
        <v>0</v>
      </c>
      <c r="AX518" s="46">
        <v>1</v>
      </c>
      <c r="AY518" s="47">
        <v>0</v>
      </c>
      <c r="AZ518" s="47">
        <v>-1</v>
      </c>
    </row>
    <row r="519" hidden="1" customHeight="1" spans="1:52">
      <c r="A519" s="44">
        <v>45844</v>
      </c>
      <c r="B519" s="33">
        <f t="shared" si="229"/>
        <v>172</v>
      </c>
      <c r="C519" s="33">
        <f t="shared" si="230"/>
        <v>508</v>
      </c>
      <c r="D519" s="11">
        <f t="shared" si="231"/>
        <v>680</v>
      </c>
      <c r="E519" s="34">
        <f t="shared" si="227"/>
        <v>-1.64144264867079e-6</v>
      </c>
      <c r="F519" s="35">
        <f t="shared" si="232"/>
        <v>0.000838777193470768</v>
      </c>
      <c r="G519" s="18">
        <f>(SUM($I$8:$I519)*(MAX(M$3-M$4,0))+(N519*MAX(M$4,0)))*(1-$AM$4)+(AM519*$AM$4)</f>
        <v>0.429453923057033</v>
      </c>
      <c r="H519" s="18">
        <f t="shared" si="221"/>
        <v>1.29166666666667</v>
      </c>
      <c r="I519" s="18">
        <f t="shared" si="233"/>
        <v>0</v>
      </c>
      <c r="J519" s="18">
        <f t="shared" si="222"/>
        <v>0.573723600334005</v>
      </c>
      <c r="K519" s="18">
        <f t="shared" si="223"/>
        <v>0.00247835116084881</v>
      </c>
      <c r="L519" s="18">
        <f t="shared" si="224"/>
        <v>0</v>
      </c>
      <c r="M519" s="18">
        <v>0</v>
      </c>
      <c r="N519" s="18">
        <f t="shared" si="228"/>
        <v>0.5192</v>
      </c>
      <c r="O519" s="11">
        <v>0</v>
      </c>
      <c r="P519" s="11">
        <v>0</v>
      </c>
      <c r="Q519" s="11">
        <f t="shared" si="234"/>
        <v>1</v>
      </c>
      <c r="R519" s="11">
        <v>0</v>
      </c>
      <c r="S519" s="11">
        <f t="shared" si="225"/>
        <v>0</v>
      </c>
      <c r="T519" s="11">
        <v>0</v>
      </c>
      <c r="U519" s="11">
        <f t="shared" si="235"/>
        <v>1</v>
      </c>
      <c r="V519" s="11">
        <v>0</v>
      </c>
      <c r="W519" s="11">
        <f t="shared" si="236"/>
        <v>1</v>
      </c>
      <c r="X519" s="11">
        <f t="shared" si="226"/>
        <v>0</v>
      </c>
      <c r="Y519" s="19">
        <v>0</v>
      </c>
      <c r="Z519" s="11">
        <v>0</v>
      </c>
      <c r="AA519" s="11">
        <v>0</v>
      </c>
      <c r="AB519" s="11">
        <v>0</v>
      </c>
      <c r="AC519" s="11">
        <v>0</v>
      </c>
      <c r="AD519" s="11">
        <v>0</v>
      </c>
      <c r="AE519" s="11">
        <v>0</v>
      </c>
      <c r="AF519" s="11">
        <v>0</v>
      </c>
      <c r="AG519" s="11">
        <v>0</v>
      </c>
      <c r="AH519" s="11">
        <v>0</v>
      </c>
      <c r="AI519" s="45">
        <v>0</v>
      </c>
      <c r="AJ519" s="45">
        <v>0</v>
      </c>
      <c r="AK519" s="45">
        <f t="shared" si="237"/>
        <v>0.3611</v>
      </c>
      <c r="AL519" s="45">
        <f t="shared" si="238"/>
        <v>0.00348095238095238</v>
      </c>
      <c r="AM519" s="45">
        <f t="shared" si="239"/>
        <v>0.0012569719047619</v>
      </c>
      <c r="AN519" s="45">
        <f t="shared" si="240"/>
        <v>0.792187500000004</v>
      </c>
      <c r="AO519" s="45">
        <f t="shared" si="241"/>
        <v>0.792187500000004</v>
      </c>
      <c r="AP519" s="45">
        <f t="shared" si="242"/>
        <v>1.05625000000001</v>
      </c>
      <c r="AQ519" s="45">
        <f t="shared" si="243"/>
        <v>0</v>
      </c>
      <c r="AR519" s="45">
        <f t="shared" si="244"/>
        <v>0</v>
      </c>
      <c r="AS519" s="19">
        <f t="shared" si="245"/>
        <v>1.07916666666667</v>
      </c>
      <c r="AT519" s="19">
        <f t="shared" si="246"/>
        <v>1.03333333333334</v>
      </c>
      <c r="AU519" s="46">
        <v>0</v>
      </c>
      <c r="AV519" s="46">
        <v>0</v>
      </c>
      <c r="AW519" s="46">
        <v>0</v>
      </c>
      <c r="AX519" s="46">
        <v>1</v>
      </c>
      <c r="AY519" s="47">
        <v>0</v>
      </c>
      <c r="AZ519" s="47">
        <v>-1</v>
      </c>
    </row>
    <row r="520" hidden="1" customHeight="1" spans="1:52">
      <c r="A520" s="44">
        <v>45845</v>
      </c>
      <c r="B520" s="33">
        <f t="shared" si="229"/>
        <v>171</v>
      </c>
      <c r="C520" s="33">
        <f t="shared" si="230"/>
        <v>511</v>
      </c>
      <c r="D520" s="11">
        <f t="shared" si="231"/>
        <v>682</v>
      </c>
      <c r="E520" s="34">
        <f t="shared" si="227"/>
        <v>-1.63504326212624e-6</v>
      </c>
      <c r="F520" s="35">
        <f t="shared" si="232"/>
        <v>0.000837142150208642</v>
      </c>
      <c r="G520" s="18">
        <f>(SUM($I$8:$I520)*(MAX(M$3-M$4,0))+(N520*MAX(M$4,0)))*(1-$AM$4)+(AM520*$AM$4)</f>
        <v>0.429453923057033</v>
      </c>
      <c r="H520" s="18">
        <f t="shared" ref="H520:H583" si="247">0.5+(MONTH(A520)+(YEAR(A520)-2024)*12)/((YEAR(B$2)-2023)*12)</f>
        <v>1.29166666666667</v>
      </c>
      <c r="I520" s="18">
        <f t="shared" si="233"/>
        <v>0</v>
      </c>
      <c r="J520" s="18">
        <f t="shared" ref="J520:J583" si="248">F520*B520+G520</f>
        <v>0.572605230742711</v>
      </c>
      <c r="K520" s="18">
        <f t="shared" ref="K520:K583" si="249">((1-G520)/B520)-F520</f>
        <v>0.0024993846155397</v>
      </c>
      <c r="L520" s="18">
        <f t="shared" ref="L520:L583" si="250">Y520*Y$6+X520*X$6+Z520*Z$6+AA520*AA$6+AB520*AB$6+AC520*AC$6+AD520*AD$6+AE520*AE$6+AF520*AF$6+AG520*AG$6+AH520*AH$6</f>
        <v>0</v>
      </c>
      <c r="M520" s="18">
        <v>0</v>
      </c>
      <c r="N520" s="18">
        <f t="shared" si="228"/>
        <v>0.5192</v>
      </c>
      <c r="O520" s="11">
        <v>0</v>
      </c>
      <c r="P520" s="11">
        <v>0</v>
      </c>
      <c r="Q520" s="11">
        <f t="shared" si="234"/>
        <v>1</v>
      </c>
      <c r="R520" s="11">
        <v>0</v>
      </c>
      <c r="S520" s="11">
        <f t="shared" ref="S520:S583" si="251">O520*$R$5/MAX(1/FACT(128),R520)</f>
        <v>0</v>
      </c>
      <c r="T520" s="11">
        <v>0</v>
      </c>
      <c r="U520" s="11">
        <f t="shared" si="235"/>
        <v>1</v>
      </c>
      <c r="V520" s="11">
        <v>0</v>
      </c>
      <c r="W520" s="11">
        <f t="shared" si="236"/>
        <v>1</v>
      </c>
      <c r="X520" s="11">
        <f t="shared" ref="X520:X583" si="252">O520*Q520*S520*U520*W520</f>
        <v>0</v>
      </c>
      <c r="Y520" s="19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1">
        <v>0</v>
      </c>
      <c r="AG520" s="11">
        <v>0</v>
      </c>
      <c r="AH520" s="11">
        <v>0</v>
      </c>
      <c r="AI520" s="45">
        <v>0</v>
      </c>
      <c r="AJ520" s="45">
        <v>0</v>
      </c>
      <c r="AK520" s="45">
        <f t="shared" si="237"/>
        <v>0.3611</v>
      </c>
      <c r="AL520" s="45">
        <f t="shared" si="238"/>
        <v>0.00348095238095238</v>
      </c>
      <c r="AM520" s="45">
        <f t="shared" si="239"/>
        <v>0.0012569719047619</v>
      </c>
      <c r="AN520" s="45">
        <f t="shared" si="240"/>
        <v>0.792187500000004</v>
      </c>
      <c r="AO520" s="45">
        <f t="shared" si="241"/>
        <v>0.792187500000004</v>
      </c>
      <c r="AP520" s="45">
        <f t="shared" si="242"/>
        <v>1.05625000000001</v>
      </c>
      <c r="AQ520" s="45">
        <f t="shared" si="243"/>
        <v>0</v>
      </c>
      <c r="AR520" s="45">
        <f t="shared" si="244"/>
        <v>0</v>
      </c>
      <c r="AS520" s="19">
        <f t="shared" si="245"/>
        <v>1.07916666666667</v>
      </c>
      <c r="AT520" s="19">
        <f t="shared" si="246"/>
        <v>1.03333333333334</v>
      </c>
      <c r="AU520" s="46">
        <v>0</v>
      </c>
      <c r="AV520" s="46">
        <v>0</v>
      </c>
      <c r="AW520" s="46">
        <v>0</v>
      </c>
      <c r="AX520" s="46">
        <v>1</v>
      </c>
      <c r="AY520" s="47">
        <v>0</v>
      </c>
      <c r="AZ520" s="47">
        <v>-1</v>
      </c>
    </row>
    <row r="521" hidden="1" customHeight="1" spans="1:52">
      <c r="A521" s="44">
        <v>45846</v>
      </c>
      <c r="B521" s="33">
        <f t="shared" si="229"/>
        <v>170</v>
      </c>
      <c r="C521" s="33">
        <f t="shared" si="230"/>
        <v>488</v>
      </c>
      <c r="D521" s="11">
        <f t="shared" si="231"/>
        <v>658</v>
      </c>
      <c r="E521" s="34">
        <f t="shared" ref="E521:E584" si="253">F521-F520</f>
        <v>1.60116807779516e-5</v>
      </c>
      <c r="F521" s="35">
        <f t="shared" si="232"/>
        <v>0.000853153830986593</v>
      </c>
      <c r="G521" s="18">
        <f>(SUM($I$8:$I521)*(MAX(M$3-M$4,0))+(N521*MAX(M$4,0)))*(1-$AM$4)+(AM521*$AM$4)</f>
        <v>0.438521069127109</v>
      </c>
      <c r="H521" s="18">
        <f t="shared" si="247"/>
        <v>1.29166666666667</v>
      </c>
      <c r="I521" s="18">
        <f t="shared" si="233"/>
        <v>0.0153581123737374</v>
      </c>
      <c r="J521" s="18">
        <f t="shared" si="248"/>
        <v>0.58355722039483</v>
      </c>
      <c r="K521" s="18">
        <f t="shared" si="249"/>
        <v>0.00244966340944218</v>
      </c>
      <c r="L521" s="18">
        <f t="shared" si="250"/>
        <v>0.0118901515151515</v>
      </c>
      <c r="M521" s="18">
        <v>0.5357</v>
      </c>
      <c r="N521" s="18">
        <f t="shared" ref="N521:N584" si="254">IF(M521&gt;N520,M521,N520)</f>
        <v>0.5357</v>
      </c>
      <c r="O521" s="11">
        <v>0</v>
      </c>
      <c r="P521" s="11">
        <v>0</v>
      </c>
      <c r="Q521" s="11">
        <f t="shared" si="234"/>
        <v>1</v>
      </c>
      <c r="R521" s="11">
        <v>0</v>
      </c>
      <c r="S521" s="11">
        <f t="shared" si="251"/>
        <v>0</v>
      </c>
      <c r="T521" s="11">
        <v>0</v>
      </c>
      <c r="U521" s="11">
        <f t="shared" si="235"/>
        <v>1</v>
      </c>
      <c r="V521" s="11">
        <v>0</v>
      </c>
      <c r="W521" s="11">
        <f t="shared" si="236"/>
        <v>1</v>
      </c>
      <c r="X521" s="11">
        <f t="shared" si="252"/>
        <v>0</v>
      </c>
      <c r="Y521" s="19">
        <v>4.75</v>
      </c>
      <c r="Z521" s="11">
        <v>37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1">
        <v>0</v>
      </c>
      <c r="AG521" s="11">
        <v>0</v>
      </c>
      <c r="AH521" s="11">
        <v>0</v>
      </c>
      <c r="AI521" s="45">
        <v>0</v>
      </c>
      <c r="AJ521" s="45">
        <v>0</v>
      </c>
      <c r="AK521" s="45">
        <f t="shared" si="237"/>
        <v>0.3611</v>
      </c>
      <c r="AL521" s="45">
        <f t="shared" si="238"/>
        <v>0.00348095238095238</v>
      </c>
      <c r="AM521" s="45">
        <f t="shared" si="239"/>
        <v>0.0012569719047619</v>
      </c>
      <c r="AN521" s="45">
        <f t="shared" si="240"/>
        <v>0.792187500000004</v>
      </c>
      <c r="AO521" s="45">
        <f t="shared" si="241"/>
        <v>0.792187500000004</v>
      </c>
      <c r="AP521" s="45">
        <f t="shared" si="242"/>
        <v>1.05625000000001</v>
      </c>
      <c r="AQ521" s="45">
        <f t="shared" si="243"/>
        <v>0</v>
      </c>
      <c r="AR521" s="45">
        <f t="shared" si="244"/>
        <v>0</v>
      </c>
      <c r="AS521" s="19">
        <f t="shared" si="245"/>
        <v>1.07916666666667</v>
      </c>
      <c r="AT521" s="19">
        <f t="shared" si="246"/>
        <v>1.03333333333334</v>
      </c>
      <c r="AU521" s="46">
        <v>0</v>
      </c>
      <c r="AV521" s="46">
        <v>0</v>
      </c>
      <c r="AW521" s="46">
        <v>0</v>
      </c>
      <c r="AX521" s="46">
        <v>1</v>
      </c>
      <c r="AY521" s="47">
        <v>0</v>
      </c>
      <c r="AZ521" s="47">
        <v>-1</v>
      </c>
    </row>
    <row r="522" hidden="1" customHeight="1" spans="1:52">
      <c r="A522" s="44">
        <v>45847</v>
      </c>
      <c r="B522" s="33">
        <f t="shared" si="229"/>
        <v>169</v>
      </c>
      <c r="C522" s="33">
        <f t="shared" si="230"/>
        <v>456</v>
      </c>
      <c r="D522" s="11">
        <f t="shared" si="231"/>
        <v>625</v>
      </c>
      <c r="E522" s="34">
        <f t="shared" si="253"/>
        <v>2.39527495301526e-5</v>
      </c>
      <c r="F522" s="35">
        <f t="shared" si="232"/>
        <v>0.000877106580516746</v>
      </c>
      <c r="G522" s="18">
        <f>(SUM($I$8:$I522)*(MAX(M$3-M$4,0))+(N522*MAX(M$4,0)))*(1-$AM$4)+(AM522*$AM$4)</f>
        <v>0.451709888966124</v>
      </c>
      <c r="H522" s="18">
        <f t="shared" si="247"/>
        <v>1.29166666666667</v>
      </c>
      <c r="I522" s="18">
        <f t="shared" si="233"/>
        <v>0.0257403724747476</v>
      </c>
      <c r="J522" s="18">
        <f t="shared" si="248"/>
        <v>0.599940901073454</v>
      </c>
      <c r="K522" s="18">
        <f t="shared" si="249"/>
        <v>0.00236721360311566</v>
      </c>
      <c r="L522" s="18">
        <f t="shared" si="250"/>
        <v>0.0199280303030303</v>
      </c>
      <c r="M522" s="18">
        <v>0.558</v>
      </c>
      <c r="N522" s="18">
        <f t="shared" si="254"/>
        <v>0.558</v>
      </c>
      <c r="O522" s="11">
        <v>0</v>
      </c>
      <c r="P522" s="11">
        <v>0</v>
      </c>
      <c r="Q522" s="11">
        <f t="shared" si="234"/>
        <v>1</v>
      </c>
      <c r="R522" s="11">
        <v>0</v>
      </c>
      <c r="S522" s="11">
        <f t="shared" si="251"/>
        <v>0</v>
      </c>
      <c r="T522" s="11">
        <v>0</v>
      </c>
      <c r="U522" s="11">
        <f t="shared" si="235"/>
        <v>1</v>
      </c>
      <c r="V522" s="11">
        <v>0</v>
      </c>
      <c r="W522" s="11">
        <f t="shared" si="236"/>
        <v>1</v>
      </c>
      <c r="X522" s="11">
        <f t="shared" si="252"/>
        <v>0</v>
      </c>
      <c r="Y522" s="19">
        <v>7.25</v>
      </c>
      <c r="Z522" s="11">
        <v>63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1">
        <v>0</v>
      </c>
      <c r="AG522" s="11">
        <v>0</v>
      </c>
      <c r="AH522" s="11">
        <v>0</v>
      </c>
      <c r="AI522" s="45">
        <v>0</v>
      </c>
      <c r="AJ522" s="45">
        <v>0</v>
      </c>
      <c r="AK522" s="45">
        <f t="shared" si="237"/>
        <v>0.3611</v>
      </c>
      <c r="AL522" s="45">
        <f t="shared" si="238"/>
        <v>0.00348095238095238</v>
      </c>
      <c r="AM522" s="45">
        <f t="shared" si="239"/>
        <v>0.0012569719047619</v>
      </c>
      <c r="AN522" s="45">
        <f t="shared" si="240"/>
        <v>0.792187500000004</v>
      </c>
      <c r="AO522" s="45">
        <f t="shared" si="241"/>
        <v>0.792187500000004</v>
      </c>
      <c r="AP522" s="45">
        <f t="shared" si="242"/>
        <v>1.05625000000001</v>
      </c>
      <c r="AQ522" s="45">
        <f t="shared" si="243"/>
        <v>0</v>
      </c>
      <c r="AR522" s="45">
        <f t="shared" si="244"/>
        <v>0</v>
      </c>
      <c r="AS522" s="19">
        <f t="shared" si="245"/>
        <v>1.07916666666667</v>
      </c>
      <c r="AT522" s="19">
        <f t="shared" si="246"/>
        <v>1.03333333333334</v>
      </c>
      <c r="AU522" s="46">
        <v>0</v>
      </c>
      <c r="AV522" s="46">
        <v>0</v>
      </c>
      <c r="AW522" s="46">
        <v>0</v>
      </c>
      <c r="AX522" s="46">
        <v>1</v>
      </c>
      <c r="AY522" s="47">
        <v>0</v>
      </c>
      <c r="AZ522" s="47">
        <v>-1</v>
      </c>
    </row>
    <row r="523" hidden="1" customHeight="1" spans="1:52">
      <c r="A523" s="44">
        <v>45848</v>
      </c>
      <c r="B523" s="33">
        <f t="shared" si="229"/>
        <v>168</v>
      </c>
      <c r="C523" s="33">
        <f t="shared" si="230"/>
        <v>387</v>
      </c>
      <c r="D523" s="11">
        <f t="shared" si="231"/>
        <v>555</v>
      </c>
      <c r="E523" s="34">
        <f t="shared" si="253"/>
        <v>5.62873244637035e-5</v>
      </c>
      <c r="F523" s="35">
        <f t="shared" si="232"/>
        <v>0.00093339390498045</v>
      </c>
      <c r="G523" s="18">
        <f>(SUM($I$8:$I523)*(MAX(M$3-M$4,0))+(N523*MAX(M$4,0)))*(1-$AM$4)+(AM523*$AM$4)</f>
        <v>0.481631254969912</v>
      </c>
      <c r="H523" s="18">
        <f t="shared" si="247"/>
        <v>1.29166666666667</v>
      </c>
      <c r="I523" s="18">
        <f t="shared" si="233"/>
        <v>0.0277806186868688</v>
      </c>
      <c r="J523" s="18">
        <f t="shared" si="248"/>
        <v>0.638441431006628</v>
      </c>
      <c r="K523" s="18">
        <f t="shared" si="249"/>
        <v>0.00215213433924626</v>
      </c>
      <c r="L523" s="18">
        <f t="shared" si="250"/>
        <v>0.0215075757575758</v>
      </c>
      <c r="M523" s="18">
        <v>0.6239</v>
      </c>
      <c r="N523" s="18">
        <f t="shared" si="254"/>
        <v>0.6239</v>
      </c>
      <c r="O523" s="11">
        <v>0</v>
      </c>
      <c r="P523" s="11">
        <v>0</v>
      </c>
      <c r="Q523" s="11">
        <f t="shared" si="234"/>
        <v>1</v>
      </c>
      <c r="R523" s="11">
        <v>0</v>
      </c>
      <c r="S523" s="11">
        <f t="shared" si="251"/>
        <v>0</v>
      </c>
      <c r="T523" s="11">
        <v>0</v>
      </c>
      <c r="U523" s="11">
        <f t="shared" si="235"/>
        <v>1</v>
      </c>
      <c r="V523" s="11">
        <v>0</v>
      </c>
      <c r="W523" s="11">
        <f t="shared" si="236"/>
        <v>1</v>
      </c>
      <c r="X523" s="11">
        <f t="shared" si="252"/>
        <v>0</v>
      </c>
      <c r="Y523" s="19">
        <v>13.58</v>
      </c>
      <c r="Z523" s="11">
        <v>60</v>
      </c>
      <c r="AA523" s="11">
        <v>0</v>
      </c>
      <c r="AB523" s="11">
        <v>0</v>
      </c>
      <c r="AC523" s="11">
        <v>0</v>
      </c>
      <c r="AD523" s="11">
        <v>0</v>
      </c>
      <c r="AE523" s="11">
        <v>0</v>
      </c>
      <c r="AF523" s="11">
        <v>0</v>
      </c>
      <c r="AG523" s="11">
        <v>0</v>
      </c>
      <c r="AH523" s="11">
        <v>0</v>
      </c>
      <c r="AI523" s="45">
        <v>0</v>
      </c>
      <c r="AJ523" s="45">
        <v>0</v>
      </c>
      <c r="AK523" s="45">
        <f t="shared" si="237"/>
        <v>0.3611</v>
      </c>
      <c r="AL523" s="45">
        <f t="shared" si="238"/>
        <v>0.00348095238095238</v>
      </c>
      <c r="AM523" s="45">
        <f t="shared" si="239"/>
        <v>0.0012569719047619</v>
      </c>
      <c r="AN523" s="45">
        <f t="shared" si="240"/>
        <v>0.792187500000004</v>
      </c>
      <c r="AO523" s="45">
        <f t="shared" si="241"/>
        <v>0.792187500000004</v>
      </c>
      <c r="AP523" s="45">
        <f t="shared" si="242"/>
        <v>1.05625000000001</v>
      </c>
      <c r="AQ523" s="45">
        <f t="shared" si="243"/>
        <v>0</v>
      </c>
      <c r="AR523" s="45">
        <f t="shared" si="244"/>
        <v>0</v>
      </c>
      <c r="AS523" s="19">
        <f t="shared" si="245"/>
        <v>1.07916666666667</v>
      </c>
      <c r="AT523" s="19">
        <f t="shared" si="246"/>
        <v>1.03333333333334</v>
      </c>
      <c r="AU523" s="46">
        <v>0</v>
      </c>
      <c r="AV523" s="46">
        <v>0</v>
      </c>
      <c r="AW523" s="46">
        <v>0</v>
      </c>
      <c r="AX523" s="46">
        <v>1</v>
      </c>
      <c r="AY523" s="47">
        <v>0</v>
      </c>
      <c r="AZ523" s="47">
        <v>-1</v>
      </c>
    </row>
    <row r="524" hidden="1" customHeight="1" spans="1:52">
      <c r="A524" s="44">
        <v>45849</v>
      </c>
      <c r="B524" s="33">
        <f t="shared" si="229"/>
        <v>167</v>
      </c>
      <c r="C524" s="33">
        <f t="shared" si="230"/>
        <v>371</v>
      </c>
      <c r="D524" s="11">
        <f t="shared" si="231"/>
        <v>538</v>
      </c>
      <c r="E524" s="34">
        <f t="shared" si="253"/>
        <v>1.47965362089354e-5</v>
      </c>
      <c r="F524" s="35">
        <f t="shared" si="232"/>
        <v>0.000948190441189385</v>
      </c>
      <c r="G524" s="18">
        <f>(SUM($I$8:$I524)*(MAX(M$3-M$4,0))+(N524*MAX(M$4,0)))*(1-$AM$4)+(AM524*$AM$4)</f>
        <v>0.490214458094912</v>
      </c>
      <c r="H524" s="18">
        <f t="shared" si="247"/>
        <v>1.29166666666667</v>
      </c>
      <c r="I524" s="18">
        <f t="shared" si="233"/>
        <v>0.0151770833333334</v>
      </c>
      <c r="J524" s="18">
        <f t="shared" si="248"/>
        <v>0.648562261773539</v>
      </c>
      <c r="K524" s="18">
        <f t="shared" si="249"/>
        <v>0.00210441759417042</v>
      </c>
      <c r="L524" s="18">
        <f t="shared" si="250"/>
        <v>0.01175</v>
      </c>
      <c r="M524" s="18">
        <v>0.6392</v>
      </c>
      <c r="N524" s="18">
        <f t="shared" si="254"/>
        <v>0.6392</v>
      </c>
      <c r="O524" s="11">
        <v>0</v>
      </c>
      <c r="P524" s="11">
        <v>0</v>
      </c>
      <c r="Q524" s="11">
        <f t="shared" si="234"/>
        <v>1</v>
      </c>
      <c r="R524" s="11">
        <v>0</v>
      </c>
      <c r="S524" s="11">
        <f t="shared" si="251"/>
        <v>0</v>
      </c>
      <c r="T524" s="11">
        <v>0</v>
      </c>
      <c r="U524" s="11">
        <f t="shared" si="235"/>
        <v>1</v>
      </c>
      <c r="V524" s="11">
        <v>0</v>
      </c>
      <c r="W524" s="11">
        <f t="shared" si="236"/>
        <v>1</v>
      </c>
      <c r="X524" s="11">
        <f t="shared" si="252"/>
        <v>0</v>
      </c>
      <c r="Y524" s="19">
        <v>9.42</v>
      </c>
      <c r="Z524" s="11">
        <v>30</v>
      </c>
      <c r="AA524" s="11">
        <v>0</v>
      </c>
      <c r="AB524" s="11">
        <v>0</v>
      </c>
      <c r="AC524" s="11">
        <v>0</v>
      </c>
      <c r="AD524" s="11">
        <v>0</v>
      </c>
      <c r="AE524" s="11">
        <v>0</v>
      </c>
      <c r="AF524" s="11">
        <v>0</v>
      </c>
      <c r="AG524" s="11">
        <v>0</v>
      </c>
      <c r="AH524" s="11">
        <v>0</v>
      </c>
      <c r="AI524" s="45">
        <v>0</v>
      </c>
      <c r="AJ524" s="45">
        <v>0</v>
      </c>
      <c r="AK524" s="45">
        <f t="shared" si="237"/>
        <v>0.3611</v>
      </c>
      <c r="AL524" s="45">
        <f t="shared" si="238"/>
        <v>0.00348095238095238</v>
      </c>
      <c r="AM524" s="45">
        <f t="shared" si="239"/>
        <v>0.0012569719047619</v>
      </c>
      <c r="AN524" s="45">
        <f t="shared" si="240"/>
        <v>0.792187500000004</v>
      </c>
      <c r="AO524" s="45">
        <f t="shared" si="241"/>
        <v>0.792187500000004</v>
      </c>
      <c r="AP524" s="45">
        <f t="shared" si="242"/>
        <v>1.05625000000001</v>
      </c>
      <c r="AQ524" s="45">
        <f t="shared" si="243"/>
        <v>0</v>
      </c>
      <c r="AR524" s="45">
        <f t="shared" si="244"/>
        <v>0</v>
      </c>
      <c r="AS524" s="19">
        <f t="shared" si="245"/>
        <v>1.07916666666667</v>
      </c>
      <c r="AT524" s="19">
        <f t="shared" si="246"/>
        <v>1.03333333333334</v>
      </c>
      <c r="AU524" s="46">
        <v>0</v>
      </c>
      <c r="AV524" s="46">
        <v>0</v>
      </c>
      <c r="AW524" s="46">
        <v>0</v>
      </c>
      <c r="AX524" s="46">
        <v>1</v>
      </c>
      <c r="AY524" s="47">
        <v>0</v>
      </c>
      <c r="AZ524" s="47">
        <v>-1</v>
      </c>
    </row>
    <row r="525" hidden="1" customHeight="1" spans="1:52">
      <c r="A525" s="44">
        <v>45850</v>
      </c>
      <c r="B525" s="33">
        <f t="shared" si="229"/>
        <v>166</v>
      </c>
      <c r="C525" s="33">
        <f t="shared" si="230"/>
        <v>356</v>
      </c>
      <c r="D525" s="11">
        <f t="shared" si="231"/>
        <v>522</v>
      </c>
      <c r="E525" s="34">
        <f t="shared" si="253"/>
        <v>1.34447387316164e-5</v>
      </c>
      <c r="F525" s="35">
        <f t="shared" si="232"/>
        <v>0.000961635179921001</v>
      </c>
      <c r="G525" s="18">
        <f>(SUM($I$8:$I525)*(MAX(M$3-M$4,0))+(N525*MAX(M$4,0)))*(1-$AM$4)+(AM525*$AM$4)</f>
        <v>0.498127023199079</v>
      </c>
      <c r="H525" s="18">
        <f t="shared" si="247"/>
        <v>1.29166666666667</v>
      </c>
      <c r="I525" s="18">
        <f t="shared" si="233"/>
        <v>0.0148003472222223</v>
      </c>
      <c r="J525" s="18">
        <f t="shared" si="248"/>
        <v>0.657758463065965</v>
      </c>
      <c r="K525" s="18">
        <f t="shared" si="249"/>
        <v>0.00206169600562672</v>
      </c>
      <c r="L525" s="18">
        <f t="shared" si="250"/>
        <v>0.0114583333333334</v>
      </c>
      <c r="M525" s="18">
        <v>0.6529</v>
      </c>
      <c r="N525" s="18">
        <f t="shared" si="254"/>
        <v>0.6529</v>
      </c>
      <c r="O525" s="11">
        <v>0</v>
      </c>
      <c r="P525" s="11">
        <v>0</v>
      </c>
      <c r="Q525" s="11">
        <f t="shared" si="234"/>
        <v>1</v>
      </c>
      <c r="R525" s="11">
        <v>0</v>
      </c>
      <c r="S525" s="11">
        <f t="shared" si="251"/>
        <v>0</v>
      </c>
      <c r="T525" s="11">
        <v>0</v>
      </c>
      <c r="U525" s="11">
        <f t="shared" si="235"/>
        <v>1</v>
      </c>
      <c r="V525" s="11">
        <v>0</v>
      </c>
      <c r="W525" s="11">
        <f t="shared" si="236"/>
        <v>1</v>
      </c>
      <c r="X525" s="11">
        <f t="shared" si="252"/>
        <v>0</v>
      </c>
      <c r="Y525" s="19">
        <v>12.25</v>
      </c>
      <c r="Z525" s="11">
        <v>25</v>
      </c>
      <c r="AA525" s="11">
        <v>0</v>
      </c>
      <c r="AB525" s="11">
        <v>0</v>
      </c>
      <c r="AC525" s="11">
        <v>0</v>
      </c>
      <c r="AD525" s="11">
        <v>0</v>
      </c>
      <c r="AE525" s="11">
        <v>0</v>
      </c>
      <c r="AF525" s="11">
        <v>0</v>
      </c>
      <c r="AG525" s="11">
        <v>0</v>
      </c>
      <c r="AH525" s="11">
        <v>0</v>
      </c>
      <c r="AI525" s="45">
        <v>0</v>
      </c>
      <c r="AJ525" s="45">
        <v>0</v>
      </c>
      <c r="AK525" s="45">
        <f t="shared" si="237"/>
        <v>0.3611</v>
      </c>
      <c r="AL525" s="45">
        <f t="shared" si="238"/>
        <v>0.00348095238095238</v>
      </c>
      <c r="AM525" s="45">
        <f t="shared" si="239"/>
        <v>0.0012569719047619</v>
      </c>
      <c r="AN525" s="45">
        <f t="shared" si="240"/>
        <v>0.792187500000004</v>
      </c>
      <c r="AO525" s="45">
        <f t="shared" si="241"/>
        <v>0.792187500000004</v>
      </c>
      <c r="AP525" s="45">
        <f t="shared" si="242"/>
        <v>1.05625000000001</v>
      </c>
      <c r="AQ525" s="45">
        <f t="shared" si="243"/>
        <v>0</v>
      </c>
      <c r="AR525" s="45">
        <f t="shared" si="244"/>
        <v>0</v>
      </c>
      <c r="AS525" s="19">
        <f t="shared" si="245"/>
        <v>1.07916666666667</v>
      </c>
      <c r="AT525" s="19">
        <f t="shared" si="246"/>
        <v>1.03333333333334</v>
      </c>
      <c r="AU525" s="46">
        <v>0</v>
      </c>
      <c r="AV525" s="46">
        <v>0</v>
      </c>
      <c r="AW525" s="46">
        <v>0</v>
      </c>
      <c r="AX525" s="46">
        <v>1</v>
      </c>
      <c r="AY525" s="47">
        <v>0</v>
      </c>
      <c r="AZ525" s="47">
        <v>-1</v>
      </c>
    </row>
    <row r="526" hidden="1" customHeight="1" spans="1:52">
      <c r="A526" s="44">
        <v>45851</v>
      </c>
      <c r="B526" s="33">
        <f t="shared" si="229"/>
        <v>165</v>
      </c>
      <c r="C526" s="33">
        <f t="shared" si="230"/>
        <v>346</v>
      </c>
      <c r="D526" s="11">
        <f t="shared" si="231"/>
        <v>511</v>
      </c>
      <c r="E526" s="34">
        <f t="shared" si="253"/>
        <v>8.80031939701079e-6</v>
      </c>
      <c r="F526" s="35">
        <f t="shared" si="232"/>
        <v>0.000970435499318012</v>
      </c>
      <c r="G526" s="18">
        <f>(SUM($I$8:$I526)*(MAX(M$3-M$4,0))+(N526*MAX(M$4,0)))*(1-$AM$4)+(AM526*$AM$4)</f>
        <v>0.503656024146048</v>
      </c>
      <c r="H526" s="18">
        <f t="shared" si="247"/>
        <v>1.29166666666667</v>
      </c>
      <c r="I526" s="18">
        <f t="shared" si="233"/>
        <v>0.0114880050505051</v>
      </c>
      <c r="J526" s="18">
        <f t="shared" si="248"/>
        <v>0.66377788153352</v>
      </c>
      <c r="K526" s="18">
        <f t="shared" si="249"/>
        <v>0.00203770980888776</v>
      </c>
      <c r="L526" s="18">
        <f t="shared" si="250"/>
        <v>0.00889393939393941</v>
      </c>
      <c r="M526" s="18">
        <v>0.6619</v>
      </c>
      <c r="N526" s="18">
        <f t="shared" si="254"/>
        <v>0.6619</v>
      </c>
      <c r="O526" s="11">
        <v>0</v>
      </c>
      <c r="P526" s="11">
        <v>0</v>
      </c>
      <c r="Q526" s="11">
        <f t="shared" si="234"/>
        <v>1</v>
      </c>
      <c r="R526" s="11">
        <v>0</v>
      </c>
      <c r="S526" s="11">
        <f t="shared" si="251"/>
        <v>0</v>
      </c>
      <c r="T526" s="11">
        <v>0</v>
      </c>
      <c r="U526" s="11">
        <f t="shared" si="235"/>
        <v>1</v>
      </c>
      <c r="V526" s="11">
        <v>0</v>
      </c>
      <c r="W526" s="11">
        <f t="shared" si="236"/>
        <v>1</v>
      </c>
      <c r="X526" s="11">
        <f t="shared" si="252"/>
        <v>0</v>
      </c>
      <c r="Y526" s="19">
        <v>9.08</v>
      </c>
      <c r="Z526" s="11">
        <v>20</v>
      </c>
      <c r="AA526" s="11">
        <v>0</v>
      </c>
      <c r="AB526" s="11">
        <v>0</v>
      </c>
      <c r="AC526" s="11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45">
        <v>0</v>
      </c>
      <c r="AJ526" s="45">
        <v>0</v>
      </c>
      <c r="AK526" s="45">
        <f t="shared" si="237"/>
        <v>0.3611</v>
      </c>
      <c r="AL526" s="45">
        <f t="shared" si="238"/>
        <v>0.00348095238095238</v>
      </c>
      <c r="AM526" s="45">
        <f t="shared" si="239"/>
        <v>0.0012569719047619</v>
      </c>
      <c r="AN526" s="45">
        <f t="shared" si="240"/>
        <v>0.792187500000004</v>
      </c>
      <c r="AO526" s="45">
        <f t="shared" si="241"/>
        <v>0.792187500000004</v>
      </c>
      <c r="AP526" s="45">
        <f t="shared" si="242"/>
        <v>1.05625000000001</v>
      </c>
      <c r="AQ526" s="45">
        <f t="shared" si="243"/>
        <v>0</v>
      </c>
      <c r="AR526" s="45">
        <f t="shared" si="244"/>
        <v>0</v>
      </c>
      <c r="AS526" s="19">
        <f t="shared" si="245"/>
        <v>1.07916666666667</v>
      </c>
      <c r="AT526" s="19">
        <f t="shared" si="246"/>
        <v>1.03333333333334</v>
      </c>
      <c r="AU526" s="46">
        <v>0</v>
      </c>
      <c r="AV526" s="46">
        <v>0</v>
      </c>
      <c r="AW526" s="46">
        <v>0</v>
      </c>
      <c r="AX526" s="46">
        <v>1</v>
      </c>
      <c r="AY526" s="47">
        <v>0</v>
      </c>
      <c r="AZ526" s="47">
        <v>-1</v>
      </c>
    </row>
    <row r="527" hidden="1" customHeight="1" spans="1:52">
      <c r="A527" s="44">
        <v>45852</v>
      </c>
      <c r="B527" s="33">
        <f t="shared" si="229"/>
        <v>164</v>
      </c>
      <c r="C527" s="33">
        <f t="shared" si="230"/>
        <v>339</v>
      </c>
      <c r="D527" s="11">
        <f t="shared" si="231"/>
        <v>503</v>
      </c>
      <c r="E527" s="34">
        <f t="shared" si="253"/>
        <v>6.88649814743628e-6</v>
      </c>
      <c r="F527" s="35">
        <f t="shared" si="232"/>
        <v>0.000977321997465449</v>
      </c>
      <c r="G527" s="18">
        <f>(SUM($I$8:$I527)*(MAX(M$3-M$4,0))+(N527*MAX(M$4,0)))*(1-$AM$4)+(AM527*$AM$4)</f>
        <v>0.508207438682033</v>
      </c>
      <c r="H527" s="18">
        <f t="shared" si="247"/>
        <v>1.29166666666667</v>
      </c>
      <c r="I527" s="18">
        <f t="shared" si="233"/>
        <v>0.00687421085858589</v>
      </c>
      <c r="J527" s="18">
        <f t="shared" si="248"/>
        <v>0.668488246266367</v>
      </c>
      <c r="K527" s="18">
        <f t="shared" si="249"/>
        <v>0.00202141313252215</v>
      </c>
      <c r="L527" s="18">
        <f t="shared" si="250"/>
        <v>0.0053219696969697</v>
      </c>
      <c r="M527" s="18">
        <v>0.6706</v>
      </c>
      <c r="N527" s="18">
        <f t="shared" si="254"/>
        <v>0.6706</v>
      </c>
      <c r="O527" s="11">
        <v>0</v>
      </c>
      <c r="P527" s="11">
        <v>0</v>
      </c>
      <c r="Q527" s="11">
        <f t="shared" si="234"/>
        <v>1</v>
      </c>
      <c r="R527" s="11">
        <v>0</v>
      </c>
      <c r="S527" s="11">
        <f t="shared" si="251"/>
        <v>0</v>
      </c>
      <c r="T527" s="11">
        <v>0</v>
      </c>
      <c r="U527" s="11">
        <f t="shared" si="235"/>
        <v>1</v>
      </c>
      <c r="V527" s="11">
        <v>0</v>
      </c>
      <c r="W527" s="11">
        <f t="shared" si="236"/>
        <v>1</v>
      </c>
      <c r="X527" s="11">
        <f t="shared" si="252"/>
        <v>0</v>
      </c>
      <c r="Y527" s="19">
        <v>3.25</v>
      </c>
      <c r="Z527" s="11">
        <v>15</v>
      </c>
      <c r="AA527" s="11">
        <v>0</v>
      </c>
      <c r="AB527" s="11">
        <v>0</v>
      </c>
      <c r="AC527" s="11">
        <v>0</v>
      </c>
      <c r="AD527" s="11">
        <v>0</v>
      </c>
      <c r="AE527" s="11">
        <v>0</v>
      </c>
      <c r="AF527" s="11">
        <v>0</v>
      </c>
      <c r="AG527" s="11">
        <v>0</v>
      </c>
      <c r="AH527" s="11">
        <v>0</v>
      </c>
      <c r="AI527" s="45">
        <v>0</v>
      </c>
      <c r="AJ527" s="45">
        <v>0</v>
      </c>
      <c r="AK527" s="45">
        <f t="shared" si="237"/>
        <v>0.3611</v>
      </c>
      <c r="AL527" s="45">
        <f t="shared" si="238"/>
        <v>0.00348095238095238</v>
      </c>
      <c r="AM527" s="45">
        <f t="shared" si="239"/>
        <v>0.0012569719047619</v>
      </c>
      <c r="AN527" s="45">
        <f t="shared" si="240"/>
        <v>0.792187500000004</v>
      </c>
      <c r="AO527" s="45">
        <f t="shared" si="241"/>
        <v>0.792187500000004</v>
      </c>
      <c r="AP527" s="45">
        <f t="shared" si="242"/>
        <v>1.05625000000001</v>
      </c>
      <c r="AQ527" s="45">
        <f t="shared" si="243"/>
        <v>0</v>
      </c>
      <c r="AR527" s="45">
        <f t="shared" si="244"/>
        <v>0</v>
      </c>
      <c r="AS527" s="19">
        <f t="shared" si="245"/>
        <v>1.07916666666667</v>
      </c>
      <c r="AT527" s="19">
        <f t="shared" si="246"/>
        <v>1.03333333333334</v>
      </c>
      <c r="AU527" s="46">
        <v>0</v>
      </c>
      <c r="AV527" s="46">
        <v>0</v>
      </c>
      <c r="AW527" s="46">
        <v>0</v>
      </c>
      <c r="AX527" s="46">
        <v>1</v>
      </c>
      <c r="AY527" s="47">
        <v>0</v>
      </c>
      <c r="AZ527" s="47">
        <v>-1</v>
      </c>
    </row>
    <row r="528" hidden="1" customHeight="1" spans="1:52">
      <c r="A528" s="44">
        <v>45853</v>
      </c>
      <c r="B528" s="33">
        <f t="shared" si="229"/>
        <v>163</v>
      </c>
      <c r="C528" s="33">
        <f t="shared" si="230"/>
        <v>341</v>
      </c>
      <c r="D528" s="11">
        <f t="shared" si="231"/>
        <v>504</v>
      </c>
      <c r="E528" s="34">
        <f t="shared" si="253"/>
        <v>-1.87585796058629e-6</v>
      </c>
      <c r="F528" s="35">
        <f t="shared" si="232"/>
        <v>0.000975446139504862</v>
      </c>
      <c r="G528" s="18">
        <f>(SUM($I$8:$I528)*(MAX(M$3-M$4,0))+(N528*MAX(M$4,0)))*(1-$AM$4)+(AM528*$AM$4)</f>
        <v>0.508207438682033</v>
      </c>
      <c r="H528" s="18">
        <f t="shared" si="247"/>
        <v>1.29166666666667</v>
      </c>
      <c r="I528" s="18">
        <f t="shared" si="233"/>
        <v>0</v>
      </c>
      <c r="J528" s="18">
        <f t="shared" si="248"/>
        <v>0.667205159421326</v>
      </c>
      <c r="K528" s="18">
        <f t="shared" si="249"/>
        <v>0.00204168613851947</v>
      </c>
      <c r="L528" s="18">
        <f t="shared" si="250"/>
        <v>0</v>
      </c>
      <c r="M528" s="18">
        <v>0</v>
      </c>
      <c r="N528" s="18">
        <f t="shared" si="254"/>
        <v>0.6706</v>
      </c>
      <c r="O528" s="11">
        <v>0</v>
      </c>
      <c r="P528" s="11">
        <v>0</v>
      </c>
      <c r="Q528" s="11">
        <f t="shared" si="234"/>
        <v>1</v>
      </c>
      <c r="R528" s="11">
        <v>0</v>
      </c>
      <c r="S528" s="11">
        <f t="shared" si="251"/>
        <v>0</v>
      </c>
      <c r="T528" s="11">
        <v>0</v>
      </c>
      <c r="U528" s="11">
        <f t="shared" si="235"/>
        <v>1</v>
      </c>
      <c r="V528" s="11">
        <v>0</v>
      </c>
      <c r="W528" s="11">
        <f t="shared" si="236"/>
        <v>1</v>
      </c>
      <c r="X528" s="11">
        <f t="shared" si="252"/>
        <v>0</v>
      </c>
      <c r="Y528" s="19">
        <v>0</v>
      </c>
      <c r="Z528" s="11">
        <v>0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1">
        <v>0</v>
      </c>
      <c r="AG528" s="11">
        <v>0</v>
      </c>
      <c r="AH528" s="11">
        <v>0</v>
      </c>
      <c r="AI528" s="45">
        <v>0</v>
      </c>
      <c r="AJ528" s="45">
        <v>0</v>
      </c>
      <c r="AK528" s="45">
        <f t="shared" si="237"/>
        <v>0.3611</v>
      </c>
      <c r="AL528" s="45">
        <f t="shared" si="238"/>
        <v>0.00348095238095238</v>
      </c>
      <c r="AM528" s="45">
        <f t="shared" si="239"/>
        <v>0.0012569719047619</v>
      </c>
      <c r="AN528" s="45">
        <f t="shared" si="240"/>
        <v>0.792187500000004</v>
      </c>
      <c r="AO528" s="45">
        <f t="shared" si="241"/>
        <v>0.792187500000004</v>
      </c>
      <c r="AP528" s="45">
        <f t="shared" si="242"/>
        <v>1.05625000000001</v>
      </c>
      <c r="AQ528" s="45">
        <f t="shared" si="243"/>
        <v>0</v>
      </c>
      <c r="AR528" s="45">
        <f t="shared" si="244"/>
        <v>0</v>
      </c>
      <c r="AS528" s="19">
        <f t="shared" si="245"/>
        <v>1.07916666666667</v>
      </c>
      <c r="AT528" s="19">
        <f t="shared" si="246"/>
        <v>1.03333333333334</v>
      </c>
      <c r="AU528" s="46">
        <v>0</v>
      </c>
      <c r="AV528" s="46">
        <v>0</v>
      </c>
      <c r="AW528" s="46">
        <v>0</v>
      </c>
      <c r="AX528" s="46">
        <v>1</v>
      </c>
      <c r="AY528" s="47">
        <v>0</v>
      </c>
      <c r="AZ528" s="47">
        <v>-1</v>
      </c>
    </row>
    <row r="529" hidden="1" customHeight="1" spans="1:52">
      <c r="A529" s="44">
        <v>45854</v>
      </c>
      <c r="B529" s="33">
        <f t="shared" si="229"/>
        <v>162</v>
      </c>
      <c r="C529" s="33">
        <f t="shared" si="230"/>
        <v>343</v>
      </c>
      <c r="D529" s="11">
        <f t="shared" si="231"/>
        <v>505</v>
      </c>
      <c r="E529" s="34">
        <f t="shared" si="253"/>
        <v>-1.86867076533502e-6</v>
      </c>
      <c r="F529" s="35">
        <f t="shared" si="232"/>
        <v>0.000973577468739527</v>
      </c>
      <c r="G529" s="18">
        <f>(SUM($I$8:$I529)*(MAX(M$3-M$4,0))+(N529*MAX(M$4,0)))*(1-$AM$4)+(AM529*$AM$4)</f>
        <v>0.508207438682033</v>
      </c>
      <c r="H529" s="18">
        <f t="shared" si="247"/>
        <v>1.29166666666667</v>
      </c>
      <c r="I529" s="18">
        <f t="shared" si="233"/>
        <v>0</v>
      </c>
      <c r="J529" s="18">
        <f t="shared" si="248"/>
        <v>0.665926988617837</v>
      </c>
      <c r="K529" s="18">
        <f t="shared" si="249"/>
        <v>0.00206217908260595</v>
      </c>
      <c r="L529" s="18">
        <f t="shared" si="250"/>
        <v>0</v>
      </c>
      <c r="M529" s="18">
        <v>0</v>
      </c>
      <c r="N529" s="18">
        <f t="shared" si="254"/>
        <v>0.6706</v>
      </c>
      <c r="O529" s="11">
        <v>0</v>
      </c>
      <c r="P529" s="11">
        <v>0</v>
      </c>
      <c r="Q529" s="11">
        <f t="shared" si="234"/>
        <v>1</v>
      </c>
      <c r="R529" s="11">
        <v>0</v>
      </c>
      <c r="S529" s="11">
        <f t="shared" si="251"/>
        <v>0</v>
      </c>
      <c r="T529" s="11">
        <v>0</v>
      </c>
      <c r="U529" s="11">
        <f t="shared" si="235"/>
        <v>1</v>
      </c>
      <c r="V529" s="11">
        <v>0</v>
      </c>
      <c r="W529" s="11">
        <f t="shared" si="236"/>
        <v>1</v>
      </c>
      <c r="X529" s="11">
        <f t="shared" si="252"/>
        <v>0</v>
      </c>
      <c r="Y529" s="19">
        <v>0</v>
      </c>
      <c r="Z529" s="11">
        <v>0</v>
      </c>
      <c r="AA529" s="11">
        <v>0</v>
      </c>
      <c r="AB529" s="11">
        <v>0</v>
      </c>
      <c r="AC529" s="11">
        <v>0</v>
      </c>
      <c r="AD529" s="11">
        <v>0</v>
      </c>
      <c r="AE529" s="11">
        <v>0</v>
      </c>
      <c r="AF529" s="11">
        <v>0</v>
      </c>
      <c r="AG529" s="11">
        <v>0</v>
      </c>
      <c r="AH529" s="11">
        <v>0</v>
      </c>
      <c r="AI529" s="45">
        <v>0</v>
      </c>
      <c r="AJ529" s="45">
        <v>0</v>
      </c>
      <c r="AK529" s="45">
        <f t="shared" si="237"/>
        <v>0.3611</v>
      </c>
      <c r="AL529" s="45">
        <f t="shared" si="238"/>
        <v>0.00348095238095238</v>
      </c>
      <c r="AM529" s="45">
        <f t="shared" si="239"/>
        <v>0.0012569719047619</v>
      </c>
      <c r="AN529" s="45">
        <f t="shared" si="240"/>
        <v>0.792187500000004</v>
      </c>
      <c r="AO529" s="45">
        <f t="shared" si="241"/>
        <v>0.792187500000004</v>
      </c>
      <c r="AP529" s="45">
        <f t="shared" si="242"/>
        <v>1.05625000000001</v>
      </c>
      <c r="AQ529" s="45">
        <f t="shared" si="243"/>
        <v>0</v>
      </c>
      <c r="AR529" s="45">
        <f t="shared" si="244"/>
        <v>0</v>
      </c>
      <c r="AS529" s="19">
        <f t="shared" si="245"/>
        <v>1.07916666666667</v>
      </c>
      <c r="AT529" s="19">
        <f t="shared" si="246"/>
        <v>1.03333333333334</v>
      </c>
      <c r="AU529" s="46">
        <v>0</v>
      </c>
      <c r="AV529" s="46">
        <v>0</v>
      </c>
      <c r="AW529" s="46">
        <v>0</v>
      </c>
      <c r="AX529" s="46">
        <v>1</v>
      </c>
      <c r="AY529" s="47">
        <v>0</v>
      </c>
      <c r="AZ529" s="47">
        <v>-1</v>
      </c>
    </row>
    <row r="530" hidden="1" customHeight="1" spans="1:52">
      <c r="A530" s="44">
        <v>45855</v>
      </c>
      <c r="B530" s="33">
        <f t="shared" si="229"/>
        <v>161</v>
      </c>
      <c r="C530" s="33">
        <f t="shared" si="230"/>
        <v>345</v>
      </c>
      <c r="D530" s="11">
        <f t="shared" si="231"/>
        <v>506</v>
      </c>
      <c r="E530" s="34">
        <f t="shared" si="253"/>
        <v>-1.86152479682506e-6</v>
      </c>
      <c r="F530" s="35">
        <f t="shared" si="232"/>
        <v>0.000971715943942702</v>
      </c>
      <c r="G530" s="18">
        <f>(SUM($I$8:$I530)*(MAX(M$3-M$4,0))+(N530*MAX(M$4,0)))*(1-$AM$4)+(AM530*$AM$4)</f>
        <v>0.508207438682033</v>
      </c>
      <c r="H530" s="18">
        <f t="shared" si="247"/>
        <v>1.29166666666667</v>
      </c>
      <c r="I530" s="18">
        <f t="shared" si="233"/>
        <v>0</v>
      </c>
      <c r="J530" s="18">
        <f t="shared" si="248"/>
        <v>0.664653705656808</v>
      </c>
      <c r="K530" s="18">
        <f t="shared" si="249"/>
        <v>0.00208289623815647</v>
      </c>
      <c r="L530" s="18">
        <f t="shared" si="250"/>
        <v>0</v>
      </c>
      <c r="M530" s="18">
        <v>0</v>
      </c>
      <c r="N530" s="18">
        <f t="shared" si="254"/>
        <v>0.6706</v>
      </c>
      <c r="O530" s="11">
        <v>0</v>
      </c>
      <c r="P530" s="11">
        <v>0</v>
      </c>
      <c r="Q530" s="11">
        <f t="shared" si="234"/>
        <v>1</v>
      </c>
      <c r="R530" s="11">
        <v>0</v>
      </c>
      <c r="S530" s="11">
        <f t="shared" si="251"/>
        <v>0</v>
      </c>
      <c r="T530" s="11">
        <v>0</v>
      </c>
      <c r="U530" s="11">
        <f t="shared" si="235"/>
        <v>1</v>
      </c>
      <c r="V530" s="11">
        <v>0</v>
      </c>
      <c r="W530" s="11">
        <f t="shared" si="236"/>
        <v>1</v>
      </c>
      <c r="X530" s="11">
        <f t="shared" si="252"/>
        <v>0</v>
      </c>
      <c r="Y530" s="19">
        <v>0</v>
      </c>
      <c r="Z530" s="11">
        <v>0</v>
      </c>
      <c r="AA530" s="11">
        <v>0</v>
      </c>
      <c r="AB530" s="11">
        <v>0</v>
      </c>
      <c r="AC530" s="11">
        <v>0</v>
      </c>
      <c r="AD530" s="11">
        <v>0</v>
      </c>
      <c r="AE530" s="11">
        <v>0</v>
      </c>
      <c r="AF530" s="11">
        <v>0</v>
      </c>
      <c r="AG530" s="11">
        <v>0</v>
      </c>
      <c r="AH530" s="11">
        <v>0</v>
      </c>
      <c r="AI530" s="45">
        <v>0</v>
      </c>
      <c r="AJ530" s="45">
        <v>0</v>
      </c>
      <c r="AK530" s="45">
        <f t="shared" si="237"/>
        <v>0.3611</v>
      </c>
      <c r="AL530" s="45">
        <f t="shared" si="238"/>
        <v>0.00348095238095238</v>
      </c>
      <c r="AM530" s="45">
        <f t="shared" si="239"/>
        <v>0.0012569719047619</v>
      </c>
      <c r="AN530" s="45">
        <f t="shared" si="240"/>
        <v>0.792187500000004</v>
      </c>
      <c r="AO530" s="45">
        <f t="shared" si="241"/>
        <v>0.792187500000004</v>
      </c>
      <c r="AP530" s="45">
        <f t="shared" si="242"/>
        <v>1.05625000000001</v>
      </c>
      <c r="AQ530" s="45">
        <f t="shared" si="243"/>
        <v>0</v>
      </c>
      <c r="AR530" s="45">
        <f t="shared" si="244"/>
        <v>0</v>
      </c>
      <c r="AS530" s="19">
        <f t="shared" si="245"/>
        <v>1.07916666666667</v>
      </c>
      <c r="AT530" s="19">
        <f t="shared" si="246"/>
        <v>1.03333333333334</v>
      </c>
      <c r="AU530" s="46">
        <v>0</v>
      </c>
      <c r="AV530" s="46">
        <v>0</v>
      </c>
      <c r="AW530" s="46">
        <v>0</v>
      </c>
      <c r="AX530" s="46">
        <v>1</v>
      </c>
      <c r="AY530" s="47">
        <v>0</v>
      </c>
      <c r="AZ530" s="47">
        <v>-1</v>
      </c>
    </row>
    <row r="531" hidden="1" customHeight="1" spans="1:52">
      <c r="A531" s="44">
        <v>45856</v>
      </c>
      <c r="B531" s="33">
        <f t="shared" si="229"/>
        <v>160</v>
      </c>
      <c r="C531" s="33">
        <f t="shared" si="230"/>
        <v>347</v>
      </c>
      <c r="D531" s="11">
        <f t="shared" si="231"/>
        <v>507</v>
      </c>
      <c r="E531" s="34">
        <f t="shared" si="253"/>
        <v>-1.85441974034873e-6</v>
      </c>
      <c r="F531" s="35">
        <f t="shared" si="232"/>
        <v>0.000969861524202353</v>
      </c>
      <c r="G531" s="18">
        <f>(SUM($I$8:$I531)*(MAX(M$3-M$4,0))+(N531*MAX(M$4,0)))*(1-$AM$4)+(AM531*$AM$4)</f>
        <v>0.508207438682033</v>
      </c>
      <c r="H531" s="18">
        <f t="shared" si="247"/>
        <v>1.29166666666667</v>
      </c>
      <c r="I531" s="18">
        <f t="shared" si="233"/>
        <v>0</v>
      </c>
      <c r="J531" s="18">
        <f t="shared" si="248"/>
        <v>0.66338528255441</v>
      </c>
      <c r="K531" s="18">
        <f t="shared" si="249"/>
        <v>0.00210384198403494</v>
      </c>
      <c r="L531" s="18">
        <f t="shared" si="250"/>
        <v>0</v>
      </c>
      <c r="M531" s="18">
        <v>0</v>
      </c>
      <c r="N531" s="18">
        <f t="shared" si="254"/>
        <v>0.6706</v>
      </c>
      <c r="O531" s="11">
        <v>0</v>
      </c>
      <c r="P531" s="11">
        <v>0</v>
      </c>
      <c r="Q531" s="11">
        <f t="shared" si="234"/>
        <v>1</v>
      </c>
      <c r="R531" s="11">
        <v>0</v>
      </c>
      <c r="S531" s="11">
        <f t="shared" si="251"/>
        <v>0</v>
      </c>
      <c r="T531" s="11">
        <v>0</v>
      </c>
      <c r="U531" s="11">
        <f t="shared" si="235"/>
        <v>1</v>
      </c>
      <c r="V531" s="11">
        <v>0</v>
      </c>
      <c r="W531" s="11">
        <f t="shared" si="236"/>
        <v>1</v>
      </c>
      <c r="X531" s="11">
        <f t="shared" si="252"/>
        <v>0</v>
      </c>
      <c r="Y531" s="19">
        <v>0</v>
      </c>
      <c r="Z531" s="11">
        <v>0</v>
      </c>
      <c r="AA531" s="11">
        <v>0</v>
      </c>
      <c r="AB531" s="11">
        <v>0</v>
      </c>
      <c r="AC531" s="11">
        <v>0</v>
      </c>
      <c r="AD531" s="11">
        <v>0</v>
      </c>
      <c r="AE531" s="11">
        <v>0</v>
      </c>
      <c r="AF531" s="11">
        <v>0</v>
      </c>
      <c r="AG531" s="11">
        <v>0</v>
      </c>
      <c r="AH531" s="11">
        <v>0</v>
      </c>
      <c r="AI531" s="45">
        <v>0</v>
      </c>
      <c r="AJ531" s="45">
        <v>0</v>
      </c>
      <c r="AK531" s="45">
        <f t="shared" si="237"/>
        <v>0.3611</v>
      </c>
      <c r="AL531" s="45">
        <f t="shared" si="238"/>
        <v>0.00348095238095238</v>
      </c>
      <c r="AM531" s="45">
        <f t="shared" si="239"/>
        <v>0.0012569719047619</v>
      </c>
      <c r="AN531" s="45">
        <f t="shared" si="240"/>
        <v>0.792187500000004</v>
      </c>
      <c r="AO531" s="45">
        <f t="shared" si="241"/>
        <v>0.792187500000004</v>
      </c>
      <c r="AP531" s="45">
        <f t="shared" si="242"/>
        <v>1.05625000000001</v>
      </c>
      <c r="AQ531" s="45">
        <f t="shared" si="243"/>
        <v>0</v>
      </c>
      <c r="AR531" s="45">
        <f t="shared" si="244"/>
        <v>0</v>
      </c>
      <c r="AS531" s="19">
        <f t="shared" si="245"/>
        <v>1.07916666666667</v>
      </c>
      <c r="AT531" s="19">
        <f t="shared" si="246"/>
        <v>1.03333333333334</v>
      </c>
      <c r="AU531" s="46">
        <v>0</v>
      </c>
      <c r="AV531" s="46">
        <v>0</v>
      </c>
      <c r="AW531" s="46">
        <v>0</v>
      </c>
      <c r="AX531" s="46">
        <v>1</v>
      </c>
      <c r="AY531" s="47">
        <v>0</v>
      </c>
      <c r="AZ531" s="47">
        <v>-1</v>
      </c>
    </row>
    <row r="532" hidden="1" customHeight="1" spans="1:52">
      <c r="A532" s="44">
        <v>45857</v>
      </c>
      <c r="B532" s="33">
        <f t="shared" si="229"/>
        <v>159</v>
      </c>
      <c r="C532" s="33">
        <f t="shared" si="230"/>
        <v>349</v>
      </c>
      <c r="D532" s="11">
        <f t="shared" si="231"/>
        <v>508</v>
      </c>
      <c r="E532" s="34">
        <f t="shared" si="253"/>
        <v>-1.84735528419488e-6</v>
      </c>
      <c r="F532" s="35">
        <f t="shared" si="232"/>
        <v>0.000968014168918159</v>
      </c>
      <c r="G532" s="18">
        <f>(SUM($I$8:$I532)*(MAX(M$3-M$4,0))+(N532*MAX(M$4,0)))*(1-$AM$4)+(AM532*$AM$4)</f>
        <v>0.508207438682033</v>
      </c>
      <c r="H532" s="18">
        <f t="shared" si="247"/>
        <v>1.29166666666667</v>
      </c>
      <c r="I532" s="18">
        <f t="shared" si="233"/>
        <v>0</v>
      </c>
      <c r="J532" s="18">
        <f t="shared" si="248"/>
        <v>0.66212169154002</v>
      </c>
      <c r="K532" s="18">
        <f t="shared" si="249"/>
        <v>0.0021250208079244</v>
      </c>
      <c r="L532" s="18">
        <f t="shared" si="250"/>
        <v>0</v>
      </c>
      <c r="M532" s="18">
        <v>0</v>
      </c>
      <c r="N532" s="18">
        <f t="shared" si="254"/>
        <v>0.6706</v>
      </c>
      <c r="O532" s="11">
        <v>0</v>
      </c>
      <c r="P532" s="11">
        <v>0</v>
      </c>
      <c r="Q532" s="11">
        <f t="shared" si="234"/>
        <v>1</v>
      </c>
      <c r="R532" s="11">
        <v>0</v>
      </c>
      <c r="S532" s="11">
        <f t="shared" si="251"/>
        <v>0</v>
      </c>
      <c r="T532" s="11">
        <v>0</v>
      </c>
      <c r="U532" s="11">
        <f t="shared" si="235"/>
        <v>1</v>
      </c>
      <c r="V532" s="11">
        <v>0</v>
      </c>
      <c r="W532" s="11">
        <f t="shared" si="236"/>
        <v>1</v>
      </c>
      <c r="X532" s="11">
        <f t="shared" si="252"/>
        <v>0</v>
      </c>
      <c r="Y532" s="19">
        <v>0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1">
        <v>0</v>
      </c>
      <c r="AG532" s="11">
        <v>0</v>
      </c>
      <c r="AH532" s="11">
        <v>0</v>
      </c>
      <c r="AI532" s="45">
        <v>0</v>
      </c>
      <c r="AJ532" s="45">
        <v>0</v>
      </c>
      <c r="AK532" s="45">
        <f t="shared" si="237"/>
        <v>0.3611</v>
      </c>
      <c r="AL532" s="45">
        <f t="shared" si="238"/>
        <v>0.00348095238095238</v>
      </c>
      <c r="AM532" s="45">
        <f t="shared" si="239"/>
        <v>0.0012569719047619</v>
      </c>
      <c r="AN532" s="45">
        <f t="shared" si="240"/>
        <v>0.792187500000004</v>
      </c>
      <c r="AO532" s="45">
        <f t="shared" si="241"/>
        <v>0.792187500000004</v>
      </c>
      <c r="AP532" s="45">
        <f t="shared" si="242"/>
        <v>1.05625000000001</v>
      </c>
      <c r="AQ532" s="45">
        <f t="shared" si="243"/>
        <v>0</v>
      </c>
      <c r="AR532" s="45">
        <f t="shared" si="244"/>
        <v>0</v>
      </c>
      <c r="AS532" s="19">
        <f t="shared" si="245"/>
        <v>1.07916666666667</v>
      </c>
      <c r="AT532" s="19">
        <f t="shared" si="246"/>
        <v>1.03333333333334</v>
      </c>
      <c r="AU532" s="46">
        <v>0</v>
      </c>
      <c r="AV532" s="46">
        <v>0</v>
      </c>
      <c r="AW532" s="46">
        <v>0</v>
      </c>
      <c r="AX532" s="46">
        <v>1</v>
      </c>
      <c r="AY532" s="47">
        <v>0</v>
      </c>
      <c r="AZ532" s="47">
        <v>-1</v>
      </c>
    </row>
    <row r="533" hidden="1" customHeight="1" spans="1:52">
      <c r="A533" s="44">
        <v>45858</v>
      </c>
      <c r="B533" s="33">
        <f t="shared" si="229"/>
        <v>158</v>
      </c>
      <c r="C533" s="33">
        <f t="shared" si="230"/>
        <v>351</v>
      </c>
      <c r="D533" s="11">
        <f t="shared" si="231"/>
        <v>509</v>
      </c>
      <c r="E533" s="34">
        <f t="shared" si="253"/>
        <v>-1.84033111961634e-6</v>
      </c>
      <c r="F533" s="35">
        <f t="shared" si="232"/>
        <v>0.000966173837798542</v>
      </c>
      <c r="G533" s="18">
        <f>(SUM($I$8:$I533)*(MAX(M$3-M$4,0))+(N533*MAX(M$4,0)))*(1-$AM$4)+(AM533*$AM$4)</f>
        <v>0.508207438682033</v>
      </c>
      <c r="H533" s="18">
        <f t="shared" si="247"/>
        <v>1.29166666666667</v>
      </c>
      <c r="I533" s="18">
        <f t="shared" si="233"/>
        <v>0</v>
      </c>
      <c r="J533" s="18">
        <f t="shared" si="248"/>
        <v>0.660862905054203</v>
      </c>
      <c r="K533" s="18">
        <f t="shared" si="249"/>
        <v>0.00214643730978353</v>
      </c>
      <c r="L533" s="18">
        <f t="shared" si="250"/>
        <v>0</v>
      </c>
      <c r="M533" s="18">
        <v>0</v>
      </c>
      <c r="N533" s="18">
        <f t="shared" si="254"/>
        <v>0.6706</v>
      </c>
      <c r="O533" s="11">
        <v>0</v>
      </c>
      <c r="P533" s="11">
        <v>0</v>
      </c>
      <c r="Q533" s="11">
        <f t="shared" si="234"/>
        <v>1</v>
      </c>
      <c r="R533" s="11">
        <v>0</v>
      </c>
      <c r="S533" s="11">
        <f t="shared" si="251"/>
        <v>0</v>
      </c>
      <c r="T533" s="11">
        <v>0</v>
      </c>
      <c r="U533" s="11">
        <f t="shared" si="235"/>
        <v>1</v>
      </c>
      <c r="V533" s="11">
        <v>0</v>
      </c>
      <c r="W533" s="11">
        <f t="shared" si="236"/>
        <v>1</v>
      </c>
      <c r="X533" s="11">
        <f t="shared" si="252"/>
        <v>0</v>
      </c>
      <c r="Y533" s="19">
        <v>0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1">
        <v>0</v>
      </c>
      <c r="AG533" s="11">
        <v>0</v>
      </c>
      <c r="AH533" s="11">
        <v>0</v>
      </c>
      <c r="AI533" s="45">
        <v>0</v>
      </c>
      <c r="AJ533" s="45">
        <v>0</v>
      </c>
      <c r="AK533" s="45">
        <f t="shared" si="237"/>
        <v>0.3611</v>
      </c>
      <c r="AL533" s="45">
        <f t="shared" si="238"/>
        <v>0.00348095238095238</v>
      </c>
      <c r="AM533" s="45">
        <f t="shared" si="239"/>
        <v>0.0012569719047619</v>
      </c>
      <c r="AN533" s="45">
        <f t="shared" si="240"/>
        <v>0.792187500000004</v>
      </c>
      <c r="AO533" s="45">
        <f t="shared" si="241"/>
        <v>0.792187500000004</v>
      </c>
      <c r="AP533" s="45">
        <f t="shared" si="242"/>
        <v>1.05625000000001</v>
      </c>
      <c r="AQ533" s="45">
        <f t="shared" si="243"/>
        <v>0</v>
      </c>
      <c r="AR533" s="45">
        <f t="shared" si="244"/>
        <v>0</v>
      </c>
      <c r="AS533" s="19">
        <f t="shared" si="245"/>
        <v>1.07916666666667</v>
      </c>
      <c r="AT533" s="19">
        <f t="shared" si="246"/>
        <v>1.03333333333334</v>
      </c>
      <c r="AU533" s="46">
        <v>0</v>
      </c>
      <c r="AV533" s="46">
        <v>0</v>
      </c>
      <c r="AW533" s="46">
        <v>0</v>
      </c>
      <c r="AX533" s="46">
        <v>1</v>
      </c>
      <c r="AY533" s="47">
        <v>0</v>
      </c>
      <c r="AZ533" s="47">
        <v>-1</v>
      </c>
    </row>
    <row r="534" hidden="1" customHeight="1" spans="1:52">
      <c r="A534" s="44">
        <v>45859</v>
      </c>
      <c r="B534" s="33">
        <f t="shared" si="229"/>
        <v>157</v>
      </c>
      <c r="C534" s="33">
        <f t="shared" si="230"/>
        <v>353</v>
      </c>
      <c r="D534" s="11">
        <f t="shared" si="231"/>
        <v>510</v>
      </c>
      <c r="E534" s="34">
        <f t="shared" si="253"/>
        <v>-1.83334694079415e-6</v>
      </c>
      <c r="F534" s="35">
        <f t="shared" si="232"/>
        <v>0.000964340490857748</v>
      </c>
      <c r="G534" s="18">
        <f>(SUM($I$8:$I534)*(MAX(M$3-M$4,0))+(N534*MAX(M$4,0)))*(1-$AM$4)+(AM534*$AM$4)</f>
        <v>0.508207438682033</v>
      </c>
      <c r="H534" s="18">
        <f t="shared" si="247"/>
        <v>1.29166666666667</v>
      </c>
      <c r="I534" s="18">
        <f t="shared" si="233"/>
        <v>0</v>
      </c>
      <c r="J534" s="18">
        <f t="shared" si="248"/>
        <v>0.6596088957467</v>
      </c>
      <c r="K534" s="18">
        <f t="shared" si="249"/>
        <v>0.00216809620543503</v>
      </c>
      <c r="L534" s="18">
        <f t="shared" si="250"/>
        <v>0</v>
      </c>
      <c r="M534" s="18">
        <v>0</v>
      </c>
      <c r="N534" s="18">
        <f t="shared" si="254"/>
        <v>0.6706</v>
      </c>
      <c r="O534" s="11">
        <v>0</v>
      </c>
      <c r="P534" s="11">
        <v>0</v>
      </c>
      <c r="Q534" s="11">
        <f t="shared" si="234"/>
        <v>1</v>
      </c>
      <c r="R534" s="11">
        <v>0</v>
      </c>
      <c r="S534" s="11">
        <f t="shared" si="251"/>
        <v>0</v>
      </c>
      <c r="T534" s="11">
        <v>0</v>
      </c>
      <c r="U534" s="11">
        <f t="shared" si="235"/>
        <v>1</v>
      </c>
      <c r="V534" s="11">
        <v>0</v>
      </c>
      <c r="W534" s="11">
        <f t="shared" si="236"/>
        <v>1</v>
      </c>
      <c r="X534" s="11">
        <f t="shared" si="252"/>
        <v>0</v>
      </c>
      <c r="Y534" s="19">
        <v>0</v>
      </c>
      <c r="Z534" s="11">
        <v>0</v>
      </c>
      <c r="AA534" s="11">
        <v>0</v>
      </c>
      <c r="AB534" s="11">
        <v>0</v>
      </c>
      <c r="AC534" s="11">
        <v>0</v>
      </c>
      <c r="AD534" s="11">
        <v>0</v>
      </c>
      <c r="AE534" s="11">
        <v>0</v>
      </c>
      <c r="AF534" s="11">
        <v>0</v>
      </c>
      <c r="AG534" s="11">
        <v>0</v>
      </c>
      <c r="AH534" s="11">
        <v>0</v>
      </c>
      <c r="AI534" s="45">
        <v>0</v>
      </c>
      <c r="AJ534" s="45">
        <v>0</v>
      </c>
      <c r="AK534" s="45">
        <f t="shared" si="237"/>
        <v>0.3611</v>
      </c>
      <c r="AL534" s="45">
        <f t="shared" si="238"/>
        <v>0.00348095238095238</v>
      </c>
      <c r="AM534" s="45">
        <f t="shared" si="239"/>
        <v>0.0012569719047619</v>
      </c>
      <c r="AN534" s="45">
        <f t="shared" si="240"/>
        <v>0.792187500000004</v>
      </c>
      <c r="AO534" s="45">
        <f t="shared" si="241"/>
        <v>0.792187500000004</v>
      </c>
      <c r="AP534" s="45">
        <f t="shared" si="242"/>
        <v>1.05625000000001</v>
      </c>
      <c r="AQ534" s="45">
        <f t="shared" si="243"/>
        <v>0</v>
      </c>
      <c r="AR534" s="45">
        <f t="shared" si="244"/>
        <v>0</v>
      </c>
      <c r="AS534" s="19">
        <f t="shared" si="245"/>
        <v>1.07916666666667</v>
      </c>
      <c r="AT534" s="19">
        <f t="shared" si="246"/>
        <v>1.03333333333334</v>
      </c>
      <c r="AU534" s="46">
        <v>0</v>
      </c>
      <c r="AV534" s="46">
        <v>0</v>
      </c>
      <c r="AW534" s="46">
        <v>0</v>
      </c>
      <c r="AX534" s="46">
        <v>1</v>
      </c>
      <c r="AY534" s="47">
        <v>0</v>
      </c>
      <c r="AZ534" s="47">
        <v>-1</v>
      </c>
    </row>
    <row r="535" hidden="1" customHeight="1" spans="1:52">
      <c r="A535" s="44">
        <v>45860</v>
      </c>
      <c r="B535" s="33">
        <f t="shared" si="229"/>
        <v>156</v>
      </c>
      <c r="C535" s="33">
        <f t="shared" si="230"/>
        <v>355</v>
      </c>
      <c r="D535" s="11">
        <f t="shared" si="231"/>
        <v>511</v>
      </c>
      <c r="E535" s="34">
        <f t="shared" si="253"/>
        <v>-1.82640244480634e-6</v>
      </c>
      <c r="F535" s="35">
        <f t="shared" si="232"/>
        <v>0.000962514088412942</v>
      </c>
      <c r="G535" s="18">
        <f>(SUM($I$8:$I535)*(MAX(M$3-M$4,0))+(N535*MAX(M$4,0)))*(1-$AM$4)+(AM535*$AM$4)</f>
        <v>0.508207438682033</v>
      </c>
      <c r="H535" s="18">
        <f t="shared" si="247"/>
        <v>1.29166666666667</v>
      </c>
      <c r="I535" s="18">
        <f t="shared" si="233"/>
        <v>0</v>
      </c>
      <c r="J535" s="18">
        <f t="shared" si="248"/>
        <v>0.658359636474452</v>
      </c>
      <c r="K535" s="18">
        <f t="shared" si="249"/>
        <v>0.00219000233029197</v>
      </c>
      <c r="L535" s="18">
        <f t="shared" si="250"/>
        <v>0</v>
      </c>
      <c r="M535" s="18">
        <v>0</v>
      </c>
      <c r="N535" s="18">
        <f t="shared" si="254"/>
        <v>0.6706</v>
      </c>
      <c r="O535" s="11">
        <v>0</v>
      </c>
      <c r="P535" s="11">
        <v>0</v>
      </c>
      <c r="Q535" s="11">
        <f t="shared" si="234"/>
        <v>1</v>
      </c>
      <c r="R535" s="11">
        <v>0</v>
      </c>
      <c r="S535" s="11">
        <f t="shared" si="251"/>
        <v>0</v>
      </c>
      <c r="T535" s="11">
        <v>0</v>
      </c>
      <c r="U535" s="11">
        <f t="shared" si="235"/>
        <v>1</v>
      </c>
      <c r="V535" s="11">
        <v>0</v>
      </c>
      <c r="W535" s="11">
        <f t="shared" si="236"/>
        <v>1</v>
      </c>
      <c r="X535" s="11">
        <f t="shared" si="252"/>
        <v>0</v>
      </c>
      <c r="Y535" s="19">
        <v>0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1">
        <v>0</v>
      </c>
      <c r="AG535" s="11">
        <v>0</v>
      </c>
      <c r="AH535" s="11">
        <v>0</v>
      </c>
      <c r="AI535" s="45">
        <v>0</v>
      </c>
      <c r="AJ535" s="45">
        <v>0</v>
      </c>
      <c r="AK535" s="45">
        <f t="shared" si="237"/>
        <v>0.3611</v>
      </c>
      <c r="AL535" s="45">
        <f t="shared" si="238"/>
        <v>0.00348095238095238</v>
      </c>
      <c r="AM535" s="45">
        <f t="shared" si="239"/>
        <v>0.0012569719047619</v>
      </c>
      <c r="AN535" s="45">
        <f t="shared" si="240"/>
        <v>0.792187500000004</v>
      </c>
      <c r="AO535" s="45">
        <f t="shared" si="241"/>
        <v>0.792187500000004</v>
      </c>
      <c r="AP535" s="45">
        <f t="shared" si="242"/>
        <v>1.05625000000001</v>
      </c>
      <c r="AQ535" s="45">
        <f t="shared" si="243"/>
        <v>0</v>
      </c>
      <c r="AR535" s="45">
        <f t="shared" si="244"/>
        <v>0</v>
      </c>
      <c r="AS535" s="19">
        <f t="shared" si="245"/>
        <v>1.07916666666667</v>
      </c>
      <c r="AT535" s="19">
        <f t="shared" si="246"/>
        <v>1.03333333333334</v>
      </c>
      <c r="AU535" s="46">
        <v>0</v>
      </c>
      <c r="AV535" s="46">
        <v>0</v>
      </c>
      <c r="AW535" s="46">
        <v>0</v>
      </c>
      <c r="AX535" s="46">
        <v>1</v>
      </c>
      <c r="AY535" s="47">
        <v>0</v>
      </c>
      <c r="AZ535" s="47">
        <v>-1</v>
      </c>
    </row>
    <row r="536" hidden="1" customHeight="1" spans="1:52">
      <c r="A536" s="44">
        <v>45861</v>
      </c>
      <c r="B536" s="33">
        <f t="shared" si="229"/>
        <v>155</v>
      </c>
      <c r="C536" s="33">
        <f t="shared" si="230"/>
        <v>357</v>
      </c>
      <c r="D536" s="11">
        <f t="shared" si="231"/>
        <v>512</v>
      </c>
      <c r="E536" s="34">
        <f t="shared" si="253"/>
        <v>-1.81949733159346e-6</v>
      </c>
      <c r="F536" s="35">
        <f t="shared" si="232"/>
        <v>0.000960694591081348</v>
      </c>
      <c r="G536" s="18">
        <f>(SUM($I$8:$I536)*(MAX(M$3-M$4,0))+(N536*MAX(M$4,0)))*(1-$AM$4)+(AM536*$AM$4)</f>
        <v>0.508207438682033</v>
      </c>
      <c r="H536" s="18">
        <f t="shared" si="247"/>
        <v>1.29166666666667</v>
      </c>
      <c r="I536" s="18">
        <f t="shared" si="233"/>
        <v>0</v>
      </c>
      <c r="J536" s="18">
        <f t="shared" si="248"/>
        <v>0.657115100299642</v>
      </c>
      <c r="K536" s="18">
        <f t="shared" si="249"/>
        <v>0.00221216064322811</v>
      </c>
      <c r="L536" s="18">
        <f t="shared" si="250"/>
        <v>0</v>
      </c>
      <c r="M536" s="18">
        <v>0</v>
      </c>
      <c r="N536" s="18">
        <f t="shared" si="254"/>
        <v>0.6706</v>
      </c>
      <c r="O536" s="11">
        <v>0</v>
      </c>
      <c r="P536" s="11">
        <v>0</v>
      </c>
      <c r="Q536" s="11">
        <f t="shared" si="234"/>
        <v>1</v>
      </c>
      <c r="R536" s="11">
        <v>0</v>
      </c>
      <c r="S536" s="11">
        <f t="shared" si="251"/>
        <v>0</v>
      </c>
      <c r="T536" s="11">
        <v>0</v>
      </c>
      <c r="U536" s="11">
        <f t="shared" si="235"/>
        <v>1</v>
      </c>
      <c r="V536" s="11">
        <v>0</v>
      </c>
      <c r="W536" s="11">
        <f t="shared" si="236"/>
        <v>1</v>
      </c>
      <c r="X536" s="11">
        <f t="shared" si="252"/>
        <v>0</v>
      </c>
      <c r="Y536" s="19">
        <v>0</v>
      </c>
      <c r="Z536" s="11">
        <v>0</v>
      </c>
      <c r="AA536" s="11">
        <v>0</v>
      </c>
      <c r="AB536" s="11">
        <v>0</v>
      </c>
      <c r="AC536" s="11">
        <v>0</v>
      </c>
      <c r="AD536" s="11">
        <v>0</v>
      </c>
      <c r="AE536" s="11">
        <v>0</v>
      </c>
      <c r="AF536" s="11">
        <v>0</v>
      </c>
      <c r="AG536" s="11">
        <v>0</v>
      </c>
      <c r="AH536" s="11">
        <v>0</v>
      </c>
      <c r="AI536" s="45">
        <v>0</v>
      </c>
      <c r="AJ536" s="45">
        <v>0</v>
      </c>
      <c r="AK536" s="45">
        <f t="shared" si="237"/>
        <v>0.3611</v>
      </c>
      <c r="AL536" s="45">
        <f t="shared" si="238"/>
        <v>0.00348095238095238</v>
      </c>
      <c r="AM536" s="45">
        <f t="shared" si="239"/>
        <v>0.0012569719047619</v>
      </c>
      <c r="AN536" s="45">
        <f t="shared" si="240"/>
        <v>0.792187500000004</v>
      </c>
      <c r="AO536" s="45">
        <f t="shared" si="241"/>
        <v>0.792187500000004</v>
      </c>
      <c r="AP536" s="45">
        <f t="shared" si="242"/>
        <v>1.05625000000001</v>
      </c>
      <c r="AQ536" s="45">
        <f t="shared" si="243"/>
        <v>0</v>
      </c>
      <c r="AR536" s="45">
        <f t="shared" si="244"/>
        <v>0</v>
      </c>
      <c r="AS536" s="19">
        <f t="shared" si="245"/>
        <v>1.07916666666667</v>
      </c>
      <c r="AT536" s="19">
        <f t="shared" si="246"/>
        <v>1.03333333333334</v>
      </c>
      <c r="AU536" s="46">
        <v>0</v>
      </c>
      <c r="AV536" s="46">
        <v>0</v>
      </c>
      <c r="AW536" s="46">
        <v>0</v>
      </c>
      <c r="AX536" s="46">
        <v>1</v>
      </c>
      <c r="AY536" s="47">
        <v>0</v>
      </c>
      <c r="AZ536" s="47">
        <v>-1</v>
      </c>
    </row>
    <row r="537" hidden="1" customHeight="1" spans="1:52">
      <c r="A537" s="44">
        <v>45862</v>
      </c>
      <c r="B537" s="33">
        <f t="shared" si="229"/>
        <v>154</v>
      </c>
      <c r="C537" s="33">
        <f t="shared" si="230"/>
        <v>354</v>
      </c>
      <c r="D537" s="11">
        <f t="shared" si="231"/>
        <v>508</v>
      </c>
      <c r="E537" s="34">
        <f t="shared" si="253"/>
        <v>2.46582915562133e-6</v>
      </c>
      <c r="F537" s="35">
        <f t="shared" si="232"/>
        <v>0.00096316042023697</v>
      </c>
      <c r="G537" s="18">
        <f>(SUM($I$8:$I537)*(MAX(M$3-M$4,0))+(N537*MAX(M$4,0)))*(1-$AM$4)+(AM537*$AM$4)</f>
        <v>0.510475022725594</v>
      </c>
      <c r="H537" s="18">
        <f t="shared" si="247"/>
        <v>1.29166666666667</v>
      </c>
      <c r="I537" s="18">
        <f t="shared" si="233"/>
        <v>0.0068937815656566</v>
      </c>
      <c r="J537" s="18">
        <f t="shared" si="248"/>
        <v>0.658801727442087</v>
      </c>
      <c r="K537" s="18">
        <f t="shared" si="249"/>
        <v>0.00221557319842801</v>
      </c>
      <c r="L537" s="18">
        <f t="shared" si="250"/>
        <v>0.00533712121212122</v>
      </c>
      <c r="M537" s="18">
        <v>0.6732</v>
      </c>
      <c r="N537" s="18">
        <f t="shared" si="254"/>
        <v>0.6732</v>
      </c>
      <c r="O537" s="11">
        <v>0</v>
      </c>
      <c r="P537" s="11">
        <v>0</v>
      </c>
      <c r="Q537" s="11">
        <f t="shared" si="234"/>
        <v>1</v>
      </c>
      <c r="R537" s="11">
        <v>0</v>
      </c>
      <c r="S537" s="11">
        <f t="shared" si="251"/>
        <v>0</v>
      </c>
      <c r="T537" s="11">
        <v>0</v>
      </c>
      <c r="U537" s="11">
        <f t="shared" si="235"/>
        <v>1</v>
      </c>
      <c r="V537" s="11">
        <v>0</v>
      </c>
      <c r="W537" s="11">
        <f t="shared" si="236"/>
        <v>1</v>
      </c>
      <c r="X537" s="11">
        <f t="shared" si="252"/>
        <v>0</v>
      </c>
      <c r="Y537" s="19">
        <v>5.45</v>
      </c>
      <c r="Z537" s="11">
        <v>12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1">
        <v>0</v>
      </c>
      <c r="AG537" s="11">
        <v>0</v>
      </c>
      <c r="AH537" s="11">
        <v>0</v>
      </c>
      <c r="AI537" s="45">
        <v>0</v>
      </c>
      <c r="AJ537" s="45">
        <v>0</v>
      </c>
      <c r="AK537" s="45">
        <f t="shared" si="237"/>
        <v>0.3611</v>
      </c>
      <c r="AL537" s="45">
        <f t="shared" si="238"/>
        <v>0.00348095238095238</v>
      </c>
      <c r="AM537" s="45">
        <f t="shared" si="239"/>
        <v>0.0012569719047619</v>
      </c>
      <c r="AN537" s="45">
        <f t="shared" si="240"/>
        <v>0.792187500000004</v>
      </c>
      <c r="AO537" s="45">
        <f t="shared" si="241"/>
        <v>0.792187500000004</v>
      </c>
      <c r="AP537" s="45">
        <f t="shared" si="242"/>
        <v>1.05625000000001</v>
      </c>
      <c r="AQ537" s="45">
        <f t="shared" si="243"/>
        <v>0</v>
      </c>
      <c r="AR537" s="45">
        <f t="shared" si="244"/>
        <v>0</v>
      </c>
      <c r="AS537" s="19">
        <f t="shared" si="245"/>
        <v>1.07916666666667</v>
      </c>
      <c r="AT537" s="19">
        <f t="shared" si="246"/>
        <v>1.03333333333334</v>
      </c>
      <c r="AU537" s="46">
        <v>0</v>
      </c>
      <c r="AV537" s="46">
        <v>0</v>
      </c>
      <c r="AW537" s="46">
        <v>0</v>
      </c>
      <c r="AX537" s="46">
        <v>1</v>
      </c>
      <c r="AY537" s="47">
        <v>0</v>
      </c>
      <c r="AZ537" s="47">
        <v>-1</v>
      </c>
    </row>
    <row r="538" hidden="1" customHeight="1" spans="1:52">
      <c r="A538" s="44">
        <v>45863</v>
      </c>
      <c r="B538" s="33">
        <f t="shared" ref="B538:B601" si="255">B$2-A538+1</f>
        <v>153</v>
      </c>
      <c r="C538" s="33">
        <f t="shared" ref="C538:C601" si="256">D538-B538</f>
        <v>350</v>
      </c>
      <c r="D538" s="11">
        <f t="shared" ref="D538:D601" si="257">IF(F538&gt;0,ROUND(((1-G538)/F538),0),FACT(128))</f>
        <v>503</v>
      </c>
      <c r="E538" s="34">
        <f t="shared" si="253"/>
        <v>4.39635826169477e-6</v>
      </c>
      <c r="F538" s="35">
        <f t="shared" ref="F538:F601" si="258">G538/(ROW()-7)</f>
        <v>0.000967556778498664</v>
      </c>
      <c r="G538" s="18">
        <f>(SUM($I$8:$I538)*(MAX(M$3-M$4,0))+(N538*MAX(M$4,0)))*(1-$AM$4)+(AM538*$AM$4)</f>
        <v>0.513772649382791</v>
      </c>
      <c r="H538" s="18">
        <f t="shared" si="247"/>
        <v>1.29166666666667</v>
      </c>
      <c r="I538" s="18">
        <f t="shared" ref="I538:I601" si="259">L538*H538</f>
        <v>0.0071873421717172</v>
      </c>
      <c r="J538" s="18">
        <f t="shared" si="248"/>
        <v>0.661808836493086</v>
      </c>
      <c r="K538" s="18">
        <f t="shared" si="249"/>
        <v>0.0022103997614831</v>
      </c>
      <c r="L538" s="18">
        <f t="shared" si="250"/>
        <v>0.00556439393939395</v>
      </c>
      <c r="M538" s="18">
        <v>0.6784</v>
      </c>
      <c r="N538" s="18">
        <f t="shared" si="254"/>
        <v>0.6784</v>
      </c>
      <c r="O538" s="11">
        <v>0</v>
      </c>
      <c r="P538" s="11">
        <v>0</v>
      </c>
      <c r="Q538" s="11">
        <f t="shared" ref="Q538:Q601" si="260">($P$2-$P$4)+((P538/(MAX(1/FACT(128),O538)))*$P$4)</f>
        <v>1</v>
      </c>
      <c r="R538" s="11">
        <v>0</v>
      </c>
      <c r="S538" s="11">
        <f t="shared" si="251"/>
        <v>0</v>
      </c>
      <c r="T538" s="11">
        <v>0</v>
      </c>
      <c r="U538" s="11">
        <f t="shared" ref="U538:U601" si="261">MAX(1,T538)/(MAX(1,O538))</f>
        <v>1</v>
      </c>
      <c r="V538" s="11">
        <v>0</v>
      </c>
      <c r="W538" s="11">
        <f t="shared" ref="W538:W601" si="262">($V$4*V538/(MAX(1,O538)))+1</f>
        <v>1</v>
      </c>
      <c r="X538" s="11">
        <f t="shared" si="252"/>
        <v>0</v>
      </c>
      <c r="Y538" s="19">
        <v>5.33</v>
      </c>
      <c r="Z538" s="11">
        <v>13</v>
      </c>
      <c r="AA538" s="11">
        <v>0</v>
      </c>
      <c r="AB538" s="11">
        <v>0</v>
      </c>
      <c r="AC538" s="11">
        <v>0</v>
      </c>
      <c r="AD538" s="11">
        <v>0</v>
      </c>
      <c r="AE538" s="11">
        <v>0</v>
      </c>
      <c r="AF538" s="11">
        <v>0</v>
      </c>
      <c r="AG538" s="11">
        <v>0</v>
      </c>
      <c r="AH538" s="11">
        <v>0</v>
      </c>
      <c r="AI538" s="45">
        <v>0</v>
      </c>
      <c r="AJ538" s="45">
        <v>0</v>
      </c>
      <c r="AK538" s="45">
        <f t="shared" ref="AK538:AK601" si="263">IF(AI538&gt;0,AI538,AK537)</f>
        <v>0.3611</v>
      </c>
      <c r="AL538" s="45">
        <f t="shared" ref="AL538:AL601" si="264">IF(AJ538&gt;0,AJ538,AL537)</f>
        <v>0.00348095238095238</v>
      </c>
      <c r="AM538" s="45">
        <f t="shared" ref="AM538:AM601" si="265">AL538*AK538</f>
        <v>0.0012569719047619</v>
      </c>
      <c r="AN538" s="45">
        <f t="shared" ref="AN538:AN601" si="266">IFERROR(AVERAGEIF(AO531:AO537,"&gt;0",AO531:AO537),0)</f>
        <v>0.792187500000004</v>
      </c>
      <c r="AO538" s="45">
        <f t="shared" ref="AO538:AO601" si="267">AP538*0.75+AQ538*0.125+AR538*0.125</f>
        <v>0.792187500000004</v>
      </c>
      <c r="AP538" s="45">
        <f t="shared" ref="AP538:AP601" si="268">AVERAGE(AS538:AT538)</f>
        <v>1.05625000000001</v>
      </c>
      <c r="AQ538" s="45">
        <f t="shared" ref="AQ538:AQ601" si="269">AY538/AQ$5</f>
        <v>0</v>
      </c>
      <c r="AR538" s="45">
        <f t="shared" ref="AR538:AR601" si="270">IF(AZ538&gt;=0,1/(AZ538+1),0)</f>
        <v>0</v>
      </c>
      <c r="AS538" s="19">
        <f t="shared" ref="AS538:AS601" si="271">IF((("24:00"-AX538+AU538)/$AS$5)&gt;0,(("24:00"-AX538+AU538)/$AS$5),AS537)</f>
        <v>1.07916666666667</v>
      </c>
      <c r="AT538" s="19">
        <f t="shared" ref="AT538:AT601" si="272">IF(((AW538-AV538)/$AT$5)&gt;0,((AW538-AV538)/$AT$5),AT537)</f>
        <v>1.03333333333334</v>
      </c>
      <c r="AU538" s="46">
        <v>0</v>
      </c>
      <c r="AV538" s="46">
        <v>0</v>
      </c>
      <c r="AW538" s="46">
        <v>0</v>
      </c>
      <c r="AX538" s="46">
        <v>1</v>
      </c>
      <c r="AY538" s="47">
        <v>0</v>
      </c>
      <c r="AZ538" s="47">
        <v>-1</v>
      </c>
    </row>
    <row r="539" hidden="1" customHeight="1" spans="1:52">
      <c r="A539" s="44">
        <v>45864</v>
      </c>
      <c r="B539" s="33">
        <f t="shared" si="255"/>
        <v>152</v>
      </c>
      <c r="C539" s="33">
        <f t="shared" si="256"/>
        <v>345</v>
      </c>
      <c r="D539" s="11">
        <f t="shared" si="257"/>
        <v>497</v>
      </c>
      <c r="E539" s="34">
        <f t="shared" si="253"/>
        <v>4.59038450512908e-6</v>
      </c>
      <c r="F539" s="35">
        <f t="shared" si="258"/>
        <v>0.000972147163003793</v>
      </c>
      <c r="G539" s="18">
        <f>(SUM($I$8:$I539)*(MAX(M$3-M$4,0))+(N539*MAX(M$4,0)))*(1-$AM$4)+(AM539*$AM$4)</f>
        <v>0.517182290718018</v>
      </c>
      <c r="H539" s="18">
        <f t="shared" si="247"/>
        <v>1.29166666666667</v>
      </c>
      <c r="I539" s="18">
        <f t="shared" si="259"/>
        <v>0.00958475378787883</v>
      </c>
      <c r="J539" s="18">
        <f t="shared" si="248"/>
        <v>0.664948659494595</v>
      </c>
      <c r="K539" s="18">
        <f t="shared" si="249"/>
        <v>0.00220428513490398</v>
      </c>
      <c r="L539" s="18">
        <f t="shared" si="250"/>
        <v>0.00742045454545456</v>
      </c>
      <c r="M539" s="18">
        <v>0.6827</v>
      </c>
      <c r="N539" s="18">
        <f t="shared" si="254"/>
        <v>0.6827</v>
      </c>
      <c r="O539" s="11">
        <v>0</v>
      </c>
      <c r="P539" s="11">
        <v>0</v>
      </c>
      <c r="Q539" s="11">
        <f t="shared" si="260"/>
        <v>1</v>
      </c>
      <c r="R539" s="11">
        <v>0</v>
      </c>
      <c r="S539" s="11">
        <f t="shared" si="251"/>
        <v>0</v>
      </c>
      <c r="T539" s="11">
        <v>0</v>
      </c>
      <c r="U539" s="11">
        <f t="shared" si="261"/>
        <v>1</v>
      </c>
      <c r="V539" s="11">
        <v>0</v>
      </c>
      <c r="W539" s="11">
        <f t="shared" si="262"/>
        <v>1</v>
      </c>
      <c r="X539" s="11">
        <f t="shared" si="252"/>
        <v>0</v>
      </c>
      <c r="Y539" s="19">
        <v>3.75</v>
      </c>
      <c r="Z539" s="11">
        <v>22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1">
        <v>0</v>
      </c>
      <c r="AG539" s="11">
        <v>0</v>
      </c>
      <c r="AH539" s="11">
        <v>0</v>
      </c>
      <c r="AI539" s="45">
        <v>0</v>
      </c>
      <c r="AJ539" s="45">
        <v>0</v>
      </c>
      <c r="AK539" s="45">
        <f t="shared" si="263"/>
        <v>0.3611</v>
      </c>
      <c r="AL539" s="45">
        <f t="shared" si="264"/>
        <v>0.00348095238095238</v>
      </c>
      <c r="AM539" s="45">
        <f t="shared" si="265"/>
        <v>0.0012569719047619</v>
      </c>
      <c r="AN539" s="45">
        <f t="shared" si="266"/>
        <v>0.792187500000004</v>
      </c>
      <c r="AO539" s="45">
        <f t="shared" si="267"/>
        <v>0.792187500000004</v>
      </c>
      <c r="AP539" s="45">
        <f t="shared" si="268"/>
        <v>1.05625000000001</v>
      </c>
      <c r="AQ539" s="45">
        <f t="shared" si="269"/>
        <v>0</v>
      </c>
      <c r="AR539" s="45">
        <f t="shared" si="270"/>
        <v>0</v>
      </c>
      <c r="AS539" s="19">
        <f t="shared" si="271"/>
        <v>1.07916666666667</v>
      </c>
      <c r="AT539" s="19">
        <f t="shared" si="272"/>
        <v>1.03333333333334</v>
      </c>
      <c r="AU539" s="46">
        <v>0</v>
      </c>
      <c r="AV539" s="46">
        <v>0</v>
      </c>
      <c r="AW539" s="46">
        <v>0</v>
      </c>
      <c r="AX539" s="46">
        <v>1</v>
      </c>
      <c r="AY539" s="47">
        <v>0</v>
      </c>
      <c r="AZ539" s="47">
        <v>-1</v>
      </c>
    </row>
    <row r="540" hidden="1" customHeight="1" spans="1:52">
      <c r="A540" s="44">
        <v>45865</v>
      </c>
      <c r="B540" s="33">
        <f t="shared" si="255"/>
        <v>151</v>
      </c>
      <c r="C540" s="33">
        <f t="shared" si="256"/>
        <v>347</v>
      </c>
      <c r="D540" s="11">
        <f t="shared" si="257"/>
        <v>498</v>
      </c>
      <c r="E540" s="34">
        <f t="shared" si="253"/>
        <v>-1.82391587805588e-6</v>
      </c>
      <c r="F540" s="35">
        <f t="shared" si="258"/>
        <v>0.000970323247125738</v>
      </c>
      <c r="G540" s="18">
        <f>(SUM($I$8:$I540)*(MAX(M$3-M$4,0))+(N540*MAX(M$4,0)))*(1-$AM$4)+(AM540*$AM$4)</f>
        <v>0.517182290718018</v>
      </c>
      <c r="H540" s="18">
        <f t="shared" si="247"/>
        <v>1.29166666666667</v>
      </c>
      <c r="I540" s="18">
        <f t="shared" si="259"/>
        <v>0</v>
      </c>
      <c r="J540" s="18">
        <f t="shared" si="248"/>
        <v>0.663701101034004</v>
      </c>
      <c r="K540" s="18">
        <f t="shared" si="249"/>
        <v>0.00222714502626487</v>
      </c>
      <c r="L540" s="18">
        <f t="shared" si="250"/>
        <v>0</v>
      </c>
      <c r="M540" s="18">
        <v>0</v>
      </c>
      <c r="N540" s="18">
        <f t="shared" si="254"/>
        <v>0.6827</v>
      </c>
      <c r="O540" s="11">
        <v>0</v>
      </c>
      <c r="P540" s="11">
        <v>0</v>
      </c>
      <c r="Q540" s="11">
        <f t="shared" si="260"/>
        <v>1</v>
      </c>
      <c r="R540" s="11">
        <v>0</v>
      </c>
      <c r="S540" s="11">
        <f t="shared" si="251"/>
        <v>0</v>
      </c>
      <c r="T540" s="11">
        <v>0</v>
      </c>
      <c r="U540" s="11">
        <f t="shared" si="261"/>
        <v>1</v>
      </c>
      <c r="V540" s="11">
        <v>0</v>
      </c>
      <c r="W540" s="11">
        <f t="shared" si="262"/>
        <v>1</v>
      </c>
      <c r="X540" s="11">
        <f t="shared" si="252"/>
        <v>0</v>
      </c>
      <c r="Y540" s="19">
        <v>0</v>
      </c>
      <c r="Z540" s="11">
        <v>0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45">
        <v>0</v>
      </c>
      <c r="AJ540" s="45">
        <v>0</v>
      </c>
      <c r="AK540" s="45">
        <f t="shared" si="263"/>
        <v>0.3611</v>
      </c>
      <c r="AL540" s="45">
        <f t="shared" si="264"/>
        <v>0.00348095238095238</v>
      </c>
      <c r="AM540" s="45">
        <f t="shared" si="265"/>
        <v>0.0012569719047619</v>
      </c>
      <c r="AN540" s="45">
        <f t="shared" si="266"/>
        <v>0.792187500000004</v>
      </c>
      <c r="AO540" s="45">
        <f t="shared" si="267"/>
        <v>0.792187500000004</v>
      </c>
      <c r="AP540" s="45">
        <f t="shared" si="268"/>
        <v>1.05625000000001</v>
      </c>
      <c r="AQ540" s="45">
        <f t="shared" si="269"/>
        <v>0</v>
      </c>
      <c r="AR540" s="45">
        <f t="shared" si="270"/>
        <v>0</v>
      </c>
      <c r="AS540" s="19">
        <f t="shared" si="271"/>
        <v>1.07916666666667</v>
      </c>
      <c r="AT540" s="19">
        <f t="shared" si="272"/>
        <v>1.03333333333334</v>
      </c>
      <c r="AU540" s="46">
        <v>0</v>
      </c>
      <c r="AV540" s="46">
        <v>0</v>
      </c>
      <c r="AW540" s="46">
        <v>0</v>
      </c>
      <c r="AX540" s="46">
        <v>1</v>
      </c>
      <c r="AY540" s="47">
        <v>0</v>
      </c>
      <c r="AZ540" s="47">
        <v>-1</v>
      </c>
    </row>
    <row r="541" hidden="1" customHeight="1" spans="1:52">
      <c r="A541" s="44">
        <v>45866</v>
      </c>
      <c r="B541" s="33">
        <f t="shared" si="255"/>
        <v>150</v>
      </c>
      <c r="C541" s="33">
        <f t="shared" si="256"/>
        <v>349</v>
      </c>
      <c r="D541" s="11">
        <f t="shared" si="257"/>
        <v>499</v>
      </c>
      <c r="E541" s="34">
        <f t="shared" si="253"/>
        <v>-1.81708473244522e-6</v>
      </c>
      <c r="F541" s="35">
        <f t="shared" si="258"/>
        <v>0.000968506162393292</v>
      </c>
      <c r="G541" s="18">
        <f>(SUM($I$8:$I541)*(MAX(M$3-M$4,0))+(N541*MAX(M$4,0)))*(1-$AM$4)+(AM541*$AM$4)</f>
        <v>0.517182290718018</v>
      </c>
      <c r="H541" s="18">
        <f t="shared" si="247"/>
        <v>1.29166666666667</v>
      </c>
      <c r="I541" s="18">
        <f t="shared" si="259"/>
        <v>0</v>
      </c>
      <c r="J541" s="18">
        <f t="shared" si="248"/>
        <v>0.662458215077012</v>
      </c>
      <c r="K541" s="18">
        <f t="shared" si="249"/>
        <v>0.00225027856615325</v>
      </c>
      <c r="L541" s="18">
        <f t="shared" si="250"/>
        <v>0</v>
      </c>
      <c r="M541" s="18">
        <v>0</v>
      </c>
      <c r="N541" s="18">
        <f t="shared" si="254"/>
        <v>0.6827</v>
      </c>
      <c r="O541" s="11">
        <v>0</v>
      </c>
      <c r="P541" s="11">
        <v>0</v>
      </c>
      <c r="Q541" s="11">
        <f t="shared" si="260"/>
        <v>1</v>
      </c>
      <c r="R541" s="11">
        <v>0</v>
      </c>
      <c r="S541" s="11">
        <f t="shared" si="251"/>
        <v>0</v>
      </c>
      <c r="T541" s="11">
        <v>0</v>
      </c>
      <c r="U541" s="11">
        <f t="shared" si="261"/>
        <v>1</v>
      </c>
      <c r="V541" s="11">
        <v>0</v>
      </c>
      <c r="W541" s="11">
        <f t="shared" si="262"/>
        <v>1</v>
      </c>
      <c r="X541" s="11">
        <f t="shared" si="252"/>
        <v>0</v>
      </c>
      <c r="Y541" s="19">
        <v>0</v>
      </c>
      <c r="Z541" s="11">
        <v>0</v>
      </c>
      <c r="AA541" s="11">
        <v>0</v>
      </c>
      <c r="AB541" s="11">
        <v>0</v>
      </c>
      <c r="AC541" s="11">
        <v>0</v>
      </c>
      <c r="AD541" s="11">
        <v>0</v>
      </c>
      <c r="AE541" s="11">
        <v>0</v>
      </c>
      <c r="AF541" s="11">
        <v>0</v>
      </c>
      <c r="AG541" s="11">
        <v>0</v>
      </c>
      <c r="AH541" s="11">
        <v>0</v>
      </c>
      <c r="AI541" s="45">
        <v>0</v>
      </c>
      <c r="AJ541" s="45">
        <v>0</v>
      </c>
      <c r="AK541" s="45">
        <f t="shared" si="263"/>
        <v>0.3611</v>
      </c>
      <c r="AL541" s="45">
        <f t="shared" si="264"/>
        <v>0.00348095238095238</v>
      </c>
      <c r="AM541" s="45">
        <f t="shared" si="265"/>
        <v>0.0012569719047619</v>
      </c>
      <c r="AN541" s="45">
        <f t="shared" si="266"/>
        <v>0.792187500000004</v>
      </c>
      <c r="AO541" s="45">
        <f t="shared" si="267"/>
        <v>0.792187500000004</v>
      </c>
      <c r="AP541" s="45">
        <f t="shared" si="268"/>
        <v>1.05625000000001</v>
      </c>
      <c r="AQ541" s="45">
        <f t="shared" si="269"/>
        <v>0</v>
      </c>
      <c r="AR541" s="45">
        <f t="shared" si="270"/>
        <v>0</v>
      </c>
      <c r="AS541" s="19">
        <f t="shared" si="271"/>
        <v>1.07916666666667</v>
      </c>
      <c r="AT541" s="19">
        <f t="shared" si="272"/>
        <v>1.03333333333334</v>
      </c>
      <c r="AU541" s="46">
        <v>0</v>
      </c>
      <c r="AV541" s="46">
        <v>0</v>
      </c>
      <c r="AW541" s="46">
        <v>0</v>
      </c>
      <c r="AX541" s="46">
        <v>1</v>
      </c>
      <c r="AY541" s="47">
        <v>0</v>
      </c>
      <c r="AZ541" s="47">
        <v>-1</v>
      </c>
    </row>
    <row r="542" hidden="1" customHeight="1" spans="1:52">
      <c r="A542" s="44">
        <v>45867</v>
      </c>
      <c r="B542" s="33">
        <f t="shared" si="255"/>
        <v>149</v>
      </c>
      <c r="C542" s="33">
        <f t="shared" si="256"/>
        <v>350</v>
      </c>
      <c r="D542" s="11">
        <f t="shared" si="257"/>
        <v>499</v>
      </c>
      <c r="E542" s="34">
        <f t="shared" si="253"/>
        <v>-1.81029189232388e-6</v>
      </c>
      <c r="F542" s="35">
        <f t="shared" si="258"/>
        <v>0.000966695870500968</v>
      </c>
      <c r="G542" s="18">
        <f>(SUM($I$8:$I542)*(MAX(M$3-M$4,0))+(N542*MAX(M$4,0)))*(1-$AM$4)+(AM542*$AM$4)</f>
        <v>0.517182290718018</v>
      </c>
      <c r="H542" s="18">
        <f t="shared" si="247"/>
        <v>1.29166666666667</v>
      </c>
      <c r="I542" s="18">
        <f t="shared" si="259"/>
        <v>0</v>
      </c>
      <c r="J542" s="18">
        <f t="shared" si="248"/>
        <v>0.661219975422662</v>
      </c>
      <c r="K542" s="18">
        <f t="shared" si="249"/>
        <v>0.00227369144011636</v>
      </c>
      <c r="L542" s="18">
        <f t="shared" si="250"/>
        <v>0</v>
      </c>
      <c r="M542" s="18">
        <v>0</v>
      </c>
      <c r="N542" s="18">
        <f t="shared" si="254"/>
        <v>0.6827</v>
      </c>
      <c r="O542" s="11">
        <v>0</v>
      </c>
      <c r="P542" s="11">
        <v>0</v>
      </c>
      <c r="Q542" s="11">
        <f t="shared" si="260"/>
        <v>1</v>
      </c>
      <c r="R542" s="11">
        <v>0</v>
      </c>
      <c r="S542" s="11">
        <f t="shared" si="251"/>
        <v>0</v>
      </c>
      <c r="T542" s="11">
        <v>0</v>
      </c>
      <c r="U542" s="11">
        <f t="shared" si="261"/>
        <v>1</v>
      </c>
      <c r="V542" s="11">
        <v>0</v>
      </c>
      <c r="W542" s="11">
        <f t="shared" si="262"/>
        <v>1</v>
      </c>
      <c r="X542" s="11">
        <f t="shared" si="252"/>
        <v>0</v>
      </c>
      <c r="Y542" s="19">
        <v>0</v>
      </c>
      <c r="Z542" s="11">
        <v>0</v>
      </c>
      <c r="AA542" s="11">
        <v>0</v>
      </c>
      <c r="AB542" s="11">
        <v>0</v>
      </c>
      <c r="AC542" s="11">
        <v>0</v>
      </c>
      <c r="AD542" s="11">
        <v>0</v>
      </c>
      <c r="AE542" s="11">
        <v>0</v>
      </c>
      <c r="AF542" s="11">
        <v>0</v>
      </c>
      <c r="AG542" s="11">
        <v>0</v>
      </c>
      <c r="AH542" s="11">
        <v>0</v>
      </c>
      <c r="AI542" s="45">
        <v>0</v>
      </c>
      <c r="AJ542" s="45">
        <v>0</v>
      </c>
      <c r="AK542" s="45">
        <f t="shared" si="263"/>
        <v>0.3611</v>
      </c>
      <c r="AL542" s="45">
        <f t="shared" si="264"/>
        <v>0.00348095238095238</v>
      </c>
      <c r="AM542" s="45">
        <f t="shared" si="265"/>
        <v>0.0012569719047619</v>
      </c>
      <c r="AN542" s="45">
        <f t="shared" si="266"/>
        <v>0.792187500000004</v>
      </c>
      <c r="AO542" s="45">
        <f t="shared" si="267"/>
        <v>0.792187500000004</v>
      </c>
      <c r="AP542" s="45">
        <f t="shared" si="268"/>
        <v>1.05625000000001</v>
      </c>
      <c r="AQ542" s="45">
        <f t="shared" si="269"/>
        <v>0</v>
      </c>
      <c r="AR542" s="45">
        <f t="shared" si="270"/>
        <v>0</v>
      </c>
      <c r="AS542" s="19">
        <f t="shared" si="271"/>
        <v>1.07916666666667</v>
      </c>
      <c r="AT542" s="19">
        <f t="shared" si="272"/>
        <v>1.03333333333334</v>
      </c>
      <c r="AU542" s="46">
        <v>0</v>
      </c>
      <c r="AV542" s="46">
        <v>0</v>
      </c>
      <c r="AW542" s="46">
        <v>0</v>
      </c>
      <c r="AX542" s="46">
        <v>1</v>
      </c>
      <c r="AY542" s="47">
        <v>0</v>
      </c>
      <c r="AZ542" s="47">
        <v>-1</v>
      </c>
    </row>
    <row r="543" hidden="1" customHeight="1" spans="1:52">
      <c r="A543" s="44">
        <v>45868</v>
      </c>
      <c r="B543" s="33">
        <f t="shared" si="255"/>
        <v>148</v>
      </c>
      <c r="C543" s="33">
        <f t="shared" si="256"/>
        <v>352</v>
      </c>
      <c r="D543" s="11">
        <f t="shared" si="257"/>
        <v>500</v>
      </c>
      <c r="E543" s="34">
        <f t="shared" si="253"/>
        <v>-1.80353707183013e-6</v>
      </c>
      <c r="F543" s="35">
        <f t="shared" si="258"/>
        <v>0.000964892333429138</v>
      </c>
      <c r="G543" s="18">
        <f>(SUM($I$8:$I543)*(MAX(M$3-M$4,0))+(N543*MAX(M$4,0)))*(1-$AM$4)+(AM543*$AM$4)</f>
        <v>0.517182290718018</v>
      </c>
      <c r="H543" s="18">
        <f t="shared" si="247"/>
        <v>1.29166666666667</v>
      </c>
      <c r="I543" s="18">
        <f t="shared" si="259"/>
        <v>0</v>
      </c>
      <c r="J543" s="18">
        <f t="shared" si="248"/>
        <v>0.659986356065531</v>
      </c>
      <c r="K543" s="18">
        <f t="shared" si="249"/>
        <v>0.00229738948604371</v>
      </c>
      <c r="L543" s="18">
        <f t="shared" si="250"/>
        <v>0</v>
      </c>
      <c r="M543" s="18">
        <v>0</v>
      </c>
      <c r="N543" s="18">
        <f t="shared" si="254"/>
        <v>0.6827</v>
      </c>
      <c r="O543" s="11">
        <v>0</v>
      </c>
      <c r="P543" s="11">
        <v>0</v>
      </c>
      <c r="Q543" s="11">
        <f t="shared" si="260"/>
        <v>1</v>
      </c>
      <c r="R543" s="11">
        <v>0</v>
      </c>
      <c r="S543" s="11">
        <f t="shared" si="251"/>
        <v>0</v>
      </c>
      <c r="T543" s="11">
        <v>0</v>
      </c>
      <c r="U543" s="11">
        <f t="shared" si="261"/>
        <v>1</v>
      </c>
      <c r="V543" s="11">
        <v>0</v>
      </c>
      <c r="W543" s="11">
        <f t="shared" si="262"/>
        <v>1</v>
      </c>
      <c r="X543" s="11">
        <f t="shared" si="252"/>
        <v>0</v>
      </c>
      <c r="Y543" s="19">
        <v>0</v>
      </c>
      <c r="Z543" s="11">
        <v>0</v>
      </c>
      <c r="AA543" s="11">
        <v>0</v>
      </c>
      <c r="AB543" s="11">
        <v>0</v>
      </c>
      <c r="AC543" s="11">
        <v>0</v>
      </c>
      <c r="AD543" s="11">
        <v>0</v>
      </c>
      <c r="AE543" s="11">
        <v>0</v>
      </c>
      <c r="AF543" s="11">
        <v>0</v>
      </c>
      <c r="AG543" s="11">
        <v>0</v>
      </c>
      <c r="AH543" s="11">
        <v>0</v>
      </c>
      <c r="AI543" s="45">
        <v>0</v>
      </c>
      <c r="AJ543" s="45">
        <v>0</v>
      </c>
      <c r="AK543" s="45">
        <f t="shared" si="263"/>
        <v>0.3611</v>
      </c>
      <c r="AL543" s="45">
        <f t="shared" si="264"/>
        <v>0.00348095238095238</v>
      </c>
      <c r="AM543" s="45">
        <f t="shared" si="265"/>
        <v>0.0012569719047619</v>
      </c>
      <c r="AN543" s="45">
        <f t="shared" si="266"/>
        <v>0.792187500000004</v>
      </c>
      <c r="AO543" s="45">
        <f t="shared" si="267"/>
        <v>0.792187500000004</v>
      </c>
      <c r="AP543" s="45">
        <f t="shared" si="268"/>
        <v>1.05625000000001</v>
      </c>
      <c r="AQ543" s="45">
        <f t="shared" si="269"/>
        <v>0</v>
      </c>
      <c r="AR543" s="45">
        <f t="shared" si="270"/>
        <v>0</v>
      </c>
      <c r="AS543" s="19">
        <f t="shared" si="271"/>
        <v>1.07916666666667</v>
      </c>
      <c r="AT543" s="19">
        <f t="shared" si="272"/>
        <v>1.03333333333334</v>
      </c>
      <c r="AU543" s="46">
        <v>0</v>
      </c>
      <c r="AV543" s="46">
        <v>0</v>
      </c>
      <c r="AW543" s="46">
        <v>0</v>
      </c>
      <c r="AX543" s="46">
        <v>1</v>
      </c>
      <c r="AY543" s="47">
        <v>0</v>
      </c>
      <c r="AZ543" s="47">
        <v>-1</v>
      </c>
    </row>
    <row r="544" hidden="1" customHeight="1" spans="1:52">
      <c r="A544" s="44">
        <v>45869</v>
      </c>
      <c r="B544" s="33">
        <f t="shared" si="255"/>
        <v>147</v>
      </c>
      <c r="C544" s="33">
        <f t="shared" si="256"/>
        <v>349</v>
      </c>
      <c r="D544" s="11">
        <f t="shared" si="257"/>
        <v>496</v>
      </c>
      <c r="E544" s="34">
        <f t="shared" si="253"/>
        <v>3.57181045069924e-6</v>
      </c>
      <c r="F544" s="35">
        <f t="shared" si="258"/>
        <v>0.000968464143879838</v>
      </c>
      <c r="G544" s="18">
        <f>(SUM($I$8:$I544)*(MAX(M$3-M$4,0))+(N544*MAX(M$4,0)))*(1-$AM$4)+(AM544*$AM$4)</f>
        <v>0.520065245263473</v>
      </c>
      <c r="H544" s="18">
        <f t="shared" si="247"/>
        <v>1.29166666666667</v>
      </c>
      <c r="I544" s="18">
        <f t="shared" si="259"/>
        <v>0.0065757575757576</v>
      </c>
      <c r="J544" s="18">
        <f t="shared" si="248"/>
        <v>0.662429474413809</v>
      </c>
      <c r="K544" s="18">
        <f t="shared" si="249"/>
        <v>0.0022963981332394</v>
      </c>
      <c r="L544" s="18">
        <f t="shared" si="250"/>
        <v>0.0050909090909091</v>
      </c>
      <c r="M544" s="18">
        <v>0.6871</v>
      </c>
      <c r="N544" s="18">
        <f t="shared" si="254"/>
        <v>0.6871</v>
      </c>
      <c r="O544" s="11">
        <v>0</v>
      </c>
      <c r="P544" s="11">
        <v>0</v>
      </c>
      <c r="Q544" s="11">
        <f t="shared" si="260"/>
        <v>1</v>
      </c>
      <c r="R544" s="11">
        <v>0</v>
      </c>
      <c r="S544" s="11">
        <f t="shared" si="251"/>
        <v>0</v>
      </c>
      <c r="T544" s="11">
        <v>0</v>
      </c>
      <c r="U544" s="11">
        <f t="shared" si="261"/>
        <v>1</v>
      </c>
      <c r="V544" s="11">
        <v>0</v>
      </c>
      <c r="W544" s="11">
        <f t="shared" si="262"/>
        <v>1</v>
      </c>
      <c r="X544" s="11">
        <f t="shared" si="252"/>
        <v>0</v>
      </c>
      <c r="Y544" s="19">
        <v>4.08</v>
      </c>
      <c r="Z544" s="11">
        <v>13</v>
      </c>
      <c r="AA544" s="11">
        <v>0</v>
      </c>
      <c r="AB544" s="11">
        <v>0</v>
      </c>
      <c r="AC544" s="11">
        <v>0</v>
      </c>
      <c r="AD544" s="11">
        <v>0</v>
      </c>
      <c r="AE544" s="11">
        <v>0</v>
      </c>
      <c r="AF544" s="11">
        <v>0</v>
      </c>
      <c r="AG544" s="11">
        <v>0</v>
      </c>
      <c r="AH544" s="11">
        <v>0</v>
      </c>
      <c r="AI544" s="45">
        <v>0</v>
      </c>
      <c r="AJ544" s="45">
        <v>0</v>
      </c>
      <c r="AK544" s="45">
        <f t="shared" si="263"/>
        <v>0.3611</v>
      </c>
      <c r="AL544" s="45">
        <f t="shared" si="264"/>
        <v>0.00348095238095238</v>
      </c>
      <c r="AM544" s="45">
        <f t="shared" si="265"/>
        <v>0.0012569719047619</v>
      </c>
      <c r="AN544" s="45">
        <f t="shared" si="266"/>
        <v>0.792187500000004</v>
      </c>
      <c r="AO544" s="45">
        <f t="shared" si="267"/>
        <v>0.792187500000004</v>
      </c>
      <c r="AP544" s="45">
        <f t="shared" si="268"/>
        <v>1.05625000000001</v>
      </c>
      <c r="AQ544" s="45">
        <f t="shared" si="269"/>
        <v>0</v>
      </c>
      <c r="AR544" s="45">
        <f t="shared" si="270"/>
        <v>0</v>
      </c>
      <c r="AS544" s="19">
        <f t="shared" si="271"/>
        <v>1.07916666666667</v>
      </c>
      <c r="AT544" s="19">
        <f t="shared" si="272"/>
        <v>1.03333333333334</v>
      </c>
      <c r="AU544" s="46">
        <v>0</v>
      </c>
      <c r="AV544" s="46">
        <v>0</v>
      </c>
      <c r="AW544" s="46">
        <v>0</v>
      </c>
      <c r="AX544" s="46">
        <v>1</v>
      </c>
      <c r="AY544" s="47">
        <v>0</v>
      </c>
      <c r="AZ544" s="47">
        <v>-1</v>
      </c>
    </row>
    <row r="545" hidden="1" customHeight="1" spans="1:52">
      <c r="A545" s="44">
        <v>45870</v>
      </c>
      <c r="B545" s="33">
        <f t="shared" si="255"/>
        <v>146</v>
      </c>
      <c r="C545" s="33">
        <f t="shared" si="256"/>
        <v>350</v>
      </c>
      <c r="D545" s="11">
        <f t="shared" si="257"/>
        <v>496</v>
      </c>
      <c r="E545" s="34">
        <f t="shared" si="253"/>
        <v>-1.80011922654253e-6</v>
      </c>
      <c r="F545" s="35">
        <f t="shared" si="258"/>
        <v>0.000966664024653295</v>
      </c>
      <c r="G545" s="18">
        <f>(SUM($I$8:$I545)*(MAX(M$3-M$4,0))+(N545*MAX(M$4,0)))*(1-$AM$4)+(AM545*$AM$4)</f>
        <v>0.520065245263473</v>
      </c>
      <c r="H545" s="18">
        <f t="shared" si="247"/>
        <v>1.33333333333333</v>
      </c>
      <c r="I545" s="18">
        <f t="shared" si="259"/>
        <v>0</v>
      </c>
      <c r="J545" s="18">
        <f t="shared" si="248"/>
        <v>0.661198192862854</v>
      </c>
      <c r="K545" s="18">
        <f t="shared" si="249"/>
        <v>0.00232056032285717</v>
      </c>
      <c r="L545" s="18">
        <f t="shared" si="250"/>
        <v>0</v>
      </c>
      <c r="M545" s="18">
        <v>0</v>
      </c>
      <c r="N545" s="18">
        <f t="shared" si="254"/>
        <v>0.6871</v>
      </c>
      <c r="O545" s="11">
        <v>0</v>
      </c>
      <c r="P545" s="11">
        <v>0</v>
      </c>
      <c r="Q545" s="11">
        <f t="shared" si="260"/>
        <v>1</v>
      </c>
      <c r="R545" s="11">
        <v>0</v>
      </c>
      <c r="S545" s="11">
        <f t="shared" si="251"/>
        <v>0</v>
      </c>
      <c r="T545" s="11">
        <v>0</v>
      </c>
      <c r="U545" s="11">
        <f t="shared" si="261"/>
        <v>1</v>
      </c>
      <c r="V545" s="11">
        <v>0</v>
      </c>
      <c r="W545" s="11">
        <f t="shared" si="262"/>
        <v>1</v>
      </c>
      <c r="X545" s="11">
        <f t="shared" si="252"/>
        <v>0</v>
      </c>
      <c r="Y545" s="19">
        <v>0</v>
      </c>
      <c r="Z545" s="11">
        <v>0</v>
      </c>
      <c r="AA545" s="11">
        <v>0</v>
      </c>
      <c r="AB545" s="11">
        <v>0</v>
      </c>
      <c r="AC545" s="11">
        <v>0</v>
      </c>
      <c r="AD545" s="11">
        <v>0</v>
      </c>
      <c r="AE545" s="11">
        <v>0</v>
      </c>
      <c r="AF545" s="11">
        <v>0</v>
      </c>
      <c r="AG545" s="11">
        <v>0</v>
      </c>
      <c r="AH545" s="11">
        <v>0</v>
      </c>
      <c r="AI545" s="45">
        <v>0</v>
      </c>
      <c r="AJ545" s="45">
        <v>0</v>
      </c>
      <c r="AK545" s="45">
        <f t="shared" si="263"/>
        <v>0.3611</v>
      </c>
      <c r="AL545" s="45">
        <f t="shared" si="264"/>
        <v>0.00348095238095238</v>
      </c>
      <c r="AM545" s="45">
        <f t="shared" si="265"/>
        <v>0.0012569719047619</v>
      </c>
      <c r="AN545" s="45">
        <f t="shared" si="266"/>
        <v>0.792187500000004</v>
      </c>
      <c r="AO545" s="45">
        <f t="shared" si="267"/>
        <v>0.792187500000004</v>
      </c>
      <c r="AP545" s="45">
        <f t="shared" si="268"/>
        <v>1.05625000000001</v>
      </c>
      <c r="AQ545" s="45">
        <f t="shared" si="269"/>
        <v>0</v>
      </c>
      <c r="AR545" s="45">
        <f t="shared" si="270"/>
        <v>0</v>
      </c>
      <c r="AS545" s="19">
        <f t="shared" si="271"/>
        <v>1.07916666666667</v>
      </c>
      <c r="AT545" s="19">
        <f t="shared" si="272"/>
        <v>1.03333333333334</v>
      </c>
      <c r="AU545" s="46">
        <v>0</v>
      </c>
      <c r="AV545" s="46">
        <v>0</v>
      </c>
      <c r="AW545" s="46">
        <v>0</v>
      </c>
      <c r="AX545" s="46">
        <v>1</v>
      </c>
      <c r="AY545" s="47">
        <v>0</v>
      </c>
      <c r="AZ545" s="47">
        <v>-1</v>
      </c>
    </row>
    <row r="546" hidden="1" customHeight="1" spans="1:52">
      <c r="A546" s="44">
        <v>45871</v>
      </c>
      <c r="B546" s="33">
        <f t="shared" si="255"/>
        <v>145</v>
      </c>
      <c r="C546" s="33">
        <f t="shared" si="256"/>
        <v>352</v>
      </c>
      <c r="D546" s="11">
        <f t="shared" si="257"/>
        <v>497</v>
      </c>
      <c r="E546" s="34">
        <f t="shared" si="253"/>
        <v>-1.79343974889294e-6</v>
      </c>
      <c r="F546" s="35">
        <f t="shared" si="258"/>
        <v>0.000964870584904402</v>
      </c>
      <c r="G546" s="18">
        <f>(SUM($I$8:$I546)*(MAX(M$3-M$4,0))+(N546*MAX(M$4,0)))*(1-$AM$4)+(AM546*$AM$4)</f>
        <v>0.520065245263473</v>
      </c>
      <c r="H546" s="18">
        <f t="shared" si="247"/>
        <v>1.33333333333333</v>
      </c>
      <c r="I546" s="18">
        <f t="shared" si="259"/>
        <v>0</v>
      </c>
      <c r="J546" s="18">
        <f t="shared" si="248"/>
        <v>0.659971480074611</v>
      </c>
      <c r="K546" s="18">
        <f t="shared" si="249"/>
        <v>0.00234502427534751</v>
      </c>
      <c r="L546" s="18">
        <f t="shared" si="250"/>
        <v>0</v>
      </c>
      <c r="M546" s="18">
        <v>0</v>
      </c>
      <c r="N546" s="18">
        <f t="shared" si="254"/>
        <v>0.6871</v>
      </c>
      <c r="O546" s="11">
        <v>0</v>
      </c>
      <c r="P546" s="11">
        <v>0</v>
      </c>
      <c r="Q546" s="11">
        <f t="shared" si="260"/>
        <v>1</v>
      </c>
      <c r="R546" s="11">
        <v>0</v>
      </c>
      <c r="S546" s="11">
        <f t="shared" si="251"/>
        <v>0</v>
      </c>
      <c r="T546" s="11">
        <v>0</v>
      </c>
      <c r="U546" s="11">
        <f t="shared" si="261"/>
        <v>1</v>
      </c>
      <c r="V546" s="11">
        <v>0</v>
      </c>
      <c r="W546" s="11">
        <f t="shared" si="262"/>
        <v>1</v>
      </c>
      <c r="X546" s="11">
        <f t="shared" si="252"/>
        <v>0</v>
      </c>
      <c r="Y546" s="19">
        <v>0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1">
        <v>0</v>
      </c>
      <c r="AG546" s="11">
        <v>0</v>
      </c>
      <c r="AH546" s="11">
        <v>0</v>
      </c>
      <c r="AI546" s="45">
        <v>0</v>
      </c>
      <c r="AJ546" s="45">
        <v>0</v>
      </c>
      <c r="AK546" s="45">
        <f t="shared" si="263"/>
        <v>0.3611</v>
      </c>
      <c r="AL546" s="45">
        <f t="shared" si="264"/>
        <v>0.00348095238095238</v>
      </c>
      <c r="AM546" s="45">
        <f t="shared" si="265"/>
        <v>0.0012569719047619</v>
      </c>
      <c r="AN546" s="45">
        <f t="shared" si="266"/>
        <v>0.792187500000004</v>
      </c>
      <c r="AO546" s="45">
        <f t="shared" si="267"/>
        <v>0.792187500000004</v>
      </c>
      <c r="AP546" s="45">
        <f t="shared" si="268"/>
        <v>1.05625000000001</v>
      </c>
      <c r="AQ546" s="45">
        <f t="shared" si="269"/>
        <v>0</v>
      </c>
      <c r="AR546" s="45">
        <f t="shared" si="270"/>
        <v>0</v>
      </c>
      <c r="AS546" s="19">
        <f t="shared" si="271"/>
        <v>1.07916666666667</v>
      </c>
      <c r="AT546" s="19">
        <f t="shared" si="272"/>
        <v>1.03333333333334</v>
      </c>
      <c r="AU546" s="46">
        <v>0</v>
      </c>
      <c r="AV546" s="46">
        <v>0</v>
      </c>
      <c r="AW546" s="46">
        <v>0</v>
      </c>
      <c r="AX546" s="46">
        <v>1</v>
      </c>
      <c r="AY546" s="47">
        <v>0</v>
      </c>
      <c r="AZ546" s="47">
        <v>-1</v>
      </c>
    </row>
    <row r="547" hidden="1" customHeight="1" spans="1:52">
      <c r="A547" s="44">
        <v>45872</v>
      </c>
      <c r="B547" s="33">
        <f t="shared" si="255"/>
        <v>144</v>
      </c>
      <c r="C547" s="33">
        <f t="shared" si="256"/>
        <v>354</v>
      </c>
      <c r="D547" s="11">
        <f t="shared" si="257"/>
        <v>498</v>
      </c>
      <c r="E547" s="34">
        <f t="shared" si="253"/>
        <v>-1.78679737945255e-6</v>
      </c>
      <c r="F547" s="35">
        <f t="shared" si="258"/>
        <v>0.00096308378752495</v>
      </c>
      <c r="G547" s="18">
        <f>(SUM($I$8:$I547)*(MAX(M$3-M$4,0))+(N547*MAX(M$4,0)))*(1-$AM$4)+(AM547*$AM$4)</f>
        <v>0.520065245263473</v>
      </c>
      <c r="H547" s="18">
        <f t="shared" si="247"/>
        <v>1.33333333333333</v>
      </c>
      <c r="I547" s="18">
        <f t="shared" si="259"/>
        <v>0</v>
      </c>
      <c r="J547" s="18">
        <f t="shared" si="248"/>
        <v>0.658749310667065</v>
      </c>
      <c r="K547" s="18">
        <f t="shared" si="249"/>
        <v>0.00236979645370093</v>
      </c>
      <c r="L547" s="18">
        <f t="shared" si="250"/>
        <v>0</v>
      </c>
      <c r="M547" s="18">
        <v>0</v>
      </c>
      <c r="N547" s="18">
        <f t="shared" si="254"/>
        <v>0.6871</v>
      </c>
      <c r="O547" s="11">
        <v>0</v>
      </c>
      <c r="P547" s="11">
        <v>0</v>
      </c>
      <c r="Q547" s="11">
        <f t="shared" si="260"/>
        <v>1</v>
      </c>
      <c r="R547" s="11">
        <v>0</v>
      </c>
      <c r="S547" s="11">
        <f t="shared" si="251"/>
        <v>0</v>
      </c>
      <c r="T547" s="11">
        <v>0</v>
      </c>
      <c r="U547" s="11">
        <f t="shared" si="261"/>
        <v>1</v>
      </c>
      <c r="V547" s="11">
        <v>0</v>
      </c>
      <c r="W547" s="11">
        <f t="shared" si="262"/>
        <v>1</v>
      </c>
      <c r="X547" s="11">
        <f t="shared" si="252"/>
        <v>0</v>
      </c>
      <c r="Y547" s="19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1">
        <v>0</v>
      </c>
      <c r="AG547" s="11">
        <v>0</v>
      </c>
      <c r="AH547" s="11">
        <v>0</v>
      </c>
      <c r="AI547" s="45">
        <v>0</v>
      </c>
      <c r="AJ547" s="45">
        <v>0</v>
      </c>
      <c r="AK547" s="45">
        <f t="shared" si="263"/>
        <v>0.3611</v>
      </c>
      <c r="AL547" s="45">
        <f t="shared" si="264"/>
        <v>0.00348095238095238</v>
      </c>
      <c r="AM547" s="45">
        <f t="shared" si="265"/>
        <v>0.0012569719047619</v>
      </c>
      <c r="AN547" s="45">
        <f t="shared" si="266"/>
        <v>0.792187500000004</v>
      </c>
      <c r="AO547" s="45">
        <f t="shared" si="267"/>
        <v>0.792187500000004</v>
      </c>
      <c r="AP547" s="45">
        <f t="shared" si="268"/>
        <v>1.05625000000001</v>
      </c>
      <c r="AQ547" s="45">
        <f t="shared" si="269"/>
        <v>0</v>
      </c>
      <c r="AR547" s="45">
        <f t="shared" si="270"/>
        <v>0</v>
      </c>
      <c r="AS547" s="19">
        <f t="shared" si="271"/>
        <v>1.07916666666667</v>
      </c>
      <c r="AT547" s="19">
        <f t="shared" si="272"/>
        <v>1.03333333333334</v>
      </c>
      <c r="AU547" s="46">
        <v>0</v>
      </c>
      <c r="AV547" s="46">
        <v>0</v>
      </c>
      <c r="AW547" s="46">
        <v>0</v>
      </c>
      <c r="AX547" s="46">
        <v>1</v>
      </c>
      <c r="AY547" s="47">
        <v>0</v>
      </c>
      <c r="AZ547" s="47">
        <v>-1</v>
      </c>
    </row>
    <row r="548" hidden="1" customHeight="1" spans="1:52">
      <c r="A548" s="44">
        <v>45873</v>
      </c>
      <c r="B548" s="33">
        <f t="shared" si="255"/>
        <v>143</v>
      </c>
      <c r="C548" s="33">
        <f t="shared" si="256"/>
        <v>356</v>
      </c>
      <c r="D548" s="11">
        <f t="shared" si="257"/>
        <v>499</v>
      </c>
      <c r="E548" s="34">
        <f t="shared" si="253"/>
        <v>-1.7801918438539e-6</v>
      </c>
      <c r="F548" s="35">
        <f t="shared" si="258"/>
        <v>0.000961303595681096</v>
      </c>
      <c r="G548" s="18">
        <f>(SUM($I$8:$I548)*(MAX(M$3-M$4,0))+(N548*MAX(M$4,0)))*(1-$AM$4)+(AM548*$AM$4)</f>
        <v>0.520065245263473</v>
      </c>
      <c r="H548" s="18">
        <f t="shared" si="247"/>
        <v>1.33333333333333</v>
      </c>
      <c r="I548" s="18">
        <f t="shared" si="259"/>
        <v>0</v>
      </c>
      <c r="J548" s="18">
        <f t="shared" si="248"/>
        <v>0.657531659445869</v>
      </c>
      <c r="K548" s="18">
        <f t="shared" si="249"/>
        <v>0.00239488350037854</v>
      </c>
      <c r="L548" s="18">
        <f t="shared" si="250"/>
        <v>0</v>
      </c>
      <c r="M548" s="18">
        <v>0</v>
      </c>
      <c r="N548" s="18">
        <f t="shared" si="254"/>
        <v>0.6871</v>
      </c>
      <c r="O548" s="11">
        <v>0</v>
      </c>
      <c r="P548" s="11">
        <v>0</v>
      </c>
      <c r="Q548" s="11">
        <f t="shared" si="260"/>
        <v>1</v>
      </c>
      <c r="R548" s="11">
        <v>0</v>
      </c>
      <c r="S548" s="11">
        <f t="shared" si="251"/>
        <v>0</v>
      </c>
      <c r="T548" s="11">
        <v>0</v>
      </c>
      <c r="U548" s="11">
        <f t="shared" si="261"/>
        <v>1</v>
      </c>
      <c r="V548" s="11">
        <v>0</v>
      </c>
      <c r="W548" s="11">
        <f t="shared" si="262"/>
        <v>1</v>
      </c>
      <c r="X548" s="11">
        <f t="shared" si="252"/>
        <v>0</v>
      </c>
      <c r="Y548" s="19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1">
        <v>0</v>
      </c>
      <c r="AG548" s="11">
        <v>0</v>
      </c>
      <c r="AH548" s="11">
        <v>0</v>
      </c>
      <c r="AI548" s="45">
        <v>0</v>
      </c>
      <c r="AJ548" s="45">
        <v>0</v>
      </c>
      <c r="AK548" s="45">
        <f t="shared" si="263"/>
        <v>0.3611</v>
      </c>
      <c r="AL548" s="45">
        <f t="shared" si="264"/>
        <v>0.00348095238095238</v>
      </c>
      <c r="AM548" s="45">
        <f t="shared" si="265"/>
        <v>0.0012569719047619</v>
      </c>
      <c r="AN548" s="45">
        <f t="shared" si="266"/>
        <v>0.792187500000004</v>
      </c>
      <c r="AO548" s="45">
        <f t="shared" si="267"/>
        <v>0.792187500000004</v>
      </c>
      <c r="AP548" s="45">
        <f t="shared" si="268"/>
        <v>1.05625000000001</v>
      </c>
      <c r="AQ548" s="45">
        <f t="shared" si="269"/>
        <v>0</v>
      </c>
      <c r="AR548" s="45">
        <f t="shared" si="270"/>
        <v>0</v>
      </c>
      <c r="AS548" s="19">
        <f t="shared" si="271"/>
        <v>1.07916666666667</v>
      </c>
      <c r="AT548" s="19">
        <f t="shared" si="272"/>
        <v>1.03333333333334</v>
      </c>
      <c r="AU548" s="46">
        <v>0</v>
      </c>
      <c r="AV548" s="46">
        <v>0</v>
      </c>
      <c r="AW548" s="46">
        <v>0</v>
      </c>
      <c r="AX548" s="46">
        <v>1</v>
      </c>
      <c r="AY548" s="47">
        <v>0</v>
      </c>
      <c r="AZ548" s="47">
        <v>-1</v>
      </c>
    </row>
    <row r="549" hidden="1" customHeight="1" spans="1:52">
      <c r="A549" s="44">
        <v>45874</v>
      </c>
      <c r="B549" s="33">
        <f t="shared" si="255"/>
        <v>142</v>
      </c>
      <c r="C549" s="33">
        <f t="shared" si="256"/>
        <v>358</v>
      </c>
      <c r="D549" s="11">
        <f t="shared" si="257"/>
        <v>500</v>
      </c>
      <c r="E549" s="34">
        <f t="shared" si="253"/>
        <v>-1.7736228702603e-6</v>
      </c>
      <c r="F549" s="35">
        <f t="shared" si="258"/>
        <v>0.000959529972810835</v>
      </c>
      <c r="G549" s="18">
        <f>(SUM($I$8:$I549)*(MAX(M$3-M$4,0))+(N549*MAX(M$4,0)))*(1-$AM$4)+(AM549*$AM$4)</f>
        <v>0.520065245263473</v>
      </c>
      <c r="H549" s="18">
        <f t="shared" si="247"/>
        <v>1.33333333333333</v>
      </c>
      <c r="I549" s="18">
        <f t="shared" si="259"/>
        <v>0</v>
      </c>
      <c r="J549" s="18">
        <f t="shared" si="248"/>
        <v>0.656318501402611</v>
      </c>
      <c r="K549" s="18">
        <f t="shared" si="249"/>
        <v>0.00242029224364358</v>
      </c>
      <c r="L549" s="18">
        <f t="shared" si="250"/>
        <v>0</v>
      </c>
      <c r="M549" s="18">
        <v>0</v>
      </c>
      <c r="N549" s="18">
        <f t="shared" si="254"/>
        <v>0.6871</v>
      </c>
      <c r="O549" s="11">
        <v>0</v>
      </c>
      <c r="P549" s="11">
        <v>0</v>
      </c>
      <c r="Q549" s="11">
        <f t="shared" si="260"/>
        <v>1</v>
      </c>
      <c r="R549" s="11">
        <v>0</v>
      </c>
      <c r="S549" s="11">
        <f t="shared" si="251"/>
        <v>0</v>
      </c>
      <c r="T549" s="11">
        <v>0</v>
      </c>
      <c r="U549" s="11">
        <f t="shared" si="261"/>
        <v>1</v>
      </c>
      <c r="V549" s="11">
        <v>0</v>
      </c>
      <c r="W549" s="11">
        <f t="shared" si="262"/>
        <v>1</v>
      </c>
      <c r="X549" s="11">
        <f t="shared" si="252"/>
        <v>0</v>
      </c>
      <c r="Y549" s="19">
        <v>0</v>
      </c>
      <c r="Z549" s="11">
        <v>0</v>
      </c>
      <c r="AA549" s="11">
        <v>0</v>
      </c>
      <c r="AB549" s="11">
        <v>0</v>
      </c>
      <c r="AC549" s="11">
        <v>0</v>
      </c>
      <c r="AD549" s="11">
        <v>0</v>
      </c>
      <c r="AE549" s="11">
        <v>0</v>
      </c>
      <c r="AF549" s="11">
        <v>0</v>
      </c>
      <c r="AG549" s="11">
        <v>0</v>
      </c>
      <c r="AH549" s="11">
        <v>0</v>
      </c>
      <c r="AI549" s="45">
        <v>0</v>
      </c>
      <c r="AJ549" s="45">
        <v>0</v>
      </c>
      <c r="AK549" s="45">
        <f t="shared" si="263"/>
        <v>0.3611</v>
      </c>
      <c r="AL549" s="45">
        <f t="shared" si="264"/>
        <v>0.00348095238095238</v>
      </c>
      <c r="AM549" s="45">
        <f t="shared" si="265"/>
        <v>0.0012569719047619</v>
      </c>
      <c r="AN549" s="45">
        <f t="shared" si="266"/>
        <v>0.792187500000004</v>
      </c>
      <c r="AO549" s="45">
        <f t="shared" si="267"/>
        <v>0.792187500000004</v>
      </c>
      <c r="AP549" s="45">
        <f t="shared" si="268"/>
        <v>1.05625000000001</v>
      </c>
      <c r="AQ549" s="45">
        <f t="shared" si="269"/>
        <v>0</v>
      </c>
      <c r="AR549" s="45">
        <f t="shared" si="270"/>
        <v>0</v>
      </c>
      <c r="AS549" s="19">
        <f t="shared" si="271"/>
        <v>1.07916666666667</v>
      </c>
      <c r="AT549" s="19">
        <f t="shared" si="272"/>
        <v>1.03333333333334</v>
      </c>
      <c r="AU549" s="46">
        <v>0</v>
      </c>
      <c r="AV549" s="46">
        <v>0</v>
      </c>
      <c r="AW549" s="46">
        <v>0</v>
      </c>
      <c r="AX549" s="46">
        <v>1</v>
      </c>
      <c r="AY549" s="47">
        <v>0</v>
      </c>
      <c r="AZ549" s="47">
        <v>-1</v>
      </c>
    </row>
    <row r="550" hidden="1" customHeight="1" spans="1:52">
      <c r="A550" s="44">
        <v>45875</v>
      </c>
      <c r="B550" s="33">
        <f t="shared" si="255"/>
        <v>141</v>
      </c>
      <c r="C550" s="33">
        <f t="shared" si="256"/>
        <v>360</v>
      </c>
      <c r="D550" s="11">
        <f t="shared" si="257"/>
        <v>501</v>
      </c>
      <c r="E550" s="34">
        <f t="shared" si="253"/>
        <v>-1.76709018933859e-6</v>
      </c>
      <c r="F550" s="35">
        <f t="shared" si="258"/>
        <v>0.000957762882621497</v>
      </c>
      <c r="G550" s="18">
        <f>(SUM($I$8:$I550)*(MAX(M$3-M$4,0))+(N550*MAX(M$4,0)))*(1-$AM$4)+(AM550*$AM$4)</f>
        <v>0.520065245263473</v>
      </c>
      <c r="H550" s="18">
        <f t="shared" si="247"/>
        <v>1.33333333333333</v>
      </c>
      <c r="I550" s="18">
        <f t="shared" si="259"/>
        <v>0</v>
      </c>
      <c r="J550" s="18">
        <f t="shared" si="248"/>
        <v>0.655109811713104</v>
      </c>
      <c r="K550" s="18">
        <f t="shared" si="249"/>
        <v>0.00244602970416238</v>
      </c>
      <c r="L550" s="18">
        <f t="shared" si="250"/>
        <v>0</v>
      </c>
      <c r="M550" s="18">
        <v>0</v>
      </c>
      <c r="N550" s="18">
        <f t="shared" si="254"/>
        <v>0.6871</v>
      </c>
      <c r="O550" s="11">
        <v>0</v>
      </c>
      <c r="P550" s="11">
        <v>0</v>
      </c>
      <c r="Q550" s="11">
        <f t="shared" si="260"/>
        <v>1</v>
      </c>
      <c r="R550" s="11">
        <v>0</v>
      </c>
      <c r="S550" s="11">
        <f t="shared" si="251"/>
        <v>0</v>
      </c>
      <c r="T550" s="11">
        <v>0</v>
      </c>
      <c r="U550" s="11">
        <f t="shared" si="261"/>
        <v>1</v>
      </c>
      <c r="V550" s="11">
        <v>0</v>
      </c>
      <c r="W550" s="11">
        <f t="shared" si="262"/>
        <v>1</v>
      </c>
      <c r="X550" s="11">
        <f t="shared" si="252"/>
        <v>0</v>
      </c>
      <c r="Y550" s="19">
        <v>0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1">
        <v>0</v>
      </c>
      <c r="AG550" s="11">
        <v>0</v>
      </c>
      <c r="AH550" s="11">
        <v>0</v>
      </c>
      <c r="AI550" s="45">
        <v>0</v>
      </c>
      <c r="AJ550" s="45">
        <v>0</v>
      </c>
      <c r="AK550" s="45">
        <f t="shared" si="263"/>
        <v>0.3611</v>
      </c>
      <c r="AL550" s="45">
        <f t="shared" si="264"/>
        <v>0.00348095238095238</v>
      </c>
      <c r="AM550" s="45">
        <f t="shared" si="265"/>
        <v>0.0012569719047619</v>
      </c>
      <c r="AN550" s="45">
        <f t="shared" si="266"/>
        <v>0.792187500000004</v>
      </c>
      <c r="AO550" s="45">
        <f t="shared" si="267"/>
        <v>0.792187500000004</v>
      </c>
      <c r="AP550" s="45">
        <f t="shared" si="268"/>
        <v>1.05625000000001</v>
      </c>
      <c r="AQ550" s="45">
        <f t="shared" si="269"/>
        <v>0</v>
      </c>
      <c r="AR550" s="45">
        <f t="shared" si="270"/>
        <v>0</v>
      </c>
      <c r="AS550" s="19">
        <f t="shared" si="271"/>
        <v>1.07916666666667</v>
      </c>
      <c r="AT550" s="19">
        <f t="shared" si="272"/>
        <v>1.03333333333334</v>
      </c>
      <c r="AU550" s="46">
        <v>0</v>
      </c>
      <c r="AV550" s="46">
        <v>0</v>
      </c>
      <c r="AW550" s="46">
        <v>0</v>
      </c>
      <c r="AX550" s="46">
        <v>1</v>
      </c>
      <c r="AY550" s="47">
        <v>0</v>
      </c>
      <c r="AZ550" s="47">
        <v>-1</v>
      </c>
    </row>
    <row r="551" hidden="1" customHeight="1" spans="1:52">
      <c r="A551" s="44">
        <v>45876</v>
      </c>
      <c r="B551" s="33">
        <f t="shared" si="255"/>
        <v>140</v>
      </c>
      <c r="C551" s="33">
        <f t="shared" si="256"/>
        <v>360</v>
      </c>
      <c r="D551" s="11">
        <f t="shared" si="257"/>
        <v>500</v>
      </c>
      <c r="E551" s="34">
        <f t="shared" si="253"/>
        <v>-1.90782371129209e-7</v>
      </c>
      <c r="F551" s="35">
        <f t="shared" si="258"/>
        <v>0.000957572100250368</v>
      </c>
      <c r="G551" s="18">
        <f>(SUM($I$8:$I551)*(MAX(M$3-M$4,0))+(N551*MAX(M$4,0)))*(1-$AM$4)+(AM551*$AM$4)</f>
        <v>0.5209192225362</v>
      </c>
      <c r="H551" s="18">
        <f t="shared" si="247"/>
        <v>1.33333333333333</v>
      </c>
      <c r="I551" s="18">
        <f t="shared" si="259"/>
        <v>0.00295454545454545</v>
      </c>
      <c r="J551" s="18">
        <f t="shared" si="248"/>
        <v>0.654979316571251</v>
      </c>
      <c r="K551" s="18">
        <f t="shared" si="249"/>
        <v>0.00246443345306249</v>
      </c>
      <c r="L551" s="18">
        <f t="shared" si="250"/>
        <v>0.00221590909090909</v>
      </c>
      <c r="M551" s="18">
        <v>0.6879</v>
      </c>
      <c r="N551" s="18">
        <f t="shared" si="254"/>
        <v>0.6879</v>
      </c>
      <c r="O551" s="11">
        <v>0</v>
      </c>
      <c r="P551" s="11">
        <v>0</v>
      </c>
      <c r="Q551" s="11">
        <f t="shared" si="260"/>
        <v>1</v>
      </c>
      <c r="R551" s="11">
        <v>0</v>
      </c>
      <c r="S551" s="11">
        <f t="shared" si="251"/>
        <v>0</v>
      </c>
      <c r="T551" s="11">
        <v>0</v>
      </c>
      <c r="U551" s="11">
        <f t="shared" si="261"/>
        <v>1</v>
      </c>
      <c r="V551" s="11">
        <v>0</v>
      </c>
      <c r="W551" s="11">
        <f t="shared" si="262"/>
        <v>1</v>
      </c>
      <c r="X551" s="11">
        <f t="shared" si="252"/>
        <v>0</v>
      </c>
      <c r="Y551" s="19">
        <v>2.25</v>
      </c>
      <c r="Z551" s="11">
        <v>5</v>
      </c>
      <c r="AA551" s="11">
        <v>0</v>
      </c>
      <c r="AB551" s="11">
        <v>0</v>
      </c>
      <c r="AC551" s="11">
        <v>0</v>
      </c>
      <c r="AD551" s="11">
        <v>0</v>
      </c>
      <c r="AE551" s="11">
        <v>0</v>
      </c>
      <c r="AF551" s="11">
        <v>0</v>
      </c>
      <c r="AG551" s="11">
        <v>0</v>
      </c>
      <c r="AH551" s="11">
        <v>0</v>
      </c>
      <c r="AI551" s="45">
        <v>0</v>
      </c>
      <c r="AJ551" s="45">
        <v>0</v>
      </c>
      <c r="AK551" s="45">
        <f t="shared" si="263"/>
        <v>0.3611</v>
      </c>
      <c r="AL551" s="45">
        <f t="shared" si="264"/>
        <v>0.00348095238095238</v>
      </c>
      <c r="AM551" s="45">
        <f t="shared" si="265"/>
        <v>0.0012569719047619</v>
      </c>
      <c r="AN551" s="45">
        <f t="shared" si="266"/>
        <v>0.792187500000004</v>
      </c>
      <c r="AO551" s="45">
        <f t="shared" si="267"/>
        <v>0.792187500000004</v>
      </c>
      <c r="AP551" s="45">
        <f t="shared" si="268"/>
        <v>1.05625000000001</v>
      </c>
      <c r="AQ551" s="45">
        <f t="shared" si="269"/>
        <v>0</v>
      </c>
      <c r="AR551" s="45">
        <f t="shared" si="270"/>
        <v>0</v>
      </c>
      <c r="AS551" s="19">
        <f t="shared" si="271"/>
        <v>1.07916666666667</v>
      </c>
      <c r="AT551" s="19">
        <f t="shared" si="272"/>
        <v>1.03333333333334</v>
      </c>
      <c r="AU551" s="46">
        <v>0</v>
      </c>
      <c r="AV551" s="46">
        <v>0</v>
      </c>
      <c r="AW551" s="46">
        <v>0</v>
      </c>
      <c r="AX551" s="46">
        <v>1</v>
      </c>
      <c r="AY551" s="47">
        <v>0</v>
      </c>
      <c r="AZ551" s="47">
        <v>-1</v>
      </c>
    </row>
    <row r="552" hidden="1" customHeight="1" spans="1:52">
      <c r="A552" s="44">
        <v>45877</v>
      </c>
      <c r="B552" s="33">
        <f t="shared" si="255"/>
        <v>139</v>
      </c>
      <c r="C552" s="33">
        <f t="shared" si="256"/>
        <v>361</v>
      </c>
      <c r="D552" s="11">
        <f t="shared" si="257"/>
        <v>500</v>
      </c>
      <c r="E552" s="34">
        <f t="shared" si="253"/>
        <v>-6.70343581221015e-7</v>
      </c>
      <c r="F552" s="35">
        <f t="shared" si="258"/>
        <v>0.000956901756669147</v>
      </c>
      <c r="G552" s="18">
        <f>(SUM($I$8:$I552)*(MAX(M$3-M$4,0))+(N552*MAX(M$4,0)))*(1-$AM$4)+(AM552*$AM$4)</f>
        <v>0.521511457384685</v>
      </c>
      <c r="H552" s="18">
        <f t="shared" si="247"/>
        <v>1.33333333333333</v>
      </c>
      <c r="I552" s="18">
        <f t="shared" si="259"/>
        <v>0.00135858585858586</v>
      </c>
      <c r="J552" s="18">
        <f t="shared" si="248"/>
        <v>0.654520801561696</v>
      </c>
      <c r="K552" s="18">
        <f t="shared" si="249"/>
        <v>0.00248546185926837</v>
      </c>
      <c r="L552" s="18">
        <f t="shared" si="250"/>
        <v>0.0010189393939394</v>
      </c>
      <c r="M552" s="18">
        <v>0.6888</v>
      </c>
      <c r="N552" s="18">
        <f t="shared" si="254"/>
        <v>0.6888</v>
      </c>
      <c r="O552" s="11">
        <v>0</v>
      </c>
      <c r="P552" s="11">
        <v>0</v>
      </c>
      <c r="Q552" s="11">
        <f t="shared" si="260"/>
        <v>1</v>
      </c>
      <c r="R552" s="11">
        <v>0</v>
      </c>
      <c r="S552" s="11">
        <f t="shared" si="251"/>
        <v>0</v>
      </c>
      <c r="T552" s="11">
        <v>0</v>
      </c>
      <c r="U552" s="11">
        <f t="shared" si="261"/>
        <v>1</v>
      </c>
      <c r="V552" s="11">
        <v>0</v>
      </c>
      <c r="W552" s="11">
        <f t="shared" si="262"/>
        <v>1</v>
      </c>
      <c r="X552" s="11">
        <f t="shared" si="252"/>
        <v>0</v>
      </c>
      <c r="Y552" s="19">
        <v>1.25</v>
      </c>
      <c r="Z552" s="11">
        <v>2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45">
        <v>0</v>
      </c>
      <c r="AJ552" s="45">
        <v>0</v>
      </c>
      <c r="AK552" s="45">
        <f t="shared" si="263"/>
        <v>0.3611</v>
      </c>
      <c r="AL552" s="45">
        <f t="shared" si="264"/>
        <v>0.00348095238095238</v>
      </c>
      <c r="AM552" s="45">
        <f t="shared" si="265"/>
        <v>0.0012569719047619</v>
      </c>
      <c r="AN552" s="45">
        <f t="shared" si="266"/>
        <v>0.792187500000004</v>
      </c>
      <c r="AO552" s="45">
        <f t="shared" si="267"/>
        <v>0.792187500000004</v>
      </c>
      <c r="AP552" s="45">
        <f t="shared" si="268"/>
        <v>1.05625000000001</v>
      </c>
      <c r="AQ552" s="45">
        <f t="shared" si="269"/>
        <v>0</v>
      </c>
      <c r="AR552" s="45">
        <f t="shared" si="270"/>
        <v>0</v>
      </c>
      <c r="AS552" s="19">
        <f t="shared" si="271"/>
        <v>1.07916666666667</v>
      </c>
      <c r="AT552" s="19">
        <f t="shared" si="272"/>
        <v>1.03333333333334</v>
      </c>
      <c r="AU552" s="46">
        <v>0</v>
      </c>
      <c r="AV552" s="46">
        <v>0</v>
      </c>
      <c r="AW552" s="46">
        <v>0</v>
      </c>
      <c r="AX552" s="46">
        <v>1</v>
      </c>
      <c r="AY552" s="47">
        <v>0</v>
      </c>
      <c r="AZ552" s="47">
        <v>-1</v>
      </c>
    </row>
    <row r="553" hidden="1" customHeight="1" spans="1:52">
      <c r="A553" s="44">
        <v>45878</v>
      </c>
      <c r="B553" s="33">
        <f t="shared" si="255"/>
        <v>138</v>
      </c>
      <c r="C553" s="33">
        <f t="shared" si="256"/>
        <v>354</v>
      </c>
      <c r="D553" s="11">
        <f t="shared" si="257"/>
        <v>492</v>
      </c>
      <c r="E553" s="34">
        <f t="shared" si="253"/>
        <v>6.59568165334182e-6</v>
      </c>
      <c r="F553" s="35">
        <f t="shared" si="258"/>
        <v>0.000963497438322488</v>
      </c>
      <c r="G553" s="18">
        <f>(SUM($I$8:$I553)*(MAX(M$3-M$4,0))+(N553*MAX(M$4,0)))*(1-$AM$4)+(AM553*$AM$4)</f>
        <v>0.526069601324079</v>
      </c>
      <c r="H553" s="18">
        <f t="shared" si="247"/>
        <v>1.33333333333333</v>
      </c>
      <c r="I553" s="18">
        <f t="shared" si="259"/>
        <v>0.010510101010101</v>
      </c>
      <c r="J553" s="18">
        <f t="shared" si="248"/>
        <v>0.659032247812582</v>
      </c>
      <c r="K553" s="18">
        <f t="shared" si="249"/>
        <v>0.0024707808129523</v>
      </c>
      <c r="L553" s="18">
        <f t="shared" si="250"/>
        <v>0.00788257575757577</v>
      </c>
      <c r="M553" s="18">
        <v>0.6957</v>
      </c>
      <c r="N553" s="18">
        <f t="shared" si="254"/>
        <v>0.6957</v>
      </c>
      <c r="O553" s="11">
        <v>0</v>
      </c>
      <c r="P553" s="11">
        <v>0</v>
      </c>
      <c r="Q553" s="11">
        <f t="shared" si="260"/>
        <v>1</v>
      </c>
      <c r="R553" s="11">
        <v>0</v>
      </c>
      <c r="S553" s="11">
        <f t="shared" si="251"/>
        <v>0</v>
      </c>
      <c r="T553" s="11">
        <v>0</v>
      </c>
      <c r="U553" s="11">
        <f t="shared" si="261"/>
        <v>1</v>
      </c>
      <c r="V553" s="11">
        <v>0</v>
      </c>
      <c r="W553" s="11">
        <f t="shared" si="262"/>
        <v>1</v>
      </c>
      <c r="X553" s="11">
        <f t="shared" si="252"/>
        <v>0</v>
      </c>
      <c r="Y553" s="19">
        <v>4.25</v>
      </c>
      <c r="Z553" s="11">
        <v>23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1">
        <v>0</v>
      </c>
      <c r="AG553" s="11">
        <v>0</v>
      </c>
      <c r="AH553" s="11">
        <v>0</v>
      </c>
      <c r="AI553" s="45">
        <v>0</v>
      </c>
      <c r="AJ553" s="45">
        <v>0</v>
      </c>
      <c r="AK553" s="45">
        <f t="shared" si="263"/>
        <v>0.3611</v>
      </c>
      <c r="AL553" s="45">
        <f t="shared" si="264"/>
        <v>0.00348095238095238</v>
      </c>
      <c r="AM553" s="45">
        <f t="shared" si="265"/>
        <v>0.0012569719047619</v>
      </c>
      <c r="AN553" s="45">
        <f t="shared" si="266"/>
        <v>0.792187500000004</v>
      </c>
      <c r="AO553" s="45">
        <f t="shared" si="267"/>
        <v>0.792187500000004</v>
      </c>
      <c r="AP553" s="45">
        <f t="shared" si="268"/>
        <v>1.05625000000001</v>
      </c>
      <c r="AQ553" s="45">
        <f t="shared" si="269"/>
        <v>0</v>
      </c>
      <c r="AR553" s="45">
        <f t="shared" si="270"/>
        <v>0</v>
      </c>
      <c r="AS553" s="19">
        <f t="shared" si="271"/>
        <v>1.07916666666667</v>
      </c>
      <c r="AT553" s="19">
        <f t="shared" si="272"/>
        <v>1.03333333333334</v>
      </c>
      <c r="AU553" s="46">
        <v>0</v>
      </c>
      <c r="AV553" s="46">
        <v>0</v>
      </c>
      <c r="AW553" s="46">
        <v>0</v>
      </c>
      <c r="AX553" s="46">
        <v>1</v>
      </c>
      <c r="AY553" s="47">
        <v>0</v>
      </c>
      <c r="AZ553" s="47">
        <v>-1</v>
      </c>
    </row>
    <row r="554" hidden="1" customHeight="1" spans="1:52">
      <c r="A554" s="44">
        <v>45879</v>
      </c>
      <c r="B554" s="33">
        <f t="shared" si="255"/>
        <v>137</v>
      </c>
      <c r="C554" s="33">
        <f t="shared" si="256"/>
        <v>356</v>
      </c>
      <c r="D554" s="11">
        <f t="shared" si="257"/>
        <v>493</v>
      </c>
      <c r="E554" s="34">
        <f t="shared" si="253"/>
        <v>-1.76142127664071e-6</v>
      </c>
      <c r="F554" s="35">
        <f t="shared" si="258"/>
        <v>0.000961736017045848</v>
      </c>
      <c r="G554" s="18">
        <f>(SUM($I$8:$I554)*(MAX(M$3-M$4,0))+(N554*MAX(M$4,0)))*(1-$AM$4)+(AM554*$AM$4)</f>
        <v>0.526069601324079</v>
      </c>
      <c r="H554" s="18">
        <f t="shared" si="247"/>
        <v>1.33333333333333</v>
      </c>
      <c r="I554" s="18">
        <f t="shared" si="259"/>
        <v>0</v>
      </c>
      <c r="J554" s="18">
        <f t="shared" si="248"/>
        <v>0.65782743565936</v>
      </c>
      <c r="K554" s="18">
        <f t="shared" si="249"/>
        <v>0.0024976099586908</v>
      </c>
      <c r="L554" s="18">
        <f t="shared" si="250"/>
        <v>0</v>
      </c>
      <c r="M554" s="18">
        <v>0</v>
      </c>
      <c r="N554" s="18">
        <f t="shared" si="254"/>
        <v>0.6957</v>
      </c>
      <c r="O554" s="11">
        <v>0</v>
      </c>
      <c r="P554" s="11">
        <v>0</v>
      </c>
      <c r="Q554" s="11">
        <f t="shared" si="260"/>
        <v>1</v>
      </c>
      <c r="R554" s="11">
        <v>0</v>
      </c>
      <c r="S554" s="11">
        <f t="shared" si="251"/>
        <v>0</v>
      </c>
      <c r="T554" s="11">
        <v>0</v>
      </c>
      <c r="U554" s="11">
        <f t="shared" si="261"/>
        <v>1</v>
      </c>
      <c r="V554" s="11">
        <v>0</v>
      </c>
      <c r="W554" s="11">
        <f t="shared" si="262"/>
        <v>1</v>
      </c>
      <c r="X554" s="11">
        <f t="shared" si="252"/>
        <v>0</v>
      </c>
      <c r="Y554" s="19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1">
        <v>0</v>
      </c>
      <c r="AG554" s="11">
        <v>0</v>
      </c>
      <c r="AH554" s="11">
        <v>0</v>
      </c>
      <c r="AI554" s="45">
        <v>0</v>
      </c>
      <c r="AJ554" s="45">
        <v>0</v>
      </c>
      <c r="AK554" s="45">
        <f t="shared" si="263"/>
        <v>0.3611</v>
      </c>
      <c r="AL554" s="45">
        <f t="shared" si="264"/>
        <v>0.00348095238095238</v>
      </c>
      <c r="AM554" s="45">
        <f t="shared" si="265"/>
        <v>0.0012569719047619</v>
      </c>
      <c r="AN554" s="45">
        <f t="shared" si="266"/>
        <v>0.792187500000004</v>
      </c>
      <c r="AO554" s="45">
        <f t="shared" si="267"/>
        <v>0.792187500000004</v>
      </c>
      <c r="AP554" s="45">
        <f t="shared" si="268"/>
        <v>1.05625000000001</v>
      </c>
      <c r="AQ554" s="45">
        <f t="shared" si="269"/>
        <v>0</v>
      </c>
      <c r="AR554" s="45">
        <f t="shared" si="270"/>
        <v>0</v>
      </c>
      <c r="AS554" s="19">
        <f t="shared" si="271"/>
        <v>1.07916666666667</v>
      </c>
      <c r="AT554" s="19">
        <f t="shared" si="272"/>
        <v>1.03333333333334</v>
      </c>
      <c r="AU554" s="46">
        <v>0</v>
      </c>
      <c r="AV554" s="46">
        <v>0</v>
      </c>
      <c r="AW554" s="46">
        <v>0</v>
      </c>
      <c r="AX554" s="46">
        <v>1</v>
      </c>
      <c r="AY554" s="47">
        <v>0</v>
      </c>
      <c r="AZ554" s="47">
        <v>-1</v>
      </c>
    </row>
    <row r="555" hidden="1" customHeight="1" spans="1:52">
      <c r="A555" s="44">
        <v>45880</v>
      </c>
      <c r="B555" s="33">
        <f t="shared" si="255"/>
        <v>136</v>
      </c>
      <c r="C555" s="33">
        <f t="shared" si="256"/>
        <v>349</v>
      </c>
      <c r="D555" s="11">
        <f t="shared" si="257"/>
        <v>485</v>
      </c>
      <c r="E555" s="34">
        <f t="shared" si="253"/>
        <v>6.69792144644384e-6</v>
      </c>
      <c r="F555" s="35">
        <f t="shared" si="258"/>
        <v>0.000968433938492291</v>
      </c>
      <c r="G555" s="18">
        <f>(SUM($I$8:$I555)*(MAX(M$3-M$4,0))+(N555*MAX(M$4,0)))*(1-$AM$4)+(AM555*$AM$4)</f>
        <v>0.530701798293776</v>
      </c>
      <c r="H555" s="18">
        <f t="shared" si="247"/>
        <v>1.33333333333333</v>
      </c>
      <c r="I555" s="18">
        <f t="shared" si="259"/>
        <v>0.0125050505050505</v>
      </c>
      <c r="J555" s="18">
        <f t="shared" si="248"/>
        <v>0.662408813928727</v>
      </c>
      <c r="K555" s="18">
        <f t="shared" si="249"/>
        <v>0.002482288132877</v>
      </c>
      <c r="L555" s="18">
        <f t="shared" si="250"/>
        <v>0.0093787878787879</v>
      </c>
      <c r="M555" s="18">
        <v>0.7018</v>
      </c>
      <c r="N555" s="18">
        <f t="shared" si="254"/>
        <v>0.7018</v>
      </c>
      <c r="O555" s="11">
        <v>0</v>
      </c>
      <c r="P555" s="11">
        <v>0</v>
      </c>
      <c r="Q555" s="11">
        <f t="shared" si="260"/>
        <v>1</v>
      </c>
      <c r="R555" s="11">
        <v>0</v>
      </c>
      <c r="S555" s="11">
        <f t="shared" si="251"/>
        <v>0</v>
      </c>
      <c r="T555" s="11">
        <v>0</v>
      </c>
      <c r="U555" s="11">
        <f t="shared" si="261"/>
        <v>1</v>
      </c>
      <c r="V555" s="11">
        <v>0</v>
      </c>
      <c r="W555" s="11">
        <f t="shared" si="262"/>
        <v>1</v>
      </c>
      <c r="X555" s="11">
        <f t="shared" si="252"/>
        <v>0</v>
      </c>
      <c r="Y555" s="19">
        <v>8.92</v>
      </c>
      <c r="Z555" s="11">
        <v>22</v>
      </c>
      <c r="AA555" s="11">
        <v>0</v>
      </c>
      <c r="AB555" s="11">
        <v>0</v>
      </c>
      <c r="AC555" s="11">
        <v>0</v>
      </c>
      <c r="AD555" s="11">
        <v>0</v>
      </c>
      <c r="AE555" s="11">
        <v>0</v>
      </c>
      <c r="AF555" s="11">
        <v>0</v>
      </c>
      <c r="AG555" s="11">
        <v>0</v>
      </c>
      <c r="AH555" s="11">
        <v>0</v>
      </c>
      <c r="AI555" s="45">
        <v>0</v>
      </c>
      <c r="AJ555" s="45">
        <v>0</v>
      </c>
      <c r="AK555" s="45">
        <f t="shared" si="263"/>
        <v>0.3611</v>
      </c>
      <c r="AL555" s="45">
        <f t="shared" si="264"/>
        <v>0.00348095238095238</v>
      </c>
      <c r="AM555" s="45">
        <f t="shared" si="265"/>
        <v>0.0012569719047619</v>
      </c>
      <c r="AN555" s="45">
        <f t="shared" si="266"/>
        <v>0.792187500000004</v>
      </c>
      <c r="AO555" s="45">
        <f t="shared" si="267"/>
        <v>0.792187500000004</v>
      </c>
      <c r="AP555" s="45">
        <f t="shared" si="268"/>
        <v>1.05625000000001</v>
      </c>
      <c r="AQ555" s="45">
        <f t="shared" si="269"/>
        <v>0</v>
      </c>
      <c r="AR555" s="45">
        <f t="shared" si="270"/>
        <v>0</v>
      </c>
      <c r="AS555" s="19">
        <f t="shared" si="271"/>
        <v>1.07916666666667</v>
      </c>
      <c r="AT555" s="19">
        <f t="shared" si="272"/>
        <v>1.03333333333334</v>
      </c>
      <c r="AU555" s="46">
        <v>0</v>
      </c>
      <c r="AV555" s="46">
        <v>0</v>
      </c>
      <c r="AW555" s="46">
        <v>0</v>
      </c>
      <c r="AX555" s="46">
        <v>1</v>
      </c>
      <c r="AY555" s="47">
        <v>0</v>
      </c>
      <c r="AZ555" s="47">
        <v>-1</v>
      </c>
    </row>
    <row r="556" hidden="1" customHeight="1" spans="1:52">
      <c r="A556" s="44">
        <v>45881</v>
      </c>
      <c r="B556" s="33">
        <f t="shared" si="255"/>
        <v>135</v>
      </c>
      <c r="C556" s="33">
        <f t="shared" si="256"/>
        <v>350</v>
      </c>
      <c r="D556" s="11">
        <f t="shared" si="257"/>
        <v>485</v>
      </c>
      <c r="E556" s="34">
        <f t="shared" si="253"/>
        <v>-1.76399624497682e-6</v>
      </c>
      <c r="F556" s="35">
        <f t="shared" si="258"/>
        <v>0.000966669942247315</v>
      </c>
      <c r="G556" s="18">
        <f>(SUM($I$8:$I556)*(MAX(M$3-M$4,0))+(N556*MAX(M$4,0)))*(1-$AM$4)+(AM556*$AM$4)</f>
        <v>0.530701798293776</v>
      </c>
      <c r="H556" s="18">
        <f t="shared" si="247"/>
        <v>1.33333333333333</v>
      </c>
      <c r="I556" s="18">
        <f t="shared" si="259"/>
        <v>0</v>
      </c>
      <c r="J556" s="18">
        <f t="shared" si="248"/>
        <v>0.661202240497163</v>
      </c>
      <c r="K556" s="18">
        <f t="shared" si="249"/>
        <v>0.00250961303335435</v>
      </c>
      <c r="L556" s="18">
        <f t="shared" si="250"/>
        <v>0</v>
      </c>
      <c r="M556" s="18">
        <v>0</v>
      </c>
      <c r="N556" s="18">
        <f t="shared" si="254"/>
        <v>0.7018</v>
      </c>
      <c r="O556" s="11">
        <v>0</v>
      </c>
      <c r="P556" s="11">
        <v>0</v>
      </c>
      <c r="Q556" s="11">
        <f t="shared" si="260"/>
        <v>1</v>
      </c>
      <c r="R556" s="11">
        <v>0</v>
      </c>
      <c r="S556" s="11">
        <f t="shared" si="251"/>
        <v>0</v>
      </c>
      <c r="T556" s="11">
        <v>0</v>
      </c>
      <c r="U556" s="11">
        <f t="shared" si="261"/>
        <v>1</v>
      </c>
      <c r="V556" s="11">
        <v>0</v>
      </c>
      <c r="W556" s="11">
        <f t="shared" si="262"/>
        <v>1</v>
      </c>
      <c r="X556" s="11">
        <f t="shared" si="252"/>
        <v>0</v>
      </c>
      <c r="Y556" s="19">
        <v>0</v>
      </c>
      <c r="Z556" s="11">
        <v>0</v>
      </c>
      <c r="AA556" s="11">
        <v>0</v>
      </c>
      <c r="AB556" s="11">
        <v>0</v>
      </c>
      <c r="AC556" s="11">
        <v>0</v>
      </c>
      <c r="AD556" s="11">
        <v>0</v>
      </c>
      <c r="AE556" s="11">
        <v>0</v>
      </c>
      <c r="AF556" s="11">
        <v>0</v>
      </c>
      <c r="AG556" s="11">
        <v>0</v>
      </c>
      <c r="AH556" s="11">
        <v>0</v>
      </c>
      <c r="AI556" s="45">
        <v>0</v>
      </c>
      <c r="AJ556" s="45">
        <v>0</v>
      </c>
      <c r="AK556" s="45">
        <f t="shared" si="263"/>
        <v>0.3611</v>
      </c>
      <c r="AL556" s="45">
        <f t="shared" si="264"/>
        <v>0.00348095238095238</v>
      </c>
      <c r="AM556" s="45">
        <f t="shared" si="265"/>
        <v>0.0012569719047619</v>
      </c>
      <c r="AN556" s="45">
        <f t="shared" si="266"/>
        <v>0.792187500000004</v>
      </c>
      <c r="AO556" s="45">
        <f t="shared" si="267"/>
        <v>0.792187500000004</v>
      </c>
      <c r="AP556" s="45">
        <f t="shared" si="268"/>
        <v>1.05625000000001</v>
      </c>
      <c r="AQ556" s="45">
        <f t="shared" si="269"/>
        <v>0</v>
      </c>
      <c r="AR556" s="45">
        <f t="shared" si="270"/>
        <v>0</v>
      </c>
      <c r="AS556" s="19">
        <f t="shared" si="271"/>
        <v>1.07916666666667</v>
      </c>
      <c r="AT556" s="19">
        <f t="shared" si="272"/>
        <v>1.03333333333334</v>
      </c>
      <c r="AU556" s="46">
        <v>0</v>
      </c>
      <c r="AV556" s="46">
        <v>0</v>
      </c>
      <c r="AW556" s="46">
        <v>0</v>
      </c>
      <c r="AX556" s="46">
        <v>1</v>
      </c>
      <c r="AY556" s="47">
        <v>0</v>
      </c>
      <c r="AZ556" s="47">
        <v>-1</v>
      </c>
    </row>
    <row r="557" hidden="1" customHeight="1" spans="1:52">
      <c r="A557" s="44">
        <v>45882</v>
      </c>
      <c r="B557" s="33">
        <f t="shared" si="255"/>
        <v>134</v>
      </c>
      <c r="C557" s="33">
        <f t="shared" si="256"/>
        <v>347</v>
      </c>
      <c r="D557" s="11">
        <f t="shared" si="257"/>
        <v>481</v>
      </c>
      <c r="E557" s="34">
        <f t="shared" si="253"/>
        <v>3.7010959727734e-6</v>
      </c>
      <c r="F557" s="35">
        <f t="shared" si="258"/>
        <v>0.000970371038220088</v>
      </c>
      <c r="G557" s="18">
        <f>(SUM($I$8:$I557)*(MAX(M$3-M$4,0))+(N557*MAX(M$4,0)))*(1-$AM$4)+(AM557*$AM$4)</f>
        <v>0.533704071021048</v>
      </c>
      <c r="H557" s="18">
        <f t="shared" si="247"/>
        <v>1.33333333333333</v>
      </c>
      <c r="I557" s="18">
        <f t="shared" si="259"/>
        <v>0.00721212121212121</v>
      </c>
      <c r="J557" s="18">
        <f t="shared" si="248"/>
        <v>0.66373379014254</v>
      </c>
      <c r="K557" s="18">
        <f t="shared" si="249"/>
        <v>0.00250944932729448</v>
      </c>
      <c r="L557" s="18">
        <f t="shared" si="250"/>
        <v>0.00540909090909092</v>
      </c>
      <c r="M557" s="18">
        <v>0.7062</v>
      </c>
      <c r="N557" s="18">
        <f t="shared" si="254"/>
        <v>0.7062</v>
      </c>
      <c r="O557" s="11">
        <v>0</v>
      </c>
      <c r="P557" s="11">
        <v>0</v>
      </c>
      <c r="Q557" s="11">
        <f t="shared" si="260"/>
        <v>1</v>
      </c>
      <c r="R557" s="11">
        <v>0</v>
      </c>
      <c r="S557" s="11">
        <f t="shared" si="251"/>
        <v>0</v>
      </c>
      <c r="T557" s="11">
        <v>0</v>
      </c>
      <c r="U557" s="11">
        <f t="shared" si="261"/>
        <v>1</v>
      </c>
      <c r="V557" s="11">
        <v>0</v>
      </c>
      <c r="W557" s="11">
        <f t="shared" si="262"/>
        <v>1</v>
      </c>
      <c r="X557" s="11">
        <f t="shared" si="252"/>
        <v>0</v>
      </c>
      <c r="Y557" s="19">
        <v>4.92</v>
      </c>
      <c r="Z557" s="11">
        <v>13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1">
        <v>0</v>
      </c>
      <c r="AG557" s="11">
        <v>0</v>
      </c>
      <c r="AH557" s="11">
        <v>0</v>
      </c>
      <c r="AI557" s="45">
        <v>0</v>
      </c>
      <c r="AJ557" s="45">
        <v>0</v>
      </c>
      <c r="AK557" s="45">
        <f t="shared" si="263"/>
        <v>0.3611</v>
      </c>
      <c r="AL557" s="45">
        <f t="shared" si="264"/>
        <v>0.00348095238095238</v>
      </c>
      <c r="AM557" s="45">
        <f t="shared" si="265"/>
        <v>0.0012569719047619</v>
      </c>
      <c r="AN557" s="45">
        <f t="shared" si="266"/>
        <v>0.792187500000004</v>
      </c>
      <c r="AO557" s="45">
        <f t="shared" si="267"/>
        <v>0.792187500000004</v>
      </c>
      <c r="AP557" s="45">
        <f t="shared" si="268"/>
        <v>1.05625000000001</v>
      </c>
      <c r="AQ557" s="45">
        <f t="shared" si="269"/>
        <v>0</v>
      </c>
      <c r="AR557" s="45">
        <f t="shared" si="270"/>
        <v>0</v>
      </c>
      <c r="AS557" s="19">
        <f t="shared" si="271"/>
        <v>1.07916666666667</v>
      </c>
      <c r="AT557" s="19">
        <f t="shared" si="272"/>
        <v>1.03333333333334</v>
      </c>
      <c r="AU557" s="46">
        <v>0</v>
      </c>
      <c r="AV557" s="46">
        <v>0</v>
      </c>
      <c r="AW557" s="46">
        <v>0</v>
      </c>
      <c r="AX557" s="46">
        <v>1</v>
      </c>
      <c r="AY557" s="47">
        <v>0</v>
      </c>
      <c r="AZ557" s="47">
        <v>-1</v>
      </c>
    </row>
    <row r="558" hidden="1" customHeight="1" spans="1:52">
      <c r="A558" s="44">
        <v>45883</v>
      </c>
      <c r="B558" s="33">
        <f t="shared" si="255"/>
        <v>133</v>
      </c>
      <c r="C558" s="33">
        <f t="shared" si="256"/>
        <v>345</v>
      </c>
      <c r="D558" s="11">
        <f t="shared" si="257"/>
        <v>478</v>
      </c>
      <c r="E558" s="34">
        <f t="shared" si="253"/>
        <v>1.1832621535907e-6</v>
      </c>
      <c r="F558" s="35">
        <f t="shared" si="258"/>
        <v>0.000971554300373679</v>
      </c>
      <c r="G558" s="18">
        <f>(SUM($I$8:$I558)*(MAX(M$3-M$4,0))+(N558*MAX(M$4,0)))*(1-$AM$4)+(AM558*$AM$4)</f>
        <v>0.535326419505897</v>
      </c>
      <c r="H558" s="18">
        <f t="shared" si="247"/>
        <v>1.33333333333333</v>
      </c>
      <c r="I558" s="18">
        <f t="shared" si="259"/>
        <v>0.00525252525252525</v>
      </c>
      <c r="J558" s="18">
        <f t="shared" si="248"/>
        <v>0.664543141455596</v>
      </c>
      <c r="K558" s="18">
        <f t="shared" si="249"/>
        <v>0.00252223201913086</v>
      </c>
      <c r="L558" s="18">
        <f t="shared" si="250"/>
        <v>0.00393939393939395</v>
      </c>
      <c r="M558" s="18">
        <v>0.7079</v>
      </c>
      <c r="N558" s="18">
        <f t="shared" si="254"/>
        <v>0.7079</v>
      </c>
      <c r="O558" s="11">
        <v>0</v>
      </c>
      <c r="P558" s="11">
        <v>0</v>
      </c>
      <c r="Q558" s="11">
        <f t="shared" si="260"/>
        <v>1</v>
      </c>
      <c r="R558" s="11">
        <v>0</v>
      </c>
      <c r="S558" s="11">
        <f t="shared" si="251"/>
        <v>0</v>
      </c>
      <c r="T558" s="11">
        <v>0</v>
      </c>
      <c r="U558" s="11">
        <f t="shared" si="261"/>
        <v>1</v>
      </c>
      <c r="V558" s="11">
        <v>0</v>
      </c>
      <c r="W558" s="11">
        <f t="shared" si="262"/>
        <v>1</v>
      </c>
      <c r="X558" s="11">
        <f t="shared" si="252"/>
        <v>0</v>
      </c>
      <c r="Y558" s="19">
        <v>3.92</v>
      </c>
      <c r="Z558" s="11">
        <v>9</v>
      </c>
      <c r="AA558" s="11">
        <v>0</v>
      </c>
      <c r="AB558" s="11">
        <v>0</v>
      </c>
      <c r="AC558" s="11">
        <v>0</v>
      </c>
      <c r="AD558" s="11">
        <v>0</v>
      </c>
      <c r="AE558" s="11">
        <v>0</v>
      </c>
      <c r="AF558" s="11">
        <v>0</v>
      </c>
      <c r="AG558" s="11">
        <v>0</v>
      </c>
      <c r="AH558" s="11">
        <v>0</v>
      </c>
      <c r="AI558" s="45">
        <v>0</v>
      </c>
      <c r="AJ558" s="45">
        <v>0</v>
      </c>
      <c r="AK558" s="45">
        <f t="shared" si="263"/>
        <v>0.3611</v>
      </c>
      <c r="AL558" s="45">
        <f t="shared" si="264"/>
        <v>0.00348095238095238</v>
      </c>
      <c r="AM558" s="45">
        <f t="shared" si="265"/>
        <v>0.0012569719047619</v>
      </c>
      <c r="AN558" s="45">
        <f t="shared" si="266"/>
        <v>0.792187500000004</v>
      </c>
      <c r="AO558" s="45">
        <f t="shared" si="267"/>
        <v>0.792187500000004</v>
      </c>
      <c r="AP558" s="45">
        <f t="shared" si="268"/>
        <v>1.05625000000001</v>
      </c>
      <c r="AQ558" s="45">
        <f t="shared" si="269"/>
        <v>0</v>
      </c>
      <c r="AR558" s="45">
        <f t="shared" si="270"/>
        <v>0</v>
      </c>
      <c r="AS558" s="19">
        <f t="shared" si="271"/>
        <v>1.07916666666667</v>
      </c>
      <c r="AT558" s="19">
        <f t="shared" si="272"/>
        <v>1.03333333333334</v>
      </c>
      <c r="AU558" s="46">
        <v>0</v>
      </c>
      <c r="AV558" s="46">
        <v>0</v>
      </c>
      <c r="AW558" s="46">
        <v>0</v>
      </c>
      <c r="AX558" s="46">
        <v>1</v>
      </c>
      <c r="AY558" s="47">
        <v>0</v>
      </c>
      <c r="AZ558" s="47">
        <v>-1</v>
      </c>
    </row>
    <row r="559" hidden="1" customHeight="1" spans="1:52">
      <c r="A559" s="44">
        <v>45884</v>
      </c>
      <c r="B559" s="33">
        <f t="shared" si="255"/>
        <v>132</v>
      </c>
      <c r="C559" s="33">
        <f t="shared" si="256"/>
        <v>347</v>
      </c>
      <c r="D559" s="11">
        <f t="shared" si="257"/>
        <v>479</v>
      </c>
      <c r="E559" s="34">
        <f t="shared" si="253"/>
        <v>-1.51302656523588e-6</v>
      </c>
      <c r="F559" s="35">
        <f t="shared" si="258"/>
        <v>0.000970041273808443</v>
      </c>
      <c r="G559" s="18">
        <f>(SUM($I$8:$I559)*(MAX(M$3-M$4,0))+(N559*MAX(M$4,0)))*(1-$AM$4)+(AM559*$AM$4)</f>
        <v>0.53546278314226</v>
      </c>
      <c r="H559" s="18">
        <f t="shared" si="247"/>
        <v>1.33333333333333</v>
      </c>
      <c r="I559" s="18">
        <f t="shared" si="259"/>
        <v>0.000727272727272726</v>
      </c>
      <c r="J559" s="18">
        <f t="shared" si="248"/>
        <v>0.663508231284975</v>
      </c>
      <c r="K559" s="18">
        <f t="shared" si="249"/>
        <v>0.00254918006602292</v>
      </c>
      <c r="L559" s="18">
        <f t="shared" si="250"/>
        <v>0.000545454545454546</v>
      </c>
      <c r="M559" s="18">
        <v>0</v>
      </c>
      <c r="N559" s="18">
        <f t="shared" si="254"/>
        <v>0.7079</v>
      </c>
      <c r="O559" s="11">
        <v>0</v>
      </c>
      <c r="P559" s="11">
        <v>0</v>
      </c>
      <c r="Q559" s="11">
        <f t="shared" si="260"/>
        <v>1</v>
      </c>
      <c r="R559" s="11">
        <v>0</v>
      </c>
      <c r="S559" s="11">
        <f t="shared" si="251"/>
        <v>0</v>
      </c>
      <c r="T559" s="11">
        <v>0</v>
      </c>
      <c r="U559" s="11">
        <f t="shared" si="261"/>
        <v>1</v>
      </c>
      <c r="V559" s="11">
        <v>0</v>
      </c>
      <c r="W559" s="11">
        <f t="shared" si="262"/>
        <v>1</v>
      </c>
      <c r="X559" s="11">
        <f t="shared" si="252"/>
        <v>0</v>
      </c>
      <c r="Y559" s="19">
        <v>0</v>
      </c>
      <c r="Z559" s="11">
        <v>2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1">
        <v>0</v>
      </c>
      <c r="AG559" s="11">
        <v>0</v>
      </c>
      <c r="AH559" s="11">
        <v>0</v>
      </c>
      <c r="AI559" s="45">
        <v>0</v>
      </c>
      <c r="AJ559" s="45">
        <v>0</v>
      </c>
      <c r="AK559" s="45">
        <f t="shared" si="263"/>
        <v>0.3611</v>
      </c>
      <c r="AL559" s="45">
        <f t="shared" si="264"/>
        <v>0.00348095238095238</v>
      </c>
      <c r="AM559" s="45">
        <f t="shared" si="265"/>
        <v>0.0012569719047619</v>
      </c>
      <c r="AN559" s="45">
        <f t="shared" si="266"/>
        <v>0.792187500000004</v>
      </c>
      <c r="AO559" s="45">
        <f t="shared" si="267"/>
        <v>0.792187500000004</v>
      </c>
      <c r="AP559" s="45">
        <f t="shared" si="268"/>
        <v>1.05625000000001</v>
      </c>
      <c r="AQ559" s="45">
        <f t="shared" si="269"/>
        <v>0</v>
      </c>
      <c r="AR559" s="45">
        <f t="shared" si="270"/>
        <v>0</v>
      </c>
      <c r="AS559" s="19">
        <f t="shared" si="271"/>
        <v>1.07916666666667</v>
      </c>
      <c r="AT559" s="19">
        <f t="shared" si="272"/>
        <v>1.03333333333334</v>
      </c>
      <c r="AU559" s="46">
        <v>0</v>
      </c>
      <c r="AV559" s="46">
        <v>0</v>
      </c>
      <c r="AW559" s="46">
        <v>0</v>
      </c>
      <c r="AX559" s="46">
        <v>1</v>
      </c>
      <c r="AY559" s="47">
        <v>0</v>
      </c>
      <c r="AZ559" s="47">
        <v>-1</v>
      </c>
    </row>
    <row r="560" hidden="1" customHeight="1" spans="1:52">
      <c r="A560" s="44">
        <v>45885</v>
      </c>
      <c r="B560" s="33">
        <f t="shared" si="255"/>
        <v>131</v>
      </c>
      <c r="C560" s="33">
        <f t="shared" si="256"/>
        <v>349</v>
      </c>
      <c r="D560" s="11">
        <f t="shared" si="257"/>
        <v>480</v>
      </c>
      <c r="E560" s="34">
        <f t="shared" si="253"/>
        <v>-1.75414335227566e-6</v>
      </c>
      <c r="F560" s="35">
        <f t="shared" si="258"/>
        <v>0.000968287130456167</v>
      </c>
      <c r="G560" s="18">
        <f>(SUM($I$8:$I560)*(MAX(M$3-M$4,0))+(N560*MAX(M$4,0)))*(1-$AM$4)+(AM560*$AM$4)</f>
        <v>0.53546278314226</v>
      </c>
      <c r="H560" s="18">
        <f t="shared" si="247"/>
        <v>1.33333333333333</v>
      </c>
      <c r="I560" s="18">
        <f t="shared" si="259"/>
        <v>0</v>
      </c>
      <c r="J560" s="18">
        <f t="shared" si="248"/>
        <v>0.662308397232018</v>
      </c>
      <c r="K560" s="18">
        <f t="shared" si="249"/>
        <v>0.00257779849441207</v>
      </c>
      <c r="L560" s="18">
        <f t="shared" si="250"/>
        <v>0</v>
      </c>
      <c r="M560" s="18">
        <v>0</v>
      </c>
      <c r="N560" s="18">
        <f t="shared" si="254"/>
        <v>0.7079</v>
      </c>
      <c r="O560" s="11">
        <v>0</v>
      </c>
      <c r="P560" s="11">
        <v>0</v>
      </c>
      <c r="Q560" s="11">
        <f t="shared" si="260"/>
        <v>1</v>
      </c>
      <c r="R560" s="11">
        <v>0</v>
      </c>
      <c r="S560" s="11">
        <f t="shared" si="251"/>
        <v>0</v>
      </c>
      <c r="T560" s="11">
        <v>0</v>
      </c>
      <c r="U560" s="11">
        <f t="shared" si="261"/>
        <v>1</v>
      </c>
      <c r="V560" s="11">
        <v>0</v>
      </c>
      <c r="W560" s="11">
        <f t="shared" si="262"/>
        <v>1</v>
      </c>
      <c r="X560" s="11">
        <f t="shared" si="252"/>
        <v>0</v>
      </c>
      <c r="Y560" s="19">
        <v>0</v>
      </c>
      <c r="Z560" s="11">
        <v>0</v>
      </c>
      <c r="AA560" s="11">
        <v>0</v>
      </c>
      <c r="AB560" s="11">
        <v>0</v>
      </c>
      <c r="AC560" s="11">
        <v>0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45">
        <v>0</v>
      </c>
      <c r="AJ560" s="45">
        <v>0</v>
      </c>
      <c r="AK560" s="45">
        <f t="shared" si="263"/>
        <v>0.3611</v>
      </c>
      <c r="AL560" s="45">
        <f t="shared" si="264"/>
        <v>0.00348095238095238</v>
      </c>
      <c r="AM560" s="45">
        <f t="shared" si="265"/>
        <v>0.0012569719047619</v>
      </c>
      <c r="AN560" s="45">
        <f t="shared" si="266"/>
        <v>0.792187500000004</v>
      </c>
      <c r="AO560" s="45">
        <f t="shared" si="267"/>
        <v>0.792187500000004</v>
      </c>
      <c r="AP560" s="45">
        <f t="shared" si="268"/>
        <v>1.05625000000001</v>
      </c>
      <c r="AQ560" s="45">
        <f t="shared" si="269"/>
        <v>0</v>
      </c>
      <c r="AR560" s="45">
        <f t="shared" si="270"/>
        <v>0</v>
      </c>
      <c r="AS560" s="19">
        <f t="shared" si="271"/>
        <v>1.07916666666667</v>
      </c>
      <c r="AT560" s="19">
        <f t="shared" si="272"/>
        <v>1.03333333333334</v>
      </c>
      <c r="AU560" s="46">
        <v>0</v>
      </c>
      <c r="AV560" s="46">
        <v>0</v>
      </c>
      <c r="AW560" s="46">
        <v>0</v>
      </c>
      <c r="AX560" s="46">
        <v>1</v>
      </c>
      <c r="AY560" s="47">
        <v>0</v>
      </c>
      <c r="AZ560" s="47">
        <v>-1</v>
      </c>
    </row>
    <row r="561" hidden="1" customHeight="1" spans="1:52">
      <c r="A561" s="44">
        <v>45886</v>
      </c>
      <c r="B561" s="33">
        <f t="shared" si="255"/>
        <v>130</v>
      </c>
      <c r="C561" s="33">
        <f t="shared" si="256"/>
        <v>351</v>
      </c>
      <c r="D561" s="11">
        <f t="shared" si="257"/>
        <v>481</v>
      </c>
      <c r="E561" s="34">
        <f t="shared" si="253"/>
        <v>-1.7478107047945e-6</v>
      </c>
      <c r="F561" s="35">
        <f t="shared" si="258"/>
        <v>0.000966539319751373</v>
      </c>
      <c r="G561" s="18">
        <f>(SUM($I$8:$I561)*(MAX(M$3-M$4,0))+(N561*MAX(M$4,0)))*(1-$AM$4)+(AM561*$AM$4)</f>
        <v>0.53546278314226</v>
      </c>
      <c r="H561" s="18">
        <f t="shared" si="247"/>
        <v>1.33333333333333</v>
      </c>
      <c r="I561" s="18">
        <f t="shared" si="259"/>
        <v>0</v>
      </c>
      <c r="J561" s="18">
        <f t="shared" si="248"/>
        <v>0.661112894709939</v>
      </c>
      <c r="K561" s="18">
        <f t="shared" si="249"/>
        <v>0.00260682388684662</v>
      </c>
      <c r="L561" s="18">
        <f t="shared" si="250"/>
        <v>0</v>
      </c>
      <c r="M561" s="18">
        <v>0</v>
      </c>
      <c r="N561" s="18">
        <f t="shared" si="254"/>
        <v>0.7079</v>
      </c>
      <c r="O561" s="11">
        <v>0</v>
      </c>
      <c r="P561" s="11">
        <v>0</v>
      </c>
      <c r="Q561" s="11">
        <f t="shared" si="260"/>
        <v>1</v>
      </c>
      <c r="R561" s="11">
        <v>0</v>
      </c>
      <c r="S561" s="11">
        <f t="shared" si="251"/>
        <v>0</v>
      </c>
      <c r="T561" s="11">
        <v>0</v>
      </c>
      <c r="U561" s="11">
        <f t="shared" si="261"/>
        <v>1</v>
      </c>
      <c r="V561" s="11">
        <v>0</v>
      </c>
      <c r="W561" s="11">
        <f t="shared" si="262"/>
        <v>1</v>
      </c>
      <c r="X561" s="11">
        <f t="shared" si="252"/>
        <v>0</v>
      </c>
      <c r="Y561" s="19">
        <v>0</v>
      </c>
      <c r="Z561" s="11">
        <v>0</v>
      </c>
      <c r="AA561" s="11">
        <v>0</v>
      </c>
      <c r="AB561" s="11">
        <v>0</v>
      </c>
      <c r="AC561" s="11">
        <v>0</v>
      </c>
      <c r="AD561" s="11">
        <v>0</v>
      </c>
      <c r="AE561" s="11">
        <v>0</v>
      </c>
      <c r="AF561" s="11">
        <v>0</v>
      </c>
      <c r="AG561" s="11">
        <v>0</v>
      </c>
      <c r="AH561" s="11">
        <v>0</v>
      </c>
      <c r="AI561" s="45">
        <v>0</v>
      </c>
      <c r="AJ561" s="45">
        <v>0</v>
      </c>
      <c r="AK561" s="45">
        <f t="shared" si="263"/>
        <v>0.3611</v>
      </c>
      <c r="AL561" s="45">
        <f t="shared" si="264"/>
        <v>0.00348095238095238</v>
      </c>
      <c r="AM561" s="45">
        <f t="shared" si="265"/>
        <v>0.0012569719047619</v>
      </c>
      <c r="AN561" s="45">
        <f t="shared" si="266"/>
        <v>0.792187500000004</v>
      </c>
      <c r="AO561" s="45">
        <f t="shared" si="267"/>
        <v>0.792187500000004</v>
      </c>
      <c r="AP561" s="45">
        <f t="shared" si="268"/>
        <v>1.05625000000001</v>
      </c>
      <c r="AQ561" s="45">
        <f t="shared" si="269"/>
        <v>0</v>
      </c>
      <c r="AR561" s="45">
        <f t="shared" si="270"/>
        <v>0</v>
      </c>
      <c r="AS561" s="19">
        <f t="shared" si="271"/>
        <v>1.07916666666667</v>
      </c>
      <c r="AT561" s="19">
        <f t="shared" si="272"/>
        <v>1.03333333333334</v>
      </c>
      <c r="AU561" s="46">
        <v>0</v>
      </c>
      <c r="AV561" s="46">
        <v>0</v>
      </c>
      <c r="AW561" s="46">
        <v>0</v>
      </c>
      <c r="AX561" s="46">
        <v>1</v>
      </c>
      <c r="AY561" s="47">
        <v>0</v>
      </c>
      <c r="AZ561" s="47">
        <v>-1</v>
      </c>
    </row>
    <row r="562" hidden="1" customHeight="1" spans="1:52">
      <c r="A562" s="44">
        <v>45887</v>
      </c>
      <c r="B562" s="33">
        <f t="shared" si="255"/>
        <v>129</v>
      </c>
      <c r="C562" s="33">
        <f t="shared" si="256"/>
        <v>352</v>
      </c>
      <c r="D562" s="11">
        <f t="shared" si="257"/>
        <v>481</v>
      </c>
      <c r="E562" s="34">
        <f t="shared" si="253"/>
        <v>-1.74151228784028e-6</v>
      </c>
      <c r="F562" s="35">
        <f t="shared" si="258"/>
        <v>0.000964797807463532</v>
      </c>
      <c r="G562" s="18">
        <f>(SUM($I$8:$I562)*(MAX(M$3-M$4,0))+(N562*MAX(M$4,0)))*(1-$AM$4)+(AM562*$AM$4)</f>
        <v>0.53546278314226</v>
      </c>
      <c r="H562" s="18">
        <f t="shared" si="247"/>
        <v>1.33333333333333</v>
      </c>
      <c r="I562" s="18">
        <f t="shared" si="259"/>
        <v>0</v>
      </c>
      <c r="J562" s="18">
        <f t="shared" si="248"/>
        <v>0.659921700305056</v>
      </c>
      <c r="K562" s="18">
        <f t="shared" si="249"/>
        <v>0.00263626588910809</v>
      </c>
      <c r="L562" s="18">
        <f t="shared" si="250"/>
        <v>0</v>
      </c>
      <c r="M562" s="18">
        <v>0</v>
      </c>
      <c r="N562" s="18">
        <f t="shared" si="254"/>
        <v>0.7079</v>
      </c>
      <c r="O562" s="11">
        <v>0</v>
      </c>
      <c r="P562" s="11">
        <v>0</v>
      </c>
      <c r="Q562" s="11">
        <f t="shared" si="260"/>
        <v>1</v>
      </c>
      <c r="R562" s="11">
        <v>0</v>
      </c>
      <c r="S562" s="11">
        <f t="shared" si="251"/>
        <v>0</v>
      </c>
      <c r="T562" s="11">
        <v>0</v>
      </c>
      <c r="U562" s="11">
        <f t="shared" si="261"/>
        <v>1</v>
      </c>
      <c r="V562" s="11">
        <v>0</v>
      </c>
      <c r="W562" s="11">
        <f t="shared" si="262"/>
        <v>1</v>
      </c>
      <c r="X562" s="11">
        <f t="shared" si="252"/>
        <v>0</v>
      </c>
      <c r="Y562" s="19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1">
        <v>0</v>
      </c>
      <c r="AG562" s="11">
        <v>0</v>
      </c>
      <c r="AH562" s="11">
        <v>0</v>
      </c>
      <c r="AI562" s="45">
        <v>0</v>
      </c>
      <c r="AJ562" s="45">
        <v>0</v>
      </c>
      <c r="AK562" s="45">
        <f t="shared" si="263"/>
        <v>0.3611</v>
      </c>
      <c r="AL562" s="45">
        <f t="shared" si="264"/>
        <v>0.00348095238095238</v>
      </c>
      <c r="AM562" s="45">
        <f t="shared" si="265"/>
        <v>0.0012569719047619</v>
      </c>
      <c r="AN562" s="45">
        <f t="shared" si="266"/>
        <v>0.792187500000004</v>
      </c>
      <c r="AO562" s="45">
        <f t="shared" si="267"/>
        <v>0.792187500000004</v>
      </c>
      <c r="AP562" s="45">
        <f t="shared" si="268"/>
        <v>1.05625000000001</v>
      </c>
      <c r="AQ562" s="45">
        <f t="shared" si="269"/>
        <v>0</v>
      </c>
      <c r="AR562" s="45">
        <f t="shared" si="270"/>
        <v>0</v>
      </c>
      <c r="AS562" s="19">
        <f t="shared" si="271"/>
        <v>1.07916666666667</v>
      </c>
      <c r="AT562" s="19">
        <f t="shared" si="272"/>
        <v>1.03333333333334</v>
      </c>
      <c r="AU562" s="46">
        <v>0</v>
      </c>
      <c r="AV562" s="46">
        <v>0</v>
      </c>
      <c r="AW562" s="46">
        <v>0</v>
      </c>
      <c r="AX562" s="46">
        <v>1</v>
      </c>
      <c r="AY562" s="47">
        <v>0</v>
      </c>
      <c r="AZ562" s="47">
        <v>-1</v>
      </c>
    </row>
    <row r="563" hidden="1" customHeight="1" spans="1:52">
      <c r="A563" s="44">
        <v>45888</v>
      </c>
      <c r="B563" s="33">
        <f t="shared" si="255"/>
        <v>128</v>
      </c>
      <c r="C563" s="33">
        <f t="shared" si="256"/>
        <v>345</v>
      </c>
      <c r="D563" s="11">
        <f t="shared" si="257"/>
        <v>473</v>
      </c>
      <c r="E563" s="34">
        <f t="shared" si="253"/>
        <v>6.56913136874357e-6</v>
      </c>
      <c r="F563" s="35">
        <f t="shared" si="258"/>
        <v>0.000971366938832276</v>
      </c>
      <c r="G563" s="18">
        <f>(SUM($I$8:$I563)*(MAX(M$3-M$4,0))+(N563*MAX(M$4,0)))*(1-$AM$4)+(AM563*$AM$4)</f>
        <v>0.540080017990745</v>
      </c>
      <c r="H563" s="18">
        <f t="shared" si="247"/>
        <v>1.33333333333333</v>
      </c>
      <c r="I563" s="18">
        <f t="shared" si="259"/>
        <v>0.00902525252525251</v>
      </c>
      <c r="J563" s="18">
        <f t="shared" si="248"/>
        <v>0.664414986161277</v>
      </c>
      <c r="K563" s="18">
        <f t="shared" si="249"/>
        <v>0.00262175792061502</v>
      </c>
      <c r="L563" s="18">
        <f t="shared" si="250"/>
        <v>0.0067689393939394</v>
      </c>
      <c r="M563" s="18">
        <v>0.7157</v>
      </c>
      <c r="N563" s="18">
        <f t="shared" si="254"/>
        <v>0.7157</v>
      </c>
      <c r="O563" s="11">
        <v>0</v>
      </c>
      <c r="P563" s="11">
        <v>0</v>
      </c>
      <c r="Q563" s="11">
        <f t="shared" si="260"/>
        <v>1</v>
      </c>
      <c r="R563" s="11">
        <v>0</v>
      </c>
      <c r="S563" s="11">
        <f t="shared" si="251"/>
        <v>0</v>
      </c>
      <c r="T563" s="11">
        <v>0</v>
      </c>
      <c r="U563" s="11">
        <f t="shared" si="261"/>
        <v>1</v>
      </c>
      <c r="V563" s="11">
        <v>0</v>
      </c>
      <c r="W563" s="11">
        <f t="shared" si="262"/>
        <v>1</v>
      </c>
      <c r="X563" s="11">
        <f t="shared" si="252"/>
        <v>0</v>
      </c>
      <c r="Y563" s="19">
        <v>2.75</v>
      </c>
      <c r="Z563" s="11">
        <v>21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1">
        <v>0</v>
      </c>
      <c r="AG563" s="11">
        <v>0</v>
      </c>
      <c r="AH563" s="11">
        <v>0</v>
      </c>
      <c r="AI563" s="45">
        <v>0</v>
      </c>
      <c r="AJ563" s="45">
        <v>0</v>
      </c>
      <c r="AK563" s="45">
        <f t="shared" si="263"/>
        <v>0.3611</v>
      </c>
      <c r="AL563" s="45">
        <f t="shared" si="264"/>
        <v>0.00348095238095238</v>
      </c>
      <c r="AM563" s="45">
        <f t="shared" si="265"/>
        <v>0.0012569719047619</v>
      </c>
      <c r="AN563" s="45">
        <f t="shared" si="266"/>
        <v>0.792187500000004</v>
      </c>
      <c r="AO563" s="45">
        <f t="shared" si="267"/>
        <v>0.792187500000004</v>
      </c>
      <c r="AP563" s="45">
        <f t="shared" si="268"/>
        <v>1.05625000000001</v>
      </c>
      <c r="AQ563" s="45">
        <f t="shared" si="269"/>
        <v>0</v>
      </c>
      <c r="AR563" s="45">
        <f t="shared" si="270"/>
        <v>0</v>
      </c>
      <c r="AS563" s="19">
        <f t="shared" si="271"/>
        <v>1.07916666666667</v>
      </c>
      <c r="AT563" s="19">
        <f t="shared" si="272"/>
        <v>1.03333333333334</v>
      </c>
      <c r="AU563" s="46">
        <v>0</v>
      </c>
      <c r="AV563" s="46">
        <v>0</v>
      </c>
      <c r="AW563" s="46">
        <v>0</v>
      </c>
      <c r="AX563" s="46">
        <v>1</v>
      </c>
      <c r="AY563" s="47">
        <v>0</v>
      </c>
      <c r="AZ563" s="47">
        <v>-1</v>
      </c>
    </row>
    <row r="564" hidden="1" customHeight="1" spans="1:52">
      <c r="A564" s="44">
        <v>45889</v>
      </c>
      <c r="B564" s="33">
        <f t="shared" si="255"/>
        <v>127</v>
      </c>
      <c r="C564" s="33">
        <f t="shared" si="256"/>
        <v>338</v>
      </c>
      <c r="D564" s="11">
        <f t="shared" si="257"/>
        <v>465</v>
      </c>
      <c r="E564" s="34">
        <f t="shared" si="253"/>
        <v>6.68189385879614e-6</v>
      </c>
      <c r="F564" s="35">
        <f t="shared" si="258"/>
        <v>0.000978048832691072</v>
      </c>
      <c r="G564" s="18">
        <f>(SUM($I$8:$I564)*(MAX(M$3-M$4,0))+(N564*MAX(M$4,0)))*(1-$AM$4)+(AM564*$AM$4)</f>
        <v>0.544773199808927</v>
      </c>
      <c r="H564" s="18">
        <f t="shared" si="247"/>
        <v>1.33333333333333</v>
      </c>
      <c r="I564" s="18">
        <f t="shared" si="259"/>
        <v>0.011030303030303</v>
      </c>
      <c r="J564" s="18">
        <f t="shared" si="248"/>
        <v>0.668985401560693</v>
      </c>
      <c r="K564" s="18">
        <f t="shared" si="249"/>
        <v>0.00260641416093942</v>
      </c>
      <c r="L564" s="18">
        <f t="shared" si="250"/>
        <v>0.00827272727272728</v>
      </c>
      <c r="M564" s="18">
        <v>0.7227</v>
      </c>
      <c r="N564" s="18">
        <f t="shared" si="254"/>
        <v>0.7227</v>
      </c>
      <c r="O564" s="11">
        <v>0</v>
      </c>
      <c r="P564" s="11">
        <v>0</v>
      </c>
      <c r="Q564" s="11">
        <f t="shared" si="260"/>
        <v>1</v>
      </c>
      <c r="R564" s="11">
        <v>0</v>
      </c>
      <c r="S564" s="11">
        <f t="shared" si="251"/>
        <v>0</v>
      </c>
      <c r="T564" s="11">
        <v>0</v>
      </c>
      <c r="U564" s="11">
        <f t="shared" si="261"/>
        <v>1</v>
      </c>
      <c r="V564" s="11">
        <v>0</v>
      </c>
      <c r="W564" s="11">
        <f t="shared" si="262"/>
        <v>1</v>
      </c>
      <c r="X564" s="11">
        <f t="shared" si="252"/>
        <v>0</v>
      </c>
      <c r="Y564" s="19">
        <v>4.56</v>
      </c>
      <c r="Z564" s="11">
        <v>24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1">
        <v>0</v>
      </c>
      <c r="AG564" s="11">
        <v>0</v>
      </c>
      <c r="AH564" s="11">
        <v>0</v>
      </c>
      <c r="AI564" s="45">
        <v>0</v>
      </c>
      <c r="AJ564" s="45">
        <v>0</v>
      </c>
      <c r="AK564" s="45">
        <f t="shared" si="263"/>
        <v>0.3611</v>
      </c>
      <c r="AL564" s="45">
        <f t="shared" si="264"/>
        <v>0.00348095238095238</v>
      </c>
      <c r="AM564" s="45">
        <f t="shared" si="265"/>
        <v>0.0012569719047619</v>
      </c>
      <c r="AN564" s="45">
        <f t="shared" si="266"/>
        <v>0.792187500000004</v>
      </c>
      <c r="AO564" s="45">
        <f t="shared" si="267"/>
        <v>0.792187500000004</v>
      </c>
      <c r="AP564" s="45">
        <f t="shared" si="268"/>
        <v>1.05625000000001</v>
      </c>
      <c r="AQ564" s="45">
        <f t="shared" si="269"/>
        <v>0</v>
      </c>
      <c r="AR564" s="45">
        <f t="shared" si="270"/>
        <v>0</v>
      </c>
      <c r="AS564" s="19">
        <f t="shared" si="271"/>
        <v>1.07916666666667</v>
      </c>
      <c r="AT564" s="19">
        <f t="shared" si="272"/>
        <v>1.03333333333334</v>
      </c>
      <c r="AU564" s="46">
        <v>0</v>
      </c>
      <c r="AV564" s="46">
        <v>0</v>
      </c>
      <c r="AW564" s="46">
        <v>0</v>
      </c>
      <c r="AX564" s="46">
        <v>1</v>
      </c>
      <c r="AY564" s="47">
        <v>0</v>
      </c>
      <c r="AZ564" s="47">
        <v>-1</v>
      </c>
    </row>
    <row r="565" hidden="1" customHeight="1" spans="1:52">
      <c r="A565" s="44">
        <v>45890</v>
      </c>
      <c r="B565" s="33">
        <f t="shared" si="255"/>
        <v>126</v>
      </c>
      <c r="C565" s="33">
        <f t="shared" si="256"/>
        <v>329</v>
      </c>
      <c r="D565" s="11">
        <f t="shared" si="257"/>
        <v>455</v>
      </c>
      <c r="E565" s="34">
        <f t="shared" si="253"/>
        <v>8.72430696867562e-6</v>
      </c>
      <c r="F565" s="35">
        <f t="shared" si="258"/>
        <v>0.000986773139659748</v>
      </c>
      <c r="G565" s="18">
        <f>(SUM($I$8:$I565)*(MAX(M$3-M$4,0))+(N565*MAX(M$4,0)))*(1-$AM$4)+(AM565*$AM$4)</f>
        <v>0.550619411930139</v>
      </c>
      <c r="H565" s="18">
        <f t="shared" si="247"/>
        <v>1.33333333333333</v>
      </c>
      <c r="I565" s="18">
        <f t="shared" si="259"/>
        <v>0.013979797979798</v>
      </c>
      <c r="J565" s="18">
        <f t="shared" si="248"/>
        <v>0.674952827527267</v>
      </c>
      <c r="K565" s="18">
        <f t="shared" si="249"/>
        <v>0.00257973946406931</v>
      </c>
      <c r="L565" s="18">
        <f t="shared" si="250"/>
        <v>0.0104848484848485</v>
      </c>
      <c r="M565" s="18">
        <v>0.7313</v>
      </c>
      <c r="N565" s="18">
        <f t="shared" si="254"/>
        <v>0.7313</v>
      </c>
      <c r="O565" s="11">
        <v>0</v>
      </c>
      <c r="P565" s="11">
        <v>0</v>
      </c>
      <c r="Q565" s="11">
        <f t="shared" si="260"/>
        <v>1</v>
      </c>
      <c r="R565" s="11">
        <v>0</v>
      </c>
      <c r="S565" s="11">
        <f t="shared" si="251"/>
        <v>0</v>
      </c>
      <c r="T565" s="11">
        <v>0</v>
      </c>
      <c r="U565" s="11">
        <f t="shared" si="261"/>
        <v>1</v>
      </c>
      <c r="V565" s="11">
        <v>0</v>
      </c>
      <c r="W565" s="11">
        <f t="shared" si="262"/>
        <v>1</v>
      </c>
      <c r="X565" s="11">
        <f t="shared" si="252"/>
        <v>0</v>
      </c>
      <c r="Y565" s="19">
        <v>6.08</v>
      </c>
      <c r="Z565" s="11">
        <v>30</v>
      </c>
      <c r="AA565" s="11">
        <v>0</v>
      </c>
      <c r="AB565" s="11">
        <v>0</v>
      </c>
      <c r="AC565" s="11">
        <v>0</v>
      </c>
      <c r="AD565" s="11">
        <v>0</v>
      </c>
      <c r="AE565" s="11">
        <v>0</v>
      </c>
      <c r="AF565" s="11">
        <v>0</v>
      </c>
      <c r="AG565" s="11">
        <v>0</v>
      </c>
      <c r="AH565" s="11">
        <v>0</v>
      </c>
      <c r="AI565" s="45">
        <v>0</v>
      </c>
      <c r="AJ565" s="45">
        <v>0</v>
      </c>
      <c r="AK565" s="45">
        <f t="shared" si="263"/>
        <v>0.3611</v>
      </c>
      <c r="AL565" s="45">
        <f t="shared" si="264"/>
        <v>0.00348095238095238</v>
      </c>
      <c r="AM565" s="45">
        <f t="shared" si="265"/>
        <v>0.0012569719047619</v>
      </c>
      <c r="AN565" s="45">
        <f t="shared" si="266"/>
        <v>0.792187500000004</v>
      </c>
      <c r="AO565" s="45">
        <f t="shared" si="267"/>
        <v>0.792187500000004</v>
      </c>
      <c r="AP565" s="45">
        <f t="shared" si="268"/>
        <v>1.05625000000001</v>
      </c>
      <c r="AQ565" s="45">
        <f t="shared" si="269"/>
        <v>0</v>
      </c>
      <c r="AR565" s="45">
        <f t="shared" si="270"/>
        <v>0</v>
      </c>
      <c r="AS565" s="19">
        <f t="shared" si="271"/>
        <v>1.07916666666667</v>
      </c>
      <c r="AT565" s="19">
        <f t="shared" si="272"/>
        <v>1.03333333333334</v>
      </c>
      <c r="AU565" s="46">
        <v>0</v>
      </c>
      <c r="AV565" s="46">
        <v>0</v>
      </c>
      <c r="AW565" s="46">
        <v>0</v>
      </c>
      <c r="AX565" s="46">
        <v>1</v>
      </c>
      <c r="AY565" s="47">
        <v>0</v>
      </c>
      <c r="AZ565" s="47">
        <v>-1</v>
      </c>
    </row>
    <row r="566" hidden="1" customHeight="1" spans="1:52">
      <c r="A566" s="44">
        <v>45891</v>
      </c>
      <c r="B566" s="33">
        <f t="shared" si="255"/>
        <v>125</v>
      </c>
      <c r="C566" s="33">
        <f t="shared" si="256"/>
        <v>320</v>
      </c>
      <c r="D566" s="11">
        <f t="shared" si="257"/>
        <v>445</v>
      </c>
      <c r="E566" s="34">
        <f t="shared" si="253"/>
        <v>8.81777451028506e-6</v>
      </c>
      <c r="F566" s="35">
        <f t="shared" si="258"/>
        <v>0.000995590914170033</v>
      </c>
      <c r="G566" s="18">
        <f>(SUM($I$8:$I566)*(MAX(M$3-M$4,0))+(N566*MAX(M$4,0)))*(1-$AM$4)+(AM566*$AM$4)</f>
        <v>0.556535321021048</v>
      </c>
      <c r="H566" s="18">
        <f t="shared" si="247"/>
        <v>1.33333333333333</v>
      </c>
      <c r="I566" s="18">
        <f t="shared" si="259"/>
        <v>0.0141515151515151</v>
      </c>
      <c r="J566" s="18">
        <f t="shared" si="248"/>
        <v>0.680984185292303</v>
      </c>
      <c r="K566" s="18">
        <f t="shared" si="249"/>
        <v>0.00255212651766158</v>
      </c>
      <c r="L566" s="18">
        <f t="shared" si="250"/>
        <v>0.0106136363636364</v>
      </c>
      <c r="M566" s="18">
        <v>0.74</v>
      </c>
      <c r="N566" s="18">
        <f t="shared" si="254"/>
        <v>0.74</v>
      </c>
      <c r="O566" s="11">
        <v>0</v>
      </c>
      <c r="P566" s="11">
        <v>0</v>
      </c>
      <c r="Q566" s="11">
        <f t="shared" si="260"/>
        <v>1</v>
      </c>
      <c r="R566" s="11">
        <v>0</v>
      </c>
      <c r="S566" s="11">
        <f t="shared" si="251"/>
        <v>0</v>
      </c>
      <c r="T566" s="11">
        <v>0</v>
      </c>
      <c r="U566" s="11">
        <f t="shared" si="261"/>
        <v>1</v>
      </c>
      <c r="V566" s="11">
        <v>0</v>
      </c>
      <c r="W566" s="11">
        <f t="shared" si="262"/>
        <v>1</v>
      </c>
      <c r="X566" s="11">
        <f t="shared" si="252"/>
        <v>0</v>
      </c>
      <c r="Y566" s="19">
        <v>6.42</v>
      </c>
      <c r="Z566" s="11">
        <v>30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1">
        <v>0</v>
      </c>
      <c r="AG566" s="11">
        <v>0</v>
      </c>
      <c r="AH566" s="11">
        <v>0</v>
      </c>
      <c r="AI566" s="45">
        <v>0</v>
      </c>
      <c r="AJ566" s="45">
        <v>0</v>
      </c>
      <c r="AK566" s="45">
        <f t="shared" si="263"/>
        <v>0.3611</v>
      </c>
      <c r="AL566" s="45">
        <f t="shared" si="264"/>
        <v>0.00348095238095238</v>
      </c>
      <c r="AM566" s="45">
        <f t="shared" si="265"/>
        <v>0.0012569719047619</v>
      </c>
      <c r="AN566" s="45">
        <f t="shared" si="266"/>
        <v>0.792187500000004</v>
      </c>
      <c r="AO566" s="45">
        <f t="shared" si="267"/>
        <v>0.792187500000004</v>
      </c>
      <c r="AP566" s="45">
        <f t="shared" si="268"/>
        <v>1.05625000000001</v>
      </c>
      <c r="AQ566" s="45">
        <f t="shared" si="269"/>
        <v>0</v>
      </c>
      <c r="AR566" s="45">
        <f t="shared" si="270"/>
        <v>0</v>
      </c>
      <c r="AS566" s="19">
        <f t="shared" si="271"/>
        <v>1.07916666666667</v>
      </c>
      <c r="AT566" s="19">
        <f t="shared" si="272"/>
        <v>1.03333333333334</v>
      </c>
      <c r="AU566" s="46">
        <v>0</v>
      </c>
      <c r="AV566" s="46">
        <v>0</v>
      </c>
      <c r="AW566" s="46">
        <v>0</v>
      </c>
      <c r="AX566" s="46">
        <v>1</v>
      </c>
      <c r="AY566" s="47">
        <v>0</v>
      </c>
      <c r="AZ566" s="47">
        <v>-1</v>
      </c>
    </row>
    <row r="567" hidden="1" customHeight="1" spans="1:52">
      <c r="A567" s="44">
        <v>45892</v>
      </c>
      <c r="B567" s="33">
        <f t="shared" si="255"/>
        <v>124</v>
      </c>
      <c r="C567" s="33">
        <f t="shared" si="256"/>
        <v>312</v>
      </c>
      <c r="D567" s="11">
        <f t="shared" si="257"/>
        <v>436</v>
      </c>
      <c r="E567" s="34">
        <f t="shared" si="253"/>
        <v>8.53262986106012e-6</v>
      </c>
      <c r="F567" s="35">
        <f t="shared" si="258"/>
        <v>0.00100412354403109</v>
      </c>
      <c r="G567" s="18">
        <f>(SUM($I$8:$I567)*(MAX(M$3-M$4,0))+(N567*MAX(M$4,0)))*(1-$AM$4)+(AM567*$AM$4)</f>
        <v>0.562309184657412</v>
      </c>
      <c r="H567" s="18">
        <f t="shared" si="247"/>
        <v>1.33333333333333</v>
      </c>
      <c r="I567" s="18">
        <f t="shared" si="259"/>
        <v>0.0133939393939394</v>
      </c>
      <c r="J567" s="18">
        <f t="shared" si="248"/>
        <v>0.686820504117268</v>
      </c>
      <c r="K567" s="18">
        <f t="shared" si="249"/>
        <v>0.00252564109582849</v>
      </c>
      <c r="L567" s="18">
        <f t="shared" si="250"/>
        <v>0.0100454545454546</v>
      </c>
      <c r="M567" s="18">
        <v>0.7487</v>
      </c>
      <c r="N567" s="18">
        <f t="shared" si="254"/>
        <v>0.7487</v>
      </c>
      <c r="O567" s="11">
        <v>0</v>
      </c>
      <c r="P567" s="11">
        <v>0</v>
      </c>
      <c r="Q567" s="11">
        <f t="shared" si="260"/>
        <v>1</v>
      </c>
      <c r="R567" s="11">
        <v>0</v>
      </c>
      <c r="S567" s="11">
        <f t="shared" si="251"/>
        <v>0</v>
      </c>
      <c r="T567" s="11">
        <v>0</v>
      </c>
      <c r="U567" s="11">
        <f t="shared" si="261"/>
        <v>1</v>
      </c>
      <c r="V567" s="11">
        <v>0</v>
      </c>
      <c r="W567" s="11">
        <f t="shared" si="262"/>
        <v>1</v>
      </c>
      <c r="X567" s="11">
        <f t="shared" si="252"/>
        <v>0</v>
      </c>
      <c r="Y567" s="19">
        <v>4.92</v>
      </c>
      <c r="Z567" s="11">
        <v>30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1">
        <v>0</v>
      </c>
      <c r="AG567" s="11">
        <v>0</v>
      </c>
      <c r="AH567" s="11">
        <v>0</v>
      </c>
      <c r="AI567" s="45">
        <v>0</v>
      </c>
      <c r="AJ567" s="45">
        <v>0</v>
      </c>
      <c r="AK567" s="45">
        <f t="shared" si="263"/>
        <v>0.3611</v>
      </c>
      <c r="AL567" s="45">
        <f t="shared" si="264"/>
        <v>0.00348095238095238</v>
      </c>
      <c r="AM567" s="45">
        <f t="shared" si="265"/>
        <v>0.0012569719047619</v>
      </c>
      <c r="AN567" s="45">
        <f t="shared" si="266"/>
        <v>0.792187500000004</v>
      </c>
      <c r="AO567" s="45">
        <f t="shared" si="267"/>
        <v>0.792187500000004</v>
      </c>
      <c r="AP567" s="45">
        <f t="shared" si="268"/>
        <v>1.05625000000001</v>
      </c>
      <c r="AQ567" s="45">
        <f t="shared" si="269"/>
        <v>0</v>
      </c>
      <c r="AR567" s="45">
        <f t="shared" si="270"/>
        <v>0</v>
      </c>
      <c r="AS567" s="19">
        <f t="shared" si="271"/>
        <v>1.07916666666667</v>
      </c>
      <c r="AT567" s="19">
        <f t="shared" si="272"/>
        <v>1.03333333333334</v>
      </c>
      <c r="AU567" s="46">
        <v>0</v>
      </c>
      <c r="AV567" s="46">
        <v>0</v>
      </c>
      <c r="AW567" s="46">
        <v>0</v>
      </c>
      <c r="AX567" s="46">
        <v>1</v>
      </c>
      <c r="AY567" s="47">
        <v>0</v>
      </c>
      <c r="AZ567" s="47">
        <v>-1</v>
      </c>
    </row>
    <row r="568" hidden="1" customHeight="1" spans="1:52">
      <c r="A568" s="44">
        <v>45893</v>
      </c>
      <c r="B568" s="33">
        <f t="shared" si="255"/>
        <v>123</v>
      </c>
      <c r="C568" s="33">
        <f t="shared" si="256"/>
        <v>304</v>
      </c>
      <c r="D568" s="11">
        <f t="shared" si="257"/>
        <v>427</v>
      </c>
      <c r="E568" s="34">
        <f t="shared" si="253"/>
        <v>8.19161794668477e-6</v>
      </c>
      <c r="F568" s="35">
        <f t="shared" si="258"/>
        <v>0.00101231516197778</v>
      </c>
      <c r="G568" s="18">
        <f>(SUM($I$8:$I568)*(MAX(M$3-M$4,0))+(N568*MAX(M$4,0)))*(1-$AM$4)+(AM568*$AM$4)</f>
        <v>0.567908805869533</v>
      </c>
      <c r="H568" s="18">
        <f t="shared" si="247"/>
        <v>1.33333333333333</v>
      </c>
      <c r="I568" s="18">
        <f t="shared" si="259"/>
        <v>0.0124646464646464</v>
      </c>
      <c r="J568" s="18">
        <f t="shared" si="248"/>
        <v>0.6924235707928</v>
      </c>
      <c r="K568" s="18">
        <f t="shared" si="249"/>
        <v>0.00250062137566829</v>
      </c>
      <c r="L568" s="18">
        <f t="shared" si="250"/>
        <v>0.00934848484848486</v>
      </c>
      <c r="M568" s="18">
        <v>0.7574</v>
      </c>
      <c r="N568" s="18">
        <f t="shared" si="254"/>
        <v>0.7574</v>
      </c>
      <c r="O568" s="11">
        <v>0</v>
      </c>
      <c r="P568" s="11">
        <v>0</v>
      </c>
      <c r="Q568" s="11">
        <f t="shared" si="260"/>
        <v>1</v>
      </c>
      <c r="R568" s="11">
        <v>0</v>
      </c>
      <c r="S568" s="11">
        <f t="shared" si="251"/>
        <v>0</v>
      </c>
      <c r="T568" s="11">
        <v>0</v>
      </c>
      <c r="U568" s="11">
        <f t="shared" si="261"/>
        <v>1</v>
      </c>
      <c r="V568" s="11">
        <v>0</v>
      </c>
      <c r="W568" s="11">
        <f t="shared" si="262"/>
        <v>1</v>
      </c>
      <c r="X568" s="11">
        <f t="shared" si="252"/>
        <v>0</v>
      </c>
      <c r="Y568" s="19">
        <v>3.08</v>
      </c>
      <c r="Z568" s="11">
        <v>30</v>
      </c>
      <c r="AA568" s="11">
        <v>0</v>
      </c>
      <c r="AB568" s="11">
        <v>0</v>
      </c>
      <c r="AC568" s="11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45">
        <v>0</v>
      </c>
      <c r="AJ568" s="45">
        <v>0</v>
      </c>
      <c r="AK568" s="45">
        <f t="shared" si="263"/>
        <v>0.3611</v>
      </c>
      <c r="AL568" s="45">
        <f t="shared" si="264"/>
        <v>0.00348095238095238</v>
      </c>
      <c r="AM568" s="45">
        <f t="shared" si="265"/>
        <v>0.0012569719047619</v>
      </c>
      <c r="AN568" s="45">
        <f t="shared" si="266"/>
        <v>0.792187500000004</v>
      </c>
      <c r="AO568" s="45">
        <f t="shared" si="267"/>
        <v>0.792187500000004</v>
      </c>
      <c r="AP568" s="45">
        <f t="shared" si="268"/>
        <v>1.05625000000001</v>
      </c>
      <c r="AQ568" s="45">
        <f t="shared" si="269"/>
        <v>0</v>
      </c>
      <c r="AR568" s="45">
        <f t="shared" si="270"/>
        <v>0</v>
      </c>
      <c r="AS568" s="19">
        <f t="shared" si="271"/>
        <v>1.07916666666667</v>
      </c>
      <c r="AT568" s="19">
        <f t="shared" si="272"/>
        <v>1.03333333333334</v>
      </c>
      <c r="AU568" s="46">
        <v>0</v>
      </c>
      <c r="AV568" s="46">
        <v>0</v>
      </c>
      <c r="AW568" s="46">
        <v>0</v>
      </c>
      <c r="AX568" s="46">
        <v>1</v>
      </c>
      <c r="AY568" s="47">
        <v>0</v>
      </c>
      <c r="AZ568" s="47">
        <v>-1</v>
      </c>
    </row>
    <row r="569" hidden="1" customHeight="1" spans="1:52">
      <c r="A569" s="44">
        <v>45894</v>
      </c>
      <c r="B569" s="33">
        <f t="shared" si="255"/>
        <v>122</v>
      </c>
      <c r="C569" s="33">
        <f t="shared" si="256"/>
        <v>294</v>
      </c>
      <c r="D569" s="11">
        <f t="shared" si="257"/>
        <v>416</v>
      </c>
      <c r="E569" s="34">
        <f t="shared" si="253"/>
        <v>1.00719076703728e-5</v>
      </c>
      <c r="F569" s="35">
        <f t="shared" si="258"/>
        <v>0.00102238706964815</v>
      </c>
      <c r="G569" s="18">
        <f>(SUM($I$8:$I569)*(MAX(M$3-M$4,0))+(N569*MAX(M$4,0)))*(1-$AM$4)+(AM569*$AM$4)</f>
        <v>0.574581533142261</v>
      </c>
      <c r="H569" s="18">
        <f t="shared" si="247"/>
        <v>1.33333333333333</v>
      </c>
      <c r="I569" s="18">
        <f t="shared" si="259"/>
        <v>0.0147878787878788</v>
      </c>
      <c r="J569" s="18">
        <f t="shared" si="248"/>
        <v>0.699312755639335</v>
      </c>
      <c r="K569" s="18">
        <f t="shared" si="249"/>
        <v>0.00246464954393988</v>
      </c>
      <c r="L569" s="18">
        <f t="shared" si="250"/>
        <v>0.0110909090909091</v>
      </c>
      <c r="M569" s="18">
        <v>0.7678</v>
      </c>
      <c r="N569" s="18">
        <f t="shared" si="254"/>
        <v>0.7678</v>
      </c>
      <c r="O569" s="11">
        <v>0</v>
      </c>
      <c r="P569" s="11">
        <v>0</v>
      </c>
      <c r="Q569" s="11">
        <f t="shared" si="260"/>
        <v>1</v>
      </c>
      <c r="R569" s="11">
        <v>0</v>
      </c>
      <c r="S569" s="11">
        <f t="shared" si="251"/>
        <v>0</v>
      </c>
      <c r="T569" s="11">
        <v>0</v>
      </c>
      <c r="U569" s="11">
        <f t="shared" si="261"/>
        <v>1</v>
      </c>
      <c r="V569" s="11">
        <v>0</v>
      </c>
      <c r="W569" s="11">
        <f t="shared" si="262"/>
        <v>1</v>
      </c>
      <c r="X569" s="11">
        <f t="shared" si="252"/>
        <v>0</v>
      </c>
      <c r="Y569" s="19">
        <v>4.08</v>
      </c>
      <c r="Z569" s="11">
        <v>35</v>
      </c>
      <c r="AA569" s="11">
        <v>0</v>
      </c>
      <c r="AB569" s="11">
        <v>0</v>
      </c>
      <c r="AC569" s="11">
        <v>0</v>
      </c>
      <c r="AD569" s="11">
        <v>0</v>
      </c>
      <c r="AE569" s="11">
        <v>0</v>
      </c>
      <c r="AF569" s="11">
        <v>0</v>
      </c>
      <c r="AG569" s="11">
        <v>0</v>
      </c>
      <c r="AH569" s="11">
        <v>0</v>
      </c>
      <c r="AI569" s="45">
        <v>0</v>
      </c>
      <c r="AJ569" s="45">
        <v>0</v>
      </c>
      <c r="AK569" s="45">
        <f t="shared" si="263"/>
        <v>0.3611</v>
      </c>
      <c r="AL569" s="45">
        <f t="shared" si="264"/>
        <v>0.00348095238095238</v>
      </c>
      <c r="AM569" s="45">
        <f t="shared" si="265"/>
        <v>0.0012569719047619</v>
      </c>
      <c r="AN569" s="45">
        <f t="shared" si="266"/>
        <v>0.792187500000004</v>
      </c>
      <c r="AO569" s="45">
        <f t="shared" si="267"/>
        <v>0.792187500000004</v>
      </c>
      <c r="AP569" s="45">
        <f t="shared" si="268"/>
        <v>1.05625000000001</v>
      </c>
      <c r="AQ569" s="45">
        <f t="shared" si="269"/>
        <v>0</v>
      </c>
      <c r="AR569" s="45">
        <f t="shared" si="270"/>
        <v>0</v>
      </c>
      <c r="AS569" s="19">
        <f t="shared" si="271"/>
        <v>1.07916666666667</v>
      </c>
      <c r="AT569" s="19">
        <f t="shared" si="272"/>
        <v>1.03333333333334</v>
      </c>
      <c r="AU569" s="46">
        <v>0</v>
      </c>
      <c r="AV569" s="46">
        <v>0</v>
      </c>
      <c r="AW569" s="46">
        <v>0</v>
      </c>
      <c r="AX569" s="46">
        <v>1</v>
      </c>
      <c r="AY569" s="47">
        <v>0</v>
      </c>
      <c r="AZ569" s="47">
        <v>-1</v>
      </c>
    </row>
    <row r="570" hidden="1" customHeight="1" spans="1:52">
      <c r="A570" s="44">
        <v>45895</v>
      </c>
      <c r="B570" s="33">
        <f t="shared" si="255"/>
        <v>121</v>
      </c>
      <c r="C570" s="33">
        <f t="shared" si="256"/>
        <v>289</v>
      </c>
      <c r="D570" s="11">
        <f t="shared" si="257"/>
        <v>410</v>
      </c>
      <c r="E570" s="34">
        <f t="shared" si="253"/>
        <v>5.09472935581075e-6</v>
      </c>
      <c r="F570" s="35">
        <f t="shared" si="258"/>
        <v>0.00102748179900396</v>
      </c>
      <c r="G570" s="18">
        <f>(SUM($I$8:$I570)*(MAX(M$3-M$4,0))+(N570*MAX(M$4,0)))*(1-$AM$4)+(AM570*$AM$4)</f>
        <v>0.57847225283923</v>
      </c>
      <c r="H570" s="18">
        <f t="shared" si="247"/>
        <v>1.33333333333333</v>
      </c>
      <c r="I570" s="18">
        <f t="shared" si="259"/>
        <v>0.00855050505050504</v>
      </c>
      <c r="J570" s="18">
        <f t="shared" si="248"/>
        <v>0.70279755051871</v>
      </c>
      <c r="K570" s="18">
        <f t="shared" si="249"/>
        <v>0.00245621859075447</v>
      </c>
      <c r="L570" s="18">
        <f t="shared" si="250"/>
        <v>0.0064128787878788</v>
      </c>
      <c r="M570" s="18">
        <v>0.7739</v>
      </c>
      <c r="N570" s="18">
        <f t="shared" si="254"/>
        <v>0.7739</v>
      </c>
      <c r="O570" s="11">
        <v>0</v>
      </c>
      <c r="P570" s="11">
        <v>0</v>
      </c>
      <c r="Q570" s="11">
        <f t="shared" si="260"/>
        <v>1</v>
      </c>
      <c r="R570" s="11">
        <v>0</v>
      </c>
      <c r="S570" s="11">
        <f t="shared" si="251"/>
        <v>0</v>
      </c>
      <c r="T570" s="11">
        <v>0</v>
      </c>
      <c r="U570" s="11">
        <f t="shared" si="261"/>
        <v>1</v>
      </c>
      <c r="V570" s="11">
        <v>0</v>
      </c>
      <c r="W570" s="11">
        <f t="shared" si="262"/>
        <v>1</v>
      </c>
      <c r="X570" s="11">
        <f t="shared" si="252"/>
        <v>0</v>
      </c>
      <c r="Y570" s="19">
        <v>3.25</v>
      </c>
      <c r="Z570" s="11">
        <v>19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45">
        <v>0</v>
      </c>
      <c r="AJ570" s="45">
        <v>0</v>
      </c>
      <c r="AK570" s="45">
        <f t="shared" si="263"/>
        <v>0.3611</v>
      </c>
      <c r="AL570" s="45">
        <f t="shared" si="264"/>
        <v>0.00348095238095238</v>
      </c>
      <c r="AM570" s="45">
        <f t="shared" si="265"/>
        <v>0.0012569719047619</v>
      </c>
      <c r="AN570" s="45">
        <f t="shared" si="266"/>
        <v>0.792187500000004</v>
      </c>
      <c r="AO570" s="45">
        <f t="shared" si="267"/>
        <v>0.792187500000004</v>
      </c>
      <c r="AP570" s="45">
        <f t="shared" si="268"/>
        <v>1.05625000000001</v>
      </c>
      <c r="AQ570" s="45">
        <f t="shared" si="269"/>
        <v>0</v>
      </c>
      <c r="AR570" s="45">
        <f t="shared" si="270"/>
        <v>0</v>
      </c>
      <c r="AS570" s="19">
        <f t="shared" si="271"/>
        <v>1.07916666666667</v>
      </c>
      <c r="AT570" s="19">
        <f t="shared" si="272"/>
        <v>1.03333333333334</v>
      </c>
      <c r="AU570" s="46">
        <v>0</v>
      </c>
      <c r="AV570" s="46">
        <v>0</v>
      </c>
      <c r="AW570" s="46">
        <v>0</v>
      </c>
      <c r="AX570" s="46">
        <v>1</v>
      </c>
      <c r="AY570" s="47">
        <v>0</v>
      </c>
      <c r="AZ570" s="47">
        <v>-1</v>
      </c>
    </row>
    <row r="571" hidden="1" customHeight="1" spans="1:52">
      <c r="A571" s="44">
        <v>45896</v>
      </c>
      <c r="B571" s="33">
        <f t="shared" si="255"/>
        <v>120</v>
      </c>
      <c r="C571" s="33">
        <f t="shared" si="256"/>
        <v>288</v>
      </c>
      <c r="D571" s="11">
        <f t="shared" si="257"/>
        <v>408</v>
      </c>
      <c r="E571" s="34">
        <f t="shared" si="253"/>
        <v>1.34654258719495e-6</v>
      </c>
      <c r="F571" s="35">
        <f t="shared" si="258"/>
        <v>0.00102882834159116</v>
      </c>
      <c r="G571" s="18">
        <f>(SUM($I$8:$I571)*(MAX(M$3-M$4,0))+(N571*MAX(M$4,0)))*(1-$AM$4)+(AM571*$AM$4)</f>
        <v>0.580259184657412</v>
      </c>
      <c r="H571" s="18">
        <f t="shared" si="247"/>
        <v>1.33333333333333</v>
      </c>
      <c r="I571" s="18">
        <f t="shared" si="259"/>
        <v>0.00953030303030302</v>
      </c>
      <c r="J571" s="18">
        <f t="shared" si="248"/>
        <v>0.703718585648351</v>
      </c>
      <c r="K571" s="18">
        <f t="shared" si="249"/>
        <v>0.00246901178626374</v>
      </c>
      <c r="L571" s="18">
        <f t="shared" si="250"/>
        <v>0.00714772727272729</v>
      </c>
      <c r="M571" s="18">
        <v>0</v>
      </c>
      <c r="N571" s="18">
        <f t="shared" si="254"/>
        <v>0.7739</v>
      </c>
      <c r="O571" s="11">
        <v>23</v>
      </c>
      <c r="P571" s="11">
        <v>23</v>
      </c>
      <c r="Q571" s="11">
        <f t="shared" si="260"/>
        <v>1.5</v>
      </c>
      <c r="R571" s="11">
        <v>7200</v>
      </c>
      <c r="S571" s="11">
        <f t="shared" si="251"/>
        <v>0.383333333333333</v>
      </c>
      <c r="T571" s="11">
        <v>18</v>
      </c>
      <c r="U571" s="11">
        <f t="shared" si="261"/>
        <v>0.782608695652174</v>
      </c>
      <c r="V571" s="11">
        <v>0</v>
      </c>
      <c r="W571" s="11">
        <f t="shared" si="262"/>
        <v>1</v>
      </c>
      <c r="X571" s="11">
        <f t="shared" si="252"/>
        <v>10.35</v>
      </c>
      <c r="Y571" s="19">
        <v>2.25</v>
      </c>
      <c r="Z571" s="11">
        <v>2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1">
        <v>0</v>
      </c>
      <c r="AG571" s="11">
        <v>0</v>
      </c>
      <c r="AH571" s="11">
        <v>0</v>
      </c>
      <c r="AI571" s="45">
        <v>0</v>
      </c>
      <c r="AJ571" s="45">
        <v>0</v>
      </c>
      <c r="AK571" s="45">
        <f t="shared" si="263"/>
        <v>0.3611</v>
      </c>
      <c r="AL571" s="45">
        <f t="shared" si="264"/>
        <v>0.00348095238095238</v>
      </c>
      <c r="AM571" s="45">
        <f t="shared" si="265"/>
        <v>0.0012569719047619</v>
      </c>
      <c r="AN571" s="45">
        <f t="shared" si="266"/>
        <v>0.792187500000004</v>
      </c>
      <c r="AO571" s="45">
        <f t="shared" si="267"/>
        <v>0.792187500000004</v>
      </c>
      <c r="AP571" s="45">
        <f t="shared" si="268"/>
        <v>1.05625000000001</v>
      </c>
      <c r="AQ571" s="45">
        <f t="shared" si="269"/>
        <v>0</v>
      </c>
      <c r="AR571" s="45">
        <f t="shared" si="270"/>
        <v>0</v>
      </c>
      <c r="AS571" s="19">
        <f t="shared" si="271"/>
        <v>1.07916666666667</v>
      </c>
      <c r="AT571" s="19">
        <f t="shared" si="272"/>
        <v>1.03333333333334</v>
      </c>
      <c r="AU571" s="46">
        <v>0</v>
      </c>
      <c r="AV571" s="46">
        <v>0</v>
      </c>
      <c r="AW571" s="46">
        <v>0</v>
      </c>
      <c r="AX571" s="46">
        <v>1</v>
      </c>
      <c r="AY571" s="47">
        <v>0</v>
      </c>
      <c r="AZ571" s="47">
        <v>-1</v>
      </c>
    </row>
    <row r="572" hidden="1" customHeight="1" spans="1:52">
      <c r="A572" s="44">
        <v>45897</v>
      </c>
      <c r="B572" s="33">
        <f t="shared" si="255"/>
        <v>119</v>
      </c>
      <c r="C572" s="33">
        <f t="shared" si="256"/>
        <v>290</v>
      </c>
      <c r="D572" s="11">
        <f t="shared" si="257"/>
        <v>409</v>
      </c>
      <c r="E572" s="34">
        <f t="shared" si="253"/>
        <v>-1.82093511786057e-6</v>
      </c>
      <c r="F572" s="35">
        <f t="shared" si="258"/>
        <v>0.0010270074064733</v>
      </c>
      <c r="G572" s="18">
        <f>(SUM($I$8:$I572)*(MAX(M$3-M$4,0))+(N572*MAX(M$4,0)))*(1-$AM$4)+(AM572*$AM$4)</f>
        <v>0.580259184657412</v>
      </c>
      <c r="H572" s="18">
        <f t="shared" si="247"/>
        <v>1.33333333333333</v>
      </c>
      <c r="I572" s="18">
        <f t="shared" si="259"/>
        <v>0</v>
      </c>
      <c r="J572" s="18">
        <f t="shared" si="248"/>
        <v>0.702473066027734</v>
      </c>
      <c r="K572" s="18">
        <f t="shared" si="249"/>
        <v>0.00250022633590139</v>
      </c>
      <c r="L572" s="18">
        <f t="shared" si="250"/>
        <v>0</v>
      </c>
      <c r="M572" s="18">
        <v>0</v>
      </c>
      <c r="N572" s="18">
        <f t="shared" si="254"/>
        <v>0.7739</v>
      </c>
      <c r="O572" s="11">
        <v>0</v>
      </c>
      <c r="P572" s="11">
        <v>0</v>
      </c>
      <c r="Q572" s="11">
        <f t="shared" si="260"/>
        <v>1</v>
      </c>
      <c r="R572" s="11">
        <v>0</v>
      </c>
      <c r="S572" s="11">
        <f t="shared" si="251"/>
        <v>0</v>
      </c>
      <c r="T572" s="11">
        <v>0</v>
      </c>
      <c r="U572" s="11">
        <f t="shared" si="261"/>
        <v>1</v>
      </c>
      <c r="V572" s="11">
        <v>0</v>
      </c>
      <c r="W572" s="11">
        <f t="shared" si="262"/>
        <v>1</v>
      </c>
      <c r="X572" s="11">
        <f t="shared" si="252"/>
        <v>0</v>
      </c>
      <c r="Y572" s="19">
        <v>0</v>
      </c>
      <c r="Z572" s="11">
        <v>0</v>
      </c>
      <c r="AA572" s="11">
        <v>0</v>
      </c>
      <c r="AB572" s="11">
        <v>0</v>
      </c>
      <c r="AC572" s="11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45">
        <v>0</v>
      </c>
      <c r="AJ572" s="45">
        <v>0</v>
      </c>
      <c r="AK572" s="45">
        <f t="shared" si="263"/>
        <v>0.3611</v>
      </c>
      <c r="AL572" s="45">
        <f t="shared" si="264"/>
        <v>0.00348095238095238</v>
      </c>
      <c r="AM572" s="45">
        <f t="shared" si="265"/>
        <v>0.0012569719047619</v>
      </c>
      <c r="AN572" s="45">
        <f t="shared" si="266"/>
        <v>0.792187500000004</v>
      </c>
      <c r="AO572" s="45">
        <f t="shared" si="267"/>
        <v>0.792187500000004</v>
      </c>
      <c r="AP572" s="45">
        <f t="shared" si="268"/>
        <v>1.05625000000001</v>
      </c>
      <c r="AQ572" s="45">
        <f t="shared" si="269"/>
        <v>0</v>
      </c>
      <c r="AR572" s="45">
        <f t="shared" si="270"/>
        <v>0</v>
      </c>
      <c r="AS572" s="19">
        <f t="shared" si="271"/>
        <v>1.07916666666667</v>
      </c>
      <c r="AT572" s="19">
        <f t="shared" si="272"/>
        <v>1.03333333333334</v>
      </c>
      <c r="AU572" s="46">
        <v>0</v>
      </c>
      <c r="AV572" s="46">
        <v>0</v>
      </c>
      <c r="AW572" s="46">
        <v>0</v>
      </c>
      <c r="AX572" s="46">
        <v>1</v>
      </c>
      <c r="AY572" s="47">
        <v>0</v>
      </c>
      <c r="AZ572" s="47">
        <v>-1</v>
      </c>
    </row>
    <row r="573" hidden="1" customHeight="1" spans="1:52">
      <c r="A573" s="44">
        <v>45898</v>
      </c>
      <c r="B573" s="33">
        <f t="shared" si="255"/>
        <v>118</v>
      </c>
      <c r="C573" s="33">
        <f t="shared" si="256"/>
        <v>291</v>
      </c>
      <c r="D573" s="11">
        <f t="shared" si="257"/>
        <v>409</v>
      </c>
      <c r="E573" s="34">
        <f t="shared" si="253"/>
        <v>-1.81450071815069e-6</v>
      </c>
      <c r="F573" s="35">
        <f t="shared" si="258"/>
        <v>0.00102519290575515</v>
      </c>
      <c r="G573" s="18">
        <f>(SUM($I$8:$I573)*(MAX(M$3-M$4,0))+(N573*MAX(M$4,0)))*(1-$AM$4)+(AM573*$AM$4)</f>
        <v>0.580259184657412</v>
      </c>
      <c r="H573" s="18">
        <f t="shared" si="247"/>
        <v>1.33333333333333</v>
      </c>
      <c r="I573" s="18">
        <f t="shared" si="259"/>
        <v>0</v>
      </c>
      <c r="J573" s="18">
        <f t="shared" si="248"/>
        <v>0.701231947536519</v>
      </c>
      <c r="K573" s="18">
        <f t="shared" si="249"/>
        <v>0.0025319326479956</v>
      </c>
      <c r="L573" s="18">
        <f t="shared" si="250"/>
        <v>0</v>
      </c>
      <c r="M573" s="18">
        <v>0</v>
      </c>
      <c r="N573" s="18">
        <f t="shared" si="254"/>
        <v>0.7739</v>
      </c>
      <c r="O573" s="11">
        <v>0</v>
      </c>
      <c r="P573" s="11">
        <v>0</v>
      </c>
      <c r="Q573" s="11">
        <f t="shared" si="260"/>
        <v>1</v>
      </c>
      <c r="R573" s="11">
        <v>0</v>
      </c>
      <c r="S573" s="11">
        <f t="shared" si="251"/>
        <v>0</v>
      </c>
      <c r="T573" s="11">
        <v>0</v>
      </c>
      <c r="U573" s="11">
        <f t="shared" si="261"/>
        <v>1</v>
      </c>
      <c r="V573" s="11">
        <v>0</v>
      </c>
      <c r="W573" s="11">
        <f t="shared" si="262"/>
        <v>1</v>
      </c>
      <c r="X573" s="11">
        <f t="shared" si="252"/>
        <v>0</v>
      </c>
      <c r="Y573" s="19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1">
        <v>0</v>
      </c>
      <c r="AG573" s="11">
        <v>0</v>
      </c>
      <c r="AH573" s="11">
        <v>0</v>
      </c>
      <c r="AI573" s="45">
        <v>0</v>
      </c>
      <c r="AJ573" s="45">
        <v>0</v>
      </c>
      <c r="AK573" s="45">
        <f t="shared" si="263"/>
        <v>0.3611</v>
      </c>
      <c r="AL573" s="45">
        <f t="shared" si="264"/>
        <v>0.00348095238095238</v>
      </c>
      <c r="AM573" s="45">
        <f t="shared" si="265"/>
        <v>0.0012569719047619</v>
      </c>
      <c r="AN573" s="45">
        <f t="shared" si="266"/>
        <v>0.792187500000004</v>
      </c>
      <c r="AO573" s="45">
        <f t="shared" si="267"/>
        <v>0.792187500000004</v>
      </c>
      <c r="AP573" s="45">
        <f t="shared" si="268"/>
        <v>1.05625000000001</v>
      </c>
      <c r="AQ573" s="45">
        <f t="shared" si="269"/>
        <v>0</v>
      </c>
      <c r="AR573" s="45">
        <f t="shared" si="270"/>
        <v>0</v>
      </c>
      <c r="AS573" s="19">
        <f t="shared" si="271"/>
        <v>1.07916666666667</v>
      </c>
      <c r="AT573" s="19">
        <f t="shared" si="272"/>
        <v>1.03333333333334</v>
      </c>
      <c r="AU573" s="46">
        <v>0</v>
      </c>
      <c r="AV573" s="46">
        <v>0</v>
      </c>
      <c r="AW573" s="46">
        <v>0</v>
      </c>
      <c r="AX573" s="46">
        <v>1</v>
      </c>
      <c r="AY573" s="47">
        <v>0</v>
      </c>
      <c r="AZ573" s="47">
        <v>-1</v>
      </c>
    </row>
    <row r="574" hidden="1" customHeight="1" spans="1:52">
      <c r="A574" s="44">
        <v>45899</v>
      </c>
      <c r="B574" s="33">
        <f t="shared" si="255"/>
        <v>117</v>
      </c>
      <c r="C574" s="33">
        <f t="shared" si="256"/>
        <v>293</v>
      </c>
      <c r="D574" s="11">
        <f t="shared" si="257"/>
        <v>410</v>
      </c>
      <c r="E574" s="34">
        <f t="shared" si="253"/>
        <v>-1.80810036288386e-6</v>
      </c>
      <c r="F574" s="35">
        <f t="shared" si="258"/>
        <v>0.00102338480539226</v>
      </c>
      <c r="G574" s="18">
        <f>(SUM($I$8:$I574)*(MAX(M$3-M$4,0))+(N574*MAX(M$4,0)))*(1-$AM$4)+(AM574*$AM$4)</f>
        <v>0.580259184657412</v>
      </c>
      <c r="H574" s="18">
        <f t="shared" si="247"/>
        <v>1.33333333333333</v>
      </c>
      <c r="I574" s="18">
        <f t="shared" si="259"/>
        <v>0</v>
      </c>
      <c r="J574" s="18">
        <f t="shared" si="248"/>
        <v>0.699995206888307</v>
      </c>
      <c r="K574" s="18">
        <f t="shared" si="249"/>
        <v>0.00256414353086917</v>
      </c>
      <c r="L574" s="18">
        <f t="shared" si="250"/>
        <v>0</v>
      </c>
      <c r="M574" s="18">
        <v>0</v>
      </c>
      <c r="N574" s="18">
        <f t="shared" si="254"/>
        <v>0.7739</v>
      </c>
      <c r="O574" s="11">
        <v>0</v>
      </c>
      <c r="P574" s="11">
        <v>0</v>
      </c>
      <c r="Q574" s="11">
        <f t="shared" si="260"/>
        <v>1</v>
      </c>
      <c r="R574" s="11">
        <v>0</v>
      </c>
      <c r="S574" s="11">
        <f t="shared" si="251"/>
        <v>0</v>
      </c>
      <c r="T574" s="11">
        <v>0</v>
      </c>
      <c r="U574" s="11">
        <f t="shared" si="261"/>
        <v>1</v>
      </c>
      <c r="V574" s="11">
        <v>0</v>
      </c>
      <c r="W574" s="11">
        <f t="shared" si="262"/>
        <v>1</v>
      </c>
      <c r="X574" s="11">
        <f t="shared" si="252"/>
        <v>0</v>
      </c>
      <c r="Y574" s="19">
        <v>0</v>
      </c>
      <c r="Z574" s="11">
        <v>0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45">
        <v>0</v>
      </c>
      <c r="AJ574" s="45">
        <v>0</v>
      </c>
      <c r="AK574" s="45">
        <f t="shared" si="263"/>
        <v>0.3611</v>
      </c>
      <c r="AL574" s="45">
        <f t="shared" si="264"/>
        <v>0.00348095238095238</v>
      </c>
      <c r="AM574" s="45">
        <f t="shared" si="265"/>
        <v>0.0012569719047619</v>
      </c>
      <c r="AN574" s="45">
        <f t="shared" si="266"/>
        <v>0.792187500000004</v>
      </c>
      <c r="AO574" s="45">
        <f t="shared" si="267"/>
        <v>0.792187500000004</v>
      </c>
      <c r="AP574" s="45">
        <f t="shared" si="268"/>
        <v>1.05625000000001</v>
      </c>
      <c r="AQ574" s="45">
        <f t="shared" si="269"/>
        <v>0</v>
      </c>
      <c r="AR574" s="45">
        <f t="shared" si="270"/>
        <v>0</v>
      </c>
      <c r="AS574" s="19">
        <f t="shared" si="271"/>
        <v>1.07916666666667</v>
      </c>
      <c r="AT574" s="19">
        <f t="shared" si="272"/>
        <v>1.03333333333334</v>
      </c>
      <c r="AU574" s="46">
        <v>0</v>
      </c>
      <c r="AV574" s="46">
        <v>0</v>
      </c>
      <c r="AW574" s="46">
        <v>0</v>
      </c>
      <c r="AX574" s="46">
        <v>1</v>
      </c>
      <c r="AY574" s="47">
        <v>0</v>
      </c>
      <c r="AZ574" s="47">
        <v>-1</v>
      </c>
    </row>
    <row r="575" hidden="1" customHeight="1" spans="1:52">
      <c r="A575" s="44">
        <v>45900</v>
      </c>
      <c r="B575" s="33">
        <f t="shared" si="255"/>
        <v>116</v>
      </c>
      <c r="C575" s="33">
        <f t="shared" si="256"/>
        <v>295</v>
      </c>
      <c r="D575" s="11">
        <f t="shared" si="257"/>
        <v>411</v>
      </c>
      <c r="E575" s="34">
        <f t="shared" si="253"/>
        <v>-1.80173381231024e-6</v>
      </c>
      <c r="F575" s="35">
        <f t="shared" si="258"/>
        <v>0.00102158307157995</v>
      </c>
      <c r="G575" s="18">
        <f>(SUM($I$8:$I575)*(MAX(M$3-M$4,0))+(N575*MAX(M$4,0)))*(1-$AM$4)+(AM575*$AM$4)</f>
        <v>0.580259184657412</v>
      </c>
      <c r="H575" s="18">
        <f t="shared" si="247"/>
        <v>1.33333333333333</v>
      </c>
      <c r="I575" s="18">
        <f t="shared" si="259"/>
        <v>0</v>
      </c>
      <c r="J575" s="18">
        <f t="shared" si="248"/>
        <v>0.698762820960686</v>
      </c>
      <c r="K575" s="18">
        <f t="shared" si="249"/>
        <v>0.00259687223309753</v>
      </c>
      <c r="L575" s="18">
        <f t="shared" si="250"/>
        <v>0</v>
      </c>
      <c r="M575" s="18">
        <v>0</v>
      </c>
      <c r="N575" s="18">
        <f t="shared" si="254"/>
        <v>0.7739</v>
      </c>
      <c r="O575" s="11">
        <v>0</v>
      </c>
      <c r="P575" s="11">
        <v>0</v>
      </c>
      <c r="Q575" s="11">
        <f t="shared" si="260"/>
        <v>1</v>
      </c>
      <c r="R575" s="11">
        <v>0</v>
      </c>
      <c r="S575" s="11">
        <f t="shared" si="251"/>
        <v>0</v>
      </c>
      <c r="T575" s="11">
        <v>0</v>
      </c>
      <c r="U575" s="11">
        <f t="shared" si="261"/>
        <v>1</v>
      </c>
      <c r="V575" s="11">
        <v>0</v>
      </c>
      <c r="W575" s="11">
        <f t="shared" si="262"/>
        <v>1</v>
      </c>
      <c r="X575" s="11">
        <f t="shared" si="252"/>
        <v>0</v>
      </c>
      <c r="Y575" s="19">
        <v>0</v>
      </c>
      <c r="Z575" s="11">
        <v>0</v>
      </c>
      <c r="AA575" s="11">
        <v>0</v>
      </c>
      <c r="AB575" s="11">
        <v>0</v>
      </c>
      <c r="AC575" s="11">
        <v>0</v>
      </c>
      <c r="AD575" s="11">
        <v>0</v>
      </c>
      <c r="AE575" s="11">
        <v>0</v>
      </c>
      <c r="AF575" s="11">
        <v>0</v>
      </c>
      <c r="AG575" s="11">
        <v>0</v>
      </c>
      <c r="AH575" s="11">
        <v>0</v>
      </c>
      <c r="AI575" s="45">
        <v>0</v>
      </c>
      <c r="AJ575" s="45">
        <v>0</v>
      </c>
      <c r="AK575" s="45">
        <f t="shared" si="263"/>
        <v>0.3611</v>
      </c>
      <c r="AL575" s="45">
        <f t="shared" si="264"/>
        <v>0.00348095238095238</v>
      </c>
      <c r="AM575" s="45">
        <f t="shared" si="265"/>
        <v>0.0012569719047619</v>
      </c>
      <c r="AN575" s="45">
        <f t="shared" si="266"/>
        <v>0.792187500000004</v>
      </c>
      <c r="AO575" s="45">
        <f t="shared" si="267"/>
        <v>0.792187500000004</v>
      </c>
      <c r="AP575" s="45">
        <f t="shared" si="268"/>
        <v>1.05625000000001</v>
      </c>
      <c r="AQ575" s="45">
        <f t="shared" si="269"/>
        <v>0</v>
      </c>
      <c r="AR575" s="45">
        <f t="shared" si="270"/>
        <v>0</v>
      </c>
      <c r="AS575" s="19">
        <f t="shared" si="271"/>
        <v>1.07916666666667</v>
      </c>
      <c r="AT575" s="19">
        <f t="shared" si="272"/>
        <v>1.03333333333334</v>
      </c>
      <c r="AU575" s="46">
        <v>0</v>
      </c>
      <c r="AV575" s="46">
        <v>0</v>
      </c>
      <c r="AW575" s="46">
        <v>0</v>
      </c>
      <c r="AX575" s="46">
        <v>1</v>
      </c>
      <c r="AY575" s="47">
        <v>0</v>
      </c>
      <c r="AZ575" s="47">
        <v>-1</v>
      </c>
    </row>
    <row r="576" hidden="1" customHeight="1" spans="1:52">
      <c r="A576" s="44">
        <v>45901</v>
      </c>
      <c r="B576" s="33">
        <f t="shared" si="255"/>
        <v>115</v>
      </c>
      <c r="C576" s="33">
        <f t="shared" si="256"/>
        <v>297</v>
      </c>
      <c r="D576" s="11">
        <f t="shared" si="257"/>
        <v>412</v>
      </c>
      <c r="E576" s="34">
        <f t="shared" si="253"/>
        <v>-1.79540082878723e-6</v>
      </c>
      <c r="F576" s="35">
        <f t="shared" si="258"/>
        <v>0.00101978767075116</v>
      </c>
      <c r="G576" s="18">
        <f>(SUM($I$8:$I576)*(MAX(M$3-M$4,0))+(N576*MAX(M$4,0)))*(1-$AM$4)+(AM576*$AM$4)</f>
        <v>0.580259184657412</v>
      </c>
      <c r="H576" s="18">
        <f t="shared" si="247"/>
        <v>1.375</v>
      </c>
      <c r="I576" s="18">
        <f t="shared" si="259"/>
        <v>0</v>
      </c>
      <c r="J576" s="18">
        <f t="shared" si="248"/>
        <v>0.697534766793796</v>
      </c>
      <c r="K576" s="18">
        <f t="shared" si="249"/>
        <v>0.00263013246266264</v>
      </c>
      <c r="L576" s="18">
        <f t="shared" si="250"/>
        <v>0</v>
      </c>
      <c r="M576" s="18">
        <v>0</v>
      </c>
      <c r="N576" s="18">
        <f t="shared" si="254"/>
        <v>0.7739</v>
      </c>
      <c r="O576" s="11">
        <v>0</v>
      </c>
      <c r="P576" s="11">
        <v>0</v>
      </c>
      <c r="Q576" s="11">
        <f t="shared" si="260"/>
        <v>1</v>
      </c>
      <c r="R576" s="11">
        <v>0</v>
      </c>
      <c r="S576" s="11">
        <f t="shared" si="251"/>
        <v>0</v>
      </c>
      <c r="T576" s="11">
        <v>0</v>
      </c>
      <c r="U576" s="11">
        <f t="shared" si="261"/>
        <v>1</v>
      </c>
      <c r="V576" s="11">
        <v>0</v>
      </c>
      <c r="W576" s="11">
        <f t="shared" si="262"/>
        <v>1</v>
      </c>
      <c r="X576" s="11">
        <f t="shared" si="252"/>
        <v>0</v>
      </c>
      <c r="Y576" s="19">
        <v>0</v>
      </c>
      <c r="Z576" s="11">
        <v>0</v>
      </c>
      <c r="AA576" s="11">
        <v>0</v>
      </c>
      <c r="AB576" s="11">
        <v>0</v>
      </c>
      <c r="AC576" s="11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45">
        <v>0</v>
      </c>
      <c r="AJ576" s="45">
        <v>0</v>
      </c>
      <c r="AK576" s="45">
        <f t="shared" si="263"/>
        <v>0.3611</v>
      </c>
      <c r="AL576" s="45">
        <f t="shared" si="264"/>
        <v>0.00348095238095238</v>
      </c>
      <c r="AM576" s="45">
        <f t="shared" si="265"/>
        <v>0.0012569719047619</v>
      </c>
      <c r="AN576" s="45">
        <f t="shared" si="266"/>
        <v>0.792187500000004</v>
      </c>
      <c r="AO576" s="45">
        <f t="shared" si="267"/>
        <v>0.792187500000004</v>
      </c>
      <c r="AP576" s="45">
        <f t="shared" si="268"/>
        <v>1.05625000000001</v>
      </c>
      <c r="AQ576" s="45">
        <f t="shared" si="269"/>
        <v>0</v>
      </c>
      <c r="AR576" s="45">
        <f t="shared" si="270"/>
        <v>0</v>
      </c>
      <c r="AS576" s="19">
        <f t="shared" si="271"/>
        <v>1.07916666666667</v>
      </c>
      <c r="AT576" s="19">
        <f t="shared" si="272"/>
        <v>1.03333333333334</v>
      </c>
      <c r="AU576" s="46">
        <v>0</v>
      </c>
      <c r="AV576" s="46">
        <v>0</v>
      </c>
      <c r="AW576" s="46">
        <v>0</v>
      </c>
      <c r="AX576" s="46">
        <v>1</v>
      </c>
      <c r="AY576" s="47">
        <v>0</v>
      </c>
      <c r="AZ576" s="47">
        <v>-1</v>
      </c>
    </row>
    <row r="577" hidden="1" customHeight="1" spans="1:52">
      <c r="A577" s="44">
        <v>45902</v>
      </c>
      <c r="B577" s="33">
        <f t="shared" si="255"/>
        <v>114</v>
      </c>
      <c r="C577" s="33">
        <f t="shared" si="256"/>
        <v>298</v>
      </c>
      <c r="D577" s="11">
        <f t="shared" si="257"/>
        <v>412</v>
      </c>
      <c r="E577" s="34">
        <f t="shared" si="253"/>
        <v>-1.78910117675651e-6</v>
      </c>
      <c r="F577" s="35">
        <f t="shared" si="258"/>
        <v>0.00101799856957441</v>
      </c>
      <c r="G577" s="18">
        <f>(SUM($I$8:$I577)*(MAX(M$3-M$4,0))+(N577*MAX(M$4,0)))*(1-$AM$4)+(AM577*$AM$4)</f>
        <v>0.580259184657412</v>
      </c>
      <c r="H577" s="18">
        <f t="shared" si="247"/>
        <v>1.375</v>
      </c>
      <c r="I577" s="18">
        <f t="shared" si="259"/>
        <v>0</v>
      </c>
      <c r="J577" s="18">
        <f t="shared" si="248"/>
        <v>0.696311021588895</v>
      </c>
      <c r="K577" s="18">
        <f t="shared" si="249"/>
        <v>0.00266393840711496</v>
      </c>
      <c r="L577" s="18">
        <f t="shared" si="250"/>
        <v>0</v>
      </c>
      <c r="M577" s="18">
        <v>0</v>
      </c>
      <c r="N577" s="18">
        <f t="shared" si="254"/>
        <v>0.7739</v>
      </c>
      <c r="O577" s="11">
        <v>0</v>
      </c>
      <c r="P577" s="11">
        <v>0</v>
      </c>
      <c r="Q577" s="11">
        <f t="shared" si="260"/>
        <v>1</v>
      </c>
      <c r="R577" s="11">
        <v>0</v>
      </c>
      <c r="S577" s="11">
        <f t="shared" si="251"/>
        <v>0</v>
      </c>
      <c r="T577" s="11">
        <v>0</v>
      </c>
      <c r="U577" s="11">
        <f t="shared" si="261"/>
        <v>1</v>
      </c>
      <c r="V577" s="11">
        <v>0</v>
      </c>
      <c r="W577" s="11">
        <f t="shared" si="262"/>
        <v>1</v>
      </c>
      <c r="X577" s="11">
        <f t="shared" si="252"/>
        <v>0</v>
      </c>
      <c r="Y577" s="19">
        <v>0</v>
      </c>
      <c r="Z577" s="11">
        <v>0</v>
      </c>
      <c r="AA577" s="11">
        <v>0</v>
      </c>
      <c r="AB577" s="11">
        <v>0</v>
      </c>
      <c r="AC577" s="11">
        <v>0</v>
      </c>
      <c r="AD577" s="11">
        <v>0</v>
      </c>
      <c r="AE577" s="11">
        <v>0</v>
      </c>
      <c r="AF577" s="11">
        <v>0</v>
      </c>
      <c r="AG577" s="11">
        <v>0</v>
      </c>
      <c r="AH577" s="11">
        <v>0</v>
      </c>
      <c r="AI577" s="45">
        <v>0</v>
      </c>
      <c r="AJ577" s="45">
        <v>0</v>
      </c>
      <c r="AK577" s="45">
        <f t="shared" si="263"/>
        <v>0.3611</v>
      </c>
      <c r="AL577" s="45">
        <f t="shared" si="264"/>
        <v>0.00348095238095238</v>
      </c>
      <c r="AM577" s="45">
        <f t="shared" si="265"/>
        <v>0.0012569719047619</v>
      </c>
      <c r="AN577" s="45">
        <f t="shared" si="266"/>
        <v>0.792187500000004</v>
      </c>
      <c r="AO577" s="45">
        <f t="shared" si="267"/>
        <v>0.792187500000004</v>
      </c>
      <c r="AP577" s="45">
        <f t="shared" si="268"/>
        <v>1.05625000000001</v>
      </c>
      <c r="AQ577" s="45">
        <f t="shared" si="269"/>
        <v>0</v>
      </c>
      <c r="AR577" s="45">
        <f t="shared" si="270"/>
        <v>0</v>
      </c>
      <c r="AS577" s="19">
        <f t="shared" si="271"/>
        <v>1.07916666666667</v>
      </c>
      <c r="AT577" s="19">
        <f t="shared" si="272"/>
        <v>1.03333333333334</v>
      </c>
      <c r="AU577" s="46">
        <v>0</v>
      </c>
      <c r="AV577" s="46">
        <v>0</v>
      </c>
      <c r="AW577" s="46">
        <v>0</v>
      </c>
      <c r="AX577" s="46">
        <v>1</v>
      </c>
      <c r="AY577" s="47">
        <v>0</v>
      </c>
      <c r="AZ577" s="47">
        <v>-1</v>
      </c>
    </row>
    <row r="578" hidden="1" customHeight="1" spans="1:52">
      <c r="A578" s="44">
        <v>45903</v>
      </c>
      <c r="B578" s="33">
        <f t="shared" si="255"/>
        <v>113</v>
      </c>
      <c r="C578" s="33">
        <f t="shared" si="256"/>
        <v>294</v>
      </c>
      <c r="D578" s="11">
        <f t="shared" si="257"/>
        <v>407</v>
      </c>
      <c r="E578" s="34">
        <f t="shared" si="253"/>
        <v>4.33889534662973e-6</v>
      </c>
      <c r="F578" s="35">
        <f t="shared" si="258"/>
        <v>0.00102233746492104</v>
      </c>
      <c r="G578" s="18">
        <f>(SUM($I$8:$I578)*(MAX(M$3-M$4,0))+(N578*MAX(M$4,0)))*(1-$AM$4)+(AM578*$AM$4)</f>
        <v>0.583754692469912</v>
      </c>
      <c r="H578" s="18">
        <f t="shared" si="247"/>
        <v>1.375</v>
      </c>
      <c r="I578" s="18">
        <f t="shared" si="259"/>
        <v>0.00544270833333334</v>
      </c>
      <c r="J578" s="18">
        <f t="shared" si="248"/>
        <v>0.699278826005989</v>
      </c>
      <c r="K578" s="18">
        <f t="shared" si="249"/>
        <v>0.00266124932738063</v>
      </c>
      <c r="L578" s="18">
        <f t="shared" si="250"/>
        <v>0.00395833333333334</v>
      </c>
      <c r="M578" s="18">
        <v>0.7805</v>
      </c>
      <c r="N578" s="18">
        <f t="shared" si="254"/>
        <v>0.7805</v>
      </c>
      <c r="O578" s="11">
        <v>0</v>
      </c>
      <c r="P578" s="11">
        <v>0</v>
      </c>
      <c r="Q578" s="11">
        <f t="shared" si="260"/>
        <v>1</v>
      </c>
      <c r="R578" s="11">
        <v>0</v>
      </c>
      <c r="S578" s="11">
        <f t="shared" si="251"/>
        <v>0</v>
      </c>
      <c r="T578" s="11">
        <v>0</v>
      </c>
      <c r="U578" s="11">
        <f t="shared" si="261"/>
        <v>1</v>
      </c>
      <c r="V578" s="11">
        <v>0</v>
      </c>
      <c r="W578" s="11">
        <f t="shared" si="262"/>
        <v>1</v>
      </c>
      <c r="X578" s="11">
        <f t="shared" si="252"/>
        <v>0</v>
      </c>
      <c r="Y578" s="19">
        <v>3.25</v>
      </c>
      <c r="Z578" s="11">
        <v>10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45">
        <v>0</v>
      </c>
      <c r="AJ578" s="45">
        <v>0</v>
      </c>
      <c r="AK578" s="45">
        <f t="shared" si="263"/>
        <v>0.3611</v>
      </c>
      <c r="AL578" s="45">
        <f t="shared" si="264"/>
        <v>0.00348095238095238</v>
      </c>
      <c r="AM578" s="45">
        <f t="shared" si="265"/>
        <v>0.0012569719047619</v>
      </c>
      <c r="AN578" s="45">
        <f t="shared" si="266"/>
        <v>0.792187500000004</v>
      </c>
      <c r="AO578" s="45">
        <f t="shared" si="267"/>
        <v>0.792187500000004</v>
      </c>
      <c r="AP578" s="45">
        <f t="shared" si="268"/>
        <v>1.05625000000001</v>
      </c>
      <c r="AQ578" s="45">
        <f t="shared" si="269"/>
        <v>0</v>
      </c>
      <c r="AR578" s="45">
        <f t="shared" si="270"/>
        <v>0</v>
      </c>
      <c r="AS578" s="19">
        <f t="shared" si="271"/>
        <v>1.07916666666667</v>
      </c>
      <c r="AT578" s="19">
        <f t="shared" si="272"/>
        <v>1.03333333333334</v>
      </c>
      <c r="AU578" s="46">
        <v>0</v>
      </c>
      <c r="AV578" s="46">
        <v>0</v>
      </c>
      <c r="AW578" s="46">
        <v>0</v>
      </c>
      <c r="AX578" s="46">
        <v>1</v>
      </c>
      <c r="AY578" s="47">
        <v>0</v>
      </c>
      <c r="AZ578" s="47">
        <v>-1</v>
      </c>
    </row>
    <row r="579" hidden="1" customHeight="1" spans="1:52">
      <c r="A579" s="44">
        <v>45904</v>
      </c>
      <c r="B579" s="33">
        <f t="shared" si="255"/>
        <v>112</v>
      </c>
      <c r="C579" s="33">
        <f t="shared" si="256"/>
        <v>292</v>
      </c>
      <c r="D579" s="11">
        <f t="shared" si="257"/>
        <v>404</v>
      </c>
      <c r="E579" s="34">
        <f t="shared" si="253"/>
        <v>2.58878939699133e-6</v>
      </c>
      <c r="F579" s="35">
        <f t="shared" si="258"/>
        <v>0.00102492625431803</v>
      </c>
      <c r="G579" s="18">
        <f>(SUM($I$8:$I579)*(MAX(M$3-M$4,0))+(N579*MAX(M$4,0)))*(1-$AM$4)+(AM579*$AM$4)</f>
        <v>0.586257817469912</v>
      </c>
      <c r="H579" s="18">
        <f t="shared" si="247"/>
        <v>1.375</v>
      </c>
      <c r="I579" s="18">
        <f t="shared" si="259"/>
        <v>0.00475000000000001</v>
      </c>
      <c r="J579" s="18">
        <f t="shared" si="248"/>
        <v>0.701049557953531</v>
      </c>
      <c r="K579" s="18">
        <f t="shared" si="249"/>
        <v>0.0026692003754149</v>
      </c>
      <c r="L579" s="18">
        <f t="shared" si="250"/>
        <v>0.00345454545454546</v>
      </c>
      <c r="M579" s="18">
        <v>0.7848</v>
      </c>
      <c r="N579" s="18">
        <f t="shared" si="254"/>
        <v>0.7848</v>
      </c>
      <c r="O579" s="11">
        <v>0</v>
      </c>
      <c r="P579" s="11">
        <v>0</v>
      </c>
      <c r="Q579" s="11">
        <f t="shared" si="260"/>
        <v>1</v>
      </c>
      <c r="R579" s="11">
        <v>0</v>
      </c>
      <c r="S579" s="11">
        <f t="shared" si="251"/>
        <v>0</v>
      </c>
      <c r="T579" s="11">
        <v>0</v>
      </c>
      <c r="U579" s="11">
        <f t="shared" si="261"/>
        <v>1</v>
      </c>
      <c r="V579" s="11">
        <v>0</v>
      </c>
      <c r="W579" s="11">
        <f t="shared" si="262"/>
        <v>1</v>
      </c>
      <c r="X579" s="11">
        <f t="shared" si="252"/>
        <v>0</v>
      </c>
      <c r="Y579" s="19">
        <v>4.08</v>
      </c>
      <c r="Z579" s="11">
        <v>7</v>
      </c>
      <c r="AA579" s="11">
        <v>0</v>
      </c>
      <c r="AB579" s="11">
        <v>0</v>
      </c>
      <c r="AC579" s="11">
        <v>0</v>
      </c>
      <c r="AD579" s="11">
        <v>0</v>
      </c>
      <c r="AE579" s="11">
        <v>0</v>
      </c>
      <c r="AF579" s="11">
        <v>0</v>
      </c>
      <c r="AG579" s="11">
        <v>0</v>
      </c>
      <c r="AH579" s="11">
        <v>0</v>
      </c>
      <c r="AI579" s="45">
        <v>0</v>
      </c>
      <c r="AJ579" s="45">
        <v>0</v>
      </c>
      <c r="AK579" s="45">
        <f t="shared" si="263"/>
        <v>0.3611</v>
      </c>
      <c r="AL579" s="45">
        <f t="shared" si="264"/>
        <v>0.00348095238095238</v>
      </c>
      <c r="AM579" s="45">
        <f t="shared" si="265"/>
        <v>0.0012569719047619</v>
      </c>
      <c r="AN579" s="45">
        <f t="shared" si="266"/>
        <v>0.792187500000004</v>
      </c>
      <c r="AO579" s="45">
        <f t="shared" si="267"/>
        <v>0.792187500000004</v>
      </c>
      <c r="AP579" s="45">
        <f t="shared" si="268"/>
        <v>1.05625000000001</v>
      </c>
      <c r="AQ579" s="45">
        <f t="shared" si="269"/>
        <v>0</v>
      </c>
      <c r="AR579" s="45">
        <f t="shared" si="270"/>
        <v>0</v>
      </c>
      <c r="AS579" s="19">
        <f t="shared" si="271"/>
        <v>1.07916666666667</v>
      </c>
      <c r="AT579" s="19">
        <f t="shared" si="272"/>
        <v>1.03333333333334</v>
      </c>
      <c r="AU579" s="46">
        <v>0</v>
      </c>
      <c r="AV579" s="46">
        <v>0</v>
      </c>
      <c r="AW579" s="46">
        <v>0</v>
      </c>
      <c r="AX579" s="46">
        <v>1</v>
      </c>
      <c r="AY579" s="47">
        <v>0</v>
      </c>
      <c r="AZ579" s="47">
        <v>-1</v>
      </c>
    </row>
    <row r="580" hidden="1" customHeight="1" spans="1:52">
      <c r="A580" s="44">
        <v>45905</v>
      </c>
      <c r="B580" s="33">
        <f t="shared" si="255"/>
        <v>111</v>
      </c>
      <c r="C580" s="33">
        <f t="shared" si="256"/>
        <v>287</v>
      </c>
      <c r="D580" s="11">
        <f t="shared" si="257"/>
        <v>398</v>
      </c>
      <c r="E580" s="34">
        <f t="shared" si="253"/>
        <v>4.48379471323186e-6</v>
      </c>
      <c r="F580" s="35">
        <f t="shared" si="258"/>
        <v>0.00102941004903126</v>
      </c>
      <c r="G580" s="18">
        <f>(SUM($I$8:$I580)*(MAX(M$3-M$4,0))+(N580*MAX(M$4,0)))*(1-$AM$4)+(AM580*$AM$4)</f>
        <v>0.589851958094912</v>
      </c>
      <c r="H580" s="18">
        <f t="shared" si="247"/>
        <v>1.375</v>
      </c>
      <c r="I580" s="18">
        <f t="shared" si="259"/>
        <v>0.00596875000000001</v>
      </c>
      <c r="J580" s="18">
        <f t="shared" si="248"/>
        <v>0.704116473537382</v>
      </c>
      <c r="K580" s="18">
        <f t="shared" si="249"/>
        <v>0.00266561735551908</v>
      </c>
      <c r="L580" s="18">
        <f t="shared" si="250"/>
        <v>0.0043409090909091</v>
      </c>
      <c r="M580" s="18">
        <v>0.7914</v>
      </c>
      <c r="N580" s="18">
        <f t="shared" si="254"/>
        <v>0.7914</v>
      </c>
      <c r="O580" s="11">
        <v>0</v>
      </c>
      <c r="P580" s="11">
        <v>0</v>
      </c>
      <c r="Q580" s="11">
        <f t="shared" si="260"/>
        <v>1</v>
      </c>
      <c r="R580" s="11">
        <v>0</v>
      </c>
      <c r="S580" s="11">
        <f t="shared" si="251"/>
        <v>0</v>
      </c>
      <c r="T580" s="11">
        <v>0</v>
      </c>
      <c r="U580" s="11">
        <f t="shared" si="261"/>
        <v>1</v>
      </c>
      <c r="V580" s="11">
        <v>0</v>
      </c>
      <c r="W580" s="11">
        <f t="shared" si="262"/>
        <v>1</v>
      </c>
      <c r="X580" s="11">
        <f t="shared" si="252"/>
        <v>0</v>
      </c>
      <c r="Y580" s="19">
        <v>6.42</v>
      </c>
      <c r="Z580" s="11">
        <v>7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45">
        <v>0</v>
      </c>
      <c r="AJ580" s="45">
        <v>0</v>
      </c>
      <c r="AK580" s="45">
        <f t="shared" si="263"/>
        <v>0.3611</v>
      </c>
      <c r="AL580" s="45">
        <f t="shared" si="264"/>
        <v>0.00348095238095238</v>
      </c>
      <c r="AM580" s="45">
        <f t="shared" si="265"/>
        <v>0.0012569719047619</v>
      </c>
      <c r="AN580" s="45">
        <f t="shared" si="266"/>
        <v>0.792187500000004</v>
      </c>
      <c r="AO580" s="45">
        <f t="shared" si="267"/>
        <v>0.792187500000004</v>
      </c>
      <c r="AP580" s="45">
        <f t="shared" si="268"/>
        <v>1.05625000000001</v>
      </c>
      <c r="AQ580" s="45">
        <f t="shared" si="269"/>
        <v>0</v>
      </c>
      <c r="AR580" s="45">
        <f t="shared" si="270"/>
        <v>0</v>
      </c>
      <c r="AS580" s="19">
        <f t="shared" si="271"/>
        <v>1.07916666666667</v>
      </c>
      <c r="AT580" s="19">
        <f t="shared" si="272"/>
        <v>1.03333333333334</v>
      </c>
      <c r="AU580" s="46">
        <v>0</v>
      </c>
      <c r="AV580" s="46">
        <v>0</v>
      </c>
      <c r="AW580" s="46">
        <v>0</v>
      </c>
      <c r="AX580" s="46">
        <v>1</v>
      </c>
      <c r="AY580" s="47">
        <v>0</v>
      </c>
      <c r="AZ580" s="47">
        <v>-1</v>
      </c>
    </row>
    <row r="581" hidden="1" customHeight="1" spans="1:52">
      <c r="A581" s="44">
        <v>45906</v>
      </c>
      <c r="B581" s="33">
        <f t="shared" si="255"/>
        <v>110</v>
      </c>
      <c r="C581" s="33">
        <f t="shared" si="256"/>
        <v>282</v>
      </c>
      <c r="D581" s="11">
        <f t="shared" si="257"/>
        <v>392</v>
      </c>
      <c r="E581" s="34">
        <f t="shared" si="253"/>
        <v>5.81868621684451e-6</v>
      </c>
      <c r="F581" s="35">
        <f t="shared" si="258"/>
        <v>0.0010352287352481</v>
      </c>
      <c r="G581" s="18">
        <f>(SUM($I$8:$I581)*(MAX(M$3-M$4,0))+(N581*MAX(M$4,0)))*(1-$AM$4)+(AM581*$AM$4)</f>
        <v>0.594221294032412</v>
      </c>
      <c r="H581" s="18">
        <f t="shared" si="247"/>
        <v>1.375</v>
      </c>
      <c r="I581" s="18">
        <f t="shared" si="259"/>
        <v>0.00570312500000001</v>
      </c>
      <c r="J581" s="18">
        <f t="shared" si="248"/>
        <v>0.708096454909704</v>
      </c>
      <c r="K581" s="18">
        <f t="shared" si="249"/>
        <v>0.00265366859172997</v>
      </c>
      <c r="L581" s="18">
        <f t="shared" si="250"/>
        <v>0.00414772727272728</v>
      </c>
      <c r="M581" s="18">
        <v>0.8002</v>
      </c>
      <c r="N581" s="18">
        <f t="shared" si="254"/>
        <v>0.8002</v>
      </c>
      <c r="O581" s="11">
        <v>0</v>
      </c>
      <c r="P581" s="11">
        <v>0</v>
      </c>
      <c r="Q581" s="11">
        <f t="shared" si="260"/>
        <v>1</v>
      </c>
      <c r="R581" s="11">
        <v>0</v>
      </c>
      <c r="S581" s="11">
        <f t="shared" si="251"/>
        <v>0</v>
      </c>
      <c r="T581" s="11">
        <v>0</v>
      </c>
      <c r="U581" s="11">
        <f t="shared" si="261"/>
        <v>1</v>
      </c>
      <c r="V581" s="11">
        <v>0</v>
      </c>
      <c r="W581" s="11">
        <f t="shared" si="262"/>
        <v>1</v>
      </c>
      <c r="X581" s="11">
        <f t="shared" si="252"/>
        <v>0</v>
      </c>
      <c r="Y581" s="19">
        <v>3.75</v>
      </c>
      <c r="Z581" s="11">
        <v>10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1">
        <v>0</v>
      </c>
      <c r="AG581" s="11">
        <v>0</v>
      </c>
      <c r="AH581" s="11">
        <v>0</v>
      </c>
      <c r="AI581" s="45">
        <v>0</v>
      </c>
      <c r="AJ581" s="45">
        <v>0</v>
      </c>
      <c r="AK581" s="45">
        <f t="shared" si="263"/>
        <v>0.3611</v>
      </c>
      <c r="AL581" s="45">
        <f t="shared" si="264"/>
        <v>0.00348095238095238</v>
      </c>
      <c r="AM581" s="45">
        <f t="shared" si="265"/>
        <v>0.0012569719047619</v>
      </c>
      <c r="AN581" s="45">
        <f t="shared" si="266"/>
        <v>0.792187500000004</v>
      </c>
      <c r="AO581" s="45">
        <f t="shared" si="267"/>
        <v>0.792187500000004</v>
      </c>
      <c r="AP581" s="45">
        <f t="shared" si="268"/>
        <v>1.05625000000001</v>
      </c>
      <c r="AQ581" s="45">
        <f t="shared" si="269"/>
        <v>0</v>
      </c>
      <c r="AR581" s="45">
        <f t="shared" si="270"/>
        <v>0</v>
      </c>
      <c r="AS581" s="19">
        <f t="shared" si="271"/>
        <v>1.07916666666667</v>
      </c>
      <c r="AT581" s="19">
        <f t="shared" si="272"/>
        <v>1.03333333333334</v>
      </c>
      <c r="AU581" s="46">
        <v>0</v>
      </c>
      <c r="AV581" s="46">
        <v>0</v>
      </c>
      <c r="AW581" s="46">
        <v>0</v>
      </c>
      <c r="AX581" s="46">
        <v>1</v>
      </c>
      <c r="AY581" s="47">
        <v>0</v>
      </c>
      <c r="AZ581" s="47">
        <v>-1</v>
      </c>
    </row>
    <row r="582" hidden="1" customHeight="1" spans="1:52">
      <c r="A582" s="44">
        <v>45907</v>
      </c>
      <c r="B582" s="33">
        <f t="shared" si="255"/>
        <v>109</v>
      </c>
      <c r="C582" s="33">
        <f t="shared" si="256"/>
        <v>276</v>
      </c>
      <c r="D582" s="11">
        <f t="shared" si="257"/>
        <v>385</v>
      </c>
      <c r="E582" s="34">
        <f t="shared" si="253"/>
        <v>6.49477883000321e-6</v>
      </c>
      <c r="F582" s="35">
        <f t="shared" si="258"/>
        <v>0.00104172351407811</v>
      </c>
      <c r="G582" s="18">
        <f>(SUM($I$8:$I582)*(MAX(M$3-M$4,0))+(N582*MAX(M$4,0)))*(1-$AM$4)+(AM582*$AM$4)</f>
        <v>0.598991020594912</v>
      </c>
      <c r="H582" s="18">
        <f t="shared" si="247"/>
        <v>1.375</v>
      </c>
      <c r="I582" s="18">
        <f t="shared" si="259"/>
        <v>0.00783854166666668</v>
      </c>
      <c r="J582" s="18">
        <f t="shared" si="248"/>
        <v>0.712538883629426</v>
      </c>
      <c r="K582" s="18">
        <f t="shared" si="249"/>
        <v>0.00263725794835389</v>
      </c>
      <c r="L582" s="18">
        <f t="shared" si="250"/>
        <v>0.00570075757575758</v>
      </c>
      <c r="M582" s="18">
        <v>0.809</v>
      </c>
      <c r="N582" s="18">
        <f t="shared" si="254"/>
        <v>0.809</v>
      </c>
      <c r="O582" s="11">
        <v>0</v>
      </c>
      <c r="P582" s="11">
        <v>0</v>
      </c>
      <c r="Q582" s="11">
        <f t="shared" si="260"/>
        <v>1</v>
      </c>
      <c r="R582" s="11">
        <v>0</v>
      </c>
      <c r="S582" s="11">
        <f t="shared" si="251"/>
        <v>0</v>
      </c>
      <c r="T582" s="11">
        <v>0</v>
      </c>
      <c r="U582" s="11">
        <f t="shared" si="261"/>
        <v>1</v>
      </c>
      <c r="V582" s="11">
        <v>0</v>
      </c>
      <c r="W582" s="11">
        <f t="shared" si="262"/>
        <v>1</v>
      </c>
      <c r="X582" s="11">
        <f t="shared" si="252"/>
        <v>0</v>
      </c>
      <c r="Y582" s="19">
        <v>4.25</v>
      </c>
      <c r="Z582" s="11">
        <v>15</v>
      </c>
      <c r="AA582" s="11">
        <v>0</v>
      </c>
      <c r="AB582" s="11">
        <v>0</v>
      </c>
      <c r="AC582" s="11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45">
        <v>0</v>
      </c>
      <c r="AJ582" s="45">
        <v>0</v>
      </c>
      <c r="AK582" s="45">
        <f t="shared" si="263"/>
        <v>0.3611</v>
      </c>
      <c r="AL582" s="45">
        <f t="shared" si="264"/>
        <v>0.00348095238095238</v>
      </c>
      <c r="AM582" s="45">
        <f t="shared" si="265"/>
        <v>0.0012569719047619</v>
      </c>
      <c r="AN582" s="45">
        <f t="shared" si="266"/>
        <v>0.792187500000004</v>
      </c>
      <c r="AO582" s="45">
        <f t="shared" si="267"/>
        <v>0.792187500000004</v>
      </c>
      <c r="AP582" s="45">
        <f t="shared" si="268"/>
        <v>1.05625000000001</v>
      </c>
      <c r="AQ582" s="45">
        <f t="shared" si="269"/>
        <v>0</v>
      </c>
      <c r="AR582" s="45">
        <f t="shared" si="270"/>
        <v>0</v>
      </c>
      <c r="AS582" s="19">
        <f t="shared" si="271"/>
        <v>1.07916666666667</v>
      </c>
      <c r="AT582" s="19">
        <f t="shared" si="272"/>
        <v>1.03333333333334</v>
      </c>
      <c r="AU582" s="46">
        <v>0</v>
      </c>
      <c r="AV582" s="46">
        <v>0</v>
      </c>
      <c r="AW582" s="46">
        <v>0</v>
      </c>
      <c r="AX582" s="46">
        <v>1</v>
      </c>
      <c r="AY582" s="47">
        <v>0</v>
      </c>
      <c r="AZ582" s="47">
        <v>-1</v>
      </c>
    </row>
    <row r="583" hidden="1" customHeight="1" spans="1:52">
      <c r="A583" s="44">
        <v>45908</v>
      </c>
      <c r="B583" s="33">
        <f t="shared" si="255"/>
        <v>108</v>
      </c>
      <c r="C583" s="33">
        <f t="shared" si="256"/>
        <v>254</v>
      </c>
      <c r="D583" s="11">
        <f t="shared" si="257"/>
        <v>362</v>
      </c>
      <c r="E583" s="34">
        <f t="shared" si="253"/>
        <v>2.38211315944825e-5</v>
      </c>
      <c r="F583" s="35">
        <f t="shared" si="258"/>
        <v>0.00106554464567259</v>
      </c>
      <c r="G583" s="18">
        <f>(SUM($I$8:$I583)*(MAX(M$3-M$4,0))+(N583*MAX(M$4,0)))*(1-$AM$4)+(AM583*$AM$4)</f>
        <v>0.613753715907412</v>
      </c>
      <c r="H583" s="18">
        <f t="shared" si="247"/>
        <v>1.375</v>
      </c>
      <c r="I583" s="18">
        <f t="shared" si="259"/>
        <v>0.00873437500000001</v>
      </c>
      <c r="J583" s="18">
        <f t="shared" si="248"/>
        <v>0.728832537640052</v>
      </c>
      <c r="K583" s="18">
        <f t="shared" si="249"/>
        <v>0.00251080983666619</v>
      </c>
      <c r="L583" s="18">
        <f t="shared" si="250"/>
        <v>0.00635227272727274</v>
      </c>
      <c r="M583" s="18">
        <v>0.844</v>
      </c>
      <c r="N583" s="18">
        <f t="shared" si="254"/>
        <v>0.844</v>
      </c>
      <c r="O583" s="11">
        <v>0</v>
      </c>
      <c r="P583" s="11">
        <v>0</v>
      </c>
      <c r="Q583" s="11">
        <f t="shared" si="260"/>
        <v>1</v>
      </c>
      <c r="R583" s="11">
        <v>0</v>
      </c>
      <c r="S583" s="11">
        <f t="shared" si="251"/>
        <v>0</v>
      </c>
      <c r="T583" s="11">
        <v>0</v>
      </c>
      <c r="U583" s="11">
        <f t="shared" si="261"/>
        <v>1</v>
      </c>
      <c r="V583" s="11">
        <v>0</v>
      </c>
      <c r="W583" s="11">
        <f t="shared" si="262"/>
        <v>1</v>
      </c>
      <c r="X583" s="11">
        <f t="shared" si="252"/>
        <v>0</v>
      </c>
      <c r="Y583" s="19">
        <v>5.25</v>
      </c>
      <c r="Z583" s="11">
        <v>16</v>
      </c>
      <c r="AA583" s="11">
        <v>0</v>
      </c>
      <c r="AB583" s="11">
        <v>0</v>
      </c>
      <c r="AC583" s="11">
        <v>0</v>
      </c>
      <c r="AD583" s="11">
        <v>0</v>
      </c>
      <c r="AE583" s="11">
        <v>0</v>
      </c>
      <c r="AF583" s="11">
        <v>0</v>
      </c>
      <c r="AG583" s="11">
        <v>0</v>
      </c>
      <c r="AH583" s="11">
        <v>0</v>
      </c>
      <c r="AI583" s="45">
        <v>0</v>
      </c>
      <c r="AJ583" s="45">
        <v>0</v>
      </c>
      <c r="AK583" s="45">
        <f t="shared" si="263"/>
        <v>0.3611</v>
      </c>
      <c r="AL583" s="45">
        <f t="shared" si="264"/>
        <v>0.00348095238095238</v>
      </c>
      <c r="AM583" s="45">
        <f t="shared" si="265"/>
        <v>0.0012569719047619</v>
      </c>
      <c r="AN583" s="45">
        <f t="shared" si="266"/>
        <v>0.792187500000004</v>
      </c>
      <c r="AO583" s="45">
        <f t="shared" si="267"/>
        <v>0.792187500000004</v>
      </c>
      <c r="AP583" s="45">
        <f t="shared" si="268"/>
        <v>1.05625000000001</v>
      </c>
      <c r="AQ583" s="45">
        <f t="shared" si="269"/>
        <v>0</v>
      </c>
      <c r="AR583" s="45">
        <f t="shared" si="270"/>
        <v>0</v>
      </c>
      <c r="AS583" s="19">
        <f t="shared" si="271"/>
        <v>1.07916666666667</v>
      </c>
      <c r="AT583" s="19">
        <f t="shared" si="272"/>
        <v>1.03333333333334</v>
      </c>
      <c r="AU583" s="46">
        <v>0</v>
      </c>
      <c r="AV583" s="46">
        <v>0</v>
      </c>
      <c r="AW583" s="46">
        <v>0</v>
      </c>
      <c r="AX583" s="46">
        <v>1</v>
      </c>
      <c r="AY583" s="47">
        <v>0</v>
      </c>
      <c r="AZ583" s="47">
        <v>-1</v>
      </c>
    </row>
    <row r="584" hidden="1" customHeight="1" spans="1:52">
      <c r="A584" s="44">
        <v>45909</v>
      </c>
      <c r="B584" s="33">
        <f t="shared" si="255"/>
        <v>107</v>
      </c>
      <c r="C584" s="33">
        <f t="shared" si="256"/>
        <v>238</v>
      </c>
      <c r="D584" s="11">
        <f t="shared" si="257"/>
        <v>345</v>
      </c>
      <c r="E584" s="34">
        <f t="shared" si="253"/>
        <v>1.95882566799439e-5</v>
      </c>
      <c r="F584" s="35">
        <f t="shared" si="258"/>
        <v>0.00108513290235253</v>
      </c>
      <c r="G584" s="18">
        <f>(SUM($I$8:$I584)*(MAX(M$3-M$4,0))+(N584*MAX(M$4,0)))*(1-$AM$4)+(AM584*$AM$4)</f>
        <v>0.626121684657412</v>
      </c>
      <c r="H584" s="18">
        <f t="shared" ref="H584:H647" si="273">0.5+(MONTH(A584)+(YEAR(A584)-2024)*12)/((YEAR(B$2)-2023)*12)</f>
        <v>1.375</v>
      </c>
      <c r="I584" s="18">
        <f t="shared" si="259"/>
        <v>0.0175625</v>
      </c>
      <c r="J584" s="18">
        <f t="shared" ref="J584:J647" si="274">F584*B584+G584</f>
        <v>0.742230905209133</v>
      </c>
      <c r="K584" s="18">
        <f t="shared" ref="K584:K647" si="275">((1-G584)/B584)-F584</f>
        <v>0.00240905696066231</v>
      </c>
      <c r="L584" s="18">
        <f t="shared" ref="L584:L647" si="276">Y584*Y$6+X584*X$6+Z584*Z$6+AA584*AA$6+AB584*AB$6+AC584*AC$6+AD584*AD$6+AE584*AE$6+AF584*AF$6+AG584*AG$6+AH584*AH$6</f>
        <v>0.0127727272727273</v>
      </c>
      <c r="M584" s="18">
        <v>0.8682</v>
      </c>
      <c r="N584" s="18">
        <f t="shared" si="254"/>
        <v>0.8682</v>
      </c>
      <c r="O584" s="11">
        <v>0</v>
      </c>
      <c r="P584" s="11">
        <v>0</v>
      </c>
      <c r="Q584" s="11">
        <f t="shared" si="260"/>
        <v>1</v>
      </c>
      <c r="R584" s="11">
        <v>0</v>
      </c>
      <c r="S584" s="11">
        <f t="shared" ref="S584:S647" si="277">O584*$R$5/MAX(1/FACT(128),R584)</f>
        <v>0</v>
      </c>
      <c r="T584" s="11">
        <v>0</v>
      </c>
      <c r="U584" s="11">
        <f t="shared" si="261"/>
        <v>1</v>
      </c>
      <c r="V584" s="11">
        <v>0</v>
      </c>
      <c r="W584" s="11">
        <f t="shared" si="262"/>
        <v>1</v>
      </c>
      <c r="X584" s="11">
        <f t="shared" ref="X584:X647" si="278">O584*Q584*S584*U584*W584</f>
        <v>0</v>
      </c>
      <c r="Y584" s="19">
        <v>7.08</v>
      </c>
      <c r="Z584" s="11">
        <v>37</v>
      </c>
      <c r="AA584" s="11">
        <v>0</v>
      </c>
      <c r="AB584" s="11">
        <v>0</v>
      </c>
      <c r="AC584" s="11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45">
        <v>0</v>
      </c>
      <c r="AJ584" s="45">
        <v>0</v>
      </c>
      <c r="AK584" s="45">
        <f t="shared" si="263"/>
        <v>0.3611</v>
      </c>
      <c r="AL584" s="45">
        <f t="shared" si="264"/>
        <v>0.00348095238095238</v>
      </c>
      <c r="AM584" s="45">
        <f t="shared" si="265"/>
        <v>0.0012569719047619</v>
      </c>
      <c r="AN584" s="45">
        <f t="shared" si="266"/>
        <v>0.792187500000004</v>
      </c>
      <c r="AO584" s="45">
        <f t="shared" si="267"/>
        <v>0.792187500000004</v>
      </c>
      <c r="AP584" s="45">
        <f t="shared" si="268"/>
        <v>1.05625000000001</v>
      </c>
      <c r="AQ584" s="45">
        <f t="shared" si="269"/>
        <v>0</v>
      </c>
      <c r="AR584" s="45">
        <f t="shared" si="270"/>
        <v>0</v>
      </c>
      <c r="AS584" s="19">
        <f t="shared" si="271"/>
        <v>1.07916666666667</v>
      </c>
      <c r="AT584" s="19">
        <f t="shared" si="272"/>
        <v>1.03333333333334</v>
      </c>
      <c r="AU584" s="46">
        <v>0</v>
      </c>
      <c r="AV584" s="46">
        <v>0</v>
      </c>
      <c r="AW584" s="46">
        <v>0</v>
      </c>
      <c r="AX584" s="46">
        <v>1</v>
      </c>
      <c r="AY584" s="47">
        <v>0</v>
      </c>
      <c r="AZ584" s="47">
        <v>-1</v>
      </c>
    </row>
    <row r="585" hidden="1" customHeight="1" spans="1:52">
      <c r="A585" s="44">
        <v>45910</v>
      </c>
      <c r="B585" s="33">
        <f t="shared" si="255"/>
        <v>106</v>
      </c>
      <c r="C585" s="33">
        <f t="shared" si="256"/>
        <v>229</v>
      </c>
      <c r="D585" s="11">
        <f t="shared" si="257"/>
        <v>335</v>
      </c>
      <c r="E585" s="34">
        <f t="shared" ref="E585:E648" si="279">F585-F584</f>
        <v>1.07050576948918e-5</v>
      </c>
      <c r="F585" s="35">
        <f t="shared" si="258"/>
        <v>0.00109583796004743</v>
      </c>
      <c r="G585" s="18">
        <f>(SUM($I$8:$I585)*(MAX(M$3-M$4,0))+(N585*MAX(M$4,0)))*(1-$AM$4)+(AM585*$AM$4)</f>
        <v>0.633394340907412</v>
      </c>
      <c r="H585" s="18">
        <f t="shared" si="273"/>
        <v>1.375</v>
      </c>
      <c r="I585" s="18">
        <f t="shared" si="259"/>
        <v>0.00818750000000001</v>
      </c>
      <c r="J585" s="18">
        <f t="shared" si="274"/>
        <v>0.749553164672439</v>
      </c>
      <c r="K585" s="18">
        <f t="shared" si="275"/>
        <v>0.00236270599365624</v>
      </c>
      <c r="L585" s="18">
        <f t="shared" si="276"/>
        <v>0.00595454545454546</v>
      </c>
      <c r="M585" s="18">
        <v>0.8835</v>
      </c>
      <c r="N585" s="18">
        <f t="shared" ref="N585:N648" si="280">IF(M585&gt;N584,M585,N584)</f>
        <v>0.8835</v>
      </c>
      <c r="O585" s="11">
        <v>0</v>
      </c>
      <c r="P585" s="11">
        <v>0</v>
      </c>
      <c r="Q585" s="11">
        <f t="shared" si="260"/>
        <v>1</v>
      </c>
      <c r="R585" s="11">
        <v>0</v>
      </c>
      <c r="S585" s="11">
        <f t="shared" si="277"/>
        <v>0</v>
      </c>
      <c r="T585" s="11">
        <v>0</v>
      </c>
      <c r="U585" s="11">
        <f t="shared" si="261"/>
        <v>1</v>
      </c>
      <c r="V585" s="11">
        <v>0</v>
      </c>
      <c r="W585" s="11">
        <f t="shared" si="262"/>
        <v>1</v>
      </c>
      <c r="X585" s="11">
        <f t="shared" si="278"/>
        <v>0</v>
      </c>
      <c r="Y585" s="19">
        <v>4.92</v>
      </c>
      <c r="Z585" s="11">
        <v>15</v>
      </c>
      <c r="AA585" s="11">
        <v>0</v>
      </c>
      <c r="AB585" s="11">
        <v>0</v>
      </c>
      <c r="AC585" s="11">
        <v>0</v>
      </c>
      <c r="AD585" s="11">
        <v>0</v>
      </c>
      <c r="AE585" s="11">
        <v>0</v>
      </c>
      <c r="AF585" s="11">
        <v>0</v>
      </c>
      <c r="AG585" s="11">
        <v>0</v>
      </c>
      <c r="AH585" s="11">
        <v>0</v>
      </c>
      <c r="AI585" s="45">
        <v>0</v>
      </c>
      <c r="AJ585" s="45">
        <v>0</v>
      </c>
      <c r="AK585" s="45">
        <f t="shared" si="263"/>
        <v>0.3611</v>
      </c>
      <c r="AL585" s="45">
        <f t="shared" si="264"/>
        <v>0.00348095238095238</v>
      </c>
      <c r="AM585" s="45">
        <f t="shared" si="265"/>
        <v>0.0012569719047619</v>
      </c>
      <c r="AN585" s="45">
        <f t="shared" si="266"/>
        <v>0.792187500000004</v>
      </c>
      <c r="AO585" s="45">
        <f t="shared" si="267"/>
        <v>0.792187500000004</v>
      </c>
      <c r="AP585" s="45">
        <f t="shared" si="268"/>
        <v>1.05625000000001</v>
      </c>
      <c r="AQ585" s="45">
        <f t="shared" si="269"/>
        <v>0</v>
      </c>
      <c r="AR585" s="45">
        <f t="shared" si="270"/>
        <v>0</v>
      </c>
      <c r="AS585" s="19">
        <f t="shared" si="271"/>
        <v>1.07916666666667</v>
      </c>
      <c r="AT585" s="19">
        <f t="shared" si="272"/>
        <v>1.03333333333334</v>
      </c>
      <c r="AU585" s="46">
        <v>0</v>
      </c>
      <c r="AV585" s="46">
        <v>0</v>
      </c>
      <c r="AW585" s="46">
        <v>0</v>
      </c>
      <c r="AX585" s="46">
        <v>1</v>
      </c>
      <c r="AY585" s="47">
        <v>0</v>
      </c>
      <c r="AZ585" s="47">
        <v>-1</v>
      </c>
    </row>
    <row r="586" hidden="1" customHeight="1" spans="1:52">
      <c r="A586" s="44">
        <v>45911</v>
      </c>
      <c r="B586" s="33">
        <f t="shared" si="255"/>
        <v>105</v>
      </c>
      <c r="C586" s="33">
        <f t="shared" si="256"/>
        <v>227</v>
      </c>
      <c r="D586" s="11">
        <f t="shared" si="257"/>
        <v>332</v>
      </c>
      <c r="E586" s="34">
        <f t="shared" si="279"/>
        <v>1.84930796423848e-6</v>
      </c>
      <c r="F586" s="35">
        <f t="shared" si="258"/>
        <v>0.00109768726801166</v>
      </c>
      <c r="G586" s="18">
        <f>(SUM($I$8:$I586)*(MAX(M$3-M$4,0))+(N586*MAX(M$4,0)))*(1-$AM$4)+(AM586*$AM$4)</f>
        <v>0.635560928178754</v>
      </c>
      <c r="H586" s="18">
        <f t="shared" si="273"/>
        <v>1.375</v>
      </c>
      <c r="I586" s="18">
        <f t="shared" si="259"/>
        <v>0.0115551321138212</v>
      </c>
      <c r="J586" s="18">
        <f t="shared" si="274"/>
        <v>0.750818091319978</v>
      </c>
      <c r="K586" s="18">
        <f t="shared" si="275"/>
        <v>0.00237316103504783</v>
      </c>
      <c r="L586" s="18">
        <f t="shared" si="276"/>
        <v>0.00840373244641539</v>
      </c>
      <c r="M586" s="18">
        <v>0</v>
      </c>
      <c r="N586" s="18">
        <f t="shared" si="280"/>
        <v>0.8835</v>
      </c>
      <c r="O586" s="11">
        <v>22</v>
      </c>
      <c r="P586" s="11">
        <v>22</v>
      </c>
      <c r="Q586" s="11">
        <f t="shared" si="260"/>
        <v>1.5</v>
      </c>
      <c r="R586" s="11">
        <v>7380</v>
      </c>
      <c r="S586" s="11">
        <f t="shared" si="277"/>
        <v>0.357723577235772</v>
      </c>
      <c r="T586" s="11">
        <v>18</v>
      </c>
      <c r="U586" s="11">
        <f t="shared" si="261"/>
        <v>0.818181818181818</v>
      </c>
      <c r="V586" s="11">
        <v>0</v>
      </c>
      <c r="W586" s="11">
        <f t="shared" si="262"/>
        <v>1</v>
      </c>
      <c r="X586" s="11">
        <f t="shared" si="278"/>
        <v>9.65853658536585</v>
      </c>
      <c r="Y586" s="19">
        <v>4.42</v>
      </c>
      <c r="Z586" s="11">
        <v>5</v>
      </c>
      <c r="AA586" s="11">
        <v>0</v>
      </c>
      <c r="AB586" s="11">
        <v>0</v>
      </c>
      <c r="AC586" s="11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45">
        <v>0</v>
      </c>
      <c r="AJ586" s="45">
        <v>0</v>
      </c>
      <c r="AK586" s="45">
        <f t="shared" si="263"/>
        <v>0.3611</v>
      </c>
      <c r="AL586" s="45">
        <f t="shared" si="264"/>
        <v>0.00348095238095238</v>
      </c>
      <c r="AM586" s="45">
        <f t="shared" si="265"/>
        <v>0.0012569719047619</v>
      </c>
      <c r="AN586" s="45">
        <f t="shared" si="266"/>
        <v>0.792187500000004</v>
      </c>
      <c r="AO586" s="45">
        <f t="shared" si="267"/>
        <v>0.792187500000004</v>
      </c>
      <c r="AP586" s="45">
        <f t="shared" si="268"/>
        <v>1.05625000000001</v>
      </c>
      <c r="AQ586" s="45">
        <f t="shared" si="269"/>
        <v>0</v>
      </c>
      <c r="AR586" s="45">
        <f t="shared" si="270"/>
        <v>0</v>
      </c>
      <c r="AS586" s="19">
        <f t="shared" si="271"/>
        <v>1.07916666666667</v>
      </c>
      <c r="AT586" s="19">
        <f t="shared" si="272"/>
        <v>1.03333333333334</v>
      </c>
      <c r="AU586" s="46">
        <v>0</v>
      </c>
      <c r="AV586" s="46">
        <v>0</v>
      </c>
      <c r="AW586" s="46">
        <v>0</v>
      </c>
      <c r="AX586" s="46">
        <v>1</v>
      </c>
      <c r="AY586" s="47">
        <v>0</v>
      </c>
      <c r="AZ586" s="47">
        <v>-1</v>
      </c>
    </row>
    <row r="587" hidden="1" customHeight="1" spans="1:52">
      <c r="A587" s="44">
        <v>45912</v>
      </c>
      <c r="B587" s="33">
        <f t="shared" si="255"/>
        <v>104</v>
      </c>
      <c r="C587" s="33">
        <f t="shared" si="256"/>
        <v>228</v>
      </c>
      <c r="D587" s="11">
        <f t="shared" si="257"/>
        <v>332</v>
      </c>
      <c r="E587" s="34">
        <f t="shared" si="279"/>
        <v>-6.65126216399265e-7</v>
      </c>
      <c r="F587" s="35">
        <f t="shared" si="258"/>
        <v>0.00109702214179526</v>
      </c>
      <c r="G587" s="18">
        <f>(SUM($I$8:$I587)*(MAX(M$3-M$4,0))+(N587*MAX(M$4,0)))*(1-$AM$4)+(AM587*$AM$4)</f>
        <v>0.636272842241254</v>
      </c>
      <c r="H587" s="18">
        <f t="shared" si="273"/>
        <v>1.375</v>
      </c>
      <c r="I587" s="18">
        <f t="shared" si="259"/>
        <v>0.00379687500000001</v>
      </c>
      <c r="J587" s="18">
        <f t="shared" si="274"/>
        <v>0.750363144987961</v>
      </c>
      <c r="K587" s="18">
        <f t="shared" si="275"/>
        <v>0.00240035437511576</v>
      </c>
      <c r="L587" s="18">
        <f t="shared" si="276"/>
        <v>0.00276136363636364</v>
      </c>
      <c r="M587" s="18">
        <v>0</v>
      </c>
      <c r="N587" s="18">
        <f t="shared" si="280"/>
        <v>0.8835</v>
      </c>
      <c r="O587" s="11">
        <v>0</v>
      </c>
      <c r="P587" s="11">
        <v>0</v>
      </c>
      <c r="Q587" s="11">
        <f t="shared" si="260"/>
        <v>1</v>
      </c>
      <c r="R587" s="11">
        <v>0</v>
      </c>
      <c r="S587" s="11">
        <f t="shared" si="277"/>
        <v>0</v>
      </c>
      <c r="T587" s="11">
        <v>0</v>
      </c>
      <c r="U587" s="11">
        <f t="shared" si="261"/>
        <v>1</v>
      </c>
      <c r="V587" s="11">
        <v>0</v>
      </c>
      <c r="W587" s="11">
        <f t="shared" si="262"/>
        <v>1</v>
      </c>
      <c r="X587" s="11">
        <f t="shared" si="278"/>
        <v>0</v>
      </c>
      <c r="Y587" s="19">
        <v>2.25</v>
      </c>
      <c r="Z587" s="11">
        <v>7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1">
        <v>0</v>
      </c>
      <c r="AG587" s="11">
        <v>0</v>
      </c>
      <c r="AH587" s="11">
        <v>0</v>
      </c>
      <c r="AI587" s="45">
        <v>0</v>
      </c>
      <c r="AJ587" s="45">
        <v>0</v>
      </c>
      <c r="AK587" s="45">
        <f t="shared" si="263"/>
        <v>0.3611</v>
      </c>
      <c r="AL587" s="45">
        <f t="shared" si="264"/>
        <v>0.00348095238095238</v>
      </c>
      <c r="AM587" s="45">
        <f t="shared" si="265"/>
        <v>0.0012569719047619</v>
      </c>
      <c r="AN587" s="45">
        <f t="shared" si="266"/>
        <v>0.792187500000004</v>
      </c>
      <c r="AO587" s="45">
        <f t="shared" si="267"/>
        <v>0.792187500000004</v>
      </c>
      <c r="AP587" s="45">
        <f t="shared" si="268"/>
        <v>1.05625000000001</v>
      </c>
      <c r="AQ587" s="45">
        <f t="shared" si="269"/>
        <v>0</v>
      </c>
      <c r="AR587" s="45">
        <f t="shared" si="270"/>
        <v>0</v>
      </c>
      <c r="AS587" s="19">
        <f t="shared" si="271"/>
        <v>1.07916666666667</v>
      </c>
      <c r="AT587" s="19">
        <f t="shared" si="272"/>
        <v>1.03333333333334</v>
      </c>
      <c r="AU587" s="46">
        <v>0</v>
      </c>
      <c r="AV587" s="46">
        <v>0</v>
      </c>
      <c r="AW587" s="46">
        <v>0</v>
      </c>
      <c r="AX587" s="46">
        <v>1</v>
      </c>
      <c r="AY587" s="47">
        <v>0</v>
      </c>
      <c r="AZ587" s="47">
        <v>-1</v>
      </c>
    </row>
    <row r="588" hidden="1" customHeight="1" spans="1:52">
      <c r="A588" s="44">
        <v>45913</v>
      </c>
      <c r="B588" s="33">
        <f t="shared" si="255"/>
        <v>103</v>
      </c>
      <c r="C588" s="33">
        <f t="shared" si="256"/>
        <v>226</v>
      </c>
      <c r="D588" s="11">
        <f t="shared" si="257"/>
        <v>329</v>
      </c>
      <c r="E588" s="34">
        <f t="shared" si="279"/>
        <v>2.22415778090303e-6</v>
      </c>
      <c r="F588" s="35">
        <f t="shared" si="258"/>
        <v>0.00109924629957617</v>
      </c>
      <c r="G588" s="18">
        <f>(SUM($I$8:$I588)*(MAX(M$3-M$4,0))+(N588*MAX(M$4,0)))*(1-$AM$4)+(AM588*$AM$4)</f>
        <v>0.638662100053753</v>
      </c>
      <c r="H588" s="18">
        <f t="shared" si="273"/>
        <v>1.375</v>
      </c>
      <c r="I588" s="18">
        <f t="shared" si="259"/>
        <v>0.00694270833333335</v>
      </c>
      <c r="J588" s="18">
        <f t="shared" si="274"/>
        <v>0.751884468910099</v>
      </c>
      <c r="K588" s="18">
        <f t="shared" si="275"/>
        <v>0.00240888865135826</v>
      </c>
      <c r="L588" s="18">
        <f t="shared" si="276"/>
        <v>0.00504924242424244</v>
      </c>
      <c r="M588" s="18">
        <v>0.8864</v>
      </c>
      <c r="N588" s="18">
        <f t="shared" si="280"/>
        <v>0.8864</v>
      </c>
      <c r="O588" s="11">
        <v>0</v>
      </c>
      <c r="P588" s="11">
        <v>0</v>
      </c>
      <c r="Q588" s="11">
        <f t="shared" si="260"/>
        <v>1</v>
      </c>
      <c r="R588" s="11">
        <v>0</v>
      </c>
      <c r="S588" s="11">
        <f t="shared" si="277"/>
        <v>0</v>
      </c>
      <c r="T588" s="11">
        <v>0</v>
      </c>
      <c r="U588" s="11">
        <f t="shared" si="261"/>
        <v>1</v>
      </c>
      <c r="V588" s="11">
        <v>0</v>
      </c>
      <c r="W588" s="11">
        <f t="shared" si="262"/>
        <v>1</v>
      </c>
      <c r="X588" s="11">
        <f t="shared" si="278"/>
        <v>0</v>
      </c>
      <c r="Y588" s="19">
        <v>7.57</v>
      </c>
      <c r="Z588" s="11">
        <v>8</v>
      </c>
      <c r="AA588" s="11">
        <v>0</v>
      </c>
      <c r="AB588" s="11">
        <v>0</v>
      </c>
      <c r="AC588" s="11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45">
        <v>0</v>
      </c>
      <c r="AJ588" s="45">
        <v>0</v>
      </c>
      <c r="AK588" s="45">
        <f t="shared" si="263"/>
        <v>0.3611</v>
      </c>
      <c r="AL588" s="45">
        <f t="shared" si="264"/>
        <v>0.00348095238095238</v>
      </c>
      <c r="AM588" s="45">
        <f t="shared" si="265"/>
        <v>0.0012569719047619</v>
      </c>
      <c r="AN588" s="45">
        <f t="shared" si="266"/>
        <v>0.792187500000004</v>
      </c>
      <c r="AO588" s="45">
        <f t="shared" si="267"/>
        <v>0.792187500000004</v>
      </c>
      <c r="AP588" s="45">
        <f t="shared" si="268"/>
        <v>1.05625000000001</v>
      </c>
      <c r="AQ588" s="45">
        <f t="shared" si="269"/>
        <v>0</v>
      </c>
      <c r="AR588" s="45">
        <f t="shared" si="270"/>
        <v>0</v>
      </c>
      <c r="AS588" s="19">
        <f t="shared" si="271"/>
        <v>1.07916666666667</v>
      </c>
      <c r="AT588" s="19">
        <f t="shared" si="272"/>
        <v>1.03333333333334</v>
      </c>
      <c r="AU588" s="46">
        <v>0</v>
      </c>
      <c r="AV588" s="46">
        <v>0</v>
      </c>
      <c r="AW588" s="46">
        <v>0</v>
      </c>
      <c r="AX588" s="46">
        <v>1</v>
      </c>
      <c r="AY588" s="47">
        <v>0</v>
      </c>
      <c r="AZ588" s="47">
        <v>-1</v>
      </c>
    </row>
    <row r="589" hidden="1" customHeight="1" spans="1:52">
      <c r="A589" s="44">
        <v>45914</v>
      </c>
      <c r="B589" s="33">
        <f t="shared" si="255"/>
        <v>102</v>
      </c>
      <c r="C589" s="33">
        <f t="shared" si="256"/>
        <v>218</v>
      </c>
      <c r="D589" s="11">
        <f t="shared" si="257"/>
        <v>320</v>
      </c>
      <c r="E589" s="34">
        <f t="shared" si="279"/>
        <v>9.01419503938797e-6</v>
      </c>
      <c r="F589" s="35">
        <f t="shared" si="258"/>
        <v>0.00110826049461556</v>
      </c>
      <c r="G589" s="18">
        <f>(SUM($I$8:$I589)*(MAX(M$3-M$4,0))+(N589*MAX(M$4,0)))*(1-$AM$4)+(AM589*$AM$4)</f>
        <v>0.645007607866253</v>
      </c>
      <c r="H589" s="18">
        <f t="shared" si="273"/>
        <v>1.375</v>
      </c>
      <c r="I589" s="18">
        <f t="shared" si="259"/>
        <v>0.00544270833333334</v>
      </c>
      <c r="J589" s="18">
        <f t="shared" si="274"/>
        <v>0.75805017831704</v>
      </c>
      <c r="K589" s="18">
        <f t="shared" si="275"/>
        <v>0.00237205707532314</v>
      </c>
      <c r="L589" s="18">
        <f t="shared" si="276"/>
        <v>0.00395833333333334</v>
      </c>
      <c r="M589" s="18">
        <v>0.9006</v>
      </c>
      <c r="N589" s="18">
        <f t="shared" si="280"/>
        <v>0.9006</v>
      </c>
      <c r="O589" s="11">
        <v>0</v>
      </c>
      <c r="P589" s="11">
        <v>0</v>
      </c>
      <c r="Q589" s="11">
        <f t="shared" si="260"/>
        <v>1</v>
      </c>
      <c r="R589" s="11">
        <v>0</v>
      </c>
      <c r="S589" s="11">
        <f t="shared" si="277"/>
        <v>0</v>
      </c>
      <c r="T589" s="11">
        <v>0</v>
      </c>
      <c r="U589" s="11">
        <f t="shared" si="261"/>
        <v>1</v>
      </c>
      <c r="V589" s="11">
        <v>0</v>
      </c>
      <c r="W589" s="11">
        <f t="shared" si="262"/>
        <v>1</v>
      </c>
      <c r="X589" s="11">
        <f t="shared" si="278"/>
        <v>0</v>
      </c>
      <c r="Y589" s="19">
        <v>3.25</v>
      </c>
      <c r="Z589" s="11">
        <v>10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1">
        <v>0</v>
      </c>
      <c r="AG589" s="11">
        <v>0</v>
      </c>
      <c r="AH589" s="11">
        <v>0</v>
      </c>
      <c r="AI589" s="45">
        <v>0</v>
      </c>
      <c r="AJ589" s="45">
        <v>0</v>
      </c>
      <c r="AK589" s="45">
        <f t="shared" si="263"/>
        <v>0.3611</v>
      </c>
      <c r="AL589" s="45">
        <f t="shared" si="264"/>
        <v>0.00348095238095238</v>
      </c>
      <c r="AM589" s="45">
        <f t="shared" si="265"/>
        <v>0.0012569719047619</v>
      </c>
      <c r="AN589" s="45">
        <f t="shared" si="266"/>
        <v>0.792187500000004</v>
      </c>
      <c r="AO589" s="45">
        <f t="shared" si="267"/>
        <v>0.792187500000004</v>
      </c>
      <c r="AP589" s="45">
        <f t="shared" si="268"/>
        <v>1.05625000000001</v>
      </c>
      <c r="AQ589" s="45">
        <f t="shared" si="269"/>
        <v>0</v>
      </c>
      <c r="AR589" s="45">
        <f t="shared" si="270"/>
        <v>0</v>
      </c>
      <c r="AS589" s="19">
        <f t="shared" si="271"/>
        <v>1.07916666666667</v>
      </c>
      <c r="AT589" s="19">
        <f t="shared" si="272"/>
        <v>1.03333333333334</v>
      </c>
      <c r="AU589" s="46">
        <v>0</v>
      </c>
      <c r="AV589" s="46">
        <v>0</v>
      </c>
      <c r="AW589" s="46">
        <v>0</v>
      </c>
      <c r="AX589" s="46">
        <v>1</v>
      </c>
      <c r="AY589" s="47">
        <v>0</v>
      </c>
      <c r="AZ589" s="47">
        <v>-1</v>
      </c>
    </row>
    <row r="590" hidden="1" customHeight="1" spans="1:52">
      <c r="A590" s="44">
        <v>45915</v>
      </c>
      <c r="B590" s="33">
        <f t="shared" si="255"/>
        <v>101</v>
      </c>
      <c r="C590" s="33">
        <f t="shared" si="256"/>
        <v>217</v>
      </c>
      <c r="D590" s="11">
        <f t="shared" si="257"/>
        <v>318</v>
      </c>
      <c r="E590" s="34">
        <f t="shared" si="279"/>
        <v>1.92857065674863e-6</v>
      </c>
      <c r="F590" s="35">
        <f t="shared" si="258"/>
        <v>0.0011101890652723</v>
      </c>
      <c r="G590" s="18">
        <f>(SUM($I$8:$I590)*(MAX(M$3-M$4,0))+(N590*MAX(M$4,0)))*(1-$AM$4)+(AM590*$AM$4)</f>
        <v>0.647240225053753</v>
      </c>
      <c r="H590" s="18">
        <f t="shared" si="273"/>
        <v>1.375</v>
      </c>
      <c r="I590" s="18">
        <f t="shared" si="259"/>
        <v>0.00630729166666668</v>
      </c>
      <c r="J590" s="18">
        <f t="shared" si="274"/>
        <v>0.759369320646256</v>
      </c>
      <c r="K590" s="18">
        <f t="shared" si="275"/>
        <v>0.00238248197379944</v>
      </c>
      <c r="L590" s="18">
        <f t="shared" si="276"/>
        <v>0.00458712121212122</v>
      </c>
      <c r="M590" s="18">
        <v>0.9034</v>
      </c>
      <c r="N590" s="18">
        <f t="shared" si="280"/>
        <v>0.9034</v>
      </c>
      <c r="O590" s="11">
        <v>0</v>
      </c>
      <c r="P590" s="11">
        <v>0</v>
      </c>
      <c r="Q590" s="11">
        <f t="shared" si="260"/>
        <v>1</v>
      </c>
      <c r="R590" s="11">
        <v>0</v>
      </c>
      <c r="S590" s="11">
        <f t="shared" si="277"/>
        <v>0</v>
      </c>
      <c r="T590" s="11">
        <v>0</v>
      </c>
      <c r="U590" s="11">
        <f t="shared" si="261"/>
        <v>1</v>
      </c>
      <c r="V590" s="11">
        <v>0</v>
      </c>
      <c r="W590" s="11">
        <f t="shared" si="262"/>
        <v>1</v>
      </c>
      <c r="X590" s="11">
        <f t="shared" si="278"/>
        <v>0</v>
      </c>
      <c r="Y590" s="19">
        <v>2.75</v>
      </c>
      <c r="Z590" s="11">
        <v>13</v>
      </c>
      <c r="AA590" s="11">
        <v>0</v>
      </c>
      <c r="AB590" s="11">
        <v>0</v>
      </c>
      <c r="AC590" s="11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45">
        <v>0</v>
      </c>
      <c r="AJ590" s="45">
        <v>0</v>
      </c>
      <c r="AK590" s="45">
        <f t="shared" si="263"/>
        <v>0.3611</v>
      </c>
      <c r="AL590" s="45">
        <f t="shared" si="264"/>
        <v>0.00348095238095238</v>
      </c>
      <c r="AM590" s="45">
        <f t="shared" si="265"/>
        <v>0.0012569719047619</v>
      </c>
      <c r="AN590" s="45">
        <f t="shared" si="266"/>
        <v>0.792187500000004</v>
      </c>
      <c r="AO590" s="45">
        <f t="shared" si="267"/>
        <v>0.792187500000004</v>
      </c>
      <c r="AP590" s="45">
        <f t="shared" si="268"/>
        <v>1.05625000000001</v>
      </c>
      <c r="AQ590" s="45">
        <f t="shared" si="269"/>
        <v>0</v>
      </c>
      <c r="AR590" s="45">
        <f t="shared" si="270"/>
        <v>0</v>
      </c>
      <c r="AS590" s="19">
        <f t="shared" si="271"/>
        <v>1.07916666666667</v>
      </c>
      <c r="AT590" s="19">
        <f t="shared" si="272"/>
        <v>1.03333333333334</v>
      </c>
      <c r="AU590" s="46">
        <v>0</v>
      </c>
      <c r="AV590" s="46">
        <v>0</v>
      </c>
      <c r="AW590" s="46">
        <v>0</v>
      </c>
      <c r="AX590" s="46">
        <v>1</v>
      </c>
      <c r="AY590" s="47">
        <v>0</v>
      </c>
      <c r="AZ590" s="47">
        <v>-1</v>
      </c>
    </row>
    <row r="591" hidden="1" customHeight="1" spans="1:52">
      <c r="A591" s="44">
        <v>45916</v>
      </c>
      <c r="B591" s="33">
        <f t="shared" si="255"/>
        <v>100</v>
      </c>
      <c r="C591" s="33">
        <f t="shared" si="256"/>
        <v>214</v>
      </c>
      <c r="D591" s="11">
        <f t="shared" si="257"/>
        <v>314</v>
      </c>
      <c r="E591" s="34">
        <f t="shared" si="279"/>
        <v>3.13664918189676e-6</v>
      </c>
      <c r="F591" s="35">
        <f t="shared" si="258"/>
        <v>0.0011133257144542</v>
      </c>
      <c r="G591" s="18">
        <f>(SUM($I$8:$I591)*(MAX(M$3-M$4,0))+(N591*MAX(M$4,0)))*(1-$AM$4)+(AM591*$AM$4)</f>
        <v>0.650182217241253</v>
      </c>
      <c r="H591" s="18">
        <f t="shared" si="273"/>
        <v>1.375</v>
      </c>
      <c r="I591" s="18">
        <f t="shared" si="259"/>
        <v>0.00989062500000002</v>
      </c>
      <c r="J591" s="18">
        <f t="shared" si="274"/>
        <v>0.761514788686674</v>
      </c>
      <c r="K591" s="18">
        <f t="shared" si="275"/>
        <v>0.00238485211313326</v>
      </c>
      <c r="L591" s="18">
        <f t="shared" si="276"/>
        <v>0.00719318181818183</v>
      </c>
      <c r="M591" s="18">
        <v>0.9063</v>
      </c>
      <c r="N591" s="18">
        <f t="shared" si="280"/>
        <v>0.9063</v>
      </c>
      <c r="O591" s="11">
        <v>0</v>
      </c>
      <c r="P591" s="11">
        <v>0</v>
      </c>
      <c r="Q591" s="11">
        <f t="shared" si="260"/>
        <v>1</v>
      </c>
      <c r="R591" s="11">
        <v>0</v>
      </c>
      <c r="S591" s="11">
        <f t="shared" si="277"/>
        <v>0</v>
      </c>
      <c r="T591" s="11">
        <v>0</v>
      </c>
      <c r="U591" s="11">
        <f t="shared" si="261"/>
        <v>1</v>
      </c>
      <c r="V591" s="11">
        <v>0</v>
      </c>
      <c r="W591" s="11">
        <f t="shared" si="262"/>
        <v>1</v>
      </c>
      <c r="X591" s="11">
        <f t="shared" si="278"/>
        <v>0</v>
      </c>
      <c r="Y591" s="19">
        <v>6.75</v>
      </c>
      <c r="Z591" s="11">
        <v>17</v>
      </c>
      <c r="AA591" s="11">
        <v>0</v>
      </c>
      <c r="AB591" s="11">
        <v>0</v>
      </c>
      <c r="AC591" s="11">
        <v>0</v>
      </c>
      <c r="AD591" s="11">
        <v>0</v>
      </c>
      <c r="AE591" s="11">
        <v>0</v>
      </c>
      <c r="AF591" s="11">
        <v>0</v>
      </c>
      <c r="AG591" s="11">
        <v>0</v>
      </c>
      <c r="AH591" s="11">
        <v>0</v>
      </c>
      <c r="AI591" s="45">
        <v>0</v>
      </c>
      <c r="AJ591" s="45">
        <v>0</v>
      </c>
      <c r="AK591" s="45">
        <f t="shared" si="263"/>
        <v>0.3611</v>
      </c>
      <c r="AL591" s="45">
        <f t="shared" si="264"/>
        <v>0.00348095238095238</v>
      </c>
      <c r="AM591" s="45">
        <f t="shared" si="265"/>
        <v>0.0012569719047619</v>
      </c>
      <c r="AN591" s="45">
        <f t="shared" si="266"/>
        <v>0.792187500000004</v>
      </c>
      <c r="AO591" s="45">
        <f t="shared" si="267"/>
        <v>0.792187500000004</v>
      </c>
      <c r="AP591" s="45">
        <f t="shared" si="268"/>
        <v>1.05625000000001</v>
      </c>
      <c r="AQ591" s="45">
        <f t="shared" si="269"/>
        <v>0</v>
      </c>
      <c r="AR591" s="45">
        <f t="shared" si="270"/>
        <v>0</v>
      </c>
      <c r="AS591" s="19">
        <f t="shared" si="271"/>
        <v>1.07916666666667</v>
      </c>
      <c r="AT591" s="19">
        <f t="shared" si="272"/>
        <v>1.03333333333334</v>
      </c>
      <c r="AU591" s="46">
        <v>0</v>
      </c>
      <c r="AV591" s="46">
        <v>0</v>
      </c>
      <c r="AW591" s="46">
        <v>0</v>
      </c>
      <c r="AX591" s="46">
        <v>1</v>
      </c>
      <c r="AY591" s="47">
        <v>0</v>
      </c>
      <c r="AZ591" s="47">
        <v>-1</v>
      </c>
    </row>
    <row r="592" hidden="1" customHeight="1" spans="1:52">
      <c r="A592" s="44">
        <v>45917</v>
      </c>
      <c r="B592" s="33">
        <f t="shared" si="255"/>
        <v>99</v>
      </c>
      <c r="C592" s="33">
        <f t="shared" si="256"/>
        <v>206</v>
      </c>
      <c r="D592" s="11">
        <f t="shared" si="257"/>
        <v>305</v>
      </c>
      <c r="E592" s="34">
        <f t="shared" si="279"/>
        <v>1.03645073257193e-5</v>
      </c>
      <c r="F592" s="35">
        <f t="shared" si="258"/>
        <v>0.00112369022177992</v>
      </c>
      <c r="G592" s="18">
        <f>(SUM($I$8:$I592)*(MAX(M$3-M$4,0))+(N592*MAX(M$4,0)))*(1-$AM$4)+(AM592*$AM$4)</f>
        <v>0.657358779741253</v>
      </c>
      <c r="H592" s="18">
        <f t="shared" si="273"/>
        <v>1.375</v>
      </c>
      <c r="I592" s="18">
        <f t="shared" si="259"/>
        <v>0.00987500000000002</v>
      </c>
      <c r="J592" s="18">
        <f t="shared" si="274"/>
        <v>0.768604111697466</v>
      </c>
      <c r="K592" s="18">
        <f t="shared" si="275"/>
        <v>0.00233733220507611</v>
      </c>
      <c r="L592" s="18">
        <f t="shared" si="276"/>
        <v>0.00718181818181819</v>
      </c>
      <c r="M592" s="18">
        <v>0.9205</v>
      </c>
      <c r="N592" s="18">
        <f t="shared" si="280"/>
        <v>0.9205</v>
      </c>
      <c r="O592" s="11">
        <v>0</v>
      </c>
      <c r="P592" s="11">
        <v>0</v>
      </c>
      <c r="Q592" s="11">
        <f t="shared" si="260"/>
        <v>1</v>
      </c>
      <c r="R592" s="11">
        <v>0</v>
      </c>
      <c r="S592" s="11">
        <f t="shared" si="277"/>
        <v>0</v>
      </c>
      <c r="T592" s="11">
        <v>0</v>
      </c>
      <c r="U592" s="11">
        <f t="shared" si="261"/>
        <v>1</v>
      </c>
      <c r="V592" s="11">
        <v>0</v>
      </c>
      <c r="W592" s="11">
        <f t="shared" si="262"/>
        <v>1</v>
      </c>
      <c r="X592" s="11">
        <f t="shared" si="278"/>
        <v>0</v>
      </c>
      <c r="Y592" s="19">
        <v>6</v>
      </c>
      <c r="Z592" s="11">
        <v>18</v>
      </c>
      <c r="AA592" s="11">
        <v>0</v>
      </c>
      <c r="AB592" s="11">
        <v>0</v>
      </c>
      <c r="AC592" s="11">
        <v>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45">
        <v>0</v>
      </c>
      <c r="AJ592" s="45">
        <v>0</v>
      </c>
      <c r="AK592" s="45">
        <f t="shared" si="263"/>
        <v>0.3611</v>
      </c>
      <c r="AL592" s="45">
        <f t="shared" si="264"/>
        <v>0.00348095238095238</v>
      </c>
      <c r="AM592" s="45">
        <f t="shared" si="265"/>
        <v>0.0012569719047619</v>
      </c>
      <c r="AN592" s="45">
        <f t="shared" si="266"/>
        <v>0.792187500000004</v>
      </c>
      <c r="AO592" s="45">
        <f t="shared" si="267"/>
        <v>0.792187500000004</v>
      </c>
      <c r="AP592" s="45">
        <f t="shared" si="268"/>
        <v>1.05625000000001</v>
      </c>
      <c r="AQ592" s="45">
        <f t="shared" si="269"/>
        <v>0</v>
      </c>
      <c r="AR592" s="45">
        <f t="shared" si="270"/>
        <v>0</v>
      </c>
      <c r="AS592" s="19">
        <f t="shared" si="271"/>
        <v>1.07916666666667</v>
      </c>
      <c r="AT592" s="19">
        <f t="shared" si="272"/>
        <v>1.03333333333334</v>
      </c>
      <c r="AU592" s="46">
        <v>0</v>
      </c>
      <c r="AV592" s="46">
        <v>0</v>
      </c>
      <c r="AW592" s="46">
        <v>0</v>
      </c>
      <c r="AX592" s="46">
        <v>1</v>
      </c>
      <c r="AY592" s="47">
        <v>0</v>
      </c>
      <c r="AZ592" s="47">
        <v>-1</v>
      </c>
    </row>
    <row r="593" hidden="1" customHeight="1" spans="1:52">
      <c r="A593" s="44">
        <v>45918</v>
      </c>
      <c r="B593" s="33">
        <f t="shared" si="255"/>
        <v>98</v>
      </c>
      <c r="C593" s="33">
        <f t="shared" si="256"/>
        <v>202</v>
      </c>
      <c r="D593" s="11">
        <f t="shared" si="257"/>
        <v>300</v>
      </c>
      <c r="E593" s="34">
        <f t="shared" si="279"/>
        <v>5.06069554730387e-6</v>
      </c>
      <c r="F593" s="35">
        <f t="shared" si="258"/>
        <v>0.00112875091732722</v>
      </c>
      <c r="G593" s="18">
        <f>(SUM($I$8:$I593)*(MAX(M$3-M$4,0))+(N593*MAX(M$4,0)))*(1-$AM$4)+(AM593*$AM$4)</f>
        <v>0.661448037553753</v>
      </c>
      <c r="H593" s="18">
        <f t="shared" si="273"/>
        <v>1.375</v>
      </c>
      <c r="I593" s="18">
        <f t="shared" si="259"/>
        <v>0.010609375</v>
      </c>
      <c r="J593" s="18">
        <f t="shared" si="274"/>
        <v>0.772065627451822</v>
      </c>
      <c r="K593" s="18">
        <f t="shared" si="275"/>
        <v>0.00232586094436917</v>
      </c>
      <c r="L593" s="18">
        <f t="shared" si="276"/>
        <v>0.0077159090909091</v>
      </c>
      <c r="M593" s="18">
        <v>0.9261</v>
      </c>
      <c r="N593" s="18">
        <f t="shared" si="280"/>
        <v>0.9261</v>
      </c>
      <c r="O593" s="11">
        <v>0</v>
      </c>
      <c r="P593" s="11">
        <v>0</v>
      </c>
      <c r="Q593" s="11">
        <f t="shared" si="260"/>
        <v>1</v>
      </c>
      <c r="R593" s="11">
        <v>0</v>
      </c>
      <c r="S593" s="11">
        <f t="shared" si="277"/>
        <v>0</v>
      </c>
      <c r="T593" s="11">
        <v>0</v>
      </c>
      <c r="U593" s="11">
        <f t="shared" si="261"/>
        <v>1</v>
      </c>
      <c r="V593" s="11">
        <v>0</v>
      </c>
      <c r="W593" s="11">
        <f t="shared" si="262"/>
        <v>1</v>
      </c>
      <c r="X593" s="11">
        <f t="shared" si="278"/>
        <v>0</v>
      </c>
      <c r="Y593" s="19">
        <v>5.25</v>
      </c>
      <c r="Z593" s="11">
        <v>21</v>
      </c>
      <c r="AA593" s="11">
        <v>0</v>
      </c>
      <c r="AB593" s="11">
        <v>0</v>
      </c>
      <c r="AC593" s="11">
        <v>0</v>
      </c>
      <c r="AD593" s="11">
        <v>0</v>
      </c>
      <c r="AE593" s="11">
        <v>0</v>
      </c>
      <c r="AF593" s="11">
        <v>0</v>
      </c>
      <c r="AG593" s="11">
        <v>0</v>
      </c>
      <c r="AH593" s="11">
        <v>0</v>
      </c>
      <c r="AI593" s="45">
        <v>0</v>
      </c>
      <c r="AJ593" s="45">
        <v>0</v>
      </c>
      <c r="AK593" s="45">
        <f t="shared" si="263"/>
        <v>0.3611</v>
      </c>
      <c r="AL593" s="45">
        <f t="shared" si="264"/>
        <v>0.00348095238095238</v>
      </c>
      <c r="AM593" s="45">
        <f t="shared" si="265"/>
        <v>0.0012569719047619</v>
      </c>
      <c r="AN593" s="45">
        <f t="shared" si="266"/>
        <v>0.792187500000004</v>
      </c>
      <c r="AO593" s="45">
        <f t="shared" si="267"/>
        <v>0.792187500000004</v>
      </c>
      <c r="AP593" s="45">
        <f t="shared" si="268"/>
        <v>1.05625000000001</v>
      </c>
      <c r="AQ593" s="45">
        <f t="shared" si="269"/>
        <v>0</v>
      </c>
      <c r="AR593" s="45">
        <f t="shared" si="270"/>
        <v>0</v>
      </c>
      <c r="AS593" s="19">
        <f t="shared" si="271"/>
        <v>1.07916666666667</v>
      </c>
      <c r="AT593" s="19">
        <f t="shared" si="272"/>
        <v>1.03333333333334</v>
      </c>
      <c r="AU593" s="46">
        <v>0</v>
      </c>
      <c r="AV593" s="46">
        <v>0</v>
      </c>
      <c r="AW593" s="46">
        <v>0</v>
      </c>
      <c r="AX593" s="46">
        <v>1</v>
      </c>
      <c r="AY593" s="47">
        <v>0</v>
      </c>
      <c r="AZ593" s="47">
        <v>-1</v>
      </c>
    </row>
    <row r="594" hidden="1" customHeight="1" spans="1:52">
      <c r="A594" s="44">
        <v>45919</v>
      </c>
      <c r="B594" s="33">
        <f t="shared" si="255"/>
        <v>97</v>
      </c>
      <c r="C594" s="33">
        <f t="shared" si="256"/>
        <v>198</v>
      </c>
      <c r="D594" s="11">
        <f t="shared" si="257"/>
        <v>295</v>
      </c>
      <c r="E594" s="34">
        <f t="shared" si="279"/>
        <v>5.06075493215117e-6</v>
      </c>
      <c r="F594" s="35">
        <f t="shared" si="258"/>
        <v>0.00113381167225938</v>
      </c>
      <c r="G594" s="18">
        <f>(SUM($I$8:$I594)*(MAX(M$3-M$4,0))+(N594*MAX(M$4,0)))*(1-$AM$4)+(AM594*$AM$4)</f>
        <v>0.665547451616253</v>
      </c>
      <c r="H594" s="18">
        <f t="shared" si="273"/>
        <v>1.375</v>
      </c>
      <c r="I594" s="18">
        <f t="shared" si="259"/>
        <v>0.0104635416666667</v>
      </c>
      <c r="J594" s="18">
        <f t="shared" si="274"/>
        <v>0.775527183825413</v>
      </c>
      <c r="K594" s="18">
        <f t="shared" si="275"/>
        <v>0.00231415274406791</v>
      </c>
      <c r="L594" s="18">
        <f t="shared" si="276"/>
        <v>0.0076098484848485</v>
      </c>
      <c r="M594" s="18">
        <v>0.9318</v>
      </c>
      <c r="N594" s="18">
        <f t="shared" si="280"/>
        <v>0.9318</v>
      </c>
      <c r="O594" s="11">
        <v>0</v>
      </c>
      <c r="P594" s="11">
        <v>0</v>
      </c>
      <c r="Q594" s="11">
        <f t="shared" si="260"/>
        <v>1</v>
      </c>
      <c r="R594" s="11">
        <v>0</v>
      </c>
      <c r="S594" s="11">
        <f t="shared" si="277"/>
        <v>0</v>
      </c>
      <c r="T594" s="11">
        <v>0</v>
      </c>
      <c r="U594" s="11">
        <f t="shared" si="261"/>
        <v>1</v>
      </c>
      <c r="V594" s="11">
        <v>0</v>
      </c>
      <c r="W594" s="11">
        <f t="shared" si="262"/>
        <v>1</v>
      </c>
      <c r="X594" s="11">
        <f t="shared" si="278"/>
        <v>0</v>
      </c>
      <c r="Y594" s="19">
        <v>4.25</v>
      </c>
      <c r="Z594" s="11">
        <v>22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45">
        <v>0</v>
      </c>
      <c r="AJ594" s="45">
        <v>0</v>
      </c>
      <c r="AK594" s="45">
        <f t="shared" si="263"/>
        <v>0.3611</v>
      </c>
      <c r="AL594" s="45">
        <f t="shared" si="264"/>
        <v>0.00348095238095238</v>
      </c>
      <c r="AM594" s="45">
        <f t="shared" si="265"/>
        <v>0.0012569719047619</v>
      </c>
      <c r="AN594" s="45">
        <f t="shared" si="266"/>
        <v>0.792187500000004</v>
      </c>
      <c r="AO594" s="45">
        <f t="shared" si="267"/>
        <v>0.792187500000004</v>
      </c>
      <c r="AP594" s="45">
        <f t="shared" si="268"/>
        <v>1.05625000000001</v>
      </c>
      <c r="AQ594" s="45">
        <f t="shared" si="269"/>
        <v>0</v>
      </c>
      <c r="AR594" s="45">
        <f t="shared" si="270"/>
        <v>0</v>
      </c>
      <c r="AS594" s="19">
        <f t="shared" si="271"/>
        <v>1.07916666666667</v>
      </c>
      <c r="AT594" s="19">
        <f t="shared" si="272"/>
        <v>1.03333333333334</v>
      </c>
      <c r="AU594" s="46">
        <v>0</v>
      </c>
      <c r="AV594" s="46">
        <v>0</v>
      </c>
      <c r="AW594" s="46">
        <v>0</v>
      </c>
      <c r="AX594" s="46">
        <v>1</v>
      </c>
      <c r="AY594" s="47">
        <v>0</v>
      </c>
      <c r="AZ594" s="47">
        <v>-1</v>
      </c>
    </row>
    <row r="595" hidden="1" customHeight="1" spans="1:52">
      <c r="A595" s="44">
        <v>45920</v>
      </c>
      <c r="B595" s="33">
        <f t="shared" si="255"/>
        <v>96</v>
      </c>
      <c r="C595" s="33">
        <f t="shared" si="256"/>
        <v>185</v>
      </c>
      <c r="D595" s="11">
        <f t="shared" si="257"/>
        <v>281</v>
      </c>
      <c r="E595" s="34">
        <f t="shared" si="279"/>
        <v>1.72469189247291e-5</v>
      </c>
      <c r="F595" s="35">
        <f t="shared" si="258"/>
        <v>0.0011510585911841</v>
      </c>
      <c r="G595" s="18">
        <f>(SUM($I$8:$I595)*(MAX(M$3-M$4,0))+(N595*MAX(M$4,0)))*(1-$AM$4)+(AM595*$AM$4)</f>
        <v>0.676822451616254</v>
      </c>
      <c r="H595" s="18">
        <f t="shared" si="273"/>
        <v>1.375</v>
      </c>
      <c r="I595" s="18">
        <f t="shared" si="259"/>
        <v>0.0203333333333334</v>
      </c>
      <c r="J595" s="18">
        <f t="shared" si="274"/>
        <v>0.787324076369928</v>
      </c>
      <c r="K595" s="18">
        <f t="shared" si="275"/>
        <v>0.00221537420447992</v>
      </c>
      <c r="L595" s="18">
        <f t="shared" si="276"/>
        <v>0.0147878787878788</v>
      </c>
      <c r="M595" s="18">
        <v>0.9517</v>
      </c>
      <c r="N595" s="18">
        <f t="shared" si="280"/>
        <v>0.9517</v>
      </c>
      <c r="O595" s="11">
        <v>0</v>
      </c>
      <c r="P595" s="11">
        <v>0</v>
      </c>
      <c r="Q595" s="11">
        <f t="shared" si="260"/>
        <v>1</v>
      </c>
      <c r="R595" s="11">
        <v>0</v>
      </c>
      <c r="S595" s="11">
        <f t="shared" si="277"/>
        <v>0</v>
      </c>
      <c r="T595" s="11">
        <v>0</v>
      </c>
      <c r="U595" s="11">
        <f t="shared" si="261"/>
        <v>1</v>
      </c>
      <c r="V595" s="11">
        <v>0</v>
      </c>
      <c r="W595" s="11">
        <f t="shared" si="262"/>
        <v>1</v>
      </c>
      <c r="X595" s="11">
        <f t="shared" si="278"/>
        <v>0</v>
      </c>
      <c r="Y595" s="19">
        <v>8.08</v>
      </c>
      <c r="Z595" s="11">
        <v>43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1">
        <v>0</v>
      </c>
      <c r="AG595" s="11">
        <v>0</v>
      </c>
      <c r="AH595" s="11">
        <v>0</v>
      </c>
      <c r="AI595" s="45">
        <v>0</v>
      </c>
      <c r="AJ595" s="45">
        <v>0</v>
      </c>
      <c r="AK595" s="45">
        <f t="shared" si="263"/>
        <v>0.3611</v>
      </c>
      <c r="AL595" s="45">
        <f t="shared" si="264"/>
        <v>0.00348095238095238</v>
      </c>
      <c r="AM595" s="45">
        <f t="shared" si="265"/>
        <v>0.0012569719047619</v>
      </c>
      <c r="AN595" s="45">
        <f t="shared" si="266"/>
        <v>0.792187500000004</v>
      </c>
      <c r="AO595" s="45">
        <f t="shared" si="267"/>
        <v>0.792187500000004</v>
      </c>
      <c r="AP595" s="45">
        <f t="shared" si="268"/>
        <v>1.05625000000001</v>
      </c>
      <c r="AQ595" s="45">
        <f t="shared" si="269"/>
        <v>0</v>
      </c>
      <c r="AR595" s="45">
        <f t="shared" si="270"/>
        <v>0</v>
      </c>
      <c r="AS595" s="19">
        <f t="shared" si="271"/>
        <v>1.07916666666667</v>
      </c>
      <c r="AT595" s="19">
        <f t="shared" si="272"/>
        <v>1.03333333333334</v>
      </c>
      <c r="AU595" s="46">
        <v>0</v>
      </c>
      <c r="AV595" s="46">
        <v>0</v>
      </c>
      <c r="AW595" s="46">
        <v>0</v>
      </c>
      <c r="AX595" s="46">
        <v>1</v>
      </c>
      <c r="AY595" s="47">
        <v>0</v>
      </c>
      <c r="AZ595" s="47">
        <v>-1</v>
      </c>
    </row>
    <row r="596" hidden="1" customHeight="1" spans="1:52">
      <c r="A596" s="44">
        <v>45921</v>
      </c>
      <c r="B596" s="33">
        <f t="shared" si="255"/>
        <v>95</v>
      </c>
      <c r="C596" s="33">
        <f t="shared" si="256"/>
        <v>171</v>
      </c>
      <c r="D596" s="11">
        <f t="shared" si="257"/>
        <v>266</v>
      </c>
      <c r="E596" s="34">
        <f t="shared" si="279"/>
        <v>1.81814980412835e-5</v>
      </c>
      <c r="F596" s="35">
        <f t="shared" si="258"/>
        <v>0.00116924008922539</v>
      </c>
      <c r="G596" s="18">
        <f>(SUM($I$8:$I596)*(MAX(M$3-M$4,0))+(N596*MAX(M$4,0)))*(1-$AM$4)+(AM596*$AM$4)</f>
        <v>0.688682412553754</v>
      </c>
      <c r="H596" s="18">
        <f t="shared" si="273"/>
        <v>1.375</v>
      </c>
      <c r="I596" s="18">
        <f t="shared" si="259"/>
        <v>0.023453125</v>
      </c>
      <c r="J596" s="18">
        <f t="shared" si="274"/>
        <v>0.799760221030166</v>
      </c>
      <c r="K596" s="18">
        <f t="shared" si="275"/>
        <v>0.00210778714705089</v>
      </c>
      <c r="L596" s="18">
        <f t="shared" si="276"/>
        <v>0.0170568181818182</v>
      </c>
      <c r="M596" s="18">
        <v>0.9716</v>
      </c>
      <c r="N596" s="18">
        <f t="shared" si="280"/>
        <v>0.9716</v>
      </c>
      <c r="O596" s="11">
        <v>0</v>
      </c>
      <c r="P596" s="11">
        <v>0</v>
      </c>
      <c r="Q596" s="11">
        <f t="shared" si="260"/>
        <v>1</v>
      </c>
      <c r="R596" s="11">
        <v>0</v>
      </c>
      <c r="S596" s="11">
        <f t="shared" si="277"/>
        <v>0</v>
      </c>
      <c r="T596" s="11">
        <v>0</v>
      </c>
      <c r="U596" s="11">
        <f t="shared" si="261"/>
        <v>1</v>
      </c>
      <c r="V596" s="11">
        <v>0</v>
      </c>
      <c r="W596" s="11">
        <f t="shared" si="262"/>
        <v>1</v>
      </c>
      <c r="X596" s="11">
        <f t="shared" si="278"/>
        <v>0</v>
      </c>
      <c r="Y596" s="19">
        <v>9.75</v>
      </c>
      <c r="Z596" s="11">
        <v>49</v>
      </c>
      <c r="AA596" s="11">
        <v>0</v>
      </c>
      <c r="AB596" s="11">
        <v>0</v>
      </c>
      <c r="AC596" s="11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45">
        <v>0</v>
      </c>
      <c r="AJ596" s="45">
        <v>0</v>
      </c>
      <c r="AK596" s="45">
        <f t="shared" si="263"/>
        <v>0.3611</v>
      </c>
      <c r="AL596" s="45">
        <f t="shared" si="264"/>
        <v>0.00348095238095238</v>
      </c>
      <c r="AM596" s="45">
        <f t="shared" si="265"/>
        <v>0.0012569719047619</v>
      </c>
      <c r="AN596" s="45">
        <f t="shared" si="266"/>
        <v>0.792187500000004</v>
      </c>
      <c r="AO596" s="45">
        <f t="shared" si="267"/>
        <v>0.792187500000004</v>
      </c>
      <c r="AP596" s="45">
        <f t="shared" si="268"/>
        <v>1.05625000000001</v>
      </c>
      <c r="AQ596" s="45">
        <f t="shared" si="269"/>
        <v>0</v>
      </c>
      <c r="AR596" s="45">
        <f t="shared" si="270"/>
        <v>0</v>
      </c>
      <c r="AS596" s="19">
        <f t="shared" si="271"/>
        <v>1.07916666666667</v>
      </c>
      <c r="AT596" s="19">
        <f t="shared" si="272"/>
        <v>1.03333333333334</v>
      </c>
      <c r="AU596" s="46">
        <v>0</v>
      </c>
      <c r="AV596" s="46">
        <v>0</v>
      </c>
      <c r="AW596" s="46">
        <v>0</v>
      </c>
      <c r="AX596" s="46">
        <v>1</v>
      </c>
      <c r="AY596" s="47">
        <v>0</v>
      </c>
      <c r="AZ596" s="47">
        <v>-1</v>
      </c>
    </row>
    <row r="597" hidden="1" customHeight="1" spans="1:52">
      <c r="A597" s="44">
        <v>45922</v>
      </c>
      <c r="B597" s="33">
        <f t="shared" si="255"/>
        <v>94</v>
      </c>
      <c r="C597" s="33">
        <f t="shared" si="256"/>
        <v>155</v>
      </c>
      <c r="D597" s="11">
        <f t="shared" si="257"/>
        <v>249</v>
      </c>
      <c r="E597" s="34">
        <f t="shared" si="279"/>
        <v>2.33270957174143e-5</v>
      </c>
      <c r="F597" s="35">
        <f t="shared" si="258"/>
        <v>0.0011925671849428</v>
      </c>
      <c r="G597" s="18">
        <f>(SUM($I$8:$I597)*(MAX(M$3-M$4,0))+(N597*MAX(M$4,0)))*(1-$AM$4)+(AM597*$AM$4)</f>
        <v>0.703614639116253</v>
      </c>
      <c r="H597" s="18">
        <f t="shared" si="273"/>
        <v>1.375</v>
      </c>
      <c r="I597" s="18">
        <f t="shared" si="259"/>
        <v>0.0228385416666667</v>
      </c>
      <c r="J597" s="18">
        <f t="shared" si="274"/>
        <v>0.815715954500877</v>
      </c>
      <c r="K597" s="18">
        <f t="shared" si="275"/>
        <v>0.00196046856913961</v>
      </c>
      <c r="L597" s="18">
        <f t="shared" si="276"/>
        <v>0.0166098484848485</v>
      </c>
      <c r="M597" s="18">
        <v>1</v>
      </c>
      <c r="N597" s="18">
        <f t="shared" si="280"/>
        <v>1</v>
      </c>
      <c r="O597" s="11">
        <v>0</v>
      </c>
      <c r="P597" s="11">
        <v>0</v>
      </c>
      <c r="Q597" s="11">
        <f t="shared" si="260"/>
        <v>1</v>
      </c>
      <c r="R597" s="11">
        <v>0</v>
      </c>
      <c r="S597" s="11">
        <f t="shared" si="277"/>
        <v>0</v>
      </c>
      <c r="T597" s="11">
        <v>0</v>
      </c>
      <c r="U597" s="11">
        <f t="shared" si="261"/>
        <v>1</v>
      </c>
      <c r="V597" s="11">
        <v>0</v>
      </c>
      <c r="W597" s="11">
        <f t="shared" si="262"/>
        <v>1</v>
      </c>
      <c r="X597" s="11">
        <f t="shared" si="278"/>
        <v>0</v>
      </c>
      <c r="Y597" s="19">
        <v>4.25</v>
      </c>
      <c r="Z597" s="11">
        <v>55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1">
        <v>0</v>
      </c>
      <c r="AG597" s="11">
        <v>0</v>
      </c>
      <c r="AH597" s="11">
        <v>0</v>
      </c>
      <c r="AI597" s="45">
        <v>0</v>
      </c>
      <c r="AJ597" s="45">
        <v>0</v>
      </c>
      <c r="AK597" s="45">
        <f t="shared" si="263"/>
        <v>0.3611</v>
      </c>
      <c r="AL597" s="45">
        <f t="shared" si="264"/>
        <v>0.00348095238095238</v>
      </c>
      <c r="AM597" s="45">
        <f t="shared" si="265"/>
        <v>0.0012569719047619</v>
      </c>
      <c r="AN597" s="45">
        <f t="shared" si="266"/>
        <v>0.792187500000004</v>
      </c>
      <c r="AO597" s="45">
        <f t="shared" si="267"/>
        <v>0.792187500000004</v>
      </c>
      <c r="AP597" s="45">
        <f t="shared" si="268"/>
        <v>1.05625000000001</v>
      </c>
      <c r="AQ597" s="45">
        <f t="shared" si="269"/>
        <v>0</v>
      </c>
      <c r="AR597" s="45">
        <f t="shared" si="270"/>
        <v>0</v>
      </c>
      <c r="AS597" s="19">
        <f t="shared" si="271"/>
        <v>1.07916666666667</v>
      </c>
      <c r="AT597" s="19">
        <f t="shared" si="272"/>
        <v>1.03333333333334</v>
      </c>
      <c r="AU597" s="46">
        <v>0</v>
      </c>
      <c r="AV597" s="46">
        <v>0</v>
      </c>
      <c r="AW597" s="46">
        <v>0</v>
      </c>
      <c r="AX597" s="46">
        <v>1</v>
      </c>
      <c r="AY597" s="47">
        <v>0</v>
      </c>
      <c r="AZ597" s="47">
        <v>-1</v>
      </c>
    </row>
    <row r="598" hidden="1" customHeight="1" spans="1:52">
      <c r="A598" s="44">
        <v>45923</v>
      </c>
      <c r="B598" s="33">
        <f t="shared" si="255"/>
        <v>93</v>
      </c>
      <c r="C598" s="33">
        <f t="shared" si="256"/>
        <v>156</v>
      </c>
      <c r="D598" s="11">
        <f t="shared" si="257"/>
        <v>249</v>
      </c>
      <c r="E598" s="34">
        <f t="shared" si="279"/>
        <v>-2.01788017756819e-6</v>
      </c>
      <c r="F598" s="35">
        <f t="shared" si="258"/>
        <v>0.00119054930476523</v>
      </c>
      <c r="G598" s="18">
        <f>(SUM($I$8:$I598)*(MAX(M$3-M$4,0))+(N598*MAX(M$4,0)))*(1-$AM$4)+(AM598*$AM$4)</f>
        <v>0.703614639116253</v>
      </c>
      <c r="H598" s="18">
        <f t="shared" si="273"/>
        <v>1.375</v>
      </c>
      <c r="I598" s="18">
        <f t="shared" si="259"/>
        <v>0</v>
      </c>
      <c r="J598" s="18">
        <f t="shared" si="274"/>
        <v>0.81433572445942</v>
      </c>
      <c r="K598" s="18">
        <f t="shared" si="275"/>
        <v>0.00199639005957613</v>
      </c>
      <c r="L598" s="18">
        <f t="shared" si="276"/>
        <v>0</v>
      </c>
      <c r="M598" s="18">
        <v>0</v>
      </c>
      <c r="N598" s="18">
        <f t="shared" si="280"/>
        <v>1</v>
      </c>
      <c r="O598" s="11">
        <v>0</v>
      </c>
      <c r="P598" s="11">
        <v>0</v>
      </c>
      <c r="Q598" s="11">
        <f t="shared" si="260"/>
        <v>1</v>
      </c>
      <c r="R598" s="11">
        <v>0</v>
      </c>
      <c r="S598" s="11">
        <f t="shared" si="277"/>
        <v>0</v>
      </c>
      <c r="T598" s="11">
        <v>0</v>
      </c>
      <c r="U598" s="11">
        <f t="shared" si="261"/>
        <v>1</v>
      </c>
      <c r="V598" s="11">
        <v>0</v>
      </c>
      <c r="W598" s="11">
        <f t="shared" si="262"/>
        <v>1</v>
      </c>
      <c r="X598" s="11">
        <f t="shared" si="278"/>
        <v>0</v>
      </c>
      <c r="Y598" s="19">
        <v>0</v>
      </c>
      <c r="Z598" s="11">
        <v>0</v>
      </c>
      <c r="AA598" s="11">
        <v>0</v>
      </c>
      <c r="AB598" s="11">
        <v>0</v>
      </c>
      <c r="AC598" s="11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45">
        <v>0</v>
      </c>
      <c r="AJ598" s="45">
        <v>0</v>
      </c>
      <c r="AK598" s="45">
        <f t="shared" si="263"/>
        <v>0.3611</v>
      </c>
      <c r="AL598" s="45">
        <f t="shared" si="264"/>
        <v>0.00348095238095238</v>
      </c>
      <c r="AM598" s="45">
        <f t="shared" si="265"/>
        <v>0.0012569719047619</v>
      </c>
      <c r="AN598" s="45">
        <f t="shared" si="266"/>
        <v>0.792187500000004</v>
      </c>
      <c r="AO598" s="45">
        <f t="shared" si="267"/>
        <v>0.792187500000004</v>
      </c>
      <c r="AP598" s="45">
        <f t="shared" si="268"/>
        <v>1.05625000000001</v>
      </c>
      <c r="AQ598" s="45">
        <f t="shared" si="269"/>
        <v>0</v>
      </c>
      <c r="AR598" s="45">
        <f t="shared" si="270"/>
        <v>0</v>
      </c>
      <c r="AS598" s="19">
        <f t="shared" si="271"/>
        <v>1.07916666666667</v>
      </c>
      <c r="AT598" s="19">
        <f t="shared" si="272"/>
        <v>1.03333333333334</v>
      </c>
      <c r="AU598" s="46">
        <v>0</v>
      </c>
      <c r="AV598" s="46">
        <v>0</v>
      </c>
      <c r="AW598" s="46">
        <v>0</v>
      </c>
      <c r="AX598" s="46">
        <v>1</v>
      </c>
      <c r="AY598" s="47">
        <v>0</v>
      </c>
      <c r="AZ598" s="47">
        <v>-1</v>
      </c>
    </row>
    <row r="599" hidden="1" customHeight="1" spans="1:52">
      <c r="A599" s="44">
        <v>45924</v>
      </c>
      <c r="B599" s="33">
        <f t="shared" si="255"/>
        <v>92</v>
      </c>
      <c r="C599" s="33">
        <f t="shared" si="256"/>
        <v>157</v>
      </c>
      <c r="D599" s="11">
        <f t="shared" si="257"/>
        <v>249</v>
      </c>
      <c r="E599" s="34">
        <f t="shared" si="279"/>
        <v>-2.01106301480616e-6</v>
      </c>
      <c r="F599" s="35">
        <f t="shared" si="258"/>
        <v>0.00118853824175043</v>
      </c>
      <c r="G599" s="18">
        <f>(SUM($I$8:$I599)*(MAX(M$3-M$4,0))+(N599*MAX(M$4,0)))*(1-$AM$4)+(AM599*$AM$4)</f>
        <v>0.703614639116253</v>
      </c>
      <c r="H599" s="18">
        <f t="shared" si="273"/>
        <v>1.375</v>
      </c>
      <c r="I599" s="18">
        <f t="shared" si="259"/>
        <v>0</v>
      </c>
      <c r="J599" s="18">
        <f t="shared" si="274"/>
        <v>0.812960157357293</v>
      </c>
      <c r="K599" s="18">
        <f t="shared" si="275"/>
        <v>0.00203304176785551</v>
      </c>
      <c r="L599" s="18">
        <f t="shared" si="276"/>
        <v>0</v>
      </c>
      <c r="M599" s="18">
        <v>0</v>
      </c>
      <c r="N599" s="18">
        <f t="shared" si="280"/>
        <v>1</v>
      </c>
      <c r="O599" s="11">
        <v>0</v>
      </c>
      <c r="P599" s="11">
        <v>0</v>
      </c>
      <c r="Q599" s="11">
        <f t="shared" si="260"/>
        <v>1</v>
      </c>
      <c r="R599" s="11">
        <v>0</v>
      </c>
      <c r="S599" s="11">
        <f t="shared" si="277"/>
        <v>0</v>
      </c>
      <c r="T599" s="11">
        <v>0</v>
      </c>
      <c r="U599" s="11">
        <f t="shared" si="261"/>
        <v>1</v>
      </c>
      <c r="V599" s="11">
        <v>0</v>
      </c>
      <c r="W599" s="11">
        <f t="shared" si="262"/>
        <v>1</v>
      </c>
      <c r="X599" s="11">
        <f t="shared" si="278"/>
        <v>0</v>
      </c>
      <c r="Y599" s="19">
        <v>0</v>
      </c>
      <c r="Z599" s="11">
        <v>0</v>
      </c>
      <c r="AA599" s="11">
        <v>0</v>
      </c>
      <c r="AB599" s="11">
        <v>0</v>
      </c>
      <c r="AC599" s="11">
        <v>0</v>
      </c>
      <c r="AD599" s="11">
        <v>0</v>
      </c>
      <c r="AE599" s="11">
        <v>0</v>
      </c>
      <c r="AF599" s="11">
        <v>0</v>
      </c>
      <c r="AG599" s="11">
        <v>0</v>
      </c>
      <c r="AH599" s="11">
        <v>0</v>
      </c>
      <c r="AI599" s="45">
        <v>0</v>
      </c>
      <c r="AJ599" s="45">
        <v>0</v>
      </c>
      <c r="AK599" s="45">
        <f t="shared" si="263"/>
        <v>0.3611</v>
      </c>
      <c r="AL599" s="45">
        <f t="shared" si="264"/>
        <v>0.00348095238095238</v>
      </c>
      <c r="AM599" s="45">
        <f t="shared" si="265"/>
        <v>0.0012569719047619</v>
      </c>
      <c r="AN599" s="45">
        <f t="shared" si="266"/>
        <v>0.792187500000004</v>
      </c>
      <c r="AO599" s="45">
        <f t="shared" si="267"/>
        <v>0.792187500000004</v>
      </c>
      <c r="AP599" s="45">
        <f t="shared" si="268"/>
        <v>1.05625000000001</v>
      </c>
      <c r="AQ599" s="45">
        <f t="shared" si="269"/>
        <v>0</v>
      </c>
      <c r="AR599" s="45">
        <f t="shared" si="270"/>
        <v>0</v>
      </c>
      <c r="AS599" s="19">
        <f t="shared" si="271"/>
        <v>1.07916666666667</v>
      </c>
      <c r="AT599" s="19">
        <f t="shared" si="272"/>
        <v>1.03333333333334</v>
      </c>
      <c r="AU599" s="46">
        <v>0</v>
      </c>
      <c r="AV599" s="46">
        <v>0</v>
      </c>
      <c r="AW599" s="46">
        <v>0</v>
      </c>
      <c r="AX599" s="46">
        <v>1</v>
      </c>
      <c r="AY599" s="47">
        <v>0</v>
      </c>
      <c r="AZ599" s="47">
        <v>-1</v>
      </c>
    </row>
    <row r="600" hidden="1" customHeight="1" spans="1:52">
      <c r="A600" s="44">
        <v>45925</v>
      </c>
      <c r="B600" s="33">
        <f t="shared" si="255"/>
        <v>91</v>
      </c>
      <c r="C600" s="33">
        <f t="shared" si="256"/>
        <v>159</v>
      </c>
      <c r="D600" s="11">
        <f t="shared" si="257"/>
        <v>250</v>
      </c>
      <c r="E600" s="34">
        <f t="shared" si="279"/>
        <v>-2.0042803402199e-6</v>
      </c>
      <c r="F600" s="35">
        <f t="shared" si="258"/>
        <v>0.00118653396141021</v>
      </c>
      <c r="G600" s="18">
        <f>(SUM($I$8:$I600)*(MAX(M$3-M$4,0))+(N600*MAX(M$4,0)))*(1-$AM$4)+(AM600*$AM$4)</f>
        <v>0.703614639116253</v>
      </c>
      <c r="H600" s="18">
        <f t="shared" si="273"/>
        <v>1.375</v>
      </c>
      <c r="I600" s="18">
        <f t="shared" si="259"/>
        <v>0</v>
      </c>
      <c r="J600" s="18">
        <f t="shared" si="274"/>
        <v>0.811589229604582</v>
      </c>
      <c r="K600" s="18">
        <f t="shared" si="275"/>
        <v>0.00207044802632327</v>
      </c>
      <c r="L600" s="18">
        <f t="shared" si="276"/>
        <v>0</v>
      </c>
      <c r="M600" s="18">
        <v>0</v>
      </c>
      <c r="N600" s="18">
        <f t="shared" si="280"/>
        <v>1</v>
      </c>
      <c r="O600" s="11">
        <v>0</v>
      </c>
      <c r="P600" s="11">
        <v>0</v>
      </c>
      <c r="Q600" s="11">
        <f t="shared" si="260"/>
        <v>1</v>
      </c>
      <c r="R600" s="11">
        <v>0</v>
      </c>
      <c r="S600" s="11">
        <f t="shared" si="277"/>
        <v>0</v>
      </c>
      <c r="T600" s="11">
        <v>0</v>
      </c>
      <c r="U600" s="11">
        <f t="shared" si="261"/>
        <v>1</v>
      </c>
      <c r="V600" s="11">
        <v>0</v>
      </c>
      <c r="W600" s="11">
        <f t="shared" si="262"/>
        <v>1</v>
      </c>
      <c r="X600" s="11">
        <f t="shared" si="278"/>
        <v>0</v>
      </c>
      <c r="Y600" s="19">
        <v>0</v>
      </c>
      <c r="Z600" s="11">
        <v>0</v>
      </c>
      <c r="AA600" s="11">
        <v>0</v>
      </c>
      <c r="AB600" s="11">
        <v>0</v>
      </c>
      <c r="AC600" s="11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45">
        <v>0</v>
      </c>
      <c r="AJ600" s="45">
        <v>0</v>
      </c>
      <c r="AK600" s="45">
        <f t="shared" si="263"/>
        <v>0.3611</v>
      </c>
      <c r="AL600" s="45">
        <f t="shared" si="264"/>
        <v>0.00348095238095238</v>
      </c>
      <c r="AM600" s="45">
        <f t="shared" si="265"/>
        <v>0.0012569719047619</v>
      </c>
      <c r="AN600" s="45">
        <f t="shared" si="266"/>
        <v>0.792187500000004</v>
      </c>
      <c r="AO600" s="45">
        <f t="shared" si="267"/>
        <v>0.792187500000004</v>
      </c>
      <c r="AP600" s="45">
        <f t="shared" si="268"/>
        <v>1.05625000000001</v>
      </c>
      <c r="AQ600" s="45">
        <f t="shared" si="269"/>
        <v>0</v>
      </c>
      <c r="AR600" s="45">
        <f t="shared" si="270"/>
        <v>0</v>
      </c>
      <c r="AS600" s="19">
        <f t="shared" si="271"/>
        <v>1.07916666666667</v>
      </c>
      <c r="AT600" s="19">
        <f t="shared" si="272"/>
        <v>1.03333333333334</v>
      </c>
      <c r="AU600" s="46">
        <v>0</v>
      </c>
      <c r="AV600" s="46">
        <v>0</v>
      </c>
      <c r="AW600" s="46">
        <v>0</v>
      </c>
      <c r="AX600" s="46">
        <v>1</v>
      </c>
      <c r="AY600" s="47">
        <v>0</v>
      </c>
      <c r="AZ600" s="47">
        <v>-1</v>
      </c>
    </row>
    <row r="601" hidden="1" customHeight="1" spans="1:52">
      <c r="A601" s="44">
        <v>45926</v>
      </c>
      <c r="B601" s="33">
        <f t="shared" si="255"/>
        <v>90</v>
      </c>
      <c r="C601" s="33">
        <f t="shared" si="256"/>
        <v>160</v>
      </c>
      <c r="D601" s="11">
        <f t="shared" si="257"/>
        <v>250</v>
      </c>
      <c r="E601" s="34">
        <f t="shared" si="279"/>
        <v>-1.99753192156615e-6</v>
      </c>
      <c r="F601" s="35">
        <f t="shared" si="258"/>
        <v>0.00118453642948864</v>
      </c>
      <c r="G601" s="18">
        <f>(SUM($I$8:$I601)*(MAX(M$3-M$4,0))+(N601*MAX(M$4,0)))*(1-$AM$4)+(AM601*$AM$4)</f>
        <v>0.703614639116253</v>
      </c>
      <c r="H601" s="18">
        <f t="shared" si="273"/>
        <v>1.375</v>
      </c>
      <c r="I601" s="18">
        <f t="shared" si="259"/>
        <v>0</v>
      </c>
      <c r="J601" s="18">
        <f t="shared" si="274"/>
        <v>0.810222917770231</v>
      </c>
      <c r="K601" s="18">
        <f t="shared" si="275"/>
        <v>0.00210863424699743</v>
      </c>
      <c r="L601" s="18">
        <f t="shared" si="276"/>
        <v>0</v>
      </c>
      <c r="M601" s="18">
        <v>0</v>
      </c>
      <c r="N601" s="18">
        <f t="shared" si="280"/>
        <v>1</v>
      </c>
      <c r="O601" s="11">
        <v>0</v>
      </c>
      <c r="P601" s="11">
        <v>0</v>
      </c>
      <c r="Q601" s="11">
        <f t="shared" si="260"/>
        <v>1</v>
      </c>
      <c r="R601" s="11">
        <v>0</v>
      </c>
      <c r="S601" s="11">
        <f t="shared" si="277"/>
        <v>0</v>
      </c>
      <c r="T601" s="11">
        <v>0</v>
      </c>
      <c r="U601" s="11">
        <f t="shared" si="261"/>
        <v>1</v>
      </c>
      <c r="V601" s="11">
        <v>0</v>
      </c>
      <c r="W601" s="11">
        <f t="shared" si="262"/>
        <v>1</v>
      </c>
      <c r="X601" s="11">
        <f t="shared" si="278"/>
        <v>0</v>
      </c>
      <c r="Y601" s="19">
        <v>0</v>
      </c>
      <c r="Z601" s="11">
        <v>0</v>
      </c>
      <c r="AA601" s="11">
        <v>0</v>
      </c>
      <c r="AB601" s="11">
        <v>0</v>
      </c>
      <c r="AC601" s="11">
        <v>0</v>
      </c>
      <c r="AD601" s="11">
        <v>0</v>
      </c>
      <c r="AE601" s="11">
        <v>0</v>
      </c>
      <c r="AF601" s="11">
        <v>0</v>
      </c>
      <c r="AG601" s="11">
        <v>0</v>
      </c>
      <c r="AH601" s="11">
        <v>0</v>
      </c>
      <c r="AI601" s="45">
        <v>0</v>
      </c>
      <c r="AJ601" s="45">
        <v>0</v>
      </c>
      <c r="AK601" s="45">
        <f t="shared" si="263"/>
        <v>0.3611</v>
      </c>
      <c r="AL601" s="45">
        <f t="shared" si="264"/>
        <v>0.00348095238095238</v>
      </c>
      <c r="AM601" s="45">
        <f t="shared" si="265"/>
        <v>0.0012569719047619</v>
      </c>
      <c r="AN601" s="45">
        <f t="shared" si="266"/>
        <v>0.792187500000004</v>
      </c>
      <c r="AO601" s="45">
        <f t="shared" si="267"/>
        <v>0.792187500000004</v>
      </c>
      <c r="AP601" s="45">
        <f t="shared" si="268"/>
        <v>1.05625000000001</v>
      </c>
      <c r="AQ601" s="45">
        <f t="shared" si="269"/>
        <v>0</v>
      </c>
      <c r="AR601" s="45">
        <f t="shared" si="270"/>
        <v>0</v>
      </c>
      <c r="AS601" s="19">
        <f t="shared" si="271"/>
        <v>1.07916666666667</v>
      </c>
      <c r="AT601" s="19">
        <f t="shared" si="272"/>
        <v>1.03333333333334</v>
      </c>
      <c r="AU601" s="46">
        <v>0</v>
      </c>
      <c r="AV601" s="46">
        <v>0</v>
      </c>
      <c r="AW601" s="46">
        <v>0</v>
      </c>
      <c r="AX601" s="46">
        <v>1</v>
      </c>
      <c r="AY601" s="47">
        <v>0</v>
      </c>
      <c r="AZ601" s="47">
        <v>-1</v>
      </c>
    </row>
    <row r="602" hidden="1" customHeight="1" spans="1:52">
      <c r="A602" s="44">
        <v>45927</v>
      </c>
      <c r="B602" s="33">
        <f t="shared" ref="B602:B665" si="281">B$2-A602+1</f>
        <v>89</v>
      </c>
      <c r="C602" s="33">
        <f t="shared" ref="C602:C665" si="282">D602-B602</f>
        <v>160</v>
      </c>
      <c r="D602" s="11">
        <f t="shared" ref="D602:D665" si="283">IF(F602&gt;0,ROUND(((1-G602)/F602),0),FACT(128))</f>
        <v>249</v>
      </c>
      <c r="E602" s="34">
        <f t="shared" si="279"/>
        <v>-1.21033156469819e-7</v>
      </c>
      <c r="F602" s="35">
        <f t="shared" ref="F602:F665" si="284">G602/(ROW()-7)</f>
        <v>0.00118441539633217</v>
      </c>
      <c r="G602" s="18">
        <f>(SUM($I$8:$I602)*(MAX(M$3-M$4,0))+(N602*MAX(M$4,0)))*(1-$AM$4)+(AM602*$AM$4)</f>
        <v>0.704727160817642</v>
      </c>
      <c r="H602" s="18">
        <f t="shared" si="273"/>
        <v>1.375</v>
      </c>
      <c r="I602" s="18">
        <f t="shared" ref="I602:I665" si="285">L602*H602</f>
        <v>0.00593344907407409</v>
      </c>
      <c r="J602" s="18">
        <f t="shared" si="274"/>
        <v>0.810140131091206</v>
      </c>
      <c r="K602" s="18">
        <f t="shared" si="275"/>
        <v>0.0021332569540314</v>
      </c>
      <c r="L602" s="18">
        <f t="shared" si="276"/>
        <v>0.0043152356902357</v>
      </c>
      <c r="M602" s="18">
        <v>0</v>
      </c>
      <c r="N602" s="18">
        <f t="shared" si="280"/>
        <v>1</v>
      </c>
      <c r="O602" s="11">
        <v>22</v>
      </c>
      <c r="P602" s="11">
        <v>22</v>
      </c>
      <c r="Q602" s="11">
        <f t="shared" ref="Q602:Q665" si="286">($P$2-$P$4)+((P602/(MAX(1/FACT(128),O602)))*$P$4)</f>
        <v>1.5</v>
      </c>
      <c r="R602" s="11">
        <v>10800</v>
      </c>
      <c r="S602" s="11">
        <f t="shared" si="277"/>
        <v>0.244444444444444</v>
      </c>
      <c r="T602" s="11">
        <v>17</v>
      </c>
      <c r="U602" s="11">
        <f t="shared" ref="U602:U665" si="287">MAX(1,T602)/(MAX(1,O602))</f>
        <v>0.772727272727273</v>
      </c>
      <c r="V602" s="11">
        <v>0</v>
      </c>
      <c r="W602" s="11">
        <f t="shared" ref="W602:W665" si="288">($V$4*V602/(MAX(1,O602)))+1</f>
        <v>1</v>
      </c>
      <c r="X602" s="11">
        <f t="shared" si="278"/>
        <v>6.23333333333333</v>
      </c>
      <c r="Y602" s="19">
        <v>2.25</v>
      </c>
      <c r="Z602" s="11">
        <v>0</v>
      </c>
      <c r="AA602" s="11">
        <v>0</v>
      </c>
      <c r="AB602" s="11">
        <v>0</v>
      </c>
      <c r="AC602" s="11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45">
        <v>0</v>
      </c>
      <c r="AJ602" s="45">
        <v>0</v>
      </c>
      <c r="AK602" s="45">
        <f t="shared" ref="AK602:AK665" si="289">IF(AI602&gt;0,AI602,AK601)</f>
        <v>0.3611</v>
      </c>
      <c r="AL602" s="45">
        <f t="shared" ref="AL602:AL665" si="290">IF(AJ602&gt;0,AJ602,AL601)</f>
        <v>0.00348095238095238</v>
      </c>
      <c r="AM602" s="45">
        <f t="shared" ref="AM602:AM665" si="291">AL602*AK602</f>
        <v>0.0012569719047619</v>
      </c>
      <c r="AN602" s="45">
        <f t="shared" ref="AN602:AN665" si="292">IFERROR(AVERAGEIF(AO595:AO601,"&gt;0",AO595:AO601),0)</f>
        <v>0.792187500000004</v>
      </c>
      <c r="AO602" s="45">
        <f t="shared" ref="AO602:AO665" si="293">AP602*0.75+AQ602*0.125+AR602*0.125</f>
        <v>0.792187500000004</v>
      </c>
      <c r="AP602" s="45">
        <f t="shared" ref="AP602:AP665" si="294">AVERAGE(AS602:AT602)</f>
        <v>1.05625000000001</v>
      </c>
      <c r="AQ602" s="45">
        <f t="shared" ref="AQ602:AQ665" si="295">AY602/AQ$5</f>
        <v>0</v>
      </c>
      <c r="AR602" s="45">
        <f t="shared" ref="AR602:AR665" si="296">IF(AZ602&gt;=0,1/(AZ602+1),0)</f>
        <v>0</v>
      </c>
      <c r="AS602" s="19">
        <f t="shared" ref="AS602:AS665" si="297">IF((("24:00"-AX602+AU602)/$AS$5)&gt;0,(("24:00"-AX602+AU602)/$AS$5),AS601)</f>
        <v>1.07916666666667</v>
      </c>
      <c r="AT602" s="19">
        <f t="shared" ref="AT602:AT665" si="298">IF(((AW602-AV602)/$AT$5)&gt;0,((AW602-AV602)/$AT$5),AT601)</f>
        <v>1.03333333333334</v>
      </c>
      <c r="AU602" s="46">
        <v>0</v>
      </c>
      <c r="AV602" s="46">
        <v>0</v>
      </c>
      <c r="AW602" s="46">
        <v>0</v>
      </c>
      <c r="AX602" s="46">
        <v>1</v>
      </c>
      <c r="AY602" s="47">
        <v>0</v>
      </c>
      <c r="AZ602" s="47">
        <v>-1</v>
      </c>
    </row>
    <row r="603" hidden="1" customHeight="1" spans="1:52">
      <c r="A603" s="44">
        <v>45928</v>
      </c>
      <c r="B603" s="33">
        <f t="shared" si="281"/>
        <v>88</v>
      </c>
      <c r="C603" s="33">
        <f t="shared" si="282"/>
        <v>162</v>
      </c>
      <c r="D603" s="11">
        <f t="shared" si="283"/>
        <v>250</v>
      </c>
      <c r="E603" s="34">
        <f t="shared" si="279"/>
        <v>-1.98727415491986e-6</v>
      </c>
      <c r="F603" s="35">
        <f t="shared" si="284"/>
        <v>0.00118242812217725</v>
      </c>
      <c r="G603" s="18">
        <f>(SUM($I$8:$I603)*(MAX(M$3-M$4,0))+(N603*MAX(M$4,0)))*(1-$AM$4)+(AM603*$AM$4)</f>
        <v>0.704727160817642</v>
      </c>
      <c r="H603" s="18">
        <f t="shared" si="273"/>
        <v>1.375</v>
      </c>
      <c r="I603" s="18">
        <f t="shared" si="285"/>
        <v>0</v>
      </c>
      <c r="J603" s="18">
        <f t="shared" si="274"/>
        <v>0.808780835569241</v>
      </c>
      <c r="K603" s="18">
        <f t="shared" si="275"/>
        <v>0.00217294505034954</v>
      </c>
      <c r="L603" s="18">
        <f t="shared" si="276"/>
        <v>0</v>
      </c>
      <c r="M603" s="18">
        <v>0</v>
      </c>
      <c r="N603" s="18">
        <f t="shared" si="280"/>
        <v>1</v>
      </c>
      <c r="O603" s="11">
        <v>0</v>
      </c>
      <c r="P603" s="11">
        <v>0</v>
      </c>
      <c r="Q603" s="11">
        <f t="shared" si="286"/>
        <v>1</v>
      </c>
      <c r="R603" s="11">
        <v>0</v>
      </c>
      <c r="S603" s="11">
        <f t="shared" si="277"/>
        <v>0</v>
      </c>
      <c r="T603" s="11">
        <v>0</v>
      </c>
      <c r="U603" s="11">
        <f t="shared" si="287"/>
        <v>1</v>
      </c>
      <c r="V603" s="11">
        <v>0</v>
      </c>
      <c r="W603" s="11">
        <f t="shared" si="288"/>
        <v>1</v>
      </c>
      <c r="X603" s="11">
        <f t="shared" si="278"/>
        <v>0</v>
      </c>
      <c r="Y603" s="19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1">
        <v>0</v>
      </c>
      <c r="AG603" s="11">
        <v>0</v>
      </c>
      <c r="AH603" s="11">
        <v>0</v>
      </c>
      <c r="AI603" s="45">
        <v>0</v>
      </c>
      <c r="AJ603" s="45">
        <v>0</v>
      </c>
      <c r="AK603" s="45">
        <f t="shared" si="289"/>
        <v>0.3611</v>
      </c>
      <c r="AL603" s="45">
        <f t="shared" si="290"/>
        <v>0.00348095238095238</v>
      </c>
      <c r="AM603" s="45">
        <f t="shared" si="291"/>
        <v>0.0012569719047619</v>
      </c>
      <c r="AN603" s="45">
        <f t="shared" si="292"/>
        <v>0.792187500000004</v>
      </c>
      <c r="AO603" s="45">
        <f t="shared" si="293"/>
        <v>0.792187500000004</v>
      </c>
      <c r="AP603" s="45">
        <f t="shared" si="294"/>
        <v>1.05625000000001</v>
      </c>
      <c r="AQ603" s="45">
        <f t="shared" si="295"/>
        <v>0</v>
      </c>
      <c r="AR603" s="45">
        <f t="shared" si="296"/>
        <v>0</v>
      </c>
      <c r="AS603" s="19">
        <f t="shared" si="297"/>
        <v>1.07916666666667</v>
      </c>
      <c r="AT603" s="19">
        <f t="shared" si="298"/>
        <v>1.03333333333334</v>
      </c>
      <c r="AU603" s="46">
        <v>0</v>
      </c>
      <c r="AV603" s="46">
        <v>0</v>
      </c>
      <c r="AW603" s="46">
        <v>0</v>
      </c>
      <c r="AX603" s="46">
        <v>1</v>
      </c>
      <c r="AY603" s="47">
        <v>0</v>
      </c>
      <c r="AZ603" s="47">
        <v>-1</v>
      </c>
    </row>
    <row r="604" hidden="1" customHeight="1" spans="1:52">
      <c r="A604" s="44">
        <v>45929</v>
      </c>
      <c r="B604" s="33">
        <f t="shared" si="281"/>
        <v>87</v>
      </c>
      <c r="C604" s="33">
        <f t="shared" si="282"/>
        <v>163</v>
      </c>
      <c r="D604" s="11">
        <f t="shared" si="283"/>
        <v>250</v>
      </c>
      <c r="E604" s="34">
        <f t="shared" si="279"/>
        <v>-1.98061662006247e-6</v>
      </c>
      <c r="F604" s="35">
        <f t="shared" si="284"/>
        <v>0.00118044750555719</v>
      </c>
      <c r="G604" s="18">
        <f>(SUM($I$8:$I604)*(MAX(M$3-M$4,0))+(N604*MAX(M$4,0)))*(1-$AM$4)+(AM604*$AM$4)</f>
        <v>0.704727160817642</v>
      </c>
      <c r="H604" s="18">
        <f t="shared" si="273"/>
        <v>1.375</v>
      </c>
      <c r="I604" s="18">
        <f t="shared" si="285"/>
        <v>0</v>
      </c>
      <c r="J604" s="18">
        <f t="shared" si="274"/>
        <v>0.807426093801118</v>
      </c>
      <c r="K604" s="18">
        <f t="shared" si="275"/>
        <v>0.00221349317469979</v>
      </c>
      <c r="L604" s="18">
        <f t="shared" si="276"/>
        <v>0</v>
      </c>
      <c r="M604" s="18">
        <v>0</v>
      </c>
      <c r="N604" s="18">
        <f t="shared" si="280"/>
        <v>1</v>
      </c>
      <c r="O604" s="11">
        <v>0</v>
      </c>
      <c r="P604" s="11">
        <v>0</v>
      </c>
      <c r="Q604" s="11">
        <f t="shared" si="286"/>
        <v>1</v>
      </c>
      <c r="R604" s="11">
        <v>0</v>
      </c>
      <c r="S604" s="11">
        <f t="shared" si="277"/>
        <v>0</v>
      </c>
      <c r="T604" s="11">
        <v>0</v>
      </c>
      <c r="U604" s="11">
        <f t="shared" si="287"/>
        <v>1</v>
      </c>
      <c r="V604" s="11">
        <v>0</v>
      </c>
      <c r="W604" s="11">
        <f t="shared" si="288"/>
        <v>1</v>
      </c>
      <c r="X604" s="11">
        <f t="shared" si="278"/>
        <v>0</v>
      </c>
      <c r="Y604" s="19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45">
        <v>0</v>
      </c>
      <c r="AJ604" s="45">
        <v>0</v>
      </c>
      <c r="AK604" s="45">
        <f t="shared" si="289"/>
        <v>0.3611</v>
      </c>
      <c r="AL604" s="45">
        <f t="shared" si="290"/>
        <v>0.00348095238095238</v>
      </c>
      <c r="AM604" s="45">
        <f t="shared" si="291"/>
        <v>0.0012569719047619</v>
      </c>
      <c r="AN604" s="45">
        <f t="shared" si="292"/>
        <v>0.792187500000004</v>
      </c>
      <c r="AO604" s="45">
        <f t="shared" si="293"/>
        <v>0.792187500000004</v>
      </c>
      <c r="AP604" s="45">
        <f t="shared" si="294"/>
        <v>1.05625000000001</v>
      </c>
      <c r="AQ604" s="45">
        <f t="shared" si="295"/>
        <v>0</v>
      </c>
      <c r="AR604" s="45">
        <f t="shared" si="296"/>
        <v>0</v>
      </c>
      <c r="AS604" s="19">
        <f t="shared" si="297"/>
        <v>1.07916666666667</v>
      </c>
      <c r="AT604" s="19">
        <f t="shared" si="298"/>
        <v>1.03333333333334</v>
      </c>
      <c r="AU604" s="46">
        <v>0</v>
      </c>
      <c r="AV604" s="46">
        <v>0</v>
      </c>
      <c r="AW604" s="46">
        <v>0</v>
      </c>
      <c r="AX604" s="46">
        <v>1</v>
      </c>
      <c r="AY604" s="47">
        <v>0</v>
      </c>
      <c r="AZ604" s="47">
        <v>-1</v>
      </c>
    </row>
    <row r="605" hidden="1" customHeight="1" spans="1:52">
      <c r="A605" s="44">
        <v>45930</v>
      </c>
      <c r="B605" s="33">
        <f t="shared" si="281"/>
        <v>86</v>
      </c>
      <c r="C605" s="33">
        <f t="shared" si="282"/>
        <v>165</v>
      </c>
      <c r="D605" s="11">
        <f t="shared" si="283"/>
        <v>251</v>
      </c>
      <c r="E605" s="34">
        <f t="shared" si="279"/>
        <v>-1.97399248420935e-6</v>
      </c>
      <c r="F605" s="35">
        <f t="shared" si="284"/>
        <v>0.00117847351307298</v>
      </c>
      <c r="G605" s="18">
        <f>(SUM($I$8:$I605)*(MAX(M$3-M$4,0))+(N605*MAX(M$4,0)))*(1-$AM$4)+(AM605*$AM$4)</f>
        <v>0.704727160817642</v>
      </c>
      <c r="H605" s="18">
        <f t="shared" si="273"/>
        <v>1.375</v>
      </c>
      <c r="I605" s="18">
        <f t="shared" si="285"/>
        <v>0</v>
      </c>
      <c r="J605" s="18">
        <f t="shared" si="274"/>
        <v>0.806075882941919</v>
      </c>
      <c r="K605" s="18">
        <f t="shared" si="275"/>
        <v>0.00225493159369862</v>
      </c>
      <c r="L605" s="18">
        <f t="shared" si="276"/>
        <v>0</v>
      </c>
      <c r="M605" s="18">
        <v>0</v>
      </c>
      <c r="N605" s="18">
        <f t="shared" si="280"/>
        <v>1</v>
      </c>
      <c r="O605" s="11">
        <v>0</v>
      </c>
      <c r="P605" s="11">
        <v>0</v>
      </c>
      <c r="Q605" s="11">
        <f t="shared" si="286"/>
        <v>1</v>
      </c>
      <c r="R605" s="11">
        <v>0</v>
      </c>
      <c r="S605" s="11">
        <f t="shared" si="277"/>
        <v>0</v>
      </c>
      <c r="T605" s="11">
        <v>0</v>
      </c>
      <c r="U605" s="11">
        <f t="shared" si="287"/>
        <v>1</v>
      </c>
      <c r="V605" s="11">
        <v>0</v>
      </c>
      <c r="W605" s="11">
        <f t="shared" si="288"/>
        <v>1</v>
      </c>
      <c r="X605" s="11">
        <f t="shared" si="278"/>
        <v>0</v>
      </c>
      <c r="Y605" s="19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1">
        <v>0</v>
      </c>
      <c r="AG605" s="11">
        <v>0</v>
      </c>
      <c r="AH605" s="11">
        <v>0</v>
      </c>
      <c r="AI605" s="45">
        <v>0</v>
      </c>
      <c r="AJ605" s="45">
        <v>0</v>
      </c>
      <c r="AK605" s="45">
        <f t="shared" si="289"/>
        <v>0.3611</v>
      </c>
      <c r="AL605" s="45">
        <f t="shared" si="290"/>
        <v>0.00348095238095238</v>
      </c>
      <c r="AM605" s="45">
        <f t="shared" si="291"/>
        <v>0.0012569719047619</v>
      </c>
      <c r="AN605" s="45">
        <f t="shared" si="292"/>
        <v>0.792187500000004</v>
      </c>
      <c r="AO605" s="45">
        <f t="shared" si="293"/>
        <v>0.792187500000004</v>
      </c>
      <c r="AP605" s="45">
        <f t="shared" si="294"/>
        <v>1.05625000000001</v>
      </c>
      <c r="AQ605" s="45">
        <f t="shared" si="295"/>
        <v>0</v>
      </c>
      <c r="AR605" s="45">
        <f t="shared" si="296"/>
        <v>0</v>
      </c>
      <c r="AS605" s="19">
        <f t="shared" si="297"/>
        <v>1.07916666666667</v>
      </c>
      <c r="AT605" s="19">
        <f t="shared" si="298"/>
        <v>1.03333333333334</v>
      </c>
      <c r="AU605" s="46">
        <v>0</v>
      </c>
      <c r="AV605" s="46">
        <v>0</v>
      </c>
      <c r="AW605" s="46">
        <v>0</v>
      </c>
      <c r="AX605" s="46">
        <v>1</v>
      </c>
      <c r="AY605" s="47">
        <v>0</v>
      </c>
      <c r="AZ605" s="47">
        <v>-1</v>
      </c>
    </row>
    <row r="606" hidden="1" customHeight="1" spans="1:52">
      <c r="A606" s="44">
        <v>45931</v>
      </c>
      <c r="B606" s="33">
        <f t="shared" si="281"/>
        <v>85</v>
      </c>
      <c r="C606" s="33">
        <f t="shared" si="282"/>
        <v>166</v>
      </c>
      <c r="D606" s="11">
        <f t="shared" si="283"/>
        <v>251</v>
      </c>
      <c r="E606" s="34">
        <f t="shared" si="279"/>
        <v>-1.96740152432883e-6</v>
      </c>
      <c r="F606" s="35">
        <f t="shared" si="284"/>
        <v>0.00117650611154865</v>
      </c>
      <c r="G606" s="18">
        <f>(SUM($I$8:$I606)*(MAX(M$3-M$4,0))+(N606*MAX(M$4,0)))*(1-$AM$4)+(AM606*$AM$4)</f>
        <v>0.704727160817642</v>
      </c>
      <c r="H606" s="18">
        <f t="shared" si="273"/>
        <v>1.41666666666667</v>
      </c>
      <c r="I606" s="18">
        <f t="shared" si="285"/>
        <v>0</v>
      </c>
      <c r="J606" s="18">
        <f t="shared" si="274"/>
        <v>0.804730180299278</v>
      </c>
      <c r="K606" s="18">
        <f t="shared" si="275"/>
        <v>0.00229729199647908</v>
      </c>
      <c r="L606" s="18">
        <f t="shared" si="276"/>
        <v>0</v>
      </c>
      <c r="M606" s="18">
        <v>0</v>
      </c>
      <c r="N606" s="18">
        <f t="shared" si="280"/>
        <v>1</v>
      </c>
      <c r="O606" s="11">
        <v>0</v>
      </c>
      <c r="P606" s="11">
        <v>0</v>
      </c>
      <c r="Q606" s="11">
        <f t="shared" si="286"/>
        <v>1</v>
      </c>
      <c r="R606" s="11">
        <v>0</v>
      </c>
      <c r="S606" s="11">
        <f t="shared" si="277"/>
        <v>0</v>
      </c>
      <c r="T606" s="11">
        <v>0</v>
      </c>
      <c r="U606" s="11">
        <f t="shared" si="287"/>
        <v>1</v>
      </c>
      <c r="V606" s="11">
        <v>0</v>
      </c>
      <c r="W606" s="11">
        <f t="shared" si="288"/>
        <v>1</v>
      </c>
      <c r="X606" s="11">
        <f t="shared" si="278"/>
        <v>0</v>
      </c>
      <c r="Y606" s="19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45">
        <v>0</v>
      </c>
      <c r="AJ606" s="45">
        <v>0</v>
      </c>
      <c r="AK606" s="45">
        <f t="shared" si="289"/>
        <v>0.3611</v>
      </c>
      <c r="AL606" s="45">
        <f t="shared" si="290"/>
        <v>0.00348095238095238</v>
      </c>
      <c r="AM606" s="45">
        <f t="shared" si="291"/>
        <v>0.0012569719047619</v>
      </c>
      <c r="AN606" s="45">
        <f t="shared" si="292"/>
        <v>0.792187500000004</v>
      </c>
      <c r="AO606" s="45">
        <f t="shared" si="293"/>
        <v>0.792187500000004</v>
      </c>
      <c r="AP606" s="45">
        <f t="shared" si="294"/>
        <v>1.05625000000001</v>
      </c>
      <c r="AQ606" s="45">
        <f t="shared" si="295"/>
        <v>0</v>
      </c>
      <c r="AR606" s="45">
        <f t="shared" si="296"/>
        <v>0</v>
      </c>
      <c r="AS606" s="19">
        <f t="shared" si="297"/>
        <v>1.07916666666667</v>
      </c>
      <c r="AT606" s="19">
        <f t="shared" si="298"/>
        <v>1.03333333333334</v>
      </c>
      <c r="AU606" s="46">
        <v>0</v>
      </c>
      <c r="AV606" s="46">
        <v>0</v>
      </c>
      <c r="AW606" s="46">
        <v>0</v>
      </c>
      <c r="AX606" s="46">
        <v>1</v>
      </c>
      <c r="AY606" s="47">
        <v>0</v>
      </c>
      <c r="AZ606" s="47">
        <v>-1</v>
      </c>
    </row>
    <row r="607" hidden="1" customHeight="1" spans="1:52">
      <c r="A607" s="44">
        <v>45932</v>
      </c>
      <c r="B607" s="33">
        <f t="shared" si="281"/>
        <v>84</v>
      </c>
      <c r="C607" s="33">
        <f t="shared" si="282"/>
        <v>167</v>
      </c>
      <c r="D607" s="11">
        <f t="shared" si="283"/>
        <v>251</v>
      </c>
      <c r="E607" s="34">
        <f t="shared" si="279"/>
        <v>-1.96084351924779e-6</v>
      </c>
      <c r="F607" s="35">
        <f t="shared" si="284"/>
        <v>0.0011745452680294</v>
      </c>
      <c r="G607" s="18">
        <f>(SUM($I$8:$I607)*(MAX(M$3-M$4,0))+(N607*MAX(M$4,0)))*(1-$AM$4)+(AM607*$AM$4)</f>
        <v>0.704727160817642</v>
      </c>
      <c r="H607" s="18">
        <f t="shared" si="273"/>
        <v>1.41666666666667</v>
      </c>
      <c r="I607" s="18">
        <f t="shared" si="285"/>
        <v>0</v>
      </c>
      <c r="J607" s="18">
        <f t="shared" si="274"/>
        <v>0.803388963332112</v>
      </c>
      <c r="K607" s="18">
        <f t="shared" si="275"/>
        <v>0.00234060757937962</v>
      </c>
      <c r="L607" s="18">
        <f t="shared" si="276"/>
        <v>0</v>
      </c>
      <c r="M607" s="18">
        <v>0</v>
      </c>
      <c r="N607" s="18">
        <f t="shared" si="280"/>
        <v>1</v>
      </c>
      <c r="O607" s="11">
        <v>0</v>
      </c>
      <c r="P607" s="11">
        <v>0</v>
      </c>
      <c r="Q607" s="11">
        <f t="shared" si="286"/>
        <v>1</v>
      </c>
      <c r="R607" s="11">
        <v>0</v>
      </c>
      <c r="S607" s="11">
        <f t="shared" si="277"/>
        <v>0</v>
      </c>
      <c r="T607" s="11">
        <v>0</v>
      </c>
      <c r="U607" s="11">
        <f t="shared" si="287"/>
        <v>1</v>
      </c>
      <c r="V607" s="11">
        <v>0</v>
      </c>
      <c r="W607" s="11">
        <f t="shared" si="288"/>
        <v>1</v>
      </c>
      <c r="X607" s="11">
        <f t="shared" si="278"/>
        <v>0</v>
      </c>
      <c r="Y607" s="19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1">
        <v>0</v>
      </c>
      <c r="AG607" s="11">
        <v>0</v>
      </c>
      <c r="AH607" s="11">
        <v>0</v>
      </c>
      <c r="AI607" s="45">
        <v>0</v>
      </c>
      <c r="AJ607" s="45">
        <v>0</v>
      </c>
      <c r="AK607" s="45">
        <f t="shared" si="289"/>
        <v>0.3611</v>
      </c>
      <c r="AL607" s="45">
        <f t="shared" si="290"/>
        <v>0.00348095238095238</v>
      </c>
      <c r="AM607" s="45">
        <f t="shared" si="291"/>
        <v>0.0012569719047619</v>
      </c>
      <c r="AN607" s="45">
        <f t="shared" si="292"/>
        <v>0.792187500000004</v>
      </c>
      <c r="AO607" s="45">
        <f t="shared" si="293"/>
        <v>0.792187500000004</v>
      </c>
      <c r="AP607" s="45">
        <f t="shared" si="294"/>
        <v>1.05625000000001</v>
      </c>
      <c r="AQ607" s="45">
        <f t="shared" si="295"/>
        <v>0</v>
      </c>
      <c r="AR607" s="45">
        <f t="shared" si="296"/>
        <v>0</v>
      </c>
      <c r="AS607" s="19">
        <f t="shared" si="297"/>
        <v>1.07916666666667</v>
      </c>
      <c r="AT607" s="19">
        <f t="shared" si="298"/>
        <v>1.03333333333334</v>
      </c>
      <c r="AU607" s="46">
        <v>0</v>
      </c>
      <c r="AV607" s="46">
        <v>0</v>
      </c>
      <c r="AW607" s="46">
        <v>0</v>
      </c>
      <c r="AX607" s="46">
        <v>1</v>
      </c>
      <c r="AY607" s="47">
        <v>0</v>
      </c>
      <c r="AZ607" s="47">
        <v>-1</v>
      </c>
    </row>
    <row r="608" hidden="1" customHeight="1" spans="1:52">
      <c r="A608" s="44">
        <v>45933</v>
      </c>
      <c r="B608" s="33">
        <f t="shared" si="281"/>
        <v>83</v>
      </c>
      <c r="C608" s="33">
        <f t="shared" si="282"/>
        <v>169</v>
      </c>
      <c r="D608" s="11">
        <f t="shared" si="283"/>
        <v>252</v>
      </c>
      <c r="E608" s="34">
        <f t="shared" si="279"/>
        <v>-1.95431824963278e-6</v>
      </c>
      <c r="F608" s="35">
        <f t="shared" si="284"/>
        <v>0.00117259094977977</v>
      </c>
      <c r="G608" s="18">
        <f>(SUM($I$8:$I608)*(MAX(M$3-M$4,0))+(N608*MAX(M$4,0)))*(1-$AM$4)+(AM608*$AM$4)</f>
        <v>0.704727160817642</v>
      </c>
      <c r="H608" s="18">
        <f t="shared" si="273"/>
        <v>1.41666666666667</v>
      </c>
      <c r="I608" s="18">
        <f t="shared" si="285"/>
        <v>0</v>
      </c>
      <c r="J608" s="18">
        <f t="shared" si="274"/>
        <v>0.802052209649363</v>
      </c>
      <c r="K608" s="18">
        <f t="shared" si="275"/>
        <v>0.00238491313675466</v>
      </c>
      <c r="L608" s="18">
        <f t="shared" si="276"/>
        <v>0</v>
      </c>
      <c r="M608" s="18">
        <v>0</v>
      </c>
      <c r="N608" s="18">
        <f t="shared" si="280"/>
        <v>1</v>
      </c>
      <c r="O608" s="11">
        <v>0</v>
      </c>
      <c r="P608" s="11">
        <v>0</v>
      </c>
      <c r="Q608" s="11">
        <f t="shared" si="286"/>
        <v>1</v>
      </c>
      <c r="R608" s="11">
        <v>0</v>
      </c>
      <c r="S608" s="11">
        <f t="shared" si="277"/>
        <v>0</v>
      </c>
      <c r="T608" s="11">
        <v>0</v>
      </c>
      <c r="U608" s="11">
        <f t="shared" si="287"/>
        <v>1</v>
      </c>
      <c r="V608" s="11">
        <v>0</v>
      </c>
      <c r="W608" s="11">
        <f t="shared" si="288"/>
        <v>1</v>
      </c>
      <c r="X608" s="11">
        <f t="shared" si="278"/>
        <v>0</v>
      </c>
      <c r="Y608" s="19">
        <v>0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45">
        <v>0</v>
      </c>
      <c r="AJ608" s="45">
        <v>0</v>
      </c>
      <c r="AK608" s="45">
        <f t="shared" si="289"/>
        <v>0.3611</v>
      </c>
      <c r="AL608" s="45">
        <f t="shared" si="290"/>
        <v>0.00348095238095238</v>
      </c>
      <c r="AM608" s="45">
        <f t="shared" si="291"/>
        <v>0.0012569719047619</v>
      </c>
      <c r="AN608" s="45">
        <f t="shared" si="292"/>
        <v>0.792187500000004</v>
      </c>
      <c r="AO608" s="45">
        <f t="shared" si="293"/>
        <v>0.792187500000004</v>
      </c>
      <c r="AP608" s="45">
        <f t="shared" si="294"/>
        <v>1.05625000000001</v>
      </c>
      <c r="AQ608" s="45">
        <f t="shared" si="295"/>
        <v>0</v>
      </c>
      <c r="AR608" s="45">
        <f t="shared" si="296"/>
        <v>0</v>
      </c>
      <c r="AS608" s="19">
        <f t="shared" si="297"/>
        <v>1.07916666666667</v>
      </c>
      <c r="AT608" s="19">
        <f t="shared" si="298"/>
        <v>1.03333333333334</v>
      </c>
      <c r="AU608" s="46">
        <v>0</v>
      </c>
      <c r="AV608" s="46">
        <v>0</v>
      </c>
      <c r="AW608" s="46">
        <v>0</v>
      </c>
      <c r="AX608" s="46">
        <v>1</v>
      </c>
      <c r="AY608" s="47">
        <v>0</v>
      </c>
      <c r="AZ608" s="47">
        <v>-1</v>
      </c>
    </row>
    <row r="609" hidden="1" customHeight="1" spans="1:52">
      <c r="A609" s="44">
        <v>45934</v>
      </c>
      <c r="B609" s="33">
        <f t="shared" si="281"/>
        <v>82</v>
      </c>
      <c r="C609" s="33">
        <f t="shared" si="282"/>
        <v>170</v>
      </c>
      <c r="D609" s="11">
        <f t="shared" si="283"/>
        <v>252</v>
      </c>
      <c r="E609" s="34">
        <f t="shared" si="279"/>
        <v>-1.94782549797312e-6</v>
      </c>
      <c r="F609" s="35">
        <f t="shared" si="284"/>
        <v>0.0011706431242818</v>
      </c>
      <c r="G609" s="18">
        <f>(SUM($I$8:$I609)*(MAX(M$3-M$4,0))+(N609*MAX(M$4,0)))*(1-$AM$4)+(AM609*$AM$4)</f>
        <v>0.704727160817642</v>
      </c>
      <c r="H609" s="18">
        <f t="shared" si="273"/>
        <v>1.41666666666667</v>
      </c>
      <c r="I609" s="18">
        <f t="shared" si="285"/>
        <v>0</v>
      </c>
      <c r="J609" s="18">
        <f t="shared" si="274"/>
        <v>0.80071989700875</v>
      </c>
      <c r="K609" s="18">
        <f t="shared" si="275"/>
        <v>0.00243024515842988</v>
      </c>
      <c r="L609" s="18">
        <f t="shared" si="276"/>
        <v>0</v>
      </c>
      <c r="M609" s="18">
        <v>0</v>
      </c>
      <c r="N609" s="18">
        <f t="shared" si="280"/>
        <v>1</v>
      </c>
      <c r="O609" s="11">
        <v>0</v>
      </c>
      <c r="P609" s="11">
        <v>0</v>
      </c>
      <c r="Q609" s="11">
        <f t="shared" si="286"/>
        <v>1</v>
      </c>
      <c r="R609" s="11">
        <v>0</v>
      </c>
      <c r="S609" s="11">
        <f t="shared" si="277"/>
        <v>0</v>
      </c>
      <c r="T609" s="11">
        <v>0</v>
      </c>
      <c r="U609" s="11">
        <f t="shared" si="287"/>
        <v>1</v>
      </c>
      <c r="V609" s="11">
        <v>0</v>
      </c>
      <c r="W609" s="11">
        <f t="shared" si="288"/>
        <v>1</v>
      </c>
      <c r="X609" s="11">
        <f t="shared" si="278"/>
        <v>0</v>
      </c>
      <c r="Y609" s="19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1">
        <v>0</v>
      </c>
      <c r="AG609" s="11">
        <v>0</v>
      </c>
      <c r="AH609" s="11">
        <v>0</v>
      </c>
      <c r="AI609" s="45">
        <v>0</v>
      </c>
      <c r="AJ609" s="45">
        <v>0</v>
      </c>
      <c r="AK609" s="45">
        <f t="shared" si="289"/>
        <v>0.3611</v>
      </c>
      <c r="AL609" s="45">
        <f t="shared" si="290"/>
        <v>0.00348095238095238</v>
      </c>
      <c r="AM609" s="45">
        <f t="shared" si="291"/>
        <v>0.0012569719047619</v>
      </c>
      <c r="AN609" s="45">
        <f t="shared" si="292"/>
        <v>0.792187500000004</v>
      </c>
      <c r="AO609" s="45">
        <f t="shared" si="293"/>
        <v>0.792187500000004</v>
      </c>
      <c r="AP609" s="45">
        <f t="shared" si="294"/>
        <v>1.05625000000001</v>
      </c>
      <c r="AQ609" s="45">
        <f t="shared" si="295"/>
        <v>0</v>
      </c>
      <c r="AR609" s="45">
        <f t="shared" si="296"/>
        <v>0</v>
      </c>
      <c r="AS609" s="19">
        <f t="shared" si="297"/>
        <v>1.07916666666667</v>
      </c>
      <c r="AT609" s="19">
        <f t="shared" si="298"/>
        <v>1.03333333333334</v>
      </c>
      <c r="AU609" s="46">
        <v>0</v>
      </c>
      <c r="AV609" s="46">
        <v>0</v>
      </c>
      <c r="AW609" s="46">
        <v>0</v>
      </c>
      <c r="AX609" s="46">
        <v>1</v>
      </c>
      <c r="AY609" s="47">
        <v>0</v>
      </c>
      <c r="AZ609" s="47">
        <v>-1</v>
      </c>
    </row>
    <row r="610" hidden="1" customHeight="1" spans="1:52">
      <c r="A610" s="44">
        <v>45935</v>
      </c>
      <c r="B610" s="33">
        <f t="shared" si="281"/>
        <v>81</v>
      </c>
      <c r="C610" s="33">
        <f t="shared" si="282"/>
        <v>172</v>
      </c>
      <c r="D610" s="11">
        <f t="shared" si="283"/>
        <v>253</v>
      </c>
      <c r="E610" s="34">
        <f t="shared" si="279"/>
        <v>-1.94136504856027e-6</v>
      </c>
      <c r="F610" s="35">
        <f t="shared" si="284"/>
        <v>0.00116870175923324</v>
      </c>
      <c r="G610" s="18">
        <f>(SUM($I$8:$I610)*(MAX(M$3-M$4,0))+(N610*MAX(M$4,0)))*(1-$AM$4)+(AM610*$AM$4)</f>
        <v>0.704727160817642</v>
      </c>
      <c r="H610" s="18">
        <f t="shared" si="273"/>
        <v>1.41666666666667</v>
      </c>
      <c r="I610" s="18">
        <f t="shared" si="285"/>
        <v>0</v>
      </c>
      <c r="J610" s="18">
        <f t="shared" si="274"/>
        <v>0.799392003315535</v>
      </c>
      <c r="K610" s="18">
        <f t="shared" si="275"/>
        <v>0.00247664193437612</v>
      </c>
      <c r="L610" s="18">
        <f t="shared" si="276"/>
        <v>0</v>
      </c>
      <c r="M610" s="18">
        <v>0</v>
      </c>
      <c r="N610" s="18">
        <f t="shared" si="280"/>
        <v>1</v>
      </c>
      <c r="O610" s="11">
        <v>0</v>
      </c>
      <c r="P610" s="11">
        <v>0</v>
      </c>
      <c r="Q610" s="11">
        <f t="shared" si="286"/>
        <v>1</v>
      </c>
      <c r="R610" s="11">
        <v>0</v>
      </c>
      <c r="S610" s="11">
        <f t="shared" si="277"/>
        <v>0</v>
      </c>
      <c r="T610" s="11">
        <v>0</v>
      </c>
      <c r="U610" s="11">
        <f t="shared" si="287"/>
        <v>1</v>
      </c>
      <c r="V610" s="11">
        <v>0</v>
      </c>
      <c r="W610" s="11">
        <f t="shared" si="288"/>
        <v>1</v>
      </c>
      <c r="X610" s="11">
        <f t="shared" si="278"/>
        <v>0</v>
      </c>
      <c r="Y610" s="19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45">
        <v>0</v>
      </c>
      <c r="AJ610" s="45">
        <v>0</v>
      </c>
      <c r="AK610" s="45">
        <f t="shared" si="289"/>
        <v>0.3611</v>
      </c>
      <c r="AL610" s="45">
        <f t="shared" si="290"/>
        <v>0.00348095238095238</v>
      </c>
      <c r="AM610" s="45">
        <f t="shared" si="291"/>
        <v>0.0012569719047619</v>
      </c>
      <c r="AN610" s="45">
        <f t="shared" si="292"/>
        <v>0.792187500000004</v>
      </c>
      <c r="AO610" s="45">
        <f t="shared" si="293"/>
        <v>0.792187500000004</v>
      </c>
      <c r="AP610" s="45">
        <f t="shared" si="294"/>
        <v>1.05625000000001</v>
      </c>
      <c r="AQ610" s="45">
        <f t="shared" si="295"/>
        <v>0</v>
      </c>
      <c r="AR610" s="45">
        <f t="shared" si="296"/>
        <v>0</v>
      </c>
      <c r="AS610" s="19">
        <f t="shared" si="297"/>
        <v>1.07916666666667</v>
      </c>
      <c r="AT610" s="19">
        <f t="shared" si="298"/>
        <v>1.03333333333334</v>
      </c>
      <c r="AU610" s="46">
        <v>0</v>
      </c>
      <c r="AV610" s="46">
        <v>0</v>
      </c>
      <c r="AW610" s="46">
        <v>0</v>
      </c>
      <c r="AX610" s="46">
        <v>1</v>
      </c>
      <c r="AY610" s="47">
        <v>0</v>
      </c>
      <c r="AZ610" s="47">
        <v>-1</v>
      </c>
    </row>
    <row r="611" hidden="1" customHeight="1" spans="1:52">
      <c r="A611" s="44">
        <v>45936</v>
      </c>
      <c r="B611" s="33">
        <f t="shared" si="281"/>
        <v>80</v>
      </c>
      <c r="C611" s="33">
        <f t="shared" si="282"/>
        <v>173</v>
      </c>
      <c r="D611" s="11">
        <f t="shared" si="283"/>
        <v>253</v>
      </c>
      <c r="E611" s="34">
        <f t="shared" si="279"/>
        <v>-1.93493668747225e-6</v>
      </c>
      <c r="F611" s="35">
        <f t="shared" si="284"/>
        <v>0.00116676682254577</v>
      </c>
      <c r="G611" s="18">
        <f>(SUM($I$8:$I611)*(MAX(M$3-M$4,0))+(N611*MAX(M$4,0)))*(1-$AM$4)+(AM611*$AM$4)</f>
        <v>0.704727160817642</v>
      </c>
      <c r="H611" s="18">
        <f t="shared" si="273"/>
        <v>1.41666666666667</v>
      </c>
      <c r="I611" s="18">
        <f t="shared" si="285"/>
        <v>0</v>
      </c>
      <c r="J611" s="18">
        <f t="shared" si="274"/>
        <v>0.798068506621304</v>
      </c>
      <c r="K611" s="18">
        <f t="shared" si="275"/>
        <v>0.0025241436672337</v>
      </c>
      <c r="L611" s="18">
        <f t="shared" si="276"/>
        <v>0</v>
      </c>
      <c r="M611" s="18">
        <v>0</v>
      </c>
      <c r="N611" s="18">
        <f t="shared" si="280"/>
        <v>1</v>
      </c>
      <c r="O611" s="11">
        <v>0</v>
      </c>
      <c r="P611" s="11">
        <v>0</v>
      </c>
      <c r="Q611" s="11">
        <f t="shared" si="286"/>
        <v>1</v>
      </c>
      <c r="R611" s="11">
        <v>0</v>
      </c>
      <c r="S611" s="11">
        <f t="shared" si="277"/>
        <v>0</v>
      </c>
      <c r="T611" s="11">
        <v>0</v>
      </c>
      <c r="U611" s="11">
        <f t="shared" si="287"/>
        <v>1</v>
      </c>
      <c r="V611" s="11">
        <v>0</v>
      </c>
      <c r="W611" s="11">
        <f t="shared" si="288"/>
        <v>1</v>
      </c>
      <c r="X611" s="11">
        <f t="shared" si="278"/>
        <v>0</v>
      </c>
      <c r="Y611" s="19">
        <v>0</v>
      </c>
      <c r="Z611" s="11">
        <v>0</v>
      </c>
      <c r="AA611" s="11">
        <v>0</v>
      </c>
      <c r="AB611" s="11">
        <v>0</v>
      </c>
      <c r="AC611" s="11">
        <v>0</v>
      </c>
      <c r="AD611" s="11">
        <v>0</v>
      </c>
      <c r="AE611" s="11">
        <v>0</v>
      </c>
      <c r="AF611" s="11">
        <v>0</v>
      </c>
      <c r="AG611" s="11">
        <v>0</v>
      </c>
      <c r="AH611" s="11">
        <v>0</v>
      </c>
      <c r="AI611" s="45">
        <v>0</v>
      </c>
      <c r="AJ611" s="45">
        <v>0</v>
      </c>
      <c r="AK611" s="45">
        <f t="shared" si="289"/>
        <v>0.3611</v>
      </c>
      <c r="AL611" s="45">
        <f t="shared" si="290"/>
        <v>0.00348095238095238</v>
      </c>
      <c r="AM611" s="45">
        <f t="shared" si="291"/>
        <v>0.0012569719047619</v>
      </c>
      <c r="AN611" s="45">
        <f t="shared" si="292"/>
        <v>0.792187500000004</v>
      </c>
      <c r="AO611" s="45">
        <f t="shared" si="293"/>
        <v>0.792187500000004</v>
      </c>
      <c r="AP611" s="45">
        <f t="shared" si="294"/>
        <v>1.05625000000001</v>
      </c>
      <c r="AQ611" s="45">
        <f t="shared" si="295"/>
        <v>0</v>
      </c>
      <c r="AR611" s="45">
        <f t="shared" si="296"/>
        <v>0</v>
      </c>
      <c r="AS611" s="19">
        <f t="shared" si="297"/>
        <v>1.07916666666667</v>
      </c>
      <c r="AT611" s="19">
        <f t="shared" si="298"/>
        <v>1.03333333333334</v>
      </c>
      <c r="AU611" s="46">
        <v>0</v>
      </c>
      <c r="AV611" s="46">
        <v>0</v>
      </c>
      <c r="AW611" s="46">
        <v>0</v>
      </c>
      <c r="AX611" s="46">
        <v>1</v>
      </c>
      <c r="AY611" s="47">
        <v>0</v>
      </c>
      <c r="AZ611" s="47">
        <v>-1</v>
      </c>
    </row>
    <row r="612" hidden="1" customHeight="1" spans="1:52">
      <c r="A612" s="44">
        <v>45937</v>
      </c>
      <c r="B612" s="33">
        <f t="shared" si="281"/>
        <v>79</v>
      </c>
      <c r="C612" s="33">
        <f t="shared" si="282"/>
        <v>174</v>
      </c>
      <c r="D612" s="11">
        <f t="shared" si="283"/>
        <v>253</v>
      </c>
      <c r="E612" s="34">
        <f t="shared" si="279"/>
        <v>-1.928540202555e-6</v>
      </c>
      <c r="F612" s="35">
        <f t="shared" si="284"/>
        <v>0.00116483828234321</v>
      </c>
      <c r="G612" s="18">
        <f>(SUM($I$8:$I612)*(MAX(M$3-M$4,0))+(N612*MAX(M$4,0)))*(1-$AM$4)+(AM612*$AM$4)</f>
        <v>0.704727160817642</v>
      </c>
      <c r="H612" s="18">
        <f t="shared" si="273"/>
        <v>1.41666666666667</v>
      </c>
      <c r="I612" s="18">
        <f t="shared" si="285"/>
        <v>0</v>
      </c>
      <c r="J612" s="18">
        <f t="shared" si="274"/>
        <v>0.796749385122756</v>
      </c>
      <c r="K612" s="18">
        <f t="shared" si="275"/>
        <v>0.00257279259338284</v>
      </c>
      <c r="L612" s="18">
        <f t="shared" si="276"/>
        <v>0</v>
      </c>
      <c r="M612" s="18">
        <v>0</v>
      </c>
      <c r="N612" s="18">
        <f t="shared" si="280"/>
        <v>1</v>
      </c>
      <c r="O612" s="11">
        <v>0</v>
      </c>
      <c r="P612" s="11">
        <v>0</v>
      </c>
      <c r="Q612" s="11">
        <f t="shared" si="286"/>
        <v>1</v>
      </c>
      <c r="R612" s="11">
        <v>0</v>
      </c>
      <c r="S612" s="11">
        <f t="shared" si="277"/>
        <v>0</v>
      </c>
      <c r="T612" s="11">
        <v>0</v>
      </c>
      <c r="U612" s="11">
        <f t="shared" si="287"/>
        <v>1</v>
      </c>
      <c r="V612" s="11">
        <v>0</v>
      </c>
      <c r="W612" s="11">
        <f t="shared" si="288"/>
        <v>1</v>
      </c>
      <c r="X612" s="11">
        <f t="shared" si="278"/>
        <v>0</v>
      </c>
      <c r="Y612" s="19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45">
        <v>0</v>
      </c>
      <c r="AJ612" s="45">
        <v>0</v>
      </c>
      <c r="AK612" s="45">
        <f t="shared" si="289"/>
        <v>0.3611</v>
      </c>
      <c r="AL612" s="45">
        <f t="shared" si="290"/>
        <v>0.00348095238095238</v>
      </c>
      <c r="AM612" s="45">
        <f t="shared" si="291"/>
        <v>0.0012569719047619</v>
      </c>
      <c r="AN612" s="45">
        <f t="shared" si="292"/>
        <v>0.792187500000004</v>
      </c>
      <c r="AO612" s="45">
        <f t="shared" si="293"/>
        <v>0.792187500000004</v>
      </c>
      <c r="AP612" s="45">
        <f t="shared" si="294"/>
        <v>1.05625000000001</v>
      </c>
      <c r="AQ612" s="45">
        <f t="shared" si="295"/>
        <v>0</v>
      </c>
      <c r="AR612" s="45">
        <f t="shared" si="296"/>
        <v>0</v>
      </c>
      <c r="AS612" s="19">
        <f t="shared" si="297"/>
        <v>1.07916666666667</v>
      </c>
      <c r="AT612" s="19">
        <f t="shared" si="298"/>
        <v>1.03333333333334</v>
      </c>
      <c r="AU612" s="46">
        <v>0</v>
      </c>
      <c r="AV612" s="46">
        <v>0</v>
      </c>
      <c r="AW612" s="46">
        <v>0</v>
      </c>
      <c r="AX612" s="46">
        <v>1</v>
      </c>
      <c r="AY612" s="47">
        <v>0</v>
      </c>
      <c r="AZ612" s="47">
        <v>-1</v>
      </c>
    </row>
    <row r="613" hidden="1" customHeight="1" spans="1:52">
      <c r="A613" s="44">
        <v>45938</v>
      </c>
      <c r="B613" s="33">
        <f t="shared" si="281"/>
        <v>78</v>
      </c>
      <c r="C613" s="33">
        <f t="shared" si="282"/>
        <v>176</v>
      </c>
      <c r="D613" s="11">
        <f t="shared" si="283"/>
        <v>254</v>
      </c>
      <c r="E613" s="34">
        <f t="shared" si="279"/>
        <v>-1.92217538340454e-6</v>
      </c>
      <c r="F613" s="35">
        <f t="shared" si="284"/>
        <v>0.00116291610695981</v>
      </c>
      <c r="G613" s="18">
        <f>(SUM($I$8:$I613)*(MAX(M$3-M$4,0))+(N613*MAX(M$4,0)))*(1-$AM$4)+(AM613*$AM$4)</f>
        <v>0.704727160817642</v>
      </c>
      <c r="H613" s="18">
        <f t="shared" si="273"/>
        <v>1.41666666666667</v>
      </c>
      <c r="I613" s="18">
        <f t="shared" si="285"/>
        <v>0</v>
      </c>
      <c r="J613" s="18">
        <f t="shared" si="274"/>
        <v>0.795434617160507</v>
      </c>
      <c r="K613" s="18">
        <f t="shared" si="275"/>
        <v>0.00262263311332683</v>
      </c>
      <c r="L613" s="18">
        <f t="shared" si="276"/>
        <v>0</v>
      </c>
      <c r="M613" s="18">
        <v>0</v>
      </c>
      <c r="N613" s="18">
        <f t="shared" si="280"/>
        <v>1</v>
      </c>
      <c r="O613" s="11">
        <v>0</v>
      </c>
      <c r="P613" s="11">
        <v>0</v>
      </c>
      <c r="Q613" s="11">
        <f t="shared" si="286"/>
        <v>1</v>
      </c>
      <c r="R613" s="11">
        <v>0</v>
      </c>
      <c r="S613" s="11">
        <f t="shared" si="277"/>
        <v>0</v>
      </c>
      <c r="T613" s="11">
        <v>0</v>
      </c>
      <c r="U613" s="11">
        <f t="shared" si="287"/>
        <v>1</v>
      </c>
      <c r="V613" s="11">
        <v>0</v>
      </c>
      <c r="W613" s="11">
        <f t="shared" si="288"/>
        <v>1</v>
      </c>
      <c r="X613" s="11">
        <f t="shared" si="278"/>
        <v>0</v>
      </c>
      <c r="Y613" s="19">
        <v>0</v>
      </c>
      <c r="Z613" s="11">
        <v>0</v>
      </c>
      <c r="AA613" s="11">
        <v>0</v>
      </c>
      <c r="AB613" s="11">
        <v>0</v>
      </c>
      <c r="AC613" s="11">
        <v>0</v>
      </c>
      <c r="AD613" s="11">
        <v>0</v>
      </c>
      <c r="AE613" s="11">
        <v>0</v>
      </c>
      <c r="AF613" s="11">
        <v>0</v>
      </c>
      <c r="AG613" s="11">
        <v>0</v>
      </c>
      <c r="AH613" s="11">
        <v>0</v>
      </c>
      <c r="AI613" s="45">
        <v>0</v>
      </c>
      <c r="AJ613" s="45">
        <v>0</v>
      </c>
      <c r="AK613" s="45">
        <f t="shared" si="289"/>
        <v>0.3611</v>
      </c>
      <c r="AL613" s="45">
        <f t="shared" si="290"/>
        <v>0.00348095238095238</v>
      </c>
      <c r="AM613" s="45">
        <f t="shared" si="291"/>
        <v>0.0012569719047619</v>
      </c>
      <c r="AN613" s="45">
        <f t="shared" si="292"/>
        <v>0.792187500000004</v>
      </c>
      <c r="AO613" s="45">
        <f t="shared" si="293"/>
        <v>0.792187500000004</v>
      </c>
      <c r="AP613" s="45">
        <f t="shared" si="294"/>
        <v>1.05625000000001</v>
      </c>
      <c r="AQ613" s="45">
        <f t="shared" si="295"/>
        <v>0</v>
      </c>
      <c r="AR613" s="45">
        <f t="shared" si="296"/>
        <v>0</v>
      </c>
      <c r="AS613" s="19">
        <f t="shared" si="297"/>
        <v>1.07916666666667</v>
      </c>
      <c r="AT613" s="19">
        <f t="shared" si="298"/>
        <v>1.03333333333334</v>
      </c>
      <c r="AU613" s="46">
        <v>0</v>
      </c>
      <c r="AV613" s="46">
        <v>0</v>
      </c>
      <c r="AW613" s="46">
        <v>0</v>
      </c>
      <c r="AX613" s="46">
        <v>1</v>
      </c>
      <c r="AY613" s="47">
        <v>0</v>
      </c>
      <c r="AZ613" s="47">
        <v>-1</v>
      </c>
    </row>
    <row r="614" hidden="1" customHeight="1" spans="1:52">
      <c r="A614" s="44">
        <v>45939</v>
      </c>
      <c r="B614" s="33">
        <f t="shared" si="281"/>
        <v>77</v>
      </c>
      <c r="C614" s="33">
        <f t="shared" si="282"/>
        <v>177</v>
      </c>
      <c r="D614" s="11">
        <f t="shared" si="283"/>
        <v>254</v>
      </c>
      <c r="E614" s="34">
        <f t="shared" si="279"/>
        <v>-1.91584202135055e-6</v>
      </c>
      <c r="F614" s="35">
        <f t="shared" si="284"/>
        <v>0.00116100026493846</v>
      </c>
      <c r="G614" s="18">
        <f>(SUM($I$8:$I614)*(MAX(M$3-M$4,0))+(N614*MAX(M$4,0)))*(1-$AM$4)+(AM614*$AM$4)</f>
        <v>0.704727160817642</v>
      </c>
      <c r="H614" s="18">
        <f t="shared" si="273"/>
        <v>1.41666666666667</v>
      </c>
      <c r="I614" s="18">
        <f t="shared" si="285"/>
        <v>0</v>
      </c>
      <c r="J614" s="18">
        <f t="shared" si="274"/>
        <v>0.794124181217904</v>
      </c>
      <c r="K614" s="18">
        <f t="shared" si="275"/>
        <v>0.00267371193223502</v>
      </c>
      <c r="L614" s="18">
        <f t="shared" si="276"/>
        <v>0</v>
      </c>
      <c r="M614" s="18">
        <v>0</v>
      </c>
      <c r="N614" s="18">
        <f t="shared" si="280"/>
        <v>1</v>
      </c>
      <c r="O614" s="11">
        <v>0</v>
      </c>
      <c r="P614" s="11">
        <v>0</v>
      </c>
      <c r="Q614" s="11">
        <f t="shared" si="286"/>
        <v>1</v>
      </c>
      <c r="R614" s="11">
        <v>0</v>
      </c>
      <c r="S614" s="11">
        <f t="shared" si="277"/>
        <v>0</v>
      </c>
      <c r="T614" s="11">
        <v>0</v>
      </c>
      <c r="U614" s="11">
        <f t="shared" si="287"/>
        <v>1</v>
      </c>
      <c r="V614" s="11">
        <v>0</v>
      </c>
      <c r="W614" s="11">
        <f t="shared" si="288"/>
        <v>1</v>
      </c>
      <c r="X614" s="11">
        <f t="shared" si="278"/>
        <v>0</v>
      </c>
      <c r="Y614" s="19">
        <v>0</v>
      </c>
      <c r="Z614" s="11">
        <v>0</v>
      </c>
      <c r="AA614" s="11">
        <v>0</v>
      </c>
      <c r="AB614" s="11">
        <v>0</v>
      </c>
      <c r="AC614" s="11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45">
        <v>0</v>
      </c>
      <c r="AJ614" s="45">
        <v>0</v>
      </c>
      <c r="AK614" s="45">
        <f t="shared" si="289"/>
        <v>0.3611</v>
      </c>
      <c r="AL614" s="45">
        <f t="shared" si="290"/>
        <v>0.00348095238095238</v>
      </c>
      <c r="AM614" s="45">
        <f t="shared" si="291"/>
        <v>0.0012569719047619</v>
      </c>
      <c r="AN614" s="45">
        <f t="shared" si="292"/>
        <v>0.792187500000004</v>
      </c>
      <c r="AO614" s="45">
        <f t="shared" si="293"/>
        <v>0.792187500000004</v>
      </c>
      <c r="AP614" s="45">
        <f t="shared" si="294"/>
        <v>1.05625000000001</v>
      </c>
      <c r="AQ614" s="45">
        <f t="shared" si="295"/>
        <v>0</v>
      </c>
      <c r="AR614" s="45">
        <f t="shared" si="296"/>
        <v>0</v>
      </c>
      <c r="AS614" s="19">
        <f t="shared" si="297"/>
        <v>1.07916666666667</v>
      </c>
      <c r="AT614" s="19">
        <f t="shared" si="298"/>
        <v>1.03333333333334</v>
      </c>
      <c r="AU614" s="46">
        <v>0</v>
      </c>
      <c r="AV614" s="46">
        <v>0</v>
      </c>
      <c r="AW614" s="46">
        <v>0</v>
      </c>
      <c r="AX614" s="46">
        <v>1</v>
      </c>
      <c r="AY614" s="47">
        <v>0</v>
      </c>
      <c r="AZ614" s="47">
        <v>-1</v>
      </c>
    </row>
    <row r="615" hidden="1" customHeight="1" spans="1:52">
      <c r="A615" s="44">
        <v>45940</v>
      </c>
      <c r="B615" s="33">
        <f t="shared" si="281"/>
        <v>76</v>
      </c>
      <c r="C615" s="33">
        <f t="shared" si="282"/>
        <v>179</v>
      </c>
      <c r="D615" s="11">
        <f t="shared" si="283"/>
        <v>255</v>
      </c>
      <c r="E615" s="34">
        <f t="shared" si="279"/>
        <v>-1.90953990943836e-6</v>
      </c>
      <c r="F615" s="35">
        <f t="shared" si="284"/>
        <v>0.00115909072502902</v>
      </c>
      <c r="G615" s="18">
        <f>(SUM($I$8:$I615)*(MAX(M$3-M$4,0))+(N615*MAX(M$4,0)))*(1-$AM$4)+(AM615*$AM$4)</f>
        <v>0.704727160817642</v>
      </c>
      <c r="H615" s="18">
        <f t="shared" si="273"/>
        <v>1.41666666666667</v>
      </c>
      <c r="I615" s="18">
        <f t="shared" si="285"/>
        <v>0</v>
      </c>
      <c r="J615" s="18">
        <f t="shared" si="274"/>
        <v>0.792818055919848</v>
      </c>
      <c r="K615" s="18">
        <f t="shared" si="275"/>
        <v>0.00272607821158095</v>
      </c>
      <c r="L615" s="18">
        <f t="shared" si="276"/>
        <v>0</v>
      </c>
      <c r="M615" s="18">
        <v>0</v>
      </c>
      <c r="N615" s="18">
        <f t="shared" si="280"/>
        <v>1</v>
      </c>
      <c r="O615" s="11">
        <v>0</v>
      </c>
      <c r="P615" s="11">
        <v>0</v>
      </c>
      <c r="Q615" s="11">
        <f t="shared" si="286"/>
        <v>1</v>
      </c>
      <c r="R615" s="11">
        <v>0</v>
      </c>
      <c r="S615" s="11">
        <f t="shared" si="277"/>
        <v>0</v>
      </c>
      <c r="T615" s="11">
        <v>0</v>
      </c>
      <c r="U615" s="11">
        <f t="shared" si="287"/>
        <v>1</v>
      </c>
      <c r="V615" s="11">
        <v>0</v>
      </c>
      <c r="W615" s="11">
        <f t="shared" si="288"/>
        <v>1</v>
      </c>
      <c r="X615" s="11">
        <f t="shared" si="278"/>
        <v>0</v>
      </c>
      <c r="Y615" s="19">
        <v>0</v>
      </c>
      <c r="Z615" s="11">
        <v>0</v>
      </c>
      <c r="AA615" s="11">
        <v>0</v>
      </c>
      <c r="AB615" s="11">
        <v>0</v>
      </c>
      <c r="AC615" s="11">
        <v>0</v>
      </c>
      <c r="AD615" s="11">
        <v>0</v>
      </c>
      <c r="AE615" s="11">
        <v>0</v>
      </c>
      <c r="AF615" s="11">
        <v>0</v>
      </c>
      <c r="AG615" s="11">
        <v>0</v>
      </c>
      <c r="AH615" s="11">
        <v>0</v>
      </c>
      <c r="AI615" s="45">
        <v>0</v>
      </c>
      <c r="AJ615" s="45">
        <v>0</v>
      </c>
      <c r="AK615" s="45">
        <f t="shared" si="289"/>
        <v>0.3611</v>
      </c>
      <c r="AL615" s="45">
        <f t="shared" si="290"/>
        <v>0.00348095238095238</v>
      </c>
      <c r="AM615" s="45">
        <f t="shared" si="291"/>
        <v>0.0012569719047619</v>
      </c>
      <c r="AN615" s="45">
        <f t="shared" si="292"/>
        <v>0.792187500000004</v>
      </c>
      <c r="AO615" s="45">
        <f t="shared" si="293"/>
        <v>0.792187500000004</v>
      </c>
      <c r="AP615" s="45">
        <f t="shared" si="294"/>
        <v>1.05625000000001</v>
      </c>
      <c r="AQ615" s="45">
        <f t="shared" si="295"/>
        <v>0</v>
      </c>
      <c r="AR615" s="45">
        <f t="shared" si="296"/>
        <v>0</v>
      </c>
      <c r="AS615" s="19">
        <f t="shared" si="297"/>
        <v>1.07916666666667</v>
      </c>
      <c r="AT615" s="19">
        <f t="shared" si="298"/>
        <v>1.03333333333334</v>
      </c>
      <c r="AU615" s="46">
        <v>0</v>
      </c>
      <c r="AV615" s="46">
        <v>0</v>
      </c>
      <c r="AW615" s="46">
        <v>0</v>
      </c>
      <c r="AX615" s="46">
        <v>1</v>
      </c>
      <c r="AY615" s="47">
        <v>0</v>
      </c>
      <c r="AZ615" s="47">
        <v>-1</v>
      </c>
    </row>
    <row r="616" hidden="1" customHeight="1" spans="1:52">
      <c r="A616" s="44">
        <v>45941</v>
      </c>
      <c r="B616" s="33">
        <f t="shared" si="281"/>
        <v>75</v>
      </c>
      <c r="C616" s="33">
        <f t="shared" si="282"/>
        <v>179</v>
      </c>
      <c r="D616" s="11">
        <f t="shared" si="283"/>
        <v>254</v>
      </c>
      <c r="E616" s="34">
        <f t="shared" si="279"/>
        <v>-7.55029210875108e-7</v>
      </c>
      <c r="F616" s="35">
        <f t="shared" si="284"/>
        <v>0.00115833569581814</v>
      </c>
      <c r="G616" s="18">
        <f>(SUM($I$8:$I616)*(MAX(M$3-M$4,0))+(N616*MAX(M$4,0)))*(1-$AM$4)+(AM616*$AM$4)</f>
        <v>0.705426438753249</v>
      </c>
      <c r="H616" s="18">
        <f t="shared" si="273"/>
        <v>1.41666666666667</v>
      </c>
      <c r="I616" s="18">
        <f t="shared" si="285"/>
        <v>0.00372948232323234</v>
      </c>
      <c r="J616" s="18">
        <f t="shared" si="274"/>
        <v>0.792301615939609</v>
      </c>
      <c r="K616" s="18">
        <f t="shared" si="275"/>
        <v>0.00276931178747188</v>
      </c>
      <c r="L616" s="18">
        <f t="shared" si="276"/>
        <v>0.00263257575757577</v>
      </c>
      <c r="M616" s="18">
        <v>0</v>
      </c>
      <c r="N616" s="18">
        <f t="shared" si="280"/>
        <v>1</v>
      </c>
      <c r="O616" s="11">
        <v>0</v>
      </c>
      <c r="P616" s="11">
        <v>0</v>
      </c>
      <c r="Q616" s="11">
        <f t="shared" si="286"/>
        <v>1</v>
      </c>
      <c r="R616" s="11">
        <v>0</v>
      </c>
      <c r="S616" s="11">
        <f t="shared" si="277"/>
        <v>0</v>
      </c>
      <c r="T616" s="11">
        <v>0</v>
      </c>
      <c r="U616" s="11">
        <f t="shared" si="287"/>
        <v>1</v>
      </c>
      <c r="V616" s="11">
        <v>0</v>
      </c>
      <c r="W616" s="11">
        <f t="shared" si="288"/>
        <v>1</v>
      </c>
      <c r="X616" s="11">
        <f t="shared" si="278"/>
        <v>0</v>
      </c>
      <c r="Y616" s="19">
        <v>1.75</v>
      </c>
      <c r="Z616" s="11">
        <v>0</v>
      </c>
      <c r="AA616" s="11">
        <v>0</v>
      </c>
      <c r="AB616" s="11">
        <v>13</v>
      </c>
      <c r="AC616" s="11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45">
        <v>0</v>
      </c>
      <c r="AJ616" s="45">
        <v>0</v>
      </c>
      <c r="AK616" s="45">
        <f t="shared" si="289"/>
        <v>0.3611</v>
      </c>
      <c r="AL616" s="45">
        <f t="shared" si="290"/>
        <v>0.00348095238095238</v>
      </c>
      <c r="AM616" s="45">
        <f t="shared" si="291"/>
        <v>0.0012569719047619</v>
      </c>
      <c r="AN616" s="45">
        <f t="shared" si="292"/>
        <v>0.792187500000004</v>
      </c>
      <c r="AO616" s="45">
        <f t="shared" si="293"/>
        <v>0.792187500000004</v>
      </c>
      <c r="AP616" s="45">
        <f t="shared" si="294"/>
        <v>1.05625000000001</v>
      </c>
      <c r="AQ616" s="45">
        <f t="shared" si="295"/>
        <v>0</v>
      </c>
      <c r="AR616" s="45">
        <f t="shared" si="296"/>
        <v>0</v>
      </c>
      <c r="AS616" s="19">
        <f t="shared" si="297"/>
        <v>1.07916666666667</v>
      </c>
      <c r="AT616" s="19">
        <f t="shared" si="298"/>
        <v>1.03333333333334</v>
      </c>
      <c r="AU616" s="46">
        <v>0</v>
      </c>
      <c r="AV616" s="46">
        <v>0</v>
      </c>
      <c r="AW616" s="46">
        <v>0</v>
      </c>
      <c r="AX616" s="46">
        <v>1</v>
      </c>
      <c r="AY616" s="47">
        <v>0</v>
      </c>
      <c r="AZ616" s="47">
        <v>-1</v>
      </c>
    </row>
    <row r="617" hidden="1" customHeight="1" spans="1:52">
      <c r="A617" s="44">
        <v>45942</v>
      </c>
      <c r="B617" s="33">
        <f t="shared" si="281"/>
        <v>74</v>
      </c>
      <c r="C617" s="33">
        <f t="shared" si="282"/>
        <v>179</v>
      </c>
      <c r="D617" s="11">
        <f t="shared" si="283"/>
        <v>253</v>
      </c>
      <c r="E617" s="34">
        <f t="shared" si="279"/>
        <v>3.39372213760706e-7</v>
      </c>
      <c r="F617" s="35">
        <f t="shared" si="284"/>
        <v>0.0011586750680319</v>
      </c>
      <c r="G617" s="18">
        <f>(SUM($I$8:$I617)*(MAX(M$3-M$4,0))+(N617*MAX(M$4,0)))*(1-$AM$4)+(AM617*$AM$4)</f>
        <v>0.706791791499461</v>
      </c>
      <c r="H617" s="18">
        <f t="shared" si="273"/>
        <v>1.41666666666667</v>
      </c>
      <c r="I617" s="18">
        <f t="shared" si="285"/>
        <v>0.00728188131313135</v>
      </c>
      <c r="J617" s="18">
        <f t="shared" si="274"/>
        <v>0.792533746533821</v>
      </c>
      <c r="K617" s="18">
        <f t="shared" si="275"/>
        <v>0.00280359801981322</v>
      </c>
      <c r="L617" s="18">
        <f t="shared" si="276"/>
        <v>0.00514015151515153</v>
      </c>
      <c r="M617" s="18">
        <v>0</v>
      </c>
      <c r="N617" s="18">
        <f t="shared" si="280"/>
        <v>1</v>
      </c>
      <c r="O617" s="11">
        <v>0</v>
      </c>
      <c r="P617" s="11">
        <v>0</v>
      </c>
      <c r="Q617" s="11">
        <f t="shared" si="286"/>
        <v>1</v>
      </c>
      <c r="R617" s="11">
        <v>0</v>
      </c>
      <c r="S617" s="11">
        <f t="shared" si="277"/>
        <v>0</v>
      </c>
      <c r="T617" s="11">
        <v>0</v>
      </c>
      <c r="U617" s="11">
        <f t="shared" si="287"/>
        <v>1</v>
      </c>
      <c r="V617" s="11">
        <v>0</v>
      </c>
      <c r="W617" s="11">
        <f t="shared" si="288"/>
        <v>1</v>
      </c>
      <c r="X617" s="11">
        <f t="shared" si="278"/>
        <v>0</v>
      </c>
      <c r="Y617" s="19">
        <v>6.77</v>
      </c>
      <c r="Z617" s="11">
        <v>0</v>
      </c>
      <c r="AA617" s="11">
        <v>0</v>
      </c>
      <c r="AB617" s="11">
        <v>17</v>
      </c>
      <c r="AC617" s="11">
        <v>0</v>
      </c>
      <c r="AD617" s="11">
        <v>0</v>
      </c>
      <c r="AE617" s="11">
        <v>0</v>
      </c>
      <c r="AF617" s="11">
        <v>0</v>
      </c>
      <c r="AG617" s="11">
        <v>0</v>
      </c>
      <c r="AH617" s="11">
        <v>0</v>
      </c>
      <c r="AI617" s="45">
        <v>0</v>
      </c>
      <c r="AJ617" s="45">
        <v>0</v>
      </c>
      <c r="AK617" s="45">
        <f t="shared" si="289"/>
        <v>0.3611</v>
      </c>
      <c r="AL617" s="45">
        <f t="shared" si="290"/>
        <v>0.00348095238095238</v>
      </c>
      <c r="AM617" s="45">
        <f t="shared" si="291"/>
        <v>0.0012569719047619</v>
      </c>
      <c r="AN617" s="45">
        <f t="shared" si="292"/>
        <v>0.792187500000004</v>
      </c>
      <c r="AO617" s="45">
        <f t="shared" si="293"/>
        <v>0.792187500000004</v>
      </c>
      <c r="AP617" s="45">
        <f t="shared" si="294"/>
        <v>1.05625000000001</v>
      </c>
      <c r="AQ617" s="45">
        <f t="shared" si="295"/>
        <v>0</v>
      </c>
      <c r="AR617" s="45">
        <f t="shared" si="296"/>
        <v>0</v>
      </c>
      <c r="AS617" s="19">
        <f t="shared" si="297"/>
        <v>1.07916666666667</v>
      </c>
      <c r="AT617" s="19">
        <f t="shared" si="298"/>
        <v>1.03333333333334</v>
      </c>
      <c r="AU617" s="46">
        <v>0</v>
      </c>
      <c r="AV617" s="46">
        <v>0</v>
      </c>
      <c r="AW617" s="46">
        <v>0</v>
      </c>
      <c r="AX617" s="46">
        <v>1</v>
      </c>
      <c r="AY617" s="47">
        <v>0</v>
      </c>
      <c r="AZ617" s="47">
        <v>-1</v>
      </c>
    </row>
    <row r="618" hidden="1" customHeight="1" spans="1:52">
      <c r="A618" s="44">
        <v>45943</v>
      </c>
      <c r="B618" s="33">
        <f t="shared" si="281"/>
        <v>73</v>
      </c>
      <c r="C618" s="33">
        <f t="shared" si="282"/>
        <v>179</v>
      </c>
      <c r="D618" s="11">
        <f t="shared" si="283"/>
        <v>252</v>
      </c>
      <c r="E618" s="34">
        <f t="shared" si="279"/>
        <v>-5.378018707561e-7</v>
      </c>
      <c r="F618" s="35">
        <f t="shared" si="284"/>
        <v>0.00115813726616115</v>
      </c>
      <c r="G618" s="18">
        <f>(SUM($I$8:$I618)*(MAX(M$3-M$4,0))+(N618*MAX(M$4,0)))*(1-$AM$4)+(AM618*$AM$4)</f>
        <v>0.707621869624461</v>
      </c>
      <c r="H618" s="18">
        <f t="shared" si="273"/>
        <v>1.41666666666667</v>
      </c>
      <c r="I618" s="18">
        <f t="shared" si="285"/>
        <v>0.00442708333333336</v>
      </c>
      <c r="J618" s="18">
        <f t="shared" si="274"/>
        <v>0.792165890054224</v>
      </c>
      <c r="K618" s="18">
        <f t="shared" si="275"/>
        <v>0.00284704260199693</v>
      </c>
      <c r="L618" s="18">
        <f t="shared" si="276"/>
        <v>0.00312500000000001</v>
      </c>
      <c r="M618" s="18">
        <v>0</v>
      </c>
      <c r="N618" s="18">
        <f t="shared" si="280"/>
        <v>1</v>
      </c>
      <c r="O618" s="11">
        <v>0</v>
      </c>
      <c r="P618" s="11">
        <v>0</v>
      </c>
      <c r="Q618" s="11">
        <f t="shared" si="286"/>
        <v>1</v>
      </c>
      <c r="R618" s="11">
        <v>0</v>
      </c>
      <c r="S618" s="11">
        <f t="shared" si="277"/>
        <v>0</v>
      </c>
      <c r="T618" s="11">
        <v>0</v>
      </c>
      <c r="U618" s="11">
        <f t="shared" si="287"/>
        <v>1</v>
      </c>
      <c r="V618" s="11">
        <v>0</v>
      </c>
      <c r="W618" s="11">
        <f t="shared" si="288"/>
        <v>1</v>
      </c>
      <c r="X618" s="11">
        <f t="shared" si="278"/>
        <v>0</v>
      </c>
      <c r="Y618" s="19">
        <v>2.25</v>
      </c>
      <c r="Z618" s="11">
        <v>0</v>
      </c>
      <c r="AA618" s="11">
        <v>0</v>
      </c>
      <c r="AB618" s="11">
        <v>15</v>
      </c>
      <c r="AC618" s="11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45">
        <v>0</v>
      </c>
      <c r="AJ618" s="45">
        <v>0</v>
      </c>
      <c r="AK618" s="45">
        <f t="shared" si="289"/>
        <v>0.3611</v>
      </c>
      <c r="AL618" s="45">
        <f t="shared" si="290"/>
        <v>0.00348095238095238</v>
      </c>
      <c r="AM618" s="45">
        <f t="shared" si="291"/>
        <v>0.0012569719047619</v>
      </c>
      <c r="AN618" s="45">
        <f t="shared" si="292"/>
        <v>0.792187500000004</v>
      </c>
      <c r="AO618" s="45">
        <f t="shared" si="293"/>
        <v>0.792187500000004</v>
      </c>
      <c r="AP618" s="45">
        <f t="shared" si="294"/>
        <v>1.05625000000001</v>
      </c>
      <c r="AQ618" s="45">
        <f t="shared" si="295"/>
        <v>0</v>
      </c>
      <c r="AR618" s="45">
        <f t="shared" si="296"/>
        <v>0</v>
      </c>
      <c r="AS618" s="19">
        <f t="shared" si="297"/>
        <v>1.07916666666667</v>
      </c>
      <c r="AT618" s="19">
        <f t="shared" si="298"/>
        <v>1.03333333333334</v>
      </c>
      <c r="AU618" s="46">
        <v>0</v>
      </c>
      <c r="AV618" s="46">
        <v>0</v>
      </c>
      <c r="AW618" s="46">
        <v>0</v>
      </c>
      <c r="AX618" s="46">
        <v>1</v>
      </c>
      <c r="AY618" s="47">
        <v>0</v>
      </c>
      <c r="AZ618" s="47">
        <v>-1</v>
      </c>
    </row>
    <row r="619" hidden="1" customHeight="1" spans="1:52">
      <c r="A619" s="44">
        <v>45944</v>
      </c>
      <c r="B619" s="33">
        <f t="shared" si="281"/>
        <v>72</v>
      </c>
      <c r="C619" s="33">
        <f t="shared" si="282"/>
        <v>180</v>
      </c>
      <c r="D619" s="11">
        <f t="shared" si="283"/>
        <v>252</v>
      </c>
      <c r="E619" s="34">
        <f t="shared" si="279"/>
        <v>-1.35806665469969e-6</v>
      </c>
      <c r="F619" s="35">
        <f t="shared" si="284"/>
        <v>0.00115677919950645</v>
      </c>
      <c r="G619" s="18">
        <f>(SUM($I$8:$I619)*(MAX(M$3-M$4,0))+(N619*MAX(M$4,0)))*(1-$AM$4)+(AM619*$AM$4)</f>
        <v>0.707948870097945</v>
      </c>
      <c r="H619" s="18">
        <f t="shared" si="273"/>
        <v>1.41666666666667</v>
      </c>
      <c r="I619" s="18">
        <f t="shared" si="285"/>
        <v>0.00174400252525254</v>
      </c>
      <c r="J619" s="18">
        <f t="shared" si="274"/>
        <v>0.79123697246241</v>
      </c>
      <c r="K619" s="18">
        <f t="shared" si="275"/>
        <v>0.00289948649357764</v>
      </c>
      <c r="L619" s="18">
        <f t="shared" si="276"/>
        <v>0.00123106060606061</v>
      </c>
      <c r="M619" s="18">
        <v>0</v>
      </c>
      <c r="N619" s="18">
        <f t="shared" si="280"/>
        <v>1</v>
      </c>
      <c r="O619" s="11">
        <v>0</v>
      </c>
      <c r="P619" s="11">
        <v>0</v>
      </c>
      <c r="Q619" s="11">
        <f t="shared" si="286"/>
        <v>1</v>
      </c>
      <c r="R619" s="11">
        <v>0</v>
      </c>
      <c r="S619" s="11">
        <f t="shared" si="277"/>
        <v>0</v>
      </c>
      <c r="T619" s="11">
        <v>0</v>
      </c>
      <c r="U619" s="11">
        <f t="shared" si="287"/>
        <v>1</v>
      </c>
      <c r="V619" s="11">
        <v>0</v>
      </c>
      <c r="W619" s="11">
        <f t="shared" si="288"/>
        <v>1</v>
      </c>
      <c r="X619" s="11">
        <f t="shared" si="278"/>
        <v>0</v>
      </c>
      <c r="Y619" s="19">
        <v>1.25</v>
      </c>
      <c r="Z619" s="11">
        <v>0</v>
      </c>
      <c r="AA619" s="11">
        <v>0</v>
      </c>
      <c r="AB619" s="11">
        <v>5</v>
      </c>
      <c r="AC619" s="11">
        <v>0</v>
      </c>
      <c r="AD619" s="11">
        <v>0</v>
      </c>
      <c r="AE619" s="11">
        <v>0</v>
      </c>
      <c r="AF619" s="11">
        <v>0</v>
      </c>
      <c r="AG619" s="11">
        <v>0</v>
      </c>
      <c r="AH619" s="11">
        <v>0</v>
      </c>
      <c r="AI619" s="45">
        <v>0</v>
      </c>
      <c r="AJ619" s="45">
        <v>0</v>
      </c>
      <c r="AK619" s="45">
        <f t="shared" si="289"/>
        <v>0.3611</v>
      </c>
      <c r="AL619" s="45">
        <f t="shared" si="290"/>
        <v>0.00348095238095238</v>
      </c>
      <c r="AM619" s="45">
        <f t="shared" si="291"/>
        <v>0.0012569719047619</v>
      </c>
      <c r="AN619" s="45">
        <f t="shared" si="292"/>
        <v>0.792187500000004</v>
      </c>
      <c r="AO619" s="45">
        <f t="shared" si="293"/>
        <v>0.792187500000004</v>
      </c>
      <c r="AP619" s="45">
        <f t="shared" si="294"/>
        <v>1.05625000000001</v>
      </c>
      <c r="AQ619" s="45">
        <f t="shared" si="295"/>
        <v>0</v>
      </c>
      <c r="AR619" s="45">
        <f t="shared" si="296"/>
        <v>0</v>
      </c>
      <c r="AS619" s="19">
        <f t="shared" si="297"/>
        <v>1.07916666666667</v>
      </c>
      <c r="AT619" s="19">
        <f t="shared" si="298"/>
        <v>1.03333333333334</v>
      </c>
      <c r="AU619" s="46">
        <v>0</v>
      </c>
      <c r="AV619" s="46">
        <v>0</v>
      </c>
      <c r="AW619" s="46">
        <v>0</v>
      </c>
      <c r="AX619" s="46">
        <v>1</v>
      </c>
      <c r="AY619" s="47">
        <v>0</v>
      </c>
      <c r="AZ619" s="47">
        <v>-1</v>
      </c>
    </row>
    <row r="620" hidden="1" customHeight="1" spans="1:52">
      <c r="A620" s="44">
        <v>45945</v>
      </c>
      <c r="B620" s="33">
        <f t="shared" si="281"/>
        <v>71</v>
      </c>
      <c r="C620" s="33">
        <f t="shared" si="282"/>
        <v>181</v>
      </c>
      <c r="D620" s="11">
        <f t="shared" si="283"/>
        <v>252</v>
      </c>
      <c r="E620" s="34">
        <f t="shared" si="279"/>
        <v>-9.43295106466601e-7</v>
      </c>
      <c r="F620" s="35">
        <f t="shared" si="284"/>
        <v>0.00115583590439998</v>
      </c>
      <c r="G620" s="18">
        <f>(SUM($I$8:$I620)*(MAX(M$3-M$4,0))+(N620*MAX(M$4,0)))*(1-$AM$4)+(AM620*$AM$4)</f>
        <v>0.708527409397188</v>
      </c>
      <c r="H620" s="18">
        <f t="shared" si="273"/>
        <v>1.41666666666667</v>
      </c>
      <c r="I620" s="18">
        <f t="shared" si="285"/>
        <v>0.00308554292929295</v>
      </c>
      <c r="J620" s="18">
        <f t="shared" si="274"/>
        <v>0.790591758609587</v>
      </c>
      <c r="K620" s="18">
        <f t="shared" si="275"/>
        <v>0.0029494118505692</v>
      </c>
      <c r="L620" s="18">
        <f t="shared" si="276"/>
        <v>0.00217803030303031</v>
      </c>
      <c r="M620" s="18">
        <v>0</v>
      </c>
      <c r="N620" s="18">
        <f t="shared" si="280"/>
        <v>1</v>
      </c>
      <c r="O620" s="11">
        <v>0</v>
      </c>
      <c r="P620" s="11">
        <v>0</v>
      </c>
      <c r="Q620" s="11">
        <f t="shared" si="286"/>
        <v>1</v>
      </c>
      <c r="R620" s="11">
        <v>0</v>
      </c>
      <c r="S620" s="11">
        <f t="shared" si="277"/>
        <v>0</v>
      </c>
      <c r="T620" s="11">
        <v>0</v>
      </c>
      <c r="U620" s="11">
        <f t="shared" si="287"/>
        <v>1</v>
      </c>
      <c r="V620" s="11">
        <v>0</v>
      </c>
      <c r="W620" s="11">
        <f t="shared" si="288"/>
        <v>1</v>
      </c>
      <c r="X620" s="11">
        <f t="shared" si="278"/>
        <v>0</v>
      </c>
      <c r="Y620" s="19">
        <v>1.75</v>
      </c>
      <c r="Z620" s="11">
        <v>0</v>
      </c>
      <c r="AA620" s="11">
        <v>0</v>
      </c>
      <c r="AB620" s="11">
        <v>10</v>
      </c>
      <c r="AC620" s="11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45">
        <v>0</v>
      </c>
      <c r="AJ620" s="45">
        <v>0</v>
      </c>
      <c r="AK620" s="45">
        <f t="shared" si="289"/>
        <v>0.3611</v>
      </c>
      <c r="AL620" s="45">
        <f t="shared" si="290"/>
        <v>0.00348095238095238</v>
      </c>
      <c r="AM620" s="45">
        <f t="shared" si="291"/>
        <v>0.0012569719047619</v>
      </c>
      <c r="AN620" s="45">
        <f t="shared" si="292"/>
        <v>0.792187500000004</v>
      </c>
      <c r="AO620" s="45">
        <f t="shared" si="293"/>
        <v>0.792187500000004</v>
      </c>
      <c r="AP620" s="45">
        <f t="shared" si="294"/>
        <v>1.05625000000001</v>
      </c>
      <c r="AQ620" s="45">
        <f t="shared" si="295"/>
        <v>0</v>
      </c>
      <c r="AR620" s="45">
        <f t="shared" si="296"/>
        <v>0</v>
      </c>
      <c r="AS620" s="19">
        <f t="shared" si="297"/>
        <v>1.07916666666667</v>
      </c>
      <c r="AT620" s="19">
        <f t="shared" si="298"/>
        <v>1.03333333333334</v>
      </c>
      <c r="AU620" s="46">
        <v>0</v>
      </c>
      <c r="AV620" s="46">
        <v>0</v>
      </c>
      <c r="AW620" s="46">
        <v>0</v>
      </c>
      <c r="AX620" s="46">
        <v>1</v>
      </c>
      <c r="AY620" s="47">
        <v>0</v>
      </c>
      <c r="AZ620" s="47">
        <v>-1</v>
      </c>
    </row>
    <row r="621" hidden="1" customHeight="1" spans="1:52">
      <c r="A621" s="44">
        <v>45946</v>
      </c>
      <c r="B621" s="33">
        <f t="shared" si="281"/>
        <v>70</v>
      </c>
      <c r="C621" s="33">
        <f t="shared" si="282"/>
        <v>182</v>
      </c>
      <c r="D621" s="11">
        <f t="shared" si="283"/>
        <v>252</v>
      </c>
      <c r="E621" s="34">
        <f t="shared" si="279"/>
        <v>-1.07131763745936e-6</v>
      </c>
      <c r="F621" s="35">
        <f t="shared" si="284"/>
        <v>0.00115476458676252</v>
      </c>
      <c r="G621" s="18">
        <f>(SUM($I$8:$I621)*(MAX(M$3-M$4,0))+(N621*MAX(M$4,0)))*(1-$AM$4)+(AM621*$AM$4)</f>
        <v>0.709025456272188</v>
      </c>
      <c r="H621" s="18">
        <f t="shared" si="273"/>
        <v>1.41666666666667</v>
      </c>
      <c r="I621" s="18">
        <f t="shared" si="285"/>
        <v>0.00265625000000001</v>
      </c>
      <c r="J621" s="18">
        <f t="shared" si="274"/>
        <v>0.789858977345564</v>
      </c>
      <c r="K621" s="18">
        <f t="shared" si="275"/>
        <v>0.00300201460934908</v>
      </c>
      <c r="L621" s="18">
        <f t="shared" si="276"/>
        <v>0.00187500000000001</v>
      </c>
      <c r="M621" s="18">
        <v>0</v>
      </c>
      <c r="N621" s="18">
        <f t="shared" si="280"/>
        <v>1</v>
      </c>
      <c r="O621" s="11">
        <v>0</v>
      </c>
      <c r="P621" s="11">
        <v>0</v>
      </c>
      <c r="Q621" s="11">
        <f t="shared" si="286"/>
        <v>1</v>
      </c>
      <c r="R621" s="11">
        <v>0</v>
      </c>
      <c r="S621" s="11">
        <f t="shared" si="277"/>
        <v>0</v>
      </c>
      <c r="T621" s="11">
        <v>0</v>
      </c>
      <c r="U621" s="11">
        <f t="shared" si="287"/>
        <v>1</v>
      </c>
      <c r="V621" s="11">
        <v>0</v>
      </c>
      <c r="W621" s="11">
        <f t="shared" si="288"/>
        <v>1</v>
      </c>
      <c r="X621" s="11">
        <f t="shared" si="278"/>
        <v>0</v>
      </c>
      <c r="Y621" s="19">
        <v>1.75</v>
      </c>
      <c r="Z621" s="11">
        <v>0</v>
      </c>
      <c r="AA621" s="11">
        <v>0</v>
      </c>
      <c r="AB621" s="11">
        <v>8</v>
      </c>
      <c r="AC621" s="11">
        <v>0</v>
      </c>
      <c r="AD621" s="11">
        <v>0</v>
      </c>
      <c r="AE621" s="11">
        <v>0</v>
      </c>
      <c r="AF621" s="11">
        <v>0</v>
      </c>
      <c r="AG621" s="11">
        <v>0</v>
      </c>
      <c r="AH621" s="11">
        <v>0</v>
      </c>
      <c r="AI621" s="45">
        <v>0</v>
      </c>
      <c r="AJ621" s="45">
        <v>0</v>
      </c>
      <c r="AK621" s="45">
        <f t="shared" si="289"/>
        <v>0.3611</v>
      </c>
      <c r="AL621" s="45">
        <f t="shared" si="290"/>
        <v>0.00348095238095238</v>
      </c>
      <c r="AM621" s="45">
        <f t="shared" si="291"/>
        <v>0.0012569719047619</v>
      </c>
      <c r="AN621" s="45">
        <f t="shared" si="292"/>
        <v>0.792187500000004</v>
      </c>
      <c r="AO621" s="45">
        <f t="shared" si="293"/>
        <v>0.792187500000004</v>
      </c>
      <c r="AP621" s="45">
        <f t="shared" si="294"/>
        <v>1.05625000000001</v>
      </c>
      <c r="AQ621" s="45">
        <f t="shared" si="295"/>
        <v>0</v>
      </c>
      <c r="AR621" s="45">
        <f t="shared" si="296"/>
        <v>0</v>
      </c>
      <c r="AS621" s="19">
        <f t="shared" si="297"/>
        <v>1.07916666666667</v>
      </c>
      <c r="AT621" s="19">
        <f t="shared" si="298"/>
        <v>1.03333333333334</v>
      </c>
      <c r="AU621" s="46">
        <v>0</v>
      </c>
      <c r="AV621" s="46">
        <v>0</v>
      </c>
      <c r="AW621" s="46">
        <v>0</v>
      </c>
      <c r="AX621" s="46">
        <v>1</v>
      </c>
      <c r="AY621" s="47">
        <v>0</v>
      </c>
      <c r="AZ621" s="47">
        <v>-1</v>
      </c>
    </row>
    <row r="622" hidden="1" customHeight="1" spans="1:52">
      <c r="A622" s="44">
        <v>45947</v>
      </c>
      <c r="B622" s="33">
        <f t="shared" si="281"/>
        <v>69</v>
      </c>
      <c r="C622" s="33">
        <f t="shared" si="282"/>
        <v>183</v>
      </c>
      <c r="D622" s="11">
        <f t="shared" si="283"/>
        <v>252</v>
      </c>
      <c r="E622" s="34">
        <f t="shared" si="279"/>
        <v>-1.13327467298158e-6</v>
      </c>
      <c r="F622" s="35">
        <f t="shared" si="284"/>
        <v>0.00115363131208954</v>
      </c>
      <c r="G622" s="18">
        <f>(SUM($I$8:$I622)*(MAX(M$3-M$4,0))+(N622*MAX(M$4,0)))*(1-$AM$4)+(AM622*$AM$4)</f>
        <v>0.709483256935067</v>
      </c>
      <c r="H622" s="18">
        <f t="shared" si="273"/>
        <v>1.41666666666667</v>
      </c>
      <c r="I622" s="18">
        <f t="shared" si="285"/>
        <v>0.00244160353535355</v>
      </c>
      <c r="J622" s="18">
        <f t="shared" si="274"/>
        <v>0.789083817469245</v>
      </c>
      <c r="K622" s="18">
        <f t="shared" si="275"/>
        <v>0.00305675626856167</v>
      </c>
      <c r="L622" s="18">
        <f t="shared" si="276"/>
        <v>0.00172348484848485</v>
      </c>
      <c r="M622" s="18">
        <v>0</v>
      </c>
      <c r="N622" s="18">
        <f t="shared" si="280"/>
        <v>1</v>
      </c>
      <c r="O622" s="11">
        <v>0</v>
      </c>
      <c r="P622" s="11">
        <v>0</v>
      </c>
      <c r="Q622" s="11">
        <f t="shared" si="286"/>
        <v>1</v>
      </c>
      <c r="R622" s="11">
        <v>0</v>
      </c>
      <c r="S622" s="11">
        <f t="shared" si="277"/>
        <v>0</v>
      </c>
      <c r="T622" s="11">
        <v>0</v>
      </c>
      <c r="U622" s="11">
        <f t="shared" si="287"/>
        <v>1</v>
      </c>
      <c r="V622" s="11">
        <v>0</v>
      </c>
      <c r="W622" s="11">
        <f t="shared" si="288"/>
        <v>1</v>
      </c>
      <c r="X622" s="11">
        <f t="shared" si="278"/>
        <v>0</v>
      </c>
      <c r="Y622" s="19">
        <v>1.75</v>
      </c>
      <c r="Z622" s="11">
        <v>0</v>
      </c>
      <c r="AA622" s="11">
        <v>0</v>
      </c>
      <c r="AB622" s="11">
        <v>7</v>
      </c>
      <c r="AC622" s="11">
        <v>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45">
        <v>0</v>
      </c>
      <c r="AJ622" s="45">
        <v>0</v>
      </c>
      <c r="AK622" s="45">
        <f t="shared" si="289"/>
        <v>0.3611</v>
      </c>
      <c r="AL622" s="45">
        <f t="shared" si="290"/>
        <v>0.00348095238095238</v>
      </c>
      <c r="AM622" s="45">
        <f t="shared" si="291"/>
        <v>0.0012569719047619</v>
      </c>
      <c r="AN622" s="45">
        <f t="shared" si="292"/>
        <v>0.792187500000004</v>
      </c>
      <c r="AO622" s="45">
        <f t="shared" si="293"/>
        <v>0.792187500000004</v>
      </c>
      <c r="AP622" s="45">
        <f t="shared" si="294"/>
        <v>1.05625000000001</v>
      </c>
      <c r="AQ622" s="45">
        <f t="shared" si="295"/>
        <v>0</v>
      </c>
      <c r="AR622" s="45">
        <f t="shared" si="296"/>
        <v>0</v>
      </c>
      <c r="AS622" s="19">
        <f t="shared" si="297"/>
        <v>1.07916666666667</v>
      </c>
      <c r="AT622" s="19">
        <f t="shared" si="298"/>
        <v>1.03333333333334</v>
      </c>
      <c r="AU622" s="46">
        <v>0</v>
      </c>
      <c r="AV622" s="46">
        <v>0</v>
      </c>
      <c r="AW622" s="46">
        <v>0</v>
      </c>
      <c r="AX622" s="46">
        <v>1</v>
      </c>
      <c r="AY622" s="47">
        <v>0</v>
      </c>
      <c r="AZ622" s="47">
        <v>-1</v>
      </c>
    </row>
    <row r="623" hidden="1" customHeight="1" spans="1:52">
      <c r="A623" s="44">
        <v>45948</v>
      </c>
      <c r="B623" s="33">
        <f t="shared" si="281"/>
        <v>68</v>
      </c>
      <c r="C623" s="33">
        <f t="shared" si="282"/>
        <v>184</v>
      </c>
      <c r="D623" s="11">
        <f t="shared" si="283"/>
        <v>252</v>
      </c>
      <c r="E623" s="34">
        <f t="shared" si="279"/>
        <v>-1.74210858416737e-6</v>
      </c>
      <c r="F623" s="35">
        <f t="shared" si="284"/>
        <v>0.00115188920350537</v>
      </c>
      <c r="G623" s="18">
        <f>(SUM($I$8:$I623)*(MAX(M$3-M$4,0))+(N623*MAX(M$4,0)))*(1-$AM$4)+(AM623*$AM$4)</f>
        <v>0.709563749359309</v>
      </c>
      <c r="H623" s="18">
        <f t="shared" si="273"/>
        <v>1.41666666666667</v>
      </c>
      <c r="I623" s="18">
        <f t="shared" si="285"/>
        <v>0.000429292929292932</v>
      </c>
      <c r="J623" s="18">
        <f t="shared" si="274"/>
        <v>0.787892215197674</v>
      </c>
      <c r="K623" s="18">
        <f t="shared" si="275"/>
        <v>0.00311923212944596</v>
      </c>
      <c r="L623" s="18">
        <f t="shared" si="276"/>
        <v>0.000303030303030304</v>
      </c>
      <c r="M623" s="18">
        <v>0</v>
      </c>
      <c r="N623" s="18">
        <f t="shared" si="280"/>
        <v>1</v>
      </c>
      <c r="O623" s="11">
        <v>0</v>
      </c>
      <c r="P623" s="11">
        <v>0</v>
      </c>
      <c r="Q623" s="11">
        <f t="shared" si="286"/>
        <v>1</v>
      </c>
      <c r="R623" s="11">
        <v>0</v>
      </c>
      <c r="S623" s="11">
        <f t="shared" si="277"/>
        <v>0</v>
      </c>
      <c r="T623" s="11">
        <v>0</v>
      </c>
      <c r="U623" s="11">
        <f t="shared" si="287"/>
        <v>1</v>
      </c>
      <c r="V623" s="11">
        <v>0</v>
      </c>
      <c r="W623" s="11">
        <f t="shared" si="288"/>
        <v>1</v>
      </c>
      <c r="X623" s="11">
        <f t="shared" si="278"/>
        <v>0</v>
      </c>
      <c r="Y623" s="19">
        <v>0</v>
      </c>
      <c r="Z623" s="11">
        <v>0</v>
      </c>
      <c r="AA623" s="11">
        <v>0</v>
      </c>
      <c r="AB623" s="11">
        <v>2</v>
      </c>
      <c r="AC623" s="11">
        <v>0</v>
      </c>
      <c r="AD623" s="11">
        <v>0</v>
      </c>
      <c r="AE623" s="11">
        <v>0</v>
      </c>
      <c r="AF623" s="11">
        <v>0</v>
      </c>
      <c r="AG623" s="11">
        <v>0</v>
      </c>
      <c r="AH623" s="11">
        <v>0</v>
      </c>
      <c r="AI623" s="45">
        <v>0</v>
      </c>
      <c r="AJ623" s="45">
        <v>0</v>
      </c>
      <c r="AK623" s="45">
        <f t="shared" si="289"/>
        <v>0.3611</v>
      </c>
      <c r="AL623" s="45">
        <f t="shared" si="290"/>
        <v>0.00348095238095238</v>
      </c>
      <c r="AM623" s="45">
        <f t="shared" si="291"/>
        <v>0.0012569719047619</v>
      </c>
      <c r="AN623" s="45">
        <f t="shared" si="292"/>
        <v>0.792187500000004</v>
      </c>
      <c r="AO623" s="45">
        <f t="shared" si="293"/>
        <v>0.792187500000004</v>
      </c>
      <c r="AP623" s="45">
        <f t="shared" si="294"/>
        <v>1.05625000000001</v>
      </c>
      <c r="AQ623" s="45">
        <f t="shared" si="295"/>
        <v>0</v>
      </c>
      <c r="AR623" s="45">
        <f t="shared" si="296"/>
        <v>0</v>
      </c>
      <c r="AS623" s="19">
        <f t="shared" si="297"/>
        <v>1.07916666666667</v>
      </c>
      <c r="AT623" s="19">
        <f t="shared" si="298"/>
        <v>1.03333333333334</v>
      </c>
      <c r="AU623" s="46">
        <v>0</v>
      </c>
      <c r="AV623" s="46">
        <v>0</v>
      </c>
      <c r="AW623" s="46">
        <v>0</v>
      </c>
      <c r="AX623" s="46">
        <v>1</v>
      </c>
      <c r="AY623" s="47">
        <v>0</v>
      </c>
      <c r="AZ623" s="47">
        <v>-1</v>
      </c>
    </row>
    <row r="624" hidden="1" customHeight="1" spans="1:52">
      <c r="A624" s="44">
        <v>45949</v>
      </c>
      <c r="B624" s="33">
        <f t="shared" si="281"/>
        <v>67</v>
      </c>
      <c r="C624" s="33">
        <f t="shared" si="282"/>
        <v>185</v>
      </c>
      <c r="D624" s="11">
        <f t="shared" si="283"/>
        <v>252</v>
      </c>
      <c r="E624" s="34">
        <f t="shared" si="279"/>
        <v>-1.67123268580505e-6</v>
      </c>
      <c r="F624" s="35">
        <f t="shared" si="284"/>
        <v>0.00115021797081957</v>
      </c>
      <c r="G624" s="18">
        <f>(SUM($I$8:$I624)*(MAX(M$3-M$4,0))+(N624*MAX(M$4,0)))*(1-$AM$4)+(AM624*$AM$4)</f>
        <v>0.709684487995673</v>
      </c>
      <c r="H624" s="18">
        <f t="shared" si="273"/>
        <v>1.41666666666667</v>
      </c>
      <c r="I624" s="18">
        <f t="shared" si="285"/>
        <v>0.000643939393939398</v>
      </c>
      <c r="J624" s="18">
        <f t="shared" si="274"/>
        <v>0.786749092040584</v>
      </c>
      <c r="K624" s="18">
        <f t="shared" si="275"/>
        <v>0.0031828493725286</v>
      </c>
      <c r="L624" s="18">
        <f t="shared" si="276"/>
        <v>0.000454545454545456</v>
      </c>
      <c r="M624" s="18">
        <v>0</v>
      </c>
      <c r="N624" s="18">
        <f t="shared" si="280"/>
        <v>1</v>
      </c>
      <c r="O624" s="11">
        <v>0</v>
      </c>
      <c r="P624" s="11">
        <v>0</v>
      </c>
      <c r="Q624" s="11">
        <f t="shared" si="286"/>
        <v>1</v>
      </c>
      <c r="R624" s="11">
        <v>0</v>
      </c>
      <c r="S624" s="11">
        <f t="shared" si="277"/>
        <v>0</v>
      </c>
      <c r="T624" s="11">
        <v>0</v>
      </c>
      <c r="U624" s="11">
        <f t="shared" si="287"/>
        <v>1</v>
      </c>
      <c r="V624" s="11">
        <v>0</v>
      </c>
      <c r="W624" s="11">
        <f t="shared" si="288"/>
        <v>1</v>
      </c>
      <c r="X624" s="11">
        <f t="shared" si="278"/>
        <v>0</v>
      </c>
      <c r="Y624" s="19">
        <v>0</v>
      </c>
      <c r="Z624" s="11">
        <v>0</v>
      </c>
      <c r="AA624" s="11">
        <v>0</v>
      </c>
      <c r="AB624" s="11">
        <v>3</v>
      </c>
      <c r="AC624" s="11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45">
        <v>0</v>
      </c>
      <c r="AJ624" s="45">
        <v>0</v>
      </c>
      <c r="AK624" s="45">
        <f t="shared" si="289"/>
        <v>0.3611</v>
      </c>
      <c r="AL624" s="45">
        <f t="shared" si="290"/>
        <v>0.00348095238095238</v>
      </c>
      <c r="AM624" s="45">
        <f t="shared" si="291"/>
        <v>0.0012569719047619</v>
      </c>
      <c r="AN624" s="45">
        <f t="shared" si="292"/>
        <v>0.792187500000004</v>
      </c>
      <c r="AO624" s="45">
        <f t="shared" si="293"/>
        <v>0.792187500000004</v>
      </c>
      <c r="AP624" s="45">
        <f t="shared" si="294"/>
        <v>1.05625000000001</v>
      </c>
      <c r="AQ624" s="45">
        <f t="shared" si="295"/>
        <v>0</v>
      </c>
      <c r="AR624" s="45">
        <f t="shared" si="296"/>
        <v>0</v>
      </c>
      <c r="AS624" s="19">
        <f t="shared" si="297"/>
        <v>1.07916666666667</v>
      </c>
      <c r="AT624" s="19">
        <f t="shared" si="298"/>
        <v>1.03333333333334</v>
      </c>
      <c r="AU624" s="46">
        <v>0</v>
      </c>
      <c r="AV624" s="46">
        <v>0</v>
      </c>
      <c r="AW624" s="46">
        <v>0</v>
      </c>
      <c r="AX624" s="46">
        <v>1</v>
      </c>
      <c r="AY624" s="47">
        <v>0</v>
      </c>
      <c r="AZ624" s="47">
        <v>-1</v>
      </c>
    </row>
    <row r="625" hidden="1" customHeight="1" spans="1:52">
      <c r="A625" s="44">
        <v>45950</v>
      </c>
      <c r="B625" s="33">
        <f t="shared" si="281"/>
        <v>66</v>
      </c>
      <c r="C625" s="33">
        <f t="shared" si="282"/>
        <v>187</v>
      </c>
      <c r="D625" s="11">
        <f t="shared" si="283"/>
        <v>253</v>
      </c>
      <c r="E625" s="34">
        <f t="shared" si="279"/>
        <v>-1.60070084520179e-6</v>
      </c>
      <c r="F625" s="35">
        <f t="shared" si="284"/>
        <v>0.00114861726997437</v>
      </c>
      <c r="G625" s="18">
        <f>(SUM($I$8:$I625)*(MAX(M$3-M$4,0))+(N625*MAX(M$4,0)))*(1-$AM$4)+(AM625*$AM$4)</f>
        <v>0.709845472844158</v>
      </c>
      <c r="H625" s="18">
        <f t="shared" si="273"/>
        <v>1.41666666666667</v>
      </c>
      <c r="I625" s="18">
        <f t="shared" si="285"/>
        <v>0.000858585858585863</v>
      </c>
      <c r="J625" s="18">
        <f t="shared" si="274"/>
        <v>0.785654212662466</v>
      </c>
      <c r="K625" s="18">
        <f t="shared" si="275"/>
        <v>0.00324766344450809</v>
      </c>
      <c r="L625" s="18">
        <f t="shared" si="276"/>
        <v>0.000606060606060608</v>
      </c>
      <c r="M625" s="18">
        <v>0</v>
      </c>
      <c r="N625" s="18">
        <f t="shared" si="280"/>
        <v>1</v>
      </c>
      <c r="O625" s="11">
        <v>0</v>
      </c>
      <c r="P625" s="11">
        <v>0</v>
      </c>
      <c r="Q625" s="11">
        <f t="shared" si="286"/>
        <v>1</v>
      </c>
      <c r="R625" s="11">
        <v>0</v>
      </c>
      <c r="S625" s="11">
        <f t="shared" si="277"/>
        <v>0</v>
      </c>
      <c r="T625" s="11">
        <v>0</v>
      </c>
      <c r="U625" s="11">
        <f t="shared" si="287"/>
        <v>1</v>
      </c>
      <c r="V625" s="11">
        <v>0</v>
      </c>
      <c r="W625" s="11">
        <f t="shared" si="288"/>
        <v>1</v>
      </c>
      <c r="X625" s="11">
        <f t="shared" si="278"/>
        <v>0</v>
      </c>
      <c r="Y625" s="19">
        <v>0</v>
      </c>
      <c r="Z625" s="11">
        <v>0</v>
      </c>
      <c r="AA625" s="11">
        <v>0</v>
      </c>
      <c r="AB625" s="11">
        <v>4</v>
      </c>
      <c r="AC625" s="11">
        <v>0</v>
      </c>
      <c r="AD625" s="11">
        <v>0</v>
      </c>
      <c r="AE625" s="11">
        <v>0</v>
      </c>
      <c r="AF625" s="11">
        <v>0</v>
      </c>
      <c r="AG625" s="11">
        <v>0</v>
      </c>
      <c r="AH625" s="11">
        <v>0</v>
      </c>
      <c r="AI625" s="45">
        <v>0</v>
      </c>
      <c r="AJ625" s="45">
        <v>0</v>
      </c>
      <c r="AK625" s="45">
        <f t="shared" si="289"/>
        <v>0.3611</v>
      </c>
      <c r="AL625" s="45">
        <f t="shared" si="290"/>
        <v>0.00348095238095238</v>
      </c>
      <c r="AM625" s="45">
        <f t="shared" si="291"/>
        <v>0.0012569719047619</v>
      </c>
      <c r="AN625" s="45">
        <f t="shared" si="292"/>
        <v>0.792187500000004</v>
      </c>
      <c r="AO625" s="45">
        <f t="shared" si="293"/>
        <v>0.792187500000004</v>
      </c>
      <c r="AP625" s="45">
        <f t="shared" si="294"/>
        <v>1.05625000000001</v>
      </c>
      <c r="AQ625" s="45">
        <f t="shared" si="295"/>
        <v>0</v>
      </c>
      <c r="AR625" s="45">
        <f t="shared" si="296"/>
        <v>0</v>
      </c>
      <c r="AS625" s="19">
        <f t="shared" si="297"/>
        <v>1.07916666666667</v>
      </c>
      <c r="AT625" s="19">
        <f t="shared" si="298"/>
        <v>1.03333333333334</v>
      </c>
      <c r="AU625" s="46">
        <v>0</v>
      </c>
      <c r="AV625" s="46">
        <v>0</v>
      </c>
      <c r="AW625" s="46">
        <v>0</v>
      </c>
      <c r="AX625" s="46">
        <v>1</v>
      </c>
      <c r="AY625" s="47">
        <v>0</v>
      </c>
      <c r="AZ625" s="47">
        <v>-1</v>
      </c>
    </row>
    <row r="626" hidden="1" customHeight="1" spans="1:52">
      <c r="A626" s="44">
        <v>45951</v>
      </c>
      <c r="B626" s="33">
        <f t="shared" si="281"/>
        <v>65</v>
      </c>
      <c r="C626" s="33">
        <f t="shared" si="282"/>
        <v>186</v>
      </c>
      <c r="D626" s="11">
        <f t="shared" si="283"/>
        <v>251</v>
      </c>
      <c r="E626" s="34">
        <f t="shared" si="279"/>
        <v>1.6321101193738e-7</v>
      </c>
      <c r="F626" s="35">
        <f t="shared" si="284"/>
        <v>0.0011487804809863</v>
      </c>
      <c r="G626" s="18">
        <f>(SUM($I$8:$I626)*(MAX(M$3-M$4,0))+(N626*MAX(M$4,0)))*(1-$AM$4)+(AM626*$AM$4)</f>
        <v>0.711095117730521</v>
      </c>
      <c r="H626" s="18">
        <f t="shared" si="273"/>
        <v>1.41666666666667</v>
      </c>
      <c r="I626" s="18">
        <f t="shared" si="285"/>
        <v>0.00666477272727276</v>
      </c>
      <c r="J626" s="18">
        <f t="shared" si="274"/>
        <v>0.785765848994631</v>
      </c>
      <c r="K626" s="18">
        <f t="shared" si="275"/>
        <v>0.00329591001546722</v>
      </c>
      <c r="L626" s="18">
        <f t="shared" si="276"/>
        <v>0.00470454545454547</v>
      </c>
      <c r="M626" s="18">
        <v>0</v>
      </c>
      <c r="N626" s="18">
        <f t="shared" si="280"/>
        <v>1</v>
      </c>
      <c r="O626" s="11">
        <v>0</v>
      </c>
      <c r="P626" s="11">
        <v>0</v>
      </c>
      <c r="Q626" s="11">
        <f t="shared" si="286"/>
        <v>1</v>
      </c>
      <c r="R626" s="11">
        <v>0</v>
      </c>
      <c r="S626" s="11">
        <f t="shared" si="277"/>
        <v>0</v>
      </c>
      <c r="T626" s="11">
        <v>0</v>
      </c>
      <c r="U626" s="11">
        <f t="shared" si="287"/>
        <v>1</v>
      </c>
      <c r="V626" s="11">
        <v>0</v>
      </c>
      <c r="W626" s="11">
        <f t="shared" si="288"/>
        <v>1</v>
      </c>
      <c r="X626" s="11">
        <f t="shared" si="278"/>
        <v>0</v>
      </c>
      <c r="Y626" s="19">
        <v>4.42</v>
      </c>
      <c r="Z626" s="11">
        <v>0</v>
      </c>
      <c r="AA626" s="11">
        <v>0</v>
      </c>
      <c r="AB626" s="11">
        <v>20</v>
      </c>
      <c r="AC626" s="11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45">
        <v>0</v>
      </c>
      <c r="AJ626" s="45">
        <v>0</v>
      </c>
      <c r="AK626" s="45">
        <f t="shared" si="289"/>
        <v>0.3611</v>
      </c>
      <c r="AL626" s="45">
        <f t="shared" si="290"/>
        <v>0.00348095238095238</v>
      </c>
      <c r="AM626" s="45">
        <f t="shared" si="291"/>
        <v>0.0012569719047619</v>
      </c>
      <c r="AN626" s="45">
        <f t="shared" si="292"/>
        <v>0.792187500000004</v>
      </c>
      <c r="AO626" s="45">
        <f t="shared" si="293"/>
        <v>0.792187500000004</v>
      </c>
      <c r="AP626" s="45">
        <f t="shared" si="294"/>
        <v>1.05625000000001</v>
      </c>
      <c r="AQ626" s="45">
        <f t="shared" si="295"/>
        <v>0</v>
      </c>
      <c r="AR626" s="45">
        <f t="shared" si="296"/>
        <v>0</v>
      </c>
      <c r="AS626" s="19">
        <f t="shared" si="297"/>
        <v>1.07916666666667</v>
      </c>
      <c r="AT626" s="19">
        <f t="shared" si="298"/>
        <v>1.03333333333334</v>
      </c>
      <c r="AU626" s="46">
        <v>0</v>
      </c>
      <c r="AV626" s="46">
        <v>0</v>
      </c>
      <c r="AW626" s="46">
        <v>0</v>
      </c>
      <c r="AX626" s="46">
        <v>1</v>
      </c>
      <c r="AY626" s="47">
        <v>0</v>
      </c>
      <c r="AZ626" s="47">
        <v>-1</v>
      </c>
    </row>
    <row r="627" hidden="1" customHeight="1" spans="1:52">
      <c r="A627" s="44">
        <v>45952</v>
      </c>
      <c r="B627" s="33">
        <f t="shared" si="281"/>
        <v>64</v>
      </c>
      <c r="C627" s="33">
        <f t="shared" si="282"/>
        <v>187</v>
      </c>
      <c r="D627" s="11">
        <f t="shared" si="283"/>
        <v>251</v>
      </c>
      <c r="E627" s="34">
        <f t="shared" si="279"/>
        <v>-1.07066713697667e-6</v>
      </c>
      <c r="F627" s="35">
        <f t="shared" si="284"/>
        <v>0.00114770981384933</v>
      </c>
      <c r="G627" s="18">
        <f>(SUM($I$8:$I627)*(MAX(M$3-M$4,0))+(N627*MAX(M$4,0)))*(1-$AM$4)+(AM627*$AM$4)</f>
        <v>0.711580084586582</v>
      </c>
      <c r="H627" s="18">
        <f t="shared" si="273"/>
        <v>1.41666666666667</v>
      </c>
      <c r="I627" s="18">
        <f t="shared" si="285"/>
        <v>0.00258648989898991</v>
      </c>
      <c r="J627" s="18">
        <f t="shared" si="274"/>
        <v>0.785033512672939</v>
      </c>
      <c r="K627" s="18">
        <f t="shared" si="275"/>
        <v>0.00335885136448533</v>
      </c>
      <c r="L627" s="18">
        <f t="shared" si="276"/>
        <v>0.00182575757575758</v>
      </c>
      <c r="M627" s="18">
        <v>0</v>
      </c>
      <c r="N627" s="18">
        <f t="shared" si="280"/>
        <v>1</v>
      </c>
      <c r="O627" s="11">
        <v>0</v>
      </c>
      <c r="P627" s="11">
        <v>0</v>
      </c>
      <c r="Q627" s="11">
        <f t="shared" si="286"/>
        <v>1</v>
      </c>
      <c r="R627" s="11">
        <v>0</v>
      </c>
      <c r="S627" s="11">
        <f t="shared" si="277"/>
        <v>0</v>
      </c>
      <c r="T627" s="11">
        <v>0</v>
      </c>
      <c r="U627" s="11">
        <f t="shared" si="287"/>
        <v>1</v>
      </c>
      <c r="V627" s="11">
        <v>0</v>
      </c>
      <c r="W627" s="11">
        <f t="shared" si="288"/>
        <v>1</v>
      </c>
      <c r="X627" s="11">
        <f t="shared" si="278"/>
        <v>0</v>
      </c>
      <c r="Y627" s="19">
        <v>2.42</v>
      </c>
      <c r="Z627" s="11">
        <v>0</v>
      </c>
      <c r="AA627" s="11">
        <v>0</v>
      </c>
      <c r="AB627" s="11">
        <v>6</v>
      </c>
      <c r="AC627" s="11">
        <v>0</v>
      </c>
      <c r="AD627" s="11">
        <v>0</v>
      </c>
      <c r="AE627" s="11">
        <v>0</v>
      </c>
      <c r="AF627" s="11">
        <v>0</v>
      </c>
      <c r="AG627" s="11">
        <v>0</v>
      </c>
      <c r="AH627" s="11">
        <v>0</v>
      </c>
      <c r="AI627" s="45">
        <v>0</v>
      </c>
      <c r="AJ627" s="45">
        <v>0</v>
      </c>
      <c r="AK627" s="45">
        <f t="shared" si="289"/>
        <v>0.3611</v>
      </c>
      <c r="AL627" s="45">
        <f t="shared" si="290"/>
        <v>0.00348095238095238</v>
      </c>
      <c r="AM627" s="45">
        <f t="shared" si="291"/>
        <v>0.0012569719047619</v>
      </c>
      <c r="AN627" s="45">
        <f t="shared" si="292"/>
        <v>0.792187500000004</v>
      </c>
      <c r="AO627" s="45">
        <f t="shared" si="293"/>
        <v>0.792187500000004</v>
      </c>
      <c r="AP627" s="45">
        <f t="shared" si="294"/>
        <v>1.05625000000001</v>
      </c>
      <c r="AQ627" s="45">
        <f t="shared" si="295"/>
        <v>0</v>
      </c>
      <c r="AR627" s="45">
        <f t="shared" si="296"/>
        <v>0</v>
      </c>
      <c r="AS627" s="19">
        <f t="shared" si="297"/>
        <v>1.07916666666667</v>
      </c>
      <c r="AT627" s="19">
        <f t="shared" si="298"/>
        <v>1.03333333333334</v>
      </c>
      <c r="AU627" s="46">
        <v>0</v>
      </c>
      <c r="AV627" s="46">
        <v>0</v>
      </c>
      <c r="AW627" s="46">
        <v>0</v>
      </c>
      <c r="AX627" s="46">
        <v>1</v>
      </c>
      <c r="AY627" s="47">
        <v>0</v>
      </c>
      <c r="AZ627" s="47">
        <v>-1</v>
      </c>
    </row>
    <row r="628" hidden="1" customHeight="1" spans="1:52">
      <c r="A628" s="44">
        <v>45953</v>
      </c>
      <c r="B628" s="33">
        <f t="shared" si="281"/>
        <v>63</v>
      </c>
      <c r="C628" s="33">
        <f t="shared" si="282"/>
        <v>188</v>
      </c>
      <c r="D628" s="11">
        <f t="shared" si="283"/>
        <v>251</v>
      </c>
      <c r="E628" s="34">
        <f t="shared" si="279"/>
        <v>-9.16538670864752e-7</v>
      </c>
      <c r="F628" s="35">
        <f t="shared" si="284"/>
        <v>0.00114679327517846</v>
      </c>
      <c r="G628" s="18">
        <f>(SUM($I$8:$I628)*(MAX(M$3-M$4,0))+(N628*MAX(M$4,0)))*(1-$AM$4)+(AM628*$AM$4)</f>
        <v>0.712158623885824</v>
      </c>
      <c r="H628" s="18">
        <f t="shared" si="273"/>
        <v>1.41666666666667</v>
      </c>
      <c r="I628" s="18">
        <f t="shared" si="285"/>
        <v>0.00308554292929295</v>
      </c>
      <c r="J628" s="18">
        <f t="shared" si="274"/>
        <v>0.784406600222067</v>
      </c>
      <c r="K628" s="18">
        <f t="shared" si="275"/>
        <v>0.00342211745679258</v>
      </c>
      <c r="L628" s="18">
        <f t="shared" si="276"/>
        <v>0.00217803030303031</v>
      </c>
      <c r="M628" s="18">
        <v>0</v>
      </c>
      <c r="N628" s="18">
        <f t="shared" si="280"/>
        <v>1</v>
      </c>
      <c r="O628" s="11">
        <v>0</v>
      </c>
      <c r="P628" s="11">
        <v>0</v>
      </c>
      <c r="Q628" s="11">
        <f t="shared" si="286"/>
        <v>1</v>
      </c>
      <c r="R628" s="11">
        <v>0</v>
      </c>
      <c r="S628" s="11">
        <f t="shared" si="277"/>
        <v>0</v>
      </c>
      <c r="T628" s="11">
        <v>0</v>
      </c>
      <c r="U628" s="11">
        <f t="shared" si="287"/>
        <v>1</v>
      </c>
      <c r="V628" s="11">
        <v>0</v>
      </c>
      <c r="W628" s="11">
        <f t="shared" si="288"/>
        <v>1</v>
      </c>
      <c r="X628" s="11">
        <f t="shared" si="278"/>
        <v>0</v>
      </c>
      <c r="Y628" s="19">
        <v>3.75</v>
      </c>
      <c r="Z628" s="11">
        <v>0</v>
      </c>
      <c r="AA628" s="11">
        <v>0</v>
      </c>
      <c r="AB628" s="11">
        <v>5</v>
      </c>
      <c r="AC628" s="11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45">
        <v>0</v>
      </c>
      <c r="AJ628" s="45">
        <v>0</v>
      </c>
      <c r="AK628" s="45">
        <f t="shared" si="289"/>
        <v>0.3611</v>
      </c>
      <c r="AL628" s="45">
        <f t="shared" si="290"/>
        <v>0.00348095238095238</v>
      </c>
      <c r="AM628" s="45">
        <f t="shared" si="291"/>
        <v>0.0012569719047619</v>
      </c>
      <c r="AN628" s="45">
        <f t="shared" si="292"/>
        <v>0.792187500000004</v>
      </c>
      <c r="AO628" s="45">
        <f t="shared" si="293"/>
        <v>0.792187500000004</v>
      </c>
      <c r="AP628" s="45">
        <f t="shared" si="294"/>
        <v>1.05625000000001</v>
      </c>
      <c r="AQ628" s="45">
        <f t="shared" si="295"/>
        <v>0</v>
      </c>
      <c r="AR628" s="45">
        <f t="shared" si="296"/>
        <v>0</v>
      </c>
      <c r="AS628" s="19">
        <f t="shared" si="297"/>
        <v>1.07916666666667</v>
      </c>
      <c r="AT628" s="19">
        <f t="shared" si="298"/>
        <v>1.03333333333334</v>
      </c>
      <c r="AU628" s="46">
        <v>0</v>
      </c>
      <c r="AV628" s="46">
        <v>0</v>
      </c>
      <c r="AW628" s="46">
        <v>0</v>
      </c>
      <c r="AX628" s="46">
        <v>1</v>
      </c>
      <c r="AY628" s="47">
        <v>0</v>
      </c>
      <c r="AZ628" s="47">
        <v>-1</v>
      </c>
    </row>
    <row r="629" hidden="1" customHeight="1" spans="1:52">
      <c r="A629" s="44">
        <v>45954</v>
      </c>
      <c r="B629" s="33">
        <f t="shared" si="281"/>
        <v>62</v>
      </c>
      <c r="C629" s="33">
        <f t="shared" si="282"/>
        <v>189</v>
      </c>
      <c r="D629" s="11">
        <f t="shared" si="283"/>
        <v>251</v>
      </c>
      <c r="E629" s="34">
        <f t="shared" si="279"/>
        <v>-7.84182558993081e-7</v>
      </c>
      <c r="F629" s="35">
        <f t="shared" si="284"/>
        <v>0.00114600909261947</v>
      </c>
      <c r="G629" s="18">
        <f>(SUM($I$8:$I629)*(MAX(M$3-M$4,0))+(N629*MAX(M$4,0)))*(1-$AM$4)+(AM629*$AM$4)</f>
        <v>0.712817655609309</v>
      </c>
      <c r="H629" s="18">
        <f t="shared" si="273"/>
        <v>1.41666666666667</v>
      </c>
      <c r="I629" s="18">
        <f t="shared" si="285"/>
        <v>0.00351483585858588</v>
      </c>
      <c r="J629" s="18">
        <f t="shared" si="274"/>
        <v>0.783870219351716</v>
      </c>
      <c r="K629" s="18">
        <f t="shared" si="275"/>
        <v>0.00348596420400458</v>
      </c>
      <c r="L629" s="18">
        <f t="shared" si="276"/>
        <v>0.00248106060606061</v>
      </c>
      <c r="M629" s="18">
        <v>0</v>
      </c>
      <c r="N629" s="18">
        <f t="shared" si="280"/>
        <v>1</v>
      </c>
      <c r="O629" s="11">
        <v>0</v>
      </c>
      <c r="P629" s="11">
        <v>0</v>
      </c>
      <c r="Q629" s="11">
        <f t="shared" si="286"/>
        <v>1</v>
      </c>
      <c r="R629" s="11">
        <v>0</v>
      </c>
      <c r="S629" s="11">
        <f t="shared" si="277"/>
        <v>0</v>
      </c>
      <c r="T629" s="11">
        <v>0</v>
      </c>
      <c r="U629" s="11">
        <f t="shared" si="287"/>
        <v>1</v>
      </c>
      <c r="V629" s="11">
        <v>0</v>
      </c>
      <c r="W629" s="11">
        <f t="shared" si="288"/>
        <v>1</v>
      </c>
      <c r="X629" s="11">
        <f t="shared" si="278"/>
        <v>0</v>
      </c>
      <c r="Y629" s="19">
        <v>1.75</v>
      </c>
      <c r="Z629" s="11">
        <v>0</v>
      </c>
      <c r="AA629" s="11">
        <v>0</v>
      </c>
      <c r="AB629" s="11">
        <v>12</v>
      </c>
      <c r="AC629" s="11">
        <v>0</v>
      </c>
      <c r="AD629" s="11">
        <v>0</v>
      </c>
      <c r="AE629" s="11">
        <v>0</v>
      </c>
      <c r="AF629" s="11">
        <v>0</v>
      </c>
      <c r="AG629" s="11">
        <v>0</v>
      </c>
      <c r="AH629" s="11">
        <v>0</v>
      </c>
      <c r="AI629" s="45">
        <v>0</v>
      </c>
      <c r="AJ629" s="45">
        <v>0</v>
      </c>
      <c r="AK629" s="45">
        <f t="shared" si="289"/>
        <v>0.3611</v>
      </c>
      <c r="AL629" s="45">
        <f t="shared" si="290"/>
        <v>0.00348095238095238</v>
      </c>
      <c r="AM629" s="45">
        <f t="shared" si="291"/>
        <v>0.0012569719047619</v>
      </c>
      <c r="AN629" s="45">
        <f t="shared" si="292"/>
        <v>0.792187500000004</v>
      </c>
      <c r="AO629" s="45">
        <f t="shared" si="293"/>
        <v>0.792187500000004</v>
      </c>
      <c r="AP629" s="45">
        <f t="shared" si="294"/>
        <v>1.05625000000001</v>
      </c>
      <c r="AQ629" s="45">
        <f t="shared" si="295"/>
        <v>0</v>
      </c>
      <c r="AR629" s="45">
        <f t="shared" si="296"/>
        <v>0</v>
      </c>
      <c r="AS629" s="19">
        <f t="shared" si="297"/>
        <v>1.07916666666667</v>
      </c>
      <c r="AT629" s="19">
        <f t="shared" si="298"/>
        <v>1.03333333333334</v>
      </c>
      <c r="AU629" s="46">
        <v>0</v>
      </c>
      <c r="AV629" s="46">
        <v>0</v>
      </c>
      <c r="AW629" s="46">
        <v>0</v>
      </c>
      <c r="AX629" s="46">
        <v>1</v>
      </c>
      <c r="AY629" s="47">
        <v>0</v>
      </c>
      <c r="AZ629" s="47">
        <v>-1</v>
      </c>
    </row>
    <row r="630" hidden="1" customHeight="1" spans="1:52">
      <c r="A630" s="44">
        <v>45955</v>
      </c>
      <c r="B630" s="33">
        <f t="shared" si="281"/>
        <v>61</v>
      </c>
      <c r="C630" s="33">
        <f t="shared" si="282"/>
        <v>189</v>
      </c>
      <c r="D630" s="11">
        <f t="shared" si="283"/>
        <v>250</v>
      </c>
      <c r="E630" s="34">
        <f t="shared" si="279"/>
        <v>-1.04006776503913e-6</v>
      </c>
      <c r="F630" s="35">
        <f t="shared" si="284"/>
        <v>0.00114496902485443</v>
      </c>
      <c r="G630" s="18">
        <f>(SUM($I$8:$I630)*(MAX(M$3-M$4,0))+(N630*MAX(M$4,0)))*(1-$AM$4)+(AM630*$AM$4)</f>
        <v>0.713315702484309</v>
      </c>
      <c r="H630" s="18">
        <f t="shared" si="273"/>
        <v>1.41666666666667</v>
      </c>
      <c r="I630" s="18">
        <f t="shared" si="285"/>
        <v>0.00265625000000001</v>
      </c>
      <c r="J630" s="18">
        <f t="shared" si="274"/>
        <v>0.783158813000429</v>
      </c>
      <c r="K630" s="18">
        <f t="shared" si="275"/>
        <v>0.00355477355737001</v>
      </c>
      <c r="L630" s="18">
        <f t="shared" si="276"/>
        <v>0.00187500000000001</v>
      </c>
      <c r="M630" s="18">
        <v>0</v>
      </c>
      <c r="N630" s="18">
        <f t="shared" si="280"/>
        <v>1</v>
      </c>
      <c r="O630" s="11">
        <v>0</v>
      </c>
      <c r="P630" s="11">
        <v>0</v>
      </c>
      <c r="Q630" s="11">
        <f t="shared" si="286"/>
        <v>1</v>
      </c>
      <c r="R630" s="11">
        <v>0</v>
      </c>
      <c r="S630" s="11">
        <f t="shared" si="277"/>
        <v>0</v>
      </c>
      <c r="T630" s="11">
        <v>0</v>
      </c>
      <c r="U630" s="11">
        <f t="shared" si="287"/>
        <v>1</v>
      </c>
      <c r="V630" s="11">
        <v>0</v>
      </c>
      <c r="W630" s="11">
        <f t="shared" si="288"/>
        <v>1</v>
      </c>
      <c r="X630" s="11">
        <f t="shared" si="278"/>
        <v>0</v>
      </c>
      <c r="Y630" s="19">
        <v>1.75</v>
      </c>
      <c r="Z630" s="11">
        <v>0</v>
      </c>
      <c r="AA630" s="11">
        <v>0</v>
      </c>
      <c r="AB630" s="11">
        <v>8</v>
      </c>
      <c r="AC630" s="11">
        <v>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45">
        <v>0</v>
      </c>
      <c r="AJ630" s="45">
        <v>0</v>
      </c>
      <c r="AK630" s="45">
        <f t="shared" si="289"/>
        <v>0.3611</v>
      </c>
      <c r="AL630" s="45">
        <f t="shared" si="290"/>
        <v>0.00348095238095238</v>
      </c>
      <c r="AM630" s="45">
        <f t="shared" si="291"/>
        <v>0.0012569719047619</v>
      </c>
      <c r="AN630" s="45">
        <f t="shared" si="292"/>
        <v>0.792187500000004</v>
      </c>
      <c r="AO630" s="45">
        <f t="shared" si="293"/>
        <v>0.792187500000004</v>
      </c>
      <c r="AP630" s="45">
        <f t="shared" si="294"/>
        <v>1.05625000000001</v>
      </c>
      <c r="AQ630" s="45">
        <f t="shared" si="295"/>
        <v>0</v>
      </c>
      <c r="AR630" s="45">
        <f t="shared" si="296"/>
        <v>0</v>
      </c>
      <c r="AS630" s="19">
        <f t="shared" si="297"/>
        <v>1.07916666666667</v>
      </c>
      <c r="AT630" s="19">
        <f t="shared" si="298"/>
        <v>1.03333333333334</v>
      </c>
      <c r="AU630" s="46">
        <v>0</v>
      </c>
      <c r="AV630" s="46">
        <v>0</v>
      </c>
      <c r="AW630" s="46">
        <v>0</v>
      </c>
      <c r="AX630" s="46">
        <v>1</v>
      </c>
      <c r="AY630" s="47">
        <v>0</v>
      </c>
      <c r="AZ630" s="47">
        <v>-1</v>
      </c>
    </row>
    <row r="631" hidden="1" customHeight="1" spans="1:52">
      <c r="A631" s="44">
        <v>45956</v>
      </c>
      <c r="B631" s="33">
        <f t="shared" si="281"/>
        <v>60</v>
      </c>
      <c r="C631" s="33">
        <f t="shared" si="282"/>
        <v>190</v>
      </c>
      <c r="D631" s="11">
        <f t="shared" si="283"/>
        <v>250</v>
      </c>
      <c r="E631" s="34">
        <f t="shared" si="279"/>
        <v>-6.49751405652462e-7</v>
      </c>
      <c r="F631" s="35">
        <f t="shared" si="284"/>
        <v>0.00114431927344878</v>
      </c>
      <c r="G631" s="18">
        <f>(SUM($I$8:$I631)*(MAX(M$3-M$4,0))+(N631*MAX(M$4,0)))*(1-$AM$4)+(AM631*$AM$4)</f>
        <v>0.714055226632036</v>
      </c>
      <c r="H631" s="18">
        <f t="shared" si="273"/>
        <v>1.41666666666667</v>
      </c>
      <c r="I631" s="18">
        <f t="shared" si="285"/>
        <v>0.00394412878787881</v>
      </c>
      <c r="J631" s="18">
        <f t="shared" si="274"/>
        <v>0.782714383038963</v>
      </c>
      <c r="K631" s="18">
        <f t="shared" si="275"/>
        <v>0.00362142694935062</v>
      </c>
      <c r="L631" s="18">
        <f t="shared" si="276"/>
        <v>0.00278409090909092</v>
      </c>
      <c r="M631" s="18">
        <v>0</v>
      </c>
      <c r="N631" s="18">
        <f t="shared" si="280"/>
        <v>1</v>
      </c>
      <c r="O631" s="11">
        <v>0</v>
      </c>
      <c r="P631" s="11">
        <v>0</v>
      </c>
      <c r="Q631" s="11">
        <f t="shared" si="286"/>
        <v>1</v>
      </c>
      <c r="R631" s="11">
        <v>0</v>
      </c>
      <c r="S631" s="11">
        <f t="shared" si="277"/>
        <v>0</v>
      </c>
      <c r="T631" s="11">
        <v>0</v>
      </c>
      <c r="U631" s="11">
        <f t="shared" si="287"/>
        <v>1</v>
      </c>
      <c r="V631" s="11">
        <v>0</v>
      </c>
      <c r="W631" s="11">
        <f t="shared" si="288"/>
        <v>1</v>
      </c>
      <c r="X631" s="11">
        <f t="shared" si="278"/>
        <v>0</v>
      </c>
      <c r="Y631" s="19">
        <v>1.75</v>
      </c>
      <c r="Z631" s="11">
        <v>0</v>
      </c>
      <c r="AA631" s="11">
        <v>0</v>
      </c>
      <c r="AB631" s="11">
        <v>14</v>
      </c>
      <c r="AC631" s="11">
        <v>0</v>
      </c>
      <c r="AD631" s="11">
        <v>0</v>
      </c>
      <c r="AE631" s="11">
        <v>0</v>
      </c>
      <c r="AF631" s="11">
        <v>0</v>
      </c>
      <c r="AG631" s="11">
        <v>0</v>
      </c>
      <c r="AH631" s="11">
        <v>0</v>
      </c>
      <c r="AI631" s="45">
        <v>0</v>
      </c>
      <c r="AJ631" s="45">
        <v>0</v>
      </c>
      <c r="AK631" s="45">
        <f t="shared" si="289"/>
        <v>0.3611</v>
      </c>
      <c r="AL631" s="45">
        <f t="shared" si="290"/>
        <v>0.00348095238095238</v>
      </c>
      <c r="AM631" s="45">
        <f t="shared" si="291"/>
        <v>0.0012569719047619</v>
      </c>
      <c r="AN631" s="45">
        <f t="shared" si="292"/>
        <v>0.792187500000004</v>
      </c>
      <c r="AO631" s="45">
        <f t="shared" si="293"/>
        <v>0.792187500000004</v>
      </c>
      <c r="AP631" s="45">
        <f t="shared" si="294"/>
        <v>1.05625000000001</v>
      </c>
      <c r="AQ631" s="45">
        <f t="shared" si="295"/>
        <v>0</v>
      </c>
      <c r="AR631" s="45">
        <f t="shared" si="296"/>
        <v>0</v>
      </c>
      <c r="AS631" s="19">
        <f t="shared" si="297"/>
        <v>1.07916666666667</v>
      </c>
      <c r="AT631" s="19">
        <f t="shared" si="298"/>
        <v>1.03333333333334</v>
      </c>
      <c r="AU631" s="46">
        <v>0</v>
      </c>
      <c r="AV631" s="46">
        <v>0</v>
      </c>
      <c r="AW631" s="46">
        <v>0</v>
      </c>
      <c r="AX631" s="46">
        <v>1</v>
      </c>
      <c r="AY631" s="47">
        <v>0</v>
      </c>
      <c r="AZ631" s="47">
        <v>-1</v>
      </c>
    </row>
    <row r="632" hidden="1" customHeight="1" spans="1:52">
      <c r="A632" s="44">
        <v>45957</v>
      </c>
      <c r="B632" s="33">
        <f t="shared" si="281"/>
        <v>59</v>
      </c>
      <c r="C632" s="33">
        <f t="shared" si="282"/>
        <v>191</v>
      </c>
      <c r="D632" s="11">
        <f t="shared" si="283"/>
        <v>250</v>
      </c>
      <c r="E632" s="34">
        <f t="shared" si="279"/>
        <v>-9.00418413275674e-7</v>
      </c>
      <c r="F632" s="35">
        <f t="shared" si="284"/>
        <v>0.0011434188550355</v>
      </c>
      <c r="G632" s="18">
        <f>(SUM($I$8:$I632)*(MAX(M$3-M$4,0))+(N632*MAX(M$4,0)))*(1-$AM$4)+(AM632*$AM$4)</f>
        <v>0.714636784397188</v>
      </c>
      <c r="H632" s="18">
        <f t="shared" si="273"/>
        <v>1.41666666666667</v>
      </c>
      <c r="I632" s="18">
        <f t="shared" si="285"/>
        <v>0.00310164141414143</v>
      </c>
      <c r="J632" s="18">
        <f t="shared" si="274"/>
        <v>0.782098496844282</v>
      </c>
      <c r="K632" s="18">
        <f t="shared" si="275"/>
        <v>0.0036932458161986</v>
      </c>
      <c r="L632" s="18">
        <f t="shared" si="276"/>
        <v>0.00218939393939395</v>
      </c>
      <c r="M632" s="18">
        <v>0</v>
      </c>
      <c r="N632" s="18">
        <f t="shared" si="280"/>
        <v>1</v>
      </c>
      <c r="O632" s="11">
        <v>0</v>
      </c>
      <c r="P632" s="11">
        <v>0</v>
      </c>
      <c r="Q632" s="11">
        <f t="shared" si="286"/>
        <v>1</v>
      </c>
      <c r="R632" s="11">
        <v>0</v>
      </c>
      <c r="S632" s="11">
        <f t="shared" si="277"/>
        <v>0</v>
      </c>
      <c r="T632" s="11">
        <v>0</v>
      </c>
      <c r="U632" s="11">
        <f t="shared" si="287"/>
        <v>1</v>
      </c>
      <c r="V632" s="11">
        <v>0</v>
      </c>
      <c r="W632" s="11">
        <f t="shared" si="288"/>
        <v>1</v>
      </c>
      <c r="X632" s="11">
        <f t="shared" si="278"/>
        <v>0</v>
      </c>
      <c r="Y632" s="19">
        <v>2.58</v>
      </c>
      <c r="Z632" s="11">
        <v>0</v>
      </c>
      <c r="AA632" s="11">
        <v>0</v>
      </c>
      <c r="AB632" s="11">
        <v>8</v>
      </c>
      <c r="AC632" s="11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45">
        <v>0</v>
      </c>
      <c r="AJ632" s="45">
        <v>0</v>
      </c>
      <c r="AK632" s="45">
        <f t="shared" si="289"/>
        <v>0.3611</v>
      </c>
      <c r="AL632" s="45">
        <f t="shared" si="290"/>
        <v>0.00348095238095238</v>
      </c>
      <c r="AM632" s="45">
        <f t="shared" si="291"/>
        <v>0.0012569719047619</v>
      </c>
      <c r="AN632" s="45">
        <f t="shared" si="292"/>
        <v>0.792187500000004</v>
      </c>
      <c r="AO632" s="45">
        <f t="shared" si="293"/>
        <v>0.792187500000004</v>
      </c>
      <c r="AP632" s="45">
        <f t="shared" si="294"/>
        <v>1.05625000000001</v>
      </c>
      <c r="AQ632" s="45">
        <f t="shared" si="295"/>
        <v>0</v>
      </c>
      <c r="AR632" s="45">
        <f t="shared" si="296"/>
        <v>0</v>
      </c>
      <c r="AS632" s="19">
        <f t="shared" si="297"/>
        <v>1.07916666666667</v>
      </c>
      <c r="AT632" s="19">
        <f t="shared" si="298"/>
        <v>1.03333333333334</v>
      </c>
      <c r="AU632" s="46">
        <v>0</v>
      </c>
      <c r="AV632" s="46">
        <v>0</v>
      </c>
      <c r="AW632" s="46">
        <v>0</v>
      </c>
      <c r="AX632" s="46">
        <v>1</v>
      </c>
      <c r="AY632" s="47">
        <v>0</v>
      </c>
      <c r="AZ632" s="47">
        <v>-1</v>
      </c>
    </row>
    <row r="633" hidden="1" customHeight="1" spans="1:52">
      <c r="A633" s="44">
        <v>45958</v>
      </c>
      <c r="B633" s="33">
        <f t="shared" si="281"/>
        <v>58</v>
      </c>
      <c r="C633" s="33">
        <f t="shared" si="282"/>
        <v>189</v>
      </c>
      <c r="D633" s="11">
        <f t="shared" si="283"/>
        <v>247</v>
      </c>
      <c r="E633" s="34">
        <f t="shared" si="279"/>
        <v>1.86215266041387e-6</v>
      </c>
      <c r="F633" s="35">
        <f t="shared" si="284"/>
        <v>0.00114528100769591</v>
      </c>
      <c r="G633" s="18">
        <f>(SUM($I$8:$I633)*(MAX(M$3-M$4,0))+(N633*MAX(M$4,0)))*(1-$AM$4)+(AM633*$AM$4)</f>
        <v>0.716945910817643</v>
      </c>
      <c r="H633" s="18">
        <f t="shared" si="273"/>
        <v>1.41666666666667</v>
      </c>
      <c r="I633" s="18">
        <f t="shared" si="285"/>
        <v>0.012315340909091</v>
      </c>
      <c r="J633" s="18">
        <f t="shared" si="274"/>
        <v>0.783372209264006</v>
      </c>
      <c r="K633" s="18">
        <f t="shared" si="275"/>
        <v>0.00373496190924128</v>
      </c>
      <c r="L633" s="18">
        <f t="shared" si="276"/>
        <v>0.00869318181818185</v>
      </c>
      <c r="M633" s="18">
        <v>0</v>
      </c>
      <c r="N633" s="18">
        <f t="shared" si="280"/>
        <v>1</v>
      </c>
      <c r="O633" s="11">
        <v>0</v>
      </c>
      <c r="P633" s="11">
        <v>0</v>
      </c>
      <c r="Q633" s="11">
        <f t="shared" si="286"/>
        <v>1</v>
      </c>
      <c r="R633" s="11">
        <v>0</v>
      </c>
      <c r="S633" s="11">
        <f t="shared" si="277"/>
        <v>0</v>
      </c>
      <c r="T633" s="11">
        <v>0</v>
      </c>
      <c r="U633" s="11">
        <f t="shared" si="287"/>
        <v>1</v>
      </c>
      <c r="V633" s="11">
        <v>0</v>
      </c>
      <c r="W633" s="11">
        <f t="shared" si="288"/>
        <v>1</v>
      </c>
      <c r="X633" s="11">
        <f t="shared" si="278"/>
        <v>0</v>
      </c>
      <c r="Y633" s="19">
        <v>3.75</v>
      </c>
      <c r="Z633" s="11">
        <v>0</v>
      </c>
      <c r="AA633" s="11">
        <v>0</v>
      </c>
      <c r="AB633" s="11">
        <v>48</v>
      </c>
      <c r="AC633" s="11">
        <v>0</v>
      </c>
      <c r="AD633" s="11">
        <v>0</v>
      </c>
      <c r="AE633" s="11">
        <v>0</v>
      </c>
      <c r="AF633" s="11">
        <v>0</v>
      </c>
      <c r="AG633" s="11">
        <v>0</v>
      </c>
      <c r="AH633" s="11">
        <v>0</v>
      </c>
      <c r="AI633" s="45">
        <v>0</v>
      </c>
      <c r="AJ633" s="45">
        <v>0</v>
      </c>
      <c r="AK633" s="45">
        <f t="shared" si="289"/>
        <v>0.3611</v>
      </c>
      <c r="AL633" s="45">
        <f t="shared" si="290"/>
        <v>0.00348095238095238</v>
      </c>
      <c r="AM633" s="45">
        <f t="shared" si="291"/>
        <v>0.0012569719047619</v>
      </c>
      <c r="AN633" s="45">
        <f t="shared" si="292"/>
        <v>0.792187500000004</v>
      </c>
      <c r="AO633" s="45">
        <f t="shared" si="293"/>
        <v>0.792187500000004</v>
      </c>
      <c r="AP633" s="45">
        <f t="shared" si="294"/>
        <v>1.05625000000001</v>
      </c>
      <c r="AQ633" s="45">
        <f t="shared" si="295"/>
        <v>0</v>
      </c>
      <c r="AR633" s="45">
        <f t="shared" si="296"/>
        <v>0</v>
      </c>
      <c r="AS633" s="19">
        <f t="shared" si="297"/>
        <v>1.07916666666667</v>
      </c>
      <c r="AT633" s="19">
        <f t="shared" si="298"/>
        <v>1.03333333333334</v>
      </c>
      <c r="AU633" s="46">
        <v>0</v>
      </c>
      <c r="AV633" s="46">
        <v>0</v>
      </c>
      <c r="AW633" s="46">
        <v>0</v>
      </c>
      <c r="AX633" s="46">
        <v>1</v>
      </c>
      <c r="AY633" s="47">
        <v>0</v>
      </c>
      <c r="AZ633" s="47">
        <v>-1</v>
      </c>
    </row>
    <row r="634" hidden="1" customHeight="1" spans="1:52">
      <c r="A634" s="44">
        <v>45959</v>
      </c>
      <c r="B634" s="33">
        <f t="shared" si="281"/>
        <v>57</v>
      </c>
      <c r="C634" s="33">
        <f t="shared" si="282"/>
        <v>189</v>
      </c>
      <c r="D634" s="11">
        <f t="shared" si="283"/>
        <v>246</v>
      </c>
      <c r="E634" s="34">
        <f t="shared" si="279"/>
        <v>7.49809033412721e-8</v>
      </c>
      <c r="F634" s="35">
        <f t="shared" si="284"/>
        <v>0.00114535598859926</v>
      </c>
      <c r="G634" s="18">
        <f>(SUM($I$8:$I634)*(MAX(M$3-M$4,0))+(N634*MAX(M$4,0)))*(1-$AM$4)+(AM634*$AM$4)</f>
        <v>0.718138204851733</v>
      </c>
      <c r="H634" s="18">
        <f t="shared" si="273"/>
        <v>1.41666666666667</v>
      </c>
      <c r="I634" s="18">
        <f t="shared" si="285"/>
        <v>0.00635890151515155</v>
      </c>
      <c r="J634" s="18">
        <f t="shared" si="274"/>
        <v>0.783423496201891</v>
      </c>
      <c r="K634" s="18">
        <f t="shared" si="275"/>
        <v>0.00379958778593174</v>
      </c>
      <c r="L634" s="18">
        <f t="shared" si="276"/>
        <v>0.00448863636363638</v>
      </c>
      <c r="M634" s="18">
        <v>0</v>
      </c>
      <c r="N634" s="18">
        <f t="shared" si="280"/>
        <v>1</v>
      </c>
      <c r="O634" s="11">
        <v>0</v>
      </c>
      <c r="P634" s="11">
        <v>0</v>
      </c>
      <c r="Q634" s="11">
        <f t="shared" si="286"/>
        <v>1</v>
      </c>
      <c r="R634" s="11">
        <v>0</v>
      </c>
      <c r="S634" s="11">
        <f t="shared" si="277"/>
        <v>0</v>
      </c>
      <c r="T634" s="11">
        <v>0</v>
      </c>
      <c r="U634" s="11">
        <f t="shared" si="287"/>
        <v>1</v>
      </c>
      <c r="V634" s="11">
        <v>0</v>
      </c>
      <c r="W634" s="11">
        <f t="shared" si="288"/>
        <v>1</v>
      </c>
      <c r="X634" s="11">
        <f t="shared" si="278"/>
        <v>0</v>
      </c>
      <c r="Y634" s="19">
        <v>2.25</v>
      </c>
      <c r="Z634" s="11">
        <v>0</v>
      </c>
      <c r="AA634" s="11">
        <v>0</v>
      </c>
      <c r="AB634" s="11">
        <v>24</v>
      </c>
      <c r="AC634" s="11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45">
        <v>0</v>
      </c>
      <c r="AJ634" s="45">
        <v>0</v>
      </c>
      <c r="AK634" s="45">
        <f t="shared" si="289"/>
        <v>0.3611</v>
      </c>
      <c r="AL634" s="45">
        <f t="shared" si="290"/>
        <v>0.00348095238095238</v>
      </c>
      <c r="AM634" s="45">
        <f t="shared" si="291"/>
        <v>0.0012569719047619</v>
      </c>
      <c r="AN634" s="45">
        <f t="shared" si="292"/>
        <v>0.792187500000004</v>
      </c>
      <c r="AO634" s="45">
        <f t="shared" si="293"/>
        <v>0.792187500000004</v>
      </c>
      <c r="AP634" s="45">
        <f t="shared" si="294"/>
        <v>1.05625000000001</v>
      </c>
      <c r="AQ634" s="45">
        <f t="shared" si="295"/>
        <v>0</v>
      </c>
      <c r="AR634" s="45">
        <f t="shared" si="296"/>
        <v>0</v>
      </c>
      <c r="AS634" s="19">
        <f t="shared" si="297"/>
        <v>1.07916666666667</v>
      </c>
      <c r="AT634" s="19">
        <f t="shared" si="298"/>
        <v>1.03333333333334</v>
      </c>
      <c r="AU634" s="46">
        <v>0</v>
      </c>
      <c r="AV634" s="46">
        <v>0</v>
      </c>
      <c r="AW634" s="46">
        <v>0</v>
      </c>
      <c r="AX634" s="46">
        <v>1</v>
      </c>
      <c r="AY634" s="47">
        <v>0</v>
      </c>
      <c r="AZ634" s="47">
        <v>-1</v>
      </c>
    </row>
    <row r="635" hidden="1" customHeight="1" spans="1:52">
      <c r="A635" s="44">
        <v>45960</v>
      </c>
      <c r="B635" s="33">
        <f t="shared" si="281"/>
        <v>56</v>
      </c>
      <c r="C635" s="33">
        <f t="shared" si="282"/>
        <v>188</v>
      </c>
      <c r="D635" s="11">
        <f t="shared" si="283"/>
        <v>244</v>
      </c>
      <c r="E635" s="34">
        <f t="shared" si="279"/>
        <v>1.19625279874675e-6</v>
      </c>
      <c r="F635" s="35">
        <f t="shared" si="284"/>
        <v>0.001146552241398</v>
      </c>
      <c r="G635" s="18">
        <f>(SUM($I$8:$I635)*(MAX(M$3-M$4,0))+(N635*MAX(M$4,0)))*(1-$AM$4)+(AM635*$AM$4)</f>
        <v>0.720034807597946</v>
      </c>
      <c r="H635" s="18">
        <f t="shared" si="273"/>
        <v>1.41666666666667</v>
      </c>
      <c r="I635" s="18">
        <f t="shared" si="285"/>
        <v>0.0101152146464647</v>
      </c>
      <c r="J635" s="18">
        <f t="shared" si="274"/>
        <v>0.784241733116234</v>
      </c>
      <c r="K635" s="18">
        <f t="shared" si="275"/>
        <v>0.00385282619435297</v>
      </c>
      <c r="L635" s="18">
        <f t="shared" si="276"/>
        <v>0.00714015151515154</v>
      </c>
      <c r="M635" s="18">
        <v>0</v>
      </c>
      <c r="N635" s="18">
        <f t="shared" si="280"/>
        <v>1</v>
      </c>
      <c r="O635" s="11">
        <v>0</v>
      </c>
      <c r="P635" s="11">
        <v>0</v>
      </c>
      <c r="Q635" s="11">
        <f t="shared" si="286"/>
        <v>1</v>
      </c>
      <c r="R635" s="11">
        <v>0</v>
      </c>
      <c r="S635" s="11">
        <f t="shared" si="277"/>
        <v>0</v>
      </c>
      <c r="T635" s="11">
        <v>0</v>
      </c>
      <c r="U635" s="11">
        <f t="shared" si="287"/>
        <v>1</v>
      </c>
      <c r="V635" s="11">
        <v>0</v>
      </c>
      <c r="W635" s="11">
        <f t="shared" si="288"/>
        <v>1</v>
      </c>
      <c r="X635" s="11">
        <f t="shared" si="278"/>
        <v>0</v>
      </c>
      <c r="Y635" s="19">
        <v>3.25</v>
      </c>
      <c r="Z635" s="11">
        <v>0</v>
      </c>
      <c r="AA635" s="11">
        <v>0</v>
      </c>
      <c r="AB635" s="11">
        <v>39</v>
      </c>
      <c r="AC635" s="11">
        <v>0</v>
      </c>
      <c r="AD635" s="11">
        <v>0</v>
      </c>
      <c r="AE635" s="11">
        <v>0</v>
      </c>
      <c r="AF635" s="11">
        <v>0</v>
      </c>
      <c r="AG635" s="11">
        <v>0</v>
      </c>
      <c r="AH635" s="11">
        <v>0</v>
      </c>
      <c r="AI635" s="45">
        <v>0</v>
      </c>
      <c r="AJ635" s="45">
        <v>0</v>
      </c>
      <c r="AK635" s="45">
        <f t="shared" si="289"/>
        <v>0.3611</v>
      </c>
      <c r="AL635" s="45">
        <f t="shared" si="290"/>
        <v>0.00348095238095238</v>
      </c>
      <c r="AM635" s="45">
        <f t="shared" si="291"/>
        <v>0.0012569719047619</v>
      </c>
      <c r="AN635" s="45">
        <f t="shared" si="292"/>
        <v>0.792187500000004</v>
      </c>
      <c r="AO635" s="45">
        <f t="shared" si="293"/>
        <v>0.792187500000004</v>
      </c>
      <c r="AP635" s="45">
        <f t="shared" si="294"/>
        <v>1.05625000000001</v>
      </c>
      <c r="AQ635" s="45">
        <f t="shared" si="295"/>
        <v>0</v>
      </c>
      <c r="AR635" s="45">
        <f t="shared" si="296"/>
        <v>0</v>
      </c>
      <c r="AS635" s="19">
        <f t="shared" si="297"/>
        <v>1.07916666666667</v>
      </c>
      <c r="AT635" s="19">
        <f t="shared" si="298"/>
        <v>1.03333333333334</v>
      </c>
      <c r="AU635" s="46">
        <v>0</v>
      </c>
      <c r="AV635" s="46">
        <v>0</v>
      </c>
      <c r="AW635" s="46">
        <v>0</v>
      </c>
      <c r="AX635" s="46">
        <v>1</v>
      </c>
      <c r="AY635" s="47">
        <v>0</v>
      </c>
      <c r="AZ635" s="47">
        <v>-1</v>
      </c>
    </row>
    <row r="636" hidden="1" customHeight="1" spans="1:52">
      <c r="A636" s="44">
        <v>45961</v>
      </c>
      <c r="B636" s="33">
        <f t="shared" si="281"/>
        <v>55</v>
      </c>
      <c r="C636" s="33">
        <f t="shared" si="282"/>
        <v>189</v>
      </c>
      <c r="D636" s="11">
        <f t="shared" si="283"/>
        <v>244</v>
      </c>
      <c r="E636" s="34">
        <f t="shared" si="279"/>
        <v>-1.36017451312395e-6</v>
      </c>
      <c r="F636" s="35">
        <f t="shared" si="284"/>
        <v>0.00114519206688488</v>
      </c>
      <c r="G636" s="18">
        <f>(SUM($I$8:$I636)*(MAX(M$3-M$4,0))+(N636*MAX(M$4,0)))*(1-$AM$4)+(AM636*$AM$4)</f>
        <v>0.720325810070589</v>
      </c>
      <c r="H636" s="18">
        <f t="shared" si="273"/>
        <v>1.41666666666667</v>
      </c>
      <c r="I636" s="18">
        <f t="shared" si="285"/>
        <v>0.00155201318742986</v>
      </c>
      <c r="J636" s="18">
        <f t="shared" si="274"/>
        <v>0.783311373749257</v>
      </c>
      <c r="K636" s="18">
        <f t="shared" si="275"/>
        <v>0.00393979320455896</v>
      </c>
      <c r="L636" s="18">
        <f t="shared" si="276"/>
        <v>0.00109553872053872</v>
      </c>
      <c r="M636" s="18">
        <v>0</v>
      </c>
      <c r="N636" s="18">
        <f t="shared" si="280"/>
        <v>1</v>
      </c>
      <c r="O636" s="11">
        <v>0</v>
      </c>
      <c r="P636" s="11">
        <v>0</v>
      </c>
      <c r="Q636" s="11">
        <f t="shared" si="286"/>
        <v>1</v>
      </c>
      <c r="R636" s="11">
        <v>0</v>
      </c>
      <c r="S636" s="11">
        <f t="shared" si="277"/>
        <v>0</v>
      </c>
      <c r="T636" s="11">
        <v>0</v>
      </c>
      <c r="U636" s="11">
        <f t="shared" si="287"/>
        <v>1</v>
      </c>
      <c r="V636" s="11">
        <v>0</v>
      </c>
      <c r="W636" s="11">
        <f t="shared" si="288"/>
        <v>1</v>
      </c>
      <c r="X636" s="11">
        <f t="shared" si="278"/>
        <v>0</v>
      </c>
      <c r="Y636" s="19">
        <v>2.67</v>
      </c>
      <c r="Z636" s="11">
        <v>0</v>
      </c>
      <c r="AA636" s="11">
        <v>0</v>
      </c>
      <c r="AB636" s="11">
        <v>0</v>
      </c>
      <c r="AC636" s="11">
        <v>0</v>
      </c>
      <c r="AD636" s="11">
        <v>1</v>
      </c>
      <c r="AE636" s="11">
        <v>0</v>
      </c>
      <c r="AF636" s="11">
        <v>0</v>
      </c>
      <c r="AG636" s="11">
        <v>0</v>
      </c>
      <c r="AH636" s="11">
        <v>0</v>
      </c>
      <c r="AI636" s="45">
        <v>0</v>
      </c>
      <c r="AJ636" s="45">
        <v>0</v>
      </c>
      <c r="AK636" s="45">
        <f t="shared" si="289"/>
        <v>0.3611</v>
      </c>
      <c r="AL636" s="45">
        <f t="shared" si="290"/>
        <v>0.00348095238095238</v>
      </c>
      <c r="AM636" s="45">
        <f t="shared" si="291"/>
        <v>0.0012569719047619</v>
      </c>
      <c r="AN636" s="45">
        <f t="shared" si="292"/>
        <v>0.792187500000004</v>
      </c>
      <c r="AO636" s="45">
        <f t="shared" si="293"/>
        <v>0.792187500000004</v>
      </c>
      <c r="AP636" s="45">
        <f t="shared" si="294"/>
        <v>1.05625000000001</v>
      </c>
      <c r="AQ636" s="45">
        <f t="shared" si="295"/>
        <v>0</v>
      </c>
      <c r="AR636" s="45">
        <f t="shared" si="296"/>
        <v>0</v>
      </c>
      <c r="AS636" s="19">
        <f t="shared" si="297"/>
        <v>1.07916666666667</v>
      </c>
      <c r="AT636" s="19">
        <f t="shared" si="298"/>
        <v>1.03333333333334</v>
      </c>
      <c r="AU636" s="46">
        <v>0</v>
      </c>
      <c r="AV636" s="46">
        <v>0</v>
      </c>
      <c r="AW636" s="46">
        <v>0</v>
      </c>
      <c r="AX636" s="46">
        <v>1</v>
      </c>
      <c r="AY636" s="47">
        <v>0</v>
      </c>
      <c r="AZ636" s="47">
        <v>-1</v>
      </c>
    </row>
    <row r="637" hidden="1" customHeight="1" spans="1:52">
      <c r="A637" s="44">
        <v>45962</v>
      </c>
      <c r="B637" s="33">
        <f t="shared" si="281"/>
        <v>54</v>
      </c>
      <c r="C637" s="33">
        <f t="shared" si="282"/>
        <v>185</v>
      </c>
      <c r="D637" s="11">
        <f t="shared" si="283"/>
        <v>239</v>
      </c>
      <c r="E637" s="34">
        <f t="shared" si="279"/>
        <v>5.71031509645492e-6</v>
      </c>
      <c r="F637" s="35">
        <f t="shared" si="284"/>
        <v>0.00115090238198133</v>
      </c>
      <c r="G637" s="18">
        <f>(SUM($I$8:$I637)*(MAX(M$3-M$4,0))+(N637*MAX(M$4,0)))*(1-$AM$4)+(AM637*$AM$4)</f>
        <v>0.72506850064824</v>
      </c>
      <c r="H637" s="18">
        <f t="shared" si="273"/>
        <v>1.45833333333333</v>
      </c>
      <c r="I637" s="18">
        <f t="shared" si="285"/>
        <v>0.0252943497474747</v>
      </c>
      <c r="J637" s="18">
        <f t="shared" si="274"/>
        <v>0.787217229275232</v>
      </c>
      <c r="K637" s="18">
        <f t="shared" si="275"/>
        <v>0.00394042168008829</v>
      </c>
      <c r="L637" s="18">
        <f t="shared" si="276"/>
        <v>0.017344696969697</v>
      </c>
      <c r="M637" s="18">
        <v>0</v>
      </c>
      <c r="N637" s="18">
        <f t="shared" si="280"/>
        <v>1</v>
      </c>
      <c r="O637" s="11">
        <v>0</v>
      </c>
      <c r="P637" s="11">
        <v>0</v>
      </c>
      <c r="Q637" s="11">
        <f t="shared" si="286"/>
        <v>1</v>
      </c>
      <c r="R637" s="11">
        <v>0</v>
      </c>
      <c r="S637" s="11">
        <f t="shared" si="277"/>
        <v>0</v>
      </c>
      <c r="T637" s="11">
        <v>0</v>
      </c>
      <c r="U637" s="11">
        <f t="shared" si="287"/>
        <v>1</v>
      </c>
      <c r="V637" s="11">
        <v>0</v>
      </c>
      <c r="W637" s="11">
        <f t="shared" si="288"/>
        <v>1</v>
      </c>
      <c r="X637" s="11">
        <f t="shared" si="278"/>
        <v>0</v>
      </c>
      <c r="Y637" s="19">
        <v>4.75</v>
      </c>
      <c r="Z637" s="11">
        <v>57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1">
        <v>0</v>
      </c>
      <c r="AG637" s="11">
        <v>0</v>
      </c>
      <c r="AH637" s="11">
        <v>0</v>
      </c>
      <c r="AI637" s="45">
        <v>0</v>
      </c>
      <c r="AJ637" s="45">
        <v>0</v>
      </c>
      <c r="AK637" s="45">
        <f t="shared" si="289"/>
        <v>0.3611</v>
      </c>
      <c r="AL637" s="45">
        <f t="shared" si="290"/>
        <v>0.00348095238095238</v>
      </c>
      <c r="AM637" s="45">
        <f t="shared" si="291"/>
        <v>0.0012569719047619</v>
      </c>
      <c r="AN637" s="45">
        <f t="shared" si="292"/>
        <v>0.792187500000004</v>
      </c>
      <c r="AO637" s="45">
        <f t="shared" si="293"/>
        <v>0.792187500000004</v>
      </c>
      <c r="AP637" s="45">
        <f t="shared" si="294"/>
        <v>1.05625000000001</v>
      </c>
      <c r="AQ637" s="45">
        <f t="shared" si="295"/>
        <v>0</v>
      </c>
      <c r="AR637" s="45">
        <f t="shared" si="296"/>
        <v>0</v>
      </c>
      <c r="AS637" s="19">
        <f t="shared" si="297"/>
        <v>1.07916666666667</v>
      </c>
      <c r="AT637" s="19">
        <f t="shared" si="298"/>
        <v>1.03333333333334</v>
      </c>
      <c r="AU637" s="46">
        <v>0</v>
      </c>
      <c r="AV637" s="46">
        <v>0</v>
      </c>
      <c r="AW637" s="46">
        <v>0</v>
      </c>
      <c r="AX637" s="46">
        <v>1</v>
      </c>
      <c r="AY637" s="47">
        <v>0</v>
      </c>
      <c r="AZ637" s="47">
        <v>-1</v>
      </c>
    </row>
    <row r="638" hidden="1" customHeight="1" spans="1:52">
      <c r="A638" s="44">
        <v>45963</v>
      </c>
      <c r="B638" s="33">
        <f t="shared" si="281"/>
        <v>53</v>
      </c>
      <c r="C638" s="33">
        <f t="shared" si="282"/>
        <v>182</v>
      </c>
      <c r="D638" s="11">
        <f t="shared" si="283"/>
        <v>235</v>
      </c>
      <c r="E638" s="34">
        <f t="shared" si="279"/>
        <v>4.04092805225556e-6</v>
      </c>
      <c r="F638" s="35">
        <f t="shared" si="284"/>
        <v>0.00115494331003359</v>
      </c>
      <c r="G638" s="18">
        <f>(SUM($I$8:$I638)*(MAX(M$3-M$4,0))+(N638*MAX(M$4,0)))*(1-$AM$4)+(AM638*$AM$4)</f>
        <v>0.728769228631195</v>
      </c>
      <c r="H638" s="18">
        <f t="shared" si="273"/>
        <v>1.45833333333333</v>
      </c>
      <c r="I638" s="18">
        <f t="shared" si="285"/>
        <v>0.0197372159090909</v>
      </c>
      <c r="J638" s="18">
        <f t="shared" si="274"/>
        <v>0.789981224062975</v>
      </c>
      <c r="K638" s="18">
        <f t="shared" si="275"/>
        <v>0.00396261841390613</v>
      </c>
      <c r="L638" s="18">
        <f t="shared" si="276"/>
        <v>0.0135340909090909</v>
      </c>
      <c r="M638" s="18">
        <v>0</v>
      </c>
      <c r="N638" s="18">
        <f t="shared" si="280"/>
        <v>1</v>
      </c>
      <c r="O638" s="11">
        <v>0</v>
      </c>
      <c r="P638" s="11">
        <v>0</v>
      </c>
      <c r="Q638" s="11">
        <f t="shared" si="286"/>
        <v>1</v>
      </c>
      <c r="R638" s="11">
        <v>0</v>
      </c>
      <c r="S638" s="11">
        <f t="shared" si="277"/>
        <v>0</v>
      </c>
      <c r="T638" s="11">
        <v>0</v>
      </c>
      <c r="U638" s="11">
        <f t="shared" si="287"/>
        <v>1</v>
      </c>
      <c r="V638" s="11">
        <v>0</v>
      </c>
      <c r="W638" s="11">
        <f t="shared" si="288"/>
        <v>1</v>
      </c>
      <c r="X638" s="11">
        <f t="shared" si="278"/>
        <v>0</v>
      </c>
      <c r="Y638" s="19">
        <v>15.57</v>
      </c>
      <c r="Z638" s="11">
        <v>28</v>
      </c>
      <c r="AA638" s="11">
        <v>0</v>
      </c>
      <c r="AB638" s="11">
        <v>0</v>
      </c>
      <c r="AC638" s="11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45">
        <v>0</v>
      </c>
      <c r="AJ638" s="45">
        <v>0</v>
      </c>
      <c r="AK638" s="45">
        <f t="shared" si="289"/>
        <v>0.3611</v>
      </c>
      <c r="AL638" s="45">
        <f t="shared" si="290"/>
        <v>0.00348095238095238</v>
      </c>
      <c r="AM638" s="45">
        <f t="shared" si="291"/>
        <v>0.0012569719047619</v>
      </c>
      <c r="AN638" s="45">
        <f t="shared" si="292"/>
        <v>0.792187500000004</v>
      </c>
      <c r="AO638" s="45">
        <f t="shared" si="293"/>
        <v>0.792187500000004</v>
      </c>
      <c r="AP638" s="45">
        <f t="shared" si="294"/>
        <v>1.05625000000001</v>
      </c>
      <c r="AQ638" s="45">
        <f t="shared" si="295"/>
        <v>0</v>
      </c>
      <c r="AR638" s="45">
        <f t="shared" si="296"/>
        <v>0</v>
      </c>
      <c r="AS638" s="19">
        <f t="shared" si="297"/>
        <v>1.07916666666667</v>
      </c>
      <c r="AT638" s="19">
        <f t="shared" si="298"/>
        <v>1.03333333333334</v>
      </c>
      <c r="AU638" s="46">
        <v>0</v>
      </c>
      <c r="AV638" s="46">
        <v>0</v>
      </c>
      <c r="AW638" s="46">
        <v>0</v>
      </c>
      <c r="AX638" s="46">
        <v>1</v>
      </c>
      <c r="AY638" s="47">
        <v>0</v>
      </c>
      <c r="AZ638" s="47">
        <v>-1</v>
      </c>
    </row>
    <row r="639" hidden="1" customHeight="1" spans="1:52">
      <c r="A639" s="44">
        <v>45964</v>
      </c>
      <c r="B639" s="33">
        <f t="shared" si="281"/>
        <v>52</v>
      </c>
      <c r="C639" s="33">
        <f t="shared" si="282"/>
        <v>179</v>
      </c>
      <c r="D639" s="11">
        <f t="shared" si="283"/>
        <v>231</v>
      </c>
      <c r="E639" s="34">
        <f t="shared" si="279"/>
        <v>3.49223899088471e-6</v>
      </c>
      <c r="F639" s="35">
        <f t="shared" si="284"/>
        <v>0.00115843554902447</v>
      </c>
      <c r="G639" s="18">
        <f>(SUM($I$8:$I639)*(MAX(M$3-M$4,0))+(N639*MAX(M$4,0)))*(1-$AM$4)+(AM639*$AM$4)</f>
        <v>0.732131266983467</v>
      </c>
      <c r="H639" s="18">
        <f t="shared" si="273"/>
        <v>1.45833333333333</v>
      </c>
      <c r="I639" s="18">
        <f t="shared" si="285"/>
        <v>0.0179308712121212</v>
      </c>
      <c r="J639" s="18">
        <f t="shared" si="274"/>
        <v>0.79236991553274</v>
      </c>
      <c r="K639" s="18">
        <f t="shared" si="275"/>
        <v>0.003992886239755</v>
      </c>
      <c r="L639" s="18">
        <f t="shared" si="276"/>
        <v>0.0122954545454546</v>
      </c>
      <c r="M639" s="18">
        <v>0</v>
      </c>
      <c r="N639" s="18">
        <f t="shared" si="280"/>
        <v>1</v>
      </c>
      <c r="O639" s="11">
        <v>0</v>
      </c>
      <c r="P639" s="11">
        <v>0</v>
      </c>
      <c r="Q639" s="11">
        <f t="shared" si="286"/>
        <v>1</v>
      </c>
      <c r="R639" s="11">
        <v>0</v>
      </c>
      <c r="S639" s="11">
        <f t="shared" si="277"/>
        <v>0</v>
      </c>
      <c r="T639" s="11">
        <v>0</v>
      </c>
      <c r="U639" s="11">
        <f t="shared" si="287"/>
        <v>1</v>
      </c>
      <c r="V639" s="11">
        <v>0</v>
      </c>
      <c r="W639" s="11">
        <f t="shared" si="288"/>
        <v>1</v>
      </c>
      <c r="X639" s="11">
        <f t="shared" si="278"/>
        <v>0</v>
      </c>
      <c r="Y639" s="19">
        <v>11.58</v>
      </c>
      <c r="Z639" s="11">
        <v>29</v>
      </c>
      <c r="AA639" s="11">
        <v>0</v>
      </c>
      <c r="AB639" s="11">
        <v>0</v>
      </c>
      <c r="AC639" s="11">
        <v>0</v>
      </c>
      <c r="AD639" s="11">
        <v>0</v>
      </c>
      <c r="AE639" s="11">
        <v>0</v>
      </c>
      <c r="AF639" s="11">
        <v>0</v>
      </c>
      <c r="AG639" s="11">
        <v>0</v>
      </c>
      <c r="AH639" s="11">
        <v>0</v>
      </c>
      <c r="AI639" s="45">
        <v>0</v>
      </c>
      <c r="AJ639" s="45">
        <v>0</v>
      </c>
      <c r="AK639" s="45">
        <f t="shared" si="289"/>
        <v>0.3611</v>
      </c>
      <c r="AL639" s="45">
        <f t="shared" si="290"/>
        <v>0.00348095238095238</v>
      </c>
      <c r="AM639" s="45">
        <f t="shared" si="291"/>
        <v>0.0012569719047619</v>
      </c>
      <c r="AN639" s="45">
        <f t="shared" si="292"/>
        <v>0.792187500000004</v>
      </c>
      <c r="AO639" s="45">
        <f t="shared" si="293"/>
        <v>0.792187500000004</v>
      </c>
      <c r="AP639" s="45">
        <f t="shared" si="294"/>
        <v>1.05625000000001</v>
      </c>
      <c r="AQ639" s="45">
        <f t="shared" si="295"/>
        <v>0</v>
      </c>
      <c r="AR639" s="45">
        <f t="shared" si="296"/>
        <v>0</v>
      </c>
      <c r="AS639" s="19">
        <f t="shared" si="297"/>
        <v>1.07916666666667</v>
      </c>
      <c r="AT639" s="19">
        <f t="shared" si="298"/>
        <v>1.03333333333334</v>
      </c>
      <c r="AU639" s="46">
        <v>0</v>
      </c>
      <c r="AV639" s="46">
        <v>0</v>
      </c>
      <c r="AW639" s="46">
        <v>0</v>
      </c>
      <c r="AX639" s="46">
        <v>1</v>
      </c>
      <c r="AY639" s="47">
        <v>0</v>
      </c>
      <c r="AZ639" s="47">
        <v>-1</v>
      </c>
    </row>
    <row r="640" hidden="1" customHeight="1" spans="1:52">
      <c r="A640" s="44">
        <v>45965</v>
      </c>
      <c r="B640" s="33">
        <f t="shared" si="281"/>
        <v>51</v>
      </c>
      <c r="C640" s="33">
        <f t="shared" si="282"/>
        <v>178</v>
      </c>
      <c r="D640" s="11">
        <f t="shared" si="283"/>
        <v>229</v>
      </c>
      <c r="E640" s="34">
        <f t="shared" si="279"/>
        <v>2.05766500943985e-6</v>
      </c>
      <c r="F640" s="35">
        <f t="shared" si="284"/>
        <v>0.00116049321403391</v>
      </c>
      <c r="G640" s="18">
        <f>(SUM($I$8:$I640)*(MAX(M$3-M$4,0))+(N640*MAX(M$4,0)))*(1-$AM$4)+(AM640*$AM$4)</f>
        <v>0.734592204483467</v>
      </c>
      <c r="H640" s="18">
        <f t="shared" si="273"/>
        <v>1.45833333333333</v>
      </c>
      <c r="I640" s="18">
        <f t="shared" si="285"/>
        <v>0.013125</v>
      </c>
      <c r="J640" s="18">
        <f t="shared" si="274"/>
        <v>0.793777358399197</v>
      </c>
      <c r="K640" s="18">
        <f t="shared" si="275"/>
        <v>0.00404358120785888</v>
      </c>
      <c r="L640" s="18">
        <f t="shared" si="276"/>
        <v>0.00900000000000001</v>
      </c>
      <c r="M640" s="18">
        <v>0</v>
      </c>
      <c r="N640" s="18">
        <f t="shared" si="280"/>
        <v>1</v>
      </c>
      <c r="O640" s="11">
        <v>0</v>
      </c>
      <c r="P640" s="11">
        <v>0</v>
      </c>
      <c r="Q640" s="11">
        <f t="shared" si="286"/>
        <v>1</v>
      </c>
      <c r="R640" s="11">
        <v>0</v>
      </c>
      <c r="S640" s="11">
        <f t="shared" si="277"/>
        <v>0</v>
      </c>
      <c r="T640" s="11">
        <v>0</v>
      </c>
      <c r="U640" s="11">
        <f t="shared" si="287"/>
        <v>1</v>
      </c>
      <c r="V640" s="11">
        <v>0</v>
      </c>
      <c r="W640" s="11">
        <f t="shared" si="288"/>
        <v>1</v>
      </c>
      <c r="X640" s="11">
        <f t="shared" si="278"/>
        <v>0</v>
      </c>
      <c r="Y640" s="19">
        <v>0</v>
      </c>
      <c r="Z640" s="11">
        <v>33</v>
      </c>
      <c r="AA640" s="11">
        <v>0</v>
      </c>
      <c r="AB640" s="11">
        <v>0</v>
      </c>
      <c r="AC640" s="11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45">
        <v>0</v>
      </c>
      <c r="AJ640" s="45">
        <v>0</v>
      </c>
      <c r="AK640" s="45">
        <f t="shared" si="289"/>
        <v>0.3611</v>
      </c>
      <c r="AL640" s="45">
        <f t="shared" si="290"/>
        <v>0.00348095238095238</v>
      </c>
      <c r="AM640" s="45">
        <f t="shared" si="291"/>
        <v>0.0012569719047619</v>
      </c>
      <c r="AN640" s="45">
        <f t="shared" si="292"/>
        <v>0.792187500000004</v>
      </c>
      <c r="AO640" s="45">
        <f t="shared" si="293"/>
        <v>0.792187500000004</v>
      </c>
      <c r="AP640" s="45">
        <f t="shared" si="294"/>
        <v>1.05625000000001</v>
      </c>
      <c r="AQ640" s="45">
        <f t="shared" si="295"/>
        <v>0</v>
      </c>
      <c r="AR640" s="45">
        <f t="shared" si="296"/>
        <v>0</v>
      </c>
      <c r="AS640" s="19">
        <f t="shared" si="297"/>
        <v>1.07916666666667</v>
      </c>
      <c r="AT640" s="19">
        <f t="shared" si="298"/>
        <v>1.03333333333334</v>
      </c>
      <c r="AU640" s="46">
        <v>0</v>
      </c>
      <c r="AV640" s="46">
        <v>0</v>
      </c>
      <c r="AW640" s="46">
        <v>0</v>
      </c>
      <c r="AX640" s="46">
        <v>1</v>
      </c>
      <c r="AY640" s="47">
        <v>0</v>
      </c>
      <c r="AZ640" s="47">
        <v>-1</v>
      </c>
    </row>
    <row r="641" hidden="1" customHeight="1" spans="1:52">
      <c r="A641" s="44">
        <v>45966</v>
      </c>
      <c r="B641" s="33">
        <f t="shared" si="281"/>
        <v>50</v>
      </c>
      <c r="C641" s="33">
        <f t="shared" si="282"/>
        <v>175</v>
      </c>
      <c r="D641" s="11">
        <f t="shared" si="283"/>
        <v>225</v>
      </c>
      <c r="E641" s="34">
        <f t="shared" si="279"/>
        <v>3.99034272533134e-6</v>
      </c>
      <c r="F641" s="35">
        <f t="shared" si="284"/>
        <v>0.00116448355675925</v>
      </c>
      <c r="G641" s="18">
        <f>(SUM($I$8:$I641)*(MAX(M$3-M$4,0))+(N641*MAX(M$4,0)))*(1-$AM$4)+(AM641*$AM$4)</f>
        <v>0.738282574985361</v>
      </c>
      <c r="H641" s="18">
        <f t="shared" si="273"/>
        <v>1.45833333333333</v>
      </c>
      <c r="I641" s="18">
        <f t="shared" si="285"/>
        <v>0.019681976010101</v>
      </c>
      <c r="J641" s="18">
        <f t="shared" si="274"/>
        <v>0.796506752823324</v>
      </c>
      <c r="K641" s="18">
        <f t="shared" si="275"/>
        <v>0.00406986494353353</v>
      </c>
      <c r="L641" s="18">
        <f t="shared" si="276"/>
        <v>0.0134962121212121</v>
      </c>
      <c r="M641" s="18">
        <v>0</v>
      </c>
      <c r="N641" s="18">
        <f t="shared" si="280"/>
        <v>1</v>
      </c>
      <c r="O641" s="11">
        <v>0</v>
      </c>
      <c r="P641" s="11">
        <v>0</v>
      </c>
      <c r="Q641" s="11">
        <f t="shared" si="286"/>
        <v>1</v>
      </c>
      <c r="R641" s="11">
        <v>0</v>
      </c>
      <c r="S641" s="11">
        <f t="shared" si="277"/>
        <v>0</v>
      </c>
      <c r="T641" s="11">
        <v>0</v>
      </c>
      <c r="U641" s="11">
        <f t="shared" si="287"/>
        <v>1</v>
      </c>
      <c r="V641" s="11">
        <v>0</v>
      </c>
      <c r="W641" s="11">
        <f t="shared" si="288"/>
        <v>1</v>
      </c>
      <c r="X641" s="11">
        <f t="shared" si="278"/>
        <v>0</v>
      </c>
      <c r="Y641" s="19">
        <v>14.75</v>
      </c>
      <c r="Z641" s="11">
        <v>29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1">
        <v>0</v>
      </c>
      <c r="AG641" s="11">
        <v>0</v>
      </c>
      <c r="AH641" s="11">
        <v>0</v>
      </c>
      <c r="AI641" s="45">
        <v>0</v>
      </c>
      <c r="AJ641" s="45">
        <v>0</v>
      </c>
      <c r="AK641" s="45">
        <f t="shared" si="289"/>
        <v>0.3611</v>
      </c>
      <c r="AL641" s="45">
        <f t="shared" si="290"/>
        <v>0.00348095238095238</v>
      </c>
      <c r="AM641" s="45">
        <f t="shared" si="291"/>
        <v>0.0012569719047619</v>
      </c>
      <c r="AN641" s="45">
        <f t="shared" si="292"/>
        <v>0.792187500000004</v>
      </c>
      <c r="AO641" s="45">
        <f t="shared" si="293"/>
        <v>0.792187500000004</v>
      </c>
      <c r="AP641" s="45">
        <f t="shared" si="294"/>
        <v>1.05625000000001</v>
      </c>
      <c r="AQ641" s="45">
        <f t="shared" si="295"/>
        <v>0</v>
      </c>
      <c r="AR641" s="45">
        <f t="shared" si="296"/>
        <v>0</v>
      </c>
      <c r="AS641" s="19">
        <f t="shared" si="297"/>
        <v>1.07916666666667</v>
      </c>
      <c r="AT641" s="19">
        <f t="shared" si="298"/>
        <v>1.03333333333334</v>
      </c>
      <c r="AU641" s="46">
        <v>0</v>
      </c>
      <c r="AV641" s="46">
        <v>0</v>
      </c>
      <c r="AW641" s="46">
        <v>0</v>
      </c>
      <c r="AX641" s="46">
        <v>1</v>
      </c>
      <c r="AY641" s="47">
        <v>0</v>
      </c>
      <c r="AZ641" s="47">
        <v>-1</v>
      </c>
    </row>
    <row r="642" hidden="1" customHeight="1" spans="1:52">
      <c r="A642" s="44">
        <v>45967</v>
      </c>
      <c r="B642" s="33">
        <f t="shared" si="281"/>
        <v>49</v>
      </c>
      <c r="C642" s="33">
        <f t="shared" si="282"/>
        <v>173</v>
      </c>
      <c r="D642" s="11">
        <f t="shared" si="283"/>
        <v>222</v>
      </c>
      <c r="E642" s="34">
        <f t="shared" si="279"/>
        <v>1.76437285859905e-6</v>
      </c>
      <c r="F642" s="35">
        <f t="shared" si="284"/>
        <v>0.00116624792961784</v>
      </c>
      <c r="G642" s="18">
        <f>(SUM($I$8:$I642)*(MAX(M$3-M$4,0))+(N642*MAX(M$4,0)))*(1-$AM$4)+(AM642*$AM$4)</f>
        <v>0.740567435307331</v>
      </c>
      <c r="H642" s="18">
        <f t="shared" si="273"/>
        <v>1.45833333333333</v>
      </c>
      <c r="I642" s="18">
        <f t="shared" si="285"/>
        <v>0.0121859217171717</v>
      </c>
      <c r="J642" s="18">
        <f t="shared" si="274"/>
        <v>0.797713583858605</v>
      </c>
      <c r="K642" s="18">
        <f t="shared" si="275"/>
        <v>0.00412829420696724</v>
      </c>
      <c r="L642" s="18">
        <f t="shared" si="276"/>
        <v>0.00835606060606063</v>
      </c>
      <c r="M642" s="18">
        <v>0</v>
      </c>
      <c r="N642" s="18">
        <f t="shared" si="280"/>
        <v>1</v>
      </c>
      <c r="O642" s="11">
        <v>0</v>
      </c>
      <c r="P642" s="11">
        <v>0</v>
      </c>
      <c r="Q642" s="11">
        <f t="shared" si="286"/>
        <v>1</v>
      </c>
      <c r="R642" s="11">
        <v>0</v>
      </c>
      <c r="S642" s="11">
        <f t="shared" si="277"/>
        <v>0</v>
      </c>
      <c r="T642" s="11">
        <v>0</v>
      </c>
      <c r="U642" s="11">
        <f t="shared" si="287"/>
        <v>1</v>
      </c>
      <c r="V642" s="11">
        <v>0</v>
      </c>
      <c r="W642" s="11">
        <f t="shared" si="288"/>
        <v>1</v>
      </c>
      <c r="X642" s="11">
        <f t="shared" si="278"/>
        <v>0</v>
      </c>
      <c r="Y642" s="19">
        <v>19.9</v>
      </c>
      <c r="Z642" s="11">
        <v>3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45">
        <v>0</v>
      </c>
      <c r="AJ642" s="45">
        <v>0</v>
      </c>
      <c r="AK642" s="45">
        <f t="shared" si="289"/>
        <v>0.3611</v>
      </c>
      <c r="AL642" s="45">
        <f t="shared" si="290"/>
        <v>0.00348095238095238</v>
      </c>
      <c r="AM642" s="45">
        <f t="shared" si="291"/>
        <v>0.0012569719047619</v>
      </c>
      <c r="AN642" s="45">
        <f t="shared" si="292"/>
        <v>0.792187500000004</v>
      </c>
      <c r="AO642" s="45">
        <f t="shared" si="293"/>
        <v>0.792187500000004</v>
      </c>
      <c r="AP642" s="45">
        <f t="shared" si="294"/>
        <v>1.05625000000001</v>
      </c>
      <c r="AQ642" s="45">
        <f t="shared" si="295"/>
        <v>0</v>
      </c>
      <c r="AR642" s="45">
        <f t="shared" si="296"/>
        <v>0</v>
      </c>
      <c r="AS642" s="19">
        <f t="shared" si="297"/>
        <v>1.07916666666667</v>
      </c>
      <c r="AT642" s="19">
        <f t="shared" si="298"/>
        <v>1.03333333333334</v>
      </c>
      <c r="AU642" s="46">
        <v>0</v>
      </c>
      <c r="AV642" s="46">
        <v>0</v>
      </c>
      <c r="AW642" s="46">
        <v>0</v>
      </c>
      <c r="AX642" s="46">
        <v>1</v>
      </c>
      <c r="AY642" s="47">
        <v>0</v>
      </c>
      <c r="AZ642" s="47">
        <v>-1</v>
      </c>
    </row>
    <row r="643" hidden="1" customHeight="1" spans="1:52">
      <c r="A643" s="44">
        <v>45968</v>
      </c>
      <c r="B643" s="33">
        <f t="shared" si="281"/>
        <v>48</v>
      </c>
      <c r="C643" s="33">
        <f t="shared" si="282"/>
        <v>171</v>
      </c>
      <c r="D643" s="11">
        <f t="shared" si="283"/>
        <v>219</v>
      </c>
      <c r="E643" s="34">
        <f t="shared" si="279"/>
        <v>3.17890682521513e-6</v>
      </c>
      <c r="F643" s="35">
        <f t="shared" si="284"/>
        <v>0.00116942683644306</v>
      </c>
      <c r="G643" s="18">
        <f>(SUM($I$8:$I643)*(MAX(M$3-M$4,0))+(N643*MAX(M$4,0)))*(1-$AM$4)+(AM643*$AM$4)</f>
        <v>0.743755467977786</v>
      </c>
      <c r="H643" s="18">
        <f t="shared" si="273"/>
        <v>1.45833333333333</v>
      </c>
      <c r="I643" s="18">
        <f t="shared" si="285"/>
        <v>0.0170028409090909</v>
      </c>
      <c r="J643" s="18">
        <f t="shared" si="274"/>
        <v>0.799887956127053</v>
      </c>
      <c r="K643" s="18">
        <f t="shared" si="275"/>
        <v>0.00416900091401974</v>
      </c>
      <c r="L643" s="18">
        <f t="shared" si="276"/>
        <v>0.0116590909090909</v>
      </c>
      <c r="M643" s="18">
        <v>0</v>
      </c>
      <c r="N643" s="18">
        <f t="shared" si="280"/>
        <v>1</v>
      </c>
      <c r="O643" s="11">
        <v>0</v>
      </c>
      <c r="P643" s="11">
        <v>0</v>
      </c>
      <c r="Q643" s="11">
        <f t="shared" si="286"/>
        <v>1</v>
      </c>
      <c r="R643" s="11">
        <v>0</v>
      </c>
      <c r="S643" s="11">
        <f t="shared" si="277"/>
        <v>0</v>
      </c>
      <c r="T643" s="11">
        <v>0</v>
      </c>
      <c r="U643" s="11">
        <f t="shared" si="287"/>
        <v>1</v>
      </c>
      <c r="V643" s="11">
        <v>0</v>
      </c>
      <c r="W643" s="11">
        <f t="shared" si="288"/>
        <v>1</v>
      </c>
      <c r="X643" s="11">
        <f t="shared" si="278"/>
        <v>0</v>
      </c>
      <c r="Y643" s="19">
        <v>25.02</v>
      </c>
      <c r="Z643" s="11">
        <v>8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1">
        <v>0</v>
      </c>
      <c r="AG643" s="11">
        <v>0</v>
      </c>
      <c r="AH643" s="11">
        <v>0</v>
      </c>
      <c r="AI643" s="45">
        <v>0</v>
      </c>
      <c r="AJ643" s="45">
        <v>0</v>
      </c>
      <c r="AK643" s="45">
        <f t="shared" si="289"/>
        <v>0.3611</v>
      </c>
      <c r="AL643" s="45">
        <f t="shared" si="290"/>
        <v>0.00348095238095238</v>
      </c>
      <c r="AM643" s="45">
        <f t="shared" si="291"/>
        <v>0.0012569719047619</v>
      </c>
      <c r="AN643" s="45">
        <f t="shared" si="292"/>
        <v>0.792187500000004</v>
      </c>
      <c r="AO643" s="45">
        <f t="shared" si="293"/>
        <v>0.792187500000004</v>
      </c>
      <c r="AP643" s="45">
        <f t="shared" si="294"/>
        <v>1.05625000000001</v>
      </c>
      <c r="AQ643" s="45">
        <f t="shared" si="295"/>
        <v>0</v>
      </c>
      <c r="AR643" s="45">
        <f t="shared" si="296"/>
        <v>0</v>
      </c>
      <c r="AS643" s="19">
        <f t="shared" si="297"/>
        <v>1.07916666666667</v>
      </c>
      <c r="AT643" s="19">
        <f t="shared" si="298"/>
        <v>1.03333333333334</v>
      </c>
      <c r="AU643" s="46">
        <v>0</v>
      </c>
      <c r="AV643" s="46">
        <v>0</v>
      </c>
      <c r="AW643" s="46">
        <v>0</v>
      </c>
      <c r="AX643" s="46">
        <v>1</v>
      </c>
      <c r="AY643" s="47">
        <v>0</v>
      </c>
      <c r="AZ643" s="47">
        <v>-1</v>
      </c>
    </row>
    <row r="644" hidden="1" customHeight="1" spans="1:52">
      <c r="A644" s="44">
        <v>45969</v>
      </c>
      <c r="B644" s="33">
        <f t="shared" si="281"/>
        <v>47</v>
      </c>
      <c r="C644" s="33">
        <f t="shared" si="282"/>
        <v>167</v>
      </c>
      <c r="D644" s="11">
        <f t="shared" si="283"/>
        <v>214</v>
      </c>
      <c r="E644" s="34">
        <f t="shared" si="279"/>
        <v>5.45342531087386e-6</v>
      </c>
      <c r="F644" s="35">
        <f t="shared" si="284"/>
        <v>0.00117488026175393</v>
      </c>
      <c r="G644" s="18">
        <f>(SUM($I$8:$I644)*(MAX(M$3-M$4,0))+(N644*MAX(M$4,0)))*(1-$AM$4)+(AM644*$AM$4)</f>
        <v>0.748398726737255</v>
      </c>
      <c r="H644" s="18">
        <f t="shared" si="273"/>
        <v>1.45833333333333</v>
      </c>
      <c r="I644" s="18">
        <f t="shared" si="285"/>
        <v>0.0247640467171717</v>
      </c>
      <c r="J644" s="18">
        <f t="shared" si="274"/>
        <v>0.80361809903969</v>
      </c>
      <c r="K644" s="18">
        <f t="shared" si="275"/>
        <v>0.00417833831830446</v>
      </c>
      <c r="L644" s="18">
        <f t="shared" si="276"/>
        <v>0.0169810606060606</v>
      </c>
      <c r="M644" s="18">
        <v>0</v>
      </c>
      <c r="N644" s="18">
        <f t="shared" si="280"/>
        <v>1</v>
      </c>
      <c r="O644" s="11">
        <v>0</v>
      </c>
      <c r="P644" s="11">
        <v>0</v>
      </c>
      <c r="Q644" s="11">
        <f t="shared" si="286"/>
        <v>1</v>
      </c>
      <c r="R644" s="11">
        <v>0</v>
      </c>
      <c r="S644" s="11">
        <f t="shared" si="277"/>
        <v>0</v>
      </c>
      <c r="T644" s="11">
        <v>0</v>
      </c>
      <c r="U644" s="11">
        <f t="shared" si="287"/>
        <v>1</v>
      </c>
      <c r="V644" s="11">
        <v>0</v>
      </c>
      <c r="W644" s="11">
        <f t="shared" si="288"/>
        <v>1</v>
      </c>
      <c r="X644" s="11">
        <f t="shared" si="278"/>
        <v>0</v>
      </c>
      <c r="Y644" s="19">
        <v>31.15</v>
      </c>
      <c r="Z644" s="11">
        <v>19</v>
      </c>
      <c r="AA644" s="11">
        <v>0</v>
      </c>
      <c r="AB644" s="11">
        <v>0</v>
      </c>
      <c r="AC644" s="11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45">
        <v>0</v>
      </c>
      <c r="AJ644" s="45">
        <v>0</v>
      </c>
      <c r="AK644" s="45">
        <f t="shared" si="289"/>
        <v>0.3611</v>
      </c>
      <c r="AL644" s="45">
        <f t="shared" si="290"/>
        <v>0.00348095238095238</v>
      </c>
      <c r="AM644" s="45">
        <f t="shared" si="291"/>
        <v>0.0012569719047619</v>
      </c>
      <c r="AN644" s="45">
        <f t="shared" si="292"/>
        <v>0.792187500000004</v>
      </c>
      <c r="AO644" s="45">
        <f t="shared" si="293"/>
        <v>0.792187500000004</v>
      </c>
      <c r="AP644" s="45">
        <f t="shared" si="294"/>
        <v>1.05625000000001</v>
      </c>
      <c r="AQ644" s="45">
        <f t="shared" si="295"/>
        <v>0</v>
      </c>
      <c r="AR644" s="45">
        <f t="shared" si="296"/>
        <v>0</v>
      </c>
      <c r="AS644" s="19">
        <f t="shared" si="297"/>
        <v>1.07916666666667</v>
      </c>
      <c r="AT644" s="19">
        <f t="shared" si="298"/>
        <v>1.03333333333334</v>
      </c>
      <c r="AU644" s="46">
        <v>0</v>
      </c>
      <c r="AV644" s="46">
        <v>0</v>
      </c>
      <c r="AW644" s="46">
        <v>0</v>
      </c>
      <c r="AX644" s="46">
        <v>1</v>
      </c>
      <c r="AY644" s="47">
        <v>0</v>
      </c>
      <c r="AZ644" s="47">
        <v>-1</v>
      </c>
    </row>
    <row r="645" hidden="1" customHeight="1" spans="1:52">
      <c r="A645" s="44">
        <v>45970</v>
      </c>
      <c r="B645" s="33">
        <f t="shared" si="281"/>
        <v>46</v>
      </c>
      <c r="C645" s="33">
        <f t="shared" si="282"/>
        <v>166</v>
      </c>
      <c r="D645" s="11">
        <f t="shared" si="283"/>
        <v>212</v>
      </c>
      <c r="E645" s="34">
        <f t="shared" si="279"/>
        <v>1.41509473198056e-6</v>
      </c>
      <c r="F645" s="35">
        <f t="shared" si="284"/>
        <v>0.00117629535648591</v>
      </c>
      <c r="G645" s="18">
        <f>(SUM($I$8:$I645)*(MAX(M$3-M$4,0))+(N645*MAX(M$4,0)))*(1-$AM$4)+(AM645*$AM$4)</f>
        <v>0.750476437438013</v>
      </c>
      <c r="H645" s="18">
        <f t="shared" si="273"/>
        <v>1.45833333333333</v>
      </c>
      <c r="I645" s="18">
        <f t="shared" si="285"/>
        <v>0.0110811237373737</v>
      </c>
      <c r="J645" s="18">
        <f t="shared" si="274"/>
        <v>0.804586023836365</v>
      </c>
      <c r="K645" s="18">
        <f t="shared" si="275"/>
        <v>0.00424812991660076</v>
      </c>
      <c r="L645" s="18">
        <f t="shared" si="276"/>
        <v>0.00759848484848487</v>
      </c>
      <c r="M645" s="18">
        <v>0</v>
      </c>
      <c r="N645" s="18">
        <f t="shared" si="280"/>
        <v>1</v>
      </c>
      <c r="O645" s="11">
        <v>0</v>
      </c>
      <c r="P645" s="11">
        <v>0</v>
      </c>
      <c r="Q645" s="11">
        <f t="shared" si="286"/>
        <v>1</v>
      </c>
      <c r="R645" s="11">
        <v>0</v>
      </c>
      <c r="S645" s="11">
        <f t="shared" si="277"/>
        <v>0</v>
      </c>
      <c r="T645" s="11">
        <v>0</v>
      </c>
      <c r="U645" s="11">
        <f t="shared" si="287"/>
        <v>1</v>
      </c>
      <c r="V645" s="11">
        <v>0</v>
      </c>
      <c r="W645" s="11">
        <f t="shared" si="288"/>
        <v>1</v>
      </c>
      <c r="X645" s="11">
        <f t="shared" si="278"/>
        <v>0</v>
      </c>
      <c r="Y645" s="19">
        <v>14.3</v>
      </c>
      <c r="Z645" s="11">
        <v>8</v>
      </c>
      <c r="AA645" s="11">
        <v>0</v>
      </c>
      <c r="AB645" s="11">
        <v>0</v>
      </c>
      <c r="AC645" s="11">
        <v>0</v>
      </c>
      <c r="AD645" s="11">
        <v>0</v>
      </c>
      <c r="AE645" s="11">
        <v>0</v>
      </c>
      <c r="AF645" s="11">
        <v>0</v>
      </c>
      <c r="AG645" s="11">
        <v>0</v>
      </c>
      <c r="AH645" s="11">
        <v>0</v>
      </c>
      <c r="AI645" s="45">
        <v>0</v>
      </c>
      <c r="AJ645" s="45">
        <v>0</v>
      </c>
      <c r="AK645" s="45">
        <f t="shared" si="289"/>
        <v>0.3611</v>
      </c>
      <c r="AL645" s="45">
        <f t="shared" si="290"/>
        <v>0.00348095238095238</v>
      </c>
      <c r="AM645" s="45">
        <f t="shared" si="291"/>
        <v>0.0012569719047619</v>
      </c>
      <c r="AN645" s="45">
        <f t="shared" si="292"/>
        <v>0.792187500000004</v>
      </c>
      <c r="AO645" s="45">
        <f t="shared" si="293"/>
        <v>0.792187500000004</v>
      </c>
      <c r="AP645" s="45">
        <f t="shared" si="294"/>
        <v>1.05625000000001</v>
      </c>
      <c r="AQ645" s="45">
        <f t="shared" si="295"/>
        <v>0</v>
      </c>
      <c r="AR645" s="45">
        <f t="shared" si="296"/>
        <v>0</v>
      </c>
      <c r="AS645" s="19">
        <f t="shared" si="297"/>
        <v>1.07916666666667</v>
      </c>
      <c r="AT645" s="19">
        <f t="shared" si="298"/>
        <v>1.03333333333334</v>
      </c>
      <c r="AU645" s="46">
        <v>0</v>
      </c>
      <c r="AV645" s="46">
        <v>0</v>
      </c>
      <c r="AW645" s="46">
        <v>0</v>
      </c>
      <c r="AX645" s="46">
        <v>1</v>
      </c>
      <c r="AY645" s="47">
        <v>0</v>
      </c>
      <c r="AZ645" s="47">
        <v>-1</v>
      </c>
    </row>
    <row r="646" hidden="1" customHeight="1" spans="1:52">
      <c r="A646" s="44">
        <v>45971</v>
      </c>
      <c r="B646" s="33">
        <f t="shared" si="281"/>
        <v>45</v>
      </c>
      <c r="C646" s="33">
        <f t="shared" si="282"/>
        <v>166</v>
      </c>
      <c r="D646" s="11">
        <f t="shared" si="283"/>
        <v>211</v>
      </c>
      <c r="E646" s="34">
        <f t="shared" si="279"/>
        <v>-3.78795876086269e-7</v>
      </c>
      <c r="F646" s="35">
        <f t="shared" si="284"/>
        <v>0.00117591656060983</v>
      </c>
      <c r="G646" s="18">
        <f>(SUM($I$8:$I646)*(MAX(M$3-M$4,0))+(N646*MAX(M$4,0)))*(1-$AM$4)+(AM646*$AM$4)</f>
        <v>0.75141068222968</v>
      </c>
      <c r="H646" s="18">
        <f t="shared" si="273"/>
        <v>1.45833333333333</v>
      </c>
      <c r="I646" s="18">
        <f t="shared" si="285"/>
        <v>0.00498263888888889</v>
      </c>
      <c r="J646" s="18">
        <f t="shared" si="274"/>
        <v>0.804326927457122</v>
      </c>
      <c r="K646" s="18">
        <f t="shared" si="275"/>
        <v>0.00434829050095285</v>
      </c>
      <c r="L646" s="18">
        <f t="shared" si="276"/>
        <v>0.00341666666666667</v>
      </c>
      <c r="M646" s="18">
        <v>0</v>
      </c>
      <c r="N646" s="18">
        <f t="shared" si="280"/>
        <v>1</v>
      </c>
      <c r="O646" s="11">
        <v>0</v>
      </c>
      <c r="P646" s="11">
        <v>0</v>
      </c>
      <c r="Q646" s="11">
        <f t="shared" si="286"/>
        <v>1</v>
      </c>
      <c r="R646" s="11">
        <v>0</v>
      </c>
      <c r="S646" s="11">
        <f t="shared" si="277"/>
        <v>0</v>
      </c>
      <c r="T646" s="11">
        <v>0</v>
      </c>
      <c r="U646" s="11">
        <f t="shared" si="287"/>
        <v>1</v>
      </c>
      <c r="V646" s="11">
        <v>0</v>
      </c>
      <c r="W646" s="11">
        <f t="shared" si="288"/>
        <v>1</v>
      </c>
      <c r="X646" s="11">
        <f t="shared" si="278"/>
        <v>0</v>
      </c>
      <c r="Y646" s="19">
        <v>5.42</v>
      </c>
      <c r="Z646" s="11">
        <v>5</v>
      </c>
      <c r="AA646" s="11">
        <v>0</v>
      </c>
      <c r="AB646" s="11">
        <v>0</v>
      </c>
      <c r="AC646" s="11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45">
        <v>0</v>
      </c>
      <c r="AJ646" s="45">
        <v>0</v>
      </c>
      <c r="AK646" s="45">
        <f t="shared" si="289"/>
        <v>0.3611</v>
      </c>
      <c r="AL646" s="45">
        <f t="shared" si="290"/>
        <v>0.00348095238095238</v>
      </c>
      <c r="AM646" s="45">
        <f t="shared" si="291"/>
        <v>0.0012569719047619</v>
      </c>
      <c r="AN646" s="45">
        <f t="shared" si="292"/>
        <v>0.792187500000004</v>
      </c>
      <c r="AO646" s="45">
        <f t="shared" si="293"/>
        <v>0.792187500000004</v>
      </c>
      <c r="AP646" s="45">
        <f t="shared" si="294"/>
        <v>1.05625000000001</v>
      </c>
      <c r="AQ646" s="45">
        <f t="shared" si="295"/>
        <v>0</v>
      </c>
      <c r="AR646" s="45">
        <f t="shared" si="296"/>
        <v>0</v>
      </c>
      <c r="AS646" s="19">
        <f t="shared" si="297"/>
        <v>1.07916666666667</v>
      </c>
      <c r="AT646" s="19">
        <f t="shared" si="298"/>
        <v>1.03333333333334</v>
      </c>
      <c r="AU646" s="46">
        <v>0</v>
      </c>
      <c r="AV646" s="46">
        <v>0</v>
      </c>
      <c r="AW646" s="46">
        <v>0</v>
      </c>
      <c r="AX646" s="46">
        <v>1</v>
      </c>
      <c r="AY646" s="47">
        <v>0</v>
      </c>
      <c r="AZ646" s="47">
        <v>-1</v>
      </c>
    </row>
    <row r="647" hidden="1" customHeight="1" spans="1:52">
      <c r="A647" s="44">
        <v>45972</v>
      </c>
      <c r="B647" s="33">
        <f t="shared" si="281"/>
        <v>44</v>
      </c>
      <c r="C647" s="33">
        <f t="shared" si="282"/>
        <v>166</v>
      </c>
      <c r="D647" s="11">
        <f t="shared" si="283"/>
        <v>210</v>
      </c>
      <c r="E647" s="34">
        <f t="shared" si="279"/>
        <v>3.95962227740234e-7</v>
      </c>
      <c r="F647" s="35">
        <f t="shared" si="284"/>
        <v>0.00117631252283757</v>
      </c>
      <c r="G647" s="18">
        <f>(SUM($I$8:$I647)*(MAX(M$3-M$4,0))+(N647*MAX(M$4,0)))*(1-$AM$4)+(AM647*$AM$4)</f>
        <v>0.752840014616043</v>
      </c>
      <c r="H647" s="18">
        <f t="shared" si="273"/>
        <v>1.45833333333333</v>
      </c>
      <c r="I647" s="18">
        <f t="shared" si="285"/>
        <v>0.00762310606060606</v>
      </c>
      <c r="J647" s="18">
        <f t="shared" si="274"/>
        <v>0.804597765620896</v>
      </c>
      <c r="K647" s="18">
        <f t="shared" si="275"/>
        <v>0.00444095987225236</v>
      </c>
      <c r="L647" s="18">
        <f t="shared" si="276"/>
        <v>0.00522727272727274</v>
      </c>
      <c r="M647" s="18">
        <v>0</v>
      </c>
      <c r="N647" s="18">
        <f t="shared" si="280"/>
        <v>1</v>
      </c>
      <c r="O647" s="11">
        <v>0</v>
      </c>
      <c r="P647" s="11">
        <v>0</v>
      </c>
      <c r="Q647" s="11">
        <f t="shared" si="286"/>
        <v>1</v>
      </c>
      <c r="R647" s="11">
        <v>0</v>
      </c>
      <c r="S647" s="11">
        <f t="shared" si="277"/>
        <v>0</v>
      </c>
      <c r="T647" s="11">
        <v>0</v>
      </c>
      <c r="U647" s="11">
        <f t="shared" si="287"/>
        <v>1</v>
      </c>
      <c r="V647" s="11">
        <v>0</v>
      </c>
      <c r="W647" s="11">
        <f t="shared" si="288"/>
        <v>1</v>
      </c>
      <c r="X647" s="11">
        <f t="shared" si="278"/>
        <v>0</v>
      </c>
      <c r="Y647" s="19">
        <v>10.92</v>
      </c>
      <c r="Z647" s="11">
        <v>4</v>
      </c>
      <c r="AA647" s="11">
        <v>0</v>
      </c>
      <c r="AB647" s="11">
        <v>0</v>
      </c>
      <c r="AC647" s="11">
        <v>0</v>
      </c>
      <c r="AD647" s="11">
        <v>0</v>
      </c>
      <c r="AE647" s="11">
        <v>0</v>
      </c>
      <c r="AF647" s="11">
        <v>0</v>
      </c>
      <c r="AG647" s="11">
        <v>0</v>
      </c>
      <c r="AH647" s="11">
        <v>0</v>
      </c>
      <c r="AI647" s="45">
        <v>0</v>
      </c>
      <c r="AJ647" s="45">
        <v>0</v>
      </c>
      <c r="AK647" s="45">
        <f t="shared" si="289"/>
        <v>0.3611</v>
      </c>
      <c r="AL647" s="45">
        <f t="shared" si="290"/>
        <v>0.00348095238095238</v>
      </c>
      <c r="AM647" s="45">
        <f t="shared" si="291"/>
        <v>0.0012569719047619</v>
      </c>
      <c r="AN647" s="45">
        <f t="shared" si="292"/>
        <v>0.792187500000004</v>
      </c>
      <c r="AO647" s="45">
        <f t="shared" si="293"/>
        <v>0.792187500000004</v>
      </c>
      <c r="AP647" s="45">
        <f t="shared" si="294"/>
        <v>1.05625000000001</v>
      </c>
      <c r="AQ647" s="45">
        <f t="shared" si="295"/>
        <v>0</v>
      </c>
      <c r="AR647" s="45">
        <f t="shared" si="296"/>
        <v>0</v>
      </c>
      <c r="AS647" s="19">
        <f t="shared" si="297"/>
        <v>1.07916666666667</v>
      </c>
      <c r="AT647" s="19">
        <f t="shared" si="298"/>
        <v>1.03333333333334</v>
      </c>
      <c r="AU647" s="46">
        <v>0</v>
      </c>
      <c r="AV647" s="46">
        <v>0</v>
      </c>
      <c r="AW647" s="46">
        <v>0</v>
      </c>
      <c r="AX647" s="46">
        <v>1</v>
      </c>
      <c r="AY647" s="47">
        <v>0</v>
      </c>
      <c r="AZ647" s="47">
        <v>-1</v>
      </c>
    </row>
    <row r="648" hidden="1" customHeight="1" spans="1:52">
      <c r="A648" s="44">
        <v>45973</v>
      </c>
      <c r="B648" s="33">
        <f t="shared" si="281"/>
        <v>43</v>
      </c>
      <c r="C648" s="33">
        <f t="shared" si="282"/>
        <v>164</v>
      </c>
      <c r="D648" s="11">
        <f t="shared" si="283"/>
        <v>207</v>
      </c>
      <c r="E648" s="34">
        <f t="shared" si="279"/>
        <v>2.26424402845009e-6</v>
      </c>
      <c r="F648" s="35">
        <f t="shared" si="284"/>
        <v>0.00117857676686602</v>
      </c>
      <c r="G648" s="18">
        <f>(SUM($I$8:$I648)*(MAX(M$3-M$4,0))+(N648*MAX(M$4,0)))*(1-$AM$4)+(AM648*$AM$4)</f>
        <v>0.755467707561119</v>
      </c>
      <c r="H648" s="18">
        <f t="shared" ref="H648:H690" si="299">0.5+(MONTH(A648)+(YEAR(A648)-2024)*12)/((YEAR(B$2)-2023)*12)</f>
        <v>1.45833333333333</v>
      </c>
      <c r="I648" s="18">
        <f t="shared" si="285"/>
        <v>0.0140143623737374</v>
      </c>
      <c r="J648" s="18">
        <f t="shared" ref="J648:J690" si="300">F648*B648+G648</f>
        <v>0.806146508536358</v>
      </c>
      <c r="K648" s="18">
        <f t="shared" ref="K648:K690" si="301">((1-G648)/B648)-F648</f>
        <v>0.00450822073171261</v>
      </c>
      <c r="L648" s="18">
        <f t="shared" ref="L648:L690" si="302">Y648*Y$6+X648*X$6+Z648*Z$6+AA648*AA$6+AB648*AB$6+AC648*AC$6+AD648*AD$6+AE648*AE$6+AF648*AF$6+AG648*AG$6+AH648*AH$6</f>
        <v>0.00960984848484851</v>
      </c>
      <c r="M648" s="18">
        <v>0</v>
      </c>
      <c r="N648" s="18">
        <f t="shared" si="280"/>
        <v>1</v>
      </c>
      <c r="O648" s="11">
        <v>0</v>
      </c>
      <c r="P648" s="11">
        <v>0</v>
      </c>
      <c r="Q648" s="11">
        <f t="shared" si="286"/>
        <v>1</v>
      </c>
      <c r="R648" s="11">
        <v>0</v>
      </c>
      <c r="S648" s="11">
        <f t="shared" ref="S648:S690" si="303">O648*$R$5/MAX(1/FACT(128),R648)</f>
        <v>0</v>
      </c>
      <c r="T648" s="11">
        <v>0</v>
      </c>
      <c r="U648" s="11">
        <f t="shared" si="287"/>
        <v>1</v>
      </c>
      <c r="V648" s="11">
        <v>0</v>
      </c>
      <c r="W648" s="11">
        <f t="shared" si="288"/>
        <v>1</v>
      </c>
      <c r="X648" s="11">
        <f t="shared" ref="X648:X690" si="304">O648*Q648*S648*U648*W648</f>
        <v>0</v>
      </c>
      <c r="Y648" s="19">
        <v>20.33</v>
      </c>
      <c r="Z648" s="11">
        <v>7</v>
      </c>
      <c r="AA648" s="11">
        <v>0</v>
      </c>
      <c r="AB648" s="11">
        <v>0</v>
      </c>
      <c r="AC648" s="11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45">
        <v>0</v>
      </c>
      <c r="AJ648" s="45">
        <v>0</v>
      </c>
      <c r="AK648" s="45">
        <f t="shared" si="289"/>
        <v>0.3611</v>
      </c>
      <c r="AL648" s="45">
        <f t="shared" si="290"/>
        <v>0.00348095238095238</v>
      </c>
      <c r="AM648" s="45">
        <f t="shared" si="291"/>
        <v>0.0012569719047619</v>
      </c>
      <c r="AN648" s="45">
        <f t="shared" si="292"/>
        <v>0.792187500000004</v>
      </c>
      <c r="AO648" s="45">
        <f t="shared" si="293"/>
        <v>0.792187500000004</v>
      </c>
      <c r="AP648" s="45">
        <f t="shared" si="294"/>
        <v>1.05625000000001</v>
      </c>
      <c r="AQ648" s="45">
        <f t="shared" si="295"/>
        <v>0</v>
      </c>
      <c r="AR648" s="45">
        <f t="shared" si="296"/>
        <v>0</v>
      </c>
      <c r="AS648" s="19">
        <f t="shared" si="297"/>
        <v>1.07916666666667</v>
      </c>
      <c r="AT648" s="19">
        <f t="shared" si="298"/>
        <v>1.03333333333334</v>
      </c>
      <c r="AU648" s="46">
        <v>0</v>
      </c>
      <c r="AV648" s="46">
        <v>0</v>
      </c>
      <c r="AW648" s="46">
        <v>0</v>
      </c>
      <c r="AX648" s="46">
        <v>1</v>
      </c>
      <c r="AY648" s="47">
        <v>0</v>
      </c>
      <c r="AZ648" s="47">
        <v>-1</v>
      </c>
    </row>
    <row r="649" hidden="1" customHeight="1" spans="1:52">
      <c r="A649" s="44">
        <v>45974</v>
      </c>
      <c r="B649" s="33">
        <f t="shared" si="281"/>
        <v>42</v>
      </c>
      <c r="C649" s="33">
        <f t="shared" si="282"/>
        <v>163</v>
      </c>
      <c r="D649" s="11">
        <f t="shared" si="283"/>
        <v>205</v>
      </c>
      <c r="E649" s="34">
        <f t="shared" ref="E649:E690" si="305">F649-F648</f>
        <v>1.97647353232912e-6</v>
      </c>
      <c r="F649" s="35">
        <f t="shared" si="284"/>
        <v>0.00118055324039835</v>
      </c>
      <c r="G649" s="18">
        <f>(SUM($I$8:$I649)*(MAX(M$3-M$4,0))+(N649*MAX(M$4,0)))*(1-$AM$4)+(AM649*$AM$4)</f>
        <v>0.75791518033574</v>
      </c>
      <c r="H649" s="18">
        <f t="shared" si="299"/>
        <v>1.45833333333333</v>
      </c>
      <c r="I649" s="18">
        <f t="shared" si="285"/>
        <v>0.0130531881313131</v>
      </c>
      <c r="J649" s="18">
        <f t="shared" si="300"/>
        <v>0.807498416432471</v>
      </c>
      <c r="K649" s="18">
        <f t="shared" si="301"/>
        <v>0.00458337103732212</v>
      </c>
      <c r="L649" s="18">
        <f t="shared" si="302"/>
        <v>0.0089507575757576</v>
      </c>
      <c r="M649" s="18">
        <v>0</v>
      </c>
      <c r="N649" s="18">
        <f t="shared" ref="N649:N690" si="306">IF(M649&gt;N648,M649,N648)</f>
        <v>1</v>
      </c>
      <c r="O649" s="11">
        <v>0</v>
      </c>
      <c r="P649" s="11">
        <v>0</v>
      </c>
      <c r="Q649" s="11">
        <f t="shared" si="286"/>
        <v>1</v>
      </c>
      <c r="R649" s="11">
        <v>0</v>
      </c>
      <c r="S649" s="11">
        <f t="shared" si="303"/>
        <v>0</v>
      </c>
      <c r="T649" s="11">
        <v>0</v>
      </c>
      <c r="U649" s="11">
        <f t="shared" si="287"/>
        <v>1</v>
      </c>
      <c r="V649" s="11">
        <v>0</v>
      </c>
      <c r="W649" s="11">
        <f t="shared" si="288"/>
        <v>1</v>
      </c>
      <c r="X649" s="11">
        <f t="shared" si="304"/>
        <v>0</v>
      </c>
      <c r="Y649" s="19">
        <v>17.15</v>
      </c>
      <c r="Z649" s="11">
        <v>9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1">
        <v>0</v>
      </c>
      <c r="AG649" s="11">
        <v>0</v>
      </c>
      <c r="AH649" s="11">
        <v>0</v>
      </c>
      <c r="AI649" s="45">
        <v>0</v>
      </c>
      <c r="AJ649" s="45">
        <v>0</v>
      </c>
      <c r="AK649" s="45">
        <f t="shared" si="289"/>
        <v>0.3611</v>
      </c>
      <c r="AL649" s="45">
        <f t="shared" si="290"/>
        <v>0.00348095238095238</v>
      </c>
      <c r="AM649" s="45">
        <f t="shared" si="291"/>
        <v>0.0012569719047619</v>
      </c>
      <c r="AN649" s="45">
        <f t="shared" si="292"/>
        <v>0.792187500000004</v>
      </c>
      <c r="AO649" s="45">
        <f t="shared" si="293"/>
        <v>0.792187500000004</v>
      </c>
      <c r="AP649" s="45">
        <f t="shared" si="294"/>
        <v>1.05625000000001</v>
      </c>
      <c r="AQ649" s="45">
        <f t="shared" si="295"/>
        <v>0</v>
      </c>
      <c r="AR649" s="45">
        <f t="shared" si="296"/>
        <v>0</v>
      </c>
      <c r="AS649" s="19">
        <f t="shared" si="297"/>
        <v>1.07916666666667</v>
      </c>
      <c r="AT649" s="19">
        <f t="shared" si="298"/>
        <v>1.03333333333334</v>
      </c>
      <c r="AU649" s="46">
        <v>0</v>
      </c>
      <c r="AV649" s="46">
        <v>0</v>
      </c>
      <c r="AW649" s="46">
        <v>0</v>
      </c>
      <c r="AX649" s="46">
        <v>1</v>
      </c>
      <c r="AY649" s="47">
        <v>0</v>
      </c>
      <c r="AZ649" s="47">
        <v>-1</v>
      </c>
    </row>
    <row r="650" hidden="1" customHeight="1" spans="1:52">
      <c r="A650" s="44">
        <v>45975</v>
      </c>
      <c r="B650" s="33">
        <f t="shared" si="281"/>
        <v>41</v>
      </c>
      <c r="C650" s="33">
        <f t="shared" si="282"/>
        <v>162</v>
      </c>
      <c r="D650" s="11">
        <f t="shared" si="283"/>
        <v>203</v>
      </c>
      <c r="E650" s="34">
        <f t="shared" si="305"/>
        <v>1.08438269967245e-6</v>
      </c>
      <c r="F650" s="35">
        <f t="shared" si="284"/>
        <v>0.00118163762309802</v>
      </c>
      <c r="G650" s="18">
        <f>(SUM($I$8:$I650)*(MAX(M$3-M$4,0))+(N650*MAX(M$4,0)))*(1-$AM$4)+(AM650*$AM$4)</f>
        <v>0.759792991652028</v>
      </c>
      <c r="H650" s="18">
        <f t="shared" si="299"/>
        <v>1.45833333333333</v>
      </c>
      <c r="I650" s="18">
        <f t="shared" si="285"/>
        <v>0.0100149936868687</v>
      </c>
      <c r="J650" s="18">
        <f t="shared" si="300"/>
        <v>0.808240134199047</v>
      </c>
      <c r="K650" s="18">
        <f t="shared" si="301"/>
        <v>0.00467706989758422</v>
      </c>
      <c r="L650" s="18">
        <f t="shared" si="302"/>
        <v>0.00686742424242426</v>
      </c>
      <c r="M650" s="18">
        <v>0</v>
      </c>
      <c r="N650" s="18">
        <f t="shared" si="306"/>
        <v>1</v>
      </c>
      <c r="O650" s="11">
        <v>0</v>
      </c>
      <c r="P650" s="11">
        <v>0</v>
      </c>
      <c r="Q650" s="11">
        <f t="shared" si="286"/>
        <v>1</v>
      </c>
      <c r="R650" s="11">
        <v>0</v>
      </c>
      <c r="S650" s="11">
        <f t="shared" si="303"/>
        <v>0</v>
      </c>
      <c r="T650" s="11">
        <v>0</v>
      </c>
      <c r="U650" s="11">
        <f t="shared" si="287"/>
        <v>1</v>
      </c>
      <c r="V650" s="11">
        <v>0</v>
      </c>
      <c r="W650" s="11">
        <f t="shared" si="288"/>
        <v>1</v>
      </c>
      <c r="X650" s="11">
        <f t="shared" si="304"/>
        <v>0</v>
      </c>
      <c r="Y650" s="19">
        <v>12.37</v>
      </c>
      <c r="Z650" s="11">
        <v>8</v>
      </c>
      <c r="AA650" s="11">
        <v>0</v>
      </c>
      <c r="AB650" s="11">
        <v>0</v>
      </c>
      <c r="AC650" s="11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45">
        <v>0</v>
      </c>
      <c r="AJ650" s="45">
        <v>0</v>
      </c>
      <c r="AK650" s="45">
        <f t="shared" si="289"/>
        <v>0.3611</v>
      </c>
      <c r="AL650" s="45">
        <f t="shared" si="290"/>
        <v>0.00348095238095238</v>
      </c>
      <c r="AM650" s="45">
        <f t="shared" si="291"/>
        <v>0.0012569719047619</v>
      </c>
      <c r="AN650" s="45">
        <f t="shared" si="292"/>
        <v>0.792187500000004</v>
      </c>
      <c r="AO650" s="45">
        <f t="shared" si="293"/>
        <v>0.792187500000004</v>
      </c>
      <c r="AP650" s="45">
        <f t="shared" si="294"/>
        <v>1.05625000000001</v>
      </c>
      <c r="AQ650" s="45">
        <f t="shared" si="295"/>
        <v>0</v>
      </c>
      <c r="AR650" s="45">
        <f t="shared" si="296"/>
        <v>0</v>
      </c>
      <c r="AS650" s="19">
        <f t="shared" si="297"/>
        <v>1.07916666666667</v>
      </c>
      <c r="AT650" s="19">
        <f t="shared" si="298"/>
        <v>1.03333333333334</v>
      </c>
      <c r="AU650" s="46">
        <v>0</v>
      </c>
      <c r="AV650" s="46">
        <v>0</v>
      </c>
      <c r="AW650" s="46">
        <v>0</v>
      </c>
      <c r="AX650" s="46">
        <v>1</v>
      </c>
      <c r="AY650" s="47">
        <v>0</v>
      </c>
      <c r="AZ650" s="47">
        <v>-1</v>
      </c>
    </row>
    <row r="651" hidden="1" customHeight="1" spans="1:52">
      <c r="A651" s="44">
        <v>45976</v>
      </c>
      <c r="B651" s="33">
        <f t="shared" si="281"/>
        <v>40</v>
      </c>
      <c r="C651" s="33">
        <f t="shared" si="282"/>
        <v>162</v>
      </c>
      <c r="D651" s="11">
        <f t="shared" si="283"/>
        <v>202</v>
      </c>
      <c r="E651" s="34">
        <f t="shared" si="305"/>
        <v>-2.13133979534274e-7</v>
      </c>
      <c r="F651" s="35">
        <f t="shared" si="284"/>
        <v>0.00118142448911849</v>
      </c>
      <c r="G651" s="18">
        <f>(SUM($I$8:$I651)*(MAX(M$3-M$4,0))+(N651*MAX(M$4,0)))*(1-$AM$4)+(AM651*$AM$4)</f>
        <v>0.760837370992306</v>
      </c>
      <c r="H651" s="18">
        <f t="shared" si="299"/>
        <v>1.45833333333333</v>
      </c>
      <c r="I651" s="18">
        <f t="shared" si="285"/>
        <v>0.00557002314814815</v>
      </c>
      <c r="J651" s="18">
        <f t="shared" si="300"/>
        <v>0.808094350557045</v>
      </c>
      <c r="K651" s="18">
        <f t="shared" si="301"/>
        <v>0.00479764123607387</v>
      </c>
      <c r="L651" s="18">
        <f t="shared" si="302"/>
        <v>0.00381944444444445</v>
      </c>
      <c r="M651" s="18">
        <v>0</v>
      </c>
      <c r="N651" s="18">
        <f t="shared" si="306"/>
        <v>1</v>
      </c>
      <c r="O651" s="11">
        <v>0</v>
      </c>
      <c r="P651" s="11">
        <v>0</v>
      </c>
      <c r="Q651" s="11">
        <f t="shared" si="286"/>
        <v>1</v>
      </c>
      <c r="R651" s="11">
        <v>0</v>
      </c>
      <c r="S651" s="11">
        <f t="shared" si="303"/>
        <v>0</v>
      </c>
      <c r="T651" s="11">
        <v>0</v>
      </c>
      <c r="U651" s="11">
        <f t="shared" si="287"/>
        <v>1</v>
      </c>
      <c r="V651" s="11">
        <v>0</v>
      </c>
      <c r="W651" s="11">
        <f t="shared" si="288"/>
        <v>1</v>
      </c>
      <c r="X651" s="11">
        <f t="shared" si="304"/>
        <v>0</v>
      </c>
      <c r="Y651" s="19">
        <v>6.75</v>
      </c>
      <c r="Z651" s="11">
        <v>0</v>
      </c>
      <c r="AA651" s="11">
        <v>0</v>
      </c>
      <c r="AB651" s="11">
        <v>0</v>
      </c>
      <c r="AC651" s="11">
        <v>0</v>
      </c>
      <c r="AD651" s="11">
        <v>15</v>
      </c>
      <c r="AE651" s="11">
        <v>0</v>
      </c>
      <c r="AF651" s="11">
        <v>0</v>
      </c>
      <c r="AG651" s="11">
        <v>0</v>
      </c>
      <c r="AH651" s="11">
        <v>0</v>
      </c>
      <c r="AI651" s="45">
        <v>0</v>
      </c>
      <c r="AJ651" s="45">
        <v>0</v>
      </c>
      <c r="AK651" s="45">
        <f t="shared" si="289"/>
        <v>0.3611</v>
      </c>
      <c r="AL651" s="45">
        <f t="shared" si="290"/>
        <v>0.00348095238095238</v>
      </c>
      <c r="AM651" s="45">
        <f t="shared" si="291"/>
        <v>0.0012569719047619</v>
      </c>
      <c r="AN651" s="45">
        <f t="shared" si="292"/>
        <v>0.792187500000004</v>
      </c>
      <c r="AO651" s="45">
        <f t="shared" si="293"/>
        <v>0.792187500000004</v>
      </c>
      <c r="AP651" s="45">
        <f t="shared" si="294"/>
        <v>1.05625000000001</v>
      </c>
      <c r="AQ651" s="45">
        <f t="shared" si="295"/>
        <v>0</v>
      </c>
      <c r="AR651" s="45">
        <f t="shared" si="296"/>
        <v>0</v>
      </c>
      <c r="AS651" s="19">
        <f t="shared" si="297"/>
        <v>1.07916666666667</v>
      </c>
      <c r="AT651" s="19">
        <f t="shared" si="298"/>
        <v>1.03333333333334</v>
      </c>
      <c r="AU651" s="46">
        <v>0</v>
      </c>
      <c r="AV651" s="46">
        <v>0</v>
      </c>
      <c r="AW651" s="46">
        <v>0</v>
      </c>
      <c r="AX651" s="46">
        <v>1</v>
      </c>
      <c r="AY651" s="47">
        <v>0</v>
      </c>
      <c r="AZ651" s="47">
        <v>-1</v>
      </c>
    </row>
    <row r="652" hidden="1" customHeight="1" spans="1:52">
      <c r="A652" s="44">
        <v>45977</v>
      </c>
      <c r="B652" s="33">
        <f t="shared" si="281"/>
        <v>39</v>
      </c>
      <c r="C652" s="33">
        <f t="shared" si="282"/>
        <v>160</v>
      </c>
      <c r="D652" s="11">
        <f t="shared" si="283"/>
        <v>199</v>
      </c>
      <c r="E652" s="34">
        <f t="shared" si="305"/>
        <v>2.81055535252678e-6</v>
      </c>
      <c r="F652" s="35">
        <f t="shared" si="284"/>
        <v>0.00118423504447101</v>
      </c>
      <c r="G652" s="18">
        <f>(SUM($I$8:$I652)*(MAX(M$3-M$4,0))+(N652*MAX(M$4,0)))*(1-$AM$4)+(AM652*$AM$4)</f>
        <v>0.763831603683804</v>
      </c>
      <c r="H652" s="18">
        <f t="shared" si="299"/>
        <v>1.45833333333333</v>
      </c>
      <c r="I652" s="18">
        <f t="shared" si="285"/>
        <v>0.0159692410213244</v>
      </c>
      <c r="J652" s="18">
        <f t="shared" si="300"/>
        <v>0.810016770418174</v>
      </c>
      <c r="K652" s="18">
        <f t="shared" si="301"/>
        <v>0.00487136486107247</v>
      </c>
      <c r="L652" s="18">
        <f t="shared" si="302"/>
        <v>0.0109503367003367</v>
      </c>
      <c r="M652" s="18">
        <v>0</v>
      </c>
      <c r="N652" s="18">
        <f t="shared" si="306"/>
        <v>1</v>
      </c>
      <c r="O652" s="11">
        <v>0</v>
      </c>
      <c r="P652" s="11">
        <v>0</v>
      </c>
      <c r="Q652" s="11">
        <f t="shared" si="286"/>
        <v>1</v>
      </c>
      <c r="R652" s="11">
        <v>0</v>
      </c>
      <c r="S652" s="11">
        <f t="shared" si="303"/>
        <v>0</v>
      </c>
      <c r="T652" s="11">
        <v>0</v>
      </c>
      <c r="U652" s="11">
        <f t="shared" si="287"/>
        <v>1</v>
      </c>
      <c r="V652" s="11">
        <v>0</v>
      </c>
      <c r="W652" s="11">
        <f t="shared" si="288"/>
        <v>1</v>
      </c>
      <c r="X652" s="11">
        <f t="shared" si="304"/>
        <v>0</v>
      </c>
      <c r="Y652" s="19">
        <v>22.02</v>
      </c>
      <c r="Z652" s="11">
        <v>0</v>
      </c>
      <c r="AA652" s="11">
        <v>0</v>
      </c>
      <c r="AB652" s="11">
        <v>0</v>
      </c>
      <c r="AC652" s="11">
        <v>0</v>
      </c>
      <c r="AD652" s="11">
        <v>31</v>
      </c>
      <c r="AE652" s="11">
        <v>0</v>
      </c>
      <c r="AF652" s="11">
        <v>0</v>
      </c>
      <c r="AG652" s="11">
        <v>0</v>
      </c>
      <c r="AH652" s="11">
        <v>0</v>
      </c>
      <c r="AI652" s="45">
        <v>0</v>
      </c>
      <c r="AJ652" s="45">
        <v>0</v>
      </c>
      <c r="AK652" s="45">
        <f t="shared" si="289"/>
        <v>0.3611</v>
      </c>
      <c r="AL652" s="45">
        <f t="shared" si="290"/>
        <v>0.00348095238095238</v>
      </c>
      <c r="AM652" s="45">
        <f t="shared" si="291"/>
        <v>0.0012569719047619</v>
      </c>
      <c r="AN652" s="45">
        <f t="shared" si="292"/>
        <v>0.792187500000004</v>
      </c>
      <c r="AO652" s="45">
        <f t="shared" si="293"/>
        <v>0.792187500000004</v>
      </c>
      <c r="AP652" s="45">
        <f t="shared" si="294"/>
        <v>1.05625000000001</v>
      </c>
      <c r="AQ652" s="45">
        <f t="shared" si="295"/>
        <v>0</v>
      </c>
      <c r="AR652" s="45">
        <f t="shared" si="296"/>
        <v>0</v>
      </c>
      <c r="AS652" s="19">
        <f t="shared" si="297"/>
        <v>1.07916666666667</v>
      </c>
      <c r="AT652" s="19">
        <f t="shared" si="298"/>
        <v>1.03333333333334</v>
      </c>
      <c r="AU652" s="46">
        <v>0</v>
      </c>
      <c r="AV652" s="46">
        <v>0</v>
      </c>
      <c r="AW652" s="46">
        <v>0</v>
      </c>
      <c r="AX652" s="46">
        <v>1</v>
      </c>
      <c r="AY652" s="47">
        <v>0</v>
      </c>
      <c r="AZ652" s="47">
        <v>-1</v>
      </c>
    </row>
    <row r="653" hidden="1" customHeight="1" spans="1:52">
      <c r="A653" s="44">
        <v>45978</v>
      </c>
      <c r="B653" s="33">
        <f t="shared" si="281"/>
        <v>38</v>
      </c>
      <c r="C653" s="33">
        <f t="shared" si="282"/>
        <v>159</v>
      </c>
      <c r="D653" s="11">
        <f t="shared" si="283"/>
        <v>197</v>
      </c>
      <c r="E653" s="34">
        <f t="shared" si="305"/>
        <v>2.59876607883311e-6</v>
      </c>
      <c r="F653" s="35">
        <f t="shared" si="284"/>
        <v>0.00118683381054985</v>
      </c>
      <c r="G653" s="18">
        <f>(SUM($I$8:$I653)*(MAX(M$3-M$4,0))+(N653*MAX(M$4,0)))*(1-$AM$4)+(AM653*$AM$4)</f>
        <v>0.766694641615201</v>
      </c>
      <c r="H653" s="18">
        <f t="shared" si="299"/>
        <v>1.45833333333333</v>
      </c>
      <c r="I653" s="18">
        <f t="shared" si="285"/>
        <v>0.015269535634119</v>
      </c>
      <c r="J653" s="18">
        <f t="shared" si="300"/>
        <v>0.811794326416096</v>
      </c>
      <c r="K653" s="18">
        <f t="shared" si="301"/>
        <v>0.00495278088378696</v>
      </c>
      <c r="L653" s="18">
        <f t="shared" si="302"/>
        <v>0.0104705387205387</v>
      </c>
      <c r="M653" s="18">
        <v>0</v>
      </c>
      <c r="N653" s="18">
        <f t="shared" si="306"/>
        <v>1</v>
      </c>
      <c r="O653" s="11">
        <v>0</v>
      </c>
      <c r="P653" s="11">
        <v>0</v>
      </c>
      <c r="Q653" s="11">
        <f t="shared" si="286"/>
        <v>1</v>
      </c>
      <c r="R653" s="11">
        <v>0</v>
      </c>
      <c r="S653" s="11">
        <f t="shared" si="303"/>
        <v>0</v>
      </c>
      <c r="T653" s="11">
        <v>0</v>
      </c>
      <c r="U653" s="11">
        <f t="shared" si="287"/>
        <v>1</v>
      </c>
      <c r="V653" s="11">
        <v>0</v>
      </c>
      <c r="W653" s="11">
        <f t="shared" si="288"/>
        <v>1</v>
      </c>
      <c r="X653" s="11">
        <f t="shared" si="304"/>
        <v>0</v>
      </c>
      <c r="Y653" s="19">
        <v>23.42</v>
      </c>
      <c r="Z653" s="11">
        <v>0</v>
      </c>
      <c r="AA653" s="11">
        <v>0</v>
      </c>
      <c r="AB653" s="11">
        <v>0</v>
      </c>
      <c r="AC653" s="11">
        <v>0</v>
      </c>
      <c r="AD653" s="11">
        <v>19</v>
      </c>
      <c r="AE653" s="11">
        <v>0</v>
      </c>
      <c r="AF653" s="11">
        <v>0</v>
      </c>
      <c r="AG653" s="11">
        <v>0</v>
      </c>
      <c r="AH653" s="11">
        <v>0</v>
      </c>
      <c r="AI653" s="45">
        <v>0</v>
      </c>
      <c r="AJ653" s="45">
        <v>0</v>
      </c>
      <c r="AK653" s="45">
        <f t="shared" si="289"/>
        <v>0.3611</v>
      </c>
      <c r="AL653" s="45">
        <f t="shared" si="290"/>
        <v>0.00348095238095238</v>
      </c>
      <c r="AM653" s="45">
        <f t="shared" si="291"/>
        <v>0.0012569719047619</v>
      </c>
      <c r="AN653" s="45">
        <f t="shared" si="292"/>
        <v>0.792187500000004</v>
      </c>
      <c r="AO653" s="45">
        <f t="shared" si="293"/>
        <v>0.792187500000004</v>
      </c>
      <c r="AP653" s="45">
        <f t="shared" si="294"/>
        <v>1.05625000000001</v>
      </c>
      <c r="AQ653" s="45">
        <f t="shared" si="295"/>
        <v>0</v>
      </c>
      <c r="AR653" s="45">
        <f t="shared" si="296"/>
        <v>0</v>
      </c>
      <c r="AS653" s="19">
        <f t="shared" si="297"/>
        <v>1.07916666666667</v>
      </c>
      <c r="AT653" s="19">
        <f t="shared" si="298"/>
        <v>1.03333333333334</v>
      </c>
      <c r="AU653" s="46">
        <v>0</v>
      </c>
      <c r="AV653" s="46">
        <v>0</v>
      </c>
      <c r="AW653" s="46">
        <v>0</v>
      </c>
      <c r="AX653" s="46">
        <v>1</v>
      </c>
      <c r="AY653" s="47">
        <v>0</v>
      </c>
      <c r="AZ653" s="47">
        <v>-1</v>
      </c>
    </row>
    <row r="654" hidden="1" customHeight="1" spans="1:52">
      <c r="A654" s="44">
        <v>45979</v>
      </c>
      <c r="B654" s="33">
        <f t="shared" si="281"/>
        <v>37</v>
      </c>
      <c r="C654" s="33">
        <f t="shared" si="282"/>
        <v>152</v>
      </c>
      <c r="D654" s="11">
        <f t="shared" si="283"/>
        <v>189</v>
      </c>
      <c r="E654" s="34">
        <f t="shared" si="305"/>
        <v>9.61311563024247e-6</v>
      </c>
      <c r="F654" s="35">
        <f t="shared" si="284"/>
        <v>0.00119644692618009</v>
      </c>
      <c r="G654" s="18">
        <f>(SUM($I$8:$I654)*(MAX(M$3-M$4,0))+(N654*MAX(M$4,0)))*(1-$AM$4)+(AM654*$AM$4)</f>
        <v>0.774101161238518</v>
      </c>
      <c r="H654" s="18">
        <f t="shared" si="299"/>
        <v>1.45833333333333</v>
      </c>
      <c r="I654" s="18">
        <f t="shared" si="285"/>
        <v>0.0395014379910213</v>
      </c>
      <c r="J654" s="18">
        <f t="shared" si="300"/>
        <v>0.818369697507181</v>
      </c>
      <c r="K654" s="18">
        <f t="shared" si="301"/>
        <v>0.0049089270944005</v>
      </c>
      <c r="L654" s="18">
        <f t="shared" si="302"/>
        <v>0.0270867003367004</v>
      </c>
      <c r="M654" s="18">
        <v>0</v>
      </c>
      <c r="N654" s="18">
        <f t="shared" si="306"/>
        <v>1</v>
      </c>
      <c r="O654" s="11">
        <v>0</v>
      </c>
      <c r="P654" s="11">
        <v>0</v>
      </c>
      <c r="Q654" s="11">
        <f t="shared" si="286"/>
        <v>1</v>
      </c>
      <c r="R654" s="11">
        <v>0</v>
      </c>
      <c r="S654" s="11">
        <f t="shared" si="303"/>
        <v>0</v>
      </c>
      <c r="T654" s="11">
        <v>0</v>
      </c>
      <c r="U654" s="11">
        <f t="shared" si="287"/>
        <v>1</v>
      </c>
      <c r="V654" s="11">
        <v>0</v>
      </c>
      <c r="W654" s="11">
        <f t="shared" si="288"/>
        <v>1</v>
      </c>
      <c r="X654" s="11">
        <f t="shared" si="304"/>
        <v>0</v>
      </c>
      <c r="Y654" s="19">
        <v>56.22</v>
      </c>
      <c r="Z654" s="11">
        <v>20</v>
      </c>
      <c r="AA654" s="11">
        <v>0</v>
      </c>
      <c r="AB654" s="11">
        <v>0</v>
      </c>
      <c r="AC654" s="11">
        <v>0</v>
      </c>
      <c r="AD654" s="11">
        <v>4</v>
      </c>
      <c r="AE654" s="11">
        <v>0</v>
      </c>
      <c r="AF654" s="11">
        <v>0</v>
      </c>
      <c r="AG654" s="11">
        <v>0</v>
      </c>
      <c r="AH654" s="11">
        <v>0</v>
      </c>
      <c r="AI654" s="45">
        <v>0</v>
      </c>
      <c r="AJ654" s="45">
        <v>0</v>
      </c>
      <c r="AK654" s="45">
        <f t="shared" si="289"/>
        <v>0.3611</v>
      </c>
      <c r="AL654" s="45">
        <f t="shared" si="290"/>
        <v>0.00348095238095238</v>
      </c>
      <c r="AM654" s="45">
        <f t="shared" si="291"/>
        <v>0.0012569719047619</v>
      </c>
      <c r="AN654" s="45">
        <f t="shared" si="292"/>
        <v>0.792187500000004</v>
      </c>
      <c r="AO654" s="45">
        <f t="shared" si="293"/>
        <v>0.792187500000004</v>
      </c>
      <c r="AP654" s="45">
        <f t="shared" si="294"/>
        <v>1.05625000000001</v>
      </c>
      <c r="AQ654" s="45">
        <f t="shared" si="295"/>
        <v>0</v>
      </c>
      <c r="AR654" s="45">
        <f t="shared" si="296"/>
        <v>0</v>
      </c>
      <c r="AS654" s="19">
        <f t="shared" si="297"/>
        <v>1.07916666666667</v>
      </c>
      <c r="AT654" s="19">
        <f t="shared" si="298"/>
        <v>1.03333333333334</v>
      </c>
      <c r="AU654" s="46">
        <v>0</v>
      </c>
      <c r="AV654" s="46">
        <v>0</v>
      </c>
      <c r="AW654" s="46">
        <v>0</v>
      </c>
      <c r="AX654" s="46">
        <v>1</v>
      </c>
      <c r="AY654" s="47">
        <v>0</v>
      </c>
      <c r="AZ654" s="47">
        <v>-1</v>
      </c>
    </row>
    <row r="655" hidden="1" customHeight="1" spans="1:52">
      <c r="A655" s="44">
        <v>45980</v>
      </c>
      <c r="B655" s="33">
        <f t="shared" si="281"/>
        <v>36</v>
      </c>
      <c r="C655" s="33">
        <f t="shared" si="282"/>
        <v>137</v>
      </c>
      <c r="D655" s="11">
        <f t="shared" si="283"/>
        <v>173</v>
      </c>
      <c r="E655" s="34">
        <f t="shared" si="305"/>
        <v>2.11901467760136e-5</v>
      </c>
      <c r="F655" s="35">
        <f t="shared" si="284"/>
        <v>0.0012176370729561</v>
      </c>
      <c r="G655" s="18">
        <f>(SUM($I$8:$I655)*(MAX(M$3-M$4,0))+(N655*MAX(M$4,0)))*(1-$AM$4)+(AM655*$AM$4)</f>
        <v>0.789028823275555</v>
      </c>
      <c r="H655" s="18">
        <f t="shared" si="299"/>
        <v>1.45833333333333</v>
      </c>
      <c r="I655" s="18">
        <f t="shared" si="285"/>
        <v>0.0796141975308642</v>
      </c>
      <c r="J655" s="18">
        <f t="shared" si="300"/>
        <v>0.832863757901975</v>
      </c>
      <c r="K655" s="18">
        <f t="shared" si="301"/>
        <v>0.00464267339161181</v>
      </c>
      <c r="L655" s="18">
        <f t="shared" si="302"/>
        <v>0.0545925925925927</v>
      </c>
      <c r="M655" s="18">
        <v>0</v>
      </c>
      <c r="N655" s="18">
        <f t="shared" si="306"/>
        <v>1</v>
      </c>
      <c r="O655" s="11">
        <v>0</v>
      </c>
      <c r="P655" s="11">
        <v>0</v>
      </c>
      <c r="Q655" s="11">
        <f t="shared" si="286"/>
        <v>1</v>
      </c>
      <c r="R655" s="11">
        <v>0</v>
      </c>
      <c r="S655" s="11">
        <f t="shared" si="303"/>
        <v>0</v>
      </c>
      <c r="T655" s="11">
        <v>0</v>
      </c>
      <c r="U655" s="11">
        <f t="shared" si="287"/>
        <v>1</v>
      </c>
      <c r="V655" s="11">
        <v>0</v>
      </c>
      <c r="W655" s="11">
        <f t="shared" si="288"/>
        <v>1</v>
      </c>
      <c r="X655" s="11">
        <f t="shared" si="304"/>
        <v>0</v>
      </c>
      <c r="Y655" s="19">
        <v>72.4</v>
      </c>
      <c r="Z655" s="11">
        <v>99</v>
      </c>
      <c r="AA655" s="11">
        <v>0</v>
      </c>
      <c r="AB655" s="11">
        <v>0</v>
      </c>
      <c r="AC655" s="11">
        <v>0</v>
      </c>
      <c r="AD655" s="11">
        <v>2</v>
      </c>
      <c r="AE655" s="11">
        <v>0</v>
      </c>
      <c r="AF655" s="11">
        <v>0</v>
      </c>
      <c r="AG655" s="11">
        <v>0</v>
      </c>
      <c r="AH655" s="11">
        <v>0</v>
      </c>
      <c r="AI655" s="45">
        <v>0</v>
      </c>
      <c r="AJ655" s="45">
        <v>0</v>
      </c>
      <c r="AK655" s="45">
        <f t="shared" si="289"/>
        <v>0.3611</v>
      </c>
      <c r="AL655" s="45">
        <f t="shared" si="290"/>
        <v>0.00348095238095238</v>
      </c>
      <c r="AM655" s="45">
        <f t="shared" si="291"/>
        <v>0.0012569719047619</v>
      </c>
      <c r="AN655" s="45">
        <f t="shared" si="292"/>
        <v>0.792187500000004</v>
      </c>
      <c r="AO655" s="45">
        <f t="shared" si="293"/>
        <v>0.792187500000004</v>
      </c>
      <c r="AP655" s="45">
        <f t="shared" si="294"/>
        <v>1.05625000000001</v>
      </c>
      <c r="AQ655" s="45">
        <f t="shared" si="295"/>
        <v>0</v>
      </c>
      <c r="AR655" s="45">
        <f t="shared" si="296"/>
        <v>0</v>
      </c>
      <c r="AS655" s="19">
        <f t="shared" si="297"/>
        <v>1.07916666666667</v>
      </c>
      <c r="AT655" s="19">
        <f t="shared" si="298"/>
        <v>1.03333333333334</v>
      </c>
      <c r="AU655" s="46">
        <v>0</v>
      </c>
      <c r="AV655" s="46">
        <v>0</v>
      </c>
      <c r="AW655" s="46">
        <v>0</v>
      </c>
      <c r="AX655" s="46">
        <v>1</v>
      </c>
      <c r="AY655" s="47">
        <v>0</v>
      </c>
      <c r="AZ655" s="47">
        <v>-1</v>
      </c>
    </row>
    <row r="656" hidden="1" customHeight="1" spans="1:52">
      <c r="A656" s="44">
        <v>45981</v>
      </c>
      <c r="B656" s="33">
        <f t="shared" si="281"/>
        <v>35</v>
      </c>
      <c r="C656" s="33">
        <f t="shared" si="282"/>
        <v>119</v>
      </c>
      <c r="D656" s="11">
        <f t="shared" si="283"/>
        <v>154</v>
      </c>
      <c r="E656" s="34">
        <f t="shared" si="305"/>
        <v>2.74471473463813e-5</v>
      </c>
      <c r="F656" s="35">
        <f t="shared" si="284"/>
        <v>0.00124508422030248</v>
      </c>
      <c r="G656" s="18">
        <f>(SUM($I$8:$I656)*(MAX(M$3-M$4,0))+(N656*MAX(M$4,0)))*(1-$AM$4)+(AM656*$AM$4)</f>
        <v>0.808059658976312</v>
      </c>
      <c r="H656" s="18">
        <f t="shared" si="299"/>
        <v>1.45833333333333</v>
      </c>
      <c r="I656" s="18">
        <f t="shared" si="285"/>
        <v>0.10149779040404</v>
      </c>
      <c r="J656" s="18">
        <f t="shared" si="300"/>
        <v>0.851637606686899</v>
      </c>
      <c r="K656" s="18">
        <f t="shared" si="301"/>
        <v>0.00423892552323144</v>
      </c>
      <c r="L656" s="18">
        <f t="shared" si="302"/>
        <v>0.069598484848485</v>
      </c>
      <c r="M656" s="18">
        <v>0</v>
      </c>
      <c r="N656" s="18">
        <f t="shared" si="306"/>
        <v>1</v>
      </c>
      <c r="O656" s="11">
        <v>0</v>
      </c>
      <c r="P656" s="11">
        <v>0</v>
      </c>
      <c r="Q656" s="11">
        <f t="shared" si="286"/>
        <v>1</v>
      </c>
      <c r="R656" s="11">
        <v>0</v>
      </c>
      <c r="S656" s="11">
        <f t="shared" si="303"/>
        <v>0</v>
      </c>
      <c r="T656" s="11">
        <v>0</v>
      </c>
      <c r="U656" s="11">
        <f t="shared" si="287"/>
        <v>1</v>
      </c>
      <c r="V656" s="11">
        <v>0</v>
      </c>
      <c r="W656" s="11">
        <f t="shared" si="288"/>
        <v>1</v>
      </c>
      <c r="X656" s="11">
        <f t="shared" si="304"/>
        <v>0</v>
      </c>
      <c r="Y656" s="19">
        <v>103.1</v>
      </c>
      <c r="Z656" s="11">
        <v>112</v>
      </c>
      <c r="AA656" s="11">
        <v>0</v>
      </c>
      <c r="AB656" s="11">
        <v>0</v>
      </c>
      <c r="AC656" s="11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45">
        <v>0</v>
      </c>
      <c r="AJ656" s="45">
        <v>0</v>
      </c>
      <c r="AK656" s="45">
        <f t="shared" si="289"/>
        <v>0.3611</v>
      </c>
      <c r="AL656" s="45">
        <f t="shared" si="290"/>
        <v>0.00348095238095238</v>
      </c>
      <c r="AM656" s="45">
        <f t="shared" si="291"/>
        <v>0.0012569719047619</v>
      </c>
      <c r="AN656" s="45">
        <f t="shared" si="292"/>
        <v>0.792187500000004</v>
      </c>
      <c r="AO656" s="45">
        <f t="shared" si="293"/>
        <v>0.792187500000004</v>
      </c>
      <c r="AP656" s="45">
        <f t="shared" si="294"/>
        <v>1.05625000000001</v>
      </c>
      <c r="AQ656" s="45">
        <f t="shared" si="295"/>
        <v>0</v>
      </c>
      <c r="AR656" s="45">
        <f t="shared" si="296"/>
        <v>0</v>
      </c>
      <c r="AS656" s="19">
        <f t="shared" si="297"/>
        <v>1.07916666666667</v>
      </c>
      <c r="AT656" s="19">
        <f t="shared" si="298"/>
        <v>1.03333333333334</v>
      </c>
      <c r="AU656" s="46">
        <v>0</v>
      </c>
      <c r="AV656" s="46">
        <v>0</v>
      </c>
      <c r="AW656" s="46">
        <v>0</v>
      </c>
      <c r="AX656" s="46">
        <v>1</v>
      </c>
      <c r="AY656" s="47">
        <v>0</v>
      </c>
      <c r="AZ656" s="47">
        <v>-1</v>
      </c>
    </row>
    <row r="657" hidden="1" customHeight="1" spans="1:52">
      <c r="A657" s="44">
        <v>45982</v>
      </c>
      <c r="B657" s="33">
        <f t="shared" si="281"/>
        <v>34</v>
      </c>
      <c r="C657" s="33">
        <f t="shared" si="282"/>
        <v>112</v>
      </c>
      <c r="D657" s="11">
        <f t="shared" si="283"/>
        <v>146</v>
      </c>
      <c r="E657" s="34">
        <f t="shared" si="305"/>
        <v>1.05676406808868e-5</v>
      </c>
      <c r="F657" s="35">
        <f t="shared" si="284"/>
        <v>0.00125565186098337</v>
      </c>
      <c r="G657" s="18">
        <f>(SUM($I$8:$I657)*(MAX(M$3-M$4,0))+(N657*MAX(M$4,0)))*(1-$AM$4)+(AM657*$AM$4)</f>
        <v>0.816173709639191</v>
      </c>
      <c r="H657" s="18">
        <f t="shared" si="299"/>
        <v>1.45833333333333</v>
      </c>
      <c r="I657" s="18">
        <f t="shared" si="285"/>
        <v>0.0432749368686868</v>
      </c>
      <c r="J657" s="18">
        <f t="shared" si="300"/>
        <v>0.858865872912626</v>
      </c>
      <c r="K657" s="18">
        <f t="shared" si="301"/>
        <v>0.00415100373786394</v>
      </c>
      <c r="L657" s="18">
        <f t="shared" si="302"/>
        <v>0.0296742424242425</v>
      </c>
      <c r="M657" s="18">
        <v>0</v>
      </c>
      <c r="N657" s="18">
        <f t="shared" si="306"/>
        <v>1</v>
      </c>
      <c r="O657" s="11">
        <v>0</v>
      </c>
      <c r="P657" s="11">
        <v>0</v>
      </c>
      <c r="Q657" s="11">
        <f t="shared" si="286"/>
        <v>1</v>
      </c>
      <c r="R657" s="11">
        <v>0</v>
      </c>
      <c r="S657" s="11">
        <f t="shared" si="303"/>
        <v>0</v>
      </c>
      <c r="T657" s="11">
        <v>0</v>
      </c>
      <c r="U657" s="11">
        <f t="shared" si="287"/>
        <v>1</v>
      </c>
      <c r="V657" s="11">
        <v>0</v>
      </c>
      <c r="W657" s="11">
        <f t="shared" si="288"/>
        <v>1</v>
      </c>
      <c r="X657" s="11">
        <f t="shared" si="304"/>
        <v>0</v>
      </c>
      <c r="Y657" s="19">
        <v>28.58</v>
      </c>
      <c r="Z657" s="11">
        <v>33</v>
      </c>
      <c r="AA657" s="11">
        <v>45</v>
      </c>
      <c r="AB657" s="11">
        <v>0</v>
      </c>
      <c r="AC657" s="11">
        <v>0</v>
      </c>
      <c r="AD657" s="11">
        <v>9</v>
      </c>
      <c r="AE657" s="11">
        <v>0</v>
      </c>
      <c r="AF657" s="11">
        <v>0</v>
      </c>
      <c r="AG657" s="11">
        <v>0</v>
      </c>
      <c r="AH657" s="11">
        <v>0</v>
      </c>
      <c r="AI657" s="45">
        <v>0</v>
      </c>
      <c r="AJ657" s="45">
        <v>0</v>
      </c>
      <c r="AK657" s="45">
        <f t="shared" si="289"/>
        <v>0.3611</v>
      </c>
      <c r="AL657" s="45">
        <f t="shared" si="290"/>
        <v>0.00348095238095238</v>
      </c>
      <c r="AM657" s="45">
        <f t="shared" si="291"/>
        <v>0.0012569719047619</v>
      </c>
      <c r="AN657" s="45">
        <f t="shared" si="292"/>
        <v>0.792187500000004</v>
      </c>
      <c r="AO657" s="45">
        <f t="shared" si="293"/>
        <v>0.792187500000004</v>
      </c>
      <c r="AP657" s="45">
        <f t="shared" si="294"/>
        <v>1.05625000000001</v>
      </c>
      <c r="AQ657" s="45">
        <f t="shared" si="295"/>
        <v>0</v>
      </c>
      <c r="AR657" s="45">
        <f t="shared" si="296"/>
        <v>0</v>
      </c>
      <c r="AS657" s="19">
        <f t="shared" si="297"/>
        <v>1.07916666666667</v>
      </c>
      <c r="AT657" s="19">
        <f t="shared" si="298"/>
        <v>1.03333333333334</v>
      </c>
      <c r="AU657" s="46">
        <v>0</v>
      </c>
      <c r="AV657" s="46">
        <v>0</v>
      </c>
      <c r="AW657" s="46">
        <v>0</v>
      </c>
      <c r="AX657" s="46">
        <v>1</v>
      </c>
      <c r="AY657" s="47">
        <v>0</v>
      </c>
      <c r="AZ657" s="47">
        <v>-1</v>
      </c>
    </row>
    <row r="658" hidden="1" customHeight="1" spans="1:52">
      <c r="A658" s="44">
        <v>45983</v>
      </c>
      <c r="B658" s="33">
        <f t="shared" si="281"/>
        <v>33</v>
      </c>
      <c r="C658" s="33">
        <f t="shared" si="282"/>
        <v>105</v>
      </c>
      <c r="D658" s="11">
        <f t="shared" si="283"/>
        <v>138</v>
      </c>
      <c r="E658" s="34">
        <f t="shared" si="305"/>
        <v>1.2418401398007e-5</v>
      </c>
      <c r="F658" s="35">
        <f t="shared" si="284"/>
        <v>0.00126807026238138</v>
      </c>
      <c r="G658" s="18">
        <f>(SUM($I$8:$I658)*(MAX(M$3-M$4,0))+(N658*MAX(M$4,0)))*(1-$AM$4)+(AM658*$AM$4)</f>
        <v>0.825513740810277</v>
      </c>
      <c r="H658" s="18">
        <f t="shared" si="299"/>
        <v>1.45833333333333</v>
      </c>
      <c r="I658" s="18">
        <f t="shared" si="285"/>
        <v>0.0498134995791245</v>
      </c>
      <c r="J658" s="18">
        <f t="shared" si="300"/>
        <v>0.867360059468863</v>
      </c>
      <c r="K658" s="18">
        <f t="shared" si="301"/>
        <v>0.00401939213730719</v>
      </c>
      <c r="L658" s="18">
        <f t="shared" si="302"/>
        <v>0.0341578282828283</v>
      </c>
      <c r="M658" s="18">
        <v>0</v>
      </c>
      <c r="N658" s="18">
        <f t="shared" si="306"/>
        <v>1</v>
      </c>
      <c r="O658" s="11">
        <v>0</v>
      </c>
      <c r="P658" s="11">
        <v>0</v>
      </c>
      <c r="Q658" s="11">
        <f t="shared" si="286"/>
        <v>1</v>
      </c>
      <c r="R658" s="11">
        <v>0</v>
      </c>
      <c r="S658" s="11">
        <f t="shared" si="303"/>
        <v>0</v>
      </c>
      <c r="T658" s="11">
        <v>0</v>
      </c>
      <c r="U658" s="11">
        <f t="shared" si="287"/>
        <v>1</v>
      </c>
      <c r="V658" s="11">
        <v>0</v>
      </c>
      <c r="W658" s="11">
        <f t="shared" si="288"/>
        <v>1</v>
      </c>
      <c r="X658" s="11">
        <f t="shared" si="304"/>
        <v>0</v>
      </c>
      <c r="Y658" s="19">
        <v>37.75</v>
      </c>
      <c r="Z658" s="11">
        <v>33</v>
      </c>
      <c r="AA658" s="11">
        <v>50</v>
      </c>
      <c r="AB658" s="11">
        <v>0</v>
      </c>
      <c r="AC658" s="11">
        <v>0</v>
      </c>
      <c r="AD658" s="11">
        <v>9</v>
      </c>
      <c r="AE658" s="11">
        <v>0</v>
      </c>
      <c r="AF658" s="11">
        <v>0</v>
      </c>
      <c r="AG658" s="11">
        <v>0</v>
      </c>
      <c r="AH658" s="11">
        <v>0</v>
      </c>
      <c r="AI658" s="45">
        <v>0</v>
      </c>
      <c r="AJ658" s="45">
        <v>0</v>
      </c>
      <c r="AK658" s="45">
        <f t="shared" si="289"/>
        <v>0.3611</v>
      </c>
      <c r="AL658" s="45">
        <f t="shared" si="290"/>
        <v>0.00348095238095238</v>
      </c>
      <c r="AM658" s="45">
        <f t="shared" si="291"/>
        <v>0.0012569719047619</v>
      </c>
      <c r="AN658" s="45">
        <f t="shared" si="292"/>
        <v>0.792187500000004</v>
      </c>
      <c r="AO658" s="45">
        <f t="shared" si="293"/>
        <v>0.792187500000004</v>
      </c>
      <c r="AP658" s="45">
        <f t="shared" si="294"/>
        <v>1.05625000000001</v>
      </c>
      <c r="AQ658" s="45">
        <f t="shared" si="295"/>
        <v>0</v>
      </c>
      <c r="AR658" s="45">
        <f t="shared" si="296"/>
        <v>0</v>
      </c>
      <c r="AS658" s="19">
        <f t="shared" si="297"/>
        <v>1.07916666666667</v>
      </c>
      <c r="AT658" s="19">
        <f t="shared" si="298"/>
        <v>1.03333333333334</v>
      </c>
      <c r="AU658" s="46">
        <v>0</v>
      </c>
      <c r="AV658" s="46">
        <v>0</v>
      </c>
      <c r="AW658" s="46">
        <v>0</v>
      </c>
      <c r="AX658" s="46">
        <v>1</v>
      </c>
      <c r="AY658" s="47">
        <v>0</v>
      </c>
      <c r="AZ658" s="47">
        <v>-1</v>
      </c>
    </row>
    <row r="659" hidden="1" customHeight="1" spans="1:52">
      <c r="A659" s="44">
        <v>45984</v>
      </c>
      <c r="B659" s="33">
        <f t="shared" si="281"/>
        <v>32</v>
      </c>
      <c r="C659" s="33">
        <f t="shared" si="282"/>
        <v>97</v>
      </c>
      <c r="D659" s="11">
        <f t="shared" si="283"/>
        <v>129</v>
      </c>
      <c r="E659" s="34">
        <f t="shared" si="305"/>
        <v>1.24595601700684e-5</v>
      </c>
      <c r="F659" s="35">
        <f t="shared" si="284"/>
        <v>0.00128052982255145</v>
      </c>
      <c r="G659" s="18">
        <f>(SUM($I$8:$I659)*(MAX(M$3-M$4,0))+(N659*MAX(M$4,0)))*(1-$AM$4)+(AM659*$AM$4)</f>
        <v>0.834905444303543</v>
      </c>
      <c r="H659" s="18">
        <f t="shared" si="299"/>
        <v>1.45833333333333</v>
      </c>
      <c r="I659" s="18">
        <f t="shared" si="285"/>
        <v>0.0500890852974186</v>
      </c>
      <c r="J659" s="18">
        <f t="shared" si="300"/>
        <v>0.87588239862519</v>
      </c>
      <c r="K659" s="18">
        <f t="shared" si="301"/>
        <v>0.00387867504296282</v>
      </c>
      <c r="L659" s="18">
        <f t="shared" si="302"/>
        <v>0.0343468013468014</v>
      </c>
      <c r="M659" s="18">
        <v>0</v>
      </c>
      <c r="N659" s="18">
        <f t="shared" si="306"/>
        <v>1</v>
      </c>
      <c r="O659" s="11">
        <v>0</v>
      </c>
      <c r="P659" s="11">
        <v>0</v>
      </c>
      <c r="Q659" s="11">
        <f t="shared" si="286"/>
        <v>1</v>
      </c>
      <c r="R659" s="11">
        <v>0</v>
      </c>
      <c r="S659" s="11">
        <f t="shared" si="303"/>
        <v>0</v>
      </c>
      <c r="T659" s="11">
        <v>0</v>
      </c>
      <c r="U659" s="11">
        <f t="shared" si="287"/>
        <v>1</v>
      </c>
      <c r="V659" s="11">
        <v>0</v>
      </c>
      <c r="W659" s="11">
        <f t="shared" si="288"/>
        <v>1</v>
      </c>
      <c r="X659" s="11">
        <f t="shared" si="304"/>
        <v>0</v>
      </c>
      <c r="Y659" s="19">
        <v>39.36</v>
      </c>
      <c r="Z659" s="11">
        <v>33</v>
      </c>
      <c r="AA659" s="11">
        <v>50</v>
      </c>
      <c r="AB659" s="11">
        <v>0</v>
      </c>
      <c r="AC659" s="11">
        <v>0</v>
      </c>
      <c r="AD659" s="11">
        <v>4</v>
      </c>
      <c r="AE659" s="11">
        <v>0</v>
      </c>
      <c r="AF659" s="11">
        <v>0</v>
      </c>
      <c r="AG659" s="11">
        <v>0</v>
      </c>
      <c r="AH659" s="11">
        <v>0</v>
      </c>
      <c r="AI659" s="45">
        <v>0</v>
      </c>
      <c r="AJ659" s="45">
        <v>0</v>
      </c>
      <c r="AK659" s="45">
        <f t="shared" si="289"/>
        <v>0.3611</v>
      </c>
      <c r="AL659" s="45">
        <f t="shared" si="290"/>
        <v>0.00348095238095238</v>
      </c>
      <c r="AM659" s="45">
        <f t="shared" si="291"/>
        <v>0.0012569719047619</v>
      </c>
      <c r="AN659" s="45">
        <f t="shared" si="292"/>
        <v>0.792187500000004</v>
      </c>
      <c r="AO659" s="45">
        <f t="shared" si="293"/>
        <v>0.792187500000004</v>
      </c>
      <c r="AP659" s="45">
        <f t="shared" si="294"/>
        <v>1.05625000000001</v>
      </c>
      <c r="AQ659" s="45">
        <f t="shared" si="295"/>
        <v>0</v>
      </c>
      <c r="AR659" s="45">
        <f t="shared" si="296"/>
        <v>0</v>
      </c>
      <c r="AS659" s="19">
        <f t="shared" si="297"/>
        <v>1.07916666666667</v>
      </c>
      <c r="AT659" s="19">
        <f t="shared" si="298"/>
        <v>1.03333333333334</v>
      </c>
      <c r="AU659" s="46">
        <v>0</v>
      </c>
      <c r="AV659" s="46">
        <v>0</v>
      </c>
      <c r="AW659" s="46">
        <v>0</v>
      </c>
      <c r="AX659" s="46">
        <v>1</v>
      </c>
      <c r="AY659" s="47">
        <v>0</v>
      </c>
      <c r="AZ659" s="47">
        <v>-1</v>
      </c>
    </row>
    <row r="660" hidden="1" customHeight="1" spans="1:52">
      <c r="A660" s="44">
        <v>45985</v>
      </c>
      <c r="B660" s="33">
        <f t="shared" si="281"/>
        <v>31</v>
      </c>
      <c r="C660" s="33">
        <f t="shared" si="282"/>
        <v>91</v>
      </c>
      <c r="D660" s="11">
        <f t="shared" si="283"/>
        <v>122</v>
      </c>
      <c r="E660" s="34">
        <f t="shared" si="305"/>
        <v>1.04262138383047e-5</v>
      </c>
      <c r="F660" s="35">
        <f t="shared" si="284"/>
        <v>0.00129095603638975</v>
      </c>
      <c r="G660" s="18">
        <f>(SUM($I$8:$I660)*(MAX(M$3-M$4,0))+(N660*MAX(M$4,0)))*(1-$AM$4)+(AM660*$AM$4)</f>
        <v>0.842994291762508</v>
      </c>
      <c r="H660" s="18">
        <f t="shared" si="299"/>
        <v>1.45833333333333</v>
      </c>
      <c r="I660" s="18">
        <f t="shared" si="285"/>
        <v>0.0431405197811447</v>
      </c>
      <c r="J660" s="18">
        <f t="shared" si="300"/>
        <v>0.88301392889059</v>
      </c>
      <c r="K660" s="18">
        <f t="shared" si="301"/>
        <v>0.00377374422933581</v>
      </c>
      <c r="L660" s="18">
        <f t="shared" si="302"/>
        <v>0.0295820707070707</v>
      </c>
      <c r="M660" s="18">
        <v>0</v>
      </c>
      <c r="N660" s="18">
        <f t="shared" si="306"/>
        <v>1</v>
      </c>
      <c r="O660" s="11">
        <v>0</v>
      </c>
      <c r="P660" s="11">
        <v>0</v>
      </c>
      <c r="Q660" s="11">
        <f t="shared" si="286"/>
        <v>1</v>
      </c>
      <c r="R660" s="11">
        <v>0</v>
      </c>
      <c r="S660" s="11">
        <f t="shared" si="303"/>
        <v>0</v>
      </c>
      <c r="T660" s="11">
        <v>0</v>
      </c>
      <c r="U660" s="11">
        <f t="shared" si="287"/>
        <v>1</v>
      </c>
      <c r="V660" s="11">
        <v>0</v>
      </c>
      <c r="W660" s="11">
        <f t="shared" si="288"/>
        <v>1</v>
      </c>
      <c r="X660" s="11">
        <f t="shared" si="304"/>
        <v>0</v>
      </c>
      <c r="Y660" s="19">
        <v>27.67</v>
      </c>
      <c r="Z660" s="11">
        <v>33</v>
      </c>
      <c r="AA660" s="11">
        <v>50</v>
      </c>
      <c r="AB660" s="11">
        <v>0</v>
      </c>
      <c r="AC660" s="11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45">
        <v>0</v>
      </c>
      <c r="AJ660" s="45">
        <v>0</v>
      </c>
      <c r="AK660" s="45">
        <f t="shared" si="289"/>
        <v>0.3611</v>
      </c>
      <c r="AL660" s="45">
        <f t="shared" si="290"/>
        <v>0.00348095238095238</v>
      </c>
      <c r="AM660" s="45">
        <f t="shared" si="291"/>
        <v>0.0012569719047619</v>
      </c>
      <c r="AN660" s="45">
        <f t="shared" si="292"/>
        <v>0.792187500000004</v>
      </c>
      <c r="AO660" s="45">
        <f t="shared" si="293"/>
        <v>0.792187500000004</v>
      </c>
      <c r="AP660" s="45">
        <f t="shared" si="294"/>
        <v>1.05625000000001</v>
      </c>
      <c r="AQ660" s="45">
        <f t="shared" si="295"/>
        <v>0</v>
      </c>
      <c r="AR660" s="45">
        <f t="shared" si="296"/>
        <v>0</v>
      </c>
      <c r="AS660" s="19">
        <f t="shared" si="297"/>
        <v>1.07916666666667</v>
      </c>
      <c r="AT660" s="19">
        <f t="shared" si="298"/>
        <v>1.03333333333334</v>
      </c>
      <c r="AU660" s="46">
        <v>0</v>
      </c>
      <c r="AV660" s="46">
        <v>0</v>
      </c>
      <c r="AW660" s="46">
        <v>0</v>
      </c>
      <c r="AX660" s="46">
        <v>1</v>
      </c>
      <c r="AY660" s="47">
        <v>0</v>
      </c>
      <c r="AZ660" s="47">
        <v>-1</v>
      </c>
    </row>
    <row r="661" hidden="1" customHeight="1" spans="1:52">
      <c r="A661" s="44">
        <v>45986</v>
      </c>
      <c r="B661" s="33">
        <f t="shared" si="281"/>
        <v>30</v>
      </c>
      <c r="C661" s="33">
        <f t="shared" si="282"/>
        <v>86</v>
      </c>
      <c r="D661" s="11">
        <f t="shared" si="283"/>
        <v>116</v>
      </c>
      <c r="E661" s="34">
        <f t="shared" si="305"/>
        <v>7.13452075066286e-6</v>
      </c>
      <c r="F661" s="35">
        <f t="shared" si="284"/>
        <v>0.00129809055714041</v>
      </c>
      <c r="G661" s="18">
        <f>(SUM($I$8:$I661)*(MAX(M$3-M$4,0))+(N661*MAX(M$4,0)))*(1-$AM$4)+(AM661*$AM$4)</f>
        <v>0.848951224369831</v>
      </c>
      <c r="H661" s="18">
        <f t="shared" si="299"/>
        <v>1.45833333333333</v>
      </c>
      <c r="I661" s="18">
        <f t="shared" si="285"/>
        <v>0.0317703072390572</v>
      </c>
      <c r="J661" s="18">
        <f t="shared" si="300"/>
        <v>0.887893941084043</v>
      </c>
      <c r="K661" s="18">
        <f t="shared" si="301"/>
        <v>0.00373686863053189</v>
      </c>
      <c r="L661" s="18">
        <f t="shared" si="302"/>
        <v>0.0217853535353536</v>
      </c>
      <c r="M661" s="18">
        <v>0</v>
      </c>
      <c r="N661" s="18">
        <f t="shared" si="306"/>
        <v>1</v>
      </c>
      <c r="O661" s="11">
        <v>0</v>
      </c>
      <c r="P661" s="11">
        <v>0</v>
      </c>
      <c r="Q661" s="11">
        <f t="shared" si="286"/>
        <v>1</v>
      </c>
      <c r="R661" s="11">
        <v>0</v>
      </c>
      <c r="S661" s="11">
        <f t="shared" si="303"/>
        <v>0</v>
      </c>
      <c r="T661" s="11">
        <v>0</v>
      </c>
      <c r="U661" s="11">
        <f t="shared" si="287"/>
        <v>1</v>
      </c>
      <c r="V661" s="11">
        <v>0</v>
      </c>
      <c r="W661" s="11">
        <f t="shared" si="288"/>
        <v>1</v>
      </c>
      <c r="X661" s="11">
        <f t="shared" si="304"/>
        <v>0</v>
      </c>
      <c r="Y661" s="19">
        <v>12.42</v>
      </c>
      <c r="Z661" s="11">
        <v>33</v>
      </c>
      <c r="AA661" s="11">
        <v>40</v>
      </c>
      <c r="AB661" s="11">
        <v>0</v>
      </c>
      <c r="AC661" s="11">
        <v>0</v>
      </c>
      <c r="AD661" s="11">
        <v>0</v>
      </c>
      <c r="AE661" s="11">
        <v>0</v>
      </c>
      <c r="AF661" s="11">
        <v>0</v>
      </c>
      <c r="AG661" s="11">
        <v>0</v>
      </c>
      <c r="AH661" s="11">
        <v>0</v>
      </c>
      <c r="AI661" s="45">
        <v>0</v>
      </c>
      <c r="AJ661" s="45">
        <v>0</v>
      </c>
      <c r="AK661" s="45">
        <f t="shared" si="289"/>
        <v>0.3611</v>
      </c>
      <c r="AL661" s="45">
        <f t="shared" si="290"/>
        <v>0.00348095238095238</v>
      </c>
      <c r="AM661" s="45">
        <f t="shared" si="291"/>
        <v>0.0012569719047619</v>
      </c>
      <c r="AN661" s="45">
        <f t="shared" si="292"/>
        <v>0.792187500000004</v>
      </c>
      <c r="AO661" s="45">
        <f t="shared" si="293"/>
        <v>0.792187500000004</v>
      </c>
      <c r="AP661" s="45">
        <f t="shared" si="294"/>
        <v>1.05625000000001</v>
      </c>
      <c r="AQ661" s="45">
        <f t="shared" si="295"/>
        <v>0</v>
      </c>
      <c r="AR661" s="45">
        <f t="shared" si="296"/>
        <v>0</v>
      </c>
      <c r="AS661" s="19">
        <f t="shared" si="297"/>
        <v>1.07916666666667</v>
      </c>
      <c r="AT661" s="19">
        <f t="shared" si="298"/>
        <v>1.03333333333334</v>
      </c>
      <c r="AU661" s="46">
        <v>0</v>
      </c>
      <c r="AV661" s="46">
        <v>0</v>
      </c>
      <c r="AW661" s="46">
        <v>0</v>
      </c>
      <c r="AX661" s="46">
        <v>1</v>
      </c>
      <c r="AY661" s="47">
        <v>0</v>
      </c>
      <c r="AZ661" s="47">
        <v>-1</v>
      </c>
    </row>
    <row r="662" hidden="1" customHeight="1" spans="1:52">
      <c r="A662" s="44">
        <v>45987</v>
      </c>
      <c r="B662" s="33">
        <f t="shared" si="281"/>
        <v>29</v>
      </c>
      <c r="C662" s="33">
        <f t="shared" si="282"/>
        <v>80</v>
      </c>
      <c r="D662" s="11">
        <f t="shared" si="283"/>
        <v>109</v>
      </c>
      <c r="E662" s="34">
        <f t="shared" si="305"/>
        <v>1.14012075020141e-5</v>
      </c>
      <c r="F662" s="35">
        <f t="shared" si="284"/>
        <v>0.00130949176464243</v>
      </c>
      <c r="G662" s="18">
        <f>(SUM($I$8:$I662)*(MAX(M$3-M$4,0))+(N662*MAX(M$4,0)))*(1-$AM$4)+(AM662*$AM$4)</f>
        <v>0.857717105840791</v>
      </c>
      <c r="H662" s="18">
        <f t="shared" si="299"/>
        <v>1.45833333333333</v>
      </c>
      <c r="I662" s="18">
        <f t="shared" si="285"/>
        <v>0.0467513678451178</v>
      </c>
      <c r="J662" s="18">
        <f t="shared" si="300"/>
        <v>0.895692367015421</v>
      </c>
      <c r="K662" s="18">
        <f t="shared" si="301"/>
        <v>0.00359681493050272</v>
      </c>
      <c r="L662" s="18">
        <f t="shared" si="302"/>
        <v>0.0320580808080809</v>
      </c>
      <c r="M662" s="18">
        <v>0</v>
      </c>
      <c r="N662" s="18">
        <f t="shared" si="306"/>
        <v>1</v>
      </c>
      <c r="O662" s="11">
        <v>0</v>
      </c>
      <c r="P662" s="11">
        <v>0</v>
      </c>
      <c r="Q662" s="11">
        <f t="shared" si="286"/>
        <v>1</v>
      </c>
      <c r="R662" s="11">
        <v>0</v>
      </c>
      <c r="S662" s="11">
        <f t="shared" si="303"/>
        <v>0</v>
      </c>
      <c r="T662" s="11">
        <v>0</v>
      </c>
      <c r="U662" s="11">
        <f t="shared" si="287"/>
        <v>1</v>
      </c>
      <c r="V662" s="11">
        <v>0</v>
      </c>
      <c r="W662" s="11">
        <f t="shared" si="288"/>
        <v>1</v>
      </c>
      <c r="X662" s="11">
        <f t="shared" si="304"/>
        <v>0</v>
      </c>
      <c r="Y662" s="19">
        <v>26.18</v>
      </c>
      <c r="Z662" s="11">
        <v>66</v>
      </c>
      <c r="AA662" s="11">
        <v>20.5</v>
      </c>
      <c r="AB662" s="11">
        <v>0</v>
      </c>
      <c r="AC662" s="11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45">
        <v>0</v>
      </c>
      <c r="AJ662" s="45">
        <v>0</v>
      </c>
      <c r="AK662" s="45">
        <f t="shared" si="289"/>
        <v>0.3611</v>
      </c>
      <c r="AL662" s="45">
        <f t="shared" si="290"/>
        <v>0.00348095238095238</v>
      </c>
      <c r="AM662" s="45">
        <f t="shared" si="291"/>
        <v>0.0012569719047619</v>
      </c>
      <c r="AN662" s="45">
        <f t="shared" si="292"/>
        <v>0.792187500000004</v>
      </c>
      <c r="AO662" s="45">
        <f t="shared" si="293"/>
        <v>0.792187500000004</v>
      </c>
      <c r="AP662" s="45">
        <f t="shared" si="294"/>
        <v>1.05625000000001</v>
      </c>
      <c r="AQ662" s="45">
        <f t="shared" si="295"/>
        <v>0</v>
      </c>
      <c r="AR662" s="45">
        <f t="shared" si="296"/>
        <v>0</v>
      </c>
      <c r="AS662" s="19">
        <f t="shared" si="297"/>
        <v>1.07916666666667</v>
      </c>
      <c r="AT662" s="19">
        <f t="shared" si="298"/>
        <v>1.03333333333334</v>
      </c>
      <c r="AU662" s="46">
        <v>0</v>
      </c>
      <c r="AV662" s="46">
        <v>0</v>
      </c>
      <c r="AW662" s="46">
        <v>0</v>
      </c>
      <c r="AX662" s="46">
        <v>1</v>
      </c>
      <c r="AY662" s="47">
        <v>0</v>
      </c>
      <c r="AZ662" s="47">
        <v>-1</v>
      </c>
    </row>
    <row r="663" hidden="1" customHeight="1" spans="1:52">
      <c r="A663" s="44">
        <v>45988</v>
      </c>
      <c r="B663" s="33">
        <f t="shared" si="281"/>
        <v>28</v>
      </c>
      <c r="C663" s="33">
        <f t="shared" si="282"/>
        <v>73</v>
      </c>
      <c r="D663" s="11">
        <f t="shared" si="283"/>
        <v>101</v>
      </c>
      <c r="E663" s="34">
        <f t="shared" si="305"/>
        <v>1.18364289520647e-5</v>
      </c>
      <c r="F663" s="35">
        <f t="shared" si="284"/>
        <v>0.00132132819359449</v>
      </c>
      <c r="G663" s="18">
        <f>(SUM($I$8:$I663)*(MAX(M$3-M$4,0))+(N663*MAX(M$4,0)))*(1-$AM$4)+(AM663*$AM$4)</f>
        <v>0.866791294997988</v>
      </c>
      <c r="H663" s="18">
        <f t="shared" si="299"/>
        <v>1.45833333333333</v>
      </c>
      <c r="I663" s="18">
        <f t="shared" si="285"/>
        <v>0.0483956755050505</v>
      </c>
      <c r="J663" s="18">
        <f t="shared" si="300"/>
        <v>0.903788484418633</v>
      </c>
      <c r="K663" s="18">
        <f t="shared" si="301"/>
        <v>0.00343612555647738</v>
      </c>
      <c r="L663" s="18">
        <f t="shared" si="302"/>
        <v>0.0331856060606061</v>
      </c>
      <c r="M663" s="18">
        <v>0</v>
      </c>
      <c r="N663" s="18">
        <f t="shared" si="306"/>
        <v>1</v>
      </c>
      <c r="O663" s="11">
        <v>0</v>
      </c>
      <c r="P663" s="11">
        <v>0</v>
      </c>
      <c r="Q663" s="11">
        <f t="shared" si="286"/>
        <v>1</v>
      </c>
      <c r="R663" s="11">
        <v>0</v>
      </c>
      <c r="S663" s="11">
        <f t="shared" si="303"/>
        <v>0</v>
      </c>
      <c r="T663" s="11">
        <v>0</v>
      </c>
      <c r="U663" s="11">
        <f t="shared" si="287"/>
        <v>1</v>
      </c>
      <c r="V663" s="11">
        <v>0</v>
      </c>
      <c r="W663" s="11">
        <f t="shared" si="288"/>
        <v>1</v>
      </c>
      <c r="X663" s="11">
        <f t="shared" si="304"/>
        <v>0</v>
      </c>
      <c r="Y663" s="19">
        <v>29.93</v>
      </c>
      <c r="Z663" s="11">
        <v>69</v>
      </c>
      <c r="AA663" s="11">
        <v>0</v>
      </c>
      <c r="AB663" s="11">
        <v>20</v>
      </c>
      <c r="AC663" s="11">
        <v>0</v>
      </c>
      <c r="AD663" s="11">
        <v>0</v>
      </c>
      <c r="AE663" s="11">
        <v>0</v>
      </c>
      <c r="AF663" s="11">
        <v>0</v>
      </c>
      <c r="AG663" s="11">
        <v>0</v>
      </c>
      <c r="AH663" s="11">
        <v>0</v>
      </c>
      <c r="AI663" s="45">
        <v>0</v>
      </c>
      <c r="AJ663" s="45">
        <v>0</v>
      </c>
      <c r="AK663" s="45">
        <f t="shared" si="289"/>
        <v>0.3611</v>
      </c>
      <c r="AL663" s="45">
        <f t="shared" si="290"/>
        <v>0.00348095238095238</v>
      </c>
      <c r="AM663" s="45">
        <f t="shared" si="291"/>
        <v>0.0012569719047619</v>
      </c>
      <c r="AN663" s="45">
        <f t="shared" si="292"/>
        <v>0.792187500000004</v>
      </c>
      <c r="AO663" s="45">
        <f t="shared" si="293"/>
        <v>0.792187500000004</v>
      </c>
      <c r="AP663" s="45">
        <f t="shared" si="294"/>
        <v>1.05625000000001</v>
      </c>
      <c r="AQ663" s="45">
        <f t="shared" si="295"/>
        <v>0</v>
      </c>
      <c r="AR663" s="45">
        <f t="shared" si="296"/>
        <v>0</v>
      </c>
      <c r="AS663" s="19">
        <f t="shared" si="297"/>
        <v>1.07916666666667</v>
      </c>
      <c r="AT663" s="19">
        <f t="shared" si="298"/>
        <v>1.03333333333334</v>
      </c>
      <c r="AU663" s="46">
        <v>0</v>
      </c>
      <c r="AV663" s="46">
        <v>0</v>
      </c>
      <c r="AW663" s="46">
        <v>0</v>
      </c>
      <c r="AX663" s="46">
        <v>1</v>
      </c>
      <c r="AY663" s="47">
        <v>0</v>
      </c>
      <c r="AZ663" s="47">
        <v>-1</v>
      </c>
    </row>
    <row r="664" hidden="1" customHeight="1" spans="1:52">
      <c r="A664" s="44">
        <v>45989</v>
      </c>
      <c r="B664" s="33">
        <f t="shared" si="281"/>
        <v>27</v>
      </c>
      <c r="C664" s="33">
        <f t="shared" si="282"/>
        <v>66</v>
      </c>
      <c r="D664" s="11">
        <f t="shared" si="283"/>
        <v>93</v>
      </c>
      <c r="E664" s="34">
        <f t="shared" si="305"/>
        <v>1.20983521394947e-5</v>
      </c>
      <c r="F664" s="35">
        <f t="shared" si="284"/>
        <v>0.00133342654573399</v>
      </c>
      <c r="G664" s="18">
        <f>(SUM($I$8:$I664)*(MAX(M$3-M$4,0))+(N664*MAX(M$4,0)))*(1-$AM$4)+(AM664*$AM$4)</f>
        <v>0.87606124054723</v>
      </c>
      <c r="H664" s="18">
        <f t="shared" si="299"/>
        <v>1.45833333333333</v>
      </c>
      <c r="I664" s="18">
        <f t="shared" si="285"/>
        <v>0.0494397095959596</v>
      </c>
      <c r="J664" s="18">
        <f t="shared" si="300"/>
        <v>0.912063757282048</v>
      </c>
      <c r="K664" s="18">
        <f t="shared" si="301"/>
        <v>0.00325689787844267</v>
      </c>
      <c r="L664" s="18">
        <f t="shared" si="302"/>
        <v>0.0339015151515152</v>
      </c>
      <c r="M664" s="18">
        <v>0</v>
      </c>
      <c r="N664" s="18">
        <f t="shared" si="306"/>
        <v>1</v>
      </c>
      <c r="O664" s="11">
        <v>0</v>
      </c>
      <c r="P664" s="11">
        <v>0</v>
      </c>
      <c r="Q664" s="11">
        <f t="shared" si="286"/>
        <v>1</v>
      </c>
      <c r="R664" s="11">
        <v>0</v>
      </c>
      <c r="S664" s="11">
        <f t="shared" si="303"/>
        <v>0</v>
      </c>
      <c r="T664" s="11">
        <v>0</v>
      </c>
      <c r="U664" s="11">
        <f t="shared" si="287"/>
        <v>1</v>
      </c>
      <c r="V664" s="11">
        <v>0</v>
      </c>
      <c r="W664" s="11">
        <f t="shared" si="288"/>
        <v>1</v>
      </c>
      <c r="X664" s="11">
        <f t="shared" si="304"/>
        <v>0</v>
      </c>
      <c r="Y664" s="19">
        <v>52.7</v>
      </c>
      <c r="Z664" s="11">
        <v>40</v>
      </c>
      <c r="AA664" s="11">
        <v>0</v>
      </c>
      <c r="AB664" s="11">
        <v>20</v>
      </c>
      <c r="AC664" s="11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45">
        <v>0</v>
      </c>
      <c r="AJ664" s="45">
        <v>0</v>
      </c>
      <c r="AK664" s="45">
        <f t="shared" si="289"/>
        <v>0.3611</v>
      </c>
      <c r="AL664" s="45">
        <f t="shared" si="290"/>
        <v>0.00348095238095238</v>
      </c>
      <c r="AM664" s="45">
        <f t="shared" si="291"/>
        <v>0.0012569719047619</v>
      </c>
      <c r="AN664" s="45">
        <f t="shared" si="292"/>
        <v>0.792187500000004</v>
      </c>
      <c r="AO664" s="45">
        <f t="shared" si="293"/>
        <v>0.792187500000004</v>
      </c>
      <c r="AP664" s="45">
        <f t="shared" si="294"/>
        <v>1.05625000000001</v>
      </c>
      <c r="AQ664" s="45">
        <f t="shared" si="295"/>
        <v>0</v>
      </c>
      <c r="AR664" s="45">
        <f t="shared" si="296"/>
        <v>0</v>
      </c>
      <c r="AS664" s="19">
        <f t="shared" si="297"/>
        <v>1.07916666666667</v>
      </c>
      <c r="AT664" s="19">
        <f t="shared" si="298"/>
        <v>1.03333333333334</v>
      </c>
      <c r="AU664" s="46">
        <v>0</v>
      </c>
      <c r="AV664" s="46">
        <v>0</v>
      </c>
      <c r="AW664" s="46">
        <v>0</v>
      </c>
      <c r="AX664" s="46">
        <v>1</v>
      </c>
      <c r="AY664" s="47">
        <v>0</v>
      </c>
      <c r="AZ664" s="47">
        <v>-1</v>
      </c>
    </row>
    <row r="665" hidden="1" customHeight="1" spans="1:52">
      <c r="A665" s="44">
        <v>45990</v>
      </c>
      <c r="B665" s="33">
        <f t="shared" si="281"/>
        <v>26</v>
      </c>
      <c r="C665" s="33">
        <f t="shared" si="282"/>
        <v>60</v>
      </c>
      <c r="D665" s="11">
        <f t="shared" si="283"/>
        <v>86</v>
      </c>
      <c r="E665" s="34">
        <f t="shared" si="305"/>
        <v>1.09203672137e-5</v>
      </c>
      <c r="F665" s="35">
        <f t="shared" si="284"/>
        <v>0.00134434691294769</v>
      </c>
      <c r="G665" s="18">
        <f>(SUM($I$8:$I665)*(MAX(M$3-M$4,0))+(N665*MAX(M$4,0)))*(1-$AM$4)+(AM665*$AM$4)</f>
        <v>0.884580268719579</v>
      </c>
      <c r="H665" s="18">
        <f t="shared" si="299"/>
        <v>1.45833333333333</v>
      </c>
      <c r="I665" s="18">
        <f t="shared" si="285"/>
        <v>0.0454348169191919</v>
      </c>
      <c r="J665" s="18">
        <f t="shared" si="300"/>
        <v>0.919533288456219</v>
      </c>
      <c r="K665" s="18">
        <f t="shared" si="301"/>
        <v>0.00309487352091467</v>
      </c>
      <c r="L665" s="18">
        <f t="shared" si="302"/>
        <v>0.0311553030303031</v>
      </c>
      <c r="M665" s="18">
        <v>0</v>
      </c>
      <c r="N665" s="18">
        <f t="shared" si="306"/>
        <v>1</v>
      </c>
      <c r="O665" s="11">
        <v>0</v>
      </c>
      <c r="P665" s="11">
        <v>0</v>
      </c>
      <c r="Q665" s="11">
        <f t="shared" si="286"/>
        <v>1</v>
      </c>
      <c r="R665" s="11">
        <v>0</v>
      </c>
      <c r="S665" s="11">
        <f t="shared" si="303"/>
        <v>0</v>
      </c>
      <c r="T665" s="11">
        <v>0</v>
      </c>
      <c r="U665" s="11">
        <f t="shared" si="287"/>
        <v>1</v>
      </c>
      <c r="V665" s="11">
        <v>0</v>
      </c>
      <c r="W665" s="11">
        <f t="shared" si="288"/>
        <v>1</v>
      </c>
      <c r="X665" s="11">
        <f t="shared" si="304"/>
        <v>0</v>
      </c>
      <c r="Y665" s="19">
        <v>26.73</v>
      </c>
      <c r="Z665" s="11">
        <v>66</v>
      </c>
      <c r="AA665" s="11">
        <v>0</v>
      </c>
      <c r="AB665" s="11">
        <v>20</v>
      </c>
      <c r="AC665" s="11">
        <v>0</v>
      </c>
      <c r="AD665" s="11">
        <v>0</v>
      </c>
      <c r="AE665" s="11">
        <v>0</v>
      </c>
      <c r="AF665" s="11">
        <v>0</v>
      </c>
      <c r="AG665" s="11">
        <v>0</v>
      </c>
      <c r="AH665" s="11">
        <v>0</v>
      </c>
      <c r="AI665" s="45">
        <v>0</v>
      </c>
      <c r="AJ665" s="45">
        <v>0</v>
      </c>
      <c r="AK665" s="45">
        <f t="shared" si="289"/>
        <v>0.3611</v>
      </c>
      <c r="AL665" s="45">
        <f t="shared" si="290"/>
        <v>0.00348095238095238</v>
      </c>
      <c r="AM665" s="45">
        <f t="shared" si="291"/>
        <v>0.0012569719047619</v>
      </c>
      <c r="AN665" s="45">
        <f t="shared" si="292"/>
        <v>0.792187500000004</v>
      </c>
      <c r="AO665" s="45">
        <f t="shared" si="293"/>
        <v>0.792187500000004</v>
      </c>
      <c r="AP665" s="45">
        <f t="shared" si="294"/>
        <v>1.05625000000001</v>
      </c>
      <c r="AQ665" s="45">
        <f t="shared" si="295"/>
        <v>0</v>
      </c>
      <c r="AR665" s="45">
        <f t="shared" si="296"/>
        <v>0</v>
      </c>
      <c r="AS665" s="19">
        <f t="shared" si="297"/>
        <v>1.07916666666667</v>
      </c>
      <c r="AT665" s="19">
        <f t="shared" si="298"/>
        <v>1.03333333333334</v>
      </c>
      <c r="AU665" s="46">
        <v>0</v>
      </c>
      <c r="AV665" s="46">
        <v>0</v>
      </c>
      <c r="AW665" s="46">
        <v>0</v>
      </c>
      <c r="AX665" s="46">
        <v>1</v>
      </c>
      <c r="AY665" s="47">
        <v>0</v>
      </c>
      <c r="AZ665" s="47">
        <v>-1</v>
      </c>
    </row>
    <row r="666" hidden="1" customHeight="1" spans="1:52">
      <c r="A666" s="44">
        <v>45991</v>
      </c>
      <c r="B666" s="33">
        <f t="shared" ref="B666:B690" si="307">B$2-A666+1</f>
        <v>25</v>
      </c>
      <c r="C666" s="33">
        <f t="shared" ref="C666:C690" si="308">D666-B666</f>
        <v>56</v>
      </c>
      <c r="D666" s="11">
        <f t="shared" ref="D666:D690" si="309">IF(F666&gt;0,ROUND(((1-G666)/F666),0),FACT(128))</f>
        <v>81</v>
      </c>
      <c r="E666" s="34">
        <f t="shared" si="305"/>
        <v>6.58549118833494e-6</v>
      </c>
      <c r="F666" s="35">
        <f t="shared" ref="F666:F690" si="310">G666/(ROW()-7)</f>
        <v>0.00135093240413602</v>
      </c>
      <c r="G666" s="18">
        <f>(SUM($I$8:$I666)*(MAX(M$3-M$4,0))+(N666*MAX(M$4,0)))*(1-$AM$4)+(AM666*$AM$4)</f>
        <v>0.890264454325639</v>
      </c>
      <c r="H666" s="18">
        <f t="shared" si="299"/>
        <v>1.45833333333333</v>
      </c>
      <c r="I666" s="18">
        <f t="shared" ref="I666:I690" si="311">L666*H666</f>
        <v>0.0303156565656566</v>
      </c>
      <c r="J666" s="18">
        <f t="shared" si="300"/>
        <v>0.92403776442904</v>
      </c>
      <c r="K666" s="18">
        <f t="shared" si="301"/>
        <v>0.00303848942283842</v>
      </c>
      <c r="L666" s="18">
        <f t="shared" si="302"/>
        <v>0.0207878787878788</v>
      </c>
      <c r="M666" s="18">
        <v>0</v>
      </c>
      <c r="N666" s="18">
        <f t="shared" si="306"/>
        <v>1</v>
      </c>
      <c r="O666" s="11">
        <v>0</v>
      </c>
      <c r="P666" s="11">
        <v>0</v>
      </c>
      <c r="Q666" s="11">
        <f t="shared" ref="Q666:Q690" si="312">($P$2-$P$4)+((P666/(MAX(1/FACT(128),O666)))*$P$4)</f>
        <v>1</v>
      </c>
      <c r="R666" s="11">
        <v>0</v>
      </c>
      <c r="S666" s="11">
        <f t="shared" si="303"/>
        <v>0</v>
      </c>
      <c r="T666" s="11">
        <v>0</v>
      </c>
      <c r="U666" s="11">
        <f t="shared" ref="U666:U690" si="313">MAX(1,T666)/(MAX(1,O666))</f>
        <v>1</v>
      </c>
      <c r="V666" s="11">
        <v>0</v>
      </c>
      <c r="W666" s="11">
        <f t="shared" ref="W666:W690" si="314">($V$4*V666/(MAX(1,O666)))+1</f>
        <v>1</v>
      </c>
      <c r="X666" s="11">
        <f t="shared" si="304"/>
        <v>0</v>
      </c>
      <c r="Y666" s="19">
        <v>7.92</v>
      </c>
      <c r="Z666" s="11">
        <v>33</v>
      </c>
      <c r="AA666" s="11">
        <v>0</v>
      </c>
      <c r="AB666" s="11">
        <v>58</v>
      </c>
      <c r="AC666" s="11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45">
        <v>0</v>
      </c>
      <c r="AJ666" s="45">
        <v>0</v>
      </c>
      <c r="AK666" s="45">
        <f t="shared" ref="AK666:AK690" si="315">IF(AI666&gt;0,AI666,AK665)</f>
        <v>0.3611</v>
      </c>
      <c r="AL666" s="45">
        <f t="shared" ref="AL666:AL690" si="316">IF(AJ666&gt;0,AJ666,AL665)</f>
        <v>0.00348095238095238</v>
      </c>
      <c r="AM666" s="45">
        <f t="shared" ref="AM666:AM690" si="317">AL666*AK666</f>
        <v>0.0012569719047619</v>
      </c>
      <c r="AN666" s="45">
        <f t="shared" ref="AN666:AN690" si="318">IFERROR(AVERAGEIF(AO659:AO665,"&gt;0",AO659:AO665),0)</f>
        <v>0.792187500000004</v>
      </c>
      <c r="AO666" s="45">
        <f t="shared" ref="AO666:AO690" si="319">AP666*0.75+AQ666*0.125+AR666*0.125</f>
        <v>0.792187500000004</v>
      </c>
      <c r="AP666" s="45">
        <f t="shared" ref="AP666:AP690" si="320">AVERAGE(AS666:AT666)</f>
        <v>1.05625000000001</v>
      </c>
      <c r="AQ666" s="45">
        <f t="shared" ref="AQ666:AQ690" si="321">AY666/AQ$5</f>
        <v>0</v>
      </c>
      <c r="AR666" s="45">
        <f t="shared" ref="AR666:AR690" si="322">IF(AZ666&gt;=0,1/(AZ666+1),0)</f>
        <v>0</v>
      </c>
      <c r="AS666" s="19">
        <f t="shared" ref="AS666:AS690" si="323">IF((("24:00"-AX666+AU666)/$AS$5)&gt;0,(("24:00"-AX666+AU666)/$AS$5),AS665)</f>
        <v>1.07916666666667</v>
      </c>
      <c r="AT666" s="19">
        <f t="shared" ref="AT666:AT690" si="324">IF(((AW666-AV666)/$AT$5)&gt;0,((AW666-AV666)/$AT$5),AT665)</f>
        <v>1.03333333333334</v>
      </c>
      <c r="AU666" s="46">
        <v>0</v>
      </c>
      <c r="AV666" s="46">
        <v>0</v>
      </c>
      <c r="AW666" s="46">
        <v>0</v>
      </c>
      <c r="AX666" s="46">
        <v>1</v>
      </c>
      <c r="AY666" s="47">
        <v>0</v>
      </c>
      <c r="AZ666" s="47">
        <v>-1</v>
      </c>
    </row>
    <row r="667" customHeight="1" spans="1:52">
      <c r="A667" s="44">
        <v>45992</v>
      </c>
      <c r="B667" s="33">
        <f t="shared" si="307"/>
        <v>24</v>
      </c>
      <c r="C667" s="33">
        <f t="shared" si="308"/>
        <v>52</v>
      </c>
      <c r="D667" s="11">
        <f t="shared" si="309"/>
        <v>76</v>
      </c>
      <c r="E667" s="34">
        <f t="shared" si="305"/>
        <v>8.59022093266837e-6</v>
      </c>
      <c r="F667" s="35">
        <f t="shared" si="310"/>
        <v>0.00135952262506869</v>
      </c>
      <c r="G667" s="18">
        <f>(SUM($I$8:$I667)*(MAX(M$3-M$4,0))+(N667*MAX(M$4,0)))*(1-$AM$4)+(AM667*$AM$4)</f>
        <v>0.897284932545336</v>
      </c>
      <c r="H667" s="18">
        <f t="shared" si="299"/>
        <v>1.5</v>
      </c>
      <c r="I667" s="18">
        <f t="shared" si="311"/>
        <v>0.0374425505050506</v>
      </c>
      <c r="J667" s="18">
        <f t="shared" si="300"/>
        <v>0.929913475546985</v>
      </c>
      <c r="K667" s="18">
        <f t="shared" si="301"/>
        <v>0.00292027185220897</v>
      </c>
      <c r="L667" s="18">
        <f t="shared" si="302"/>
        <v>0.0249617003367004</v>
      </c>
      <c r="M667" s="18">
        <v>0</v>
      </c>
      <c r="N667" s="18">
        <f t="shared" si="306"/>
        <v>1</v>
      </c>
      <c r="O667" s="11">
        <v>23</v>
      </c>
      <c r="P667" s="11">
        <v>23</v>
      </c>
      <c r="Q667" s="11">
        <f t="shared" si="312"/>
        <v>1.5</v>
      </c>
      <c r="R667" s="11">
        <v>10800</v>
      </c>
      <c r="S667" s="11">
        <f t="shared" si="303"/>
        <v>0.255555555555556</v>
      </c>
      <c r="T667" s="11">
        <v>19</v>
      </c>
      <c r="U667" s="11">
        <f t="shared" si="313"/>
        <v>0.826086956521739</v>
      </c>
      <c r="V667" s="11">
        <v>0</v>
      </c>
      <c r="W667" s="11">
        <f t="shared" si="314"/>
        <v>1</v>
      </c>
      <c r="X667" s="11">
        <f t="shared" si="304"/>
        <v>7.28333333333333</v>
      </c>
      <c r="Y667" s="19">
        <v>22.15</v>
      </c>
      <c r="Z667" s="11">
        <v>0</v>
      </c>
      <c r="AA667" s="11">
        <v>62</v>
      </c>
      <c r="AB667" s="11">
        <v>0</v>
      </c>
      <c r="AC667" s="11">
        <v>0</v>
      </c>
      <c r="AD667" s="11">
        <v>0</v>
      </c>
      <c r="AE667" s="11">
        <v>0</v>
      </c>
      <c r="AF667" s="11">
        <v>0</v>
      </c>
      <c r="AG667" s="11">
        <v>0</v>
      </c>
      <c r="AH667" s="11">
        <v>0</v>
      </c>
      <c r="AI667" s="45">
        <v>0</v>
      </c>
      <c r="AJ667" s="45">
        <v>0</v>
      </c>
      <c r="AK667" s="45">
        <f t="shared" si="315"/>
        <v>0.3611</v>
      </c>
      <c r="AL667" s="45">
        <f t="shared" si="316"/>
        <v>0.00348095238095238</v>
      </c>
      <c r="AM667" s="45">
        <f t="shared" si="317"/>
        <v>0.0012569719047619</v>
      </c>
      <c r="AN667" s="45">
        <f t="shared" si="318"/>
        <v>0.792187500000004</v>
      </c>
      <c r="AO667" s="45">
        <f t="shared" si="319"/>
        <v>0.792187500000004</v>
      </c>
      <c r="AP667" s="45">
        <f t="shared" si="320"/>
        <v>1.05625000000001</v>
      </c>
      <c r="AQ667" s="45">
        <f t="shared" si="321"/>
        <v>0</v>
      </c>
      <c r="AR667" s="45">
        <f t="shared" si="322"/>
        <v>0</v>
      </c>
      <c r="AS667" s="19">
        <f t="shared" si="323"/>
        <v>1.07916666666667</v>
      </c>
      <c r="AT667" s="19">
        <f t="shared" si="324"/>
        <v>1.03333333333334</v>
      </c>
      <c r="AU667" s="46">
        <v>0</v>
      </c>
      <c r="AV667" s="46">
        <v>0</v>
      </c>
      <c r="AW667" s="46">
        <v>0</v>
      </c>
      <c r="AX667" s="46">
        <v>1</v>
      </c>
      <c r="AY667" s="47">
        <v>0</v>
      </c>
      <c r="AZ667" s="47">
        <v>-1</v>
      </c>
    </row>
    <row r="668" customHeight="1" spans="1:52">
      <c r="A668" s="44">
        <v>45993</v>
      </c>
      <c r="B668" s="33">
        <f t="shared" si="307"/>
        <v>23</v>
      </c>
      <c r="C668" s="33">
        <f t="shared" si="308"/>
        <v>38</v>
      </c>
      <c r="D668" s="11">
        <f t="shared" si="309"/>
        <v>61</v>
      </c>
      <c r="E668" s="34">
        <f t="shared" si="305"/>
        <v>2.63791505854972e-5</v>
      </c>
      <c r="F668" s="35">
        <f t="shared" si="310"/>
        <v>0.00138590177565419</v>
      </c>
      <c r="G668" s="18">
        <f>(SUM($I$8:$I668)*(MAX(M$3-M$4,0))+(N668*MAX(M$4,0)))*(1-$AM$4)+(AM668*$AM$4)</f>
        <v>0.916081073707419</v>
      </c>
      <c r="H668" s="18">
        <f t="shared" si="299"/>
        <v>1.5</v>
      </c>
      <c r="I668" s="18">
        <f t="shared" si="311"/>
        <v>0.100246086197774</v>
      </c>
      <c r="J668" s="18">
        <f t="shared" si="300"/>
        <v>0.947956814547465</v>
      </c>
      <c r="K668" s="18">
        <f t="shared" si="301"/>
        <v>0.00226274719358848</v>
      </c>
      <c r="L668" s="18">
        <f t="shared" si="302"/>
        <v>0.0668307241318492</v>
      </c>
      <c r="M668" s="18">
        <v>0</v>
      </c>
      <c r="N668" s="18">
        <f t="shared" si="306"/>
        <v>1</v>
      </c>
      <c r="O668" s="11">
        <v>24</v>
      </c>
      <c r="P668" s="11">
        <v>24</v>
      </c>
      <c r="Q668" s="11">
        <f t="shared" si="312"/>
        <v>1.5</v>
      </c>
      <c r="R668" s="11">
        <v>7445</v>
      </c>
      <c r="S668" s="11">
        <f t="shared" si="303"/>
        <v>0.38683680322364</v>
      </c>
      <c r="T668" s="11">
        <v>19</v>
      </c>
      <c r="U668" s="11">
        <f t="shared" si="313"/>
        <v>0.791666666666667</v>
      </c>
      <c r="V668" s="11">
        <v>0</v>
      </c>
      <c r="W668" s="11">
        <f t="shared" si="314"/>
        <v>1</v>
      </c>
      <c r="X668" s="11">
        <f t="shared" si="304"/>
        <v>11.0248488918737</v>
      </c>
      <c r="Y668" s="19">
        <v>132.13</v>
      </c>
      <c r="Z668" s="11">
        <v>5</v>
      </c>
      <c r="AA668" s="11">
        <v>46</v>
      </c>
      <c r="AB668" s="11">
        <v>0</v>
      </c>
      <c r="AC668" s="11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45">
        <v>0</v>
      </c>
      <c r="AJ668" s="45">
        <v>0</v>
      </c>
      <c r="AK668" s="45">
        <f t="shared" si="315"/>
        <v>0.3611</v>
      </c>
      <c r="AL668" s="45">
        <f t="shared" si="316"/>
        <v>0.00348095238095238</v>
      </c>
      <c r="AM668" s="45">
        <f t="shared" si="317"/>
        <v>0.0012569719047619</v>
      </c>
      <c r="AN668" s="45">
        <f t="shared" si="318"/>
        <v>0.792187500000004</v>
      </c>
      <c r="AO668" s="45">
        <f t="shared" si="319"/>
        <v>0.792187500000004</v>
      </c>
      <c r="AP668" s="45">
        <f t="shared" si="320"/>
        <v>1.05625000000001</v>
      </c>
      <c r="AQ668" s="45">
        <f t="shared" si="321"/>
        <v>0</v>
      </c>
      <c r="AR668" s="45">
        <f t="shared" si="322"/>
        <v>0</v>
      </c>
      <c r="AS668" s="19">
        <f t="shared" si="323"/>
        <v>1.07916666666667</v>
      </c>
      <c r="AT668" s="19">
        <f t="shared" si="324"/>
        <v>1.03333333333334</v>
      </c>
      <c r="AU668" s="46">
        <v>0</v>
      </c>
      <c r="AV668" s="46">
        <v>0</v>
      </c>
      <c r="AW668" s="46">
        <v>0</v>
      </c>
      <c r="AX668" s="46">
        <v>1</v>
      </c>
      <c r="AY668" s="47">
        <v>0</v>
      </c>
      <c r="AZ668" s="47">
        <v>-1</v>
      </c>
    </row>
    <row r="669" customHeight="1" spans="1:52">
      <c r="A669" s="44">
        <v>45994</v>
      </c>
      <c r="B669" s="33">
        <f t="shared" si="307"/>
        <v>22</v>
      </c>
      <c r="C669" s="33">
        <f t="shared" si="308"/>
        <v>30</v>
      </c>
      <c r="D669" s="11">
        <f t="shared" si="309"/>
        <v>52</v>
      </c>
      <c r="E669" s="34">
        <f t="shared" si="305"/>
        <v>1.44826973138192e-5</v>
      </c>
      <c r="F669" s="35">
        <f t="shared" si="310"/>
        <v>0.00140038447296801</v>
      </c>
      <c r="G669" s="18">
        <f>(SUM($I$8:$I669)*(MAX(M$3-M$4,0))+(N669*MAX(M$4,0)))*(1-$AM$4)+(AM669*$AM$4)</f>
        <v>0.927054521104821</v>
      </c>
      <c r="H669" s="18">
        <f t="shared" si="299"/>
        <v>1.5</v>
      </c>
      <c r="I669" s="18">
        <f t="shared" si="311"/>
        <v>0.0585250527861457</v>
      </c>
      <c r="J669" s="18">
        <f t="shared" si="300"/>
        <v>0.957862979510117</v>
      </c>
      <c r="K669" s="18">
        <f t="shared" si="301"/>
        <v>0.00191531911317649</v>
      </c>
      <c r="L669" s="18">
        <f t="shared" si="302"/>
        <v>0.0390167018574305</v>
      </c>
      <c r="M669" s="18">
        <v>0</v>
      </c>
      <c r="N669" s="18">
        <f t="shared" si="306"/>
        <v>1</v>
      </c>
      <c r="O669" s="11">
        <v>26</v>
      </c>
      <c r="P669" s="11">
        <v>26</v>
      </c>
      <c r="Q669" s="11">
        <f t="shared" si="312"/>
        <v>1.5</v>
      </c>
      <c r="R669" s="11">
        <v>6609</v>
      </c>
      <c r="S669" s="11">
        <f t="shared" si="303"/>
        <v>0.47208352246936</v>
      </c>
      <c r="T669" s="11">
        <v>23</v>
      </c>
      <c r="U669" s="11">
        <f t="shared" si="313"/>
        <v>0.884615384615385</v>
      </c>
      <c r="V669" s="11">
        <v>0</v>
      </c>
      <c r="W669" s="11">
        <f t="shared" si="314"/>
        <v>1</v>
      </c>
      <c r="X669" s="11">
        <f t="shared" si="304"/>
        <v>16.2868815251929</v>
      </c>
      <c r="Y669" s="19">
        <v>34.85</v>
      </c>
      <c r="Z669" s="11">
        <v>0</v>
      </c>
      <c r="AA669" s="11">
        <v>83</v>
      </c>
      <c r="AB669" s="11">
        <v>0</v>
      </c>
      <c r="AC669" s="11">
        <v>0</v>
      </c>
      <c r="AD669" s="11">
        <v>0</v>
      </c>
      <c r="AE669" s="11">
        <v>0</v>
      </c>
      <c r="AF669" s="11">
        <v>0</v>
      </c>
      <c r="AG669" s="11">
        <v>0</v>
      </c>
      <c r="AH669" s="11">
        <v>0</v>
      </c>
      <c r="AI669" s="45">
        <v>0</v>
      </c>
      <c r="AJ669" s="45">
        <v>0</v>
      </c>
      <c r="AK669" s="45">
        <f t="shared" si="315"/>
        <v>0.3611</v>
      </c>
      <c r="AL669" s="45">
        <f t="shared" si="316"/>
        <v>0.00348095238095238</v>
      </c>
      <c r="AM669" s="45">
        <f t="shared" si="317"/>
        <v>0.0012569719047619</v>
      </c>
      <c r="AN669" s="45">
        <f t="shared" si="318"/>
        <v>0.792187500000004</v>
      </c>
      <c r="AO669" s="45">
        <f t="shared" si="319"/>
        <v>0.792187500000004</v>
      </c>
      <c r="AP669" s="45">
        <f t="shared" si="320"/>
        <v>1.05625000000001</v>
      </c>
      <c r="AQ669" s="45">
        <f t="shared" si="321"/>
        <v>0</v>
      </c>
      <c r="AR669" s="45">
        <f t="shared" si="322"/>
        <v>0</v>
      </c>
      <c r="AS669" s="19">
        <f t="shared" si="323"/>
        <v>1.07916666666667</v>
      </c>
      <c r="AT669" s="19">
        <f t="shared" si="324"/>
        <v>1.03333333333334</v>
      </c>
      <c r="AU669" s="46">
        <v>0</v>
      </c>
      <c r="AV669" s="46">
        <v>0</v>
      </c>
      <c r="AW669" s="46">
        <v>0</v>
      </c>
      <c r="AX669" s="46">
        <v>1</v>
      </c>
      <c r="AY669" s="47">
        <v>0</v>
      </c>
      <c r="AZ669" s="47">
        <v>-1</v>
      </c>
    </row>
    <row r="670" customHeight="1" spans="1:52">
      <c r="A670" s="44">
        <v>45995</v>
      </c>
      <c r="B670" s="33">
        <f t="shared" si="307"/>
        <v>21</v>
      </c>
      <c r="C670" s="33">
        <f t="shared" si="308"/>
        <v>25</v>
      </c>
      <c r="D670" s="11">
        <f t="shared" si="309"/>
        <v>46</v>
      </c>
      <c r="E670" s="34">
        <f t="shared" si="305"/>
        <v>9.2120037359564e-6</v>
      </c>
      <c r="F670" s="35">
        <f t="shared" si="310"/>
        <v>0.00140959647670396</v>
      </c>
      <c r="G670" s="18">
        <f>(SUM($I$8:$I670)*(MAX(M$3-M$4,0))+(N670*MAX(M$4,0)))*(1-$AM$4)+(AM670*$AM$4)</f>
        <v>0.934562464054728</v>
      </c>
      <c r="H670" s="18">
        <f t="shared" si="299"/>
        <v>1.5</v>
      </c>
      <c r="I670" s="18">
        <f t="shared" si="311"/>
        <v>0.0400423623995053</v>
      </c>
      <c r="J670" s="18">
        <f t="shared" si="300"/>
        <v>0.964163990065511</v>
      </c>
      <c r="K670" s="18">
        <f t="shared" si="301"/>
        <v>0.00170647666354708</v>
      </c>
      <c r="L670" s="18">
        <f t="shared" si="302"/>
        <v>0.0266949082663369</v>
      </c>
      <c r="M670" s="18">
        <v>0</v>
      </c>
      <c r="N670" s="18">
        <f t="shared" si="306"/>
        <v>1</v>
      </c>
      <c r="O670" s="11">
        <v>26</v>
      </c>
      <c r="P670" s="11">
        <v>26</v>
      </c>
      <c r="Q670" s="11">
        <f t="shared" si="312"/>
        <v>1.5</v>
      </c>
      <c r="R670" s="11">
        <v>7840</v>
      </c>
      <c r="S670" s="11">
        <f t="shared" si="303"/>
        <v>0.397959183673469</v>
      </c>
      <c r="T670" s="11">
        <v>22</v>
      </c>
      <c r="U670" s="11">
        <f t="shared" si="313"/>
        <v>0.846153846153846</v>
      </c>
      <c r="V670" s="11">
        <v>0</v>
      </c>
      <c r="W670" s="11">
        <f t="shared" si="314"/>
        <v>1</v>
      </c>
      <c r="X670" s="11">
        <f t="shared" si="304"/>
        <v>13.1326530612245</v>
      </c>
      <c r="Y670" s="19">
        <v>29.88</v>
      </c>
      <c r="Z670" s="11">
        <v>0</v>
      </c>
      <c r="AA670" s="11">
        <v>40</v>
      </c>
      <c r="AB670" s="11">
        <v>0</v>
      </c>
      <c r="AC670" s="11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45">
        <v>0</v>
      </c>
      <c r="AJ670" s="45">
        <v>0</v>
      </c>
      <c r="AK670" s="45">
        <f t="shared" si="315"/>
        <v>0.3611</v>
      </c>
      <c r="AL670" s="45">
        <f t="shared" si="316"/>
        <v>0.00348095238095238</v>
      </c>
      <c r="AM670" s="45">
        <f t="shared" si="317"/>
        <v>0.0012569719047619</v>
      </c>
      <c r="AN670" s="45">
        <f t="shared" si="318"/>
        <v>0.792187500000004</v>
      </c>
      <c r="AO670" s="45">
        <f t="shared" si="319"/>
        <v>0.792187500000004</v>
      </c>
      <c r="AP670" s="45">
        <f t="shared" si="320"/>
        <v>1.05625000000001</v>
      </c>
      <c r="AQ670" s="45">
        <f t="shared" si="321"/>
        <v>0</v>
      </c>
      <c r="AR670" s="45">
        <f t="shared" si="322"/>
        <v>0</v>
      </c>
      <c r="AS670" s="19">
        <f t="shared" si="323"/>
        <v>1.07916666666667</v>
      </c>
      <c r="AT670" s="19">
        <f t="shared" si="324"/>
        <v>1.03333333333334</v>
      </c>
      <c r="AU670" s="46">
        <v>0</v>
      </c>
      <c r="AV670" s="46">
        <v>0</v>
      </c>
      <c r="AW670" s="46">
        <v>0</v>
      </c>
      <c r="AX670" s="46">
        <v>1</v>
      </c>
      <c r="AY670" s="47">
        <v>0</v>
      </c>
      <c r="AZ670" s="47">
        <v>-1</v>
      </c>
    </row>
    <row r="671" customHeight="1" spans="1:52">
      <c r="A671" s="44">
        <v>45996</v>
      </c>
      <c r="B671" s="33">
        <f t="shared" si="307"/>
        <v>20</v>
      </c>
      <c r="C671" s="33">
        <f t="shared" si="308"/>
        <v>16</v>
      </c>
      <c r="D671" s="11">
        <f t="shared" si="309"/>
        <v>36</v>
      </c>
      <c r="E671" s="34">
        <f t="shared" si="305"/>
        <v>1.97775955561752e-5</v>
      </c>
      <c r="F671" s="35">
        <f t="shared" si="310"/>
        <v>0.00142937407226014</v>
      </c>
      <c r="G671" s="18">
        <f>(SUM($I$8:$I671)*(MAX(M$3-M$4,0))+(N671*MAX(M$4,0)))*(1-$AM$4)+(AM671*$AM$4)</f>
        <v>0.949104383980732</v>
      </c>
      <c r="H671" s="18">
        <f t="shared" si="299"/>
        <v>1.5</v>
      </c>
      <c r="I671" s="18">
        <f t="shared" si="311"/>
        <v>0.0775569062720227</v>
      </c>
      <c r="J671" s="18">
        <f t="shared" si="300"/>
        <v>0.977691865425935</v>
      </c>
      <c r="K671" s="18">
        <f t="shared" si="301"/>
        <v>0.00111540672870324</v>
      </c>
      <c r="L671" s="18">
        <f t="shared" si="302"/>
        <v>0.0517046041813485</v>
      </c>
      <c r="M671" s="18">
        <v>0</v>
      </c>
      <c r="N671" s="18">
        <f t="shared" si="306"/>
        <v>1</v>
      </c>
      <c r="O671" s="11">
        <v>60</v>
      </c>
      <c r="P671" s="11">
        <v>60</v>
      </c>
      <c r="Q671" s="11">
        <f t="shared" si="312"/>
        <v>1.5</v>
      </c>
      <c r="R671" s="11">
        <v>9030</v>
      </c>
      <c r="S671" s="11">
        <f t="shared" si="303"/>
        <v>0.79734219269103</v>
      </c>
      <c r="T671" s="11">
        <v>49</v>
      </c>
      <c r="U671" s="11">
        <f t="shared" si="313"/>
        <v>0.816666666666667</v>
      </c>
      <c r="V671" s="11">
        <v>0</v>
      </c>
      <c r="W671" s="11">
        <f t="shared" si="314"/>
        <v>1</v>
      </c>
      <c r="X671" s="11">
        <f t="shared" si="304"/>
        <v>58.6046511627907</v>
      </c>
      <c r="Y671" s="19">
        <v>38.28</v>
      </c>
      <c r="Z671" s="11">
        <v>0</v>
      </c>
      <c r="AA671" s="11">
        <v>23</v>
      </c>
      <c r="AB671" s="11">
        <v>0</v>
      </c>
      <c r="AC671" s="11">
        <v>0</v>
      </c>
      <c r="AD671" s="11">
        <v>0</v>
      </c>
      <c r="AE671" s="11">
        <v>0</v>
      </c>
      <c r="AF671" s="11">
        <v>0</v>
      </c>
      <c r="AG671" s="11">
        <v>0</v>
      </c>
      <c r="AH671" s="11">
        <v>0</v>
      </c>
      <c r="AI671" s="45">
        <v>0</v>
      </c>
      <c r="AJ671" s="45">
        <v>0</v>
      </c>
      <c r="AK671" s="45">
        <f t="shared" si="315"/>
        <v>0.3611</v>
      </c>
      <c r="AL671" s="45">
        <f t="shared" si="316"/>
        <v>0.00348095238095238</v>
      </c>
      <c r="AM671" s="45">
        <f t="shared" si="317"/>
        <v>0.0012569719047619</v>
      </c>
      <c r="AN671" s="45">
        <f t="shared" si="318"/>
        <v>0.792187500000004</v>
      </c>
      <c r="AO671" s="45">
        <f t="shared" si="319"/>
        <v>0.792187500000004</v>
      </c>
      <c r="AP671" s="45">
        <f t="shared" si="320"/>
        <v>1.05625000000001</v>
      </c>
      <c r="AQ671" s="45">
        <f t="shared" si="321"/>
        <v>0</v>
      </c>
      <c r="AR671" s="45">
        <f t="shared" si="322"/>
        <v>0</v>
      </c>
      <c r="AS671" s="19">
        <f t="shared" si="323"/>
        <v>1.07916666666667</v>
      </c>
      <c r="AT671" s="19">
        <f t="shared" si="324"/>
        <v>1.03333333333334</v>
      </c>
      <c r="AU671" s="46">
        <v>0</v>
      </c>
      <c r="AV671" s="46">
        <v>0</v>
      </c>
      <c r="AW671" s="46">
        <v>0</v>
      </c>
      <c r="AX671" s="46">
        <v>1</v>
      </c>
      <c r="AY671" s="47">
        <v>0</v>
      </c>
      <c r="AZ671" s="47">
        <v>-1</v>
      </c>
    </row>
    <row r="672" customHeight="1" spans="1:52">
      <c r="A672" s="44">
        <v>45997</v>
      </c>
      <c r="B672" s="33">
        <f t="shared" si="307"/>
        <v>19</v>
      </c>
      <c r="C672" s="33">
        <f t="shared" si="308"/>
        <v>11</v>
      </c>
      <c r="D672" s="11">
        <f t="shared" si="309"/>
        <v>30</v>
      </c>
      <c r="E672" s="34">
        <f t="shared" si="305"/>
        <v>8.97835469988858e-6</v>
      </c>
      <c r="F672" s="35">
        <f t="shared" si="310"/>
        <v>0.00143835242696003</v>
      </c>
      <c r="G672" s="18">
        <f>(SUM($I$8:$I672)*(MAX(M$3-M$4,0))+(N672*MAX(M$4,0)))*(1-$AM$4)+(AM672*$AM$4)</f>
        <v>0.956504363928419</v>
      </c>
      <c r="H672" s="18">
        <f t="shared" si="299"/>
        <v>1.5</v>
      </c>
      <c r="I672" s="18">
        <f t="shared" si="311"/>
        <v>0.0394665597209931</v>
      </c>
      <c r="J672" s="18">
        <f t="shared" si="300"/>
        <v>0.983833060040659</v>
      </c>
      <c r="K672" s="18">
        <f t="shared" si="301"/>
        <v>0.000850891576807418</v>
      </c>
      <c r="L672" s="18">
        <f t="shared" si="302"/>
        <v>0.0263110398139954</v>
      </c>
      <c r="M672" s="18">
        <v>0</v>
      </c>
      <c r="N672" s="18">
        <f t="shared" si="306"/>
        <v>1</v>
      </c>
      <c r="O672" s="11">
        <v>24</v>
      </c>
      <c r="P672" s="11">
        <v>24</v>
      </c>
      <c r="Q672" s="11">
        <f t="shared" si="312"/>
        <v>1.5</v>
      </c>
      <c r="R672" s="11">
        <v>7190</v>
      </c>
      <c r="S672" s="11">
        <f t="shared" si="303"/>
        <v>0.400556328233658</v>
      </c>
      <c r="T672" s="11">
        <v>20</v>
      </c>
      <c r="U672" s="11">
        <f t="shared" si="313"/>
        <v>0.833333333333333</v>
      </c>
      <c r="V672" s="11">
        <v>0</v>
      </c>
      <c r="W672" s="11">
        <f t="shared" si="314"/>
        <v>1</v>
      </c>
      <c r="X672" s="11">
        <f t="shared" si="304"/>
        <v>12.0166898470097</v>
      </c>
      <c r="Y672" s="19">
        <v>41.17</v>
      </c>
      <c r="Z672" s="11">
        <v>0</v>
      </c>
      <c r="AA672" s="11">
        <v>20</v>
      </c>
      <c r="AB672" s="11">
        <v>0</v>
      </c>
      <c r="AC672" s="11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45">
        <v>0</v>
      </c>
      <c r="AJ672" s="45">
        <v>0</v>
      </c>
      <c r="AK672" s="45">
        <f t="shared" si="315"/>
        <v>0.3611</v>
      </c>
      <c r="AL672" s="45">
        <f t="shared" si="316"/>
        <v>0.00348095238095238</v>
      </c>
      <c r="AM672" s="45">
        <f t="shared" si="317"/>
        <v>0.0012569719047619</v>
      </c>
      <c r="AN672" s="45">
        <f t="shared" si="318"/>
        <v>0.792187500000004</v>
      </c>
      <c r="AO672" s="45">
        <f t="shared" si="319"/>
        <v>0.792187500000004</v>
      </c>
      <c r="AP672" s="45">
        <f t="shared" si="320"/>
        <v>1.05625000000001</v>
      </c>
      <c r="AQ672" s="45">
        <f t="shared" si="321"/>
        <v>0</v>
      </c>
      <c r="AR672" s="45">
        <f t="shared" si="322"/>
        <v>0</v>
      </c>
      <c r="AS672" s="19">
        <f t="shared" si="323"/>
        <v>1.07916666666667</v>
      </c>
      <c r="AT672" s="19">
        <f t="shared" si="324"/>
        <v>1.03333333333334</v>
      </c>
      <c r="AU672" s="46">
        <v>0</v>
      </c>
      <c r="AV672" s="46">
        <v>0</v>
      </c>
      <c r="AW672" s="46">
        <v>0</v>
      </c>
      <c r="AX672" s="46">
        <v>1</v>
      </c>
      <c r="AY672" s="47">
        <v>0</v>
      </c>
      <c r="AZ672" s="47">
        <v>-1</v>
      </c>
    </row>
    <row r="673" customHeight="1" spans="1:52">
      <c r="A673" s="44">
        <v>45998</v>
      </c>
      <c r="B673" s="33">
        <f t="shared" si="307"/>
        <v>18</v>
      </c>
      <c r="C673" s="33">
        <f t="shared" si="308"/>
        <v>-5</v>
      </c>
      <c r="D673" s="11">
        <f t="shared" si="309"/>
        <v>13</v>
      </c>
      <c r="E673" s="34">
        <f t="shared" si="305"/>
        <v>3.34967881813633e-5</v>
      </c>
      <c r="F673" s="35">
        <f t="shared" si="310"/>
        <v>0.00147184921514139</v>
      </c>
      <c r="G673" s="18">
        <f>(SUM($I$8:$I673)*(MAX(M$3-M$4,0))+(N673*MAX(M$4,0)))*(1-$AM$4)+(AM673*$AM$4)</f>
        <v>0.980251577284166</v>
      </c>
      <c r="H673" s="18">
        <f t="shared" si="299"/>
        <v>1.5</v>
      </c>
      <c r="I673" s="18">
        <f t="shared" si="311"/>
        <v>0.126651804563988</v>
      </c>
      <c r="J673" s="18">
        <f t="shared" si="300"/>
        <v>1.00674486315671</v>
      </c>
      <c r="K673" s="18">
        <f t="shared" si="301"/>
        <v>-0.000374714619817305</v>
      </c>
      <c r="L673" s="18">
        <f t="shared" si="302"/>
        <v>0.084434536375992</v>
      </c>
      <c r="M673" s="18">
        <v>0</v>
      </c>
      <c r="N673" s="18">
        <f t="shared" si="306"/>
        <v>1</v>
      </c>
      <c r="O673" s="11">
        <v>64</v>
      </c>
      <c r="P673" s="11">
        <v>64</v>
      </c>
      <c r="Q673" s="11">
        <f t="shared" si="312"/>
        <v>1.5</v>
      </c>
      <c r="R673" s="11">
        <v>5641</v>
      </c>
      <c r="S673" s="11">
        <f t="shared" si="303"/>
        <v>1.36146073391243</v>
      </c>
      <c r="T673" s="11">
        <v>57</v>
      </c>
      <c r="U673" s="11">
        <f t="shared" si="313"/>
        <v>0.890625</v>
      </c>
      <c r="V673" s="11">
        <v>0</v>
      </c>
      <c r="W673" s="11">
        <f t="shared" si="314"/>
        <v>1</v>
      </c>
      <c r="X673" s="11">
        <f t="shared" si="304"/>
        <v>116.404892749512</v>
      </c>
      <c r="Y673" s="19">
        <v>39.38</v>
      </c>
      <c r="Z673" s="11">
        <v>0</v>
      </c>
      <c r="AA673" s="11">
        <v>24</v>
      </c>
      <c r="AB673" s="11">
        <v>0</v>
      </c>
      <c r="AC673" s="11">
        <v>0</v>
      </c>
      <c r="AD673" s="11">
        <v>0</v>
      </c>
      <c r="AE673" s="11">
        <v>0</v>
      </c>
      <c r="AF673" s="11">
        <v>0</v>
      </c>
      <c r="AG673" s="11">
        <v>0</v>
      </c>
      <c r="AH673" s="11">
        <v>0</v>
      </c>
      <c r="AI673" s="45">
        <v>0</v>
      </c>
      <c r="AJ673" s="45">
        <v>0</v>
      </c>
      <c r="AK673" s="45">
        <f t="shared" si="315"/>
        <v>0.3611</v>
      </c>
      <c r="AL673" s="45">
        <f t="shared" si="316"/>
        <v>0.00348095238095238</v>
      </c>
      <c r="AM673" s="45">
        <f t="shared" si="317"/>
        <v>0.0012569719047619</v>
      </c>
      <c r="AN673" s="45">
        <f t="shared" si="318"/>
        <v>0.792187500000004</v>
      </c>
      <c r="AO673" s="45">
        <f t="shared" si="319"/>
        <v>0.792187500000004</v>
      </c>
      <c r="AP673" s="45">
        <f t="shared" si="320"/>
        <v>1.05625000000001</v>
      </c>
      <c r="AQ673" s="45">
        <f t="shared" si="321"/>
        <v>0</v>
      </c>
      <c r="AR673" s="45">
        <f t="shared" si="322"/>
        <v>0</v>
      </c>
      <c r="AS673" s="19">
        <f t="shared" si="323"/>
        <v>1.07916666666667</v>
      </c>
      <c r="AT673" s="19">
        <f t="shared" si="324"/>
        <v>1.03333333333334</v>
      </c>
      <c r="AU673" s="46">
        <v>0</v>
      </c>
      <c r="AV673" s="46">
        <v>0</v>
      </c>
      <c r="AW673" s="46">
        <v>0</v>
      </c>
      <c r="AX673" s="46">
        <v>1</v>
      </c>
      <c r="AY673" s="47">
        <v>0</v>
      </c>
      <c r="AZ673" s="47">
        <v>-1</v>
      </c>
    </row>
    <row r="674" customHeight="1" spans="1:52">
      <c r="A674" s="44">
        <v>45999</v>
      </c>
      <c r="B674" s="33">
        <f t="shared" si="307"/>
        <v>17</v>
      </c>
      <c r="C674" s="33">
        <f t="shared" si="308"/>
        <v>-16</v>
      </c>
      <c r="D674" s="11">
        <f t="shared" si="309"/>
        <v>1</v>
      </c>
      <c r="E674" s="34">
        <f t="shared" si="305"/>
        <v>2.42894053745085e-5</v>
      </c>
      <c r="F674" s="35">
        <f t="shared" si="310"/>
        <v>0.0014961386205159</v>
      </c>
      <c r="G674" s="18">
        <f>(SUM($I$8:$I674)*(MAX(M$3-M$4,0))+(N674*MAX(M$4,0)))*(1-$AM$4)+(AM674*$AM$4)</f>
        <v>0.997924459884105</v>
      </c>
      <c r="H674" s="18">
        <f t="shared" si="299"/>
        <v>1.5</v>
      </c>
      <c r="I674" s="18">
        <f t="shared" si="311"/>
        <v>0.0942553738663392</v>
      </c>
      <c r="J674" s="18">
        <f t="shared" si="300"/>
        <v>1.02335881643288</v>
      </c>
      <c r="K674" s="18">
        <f t="shared" si="301"/>
        <v>-0.00137404802546326</v>
      </c>
      <c r="L674" s="18">
        <f t="shared" si="302"/>
        <v>0.0628369159108928</v>
      </c>
      <c r="M674" s="18">
        <v>0</v>
      </c>
      <c r="N674" s="18">
        <f t="shared" si="306"/>
        <v>1</v>
      </c>
      <c r="O674" s="11">
        <v>62</v>
      </c>
      <c r="P674" s="11">
        <v>62</v>
      </c>
      <c r="Q674" s="11">
        <f t="shared" si="312"/>
        <v>1.5</v>
      </c>
      <c r="R674" s="11">
        <v>7989</v>
      </c>
      <c r="S674" s="11">
        <f t="shared" si="303"/>
        <v>0.931280510702216</v>
      </c>
      <c r="T674" s="11">
        <v>54</v>
      </c>
      <c r="U674" s="11">
        <f t="shared" si="313"/>
        <v>0.870967741935484</v>
      </c>
      <c r="V674" s="11">
        <v>0</v>
      </c>
      <c r="W674" s="11">
        <f t="shared" si="314"/>
        <v>1</v>
      </c>
      <c r="X674" s="11">
        <f t="shared" si="304"/>
        <v>75.4337213668795</v>
      </c>
      <c r="Y674" s="19">
        <v>34.72</v>
      </c>
      <c r="Z674" s="11">
        <v>0</v>
      </c>
      <c r="AA674" s="11">
        <v>38.5</v>
      </c>
      <c r="AB674" s="11">
        <v>0</v>
      </c>
      <c r="AC674" s="11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45">
        <v>0</v>
      </c>
      <c r="AJ674" s="45">
        <v>0</v>
      </c>
      <c r="AK674" s="45">
        <f t="shared" si="315"/>
        <v>0.3611</v>
      </c>
      <c r="AL674" s="45">
        <f t="shared" si="316"/>
        <v>0.00348095238095238</v>
      </c>
      <c r="AM674" s="45">
        <f t="shared" si="317"/>
        <v>0.0012569719047619</v>
      </c>
      <c r="AN674" s="45">
        <f t="shared" si="318"/>
        <v>0.792187500000004</v>
      </c>
      <c r="AO674" s="45">
        <f t="shared" si="319"/>
        <v>0.792187500000004</v>
      </c>
      <c r="AP674" s="45">
        <f t="shared" si="320"/>
        <v>1.05625000000001</v>
      </c>
      <c r="AQ674" s="45">
        <f t="shared" si="321"/>
        <v>0</v>
      </c>
      <c r="AR674" s="45">
        <f t="shared" si="322"/>
        <v>0</v>
      </c>
      <c r="AS674" s="19">
        <f t="shared" si="323"/>
        <v>1.07916666666667</v>
      </c>
      <c r="AT674" s="19">
        <f t="shared" si="324"/>
        <v>1.03333333333334</v>
      </c>
      <c r="AU674" s="46">
        <v>0</v>
      </c>
      <c r="AV674" s="46">
        <v>0</v>
      </c>
      <c r="AW674" s="46">
        <v>0</v>
      </c>
      <c r="AX674" s="46">
        <v>1</v>
      </c>
      <c r="AY674" s="47">
        <v>0</v>
      </c>
      <c r="AZ674" s="47">
        <v>-1</v>
      </c>
    </row>
    <row r="675" customHeight="1" spans="1:52">
      <c r="A675" s="44">
        <v>46000</v>
      </c>
      <c r="B675" s="33">
        <f t="shared" si="307"/>
        <v>16</v>
      </c>
      <c r="C675" s="33">
        <f t="shared" si="308"/>
        <v>-26</v>
      </c>
      <c r="D675" s="11">
        <f t="shared" si="309"/>
        <v>-10</v>
      </c>
      <c r="E675" s="34">
        <f t="shared" si="305"/>
        <v>2.351480631941e-5</v>
      </c>
      <c r="F675" s="35">
        <f t="shared" si="310"/>
        <v>0.00151965342683531</v>
      </c>
      <c r="G675" s="18">
        <f>(SUM($I$8:$I675)*(MAX(M$3-M$4,0))+(N675*MAX(M$4,0)))*(1-$AM$4)+(AM675*$AM$4)</f>
        <v>1.01512848912599</v>
      </c>
      <c r="H675" s="18">
        <f t="shared" si="299"/>
        <v>1.5</v>
      </c>
      <c r="I675" s="18">
        <f t="shared" si="311"/>
        <v>0.0917548226233703</v>
      </c>
      <c r="J675" s="18">
        <f t="shared" si="300"/>
        <v>1.03944294395535</v>
      </c>
      <c r="K675" s="18">
        <f t="shared" si="301"/>
        <v>-0.00246518399720949</v>
      </c>
      <c r="L675" s="18">
        <f t="shared" si="302"/>
        <v>0.0611698817489135</v>
      </c>
      <c r="M675" s="18">
        <v>0</v>
      </c>
      <c r="N675" s="18">
        <f t="shared" si="306"/>
        <v>1</v>
      </c>
      <c r="O675" s="11">
        <v>61</v>
      </c>
      <c r="P675" s="11">
        <v>61</v>
      </c>
      <c r="Q675" s="11">
        <f t="shared" si="312"/>
        <v>1.5</v>
      </c>
      <c r="R675" s="11">
        <v>9289</v>
      </c>
      <c r="S675" s="11">
        <f t="shared" si="303"/>
        <v>0.78802885132953</v>
      </c>
      <c r="T675" s="11">
        <v>56</v>
      </c>
      <c r="U675" s="11">
        <f t="shared" si="313"/>
        <v>0.918032786885246</v>
      </c>
      <c r="V675" s="11">
        <v>0</v>
      </c>
      <c r="W675" s="11">
        <f t="shared" si="314"/>
        <v>1</v>
      </c>
      <c r="X675" s="11">
        <f t="shared" si="304"/>
        <v>66.1944235116805</v>
      </c>
      <c r="Y675" s="19">
        <v>39.07</v>
      </c>
      <c r="Z675" s="11">
        <v>0</v>
      </c>
      <c r="AA675" s="11">
        <v>47.5</v>
      </c>
      <c r="AB675" s="11">
        <v>0</v>
      </c>
      <c r="AC675" s="11">
        <v>0</v>
      </c>
      <c r="AD675" s="11">
        <v>0</v>
      </c>
      <c r="AE675" s="11">
        <v>0</v>
      </c>
      <c r="AF675" s="11">
        <v>0</v>
      </c>
      <c r="AG675" s="11">
        <v>0</v>
      </c>
      <c r="AH675" s="11">
        <v>0</v>
      </c>
      <c r="AI675" s="45">
        <v>0</v>
      </c>
      <c r="AJ675" s="45">
        <v>0</v>
      </c>
      <c r="AK675" s="45">
        <f t="shared" si="315"/>
        <v>0.3611</v>
      </c>
      <c r="AL675" s="45">
        <f t="shared" si="316"/>
        <v>0.00348095238095238</v>
      </c>
      <c r="AM675" s="45">
        <f t="shared" si="317"/>
        <v>0.0012569719047619</v>
      </c>
      <c r="AN675" s="45">
        <f t="shared" si="318"/>
        <v>0.792187500000004</v>
      </c>
      <c r="AO675" s="45">
        <f t="shared" si="319"/>
        <v>0.792187500000004</v>
      </c>
      <c r="AP675" s="45">
        <f t="shared" si="320"/>
        <v>1.05625000000001</v>
      </c>
      <c r="AQ675" s="45">
        <f t="shared" si="321"/>
        <v>0</v>
      </c>
      <c r="AR675" s="45">
        <f t="shared" si="322"/>
        <v>0</v>
      </c>
      <c r="AS675" s="19">
        <f t="shared" si="323"/>
        <v>1.07916666666667</v>
      </c>
      <c r="AT675" s="19">
        <f t="shared" si="324"/>
        <v>1.03333333333334</v>
      </c>
      <c r="AU675" s="46">
        <v>0</v>
      </c>
      <c r="AV675" s="46">
        <v>0</v>
      </c>
      <c r="AW675" s="46">
        <v>0</v>
      </c>
      <c r="AX675" s="46">
        <v>1</v>
      </c>
      <c r="AY675" s="47">
        <v>0</v>
      </c>
      <c r="AZ675" s="47">
        <v>-1</v>
      </c>
    </row>
    <row r="676" customHeight="1" spans="1:52">
      <c r="A676" s="44">
        <v>46001</v>
      </c>
      <c r="B676" s="33">
        <f t="shared" si="307"/>
        <v>15</v>
      </c>
      <c r="C676" s="33">
        <f t="shared" si="308"/>
        <v>-33</v>
      </c>
      <c r="D676" s="11">
        <f t="shared" si="309"/>
        <v>-18</v>
      </c>
      <c r="E676" s="34">
        <f t="shared" si="305"/>
        <v>1.5586190089496e-5</v>
      </c>
      <c r="F676" s="35">
        <f t="shared" si="310"/>
        <v>0.00153523961692481</v>
      </c>
      <c r="G676" s="18">
        <f>(SUM($I$8:$I676)*(MAX(M$3-M$4,0))+(N676*MAX(M$4,0)))*(1-$AM$4)+(AM676*$AM$4)</f>
        <v>1.02707530372269</v>
      </c>
      <c r="H676" s="18">
        <f t="shared" si="299"/>
        <v>1.5</v>
      </c>
      <c r="I676" s="18">
        <f t="shared" si="311"/>
        <v>0.0637163445157763</v>
      </c>
      <c r="J676" s="18">
        <f t="shared" si="300"/>
        <v>1.05010389797657</v>
      </c>
      <c r="K676" s="18">
        <f t="shared" si="301"/>
        <v>-0.00334025986510447</v>
      </c>
      <c r="L676" s="18">
        <f t="shared" si="302"/>
        <v>0.0424775630105175</v>
      </c>
      <c r="M676" s="18">
        <v>0</v>
      </c>
      <c r="N676" s="18">
        <f t="shared" si="306"/>
        <v>1</v>
      </c>
      <c r="O676" s="11">
        <v>26</v>
      </c>
      <c r="P676" s="11">
        <v>26</v>
      </c>
      <c r="Q676" s="11">
        <f t="shared" si="312"/>
        <v>1.5</v>
      </c>
      <c r="R676" s="11">
        <v>10139</v>
      </c>
      <c r="S676" s="11">
        <f t="shared" si="303"/>
        <v>0.307722655094191</v>
      </c>
      <c r="T676" s="11">
        <v>23</v>
      </c>
      <c r="U676" s="11">
        <f t="shared" si="313"/>
        <v>0.884615384615385</v>
      </c>
      <c r="V676" s="11">
        <v>0</v>
      </c>
      <c r="W676" s="11">
        <f t="shared" si="314"/>
        <v>1</v>
      </c>
      <c r="X676" s="11">
        <f t="shared" si="304"/>
        <v>10.6164316007496</v>
      </c>
      <c r="Y676" s="19">
        <v>61.37</v>
      </c>
      <c r="Z676" s="11">
        <v>0</v>
      </c>
      <c r="AA676" s="11">
        <v>66</v>
      </c>
      <c r="AB676" s="11">
        <v>0</v>
      </c>
      <c r="AC676" s="11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45">
        <v>0</v>
      </c>
      <c r="AJ676" s="45">
        <v>0</v>
      </c>
      <c r="AK676" s="45">
        <f t="shared" si="315"/>
        <v>0.3611</v>
      </c>
      <c r="AL676" s="45">
        <f t="shared" si="316"/>
        <v>0.00348095238095238</v>
      </c>
      <c r="AM676" s="45">
        <f t="shared" si="317"/>
        <v>0.0012569719047619</v>
      </c>
      <c r="AN676" s="45">
        <f t="shared" si="318"/>
        <v>0.792187500000004</v>
      </c>
      <c r="AO676" s="45">
        <f t="shared" si="319"/>
        <v>0.792187500000004</v>
      </c>
      <c r="AP676" s="45">
        <f t="shared" si="320"/>
        <v>1.05625000000001</v>
      </c>
      <c r="AQ676" s="45">
        <f t="shared" si="321"/>
        <v>0</v>
      </c>
      <c r="AR676" s="45">
        <f t="shared" si="322"/>
        <v>0</v>
      </c>
      <c r="AS676" s="19">
        <f t="shared" si="323"/>
        <v>1.07916666666667</v>
      </c>
      <c r="AT676" s="19">
        <f t="shared" si="324"/>
        <v>1.03333333333334</v>
      </c>
      <c r="AU676" s="46">
        <v>0</v>
      </c>
      <c r="AV676" s="46">
        <v>0</v>
      </c>
      <c r="AW676" s="46">
        <v>0</v>
      </c>
      <c r="AX676" s="46">
        <v>1</v>
      </c>
      <c r="AY676" s="47">
        <v>0</v>
      </c>
      <c r="AZ676" s="47">
        <v>-1</v>
      </c>
    </row>
    <row r="677" customHeight="1" spans="1:52">
      <c r="A677" s="44">
        <v>46002</v>
      </c>
      <c r="B677" s="33">
        <f t="shared" si="307"/>
        <v>14</v>
      </c>
      <c r="C677" s="33">
        <f t="shared" si="308"/>
        <v>-35</v>
      </c>
      <c r="D677" s="11">
        <f t="shared" si="309"/>
        <v>-21</v>
      </c>
      <c r="E677" s="34">
        <f t="shared" si="305"/>
        <v>6.63679042928449e-6</v>
      </c>
      <c r="F677" s="35">
        <f t="shared" si="310"/>
        <v>0.00154187640735409</v>
      </c>
      <c r="G677" s="18">
        <f>(SUM($I$8:$I677)*(MAX(M$3-M$4,0))+(N677*MAX(M$4,0)))*(1-$AM$4)+(AM677*$AM$4)</f>
        <v>1.03305719292724</v>
      </c>
      <c r="H677" s="18">
        <f t="shared" si="299"/>
        <v>1.5</v>
      </c>
      <c r="I677" s="18">
        <f t="shared" si="311"/>
        <v>0.0319034090909092</v>
      </c>
      <c r="J677" s="18">
        <f t="shared" si="300"/>
        <v>1.0546434626302</v>
      </c>
      <c r="K677" s="18">
        <f t="shared" si="301"/>
        <v>-0.00390310447358554</v>
      </c>
      <c r="L677" s="18">
        <f t="shared" si="302"/>
        <v>0.0212689393939394</v>
      </c>
      <c r="M677" s="18">
        <v>0</v>
      </c>
      <c r="N677" s="18">
        <f t="shared" si="306"/>
        <v>1</v>
      </c>
      <c r="O677" s="11">
        <v>0</v>
      </c>
      <c r="P677" s="11">
        <v>0</v>
      </c>
      <c r="Q677" s="11">
        <f t="shared" si="312"/>
        <v>1</v>
      </c>
      <c r="R677" s="11">
        <v>0</v>
      </c>
      <c r="S677" s="11">
        <f t="shared" si="303"/>
        <v>0</v>
      </c>
      <c r="T677" s="11">
        <v>0</v>
      </c>
      <c r="U677" s="11">
        <f t="shared" si="313"/>
        <v>1</v>
      </c>
      <c r="V677" s="11">
        <v>0</v>
      </c>
      <c r="W677" s="11">
        <f t="shared" si="314"/>
        <v>1</v>
      </c>
      <c r="X677" s="11">
        <f t="shared" si="304"/>
        <v>0</v>
      </c>
      <c r="Y677" s="19">
        <v>38.55</v>
      </c>
      <c r="Z677" s="11">
        <v>0</v>
      </c>
      <c r="AA677" s="11">
        <v>33</v>
      </c>
      <c r="AB677" s="11">
        <v>0</v>
      </c>
      <c r="AC677" s="11">
        <v>0</v>
      </c>
      <c r="AD677" s="11">
        <v>0</v>
      </c>
      <c r="AE677" s="11">
        <v>0</v>
      </c>
      <c r="AF677" s="11">
        <v>0</v>
      </c>
      <c r="AG677" s="11">
        <v>0</v>
      </c>
      <c r="AH677" s="11">
        <v>0</v>
      </c>
      <c r="AI677" s="45">
        <v>0</v>
      </c>
      <c r="AJ677" s="45">
        <v>0</v>
      </c>
      <c r="AK677" s="45">
        <f t="shared" si="315"/>
        <v>0.3611</v>
      </c>
      <c r="AL677" s="45">
        <f t="shared" si="316"/>
        <v>0.00348095238095238</v>
      </c>
      <c r="AM677" s="45">
        <f t="shared" si="317"/>
        <v>0.0012569719047619</v>
      </c>
      <c r="AN677" s="45">
        <f t="shared" si="318"/>
        <v>0.792187500000004</v>
      </c>
      <c r="AO677" s="45">
        <f t="shared" si="319"/>
        <v>0.792187500000004</v>
      </c>
      <c r="AP677" s="45">
        <f t="shared" si="320"/>
        <v>1.05625000000001</v>
      </c>
      <c r="AQ677" s="45">
        <f t="shared" si="321"/>
        <v>0</v>
      </c>
      <c r="AR677" s="45">
        <f t="shared" si="322"/>
        <v>0</v>
      </c>
      <c r="AS677" s="19">
        <f t="shared" si="323"/>
        <v>1.07916666666667</v>
      </c>
      <c r="AT677" s="19">
        <f t="shared" si="324"/>
        <v>1.03333333333334</v>
      </c>
      <c r="AU677" s="46">
        <v>0</v>
      </c>
      <c r="AV677" s="46">
        <v>0</v>
      </c>
      <c r="AW677" s="46">
        <v>0</v>
      </c>
      <c r="AX677" s="46">
        <v>1</v>
      </c>
      <c r="AY677" s="47">
        <v>0</v>
      </c>
      <c r="AZ677" s="47">
        <v>-1</v>
      </c>
    </row>
    <row r="678" customHeight="1" spans="1:52">
      <c r="A678" s="44">
        <v>46003</v>
      </c>
      <c r="B678" s="33">
        <f t="shared" si="307"/>
        <v>13</v>
      </c>
      <c r="C678" s="33">
        <f t="shared" si="308"/>
        <v>-34</v>
      </c>
      <c r="D678" s="11">
        <f t="shared" si="309"/>
        <v>-21</v>
      </c>
      <c r="E678" s="34">
        <f t="shared" si="305"/>
        <v>-2.29787840142198e-6</v>
      </c>
      <c r="F678" s="35">
        <f t="shared" si="310"/>
        <v>0.00153957852895267</v>
      </c>
      <c r="G678" s="18">
        <f>(SUM($I$8:$I678)*(MAX(M$3-M$4,0))+(N678*MAX(M$4,0)))*(1-$AM$4)+(AM678*$AM$4)</f>
        <v>1.03305719292724</v>
      </c>
      <c r="H678" s="18">
        <f t="shared" si="299"/>
        <v>1.5</v>
      </c>
      <c r="I678" s="18">
        <f t="shared" si="311"/>
        <v>0</v>
      </c>
      <c r="J678" s="18">
        <f t="shared" si="300"/>
        <v>1.05307171380362</v>
      </c>
      <c r="K678" s="18">
        <f t="shared" si="301"/>
        <v>-0.00408243952335577</v>
      </c>
      <c r="L678" s="18">
        <f t="shared" si="302"/>
        <v>0</v>
      </c>
      <c r="M678" s="18">
        <v>0</v>
      </c>
      <c r="N678" s="18">
        <f t="shared" si="306"/>
        <v>1</v>
      </c>
      <c r="O678" s="11">
        <v>0</v>
      </c>
      <c r="P678" s="11">
        <v>0</v>
      </c>
      <c r="Q678" s="11">
        <f t="shared" si="312"/>
        <v>1</v>
      </c>
      <c r="R678" s="11">
        <v>0</v>
      </c>
      <c r="S678" s="11">
        <f t="shared" si="303"/>
        <v>0</v>
      </c>
      <c r="T678" s="11">
        <v>0</v>
      </c>
      <c r="U678" s="11">
        <f t="shared" si="313"/>
        <v>1</v>
      </c>
      <c r="V678" s="11">
        <v>0</v>
      </c>
      <c r="W678" s="11">
        <f t="shared" si="314"/>
        <v>1</v>
      </c>
      <c r="X678" s="11">
        <f t="shared" si="304"/>
        <v>0</v>
      </c>
      <c r="Y678" s="19">
        <v>0</v>
      </c>
      <c r="Z678" s="11">
        <v>0</v>
      </c>
      <c r="AA678" s="11">
        <v>0</v>
      </c>
      <c r="AB678" s="11">
        <v>0</v>
      </c>
      <c r="AC678" s="11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45">
        <v>0</v>
      </c>
      <c r="AJ678" s="45">
        <v>0</v>
      </c>
      <c r="AK678" s="45">
        <f t="shared" si="315"/>
        <v>0.3611</v>
      </c>
      <c r="AL678" s="45">
        <f t="shared" si="316"/>
        <v>0.00348095238095238</v>
      </c>
      <c r="AM678" s="45">
        <f t="shared" si="317"/>
        <v>0.0012569719047619</v>
      </c>
      <c r="AN678" s="45">
        <f t="shared" si="318"/>
        <v>0.792187500000004</v>
      </c>
      <c r="AO678" s="45">
        <f t="shared" si="319"/>
        <v>0.792187500000004</v>
      </c>
      <c r="AP678" s="45">
        <f t="shared" si="320"/>
        <v>1.05625000000001</v>
      </c>
      <c r="AQ678" s="45">
        <f t="shared" si="321"/>
        <v>0</v>
      </c>
      <c r="AR678" s="45">
        <f t="shared" si="322"/>
        <v>0</v>
      </c>
      <c r="AS678" s="19">
        <f t="shared" si="323"/>
        <v>1.07916666666667</v>
      </c>
      <c r="AT678" s="19">
        <f t="shared" si="324"/>
        <v>1.03333333333334</v>
      </c>
      <c r="AU678" s="46">
        <v>0</v>
      </c>
      <c r="AV678" s="46">
        <v>0</v>
      </c>
      <c r="AW678" s="46">
        <v>0</v>
      </c>
      <c r="AX678" s="46">
        <v>1</v>
      </c>
      <c r="AY678" s="47">
        <v>0</v>
      </c>
      <c r="AZ678" s="47">
        <v>-1</v>
      </c>
    </row>
    <row r="679" customHeight="1" spans="1:52">
      <c r="A679" s="44">
        <v>46004</v>
      </c>
      <c r="B679" s="33">
        <f t="shared" si="307"/>
        <v>12</v>
      </c>
      <c r="C679" s="33">
        <f t="shared" si="308"/>
        <v>-34</v>
      </c>
      <c r="D679" s="11">
        <f t="shared" si="309"/>
        <v>-22</v>
      </c>
      <c r="E679" s="34">
        <f t="shared" si="305"/>
        <v>-2.29103947760822e-6</v>
      </c>
      <c r="F679" s="35">
        <f t="shared" si="310"/>
        <v>0.00153728748947506</v>
      </c>
      <c r="G679" s="18">
        <f>(SUM($I$8:$I679)*(MAX(M$3-M$4,0))+(N679*MAX(M$4,0)))*(1-$AM$4)+(AM679*$AM$4)</f>
        <v>1.03305719292724</v>
      </c>
      <c r="H679" s="18">
        <f t="shared" si="299"/>
        <v>1.5</v>
      </c>
      <c r="I679" s="18">
        <f t="shared" si="311"/>
        <v>0</v>
      </c>
      <c r="J679" s="18">
        <f t="shared" si="300"/>
        <v>1.05150464280094</v>
      </c>
      <c r="K679" s="18">
        <f t="shared" si="301"/>
        <v>-0.00429205356674508</v>
      </c>
      <c r="L679" s="18">
        <f t="shared" si="302"/>
        <v>0</v>
      </c>
      <c r="M679" s="18">
        <v>0</v>
      </c>
      <c r="N679" s="18">
        <f t="shared" si="306"/>
        <v>1</v>
      </c>
      <c r="O679" s="11">
        <v>0</v>
      </c>
      <c r="P679" s="11">
        <v>0</v>
      </c>
      <c r="Q679" s="11">
        <f t="shared" si="312"/>
        <v>1</v>
      </c>
      <c r="R679" s="11">
        <v>0</v>
      </c>
      <c r="S679" s="11">
        <f t="shared" si="303"/>
        <v>0</v>
      </c>
      <c r="T679" s="11">
        <v>0</v>
      </c>
      <c r="U679" s="11">
        <f t="shared" si="313"/>
        <v>1</v>
      </c>
      <c r="V679" s="11">
        <v>0</v>
      </c>
      <c r="W679" s="11">
        <f t="shared" si="314"/>
        <v>1</v>
      </c>
      <c r="X679" s="11">
        <f t="shared" si="304"/>
        <v>0</v>
      </c>
      <c r="Y679" s="19">
        <v>0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1">
        <v>0</v>
      </c>
      <c r="AG679" s="11">
        <v>0</v>
      </c>
      <c r="AH679" s="11">
        <v>0</v>
      </c>
      <c r="AI679" s="45">
        <v>0</v>
      </c>
      <c r="AJ679" s="45">
        <v>0</v>
      </c>
      <c r="AK679" s="45">
        <f t="shared" si="315"/>
        <v>0.3611</v>
      </c>
      <c r="AL679" s="45">
        <f t="shared" si="316"/>
        <v>0.00348095238095238</v>
      </c>
      <c r="AM679" s="45">
        <f t="shared" si="317"/>
        <v>0.0012569719047619</v>
      </c>
      <c r="AN679" s="45">
        <f t="shared" si="318"/>
        <v>0.792187500000004</v>
      </c>
      <c r="AO679" s="45">
        <f t="shared" si="319"/>
        <v>0.792187500000004</v>
      </c>
      <c r="AP679" s="45">
        <f t="shared" si="320"/>
        <v>1.05625000000001</v>
      </c>
      <c r="AQ679" s="45">
        <f t="shared" si="321"/>
        <v>0</v>
      </c>
      <c r="AR679" s="45">
        <f t="shared" si="322"/>
        <v>0</v>
      </c>
      <c r="AS679" s="19">
        <f t="shared" si="323"/>
        <v>1.07916666666667</v>
      </c>
      <c r="AT679" s="19">
        <f t="shared" si="324"/>
        <v>1.03333333333334</v>
      </c>
      <c r="AU679" s="46">
        <v>0</v>
      </c>
      <c r="AV679" s="46">
        <v>0</v>
      </c>
      <c r="AW679" s="46">
        <v>0</v>
      </c>
      <c r="AX679" s="46">
        <v>1</v>
      </c>
      <c r="AY679" s="47">
        <v>0</v>
      </c>
      <c r="AZ679" s="47">
        <v>-1</v>
      </c>
    </row>
    <row r="680" customHeight="1" spans="1:52">
      <c r="A680" s="44">
        <v>46005</v>
      </c>
      <c r="B680" s="33">
        <f t="shared" si="307"/>
        <v>11</v>
      </c>
      <c r="C680" s="33">
        <f t="shared" si="308"/>
        <v>-33</v>
      </c>
      <c r="D680" s="11">
        <f t="shared" si="309"/>
        <v>-22</v>
      </c>
      <c r="E680" s="34">
        <f t="shared" si="305"/>
        <v>-2.28423103933889e-6</v>
      </c>
      <c r="F680" s="35">
        <f t="shared" si="310"/>
        <v>0.00153500325843572</v>
      </c>
      <c r="G680" s="18">
        <f>(SUM($I$8:$I680)*(MAX(M$3-M$4,0))+(N680*MAX(M$4,0)))*(1-$AM$4)+(AM680*$AM$4)</f>
        <v>1.03305719292724</v>
      </c>
      <c r="H680" s="18">
        <f t="shared" si="299"/>
        <v>1.5</v>
      </c>
      <c r="I680" s="18">
        <f t="shared" si="311"/>
        <v>0</v>
      </c>
      <c r="J680" s="18">
        <f t="shared" si="300"/>
        <v>1.04994222877003</v>
      </c>
      <c r="K680" s="18">
        <f t="shared" si="301"/>
        <v>-0.00454020261545757</v>
      </c>
      <c r="L680" s="18">
        <f t="shared" si="302"/>
        <v>0</v>
      </c>
      <c r="M680" s="18">
        <v>0</v>
      </c>
      <c r="N680" s="18">
        <f t="shared" si="306"/>
        <v>1</v>
      </c>
      <c r="O680" s="11">
        <v>0</v>
      </c>
      <c r="P680" s="11">
        <v>0</v>
      </c>
      <c r="Q680" s="11">
        <f t="shared" si="312"/>
        <v>1</v>
      </c>
      <c r="R680" s="11">
        <v>0</v>
      </c>
      <c r="S680" s="11">
        <f t="shared" si="303"/>
        <v>0</v>
      </c>
      <c r="T680" s="11">
        <v>0</v>
      </c>
      <c r="U680" s="11">
        <f t="shared" si="313"/>
        <v>1</v>
      </c>
      <c r="V680" s="11">
        <v>0</v>
      </c>
      <c r="W680" s="11">
        <f t="shared" si="314"/>
        <v>1</v>
      </c>
      <c r="X680" s="11">
        <f t="shared" si="304"/>
        <v>0</v>
      </c>
      <c r="Y680" s="19">
        <v>0</v>
      </c>
      <c r="Z680" s="11">
        <v>0</v>
      </c>
      <c r="AA680" s="11">
        <v>0</v>
      </c>
      <c r="AB680" s="11">
        <v>0</v>
      </c>
      <c r="AC680" s="11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45">
        <v>0</v>
      </c>
      <c r="AJ680" s="45">
        <v>0</v>
      </c>
      <c r="AK680" s="45">
        <f t="shared" si="315"/>
        <v>0.3611</v>
      </c>
      <c r="AL680" s="45">
        <f t="shared" si="316"/>
        <v>0.00348095238095238</v>
      </c>
      <c r="AM680" s="45">
        <f t="shared" si="317"/>
        <v>0.0012569719047619</v>
      </c>
      <c r="AN680" s="45">
        <f t="shared" si="318"/>
        <v>0.792187500000004</v>
      </c>
      <c r="AO680" s="45">
        <f t="shared" si="319"/>
        <v>0.792187500000004</v>
      </c>
      <c r="AP680" s="45">
        <f t="shared" si="320"/>
        <v>1.05625000000001</v>
      </c>
      <c r="AQ680" s="45">
        <f t="shared" si="321"/>
        <v>0</v>
      </c>
      <c r="AR680" s="45">
        <f t="shared" si="322"/>
        <v>0</v>
      </c>
      <c r="AS680" s="19">
        <f t="shared" si="323"/>
        <v>1.07916666666667</v>
      </c>
      <c r="AT680" s="19">
        <f t="shared" si="324"/>
        <v>1.03333333333334</v>
      </c>
      <c r="AU680" s="46">
        <v>0</v>
      </c>
      <c r="AV680" s="46">
        <v>0</v>
      </c>
      <c r="AW680" s="46">
        <v>0</v>
      </c>
      <c r="AX680" s="46">
        <v>1</v>
      </c>
      <c r="AY680" s="47">
        <v>0</v>
      </c>
      <c r="AZ680" s="47">
        <v>-1</v>
      </c>
    </row>
    <row r="681" customHeight="1" spans="1:52">
      <c r="A681" s="44">
        <v>46006</v>
      </c>
      <c r="B681" s="33">
        <f t="shared" si="307"/>
        <v>10</v>
      </c>
      <c r="C681" s="33">
        <f t="shared" si="308"/>
        <v>-32</v>
      </c>
      <c r="D681" s="11">
        <f t="shared" si="309"/>
        <v>-22</v>
      </c>
      <c r="E681" s="34">
        <f t="shared" si="305"/>
        <v>-2.277452905691e-6</v>
      </c>
      <c r="F681" s="35">
        <f t="shared" si="310"/>
        <v>0.00153272580553003</v>
      </c>
      <c r="G681" s="18">
        <f>(SUM($I$8:$I681)*(MAX(M$3-M$4,0))+(N681*MAX(M$4,0)))*(1-$AM$4)+(AM681*$AM$4)</f>
        <v>1.03305719292724</v>
      </c>
      <c r="H681" s="18">
        <f t="shared" si="299"/>
        <v>1.5</v>
      </c>
      <c r="I681" s="18">
        <f t="shared" si="311"/>
        <v>0</v>
      </c>
      <c r="J681" s="18">
        <f t="shared" si="300"/>
        <v>1.04838445098254</v>
      </c>
      <c r="K681" s="18">
        <f t="shared" si="301"/>
        <v>-0.00483844509825406</v>
      </c>
      <c r="L681" s="18">
        <f t="shared" si="302"/>
        <v>0</v>
      </c>
      <c r="M681" s="18">
        <v>0</v>
      </c>
      <c r="N681" s="18">
        <f t="shared" si="306"/>
        <v>1</v>
      </c>
      <c r="O681" s="11">
        <v>0</v>
      </c>
      <c r="P681" s="11">
        <v>0</v>
      </c>
      <c r="Q681" s="11">
        <f t="shared" si="312"/>
        <v>1</v>
      </c>
      <c r="R681" s="11">
        <v>0</v>
      </c>
      <c r="S681" s="11">
        <f t="shared" si="303"/>
        <v>0</v>
      </c>
      <c r="T681" s="11">
        <v>0</v>
      </c>
      <c r="U681" s="11">
        <f t="shared" si="313"/>
        <v>1</v>
      </c>
      <c r="V681" s="11">
        <v>0</v>
      </c>
      <c r="W681" s="11">
        <f t="shared" si="314"/>
        <v>1</v>
      </c>
      <c r="X681" s="11">
        <f t="shared" si="304"/>
        <v>0</v>
      </c>
      <c r="Y681" s="19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1">
        <v>0</v>
      </c>
      <c r="AG681" s="11">
        <v>0</v>
      </c>
      <c r="AH681" s="11">
        <v>0</v>
      </c>
      <c r="AI681" s="45">
        <v>0</v>
      </c>
      <c r="AJ681" s="45">
        <v>0</v>
      </c>
      <c r="AK681" s="45">
        <f t="shared" si="315"/>
        <v>0.3611</v>
      </c>
      <c r="AL681" s="45">
        <f t="shared" si="316"/>
        <v>0.00348095238095238</v>
      </c>
      <c r="AM681" s="45">
        <f t="shared" si="317"/>
        <v>0.0012569719047619</v>
      </c>
      <c r="AN681" s="45">
        <f t="shared" si="318"/>
        <v>0.792187500000004</v>
      </c>
      <c r="AO681" s="45">
        <f t="shared" si="319"/>
        <v>0.792187500000004</v>
      </c>
      <c r="AP681" s="45">
        <f t="shared" si="320"/>
        <v>1.05625000000001</v>
      </c>
      <c r="AQ681" s="45">
        <f t="shared" si="321"/>
        <v>0</v>
      </c>
      <c r="AR681" s="45">
        <f t="shared" si="322"/>
        <v>0</v>
      </c>
      <c r="AS681" s="19">
        <f t="shared" si="323"/>
        <v>1.07916666666667</v>
      </c>
      <c r="AT681" s="19">
        <f t="shared" si="324"/>
        <v>1.03333333333334</v>
      </c>
      <c r="AU681" s="46">
        <v>0</v>
      </c>
      <c r="AV681" s="46">
        <v>0</v>
      </c>
      <c r="AW681" s="46">
        <v>0</v>
      </c>
      <c r="AX681" s="46">
        <v>1</v>
      </c>
      <c r="AY681" s="47">
        <v>0</v>
      </c>
      <c r="AZ681" s="47">
        <v>-1</v>
      </c>
    </row>
    <row r="682" customHeight="1" spans="1:52">
      <c r="A682" s="44">
        <v>46007</v>
      </c>
      <c r="B682" s="33">
        <f t="shared" si="307"/>
        <v>9</v>
      </c>
      <c r="C682" s="33">
        <f t="shared" si="308"/>
        <v>-31</v>
      </c>
      <c r="D682" s="11">
        <f t="shared" si="309"/>
        <v>-22</v>
      </c>
      <c r="E682" s="34">
        <f t="shared" si="305"/>
        <v>-2.27070489708142e-6</v>
      </c>
      <c r="F682" s="35">
        <f t="shared" si="310"/>
        <v>0.00153045510063295</v>
      </c>
      <c r="G682" s="18">
        <f>(SUM($I$8:$I682)*(MAX(M$3-M$4,0))+(N682*MAX(M$4,0)))*(1-$AM$4)+(AM682*$AM$4)</f>
        <v>1.03305719292724</v>
      </c>
      <c r="H682" s="18">
        <f t="shared" si="299"/>
        <v>1.5</v>
      </c>
      <c r="I682" s="18">
        <f t="shared" si="311"/>
        <v>0</v>
      </c>
      <c r="J682" s="18">
        <f t="shared" si="300"/>
        <v>1.04683128883294</v>
      </c>
      <c r="K682" s="18">
        <f t="shared" si="301"/>
        <v>-0.00520347653699298</v>
      </c>
      <c r="L682" s="18">
        <f t="shared" si="302"/>
        <v>0</v>
      </c>
      <c r="M682" s="18">
        <v>0</v>
      </c>
      <c r="N682" s="18">
        <f t="shared" si="306"/>
        <v>1</v>
      </c>
      <c r="O682" s="11">
        <v>0</v>
      </c>
      <c r="P682" s="11">
        <v>0</v>
      </c>
      <c r="Q682" s="11">
        <f t="shared" si="312"/>
        <v>1</v>
      </c>
      <c r="R682" s="11">
        <v>0</v>
      </c>
      <c r="S682" s="11">
        <f t="shared" si="303"/>
        <v>0</v>
      </c>
      <c r="T682" s="11">
        <v>0</v>
      </c>
      <c r="U682" s="11">
        <f t="shared" si="313"/>
        <v>1</v>
      </c>
      <c r="V682" s="11">
        <v>0</v>
      </c>
      <c r="W682" s="11">
        <f t="shared" si="314"/>
        <v>1</v>
      </c>
      <c r="X682" s="11">
        <f t="shared" si="304"/>
        <v>0</v>
      </c>
      <c r="Y682" s="19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45">
        <v>0</v>
      </c>
      <c r="AJ682" s="45">
        <v>0</v>
      </c>
      <c r="AK682" s="45">
        <f t="shared" si="315"/>
        <v>0.3611</v>
      </c>
      <c r="AL682" s="45">
        <f t="shared" si="316"/>
        <v>0.00348095238095238</v>
      </c>
      <c r="AM682" s="45">
        <f t="shared" si="317"/>
        <v>0.0012569719047619</v>
      </c>
      <c r="AN682" s="45">
        <f t="shared" si="318"/>
        <v>0.792187500000004</v>
      </c>
      <c r="AO682" s="45">
        <f t="shared" si="319"/>
        <v>0.792187500000004</v>
      </c>
      <c r="AP682" s="45">
        <f t="shared" si="320"/>
        <v>1.05625000000001</v>
      </c>
      <c r="AQ682" s="45">
        <f t="shared" si="321"/>
        <v>0</v>
      </c>
      <c r="AR682" s="45">
        <f t="shared" si="322"/>
        <v>0</v>
      </c>
      <c r="AS682" s="19">
        <f t="shared" si="323"/>
        <v>1.07916666666667</v>
      </c>
      <c r="AT682" s="19">
        <f t="shared" si="324"/>
        <v>1.03333333333334</v>
      </c>
      <c r="AU682" s="46">
        <v>0</v>
      </c>
      <c r="AV682" s="46">
        <v>0</v>
      </c>
      <c r="AW682" s="46">
        <v>0</v>
      </c>
      <c r="AX682" s="46">
        <v>1</v>
      </c>
      <c r="AY682" s="47">
        <v>0</v>
      </c>
      <c r="AZ682" s="47">
        <v>-1</v>
      </c>
    </row>
    <row r="683" customHeight="1" spans="1:52">
      <c r="A683" s="44">
        <v>46008</v>
      </c>
      <c r="B683" s="33">
        <f t="shared" si="307"/>
        <v>8</v>
      </c>
      <c r="C683" s="33">
        <f t="shared" si="308"/>
        <v>-30</v>
      </c>
      <c r="D683" s="11">
        <f t="shared" si="309"/>
        <v>-22</v>
      </c>
      <c r="E683" s="34">
        <f t="shared" si="305"/>
        <v>-2.26398683525583e-6</v>
      </c>
      <c r="F683" s="35">
        <f t="shared" si="310"/>
        <v>0.00152819111379769</v>
      </c>
      <c r="G683" s="18">
        <f>(SUM($I$8:$I683)*(MAX(M$3-M$4,0))+(N683*MAX(M$4,0)))*(1-$AM$4)+(AM683*$AM$4)</f>
        <v>1.03305719292724</v>
      </c>
      <c r="H683" s="18">
        <f t="shared" si="299"/>
        <v>1.5</v>
      </c>
      <c r="I683" s="18">
        <f t="shared" si="311"/>
        <v>0</v>
      </c>
      <c r="J683" s="18">
        <f t="shared" si="300"/>
        <v>1.04528272183762</v>
      </c>
      <c r="K683" s="18">
        <f t="shared" si="301"/>
        <v>-0.00566034022970273</v>
      </c>
      <c r="L683" s="18">
        <f t="shared" si="302"/>
        <v>0</v>
      </c>
      <c r="M683" s="18">
        <v>0</v>
      </c>
      <c r="N683" s="18">
        <f t="shared" si="306"/>
        <v>1</v>
      </c>
      <c r="O683" s="11">
        <v>0</v>
      </c>
      <c r="P683" s="11">
        <v>0</v>
      </c>
      <c r="Q683" s="11">
        <f t="shared" si="312"/>
        <v>1</v>
      </c>
      <c r="R683" s="11">
        <v>0</v>
      </c>
      <c r="S683" s="11">
        <f t="shared" si="303"/>
        <v>0</v>
      </c>
      <c r="T683" s="11">
        <v>0</v>
      </c>
      <c r="U683" s="11">
        <f t="shared" si="313"/>
        <v>1</v>
      </c>
      <c r="V683" s="11">
        <v>0</v>
      </c>
      <c r="W683" s="11">
        <f t="shared" si="314"/>
        <v>1</v>
      </c>
      <c r="X683" s="11">
        <f t="shared" si="304"/>
        <v>0</v>
      </c>
      <c r="Y683" s="19">
        <v>0</v>
      </c>
      <c r="Z683" s="11">
        <v>0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1">
        <v>0</v>
      </c>
      <c r="AG683" s="11">
        <v>0</v>
      </c>
      <c r="AH683" s="11">
        <v>0</v>
      </c>
      <c r="AI683" s="45">
        <v>0</v>
      </c>
      <c r="AJ683" s="45">
        <v>0</v>
      </c>
      <c r="AK683" s="45">
        <f t="shared" si="315"/>
        <v>0.3611</v>
      </c>
      <c r="AL683" s="45">
        <f t="shared" si="316"/>
        <v>0.00348095238095238</v>
      </c>
      <c r="AM683" s="45">
        <f t="shared" si="317"/>
        <v>0.0012569719047619</v>
      </c>
      <c r="AN683" s="45">
        <f t="shared" si="318"/>
        <v>0.792187500000004</v>
      </c>
      <c r="AO683" s="45">
        <f t="shared" si="319"/>
        <v>0.792187500000004</v>
      </c>
      <c r="AP683" s="45">
        <f t="shared" si="320"/>
        <v>1.05625000000001</v>
      </c>
      <c r="AQ683" s="45">
        <f t="shared" si="321"/>
        <v>0</v>
      </c>
      <c r="AR683" s="45">
        <f t="shared" si="322"/>
        <v>0</v>
      </c>
      <c r="AS683" s="19">
        <f t="shared" si="323"/>
        <v>1.07916666666667</v>
      </c>
      <c r="AT683" s="19">
        <f t="shared" si="324"/>
        <v>1.03333333333334</v>
      </c>
      <c r="AU683" s="46">
        <v>0</v>
      </c>
      <c r="AV683" s="46">
        <v>0</v>
      </c>
      <c r="AW683" s="46">
        <v>0</v>
      </c>
      <c r="AX683" s="46">
        <v>1</v>
      </c>
      <c r="AY683" s="47">
        <v>0</v>
      </c>
      <c r="AZ683" s="47">
        <v>-1</v>
      </c>
    </row>
    <row r="684" customHeight="1" spans="1:52">
      <c r="A684" s="44">
        <v>46009</v>
      </c>
      <c r="B684" s="33">
        <f t="shared" si="307"/>
        <v>7</v>
      </c>
      <c r="C684" s="33">
        <f t="shared" si="308"/>
        <v>-29</v>
      </c>
      <c r="D684" s="11">
        <f t="shared" si="309"/>
        <v>-22</v>
      </c>
      <c r="E684" s="34">
        <f t="shared" si="305"/>
        <v>-2.25729854327569e-6</v>
      </c>
      <c r="F684" s="35">
        <f t="shared" si="310"/>
        <v>0.00152593381525442</v>
      </c>
      <c r="G684" s="18">
        <f>(SUM($I$8:$I684)*(MAX(M$3-M$4,0))+(N684*MAX(M$4,0)))*(1-$AM$4)+(AM684*$AM$4)</f>
        <v>1.03305719292724</v>
      </c>
      <c r="H684" s="18">
        <f t="shared" si="299"/>
        <v>1.5</v>
      </c>
      <c r="I684" s="18">
        <f t="shared" si="311"/>
        <v>0</v>
      </c>
      <c r="J684" s="18">
        <f t="shared" si="300"/>
        <v>1.04373872963402</v>
      </c>
      <c r="K684" s="18">
        <f t="shared" si="301"/>
        <v>-0.00624838994771732</v>
      </c>
      <c r="L684" s="18">
        <f t="shared" si="302"/>
        <v>0</v>
      </c>
      <c r="M684" s="18">
        <v>0</v>
      </c>
      <c r="N684" s="18">
        <f t="shared" si="306"/>
        <v>1</v>
      </c>
      <c r="O684" s="11">
        <v>0</v>
      </c>
      <c r="P684" s="11">
        <v>0</v>
      </c>
      <c r="Q684" s="11">
        <f t="shared" si="312"/>
        <v>1</v>
      </c>
      <c r="R684" s="11">
        <v>0</v>
      </c>
      <c r="S684" s="11">
        <f t="shared" si="303"/>
        <v>0</v>
      </c>
      <c r="T684" s="11">
        <v>0</v>
      </c>
      <c r="U684" s="11">
        <f t="shared" si="313"/>
        <v>1</v>
      </c>
      <c r="V684" s="11">
        <v>0</v>
      </c>
      <c r="W684" s="11">
        <f t="shared" si="314"/>
        <v>1</v>
      </c>
      <c r="X684" s="11">
        <f t="shared" si="304"/>
        <v>0</v>
      </c>
      <c r="Y684" s="19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45">
        <v>0</v>
      </c>
      <c r="AJ684" s="45">
        <v>0</v>
      </c>
      <c r="AK684" s="45">
        <f t="shared" si="315"/>
        <v>0.3611</v>
      </c>
      <c r="AL684" s="45">
        <f t="shared" si="316"/>
        <v>0.00348095238095238</v>
      </c>
      <c r="AM684" s="45">
        <f t="shared" si="317"/>
        <v>0.0012569719047619</v>
      </c>
      <c r="AN684" s="45">
        <f t="shared" si="318"/>
        <v>0.792187500000004</v>
      </c>
      <c r="AO684" s="45">
        <f t="shared" si="319"/>
        <v>0.792187500000004</v>
      </c>
      <c r="AP684" s="45">
        <f t="shared" si="320"/>
        <v>1.05625000000001</v>
      </c>
      <c r="AQ684" s="45">
        <f t="shared" si="321"/>
        <v>0</v>
      </c>
      <c r="AR684" s="45">
        <f t="shared" si="322"/>
        <v>0</v>
      </c>
      <c r="AS684" s="19">
        <f t="shared" si="323"/>
        <v>1.07916666666667</v>
      </c>
      <c r="AT684" s="19">
        <f t="shared" si="324"/>
        <v>1.03333333333334</v>
      </c>
      <c r="AU684" s="46">
        <v>0</v>
      </c>
      <c r="AV684" s="46">
        <v>0</v>
      </c>
      <c r="AW684" s="46">
        <v>0</v>
      </c>
      <c r="AX684" s="46">
        <v>1</v>
      </c>
      <c r="AY684" s="47">
        <v>0</v>
      </c>
      <c r="AZ684" s="47">
        <v>-1</v>
      </c>
    </row>
    <row r="685" customHeight="1" spans="1:52">
      <c r="A685" s="44">
        <v>46010</v>
      </c>
      <c r="B685" s="33">
        <f t="shared" si="307"/>
        <v>6</v>
      </c>
      <c r="C685" s="33">
        <f t="shared" si="308"/>
        <v>-28</v>
      </c>
      <c r="D685" s="11">
        <f t="shared" si="309"/>
        <v>-22</v>
      </c>
      <c r="E685" s="34">
        <f t="shared" si="305"/>
        <v>-2.25063984550804e-6</v>
      </c>
      <c r="F685" s="35">
        <f t="shared" si="310"/>
        <v>0.00152368317540891</v>
      </c>
      <c r="G685" s="18">
        <f>(SUM($I$8:$I685)*(MAX(M$3-M$4,0))+(N685*MAX(M$4,0)))*(1-$AM$4)+(AM685*$AM$4)</f>
        <v>1.03305719292724</v>
      </c>
      <c r="H685" s="18">
        <f t="shared" si="299"/>
        <v>1.5</v>
      </c>
      <c r="I685" s="18">
        <f t="shared" si="311"/>
        <v>0</v>
      </c>
      <c r="J685" s="18">
        <f t="shared" si="300"/>
        <v>1.04219929197969</v>
      </c>
      <c r="K685" s="18">
        <f t="shared" si="301"/>
        <v>-0.00703321532994896</v>
      </c>
      <c r="L685" s="18">
        <f t="shared" si="302"/>
        <v>0</v>
      </c>
      <c r="M685" s="18">
        <v>0</v>
      </c>
      <c r="N685" s="18">
        <f t="shared" si="306"/>
        <v>1</v>
      </c>
      <c r="O685" s="11">
        <v>0</v>
      </c>
      <c r="P685" s="11">
        <v>0</v>
      </c>
      <c r="Q685" s="11">
        <f t="shared" si="312"/>
        <v>1</v>
      </c>
      <c r="R685" s="11">
        <v>0</v>
      </c>
      <c r="S685" s="11">
        <f t="shared" si="303"/>
        <v>0</v>
      </c>
      <c r="T685" s="11">
        <v>0</v>
      </c>
      <c r="U685" s="11">
        <f t="shared" si="313"/>
        <v>1</v>
      </c>
      <c r="V685" s="11">
        <v>0</v>
      </c>
      <c r="W685" s="11">
        <f t="shared" si="314"/>
        <v>1</v>
      </c>
      <c r="X685" s="11">
        <f t="shared" si="304"/>
        <v>0</v>
      </c>
      <c r="Y685" s="19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1">
        <v>0</v>
      </c>
      <c r="AG685" s="11">
        <v>0</v>
      </c>
      <c r="AH685" s="11">
        <v>0</v>
      </c>
      <c r="AI685" s="45">
        <v>0</v>
      </c>
      <c r="AJ685" s="45">
        <v>0</v>
      </c>
      <c r="AK685" s="45">
        <f t="shared" si="315"/>
        <v>0.3611</v>
      </c>
      <c r="AL685" s="45">
        <f t="shared" si="316"/>
        <v>0.00348095238095238</v>
      </c>
      <c r="AM685" s="45">
        <f t="shared" si="317"/>
        <v>0.0012569719047619</v>
      </c>
      <c r="AN685" s="45">
        <f t="shared" si="318"/>
        <v>0.792187500000004</v>
      </c>
      <c r="AO685" s="45">
        <f t="shared" si="319"/>
        <v>0.792187500000004</v>
      </c>
      <c r="AP685" s="45">
        <f t="shared" si="320"/>
        <v>1.05625000000001</v>
      </c>
      <c r="AQ685" s="45">
        <f t="shared" si="321"/>
        <v>0</v>
      </c>
      <c r="AR685" s="45">
        <f t="shared" si="322"/>
        <v>0</v>
      </c>
      <c r="AS685" s="19">
        <f t="shared" si="323"/>
        <v>1.07916666666667</v>
      </c>
      <c r="AT685" s="19">
        <f t="shared" si="324"/>
        <v>1.03333333333334</v>
      </c>
      <c r="AU685" s="46">
        <v>0</v>
      </c>
      <c r="AV685" s="46">
        <v>0</v>
      </c>
      <c r="AW685" s="46">
        <v>0</v>
      </c>
      <c r="AX685" s="46">
        <v>1</v>
      </c>
      <c r="AY685" s="47">
        <v>0</v>
      </c>
      <c r="AZ685" s="47">
        <v>-1</v>
      </c>
    </row>
    <row r="686" customHeight="1" spans="1:52">
      <c r="A686" s="44">
        <v>46011</v>
      </c>
      <c r="B686" s="33">
        <f t="shared" si="307"/>
        <v>5</v>
      </c>
      <c r="C686" s="33">
        <f t="shared" si="308"/>
        <v>-27</v>
      </c>
      <c r="D686" s="11">
        <f t="shared" si="309"/>
        <v>-22</v>
      </c>
      <c r="E686" s="34">
        <f t="shared" si="305"/>
        <v>-2.24401056761253e-6</v>
      </c>
      <c r="F686" s="35">
        <f t="shared" si="310"/>
        <v>0.0015214391648413</v>
      </c>
      <c r="G686" s="18">
        <f>(SUM($I$8:$I686)*(MAX(M$3-M$4,0))+(N686*MAX(M$4,0)))*(1-$AM$4)+(AM686*$AM$4)</f>
        <v>1.03305719292724</v>
      </c>
      <c r="H686" s="18">
        <f t="shared" si="299"/>
        <v>1.5</v>
      </c>
      <c r="I686" s="18">
        <f t="shared" si="311"/>
        <v>0</v>
      </c>
      <c r="J686" s="18">
        <f t="shared" si="300"/>
        <v>1.04066438875145</v>
      </c>
      <c r="K686" s="18">
        <f t="shared" si="301"/>
        <v>-0.00813287775028936</v>
      </c>
      <c r="L686" s="18">
        <f t="shared" si="302"/>
        <v>0</v>
      </c>
      <c r="M686" s="18">
        <v>0</v>
      </c>
      <c r="N686" s="18">
        <f t="shared" si="306"/>
        <v>1</v>
      </c>
      <c r="O686" s="11">
        <v>0</v>
      </c>
      <c r="P686" s="11">
        <v>0</v>
      </c>
      <c r="Q686" s="11">
        <f t="shared" si="312"/>
        <v>1</v>
      </c>
      <c r="R686" s="11">
        <v>0</v>
      </c>
      <c r="S686" s="11">
        <f t="shared" si="303"/>
        <v>0</v>
      </c>
      <c r="T686" s="11">
        <v>0</v>
      </c>
      <c r="U686" s="11">
        <f t="shared" si="313"/>
        <v>1</v>
      </c>
      <c r="V686" s="11">
        <v>0</v>
      </c>
      <c r="W686" s="11">
        <f t="shared" si="314"/>
        <v>1</v>
      </c>
      <c r="X686" s="11">
        <f t="shared" si="304"/>
        <v>0</v>
      </c>
      <c r="Y686" s="19">
        <v>0</v>
      </c>
      <c r="Z686" s="11">
        <v>0</v>
      </c>
      <c r="AA686" s="11">
        <v>0</v>
      </c>
      <c r="AB686" s="11">
        <v>0</v>
      </c>
      <c r="AC686" s="11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45">
        <v>0</v>
      </c>
      <c r="AJ686" s="45">
        <v>0</v>
      </c>
      <c r="AK686" s="45">
        <f t="shared" si="315"/>
        <v>0.3611</v>
      </c>
      <c r="AL686" s="45">
        <f t="shared" si="316"/>
        <v>0.00348095238095238</v>
      </c>
      <c r="AM686" s="45">
        <f t="shared" si="317"/>
        <v>0.0012569719047619</v>
      </c>
      <c r="AN686" s="45">
        <f t="shared" si="318"/>
        <v>0.792187500000004</v>
      </c>
      <c r="AO686" s="45">
        <f t="shared" si="319"/>
        <v>0.792187500000004</v>
      </c>
      <c r="AP686" s="45">
        <f t="shared" si="320"/>
        <v>1.05625000000001</v>
      </c>
      <c r="AQ686" s="45">
        <f t="shared" si="321"/>
        <v>0</v>
      </c>
      <c r="AR686" s="45">
        <f t="shared" si="322"/>
        <v>0</v>
      </c>
      <c r="AS686" s="19">
        <f t="shared" si="323"/>
        <v>1.07916666666667</v>
      </c>
      <c r="AT686" s="19">
        <f t="shared" si="324"/>
        <v>1.03333333333334</v>
      </c>
      <c r="AU686" s="46">
        <v>0</v>
      </c>
      <c r="AV686" s="46">
        <v>0</v>
      </c>
      <c r="AW686" s="46">
        <v>0</v>
      </c>
      <c r="AX686" s="46">
        <v>1</v>
      </c>
      <c r="AY686" s="47">
        <v>0</v>
      </c>
      <c r="AZ686" s="47">
        <v>-1</v>
      </c>
    </row>
    <row r="687" customHeight="1" spans="1:52">
      <c r="A687" s="44">
        <v>46012</v>
      </c>
      <c r="B687" s="33">
        <f t="shared" si="307"/>
        <v>4</v>
      </c>
      <c r="C687" s="33">
        <f t="shared" si="308"/>
        <v>-26</v>
      </c>
      <c r="D687" s="11">
        <f t="shared" si="309"/>
        <v>-22</v>
      </c>
      <c r="E687" s="34">
        <f t="shared" si="305"/>
        <v>-2.2374105365314e-6</v>
      </c>
      <c r="F687" s="35">
        <f t="shared" si="310"/>
        <v>0.00151920175430477</v>
      </c>
      <c r="G687" s="18">
        <f>(SUM($I$8:$I687)*(MAX(M$3-M$4,0))+(N687*MAX(M$4,0)))*(1-$AM$4)+(AM687*$AM$4)</f>
        <v>1.03305719292724</v>
      </c>
      <c r="H687" s="18">
        <f t="shared" si="299"/>
        <v>1.5</v>
      </c>
      <c r="I687" s="18">
        <f t="shared" si="311"/>
        <v>0</v>
      </c>
      <c r="J687" s="18">
        <f t="shared" si="300"/>
        <v>1.03913399994446</v>
      </c>
      <c r="K687" s="18">
        <f t="shared" si="301"/>
        <v>-0.00978349998611484</v>
      </c>
      <c r="L687" s="18">
        <f t="shared" si="302"/>
        <v>0</v>
      </c>
      <c r="M687" s="18">
        <v>0</v>
      </c>
      <c r="N687" s="18">
        <f t="shared" si="306"/>
        <v>1</v>
      </c>
      <c r="O687" s="11">
        <v>0</v>
      </c>
      <c r="P687" s="11">
        <v>0</v>
      </c>
      <c r="Q687" s="11">
        <f t="shared" si="312"/>
        <v>1</v>
      </c>
      <c r="R687" s="11">
        <v>0</v>
      </c>
      <c r="S687" s="11">
        <f t="shared" si="303"/>
        <v>0</v>
      </c>
      <c r="T687" s="11">
        <v>0</v>
      </c>
      <c r="U687" s="11">
        <f t="shared" si="313"/>
        <v>1</v>
      </c>
      <c r="V687" s="11">
        <v>0</v>
      </c>
      <c r="W687" s="11">
        <f t="shared" si="314"/>
        <v>1</v>
      </c>
      <c r="X687" s="11">
        <f t="shared" si="304"/>
        <v>0</v>
      </c>
      <c r="Y687" s="19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1">
        <v>0</v>
      </c>
      <c r="AG687" s="11">
        <v>0</v>
      </c>
      <c r="AH687" s="11">
        <v>0</v>
      </c>
      <c r="AI687" s="45">
        <v>0</v>
      </c>
      <c r="AJ687" s="45">
        <v>0</v>
      </c>
      <c r="AK687" s="45">
        <f t="shared" si="315"/>
        <v>0.3611</v>
      </c>
      <c r="AL687" s="45">
        <f t="shared" si="316"/>
        <v>0.00348095238095238</v>
      </c>
      <c r="AM687" s="45">
        <f t="shared" si="317"/>
        <v>0.0012569719047619</v>
      </c>
      <c r="AN687" s="45">
        <f t="shared" si="318"/>
        <v>0.792187500000004</v>
      </c>
      <c r="AO687" s="45">
        <f t="shared" si="319"/>
        <v>0.792187500000004</v>
      </c>
      <c r="AP687" s="45">
        <f t="shared" si="320"/>
        <v>1.05625000000001</v>
      </c>
      <c r="AQ687" s="45">
        <f t="shared" si="321"/>
        <v>0</v>
      </c>
      <c r="AR687" s="45">
        <f t="shared" si="322"/>
        <v>0</v>
      </c>
      <c r="AS687" s="19">
        <f t="shared" si="323"/>
        <v>1.07916666666667</v>
      </c>
      <c r="AT687" s="19">
        <f t="shared" si="324"/>
        <v>1.03333333333334</v>
      </c>
      <c r="AU687" s="46">
        <v>0</v>
      </c>
      <c r="AV687" s="46">
        <v>0</v>
      </c>
      <c r="AW687" s="46">
        <v>0</v>
      </c>
      <c r="AX687" s="46">
        <v>1</v>
      </c>
      <c r="AY687" s="47">
        <v>0</v>
      </c>
      <c r="AZ687" s="47">
        <v>-1</v>
      </c>
    </row>
    <row r="688" customHeight="1" spans="1:52">
      <c r="A688" s="44">
        <v>46013</v>
      </c>
      <c r="B688" s="33">
        <f t="shared" si="307"/>
        <v>3</v>
      </c>
      <c r="C688" s="33">
        <f t="shared" si="308"/>
        <v>-25</v>
      </c>
      <c r="D688" s="11">
        <f t="shared" si="309"/>
        <v>-22</v>
      </c>
      <c r="E688" s="34">
        <f t="shared" si="305"/>
        <v>-2.23083958047696e-6</v>
      </c>
      <c r="F688" s="35">
        <f t="shared" si="310"/>
        <v>0.00151697091472429</v>
      </c>
      <c r="G688" s="18">
        <f>(SUM($I$8:$I688)*(MAX(M$3-M$4,0))+(N688*MAX(M$4,0)))*(1-$AM$4)+(AM688*$AM$4)</f>
        <v>1.03305719292724</v>
      </c>
      <c r="H688" s="18">
        <f t="shared" si="299"/>
        <v>1.5</v>
      </c>
      <c r="I688" s="18">
        <f t="shared" si="311"/>
        <v>0</v>
      </c>
      <c r="J688" s="18">
        <f t="shared" si="300"/>
        <v>1.03760810567141</v>
      </c>
      <c r="K688" s="18">
        <f t="shared" si="301"/>
        <v>-0.0125360352238044</v>
      </c>
      <c r="L688" s="18">
        <f t="shared" si="302"/>
        <v>0</v>
      </c>
      <c r="M688" s="18">
        <v>0</v>
      </c>
      <c r="N688" s="18">
        <f t="shared" si="306"/>
        <v>1</v>
      </c>
      <c r="O688" s="11">
        <v>0</v>
      </c>
      <c r="P688" s="11">
        <v>0</v>
      </c>
      <c r="Q688" s="11">
        <f t="shared" si="312"/>
        <v>1</v>
      </c>
      <c r="R688" s="11">
        <v>0</v>
      </c>
      <c r="S688" s="11">
        <f t="shared" si="303"/>
        <v>0</v>
      </c>
      <c r="T688" s="11">
        <v>0</v>
      </c>
      <c r="U688" s="11">
        <f t="shared" si="313"/>
        <v>1</v>
      </c>
      <c r="V688" s="11">
        <v>0</v>
      </c>
      <c r="W688" s="11">
        <f t="shared" si="314"/>
        <v>1</v>
      </c>
      <c r="X688" s="11">
        <f t="shared" si="304"/>
        <v>0</v>
      </c>
      <c r="Y688" s="19">
        <v>0</v>
      </c>
      <c r="Z688" s="11">
        <v>0</v>
      </c>
      <c r="AA688" s="11">
        <v>0</v>
      </c>
      <c r="AB688" s="11">
        <v>0</v>
      </c>
      <c r="AC688" s="11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45">
        <v>0</v>
      </c>
      <c r="AJ688" s="45">
        <v>0</v>
      </c>
      <c r="AK688" s="45">
        <f t="shared" si="315"/>
        <v>0.3611</v>
      </c>
      <c r="AL688" s="45">
        <f t="shared" si="316"/>
        <v>0.00348095238095238</v>
      </c>
      <c r="AM688" s="45">
        <f t="shared" si="317"/>
        <v>0.0012569719047619</v>
      </c>
      <c r="AN688" s="45">
        <f t="shared" si="318"/>
        <v>0.792187500000004</v>
      </c>
      <c r="AO688" s="45">
        <f t="shared" si="319"/>
        <v>0.792187500000004</v>
      </c>
      <c r="AP688" s="45">
        <f t="shared" si="320"/>
        <v>1.05625000000001</v>
      </c>
      <c r="AQ688" s="45">
        <f t="shared" si="321"/>
        <v>0</v>
      </c>
      <c r="AR688" s="45">
        <f t="shared" si="322"/>
        <v>0</v>
      </c>
      <c r="AS688" s="19">
        <f t="shared" si="323"/>
        <v>1.07916666666667</v>
      </c>
      <c r="AT688" s="19">
        <f t="shared" si="324"/>
        <v>1.03333333333334</v>
      </c>
      <c r="AU688" s="46">
        <v>0</v>
      </c>
      <c r="AV688" s="46">
        <v>0</v>
      </c>
      <c r="AW688" s="46">
        <v>0</v>
      </c>
      <c r="AX688" s="46">
        <v>1</v>
      </c>
      <c r="AY688" s="47">
        <v>0</v>
      </c>
      <c r="AZ688" s="47">
        <v>-1</v>
      </c>
    </row>
    <row r="689" customHeight="1" spans="1:52">
      <c r="A689" s="44">
        <v>46014</v>
      </c>
      <c r="B689" s="33">
        <f t="shared" si="307"/>
        <v>2</v>
      </c>
      <c r="C689" s="33">
        <f t="shared" si="308"/>
        <v>-24</v>
      </c>
      <c r="D689" s="11">
        <f t="shared" si="309"/>
        <v>-22</v>
      </c>
      <c r="E689" s="34">
        <f t="shared" si="305"/>
        <v>-2.22429752892109e-6</v>
      </c>
      <c r="F689" s="35">
        <f t="shared" si="310"/>
        <v>0.00151474661719537</v>
      </c>
      <c r="G689" s="18">
        <f>(SUM($I$8:$I689)*(MAX(M$3-M$4,0))+(N689*MAX(M$4,0)))*(1-$AM$4)+(AM689*$AM$4)</f>
        <v>1.03305719292724</v>
      </c>
      <c r="H689" s="18">
        <f t="shared" si="299"/>
        <v>1.5</v>
      </c>
      <c r="I689" s="18">
        <f t="shared" si="311"/>
        <v>0</v>
      </c>
      <c r="J689" s="18">
        <f t="shared" si="300"/>
        <v>1.03608668616163</v>
      </c>
      <c r="K689" s="18">
        <f t="shared" si="301"/>
        <v>-0.0180433430808155</v>
      </c>
      <c r="L689" s="18">
        <f t="shared" si="302"/>
        <v>0</v>
      </c>
      <c r="M689" s="18">
        <v>0</v>
      </c>
      <c r="N689" s="18">
        <f t="shared" si="306"/>
        <v>1</v>
      </c>
      <c r="O689" s="11">
        <v>0</v>
      </c>
      <c r="P689" s="11">
        <v>0</v>
      </c>
      <c r="Q689" s="11">
        <f t="shared" si="312"/>
        <v>1</v>
      </c>
      <c r="R689" s="11">
        <v>0</v>
      </c>
      <c r="S689" s="11">
        <f t="shared" si="303"/>
        <v>0</v>
      </c>
      <c r="T689" s="11">
        <v>0</v>
      </c>
      <c r="U689" s="11">
        <f t="shared" si="313"/>
        <v>1</v>
      </c>
      <c r="V689" s="11">
        <v>0</v>
      </c>
      <c r="W689" s="11">
        <f t="shared" si="314"/>
        <v>1</v>
      </c>
      <c r="X689" s="11">
        <f t="shared" si="304"/>
        <v>0</v>
      </c>
      <c r="Y689" s="19">
        <v>0</v>
      </c>
      <c r="Z689" s="11">
        <v>0</v>
      </c>
      <c r="AA689" s="11">
        <v>0</v>
      </c>
      <c r="AB689" s="11">
        <v>0</v>
      </c>
      <c r="AC689" s="11">
        <v>0</v>
      </c>
      <c r="AD689" s="11">
        <v>0</v>
      </c>
      <c r="AE689" s="11">
        <v>0</v>
      </c>
      <c r="AF689" s="11">
        <v>0</v>
      </c>
      <c r="AG689" s="11">
        <v>0</v>
      </c>
      <c r="AH689" s="11">
        <v>0</v>
      </c>
      <c r="AI689" s="45">
        <v>0</v>
      </c>
      <c r="AJ689" s="45">
        <v>0</v>
      </c>
      <c r="AK689" s="45">
        <f t="shared" si="315"/>
        <v>0.3611</v>
      </c>
      <c r="AL689" s="45">
        <f t="shared" si="316"/>
        <v>0.00348095238095238</v>
      </c>
      <c r="AM689" s="45">
        <f t="shared" si="317"/>
        <v>0.0012569719047619</v>
      </c>
      <c r="AN689" s="45">
        <f t="shared" si="318"/>
        <v>0.792187500000004</v>
      </c>
      <c r="AO689" s="45">
        <f t="shared" si="319"/>
        <v>0.792187500000004</v>
      </c>
      <c r="AP689" s="45">
        <f t="shared" si="320"/>
        <v>1.05625000000001</v>
      </c>
      <c r="AQ689" s="45">
        <f t="shared" si="321"/>
        <v>0</v>
      </c>
      <c r="AR689" s="45">
        <f t="shared" si="322"/>
        <v>0</v>
      </c>
      <c r="AS689" s="19">
        <f t="shared" si="323"/>
        <v>1.07916666666667</v>
      </c>
      <c r="AT689" s="19">
        <f t="shared" si="324"/>
        <v>1.03333333333334</v>
      </c>
      <c r="AU689" s="46">
        <v>0</v>
      </c>
      <c r="AV689" s="46">
        <v>0</v>
      </c>
      <c r="AW689" s="46">
        <v>0</v>
      </c>
      <c r="AX689" s="46">
        <v>1</v>
      </c>
      <c r="AY689" s="47">
        <v>0</v>
      </c>
      <c r="AZ689" s="47">
        <v>-1</v>
      </c>
    </row>
    <row r="690" customHeight="1" spans="1:52">
      <c r="A690" s="44">
        <v>46015</v>
      </c>
      <c r="B690" s="33">
        <f t="shared" si="307"/>
        <v>1</v>
      </c>
      <c r="C690" s="33">
        <f t="shared" si="308"/>
        <v>-23</v>
      </c>
      <c r="D690" s="11">
        <f t="shared" si="309"/>
        <v>-22</v>
      </c>
      <c r="E690" s="34">
        <f t="shared" si="305"/>
        <v>-2.21778421258473e-6</v>
      </c>
      <c r="F690" s="35">
        <f t="shared" si="310"/>
        <v>0.00151252883298278</v>
      </c>
      <c r="G690" s="18">
        <f>(SUM($I$8:$I690)*(MAX(M$3-M$4,0))+(N690*MAX(M$4,0)))*(1-$AM$4)+(AM690*$AM$4)</f>
        <v>1.03305719292724</v>
      </c>
      <c r="H690" s="18">
        <f t="shared" si="299"/>
        <v>1.5</v>
      </c>
      <c r="I690" s="18">
        <f t="shared" si="311"/>
        <v>0</v>
      </c>
      <c r="J690" s="18">
        <f t="shared" si="300"/>
        <v>1.03456972176022</v>
      </c>
      <c r="K690" s="18">
        <f t="shared" si="301"/>
        <v>-0.0345697217602231</v>
      </c>
      <c r="L690" s="18">
        <f t="shared" si="302"/>
        <v>0</v>
      </c>
      <c r="M690" s="18">
        <v>0</v>
      </c>
      <c r="N690" s="18">
        <f t="shared" si="306"/>
        <v>1</v>
      </c>
      <c r="O690" s="11">
        <v>0</v>
      </c>
      <c r="P690" s="11">
        <v>0</v>
      </c>
      <c r="Q690" s="11">
        <f t="shared" si="312"/>
        <v>1</v>
      </c>
      <c r="R690" s="11">
        <v>0</v>
      </c>
      <c r="S690" s="11">
        <f t="shared" si="303"/>
        <v>0</v>
      </c>
      <c r="T690" s="11">
        <v>0</v>
      </c>
      <c r="U690" s="11">
        <f t="shared" si="313"/>
        <v>1</v>
      </c>
      <c r="V690" s="11">
        <v>0</v>
      </c>
      <c r="W690" s="11">
        <f t="shared" si="314"/>
        <v>1</v>
      </c>
      <c r="X690" s="11">
        <f t="shared" si="304"/>
        <v>0</v>
      </c>
      <c r="Y690" s="19">
        <v>0</v>
      </c>
      <c r="Z690" s="11">
        <v>0</v>
      </c>
      <c r="AA690" s="11">
        <v>0</v>
      </c>
      <c r="AB690" s="11">
        <v>0</v>
      </c>
      <c r="AC690" s="11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45">
        <v>0</v>
      </c>
      <c r="AJ690" s="45">
        <v>0</v>
      </c>
      <c r="AK690" s="45">
        <f t="shared" si="315"/>
        <v>0.3611</v>
      </c>
      <c r="AL690" s="45">
        <f t="shared" si="316"/>
        <v>0.00348095238095238</v>
      </c>
      <c r="AM690" s="45">
        <f t="shared" si="317"/>
        <v>0.0012569719047619</v>
      </c>
      <c r="AN690" s="45">
        <f t="shared" si="318"/>
        <v>0.792187500000004</v>
      </c>
      <c r="AO690" s="45">
        <f t="shared" si="319"/>
        <v>0.792187500000004</v>
      </c>
      <c r="AP690" s="45">
        <f t="shared" si="320"/>
        <v>1.05625000000001</v>
      </c>
      <c r="AQ690" s="45">
        <f t="shared" si="321"/>
        <v>0</v>
      </c>
      <c r="AR690" s="45">
        <f t="shared" si="322"/>
        <v>0</v>
      </c>
      <c r="AS690" s="19">
        <f t="shared" si="323"/>
        <v>1.07916666666667</v>
      </c>
      <c r="AT690" s="19">
        <f t="shared" si="324"/>
        <v>1.03333333333334</v>
      </c>
      <c r="AU690" s="46">
        <v>0</v>
      </c>
      <c r="AV690" s="46">
        <v>0</v>
      </c>
      <c r="AW690" s="46">
        <v>0</v>
      </c>
      <c r="AX690" s="46">
        <v>1</v>
      </c>
      <c r="AY690" s="47">
        <v>0</v>
      </c>
      <c r="AZ690" s="47">
        <v>-1</v>
      </c>
    </row>
  </sheetData>
  <autoFilter xmlns:etc="http://www.wps.cn/officeDocument/2017/etCustomData" ref="A1:AZ690" etc:filterBottomFollowUsedRange="0">
    <filterColumn colId="0">
      <filters>
        <dateGroupItem year="2025" month="12" dateTimeGrouping="month"/>
      </filters>
    </filterColumn>
    <extLst>
      <etc:autoFilterAnalysis etc:version="v1" etc:showPane="0">
        <etc:analysisCharts>
          <etc:chart etc:type="pie">
            <etc:category etc:colId="-1"/>
            <etc:seriesCollections etc:count="1">
              <etc:series etc:colId="21" etc:subtotal="sum"/>
            </etc:seriesCollections>
          </etc:chart>
        </etc:analysisCharts>
      </etc:autoFilterAnalysis>
    </extLst>
  </autoFilter>
  <conditionalFormatting sqref="A8:A690">
    <cfRule type="cellIs" dxfId="0" priority="4" operator="equal">
      <formula>TODAY()</formula>
    </cfRule>
  </conditionalFormatting>
  <conditionalFormatting sqref="E8:E690">
    <cfRule type="cellIs" dxfId="1" priority="6" operator="lessThan">
      <formula>0</formula>
    </cfRule>
    <cfRule type="cellIs" dxfId="2" priority="1" operator="lessThan">
      <formula>-0.000002</formula>
    </cfRule>
  </conditionalFormatting>
  <conditionalFormatting sqref="J8:J690">
    <cfRule type="cellIs" dxfId="3" priority="3" operator="lessThan">
      <formula>0.75</formula>
    </cfRule>
    <cfRule type="cellIs" dxfId="2" priority="2" operator="lessThan">
      <formula>0.6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AB48"/>
  <sheetViews>
    <sheetView workbookViewId="0">
      <pane xSplit="1" ySplit="16" topLeftCell="B29" activePane="bottomRight" state="frozen"/>
      <selection/>
      <selection pane="topRight"/>
      <selection pane="bottomLeft"/>
      <selection pane="bottomRight" activeCell="AA41" sqref="AA41"/>
    </sheetView>
  </sheetViews>
  <sheetFormatPr defaultColWidth="10.7777777777778" defaultRowHeight="14.4"/>
  <cols>
    <col min="1" max="1" width="10.7777777777778" style="3" customWidth="1"/>
    <col min="2" max="24" width="10.7777777777778" style="3" hidden="1" customWidth="1"/>
    <col min="25" max="16384" width="10.7777777777778" style="3" customWidth="1"/>
  </cols>
  <sheetData>
    <row r="1" hidden="1" spans="1:28">
      <c r="A1" s="3" t="s">
        <v>59</v>
      </c>
      <c r="B1" s="3" t="s">
        <v>60</v>
      </c>
      <c r="F1" s="3" t="s">
        <v>61</v>
      </c>
      <c r="K1" s="3" t="s">
        <v>62</v>
      </c>
      <c r="L1" s="3">
        <v>20251109</v>
      </c>
      <c r="M1" s="3">
        <v>20251122</v>
      </c>
      <c r="N1" s="3">
        <v>20251126</v>
      </c>
    </row>
    <row r="2" hidden="1" spans="1:28">
      <c r="A2" s="3" t="s">
        <v>63</v>
      </c>
      <c r="B2" s="6" t="s">
        <v>64</v>
      </c>
      <c r="C2" s="6" t="s">
        <v>65</v>
      </c>
      <c r="D2" s="7" t="s">
        <v>66</v>
      </c>
      <c r="E2" s="7" t="s">
        <v>67</v>
      </c>
      <c r="F2" s="8" t="s">
        <v>64</v>
      </c>
      <c r="G2" s="8" t="s">
        <v>68</v>
      </c>
      <c r="H2" s="8" t="s">
        <v>69</v>
      </c>
      <c r="I2" s="9" t="s">
        <v>70</v>
      </c>
      <c r="P2" s="3" t="s">
        <v>71</v>
      </c>
    </row>
    <row r="3" hidden="1" spans="1:28">
      <c r="A3" s="3" t="s">
        <v>72</v>
      </c>
      <c r="B3" s="3">
        <v>187</v>
      </c>
      <c r="C3" s="3">
        <v>144</v>
      </c>
      <c r="D3" s="3">
        <v>57</v>
      </c>
      <c r="E3" s="3">
        <v>44</v>
      </c>
      <c r="F3" s="3">
        <v>196</v>
      </c>
      <c r="G3" s="3">
        <v>59</v>
      </c>
      <c r="H3" s="3">
        <v>67</v>
      </c>
      <c r="I3" s="3">
        <v>155</v>
      </c>
      <c r="K3" s="3" t="s">
        <v>73</v>
      </c>
      <c r="L3" s="3" t="s">
        <v>74</v>
      </c>
      <c r="M3" s="3" t="s">
        <v>75</v>
      </c>
      <c r="N3" s="3" t="s">
        <v>76</v>
      </c>
      <c r="O3" s="3" t="s">
        <v>77</v>
      </c>
      <c r="P3" s="3" t="s">
        <v>78</v>
      </c>
      <c r="Q3" s="3" t="s">
        <v>79</v>
      </c>
    </row>
    <row r="4" hidden="1" spans="1:28">
      <c r="A4" s="3" t="s">
        <v>80</v>
      </c>
      <c r="B4" s="3">
        <v>187</v>
      </c>
      <c r="C4" s="3">
        <v>144</v>
      </c>
      <c r="D4" s="3">
        <v>57</v>
      </c>
      <c r="E4" s="3">
        <v>44</v>
      </c>
      <c r="F4" s="3">
        <v>196</v>
      </c>
      <c r="G4" s="3">
        <v>59</v>
      </c>
      <c r="H4" s="3">
        <v>67</v>
      </c>
      <c r="I4" s="3">
        <v>155</v>
      </c>
    </row>
    <row r="5" hidden="1" spans="1:28">
      <c r="A5" s="3" t="s">
        <v>81</v>
      </c>
      <c r="B5" s="2">
        <f t="shared" ref="B5:I5" si="0">B4/MAX(1,B3)</f>
        <v>1</v>
      </c>
      <c r="C5" s="2">
        <f t="shared" si="0"/>
        <v>1</v>
      </c>
      <c r="D5" s="2">
        <f t="shared" si="0"/>
        <v>1</v>
      </c>
      <c r="E5" s="2">
        <f t="shared" si="0"/>
        <v>1</v>
      </c>
      <c r="F5" s="2">
        <f t="shared" si="0"/>
        <v>1</v>
      </c>
      <c r="G5" s="2">
        <f t="shared" si="0"/>
        <v>1</v>
      </c>
      <c r="H5" s="2">
        <f t="shared" si="0"/>
        <v>1</v>
      </c>
      <c r="I5" s="2">
        <f t="shared" si="0"/>
        <v>1</v>
      </c>
    </row>
    <row r="6" hidden="1" spans="1:28">
      <c r="A6" s="3" t="s">
        <v>82</v>
      </c>
      <c r="B6" s="2">
        <f>AVERAGE(B5:I5)</f>
        <v>1</v>
      </c>
      <c r="C6" s="2"/>
      <c r="D6" s="2"/>
      <c r="E6" s="2"/>
      <c r="F6" s="2"/>
      <c r="G6" s="2"/>
      <c r="H6" s="2"/>
      <c r="I6" s="2"/>
    </row>
    <row r="7" hidden="1"/>
    <row r="8" hidden="1" spans="1:28">
      <c r="A8" s="3" t="s">
        <v>83</v>
      </c>
      <c r="B8" s="3" t="s">
        <v>84</v>
      </c>
      <c r="C8" s="3" t="s">
        <v>85</v>
      </c>
      <c r="D8" s="3" t="s">
        <v>86</v>
      </c>
      <c r="E8" s="3" t="s">
        <v>87</v>
      </c>
      <c r="F8" s="3" t="s">
        <v>88</v>
      </c>
      <c r="G8" s="3" t="s">
        <v>89</v>
      </c>
      <c r="H8" s="3" t="s">
        <v>90</v>
      </c>
      <c r="I8" s="3" t="s">
        <v>91</v>
      </c>
      <c r="J8" s="3" t="s">
        <v>92</v>
      </c>
      <c r="K8" s="3" t="s">
        <v>93</v>
      </c>
      <c r="L8" s="3" t="s">
        <v>94</v>
      </c>
      <c r="M8" s="3" t="s">
        <v>95</v>
      </c>
      <c r="N8" s="3" t="s">
        <v>96</v>
      </c>
      <c r="O8" s="3" t="s">
        <v>97</v>
      </c>
    </row>
    <row r="9" hidden="1" spans="1:28">
      <c r="A9" s="3">
        <v>2021</v>
      </c>
    </row>
    <row r="10" hidden="1" spans="1:28">
      <c r="A10" s="3">
        <v>2022</v>
      </c>
    </row>
    <row r="11" hidden="1" spans="1:28">
      <c r="A11" s="3">
        <v>2023</v>
      </c>
    </row>
    <row r="12" hidden="1" spans="1:28">
      <c r="A12" s="3">
        <v>2024</v>
      </c>
    </row>
    <row r="13" hidden="1" spans="1:28">
      <c r="A13" s="3">
        <v>2025</v>
      </c>
    </row>
    <row r="14" hidden="1" spans="1:28">
      <c r="A14" s="3" t="s">
        <v>98</v>
      </c>
      <c r="B14" s="3">
        <v>80</v>
      </c>
      <c r="C14" s="3">
        <v>70</v>
      </c>
      <c r="D14" s="3">
        <v>50</v>
      </c>
      <c r="E14" s="3">
        <v>30</v>
      </c>
      <c r="F14" s="3">
        <v>70</v>
      </c>
      <c r="G14" s="3">
        <v>150</v>
      </c>
      <c r="H14" s="3">
        <v>150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</row>
    <row r="15" hidden="1"/>
    <row r="16" spans="1:28">
      <c r="A16" s="3" t="s">
        <v>99</v>
      </c>
      <c r="B16" s="3" t="s">
        <v>100</v>
      </c>
      <c r="C16" s="3" t="s">
        <v>101</v>
      </c>
      <c r="D16" s="3" t="s">
        <v>100</v>
      </c>
      <c r="E16" s="3" t="s">
        <v>101</v>
      </c>
      <c r="F16" s="3" t="s">
        <v>100</v>
      </c>
      <c r="G16" s="3" t="s">
        <v>101</v>
      </c>
      <c r="H16" s="3" t="s">
        <v>100</v>
      </c>
      <c r="I16" s="3" t="s">
        <v>100</v>
      </c>
      <c r="J16" s="3" t="s">
        <v>101</v>
      </c>
      <c r="K16" s="3" t="s">
        <v>101</v>
      </c>
      <c r="L16" s="3" t="s">
        <v>102</v>
      </c>
      <c r="M16" s="3" t="s">
        <v>102</v>
      </c>
      <c r="N16" s="3" t="s">
        <v>102</v>
      </c>
      <c r="O16" s="3" t="s">
        <v>102</v>
      </c>
      <c r="P16" s="3" t="s">
        <v>102</v>
      </c>
      <c r="Q16" s="3" t="s">
        <v>102</v>
      </c>
      <c r="R16" s="3" t="s">
        <v>102</v>
      </c>
      <c r="S16" s="3" t="s">
        <v>103</v>
      </c>
      <c r="T16" s="3" t="s">
        <v>103</v>
      </c>
      <c r="U16" s="3" t="s">
        <v>103</v>
      </c>
      <c r="V16" s="3" t="s">
        <v>101</v>
      </c>
      <c r="W16" s="3" t="s">
        <v>101</v>
      </c>
      <c r="X16" s="3" t="s">
        <v>101</v>
      </c>
      <c r="Y16" s="3" t="s">
        <v>104</v>
      </c>
      <c r="Z16" s="3" t="s">
        <v>104</v>
      </c>
      <c r="AA16" s="3" t="s">
        <v>104</v>
      </c>
      <c r="AB16" s="3" t="s">
        <v>104</v>
      </c>
    </row>
    <row r="17" spans="1:28">
      <c r="A17" s="3" t="s">
        <v>105</v>
      </c>
      <c r="B17" s="3">
        <v>1</v>
      </c>
      <c r="C17" s="3">
        <v>1</v>
      </c>
      <c r="D17" s="3">
        <v>2</v>
      </c>
      <c r="E17" s="3">
        <v>2</v>
      </c>
      <c r="F17" s="3">
        <v>3</v>
      </c>
      <c r="G17" s="3">
        <v>3</v>
      </c>
      <c r="H17" s="3">
        <v>4</v>
      </c>
      <c r="I17" s="3">
        <v>5</v>
      </c>
      <c r="J17" s="3">
        <v>4</v>
      </c>
      <c r="K17" s="3">
        <v>5</v>
      </c>
      <c r="L17" s="3" t="s">
        <v>106</v>
      </c>
      <c r="M17" s="3" t="s">
        <v>107</v>
      </c>
      <c r="N17" s="3" t="s">
        <v>108</v>
      </c>
      <c r="O17" s="3" t="s">
        <v>109</v>
      </c>
      <c r="P17" s="3" t="s">
        <v>110</v>
      </c>
      <c r="Q17" s="3" t="s">
        <v>111</v>
      </c>
      <c r="R17" s="3" t="s">
        <v>112</v>
      </c>
      <c r="S17" s="3" t="s">
        <v>113</v>
      </c>
      <c r="T17" s="3" t="s">
        <v>113</v>
      </c>
      <c r="U17" s="3" t="s">
        <v>113</v>
      </c>
      <c r="V17" s="3">
        <v>6</v>
      </c>
      <c r="W17" s="3">
        <v>7</v>
      </c>
      <c r="X17" s="3">
        <v>8</v>
      </c>
      <c r="Y17" s="3">
        <v>1</v>
      </c>
      <c r="Z17" s="3">
        <v>2</v>
      </c>
      <c r="AA17" s="3">
        <v>3</v>
      </c>
      <c r="AB17" s="3">
        <v>4</v>
      </c>
    </row>
    <row r="18" spans="1:28">
      <c r="A18" s="3">
        <v>20251118</v>
      </c>
      <c r="B18" s="3">
        <v>20</v>
      </c>
    </row>
    <row r="19" spans="1:28">
      <c r="A19" s="3">
        <v>20251119</v>
      </c>
      <c r="B19" s="3">
        <v>13</v>
      </c>
      <c r="C19" s="3">
        <v>33</v>
      </c>
      <c r="D19" s="3">
        <v>33</v>
      </c>
      <c r="E19" s="3">
        <v>20</v>
      </c>
    </row>
    <row r="20" spans="1:28">
      <c r="A20" s="3">
        <v>20251120</v>
      </c>
      <c r="E20" s="3">
        <v>13</v>
      </c>
      <c r="F20" s="3">
        <v>33</v>
      </c>
      <c r="G20" s="3">
        <v>33</v>
      </c>
      <c r="H20" s="3">
        <v>33</v>
      </c>
      <c r="I20" s="3">
        <v>33</v>
      </c>
    </row>
    <row r="21" spans="1:28">
      <c r="A21" s="3">
        <v>20251121</v>
      </c>
      <c r="J21" s="3">
        <v>33</v>
      </c>
    </row>
    <row r="22" spans="1:28">
      <c r="A22" s="3">
        <v>20251122</v>
      </c>
      <c r="K22" s="3">
        <v>33</v>
      </c>
    </row>
    <row r="23" spans="1:28">
      <c r="A23" s="3">
        <v>20251123</v>
      </c>
      <c r="L23" s="3">
        <v>33</v>
      </c>
    </row>
    <row r="24" spans="1:28">
      <c r="A24" s="3">
        <v>20251124</v>
      </c>
      <c r="M24" s="3">
        <v>33</v>
      </c>
    </row>
    <row r="25" spans="1:28">
      <c r="A25" s="3">
        <v>20251125</v>
      </c>
      <c r="N25" s="3">
        <v>33</v>
      </c>
    </row>
    <row r="26" spans="1:28">
      <c r="A26" s="3">
        <v>20251126</v>
      </c>
      <c r="O26" s="3">
        <v>33</v>
      </c>
      <c r="P26" s="3">
        <v>33</v>
      </c>
    </row>
    <row r="27" spans="1:28">
      <c r="A27" s="3">
        <v>20251127</v>
      </c>
      <c r="Q27" s="3">
        <v>33</v>
      </c>
      <c r="R27" s="3">
        <v>3</v>
      </c>
      <c r="S27" s="3">
        <v>33</v>
      </c>
    </row>
    <row r="28" spans="1:28">
      <c r="A28" s="3">
        <v>20251128</v>
      </c>
      <c r="T28" s="3">
        <v>33</v>
      </c>
      <c r="U28" s="3">
        <v>7</v>
      </c>
    </row>
    <row r="29" hidden="1" spans="1:28">
      <c r="A29" s="3">
        <v>20251129</v>
      </c>
      <c r="V29" s="3">
        <v>33</v>
      </c>
      <c r="W29" s="3">
        <v>33</v>
      </c>
      <c r="X29" s="3">
        <v>33</v>
      </c>
    </row>
    <row r="30" hidden="1" spans="1:28">
      <c r="A30" s="3">
        <v>20251130</v>
      </c>
    </row>
    <row r="31" hidden="1" spans="1:28">
      <c r="A31" s="3">
        <v>20251201</v>
      </c>
    </row>
    <row r="32" hidden="1" spans="1:28">
      <c r="A32" s="3">
        <v>20251202</v>
      </c>
    </row>
    <row r="33" hidden="1" spans="1:28">
      <c r="A33" s="3">
        <v>20251203</v>
      </c>
    </row>
    <row r="34" hidden="1" spans="1:28">
      <c r="A34" s="3">
        <v>20251204</v>
      </c>
    </row>
    <row r="35" hidden="1" spans="1:28">
      <c r="A35" s="3">
        <v>20251205</v>
      </c>
    </row>
    <row r="36" hidden="1" spans="1:28">
      <c r="A36" s="3">
        <v>20251206</v>
      </c>
    </row>
    <row r="37" hidden="1" spans="1:28">
      <c r="A37" s="3">
        <v>20251207</v>
      </c>
    </row>
    <row r="38" hidden="1" spans="1:28">
      <c r="A38" s="3">
        <v>20251208</v>
      </c>
    </row>
    <row r="39" spans="1:28">
      <c r="A39" s="3">
        <v>20251209</v>
      </c>
      <c r="Y39" s="3">
        <v>33</v>
      </c>
    </row>
    <row r="40" spans="1:28">
      <c r="A40" s="3">
        <v>20251210</v>
      </c>
      <c r="Z40" s="3">
        <v>33</v>
      </c>
      <c r="AA40" s="3">
        <v>33</v>
      </c>
    </row>
    <row r="41" spans="1:28">
      <c r="A41" s="3">
        <v>20251211</v>
      </c>
      <c r="AB41" s="3">
        <v>33</v>
      </c>
    </row>
    <row r="42" spans="1:28">
      <c r="A42" s="3">
        <v>20251212</v>
      </c>
    </row>
    <row r="43" spans="1:28">
      <c r="A43" s="3">
        <v>20251213</v>
      </c>
    </row>
    <row r="44" spans="1:28">
      <c r="A44" s="3">
        <v>20251214</v>
      </c>
    </row>
    <row r="45" spans="1:28">
      <c r="A45" s="3">
        <v>20251215</v>
      </c>
    </row>
    <row r="46" spans="1:28">
      <c r="A46" s="3">
        <v>20251216</v>
      </c>
    </row>
    <row r="47" spans="1:28">
      <c r="A47" s="3">
        <v>20251217</v>
      </c>
    </row>
    <row r="48" spans="1:28">
      <c r="A48" s="3">
        <v>20251218</v>
      </c>
    </row>
  </sheetData>
  <mergeCells count="3">
    <mergeCell ref="B1:E1"/>
    <mergeCell ref="F1:I1"/>
    <mergeCell ref="B6:I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7"/>
  <sheetViews>
    <sheetView zoomScale="130" zoomScaleNormal="130" topLeftCell="A14" workbookViewId="0">
      <pane xSplit="2" topLeftCell="F1" activePane="topRight" state="frozen"/>
      <selection/>
      <selection pane="topRight" activeCell="I32" sqref="I32"/>
    </sheetView>
  </sheetViews>
  <sheetFormatPr defaultColWidth="10.7777777777778" defaultRowHeight="14.4"/>
  <cols>
    <col min="1" max="16384" width="10.7777777777778" style="3" customWidth="1"/>
  </cols>
  <sheetData>
    <row r="1" spans="1:14">
      <c r="A1" s="4" t="s">
        <v>82</v>
      </c>
      <c r="B1" s="3" t="s">
        <v>114</v>
      </c>
      <c r="C1" s="3" t="s">
        <v>115</v>
      </c>
      <c r="D1" s="3" t="s">
        <v>116</v>
      </c>
      <c r="E1" s="3" t="s">
        <v>117</v>
      </c>
      <c r="F1" s="3" t="s">
        <v>118</v>
      </c>
      <c r="G1" s="3" t="s">
        <v>119</v>
      </c>
      <c r="H1" s="3" t="s">
        <v>120</v>
      </c>
    </row>
    <row r="2" spans="1:14">
      <c r="A2" s="4">
        <f>AVERAGE(B2:H2)</f>
        <v>0.00348095238095238</v>
      </c>
      <c r="B2" s="4">
        <f t="shared" ref="B2:H2" si="0">AVERAGEIF(B3:B9,"&lt;&gt;NA")*0.01</f>
        <v>0.0167333333333333</v>
      </c>
      <c r="C2" s="4">
        <f t="shared" si="0"/>
        <v>0.00493333333333333</v>
      </c>
      <c r="D2" s="4">
        <f t="shared" si="0"/>
        <v>0</v>
      </c>
      <c r="E2" s="4">
        <f t="shared" si="0"/>
        <v>0</v>
      </c>
      <c r="F2" s="4">
        <f t="shared" si="0"/>
        <v>0</v>
      </c>
      <c r="G2" s="4">
        <f t="shared" si="0"/>
        <v>0.0027</v>
      </c>
      <c r="H2" s="4">
        <f t="shared" si="0"/>
        <v>0</v>
      </c>
    </row>
    <row r="3" spans="1:14">
      <c r="A3" s="3">
        <v>1600</v>
      </c>
      <c r="B3" s="5">
        <v>5.02</v>
      </c>
      <c r="C3" s="3">
        <v>0.38</v>
      </c>
      <c r="D3" s="3">
        <v>0</v>
      </c>
      <c r="E3" s="3">
        <v>0</v>
      </c>
      <c r="F3" s="3" t="s">
        <v>53</v>
      </c>
      <c r="G3" s="3" t="s">
        <v>53</v>
      </c>
      <c r="H3" s="3" t="s">
        <v>53</v>
      </c>
    </row>
    <row r="4" spans="1:14">
      <c r="A4" s="3">
        <v>600</v>
      </c>
      <c r="B4" s="3">
        <v>0</v>
      </c>
      <c r="C4" s="3">
        <v>1.1</v>
      </c>
      <c r="D4" s="3">
        <v>0</v>
      </c>
      <c r="E4" s="3">
        <v>0</v>
      </c>
      <c r="F4" s="3">
        <v>0</v>
      </c>
      <c r="G4" s="3" t="s">
        <v>53</v>
      </c>
      <c r="H4" s="3" t="s">
        <v>53</v>
      </c>
    </row>
    <row r="5" spans="1:14">
      <c r="A5" s="3" t="s">
        <v>70</v>
      </c>
      <c r="B5" s="3" t="s">
        <v>53</v>
      </c>
      <c r="C5" s="3" t="s">
        <v>53</v>
      </c>
      <c r="D5" s="3" t="s">
        <v>53</v>
      </c>
      <c r="E5" s="3" t="s">
        <v>53</v>
      </c>
      <c r="F5" s="3" t="s">
        <v>53</v>
      </c>
      <c r="G5" s="3">
        <v>0.81</v>
      </c>
      <c r="H5" s="3" t="s">
        <v>53</v>
      </c>
    </row>
    <row r="6" spans="1:14">
      <c r="A6" s="3" t="s">
        <v>121</v>
      </c>
      <c r="B6" s="3">
        <v>0</v>
      </c>
      <c r="C6" s="3">
        <v>0</v>
      </c>
      <c r="D6" s="3">
        <v>0</v>
      </c>
      <c r="E6" s="3">
        <v>0</v>
      </c>
      <c r="F6" s="3" t="s">
        <v>53</v>
      </c>
      <c r="G6" s="3" t="s">
        <v>53</v>
      </c>
      <c r="H6" s="3" t="s">
        <v>53</v>
      </c>
    </row>
    <row r="7" spans="1:14">
      <c r="A7" s="3" t="s">
        <v>122</v>
      </c>
      <c r="B7" s="3" t="s">
        <v>53</v>
      </c>
      <c r="C7" s="3" t="s">
        <v>53</v>
      </c>
      <c r="D7" s="3" t="s">
        <v>53</v>
      </c>
      <c r="E7" s="3" t="s">
        <v>53</v>
      </c>
      <c r="F7" s="3" t="s">
        <v>53</v>
      </c>
      <c r="G7" s="3">
        <v>0</v>
      </c>
      <c r="H7" s="3" t="s">
        <v>53</v>
      </c>
    </row>
    <row r="8" spans="1:14">
      <c r="A8" s="3" t="s">
        <v>123</v>
      </c>
      <c r="B8" s="3" t="s">
        <v>53</v>
      </c>
      <c r="C8" s="3" t="s">
        <v>53</v>
      </c>
      <c r="D8" s="3" t="s">
        <v>53</v>
      </c>
      <c r="E8" s="3" t="s">
        <v>53</v>
      </c>
      <c r="F8" s="3" t="s">
        <v>53</v>
      </c>
      <c r="G8" s="3">
        <v>0</v>
      </c>
      <c r="H8" s="3" t="s">
        <v>53</v>
      </c>
    </row>
    <row r="9" spans="1:14">
      <c r="A9" s="3" t="s">
        <v>120</v>
      </c>
      <c r="B9" s="3" t="s">
        <v>53</v>
      </c>
      <c r="C9" s="3" t="s">
        <v>53</v>
      </c>
      <c r="D9" s="3" t="s">
        <v>53</v>
      </c>
      <c r="E9" s="3" t="s">
        <v>53</v>
      </c>
      <c r="F9" s="3" t="s">
        <v>53</v>
      </c>
      <c r="G9" s="3" t="s">
        <v>53</v>
      </c>
      <c r="H9" s="3">
        <v>0</v>
      </c>
    </row>
    <row r="11" spans="1:14">
      <c r="A11" s="3" t="s">
        <v>124</v>
      </c>
      <c r="B11" s="3" t="s">
        <v>54</v>
      </c>
    </row>
    <row r="12" spans="1:14">
      <c r="A12">
        <v>20251125</v>
      </c>
      <c r="B12" s="3">
        <f t="shared" ref="B12:B24" si="1">SUM(C12:AA12)</f>
        <v>10</v>
      </c>
      <c r="C12" s="3">
        <v>0</v>
      </c>
      <c r="D12" s="3">
        <v>3.5</v>
      </c>
      <c r="E12" s="3">
        <v>0.5</v>
      </c>
      <c r="F12" s="3">
        <v>1</v>
      </c>
      <c r="G12" s="3">
        <v>5</v>
      </c>
    </row>
    <row r="13" spans="1:14">
      <c r="A13">
        <v>20251126</v>
      </c>
      <c r="B13" s="3">
        <f t="shared" si="1"/>
        <v>10</v>
      </c>
      <c r="C13" s="3">
        <v>0.5</v>
      </c>
      <c r="D13" s="3">
        <v>0.5</v>
      </c>
      <c r="E13" s="3">
        <v>3</v>
      </c>
      <c r="F13" s="3">
        <v>2</v>
      </c>
      <c r="G13" s="3">
        <v>1.5</v>
      </c>
      <c r="H13" s="3">
        <v>1</v>
      </c>
      <c r="I13" s="3">
        <v>1.5</v>
      </c>
    </row>
    <row r="14" spans="1:14">
      <c r="A14">
        <f t="shared" ref="A14:A19" si="2">B13+B14</f>
        <v>20.5</v>
      </c>
      <c r="B14" s="3">
        <f t="shared" si="1"/>
        <v>10.5</v>
      </c>
      <c r="C14" s="3">
        <v>0.5</v>
      </c>
      <c r="D14" s="3">
        <v>1</v>
      </c>
      <c r="E14" s="3">
        <v>0.5</v>
      </c>
      <c r="F14" s="3">
        <v>0.5</v>
      </c>
      <c r="G14" s="3">
        <v>1</v>
      </c>
      <c r="H14" s="3">
        <v>0.5</v>
      </c>
      <c r="I14" s="3">
        <v>2</v>
      </c>
      <c r="J14" s="3">
        <v>3</v>
      </c>
      <c r="K14" s="3">
        <v>0.5</v>
      </c>
      <c r="L14" s="3">
        <v>1</v>
      </c>
    </row>
    <row r="15" spans="1:14">
      <c r="A15">
        <v>20251201</v>
      </c>
      <c r="B15" s="3">
        <f t="shared" si="1"/>
        <v>21</v>
      </c>
      <c r="C15" s="3">
        <v>3</v>
      </c>
      <c r="D15" s="3">
        <v>4</v>
      </c>
      <c r="E15" s="3">
        <v>4</v>
      </c>
      <c r="F15" s="3">
        <v>1</v>
      </c>
      <c r="G15" s="3">
        <v>4.5</v>
      </c>
      <c r="H15" s="3">
        <v>2</v>
      </c>
      <c r="I15" s="3">
        <v>2.5</v>
      </c>
    </row>
    <row r="16" spans="1:14">
      <c r="A16">
        <f t="shared" si="2"/>
        <v>34</v>
      </c>
      <c r="B16" s="3">
        <f t="shared" si="1"/>
        <v>13</v>
      </c>
      <c r="C16" s="3">
        <v>2</v>
      </c>
      <c r="D16" s="3">
        <v>1</v>
      </c>
      <c r="E16" s="3">
        <v>0.5</v>
      </c>
      <c r="F16" s="3">
        <v>1</v>
      </c>
      <c r="G16" s="3">
        <v>1.5</v>
      </c>
      <c r="H16" s="3">
        <v>1</v>
      </c>
      <c r="I16" s="3">
        <v>1</v>
      </c>
      <c r="J16" s="3">
        <v>0.5</v>
      </c>
      <c r="K16" s="3">
        <v>0.5</v>
      </c>
      <c r="L16" s="3">
        <v>0.5</v>
      </c>
      <c r="M16" s="3">
        <v>0.5</v>
      </c>
      <c r="N16" s="3">
        <v>3</v>
      </c>
    </row>
    <row r="17" spans="1:14">
      <c r="A17">
        <f>A16+B17</f>
        <v>41</v>
      </c>
      <c r="B17" s="3">
        <f t="shared" si="1"/>
        <v>7</v>
      </c>
      <c r="C17" s="3">
        <v>2</v>
      </c>
      <c r="D17" s="3">
        <v>2</v>
      </c>
      <c r="E17" s="3">
        <v>3</v>
      </c>
    </row>
    <row r="18" spans="1:14">
      <c r="A18">
        <v>20251202</v>
      </c>
      <c r="B18" s="3">
        <f t="shared" si="1"/>
        <v>22</v>
      </c>
      <c r="C18" s="3">
        <v>6</v>
      </c>
      <c r="D18" s="3">
        <v>1</v>
      </c>
      <c r="E18" s="3">
        <v>1</v>
      </c>
      <c r="F18" s="3">
        <v>0.5</v>
      </c>
      <c r="G18" s="3">
        <v>2</v>
      </c>
      <c r="H18" s="3">
        <v>2.5</v>
      </c>
      <c r="I18" s="3">
        <v>3</v>
      </c>
      <c r="J18" s="3">
        <v>3</v>
      </c>
      <c r="K18" s="3">
        <v>3</v>
      </c>
    </row>
    <row r="19" spans="1:14">
      <c r="A19">
        <f t="shared" si="2"/>
        <v>46</v>
      </c>
      <c r="B19" s="3">
        <f t="shared" si="1"/>
        <v>24</v>
      </c>
      <c r="C19" s="3">
        <v>4.5</v>
      </c>
      <c r="D19" s="3">
        <v>0.5</v>
      </c>
      <c r="E19" s="3">
        <v>2</v>
      </c>
      <c r="F19" s="3">
        <v>5.5</v>
      </c>
      <c r="G19" s="3">
        <v>2.5</v>
      </c>
      <c r="H19" s="3">
        <v>1.5</v>
      </c>
      <c r="I19" s="3">
        <v>7.5</v>
      </c>
    </row>
    <row r="20" spans="1:14">
      <c r="A20">
        <v>20251203</v>
      </c>
      <c r="B20" s="3">
        <f t="shared" si="1"/>
        <v>21.5</v>
      </c>
      <c r="C20" s="3">
        <v>3</v>
      </c>
      <c r="D20" s="3">
        <v>1.5</v>
      </c>
      <c r="E20" s="3">
        <v>3</v>
      </c>
      <c r="F20" s="3">
        <v>3.5</v>
      </c>
      <c r="G20" s="3">
        <v>3.5</v>
      </c>
      <c r="H20" s="3">
        <v>3</v>
      </c>
      <c r="I20" s="3">
        <v>4</v>
      </c>
    </row>
    <row r="21" spans="1:14">
      <c r="A21">
        <f>B20+B21</f>
        <v>34</v>
      </c>
      <c r="B21" s="3">
        <f t="shared" si="1"/>
        <v>12.5</v>
      </c>
      <c r="C21" s="3">
        <v>3</v>
      </c>
      <c r="D21" s="3">
        <v>4</v>
      </c>
      <c r="E21" s="3">
        <v>3.5</v>
      </c>
      <c r="F21" s="3">
        <v>2</v>
      </c>
    </row>
    <row r="22" spans="1:14">
      <c r="A22">
        <v>20251204</v>
      </c>
      <c r="B22" s="3">
        <f t="shared" si="1"/>
        <v>20</v>
      </c>
      <c r="C22" s="3">
        <v>1.5</v>
      </c>
      <c r="D22" s="3">
        <v>2.5</v>
      </c>
      <c r="E22" s="3">
        <v>1.5</v>
      </c>
      <c r="F22" s="3">
        <v>3.5</v>
      </c>
      <c r="G22" s="3">
        <v>6</v>
      </c>
      <c r="H22" s="3">
        <v>3</v>
      </c>
      <c r="I22" s="3">
        <v>2</v>
      </c>
    </row>
    <row r="23" spans="1:14">
      <c r="A23">
        <v>20251205</v>
      </c>
      <c r="B23" s="3">
        <f t="shared" si="1"/>
        <v>23</v>
      </c>
      <c r="C23" s="3">
        <v>7</v>
      </c>
      <c r="D23" s="3">
        <v>6</v>
      </c>
      <c r="E23" s="3">
        <v>0.5</v>
      </c>
      <c r="F23" s="3">
        <v>1</v>
      </c>
      <c r="G23" s="3">
        <v>1</v>
      </c>
      <c r="H23" s="3">
        <v>1</v>
      </c>
      <c r="I23" s="3">
        <v>3</v>
      </c>
      <c r="J23" s="3">
        <v>3.5</v>
      </c>
    </row>
    <row r="24" spans="1:14">
      <c r="A24">
        <v>20251206</v>
      </c>
      <c r="B24" s="3">
        <f t="shared" ref="B24:B31" si="3">SUM(C24:AA24)</f>
        <v>12.5</v>
      </c>
      <c r="C24" s="3">
        <v>3.5</v>
      </c>
      <c r="D24" s="3">
        <v>2.5</v>
      </c>
      <c r="E24" s="3">
        <v>1.5</v>
      </c>
      <c r="F24" s="3">
        <v>0.5</v>
      </c>
      <c r="G24" s="3">
        <v>1</v>
      </c>
      <c r="H24" s="3">
        <v>0.5</v>
      </c>
      <c r="I24" s="3">
        <v>0.5</v>
      </c>
      <c r="J24" s="3">
        <v>0.5</v>
      </c>
      <c r="K24" s="3">
        <v>0.5</v>
      </c>
      <c r="L24" s="3">
        <v>0.5</v>
      </c>
      <c r="M24" s="3">
        <v>0.5</v>
      </c>
      <c r="N24" s="3">
        <v>0.5</v>
      </c>
    </row>
    <row r="25" spans="1:14">
      <c r="A25">
        <f t="shared" ref="A25:A30" si="4">B24+B25</f>
        <v>20</v>
      </c>
      <c r="B25" s="3">
        <f t="shared" si="3"/>
        <v>7.5</v>
      </c>
      <c r="C25" s="3">
        <v>1.5</v>
      </c>
      <c r="D25" s="3">
        <v>0.5</v>
      </c>
      <c r="E25" s="3">
        <v>0.5</v>
      </c>
      <c r="F25" s="3">
        <v>5</v>
      </c>
    </row>
    <row r="26" spans="1:14">
      <c r="A26">
        <v>20251207</v>
      </c>
      <c r="B26" s="3">
        <f t="shared" si="3"/>
        <v>11</v>
      </c>
      <c r="C26" s="3">
        <v>1.5</v>
      </c>
      <c r="D26" s="3">
        <v>0.5</v>
      </c>
      <c r="E26" s="3">
        <v>6.5</v>
      </c>
      <c r="F26" s="3">
        <v>0.5</v>
      </c>
      <c r="G26" s="3">
        <v>0.5</v>
      </c>
      <c r="H26" s="3">
        <v>0.5</v>
      </c>
      <c r="I26" s="3">
        <v>0.5</v>
      </c>
      <c r="J26" s="3">
        <v>0.5</v>
      </c>
    </row>
    <row r="27" spans="1:14">
      <c r="A27">
        <f t="shared" si="4"/>
        <v>18</v>
      </c>
      <c r="B27" s="3">
        <f t="shared" si="3"/>
        <v>7</v>
      </c>
      <c r="C27" s="3">
        <v>0.5</v>
      </c>
      <c r="D27" s="3">
        <v>0.5</v>
      </c>
      <c r="E27" s="3">
        <v>0.5</v>
      </c>
      <c r="F27" s="3">
        <v>1.5</v>
      </c>
      <c r="G27" s="3">
        <v>1.5</v>
      </c>
      <c r="H27" s="3">
        <v>2.5</v>
      </c>
    </row>
    <row r="28" spans="1:14">
      <c r="A28">
        <f>A27+B28</f>
        <v>24</v>
      </c>
      <c r="B28" s="3">
        <f t="shared" si="3"/>
        <v>6</v>
      </c>
      <c r="C28" s="3">
        <v>0.5</v>
      </c>
      <c r="D28" s="3">
        <v>1</v>
      </c>
      <c r="E28" s="3">
        <v>1</v>
      </c>
      <c r="F28" s="3">
        <v>0.5</v>
      </c>
      <c r="G28" s="3">
        <v>1.5</v>
      </c>
      <c r="H28" s="3">
        <v>0.5</v>
      </c>
      <c r="I28" s="3">
        <v>1</v>
      </c>
    </row>
    <row r="29" spans="1:14">
      <c r="A29">
        <v>20251208</v>
      </c>
      <c r="B29" s="3">
        <f t="shared" si="3"/>
        <v>13</v>
      </c>
      <c r="C29" s="3">
        <v>1.5</v>
      </c>
      <c r="D29" s="3">
        <v>0.5</v>
      </c>
      <c r="E29" s="3">
        <v>3</v>
      </c>
      <c r="F29" s="3">
        <v>8</v>
      </c>
    </row>
    <row r="30" spans="1:14">
      <c r="A30">
        <f t="shared" si="4"/>
        <v>38.5</v>
      </c>
      <c r="B30" s="3">
        <f t="shared" si="3"/>
        <v>25.5</v>
      </c>
      <c r="C30" s="3">
        <v>0.5</v>
      </c>
      <c r="D30" s="3">
        <v>1</v>
      </c>
      <c r="E30" s="3">
        <v>0.5</v>
      </c>
      <c r="F30" s="3">
        <v>10</v>
      </c>
      <c r="G30" s="3">
        <v>3.5</v>
      </c>
      <c r="H30" s="3">
        <v>1</v>
      </c>
      <c r="I30" s="3">
        <v>0.5</v>
      </c>
      <c r="J30" s="3">
        <v>0.5</v>
      </c>
      <c r="K30" s="3">
        <v>8</v>
      </c>
    </row>
    <row r="31" spans="1:14">
      <c r="A31">
        <v>20251209</v>
      </c>
      <c r="B31" s="3">
        <f t="shared" ref="B31:B47" si="5">SUM(C31:AA31)</f>
        <v>14.5</v>
      </c>
      <c r="C31" s="3">
        <v>4</v>
      </c>
      <c r="D31" s="3">
        <v>0.5</v>
      </c>
      <c r="E31" s="3">
        <v>0.5</v>
      </c>
      <c r="F31" s="3">
        <v>4</v>
      </c>
      <c r="G31" s="3">
        <v>4.5</v>
      </c>
      <c r="H31" s="3">
        <v>0.5</v>
      </c>
      <c r="I31" s="3">
        <v>0.5</v>
      </c>
    </row>
    <row r="32" spans="1:14">
      <c r="A32">
        <v>20251210</v>
      </c>
      <c r="B32" s="3">
        <f t="shared" si="5"/>
        <v>0</v>
      </c>
    </row>
    <row r="33" spans="1:2">
      <c r="A33">
        <v>20251211</v>
      </c>
      <c r="B33" s="3">
        <f t="shared" si="5"/>
        <v>0</v>
      </c>
    </row>
    <row r="34" spans="1:2">
      <c r="A34">
        <v>20251212</v>
      </c>
      <c r="B34" s="3">
        <f t="shared" si="5"/>
        <v>0</v>
      </c>
    </row>
    <row r="35" spans="1:2">
      <c r="A35">
        <v>20251213</v>
      </c>
      <c r="B35" s="3">
        <f t="shared" si="5"/>
        <v>0</v>
      </c>
    </row>
    <row r="36" spans="1:2">
      <c r="A36">
        <v>20251214</v>
      </c>
      <c r="B36" s="3">
        <f t="shared" si="5"/>
        <v>0</v>
      </c>
    </row>
    <row r="37" spans="1:2">
      <c r="A37">
        <v>20251215</v>
      </c>
      <c r="B37" s="3">
        <f t="shared" si="5"/>
        <v>0</v>
      </c>
    </row>
    <row r="38" spans="1:2">
      <c r="A38">
        <v>20251216</v>
      </c>
      <c r="B38" s="3">
        <f t="shared" si="5"/>
        <v>0</v>
      </c>
    </row>
    <row r="39" spans="1:2">
      <c r="A39">
        <v>20251217</v>
      </c>
      <c r="B39" s="3">
        <f t="shared" si="5"/>
        <v>0</v>
      </c>
    </row>
    <row r="40" spans="1:2">
      <c r="A40">
        <v>20251218</v>
      </c>
      <c r="B40" s="3">
        <f t="shared" si="5"/>
        <v>0</v>
      </c>
    </row>
    <row r="41" spans="1:2">
      <c r="A41">
        <v>20251219</v>
      </c>
      <c r="B41" s="3">
        <f t="shared" si="5"/>
        <v>0</v>
      </c>
    </row>
    <row r="42" spans="1:2">
      <c r="A42">
        <v>20251220</v>
      </c>
      <c r="B42" s="3">
        <f t="shared" si="5"/>
        <v>0</v>
      </c>
    </row>
    <row r="43" spans="1:2">
      <c r="A43">
        <v>20251221</v>
      </c>
      <c r="B43" s="3">
        <f t="shared" si="5"/>
        <v>0</v>
      </c>
    </row>
    <row r="44" spans="1:2">
      <c r="A44">
        <v>20251222</v>
      </c>
      <c r="B44" s="3">
        <f t="shared" si="5"/>
        <v>0</v>
      </c>
    </row>
    <row r="45" spans="1:2">
      <c r="A45">
        <v>20251223</v>
      </c>
      <c r="B45" s="3">
        <f t="shared" si="5"/>
        <v>0</v>
      </c>
    </row>
    <row r="46" spans="1:2">
      <c r="A46">
        <v>20251224</v>
      </c>
      <c r="B46" s="3">
        <f t="shared" si="5"/>
        <v>0</v>
      </c>
    </row>
    <row r="47" spans="1:2">
      <c r="A47">
        <v>20251225</v>
      </c>
      <c r="B47" s="3">
        <f t="shared" si="5"/>
        <v>0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8"/>
  <sheetViews>
    <sheetView zoomScale="70" zoomScaleNormal="70" topLeftCell="R1" workbookViewId="0">
      <selection activeCell="AR17" sqref="AR17"/>
    </sheetView>
  </sheetViews>
  <sheetFormatPr defaultColWidth="10" defaultRowHeight="14.4" outlineLevelCol="6"/>
  <cols>
    <col min="1" max="1" width="20.7777777777778" style="1" customWidth="1"/>
    <col min="2" max="3" width="20.7777777777778" style="2" customWidth="1"/>
    <col min="4" max="4" width="20.7777777777778" style="3" customWidth="1"/>
    <col min="5" max="5" width="20.7777777777778" style="2" customWidth="1"/>
    <col min="6" max="6" width="8.66666666666667" style="2" customWidth="1"/>
    <col min="7" max="7" width="16.4444444444444" style="2" customWidth="1"/>
  </cols>
  <sheetData>
    <row r="1" spans="1:7">
      <c r="A1" s="1" t="str">
        <f>Sheet1!A1</f>
        <v>日期</v>
      </c>
      <c r="B1" s="2" t="str">
        <f>Sheet1!L1</f>
        <v>每日进度（数理）</v>
      </c>
      <c r="C1" s="2" t="str">
        <f>Sheet1!F1</f>
        <v>日均进度</v>
      </c>
      <c r="D1" s="2" t="str">
        <f>Sheet1!G1</f>
        <v>总进度</v>
      </c>
      <c r="E1" s="2" t="s">
        <v>125</v>
      </c>
      <c r="F1" s="2" t="s">
        <v>126</v>
      </c>
      <c r="G1" s="2" t="s">
        <v>127</v>
      </c>
    </row>
    <row r="2" spans="1:7">
      <c r="A2" s="1">
        <f>Sheet1!A8</f>
        <v>45333</v>
      </c>
      <c r="B2" s="2">
        <f>Sheet1!L8</f>
        <v>0.00163758800122437</v>
      </c>
      <c r="C2" s="2">
        <f>Sheet1!F8</f>
        <v>0.000179111187633915</v>
      </c>
      <c r="D2" s="2">
        <f>Sheet1!G8</f>
        <v>0.000179111187633915</v>
      </c>
      <c r="E2" s="2">
        <f>Sheet1!AN8*MAX(B$2:B$318)/MAX(Sheet1!AN$8:AN$324)</f>
        <v>0</v>
      </c>
      <c r="F2" s="2">
        <v>1</v>
      </c>
      <c r="G2" s="2">
        <v>0.75</v>
      </c>
    </row>
    <row r="3" spans="1:7">
      <c r="A3" s="1">
        <f>Sheet1!A9</f>
        <v>45334</v>
      </c>
      <c r="B3" s="2">
        <f>Sheet1!L9</f>
        <v>0.00170454545454546</v>
      </c>
      <c r="C3" s="2">
        <f>Sheet1!F9</f>
        <v>0.000182772923362412</v>
      </c>
      <c r="D3" s="2">
        <f>Sheet1!G9</f>
        <v>0.000365545846724824</v>
      </c>
      <c r="E3" s="2">
        <f>Sheet1!AN9*MAX(B$2:B$318)/MAX(Sheet1!AN$8:AN$324)</f>
        <v>0</v>
      </c>
      <c r="F3" s="2">
        <v>1</v>
      </c>
      <c r="G3" s="2">
        <v>0.75</v>
      </c>
    </row>
    <row r="4" spans="1:7">
      <c r="A4" s="1">
        <f>Sheet1!A10</f>
        <v>45335</v>
      </c>
      <c r="B4" s="2">
        <f>Sheet1!L10</f>
        <v>0.00180555555555556</v>
      </c>
      <c r="C4" s="2">
        <f>Sheet1!F10</f>
        <v>0.000187676161871238</v>
      </c>
      <c r="D4" s="2">
        <f>Sheet1!G10</f>
        <v>0.000563028485613713</v>
      </c>
      <c r="E4" s="2">
        <f>Sheet1!AN10*MAX(B$2:B$318)/MAX(Sheet1!AN$8:AN$324)</f>
        <v>0</v>
      </c>
      <c r="F4" s="2">
        <v>1</v>
      </c>
      <c r="G4" s="2">
        <v>0.75</v>
      </c>
    </row>
    <row r="5" spans="1:7">
      <c r="A5" s="1">
        <f>Sheet1!A11</f>
        <v>45336</v>
      </c>
      <c r="B5" s="2">
        <f>Sheet1!L11</f>
        <v>0.00172727272727273</v>
      </c>
      <c r="C5" s="2">
        <f>Sheet1!F11</f>
        <v>0.000187987235039792</v>
      </c>
      <c r="D5" s="2">
        <f>Sheet1!G11</f>
        <v>0.000751948940159168</v>
      </c>
      <c r="E5" s="2">
        <f>Sheet1!AN11*MAX(B$2:B$318)/MAX(Sheet1!AN$8:AN$324)</f>
        <v>0</v>
      </c>
      <c r="F5" s="2">
        <v>1</v>
      </c>
      <c r="G5" s="2">
        <v>0.75</v>
      </c>
    </row>
    <row r="6" spans="1:7">
      <c r="A6" s="1">
        <f>Sheet1!A12</f>
        <v>45337</v>
      </c>
      <c r="B6" s="2">
        <f>Sheet1!L12</f>
        <v>0.00177777777777778</v>
      </c>
      <c r="C6" s="2">
        <f>Sheet1!F12</f>
        <v>0.000189278676920723</v>
      </c>
      <c r="D6" s="2">
        <f>Sheet1!G12</f>
        <v>0.000946393384603613</v>
      </c>
      <c r="E6" s="2">
        <f>Sheet1!AN12*MAX(B$2:B$318)/MAX(Sheet1!AN$8:AN$324)</f>
        <v>0</v>
      </c>
      <c r="F6" s="2">
        <v>1</v>
      </c>
      <c r="G6" s="2">
        <v>0.75</v>
      </c>
    </row>
    <row r="7" spans="1:7">
      <c r="A7" s="1">
        <f>Sheet1!A13</f>
        <v>45338</v>
      </c>
      <c r="B7" s="2">
        <f>Sheet1!L13</f>
        <v>0.00190656565656566</v>
      </c>
      <c r="C7" s="2">
        <f>Sheet1!F13</f>
        <v>0.000192487333881747</v>
      </c>
      <c r="D7" s="2">
        <f>Sheet1!G13</f>
        <v>0.00115492400329048</v>
      </c>
      <c r="E7" s="2">
        <f>Sheet1!AN13*MAX(B$2:B$318)/MAX(Sheet1!AN$8:AN$324)</f>
        <v>0</v>
      </c>
      <c r="F7" s="2">
        <v>1</v>
      </c>
      <c r="G7" s="2">
        <v>0.75</v>
      </c>
    </row>
    <row r="8" spans="1:7">
      <c r="A8" s="1">
        <f>Sheet1!A14</f>
        <v>45339</v>
      </c>
      <c r="B8" s="2">
        <f>Sheet1!L14</f>
        <v>0.00186868686868687</v>
      </c>
      <c r="C8" s="2">
        <f>Sheet1!F14</f>
        <v>0.000194187375650444</v>
      </c>
      <c r="D8" s="2">
        <f>Sheet1!G14</f>
        <v>0.00135931162955311</v>
      </c>
      <c r="E8" s="2">
        <f>Sheet1!AN14*MAX(B$2:B$318)/MAX(Sheet1!AN$8:AN$324)</f>
        <v>0</v>
      </c>
      <c r="F8" s="2">
        <v>1</v>
      </c>
      <c r="G8" s="2">
        <v>0.75</v>
      </c>
    </row>
    <row r="9" spans="1:7">
      <c r="A9" s="1">
        <f>Sheet1!A15</f>
        <v>45340</v>
      </c>
      <c r="B9" s="2">
        <f>Sheet1!L15</f>
        <v>0.00201178451178451</v>
      </c>
      <c r="C9" s="2">
        <f>Sheet1!F15</f>
        <v>0.000197418820066192</v>
      </c>
      <c r="D9" s="2">
        <f>Sheet1!G15</f>
        <v>0.00157935056052954</v>
      </c>
      <c r="E9" s="2">
        <f>Sheet1!AN15*MAX(B$2:B$318)/MAX(Sheet1!AN$8:AN$324)</f>
        <v>0</v>
      </c>
      <c r="F9" s="2">
        <v>1</v>
      </c>
      <c r="G9" s="2">
        <v>0.75</v>
      </c>
    </row>
    <row r="10" spans="1:7">
      <c r="A10" s="1">
        <f>Sheet1!A16</f>
        <v>45341</v>
      </c>
      <c r="B10" s="2">
        <f>Sheet1!L16</f>
        <v>0.0018013468013468</v>
      </c>
      <c r="C10" s="2">
        <f>Sheet1!F16</f>
        <v>0.000197374762991872</v>
      </c>
      <c r="D10" s="2">
        <f>Sheet1!G16</f>
        <v>0.00177637286692685</v>
      </c>
      <c r="E10" s="2">
        <f>Sheet1!AN16*MAX(B$2:B$318)/MAX(Sheet1!AN$8:AN$324)</f>
        <v>0</v>
      </c>
      <c r="F10" s="2">
        <v>1</v>
      </c>
      <c r="G10" s="2">
        <v>0.75</v>
      </c>
    </row>
    <row r="11" spans="1:7">
      <c r="A11" s="1">
        <f>Sheet1!A17</f>
        <v>45342</v>
      </c>
      <c r="B11" s="2">
        <f>Sheet1!L17</f>
        <v>0.00176767676767677</v>
      </c>
      <c r="C11" s="2">
        <f>Sheet1!F17</f>
        <v>0.000196971251339149</v>
      </c>
      <c r="D11" s="2">
        <f>Sheet1!G17</f>
        <v>0.00196971251339149</v>
      </c>
      <c r="E11" s="2">
        <f>Sheet1!AN17*MAX(B$2:B$318)/MAX(Sheet1!AN$8:AN$324)</f>
        <v>0</v>
      </c>
      <c r="F11" s="2">
        <v>1</v>
      </c>
      <c r="G11" s="2">
        <v>0.75</v>
      </c>
    </row>
    <row r="12" spans="1:7">
      <c r="A12" s="1">
        <f>Sheet1!A18</f>
        <v>45343</v>
      </c>
      <c r="B12" s="2">
        <f>Sheet1!L18</f>
        <v>0.00311868686868687</v>
      </c>
      <c r="C12" s="2">
        <f>Sheet1!F18</f>
        <v>0.000210074444514011</v>
      </c>
      <c r="D12" s="2">
        <f>Sheet1!G18</f>
        <v>0.00231081888965412</v>
      </c>
      <c r="E12" s="2">
        <f>Sheet1!AN18*MAX(B$2:B$318)/MAX(Sheet1!AN$8:AN$324)</f>
        <v>0</v>
      </c>
      <c r="F12" s="2">
        <v>1</v>
      </c>
      <c r="G12" s="2">
        <v>0.75</v>
      </c>
    </row>
    <row r="13" spans="1:7">
      <c r="A13" s="1">
        <f>Sheet1!A19</f>
        <v>45344</v>
      </c>
      <c r="B13" s="2">
        <f>Sheet1!L19</f>
        <v>0.00190235690235691</v>
      </c>
      <c r="C13" s="2">
        <f>Sheet1!F19</f>
        <v>0.000209907431320784</v>
      </c>
      <c r="D13" s="2">
        <f>Sheet1!G19</f>
        <v>0.00251888917584941</v>
      </c>
      <c r="E13" s="2">
        <f>Sheet1!AN19*MAX(B$2:B$318)/MAX(Sheet1!AN$8:AN$324)</f>
        <v>0</v>
      </c>
      <c r="F13" s="2">
        <v>1</v>
      </c>
      <c r="G13" s="2">
        <v>0.75</v>
      </c>
    </row>
    <row r="14" spans="1:7">
      <c r="A14" s="1">
        <f>Sheet1!A20</f>
        <v>45345</v>
      </c>
      <c r="B14" s="2">
        <f>Sheet1!L20</f>
        <v>0.00190656565656566</v>
      </c>
      <c r="C14" s="2">
        <f>Sheet1!F20</f>
        <v>0.000209801522656636</v>
      </c>
      <c r="D14" s="2">
        <f>Sheet1!G20</f>
        <v>0.00272741979453627</v>
      </c>
      <c r="E14" s="2">
        <f>Sheet1!AN20*MAX(B$2:B$318)/MAX(Sheet1!AN$8:AN$324)</f>
        <v>0</v>
      </c>
      <c r="F14" s="2">
        <v>1</v>
      </c>
      <c r="G14" s="2">
        <v>0.75</v>
      </c>
    </row>
    <row r="15" spans="1:7">
      <c r="A15" s="1">
        <f>Sheet1!A21</f>
        <v>45346</v>
      </c>
      <c r="B15" s="2">
        <f>Sheet1!L21</f>
        <v>0.00186868686868687</v>
      </c>
      <c r="C15" s="2">
        <f>Sheet1!F21</f>
        <v>0.00020941481577135</v>
      </c>
      <c r="D15" s="2">
        <f>Sheet1!G21</f>
        <v>0.0029318074207989</v>
      </c>
      <c r="E15" s="2">
        <f>Sheet1!AN21*MAX(B$2:B$318)/MAX(Sheet1!AN$8:AN$324)</f>
        <v>0</v>
      </c>
      <c r="F15" s="2">
        <v>1</v>
      </c>
      <c r="G15" s="2">
        <v>0.75</v>
      </c>
    </row>
    <row r="16" spans="1:7">
      <c r="A16" s="1">
        <f>Sheet1!A22</f>
        <v>45347</v>
      </c>
      <c r="B16" s="2">
        <f>Sheet1!L22</f>
        <v>0.0018989898989899</v>
      </c>
      <c r="C16" s="2">
        <f>Sheet1!F22</f>
        <v>0.000209300629400061</v>
      </c>
      <c r="D16" s="2">
        <f>Sheet1!G22</f>
        <v>0.00313950944100092</v>
      </c>
      <c r="E16" s="2">
        <f>Sheet1!AN22*MAX(B$2:B$318)/MAX(Sheet1!AN$8:AN$324)</f>
        <v>0</v>
      </c>
      <c r="F16" s="2">
        <v>1</v>
      </c>
      <c r="G16" s="2">
        <v>0.75</v>
      </c>
    </row>
    <row r="17" spans="1:7">
      <c r="A17" s="1">
        <f>Sheet1!A23</f>
        <v>45348</v>
      </c>
      <c r="B17" s="2">
        <f>Sheet1!L23</f>
        <v>0.00255050505050505</v>
      </c>
      <c r="C17" s="2">
        <f>Sheet1!F23</f>
        <v>0.000213654433181244</v>
      </c>
      <c r="D17" s="2">
        <f>Sheet1!G23</f>
        <v>0.00341847093089991</v>
      </c>
      <c r="E17" s="2">
        <f>Sheet1!AN23*MAX(B$2:B$318)/MAX(Sheet1!AN$8:AN$324)</f>
        <v>0</v>
      </c>
      <c r="F17" s="2">
        <v>1</v>
      </c>
      <c r="G17" s="2">
        <v>0.75</v>
      </c>
    </row>
    <row r="18" spans="1:7">
      <c r="A18" s="1">
        <f>Sheet1!A24</f>
        <v>45349</v>
      </c>
      <c r="B18" s="2">
        <f>Sheet1!L24</f>
        <v>0.00193181818181818</v>
      </c>
      <c r="C18" s="2">
        <f>Sheet1!F24</f>
        <v>0.000213515502619781</v>
      </c>
      <c r="D18" s="2">
        <f>Sheet1!G24</f>
        <v>0.00362976354453627</v>
      </c>
      <c r="E18" s="2">
        <f>Sheet1!AN24*MAX(B$2:B$318)/MAX(Sheet1!AN$8:AN$324)</f>
        <v>0</v>
      </c>
      <c r="F18" s="2">
        <v>1</v>
      </c>
      <c r="G18" s="2">
        <v>0.75</v>
      </c>
    </row>
    <row r="19" spans="1:7">
      <c r="A19" s="1">
        <f>Sheet1!A25</f>
        <v>45350</v>
      </c>
      <c r="B19" s="2">
        <f>Sheet1!L25</f>
        <v>0.00191919191919192</v>
      </c>
      <c r="C19" s="2">
        <f>Sheet1!F25</f>
        <v>0.000213315286705438</v>
      </c>
      <c r="D19" s="2">
        <f>Sheet1!G25</f>
        <v>0.00383967516069789</v>
      </c>
      <c r="E19" s="2">
        <f>Sheet1!AN25*MAX(B$2:B$318)/MAX(Sheet1!AN$8:AN$324)</f>
        <v>0</v>
      </c>
      <c r="F19" s="2">
        <v>1</v>
      </c>
      <c r="G19" s="2">
        <v>0.75</v>
      </c>
    </row>
    <row r="20" spans="1:7">
      <c r="A20" s="1">
        <f>Sheet1!A26</f>
        <v>45351</v>
      </c>
      <c r="B20" s="2">
        <f>Sheet1!L26</f>
        <v>0.00192550505050506</v>
      </c>
      <c r="C20" s="2">
        <f>Sheet1!F26</f>
        <v>0.00021317248818931</v>
      </c>
      <c r="D20" s="2">
        <f>Sheet1!G26</f>
        <v>0.00405027727559688</v>
      </c>
      <c r="E20" s="2">
        <f>Sheet1!AN26*MAX(B$2:B$318)/MAX(Sheet1!AN$8:AN$324)</f>
        <v>0</v>
      </c>
      <c r="F20" s="2">
        <v>1</v>
      </c>
      <c r="G20" s="2">
        <v>0.75</v>
      </c>
    </row>
    <row r="21" spans="1:7">
      <c r="A21" s="1">
        <f>Sheet1!A27</f>
        <v>45352</v>
      </c>
      <c r="B21" s="2">
        <f>Sheet1!L27</f>
        <v>0.00282828282828283</v>
      </c>
      <c r="C21" s="2">
        <f>Sheet1!F27</f>
        <v>0.000219085833476814</v>
      </c>
      <c r="D21" s="2">
        <f>Sheet1!G27</f>
        <v>0.00438171666953627</v>
      </c>
      <c r="E21" s="2">
        <f>Sheet1!AN27*MAX(B$2:B$318)/MAX(Sheet1!AN$8:AN$324)</f>
        <v>0</v>
      </c>
      <c r="F21" s="2">
        <v>1</v>
      </c>
      <c r="G21" s="2">
        <v>0.75</v>
      </c>
    </row>
    <row r="22" spans="1:7">
      <c r="A22" s="1">
        <f>Sheet1!A28</f>
        <v>45353</v>
      </c>
      <c r="B22" s="2">
        <f>Sheet1!L28</f>
        <v>0.00392803030303031</v>
      </c>
      <c r="C22" s="2">
        <f>Sheet1!F28</f>
        <v>0.000230572986698697</v>
      </c>
      <c r="D22" s="2">
        <f>Sheet1!G28</f>
        <v>0.00484203272067264</v>
      </c>
      <c r="E22" s="2">
        <f>Sheet1!AN28*MAX(B$2:B$318)/MAX(Sheet1!AN$8:AN$324)</f>
        <v>0</v>
      </c>
      <c r="F22" s="2">
        <v>1</v>
      </c>
      <c r="G22" s="2">
        <v>0.75</v>
      </c>
    </row>
    <row r="23" spans="1:7">
      <c r="A23" s="1">
        <f>Sheet1!A29</f>
        <v>45354</v>
      </c>
      <c r="B23" s="2">
        <f>Sheet1!L29</f>
        <v>0.00416666666666667</v>
      </c>
      <c r="C23" s="2">
        <f>Sheet1!F29</f>
        <v>0.000242286998666938</v>
      </c>
      <c r="D23" s="2">
        <f>Sheet1!G29</f>
        <v>0.00533031397067264</v>
      </c>
      <c r="E23" s="2">
        <f>Sheet1!AN29*MAX(B$2:B$318)/MAX(Sheet1!AN$8:AN$324)</f>
        <v>0</v>
      </c>
      <c r="F23" s="2">
        <v>1</v>
      </c>
      <c r="G23" s="2">
        <v>0.75</v>
      </c>
    </row>
    <row r="24" spans="1:7">
      <c r="A24" s="1">
        <f>Sheet1!A30</f>
        <v>45355</v>
      </c>
      <c r="B24" s="2">
        <f>Sheet1!L30</f>
        <v>0.00408459595959597</v>
      </c>
      <c r="C24" s="2">
        <f>Sheet1!F30</f>
        <v>0.000252564241725556</v>
      </c>
      <c r="D24" s="2">
        <f>Sheet1!G30</f>
        <v>0.00580897755968779</v>
      </c>
      <c r="E24" s="2">
        <f>Sheet1!AN30*MAX(B$2:B$318)/MAX(Sheet1!AN$8:AN$324)</f>
        <v>0</v>
      </c>
      <c r="F24" s="2">
        <v>1</v>
      </c>
      <c r="G24" s="2">
        <v>0.75</v>
      </c>
    </row>
    <row r="25" spans="1:7">
      <c r="A25" s="1">
        <f>Sheet1!A31</f>
        <v>45356</v>
      </c>
      <c r="B25" s="2">
        <f>Sheet1!L31</f>
        <v>0.00476851851851852</v>
      </c>
      <c r="C25" s="2">
        <f>Sheet1!F31</f>
        <v>0.000265324513482362</v>
      </c>
      <c r="D25" s="2">
        <f>Sheet1!G31</f>
        <v>0.00636778832357668</v>
      </c>
      <c r="E25" s="2">
        <f>Sheet1!AN31*MAX(B$2:B$318)/MAX(Sheet1!AN$8:AN$324)</f>
        <v>0</v>
      </c>
      <c r="F25" s="2">
        <v>1</v>
      </c>
      <c r="G25" s="2">
        <v>0.75</v>
      </c>
    </row>
    <row r="26" spans="1:7">
      <c r="A26" s="1">
        <f>Sheet1!A32</f>
        <v>45357</v>
      </c>
      <c r="B26" s="2">
        <f>Sheet1!L32</f>
        <v>0.00225042087542088</v>
      </c>
      <c r="C26" s="2">
        <f>Sheet1!F32</f>
        <v>0.000265260380796603</v>
      </c>
      <c r="D26" s="2">
        <f>Sheet1!G32</f>
        <v>0.00663150951991507</v>
      </c>
      <c r="E26" s="2">
        <f>Sheet1!AN32*MAX(B$2:B$318)/MAX(Sheet1!AN$8:AN$324)</f>
        <v>0</v>
      </c>
      <c r="F26" s="2">
        <v>1</v>
      </c>
      <c r="G26" s="2">
        <v>0.75</v>
      </c>
    </row>
    <row r="27" spans="1:7">
      <c r="A27" s="1">
        <f>Sheet1!A33</f>
        <v>45358</v>
      </c>
      <c r="B27" s="2">
        <f>Sheet1!L33</f>
        <v>0.00223484848484849</v>
      </c>
      <c r="C27" s="2">
        <f>Sheet1!F33</f>
        <v>0.000265130993335894</v>
      </c>
      <c r="D27" s="2">
        <f>Sheet1!G33</f>
        <v>0.00689340582673325</v>
      </c>
      <c r="E27" s="2">
        <f>Sheet1!AN33*MAX(B$2:B$318)/MAX(Sheet1!AN$8:AN$324)</f>
        <v>0</v>
      </c>
      <c r="F27" s="2">
        <v>1</v>
      </c>
      <c r="G27" s="2">
        <v>0.75</v>
      </c>
    </row>
    <row r="28" spans="1:7">
      <c r="A28" s="1">
        <f>Sheet1!A34</f>
        <v>45359</v>
      </c>
      <c r="B28" s="2">
        <f>Sheet1!L34</f>
        <v>0.00216035353535354</v>
      </c>
      <c r="C28" s="2">
        <f>Sheet1!F34</f>
        <v>0.000264687861357685</v>
      </c>
      <c r="D28" s="2">
        <f>Sheet1!G34</f>
        <v>0.00714657225665749</v>
      </c>
      <c r="E28" s="2">
        <f>Sheet1!AN34*MAX(B$2:B$318)/MAX(Sheet1!AN$8:AN$324)</f>
        <v>0</v>
      </c>
      <c r="F28" s="2">
        <v>1</v>
      </c>
      <c r="G28" s="2">
        <v>0.75</v>
      </c>
    </row>
    <row r="29" spans="1:7">
      <c r="A29" s="1">
        <f>Sheet1!A35</f>
        <v>45360</v>
      </c>
      <c r="B29" s="2">
        <f>Sheet1!L35</f>
        <v>0.00447937710437712</v>
      </c>
      <c r="C29" s="2">
        <f>Sheet1!F35</f>
        <v>0.000273982116467025</v>
      </c>
      <c r="D29" s="2">
        <f>Sheet1!G35</f>
        <v>0.00767149926107669</v>
      </c>
      <c r="E29" s="2">
        <f>Sheet1!AN35*MAX(B$2:B$318)/MAX(Sheet1!AN$8:AN$324)</f>
        <v>0</v>
      </c>
      <c r="F29" s="2">
        <v>1</v>
      </c>
      <c r="G29" s="2">
        <v>0.75</v>
      </c>
    </row>
    <row r="30" spans="1:7">
      <c r="A30" s="1">
        <f>Sheet1!A36</f>
        <v>45361</v>
      </c>
      <c r="B30" s="2">
        <f>Sheet1!L36</f>
        <v>0.00275126262626263</v>
      </c>
      <c r="C30" s="2">
        <f>Sheet1!F36</f>
        <v>0.000275652167244546</v>
      </c>
      <c r="D30" s="2">
        <f>Sheet1!G36</f>
        <v>0.00799391285009184</v>
      </c>
      <c r="E30" s="2">
        <f>Sheet1!AN36*MAX(B$2:B$318)/MAX(Sheet1!AN$8:AN$324)</f>
        <v>0</v>
      </c>
      <c r="F30" s="2">
        <v>1</v>
      </c>
      <c r="G30" s="2">
        <v>0.75</v>
      </c>
    </row>
    <row r="31" spans="1:7">
      <c r="A31" s="1">
        <f>Sheet1!A37</f>
        <v>45362</v>
      </c>
      <c r="B31" s="2">
        <f>Sheet1!L37</f>
        <v>0.00302104377104378</v>
      </c>
      <c r="C31" s="2">
        <f>Sheet1!F37</f>
        <v>0.000278264713900368</v>
      </c>
      <c r="D31" s="2">
        <f>Sheet1!G37</f>
        <v>0.00834794141701103</v>
      </c>
      <c r="E31" s="2">
        <f>Sheet1!AN37*MAX(B$2:B$318)/MAX(Sheet1!AN$8:AN$324)</f>
        <v>0</v>
      </c>
      <c r="F31" s="2">
        <v>1</v>
      </c>
      <c r="G31" s="2">
        <v>0.75</v>
      </c>
    </row>
    <row r="32" spans="1:7">
      <c r="A32" s="1">
        <f>Sheet1!A38</f>
        <v>45363</v>
      </c>
      <c r="B32" s="2">
        <f>Sheet1!L38</f>
        <v>0.00230639730639731</v>
      </c>
      <c r="C32" s="2">
        <f>Sheet1!F38</f>
        <v>0.000278007172624338</v>
      </c>
      <c r="D32" s="2">
        <f>Sheet1!G38</f>
        <v>0.00861822235135447</v>
      </c>
      <c r="E32" s="2">
        <f>Sheet1!AN38*MAX(B$2:B$318)/MAX(Sheet1!AN$8:AN$324)</f>
        <v>0</v>
      </c>
      <c r="F32" s="2">
        <v>1</v>
      </c>
      <c r="G32" s="2">
        <v>0.75</v>
      </c>
    </row>
    <row r="33" spans="1:7">
      <c r="A33" s="1">
        <f>Sheet1!A39</f>
        <v>45364</v>
      </c>
      <c r="B33" s="2">
        <f>Sheet1!L39</f>
        <v>0.00247474747474748</v>
      </c>
      <c r="C33" s="2">
        <f>Sheet1!F39</f>
        <v>0.000278382244407857</v>
      </c>
      <c r="D33" s="2">
        <f>Sheet1!G39</f>
        <v>0.00890823182105144</v>
      </c>
      <c r="E33" s="2">
        <f>Sheet1!AN39*MAX(B$2:B$318)/MAX(Sheet1!AN$8:AN$324)</f>
        <v>0</v>
      </c>
      <c r="F33" s="2">
        <v>1</v>
      </c>
      <c r="G33" s="2">
        <v>0.75</v>
      </c>
    </row>
    <row r="34" spans="1:7">
      <c r="A34" s="1">
        <f>Sheet1!A40</f>
        <v>45365</v>
      </c>
      <c r="B34" s="2">
        <f>Sheet1!L40</f>
        <v>0.00227272727272727</v>
      </c>
      <c r="C34" s="2">
        <f>Sheet1!F40</f>
        <v>0.00027801718328255</v>
      </c>
      <c r="D34" s="2">
        <f>Sheet1!G40</f>
        <v>0.00917456704832416</v>
      </c>
      <c r="E34" s="2">
        <f>Sheet1!AN40*MAX(B$2:B$318)/MAX(Sheet1!AN$8:AN$324)</f>
        <v>0</v>
      </c>
      <c r="F34" s="2">
        <v>1</v>
      </c>
      <c r="G34" s="2">
        <v>0.75</v>
      </c>
    </row>
    <row r="35" spans="1:7">
      <c r="A35" s="1">
        <f>Sheet1!A41</f>
        <v>45366</v>
      </c>
      <c r="B35" s="2">
        <f>Sheet1!L41</f>
        <v>0.00234848484848485</v>
      </c>
      <c r="C35" s="2">
        <f>Sheet1!F41</f>
        <v>0.000277934709308999</v>
      </c>
      <c r="D35" s="2">
        <f>Sheet1!G41</f>
        <v>0.00944978011650598</v>
      </c>
      <c r="E35" s="2">
        <f>Sheet1!AN41*MAX(B$2:B$318)/MAX(Sheet1!AN$8:AN$324)</f>
        <v>0</v>
      </c>
      <c r="F35" s="2">
        <v>1</v>
      </c>
      <c r="G35" s="2">
        <v>0.75</v>
      </c>
    </row>
    <row r="36" spans="1:7">
      <c r="A36" s="1">
        <f>Sheet1!A42</f>
        <v>45367</v>
      </c>
      <c r="B36" s="2">
        <f>Sheet1!L42</f>
        <v>0.00304713804713805</v>
      </c>
      <c r="C36" s="2">
        <f>Sheet1!F42</f>
        <v>0.000280196188754428</v>
      </c>
      <c r="D36" s="2">
        <f>Sheet1!G42</f>
        <v>0.00980686660640497</v>
      </c>
      <c r="E36" s="2">
        <f>Sheet1!AN42*MAX(B$2:B$318)/MAX(Sheet1!AN$8:AN$324)</f>
        <v>0</v>
      </c>
      <c r="F36" s="2">
        <v>1</v>
      </c>
      <c r="G36" s="2">
        <v>0.75</v>
      </c>
    </row>
    <row r="37" spans="1:7">
      <c r="A37" s="1">
        <f>Sheet1!A43</f>
        <v>45368</v>
      </c>
      <c r="B37" s="2">
        <f>Sheet1!L43</f>
        <v>0.00456944444444445</v>
      </c>
      <c r="C37" s="2">
        <f>Sheet1!F43</f>
        <v>0.000287287454923286</v>
      </c>
      <c r="D37" s="2">
        <f>Sheet1!G43</f>
        <v>0.0103423483772383</v>
      </c>
      <c r="E37" s="2">
        <f>Sheet1!AN43*MAX(B$2:B$318)/MAX(Sheet1!AN$8:AN$324)</f>
        <v>0</v>
      </c>
      <c r="F37" s="2">
        <v>1</v>
      </c>
      <c r="G37" s="2">
        <v>0.75</v>
      </c>
    </row>
    <row r="38" spans="1:7">
      <c r="A38" s="1">
        <f>Sheet1!A44</f>
        <v>45369</v>
      </c>
      <c r="B38" s="2">
        <f>Sheet1!L44</f>
        <v>0.00327861952861953</v>
      </c>
      <c r="C38" s="2">
        <f>Sheet1!F44</f>
        <v>0.000289907070358065</v>
      </c>
      <c r="D38" s="2">
        <f>Sheet1!G44</f>
        <v>0.0107265616032484</v>
      </c>
      <c r="E38" s="2">
        <f>Sheet1!AN44*MAX(B$2:B$318)/MAX(Sheet1!AN$8:AN$324)</f>
        <v>0</v>
      </c>
      <c r="F38" s="2">
        <v>1</v>
      </c>
      <c r="G38" s="2">
        <v>0.75</v>
      </c>
    </row>
    <row r="39" spans="1:7">
      <c r="A39" s="1">
        <f>Sheet1!A45</f>
        <v>45370</v>
      </c>
      <c r="B39" s="2">
        <f>Sheet1!L45</f>
        <v>0.00362373737373738</v>
      </c>
      <c r="C39" s="2">
        <f>Sheet1!F45</f>
        <v>0.000293453113861401</v>
      </c>
      <c r="D39" s="2">
        <f>Sheet1!G45</f>
        <v>0.0111512183267333</v>
      </c>
      <c r="E39" s="2">
        <f>Sheet1!AN45*MAX(B$2:B$318)/MAX(Sheet1!AN$8:AN$324)</f>
        <v>0</v>
      </c>
      <c r="F39" s="2">
        <v>1</v>
      </c>
      <c r="G39" s="2">
        <v>0.75</v>
      </c>
    </row>
    <row r="40" spans="1:7">
      <c r="A40" s="1">
        <f>Sheet1!A46</f>
        <v>45371</v>
      </c>
      <c r="B40" s="2">
        <f>Sheet1!L46</f>
        <v>0.0072348484848485</v>
      </c>
      <c r="C40" s="2">
        <f>Sheet1!F46</f>
        <v>0.000307668003424396</v>
      </c>
      <c r="D40" s="2">
        <f>Sheet1!G46</f>
        <v>0.0119990521335514</v>
      </c>
      <c r="E40" s="2">
        <f>Sheet1!AN46*MAX(B$2:B$318)/MAX(Sheet1!AN$8:AN$324)</f>
        <v>0</v>
      </c>
      <c r="F40" s="2">
        <v>1</v>
      </c>
      <c r="G40" s="2">
        <v>0.75</v>
      </c>
    </row>
    <row r="41" spans="1:7">
      <c r="A41" s="1">
        <f>Sheet1!A47</f>
        <v>45372</v>
      </c>
      <c r="B41" s="2">
        <f>Sheet1!L47</f>
        <v>0.00332323232323233</v>
      </c>
      <c r="C41" s="2">
        <f>Sheet1!F47</f>
        <v>0.000309712335535756</v>
      </c>
      <c r="D41" s="2">
        <f>Sheet1!G47</f>
        <v>0.0123884934214302</v>
      </c>
      <c r="E41" s="2">
        <f>Sheet1!AN47*MAX(B$2:B$318)/MAX(Sheet1!AN$8:AN$324)</f>
        <v>0</v>
      </c>
      <c r="F41" s="2">
        <v>1</v>
      </c>
      <c r="G41" s="2">
        <v>0.75</v>
      </c>
    </row>
    <row r="42" spans="1:7">
      <c r="A42" s="1">
        <f>Sheet1!A48</f>
        <v>45373</v>
      </c>
      <c r="B42" s="2">
        <f>Sheet1!L48</f>
        <v>0.00551010101010102</v>
      </c>
      <c r="C42" s="2">
        <f>Sheet1!F48</f>
        <v>0.000317907521550035</v>
      </c>
      <c r="D42" s="2">
        <f>Sheet1!G48</f>
        <v>0.0130342083835514</v>
      </c>
      <c r="E42" s="2">
        <f>Sheet1!AN48*MAX(B$2:B$318)/MAX(Sheet1!AN$8:AN$324)</f>
        <v>0</v>
      </c>
      <c r="F42" s="2">
        <v>1</v>
      </c>
      <c r="G42" s="2">
        <v>0.75</v>
      </c>
    </row>
    <row r="43" spans="1:7">
      <c r="A43" s="1">
        <f>Sheet1!A49</f>
        <v>45374</v>
      </c>
      <c r="B43" s="2">
        <f>Sheet1!L49</f>
        <v>0.00780008417508419</v>
      </c>
      <c r="C43" s="2">
        <f>Sheet1!F49</f>
        <v>0.000332101922567122</v>
      </c>
      <c r="D43" s="2">
        <f>Sheet1!G49</f>
        <v>0.0139482807478191</v>
      </c>
      <c r="E43" s="2">
        <f>Sheet1!AN49*MAX(B$2:B$318)/MAX(Sheet1!AN$8:AN$324)</f>
        <v>0</v>
      </c>
      <c r="F43" s="2">
        <v>1</v>
      </c>
      <c r="G43" s="2">
        <v>0.75</v>
      </c>
    </row>
    <row r="44" spans="1:7">
      <c r="A44" s="1">
        <f>Sheet1!A50</f>
        <v>45375</v>
      </c>
      <c r="B44" s="2">
        <f>Sheet1!L50</f>
        <v>0.00362373737373738</v>
      </c>
      <c r="C44" s="2">
        <f>Sheet1!F50</f>
        <v>0.000334254359797767</v>
      </c>
      <c r="D44" s="2">
        <f>Sheet1!G50</f>
        <v>0.014372937471304</v>
      </c>
      <c r="E44" s="2">
        <f>Sheet1!AN50*MAX(B$2:B$318)/MAX(Sheet1!AN$8:AN$324)</f>
        <v>0</v>
      </c>
      <c r="F44" s="2">
        <v>1</v>
      </c>
      <c r="G44" s="2">
        <v>0.75</v>
      </c>
    </row>
    <row r="45" spans="1:7">
      <c r="A45" s="1">
        <f>Sheet1!A51</f>
        <v>45376</v>
      </c>
      <c r="B45" s="2">
        <f>Sheet1!L51</f>
        <v>0.00446127946127946</v>
      </c>
      <c r="C45" s="2">
        <f>Sheet1!F51</f>
        <v>0.000338539628594833</v>
      </c>
      <c r="D45" s="2">
        <f>Sheet1!G51</f>
        <v>0.0148957436581727</v>
      </c>
      <c r="E45" s="2">
        <f>Sheet1!AN51*MAX(B$2:B$318)/MAX(Sheet1!AN$8:AN$324)</f>
        <v>0</v>
      </c>
      <c r="F45" s="2">
        <v>1</v>
      </c>
      <c r="G45" s="2">
        <v>0.75</v>
      </c>
    </row>
    <row r="46" spans="1:7">
      <c r="A46" s="1">
        <f>Sheet1!A52</f>
        <v>45377</v>
      </c>
      <c r="B46" s="2">
        <f>Sheet1!L52</f>
        <v>0.00498863636363638</v>
      </c>
      <c r="C46" s="2">
        <f>Sheet1!F52</f>
        <v>0.000344007766267473</v>
      </c>
      <c r="D46" s="2">
        <f>Sheet1!G52</f>
        <v>0.0154803494820363</v>
      </c>
      <c r="E46" s="2">
        <f>Sheet1!AN52*MAX(B$2:B$318)/MAX(Sheet1!AN$8:AN$324)</f>
        <v>0</v>
      </c>
      <c r="F46" s="2">
        <v>1</v>
      </c>
      <c r="G46" s="2">
        <v>0.75</v>
      </c>
    </row>
    <row r="47" spans="1:7">
      <c r="A47" s="1">
        <f>Sheet1!A53</f>
        <v>45378</v>
      </c>
      <c r="B47" s="2">
        <f>Sheet1!L53</f>
        <v>0.00404040404040404</v>
      </c>
      <c r="C47" s="2">
        <f>Sheet1!F53</f>
        <v>0.000346822485446112</v>
      </c>
      <c r="D47" s="2">
        <f>Sheet1!G53</f>
        <v>0.0159538343305211</v>
      </c>
      <c r="E47" s="2">
        <f>Sheet1!AN53*MAX(B$2:B$318)/MAX(Sheet1!AN$8:AN$324)</f>
        <v>0</v>
      </c>
      <c r="F47" s="2">
        <v>1</v>
      </c>
      <c r="G47" s="2">
        <v>0.75</v>
      </c>
    </row>
    <row r="48" spans="1:7">
      <c r="A48" s="1">
        <f>Sheet1!A54</f>
        <v>45379</v>
      </c>
      <c r="B48" s="2">
        <f>Sheet1!L54</f>
        <v>0.00346837160424118</v>
      </c>
      <c r="C48" s="2">
        <f>Sheet1!F54</f>
        <v>0.000348091151657301</v>
      </c>
      <c r="D48" s="2">
        <f>Sheet1!G54</f>
        <v>0.0163602841278932</v>
      </c>
      <c r="E48" s="2">
        <f>Sheet1!AN54*MAX(B$2:B$318)/MAX(Sheet1!AN$8:AN$324)</f>
        <v>0</v>
      </c>
      <c r="F48" s="2">
        <v>1</v>
      </c>
      <c r="G48" s="2">
        <v>0.75</v>
      </c>
    </row>
    <row r="49" spans="1:7">
      <c r="A49" s="1">
        <f>Sheet1!A55</f>
        <v>45380</v>
      </c>
      <c r="B49" s="2">
        <f>Sheet1!L55</f>
        <v>0.00290005316321106</v>
      </c>
      <c r="C49" s="2">
        <f>Sheet1!F55</f>
        <v>0.000347919460582436</v>
      </c>
      <c r="D49" s="2">
        <f>Sheet1!G55</f>
        <v>0.016700134107957</v>
      </c>
      <c r="E49" s="2">
        <f>Sheet1!AN55*MAX(B$2:B$318)/MAX(Sheet1!AN$8:AN$324)</f>
        <v>0</v>
      </c>
      <c r="F49" s="2">
        <v>1</v>
      </c>
      <c r="G49" s="2">
        <v>0.75</v>
      </c>
    </row>
    <row r="50" spans="1:7">
      <c r="A50" s="1">
        <f>Sheet1!A56</f>
        <v>45381</v>
      </c>
      <c r="B50" s="2">
        <f>Sheet1!L56</f>
        <v>0.00883838383838384</v>
      </c>
      <c r="C50" s="2">
        <f>Sheet1!F56</f>
        <v>0.000361956779877909</v>
      </c>
      <c r="D50" s="2">
        <f>Sheet1!G56</f>
        <v>0.0177358822140176</v>
      </c>
      <c r="E50" s="2">
        <f>Sheet1!AN56*MAX(B$2:B$318)/MAX(Sheet1!AN$8:AN$324)</f>
        <v>0</v>
      </c>
      <c r="F50" s="2">
        <v>1</v>
      </c>
      <c r="G50" s="2">
        <v>0.75</v>
      </c>
    </row>
    <row r="51" spans="1:7">
      <c r="A51" s="1">
        <f>Sheet1!A57</f>
        <v>45382</v>
      </c>
      <c r="B51" s="2">
        <f>Sheet1!L57</f>
        <v>0.0096969696969697</v>
      </c>
      <c r="C51" s="2">
        <f>Sheet1!F57</f>
        <v>0.000377444917007624</v>
      </c>
      <c r="D51" s="2">
        <f>Sheet1!G57</f>
        <v>0.0188722458503812</v>
      </c>
      <c r="E51" s="2">
        <f>Sheet1!AN57*MAX(B$2:B$318)/MAX(Sheet1!AN$8:AN$324)</f>
        <v>0</v>
      </c>
      <c r="F51" s="2">
        <v>1</v>
      </c>
      <c r="G51" s="2">
        <v>0.75</v>
      </c>
    </row>
    <row r="52" spans="1:7">
      <c r="A52" s="1">
        <f>Sheet1!A58</f>
        <v>45383</v>
      </c>
      <c r="B52" s="2">
        <f>Sheet1!L58</f>
        <v>0.0069179292929293</v>
      </c>
      <c r="C52" s="2">
        <f>Sheet1!F58</f>
        <v>0.000386999745333282</v>
      </c>
      <c r="D52" s="2">
        <f>Sheet1!G58</f>
        <v>0.0197369870119974</v>
      </c>
      <c r="E52" s="2">
        <f>Sheet1!AN58*MAX(B$2:B$318)/MAX(Sheet1!AN$8:AN$324)</f>
        <v>0</v>
      </c>
      <c r="F52" s="2">
        <v>1</v>
      </c>
      <c r="G52" s="2">
        <v>0.75</v>
      </c>
    </row>
    <row r="53" spans="1:7">
      <c r="A53" s="1">
        <f>Sheet1!A59</f>
        <v>45384</v>
      </c>
      <c r="B53" s="2">
        <f>Sheet1!L59</f>
        <v>0.00730934343434344</v>
      </c>
      <c r="C53" s="2">
        <f>Sheet1!F59</f>
        <v>0.000397127979640198</v>
      </c>
      <c r="D53" s="2">
        <f>Sheet1!G59</f>
        <v>0.0206506549412903</v>
      </c>
      <c r="E53" s="2">
        <f>Sheet1!AN59*MAX(B$2:B$318)/MAX(Sheet1!AN$8:AN$324)</f>
        <v>0</v>
      </c>
      <c r="F53" s="2">
        <v>1</v>
      </c>
      <c r="G53" s="2">
        <v>0.75</v>
      </c>
    </row>
    <row r="54" spans="1:7">
      <c r="A54" s="1">
        <f>Sheet1!A60</f>
        <v>45385</v>
      </c>
      <c r="B54" s="2">
        <f>Sheet1!L60</f>
        <v>0.00343434343434343</v>
      </c>
      <c r="C54" s="2">
        <f>Sheet1!F60</f>
        <v>0.000397734865482702</v>
      </c>
      <c r="D54" s="2">
        <f>Sheet1!G60</f>
        <v>0.0210799478705832</v>
      </c>
      <c r="E54" s="2">
        <f>Sheet1!AN60*MAX(B$2:B$318)/MAX(Sheet1!AN$8:AN$324)</f>
        <v>0</v>
      </c>
      <c r="F54" s="2">
        <v>1</v>
      </c>
      <c r="G54" s="2">
        <v>0.75</v>
      </c>
    </row>
    <row r="55" spans="1:7">
      <c r="A55" s="1">
        <f>Sheet1!A61</f>
        <v>45386</v>
      </c>
      <c r="B55" s="2">
        <f>Sheet1!L61</f>
        <v>0.00909090909090909</v>
      </c>
      <c r="C55" s="2">
        <f>Sheet1!F61</f>
        <v>0.000411413176054571</v>
      </c>
      <c r="D55" s="2">
        <f>Sheet1!G61</f>
        <v>0.0222163115069469</v>
      </c>
      <c r="E55" s="2">
        <f>Sheet1!AN61*MAX(B$2:B$318)/MAX(Sheet1!AN$8:AN$324)</f>
        <v>0</v>
      </c>
      <c r="F55" s="2">
        <v>1</v>
      </c>
      <c r="G55" s="2">
        <v>0.75</v>
      </c>
    </row>
    <row r="56" spans="1:7">
      <c r="A56" s="1">
        <f>Sheet1!A62</f>
        <v>45387</v>
      </c>
      <c r="B56" s="2">
        <f>Sheet1!L62</f>
        <v>0.00877398989898992</v>
      </c>
      <c r="C56" s="2">
        <f>Sheet1!F62</f>
        <v>0.000423873822624011</v>
      </c>
      <c r="D56" s="2">
        <f>Sheet1!G62</f>
        <v>0.0233130602443206</v>
      </c>
      <c r="E56" s="2">
        <f>Sheet1!AN62*MAX(B$2:B$318)/MAX(Sheet1!AN$8:AN$324)</f>
        <v>0</v>
      </c>
      <c r="F56" s="2">
        <v>1</v>
      </c>
      <c r="G56" s="2">
        <v>0.75</v>
      </c>
    </row>
    <row r="57" spans="1:7">
      <c r="A57" s="1">
        <f>Sheet1!A63</f>
        <v>45388</v>
      </c>
      <c r="B57" s="2">
        <f>Sheet1!L63</f>
        <v>0.00763888888888889</v>
      </c>
      <c r="C57" s="2">
        <f>Sheet1!F63</f>
        <v>0.000433355738489852</v>
      </c>
      <c r="D57" s="2">
        <f>Sheet1!G63</f>
        <v>0.0242679213554317</v>
      </c>
      <c r="E57" s="2">
        <f>Sheet1!AN63*MAX(B$2:B$318)/MAX(Sheet1!AN$8:AN$324)</f>
        <v>0</v>
      </c>
      <c r="F57" s="2">
        <v>1</v>
      </c>
      <c r="G57" s="2">
        <v>0.75</v>
      </c>
    </row>
    <row r="58" spans="1:7">
      <c r="A58" s="1">
        <f>Sheet1!A64</f>
        <v>45389</v>
      </c>
      <c r="B58" s="2">
        <f>Sheet1!L64</f>
        <v>0.00423821548821549</v>
      </c>
      <c r="C58" s="2">
        <f>Sheet1!F64</f>
        <v>0.000435047338446643</v>
      </c>
      <c r="D58" s="2">
        <f>Sheet1!G64</f>
        <v>0.0247976982914586</v>
      </c>
      <c r="E58" s="2">
        <f>Sheet1!AN64*MAX(B$2:B$318)/MAX(Sheet1!AN$8:AN$324)</f>
        <v>0</v>
      </c>
      <c r="F58" s="2">
        <v>1</v>
      </c>
      <c r="G58" s="2">
        <v>0.75</v>
      </c>
    </row>
    <row r="59" spans="1:7">
      <c r="A59" s="1">
        <f>Sheet1!A65</f>
        <v>45390</v>
      </c>
      <c r="B59" s="2">
        <f>Sheet1!L65</f>
        <v>0.00900631313131314</v>
      </c>
      <c r="C59" s="2">
        <f>Sheet1!F65</f>
        <v>0.000446956679877117</v>
      </c>
      <c r="D59" s="2">
        <f>Sheet1!G65</f>
        <v>0.0259234874328728</v>
      </c>
      <c r="E59" s="2">
        <f>Sheet1!AN65*MAX(B$2:B$318)/MAX(Sheet1!AN$8:AN$324)</f>
        <v>0</v>
      </c>
      <c r="F59" s="2">
        <v>1</v>
      </c>
      <c r="G59" s="2">
        <v>0.75</v>
      </c>
    </row>
    <row r="60" spans="1:7">
      <c r="A60" s="1">
        <f>Sheet1!A66</f>
        <v>45391</v>
      </c>
      <c r="B60" s="2">
        <f>Sheet1!L66</f>
        <v>0.00584848484848486</v>
      </c>
      <c r="C60" s="2">
        <f>Sheet1!F66</f>
        <v>0.000451772000659888</v>
      </c>
      <c r="D60" s="2">
        <f>Sheet1!G66</f>
        <v>0.0266545480389334</v>
      </c>
      <c r="E60" s="2">
        <f>Sheet1!AN66*MAX(B$2:B$318)/MAX(Sheet1!AN$8:AN$324)</f>
        <v>0</v>
      </c>
      <c r="F60" s="2">
        <v>1</v>
      </c>
      <c r="G60" s="2">
        <v>0.75</v>
      </c>
    </row>
    <row r="61" spans="1:7">
      <c r="A61" s="1">
        <f>Sheet1!A67</f>
        <v>45392</v>
      </c>
      <c r="B61" s="2">
        <f>Sheet1!L67</f>
        <v>0.00812373737373739</v>
      </c>
      <c r="C61" s="2">
        <f>Sheet1!F67</f>
        <v>0.000461166920177509</v>
      </c>
      <c r="D61" s="2">
        <f>Sheet1!G67</f>
        <v>0.0276700152106506</v>
      </c>
      <c r="E61" s="2">
        <f>Sheet1!AN67*MAX(B$2:B$318)/MAX(Sheet1!AN$8:AN$324)</f>
        <v>0</v>
      </c>
      <c r="F61" s="2">
        <v>1</v>
      </c>
      <c r="G61" s="2">
        <v>0.75</v>
      </c>
    </row>
    <row r="62" spans="1:7">
      <c r="A62" s="1">
        <f>Sheet1!A68</f>
        <v>45393</v>
      </c>
      <c r="B62" s="2">
        <f>Sheet1!L68</f>
        <v>0.0043939393939394</v>
      </c>
      <c r="C62" s="2">
        <f>Sheet1!F68</f>
        <v>0.000462610780899885</v>
      </c>
      <c r="D62" s="2">
        <f>Sheet1!G68</f>
        <v>0.028219257634893</v>
      </c>
      <c r="E62" s="2">
        <f>Sheet1!AN68*MAX(B$2:B$318)/MAX(Sheet1!AN$8:AN$324)</f>
        <v>0</v>
      </c>
      <c r="F62" s="2">
        <v>1</v>
      </c>
      <c r="G62" s="2">
        <v>0.75</v>
      </c>
    </row>
    <row r="63" spans="1:7">
      <c r="A63" s="1">
        <f>Sheet1!A69</f>
        <v>45394</v>
      </c>
      <c r="B63" s="2">
        <f>Sheet1!L69</f>
        <v>0.00811994949494951</v>
      </c>
      <c r="C63" s="2">
        <f>Sheet1!F69</f>
        <v>0.000471520182609059</v>
      </c>
      <c r="D63" s="2">
        <f>Sheet1!G69</f>
        <v>0.0292342513217617</v>
      </c>
      <c r="E63" s="2">
        <f>Sheet1!AN69*MAX(B$2:B$318)/MAX(Sheet1!AN$8:AN$324)</f>
        <v>0</v>
      </c>
      <c r="F63" s="2">
        <v>1</v>
      </c>
      <c r="G63" s="2">
        <v>0.75</v>
      </c>
    </row>
    <row r="64" spans="1:7">
      <c r="A64" s="1">
        <f>Sheet1!A70</f>
        <v>45395</v>
      </c>
      <c r="B64" s="2">
        <f>Sheet1!L70</f>
        <v>0.00758333333333336</v>
      </c>
      <c r="C64" s="2">
        <f>Sheet1!F70</f>
        <v>0.000479082031562355</v>
      </c>
      <c r="D64" s="2">
        <f>Sheet1!G70</f>
        <v>0.0301821679884283</v>
      </c>
      <c r="E64" s="2">
        <f>Sheet1!AN70*MAX(B$2:B$318)/MAX(Sheet1!AN$8:AN$324)</f>
        <v>0</v>
      </c>
      <c r="F64" s="2">
        <v>1</v>
      </c>
      <c r="G64" s="2">
        <v>0.75</v>
      </c>
    </row>
    <row r="65" spans="1:7">
      <c r="A65" s="1">
        <f>Sheet1!A71</f>
        <v>45396</v>
      </c>
      <c r="B65" s="2">
        <f>Sheet1!L71</f>
        <v>0.00489772727272729</v>
      </c>
      <c r="C65" s="2">
        <f>Sheet1!F71</f>
        <v>0.000481162248398738</v>
      </c>
      <c r="D65" s="2">
        <f>Sheet1!G71</f>
        <v>0.0307943838975193</v>
      </c>
      <c r="E65" s="2">
        <f>Sheet1!AN71*MAX(B$2:B$318)/MAX(Sheet1!AN$8:AN$324)</f>
        <v>0</v>
      </c>
      <c r="F65" s="2">
        <v>1</v>
      </c>
      <c r="G65" s="2">
        <v>0.75</v>
      </c>
    </row>
    <row r="66" spans="1:7">
      <c r="A66" s="1">
        <f>Sheet1!A72</f>
        <v>45397</v>
      </c>
      <c r="B66" s="2">
        <f>Sheet1!L72</f>
        <v>0.0071443181818182</v>
      </c>
      <c r="C66" s="2">
        <f>Sheet1!F72</f>
        <v>0.0004874988256961</v>
      </c>
      <c r="D66" s="2">
        <f>Sheet1!G72</f>
        <v>0.0316874236702465</v>
      </c>
      <c r="E66" s="2">
        <f>Sheet1!AN72*MAX(B$2:B$318)/MAX(Sheet1!AN$8:AN$324)</f>
        <v>0</v>
      </c>
      <c r="F66" s="2">
        <v>1</v>
      </c>
      <c r="G66" s="2">
        <v>0.75</v>
      </c>
    </row>
    <row r="67" spans="1:7">
      <c r="A67" s="1">
        <f>Sheet1!A73</f>
        <v>45398</v>
      </c>
      <c r="B67" s="2">
        <f>Sheet1!L73</f>
        <v>0.00753308080808082</v>
      </c>
      <c r="C67" s="2">
        <f>Sheet1!F73</f>
        <v>0.000494379678352373</v>
      </c>
      <c r="D67" s="2">
        <f>Sheet1!G73</f>
        <v>0.0326290587712566</v>
      </c>
      <c r="E67" s="2">
        <f>Sheet1!AN73*MAX(B$2:B$318)/MAX(Sheet1!AN$8:AN$324)</f>
        <v>0</v>
      </c>
      <c r="F67" s="2">
        <v>1</v>
      </c>
      <c r="G67" s="2">
        <v>0.75</v>
      </c>
    </row>
    <row r="68" spans="1:7">
      <c r="A68" s="1">
        <f>Sheet1!A74</f>
        <v>45399</v>
      </c>
      <c r="B68" s="2">
        <f>Sheet1!L74</f>
        <v>0.00810719696969699</v>
      </c>
      <c r="C68" s="2">
        <f>Sheet1!F74</f>
        <v>0.000502126244663713</v>
      </c>
      <c r="D68" s="2">
        <f>Sheet1!G74</f>
        <v>0.0336424583924688</v>
      </c>
      <c r="E68" s="2">
        <f>Sheet1!AN74*MAX(B$2:B$318)/MAX(Sheet1!AN$8:AN$324)</f>
        <v>0</v>
      </c>
      <c r="F68" s="2">
        <v>1</v>
      </c>
      <c r="G68" s="2">
        <v>0.75</v>
      </c>
    </row>
    <row r="69" spans="1:7">
      <c r="A69" s="1">
        <f>Sheet1!A75</f>
        <v>45400</v>
      </c>
      <c r="B69" s="2">
        <f>Sheet1!L75</f>
        <v>0.0109944444444445</v>
      </c>
      <c r="C69" s="2">
        <f>Sheet1!F75</f>
        <v>0.000514952411000358</v>
      </c>
      <c r="D69" s="2">
        <f>Sheet1!G75</f>
        <v>0.0350167639480243</v>
      </c>
      <c r="E69" s="2">
        <f>Sheet1!AN75*MAX(B$2:B$318)/MAX(Sheet1!AN$8:AN$324)</f>
        <v>0</v>
      </c>
      <c r="F69" s="2">
        <v>1</v>
      </c>
      <c r="G69" s="2">
        <v>0.75</v>
      </c>
    </row>
    <row r="70" spans="1:7">
      <c r="A70" s="1">
        <f>Sheet1!A76</f>
        <v>45401</v>
      </c>
      <c r="B70" s="2">
        <f>Sheet1!L76</f>
        <v>0.00687563131313132</v>
      </c>
      <c r="C70" s="2">
        <f>Sheet1!F76</f>
        <v>0.000519945186408199</v>
      </c>
      <c r="D70" s="2">
        <f>Sheet1!G76</f>
        <v>0.0358762178621657</v>
      </c>
      <c r="E70" s="2">
        <f>Sheet1!AN76*MAX(B$2:B$318)/MAX(Sheet1!AN$8:AN$324)</f>
        <v>0</v>
      </c>
      <c r="F70" s="2">
        <v>1</v>
      </c>
      <c r="G70" s="2">
        <v>0.75</v>
      </c>
    </row>
    <row r="71" spans="1:7">
      <c r="A71" s="1">
        <f>Sheet1!A77</f>
        <v>45402</v>
      </c>
      <c r="B71" s="2">
        <f>Sheet1!L77</f>
        <v>0.0072537878787879</v>
      </c>
      <c r="C71" s="2">
        <f>Sheet1!F77</f>
        <v>0.000525470590671632</v>
      </c>
      <c r="D71" s="2">
        <f>Sheet1!G77</f>
        <v>0.0367829413470142</v>
      </c>
      <c r="E71" s="2">
        <f>Sheet1!AN77*MAX(B$2:B$318)/MAX(Sheet1!AN$8:AN$324)</f>
        <v>0</v>
      </c>
      <c r="F71" s="2">
        <v>1</v>
      </c>
      <c r="G71" s="2">
        <v>0.75</v>
      </c>
    </row>
    <row r="72" spans="1:7">
      <c r="A72" s="1">
        <f>Sheet1!A78</f>
        <v>45403</v>
      </c>
      <c r="B72" s="2">
        <f>Sheet1!L78</f>
        <v>0.00967171717171719</v>
      </c>
      <c r="C72" s="2">
        <f>Sheet1!F78</f>
        <v>0.000535097267513787</v>
      </c>
      <c r="D72" s="2">
        <f>Sheet1!G78</f>
        <v>0.0379919059934789</v>
      </c>
      <c r="E72" s="2">
        <f>Sheet1!AN78*MAX(B$2:B$318)/MAX(Sheet1!AN$8:AN$324)</f>
        <v>0</v>
      </c>
      <c r="F72" s="2">
        <v>1</v>
      </c>
      <c r="G72" s="2">
        <v>0.75</v>
      </c>
    </row>
    <row r="73" spans="1:7">
      <c r="A73" s="1">
        <f>Sheet1!A79</f>
        <v>45404</v>
      </c>
      <c r="B73" s="2">
        <f>Sheet1!L79</f>
        <v>0.00876136363636366</v>
      </c>
      <c r="C73" s="2">
        <f>Sheet1!F79</f>
        <v>0.000542876061778116</v>
      </c>
      <c r="D73" s="2">
        <f>Sheet1!G79</f>
        <v>0.0390870764480243</v>
      </c>
      <c r="E73" s="2">
        <f>Sheet1!AN79*MAX(B$2:B$318)/MAX(Sheet1!AN$8:AN$324)</f>
        <v>0</v>
      </c>
      <c r="F73" s="2">
        <v>1</v>
      </c>
      <c r="G73" s="2">
        <v>0.75</v>
      </c>
    </row>
    <row r="74" spans="1:7">
      <c r="A74" s="1">
        <f>Sheet1!A80</f>
        <v>45405</v>
      </c>
      <c r="B74" s="2">
        <f>Sheet1!L80</f>
        <v>0.0089368686868687</v>
      </c>
      <c r="C74" s="2">
        <f>Sheet1!F80</f>
        <v>0.000550742260738122</v>
      </c>
      <c r="D74" s="2">
        <f>Sheet1!G80</f>
        <v>0.0402041850338829</v>
      </c>
      <c r="E74" s="2">
        <f>Sheet1!AN80*MAX(B$2:B$318)/MAX(Sheet1!AN$8:AN$324)</f>
        <v>0</v>
      </c>
      <c r="F74" s="2">
        <v>1</v>
      </c>
      <c r="G74" s="2">
        <v>0.75</v>
      </c>
    </row>
    <row r="75" spans="1:7">
      <c r="A75" s="1">
        <f>Sheet1!A81</f>
        <v>45406</v>
      </c>
      <c r="B75" s="2">
        <f>Sheet1!L81</f>
        <v>0.00707702020202021</v>
      </c>
      <c r="C75" s="2">
        <f>Sheet1!F81</f>
        <v>0.000555254223772101</v>
      </c>
      <c r="D75" s="2">
        <f>Sheet1!G81</f>
        <v>0.0410888125591355</v>
      </c>
      <c r="E75" s="2">
        <f>Sheet1!AN81*MAX(B$2:B$318)/MAX(Sheet1!AN$8:AN$324)</f>
        <v>0</v>
      </c>
      <c r="F75" s="2">
        <v>1</v>
      </c>
      <c r="G75" s="2">
        <v>0.75</v>
      </c>
    </row>
    <row r="76" spans="1:7">
      <c r="A76" s="1">
        <f>Sheet1!A82</f>
        <v>45407</v>
      </c>
      <c r="B76" s="2">
        <f>Sheet1!L82</f>
        <v>0.010719696969697</v>
      </c>
      <c r="C76" s="2">
        <f>Sheet1!F82</f>
        <v>0.000565716995737968</v>
      </c>
      <c r="D76" s="2">
        <f>Sheet1!G82</f>
        <v>0.0424287746803476</v>
      </c>
      <c r="E76" s="2">
        <f>Sheet1!AN82*MAX(B$2:B$318)/MAX(Sheet1!AN$8:AN$324)</f>
        <v>0</v>
      </c>
      <c r="F76" s="2">
        <v>1</v>
      </c>
      <c r="G76" s="2">
        <v>0.75</v>
      </c>
    </row>
    <row r="77" spans="1:7">
      <c r="A77" s="1">
        <f>Sheet1!A83</f>
        <v>45408</v>
      </c>
      <c r="B77" s="2">
        <f>Sheet1!L83</f>
        <v>0.0174431818181819</v>
      </c>
      <c r="C77" s="2">
        <f>Sheet1!F83</f>
        <v>0.000586962794837109</v>
      </c>
      <c r="D77" s="2">
        <f>Sheet1!G83</f>
        <v>0.0446091724076203</v>
      </c>
      <c r="E77" s="2">
        <f>Sheet1!AN83*MAX(B$2:B$318)/MAX(Sheet1!AN$8:AN$324)</f>
        <v>0</v>
      </c>
      <c r="F77" s="2">
        <v>1</v>
      </c>
      <c r="G77" s="2">
        <v>0.75</v>
      </c>
    </row>
    <row r="78" spans="1:7">
      <c r="A78" s="1">
        <f>Sheet1!A84</f>
        <v>45409</v>
      </c>
      <c r="B78" s="2">
        <f>Sheet1!L84</f>
        <v>0.00596969696969698</v>
      </c>
      <c r="C78" s="2">
        <f>Sheet1!F84</f>
        <v>0.000589030967906915</v>
      </c>
      <c r="D78" s="2">
        <f>Sheet1!G84</f>
        <v>0.0453553845288324</v>
      </c>
      <c r="E78" s="2">
        <f>Sheet1!AN84*MAX(B$2:B$318)/MAX(Sheet1!AN$8:AN$324)</f>
        <v>0</v>
      </c>
      <c r="F78" s="2">
        <v>1</v>
      </c>
      <c r="G78" s="2">
        <v>0.75</v>
      </c>
    </row>
    <row r="79" spans="1:7">
      <c r="A79" s="1">
        <f>Sheet1!A85</f>
        <v>45410</v>
      </c>
      <c r="B79" s="2">
        <f>Sheet1!L85</f>
        <v>0.00698989898989899</v>
      </c>
      <c r="C79" s="2">
        <f>Sheet1!F85</f>
        <v>0.000592681050032946</v>
      </c>
      <c r="D79" s="2">
        <f>Sheet1!G85</f>
        <v>0.0462291219025698</v>
      </c>
      <c r="E79" s="2">
        <f>Sheet1!AN85*MAX(B$2:B$318)/MAX(Sheet1!AN$8:AN$324)</f>
        <v>0</v>
      </c>
      <c r="F79" s="2">
        <v>1</v>
      </c>
      <c r="G79" s="2">
        <v>0.75</v>
      </c>
    </row>
    <row r="80" spans="1:7">
      <c r="A80" s="1">
        <f>Sheet1!A86</f>
        <v>45411</v>
      </c>
      <c r="B80" s="2">
        <f>Sheet1!L86</f>
        <v>0.00688888888888889</v>
      </c>
      <c r="C80" s="2">
        <f>Sheet1!F86</f>
        <v>0.000596078898907353</v>
      </c>
      <c r="D80" s="2">
        <f>Sheet1!G86</f>
        <v>0.0470902330136809</v>
      </c>
      <c r="E80" s="2">
        <f>Sheet1!AN86*MAX(B$2:B$318)/MAX(Sheet1!AN$8:AN$324)</f>
        <v>0</v>
      </c>
      <c r="F80" s="2">
        <v>1</v>
      </c>
      <c r="G80" s="2">
        <v>0.75</v>
      </c>
    </row>
    <row r="81" spans="1:7">
      <c r="A81" s="1">
        <f>Sheet1!A87</f>
        <v>45412</v>
      </c>
      <c r="B81" s="2">
        <f>Sheet1!L87</f>
        <v>0.00513131313131313</v>
      </c>
      <c r="C81" s="2">
        <f>Sheet1!F87</f>
        <v>0.000596645589438688</v>
      </c>
      <c r="D81" s="2">
        <f>Sheet1!G87</f>
        <v>0.0477316471550951</v>
      </c>
      <c r="E81" s="2">
        <f>Sheet1!AN87*MAX(B$2:B$318)/MAX(Sheet1!AN$8:AN$324)</f>
        <v>0</v>
      </c>
      <c r="F81" s="2">
        <v>1</v>
      </c>
      <c r="G81" s="2">
        <v>0.75</v>
      </c>
    </row>
    <row r="82" spans="1:7">
      <c r="A82" s="1">
        <f>Sheet1!A88</f>
        <v>45413</v>
      </c>
      <c r="B82" s="2">
        <f>Sheet1!L88</f>
        <v>0.00515909090909092</v>
      </c>
      <c r="C82" s="2">
        <f>Sheet1!F88</f>
        <v>0.000601618294970977</v>
      </c>
      <c r="D82" s="2">
        <f>Sheet1!G88</f>
        <v>0.0487310818926492</v>
      </c>
      <c r="E82" s="2">
        <f>Sheet1!AN88*MAX(B$2:B$318)/MAX(Sheet1!AN$8:AN$324)</f>
        <v>0</v>
      </c>
      <c r="F82" s="2">
        <v>1</v>
      </c>
      <c r="G82" s="2">
        <v>0.75</v>
      </c>
    </row>
    <row r="83" spans="1:7">
      <c r="A83" s="1">
        <f>Sheet1!A89</f>
        <v>45414</v>
      </c>
      <c r="B83" s="2">
        <f>Sheet1!L89</f>
        <v>0.00545454545454546</v>
      </c>
      <c r="C83" s="2">
        <f>Sheet1!F89</f>
        <v>0.000603116020863793</v>
      </c>
      <c r="D83" s="2">
        <f>Sheet1!G89</f>
        <v>0.049455513710831</v>
      </c>
      <c r="E83" s="2">
        <f>Sheet1!AN89*MAX(B$2:B$318)/MAX(Sheet1!AN$8:AN$324)</f>
        <v>0</v>
      </c>
      <c r="F83" s="2">
        <v>1</v>
      </c>
      <c r="G83" s="2">
        <v>0.75</v>
      </c>
    </row>
    <row r="84" spans="1:7">
      <c r="A84" s="1">
        <f>Sheet1!A90</f>
        <v>45415</v>
      </c>
      <c r="B84" s="2">
        <f>Sheet1!L90</f>
        <v>0.00453409090909091</v>
      </c>
      <c r="C84" s="2">
        <f>Sheet1!F90</f>
        <v>0.000603104791080658</v>
      </c>
      <c r="D84" s="2">
        <f>Sheet1!G90</f>
        <v>0.0500576976596946</v>
      </c>
      <c r="E84" s="2">
        <f>Sheet1!AN90*MAX(B$2:B$318)/MAX(Sheet1!AN$8:AN$324)</f>
        <v>0</v>
      </c>
      <c r="F84" s="2">
        <v>1</v>
      </c>
      <c r="G84" s="2">
        <v>0.75</v>
      </c>
    </row>
    <row r="85" spans="1:7">
      <c r="A85" s="1">
        <f>Sheet1!A91</f>
        <v>45416</v>
      </c>
      <c r="B85" s="2">
        <f>Sheet1!L91</f>
        <v>0.00477272727272728</v>
      </c>
      <c r="C85" s="2">
        <f>Sheet1!F91</f>
        <v>0.000603471136911949</v>
      </c>
      <c r="D85" s="2">
        <f>Sheet1!G91</f>
        <v>0.0506915755006037</v>
      </c>
      <c r="E85" s="2">
        <f>Sheet1!AN91*MAX(B$2:B$318)/MAX(Sheet1!AN$8:AN$324)</f>
        <v>0.0211372153584701</v>
      </c>
      <c r="F85" s="2">
        <v>1</v>
      </c>
      <c r="G85" s="2">
        <v>0.75</v>
      </c>
    </row>
    <row r="86" spans="1:7">
      <c r="A86" s="1">
        <f>Sheet1!A92</f>
        <v>45417</v>
      </c>
      <c r="B86" s="2">
        <f>Sheet1!L92</f>
        <v>0.00476767676767677</v>
      </c>
      <c r="C86" s="2">
        <f>Sheet1!F92</f>
        <v>0.000603820971427186</v>
      </c>
      <c r="D86" s="2">
        <f>Sheet1!G92</f>
        <v>0.0513247825713108</v>
      </c>
      <c r="E86" s="2">
        <f>Sheet1!AN92*MAX(B$2:B$318)/MAX(Sheet1!AN$8:AN$324)</f>
        <v>0.0204233851334584</v>
      </c>
      <c r="F86" s="2">
        <v>1</v>
      </c>
      <c r="G86" s="2">
        <v>0.75</v>
      </c>
    </row>
    <row r="87" spans="1:7">
      <c r="A87" s="1">
        <f>Sheet1!A93</f>
        <v>45418</v>
      </c>
      <c r="B87" s="2">
        <f>Sheet1!L93</f>
        <v>0.0046489898989899</v>
      </c>
      <c r="C87" s="2">
        <f>Sheet1!F93</f>
        <v>0.000603979378398493</v>
      </c>
      <c r="D87" s="2">
        <f>Sheet1!G93</f>
        <v>0.0519422265422704</v>
      </c>
      <c r="E87" s="2">
        <f>Sheet1!AN93*MAX(B$2:B$318)/MAX(Sheet1!AN$8:AN$324)</f>
        <v>0.0223655913978495</v>
      </c>
      <c r="F87" s="2">
        <v>1</v>
      </c>
      <c r="G87" s="2">
        <v>0.75</v>
      </c>
    </row>
    <row r="88" spans="1:7">
      <c r="A88" s="1">
        <f>Sheet1!A94</f>
        <v>45419</v>
      </c>
      <c r="B88" s="2">
        <f>Sheet1!L94</f>
        <v>0.00546843434343435</v>
      </c>
      <c r="C88" s="2">
        <f>Sheet1!F94</f>
        <v>0.000605385091706986</v>
      </c>
      <c r="D88" s="2">
        <f>Sheet1!G94</f>
        <v>0.0526685029785078</v>
      </c>
      <c r="E88" s="2">
        <f>Sheet1!AN94*MAX(B$2:B$318)/MAX(Sheet1!AN$8:AN$324)</f>
        <v>0.0215003921396162</v>
      </c>
      <c r="F88" s="2">
        <v>1</v>
      </c>
      <c r="G88" s="2">
        <v>0.75</v>
      </c>
    </row>
    <row r="89" spans="1:7">
      <c r="A89" s="1">
        <f>Sheet1!A95</f>
        <v>45420</v>
      </c>
      <c r="B89" s="2">
        <f>Sheet1!L95</f>
        <v>0.00462222222222223</v>
      </c>
      <c r="C89" s="2">
        <f>Sheet1!F95</f>
        <v>0.000605481725765871</v>
      </c>
      <c r="D89" s="2">
        <f>Sheet1!G95</f>
        <v>0.0532823918673967</v>
      </c>
      <c r="E89" s="2">
        <f>Sheet1!AN95*MAX(B$2:B$318)/MAX(Sheet1!AN$8:AN$324)</f>
        <v>0.0205925046360431</v>
      </c>
      <c r="F89" s="2">
        <v>1</v>
      </c>
      <c r="G89" s="2">
        <v>0.75</v>
      </c>
    </row>
    <row r="90" spans="1:7">
      <c r="A90" s="1">
        <f>Sheet1!A96</f>
        <v>45421</v>
      </c>
      <c r="B90" s="2">
        <f>Sheet1!L96</f>
        <v>0.00587654320987657</v>
      </c>
      <c r="C90" s="2">
        <f>Sheet1!F96</f>
        <v>0.000607447980477061</v>
      </c>
      <c r="D90" s="2">
        <f>Sheet1!G96</f>
        <v>0.0540628702624584</v>
      </c>
      <c r="E90" s="2">
        <f>Sheet1!AN96*MAX(B$2:B$318)/MAX(Sheet1!AN$8:AN$324)</f>
        <v>0.019518074896398</v>
      </c>
      <c r="F90" s="2">
        <v>1</v>
      </c>
      <c r="G90" s="2">
        <v>0.75</v>
      </c>
    </row>
    <row r="91" spans="1:7">
      <c r="A91" s="1">
        <f>Sheet1!A97</f>
        <v>45422</v>
      </c>
      <c r="B91" s="2">
        <f>Sheet1!L97</f>
        <v>0.0223655913978495</v>
      </c>
      <c r="C91" s="2">
        <f>Sheet1!F97</f>
        <v>0.000633703337444281</v>
      </c>
      <c r="D91" s="2">
        <f>Sheet1!G97</f>
        <v>0.0570333003699853</v>
      </c>
      <c r="E91" s="2">
        <f>Sheet1!AN97*MAX(B$2:B$318)/MAX(Sheet1!AN$8:AN$324)</f>
        <v>0.019481023449246</v>
      </c>
      <c r="F91" s="2">
        <v>1</v>
      </c>
      <c r="G91" s="2">
        <v>0.75</v>
      </c>
    </row>
    <row r="92" spans="1:7">
      <c r="A92" s="1">
        <f>Sheet1!A98</f>
        <v>45423</v>
      </c>
      <c r="B92" s="2">
        <f>Sheet1!L98</f>
        <v>0.00734902597402599</v>
      </c>
      <c r="C92" s="2">
        <f>Sheet1!F98</f>
        <v>0.000637465306397369</v>
      </c>
      <c r="D92" s="2">
        <f>Sheet1!G98</f>
        <v>0.0580093428821606</v>
      </c>
      <c r="E92" s="2">
        <f>Sheet1!AN98*MAX(B$2:B$318)/MAX(Sheet1!AN$8:AN$324)</f>
        <v>0.0178755471667745</v>
      </c>
      <c r="F92" s="2">
        <v>1</v>
      </c>
      <c r="G92" s="2">
        <v>0.75</v>
      </c>
    </row>
    <row r="93" spans="1:7">
      <c r="A93" s="1">
        <f>Sheet1!A99</f>
        <v>45424</v>
      </c>
      <c r="B93" s="2">
        <f>Sheet1!L99</f>
        <v>0.0107776489383632</v>
      </c>
      <c r="C93" s="2">
        <f>Sheet1!F99</f>
        <v>0.000646095101975945</v>
      </c>
      <c r="D93" s="2">
        <f>Sheet1!G99</f>
        <v>0.059440749381787</v>
      </c>
      <c r="E93" s="2">
        <f>Sheet1!AN99*MAX(B$2:B$318)/MAX(Sheet1!AN$8:AN$324)</f>
        <v>0.0177994737266457</v>
      </c>
      <c r="F93" s="2">
        <v>1</v>
      </c>
      <c r="G93" s="2">
        <v>0.75</v>
      </c>
    </row>
    <row r="94" spans="1:7">
      <c r="A94" s="1">
        <f>Sheet1!A100</f>
        <v>45425</v>
      </c>
      <c r="B94" s="2">
        <f>Sheet1!L100</f>
        <v>0.00792171717171719</v>
      </c>
      <c r="C94" s="2">
        <f>Sheet1!F100</f>
        <v>0.000650460778964039</v>
      </c>
      <c r="D94" s="2">
        <f>Sheet1!G100</f>
        <v>0.0604928524436557</v>
      </c>
      <c r="E94" s="2">
        <f>Sheet1!AN100*MAX(B$2:B$318)/MAX(Sheet1!AN$8:AN$324)</f>
        <v>0.0166023671381168</v>
      </c>
      <c r="F94" s="2">
        <v>1</v>
      </c>
      <c r="G94" s="2">
        <v>0.75</v>
      </c>
    </row>
    <row r="95" spans="1:7">
      <c r="A95" s="1">
        <f>Sheet1!A101</f>
        <v>45426</v>
      </c>
      <c r="B95" s="2">
        <f>Sheet1!L101</f>
        <v>0.0104630815194195</v>
      </c>
      <c r="C95" s="2">
        <f>Sheet1!F101</f>
        <v>0.000658324260190995</v>
      </c>
      <c r="D95" s="2">
        <f>Sheet1!G101</f>
        <v>0.0618824804579536</v>
      </c>
      <c r="E95" s="2">
        <f>Sheet1!AN101*MAX(B$2:B$318)/MAX(Sheet1!AN$8:AN$324)</f>
        <v>0.0166412594899209</v>
      </c>
      <c r="F95" s="2">
        <v>1</v>
      </c>
      <c r="G95" s="2">
        <v>0.75</v>
      </c>
    </row>
    <row r="96" spans="1:7">
      <c r="A96" s="1">
        <f>Sheet1!A102</f>
        <v>45427</v>
      </c>
      <c r="B96" s="2">
        <f>Sheet1!L102</f>
        <v>0.0135979437229437</v>
      </c>
      <c r="C96" s="2">
        <f>Sheet1!F102</f>
        <v>0.000670404814301653</v>
      </c>
      <c r="D96" s="2">
        <f>Sheet1!G102</f>
        <v>0.063688457358657</v>
      </c>
      <c r="E96" s="2">
        <f>Sheet1!AN102*MAX(B$2:B$318)/MAX(Sheet1!AN$8:AN$324)</f>
        <v>0.016584476656287</v>
      </c>
      <c r="F96" s="2">
        <v>1</v>
      </c>
      <c r="G96" s="2">
        <v>0.75</v>
      </c>
    </row>
    <row r="97" spans="1:7">
      <c r="A97" s="1">
        <f>Sheet1!A103</f>
        <v>45428</v>
      </c>
      <c r="B97" s="2">
        <f>Sheet1!L103</f>
        <v>0.0052929292929293</v>
      </c>
      <c r="C97" s="2">
        <f>Sheet1!F103</f>
        <v>0.000670744005524731</v>
      </c>
      <c r="D97" s="2">
        <f>Sheet1!G103</f>
        <v>0.0643914245303742</v>
      </c>
      <c r="E97" s="2">
        <f>Sheet1!AN103*MAX(B$2:B$318)/MAX(Sheet1!AN$8:AN$324)</f>
        <v>0.016929840740307</v>
      </c>
      <c r="F97" s="2">
        <v>1</v>
      </c>
      <c r="G97" s="2">
        <v>0.75</v>
      </c>
    </row>
    <row r="98" spans="1:7">
      <c r="A98" s="1">
        <f>Sheet1!A104</f>
        <v>45429</v>
      </c>
      <c r="B98" s="2">
        <f>Sheet1!L104</f>
        <v>0.00512121212121213</v>
      </c>
      <c r="C98" s="2">
        <f>Sheet1!F104</f>
        <v>0.000670841087785801</v>
      </c>
      <c r="D98" s="2">
        <f>Sheet1!G104</f>
        <v>0.0650715855152227</v>
      </c>
      <c r="E98" s="2">
        <f>Sheet1!AN104*MAX(B$2:B$318)/MAX(Sheet1!AN$8:AN$324)</f>
        <v>0.0165448064574468</v>
      </c>
      <c r="F98" s="2">
        <v>1</v>
      </c>
      <c r="G98" s="2">
        <v>0.75</v>
      </c>
    </row>
    <row r="99" spans="1:7">
      <c r="A99" s="1">
        <f>Sheet1!A105</f>
        <v>45430</v>
      </c>
      <c r="B99" s="2">
        <f>Sheet1!L105</f>
        <v>0.021921568627451</v>
      </c>
      <c r="C99" s="2">
        <f>Sheet1!F105</f>
        <v>0.000693704529066898</v>
      </c>
      <c r="D99" s="2">
        <f>Sheet1!G105</f>
        <v>0.067983043848556</v>
      </c>
      <c r="E99" s="2">
        <f>Sheet1!AN105*MAX(B$2:B$318)/MAX(Sheet1!AN$8:AN$324)</f>
        <v>0.0174968912296102</v>
      </c>
      <c r="F99" s="2">
        <v>1</v>
      </c>
      <c r="G99" s="2">
        <v>0.75</v>
      </c>
    </row>
    <row r="100" spans="1:7">
      <c r="A100" s="1">
        <f>Sheet1!A106</f>
        <v>45431</v>
      </c>
      <c r="B100" s="2">
        <f>Sheet1!L106</f>
        <v>0.00606818181818183</v>
      </c>
      <c r="C100" s="2">
        <f>Sheet1!F106</f>
        <v>0.000694838123699831</v>
      </c>
      <c r="D100" s="2">
        <f>Sheet1!G106</f>
        <v>0.0687889742462833</v>
      </c>
      <c r="E100" s="2">
        <f>Sheet1!AN106*MAX(B$2:B$318)/MAX(Sheet1!AN$8:AN$324)</f>
        <v>0.0171235246522913</v>
      </c>
      <c r="F100" s="2">
        <v>1</v>
      </c>
      <c r="G100" s="2">
        <v>0.75</v>
      </c>
    </row>
    <row r="101" spans="1:7">
      <c r="A101" s="1">
        <f>Sheet1!A107</f>
        <v>45432</v>
      </c>
      <c r="B101" s="2">
        <f>Sheet1!L107</f>
        <v>0.00545454545454546</v>
      </c>
      <c r="C101" s="2">
        <f>Sheet1!F107</f>
        <v>0.000695134060644651</v>
      </c>
      <c r="D101" s="2">
        <f>Sheet1!G107</f>
        <v>0.0695134060644651</v>
      </c>
      <c r="E101" s="2">
        <f>Sheet1!AN107*MAX(B$2:B$318)/MAX(Sheet1!AN$8:AN$324)</f>
        <v>0.0169368413636318</v>
      </c>
      <c r="F101" s="2">
        <v>1</v>
      </c>
      <c r="G101" s="2">
        <v>0.75</v>
      </c>
    </row>
    <row r="102" spans="1:7">
      <c r="A102" s="1">
        <f>Sheet1!A108</f>
        <v>45433</v>
      </c>
      <c r="B102" s="2">
        <f>Sheet1!L108</f>
        <v>0.00525252525252526</v>
      </c>
      <c r="C102" s="2">
        <f>Sheet1!F108</f>
        <v>0.000695158485886793</v>
      </c>
      <c r="D102" s="2">
        <f>Sheet1!G108</f>
        <v>0.0702110070745661</v>
      </c>
      <c r="E102" s="2">
        <f>Sheet1!AN108*MAX(B$2:B$318)/MAX(Sheet1!AN$8:AN$324)</f>
        <v>0.0165634747863128</v>
      </c>
      <c r="F102" s="2">
        <v>1</v>
      </c>
      <c r="G102" s="2">
        <v>0.75</v>
      </c>
    </row>
    <row r="103" spans="1:7">
      <c r="A103" s="1">
        <f>Sheet1!A109</f>
        <v>45434</v>
      </c>
      <c r="B103" s="2">
        <f>Sheet1!L109</f>
        <v>0.00607575757575759</v>
      </c>
      <c r="C103" s="2">
        <f>Sheet1!F109</f>
        <v>0.000696254349290161</v>
      </c>
      <c r="D103" s="2">
        <f>Sheet1!G109</f>
        <v>0.0710179436275964</v>
      </c>
      <c r="E103" s="2">
        <f>Sheet1!AN109*MAX(B$2:B$318)/MAX(Sheet1!AN$8:AN$324)</f>
        <v>0.0165634747863128</v>
      </c>
      <c r="F103" s="2">
        <v>1</v>
      </c>
      <c r="G103" s="2">
        <v>0.75</v>
      </c>
    </row>
    <row r="104" spans="1:7">
      <c r="A104" s="1">
        <f>Sheet1!A110</f>
        <v>45435</v>
      </c>
      <c r="B104" s="2">
        <f>Sheet1!L110</f>
        <v>0.00528409090909092</v>
      </c>
      <c r="C104" s="2">
        <f>Sheet1!F110</f>
        <v>0.000696308125742331</v>
      </c>
      <c r="D104" s="2">
        <f>Sheet1!G110</f>
        <v>0.0717197369514601</v>
      </c>
      <c r="E104" s="2">
        <f>Sheet1!AN110*MAX(B$2:B$318)/MAX(Sheet1!AN$8:AN$324)</f>
        <v>0.0165634747863128</v>
      </c>
      <c r="F104" s="2">
        <v>1</v>
      </c>
      <c r="G104" s="2">
        <v>0.75</v>
      </c>
    </row>
    <row r="105" spans="1:7">
      <c r="A105" s="1">
        <f>Sheet1!A111</f>
        <v>45436</v>
      </c>
      <c r="B105" s="2">
        <f>Sheet1!L111</f>
        <v>0.00486868686868687</v>
      </c>
      <c r="C105" s="2">
        <f>Sheet1!F111</f>
        <v>0.00069583037909815</v>
      </c>
      <c r="D105" s="2">
        <f>Sheet1!G111</f>
        <v>0.0723663594262076</v>
      </c>
      <c r="E105" s="2">
        <f>Sheet1!AN111*MAX(B$2:B$318)/MAX(Sheet1!AN$8:AN$324)</f>
        <v>0.0165634747863128</v>
      </c>
      <c r="F105" s="2">
        <v>1</v>
      </c>
      <c r="G105" s="2">
        <v>0.75</v>
      </c>
    </row>
    <row r="106" spans="1:7">
      <c r="A106" s="1">
        <f>Sheet1!A112</f>
        <v>45437</v>
      </c>
      <c r="B106" s="2">
        <f>Sheet1!L112</f>
        <v>0.00544107744107746</v>
      </c>
      <c r="C106" s="2">
        <f>Sheet1!F112</f>
        <v>0.000696085738322387</v>
      </c>
      <c r="D106" s="2">
        <f>Sheet1!G112</f>
        <v>0.0730890025238506</v>
      </c>
      <c r="E106" s="2">
        <f>Sheet1!AN112*MAX(B$2:B$318)/MAX(Sheet1!AN$8:AN$324)</f>
        <v>0.0165634747863128</v>
      </c>
      <c r="F106" s="2">
        <v>1</v>
      </c>
      <c r="G106" s="2">
        <v>0.75</v>
      </c>
    </row>
    <row r="107" spans="1:7">
      <c r="A107" s="1">
        <f>Sheet1!A113</f>
        <v>45438</v>
      </c>
      <c r="B107" s="2">
        <f>Sheet1!L113</f>
        <v>0.00514856902356904</v>
      </c>
      <c r="C107" s="2">
        <f>Sheet1!F113</f>
        <v>0.00069596978157824</v>
      </c>
      <c r="D107" s="2">
        <f>Sheet1!G113</f>
        <v>0.0737727968472934</v>
      </c>
      <c r="E107" s="2">
        <f>Sheet1!AN113*MAX(B$2:B$318)/MAX(Sheet1!AN$8:AN$324)</f>
        <v>0.0165634747863128</v>
      </c>
      <c r="F107" s="2">
        <v>1</v>
      </c>
      <c r="G107" s="2">
        <v>0.75</v>
      </c>
    </row>
    <row r="108" spans="1:7">
      <c r="A108" s="1">
        <f>Sheet1!A114</f>
        <v>45439</v>
      </c>
      <c r="B108" s="2">
        <f>Sheet1!L114</f>
        <v>0.00367424242424244</v>
      </c>
      <c r="C108" s="2">
        <f>Sheet1!F114</f>
        <v>0.000694026001581898</v>
      </c>
      <c r="D108" s="2">
        <f>Sheet1!G114</f>
        <v>0.0742607821692631</v>
      </c>
      <c r="E108" s="2">
        <f>Sheet1!AN114*MAX(B$2:B$318)/MAX(Sheet1!AN$8:AN$324)</f>
        <v>0.0165634747863128</v>
      </c>
      <c r="F108" s="2">
        <v>1</v>
      </c>
      <c r="G108" s="2">
        <v>0.75</v>
      </c>
    </row>
    <row r="109" spans="1:7">
      <c r="A109" s="1">
        <f>Sheet1!A115</f>
        <v>45440</v>
      </c>
      <c r="B109" s="2">
        <f>Sheet1!L115</f>
        <v>0.00196969696969698</v>
      </c>
      <c r="C109" s="2">
        <f>Sheet1!F115</f>
        <v>0.000690022060630102</v>
      </c>
      <c r="D109" s="2">
        <f>Sheet1!G115</f>
        <v>0.074522382548051</v>
      </c>
      <c r="E109" s="2">
        <f>Sheet1!AN115*MAX(B$2:B$318)/MAX(Sheet1!AN$8:AN$324)</f>
        <v>0.0165634747863128</v>
      </c>
      <c r="F109" s="2">
        <v>1</v>
      </c>
      <c r="G109" s="2">
        <v>0.75</v>
      </c>
    </row>
    <row r="110" spans="1:7">
      <c r="A110" s="1">
        <f>Sheet1!A116</f>
        <v>45441</v>
      </c>
      <c r="B110" s="2">
        <f>Sheet1!L116</f>
        <v>0.00326515151515153</v>
      </c>
      <c r="C110" s="2">
        <f>Sheet1!F116</f>
        <v>0.00068767005030878</v>
      </c>
      <c r="D110" s="2">
        <f>Sheet1!G116</f>
        <v>0.074956035483657</v>
      </c>
      <c r="E110" s="2">
        <f>Sheet1!AN116*MAX(B$2:B$318)/MAX(Sheet1!AN$8:AN$324)</f>
        <v>0.0165634747863128</v>
      </c>
      <c r="F110" s="2">
        <v>1</v>
      </c>
      <c r="G110" s="2">
        <v>0.75</v>
      </c>
    </row>
    <row r="111" spans="1:7">
      <c r="A111" s="1">
        <f>Sheet1!A117</f>
        <v>45442</v>
      </c>
      <c r="B111" s="2">
        <f>Sheet1!L117</f>
        <v>0.00324284511784512</v>
      </c>
      <c r="C111" s="2">
        <f>Sheet1!F117</f>
        <v>0.000685333871371553</v>
      </c>
      <c r="D111" s="2">
        <f>Sheet1!G117</f>
        <v>0.0753867258508709</v>
      </c>
      <c r="E111" s="2">
        <f>Sheet1!AN117*MAX(B$2:B$318)/MAX(Sheet1!AN$8:AN$324)</f>
        <v>0.0165634747863128</v>
      </c>
      <c r="F111" s="2">
        <v>1</v>
      </c>
      <c r="G111" s="2">
        <v>0.75</v>
      </c>
    </row>
    <row r="112" spans="1:7">
      <c r="A112" s="1">
        <f>Sheet1!A118</f>
        <v>45443</v>
      </c>
      <c r="B112" s="2">
        <f>Sheet1!L118</f>
        <v>0.00472727272727274</v>
      </c>
      <c r="C112" s="2">
        <f>Sheet1!F118</f>
        <v>0.000684815916756412</v>
      </c>
      <c r="D112" s="2">
        <f>Sheet1!G118</f>
        <v>0.0760145667599618</v>
      </c>
      <c r="E112" s="2">
        <f>Sheet1!AN118*MAX(B$2:B$318)/MAX(Sheet1!AN$8:AN$324)</f>
        <v>0.0165634747863128</v>
      </c>
      <c r="F112" s="2">
        <v>1</v>
      </c>
      <c r="G112" s="2">
        <v>0.75</v>
      </c>
    </row>
    <row r="113" spans="1:7">
      <c r="A113" s="1">
        <f>Sheet1!A119</f>
        <v>45444</v>
      </c>
      <c r="B113" s="2">
        <f>Sheet1!L119</f>
        <v>0.00495075757575759</v>
      </c>
      <c r="C113" s="2">
        <f>Sheet1!F119</f>
        <v>0.000684917562893328</v>
      </c>
      <c r="D113" s="2">
        <f>Sheet1!G119</f>
        <v>0.0767107670440527</v>
      </c>
      <c r="E113" s="2">
        <f>Sheet1!AN119*MAX(B$2:B$318)/MAX(Sheet1!AN$8:AN$324)</f>
        <v>0.0165634747863128</v>
      </c>
      <c r="F113" s="2">
        <v>1</v>
      </c>
      <c r="G113" s="2">
        <v>0.75</v>
      </c>
    </row>
    <row r="114" spans="1:7">
      <c r="A114" s="1">
        <f>Sheet1!A120</f>
        <v>45445</v>
      </c>
      <c r="B114" s="2">
        <f>Sheet1!L120</f>
        <v>0.00500420875420877</v>
      </c>
      <c r="C114" s="2">
        <f>Sheet1!F120</f>
        <v>0.000685083928319587</v>
      </c>
      <c r="D114" s="2">
        <f>Sheet1!G120</f>
        <v>0.0774144839001133</v>
      </c>
      <c r="E114" s="2">
        <f>Sheet1!AN120*MAX(B$2:B$318)/MAX(Sheet1!AN$8:AN$324)</f>
        <v>0.0165634747863128</v>
      </c>
      <c r="F114" s="2">
        <v>1</v>
      </c>
      <c r="G114" s="2">
        <v>0.75</v>
      </c>
    </row>
    <row r="115" spans="1:7">
      <c r="A115" s="1">
        <f>Sheet1!A121</f>
        <v>45446</v>
      </c>
      <c r="B115" s="2">
        <f>Sheet1!L121</f>
        <v>0.0047159090909091</v>
      </c>
      <c r="C115" s="2">
        <f>Sheet1!F121</f>
        <v>0.00068489174224581</v>
      </c>
      <c r="D115" s="2">
        <f>Sheet1!G121</f>
        <v>0.0780776586160224</v>
      </c>
      <c r="E115" s="2">
        <f>Sheet1!AN121*MAX(B$2:B$318)/MAX(Sheet1!AN$8:AN$324)</f>
        <v>0.0165634747863128</v>
      </c>
      <c r="F115" s="2">
        <v>1</v>
      </c>
      <c r="G115" s="2">
        <v>0.75</v>
      </c>
    </row>
    <row r="116" spans="1:7">
      <c r="A116" s="1">
        <f>Sheet1!A122</f>
        <v>45447</v>
      </c>
      <c r="B116" s="2">
        <f>Sheet1!L122</f>
        <v>0.00463636363636364</v>
      </c>
      <c r="C116" s="2">
        <f>Sheet1!F122</f>
        <v>0.000684605628281618</v>
      </c>
      <c r="D116" s="2">
        <f>Sheet1!G122</f>
        <v>0.078729647252386</v>
      </c>
      <c r="E116" s="2">
        <f>Sheet1!AN122*MAX(B$2:B$318)/MAX(Sheet1!AN$8:AN$324)</f>
        <v>0.0165634747863128</v>
      </c>
      <c r="F116" s="2">
        <v>1</v>
      </c>
      <c r="G116" s="2">
        <v>0.75</v>
      </c>
    </row>
    <row r="117" spans="1:7">
      <c r="A117" s="1">
        <f>Sheet1!A123</f>
        <v>45448</v>
      </c>
      <c r="B117" s="2">
        <f>Sheet1!L123</f>
        <v>0.00505050505050505</v>
      </c>
      <c r="C117" s="2">
        <f>Sheet1!F123</f>
        <v>0.000684826504526839</v>
      </c>
      <c r="D117" s="2">
        <f>Sheet1!G123</f>
        <v>0.0794398745251133</v>
      </c>
      <c r="E117" s="2">
        <f>Sheet1!AN123*MAX(B$2:B$318)/MAX(Sheet1!AN$8:AN$324)</f>
        <v>0.0165634747863128</v>
      </c>
      <c r="F117" s="2">
        <v>1</v>
      </c>
      <c r="G117" s="2">
        <v>0.75</v>
      </c>
    </row>
    <row r="118" spans="1:7">
      <c r="A118" s="1">
        <f>Sheet1!A124</f>
        <v>45449</v>
      </c>
      <c r="B118" s="2">
        <f>Sheet1!L124</f>
        <v>0.00444444444444444</v>
      </c>
      <c r="C118" s="2">
        <f>Sheet1!F124</f>
        <v>0.00068431516688131</v>
      </c>
      <c r="D118" s="2">
        <f>Sheet1!G124</f>
        <v>0.0800648745251133</v>
      </c>
      <c r="E118" s="2">
        <f>Sheet1!AN124*MAX(B$2:B$318)/MAX(Sheet1!AN$8:AN$324)</f>
        <v>0.0165634747863128</v>
      </c>
      <c r="F118" s="2">
        <v>1</v>
      </c>
      <c r="G118" s="2">
        <v>0.75</v>
      </c>
    </row>
    <row r="119" spans="1:7">
      <c r="A119" s="1">
        <f>Sheet1!A125</f>
        <v>45450</v>
      </c>
      <c r="B119" s="2">
        <f>Sheet1!L125</f>
        <v>0.00444444444444444</v>
      </c>
      <c r="C119" s="2">
        <f>Sheet1!F125</f>
        <v>0.000683812495975536</v>
      </c>
      <c r="D119" s="2">
        <f>Sheet1!G125</f>
        <v>0.0806898745251133</v>
      </c>
      <c r="E119" s="2">
        <f>Sheet1!AN125*MAX(B$2:B$318)/MAX(Sheet1!AN$8:AN$324)</f>
        <v>0.0165634747863128</v>
      </c>
      <c r="F119" s="2">
        <v>1</v>
      </c>
      <c r="G119" s="2">
        <v>0.75</v>
      </c>
    </row>
    <row r="120" spans="1:7">
      <c r="A120" s="1">
        <f>Sheet1!A126</f>
        <v>45451</v>
      </c>
      <c r="B120" s="2">
        <f>Sheet1!L126</f>
        <v>0.00445454545454545</v>
      </c>
      <c r="C120" s="2">
        <f>Sheet1!F126</f>
        <v>0.000683330209913099</v>
      </c>
      <c r="D120" s="2">
        <f>Sheet1!G126</f>
        <v>0.0813162949796588</v>
      </c>
      <c r="E120" s="2">
        <f>Sheet1!AN126*MAX(B$2:B$318)/MAX(Sheet1!AN$8:AN$324)</f>
        <v>0.0165634747863128</v>
      </c>
      <c r="F120" s="2">
        <v>1</v>
      </c>
      <c r="G120" s="2">
        <v>0.75</v>
      </c>
    </row>
    <row r="121" spans="1:7">
      <c r="A121" s="1">
        <f>Sheet1!A127</f>
        <v>45452</v>
      </c>
      <c r="B121" s="2">
        <f>Sheet1!L127</f>
        <v>0.00458333333333334</v>
      </c>
      <c r="C121" s="2">
        <f>Sheet1!F127</f>
        <v>0.000683006885247156</v>
      </c>
      <c r="D121" s="2">
        <f>Sheet1!G127</f>
        <v>0.0819608262296588</v>
      </c>
      <c r="E121" s="2">
        <f>Sheet1!AN127*MAX(B$2:B$318)/MAX(Sheet1!AN$8:AN$324)</f>
        <v>0.0165634747863128</v>
      </c>
      <c r="F121" s="2">
        <v>1</v>
      </c>
      <c r="G121" s="2">
        <v>0.75</v>
      </c>
    </row>
    <row r="122" spans="1:7">
      <c r="A122" s="1">
        <f>Sheet1!A128</f>
        <v>45453</v>
      </c>
      <c r="B122" s="2">
        <f>Sheet1!L128</f>
        <v>0.0045959595959596</v>
      </c>
      <c r="C122" s="2">
        <f>Sheet1!F128</f>
        <v>0.000682703578907773</v>
      </c>
      <c r="D122" s="2">
        <f>Sheet1!G128</f>
        <v>0.0826071330478406</v>
      </c>
      <c r="E122" s="2">
        <f>Sheet1!AN128*MAX(B$2:B$318)/MAX(Sheet1!AN$8:AN$324)</f>
        <v>0.0165634747863128</v>
      </c>
      <c r="F122" s="2">
        <v>1</v>
      </c>
      <c r="G122" s="2">
        <v>0.75</v>
      </c>
    </row>
    <row r="123" spans="1:7">
      <c r="A123" s="1">
        <f>Sheet1!A129</f>
        <v>45454</v>
      </c>
      <c r="B123" s="2">
        <f>Sheet1!L129</f>
        <v>0.00444444444444444</v>
      </c>
      <c r="C123" s="2">
        <f>Sheet1!F129</f>
        <v>0.000682230598752792</v>
      </c>
      <c r="D123" s="2">
        <f>Sheet1!G129</f>
        <v>0.0832321330478406</v>
      </c>
      <c r="E123" s="2">
        <f>Sheet1!AN129*MAX(B$2:B$318)/MAX(Sheet1!AN$8:AN$324)</f>
        <v>0.0165634747863128</v>
      </c>
      <c r="F123" s="2">
        <v>1</v>
      </c>
      <c r="G123" s="2">
        <v>0.75</v>
      </c>
    </row>
    <row r="124" spans="1:7">
      <c r="A124" s="1">
        <f>Sheet1!A130</f>
        <v>45455</v>
      </c>
      <c r="B124" s="2">
        <f>Sheet1!L130</f>
        <v>0.00444444444444444</v>
      </c>
      <c r="C124" s="2">
        <f>Sheet1!F130</f>
        <v>0.000681765309332037</v>
      </c>
      <c r="D124" s="2">
        <f>Sheet1!G130</f>
        <v>0.0838571330478406</v>
      </c>
      <c r="E124" s="2">
        <f>Sheet1!AN130*MAX(B$2:B$318)/MAX(Sheet1!AN$8:AN$324)</f>
        <v>0.0165634747863128</v>
      </c>
      <c r="F124" s="2">
        <v>1</v>
      </c>
      <c r="G124" s="2">
        <v>0.75</v>
      </c>
    </row>
    <row r="125" spans="1:7">
      <c r="A125" s="1">
        <f>Sheet1!A131</f>
        <v>45456</v>
      </c>
      <c r="B125" s="2">
        <f>Sheet1!L131</f>
        <v>0.00454545454545455</v>
      </c>
      <c r="C125" s="2">
        <f>Sheet1!F131</f>
        <v>0.000681422077365283</v>
      </c>
      <c r="D125" s="2">
        <f>Sheet1!G131</f>
        <v>0.0844963375932951</v>
      </c>
      <c r="E125" s="2">
        <f>Sheet1!AN131*MAX(B$2:B$318)/MAX(Sheet1!AN$8:AN$324)</f>
        <v>0.0165634747863128</v>
      </c>
      <c r="F125" s="2">
        <v>1</v>
      </c>
      <c r="G125" s="2">
        <v>0.75</v>
      </c>
    </row>
    <row r="126" spans="1:7">
      <c r="A126" s="1">
        <f>Sheet1!A132</f>
        <v>45457</v>
      </c>
      <c r="B126" s="2">
        <f>Sheet1!L132</f>
        <v>0.00438383838383838</v>
      </c>
      <c r="C126" s="2">
        <f>Sheet1!F132</f>
        <v>0.000680902518928179</v>
      </c>
      <c r="D126" s="2">
        <f>Sheet1!G132</f>
        <v>0.0851128148660224</v>
      </c>
      <c r="E126" s="2">
        <f>Sheet1!AN132*MAX(B$2:B$318)/MAX(Sheet1!AN$8:AN$324)</f>
        <v>0.0165634747863128</v>
      </c>
      <c r="F126" s="2">
        <v>1</v>
      </c>
      <c r="G126" s="2">
        <v>0.75</v>
      </c>
    </row>
    <row r="127" spans="1:7">
      <c r="A127" s="1">
        <f>Sheet1!A133</f>
        <v>45458</v>
      </c>
      <c r="B127" s="2">
        <f>Sheet1!L133</f>
        <v>0.00448484848484849</v>
      </c>
      <c r="C127" s="2">
        <f>Sheet1!F133</f>
        <v>0.000680503941938129</v>
      </c>
      <c r="D127" s="2">
        <f>Sheet1!G133</f>
        <v>0.0857434966842042</v>
      </c>
      <c r="E127" s="2">
        <f>Sheet1!AN133*MAX(B$2:B$318)/MAX(Sheet1!AN$8:AN$324)</f>
        <v>0.0165634747863128</v>
      </c>
      <c r="F127" s="2">
        <v>1</v>
      </c>
      <c r="G127" s="2">
        <v>0.75</v>
      </c>
    </row>
    <row r="128" spans="1:7">
      <c r="A128" s="1">
        <f>Sheet1!A134</f>
        <v>45459</v>
      </c>
      <c r="B128" s="2">
        <f>Sheet1!L134</f>
        <v>0.0043939393939394</v>
      </c>
      <c r="C128" s="2">
        <f>Sheet1!F134</f>
        <v>0.000680010979617929</v>
      </c>
      <c r="D128" s="2">
        <f>Sheet1!G134</f>
        <v>0.0863613944114769</v>
      </c>
      <c r="E128" s="2">
        <f>Sheet1!AN134*MAX(B$2:B$318)/MAX(Sheet1!AN$8:AN$324)</f>
        <v>0.0165634747863128</v>
      </c>
      <c r="F128" s="2">
        <v>1</v>
      </c>
      <c r="G128" s="2">
        <v>0.75</v>
      </c>
    </row>
    <row r="129" spans="1:7">
      <c r="A129" s="1">
        <f>Sheet1!A135</f>
        <v>45460</v>
      </c>
      <c r="B129" s="2">
        <f>Sheet1!L135</f>
        <v>0.00431313131313131</v>
      </c>
      <c r="C129" s="2">
        <f>Sheet1!F135</f>
        <v>0.000679436941424891</v>
      </c>
      <c r="D129" s="2">
        <f>Sheet1!G135</f>
        <v>0.086967928502386</v>
      </c>
      <c r="E129" s="2">
        <f>Sheet1!AN135*MAX(B$2:B$318)/MAX(Sheet1!AN$8:AN$324)</f>
        <v>0.0165634747863128</v>
      </c>
      <c r="F129" s="2">
        <v>1</v>
      </c>
      <c r="G129" s="2">
        <v>0.75</v>
      </c>
    </row>
    <row r="130" spans="1:7">
      <c r="A130" s="1">
        <f>Sheet1!A136</f>
        <v>45461</v>
      </c>
      <c r="B130" s="2">
        <f>Sheet1!L136</f>
        <v>0.00448484848484849</v>
      </c>
      <c r="C130" s="2">
        <f>Sheet1!F136</f>
        <v>0.000679058994733084</v>
      </c>
      <c r="D130" s="2">
        <f>Sheet1!G136</f>
        <v>0.0875986103205678</v>
      </c>
      <c r="E130" s="2">
        <f>Sheet1!AN136*MAX(B$2:B$318)/MAX(Sheet1!AN$8:AN$324)</f>
        <v>0.0165634747863128</v>
      </c>
      <c r="F130" s="2">
        <v>1</v>
      </c>
      <c r="G130" s="2">
        <v>0.75</v>
      </c>
    </row>
    <row r="131" spans="1:7">
      <c r="A131" s="1">
        <f>Sheet1!A137</f>
        <v>45462</v>
      </c>
      <c r="B131" s="2">
        <f>Sheet1!L137</f>
        <v>0.00436363636363637</v>
      </c>
      <c r="C131" s="2">
        <f>Sheet1!F137</f>
        <v>0.000678555743724648</v>
      </c>
      <c r="D131" s="2">
        <f>Sheet1!G137</f>
        <v>0.0882122466842042</v>
      </c>
      <c r="E131" s="2">
        <f>Sheet1!AN137*MAX(B$2:B$318)/MAX(Sheet1!AN$8:AN$324)</f>
        <v>0.0165634747863128</v>
      </c>
      <c r="F131" s="2">
        <v>1</v>
      </c>
      <c r="G131" s="2">
        <v>0.75</v>
      </c>
    </row>
    <row r="132" spans="1:7">
      <c r="A132" s="1">
        <f>Sheet1!A138</f>
        <v>45463</v>
      </c>
      <c r="B132" s="2">
        <f>Sheet1!L138</f>
        <v>0.000676767676767677</v>
      </c>
      <c r="C132" s="2">
        <f>Sheet1!F138</f>
        <v>0.000674102420906486</v>
      </c>
      <c r="D132" s="2">
        <f>Sheet1!G138</f>
        <v>0.0883074171387497</v>
      </c>
      <c r="E132" s="2">
        <f>Sheet1!AN138*MAX(B$2:B$318)/MAX(Sheet1!AN$8:AN$324)</f>
        <v>0.0165634747863128</v>
      </c>
      <c r="F132" s="2">
        <v>1</v>
      </c>
      <c r="G132" s="2">
        <v>0.75</v>
      </c>
    </row>
    <row r="133" spans="1:7">
      <c r="A133" s="1">
        <f>Sheet1!A139</f>
        <v>45464</v>
      </c>
      <c r="B133" s="2">
        <f>Sheet1!L139</f>
        <v>0.000404040404040404</v>
      </c>
      <c r="C133" s="2">
        <f>Sheet1!F139</f>
        <v>0.000669426025155817</v>
      </c>
      <c r="D133" s="2">
        <f>Sheet1!G139</f>
        <v>0.0883642353205679</v>
      </c>
      <c r="E133" s="2">
        <f>Sheet1!AN139*MAX(B$2:B$318)/MAX(Sheet1!AN$8:AN$324)</f>
        <v>0.0165634747863128</v>
      </c>
      <c r="F133" s="2">
        <v>1</v>
      </c>
      <c r="G133" s="2">
        <v>0.75</v>
      </c>
    </row>
    <row r="134" spans="1:7">
      <c r="A134" s="1">
        <f>Sheet1!A140</f>
        <v>45465</v>
      </c>
      <c r="B134" s="2">
        <f>Sheet1!L140</f>
        <v>0.00202020202020203</v>
      </c>
      <c r="C134" s="2">
        <f>Sheet1!F140</f>
        <v>0.000666528768644051</v>
      </c>
      <c r="D134" s="2">
        <f>Sheet1!G140</f>
        <v>0.0886483262296588</v>
      </c>
      <c r="E134" s="2">
        <f>Sheet1!AN140*MAX(B$2:B$318)/MAX(Sheet1!AN$8:AN$324)</f>
        <v>0.0165634747863128</v>
      </c>
      <c r="F134" s="2">
        <v>1</v>
      </c>
      <c r="G134" s="2">
        <v>0.75</v>
      </c>
    </row>
    <row r="135" spans="1:7">
      <c r="A135" s="1">
        <f>Sheet1!A141</f>
        <v>45466</v>
      </c>
      <c r="B135" s="2">
        <f>Sheet1!L141</f>
        <v>0.00146464646464647</v>
      </c>
      <c r="C135" s="2">
        <f>Sheet1!F141</f>
        <v>0.000663091732378729</v>
      </c>
      <c r="D135" s="2">
        <f>Sheet1!G141</f>
        <v>0.0888542921387497</v>
      </c>
      <c r="E135" s="2">
        <f>Sheet1!AN141*MAX(B$2:B$318)/MAX(Sheet1!AN$8:AN$324)</f>
        <v>0.0165634747863128</v>
      </c>
      <c r="F135" s="2">
        <v>1</v>
      </c>
      <c r="G135" s="2">
        <v>0.75</v>
      </c>
    </row>
    <row r="136" spans="1:7">
      <c r="A136" s="1">
        <f>Sheet1!A142</f>
        <v>45467</v>
      </c>
      <c r="B136" s="2">
        <f>Sheet1!L142</f>
        <v>0.000555555555555556</v>
      </c>
      <c r="C136" s="2">
        <f>Sheet1!F142</f>
        <v>0.00065875864547222</v>
      </c>
      <c r="D136" s="2">
        <f>Sheet1!G142</f>
        <v>0.0889324171387497</v>
      </c>
      <c r="E136" s="2">
        <f>Sheet1!AN142*MAX(B$2:B$318)/MAX(Sheet1!AN$8:AN$324)</f>
        <v>0.0165634747863128</v>
      </c>
      <c r="F136" s="2">
        <v>1</v>
      </c>
      <c r="G136" s="2">
        <v>0.75</v>
      </c>
    </row>
    <row r="137" spans="1:7">
      <c r="A137" s="1">
        <f>Sheet1!A143</f>
        <v>45468</v>
      </c>
      <c r="B137" s="2">
        <f>Sheet1!L143</f>
        <v>0.000202020202020202</v>
      </c>
      <c r="C137" s="2">
        <f>Sheet1!F143</f>
        <v>0.000654123722276903</v>
      </c>
      <c r="D137" s="2">
        <f>Sheet1!G143</f>
        <v>0.0889608262296588</v>
      </c>
      <c r="E137" s="2">
        <f>Sheet1!AN143*MAX(B$2:B$318)/MAX(Sheet1!AN$8:AN$324)</f>
        <v>0.0165634747863128</v>
      </c>
      <c r="F137" s="2">
        <v>1</v>
      </c>
      <c r="G137" s="2">
        <v>0.75</v>
      </c>
    </row>
    <row r="138" spans="1:7">
      <c r="A138" s="1">
        <f>Sheet1!A144</f>
        <v>45469</v>
      </c>
      <c r="B138" s="2">
        <f>Sheet1!L144</f>
        <v>0.000404040404040404</v>
      </c>
      <c r="C138" s="2">
        <f>Sheet1!F144</f>
        <v>0.000649763827821</v>
      </c>
      <c r="D138" s="2">
        <f>Sheet1!G144</f>
        <v>0.0890176444114769</v>
      </c>
      <c r="E138" s="2">
        <f>Sheet1!AN144*MAX(B$2:B$318)/MAX(Sheet1!AN$8:AN$324)</f>
        <v>0.0165634747863128</v>
      </c>
      <c r="F138" s="2">
        <v>1</v>
      </c>
      <c r="G138" s="2">
        <v>0.75</v>
      </c>
    </row>
    <row r="139" spans="1:7">
      <c r="A139" s="1">
        <f>Sheet1!A145</f>
        <v>45470</v>
      </c>
      <c r="B139" s="2">
        <f>Sheet1!L145</f>
        <v>0.000404040404040404</v>
      </c>
      <c r="C139" s="2">
        <f>Sheet1!F145</f>
        <v>0.000645467120241269</v>
      </c>
      <c r="D139" s="2">
        <f>Sheet1!G145</f>
        <v>0.0890744625932951</v>
      </c>
      <c r="E139" s="2">
        <f>Sheet1!AN145*MAX(B$2:B$318)/MAX(Sheet1!AN$8:AN$324)</f>
        <v>0.0165634747863128</v>
      </c>
      <c r="F139" s="2">
        <v>1</v>
      </c>
      <c r="G139" s="2">
        <v>0.75</v>
      </c>
    </row>
    <row r="140" spans="1:7">
      <c r="A140" s="1">
        <f>Sheet1!A146</f>
        <v>45471</v>
      </c>
      <c r="B140" s="2">
        <f>Sheet1!L146</f>
        <v>0.000202020202020202</v>
      </c>
      <c r="C140" s="2">
        <f>Sheet1!F146</f>
        <v>0.000641027853843196</v>
      </c>
      <c r="D140" s="2">
        <f>Sheet1!G146</f>
        <v>0.0891028716842042</v>
      </c>
      <c r="E140" s="2">
        <f>Sheet1!AN146*MAX(B$2:B$318)/MAX(Sheet1!AN$8:AN$324)</f>
        <v>0.0165634747863128</v>
      </c>
      <c r="F140" s="2">
        <v>1</v>
      </c>
      <c r="G140" s="2">
        <v>0.75</v>
      </c>
    </row>
    <row r="141" spans="1:7">
      <c r="A141" s="1">
        <f>Sheet1!A147</f>
        <v>45472</v>
      </c>
      <c r="B141" s="2">
        <f>Sheet1!L147</f>
        <v>0.000404040404040404</v>
      </c>
      <c r="C141" s="2">
        <f>Sheet1!F147</f>
        <v>0.000636854927614446</v>
      </c>
      <c r="D141" s="2">
        <f>Sheet1!G147</f>
        <v>0.0891596898660224</v>
      </c>
      <c r="E141" s="2">
        <f>Sheet1!AN147*MAX(B$2:B$318)/MAX(Sheet1!AN$8:AN$324)</f>
        <v>0.0165634747863128</v>
      </c>
      <c r="F141" s="2">
        <v>1</v>
      </c>
      <c r="G141" s="2">
        <v>0.75</v>
      </c>
    </row>
    <row r="142" spans="1:7">
      <c r="A142" s="1">
        <f>Sheet1!A148</f>
        <v>45473</v>
      </c>
      <c r="B142" s="2">
        <f>Sheet1!L148</f>
        <v>0.000404040404040404</v>
      </c>
      <c r="C142" s="2">
        <f>Sheet1!F148</f>
        <v>0.000632741191828657</v>
      </c>
      <c r="D142" s="2">
        <f>Sheet1!G148</f>
        <v>0.0892165080478406</v>
      </c>
      <c r="E142" s="2">
        <f>Sheet1!AN148*MAX(B$2:B$318)/MAX(Sheet1!AN$8:AN$324)</f>
        <v>0.0165634747863128</v>
      </c>
      <c r="F142" s="2">
        <v>1</v>
      </c>
      <c r="G142" s="2">
        <v>0.75</v>
      </c>
    </row>
    <row r="143" spans="1:7">
      <c r="A143" s="1">
        <f>Sheet1!A149</f>
        <v>45474</v>
      </c>
      <c r="B143" s="2">
        <f>Sheet1!L149</f>
        <v>0</v>
      </c>
      <c r="C143" s="2">
        <f>Sheet1!F149</f>
        <v>0.000628285267942539</v>
      </c>
      <c r="D143" s="2">
        <f>Sheet1!G149</f>
        <v>0.0892165080478406</v>
      </c>
      <c r="E143" s="2">
        <f>Sheet1!AN149*MAX(B$2:B$318)/MAX(Sheet1!AN$8:AN$324)</f>
        <v>0.0165634747863128</v>
      </c>
      <c r="F143" s="2">
        <v>1</v>
      </c>
      <c r="G143" s="2">
        <v>0.75</v>
      </c>
    </row>
    <row r="144" spans="1:7">
      <c r="A144" s="1">
        <f>Sheet1!A150</f>
        <v>45475</v>
      </c>
      <c r="B144" s="2">
        <f>Sheet1!L150</f>
        <v>0</v>
      </c>
      <c r="C144" s="2">
        <f>Sheet1!F150</f>
        <v>0.000623891664670214</v>
      </c>
      <c r="D144" s="2">
        <f>Sheet1!G150</f>
        <v>0.0892165080478406</v>
      </c>
      <c r="E144" s="2">
        <f>Sheet1!AN150*MAX(B$2:B$318)/MAX(Sheet1!AN$8:AN$324)</f>
        <v>0.0165634747863128</v>
      </c>
      <c r="F144" s="2">
        <v>1</v>
      </c>
      <c r="G144" s="2">
        <v>0.75</v>
      </c>
    </row>
    <row r="145" spans="1:7">
      <c r="A145" s="1">
        <f>Sheet1!A151</f>
        <v>45476</v>
      </c>
      <c r="B145" s="2">
        <f>Sheet1!L151</f>
        <v>0</v>
      </c>
      <c r="C145" s="2">
        <f>Sheet1!F151</f>
        <v>0.000619559083665559</v>
      </c>
      <c r="D145" s="2">
        <f>Sheet1!G151</f>
        <v>0.0892165080478406</v>
      </c>
      <c r="E145" s="2">
        <f>Sheet1!AN151*MAX(B$2:B$318)/MAX(Sheet1!AN$8:AN$324)</f>
        <v>0.0165634747863128</v>
      </c>
      <c r="F145" s="2">
        <v>1</v>
      </c>
      <c r="G145" s="2">
        <v>0.75</v>
      </c>
    </row>
    <row r="146" spans="1:7">
      <c r="A146" s="1">
        <f>Sheet1!A152</f>
        <v>45477</v>
      </c>
      <c r="B146" s="2">
        <f>Sheet1!L152</f>
        <v>0</v>
      </c>
      <c r="C146" s="2">
        <f>Sheet1!F152</f>
        <v>0.0006152862623989</v>
      </c>
      <c r="D146" s="2">
        <f>Sheet1!G152</f>
        <v>0.0892165080478406</v>
      </c>
      <c r="E146" s="2">
        <f>Sheet1!AN152*MAX(B$2:B$318)/MAX(Sheet1!AN$8:AN$324)</f>
        <v>0.0165634747863128</v>
      </c>
      <c r="F146" s="2">
        <v>1</v>
      </c>
      <c r="G146" s="2">
        <v>0.75</v>
      </c>
    </row>
    <row r="147" spans="1:7">
      <c r="A147" s="1">
        <f>Sheet1!A153</f>
        <v>45478</v>
      </c>
      <c r="B147" s="2">
        <f>Sheet1!L153</f>
        <v>0</v>
      </c>
      <c r="C147" s="2">
        <f>Sheet1!F153</f>
        <v>0.000611071972930415</v>
      </c>
      <c r="D147" s="2">
        <f>Sheet1!G153</f>
        <v>0.0892165080478406</v>
      </c>
      <c r="E147" s="2">
        <f>Sheet1!AN153*MAX(B$2:B$318)/MAX(Sheet1!AN$8:AN$324)</f>
        <v>0.0165634747863128</v>
      </c>
      <c r="F147" s="2">
        <v>1</v>
      </c>
      <c r="G147" s="2">
        <v>0.75</v>
      </c>
    </row>
    <row r="148" spans="1:7">
      <c r="A148" s="1">
        <f>Sheet1!A154</f>
        <v>45479</v>
      </c>
      <c r="B148" s="2">
        <f>Sheet1!L154</f>
        <v>0</v>
      </c>
      <c r="C148" s="2">
        <f>Sheet1!F154</f>
        <v>0.000606915020733609</v>
      </c>
      <c r="D148" s="2">
        <f>Sheet1!G154</f>
        <v>0.0892165080478406</v>
      </c>
      <c r="E148" s="2">
        <f>Sheet1!AN154*MAX(B$2:B$318)/MAX(Sheet1!AN$8:AN$324)</f>
        <v>0.0165634747863128</v>
      </c>
      <c r="F148" s="2">
        <v>1</v>
      </c>
      <c r="G148" s="2">
        <v>0.75</v>
      </c>
    </row>
    <row r="149" spans="1:7">
      <c r="A149" s="1">
        <f>Sheet1!A155</f>
        <v>45480</v>
      </c>
      <c r="B149" s="2">
        <f>Sheet1!L155</f>
        <v>0</v>
      </c>
      <c r="C149" s="2">
        <f>Sheet1!F155</f>
        <v>0.00060281424356649</v>
      </c>
      <c r="D149" s="2">
        <f>Sheet1!G155</f>
        <v>0.0892165080478406</v>
      </c>
      <c r="E149" s="2">
        <f>Sheet1!AN155*MAX(B$2:B$318)/MAX(Sheet1!AN$8:AN$324)</f>
        <v>0.0165634747863128</v>
      </c>
      <c r="F149" s="2">
        <v>1</v>
      </c>
      <c r="G149" s="2">
        <v>0.75</v>
      </c>
    </row>
    <row r="150" spans="1:7">
      <c r="A150" s="1">
        <f>Sheet1!A156</f>
        <v>45481</v>
      </c>
      <c r="B150" s="2">
        <f>Sheet1!L156</f>
        <v>0</v>
      </c>
      <c r="C150" s="2">
        <f>Sheet1!F156</f>
        <v>0.000598768510388192</v>
      </c>
      <c r="D150" s="2">
        <f>Sheet1!G156</f>
        <v>0.0892165080478406</v>
      </c>
      <c r="E150" s="2">
        <f>Sheet1!AN156*MAX(B$2:B$318)/MAX(Sheet1!AN$8:AN$324)</f>
        <v>0.0165634747863128</v>
      </c>
      <c r="F150" s="2">
        <v>1</v>
      </c>
      <c r="G150" s="2">
        <v>0.75</v>
      </c>
    </row>
    <row r="151" spans="1:7">
      <c r="A151" s="1">
        <f>Sheet1!A157</f>
        <v>45482</v>
      </c>
      <c r="B151" s="2">
        <f>Sheet1!L157</f>
        <v>0</v>
      </c>
      <c r="C151" s="2">
        <f>Sheet1!F157</f>
        <v>0.000594776720318937</v>
      </c>
      <c r="D151" s="2">
        <f>Sheet1!G157</f>
        <v>0.0892165080478406</v>
      </c>
      <c r="E151" s="2">
        <f>Sheet1!AN157*MAX(B$2:B$318)/MAX(Sheet1!AN$8:AN$324)</f>
        <v>0.0165634747863128</v>
      </c>
      <c r="F151" s="2">
        <v>1</v>
      </c>
      <c r="G151" s="2">
        <v>0.75</v>
      </c>
    </row>
    <row r="152" spans="1:7">
      <c r="A152" s="1">
        <f>Sheet1!A158</f>
        <v>45483</v>
      </c>
      <c r="B152" s="2">
        <f>Sheet1!L158</f>
        <v>0</v>
      </c>
      <c r="C152" s="2">
        <f>Sheet1!F158</f>
        <v>0.000590837801641328</v>
      </c>
      <c r="D152" s="2">
        <f>Sheet1!G158</f>
        <v>0.0892165080478406</v>
      </c>
      <c r="E152" s="2">
        <f>Sheet1!AN158*MAX(B$2:B$318)/MAX(Sheet1!AN$8:AN$324)</f>
        <v>0.0165634747863128</v>
      </c>
      <c r="F152" s="2">
        <v>1</v>
      </c>
      <c r="G152" s="2">
        <v>0.75</v>
      </c>
    </row>
    <row r="153" spans="1:7">
      <c r="A153" s="1">
        <f>Sheet1!A159</f>
        <v>45484</v>
      </c>
      <c r="B153" s="2">
        <f>Sheet1!L159</f>
        <v>0</v>
      </c>
      <c r="C153" s="2">
        <f>Sheet1!F159</f>
        <v>0.000586950710841056</v>
      </c>
      <c r="D153" s="2">
        <f>Sheet1!G159</f>
        <v>0.0892165080478406</v>
      </c>
      <c r="E153" s="2">
        <f>Sheet1!AN159*MAX(B$2:B$318)/MAX(Sheet1!AN$8:AN$324)</f>
        <v>0.0165634747863128</v>
      </c>
      <c r="F153" s="2">
        <v>1</v>
      </c>
      <c r="G153" s="2">
        <v>0.75</v>
      </c>
    </row>
    <row r="154" spans="1:7">
      <c r="A154" s="1">
        <f>Sheet1!A160</f>
        <v>45485</v>
      </c>
      <c r="B154" s="2">
        <f>Sheet1!L160</f>
        <v>0</v>
      </c>
      <c r="C154" s="2">
        <f>Sheet1!F160</f>
        <v>0.000583114431685232</v>
      </c>
      <c r="D154" s="2">
        <f>Sheet1!G160</f>
        <v>0.0892165080478406</v>
      </c>
      <c r="E154" s="2">
        <f>Sheet1!AN160*MAX(B$2:B$318)/MAX(Sheet1!AN$8:AN$324)</f>
        <v>0.0165634747863128</v>
      </c>
      <c r="F154" s="2">
        <v>1</v>
      </c>
      <c r="G154" s="2">
        <v>0.75</v>
      </c>
    </row>
    <row r="155" spans="1:7">
      <c r="A155" s="1">
        <f>Sheet1!A161</f>
        <v>45486</v>
      </c>
      <c r="B155" s="2">
        <f>Sheet1!L161</f>
        <v>0</v>
      </c>
      <c r="C155" s="2">
        <f>Sheet1!F161</f>
        <v>0.000579327974336627</v>
      </c>
      <c r="D155" s="2">
        <f>Sheet1!G161</f>
        <v>0.0892165080478406</v>
      </c>
      <c r="E155" s="2">
        <f>Sheet1!AN161*MAX(B$2:B$318)/MAX(Sheet1!AN$8:AN$324)</f>
        <v>0.0165634747863128</v>
      </c>
      <c r="F155" s="2">
        <v>1</v>
      </c>
      <c r="G155" s="2">
        <v>0.75</v>
      </c>
    </row>
    <row r="156" spans="1:7">
      <c r="A156" s="1">
        <f>Sheet1!A162</f>
        <v>45487</v>
      </c>
      <c r="B156" s="2">
        <f>Sheet1!L162</f>
        <v>0</v>
      </c>
      <c r="C156" s="2">
        <f>Sheet1!F162</f>
        <v>0.000575590374502197</v>
      </c>
      <c r="D156" s="2">
        <f>Sheet1!G162</f>
        <v>0.0892165080478406</v>
      </c>
      <c r="E156" s="2">
        <f>Sheet1!AN162*MAX(B$2:B$318)/MAX(Sheet1!AN$8:AN$324)</f>
        <v>0.0165634747863128</v>
      </c>
      <c r="F156" s="2">
        <v>1</v>
      </c>
      <c r="G156" s="2">
        <v>0.75</v>
      </c>
    </row>
    <row r="157" spans="1:7">
      <c r="A157" s="1">
        <f>Sheet1!A163</f>
        <v>45488</v>
      </c>
      <c r="B157" s="2">
        <f>Sheet1!L163</f>
        <v>0</v>
      </c>
      <c r="C157" s="2">
        <f>Sheet1!F163</f>
        <v>0.000571900692614363</v>
      </c>
      <c r="D157" s="2">
        <f>Sheet1!G163</f>
        <v>0.0892165080478406</v>
      </c>
      <c r="E157" s="2">
        <f>Sheet1!AN163*MAX(B$2:B$318)/MAX(Sheet1!AN$8:AN$324)</f>
        <v>0.0165634747863128</v>
      </c>
      <c r="F157" s="2">
        <v>1</v>
      </c>
      <c r="G157" s="2">
        <v>0.75</v>
      </c>
    </row>
    <row r="158" spans="1:7">
      <c r="A158" s="1">
        <f>Sheet1!A164</f>
        <v>45489</v>
      </c>
      <c r="B158" s="2">
        <f>Sheet1!L164</f>
        <v>0</v>
      </c>
      <c r="C158" s="2">
        <f>Sheet1!F164</f>
        <v>0.00056825801304357</v>
      </c>
      <c r="D158" s="2">
        <f>Sheet1!G164</f>
        <v>0.0892165080478406</v>
      </c>
      <c r="E158" s="2">
        <f>Sheet1!AN164*MAX(B$2:B$318)/MAX(Sheet1!AN$8:AN$324)</f>
        <v>0.0165634747863128</v>
      </c>
      <c r="F158" s="2">
        <v>1</v>
      </c>
      <c r="G158" s="2">
        <v>0.75</v>
      </c>
    </row>
    <row r="159" spans="1:7">
      <c r="A159" s="1">
        <f>Sheet1!A165</f>
        <v>45490</v>
      </c>
      <c r="B159" s="2">
        <f>Sheet1!L165</f>
        <v>0</v>
      </c>
      <c r="C159" s="2">
        <f>Sheet1!F165</f>
        <v>0.000564661443340763</v>
      </c>
      <c r="D159" s="2">
        <f>Sheet1!G165</f>
        <v>0.0892165080478406</v>
      </c>
      <c r="E159" s="2">
        <f>Sheet1!AN165*MAX(B$2:B$318)/MAX(Sheet1!AN$8:AN$324)</f>
        <v>0.0165634747863128</v>
      </c>
      <c r="F159" s="2">
        <v>1</v>
      </c>
      <c r="G159" s="2">
        <v>0.75</v>
      </c>
    </row>
    <row r="160" spans="1:7">
      <c r="A160" s="1">
        <f>Sheet1!A166</f>
        <v>45491</v>
      </c>
      <c r="B160" s="2">
        <f>Sheet1!L166</f>
        <v>0</v>
      </c>
      <c r="C160" s="2">
        <f>Sheet1!F166</f>
        <v>0.000561110113508431</v>
      </c>
      <c r="D160" s="2">
        <f>Sheet1!G166</f>
        <v>0.0892165080478406</v>
      </c>
      <c r="E160" s="2">
        <f>Sheet1!AN166*MAX(B$2:B$318)/MAX(Sheet1!AN$8:AN$324)</f>
        <v>0.0165634747863128</v>
      </c>
      <c r="F160" s="2">
        <v>1</v>
      </c>
      <c r="G160" s="2">
        <v>0.75</v>
      </c>
    </row>
    <row r="161" spans="1:7">
      <c r="A161" s="1">
        <f>Sheet1!A167</f>
        <v>45492</v>
      </c>
      <c r="B161" s="2">
        <f>Sheet1!L167</f>
        <v>0</v>
      </c>
      <c r="C161" s="2">
        <f>Sheet1!F167</f>
        <v>0.000557603175299004</v>
      </c>
      <c r="D161" s="2">
        <f>Sheet1!G167</f>
        <v>0.0892165080478406</v>
      </c>
      <c r="E161" s="2">
        <f>Sheet1!AN167*MAX(B$2:B$318)/MAX(Sheet1!AN$8:AN$324)</f>
        <v>0.0165634747863128</v>
      </c>
      <c r="F161" s="2">
        <v>1</v>
      </c>
      <c r="G161" s="2">
        <v>0.75</v>
      </c>
    </row>
    <row r="162" spans="1:7">
      <c r="A162" s="1">
        <f>Sheet1!A168</f>
        <v>45493</v>
      </c>
      <c r="B162" s="2">
        <f>Sheet1!L168</f>
        <v>0.00203409090909092</v>
      </c>
      <c r="C162" s="2">
        <f>Sheet1!F168</f>
        <v>0.000556015176504092</v>
      </c>
      <c r="D162" s="2">
        <f>Sheet1!G168</f>
        <v>0.0895184434171588</v>
      </c>
      <c r="E162" s="2">
        <f>Sheet1!AN168*MAX(B$2:B$318)/MAX(Sheet1!AN$8:AN$324)</f>
        <v>0.0165634747863128</v>
      </c>
      <c r="F162" s="2">
        <v>1</v>
      </c>
      <c r="G162" s="2">
        <v>0.75</v>
      </c>
    </row>
    <row r="163" spans="1:7">
      <c r="A163" s="1">
        <f>Sheet1!A169</f>
        <v>45494</v>
      </c>
      <c r="B163" s="2">
        <f>Sheet1!L169</f>
        <v>0.00250000000000001</v>
      </c>
      <c r="C163" s="2">
        <f>Sheet1!F169</f>
        <v>0.000554873686217029</v>
      </c>
      <c r="D163" s="2">
        <f>Sheet1!G169</f>
        <v>0.0898895371671588</v>
      </c>
      <c r="E163" s="2">
        <f>Sheet1!AN169*MAX(B$2:B$318)/MAX(Sheet1!AN$8:AN$324)</f>
        <v>0.0165634747863128</v>
      </c>
      <c r="F163" s="2">
        <v>1</v>
      </c>
      <c r="G163" s="2">
        <v>0.75</v>
      </c>
    </row>
    <row r="164" spans="1:7">
      <c r="A164" s="1">
        <f>Sheet1!A170</f>
        <v>45495</v>
      </c>
      <c r="B164" s="2">
        <f>Sheet1!L170</f>
        <v>0</v>
      </c>
      <c r="C164" s="2">
        <f>Sheet1!F170</f>
        <v>0.000551469553172753</v>
      </c>
      <c r="D164" s="2">
        <f>Sheet1!G170</f>
        <v>0.0898895371671588</v>
      </c>
      <c r="E164" s="2">
        <f>Sheet1!AN170*MAX(B$2:B$318)/MAX(Sheet1!AN$8:AN$324)</f>
        <v>0.0165634747863128</v>
      </c>
      <c r="F164" s="2">
        <v>1</v>
      </c>
      <c r="G164" s="2">
        <v>0.75</v>
      </c>
    </row>
    <row r="165" spans="1:7">
      <c r="A165" s="1">
        <f>Sheet1!A171</f>
        <v>45496</v>
      </c>
      <c r="B165" s="2">
        <f>Sheet1!L171</f>
        <v>0</v>
      </c>
      <c r="C165" s="2">
        <f>Sheet1!F171</f>
        <v>0.00054810693394609</v>
      </c>
      <c r="D165" s="2">
        <f>Sheet1!G171</f>
        <v>0.0898895371671588</v>
      </c>
      <c r="E165" s="2">
        <f>Sheet1!AN171*MAX(B$2:B$318)/MAX(Sheet1!AN$8:AN$324)</f>
        <v>0.0165634747863128</v>
      </c>
      <c r="F165" s="2">
        <v>1</v>
      </c>
      <c r="G165" s="2">
        <v>0.75</v>
      </c>
    </row>
    <row r="166" spans="1:7">
      <c r="A166" s="1">
        <f>Sheet1!A172</f>
        <v>45497</v>
      </c>
      <c r="B166" s="2">
        <f>Sheet1!L172</f>
        <v>0</v>
      </c>
      <c r="C166" s="2">
        <f>Sheet1!F172</f>
        <v>0.000544785073740356</v>
      </c>
      <c r="D166" s="2">
        <f>Sheet1!G172</f>
        <v>0.0898895371671588</v>
      </c>
      <c r="E166" s="2">
        <f>Sheet1!AN172*MAX(B$2:B$318)/MAX(Sheet1!AN$8:AN$324)</f>
        <v>0.0165634747863128</v>
      </c>
      <c r="F166" s="2">
        <v>1</v>
      </c>
      <c r="G166" s="2">
        <v>0.75</v>
      </c>
    </row>
    <row r="167" spans="1:7">
      <c r="A167" s="1">
        <f>Sheet1!A173</f>
        <v>45498</v>
      </c>
      <c r="B167" s="2">
        <f>Sheet1!L173</f>
        <v>0.000606060606060608</v>
      </c>
      <c r="C167" s="2">
        <f>Sheet1!F173</f>
        <v>0.000542045176435969</v>
      </c>
      <c r="D167" s="2">
        <f>Sheet1!G173</f>
        <v>0.0899794992883709</v>
      </c>
      <c r="E167" s="2">
        <f>Sheet1!AN173*MAX(B$2:B$318)/MAX(Sheet1!AN$8:AN$324)</f>
        <v>0.0165634747863128</v>
      </c>
      <c r="F167" s="2">
        <v>1</v>
      </c>
      <c r="G167" s="2">
        <v>0.75</v>
      </c>
    </row>
    <row r="168" spans="1:7">
      <c r="A168" s="1">
        <f>Sheet1!A174</f>
        <v>45499</v>
      </c>
      <c r="B168" s="2">
        <f>Sheet1!L174</f>
        <v>0.000303030303030304</v>
      </c>
      <c r="C168" s="2">
        <f>Sheet1!F174</f>
        <v>0.000539068744604652</v>
      </c>
      <c r="D168" s="2">
        <f>Sheet1!G174</f>
        <v>0.0900244803489769</v>
      </c>
      <c r="E168" s="2">
        <f>Sheet1!AN174*MAX(B$2:B$318)/MAX(Sheet1!AN$8:AN$324)</f>
        <v>0.0165634747863128</v>
      </c>
      <c r="F168" s="2">
        <v>1</v>
      </c>
      <c r="G168" s="2">
        <v>0.75</v>
      </c>
    </row>
    <row r="169" spans="1:7">
      <c r="A169" s="1">
        <f>Sheet1!A175</f>
        <v>45500</v>
      </c>
      <c r="B169" s="2">
        <f>Sheet1!L175</f>
        <v>0.000492424242424244</v>
      </c>
      <c r="C169" s="2">
        <f>Sheet1!F175</f>
        <v>0.000536295086740844</v>
      </c>
      <c r="D169" s="2">
        <f>Sheet1!G175</f>
        <v>0.0900975745724618</v>
      </c>
      <c r="E169" s="2">
        <f>Sheet1!AN175*MAX(B$2:B$318)/MAX(Sheet1!AN$8:AN$324)</f>
        <v>0.0165634747863128</v>
      </c>
      <c r="F169" s="2">
        <v>1</v>
      </c>
      <c r="G169" s="2">
        <v>0.75</v>
      </c>
    </row>
    <row r="170" spans="1:7">
      <c r="A170" s="1">
        <f>Sheet1!A176</f>
        <v>45501</v>
      </c>
      <c r="B170" s="2">
        <f>Sheet1!L176</f>
        <v>0.000303030303030304</v>
      </c>
      <c r="C170" s="2">
        <f>Sheet1!F176</f>
        <v>0.000533387903154248</v>
      </c>
      <c r="D170" s="2">
        <f>Sheet1!G176</f>
        <v>0.0901425556330679</v>
      </c>
      <c r="E170" s="2">
        <f>Sheet1!AN176*MAX(B$2:B$318)/MAX(Sheet1!AN$8:AN$324)</f>
        <v>0.0165634747863128</v>
      </c>
      <c r="F170" s="2">
        <v>1</v>
      </c>
      <c r="G170" s="2">
        <v>0.75</v>
      </c>
    </row>
    <row r="171" spans="1:7">
      <c r="A171" s="1">
        <f>Sheet1!A177</f>
        <v>45502</v>
      </c>
      <c r="B171" s="2">
        <f>Sheet1!L177</f>
        <v>0</v>
      </c>
      <c r="C171" s="2">
        <f>Sheet1!F177</f>
        <v>0.00053025032725334</v>
      </c>
      <c r="D171" s="2">
        <f>Sheet1!G177</f>
        <v>0.0901425556330679</v>
      </c>
      <c r="E171" s="2">
        <f>Sheet1!AN177*MAX(B$2:B$318)/MAX(Sheet1!AN$8:AN$324)</f>
        <v>0.0165634747863128</v>
      </c>
      <c r="F171" s="2">
        <v>1</v>
      </c>
      <c r="G171" s="2">
        <v>0.75</v>
      </c>
    </row>
    <row r="172" spans="1:7">
      <c r="A172" s="1">
        <f>Sheet1!A178</f>
        <v>45503</v>
      </c>
      <c r="B172" s="2">
        <f>Sheet1!L178</f>
        <v>0</v>
      </c>
      <c r="C172" s="2">
        <f>Sheet1!F178</f>
        <v>0.000527149448146596</v>
      </c>
      <c r="D172" s="2">
        <f>Sheet1!G178</f>
        <v>0.0901425556330679</v>
      </c>
      <c r="E172" s="2">
        <f>Sheet1!AN178*MAX(B$2:B$318)/MAX(Sheet1!AN$8:AN$324)</f>
        <v>0.0165634747863128</v>
      </c>
      <c r="F172" s="2">
        <v>1</v>
      </c>
      <c r="G172" s="2">
        <v>0.75</v>
      </c>
    </row>
    <row r="173" spans="1:7">
      <c r="A173" s="1">
        <f>Sheet1!A179</f>
        <v>45504</v>
      </c>
      <c r="B173" s="2">
        <f>Sheet1!L179</f>
        <v>0</v>
      </c>
      <c r="C173" s="2">
        <f>Sheet1!F179</f>
        <v>0.00052408462577365</v>
      </c>
      <c r="D173" s="2">
        <f>Sheet1!G179</f>
        <v>0.0901425556330679</v>
      </c>
      <c r="E173" s="2">
        <f>Sheet1!AN179*MAX(B$2:B$318)/MAX(Sheet1!AN$8:AN$324)</f>
        <v>0.0165634747863128</v>
      </c>
      <c r="F173" s="2">
        <v>1</v>
      </c>
      <c r="G173" s="2">
        <v>0.75</v>
      </c>
    </row>
    <row r="174" spans="1:7">
      <c r="A174" s="1">
        <f>Sheet1!A180</f>
        <v>45505</v>
      </c>
      <c r="B174" s="2">
        <f>Sheet1!L180</f>
        <v>0</v>
      </c>
      <c r="C174" s="2">
        <f>Sheet1!F180</f>
        <v>0.000521055234873225</v>
      </c>
      <c r="D174" s="2">
        <f>Sheet1!G180</f>
        <v>0.0901425556330679</v>
      </c>
      <c r="E174" s="2">
        <f>Sheet1!AN180*MAX(B$2:B$318)/MAX(Sheet1!AN$8:AN$324)</f>
        <v>0.0165634747863128</v>
      </c>
      <c r="F174" s="2">
        <v>1</v>
      </c>
      <c r="G174" s="2">
        <v>0.75</v>
      </c>
    </row>
    <row r="175" spans="1:7">
      <c r="A175" s="1">
        <f>Sheet1!A181</f>
        <v>45506</v>
      </c>
      <c r="B175" s="2">
        <f>Sheet1!L181</f>
        <v>0</v>
      </c>
      <c r="C175" s="2">
        <f>Sheet1!F181</f>
        <v>0.000518060664557861</v>
      </c>
      <c r="D175" s="2">
        <f>Sheet1!G181</f>
        <v>0.0901425556330679</v>
      </c>
      <c r="E175" s="2">
        <f>Sheet1!AN181*MAX(B$2:B$318)/MAX(Sheet1!AN$8:AN$324)</f>
        <v>0.0165634747863128</v>
      </c>
      <c r="F175" s="2">
        <v>1</v>
      </c>
      <c r="G175" s="2">
        <v>0.75</v>
      </c>
    </row>
    <row r="176" spans="1:7">
      <c r="A176" s="1">
        <f>Sheet1!A182</f>
        <v>45507</v>
      </c>
      <c r="B176" s="2">
        <f>Sheet1!L182</f>
        <v>0.00075757575757576</v>
      </c>
      <c r="C176" s="2">
        <f>Sheet1!F182</f>
        <v>0.000515776724829652</v>
      </c>
      <c r="D176" s="2">
        <f>Sheet1!G182</f>
        <v>0.0902609268451891</v>
      </c>
      <c r="E176" s="2">
        <f>Sheet1!AN182*MAX(B$2:B$318)/MAX(Sheet1!AN$8:AN$324)</f>
        <v>0.0165634747863128</v>
      </c>
      <c r="F176" s="2">
        <v>1</v>
      </c>
      <c r="G176" s="2">
        <v>0.75</v>
      </c>
    </row>
    <row r="177" spans="1:7">
      <c r="A177" s="1">
        <f>Sheet1!A183</f>
        <v>45508</v>
      </c>
      <c r="B177" s="2">
        <f>Sheet1!L183</f>
        <v>0.00192045454545455</v>
      </c>
      <c r="C177" s="2">
        <f>Sheet1!F183</f>
        <v>0.000514551124249525</v>
      </c>
      <c r="D177" s="2">
        <f>Sheet1!G183</f>
        <v>0.0905609978679163</v>
      </c>
      <c r="E177" s="2">
        <f>Sheet1!AN183*MAX(B$2:B$318)/MAX(Sheet1!AN$8:AN$324)</f>
        <v>0.0165634747863128</v>
      </c>
      <c r="F177" s="2">
        <v>1</v>
      </c>
      <c r="G177" s="2">
        <v>0.75</v>
      </c>
    </row>
    <row r="178" spans="1:7">
      <c r="A178" s="1">
        <f>Sheet1!A184</f>
        <v>45509</v>
      </c>
      <c r="B178" s="2">
        <f>Sheet1!L184</f>
        <v>0</v>
      </c>
      <c r="C178" s="2">
        <f>Sheet1!F184</f>
        <v>0.00051164405575094</v>
      </c>
      <c r="D178" s="2">
        <f>Sheet1!G184</f>
        <v>0.0905609978679163</v>
      </c>
      <c r="E178" s="2">
        <f>Sheet1!AN184*MAX(B$2:B$318)/MAX(Sheet1!AN$8:AN$324)</f>
        <v>0.0165634747863128</v>
      </c>
      <c r="F178" s="2">
        <v>1</v>
      </c>
      <c r="G178" s="2">
        <v>0.75</v>
      </c>
    </row>
    <row r="179" spans="1:7">
      <c r="A179" s="1">
        <f>Sheet1!A185</f>
        <v>45510</v>
      </c>
      <c r="B179" s="2">
        <f>Sheet1!L185</f>
        <v>0</v>
      </c>
      <c r="C179" s="2">
        <f>Sheet1!F185</f>
        <v>0.00050876965094335</v>
      </c>
      <c r="D179" s="2">
        <f>Sheet1!G185</f>
        <v>0.0905609978679163</v>
      </c>
      <c r="E179" s="2">
        <f>Sheet1!AN185*MAX(B$2:B$318)/MAX(Sheet1!AN$8:AN$324)</f>
        <v>0.0165634747863128</v>
      </c>
      <c r="F179" s="2">
        <v>1</v>
      </c>
      <c r="G179" s="2">
        <v>0.75</v>
      </c>
    </row>
    <row r="180" spans="1:7">
      <c r="A180" s="1">
        <f>Sheet1!A186</f>
        <v>45511</v>
      </c>
      <c r="B180" s="2">
        <f>Sheet1!L186</f>
        <v>0</v>
      </c>
      <c r="C180" s="2">
        <f>Sheet1!F186</f>
        <v>0.000505927362390594</v>
      </c>
      <c r="D180" s="2">
        <f>Sheet1!G186</f>
        <v>0.0905609978679163</v>
      </c>
      <c r="E180" s="2">
        <f>Sheet1!AN186*MAX(B$2:B$318)/MAX(Sheet1!AN$8:AN$324)</f>
        <v>0.0165634747863128</v>
      </c>
      <c r="F180" s="2">
        <v>1</v>
      </c>
      <c r="G180" s="2">
        <v>0.75</v>
      </c>
    </row>
    <row r="181" spans="1:7">
      <c r="A181" s="1">
        <f>Sheet1!A187</f>
        <v>45512</v>
      </c>
      <c r="B181" s="2">
        <f>Sheet1!L187</f>
        <v>0</v>
      </c>
      <c r="C181" s="2">
        <f>Sheet1!F187</f>
        <v>0.000503116654821757</v>
      </c>
      <c r="D181" s="2">
        <f>Sheet1!G187</f>
        <v>0.0905609978679163</v>
      </c>
      <c r="E181" s="2">
        <f>Sheet1!AN187*MAX(B$2:B$318)/MAX(Sheet1!AN$8:AN$324)</f>
        <v>0.0165634747863128</v>
      </c>
      <c r="F181" s="2">
        <v>1</v>
      </c>
      <c r="G181" s="2">
        <v>0.75</v>
      </c>
    </row>
    <row r="182" spans="1:7">
      <c r="A182" s="1">
        <f>Sheet1!A188</f>
        <v>45513</v>
      </c>
      <c r="B182" s="2">
        <f>Sheet1!L188</f>
        <v>0</v>
      </c>
      <c r="C182" s="2">
        <f>Sheet1!F188</f>
        <v>0.000500337004795118</v>
      </c>
      <c r="D182" s="2">
        <f>Sheet1!G188</f>
        <v>0.0905609978679163</v>
      </c>
      <c r="E182" s="2">
        <f>Sheet1!AN188*MAX(B$2:B$318)/MAX(Sheet1!AN$8:AN$324)</f>
        <v>0.0165634747863128</v>
      </c>
      <c r="F182" s="2">
        <v>1</v>
      </c>
      <c r="G182" s="2">
        <v>0.75</v>
      </c>
    </row>
    <row r="183" spans="1:7">
      <c r="A183" s="1">
        <f>Sheet1!A189</f>
        <v>45514</v>
      </c>
      <c r="B183" s="2">
        <f>Sheet1!L189</f>
        <v>0.00114772727272728</v>
      </c>
      <c r="C183" s="2">
        <f>Sheet1!F189</f>
        <v>0.000498573243155384</v>
      </c>
      <c r="D183" s="2">
        <f>Sheet1!G189</f>
        <v>0.09074033025428</v>
      </c>
      <c r="E183" s="2">
        <f>Sheet1!AN189*MAX(B$2:B$318)/MAX(Sheet1!AN$8:AN$324)</f>
        <v>0.0165634747863128</v>
      </c>
      <c r="F183" s="2">
        <v>1</v>
      </c>
      <c r="G183" s="2">
        <v>0.75</v>
      </c>
    </row>
    <row r="184" spans="1:7">
      <c r="A184" s="1">
        <f>Sheet1!A190</f>
        <v>45515</v>
      </c>
      <c r="B184" s="2">
        <f>Sheet1!L190</f>
        <v>0.000920454545454548</v>
      </c>
      <c r="C184" s="2">
        <f>Sheet1!F190</f>
        <v>0.000496634706431734</v>
      </c>
      <c r="D184" s="2">
        <f>Sheet1!G190</f>
        <v>0.0908841512770072</v>
      </c>
      <c r="E184" s="2">
        <f>Sheet1!AN190*MAX(B$2:B$318)/MAX(Sheet1!AN$8:AN$324)</f>
        <v>0.0165634747863128</v>
      </c>
      <c r="F184" s="2">
        <v>1</v>
      </c>
      <c r="G184" s="2">
        <v>0.75</v>
      </c>
    </row>
    <row r="185" spans="1:7">
      <c r="A185" s="1">
        <f>Sheet1!A191</f>
        <v>45516</v>
      </c>
      <c r="B185" s="2">
        <f>Sheet1!L191</f>
        <v>0</v>
      </c>
      <c r="C185" s="2">
        <f>Sheet1!F191</f>
        <v>0.000493935604766344</v>
      </c>
      <c r="D185" s="2">
        <f>Sheet1!G191</f>
        <v>0.0908841512770072</v>
      </c>
      <c r="E185" s="2">
        <f>Sheet1!AN191*MAX(B$2:B$318)/MAX(Sheet1!AN$8:AN$324)</f>
        <v>0.0165634747863128</v>
      </c>
      <c r="F185" s="2">
        <v>1</v>
      </c>
      <c r="G185" s="2">
        <v>0.75</v>
      </c>
    </row>
    <row r="186" spans="1:7">
      <c r="A186" s="1">
        <f>Sheet1!A192</f>
        <v>45517</v>
      </c>
      <c r="B186" s="2">
        <f>Sheet1!L192</f>
        <v>0</v>
      </c>
      <c r="C186" s="2">
        <f>Sheet1!F192</f>
        <v>0.000491265682578418</v>
      </c>
      <c r="D186" s="2">
        <f>Sheet1!G192</f>
        <v>0.0908841512770072</v>
      </c>
      <c r="E186" s="2">
        <f>Sheet1!AN192*MAX(B$2:B$318)/MAX(Sheet1!AN$8:AN$324)</f>
        <v>0.0165634747863128</v>
      </c>
      <c r="F186" s="2">
        <v>1</v>
      </c>
      <c r="G186" s="2">
        <v>0.75</v>
      </c>
    </row>
    <row r="187" spans="1:7">
      <c r="A187" s="1">
        <f>Sheet1!A193</f>
        <v>45518</v>
      </c>
      <c r="B187" s="2">
        <f>Sheet1!L193</f>
        <v>0</v>
      </c>
      <c r="C187" s="2">
        <f>Sheet1!F193</f>
        <v>0.000488624469231222</v>
      </c>
      <c r="D187" s="2">
        <f>Sheet1!G193</f>
        <v>0.0908841512770072</v>
      </c>
      <c r="E187" s="2">
        <f>Sheet1!AN193*MAX(B$2:B$318)/MAX(Sheet1!AN$8:AN$324)</f>
        <v>0.0165634747863128</v>
      </c>
      <c r="F187" s="2">
        <v>1</v>
      </c>
      <c r="G187" s="2">
        <v>0.75</v>
      </c>
    </row>
    <row r="188" spans="1:7">
      <c r="A188" s="1">
        <f>Sheet1!A194</f>
        <v>45519</v>
      </c>
      <c r="B188" s="2">
        <f>Sheet1!L194</f>
        <v>0</v>
      </c>
      <c r="C188" s="2">
        <f>Sheet1!F194</f>
        <v>0.000486011504155119</v>
      </c>
      <c r="D188" s="2">
        <f>Sheet1!G194</f>
        <v>0.0908841512770072</v>
      </c>
      <c r="E188" s="2">
        <f>Sheet1!AN194*MAX(B$2:B$318)/MAX(Sheet1!AN$8:AN$324)</f>
        <v>0.0165634747863128</v>
      </c>
      <c r="F188" s="2">
        <v>1</v>
      </c>
      <c r="G188" s="2">
        <v>0.75</v>
      </c>
    </row>
    <row r="189" spans="1:7">
      <c r="A189" s="1">
        <f>Sheet1!A195</f>
        <v>45520</v>
      </c>
      <c r="B189" s="2">
        <f>Sheet1!L195</f>
        <v>0</v>
      </c>
      <c r="C189" s="2">
        <f>Sheet1!F195</f>
        <v>0.000483426336579826</v>
      </c>
      <c r="D189" s="2">
        <f>Sheet1!G195</f>
        <v>0.0908841512770072</v>
      </c>
      <c r="E189" s="2">
        <f>Sheet1!AN195*MAX(B$2:B$318)/MAX(Sheet1!AN$8:AN$324)</f>
        <v>0.0165634747863128</v>
      </c>
      <c r="F189" s="2">
        <v>1</v>
      </c>
      <c r="G189" s="2">
        <v>0.75</v>
      </c>
    </row>
    <row r="190" spans="1:7">
      <c r="A190" s="1">
        <f>Sheet1!A196</f>
        <v>45521</v>
      </c>
      <c r="B190" s="2">
        <f>Sheet1!L196</f>
        <v>0.000151515151515152</v>
      </c>
      <c r="C190" s="2">
        <f>Sheet1!F196</f>
        <v>0.000480993785817098</v>
      </c>
      <c r="D190" s="2">
        <f>Sheet1!G196</f>
        <v>0.0909078255194315</v>
      </c>
      <c r="E190" s="2">
        <f>Sheet1!AN196*MAX(B$2:B$318)/MAX(Sheet1!AN$8:AN$324)</f>
        <v>0.0165634747863128</v>
      </c>
      <c r="F190" s="2">
        <v>1</v>
      </c>
      <c r="G190" s="2">
        <v>0.75</v>
      </c>
    </row>
    <row r="191" spans="1:7">
      <c r="A191" s="1">
        <f>Sheet1!A197</f>
        <v>45522</v>
      </c>
      <c r="B191" s="2">
        <f>Sheet1!L197</f>
        <v>0</v>
      </c>
      <c r="C191" s="2">
        <f>Sheet1!F197</f>
        <v>0.000478462239575955</v>
      </c>
      <c r="D191" s="2">
        <f>Sheet1!G197</f>
        <v>0.0909078255194315</v>
      </c>
      <c r="E191" s="2">
        <f>Sheet1!AN197*MAX(B$2:B$318)/MAX(Sheet1!AN$8:AN$324)</f>
        <v>0.0165634747863128</v>
      </c>
      <c r="F191" s="2">
        <v>1</v>
      </c>
      <c r="G191" s="2">
        <v>0.75</v>
      </c>
    </row>
    <row r="192" spans="1:7">
      <c r="A192" s="1">
        <f>Sheet1!A198</f>
        <v>45523</v>
      </c>
      <c r="B192" s="2">
        <f>Sheet1!L198</f>
        <v>0</v>
      </c>
      <c r="C192" s="2">
        <f>Sheet1!F198</f>
        <v>0.000475957201672416</v>
      </c>
      <c r="D192" s="2">
        <f>Sheet1!G198</f>
        <v>0.0909078255194315</v>
      </c>
      <c r="E192" s="2">
        <f>Sheet1!AN198*MAX(B$2:B$318)/MAX(Sheet1!AN$8:AN$324)</f>
        <v>0.0165634747863128</v>
      </c>
      <c r="F192" s="2">
        <v>1</v>
      </c>
      <c r="G192" s="2">
        <v>0.75</v>
      </c>
    </row>
    <row r="193" spans="1:7">
      <c r="A193" s="1">
        <f>Sheet1!A199</f>
        <v>45524</v>
      </c>
      <c r="B193" s="2">
        <f>Sheet1!L199</f>
        <v>0</v>
      </c>
      <c r="C193" s="2">
        <f>Sheet1!F199</f>
        <v>0.000473478257913706</v>
      </c>
      <c r="D193" s="2">
        <f>Sheet1!G199</f>
        <v>0.0909078255194315</v>
      </c>
      <c r="E193" s="2">
        <f>Sheet1!AN199*MAX(B$2:B$318)/MAX(Sheet1!AN$8:AN$324)</f>
        <v>0.0165634747863128</v>
      </c>
      <c r="F193" s="2">
        <v>1</v>
      </c>
      <c r="G193" s="2">
        <v>0.75</v>
      </c>
    </row>
    <row r="194" spans="1:7">
      <c r="A194" s="1">
        <f>Sheet1!A200</f>
        <v>45525</v>
      </c>
      <c r="B194" s="2">
        <f>Sheet1!L200</f>
        <v>0</v>
      </c>
      <c r="C194" s="2">
        <f>Sheet1!F200</f>
        <v>0.000471025002691355</v>
      </c>
      <c r="D194" s="2">
        <f>Sheet1!G200</f>
        <v>0.0909078255194315</v>
      </c>
      <c r="E194" s="2">
        <f>Sheet1!AN200*MAX(B$2:B$318)/MAX(Sheet1!AN$8:AN$324)</f>
        <v>0.0165634747863128</v>
      </c>
      <c r="F194" s="2">
        <v>1</v>
      </c>
      <c r="G194" s="2">
        <v>0.75</v>
      </c>
    </row>
    <row r="195" spans="1:7">
      <c r="A195" s="1">
        <f>Sheet1!A201</f>
        <v>45526</v>
      </c>
      <c r="B195" s="2">
        <f>Sheet1!L201</f>
        <v>0</v>
      </c>
      <c r="C195" s="2">
        <f>Sheet1!F201</f>
        <v>0.000468597038759956</v>
      </c>
      <c r="D195" s="2">
        <f>Sheet1!G201</f>
        <v>0.0909078255194315</v>
      </c>
      <c r="E195" s="2">
        <f>Sheet1!AN201*MAX(B$2:B$318)/MAX(Sheet1!AN$8:AN$324)</f>
        <v>0.0165634747863128</v>
      </c>
      <c r="F195" s="2">
        <v>1</v>
      </c>
      <c r="G195" s="2">
        <v>0.75</v>
      </c>
    </row>
    <row r="196" spans="1:7">
      <c r="A196" s="1">
        <f>Sheet1!A202</f>
        <v>45527</v>
      </c>
      <c r="B196" s="2">
        <f>Sheet1!L202</f>
        <v>0</v>
      </c>
      <c r="C196" s="2">
        <f>Sheet1!F202</f>
        <v>0.000466193977022726</v>
      </c>
      <c r="D196" s="2">
        <f>Sheet1!G202</f>
        <v>0.0909078255194315</v>
      </c>
      <c r="E196" s="2">
        <f>Sheet1!AN202*MAX(B$2:B$318)/MAX(Sheet1!AN$8:AN$324)</f>
        <v>0.0165634747863128</v>
      </c>
      <c r="F196" s="2">
        <v>1</v>
      </c>
      <c r="G196" s="2">
        <v>0.75</v>
      </c>
    </row>
    <row r="197" spans="1:7">
      <c r="A197" s="1">
        <f>Sheet1!A203</f>
        <v>45528</v>
      </c>
      <c r="B197" s="2">
        <f>Sheet1!L203</f>
        <v>0</v>
      </c>
      <c r="C197" s="2">
        <f>Sheet1!F203</f>
        <v>0.00046381543632363</v>
      </c>
      <c r="D197" s="2">
        <f>Sheet1!G203</f>
        <v>0.0909078255194315</v>
      </c>
      <c r="E197" s="2">
        <f>Sheet1!AN203*MAX(B$2:B$318)/MAX(Sheet1!AN$8:AN$324)</f>
        <v>0.0165634747863128</v>
      </c>
      <c r="F197" s="2">
        <v>1</v>
      </c>
      <c r="G197" s="2">
        <v>0.75</v>
      </c>
    </row>
    <row r="198" spans="1:7">
      <c r="A198" s="1">
        <f>Sheet1!A204</f>
        <v>45529</v>
      </c>
      <c r="B198" s="2">
        <f>Sheet1!L204</f>
        <v>0</v>
      </c>
      <c r="C198" s="2">
        <f>Sheet1!F204</f>
        <v>0.000461461043245845</v>
      </c>
      <c r="D198" s="2">
        <f>Sheet1!G204</f>
        <v>0.0909078255194315</v>
      </c>
      <c r="E198" s="2">
        <f>Sheet1!AN204*MAX(B$2:B$318)/MAX(Sheet1!AN$8:AN$324)</f>
        <v>0.0165634747863128</v>
      </c>
      <c r="F198" s="2">
        <v>1</v>
      </c>
      <c r="G198" s="2">
        <v>0.75</v>
      </c>
    </row>
    <row r="199" spans="1:7">
      <c r="A199" s="1">
        <f>Sheet1!A205</f>
        <v>45530</v>
      </c>
      <c r="B199" s="2">
        <f>Sheet1!L205</f>
        <v>0</v>
      </c>
      <c r="C199" s="2">
        <f>Sheet1!F205</f>
        <v>0.000459130431916321</v>
      </c>
      <c r="D199" s="2">
        <f>Sheet1!G205</f>
        <v>0.0909078255194315</v>
      </c>
      <c r="E199" s="2">
        <f>Sheet1!AN205*MAX(B$2:B$318)/MAX(Sheet1!AN$8:AN$324)</f>
        <v>0.0165634747863128</v>
      </c>
      <c r="F199" s="2">
        <v>1</v>
      </c>
      <c r="G199" s="2">
        <v>0.75</v>
      </c>
    </row>
    <row r="200" spans="1:7">
      <c r="A200" s="1">
        <f>Sheet1!A206</f>
        <v>45531</v>
      </c>
      <c r="B200" s="2">
        <f>Sheet1!L206</f>
        <v>0</v>
      </c>
      <c r="C200" s="2">
        <f>Sheet1!F206</f>
        <v>0.000456823243816239</v>
      </c>
      <c r="D200" s="2">
        <f>Sheet1!G206</f>
        <v>0.0909078255194315</v>
      </c>
      <c r="E200" s="2">
        <f>Sheet1!AN206*MAX(B$2:B$318)/MAX(Sheet1!AN$8:AN$324)</f>
        <v>0.0165634747863128</v>
      </c>
      <c r="F200" s="2">
        <v>1</v>
      </c>
      <c r="G200" s="2">
        <v>0.75</v>
      </c>
    </row>
    <row r="201" spans="1:7">
      <c r="A201" s="1">
        <f>Sheet1!A207</f>
        <v>45532</v>
      </c>
      <c r="B201" s="2">
        <f>Sheet1!L207</f>
        <v>0</v>
      </c>
      <c r="C201" s="2">
        <f>Sheet1!F207</f>
        <v>0.000454539127597157</v>
      </c>
      <c r="D201" s="2">
        <f>Sheet1!G207</f>
        <v>0.0909078255194315</v>
      </c>
      <c r="E201" s="2">
        <f>Sheet1!AN207*MAX(B$2:B$318)/MAX(Sheet1!AN$8:AN$324)</f>
        <v>0.0165634747863128</v>
      </c>
      <c r="F201" s="2">
        <v>1</v>
      </c>
      <c r="G201" s="2">
        <v>0.75</v>
      </c>
    </row>
    <row r="202" spans="1:7">
      <c r="A202" s="1">
        <f>Sheet1!A208</f>
        <v>45533</v>
      </c>
      <c r="B202" s="2">
        <f>Sheet1!L208</f>
        <v>0</v>
      </c>
      <c r="C202" s="2">
        <f>Sheet1!F208</f>
        <v>0.000452277738902644</v>
      </c>
      <c r="D202" s="2">
        <f>Sheet1!G208</f>
        <v>0.0909078255194315</v>
      </c>
      <c r="E202" s="2">
        <f>Sheet1!AN208*MAX(B$2:B$318)/MAX(Sheet1!AN$8:AN$324)</f>
        <v>0.0165634747863128</v>
      </c>
      <c r="F202" s="2">
        <v>1</v>
      </c>
      <c r="G202" s="2">
        <v>0.75</v>
      </c>
    </row>
    <row r="203" spans="1:7">
      <c r="A203" s="1">
        <f>Sheet1!A209</f>
        <v>45534</v>
      </c>
      <c r="B203" s="2">
        <f>Sheet1!L209</f>
        <v>0</v>
      </c>
      <c r="C203" s="2">
        <f>Sheet1!F209</f>
        <v>0.000450038740195205</v>
      </c>
      <c r="D203" s="2">
        <f>Sheet1!G209</f>
        <v>0.0909078255194315</v>
      </c>
      <c r="E203" s="2">
        <f>Sheet1!AN209*MAX(B$2:B$318)/MAX(Sheet1!AN$8:AN$324)</f>
        <v>0.0165634747863128</v>
      </c>
      <c r="F203" s="2">
        <v>1</v>
      </c>
      <c r="G203" s="2">
        <v>0.75</v>
      </c>
    </row>
    <row r="204" spans="1:7">
      <c r="A204" s="1">
        <f>Sheet1!A210</f>
        <v>45535</v>
      </c>
      <c r="B204" s="2">
        <f>Sheet1!L210</f>
        <v>0.00139015151515152</v>
      </c>
      <c r="C204" s="2">
        <f>Sheet1!F210</f>
        <v>0.000448891806372778</v>
      </c>
      <c r="D204" s="2">
        <f>Sheet1!G210</f>
        <v>0.0911250366936739</v>
      </c>
      <c r="E204" s="2">
        <f>Sheet1!AN210*MAX(B$2:B$318)/MAX(Sheet1!AN$8:AN$324)</f>
        <v>0.0165634747863128</v>
      </c>
      <c r="F204" s="2">
        <v>1</v>
      </c>
      <c r="G204" s="2">
        <v>0.75</v>
      </c>
    </row>
    <row r="205" spans="1:7">
      <c r="A205" s="1">
        <f>Sheet1!A211</f>
        <v>45536</v>
      </c>
      <c r="B205" s="2">
        <f>Sheet1!L211</f>
        <v>0.000984848484848488</v>
      </c>
      <c r="C205" s="2">
        <f>Sheet1!F211</f>
        <v>0.000447483399010879</v>
      </c>
      <c r="D205" s="2">
        <f>Sheet1!G211</f>
        <v>0.0912866133982194</v>
      </c>
      <c r="E205" s="2">
        <f>Sheet1!AN211*MAX(B$2:B$318)/MAX(Sheet1!AN$8:AN$324)</f>
        <v>0.0165634747863128</v>
      </c>
      <c r="F205" s="2">
        <v>1</v>
      </c>
      <c r="G205" s="2">
        <v>0.75</v>
      </c>
    </row>
    <row r="206" spans="1:7">
      <c r="A206" s="1">
        <f>Sheet1!A212</f>
        <v>45537</v>
      </c>
      <c r="B206" s="2">
        <f>Sheet1!L212</f>
        <v>0</v>
      </c>
      <c r="C206" s="2">
        <f>Sheet1!F212</f>
        <v>0.000445300553162046</v>
      </c>
      <c r="D206" s="2">
        <f>Sheet1!G212</f>
        <v>0.0912866133982194</v>
      </c>
      <c r="E206" s="2">
        <f>Sheet1!AN212*MAX(B$2:B$318)/MAX(Sheet1!AN$8:AN$324)</f>
        <v>0.0165634747863128</v>
      </c>
      <c r="F206" s="2">
        <v>1</v>
      </c>
      <c r="G206" s="2">
        <v>0.75</v>
      </c>
    </row>
    <row r="207" spans="1:7">
      <c r="A207" s="1">
        <f>Sheet1!A213</f>
        <v>45538</v>
      </c>
      <c r="B207" s="2">
        <f>Sheet1!L213</f>
        <v>0</v>
      </c>
      <c r="C207" s="2">
        <f>Sheet1!F213</f>
        <v>0.000443138899991356</v>
      </c>
      <c r="D207" s="2">
        <f>Sheet1!G213</f>
        <v>0.0912866133982194</v>
      </c>
      <c r="E207" s="2">
        <f>Sheet1!AN213*MAX(B$2:B$318)/MAX(Sheet1!AN$8:AN$324)</f>
        <v>0.0165634747863128</v>
      </c>
      <c r="F207" s="2">
        <v>1</v>
      </c>
      <c r="G207" s="2">
        <v>0.75</v>
      </c>
    </row>
    <row r="208" spans="1:7">
      <c r="A208" s="1">
        <f>Sheet1!A214</f>
        <v>45539</v>
      </c>
      <c r="B208" s="2">
        <f>Sheet1!L214</f>
        <v>0</v>
      </c>
      <c r="C208" s="2">
        <f>Sheet1!F214</f>
        <v>0.000440998132358548</v>
      </c>
      <c r="D208" s="2">
        <f>Sheet1!G214</f>
        <v>0.0912866133982194</v>
      </c>
      <c r="E208" s="2">
        <f>Sheet1!AN214*MAX(B$2:B$318)/MAX(Sheet1!AN$8:AN$324)</f>
        <v>0.0165634747863128</v>
      </c>
      <c r="F208" s="2">
        <v>1</v>
      </c>
      <c r="G208" s="2">
        <v>0.75</v>
      </c>
    </row>
    <row r="209" spans="1:7">
      <c r="A209" s="1">
        <f>Sheet1!A215</f>
        <v>45540</v>
      </c>
      <c r="B209" s="2">
        <f>Sheet1!L215</f>
        <v>0</v>
      </c>
      <c r="C209" s="2">
        <f>Sheet1!F215</f>
        <v>0.000438877949029901</v>
      </c>
      <c r="D209" s="2">
        <f>Sheet1!G215</f>
        <v>0.0912866133982194</v>
      </c>
      <c r="E209" s="2">
        <f>Sheet1!AN215*MAX(B$2:B$318)/MAX(Sheet1!AN$8:AN$324)</f>
        <v>0.0165634747863128</v>
      </c>
      <c r="F209" s="2">
        <v>1</v>
      </c>
      <c r="G209" s="2">
        <v>0.75</v>
      </c>
    </row>
    <row r="210" spans="1:7">
      <c r="A210" s="1">
        <f>Sheet1!A216</f>
        <v>45541</v>
      </c>
      <c r="B210" s="2">
        <f>Sheet1!L216</f>
        <v>0</v>
      </c>
      <c r="C210" s="2">
        <f>Sheet1!F216</f>
        <v>0.000436778054536935</v>
      </c>
      <c r="D210" s="2">
        <f>Sheet1!G216</f>
        <v>0.0912866133982194</v>
      </c>
      <c r="E210" s="2">
        <f>Sheet1!AN216*MAX(B$2:B$318)/MAX(Sheet1!AN$8:AN$324)</f>
        <v>0.0165634747863128</v>
      </c>
      <c r="F210" s="2">
        <v>1</v>
      </c>
      <c r="G210" s="2">
        <v>0.75</v>
      </c>
    </row>
    <row r="211" spans="1:7">
      <c r="A211" s="1">
        <f>Sheet1!A217</f>
        <v>45542</v>
      </c>
      <c r="B211" s="2">
        <f>Sheet1!L217</f>
        <v>0.000897727272727276</v>
      </c>
      <c r="C211" s="2">
        <f>Sheet1!F217</f>
        <v>0.000435399508470958</v>
      </c>
      <c r="D211" s="2">
        <f>Sheet1!G217</f>
        <v>0.0914338967789012</v>
      </c>
      <c r="E211" s="2">
        <f>Sheet1!AN217*MAX(B$2:B$318)/MAX(Sheet1!AN$8:AN$324)</f>
        <v>0.0165634747863128</v>
      </c>
      <c r="F211" s="2">
        <v>1</v>
      </c>
      <c r="G211" s="2">
        <v>0.75</v>
      </c>
    </row>
    <row r="212" spans="1:7">
      <c r="A212" s="1">
        <f>Sheet1!A218</f>
        <v>45543</v>
      </c>
      <c r="B212" s="2">
        <f>Sheet1!L218</f>
        <v>0.00104671717171717</v>
      </c>
      <c r="C212" s="2">
        <f>Sheet1!F218</f>
        <v>0.000434149875899934</v>
      </c>
      <c r="D212" s="2">
        <f>Sheet1!G218</f>
        <v>0.091605623814886</v>
      </c>
      <c r="E212" s="2">
        <f>Sheet1!AN218*MAX(B$2:B$318)/MAX(Sheet1!AN$8:AN$324)</f>
        <v>0.0165634747863128</v>
      </c>
      <c r="F212" s="2">
        <v>1</v>
      </c>
      <c r="G212" s="2">
        <v>0.75</v>
      </c>
    </row>
    <row r="213" spans="1:7">
      <c r="A213" s="1">
        <f>Sheet1!A219</f>
        <v>45544</v>
      </c>
      <c r="B213" s="2">
        <f>Sheet1!L219</f>
        <v>0</v>
      </c>
      <c r="C213" s="2">
        <f>Sheet1!F219</f>
        <v>0.000432101999126821</v>
      </c>
      <c r="D213" s="2">
        <f>Sheet1!G219</f>
        <v>0.091605623814886</v>
      </c>
      <c r="E213" s="2">
        <f>Sheet1!AN219*MAX(B$2:B$318)/MAX(Sheet1!AN$8:AN$324)</f>
        <v>0.0165634747863128</v>
      </c>
      <c r="F213" s="2">
        <v>1</v>
      </c>
      <c r="G213" s="2">
        <v>0.75</v>
      </c>
    </row>
    <row r="214" spans="1:7">
      <c r="A214" s="1">
        <f>Sheet1!A220</f>
        <v>45545</v>
      </c>
      <c r="B214" s="2">
        <f>Sheet1!L220</f>
        <v>0</v>
      </c>
      <c r="C214" s="2">
        <f>Sheet1!F220</f>
        <v>0.000430073351243596</v>
      </c>
      <c r="D214" s="2">
        <f>Sheet1!G220</f>
        <v>0.091605623814886</v>
      </c>
      <c r="E214" s="2">
        <f>Sheet1!AN220*MAX(B$2:B$318)/MAX(Sheet1!AN$8:AN$324)</f>
        <v>0.0165634747863128</v>
      </c>
      <c r="F214" s="2">
        <v>1</v>
      </c>
      <c r="G214" s="2">
        <v>0.75</v>
      </c>
    </row>
    <row r="215" spans="1:7">
      <c r="A215" s="1">
        <f>Sheet1!A221</f>
        <v>45546</v>
      </c>
      <c r="B215" s="2">
        <f>Sheet1!L221</f>
        <v>0</v>
      </c>
      <c r="C215" s="2">
        <f>Sheet1!F221</f>
        <v>0.000428063662686383</v>
      </c>
      <c r="D215" s="2">
        <f>Sheet1!G221</f>
        <v>0.091605623814886</v>
      </c>
      <c r="E215" s="2">
        <f>Sheet1!AN221*MAX(B$2:B$318)/MAX(Sheet1!AN$8:AN$324)</f>
        <v>0.0165634747863128</v>
      </c>
      <c r="F215" s="2">
        <v>1</v>
      </c>
      <c r="G215" s="2">
        <v>0.75</v>
      </c>
    </row>
    <row r="216" spans="1:7">
      <c r="A216" s="1">
        <f>Sheet1!A222</f>
        <v>45547</v>
      </c>
      <c r="B216" s="2">
        <f>Sheet1!L222</f>
        <v>0</v>
      </c>
      <c r="C216" s="2">
        <f>Sheet1!F222</f>
        <v>0.000426072668906447</v>
      </c>
      <c r="D216" s="2">
        <f>Sheet1!G222</f>
        <v>0.091605623814886</v>
      </c>
      <c r="E216" s="2">
        <f>Sheet1!AN222*MAX(B$2:B$318)/MAX(Sheet1!AN$8:AN$324)</f>
        <v>0.0165634747863128</v>
      </c>
      <c r="F216" s="2">
        <v>1</v>
      </c>
      <c r="G216" s="2">
        <v>0.75</v>
      </c>
    </row>
    <row r="217" spans="1:7">
      <c r="A217" s="1">
        <f>Sheet1!A223</f>
        <v>45548</v>
      </c>
      <c r="B217" s="2">
        <f>Sheet1!L223</f>
        <v>0</v>
      </c>
      <c r="C217" s="2">
        <f>Sheet1!F223</f>
        <v>0.000424100110254102</v>
      </c>
      <c r="D217" s="2">
        <f>Sheet1!G223</f>
        <v>0.091605623814886</v>
      </c>
      <c r="E217" s="2">
        <f>Sheet1!AN223*MAX(B$2:B$318)/MAX(Sheet1!AN$8:AN$324)</f>
        <v>0.0165634747863128</v>
      </c>
      <c r="F217" s="2">
        <v>1</v>
      </c>
      <c r="G217" s="2">
        <v>0.75</v>
      </c>
    </row>
    <row r="218" spans="1:7">
      <c r="A218" s="1">
        <f>Sheet1!A224</f>
        <v>45549</v>
      </c>
      <c r="B218" s="2">
        <f>Sheet1!L224</f>
        <v>0</v>
      </c>
      <c r="C218" s="2">
        <f>Sheet1!F224</f>
        <v>0.000422145731865834</v>
      </c>
      <c r="D218" s="2">
        <f>Sheet1!G224</f>
        <v>0.091605623814886</v>
      </c>
      <c r="E218" s="2">
        <f>Sheet1!AN224*MAX(B$2:B$318)/MAX(Sheet1!AN$8:AN$324)</f>
        <v>0.0165634747863128</v>
      </c>
      <c r="F218" s="2">
        <v>1</v>
      </c>
      <c r="G218" s="2">
        <v>0.75</v>
      </c>
    </row>
    <row r="219" spans="1:7">
      <c r="A219" s="1">
        <f>Sheet1!A225</f>
        <v>45550</v>
      </c>
      <c r="B219" s="2">
        <f>Sheet1!L225</f>
        <v>0.00236363636363636</v>
      </c>
      <c r="C219" s="2">
        <f>Sheet1!F225</f>
        <v>0.000421988109659611</v>
      </c>
      <c r="D219" s="2">
        <f>Sheet1!G225</f>
        <v>0.0919934079057951</v>
      </c>
      <c r="E219" s="2">
        <f>Sheet1!AN225*MAX(B$2:B$318)/MAX(Sheet1!AN$8:AN$324)</f>
        <v>0.0165634747863128</v>
      </c>
      <c r="F219" s="2">
        <v>1</v>
      </c>
      <c r="G219" s="2">
        <v>0.75</v>
      </c>
    </row>
    <row r="220" spans="1:7">
      <c r="A220" s="1">
        <f>Sheet1!A226</f>
        <v>45551</v>
      </c>
      <c r="B220" s="2">
        <f>Sheet1!L226</f>
        <v>0.00233712121212122</v>
      </c>
      <c r="C220" s="2">
        <f>Sheet1!F226</f>
        <v>0.000421812063263282</v>
      </c>
      <c r="D220" s="2">
        <f>Sheet1!G226</f>
        <v>0.0923768418546588</v>
      </c>
      <c r="E220" s="2">
        <f>Sheet1!AN226*MAX(B$2:B$318)/MAX(Sheet1!AN$8:AN$324)</f>
        <v>0.0165634747863128</v>
      </c>
      <c r="F220" s="2">
        <v>1</v>
      </c>
      <c r="G220" s="2">
        <v>0.75</v>
      </c>
    </row>
    <row r="221" spans="1:7">
      <c r="A221" s="1">
        <f>Sheet1!A227</f>
        <v>45552</v>
      </c>
      <c r="B221" s="2">
        <f>Sheet1!L227</f>
        <v>0.00252525252525253</v>
      </c>
      <c r="C221" s="2">
        <f>Sheet1!F227</f>
        <v>0.00042177791407765</v>
      </c>
      <c r="D221" s="2">
        <f>Sheet1!G227</f>
        <v>0.092791141097083</v>
      </c>
      <c r="E221" s="2">
        <f>Sheet1!AN227*MAX(B$2:B$318)/MAX(Sheet1!AN$8:AN$324)</f>
        <v>0.0165634747863128</v>
      </c>
      <c r="F221" s="2">
        <v>1</v>
      </c>
      <c r="G221" s="2">
        <v>0.75</v>
      </c>
    </row>
    <row r="222" spans="1:7">
      <c r="A222" s="1">
        <f>Sheet1!A228</f>
        <v>45553</v>
      </c>
      <c r="B222" s="2">
        <f>Sheet1!L228</f>
        <v>0</v>
      </c>
      <c r="C222" s="2">
        <f>Sheet1!F228</f>
        <v>0.000419869416728882</v>
      </c>
      <c r="D222" s="2">
        <f>Sheet1!G228</f>
        <v>0.092791141097083</v>
      </c>
      <c r="E222" s="2">
        <f>Sheet1!AN228*MAX(B$2:B$318)/MAX(Sheet1!AN$8:AN$324)</f>
        <v>0.0165634747863128</v>
      </c>
      <c r="F222" s="2">
        <v>1</v>
      </c>
      <c r="G222" s="2">
        <v>0.75</v>
      </c>
    </row>
    <row r="223" spans="1:7">
      <c r="A223" s="1">
        <f>Sheet1!A229</f>
        <v>45554</v>
      </c>
      <c r="B223" s="2">
        <f>Sheet1!L229</f>
        <v>0</v>
      </c>
      <c r="C223" s="2">
        <f>Sheet1!F229</f>
        <v>0.000417978113049924</v>
      </c>
      <c r="D223" s="2">
        <f>Sheet1!G229</f>
        <v>0.092791141097083</v>
      </c>
      <c r="E223" s="2">
        <f>Sheet1!AN229*MAX(B$2:B$318)/MAX(Sheet1!AN$8:AN$324)</f>
        <v>0.0165634747863128</v>
      </c>
      <c r="F223" s="2">
        <v>1</v>
      </c>
      <c r="G223" s="2">
        <v>0.75</v>
      </c>
    </row>
    <row r="224" spans="1:7">
      <c r="A224" s="1">
        <f>Sheet1!A230</f>
        <v>45555</v>
      </c>
      <c r="B224" s="2">
        <f>Sheet1!L230</f>
        <v>0</v>
      </c>
      <c r="C224" s="2">
        <f>Sheet1!F230</f>
        <v>0.000416103771735798</v>
      </c>
      <c r="D224" s="2">
        <f>Sheet1!G230</f>
        <v>0.092791141097083</v>
      </c>
      <c r="E224" s="2">
        <f>Sheet1!AN230*MAX(B$2:B$318)/MAX(Sheet1!AN$8:AN$324)</f>
        <v>0.0165634747863128</v>
      </c>
      <c r="F224" s="2">
        <v>1</v>
      </c>
      <c r="G224" s="2">
        <v>0.75</v>
      </c>
    </row>
    <row r="225" spans="1:7">
      <c r="A225" s="1">
        <f>Sheet1!A231</f>
        <v>45556</v>
      </c>
      <c r="B225" s="2">
        <f>Sheet1!L231</f>
        <v>0.00393939393939395</v>
      </c>
      <c r="C225" s="2">
        <f>Sheet1!F231</f>
        <v>0.000417131463907432</v>
      </c>
      <c r="D225" s="2">
        <f>Sheet1!G231</f>
        <v>0.0934374479152648</v>
      </c>
      <c r="E225" s="2">
        <f>Sheet1!AN231*MAX(B$2:B$318)/MAX(Sheet1!AN$8:AN$324)</f>
        <v>0.0165634747863128</v>
      </c>
      <c r="F225" s="2">
        <v>1</v>
      </c>
      <c r="G225" s="2">
        <v>0.75</v>
      </c>
    </row>
    <row r="226" spans="1:7">
      <c r="A226" s="1">
        <f>Sheet1!A232</f>
        <v>45557</v>
      </c>
      <c r="B226" s="2">
        <f>Sheet1!L232</f>
        <v>0.00331102693602694</v>
      </c>
      <c r="C226" s="2">
        <f>Sheet1!F232</f>
        <v>0.000417691836764252</v>
      </c>
      <c r="D226" s="2">
        <f>Sheet1!G232</f>
        <v>0.0939806632719568</v>
      </c>
      <c r="E226" s="2">
        <f>Sheet1!AN232*MAX(B$2:B$318)/MAX(Sheet1!AN$8:AN$324)</f>
        <v>0.0165634747863128</v>
      </c>
      <c r="F226" s="2">
        <v>1</v>
      </c>
      <c r="G226" s="2">
        <v>0.75</v>
      </c>
    </row>
    <row r="227" spans="1:7">
      <c r="A227" s="1">
        <f>Sheet1!A233</f>
        <v>45558</v>
      </c>
      <c r="B227" s="2">
        <f>Sheet1!L233</f>
        <v>0</v>
      </c>
      <c r="C227" s="2">
        <f>Sheet1!F233</f>
        <v>0.000415843642796269</v>
      </c>
      <c r="D227" s="2">
        <f>Sheet1!G233</f>
        <v>0.0939806632719568</v>
      </c>
      <c r="E227" s="2">
        <f>Sheet1!AN233*MAX(B$2:B$318)/MAX(Sheet1!AN$8:AN$324)</f>
        <v>0.0165634747863128</v>
      </c>
      <c r="F227" s="2">
        <v>1</v>
      </c>
      <c r="G227" s="2">
        <v>0.75</v>
      </c>
    </row>
    <row r="228" spans="1:7">
      <c r="A228" s="1">
        <f>Sheet1!A234</f>
        <v>45559</v>
      </c>
      <c r="B228" s="2">
        <f>Sheet1!L234</f>
        <v>0</v>
      </c>
      <c r="C228" s="2">
        <f>Sheet1!F234</f>
        <v>0.00041401173247558</v>
      </c>
      <c r="D228" s="2">
        <f>Sheet1!G234</f>
        <v>0.0939806632719568</v>
      </c>
      <c r="E228" s="2">
        <f>Sheet1!AN234*MAX(B$2:B$318)/MAX(Sheet1!AN$8:AN$324)</f>
        <v>0.0165634747863128</v>
      </c>
      <c r="F228" s="2">
        <v>1</v>
      </c>
      <c r="G228" s="2">
        <v>0.75</v>
      </c>
    </row>
    <row r="229" spans="1:7">
      <c r="A229" s="1">
        <f>Sheet1!A235</f>
        <v>45560</v>
      </c>
      <c r="B229" s="2">
        <f>Sheet1!L235</f>
        <v>0</v>
      </c>
      <c r="C229" s="2">
        <f>Sheet1!F235</f>
        <v>0.00041219589154367</v>
      </c>
      <c r="D229" s="2">
        <f>Sheet1!G235</f>
        <v>0.0939806632719568</v>
      </c>
      <c r="E229" s="2">
        <f>Sheet1!AN235*MAX(B$2:B$318)/MAX(Sheet1!AN$8:AN$324)</f>
        <v>0.0165634747863128</v>
      </c>
      <c r="F229" s="2">
        <v>1</v>
      </c>
      <c r="G229" s="2">
        <v>0.75</v>
      </c>
    </row>
    <row r="230" spans="1:7">
      <c r="A230" s="1">
        <f>Sheet1!A236</f>
        <v>45561</v>
      </c>
      <c r="B230" s="2">
        <f>Sheet1!L236</f>
        <v>0</v>
      </c>
      <c r="C230" s="2">
        <f>Sheet1!F236</f>
        <v>0.000410395909484527</v>
      </c>
      <c r="D230" s="2">
        <f>Sheet1!G236</f>
        <v>0.0939806632719568</v>
      </c>
      <c r="E230" s="2">
        <f>Sheet1!AN236*MAX(B$2:B$318)/MAX(Sheet1!AN$8:AN$324)</f>
        <v>0.0165634747863128</v>
      </c>
      <c r="F230" s="2">
        <v>1</v>
      </c>
      <c r="G230" s="2">
        <v>0.75</v>
      </c>
    </row>
    <row r="231" spans="1:7">
      <c r="A231" s="1">
        <f>Sheet1!A237</f>
        <v>45562</v>
      </c>
      <c r="B231" s="2">
        <f>Sheet1!L237</f>
        <v>0</v>
      </c>
      <c r="C231" s="2">
        <f>Sheet1!F237</f>
        <v>0.00040861157944329</v>
      </c>
      <c r="D231" s="2">
        <f>Sheet1!G237</f>
        <v>0.0939806632719568</v>
      </c>
      <c r="E231" s="2">
        <f>Sheet1!AN237*MAX(B$2:B$318)/MAX(Sheet1!AN$8:AN$324)</f>
        <v>0.0165634747863128</v>
      </c>
      <c r="F231" s="2">
        <v>1</v>
      </c>
      <c r="G231" s="2">
        <v>0.75</v>
      </c>
    </row>
    <row r="232" spans="1:7">
      <c r="A232" s="1">
        <f>Sheet1!A238</f>
        <v>45563</v>
      </c>
      <c r="B232" s="2">
        <f>Sheet1!L238</f>
        <v>0</v>
      </c>
      <c r="C232" s="2">
        <f>Sheet1!F238</f>
        <v>0.000406842698146999</v>
      </c>
      <c r="D232" s="2">
        <f>Sheet1!G238</f>
        <v>0.0939806632719568</v>
      </c>
      <c r="E232" s="2">
        <f>Sheet1!AN238*MAX(B$2:B$318)/MAX(Sheet1!AN$8:AN$324)</f>
        <v>0.0165634747863128</v>
      </c>
      <c r="F232" s="2">
        <v>1</v>
      </c>
      <c r="G232" s="2">
        <v>0.75</v>
      </c>
    </row>
    <row r="233" spans="1:7">
      <c r="A233" s="1">
        <f>Sheet1!A239</f>
        <v>45564</v>
      </c>
      <c r="B233" s="2">
        <f>Sheet1!L239</f>
        <v>0</v>
      </c>
      <c r="C233" s="2">
        <f>Sheet1!F239</f>
        <v>0.0004050890658274</v>
      </c>
      <c r="D233" s="2">
        <f>Sheet1!G239</f>
        <v>0.0939806632719568</v>
      </c>
      <c r="E233" s="2">
        <f>Sheet1!AN239*MAX(B$2:B$318)/MAX(Sheet1!AN$8:AN$324)</f>
        <v>0.0165634747863128</v>
      </c>
      <c r="F233" s="2">
        <v>1</v>
      </c>
      <c r="G233" s="2">
        <v>0.75</v>
      </c>
    </row>
    <row r="234" spans="1:7">
      <c r="A234" s="1">
        <f>Sheet1!A240</f>
        <v>45565</v>
      </c>
      <c r="B234" s="2">
        <f>Sheet1!L240</f>
        <v>0</v>
      </c>
      <c r="C234" s="2">
        <f>Sheet1!F240</f>
        <v>0.000403350486145737</v>
      </c>
      <c r="D234" s="2">
        <f>Sheet1!G240</f>
        <v>0.0939806632719568</v>
      </c>
      <c r="E234" s="2">
        <f>Sheet1!AN240*MAX(B$2:B$318)/MAX(Sheet1!AN$8:AN$324)</f>
        <v>0.0165634747863128</v>
      </c>
      <c r="F234" s="2">
        <v>1</v>
      </c>
      <c r="G234" s="2">
        <v>0.75</v>
      </c>
    </row>
    <row r="235" spans="1:7">
      <c r="A235" s="1">
        <f>Sheet1!A241</f>
        <v>45566</v>
      </c>
      <c r="B235" s="2">
        <f>Sheet1!L241</f>
        <v>0.00249242424242425</v>
      </c>
      <c r="C235" s="2">
        <f>Sheet1!F241</f>
        <v>0.000403457473028305</v>
      </c>
      <c r="D235" s="2">
        <f>Sheet1!G241</f>
        <v>0.0944090486886234</v>
      </c>
      <c r="E235" s="2">
        <f>Sheet1!AN241*MAX(B$2:B$318)/MAX(Sheet1!AN$8:AN$324)</f>
        <v>0.0165634747863128</v>
      </c>
      <c r="F235" s="2">
        <v>1</v>
      </c>
      <c r="G235" s="2">
        <v>0.75</v>
      </c>
    </row>
    <row r="236" spans="1:7">
      <c r="A236" s="1">
        <f>Sheet1!A242</f>
        <v>45567</v>
      </c>
      <c r="B236" s="2">
        <f>Sheet1!L242</f>
        <v>0</v>
      </c>
      <c r="C236" s="2">
        <f>Sheet1!F242</f>
        <v>0.000401740632717547</v>
      </c>
      <c r="D236" s="2">
        <f>Sheet1!G242</f>
        <v>0.0944090486886234</v>
      </c>
      <c r="E236" s="2">
        <f>Sheet1!AN242*MAX(B$2:B$318)/MAX(Sheet1!AN$8:AN$324)</f>
        <v>0.0165634747863128</v>
      </c>
      <c r="F236" s="2">
        <v>1</v>
      </c>
      <c r="G236" s="2">
        <v>0.75</v>
      </c>
    </row>
    <row r="237" spans="1:7">
      <c r="A237" s="1">
        <f>Sheet1!A243</f>
        <v>45568</v>
      </c>
      <c r="B237" s="2">
        <f>Sheet1!L243</f>
        <v>0</v>
      </c>
      <c r="C237" s="2">
        <f>Sheet1!F243</f>
        <v>0.000400038341900947</v>
      </c>
      <c r="D237" s="2">
        <f>Sheet1!G243</f>
        <v>0.0944090486886234</v>
      </c>
      <c r="E237" s="2">
        <f>Sheet1!AN243*MAX(B$2:B$318)/MAX(Sheet1!AN$8:AN$324)</f>
        <v>0.0165634747863128</v>
      </c>
      <c r="F237" s="2">
        <v>1</v>
      </c>
      <c r="G237" s="2">
        <v>0.75</v>
      </c>
    </row>
    <row r="238" spans="1:7">
      <c r="A238" s="1">
        <f>Sheet1!A244</f>
        <v>45569</v>
      </c>
      <c r="B238" s="2">
        <f>Sheet1!L244</f>
        <v>0.000606060606060608</v>
      </c>
      <c r="C238" s="2">
        <f>Sheet1!F244</f>
        <v>0.000398789938207975</v>
      </c>
      <c r="D238" s="2">
        <f>Sheet1!G244</f>
        <v>0.0945132153552901</v>
      </c>
      <c r="E238" s="2">
        <f>Sheet1!AN244*MAX(B$2:B$318)/MAX(Sheet1!AN$8:AN$324)</f>
        <v>0.0165634747863128</v>
      </c>
      <c r="F238" s="2">
        <v>1</v>
      </c>
      <c r="G238" s="2">
        <v>0.75</v>
      </c>
    </row>
    <row r="239" spans="1:7">
      <c r="A239" s="1">
        <f>Sheet1!A245</f>
        <v>45570</v>
      </c>
      <c r="B239" s="2">
        <f>Sheet1!L245</f>
        <v>0.000606060606060608</v>
      </c>
      <c r="C239" s="2">
        <f>Sheet1!F245</f>
        <v>0.000397552025302339</v>
      </c>
      <c r="D239" s="2">
        <f>Sheet1!G245</f>
        <v>0.0946173820219568</v>
      </c>
      <c r="E239" s="2">
        <f>Sheet1!AN245*MAX(B$2:B$318)/MAX(Sheet1!AN$8:AN$324)</f>
        <v>0.0165634747863128</v>
      </c>
      <c r="F239" s="2">
        <v>1</v>
      </c>
      <c r="G239" s="2">
        <v>0.75</v>
      </c>
    </row>
    <row r="240" spans="1:7">
      <c r="A240" s="1">
        <f>Sheet1!A246</f>
        <v>45571</v>
      </c>
      <c r="B240" s="2">
        <f>Sheet1!L246</f>
        <v>0.000833333333333336</v>
      </c>
      <c r="C240" s="2">
        <f>Sheet1!F246</f>
        <v>0.000396487912923111</v>
      </c>
      <c r="D240" s="2">
        <f>Sheet1!G246</f>
        <v>0.0947606111886234</v>
      </c>
      <c r="E240" s="2">
        <f>Sheet1!AN246*MAX(B$2:B$318)/MAX(Sheet1!AN$8:AN$324)</f>
        <v>0.0165634747863128</v>
      </c>
      <c r="F240" s="2">
        <v>1</v>
      </c>
      <c r="G240" s="2">
        <v>0.75</v>
      </c>
    </row>
    <row r="241" spans="1:7">
      <c r="A241" s="1">
        <f>Sheet1!A247</f>
        <v>45572</v>
      </c>
      <c r="B241" s="2">
        <f>Sheet1!L247</f>
        <v>0</v>
      </c>
      <c r="C241" s="2">
        <f>Sheet1!F247</f>
        <v>0.000394835879952598</v>
      </c>
      <c r="D241" s="2">
        <f>Sheet1!G247</f>
        <v>0.0947606111886234</v>
      </c>
      <c r="E241" s="2">
        <f>Sheet1!AN247*MAX(B$2:B$318)/MAX(Sheet1!AN$8:AN$324)</f>
        <v>0.0165634747863128</v>
      </c>
      <c r="F241" s="2">
        <v>1</v>
      </c>
      <c r="G241" s="2">
        <v>0.75</v>
      </c>
    </row>
    <row r="242" spans="1:7">
      <c r="A242" s="1">
        <f>Sheet1!A248</f>
        <v>45573</v>
      </c>
      <c r="B242" s="2">
        <f>Sheet1!L248</f>
        <v>0</v>
      </c>
      <c r="C242" s="2">
        <f>Sheet1!F248</f>
        <v>0.000393197556799267</v>
      </c>
      <c r="D242" s="2">
        <f>Sheet1!G248</f>
        <v>0.0947606111886234</v>
      </c>
      <c r="E242" s="2">
        <f>Sheet1!AN248*MAX(B$2:B$318)/MAX(Sheet1!AN$8:AN$324)</f>
        <v>0.0165634747863128</v>
      </c>
      <c r="F242" s="2">
        <v>1</v>
      </c>
      <c r="G242" s="2">
        <v>0.75</v>
      </c>
    </row>
    <row r="243" spans="1:7">
      <c r="A243" s="1">
        <f>Sheet1!A249</f>
        <v>45574</v>
      </c>
      <c r="B243" s="2">
        <f>Sheet1!L249</f>
        <v>0</v>
      </c>
      <c r="C243" s="2">
        <f>Sheet1!F249</f>
        <v>0.000391572773506708</v>
      </c>
      <c r="D243" s="2">
        <f>Sheet1!G249</f>
        <v>0.0947606111886234</v>
      </c>
      <c r="E243" s="2">
        <f>Sheet1!AN249*MAX(B$2:B$318)/MAX(Sheet1!AN$8:AN$324)</f>
        <v>0.0165634747863128</v>
      </c>
      <c r="F243" s="2">
        <v>1</v>
      </c>
      <c r="G243" s="2">
        <v>0.75</v>
      </c>
    </row>
    <row r="244" spans="1:7">
      <c r="A244" s="1">
        <f>Sheet1!A250</f>
        <v>45575</v>
      </c>
      <c r="B244" s="2">
        <f>Sheet1!L250</f>
        <v>0</v>
      </c>
      <c r="C244" s="2">
        <f>Sheet1!F250</f>
        <v>0.000389961362916146</v>
      </c>
      <c r="D244" s="2">
        <f>Sheet1!G250</f>
        <v>0.0947606111886234</v>
      </c>
      <c r="E244" s="2">
        <f>Sheet1!AN250*MAX(B$2:B$318)/MAX(Sheet1!AN$8:AN$324)</f>
        <v>0.0165634747863128</v>
      </c>
      <c r="F244" s="2">
        <v>1</v>
      </c>
      <c r="G244" s="2">
        <v>0.75</v>
      </c>
    </row>
    <row r="245" spans="1:7">
      <c r="A245" s="1">
        <f>Sheet1!A251</f>
        <v>45576</v>
      </c>
      <c r="B245" s="2">
        <f>Sheet1!L251</f>
        <v>0</v>
      </c>
      <c r="C245" s="2">
        <f>Sheet1!F251</f>
        <v>0.000388363160609112</v>
      </c>
      <c r="D245" s="2">
        <f>Sheet1!G251</f>
        <v>0.0947606111886234</v>
      </c>
      <c r="E245" s="2">
        <f>Sheet1!AN251*MAX(B$2:B$318)/MAX(Sheet1!AN$8:AN$324)</f>
        <v>0.0165634747863128</v>
      </c>
      <c r="F245" s="2">
        <v>1</v>
      </c>
      <c r="G245" s="2">
        <v>0.75</v>
      </c>
    </row>
    <row r="246" spans="1:7">
      <c r="A246" s="1">
        <f>Sheet1!A252</f>
        <v>45577</v>
      </c>
      <c r="B246" s="2">
        <f>Sheet1!L252</f>
        <v>0</v>
      </c>
      <c r="C246" s="2">
        <f>Sheet1!F252</f>
        <v>0.000386778004851524</v>
      </c>
      <c r="D246" s="2">
        <f>Sheet1!G252</f>
        <v>0.0947606111886234</v>
      </c>
      <c r="E246" s="2">
        <f>Sheet1!AN252*MAX(B$2:B$318)/MAX(Sheet1!AN$8:AN$324)</f>
        <v>0.0165634747863128</v>
      </c>
      <c r="F246" s="2">
        <v>1</v>
      </c>
      <c r="G246" s="2">
        <v>0.75</v>
      </c>
    </row>
    <row r="247" spans="1:7">
      <c r="A247" s="1">
        <f>Sheet1!A253</f>
        <v>45578</v>
      </c>
      <c r="B247" s="2">
        <f>Sheet1!L253</f>
        <v>0</v>
      </c>
      <c r="C247" s="2">
        <f>Sheet1!F253</f>
        <v>0.00038520573653912</v>
      </c>
      <c r="D247" s="2">
        <f>Sheet1!G253</f>
        <v>0.0947606111886234</v>
      </c>
      <c r="E247" s="2">
        <f>Sheet1!AN253*MAX(B$2:B$318)/MAX(Sheet1!AN$8:AN$324)</f>
        <v>0.0165634747863128</v>
      </c>
      <c r="F247" s="2">
        <v>1</v>
      </c>
      <c r="G247" s="2">
        <v>0.75</v>
      </c>
    </row>
    <row r="248" spans="1:7">
      <c r="A248" s="1">
        <f>Sheet1!A254</f>
        <v>45579</v>
      </c>
      <c r="B248" s="2">
        <f>Sheet1!L254</f>
        <v>0</v>
      </c>
      <c r="C248" s="2">
        <f>Sheet1!F254</f>
        <v>0.000383646199144224</v>
      </c>
      <c r="D248" s="2">
        <f>Sheet1!G254</f>
        <v>0.0947606111886234</v>
      </c>
      <c r="E248" s="2">
        <f>Sheet1!AN254*MAX(B$2:B$318)/MAX(Sheet1!AN$8:AN$324)</f>
        <v>0.0165634747863128</v>
      </c>
      <c r="F248" s="2">
        <v>1</v>
      </c>
      <c r="G248" s="2">
        <v>0.75</v>
      </c>
    </row>
    <row r="249" spans="1:7">
      <c r="A249" s="1">
        <f>Sheet1!A255</f>
        <v>45580</v>
      </c>
      <c r="B249" s="2">
        <f>Sheet1!L255</f>
        <v>0</v>
      </c>
      <c r="C249" s="2">
        <f>Sheet1!F255</f>
        <v>0.000382099238663804</v>
      </c>
      <c r="D249" s="2">
        <f>Sheet1!G255</f>
        <v>0.0947606111886234</v>
      </c>
      <c r="E249" s="2">
        <f>Sheet1!AN255*MAX(B$2:B$318)/MAX(Sheet1!AN$8:AN$324)</f>
        <v>0.0165634747863128</v>
      </c>
      <c r="F249" s="2">
        <v>1</v>
      </c>
      <c r="G249" s="2">
        <v>0.75</v>
      </c>
    </row>
    <row r="250" spans="1:7">
      <c r="A250" s="1">
        <f>Sheet1!A256</f>
        <v>45581</v>
      </c>
      <c r="B250" s="2">
        <f>Sheet1!L256</f>
        <v>0</v>
      </c>
      <c r="C250" s="2">
        <f>Sheet1!F256</f>
        <v>0.000380564703568769</v>
      </c>
      <c r="D250" s="2">
        <f>Sheet1!G256</f>
        <v>0.0947606111886234</v>
      </c>
      <c r="E250" s="2">
        <f>Sheet1!AN256*MAX(B$2:B$318)/MAX(Sheet1!AN$8:AN$324)</f>
        <v>0.0165634747863128</v>
      </c>
      <c r="F250" s="2">
        <v>1</v>
      </c>
      <c r="G250" s="2">
        <v>0.75</v>
      </c>
    </row>
    <row r="251" spans="1:7">
      <c r="A251" s="1">
        <f>Sheet1!A257</f>
        <v>45582</v>
      </c>
      <c r="B251" s="2">
        <f>Sheet1!L257</f>
        <v>0</v>
      </c>
      <c r="C251" s="2">
        <f>Sheet1!F257</f>
        <v>0.000379042444754494</v>
      </c>
      <c r="D251" s="2">
        <f>Sheet1!G257</f>
        <v>0.0947606111886234</v>
      </c>
      <c r="E251" s="2">
        <f>Sheet1!AN257*MAX(B$2:B$318)/MAX(Sheet1!AN$8:AN$324)</f>
        <v>0.0165634747863128</v>
      </c>
      <c r="F251" s="2">
        <v>1</v>
      </c>
      <c r="G251" s="2">
        <v>0.75</v>
      </c>
    </row>
    <row r="252" spans="1:7">
      <c r="A252" s="1">
        <f>Sheet1!A258</f>
        <v>45583</v>
      </c>
      <c r="B252" s="2">
        <f>Sheet1!L258</f>
        <v>0</v>
      </c>
      <c r="C252" s="2">
        <f>Sheet1!F258</f>
        <v>0.000377532315492524</v>
      </c>
      <c r="D252" s="2">
        <f>Sheet1!G258</f>
        <v>0.0947606111886234</v>
      </c>
      <c r="E252" s="2">
        <f>Sheet1!AN258*MAX(B$2:B$318)/MAX(Sheet1!AN$8:AN$324)</f>
        <v>0.0165634747863128</v>
      </c>
      <c r="F252" s="2">
        <v>1</v>
      </c>
      <c r="G252" s="2">
        <v>0.75</v>
      </c>
    </row>
    <row r="253" spans="1:7">
      <c r="A253" s="1">
        <f>Sheet1!A259</f>
        <v>45584</v>
      </c>
      <c r="B253" s="2">
        <f>Sheet1!L259</f>
        <v>0.00169907407407408</v>
      </c>
      <c r="C253" s="2">
        <f>Sheet1!F259</f>
        <v>0.000377193014067877</v>
      </c>
      <c r="D253" s="2">
        <f>Sheet1!G259</f>
        <v>0.0950526395451049</v>
      </c>
      <c r="E253" s="2">
        <f>Sheet1!AN259*MAX(B$2:B$318)/MAX(Sheet1!AN$8:AN$324)</f>
        <v>0.0165634747863128</v>
      </c>
      <c r="F253" s="2">
        <v>1</v>
      </c>
      <c r="G253" s="2">
        <v>0.75</v>
      </c>
    </row>
    <row r="254" spans="1:7">
      <c r="A254" s="1">
        <f>Sheet1!A260</f>
        <v>45585</v>
      </c>
      <c r="B254" s="2">
        <f>Sheet1!L260</f>
        <v>0.00109427609427609</v>
      </c>
      <c r="C254" s="2">
        <f>Sheet1!F260</f>
        <v>0.000376445526675133</v>
      </c>
      <c r="D254" s="2">
        <f>Sheet1!G260</f>
        <v>0.0952407182488086</v>
      </c>
      <c r="E254" s="2">
        <f>Sheet1!AN260*MAX(B$2:B$318)/MAX(Sheet1!AN$8:AN$324)</f>
        <v>0.0165634747863128</v>
      </c>
      <c r="F254" s="2">
        <v>1</v>
      </c>
      <c r="G254" s="2">
        <v>0.75</v>
      </c>
    </row>
    <row r="255" spans="1:7">
      <c r="A255" s="1">
        <f>Sheet1!A261</f>
        <v>45586</v>
      </c>
      <c r="B255" s="2">
        <f>Sheet1!L261</f>
        <v>0</v>
      </c>
      <c r="C255" s="2">
        <f>Sheet1!F261</f>
        <v>0.000374963457672475</v>
      </c>
      <c r="D255" s="2">
        <f>Sheet1!G261</f>
        <v>0.0952407182488086</v>
      </c>
      <c r="E255" s="2">
        <f>Sheet1!AN261*MAX(B$2:B$318)/MAX(Sheet1!AN$8:AN$324)</f>
        <v>0.0165634747863128</v>
      </c>
      <c r="F255" s="2">
        <v>1</v>
      </c>
      <c r="G255" s="2">
        <v>0.75</v>
      </c>
    </row>
    <row r="256" spans="1:7">
      <c r="A256" s="1">
        <f>Sheet1!A262</f>
        <v>45587</v>
      </c>
      <c r="B256" s="2">
        <f>Sheet1!L262</f>
        <v>0</v>
      </c>
      <c r="C256" s="2">
        <f>Sheet1!F262</f>
        <v>0.000373493012740426</v>
      </c>
      <c r="D256" s="2">
        <f>Sheet1!G262</f>
        <v>0.0952407182488086</v>
      </c>
      <c r="E256" s="2">
        <f>Sheet1!AN262*MAX(B$2:B$318)/MAX(Sheet1!AN$8:AN$324)</f>
        <v>0.0165634747863128</v>
      </c>
      <c r="F256" s="2">
        <v>1</v>
      </c>
      <c r="G256" s="2">
        <v>0.75</v>
      </c>
    </row>
    <row r="257" spans="1:7">
      <c r="A257" s="1">
        <f>Sheet1!A263</f>
        <v>45588</v>
      </c>
      <c r="B257" s="2">
        <f>Sheet1!L263</f>
        <v>0</v>
      </c>
      <c r="C257" s="2">
        <f>Sheet1!F263</f>
        <v>0.000372034055659409</v>
      </c>
      <c r="D257" s="2">
        <f>Sheet1!G263</f>
        <v>0.0952407182488086</v>
      </c>
      <c r="E257" s="2">
        <f>Sheet1!AN263*MAX(B$2:B$318)/MAX(Sheet1!AN$8:AN$324)</f>
        <v>0.0165634747863128</v>
      </c>
      <c r="F257" s="2">
        <v>1</v>
      </c>
      <c r="G257" s="2">
        <v>0.75</v>
      </c>
    </row>
    <row r="258" spans="1:7">
      <c r="A258" s="1">
        <f>Sheet1!A264</f>
        <v>45589</v>
      </c>
      <c r="B258" s="2">
        <f>Sheet1!L264</f>
        <v>0</v>
      </c>
      <c r="C258" s="2">
        <f>Sheet1!F264</f>
        <v>0.000370586452329995</v>
      </c>
      <c r="D258" s="2">
        <f>Sheet1!G264</f>
        <v>0.0952407182488086</v>
      </c>
      <c r="E258" s="2">
        <f>Sheet1!AN264*MAX(B$2:B$318)/MAX(Sheet1!AN$8:AN$324)</f>
        <v>0.0165634747863128</v>
      </c>
      <c r="F258" s="2">
        <v>1</v>
      </c>
      <c r="G258" s="2">
        <v>0.75</v>
      </c>
    </row>
    <row r="259" spans="1:7">
      <c r="A259" s="1">
        <f>Sheet1!A265</f>
        <v>45590</v>
      </c>
      <c r="B259" s="2">
        <f>Sheet1!L265</f>
        <v>0</v>
      </c>
      <c r="C259" s="2">
        <f>Sheet1!F265</f>
        <v>0.000369150070731816</v>
      </c>
      <c r="D259" s="2">
        <f>Sheet1!G265</f>
        <v>0.0952407182488086</v>
      </c>
      <c r="E259" s="2">
        <f>Sheet1!AN265*MAX(B$2:B$318)/MAX(Sheet1!AN$8:AN$324)</f>
        <v>0.0165634747863128</v>
      </c>
      <c r="F259" s="2">
        <v>1</v>
      </c>
      <c r="G259" s="2">
        <v>0.75</v>
      </c>
    </row>
    <row r="260" spans="1:7">
      <c r="A260" s="1">
        <f>Sheet1!A266</f>
        <v>45591</v>
      </c>
      <c r="B260" s="2">
        <f>Sheet1!L266</f>
        <v>0.000168350168350168</v>
      </c>
      <c r="C260" s="2">
        <f>Sheet1!F266</f>
        <v>0.00036783649974515</v>
      </c>
      <c r="D260" s="2">
        <f>Sheet1!G266</f>
        <v>0.0952696534339938</v>
      </c>
      <c r="E260" s="2">
        <f>Sheet1!AN266*MAX(B$2:B$318)/MAX(Sheet1!AN$8:AN$324)</f>
        <v>0.0165634747863128</v>
      </c>
      <c r="F260" s="2">
        <v>1</v>
      </c>
      <c r="G260" s="2">
        <v>0.75</v>
      </c>
    </row>
    <row r="261" spans="1:7">
      <c r="A261" s="1">
        <f>Sheet1!A267</f>
        <v>45592</v>
      </c>
      <c r="B261" s="2">
        <f>Sheet1!L267</f>
        <v>0.00151515151515152</v>
      </c>
      <c r="C261" s="2">
        <f>Sheet1!F267</f>
        <v>0.000367423346541002</v>
      </c>
      <c r="D261" s="2">
        <f>Sheet1!G267</f>
        <v>0.0955300701006605</v>
      </c>
      <c r="E261" s="2">
        <f>Sheet1!AN267*MAX(B$2:B$318)/MAX(Sheet1!AN$8:AN$324)</f>
        <v>0.0165634747863128</v>
      </c>
      <c r="F261" s="2">
        <v>1</v>
      </c>
      <c r="G261" s="2">
        <v>0.75</v>
      </c>
    </row>
    <row r="262" spans="1:7">
      <c r="A262" s="1">
        <f>Sheet1!A268</f>
        <v>45593</v>
      </c>
      <c r="B262" s="2">
        <f>Sheet1!L268</f>
        <v>0</v>
      </c>
      <c r="C262" s="2">
        <f>Sheet1!F268</f>
        <v>0.000366015594255404</v>
      </c>
      <c r="D262" s="2">
        <f>Sheet1!G268</f>
        <v>0.0955300701006605</v>
      </c>
      <c r="E262" s="2">
        <f>Sheet1!AN268*MAX(B$2:B$318)/MAX(Sheet1!AN$8:AN$324)</f>
        <v>0.0165634747863128</v>
      </c>
      <c r="F262" s="2">
        <v>1</v>
      </c>
      <c r="G262" s="2">
        <v>0.75</v>
      </c>
    </row>
    <row r="263" spans="1:7">
      <c r="A263" s="1">
        <f>Sheet1!A269</f>
        <v>45594</v>
      </c>
      <c r="B263" s="2">
        <f>Sheet1!L269</f>
        <v>0</v>
      </c>
      <c r="C263" s="2">
        <f>Sheet1!F269</f>
        <v>0.00036461858817046</v>
      </c>
      <c r="D263" s="2">
        <f>Sheet1!G269</f>
        <v>0.0955300701006605</v>
      </c>
      <c r="E263" s="2">
        <f>Sheet1!AN269*MAX(B$2:B$318)/MAX(Sheet1!AN$8:AN$324)</f>
        <v>0.0165634747863128</v>
      </c>
      <c r="F263" s="2">
        <v>1</v>
      </c>
      <c r="G263" s="2">
        <v>0.75</v>
      </c>
    </row>
    <row r="264" spans="1:7">
      <c r="A264" s="1">
        <f>Sheet1!A270</f>
        <v>45595</v>
      </c>
      <c r="B264" s="2">
        <f>Sheet1!L270</f>
        <v>0</v>
      </c>
      <c r="C264" s="2">
        <f>Sheet1!F270</f>
        <v>0.000363232205705933</v>
      </c>
      <c r="D264" s="2">
        <f>Sheet1!G270</f>
        <v>0.0955300701006605</v>
      </c>
      <c r="E264" s="2">
        <f>Sheet1!AN270*MAX(B$2:B$318)/MAX(Sheet1!AN$8:AN$324)</f>
        <v>0.0165634747863128</v>
      </c>
      <c r="F264" s="2">
        <v>1</v>
      </c>
      <c r="G264" s="2">
        <v>0.75</v>
      </c>
    </row>
    <row r="265" spans="1:7">
      <c r="A265" s="1">
        <f>Sheet1!A271</f>
        <v>45596</v>
      </c>
      <c r="B265" s="2">
        <f>Sheet1!L271</f>
        <v>0</v>
      </c>
      <c r="C265" s="2">
        <f>Sheet1!F271</f>
        <v>0.000361856326138865</v>
      </c>
      <c r="D265" s="2">
        <f>Sheet1!G271</f>
        <v>0.0955300701006605</v>
      </c>
      <c r="E265" s="2">
        <f>Sheet1!AN271*MAX(B$2:B$318)/MAX(Sheet1!AN$8:AN$324)</f>
        <v>0.0165634747863128</v>
      </c>
      <c r="F265" s="2">
        <v>1</v>
      </c>
      <c r="G265" s="2">
        <v>0.75</v>
      </c>
    </row>
    <row r="266" spans="1:7">
      <c r="A266" s="1">
        <f>Sheet1!A272</f>
        <v>45597</v>
      </c>
      <c r="B266" s="2">
        <f>Sheet1!L272</f>
        <v>0</v>
      </c>
      <c r="C266" s="2">
        <f>Sheet1!F272</f>
        <v>0.00036049083056853</v>
      </c>
      <c r="D266" s="2">
        <f>Sheet1!G272</f>
        <v>0.0955300701006605</v>
      </c>
      <c r="E266" s="2">
        <f>Sheet1!AN272*MAX(B$2:B$318)/MAX(Sheet1!AN$8:AN$324)</f>
        <v>0.0165634747863128</v>
      </c>
      <c r="F266" s="2">
        <v>1</v>
      </c>
      <c r="G266" s="2">
        <v>0.75</v>
      </c>
    </row>
    <row r="267" spans="1:7">
      <c r="A267" s="1">
        <f>Sheet1!A273</f>
        <v>45598</v>
      </c>
      <c r="B267" s="2">
        <f>Sheet1!L273</f>
        <v>0.000336700336700337</v>
      </c>
      <c r="C267" s="2">
        <f>Sheet1!F273</f>
        <v>0.000359363048655682</v>
      </c>
      <c r="D267" s="2">
        <f>Sheet1!G273</f>
        <v>0.0955905709424113</v>
      </c>
      <c r="E267" s="2">
        <f>Sheet1!AN273*MAX(B$2:B$318)/MAX(Sheet1!AN$8:AN$324)</f>
        <v>0.0165634747863128</v>
      </c>
      <c r="F267" s="2">
        <v>1</v>
      </c>
      <c r="G267" s="2">
        <v>0.75</v>
      </c>
    </row>
    <row r="268" spans="1:7">
      <c r="A268" s="1">
        <f>Sheet1!A274</f>
        <v>45599</v>
      </c>
      <c r="B268" s="2">
        <f>Sheet1!L274</f>
        <v>0.000505050505050505</v>
      </c>
      <c r="C268" s="2">
        <f>Sheet1!F274</f>
        <v>0.000358357012003886</v>
      </c>
      <c r="D268" s="2">
        <f>Sheet1!G274</f>
        <v>0.0956813222050376</v>
      </c>
      <c r="E268" s="2">
        <f>Sheet1!AN274*MAX(B$2:B$318)/MAX(Sheet1!AN$8:AN$324)</f>
        <v>0.0165634747863128</v>
      </c>
      <c r="F268" s="2">
        <v>1</v>
      </c>
      <c r="G268" s="2">
        <v>0.75</v>
      </c>
    </row>
    <row r="269" spans="1:7">
      <c r="A269" s="1">
        <f>Sheet1!A275</f>
        <v>45600</v>
      </c>
      <c r="B269" s="2">
        <f>Sheet1!L275</f>
        <v>0</v>
      </c>
      <c r="C269" s="2">
        <f>Sheet1!F275</f>
        <v>0.000357019858974021</v>
      </c>
      <c r="D269" s="2">
        <f>Sheet1!G275</f>
        <v>0.0956813222050376</v>
      </c>
      <c r="E269" s="2">
        <f>Sheet1!AN275*MAX(B$2:B$318)/MAX(Sheet1!AN$8:AN$324)</f>
        <v>0.0165634747863128</v>
      </c>
      <c r="F269" s="2">
        <v>1</v>
      </c>
      <c r="G269" s="2">
        <v>0.75</v>
      </c>
    </row>
    <row r="270" spans="1:7">
      <c r="A270" s="1">
        <f>Sheet1!A276</f>
        <v>45601</v>
      </c>
      <c r="B270" s="2">
        <f>Sheet1!L276</f>
        <v>0</v>
      </c>
      <c r="C270" s="2">
        <f>Sheet1!F276</f>
        <v>0.00035569264760237</v>
      </c>
      <c r="D270" s="2">
        <f>Sheet1!G276</f>
        <v>0.0956813222050376</v>
      </c>
      <c r="E270" s="2">
        <f>Sheet1!AN276*MAX(B$2:B$318)/MAX(Sheet1!AN$8:AN$324)</f>
        <v>0.0165634747863128</v>
      </c>
      <c r="F270" s="2">
        <v>1</v>
      </c>
      <c r="G270" s="2">
        <v>0.75</v>
      </c>
    </row>
    <row r="271" spans="1:7">
      <c r="A271" s="1">
        <f>Sheet1!A277</f>
        <v>45602</v>
      </c>
      <c r="B271" s="2">
        <f>Sheet1!L277</f>
        <v>0</v>
      </c>
      <c r="C271" s="2">
        <f>Sheet1!F277</f>
        <v>0.000354375267426065</v>
      </c>
      <c r="D271" s="2">
        <f>Sheet1!G277</f>
        <v>0.0956813222050376</v>
      </c>
      <c r="E271" s="2">
        <f>Sheet1!AN277*MAX(B$2:B$318)/MAX(Sheet1!AN$8:AN$324)</f>
        <v>0.0165634747863128</v>
      </c>
      <c r="F271" s="2">
        <v>1</v>
      </c>
      <c r="G271" s="2">
        <v>0.75</v>
      </c>
    </row>
    <row r="272" spans="1:7">
      <c r="A272" s="1">
        <f>Sheet1!A278</f>
        <v>45603</v>
      </c>
      <c r="B272" s="2">
        <f>Sheet1!L278</f>
        <v>0</v>
      </c>
      <c r="C272" s="2">
        <f>Sheet1!F278</f>
        <v>0.000353067609612685</v>
      </c>
      <c r="D272" s="2">
        <f>Sheet1!G278</f>
        <v>0.0956813222050376</v>
      </c>
      <c r="E272" s="2">
        <f>Sheet1!AN278*MAX(B$2:B$318)/MAX(Sheet1!AN$8:AN$324)</f>
        <v>0.0165634747863128</v>
      </c>
      <c r="F272" s="2">
        <v>1</v>
      </c>
      <c r="G272" s="2">
        <v>0.75</v>
      </c>
    </row>
    <row r="273" spans="1:7">
      <c r="A273" s="1">
        <f>Sheet1!A279</f>
        <v>45604</v>
      </c>
      <c r="B273" s="2">
        <f>Sheet1!L279</f>
        <v>0</v>
      </c>
      <c r="C273" s="2">
        <f>Sheet1!F279</f>
        <v>0.000351769566930285</v>
      </c>
      <c r="D273" s="2">
        <f>Sheet1!G279</f>
        <v>0.0956813222050376</v>
      </c>
      <c r="E273" s="2">
        <f>Sheet1!AN279*MAX(B$2:B$318)/MAX(Sheet1!AN$8:AN$324)</f>
        <v>0.0165634747863128</v>
      </c>
      <c r="F273" s="2">
        <v>1</v>
      </c>
      <c r="G273" s="2">
        <v>0.75</v>
      </c>
    </row>
    <row r="274" spans="1:7">
      <c r="A274" s="1">
        <f>Sheet1!A280</f>
        <v>45605</v>
      </c>
      <c r="B274" s="2">
        <f>Sheet1!L280</f>
        <v>0</v>
      </c>
      <c r="C274" s="2">
        <f>Sheet1!F280</f>
        <v>0.000350481033718086</v>
      </c>
      <c r="D274" s="2">
        <f>Sheet1!G280</f>
        <v>0.0956813222050376</v>
      </c>
      <c r="E274" s="2">
        <f>Sheet1!AN280*MAX(B$2:B$318)/MAX(Sheet1!AN$8:AN$324)</f>
        <v>0.0165634747863128</v>
      </c>
      <c r="F274" s="2">
        <v>1</v>
      </c>
      <c r="G274" s="2">
        <v>0.75</v>
      </c>
    </row>
    <row r="275" spans="1:7">
      <c r="A275" s="1">
        <f>Sheet1!A281</f>
        <v>45606</v>
      </c>
      <c r="B275" s="2">
        <f>Sheet1!L281</f>
        <v>0</v>
      </c>
      <c r="C275" s="2">
        <f>Sheet1!F281</f>
        <v>0.000349201905857801</v>
      </c>
      <c r="D275" s="2">
        <f>Sheet1!G281</f>
        <v>0.0956813222050376</v>
      </c>
      <c r="E275" s="2">
        <f>Sheet1!AN281*MAX(B$2:B$318)/MAX(Sheet1!AN$8:AN$324)</f>
        <v>0.0165634747863128</v>
      </c>
      <c r="F275" s="2">
        <v>1</v>
      </c>
      <c r="G275" s="2">
        <v>0.75</v>
      </c>
    </row>
    <row r="276" spans="1:7">
      <c r="A276" s="1">
        <f>Sheet1!A282</f>
        <v>45607</v>
      </c>
      <c r="B276" s="2">
        <f>Sheet1!L282</f>
        <v>0</v>
      </c>
      <c r="C276" s="2">
        <f>Sheet1!F282</f>
        <v>0.000347932080745591</v>
      </c>
      <c r="D276" s="2">
        <f>Sheet1!G282</f>
        <v>0.0956813222050376</v>
      </c>
      <c r="E276" s="2">
        <f>Sheet1!AN282*MAX(B$2:B$318)/MAX(Sheet1!AN$8:AN$324)</f>
        <v>0.0165634747863128</v>
      </c>
      <c r="F276" s="2">
        <v>1</v>
      </c>
      <c r="G276" s="2">
        <v>0.75</v>
      </c>
    </row>
    <row r="277" spans="1:7">
      <c r="A277" s="1">
        <f>Sheet1!A283</f>
        <v>45608</v>
      </c>
      <c r="B277" s="2">
        <f>Sheet1!L283</f>
        <v>0</v>
      </c>
      <c r="C277" s="2">
        <f>Sheet1!F283</f>
        <v>0.000346671457264629</v>
      </c>
      <c r="D277" s="2">
        <f>Sheet1!G283</f>
        <v>0.0956813222050376</v>
      </c>
      <c r="E277" s="2">
        <f>Sheet1!AN283*MAX(B$2:B$318)/MAX(Sheet1!AN$8:AN$324)</f>
        <v>0.0165634747863128</v>
      </c>
      <c r="F277" s="2">
        <v>1</v>
      </c>
      <c r="G277" s="2">
        <v>0.75</v>
      </c>
    </row>
    <row r="278" spans="1:7">
      <c r="A278" s="1">
        <f>Sheet1!A284</f>
        <v>45609</v>
      </c>
      <c r="B278" s="2">
        <f>Sheet1!L284</f>
        <v>0</v>
      </c>
      <c r="C278" s="2">
        <f>Sheet1!F284</f>
        <v>0.000345419935758258</v>
      </c>
      <c r="D278" s="2">
        <f>Sheet1!G284</f>
        <v>0.0956813222050376</v>
      </c>
      <c r="E278" s="2">
        <f>Sheet1!AN284*MAX(B$2:B$318)/MAX(Sheet1!AN$8:AN$324)</f>
        <v>0.0165634747863128</v>
      </c>
      <c r="F278" s="2">
        <v>1</v>
      </c>
      <c r="G278" s="2">
        <v>0.75</v>
      </c>
    </row>
    <row r="279" spans="1:7">
      <c r="A279" s="1">
        <f>Sheet1!A285</f>
        <v>45610</v>
      </c>
      <c r="B279" s="2">
        <f>Sheet1!L285</f>
        <v>0</v>
      </c>
      <c r="C279" s="2">
        <f>Sheet1!F285</f>
        <v>0.000344177418003732</v>
      </c>
      <c r="D279" s="2">
        <f>Sheet1!G285</f>
        <v>0.0956813222050376</v>
      </c>
      <c r="E279" s="2">
        <f>Sheet1!AN285*MAX(B$2:B$318)/MAX(Sheet1!AN$8:AN$324)</f>
        <v>0.0165634747863128</v>
      </c>
      <c r="F279" s="2">
        <v>1</v>
      </c>
      <c r="G279" s="2">
        <v>0.75</v>
      </c>
    </row>
    <row r="280" spans="1:7">
      <c r="A280" s="1">
        <f>Sheet1!A286</f>
        <v>45611</v>
      </c>
      <c r="B280" s="2">
        <f>Sheet1!L286</f>
        <v>0</v>
      </c>
      <c r="C280" s="2">
        <f>Sheet1!F286</f>
        <v>0.000342943807186515</v>
      </c>
      <c r="D280" s="2">
        <f>Sheet1!G286</f>
        <v>0.0956813222050376</v>
      </c>
      <c r="E280" s="2">
        <f>Sheet1!AN286*MAX(B$2:B$318)/MAX(Sheet1!AN$8:AN$324)</f>
        <v>0.0165634747863128</v>
      </c>
      <c r="F280" s="2">
        <v>1</v>
      </c>
      <c r="G280" s="2">
        <v>0.75</v>
      </c>
    </row>
    <row r="281" spans="1:7">
      <c r="A281" s="1">
        <f>Sheet1!A287</f>
        <v>45612</v>
      </c>
      <c r="B281" s="2">
        <f>Sheet1!L287</f>
        <v>0</v>
      </c>
      <c r="C281" s="2">
        <f>Sheet1!F287</f>
        <v>0.000341719007875134</v>
      </c>
      <c r="D281" s="2">
        <f>Sheet1!G287</f>
        <v>0.0956813222050376</v>
      </c>
      <c r="E281" s="2">
        <f>Sheet1!AN287*MAX(B$2:B$318)/MAX(Sheet1!AN$8:AN$324)</f>
        <v>0.0165634747863128</v>
      </c>
      <c r="F281" s="2">
        <v>1</v>
      </c>
      <c r="G281" s="2">
        <v>0.75</v>
      </c>
    </row>
    <row r="282" spans="1:7">
      <c r="A282" s="1">
        <f>Sheet1!A288</f>
        <v>45613</v>
      </c>
      <c r="B282" s="2">
        <f>Sheet1!L288</f>
        <v>0</v>
      </c>
      <c r="C282" s="2">
        <f>Sheet1!F288</f>
        <v>0.000340502925996575</v>
      </c>
      <c r="D282" s="2">
        <f>Sheet1!G288</f>
        <v>0.0956813222050376</v>
      </c>
      <c r="E282" s="2">
        <f>Sheet1!AN288*MAX(B$2:B$318)/MAX(Sheet1!AN$8:AN$324)</f>
        <v>0.0165634747863128</v>
      </c>
      <c r="F282" s="2">
        <v>1</v>
      </c>
      <c r="G282" s="2">
        <v>0.75</v>
      </c>
    </row>
    <row r="283" spans="1:7">
      <c r="A283" s="1">
        <f>Sheet1!A289</f>
        <v>45614</v>
      </c>
      <c r="B283" s="2">
        <f>Sheet1!L289</f>
        <v>0</v>
      </c>
      <c r="C283" s="2">
        <f>Sheet1!F289</f>
        <v>0.00033929546881219</v>
      </c>
      <c r="D283" s="2">
        <f>Sheet1!G289</f>
        <v>0.0956813222050376</v>
      </c>
      <c r="E283" s="2">
        <f>Sheet1!AN289*MAX(B$2:B$318)/MAX(Sheet1!AN$8:AN$324)</f>
        <v>0.0165634747863128</v>
      </c>
      <c r="F283" s="2">
        <v>1</v>
      </c>
      <c r="G283" s="2">
        <v>0.75</v>
      </c>
    </row>
    <row r="284" spans="1:7">
      <c r="A284" s="1">
        <f>Sheet1!A290</f>
        <v>45615</v>
      </c>
      <c r="B284" s="2">
        <f>Sheet1!L290</f>
        <v>0</v>
      </c>
      <c r="C284" s="2">
        <f>Sheet1!F290</f>
        <v>0.000338096544894126</v>
      </c>
      <c r="D284" s="2">
        <f>Sheet1!G290</f>
        <v>0.0956813222050376</v>
      </c>
      <c r="E284" s="2">
        <f>Sheet1!AN290*MAX(B$2:B$318)/MAX(Sheet1!AN$8:AN$324)</f>
        <v>0.0165634747863128</v>
      </c>
      <c r="F284" s="2">
        <v>1</v>
      </c>
      <c r="G284" s="2">
        <v>0.75</v>
      </c>
    </row>
    <row r="285" spans="1:7">
      <c r="A285" s="1">
        <f>Sheet1!A291</f>
        <v>45616</v>
      </c>
      <c r="B285" s="2">
        <f>Sheet1!L291</f>
        <v>0</v>
      </c>
      <c r="C285" s="2">
        <f>Sheet1!F291</f>
        <v>0.000336906064102245</v>
      </c>
      <c r="D285" s="2">
        <f>Sheet1!G291</f>
        <v>0.0956813222050376</v>
      </c>
      <c r="E285" s="2">
        <f>Sheet1!AN291*MAX(B$2:B$318)/MAX(Sheet1!AN$8:AN$324)</f>
        <v>0.0165634747863128</v>
      </c>
      <c r="F285" s="2">
        <v>1</v>
      </c>
      <c r="G285" s="2">
        <v>0.75</v>
      </c>
    </row>
    <row r="286" spans="1:7">
      <c r="A286" s="1">
        <f>Sheet1!A292</f>
        <v>45617</v>
      </c>
      <c r="B286" s="2">
        <f>Sheet1!L292</f>
        <v>0</v>
      </c>
      <c r="C286" s="2">
        <f>Sheet1!F292</f>
        <v>0.000335723937561535</v>
      </c>
      <c r="D286" s="2">
        <f>Sheet1!G292</f>
        <v>0.0956813222050376</v>
      </c>
      <c r="E286" s="2">
        <f>Sheet1!AN292*MAX(B$2:B$318)/MAX(Sheet1!AN$8:AN$324)</f>
        <v>0.0165634747863128</v>
      </c>
      <c r="F286" s="2">
        <v>1</v>
      </c>
      <c r="G286" s="2">
        <v>0.75</v>
      </c>
    </row>
    <row r="287" spans="1:7">
      <c r="A287" s="1">
        <f>Sheet1!A293</f>
        <v>45618</v>
      </c>
      <c r="B287" s="2">
        <f>Sheet1!L293</f>
        <v>0</v>
      </c>
      <c r="C287" s="2">
        <f>Sheet1!F293</f>
        <v>0.000334550077639992</v>
      </c>
      <c r="D287" s="2">
        <f>Sheet1!G293</f>
        <v>0.0956813222050376</v>
      </c>
      <c r="E287" s="2">
        <f>Sheet1!AN293*MAX(B$2:B$318)/MAX(Sheet1!AN$8:AN$324)</f>
        <v>0.0165634747863128</v>
      </c>
      <c r="F287" s="2">
        <v>1</v>
      </c>
      <c r="G287" s="2">
        <v>0.75</v>
      </c>
    </row>
    <row r="288" spans="1:7">
      <c r="A288" s="1">
        <f>Sheet1!A294</f>
        <v>45619</v>
      </c>
      <c r="B288" s="2">
        <f>Sheet1!L294</f>
        <v>0.000925925925925926</v>
      </c>
      <c r="C288" s="2">
        <f>Sheet1!F294</f>
        <v>0.00033396410982527</v>
      </c>
      <c r="D288" s="2">
        <f>Sheet1!G294</f>
        <v>0.0958476995198524</v>
      </c>
      <c r="E288" s="2">
        <f>Sheet1!AN294*MAX(B$2:B$318)/MAX(Sheet1!AN$8:AN$324)</f>
        <v>0.0165634747863128</v>
      </c>
      <c r="F288" s="2">
        <v>1</v>
      </c>
      <c r="G288" s="2">
        <v>0.75</v>
      </c>
    </row>
    <row r="289" spans="1:7">
      <c r="A289" s="1">
        <f>Sheet1!A295</f>
        <v>45620</v>
      </c>
      <c r="B289" s="2">
        <f>Sheet1!L295</f>
        <v>0.0015993265993266</v>
      </c>
      <c r="C289" s="2">
        <f>Sheet1!F295</f>
        <v>0.000333802355965864</v>
      </c>
      <c r="D289" s="2">
        <f>Sheet1!G295</f>
        <v>0.0961350785181689</v>
      </c>
      <c r="E289" s="2">
        <f>Sheet1!AN295*MAX(B$2:B$318)/MAX(Sheet1!AN$8:AN$324)</f>
        <v>0.0165634747863128</v>
      </c>
      <c r="F289" s="2">
        <v>1</v>
      </c>
      <c r="G289" s="2">
        <v>0.75</v>
      </c>
    </row>
    <row r="290" spans="1:7">
      <c r="A290" s="1">
        <f>Sheet1!A296</f>
        <v>45621</v>
      </c>
      <c r="B290" s="2">
        <f>Sheet1!L296</f>
        <v>0</v>
      </c>
      <c r="C290" s="2">
        <f>Sheet1!F296</f>
        <v>0.000332647330512695</v>
      </c>
      <c r="D290" s="2">
        <f>Sheet1!G296</f>
        <v>0.0961350785181689</v>
      </c>
      <c r="E290" s="2">
        <f>Sheet1!AN296*MAX(B$2:B$318)/MAX(Sheet1!AN$8:AN$324)</f>
        <v>0.0165634747863128</v>
      </c>
      <c r="F290" s="2">
        <v>1</v>
      </c>
      <c r="G290" s="2">
        <v>0.75</v>
      </c>
    </row>
    <row r="291" spans="1:7">
      <c r="A291" s="1">
        <f>Sheet1!A297</f>
        <v>45622</v>
      </c>
      <c r="B291" s="2">
        <f>Sheet1!L297</f>
        <v>0</v>
      </c>
      <c r="C291" s="2">
        <f>Sheet1!F297</f>
        <v>0.000331500270752307</v>
      </c>
      <c r="D291" s="2">
        <f>Sheet1!G297</f>
        <v>0.0961350785181689</v>
      </c>
      <c r="E291" s="2">
        <f>Sheet1!AN297*MAX(B$2:B$318)/MAX(Sheet1!AN$8:AN$324)</f>
        <v>0.0165634747863128</v>
      </c>
      <c r="F291" s="2">
        <v>1</v>
      </c>
      <c r="G291" s="2">
        <v>0.75</v>
      </c>
    </row>
    <row r="292" spans="1:7">
      <c r="A292" s="1">
        <f>Sheet1!A298</f>
        <v>45623</v>
      </c>
      <c r="B292" s="2">
        <f>Sheet1!L298</f>
        <v>0</v>
      </c>
      <c r="C292" s="2">
        <f>Sheet1!F298</f>
        <v>0.000330361094564154</v>
      </c>
      <c r="D292" s="2">
        <f>Sheet1!G298</f>
        <v>0.0961350785181689</v>
      </c>
      <c r="E292" s="2">
        <f>Sheet1!AN298*MAX(B$2:B$318)/MAX(Sheet1!AN$8:AN$324)</f>
        <v>0.0165634747863128</v>
      </c>
      <c r="F292" s="2">
        <v>1</v>
      </c>
      <c r="G292" s="2">
        <v>0.75</v>
      </c>
    </row>
    <row r="293" spans="1:7">
      <c r="A293" s="1">
        <f>Sheet1!A299</f>
        <v>45624</v>
      </c>
      <c r="B293" s="2">
        <f>Sheet1!L299</f>
        <v>0</v>
      </c>
      <c r="C293" s="2">
        <f>Sheet1!F299</f>
        <v>0.000329229720952633</v>
      </c>
      <c r="D293" s="2">
        <f>Sheet1!G299</f>
        <v>0.0961350785181689</v>
      </c>
      <c r="E293" s="2">
        <f>Sheet1!AN299*MAX(B$2:B$318)/MAX(Sheet1!AN$8:AN$324)</f>
        <v>0.0165634747863128</v>
      </c>
      <c r="F293" s="2">
        <v>1</v>
      </c>
      <c r="G293" s="2">
        <v>0.75</v>
      </c>
    </row>
    <row r="294" spans="1:7">
      <c r="A294" s="1">
        <f>Sheet1!A300</f>
        <v>45625</v>
      </c>
      <c r="B294" s="2">
        <f>Sheet1!L300</f>
        <v>0</v>
      </c>
      <c r="C294" s="2">
        <f>Sheet1!F300</f>
        <v>0.00032810607002788</v>
      </c>
      <c r="D294" s="2">
        <f>Sheet1!G300</f>
        <v>0.0961350785181689</v>
      </c>
      <c r="E294" s="2">
        <f>Sheet1!AN300*MAX(B$2:B$318)/MAX(Sheet1!AN$8:AN$324)</f>
        <v>0.0165634747863128</v>
      </c>
      <c r="F294" s="2">
        <v>1</v>
      </c>
      <c r="G294" s="2">
        <v>0.75</v>
      </c>
    </row>
    <row r="295" spans="1:7">
      <c r="A295" s="1">
        <f>Sheet1!A301</f>
        <v>45626</v>
      </c>
      <c r="B295" s="2">
        <f>Sheet1!L301</f>
        <v>8.41750841750842e-5</v>
      </c>
      <c r="C295" s="2">
        <f>Sheet1!F301</f>
        <v>0.000327041509280975</v>
      </c>
      <c r="D295" s="2">
        <f>Sheet1!G301</f>
        <v>0.0961502037286066</v>
      </c>
      <c r="E295" s="2">
        <f>Sheet1!AN301*MAX(B$2:B$318)/MAX(Sheet1!AN$8:AN$324)</f>
        <v>0.0165634747863128</v>
      </c>
      <c r="F295" s="2">
        <v>1</v>
      </c>
      <c r="G295" s="2">
        <v>0.75</v>
      </c>
    </row>
    <row r="296" spans="1:7">
      <c r="A296" s="1">
        <f>Sheet1!A302</f>
        <v>45627</v>
      </c>
      <c r="B296" s="2">
        <f>Sheet1!L302</f>
        <v>0.000673400673400674</v>
      </c>
      <c r="C296" s="2">
        <f>Sheet1!F302</f>
        <v>0.000326360902897862</v>
      </c>
      <c r="D296" s="2">
        <f>Sheet1!G302</f>
        <v>0.0962764663548692</v>
      </c>
      <c r="E296" s="2">
        <f>Sheet1!AN302*MAX(B$2:B$318)/MAX(Sheet1!AN$8:AN$324)</f>
        <v>0.0165634747863128</v>
      </c>
      <c r="F296" s="2">
        <v>1</v>
      </c>
      <c r="G296" s="2">
        <v>0.75</v>
      </c>
    </row>
    <row r="297" spans="1:7">
      <c r="A297" s="1">
        <f>Sheet1!A303</f>
        <v>45628</v>
      </c>
      <c r="B297" s="2">
        <f>Sheet1!L303</f>
        <v>0.00126262626262626</v>
      </c>
      <c r="C297" s="2">
        <f>Sheet1!F303</f>
        <v>0.000326058137767269</v>
      </c>
      <c r="D297" s="2">
        <f>Sheet1!G303</f>
        <v>0.0965132087791117</v>
      </c>
      <c r="E297" s="2">
        <f>Sheet1!AN303*MAX(B$2:B$318)/MAX(Sheet1!AN$8:AN$324)</f>
        <v>0.0165634747863128</v>
      </c>
      <c r="F297" s="2">
        <v>1</v>
      </c>
      <c r="G297" s="2">
        <v>0.75</v>
      </c>
    </row>
    <row r="298" spans="1:7">
      <c r="A298" s="1">
        <f>Sheet1!A304</f>
        <v>45629</v>
      </c>
      <c r="B298" s="2">
        <f>Sheet1!L304</f>
        <v>0.000841750841750842</v>
      </c>
      <c r="C298" s="2">
        <f>Sheet1!F304</f>
        <v>0.000325491707279259</v>
      </c>
      <c r="D298" s="2">
        <f>Sheet1!G304</f>
        <v>0.09667103706194</v>
      </c>
      <c r="E298" s="2">
        <f>Sheet1!AN304*MAX(B$2:B$318)/MAX(Sheet1!AN$8:AN$324)</f>
        <v>0.0165634747863128</v>
      </c>
      <c r="F298" s="2">
        <v>1</v>
      </c>
      <c r="G298" s="2">
        <v>0.75</v>
      </c>
    </row>
    <row r="299" spans="1:7">
      <c r="A299" s="1">
        <f>Sheet1!A305</f>
        <v>45630</v>
      </c>
      <c r="B299" s="2">
        <f>Sheet1!L305</f>
        <v>8.41750841750842e-5</v>
      </c>
      <c r="C299" s="2">
        <f>Sheet1!F305</f>
        <v>0.000324452415739003</v>
      </c>
      <c r="D299" s="2">
        <f>Sheet1!G305</f>
        <v>0.0966868198902228</v>
      </c>
      <c r="E299" s="2">
        <f>Sheet1!AN305*MAX(B$2:B$318)/MAX(Sheet1!AN$8:AN$324)</f>
        <v>0.0165634747863128</v>
      </c>
      <c r="F299" s="2">
        <v>1</v>
      </c>
      <c r="G299" s="2">
        <v>0.75</v>
      </c>
    </row>
    <row r="300" spans="1:7">
      <c r="A300" s="1">
        <f>Sheet1!A306</f>
        <v>45631</v>
      </c>
      <c r="B300" s="2">
        <f>Sheet1!L306</f>
        <v>0</v>
      </c>
      <c r="C300" s="2">
        <f>Sheet1!F306</f>
        <v>0.000323367290602752</v>
      </c>
      <c r="D300" s="2">
        <f>Sheet1!G306</f>
        <v>0.0966868198902228</v>
      </c>
      <c r="E300" s="2">
        <f>Sheet1!AN306*MAX(B$2:B$318)/MAX(Sheet1!AN$8:AN$324)</f>
        <v>0.0165634747863128</v>
      </c>
      <c r="F300" s="2">
        <v>1</v>
      </c>
      <c r="G300" s="2">
        <v>0.75</v>
      </c>
    </row>
    <row r="301" spans="1:7">
      <c r="A301" s="1">
        <f>Sheet1!A307</f>
        <v>45632</v>
      </c>
      <c r="B301" s="2">
        <f>Sheet1!L307</f>
        <v>0</v>
      </c>
      <c r="C301" s="2">
        <f>Sheet1!F307</f>
        <v>0.000322289399634076</v>
      </c>
      <c r="D301" s="2">
        <f>Sheet1!G307</f>
        <v>0.0966868198902228</v>
      </c>
      <c r="E301" s="2">
        <f>Sheet1!AN307*MAX(B$2:B$318)/MAX(Sheet1!AN$8:AN$324)</f>
        <v>0.0165634747863128</v>
      </c>
      <c r="F301" s="2">
        <v>1</v>
      </c>
      <c r="G301" s="2">
        <v>0.75</v>
      </c>
    </row>
    <row r="302" spans="1:7">
      <c r="A302" s="1">
        <f>Sheet1!A308</f>
        <v>45633</v>
      </c>
      <c r="B302" s="2">
        <f>Sheet1!L308</f>
        <v>0.000757575757575758</v>
      </c>
      <c r="C302" s="2">
        <f>Sheet1!F308</f>
        <v>0.000321690582540758</v>
      </c>
      <c r="D302" s="2">
        <f>Sheet1!G308</f>
        <v>0.0968288653447683</v>
      </c>
      <c r="E302" s="2">
        <f>Sheet1!AN308*MAX(B$2:B$318)/MAX(Sheet1!AN$8:AN$324)</f>
        <v>0.0165634747863128</v>
      </c>
      <c r="F302" s="2">
        <v>1</v>
      </c>
      <c r="G302" s="2">
        <v>0.75</v>
      </c>
    </row>
    <row r="303" spans="1:7">
      <c r="A303" s="1">
        <f>Sheet1!A309</f>
        <v>45634</v>
      </c>
      <c r="B303" s="2">
        <f>Sheet1!L309</f>
        <v>0.00143097643097643</v>
      </c>
      <c r="C303" s="2">
        <f>Sheet1!F309</f>
        <v>0.000321513819289988</v>
      </c>
      <c r="D303" s="2">
        <f>Sheet1!G309</f>
        <v>0.0970971734255764</v>
      </c>
      <c r="E303" s="2">
        <f>Sheet1!AN309*MAX(B$2:B$318)/MAX(Sheet1!AN$8:AN$324)</f>
        <v>0.0165634747863128</v>
      </c>
      <c r="F303" s="2">
        <v>1</v>
      </c>
      <c r="G303" s="2">
        <v>0.75</v>
      </c>
    </row>
    <row r="304" spans="1:7">
      <c r="A304" s="1">
        <f>Sheet1!A310</f>
        <v>45635</v>
      </c>
      <c r="B304" s="2">
        <f>Sheet1!L310</f>
        <v>0.00109427609427609</v>
      </c>
      <c r="C304" s="2">
        <f>Sheet1!F310</f>
        <v>0.000321129868624598</v>
      </c>
      <c r="D304" s="2">
        <f>Sheet1!G310</f>
        <v>0.0973023501932531</v>
      </c>
      <c r="E304" s="2">
        <f>Sheet1!AN310*MAX(B$2:B$318)/MAX(Sheet1!AN$8:AN$324)</f>
        <v>0.0165634747863128</v>
      </c>
      <c r="F304" s="2">
        <v>1</v>
      </c>
      <c r="G304" s="2">
        <v>0.75</v>
      </c>
    </row>
    <row r="305" spans="1:7">
      <c r="A305" s="1">
        <f>Sheet1!A311</f>
        <v>45636</v>
      </c>
      <c r="B305" s="2">
        <f>Sheet1!L311</f>
        <v>0.00101010101010101</v>
      </c>
      <c r="C305" s="2">
        <f>Sheet1!F311</f>
        <v>0.000320696526752128</v>
      </c>
      <c r="D305" s="2">
        <f>Sheet1!G311</f>
        <v>0.0974917441326471</v>
      </c>
      <c r="E305" s="2">
        <f>Sheet1!AN311*MAX(B$2:B$318)/MAX(Sheet1!AN$8:AN$324)</f>
        <v>0.0165634747863128</v>
      </c>
      <c r="F305" s="2">
        <v>1</v>
      </c>
      <c r="G305" s="2">
        <v>0.75</v>
      </c>
    </row>
    <row r="306" spans="1:7">
      <c r="A306" s="1">
        <f>Sheet1!A312</f>
        <v>45637</v>
      </c>
      <c r="B306" s="2">
        <f>Sheet1!L312</f>
        <v>0.00117845117845118</v>
      </c>
      <c r="C306" s="2">
        <f>Sheet1!F312</f>
        <v>0.000320369520421661</v>
      </c>
      <c r="D306" s="2">
        <f>Sheet1!G312</f>
        <v>0.0977127037286066</v>
      </c>
      <c r="E306" s="2">
        <f>Sheet1!AN312*MAX(B$2:B$318)/MAX(Sheet1!AN$8:AN$324)</f>
        <v>0.0165634747863128</v>
      </c>
      <c r="F306" s="2">
        <v>1</v>
      </c>
      <c r="G306" s="2">
        <v>0.75</v>
      </c>
    </row>
    <row r="307" spans="1:7">
      <c r="A307" s="1">
        <f>Sheet1!A313</f>
        <v>45638</v>
      </c>
      <c r="B307" s="2">
        <f>Sheet1!L313</f>
        <v>0.00109427609427609</v>
      </c>
      <c r="C307" s="2">
        <f>Sheet1!F313</f>
        <v>0.000319993073517266</v>
      </c>
      <c r="D307" s="2">
        <f>Sheet1!G313</f>
        <v>0.0979178804962834</v>
      </c>
      <c r="E307" s="2">
        <f>Sheet1!AN313*MAX(B$2:B$318)/MAX(Sheet1!AN$8:AN$324)</f>
        <v>0.0165634747863128</v>
      </c>
      <c r="F307" s="2">
        <v>1</v>
      </c>
      <c r="G307" s="2">
        <v>0.75</v>
      </c>
    </row>
    <row r="308" spans="1:7">
      <c r="A308" s="1">
        <f>Sheet1!A314</f>
        <v>45639</v>
      </c>
      <c r="B308" s="2">
        <f>Sheet1!L314</f>
        <v>0</v>
      </c>
      <c r="C308" s="2">
        <f>Sheet1!F314</f>
        <v>0.000318950750802226</v>
      </c>
      <c r="D308" s="2">
        <f>Sheet1!G314</f>
        <v>0.0979178804962834</v>
      </c>
      <c r="E308" s="2">
        <f>Sheet1!AN314*MAX(B$2:B$318)/MAX(Sheet1!AN$8:AN$324)</f>
        <v>0.0165634747863128</v>
      </c>
      <c r="F308" s="2">
        <v>1</v>
      </c>
      <c r="G308" s="2">
        <v>0.75</v>
      </c>
    </row>
    <row r="309" spans="1:7">
      <c r="A309" s="1">
        <f>Sheet1!A315</f>
        <v>45640</v>
      </c>
      <c r="B309" s="2">
        <f>Sheet1!L315</f>
        <v>0.000757575757575758</v>
      </c>
      <c r="C309" s="2">
        <f>Sheet1!F315</f>
        <v>0.000318376382957237</v>
      </c>
      <c r="D309" s="2">
        <f>Sheet1!G315</f>
        <v>0.0980599259508289</v>
      </c>
      <c r="E309" s="2">
        <f>Sheet1!AN315*MAX(B$2:B$318)/MAX(Sheet1!AN$8:AN$324)</f>
        <v>0.0165634747863128</v>
      </c>
      <c r="F309" s="2">
        <v>1</v>
      </c>
      <c r="G309" s="2">
        <v>0.75</v>
      </c>
    </row>
    <row r="310" spans="1:7">
      <c r="A310" s="1">
        <f>Sheet1!A316</f>
        <v>45641</v>
      </c>
      <c r="B310" s="2">
        <f>Sheet1!L316</f>
        <v>0</v>
      </c>
      <c r="C310" s="2">
        <f>Sheet1!F316</f>
        <v>0.000317346038675822</v>
      </c>
      <c r="D310" s="2">
        <f>Sheet1!G316</f>
        <v>0.0980599259508289</v>
      </c>
      <c r="E310" s="2">
        <f>Sheet1!AN316*MAX(B$2:B$318)/MAX(Sheet1!AN$8:AN$324)</f>
        <v>0.0165634747863128</v>
      </c>
      <c r="F310" s="2">
        <v>1</v>
      </c>
      <c r="G310" s="2">
        <v>0.75</v>
      </c>
    </row>
    <row r="311" spans="1:7">
      <c r="A311" s="1">
        <f>Sheet1!A317</f>
        <v>45642</v>
      </c>
      <c r="B311" s="2">
        <f>Sheet1!L317</f>
        <v>0</v>
      </c>
      <c r="C311" s="2">
        <f>Sheet1!F317</f>
        <v>0.000316322341776867</v>
      </c>
      <c r="D311" s="2">
        <f>Sheet1!G317</f>
        <v>0.0980599259508289</v>
      </c>
      <c r="E311" s="2">
        <f>Sheet1!AN317*MAX(B$2:B$318)/MAX(Sheet1!AN$8:AN$324)</f>
        <v>0.0165634747863128</v>
      </c>
      <c r="F311" s="2">
        <v>1</v>
      </c>
      <c r="G311" s="2">
        <v>0.75</v>
      </c>
    </row>
    <row r="312" spans="1:7">
      <c r="A312" s="1">
        <f>Sheet1!A318</f>
        <v>45643</v>
      </c>
      <c r="B312" s="2">
        <f>Sheet1!L318</f>
        <v>0</v>
      </c>
      <c r="C312" s="2">
        <f>Sheet1!F318</f>
        <v>0.000315305228137713</v>
      </c>
      <c r="D312" s="2">
        <f>Sheet1!G318</f>
        <v>0.0980599259508289</v>
      </c>
      <c r="E312" s="2">
        <f>Sheet1!AN318*MAX(B$2:B$318)/MAX(Sheet1!AN$8:AN$324)</f>
        <v>0.0165634747863128</v>
      </c>
      <c r="F312" s="2">
        <v>1</v>
      </c>
      <c r="G312" s="2">
        <v>0.75</v>
      </c>
    </row>
    <row r="313" spans="1:7">
      <c r="A313" s="1">
        <f>Sheet1!A319</f>
        <v>45644</v>
      </c>
      <c r="B313" s="2">
        <f>Sheet1!L319</f>
        <v>0</v>
      </c>
      <c r="C313" s="2">
        <f>Sheet1!F319</f>
        <v>0.000314294634457785</v>
      </c>
      <c r="D313" s="2">
        <f>Sheet1!G319</f>
        <v>0.0980599259508289</v>
      </c>
      <c r="E313" s="2">
        <f>Sheet1!AN319*MAX(B$2:B$318)/MAX(Sheet1!AN$8:AN$324)</f>
        <v>0.0165634747863128</v>
      </c>
      <c r="F313" s="2">
        <v>1</v>
      </c>
      <c r="G313" s="2">
        <v>0.75</v>
      </c>
    </row>
    <row r="314" spans="1:7">
      <c r="A314" s="1">
        <f>Sheet1!A320</f>
        <v>45645</v>
      </c>
      <c r="B314" s="2">
        <f>Sheet1!L320</f>
        <v>0</v>
      </c>
      <c r="C314" s="2">
        <f>Sheet1!F320</f>
        <v>0.00031329049824546</v>
      </c>
      <c r="D314" s="2">
        <f>Sheet1!G320</f>
        <v>0.0980599259508289</v>
      </c>
      <c r="E314" s="2">
        <f>Sheet1!AN320*MAX(B$2:B$318)/MAX(Sheet1!AN$8:AN$324)</f>
        <v>0.0165634747863128</v>
      </c>
      <c r="F314" s="2">
        <v>1</v>
      </c>
      <c r="G314" s="2">
        <v>0.75</v>
      </c>
    </row>
    <row r="315" spans="1:7">
      <c r="A315" s="1">
        <f>Sheet1!A321</f>
        <v>45646</v>
      </c>
      <c r="B315" s="2">
        <f>Sheet1!L321</f>
        <v>0</v>
      </c>
      <c r="C315" s="2">
        <f>Sheet1!F321</f>
        <v>0.000312292757805187</v>
      </c>
      <c r="D315" s="2">
        <f>Sheet1!G321</f>
        <v>0.0980599259508289</v>
      </c>
      <c r="E315" s="2">
        <f>Sheet1!AN321*MAX(B$2:B$318)/MAX(Sheet1!AN$8:AN$324)</f>
        <v>0.0165634747863128</v>
      </c>
      <c r="F315" s="2">
        <v>1</v>
      </c>
      <c r="G315" s="2">
        <v>0.75</v>
      </c>
    </row>
    <row r="316" spans="1:7">
      <c r="A316" s="1">
        <f>Sheet1!A322</f>
        <v>45647</v>
      </c>
      <c r="B316" s="2">
        <f>Sheet1!L322</f>
        <v>0.000168350168350168</v>
      </c>
      <c r="C316" s="2">
        <f>Sheet1!F322</f>
        <v>0.000311401560658395</v>
      </c>
      <c r="D316" s="2">
        <f>Sheet1!G322</f>
        <v>0.0980914916073945</v>
      </c>
      <c r="E316" s="2">
        <f>Sheet1!AN322*MAX(B$2:B$318)/MAX(Sheet1!AN$8:AN$324)</f>
        <v>0.0165634747863128</v>
      </c>
      <c r="F316" s="2">
        <v>1</v>
      </c>
      <c r="G316" s="2">
        <v>0.75</v>
      </c>
    </row>
    <row r="317" spans="1:7">
      <c r="A317" s="1">
        <f>Sheet1!A323</f>
        <v>45648</v>
      </c>
      <c r="B317" s="2">
        <f>Sheet1!L323</f>
        <v>8.41750841750842e-5</v>
      </c>
      <c r="C317" s="2">
        <f>Sheet1!F323</f>
        <v>0.000310466058340751</v>
      </c>
      <c r="D317" s="2">
        <f>Sheet1!G323</f>
        <v>0.0981072744356773</v>
      </c>
      <c r="E317" s="2">
        <f>Sheet1!AN323*MAX(B$2:B$318)/MAX(Sheet1!AN$8:AN$324)</f>
        <v>0.0165634747863128</v>
      </c>
      <c r="F317" s="2">
        <v>1</v>
      </c>
      <c r="G317" s="2">
        <v>0.75</v>
      </c>
    </row>
    <row r="318" spans="1:7">
      <c r="A318" s="1">
        <f>Sheet1!A324</f>
        <v>45649</v>
      </c>
      <c r="B318" s="2">
        <f>Sheet1!L324</f>
        <v>0</v>
      </c>
      <c r="C318" s="2">
        <f>Sheet1!F324</f>
        <v>0.000309486670144093</v>
      </c>
      <c r="D318" s="2">
        <f>Sheet1!G324</f>
        <v>0.0981072744356773</v>
      </c>
      <c r="E318" s="2">
        <f>Sheet1!AN324*MAX(B$2:B$318)/MAX(Sheet1!AN$8:AN$324)</f>
        <v>0.0165634747863128</v>
      </c>
      <c r="F318" s="2">
        <v>1</v>
      </c>
      <c r="G318" s="2">
        <v>0.75</v>
      </c>
    </row>
    <row r="319" customFormat="1" spans="1:7">
      <c r="A319" s="1">
        <f>Sheet1!A325</f>
        <v>45650</v>
      </c>
      <c r="B319" s="2">
        <f>Sheet1!L325</f>
        <v>0</v>
      </c>
      <c r="C319" s="2">
        <f>Sheet1!F325</f>
        <v>0.000308513441621627</v>
      </c>
      <c r="D319" s="2">
        <f>Sheet1!G325</f>
        <v>0.0981072744356773</v>
      </c>
      <c r="E319" s="2">
        <f>Sheet1!AN325*MAX(B$2:B$318)/MAX(Sheet1!AN$8:AN$324)</f>
        <v>0.0165634747863128</v>
      </c>
      <c r="F319" s="2">
        <v>1</v>
      </c>
      <c r="G319" s="2">
        <v>0.75</v>
      </c>
    </row>
    <row r="320" customFormat="1" spans="1:7">
      <c r="A320" s="1">
        <f>Sheet1!A326</f>
        <v>45651</v>
      </c>
      <c r="B320" s="2">
        <f>Sheet1!L326</f>
        <v>0</v>
      </c>
      <c r="C320" s="2">
        <f>Sheet1!F326</f>
        <v>0.000307546314845384</v>
      </c>
      <c r="D320" s="2">
        <f>Sheet1!G326</f>
        <v>0.0981072744356773</v>
      </c>
      <c r="E320" s="2">
        <f>Sheet1!AN326*MAX(B$2:B$318)/MAX(Sheet1!AN$8:AN$324)</f>
        <v>0.0165634747863128</v>
      </c>
      <c r="F320" s="2">
        <v>1</v>
      </c>
      <c r="G320" s="2">
        <v>0.75</v>
      </c>
    </row>
    <row r="321" spans="1:7">
      <c r="A321" s="1">
        <f>Sheet1!A327</f>
        <v>45652</v>
      </c>
      <c r="B321" s="2">
        <f>Sheet1!L327</f>
        <v>0</v>
      </c>
      <c r="C321" s="2">
        <f>Sheet1!F327</f>
        <v>0.000306585232611492</v>
      </c>
      <c r="D321" s="2">
        <f>Sheet1!G327</f>
        <v>0.0981072744356773</v>
      </c>
      <c r="E321" s="2">
        <f>Sheet1!AN327*MAX(B$2:B$318)/MAX(Sheet1!AN$8:AN$324)</f>
        <v>0.0165634747863128</v>
      </c>
      <c r="F321" s="2">
        <v>1</v>
      </c>
      <c r="G321" s="2">
        <v>0.75</v>
      </c>
    </row>
    <row r="322" spans="1:7">
      <c r="A322" s="1">
        <f>Sheet1!A328</f>
        <v>45653</v>
      </c>
      <c r="B322" s="2">
        <f>Sheet1!L328</f>
        <v>0</v>
      </c>
      <c r="C322" s="2">
        <f>Sheet1!F328</f>
        <v>0.000305630138428901</v>
      </c>
      <c r="D322" s="2">
        <f>Sheet1!G328</f>
        <v>0.0981072744356773</v>
      </c>
      <c r="E322" s="2">
        <f>Sheet1!AN328*MAX(B$2:B$318)/MAX(Sheet1!AN$8:AN$324)</f>
        <v>0.0165634747863128</v>
      </c>
      <c r="F322" s="2">
        <v>1</v>
      </c>
      <c r="G322" s="2">
        <v>0.75</v>
      </c>
    </row>
    <row r="323" spans="1:7">
      <c r="A323" s="1">
        <f>Sheet1!A329</f>
        <v>45654</v>
      </c>
      <c r="B323" s="2">
        <f>Sheet1!L329</f>
        <v>0</v>
      </c>
      <c r="C323" s="2">
        <f>Sheet1!F329</f>
        <v>0.000304680976508315</v>
      </c>
      <c r="D323" s="2">
        <f>Sheet1!G329</f>
        <v>0.0981072744356773</v>
      </c>
      <c r="E323" s="2">
        <f>Sheet1!AN329*MAX(B$2:B$318)/MAX(Sheet1!AN$8:AN$324)</f>
        <v>0.0165634747863128</v>
      </c>
      <c r="F323" s="2">
        <v>1</v>
      </c>
      <c r="G323" s="2">
        <v>0.75</v>
      </c>
    </row>
    <row r="324" spans="1:7">
      <c r="A324" s="1">
        <f>Sheet1!A330</f>
        <v>45655</v>
      </c>
      <c r="B324" s="2">
        <f>Sheet1!L330</f>
        <v>0</v>
      </c>
      <c r="C324" s="2">
        <f>Sheet1!F330</f>
        <v>0.000303737691751323</v>
      </c>
      <c r="D324" s="2">
        <f>Sheet1!G330</f>
        <v>0.0981072744356773</v>
      </c>
      <c r="E324" s="2">
        <f>Sheet1!AN330*MAX(B$2:B$318)/MAX(Sheet1!AN$8:AN$324)</f>
        <v>0.0165634747863128</v>
      </c>
      <c r="F324" s="2">
        <v>1</v>
      </c>
      <c r="G324" s="2">
        <v>0.75</v>
      </c>
    </row>
    <row r="325" spans="1:7">
      <c r="A325" s="1">
        <f>Sheet1!A331</f>
        <v>45656</v>
      </c>
      <c r="B325" s="2">
        <f>Sheet1!L331</f>
        <v>0</v>
      </c>
      <c r="C325" s="2">
        <f>Sheet1!F331</f>
        <v>0.000302800229739745</v>
      </c>
      <c r="D325" s="2">
        <f>Sheet1!G331</f>
        <v>0.0981072744356773</v>
      </c>
      <c r="E325" s="2">
        <f>Sheet1!AN331*MAX(B$2:B$318)/MAX(Sheet1!AN$8:AN$324)</f>
        <v>0.0165634747863128</v>
      </c>
      <c r="F325" s="2">
        <v>1</v>
      </c>
      <c r="G325" s="2">
        <v>0.75</v>
      </c>
    </row>
    <row r="326" spans="1:7">
      <c r="A326" s="1">
        <f>Sheet1!A332</f>
        <v>45657</v>
      </c>
      <c r="B326" s="2">
        <f>Sheet1!L332</f>
        <v>0</v>
      </c>
      <c r="C326" s="2">
        <f>Sheet1!F332</f>
        <v>0.000301868536725161</v>
      </c>
      <c r="D326" s="2">
        <f>Sheet1!G332</f>
        <v>0.0981072744356773</v>
      </c>
      <c r="E326" s="2">
        <f>Sheet1!AN332*MAX(B$2:B$318)/MAX(Sheet1!AN$8:AN$324)</f>
        <v>0.0165634747863128</v>
      </c>
      <c r="F326" s="2">
        <v>1</v>
      </c>
      <c r="G326" s="2">
        <v>0.75</v>
      </c>
    </row>
    <row r="327" spans="1:7">
      <c r="A327" s="1">
        <f>Sheet1!A333</f>
        <v>45658</v>
      </c>
      <c r="B327" s="2">
        <f>Sheet1!L333</f>
        <v>0</v>
      </c>
      <c r="C327" s="2">
        <f>Sheet1!F333</f>
        <v>0.000303818326489808</v>
      </c>
      <c r="D327" s="2">
        <f>Sheet1!G333</f>
        <v>0.0990447744356773</v>
      </c>
      <c r="E327" s="2">
        <f>Sheet1!AN333*MAX(B$2:B$318)/MAX(Sheet1!AN$8:AN$324)</f>
        <v>0.0165634747863128</v>
      </c>
      <c r="F327" s="2">
        <v>1</v>
      </c>
      <c r="G327" s="2">
        <v>0.75</v>
      </c>
    </row>
    <row r="328" spans="1:7">
      <c r="A328" s="1">
        <f>Sheet1!A334</f>
        <v>45659</v>
      </c>
      <c r="B328" s="2">
        <f>Sheet1!L334</f>
        <v>0</v>
      </c>
      <c r="C328" s="2">
        <f>Sheet1!F334</f>
        <v>0.000305756190934793</v>
      </c>
      <c r="D328" s="2">
        <f>Sheet1!G334</f>
        <v>0.0999822744356773</v>
      </c>
      <c r="E328" s="2">
        <f>Sheet1!AN334*MAX(B$2:B$318)/MAX(Sheet1!AN$8:AN$324)</f>
        <v>0.0165634747863128</v>
      </c>
      <c r="F328" s="2">
        <v>1</v>
      </c>
      <c r="G328" s="2">
        <v>0.75</v>
      </c>
    </row>
    <row r="329" spans="1:7">
      <c r="A329" s="1">
        <f>Sheet1!A335</f>
        <v>45660</v>
      </c>
      <c r="B329" s="2">
        <f>Sheet1!L335</f>
        <v>0</v>
      </c>
      <c r="C329" s="2">
        <f>Sheet1!F335</f>
        <v>0.000307682239133163</v>
      </c>
      <c r="D329" s="2">
        <f>Sheet1!G335</f>
        <v>0.100919774435677</v>
      </c>
      <c r="E329" s="2">
        <f>Sheet1!AN335*MAX(B$2:B$318)/MAX(Sheet1!AN$8:AN$324)</f>
        <v>0.0165634747863128</v>
      </c>
      <c r="F329" s="2">
        <v>1</v>
      </c>
      <c r="G329" s="2">
        <v>0.75</v>
      </c>
    </row>
    <row r="330" spans="1:7">
      <c r="A330" s="1">
        <f>Sheet1!A336</f>
        <v>45661</v>
      </c>
      <c r="B330" s="2">
        <f>Sheet1!L336</f>
        <v>0</v>
      </c>
      <c r="C330" s="2">
        <f>Sheet1!F336</f>
        <v>0.000309596578831846</v>
      </c>
      <c r="D330" s="2">
        <f>Sheet1!G336</f>
        <v>0.101857274435677</v>
      </c>
      <c r="E330" s="2">
        <f>Sheet1!AN336*MAX(B$2:B$318)/MAX(Sheet1!AN$8:AN$324)</f>
        <v>0.0165634747863128</v>
      </c>
      <c r="F330" s="2">
        <v>1</v>
      </c>
      <c r="G330" s="2">
        <v>0.75</v>
      </c>
    </row>
    <row r="331" spans="1:7">
      <c r="A331" s="1">
        <f>Sheet1!A337</f>
        <v>45662</v>
      </c>
      <c r="B331" s="2">
        <f>Sheet1!L337</f>
        <v>0</v>
      </c>
      <c r="C331" s="2">
        <f>Sheet1!F337</f>
        <v>0.000311499316471749</v>
      </c>
      <c r="D331" s="2">
        <f>Sheet1!G337</f>
        <v>0.102794774435677</v>
      </c>
      <c r="E331" s="2">
        <f>Sheet1!AN337*MAX(B$2:B$318)/MAX(Sheet1!AN$8:AN$324)</f>
        <v>0.0165634747863128</v>
      </c>
      <c r="F331" s="2">
        <v>1</v>
      </c>
      <c r="G331" s="2">
        <v>0.75</v>
      </c>
    </row>
    <row r="332" spans="1:7">
      <c r="A332" s="1">
        <f>Sheet1!A338</f>
        <v>45663</v>
      </c>
      <c r="B332" s="2">
        <f>Sheet1!L338</f>
        <v>0</v>
      </c>
      <c r="C332" s="2">
        <f>Sheet1!F338</f>
        <v>0.000313390557207484</v>
      </c>
      <c r="D332" s="2">
        <f>Sheet1!G338</f>
        <v>0.103732274435677</v>
      </c>
      <c r="E332" s="2">
        <f>Sheet1!AN338*MAX(B$2:B$318)/MAX(Sheet1!AN$8:AN$324)</f>
        <v>0.0165634747863128</v>
      </c>
      <c r="F332" s="2">
        <v>1</v>
      </c>
      <c r="G332" s="2">
        <v>0.75</v>
      </c>
    </row>
    <row r="333" spans="1:7">
      <c r="A333" s="1">
        <f>Sheet1!A339</f>
        <v>45664</v>
      </c>
      <c r="B333" s="2">
        <f>Sheet1!L339</f>
        <v>0</v>
      </c>
      <c r="C333" s="2">
        <f>Sheet1!F339</f>
        <v>0.000315270404926739</v>
      </c>
      <c r="D333" s="2">
        <f>Sheet1!G339</f>
        <v>0.104669774435677</v>
      </c>
      <c r="E333" s="2">
        <f>Sheet1!AN339*MAX(B$2:B$318)/MAX(Sheet1!AN$8:AN$324)</f>
        <v>0.0165634747863128</v>
      </c>
      <c r="F333" s="2">
        <v>1</v>
      </c>
      <c r="G333" s="2">
        <v>0.75</v>
      </c>
    </row>
    <row r="334" spans="1:7">
      <c r="A334" s="1">
        <f>Sheet1!A340</f>
        <v>45665</v>
      </c>
      <c r="B334" s="2">
        <f>Sheet1!L340</f>
        <v>0</v>
      </c>
      <c r="C334" s="2">
        <f>Sheet1!F340</f>
        <v>0.000317138962269301</v>
      </c>
      <c r="D334" s="2">
        <f>Sheet1!G340</f>
        <v>0.105607274435677</v>
      </c>
      <c r="E334" s="2">
        <f>Sheet1!AN340*MAX(B$2:B$318)/MAX(Sheet1!AN$8:AN$324)</f>
        <v>0.0165634747863128</v>
      </c>
      <c r="F334" s="2">
        <v>1</v>
      </c>
      <c r="G334" s="2">
        <v>0.75</v>
      </c>
    </row>
    <row r="335" spans="1:7">
      <c r="A335" s="1">
        <f>Sheet1!A341</f>
        <v>45666</v>
      </c>
      <c r="B335" s="2">
        <f>Sheet1!L341</f>
        <v>0</v>
      </c>
      <c r="C335" s="2">
        <f>Sheet1!F341</f>
        <v>0.000318996330645741</v>
      </c>
      <c r="D335" s="2">
        <f>Sheet1!G341</f>
        <v>0.106544774435677</v>
      </c>
      <c r="E335" s="2">
        <f>Sheet1!AN341*MAX(B$2:B$318)/MAX(Sheet1!AN$8:AN$324)</f>
        <v>0.0165634747863128</v>
      </c>
      <c r="F335" s="2">
        <v>1</v>
      </c>
      <c r="G335" s="2">
        <v>0.75</v>
      </c>
    </row>
    <row r="336" spans="1:7">
      <c r="A336" s="1">
        <f>Sheet1!A342</f>
        <v>45667</v>
      </c>
      <c r="B336" s="2">
        <f>Sheet1!L342</f>
        <v>0</v>
      </c>
      <c r="C336" s="2">
        <f>Sheet1!F342</f>
        <v>0.000320842610255753</v>
      </c>
      <c r="D336" s="2">
        <f>Sheet1!G342</f>
        <v>0.107482274435677</v>
      </c>
      <c r="E336" s="2">
        <f>Sheet1!AN342*MAX(B$2:B$318)/MAX(Sheet1!AN$8:AN$324)</f>
        <v>0.0165634747863128</v>
      </c>
      <c r="F336" s="2">
        <v>1</v>
      </c>
      <c r="G336" s="2">
        <v>0.75</v>
      </c>
    </row>
    <row r="337" spans="1:7">
      <c r="A337" s="1">
        <f>Sheet1!A343</f>
        <v>45668</v>
      </c>
      <c r="B337" s="2">
        <f>Sheet1!L343</f>
        <v>0</v>
      </c>
      <c r="C337" s="2">
        <f>Sheet1!F343</f>
        <v>0.000322677900106183</v>
      </c>
      <c r="D337" s="2">
        <f>Sheet1!G343</f>
        <v>0.108419774435677</v>
      </c>
      <c r="E337" s="2">
        <f>Sheet1!AN343*MAX(B$2:B$318)/MAX(Sheet1!AN$8:AN$324)</f>
        <v>0.0165634747863128</v>
      </c>
      <c r="F337" s="2">
        <v>1</v>
      </c>
      <c r="G337" s="2">
        <v>0.75</v>
      </c>
    </row>
    <row r="338" spans="1:7">
      <c r="A338" s="1">
        <f>Sheet1!A344</f>
        <v>45669</v>
      </c>
      <c r="B338" s="2">
        <f>Sheet1!L344</f>
        <v>0</v>
      </c>
      <c r="C338" s="2">
        <f>Sheet1!F344</f>
        <v>0.000324502298028716</v>
      </c>
      <c r="D338" s="2">
        <f>Sheet1!G344</f>
        <v>0.109357274435677</v>
      </c>
      <c r="E338" s="2">
        <f>Sheet1!AN344*MAX(B$2:B$318)/MAX(Sheet1!AN$8:AN$324)</f>
        <v>0.0165634747863128</v>
      </c>
      <c r="F338" s="2">
        <v>1</v>
      </c>
      <c r="G338" s="2">
        <v>0.75</v>
      </c>
    </row>
    <row r="339" spans="1:7">
      <c r="A339" s="1">
        <f>Sheet1!A345</f>
        <v>45670</v>
      </c>
      <c r="B339" s="2">
        <f>Sheet1!L345</f>
        <v>0</v>
      </c>
      <c r="C339" s="2">
        <f>Sheet1!F345</f>
        <v>0.00032631590069727</v>
      </c>
      <c r="D339" s="2">
        <f>Sheet1!G345</f>
        <v>0.110294774435677</v>
      </c>
      <c r="E339" s="2">
        <f>Sheet1!AN345*MAX(B$2:B$318)/MAX(Sheet1!AN$8:AN$324)</f>
        <v>0.0165634747863128</v>
      </c>
      <c r="F339" s="2">
        <v>1</v>
      </c>
      <c r="G339" s="2">
        <v>0.75</v>
      </c>
    </row>
    <row r="340" spans="1:7">
      <c r="A340" s="1">
        <f>Sheet1!A346</f>
        <v>45671</v>
      </c>
      <c r="B340" s="2">
        <f>Sheet1!L346</f>
        <v>0</v>
      </c>
      <c r="C340" s="2">
        <f>Sheet1!F346</f>
        <v>0.000328118803645066</v>
      </c>
      <c r="D340" s="2">
        <f>Sheet1!G346</f>
        <v>0.111232274435677</v>
      </c>
      <c r="E340" s="2">
        <f>Sheet1!AN346*MAX(B$2:B$318)/MAX(Sheet1!AN$8:AN$324)</f>
        <v>0.0165634747863128</v>
      </c>
      <c r="F340" s="2">
        <v>1</v>
      </c>
      <c r="G340" s="2">
        <v>0.75</v>
      </c>
    </row>
    <row r="341" spans="1:7">
      <c r="A341" s="1">
        <f>Sheet1!A347</f>
        <v>45672</v>
      </c>
      <c r="B341" s="2">
        <f>Sheet1!L347</f>
        <v>0</v>
      </c>
      <c r="C341" s="2">
        <f>Sheet1!F347</f>
        <v>0.000329911101281404</v>
      </c>
      <c r="D341" s="2">
        <f>Sheet1!G347</f>
        <v>0.112169774435677</v>
      </c>
      <c r="E341" s="2">
        <f>Sheet1!AN347*MAX(B$2:B$318)/MAX(Sheet1!AN$8:AN$324)</f>
        <v>0.0165634747863128</v>
      </c>
      <c r="F341" s="2">
        <v>1</v>
      </c>
      <c r="G341" s="2">
        <v>0.75</v>
      </c>
    </row>
    <row r="342" spans="1:7">
      <c r="A342" s="1">
        <f>Sheet1!A348</f>
        <v>45673</v>
      </c>
      <c r="B342" s="2">
        <f>Sheet1!L348</f>
        <v>0</v>
      </c>
      <c r="C342" s="2">
        <f>Sheet1!F348</f>
        <v>0.000331692886908145</v>
      </c>
      <c r="D342" s="2">
        <f>Sheet1!G348</f>
        <v>0.113107274435677</v>
      </c>
      <c r="E342" s="2">
        <f>Sheet1!AN348*MAX(B$2:B$318)/MAX(Sheet1!AN$8:AN$324)</f>
        <v>0.0165634747863128</v>
      </c>
      <c r="F342" s="2">
        <v>1</v>
      </c>
      <c r="G342" s="2">
        <v>0.75</v>
      </c>
    </row>
    <row r="343" spans="1:7">
      <c r="A343" s="1">
        <f>Sheet1!A349</f>
        <v>45674</v>
      </c>
      <c r="B343" s="2">
        <f>Sheet1!L349</f>
        <v>0</v>
      </c>
      <c r="C343" s="2">
        <f>Sheet1!F349</f>
        <v>0.000333464252735899</v>
      </c>
      <c r="D343" s="2">
        <f>Sheet1!G349</f>
        <v>0.114044774435677</v>
      </c>
      <c r="E343" s="2">
        <f>Sheet1!AN349*MAX(B$2:B$318)/MAX(Sheet1!AN$8:AN$324)</f>
        <v>0.0165634747863128</v>
      </c>
      <c r="F343" s="2">
        <v>1</v>
      </c>
      <c r="G343" s="2">
        <v>0.75</v>
      </c>
    </row>
    <row r="344" spans="1:7">
      <c r="A344" s="1">
        <f>Sheet1!A350</f>
        <v>45675</v>
      </c>
      <c r="B344" s="2">
        <f>Sheet1!L350</f>
        <v>0</v>
      </c>
      <c r="C344" s="2">
        <f>Sheet1!F350</f>
        <v>0.000335225289899934</v>
      </c>
      <c r="D344" s="2">
        <f>Sheet1!G350</f>
        <v>0.114982274435677</v>
      </c>
      <c r="E344" s="2">
        <f>Sheet1!AN350*MAX(B$2:B$318)/MAX(Sheet1!AN$8:AN$324)</f>
        <v>0.0165634747863128</v>
      </c>
      <c r="F344" s="2">
        <v>1</v>
      </c>
      <c r="G344" s="2">
        <v>0.75</v>
      </c>
    </row>
    <row r="345" spans="1:7">
      <c r="A345" s="1">
        <f>Sheet1!A351</f>
        <v>45676</v>
      </c>
      <c r="B345" s="2">
        <f>Sheet1!L351</f>
        <v>0</v>
      </c>
      <c r="C345" s="2">
        <f>Sheet1!F351</f>
        <v>0.000336976088475806</v>
      </c>
      <c r="D345" s="2">
        <f>Sheet1!G351</f>
        <v>0.115919774435677</v>
      </c>
      <c r="E345" s="2">
        <f>Sheet1!AN351*MAX(B$2:B$318)/MAX(Sheet1!AN$8:AN$324)</f>
        <v>0.0165634747863128</v>
      </c>
      <c r="F345" s="2">
        <v>1</v>
      </c>
      <c r="G345" s="2">
        <v>0.75</v>
      </c>
    </row>
    <row r="346" spans="1:7">
      <c r="A346" s="1">
        <f>Sheet1!A352</f>
        <v>45677</v>
      </c>
      <c r="B346" s="2">
        <f>Sheet1!L352</f>
        <v>0</v>
      </c>
      <c r="C346" s="2">
        <f>Sheet1!F352</f>
        <v>0.000338716737494717</v>
      </c>
      <c r="D346" s="2">
        <f>Sheet1!G352</f>
        <v>0.116857274435677</v>
      </c>
      <c r="E346" s="2">
        <f>Sheet1!AN352*MAX(B$2:B$318)/MAX(Sheet1!AN$8:AN$324)</f>
        <v>0.0165634747863128</v>
      </c>
      <c r="F346" s="2">
        <v>1</v>
      </c>
      <c r="G346" s="2">
        <v>0.75</v>
      </c>
    </row>
    <row r="347" spans="1:7">
      <c r="A347" s="1">
        <f>Sheet1!A353</f>
        <v>45678</v>
      </c>
      <c r="B347" s="2">
        <f>Sheet1!L353</f>
        <v>0</v>
      </c>
      <c r="C347" s="2">
        <f>Sheet1!F353</f>
        <v>0.000340447324958605</v>
      </c>
      <c r="D347" s="2">
        <f>Sheet1!G353</f>
        <v>0.117794774435677</v>
      </c>
      <c r="E347" s="2">
        <f>Sheet1!AN353*MAX(B$2:B$318)/MAX(Sheet1!AN$8:AN$324)</f>
        <v>0.0165634747863128</v>
      </c>
      <c r="F347" s="2">
        <v>1</v>
      </c>
      <c r="G347" s="2">
        <v>0.75</v>
      </c>
    </row>
    <row r="348" spans="1:7">
      <c r="A348" s="1">
        <f>Sheet1!A354</f>
        <v>45679</v>
      </c>
      <c r="B348" s="2">
        <f>Sheet1!L354</f>
        <v>0</v>
      </c>
      <c r="C348" s="2">
        <f>Sheet1!F354</f>
        <v>0.000342167937854978</v>
      </c>
      <c r="D348" s="2">
        <f>Sheet1!G354</f>
        <v>0.118732274435677</v>
      </c>
      <c r="E348" s="2">
        <f>Sheet1!AN354*MAX(B$2:B$318)/MAX(Sheet1!AN$8:AN$324)</f>
        <v>0.0165634747863128</v>
      </c>
      <c r="F348" s="2">
        <v>1</v>
      </c>
      <c r="G348" s="2">
        <v>0.75</v>
      </c>
    </row>
    <row r="349" spans="1:7">
      <c r="A349" s="1">
        <f>Sheet1!A355</f>
        <v>45680</v>
      </c>
      <c r="B349" s="2">
        <f>Sheet1!L355</f>
        <v>0</v>
      </c>
      <c r="C349" s="2">
        <f>Sheet1!F355</f>
        <v>0.000343878662171487</v>
      </c>
      <c r="D349" s="2">
        <f>Sheet1!G355</f>
        <v>0.119669774435677</v>
      </c>
      <c r="E349" s="2">
        <f>Sheet1!AN355*MAX(B$2:B$318)/MAX(Sheet1!AN$8:AN$324)</f>
        <v>0.0165634747863128</v>
      </c>
      <c r="F349" s="2">
        <v>1</v>
      </c>
      <c r="G349" s="2">
        <v>0.75</v>
      </c>
    </row>
    <row r="350" spans="1:7">
      <c r="A350" s="1">
        <f>Sheet1!A356</f>
        <v>45681</v>
      </c>
      <c r="B350" s="2">
        <f>Sheet1!L356</f>
        <v>0</v>
      </c>
      <c r="C350" s="2">
        <f>Sheet1!F356</f>
        <v>0.00034557958291025</v>
      </c>
      <c r="D350" s="2">
        <f>Sheet1!G356</f>
        <v>0.120607274435677</v>
      </c>
      <c r="E350" s="2">
        <f>Sheet1!AN356*MAX(B$2:B$318)/MAX(Sheet1!AN$8:AN$324)</f>
        <v>0.0165634747863128</v>
      </c>
      <c r="F350" s="2">
        <v>1</v>
      </c>
      <c r="G350" s="2">
        <v>0.75</v>
      </c>
    </row>
    <row r="351" spans="1:7">
      <c r="A351" s="1">
        <f>Sheet1!A357</f>
        <v>45682</v>
      </c>
      <c r="B351" s="2">
        <f>Sheet1!L357</f>
        <v>0</v>
      </c>
      <c r="C351" s="2">
        <f>Sheet1!F357</f>
        <v>0.000347270784101935</v>
      </c>
      <c r="D351" s="2">
        <f>Sheet1!G357</f>
        <v>0.121544774435677</v>
      </c>
      <c r="E351" s="2">
        <f>Sheet1!AN357*MAX(B$2:B$318)/MAX(Sheet1!AN$8:AN$324)</f>
        <v>0.0165634747863128</v>
      </c>
      <c r="F351" s="2">
        <v>1</v>
      </c>
      <c r="G351" s="2">
        <v>0.75</v>
      </c>
    </row>
    <row r="352" spans="1:7">
      <c r="A352" s="1">
        <f>Sheet1!A358</f>
        <v>45683</v>
      </c>
      <c r="B352" s="2">
        <f>Sheet1!L358</f>
        <v>0</v>
      </c>
      <c r="C352" s="2">
        <f>Sheet1!F358</f>
        <v>0.000348952348819594</v>
      </c>
      <c r="D352" s="2">
        <f>Sheet1!G358</f>
        <v>0.122482274435677</v>
      </c>
      <c r="E352" s="2">
        <f>Sheet1!AN358*MAX(B$2:B$318)/MAX(Sheet1!AN$8:AN$324)</f>
        <v>0.0165634747863128</v>
      </c>
      <c r="F352" s="2">
        <v>1</v>
      </c>
      <c r="G352" s="2">
        <v>0.75</v>
      </c>
    </row>
    <row r="353" spans="1:7">
      <c r="A353" s="1">
        <f>Sheet1!A359</f>
        <v>45684</v>
      </c>
      <c r="B353" s="2">
        <f>Sheet1!L359</f>
        <v>0</v>
      </c>
      <c r="C353" s="2">
        <f>Sheet1!F359</f>
        <v>0.000350624359192265</v>
      </c>
      <c r="D353" s="2">
        <f>Sheet1!G359</f>
        <v>0.123419774435677</v>
      </c>
      <c r="E353" s="2">
        <f>Sheet1!AN359*MAX(B$2:B$318)/MAX(Sheet1!AN$8:AN$324)</f>
        <v>0.0165634747863128</v>
      </c>
      <c r="F353" s="2">
        <v>1</v>
      </c>
      <c r="G353" s="2">
        <v>0.75</v>
      </c>
    </row>
    <row r="354" spans="1:7">
      <c r="A354" s="1">
        <f>Sheet1!A360</f>
        <v>45685</v>
      </c>
      <c r="B354" s="2">
        <f>Sheet1!L360</f>
        <v>0</v>
      </c>
      <c r="C354" s="2">
        <f>Sheet1!F360</f>
        <v>0.000352286896418349</v>
      </c>
      <c r="D354" s="2">
        <f>Sheet1!G360</f>
        <v>0.124357274435677</v>
      </c>
      <c r="E354" s="2">
        <f>Sheet1!AN360*MAX(B$2:B$318)/MAX(Sheet1!AN$8:AN$324)</f>
        <v>0.0165634747863128</v>
      </c>
      <c r="F354" s="2">
        <v>1</v>
      </c>
      <c r="G354" s="2">
        <v>0.75</v>
      </c>
    </row>
    <row r="355" spans="1:7">
      <c r="A355" s="1">
        <f>Sheet1!A361</f>
        <v>45686</v>
      </c>
      <c r="B355" s="2">
        <f>Sheet1!L361</f>
        <v>0</v>
      </c>
      <c r="C355" s="2">
        <f>Sheet1!F361</f>
        <v>0.00035394004077875</v>
      </c>
      <c r="D355" s="2">
        <f>Sheet1!G361</f>
        <v>0.125294774435677</v>
      </c>
      <c r="E355" s="2">
        <f>Sheet1!AN361*MAX(B$2:B$318)/MAX(Sheet1!AN$8:AN$324)</f>
        <v>0.0165634747863128</v>
      </c>
      <c r="F355" s="2">
        <v>1</v>
      </c>
      <c r="G355" s="2">
        <v>0.75</v>
      </c>
    </row>
    <row r="356" spans="1:7">
      <c r="A356" s="1">
        <f>Sheet1!A362</f>
        <v>45687</v>
      </c>
      <c r="B356" s="2">
        <f>Sheet1!L362</f>
        <v>0</v>
      </c>
      <c r="C356" s="2">
        <f>Sheet1!F362</f>
        <v>0.000355583871649795</v>
      </c>
      <c r="D356" s="2">
        <f>Sheet1!G362</f>
        <v>0.126232274435677</v>
      </c>
      <c r="E356" s="2">
        <f>Sheet1!AN362*MAX(B$2:B$318)/MAX(Sheet1!AN$8:AN$324)</f>
        <v>0.0165634747863128</v>
      </c>
      <c r="F356" s="2">
        <v>1</v>
      </c>
      <c r="G356" s="2">
        <v>0.75</v>
      </c>
    </row>
    <row r="357" spans="1:7">
      <c r="A357" s="1">
        <f>Sheet1!A363</f>
        <v>45688</v>
      </c>
      <c r="B357" s="2">
        <f>Sheet1!L363</f>
        <v>0</v>
      </c>
      <c r="C357" s="2">
        <f>Sheet1!F363</f>
        <v>0.000357218467515948</v>
      </c>
      <c r="D357" s="2">
        <f>Sheet1!G363</f>
        <v>0.127169774435677</v>
      </c>
      <c r="E357" s="2">
        <f>Sheet1!AN363*MAX(B$2:B$318)/MAX(Sheet1!AN$8:AN$324)</f>
        <v>0.0165634747863128</v>
      </c>
      <c r="F357" s="2">
        <v>1</v>
      </c>
      <c r="G357" s="2">
        <v>0.75</v>
      </c>
    </row>
    <row r="358" spans="1:7">
      <c r="A358" s="1">
        <f>Sheet1!A364</f>
        <v>45689</v>
      </c>
      <c r="B358" s="2">
        <f>Sheet1!L364</f>
        <v>0</v>
      </c>
      <c r="C358" s="2">
        <f>Sheet1!F364</f>
        <v>0.000358843905982289</v>
      </c>
      <c r="D358" s="2">
        <f>Sheet1!G364</f>
        <v>0.128107274435677</v>
      </c>
      <c r="E358" s="2">
        <f>Sheet1!AN364*MAX(B$2:B$318)/MAX(Sheet1!AN$8:AN$324)</f>
        <v>0.0165634747863128</v>
      </c>
      <c r="F358" s="2">
        <v>1</v>
      </c>
      <c r="G358" s="2">
        <v>0.75</v>
      </c>
    </row>
    <row r="359" spans="1:7">
      <c r="A359" s="1">
        <f>Sheet1!A365</f>
        <v>45690</v>
      </c>
      <c r="B359" s="2">
        <f>Sheet1!L365</f>
        <v>0.00053787878787879</v>
      </c>
      <c r="C359" s="2">
        <f>Sheet1!F365</f>
        <v>0.000360765449900741</v>
      </c>
      <c r="D359" s="2">
        <f>Sheet1!G365</f>
        <v>0.129154031064465</v>
      </c>
      <c r="E359" s="2">
        <f>Sheet1!AN365*MAX(B$2:B$318)/MAX(Sheet1!AN$8:AN$324)</f>
        <v>0.0165634747863128</v>
      </c>
      <c r="F359" s="2">
        <v>1</v>
      </c>
      <c r="G359" s="2">
        <v>0.75</v>
      </c>
    </row>
    <row r="360" spans="1:7">
      <c r="A360" s="1">
        <f>Sheet1!A366</f>
        <v>45691</v>
      </c>
      <c r="B360" s="2">
        <f>Sheet1!L366</f>
        <v>0.00071969696969697</v>
      </c>
      <c r="C360" s="2">
        <f>Sheet1!F366</f>
        <v>0.000362779162984498</v>
      </c>
      <c r="D360" s="2">
        <f>Sheet1!G366</f>
        <v>0.130237719511435</v>
      </c>
      <c r="E360" s="2">
        <f>Sheet1!AN366*MAX(B$2:B$318)/MAX(Sheet1!AN$8:AN$324)</f>
        <v>0.0165634747863128</v>
      </c>
      <c r="F360" s="2">
        <v>1</v>
      </c>
      <c r="G360" s="2">
        <v>0.75</v>
      </c>
    </row>
    <row r="361" spans="1:7">
      <c r="A361" s="1">
        <f>Sheet1!A367</f>
        <v>45692</v>
      </c>
      <c r="B361" s="2">
        <f>Sheet1!L367</f>
        <v>0.000707070707070707</v>
      </c>
      <c r="C361" s="2">
        <f>Sheet1!F367</f>
        <v>0.000364774564580024</v>
      </c>
      <c r="D361" s="2">
        <f>Sheet1!G367</f>
        <v>0.131318843248809</v>
      </c>
      <c r="E361" s="2">
        <f>Sheet1!AN367*MAX(B$2:B$318)/MAX(Sheet1!AN$8:AN$324)</f>
        <v>0.0165634747863128</v>
      </c>
      <c r="F361" s="2">
        <v>1</v>
      </c>
      <c r="G361" s="2">
        <v>0.75</v>
      </c>
    </row>
    <row r="362" spans="1:7">
      <c r="A362" s="1">
        <f>Sheet1!A368</f>
        <v>45693</v>
      </c>
      <c r="B362" s="2">
        <f>Sheet1!L368</f>
        <v>0.000645202020202022</v>
      </c>
      <c r="C362" s="2">
        <f>Sheet1!F368</f>
        <v>0.000366724099471363</v>
      </c>
      <c r="D362" s="2">
        <f>Sheet1!G368</f>
        <v>0.132387399909162</v>
      </c>
      <c r="E362" s="2">
        <f>Sheet1!AN368*MAX(B$2:B$318)/MAX(Sheet1!AN$8:AN$324)</f>
        <v>0.0165634747863128</v>
      </c>
      <c r="F362" s="2">
        <v>1</v>
      </c>
      <c r="G362" s="2">
        <v>0.75</v>
      </c>
    </row>
    <row r="363" spans="1:7">
      <c r="A363" s="1">
        <f>Sheet1!A369</f>
        <v>45694</v>
      </c>
      <c r="B363" s="2">
        <f>Sheet1!L369</f>
        <v>0.000606060606060606</v>
      </c>
      <c r="C363" s="2">
        <f>Sheet1!F369</f>
        <v>0.000368640900468973</v>
      </c>
      <c r="D363" s="2">
        <f>Sheet1!G369</f>
        <v>0.133448005969768</v>
      </c>
      <c r="E363" s="2">
        <f>Sheet1!AN369*MAX(B$2:B$318)/MAX(Sheet1!AN$8:AN$324)</f>
        <v>0.0165634747863128</v>
      </c>
      <c r="F363" s="2">
        <v>1</v>
      </c>
      <c r="G363" s="2">
        <v>0.75</v>
      </c>
    </row>
    <row r="364" spans="1:7">
      <c r="A364" s="1">
        <f>Sheet1!A370</f>
        <v>45695</v>
      </c>
      <c r="B364" s="2">
        <f>Sheet1!L370</f>
        <v>0.000606060606060606</v>
      </c>
      <c r="C364" s="2">
        <f>Sheet1!F370</f>
        <v>0.000370547140579544</v>
      </c>
      <c r="D364" s="2">
        <f>Sheet1!G370</f>
        <v>0.134508612030374</v>
      </c>
      <c r="E364" s="2">
        <f>Sheet1!AN370*MAX(B$2:B$318)/MAX(Sheet1!AN$8:AN$324)</f>
        <v>0.0165634747863128</v>
      </c>
      <c r="F364" s="2">
        <v>1</v>
      </c>
      <c r="G364" s="2">
        <v>0.75</v>
      </c>
    </row>
    <row r="365" spans="1:7">
      <c r="A365" s="1">
        <f>Sheet1!A371</f>
        <v>45696</v>
      </c>
      <c r="B365" s="2">
        <f>Sheet1!L371</f>
        <v>0.000606060606060606</v>
      </c>
      <c r="C365" s="2">
        <f>Sheet1!F371</f>
        <v>0.000372442906843353</v>
      </c>
      <c r="D365" s="2">
        <f>Sheet1!G371</f>
        <v>0.13556921809098</v>
      </c>
      <c r="E365" s="2">
        <f>Sheet1!AN371*MAX(B$2:B$318)/MAX(Sheet1!AN$8:AN$324)</f>
        <v>0.0165634747863128</v>
      </c>
      <c r="F365" s="2">
        <v>1</v>
      </c>
      <c r="G365" s="2">
        <v>0.75</v>
      </c>
    </row>
    <row r="366" spans="1:7">
      <c r="A366" s="1">
        <f>Sheet1!A372</f>
        <v>45697</v>
      </c>
      <c r="B366" s="2">
        <f>Sheet1!L372</f>
        <v>0.000606060606060606</v>
      </c>
      <c r="C366" s="2">
        <f>Sheet1!F372</f>
        <v>0.000374328285346812</v>
      </c>
      <c r="D366" s="2">
        <f>Sheet1!G372</f>
        <v>0.136629824151586</v>
      </c>
      <c r="E366" s="2">
        <f>Sheet1!AN372*MAX(B$2:B$318)/MAX(Sheet1!AN$8:AN$324)</f>
        <v>0.0165634747863128</v>
      </c>
      <c r="F366" s="2">
        <v>1</v>
      </c>
      <c r="G366" s="2">
        <v>0.75</v>
      </c>
    </row>
    <row r="367" spans="1:7">
      <c r="A367" s="1">
        <f>Sheet1!A373</f>
        <v>45698</v>
      </c>
      <c r="B367" s="2">
        <f>Sheet1!L373</f>
        <v>0.000606060606060606</v>
      </c>
      <c r="C367" s="2">
        <f>Sheet1!F373</f>
        <v>0.000376203361235499</v>
      </c>
      <c r="D367" s="2">
        <f>Sheet1!G373</f>
        <v>0.137690430212193</v>
      </c>
      <c r="E367" s="2">
        <f>Sheet1!AN373*MAX(B$2:B$318)/MAX(Sheet1!AN$8:AN$324)</f>
        <v>0.0165634747863128</v>
      </c>
      <c r="F367" s="2">
        <v>1</v>
      </c>
      <c r="G367" s="2">
        <v>0.75</v>
      </c>
    </row>
    <row r="368" spans="1:7">
      <c r="A368" s="1">
        <f>Sheet1!A374</f>
        <v>45699</v>
      </c>
      <c r="B368" s="2">
        <f>Sheet1!L374</f>
        <v>0.00056818181818182</v>
      </c>
      <c r="C368" s="2">
        <f>Sheet1!F374</f>
        <v>0.000378047253798394</v>
      </c>
      <c r="D368" s="2">
        <f>Sheet1!G374</f>
        <v>0.138743342144011</v>
      </c>
      <c r="E368" s="2">
        <f>Sheet1!AN374*MAX(B$2:B$318)/MAX(Sheet1!AN$8:AN$324)</f>
        <v>0.0165634747863128</v>
      </c>
      <c r="F368" s="2">
        <v>1</v>
      </c>
      <c r="G368" s="2">
        <v>0.75</v>
      </c>
    </row>
    <row r="369" spans="1:7">
      <c r="A369" s="1">
        <f>Sheet1!A375</f>
        <v>45700</v>
      </c>
      <c r="B369" s="2">
        <f>Sheet1!L375</f>
        <v>0.000606060606060606</v>
      </c>
      <c r="C369" s="2">
        <f>Sheet1!F375</f>
        <v>0.00037990203316472</v>
      </c>
      <c r="D369" s="2">
        <f>Sheet1!G375</f>
        <v>0.139803948204617</v>
      </c>
      <c r="E369" s="2">
        <f>Sheet1!AN375*MAX(B$2:B$318)/MAX(Sheet1!AN$8:AN$324)</f>
        <v>0.0165634747863128</v>
      </c>
      <c r="F369" s="2">
        <v>1</v>
      </c>
      <c r="G369" s="2">
        <v>0.75</v>
      </c>
    </row>
    <row r="370" spans="1:7">
      <c r="A370" s="1">
        <f>Sheet1!A376</f>
        <v>45701</v>
      </c>
      <c r="B370" s="2">
        <f>Sheet1!L376</f>
        <v>0.000606060606060606</v>
      </c>
      <c r="C370" s="2">
        <f>Sheet1!F376</f>
        <v>0.000381746759526349</v>
      </c>
      <c r="D370" s="2">
        <f>Sheet1!G376</f>
        <v>0.140864554265223</v>
      </c>
      <c r="E370" s="2">
        <f>Sheet1!AN376*MAX(B$2:B$318)/MAX(Sheet1!AN$8:AN$324)</f>
        <v>0.0165634747863128</v>
      </c>
      <c r="F370" s="2">
        <v>1</v>
      </c>
      <c r="G370" s="2">
        <v>0.75</v>
      </c>
    </row>
    <row r="371" spans="1:7">
      <c r="A371" s="1">
        <f>Sheet1!A377</f>
        <v>45702</v>
      </c>
      <c r="B371" s="2">
        <f>Sheet1!L377</f>
        <v>0.0010719696969697</v>
      </c>
      <c r="C371" s="2">
        <f>Sheet1!F377</f>
        <v>0.000383837292188972</v>
      </c>
      <c r="D371" s="2">
        <f>Sheet1!G377</f>
        <v>0.14201979810992</v>
      </c>
      <c r="E371" s="2">
        <f>Sheet1!AN377*MAX(B$2:B$318)/MAX(Sheet1!AN$8:AN$324)</f>
        <v>0.0165634747863128</v>
      </c>
      <c r="F371" s="2">
        <v>1</v>
      </c>
      <c r="G371" s="2">
        <v>0.75</v>
      </c>
    </row>
    <row r="372" spans="1:7">
      <c r="A372" s="1">
        <f>Sheet1!A378</f>
        <v>45703</v>
      </c>
      <c r="B372" s="2">
        <f>Sheet1!L378</f>
        <v>0.000606060606060606</v>
      </c>
      <c r="C372" s="2">
        <f>Sheet1!F378</f>
        <v>0.000385661466766916</v>
      </c>
      <c r="D372" s="2">
        <f>Sheet1!G378</f>
        <v>0.143080404170526</v>
      </c>
      <c r="E372" s="2">
        <f>Sheet1!AN378*MAX(B$2:B$318)/MAX(Sheet1!AN$8:AN$324)</f>
        <v>0.0165634747863128</v>
      </c>
      <c r="F372" s="2">
        <v>1</v>
      </c>
      <c r="G372" s="2">
        <v>0.75</v>
      </c>
    </row>
    <row r="373" spans="1:7">
      <c r="A373" s="1">
        <f>Sheet1!A379</f>
        <v>45704</v>
      </c>
      <c r="B373" s="2">
        <f>Sheet1!L379</f>
        <v>0.000474747474747475</v>
      </c>
      <c r="C373" s="2">
        <f>Sheet1!F379</f>
        <v>0.000387404132396059</v>
      </c>
      <c r="D373" s="2">
        <f>Sheet1!G379</f>
        <v>0.144114337251334</v>
      </c>
      <c r="E373" s="2">
        <f>Sheet1!AN379*MAX(B$2:B$318)/MAX(Sheet1!AN$8:AN$324)</f>
        <v>0.0165634747863128</v>
      </c>
      <c r="F373" s="2">
        <v>1</v>
      </c>
      <c r="G373" s="2">
        <v>0.75</v>
      </c>
    </row>
    <row r="374" spans="1:7">
      <c r="A374" s="1">
        <f>Sheet1!A380</f>
        <v>45705</v>
      </c>
      <c r="B374" s="2">
        <f>Sheet1!L380</f>
        <v>0.00069318181818182</v>
      </c>
      <c r="C374" s="2">
        <f>Sheet1!F380</f>
        <v>0.000387044610745716</v>
      </c>
      <c r="D374" s="2">
        <f>Sheet1!G380</f>
        <v>0.144367639808152</v>
      </c>
      <c r="E374" s="2">
        <f>Sheet1!AN380*MAX(B$2:B$318)/MAX(Sheet1!AN$8:AN$324)</f>
        <v>0.0165634747863128</v>
      </c>
      <c r="F374" s="2">
        <v>1</v>
      </c>
      <c r="G374" s="2">
        <v>0.75</v>
      </c>
    </row>
    <row r="375" spans="1:7">
      <c r="A375" s="1">
        <f>Sheet1!A381</f>
        <v>45706</v>
      </c>
      <c r="B375" s="2">
        <f>Sheet1!L381</f>
        <v>0.000404040404040404</v>
      </c>
      <c r="C375" s="2">
        <f>Sheet1!F381</f>
        <v>0.000387131578917708</v>
      </c>
      <c r="D375" s="2">
        <f>Sheet1!G381</f>
        <v>0.144787210515223</v>
      </c>
      <c r="E375" s="2">
        <f>Sheet1!AN381*MAX(B$2:B$318)/MAX(Sheet1!AN$8:AN$324)</f>
        <v>0.0165634747863128</v>
      </c>
      <c r="F375" s="2">
        <v>1</v>
      </c>
      <c r="G375" s="2">
        <v>0.75</v>
      </c>
    </row>
    <row r="376" spans="1:7">
      <c r="A376" s="1">
        <f>Sheet1!A382</f>
        <v>45707</v>
      </c>
      <c r="B376" s="2">
        <f>Sheet1!L382</f>
        <v>0.000404040404040404</v>
      </c>
      <c r="C376" s="2">
        <f>Sheet1!F382</f>
        <v>0.00038631808325945</v>
      </c>
      <c r="D376" s="2">
        <f>Sheet1!G382</f>
        <v>0.144869281222294</v>
      </c>
      <c r="E376" s="2">
        <f>Sheet1!AN382*MAX(B$2:B$318)/MAX(Sheet1!AN$8:AN$324)</f>
        <v>0.0165634747863128</v>
      </c>
      <c r="F376" s="2">
        <v>1</v>
      </c>
      <c r="G376" s="2">
        <v>0.75</v>
      </c>
    </row>
    <row r="377" spans="1:7">
      <c r="A377" s="1">
        <f>Sheet1!A383</f>
        <v>45708</v>
      </c>
      <c r="B377" s="2">
        <f>Sheet1!L383</f>
        <v>0.000404040404040404</v>
      </c>
      <c r="C377" s="2">
        <f>Sheet1!F383</f>
        <v>0.000385508914705756</v>
      </c>
      <c r="D377" s="2">
        <f>Sheet1!G383</f>
        <v>0.144951351929364</v>
      </c>
      <c r="E377" s="2">
        <f>Sheet1!AN383*MAX(B$2:B$318)/MAX(Sheet1!AN$8:AN$324)</f>
        <v>0.0165634747863128</v>
      </c>
      <c r="F377" s="2">
        <v>1</v>
      </c>
      <c r="G377" s="2">
        <v>0.75</v>
      </c>
    </row>
    <row r="378" spans="1:7">
      <c r="A378" s="1">
        <f>Sheet1!A384</f>
        <v>45709</v>
      </c>
      <c r="B378" s="2">
        <f>Sheet1!L384</f>
        <v>0.000474747474747475</v>
      </c>
      <c r="C378" s="2">
        <f>Sheet1!F384</f>
        <v>0.000384742135305497</v>
      </c>
      <c r="D378" s="2">
        <f>Sheet1!G384</f>
        <v>0.145047785010172</v>
      </c>
      <c r="E378" s="2">
        <f>Sheet1!AN384*MAX(B$2:B$318)/MAX(Sheet1!AN$8:AN$324)</f>
        <v>0.0165634747863128</v>
      </c>
      <c r="F378" s="2">
        <v>1</v>
      </c>
      <c r="G378" s="2">
        <v>0.75</v>
      </c>
    </row>
    <row r="379" spans="1:7">
      <c r="A379" s="1">
        <f>Sheet1!A385</f>
        <v>45710</v>
      </c>
      <c r="B379" s="2">
        <f>Sheet1!L385</f>
        <v>0.000404040404040404</v>
      </c>
      <c r="C379" s="2">
        <f>Sheet1!F385</f>
        <v>0.000383941417241384</v>
      </c>
      <c r="D379" s="2">
        <f>Sheet1!G385</f>
        <v>0.145129855717243</v>
      </c>
      <c r="E379" s="2">
        <f>Sheet1!AN385*MAX(B$2:B$318)/MAX(Sheet1!AN$8:AN$324)</f>
        <v>0.0165634747863128</v>
      </c>
      <c r="F379" s="2">
        <v>1</v>
      </c>
      <c r="G379" s="2">
        <v>0.75</v>
      </c>
    </row>
    <row r="380" spans="1:7">
      <c r="A380" s="1">
        <f>Sheet1!A386</f>
        <v>45711</v>
      </c>
      <c r="B380" s="2">
        <f>Sheet1!L386</f>
        <v>0.000404040404040404</v>
      </c>
      <c r="C380" s="2">
        <f>Sheet1!F386</f>
        <v>0.000383144924602411</v>
      </c>
      <c r="D380" s="2">
        <f>Sheet1!G386</f>
        <v>0.145211926424314</v>
      </c>
      <c r="E380" s="2">
        <f>Sheet1!AN386*MAX(B$2:B$318)/MAX(Sheet1!AN$8:AN$324)</f>
        <v>0.0165634747863128</v>
      </c>
      <c r="F380" s="2">
        <v>1</v>
      </c>
      <c r="G380" s="2">
        <v>0.75</v>
      </c>
    </row>
    <row r="381" spans="1:7">
      <c r="A381" s="1">
        <f>Sheet1!A387</f>
        <v>45712</v>
      </c>
      <c r="B381" s="2">
        <f>Sheet1!L387</f>
        <v>0.000404040404040404</v>
      </c>
      <c r="C381" s="2">
        <f>Sheet1!F387</f>
        <v>0.000382352624029959</v>
      </c>
      <c r="D381" s="2">
        <f>Sheet1!G387</f>
        <v>0.145293997131384</v>
      </c>
      <c r="E381" s="2">
        <f>Sheet1!AN387*MAX(B$2:B$318)/MAX(Sheet1!AN$8:AN$324)</f>
        <v>0.0165634747863128</v>
      </c>
      <c r="F381" s="2">
        <v>1</v>
      </c>
      <c r="G381" s="2">
        <v>0.75</v>
      </c>
    </row>
    <row r="382" spans="1:7">
      <c r="A382" s="1">
        <f>Sheet1!A388</f>
        <v>45713</v>
      </c>
      <c r="B382" s="2">
        <f>Sheet1!L388</f>
        <v>0.000404040404040404</v>
      </c>
      <c r="C382" s="2">
        <f>Sheet1!F388</f>
        <v>0.00038156448251563</v>
      </c>
      <c r="D382" s="2">
        <f>Sheet1!G388</f>
        <v>0.145376067838455</v>
      </c>
      <c r="E382" s="2">
        <f>Sheet1!AN388*MAX(B$2:B$318)/MAX(Sheet1!AN$8:AN$324)</f>
        <v>0.0165634747863128</v>
      </c>
      <c r="F382" s="2">
        <v>1</v>
      </c>
      <c r="G382" s="2">
        <v>0.75</v>
      </c>
    </row>
    <row r="383" spans="1:7">
      <c r="A383" s="1">
        <f>Sheet1!A389</f>
        <v>45714</v>
      </c>
      <c r="B383" s="2">
        <f>Sheet1!L389</f>
        <v>0.000404040404040404</v>
      </c>
      <c r="C383" s="2">
        <f>Sheet1!F389</f>
        <v>0.000380780467396665</v>
      </c>
      <c r="D383" s="2">
        <f>Sheet1!G389</f>
        <v>0.145458138545526</v>
      </c>
      <c r="E383" s="2">
        <f>Sheet1!AN389*MAX(B$2:B$318)/MAX(Sheet1!AN$8:AN$324)</f>
        <v>0.0165634747863128</v>
      </c>
      <c r="F383" s="2">
        <v>1</v>
      </c>
      <c r="G383" s="2">
        <v>0.75</v>
      </c>
    </row>
    <row r="384" spans="1:7">
      <c r="A384" s="1">
        <f>Sheet1!A390</f>
        <v>45715</v>
      </c>
      <c r="B384" s="2">
        <f>Sheet1!L390</f>
        <v>0.000404040404040404</v>
      </c>
      <c r="C384" s="2">
        <f>Sheet1!F390</f>
        <v>0.000380000546351427</v>
      </c>
      <c r="D384" s="2">
        <f>Sheet1!G390</f>
        <v>0.145540209252597</v>
      </c>
      <c r="E384" s="2">
        <f>Sheet1!AN390*MAX(B$2:B$318)/MAX(Sheet1!AN$8:AN$324)</f>
        <v>0.0165634747863128</v>
      </c>
      <c r="F384" s="2">
        <v>1</v>
      </c>
      <c r="G384" s="2">
        <v>0.75</v>
      </c>
    </row>
    <row r="385" spans="1:7">
      <c r="A385" s="1">
        <f>Sheet1!A391</f>
        <v>45716</v>
      </c>
      <c r="B385" s="2">
        <f>Sheet1!L391</f>
        <v>0.000404040404040404</v>
      </c>
      <c r="C385" s="2">
        <f>Sheet1!F391</f>
        <v>0.000379224687394967</v>
      </c>
      <c r="D385" s="2">
        <f>Sheet1!G391</f>
        <v>0.145622279959667</v>
      </c>
      <c r="E385" s="2">
        <f>Sheet1!AN391*MAX(B$2:B$318)/MAX(Sheet1!AN$8:AN$324)</f>
        <v>0.0165634747863128</v>
      </c>
      <c r="F385" s="2">
        <v>1</v>
      </c>
      <c r="G385" s="2">
        <v>0.75</v>
      </c>
    </row>
    <row r="386" spans="1:7">
      <c r="A386" s="1">
        <f>Sheet1!A392</f>
        <v>45717</v>
      </c>
      <c r="B386" s="2">
        <f>Sheet1!L392</f>
        <v>0.000404040404040404</v>
      </c>
      <c r="C386" s="2">
        <f>Sheet1!F392</f>
        <v>0.00037846105774648</v>
      </c>
      <c r="D386" s="2">
        <f>Sheet1!G392</f>
        <v>0.145707507232395</v>
      </c>
      <c r="E386" s="2">
        <f>Sheet1!AN392*MAX(B$2:B$318)/MAX(Sheet1!AN$8:AN$324)</f>
        <v>0.0165634747863128</v>
      </c>
      <c r="F386" s="2">
        <v>1</v>
      </c>
      <c r="G386" s="2">
        <v>0.75</v>
      </c>
    </row>
    <row r="387" spans="1:7">
      <c r="A387" s="1">
        <f>Sheet1!A393</f>
        <v>45718</v>
      </c>
      <c r="B387" s="2">
        <f>Sheet1!L393</f>
        <v>0.000404040404040404</v>
      </c>
      <c r="C387" s="2">
        <f>Sheet1!F393</f>
        <v>0.000377701384728295</v>
      </c>
      <c r="D387" s="2">
        <f>Sheet1!G393</f>
        <v>0.145792734505122</v>
      </c>
      <c r="E387" s="2">
        <f>Sheet1!AN393*MAX(B$2:B$318)/MAX(Sheet1!AN$8:AN$324)</f>
        <v>0.0165634747863128</v>
      </c>
      <c r="F387" s="2">
        <v>1</v>
      </c>
      <c r="G387" s="2">
        <v>0.75</v>
      </c>
    </row>
    <row r="388" spans="1:7">
      <c r="A388" s="1">
        <f>Sheet1!A394</f>
        <v>45719</v>
      </c>
      <c r="B388" s="2">
        <f>Sheet1!L394</f>
        <v>0.000404040404040404</v>
      </c>
      <c r="C388" s="2">
        <f>Sheet1!F394</f>
        <v>0.000376945637668861</v>
      </c>
      <c r="D388" s="2">
        <f>Sheet1!G394</f>
        <v>0.145877961777849</v>
      </c>
      <c r="E388" s="2">
        <f>Sheet1!AN394*MAX(B$2:B$318)/MAX(Sheet1!AN$8:AN$324)</f>
        <v>0.0165634747863128</v>
      </c>
      <c r="F388" s="2">
        <v>1</v>
      </c>
      <c r="G388" s="2">
        <v>0.75</v>
      </c>
    </row>
    <row r="389" spans="1:7">
      <c r="A389" s="1">
        <f>Sheet1!A395</f>
        <v>45720</v>
      </c>
      <c r="B389" s="2">
        <f>Sheet1!L395</f>
        <v>0.000404040404040404</v>
      </c>
      <c r="C389" s="2">
        <f>Sheet1!F395</f>
        <v>0.000376193786212826</v>
      </c>
      <c r="D389" s="2">
        <f>Sheet1!G395</f>
        <v>0.145963189050576</v>
      </c>
      <c r="E389" s="2">
        <f>Sheet1!AN395*MAX(B$2:B$318)/MAX(Sheet1!AN$8:AN$324)</f>
        <v>0.0165634747863128</v>
      </c>
      <c r="F389" s="2">
        <v>1</v>
      </c>
      <c r="G389" s="2">
        <v>0.75</v>
      </c>
    </row>
    <row r="390" spans="1:7">
      <c r="A390" s="1">
        <f>Sheet1!A396</f>
        <v>45721</v>
      </c>
      <c r="B390" s="2">
        <f>Sheet1!L396</f>
        <v>0.000404040404040404</v>
      </c>
      <c r="C390" s="2">
        <f>Sheet1!F396</f>
        <v>0.000375445800316976</v>
      </c>
      <c r="D390" s="2">
        <f>Sheet1!G396</f>
        <v>0.146048416323304</v>
      </c>
      <c r="E390" s="2">
        <f>Sheet1!AN396*MAX(B$2:B$318)/MAX(Sheet1!AN$8:AN$324)</f>
        <v>0.0165634747863128</v>
      </c>
      <c r="F390" s="2">
        <v>1</v>
      </c>
      <c r="G390" s="2">
        <v>0.75</v>
      </c>
    </row>
    <row r="391" spans="1:7">
      <c r="A391" s="1">
        <f>Sheet1!A397</f>
        <v>45722</v>
      </c>
      <c r="B391" s="2">
        <f>Sheet1!L397</f>
        <v>0.000404040404040404</v>
      </c>
      <c r="C391" s="2">
        <f>Sheet1!F397</f>
        <v>0.000374701650246233</v>
      </c>
      <c r="D391" s="2">
        <f>Sheet1!G397</f>
        <v>0.146133643596031</v>
      </c>
      <c r="E391" s="2">
        <f>Sheet1!AN397*MAX(B$2:B$318)/MAX(Sheet1!AN$8:AN$324)</f>
        <v>0.0165634747863128</v>
      </c>
      <c r="F391" s="2">
        <v>1</v>
      </c>
      <c r="G391" s="2">
        <v>0.75</v>
      </c>
    </row>
    <row r="392" spans="1:7">
      <c r="A392" s="1">
        <f>Sheet1!A398</f>
        <v>45723</v>
      </c>
      <c r="B392" s="2">
        <f>Sheet1!L398</f>
        <v>0.000404040404040404</v>
      </c>
      <c r="C392" s="2">
        <f>Sheet1!F398</f>
        <v>0.000373961306569714</v>
      </c>
      <c r="D392" s="2">
        <f>Sheet1!G398</f>
        <v>0.146218870868758</v>
      </c>
      <c r="E392" s="2">
        <f>Sheet1!AN398*MAX(B$2:B$318)/MAX(Sheet1!AN$8:AN$324)</f>
        <v>0.0165634747863128</v>
      </c>
      <c r="F392" s="2">
        <v>1</v>
      </c>
      <c r="G392" s="2">
        <v>0.75</v>
      </c>
    </row>
    <row r="393" spans="1:7">
      <c r="A393" s="1">
        <f>Sheet1!A399</f>
        <v>45724</v>
      </c>
      <c r="B393" s="2">
        <f>Sheet1!L399</f>
        <v>0.000404040404040404</v>
      </c>
      <c r="C393" s="2">
        <f>Sheet1!F399</f>
        <v>0.000373224740156851</v>
      </c>
      <c r="D393" s="2">
        <f>Sheet1!G399</f>
        <v>0.146304098141486</v>
      </c>
      <c r="E393" s="2">
        <f>Sheet1!AN399*MAX(B$2:B$318)/MAX(Sheet1!AN$8:AN$324)</f>
        <v>0.0165634747863128</v>
      </c>
      <c r="F393" s="2">
        <v>1</v>
      </c>
      <c r="G393" s="2">
        <v>0.75</v>
      </c>
    </row>
    <row r="394" spans="1:7">
      <c r="A394" s="1">
        <f>Sheet1!A400</f>
        <v>45725</v>
      </c>
      <c r="B394" s="2">
        <f>Sheet1!L400</f>
        <v>0.000303030303030303</v>
      </c>
      <c r="C394" s="2">
        <f>Sheet1!F400</f>
        <v>0.000372437706351224</v>
      </c>
      <c r="D394" s="2">
        <f>Sheet1!G400</f>
        <v>0.146368018596031</v>
      </c>
      <c r="E394" s="2">
        <f>Sheet1!AN400*MAX(B$2:B$318)/MAX(Sheet1!AN$8:AN$324)</f>
        <v>0.0165634747863128</v>
      </c>
      <c r="F394" s="2">
        <v>1</v>
      </c>
      <c r="G394" s="2">
        <v>0.75</v>
      </c>
    </row>
    <row r="395" spans="1:7">
      <c r="A395" s="1">
        <f>Sheet1!A401</f>
        <v>45726</v>
      </c>
      <c r="B395" s="2">
        <f>Sheet1!L401</f>
        <v>0.000356902356902357</v>
      </c>
      <c r="C395" s="2">
        <f>Sheet1!F401</f>
        <v>0.000371683509357716</v>
      </c>
      <c r="D395" s="2">
        <f>Sheet1!G401</f>
        <v>0.14644330268694</v>
      </c>
      <c r="E395" s="2">
        <f>Sheet1!AN401*MAX(B$2:B$318)/MAX(Sheet1!AN$8:AN$324)</f>
        <v>0.0165634747863128</v>
      </c>
      <c r="F395" s="2">
        <v>1</v>
      </c>
      <c r="G395" s="2">
        <v>0.75</v>
      </c>
    </row>
    <row r="396" spans="1:7">
      <c r="A396" s="1">
        <f>Sheet1!A402</f>
        <v>45727</v>
      </c>
      <c r="B396" s="2">
        <f>Sheet1!L402</f>
        <v>0.000353535353535354</v>
      </c>
      <c r="C396" s="2">
        <f>Sheet1!F402</f>
        <v>0.000370931333039434</v>
      </c>
      <c r="D396" s="2">
        <f>Sheet1!G402</f>
        <v>0.146517876550576</v>
      </c>
      <c r="E396" s="2">
        <f>Sheet1!AN402*MAX(B$2:B$318)/MAX(Sheet1!AN$8:AN$324)</f>
        <v>0.0165634747863128</v>
      </c>
      <c r="F396" s="2">
        <v>1</v>
      </c>
      <c r="G396" s="2">
        <v>0.75</v>
      </c>
    </row>
    <row r="397" spans="1:7">
      <c r="A397" s="1">
        <f>Sheet1!A403</f>
        <v>45728</v>
      </c>
      <c r="B397" s="2">
        <f>Sheet1!L403</f>
        <v>0.000420875420875421</v>
      </c>
      <c r="C397" s="2">
        <f>Sheet1!F403</f>
        <v>0.000370218825655726</v>
      </c>
      <c r="D397" s="2">
        <f>Sheet1!G403</f>
        <v>0.146606654959667</v>
      </c>
      <c r="E397" s="2">
        <f>Sheet1!AN403*MAX(B$2:B$318)/MAX(Sheet1!AN$8:AN$324)</f>
        <v>0.0165634747863128</v>
      </c>
      <c r="F397" s="2">
        <v>1</v>
      </c>
      <c r="G397" s="2">
        <v>0.75</v>
      </c>
    </row>
    <row r="398" spans="1:7">
      <c r="A398" s="1">
        <f>Sheet1!A404</f>
        <v>45729</v>
      </c>
      <c r="B398" s="2">
        <f>Sheet1!L404</f>
        <v>0.000589225589225589</v>
      </c>
      <c r="C398" s="2">
        <f>Sheet1!F404</f>
        <v>0.000369599357008551</v>
      </c>
      <c r="D398" s="2">
        <f>Sheet1!G404</f>
        <v>0.146730944732395</v>
      </c>
      <c r="E398" s="2">
        <f>Sheet1!AN404*MAX(B$2:B$318)/MAX(Sheet1!AN$8:AN$324)</f>
        <v>0.0165634747863128</v>
      </c>
      <c r="F398" s="2">
        <v>1</v>
      </c>
      <c r="G398" s="2">
        <v>0.75</v>
      </c>
    </row>
    <row r="399" spans="1:7">
      <c r="A399" s="1">
        <f>Sheet1!A405</f>
        <v>45730</v>
      </c>
      <c r="B399" s="2">
        <f>Sheet1!L405</f>
        <v>0.000757575757575758</v>
      </c>
      <c r="C399" s="2">
        <f>Sheet1!F405</f>
        <v>0.0003690722258009</v>
      </c>
      <c r="D399" s="2">
        <f>Sheet1!G405</f>
        <v>0.146890745868758</v>
      </c>
      <c r="E399" s="2">
        <f>Sheet1!AN405*MAX(B$2:B$318)/MAX(Sheet1!AN$8:AN$324)</f>
        <v>0.0165634747863128</v>
      </c>
      <c r="F399" s="2">
        <v>1</v>
      </c>
      <c r="G399" s="2">
        <v>0.75</v>
      </c>
    </row>
    <row r="400" spans="1:7">
      <c r="A400" s="1">
        <f>Sheet1!A406</f>
        <v>45731</v>
      </c>
      <c r="B400" s="2">
        <f>Sheet1!L406</f>
        <v>0.000925925925925926</v>
      </c>
      <c r="C400" s="2">
        <f>Sheet1!F406</f>
        <v>0.000368636737766312</v>
      </c>
      <c r="D400" s="2">
        <f>Sheet1!G406</f>
        <v>0.147086058368758</v>
      </c>
      <c r="E400" s="2">
        <f>Sheet1!AN406*MAX(B$2:B$318)/MAX(Sheet1!AN$8:AN$324)</f>
        <v>0.0165634747863128</v>
      </c>
      <c r="F400" s="2">
        <v>1</v>
      </c>
      <c r="G400" s="2">
        <v>0.75</v>
      </c>
    </row>
    <row r="401" spans="1:7">
      <c r="A401" s="1">
        <f>Sheet1!A407</f>
        <v>45732</v>
      </c>
      <c r="B401" s="2">
        <f>Sheet1!L407</f>
        <v>0.000589225589225589</v>
      </c>
      <c r="C401" s="2">
        <f>Sheet1!F407</f>
        <v>0.000368025870353714</v>
      </c>
      <c r="D401" s="2">
        <f>Sheet1!G407</f>
        <v>0.147210348141486</v>
      </c>
      <c r="E401" s="2">
        <f>Sheet1!AN407*MAX(B$2:B$318)/MAX(Sheet1!AN$8:AN$324)</f>
        <v>0.0165634747863128</v>
      </c>
      <c r="F401" s="2">
        <v>1</v>
      </c>
      <c r="G401" s="2">
        <v>0.75</v>
      </c>
    </row>
    <row r="402" spans="1:7">
      <c r="A402" s="1">
        <f>Sheet1!A408</f>
        <v>45733</v>
      </c>
      <c r="B402" s="2">
        <f>Sheet1!L408</f>
        <v>0.000589225589225589</v>
      </c>
      <c r="C402" s="2">
        <f>Sheet1!F408</f>
        <v>0.000367418049661379</v>
      </c>
      <c r="D402" s="2">
        <f>Sheet1!G408</f>
        <v>0.147334637914213</v>
      </c>
      <c r="E402" s="2">
        <f>Sheet1!AN408*MAX(B$2:B$318)/MAX(Sheet1!AN$8:AN$324)</f>
        <v>0.0165634747863128</v>
      </c>
      <c r="F402" s="2">
        <v>1</v>
      </c>
      <c r="G402" s="2">
        <v>0.75</v>
      </c>
    </row>
    <row r="403" spans="1:7">
      <c r="A403" s="1">
        <f>Sheet1!A409</f>
        <v>45734</v>
      </c>
      <c r="B403" s="2">
        <f>Sheet1!L409</f>
        <v>0.0014983164983165</v>
      </c>
      <c r="C403" s="2">
        <f>Sheet1!F409</f>
        <v>0.000367290271270091</v>
      </c>
      <c r="D403" s="2">
        <f>Sheet1!G409</f>
        <v>0.147650689050576</v>
      </c>
      <c r="E403" s="2">
        <f>Sheet1!AN409*MAX(B$2:B$318)/MAX(Sheet1!AN$8:AN$324)</f>
        <v>0.0165634747863128</v>
      </c>
      <c r="F403" s="2">
        <v>1</v>
      </c>
      <c r="G403" s="2">
        <v>0.75</v>
      </c>
    </row>
    <row r="404" spans="1:7">
      <c r="A404" s="1">
        <f>Sheet1!A410</f>
        <v>45735</v>
      </c>
      <c r="B404" s="2">
        <f>Sheet1!L410</f>
        <v>0.0011952861952862</v>
      </c>
      <c r="C404" s="2">
        <f>Sheet1!F410</f>
        <v>0.000367004515464999</v>
      </c>
      <c r="D404" s="2">
        <f>Sheet1!G410</f>
        <v>0.147902819732395</v>
      </c>
      <c r="E404" s="2">
        <f>Sheet1!AN410*MAX(B$2:B$318)/MAX(Sheet1!AN$8:AN$324)</f>
        <v>0.0165634747863128</v>
      </c>
      <c r="F404" s="2">
        <v>1</v>
      </c>
      <c r="G404" s="2">
        <v>0.75</v>
      </c>
    </row>
    <row r="405" spans="1:7">
      <c r="A405" s="1">
        <f>Sheet1!A411</f>
        <v>45736</v>
      </c>
      <c r="B405" s="2">
        <f>Sheet1!L411</f>
        <v>0.0013973063973064</v>
      </c>
      <c r="C405" s="2">
        <f>Sheet1!F411</f>
        <v>0.000366825653590536</v>
      </c>
      <c r="D405" s="2">
        <f>Sheet1!G411</f>
        <v>0.148197564050576</v>
      </c>
      <c r="E405" s="2">
        <f>Sheet1!AN411*MAX(B$2:B$318)/MAX(Sheet1!AN$8:AN$324)</f>
        <v>0.0165634747863128</v>
      </c>
      <c r="F405" s="2">
        <v>1</v>
      </c>
      <c r="G405" s="2">
        <v>0.75</v>
      </c>
    </row>
    <row r="406" spans="1:7">
      <c r="A406" s="1">
        <f>Sheet1!A412</f>
        <v>45737</v>
      </c>
      <c r="B406" s="2">
        <f>Sheet1!L412</f>
        <v>0.0013973063973064</v>
      </c>
      <c r="C406" s="2">
        <f>Sheet1!F412</f>
        <v>0.000366647674984588</v>
      </c>
      <c r="D406" s="2">
        <f>Sheet1!G412</f>
        <v>0.148492308368758</v>
      </c>
      <c r="E406" s="2">
        <f>Sheet1!AN412*MAX(B$2:B$318)/MAX(Sheet1!AN$8:AN$324)</f>
        <v>0.0165634747863128</v>
      </c>
      <c r="F406" s="2">
        <v>1</v>
      </c>
      <c r="G406" s="2">
        <v>0.75</v>
      </c>
    </row>
    <row r="407" spans="1:7">
      <c r="A407" s="1">
        <f>Sheet1!A413</f>
        <v>45738</v>
      </c>
      <c r="B407" s="2">
        <f>Sheet1!L413</f>
        <v>0.00137205387205387</v>
      </c>
      <c r="C407" s="2">
        <f>Sheet1!F413</f>
        <v>0.000366457453158607</v>
      </c>
      <c r="D407" s="2">
        <f>Sheet1!G413</f>
        <v>0.148781725982395</v>
      </c>
      <c r="E407" s="2">
        <f>Sheet1!AN413*MAX(B$2:B$318)/MAX(Sheet1!AN$8:AN$324)</f>
        <v>0.0165634747863128</v>
      </c>
      <c r="F407" s="2">
        <v>1</v>
      </c>
      <c r="G407" s="2">
        <v>0.75</v>
      </c>
    </row>
    <row r="408" spans="1:7">
      <c r="A408" s="1">
        <f>Sheet1!A414</f>
        <v>45739</v>
      </c>
      <c r="B408" s="2">
        <f>Sheet1!L414</f>
        <v>0.00211700336700337</v>
      </c>
      <c r="C408" s="2">
        <f>Sheet1!F414</f>
        <v>0.000366654254005214</v>
      </c>
      <c r="D408" s="2">
        <f>Sheet1!G414</f>
        <v>0.149228281380122</v>
      </c>
      <c r="E408" s="2">
        <f>Sheet1!AN414*MAX(B$2:B$318)/MAX(Sheet1!AN$8:AN$324)</f>
        <v>0.0165634747863128</v>
      </c>
      <c r="F408" s="2">
        <v>1</v>
      </c>
      <c r="G408" s="2">
        <v>0.75</v>
      </c>
    </row>
    <row r="409" spans="1:7">
      <c r="A409" s="1">
        <f>Sheet1!A415</f>
        <v>45740</v>
      </c>
      <c r="B409" s="2">
        <f>Sheet1!L415</f>
        <v>0.00265151515151516</v>
      </c>
      <c r="C409" s="2">
        <f>Sheet1!F415</f>
        <v>0.000367126434699497</v>
      </c>
      <c r="D409" s="2">
        <f>Sheet1!G415</f>
        <v>0.149787585357395</v>
      </c>
      <c r="E409" s="2">
        <f>Sheet1!AN415*MAX(B$2:B$318)/MAX(Sheet1!AN$8:AN$324)</f>
        <v>0.0165634747863128</v>
      </c>
      <c r="F409" s="2">
        <v>1</v>
      </c>
      <c r="G409" s="2">
        <v>0.75</v>
      </c>
    </row>
    <row r="410" spans="1:7">
      <c r="A410" s="1">
        <f>Sheet1!A416</f>
        <v>45741</v>
      </c>
      <c r="B410" s="2">
        <f>Sheet1!L416</f>
        <v>0.00280808080808081</v>
      </c>
      <c r="C410" s="2">
        <f>Sheet1!F416</f>
        <v>0.000367677053552199</v>
      </c>
      <c r="D410" s="2">
        <f>Sheet1!G416</f>
        <v>0.150379914902849</v>
      </c>
      <c r="E410" s="2">
        <f>Sheet1!AN416*MAX(B$2:B$318)/MAX(Sheet1!AN$8:AN$324)</f>
        <v>0.0165634747863128</v>
      </c>
      <c r="F410" s="2">
        <v>1</v>
      </c>
      <c r="G410" s="2">
        <v>0.75</v>
      </c>
    </row>
    <row r="411" spans="1:7">
      <c r="A411" s="1">
        <f>Sheet1!A417</f>
        <v>45742</v>
      </c>
      <c r="B411" s="2">
        <f>Sheet1!L417</f>
        <v>0.00181818181818182</v>
      </c>
      <c r="C411" s="2">
        <f>Sheet1!F417</f>
        <v>0.000367715701536883</v>
      </c>
      <c r="D411" s="2">
        <f>Sheet1!G417</f>
        <v>0.150763437630122</v>
      </c>
      <c r="E411" s="2">
        <f>Sheet1!AN417*MAX(B$2:B$318)/MAX(Sheet1!AN$8:AN$324)</f>
        <v>0.0165634747863128</v>
      </c>
      <c r="F411" s="2">
        <v>1</v>
      </c>
      <c r="G411" s="2">
        <v>0.75</v>
      </c>
    </row>
    <row r="412" spans="1:7">
      <c r="A412" s="1">
        <f>Sheet1!A418</f>
        <v>45743</v>
      </c>
      <c r="B412" s="2">
        <f>Sheet1!L418</f>
        <v>0.00119949494949495</v>
      </c>
      <c r="C412" s="2">
        <f>Sheet1!F418</f>
        <v>0.000367436632837058</v>
      </c>
      <c r="D412" s="2">
        <f>Sheet1!G418</f>
        <v>0.151016456096031</v>
      </c>
      <c r="E412" s="2">
        <f>Sheet1!AN418*MAX(B$2:B$318)/MAX(Sheet1!AN$8:AN$324)</f>
        <v>0.0165634747863128</v>
      </c>
      <c r="F412" s="2">
        <v>1</v>
      </c>
      <c r="G412" s="2">
        <v>0.75</v>
      </c>
    </row>
    <row r="413" spans="1:7">
      <c r="A413" s="1">
        <f>Sheet1!A419</f>
        <v>45744</v>
      </c>
      <c r="B413" s="2">
        <f>Sheet1!L419</f>
        <v>0.00134680134680135</v>
      </c>
      <c r="C413" s="2">
        <f>Sheet1!F419</f>
        <v>0.000367234337391073</v>
      </c>
      <c r="D413" s="2">
        <f>Sheet1!G419</f>
        <v>0.151300547005122</v>
      </c>
      <c r="E413" s="2">
        <f>Sheet1!AN419*MAX(B$2:B$318)/MAX(Sheet1!AN$8:AN$324)</f>
        <v>0.0165634747863128</v>
      </c>
      <c r="F413" s="2">
        <v>1</v>
      </c>
      <c r="G413" s="2">
        <v>0.75</v>
      </c>
    </row>
    <row r="414" spans="1:7">
      <c r="A414" s="1">
        <f>Sheet1!A420</f>
        <v>45745</v>
      </c>
      <c r="B414" s="2">
        <f>Sheet1!L420</f>
        <v>0.00128787878787879</v>
      </c>
      <c r="C414" s="2">
        <f>Sheet1!F420</f>
        <v>0.000367002927208087</v>
      </c>
      <c r="D414" s="2">
        <f>Sheet1!G420</f>
        <v>0.15157220893694</v>
      </c>
      <c r="E414" s="2">
        <f>Sheet1!AN420*MAX(B$2:B$318)/MAX(Sheet1!AN$8:AN$324)</f>
        <v>0.0165634747863128</v>
      </c>
      <c r="F414" s="2">
        <v>1</v>
      </c>
      <c r="G414" s="2">
        <v>0.75</v>
      </c>
    </row>
    <row r="415" spans="1:7">
      <c r="A415" s="1">
        <f>Sheet1!A421</f>
        <v>45746</v>
      </c>
      <c r="B415" s="2">
        <f>Sheet1!L421</f>
        <v>0.00133712121212122</v>
      </c>
      <c r="C415" s="2">
        <f>Sheet1!F421</f>
        <v>0.000366797724499087</v>
      </c>
      <c r="D415" s="2">
        <f>Sheet1!G421</f>
        <v>0.151854257942622</v>
      </c>
      <c r="E415" s="2">
        <f>Sheet1!AN421*MAX(B$2:B$318)/MAX(Sheet1!AN$8:AN$324)</f>
        <v>0.0165634747863128</v>
      </c>
      <c r="F415" s="2">
        <v>1</v>
      </c>
      <c r="G415" s="2">
        <v>0.75</v>
      </c>
    </row>
    <row r="416" spans="1:7">
      <c r="A416" s="1">
        <f>Sheet1!A422</f>
        <v>45747</v>
      </c>
      <c r="B416" s="2">
        <f>Sheet1!L422</f>
        <v>0.00133712121212122</v>
      </c>
      <c r="C416" s="2">
        <f>Sheet1!F422</f>
        <v>0.000366593510718804</v>
      </c>
      <c r="D416" s="2">
        <f>Sheet1!G422</f>
        <v>0.152136306948304</v>
      </c>
      <c r="E416" s="2">
        <f>Sheet1!AN422*MAX(B$2:B$318)/MAX(Sheet1!AN$8:AN$324)</f>
        <v>0.0165634747863128</v>
      </c>
      <c r="F416" s="2">
        <v>1</v>
      </c>
      <c r="G416" s="2">
        <v>0.75</v>
      </c>
    </row>
    <row r="417" spans="1:7">
      <c r="A417" s="1">
        <f>Sheet1!A423</f>
        <v>45748</v>
      </c>
      <c r="B417" s="2">
        <f>Sheet1!L423</f>
        <v>0.00128787878787879</v>
      </c>
      <c r="C417" s="2">
        <f>Sheet1!F423</f>
        <v>0.000370265698156616</v>
      </c>
      <c r="D417" s="2">
        <f>Sheet1!G423</f>
        <v>0.154030530433152</v>
      </c>
      <c r="E417" s="2">
        <f>Sheet1!AN423*MAX(B$2:B$318)/MAX(Sheet1!AN$8:AN$324)</f>
        <v>0.0165634747863128</v>
      </c>
      <c r="F417" s="2">
        <v>1</v>
      </c>
      <c r="G417" s="2">
        <v>0.75</v>
      </c>
    </row>
    <row r="418" spans="1:7">
      <c r="A418" s="1">
        <f>Sheet1!A424</f>
        <v>45749</v>
      </c>
      <c r="B418" s="2">
        <f>Sheet1!L424</f>
        <v>0.00128787878787879</v>
      </c>
      <c r="C418" s="2">
        <f>Sheet1!F424</f>
        <v>0.000370053366709834</v>
      </c>
      <c r="D418" s="2">
        <f>Sheet1!G424</f>
        <v>0.154312253918001</v>
      </c>
      <c r="E418" s="2">
        <f>Sheet1!AN424*MAX(B$2:B$318)/MAX(Sheet1!AN$8:AN$324)</f>
        <v>0.0165634747863128</v>
      </c>
      <c r="F418" s="2">
        <v>1</v>
      </c>
      <c r="G418" s="2">
        <v>0.75</v>
      </c>
    </row>
    <row r="419" spans="1:7">
      <c r="A419" s="1">
        <f>Sheet1!A425</f>
        <v>45750</v>
      </c>
      <c r="B419" s="2">
        <f>Sheet1!L425</f>
        <v>0.00128787878787879</v>
      </c>
      <c r="C419" s="2">
        <f>Sheet1!F425</f>
        <v>0.000369842051202989</v>
      </c>
      <c r="D419" s="2">
        <f>Sheet1!G425</f>
        <v>0.154593977402849</v>
      </c>
      <c r="E419" s="2">
        <f>Sheet1!AN425*MAX(B$2:B$318)/MAX(Sheet1!AN$8:AN$324)</f>
        <v>0.0165634747863128</v>
      </c>
      <c r="F419" s="2">
        <v>1</v>
      </c>
      <c r="G419" s="2">
        <v>0.75</v>
      </c>
    </row>
    <row r="420" spans="1:7">
      <c r="A420" s="1">
        <f>Sheet1!A426</f>
        <v>45751</v>
      </c>
      <c r="B420" s="2">
        <f>Sheet1!L426</f>
        <v>0.00128787878787879</v>
      </c>
      <c r="C420" s="2">
        <f>Sheet1!F426</f>
        <v>0.000369631744362047</v>
      </c>
      <c r="D420" s="2">
        <f>Sheet1!G426</f>
        <v>0.154875700887698</v>
      </c>
      <c r="E420" s="2">
        <f>Sheet1!AN426*MAX(B$2:B$318)/MAX(Sheet1!AN$8:AN$324)</f>
        <v>0.0165634747863128</v>
      </c>
      <c r="F420" s="2">
        <v>1</v>
      </c>
      <c r="G420" s="2">
        <v>0.75</v>
      </c>
    </row>
    <row r="421" spans="1:7">
      <c r="A421" s="1">
        <f>Sheet1!A427</f>
        <v>45752</v>
      </c>
      <c r="B421" s="2">
        <f>Sheet1!L427</f>
        <v>0.00126136363636364</v>
      </c>
      <c r="C421" s="2">
        <f>Sheet1!F427</f>
        <v>0.000369408629007505</v>
      </c>
      <c r="D421" s="2">
        <f>Sheet1!G427</f>
        <v>0.155151624183152</v>
      </c>
      <c r="E421" s="2">
        <f>Sheet1!AN427*MAX(B$2:B$318)/MAX(Sheet1!AN$8:AN$324)</f>
        <v>0.0165634747863128</v>
      </c>
      <c r="F421" s="2">
        <v>1</v>
      </c>
      <c r="G421" s="2">
        <v>0.75</v>
      </c>
    </row>
    <row r="422" spans="1:7">
      <c r="A422" s="1">
        <f>Sheet1!A428</f>
        <v>45753</v>
      </c>
      <c r="B422" s="2">
        <f>Sheet1!L428</f>
        <v>0.0012995337995338</v>
      </c>
      <c r="C422" s="2">
        <f>Sheet1!F428</f>
        <v>0.000369206406655107</v>
      </c>
      <c r="D422" s="2">
        <f>Sheet1!G428</f>
        <v>0.1554358972018</v>
      </c>
      <c r="E422" s="2">
        <f>Sheet1!AN428*MAX(B$2:B$318)/MAX(Sheet1!AN$8:AN$324)</f>
        <v>0.0165634747863128</v>
      </c>
      <c r="F422" s="2">
        <v>1</v>
      </c>
      <c r="G422" s="2">
        <v>0.75</v>
      </c>
    </row>
    <row r="423" spans="1:7">
      <c r="A423" s="1">
        <f>Sheet1!A429</f>
        <v>45754</v>
      </c>
      <c r="B423" s="2">
        <f>Sheet1!L429</f>
        <v>0.00126262626262626</v>
      </c>
      <c r="C423" s="2">
        <f>Sheet1!F429</f>
        <v>0.000368986011129739</v>
      </c>
      <c r="D423" s="2">
        <f>Sheet1!G429</f>
        <v>0.15571209669675</v>
      </c>
      <c r="E423" s="2">
        <f>Sheet1!AN429*MAX(B$2:B$318)/MAX(Sheet1!AN$8:AN$324)</f>
        <v>0.0165634747863128</v>
      </c>
      <c r="F423" s="2">
        <v>1</v>
      </c>
      <c r="G423" s="2">
        <v>0.75</v>
      </c>
    </row>
    <row r="424" spans="1:7">
      <c r="A424" s="1">
        <f>Sheet1!A430</f>
        <v>45755</v>
      </c>
      <c r="B424" s="2">
        <f>Sheet1!L430</f>
        <v>0.00125126262626263</v>
      </c>
      <c r="C424" s="2">
        <f>Sheet1!F430</f>
        <v>0.000368760781078593</v>
      </c>
      <c r="D424" s="2">
        <f>Sheet1!G430</f>
        <v>0.155985810396245</v>
      </c>
      <c r="E424" s="2">
        <f>Sheet1!AN430*MAX(B$2:B$318)/MAX(Sheet1!AN$8:AN$324)</f>
        <v>0.0165634747863128</v>
      </c>
      <c r="F424" s="2">
        <v>1</v>
      </c>
      <c r="G424" s="2">
        <v>0.75</v>
      </c>
    </row>
    <row r="425" spans="1:7">
      <c r="A425" s="1">
        <f>Sheet1!A431</f>
        <v>45756</v>
      </c>
      <c r="B425" s="2">
        <f>Sheet1!L431</f>
        <v>0.0012962962962963</v>
      </c>
      <c r="C425" s="2">
        <f>Sheet1!F431</f>
        <v>0.000368559847195895</v>
      </c>
      <c r="D425" s="2">
        <f>Sheet1!G431</f>
        <v>0.15626937521106</v>
      </c>
      <c r="E425" s="2">
        <f>Sheet1!AN431*MAX(B$2:B$318)/MAX(Sheet1!AN$8:AN$324)</f>
        <v>0.0165634747863128</v>
      </c>
      <c r="F425" s="2">
        <v>1</v>
      </c>
      <c r="G425" s="2">
        <v>0.75</v>
      </c>
    </row>
    <row r="426" spans="1:7">
      <c r="A426" s="1">
        <f>Sheet1!A432</f>
        <v>45757</v>
      </c>
      <c r="B426" s="2">
        <f>Sheet1!L432</f>
        <v>0.0012962962962963</v>
      </c>
      <c r="C426" s="2">
        <f>Sheet1!F432</f>
        <v>0.00036835985888441</v>
      </c>
      <c r="D426" s="2">
        <f>Sheet1!G432</f>
        <v>0.156552940025874</v>
      </c>
      <c r="E426" s="2">
        <f>Sheet1!AN432*MAX(B$2:B$318)/MAX(Sheet1!AN$8:AN$324)</f>
        <v>0.0165634747863128</v>
      </c>
      <c r="F426" s="2">
        <v>1</v>
      </c>
      <c r="G426" s="2">
        <v>0.75</v>
      </c>
    </row>
    <row r="427" spans="1:7">
      <c r="A427" s="1">
        <f>Sheet1!A433</f>
        <v>45758</v>
      </c>
      <c r="B427" s="2">
        <f>Sheet1!L433</f>
        <v>0.00124579124579125</v>
      </c>
      <c r="C427" s="2">
        <f>Sheet1!F433</f>
        <v>0.000368134875260308</v>
      </c>
      <c r="D427" s="2">
        <f>Sheet1!G433</f>
        <v>0.156825456860891</v>
      </c>
      <c r="E427" s="2">
        <f>Sheet1!AN433*MAX(B$2:B$318)/MAX(Sheet1!AN$8:AN$324)</f>
        <v>0.0165634747863128</v>
      </c>
      <c r="F427" s="2">
        <v>1</v>
      </c>
      <c r="G427" s="2">
        <v>0.75</v>
      </c>
    </row>
    <row r="428" spans="1:7">
      <c r="A428" s="1">
        <f>Sheet1!A434</f>
        <v>45759</v>
      </c>
      <c r="B428" s="2">
        <f>Sheet1!L434</f>
        <v>0.00124368686868687</v>
      </c>
      <c r="C428" s="2">
        <f>Sheet1!F434</f>
        <v>0.000367909867361631</v>
      </c>
      <c r="D428" s="2">
        <f>Sheet1!G434</f>
        <v>0.157097513363416</v>
      </c>
      <c r="E428" s="2">
        <f>Sheet1!AN434*MAX(B$2:B$318)/MAX(Sheet1!AN$8:AN$324)</f>
        <v>0.0165634747863128</v>
      </c>
      <c r="F428" s="2">
        <v>1</v>
      </c>
      <c r="G428" s="2">
        <v>0.75</v>
      </c>
    </row>
    <row r="429" spans="1:7">
      <c r="A429" s="1">
        <f>Sheet1!A435</f>
        <v>45760</v>
      </c>
      <c r="B429" s="2">
        <f>Sheet1!L435</f>
        <v>0.00127525252525253</v>
      </c>
      <c r="C429" s="2">
        <f>Sheet1!F435</f>
        <v>0.000367702044049802</v>
      </c>
      <c r="D429" s="2">
        <f>Sheet1!G435</f>
        <v>0.157376474853315</v>
      </c>
      <c r="E429" s="2">
        <f>Sheet1!AN435*MAX(B$2:B$318)/MAX(Sheet1!AN$8:AN$324)</f>
        <v>0.0165634747863128</v>
      </c>
      <c r="F429" s="2">
        <v>1</v>
      </c>
      <c r="G429" s="2">
        <v>0.75</v>
      </c>
    </row>
    <row r="430" spans="1:7">
      <c r="A430" s="1">
        <f>Sheet1!A436</f>
        <v>45761</v>
      </c>
      <c r="B430" s="2">
        <f>Sheet1!L436</f>
        <v>0.0012962962962963</v>
      </c>
      <c r="C430" s="2">
        <f>Sheet1!F436</f>
        <v>0.000367505919972332</v>
      </c>
      <c r="D430" s="2">
        <f>Sheet1!G436</f>
        <v>0.15766003966813</v>
      </c>
      <c r="E430" s="2">
        <f>Sheet1!AN436*MAX(B$2:B$318)/MAX(Sheet1!AN$8:AN$324)</f>
        <v>0.0165634747863128</v>
      </c>
      <c r="F430" s="2">
        <v>1</v>
      </c>
      <c r="G430" s="2">
        <v>0.75</v>
      </c>
    </row>
    <row r="431" spans="1:7">
      <c r="A431" s="1">
        <f>Sheet1!A437</f>
        <v>45762</v>
      </c>
      <c r="B431" s="2">
        <f>Sheet1!L437</f>
        <v>0.0012962962962963</v>
      </c>
      <c r="C431" s="2">
        <f>Sheet1!F437</f>
        <v>0.000367310708099872</v>
      </c>
      <c r="D431" s="2">
        <f>Sheet1!G437</f>
        <v>0.157943604482945</v>
      </c>
      <c r="E431" s="2">
        <f>Sheet1!AN437*MAX(B$2:B$318)/MAX(Sheet1!AN$8:AN$324)</f>
        <v>0.0165634747863128</v>
      </c>
      <c r="F431" s="2">
        <v>1</v>
      </c>
      <c r="G431" s="2">
        <v>0.75</v>
      </c>
    </row>
    <row r="432" spans="1:7">
      <c r="A432" s="1">
        <f>Sheet1!A438</f>
        <v>45763</v>
      </c>
      <c r="B432" s="2">
        <f>Sheet1!L438</f>
        <v>0.0012260101010101</v>
      </c>
      <c r="C432" s="2">
        <f>Sheet1!F438</f>
        <v>0.000367080728985014</v>
      </c>
      <c r="D432" s="2">
        <f>Sheet1!G438</f>
        <v>0.158211794192541</v>
      </c>
      <c r="E432" s="2">
        <f>Sheet1!AN438*MAX(B$2:B$318)/MAX(Sheet1!AN$8:AN$324)</f>
        <v>0.0165634747863128</v>
      </c>
      <c r="F432" s="2">
        <v>1</v>
      </c>
      <c r="G432" s="2">
        <v>0.75</v>
      </c>
    </row>
    <row r="433" spans="1:7">
      <c r="A433" s="1">
        <f>Sheet1!A439</f>
        <v>45764</v>
      </c>
      <c r="B433" s="2">
        <f>Sheet1!L439</f>
        <v>0.0012962962962963</v>
      </c>
      <c r="C433" s="2">
        <f>Sheet1!F439</f>
        <v>0.00036688740510962</v>
      </c>
      <c r="D433" s="2">
        <f>Sheet1!G439</f>
        <v>0.158495359007356</v>
      </c>
      <c r="E433" s="2">
        <f>Sheet1!AN439*MAX(B$2:B$318)/MAX(Sheet1!AN$8:AN$324)</f>
        <v>0.0165634747863128</v>
      </c>
      <c r="F433" s="2">
        <v>1</v>
      </c>
      <c r="G433" s="2">
        <v>0.75</v>
      </c>
    </row>
    <row r="434" spans="1:7">
      <c r="A434" s="1">
        <f>Sheet1!A440</f>
        <v>45765</v>
      </c>
      <c r="B434" s="2">
        <f>Sheet1!L440</f>
        <v>0.0012962962962963</v>
      </c>
      <c r="C434" s="2">
        <f>Sheet1!F440</f>
        <v>0.000366694974185152</v>
      </c>
      <c r="D434" s="2">
        <f>Sheet1!G440</f>
        <v>0.158778923822171</v>
      </c>
      <c r="E434" s="2">
        <f>Sheet1!AN440*MAX(B$2:B$318)/MAX(Sheet1!AN$8:AN$324)</f>
        <v>0.0165634747863128</v>
      </c>
      <c r="F434" s="2">
        <v>1</v>
      </c>
      <c r="G434" s="2">
        <v>0.75</v>
      </c>
    </row>
    <row r="435" spans="1:7">
      <c r="A435" s="1">
        <f>Sheet1!A441</f>
        <v>45766</v>
      </c>
      <c r="B435" s="2">
        <f>Sheet1!L441</f>
        <v>0.0012962962962963</v>
      </c>
      <c r="C435" s="2">
        <f>Sheet1!F441</f>
        <v>0.000366503430039137</v>
      </c>
      <c r="D435" s="2">
        <f>Sheet1!G441</f>
        <v>0.159062488636985</v>
      </c>
      <c r="E435" s="2">
        <f>Sheet1!AN441*MAX(B$2:B$318)/MAX(Sheet1!AN$8:AN$324)</f>
        <v>0.0165634747863128</v>
      </c>
      <c r="F435" s="2">
        <v>1</v>
      </c>
      <c r="G435" s="2">
        <v>0.75</v>
      </c>
    </row>
    <row r="436" spans="1:7">
      <c r="A436" s="1">
        <f>Sheet1!A442</f>
        <v>45767</v>
      </c>
      <c r="B436" s="2">
        <f>Sheet1!L442</f>
        <v>0.00126388888888889</v>
      </c>
      <c r="C436" s="2">
        <f>Sheet1!F442</f>
        <v>0.000366296469727425</v>
      </c>
      <c r="D436" s="2">
        <f>Sheet1!G442</f>
        <v>0.15933896433143</v>
      </c>
      <c r="E436" s="2">
        <f>Sheet1!AN442*MAX(B$2:B$318)/MAX(Sheet1!AN$8:AN$324)</f>
        <v>0.0165634747863128</v>
      </c>
      <c r="F436" s="2">
        <v>1</v>
      </c>
      <c r="G436" s="2">
        <v>0.75</v>
      </c>
    </row>
    <row r="437" spans="1:7">
      <c r="A437" s="1">
        <f>Sheet1!A443</f>
        <v>45768</v>
      </c>
      <c r="B437" s="2">
        <f>Sheet1!L443</f>
        <v>0.0012962962962963</v>
      </c>
      <c r="C437" s="2">
        <f>Sheet1!F443</f>
        <v>0.000366106718225332</v>
      </c>
      <c r="D437" s="2">
        <f>Sheet1!G443</f>
        <v>0.159622529146245</v>
      </c>
      <c r="E437" s="2">
        <f>Sheet1!AN443*MAX(B$2:B$318)/MAX(Sheet1!AN$8:AN$324)</f>
        <v>0.0165634747863128</v>
      </c>
      <c r="F437" s="2">
        <v>1</v>
      </c>
      <c r="G437" s="2">
        <v>0.75</v>
      </c>
    </row>
    <row r="438" spans="1:7">
      <c r="A438" s="1">
        <f>Sheet1!A444</f>
        <v>45769</v>
      </c>
      <c r="B438" s="2">
        <f>Sheet1!L444</f>
        <v>0.0012962962962963</v>
      </c>
      <c r="C438" s="2">
        <f>Sheet1!F444</f>
        <v>0.000365917835151166</v>
      </c>
      <c r="D438" s="2">
        <f>Sheet1!G444</f>
        <v>0.15990609396106</v>
      </c>
      <c r="E438" s="2">
        <f>Sheet1!AN444*MAX(B$2:B$318)/MAX(Sheet1!AN$8:AN$324)</f>
        <v>0.0165634747863128</v>
      </c>
      <c r="F438" s="2">
        <v>1</v>
      </c>
      <c r="G438" s="2">
        <v>0.75</v>
      </c>
    </row>
    <row r="439" spans="1:7">
      <c r="A439" s="1">
        <f>Sheet1!A445</f>
        <v>45770</v>
      </c>
      <c r="B439" s="2">
        <f>Sheet1!L445</f>
        <v>0.0012962962962963</v>
      </c>
      <c r="C439" s="2">
        <f>Sheet1!F445</f>
        <v>0.000365729814556791</v>
      </c>
      <c r="D439" s="2">
        <f>Sheet1!G445</f>
        <v>0.160189658775874</v>
      </c>
      <c r="E439" s="2">
        <f>Sheet1!AN445*MAX(B$2:B$318)/MAX(Sheet1!AN$8:AN$324)</f>
        <v>0.0165634747863128</v>
      </c>
      <c r="F439" s="2">
        <v>1</v>
      </c>
      <c r="G439" s="2">
        <v>0.75</v>
      </c>
    </row>
    <row r="440" spans="1:7">
      <c r="A440" s="1">
        <f>Sheet1!A446</f>
        <v>45771</v>
      </c>
      <c r="B440" s="2">
        <f>Sheet1!L446</f>
        <v>0.0012962962962963</v>
      </c>
      <c r="C440" s="2">
        <f>Sheet1!F446</f>
        <v>0.000365542650548267</v>
      </c>
      <c r="D440" s="2">
        <f>Sheet1!G446</f>
        <v>0.160473223590689</v>
      </c>
      <c r="E440" s="2">
        <f>Sheet1!AN446*MAX(B$2:B$318)/MAX(Sheet1!AN$8:AN$324)</f>
        <v>0.0165634747863128</v>
      </c>
      <c r="F440" s="2">
        <v>1</v>
      </c>
      <c r="G440" s="2">
        <v>0.75</v>
      </c>
    </row>
    <row r="441" spans="1:7">
      <c r="A441" s="1">
        <f>Sheet1!A447</f>
        <v>45772</v>
      </c>
      <c r="B441" s="2">
        <f>Sheet1!L447</f>
        <v>0.0012962962962963</v>
      </c>
      <c r="C441" s="2">
        <f>Sheet1!F447</f>
        <v>0.000365356337285236</v>
      </c>
      <c r="D441" s="2">
        <f>Sheet1!G447</f>
        <v>0.160756788405504</v>
      </c>
      <c r="E441" s="2">
        <f>Sheet1!AN447*MAX(B$2:B$318)/MAX(Sheet1!AN$8:AN$324)</f>
        <v>0.0165634747863128</v>
      </c>
      <c r="F441" s="2">
        <v>1</v>
      </c>
      <c r="G441" s="2">
        <v>0.75</v>
      </c>
    </row>
    <row r="442" spans="1:7">
      <c r="A442" s="1">
        <f>Sheet1!A448</f>
        <v>45773</v>
      </c>
      <c r="B442" s="2">
        <f>Sheet1!L448</f>
        <v>0.0012962962962963</v>
      </c>
      <c r="C442" s="2">
        <f>Sheet1!F448</f>
        <v>0.000365170868980315</v>
      </c>
      <c r="D442" s="2">
        <f>Sheet1!G448</f>
        <v>0.161040353220319</v>
      </c>
      <c r="E442" s="2">
        <f>Sheet1!AN448*MAX(B$2:B$318)/MAX(Sheet1!AN$8:AN$324)</f>
        <v>0.0165634747863128</v>
      </c>
      <c r="F442" s="2">
        <v>1</v>
      </c>
      <c r="G442" s="2">
        <v>0.75</v>
      </c>
    </row>
    <row r="443" spans="1:7">
      <c r="A443" s="1">
        <f>Sheet1!A449</f>
        <v>45774</v>
      </c>
      <c r="B443" s="2">
        <f>Sheet1!L449</f>
        <v>0.00128787878787879</v>
      </c>
      <c r="C443" s="2">
        <f>Sheet1!F449</f>
        <v>0.000364982073993591</v>
      </c>
      <c r="D443" s="2">
        <f>Sheet1!G449</f>
        <v>0.161322076705167</v>
      </c>
      <c r="E443" s="2">
        <f>Sheet1!AN449*MAX(B$2:B$318)/MAX(Sheet1!AN$8:AN$324)</f>
        <v>0.0165634747863128</v>
      </c>
      <c r="F443" s="2">
        <v>1</v>
      </c>
      <c r="G443" s="2">
        <v>0.75</v>
      </c>
    </row>
    <row r="444" spans="1:7">
      <c r="A444" s="1">
        <f>Sheet1!A450</f>
        <v>45775</v>
      </c>
      <c r="B444" s="2">
        <f>Sheet1!L450</f>
        <v>0.0012962962962963</v>
      </c>
      <c r="C444" s="2">
        <f>Sheet1!F450</f>
        <v>0.00036479828785549</v>
      </c>
      <c r="D444" s="2">
        <f>Sheet1!G450</f>
        <v>0.161605641519982</v>
      </c>
      <c r="E444" s="2">
        <f>Sheet1!AN450*MAX(B$2:B$318)/MAX(Sheet1!AN$8:AN$324)</f>
        <v>0.0165634747863128</v>
      </c>
      <c r="F444" s="2">
        <v>1</v>
      </c>
      <c r="G444" s="2">
        <v>0.75</v>
      </c>
    </row>
    <row r="445" spans="1:7">
      <c r="A445" s="1">
        <f>Sheet1!A451</f>
        <v>45776</v>
      </c>
      <c r="B445" s="2">
        <f>Sheet1!L451</f>
        <v>0.0012962962962963</v>
      </c>
      <c r="C445" s="2">
        <f>Sheet1!F451</f>
        <v>0.000364615329582876</v>
      </c>
      <c r="D445" s="2">
        <f>Sheet1!G451</f>
        <v>0.161889206334797</v>
      </c>
      <c r="E445" s="2">
        <f>Sheet1!AN451*MAX(B$2:B$318)/MAX(Sheet1!AN$8:AN$324)</f>
        <v>0.0165634747863128</v>
      </c>
      <c r="F445" s="2">
        <v>1</v>
      </c>
      <c r="G445" s="2">
        <v>0.75</v>
      </c>
    </row>
    <row r="446" spans="1:7">
      <c r="A446" s="1">
        <f>Sheet1!A452</f>
        <v>45777</v>
      </c>
      <c r="B446" s="2">
        <f>Sheet1!L452</f>
        <v>0.0012962962962963</v>
      </c>
      <c r="C446" s="2">
        <f>Sheet1!F452</f>
        <v>0.000364433193594633</v>
      </c>
      <c r="D446" s="2">
        <f>Sheet1!G452</f>
        <v>0.162172771149612</v>
      </c>
      <c r="E446" s="2">
        <f>Sheet1!AN452*MAX(B$2:B$318)/MAX(Sheet1!AN$8:AN$324)</f>
        <v>0.0165634747863128</v>
      </c>
      <c r="F446" s="2">
        <v>1</v>
      </c>
      <c r="G446" s="2">
        <v>0.75</v>
      </c>
    </row>
    <row r="447" spans="1:7">
      <c r="A447" s="1">
        <f>Sheet1!A453</f>
        <v>45778</v>
      </c>
      <c r="B447" s="2">
        <f>Sheet1!L453</f>
        <v>0.00121212121212121</v>
      </c>
      <c r="C447" s="2">
        <f>Sheet1!F453</f>
        <v>0.000364231821438863</v>
      </c>
      <c r="D447" s="2">
        <f>Sheet1!G453</f>
        <v>0.162447392361733</v>
      </c>
      <c r="E447" s="2">
        <f>Sheet1!AN453*MAX(B$2:B$318)/MAX(Sheet1!AN$8:AN$324)</f>
        <v>0.0165634747863128</v>
      </c>
      <c r="F447" s="2">
        <v>1</v>
      </c>
      <c r="G447" s="2">
        <v>0.75</v>
      </c>
    </row>
    <row r="448" spans="1:7">
      <c r="A448" s="1">
        <f>Sheet1!A454</f>
        <v>45779</v>
      </c>
      <c r="B448" s="2">
        <f>Sheet1!L454</f>
        <v>0.00117929292929293</v>
      </c>
      <c r="C448" s="2">
        <f>Sheet1!F454</f>
        <v>0.000364014711221534</v>
      </c>
      <c r="D448" s="2">
        <f>Sheet1!G454</f>
        <v>0.162714575916026</v>
      </c>
      <c r="E448" s="2">
        <f>Sheet1!AN454*MAX(B$2:B$318)/MAX(Sheet1!AN$8:AN$324)</f>
        <v>0.0165634747863128</v>
      </c>
      <c r="F448" s="2">
        <v>1</v>
      </c>
      <c r="G448" s="2">
        <v>0.75</v>
      </c>
    </row>
    <row r="449" spans="1:7">
      <c r="A449" s="1">
        <f>Sheet1!A455</f>
        <v>45780</v>
      </c>
      <c r="B449" s="2">
        <f>Sheet1!L455</f>
        <v>0.00121212121212121</v>
      </c>
      <c r="C449" s="2">
        <f>Sheet1!F455</f>
        <v>0.000363815172161043</v>
      </c>
      <c r="D449" s="2">
        <f>Sheet1!G455</f>
        <v>0.162989197128147</v>
      </c>
      <c r="E449" s="2">
        <f>Sheet1!AN455*MAX(B$2:B$318)/MAX(Sheet1!AN$8:AN$324)</f>
        <v>0.0165634747863128</v>
      </c>
      <c r="F449" s="2">
        <v>1</v>
      </c>
      <c r="G449" s="2">
        <v>0.75</v>
      </c>
    </row>
    <row r="450" spans="1:7">
      <c r="A450" s="1">
        <f>Sheet1!A456</f>
        <v>45781</v>
      </c>
      <c r="B450" s="2">
        <f>Sheet1!L456</f>
        <v>0.00121212121212121</v>
      </c>
      <c r="C450" s="2">
        <f>Sheet1!F456</f>
        <v>0.000363616521915965</v>
      </c>
      <c r="D450" s="2">
        <f>Sheet1!G456</f>
        <v>0.163263818340268</v>
      </c>
      <c r="E450" s="2">
        <f>Sheet1!AN456*MAX(B$2:B$318)/MAX(Sheet1!AN$8:AN$324)</f>
        <v>0.0165634747863128</v>
      </c>
      <c r="F450" s="2">
        <v>1</v>
      </c>
      <c r="G450" s="2">
        <v>0.75</v>
      </c>
    </row>
    <row r="451" spans="1:7">
      <c r="A451" s="1">
        <f>Sheet1!A457</f>
        <v>45782</v>
      </c>
      <c r="B451" s="2">
        <f>Sheet1!L457</f>
        <v>0.00121212121212121</v>
      </c>
      <c r="C451" s="2">
        <f>Sheet1!F457</f>
        <v>0.000363418754560866</v>
      </c>
      <c r="D451" s="2">
        <f>Sheet1!G457</f>
        <v>0.16353843955239</v>
      </c>
      <c r="E451" s="2">
        <f>Sheet1!AN457*MAX(B$2:B$318)/MAX(Sheet1!AN$8:AN$324)</f>
        <v>0.0165634747863128</v>
      </c>
      <c r="F451" s="2">
        <v>1</v>
      </c>
      <c r="G451" s="2">
        <v>0.75</v>
      </c>
    </row>
    <row r="452" spans="1:7">
      <c r="A452" s="1">
        <f>Sheet1!A458</f>
        <v>45783</v>
      </c>
      <c r="B452" s="2">
        <f>Sheet1!L458</f>
        <v>0.00125</v>
      </c>
      <c r="C452" s="2">
        <f>Sheet1!F458</f>
        <v>0.000363240892854522</v>
      </c>
      <c r="D452" s="2">
        <f>Sheet1!G458</f>
        <v>0.16382164267739</v>
      </c>
      <c r="E452" s="2">
        <f>Sheet1!AN458*MAX(B$2:B$318)/MAX(Sheet1!AN$8:AN$324)</f>
        <v>0.0165634747863128</v>
      </c>
      <c r="F452" s="2">
        <v>1</v>
      </c>
      <c r="G452" s="2">
        <v>0.75</v>
      </c>
    </row>
    <row r="453" spans="1:7">
      <c r="A453" s="1">
        <f>Sheet1!A459</f>
        <v>45784</v>
      </c>
      <c r="B453" s="2">
        <f>Sheet1!L459</f>
        <v>0.00121212121212121</v>
      </c>
      <c r="C453" s="2">
        <f>Sheet1!F459</f>
        <v>0.000363044831613962</v>
      </c>
      <c r="D453" s="2">
        <f>Sheet1!G459</f>
        <v>0.164096263889511</v>
      </c>
      <c r="E453" s="2">
        <f>Sheet1!AN459*MAX(B$2:B$318)/MAX(Sheet1!AN$8:AN$324)</f>
        <v>0.0165634747863128</v>
      </c>
      <c r="F453" s="2">
        <v>1</v>
      </c>
      <c r="G453" s="2">
        <v>0.75</v>
      </c>
    </row>
    <row r="454" spans="1:7">
      <c r="A454" s="1">
        <f>Sheet1!A460</f>
        <v>45785</v>
      </c>
      <c r="B454" s="2">
        <f>Sheet1!L460</f>
        <v>0.00121212121212121</v>
      </c>
      <c r="C454" s="2">
        <f>Sheet1!F460</f>
        <v>0.000362849635985943</v>
      </c>
      <c r="D454" s="2">
        <f>Sheet1!G460</f>
        <v>0.164370885101632</v>
      </c>
      <c r="E454" s="2">
        <f>Sheet1!AN460*MAX(B$2:B$318)/MAX(Sheet1!AN$8:AN$324)</f>
        <v>0.0165634747863128</v>
      </c>
      <c r="F454" s="2">
        <v>1</v>
      </c>
      <c r="G454" s="2">
        <v>0.75</v>
      </c>
    </row>
    <row r="455" spans="1:7">
      <c r="A455" s="1">
        <f>Sheet1!A461</f>
        <v>45786</v>
      </c>
      <c r="B455" s="2">
        <f>Sheet1!L461</f>
        <v>0.00121212121212121</v>
      </c>
      <c r="C455" s="2">
        <f>Sheet1!F461</f>
        <v>0.000362655300250558</v>
      </c>
      <c r="D455" s="2">
        <f>Sheet1!G461</f>
        <v>0.164645506313753</v>
      </c>
      <c r="E455" s="2">
        <f>Sheet1!AN461*MAX(B$2:B$318)/MAX(Sheet1!AN$8:AN$324)</f>
        <v>0.0165634747863128</v>
      </c>
      <c r="F455" s="2">
        <v>1</v>
      </c>
      <c r="G455" s="2">
        <v>0.75</v>
      </c>
    </row>
    <row r="456" spans="1:7">
      <c r="A456" s="1">
        <f>Sheet1!A462</f>
        <v>45787</v>
      </c>
      <c r="B456" s="2">
        <f>Sheet1!L462</f>
        <v>0.00121212121212121</v>
      </c>
      <c r="C456" s="2">
        <f>Sheet1!F462</f>
        <v>0.000362461818738186</v>
      </c>
      <c r="D456" s="2">
        <f>Sheet1!G462</f>
        <v>0.164920127525874</v>
      </c>
      <c r="E456" s="2">
        <f>Sheet1!AN462*MAX(B$2:B$318)/MAX(Sheet1!AN$8:AN$324)</f>
        <v>0.0165634747863128</v>
      </c>
      <c r="F456" s="2">
        <v>1</v>
      </c>
      <c r="G456" s="2">
        <v>0.75</v>
      </c>
    </row>
    <row r="457" spans="1:7">
      <c r="A457" s="1">
        <f>Sheet1!A463</f>
        <v>45788</v>
      </c>
      <c r="B457" s="2">
        <f>Sheet1!L463</f>
        <v>0.00121212121212121</v>
      </c>
      <c r="C457" s="2">
        <f>Sheet1!F463</f>
        <v>0.000362269185828938</v>
      </c>
      <c r="D457" s="2">
        <f>Sheet1!G463</f>
        <v>0.165194748737996</v>
      </c>
      <c r="E457" s="2">
        <f>Sheet1!AN463*MAX(B$2:B$318)/MAX(Sheet1!AN$8:AN$324)</f>
        <v>0.0165634747863128</v>
      </c>
      <c r="F457" s="2">
        <v>1</v>
      </c>
      <c r="G457" s="2">
        <v>0.75</v>
      </c>
    </row>
    <row r="458" spans="1:7">
      <c r="A458" s="1">
        <f>Sheet1!A464</f>
        <v>45789</v>
      </c>
      <c r="B458" s="2">
        <f>Sheet1!L464</f>
        <v>0.00121212121212121</v>
      </c>
      <c r="C458" s="2">
        <f>Sheet1!F464</f>
        <v>0.000362077395952116</v>
      </c>
      <c r="D458" s="2">
        <f>Sheet1!G464</f>
        <v>0.165469369950117</v>
      </c>
      <c r="E458" s="2">
        <f>Sheet1!AN464*MAX(B$2:B$318)/MAX(Sheet1!AN$8:AN$324)</f>
        <v>0.0165634747863128</v>
      </c>
      <c r="F458" s="2">
        <v>1</v>
      </c>
      <c r="G458" s="2">
        <v>0.75</v>
      </c>
    </row>
    <row r="459" spans="1:7">
      <c r="A459" s="1">
        <f>Sheet1!A465</f>
        <v>45790</v>
      </c>
      <c r="B459" s="2">
        <f>Sheet1!L465</f>
        <v>0.00121212121212121</v>
      </c>
      <c r="C459" s="2">
        <f>Sheet1!F465</f>
        <v>0.000361886443585673</v>
      </c>
      <c r="D459" s="2">
        <f>Sheet1!G465</f>
        <v>0.165743991162238</v>
      </c>
      <c r="E459" s="2">
        <f>Sheet1!AN465*MAX(B$2:B$318)/MAX(Sheet1!AN$8:AN$324)</f>
        <v>0.0165634747863128</v>
      </c>
      <c r="F459" s="2">
        <v>1</v>
      </c>
      <c r="G459" s="2">
        <v>0.75</v>
      </c>
    </row>
    <row r="460" spans="1:7">
      <c r="A460" s="1">
        <f>Sheet1!A466</f>
        <v>45791</v>
      </c>
      <c r="B460" s="2">
        <f>Sheet1!L466</f>
        <v>0.00422853535353535</v>
      </c>
      <c r="C460" s="2">
        <f>Sheet1!F466</f>
        <v>0.000363185225933058</v>
      </c>
      <c r="D460" s="2">
        <f>Sheet1!G466</f>
        <v>0.166702018703273</v>
      </c>
      <c r="E460" s="2">
        <f>Sheet1!AN466*MAX(B$2:B$318)/MAX(Sheet1!AN$8:AN$324)</f>
        <v>0.0165634747863128</v>
      </c>
      <c r="F460" s="2">
        <v>1</v>
      </c>
      <c r="G460" s="2">
        <v>0.75</v>
      </c>
    </row>
    <row r="461" spans="1:7">
      <c r="A461" s="1">
        <f>Sheet1!A467</f>
        <v>45792</v>
      </c>
      <c r="B461" s="2">
        <f>Sheet1!L467</f>
        <v>0.000202020202020202</v>
      </c>
      <c r="C461" s="2">
        <f>Sheet1!F467</f>
        <v>0.000362495193272377</v>
      </c>
      <c r="D461" s="2">
        <f>Sheet1!G467</f>
        <v>0.166747788905294</v>
      </c>
      <c r="E461" s="2">
        <f>Sheet1!AN467*MAX(B$2:B$318)/MAX(Sheet1!AN$8:AN$324)</f>
        <v>0.0165634747863128</v>
      </c>
      <c r="F461" s="2">
        <v>1</v>
      </c>
      <c r="G461" s="2">
        <v>0.75</v>
      </c>
    </row>
    <row r="462" spans="1:7">
      <c r="A462" s="1">
        <f>Sheet1!A468</f>
        <v>45793</v>
      </c>
      <c r="B462" s="2">
        <f>Sheet1!L468</f>
        <v>0.000202020202020202</v>
      </c>
      <c r="C462" s="2">
        <f>Sheet1!F468</f>
        <v>0.0003618081542458</v>
      </c>
      <c r="D462" s="2">
        <f>Sheet1!G468</f>
        <v>0.166793559107314</v>
      </c>
      <c r="E462" s="2">
        <f>Sheet1!AN468*MAX(B$2:B$318)/MAX(Sheet1!AN$8:AN$324)</f>
        <v>0.0165634747863128</v>
      </c>
      <c r="F462" s="2">
        <v>1</v>
      </c>
      <c r="G462" s="2">
        <v>0.75</v>
      </c>
    </row>
    <row r="463" spans="1:7">
      <c r="A463" s="1">
        <f>Sheet1!A469</f>
        <v>45794</v>
      </c>
      <c r="B463" s="2">
        <f>Sheet1!L469</f>
        <v>0.000897727272727276</v>
      </c>
      <c r="C463" s="2">
        <f>Sheet1!F469</f>
        <v>0.000361465260698141</v>
      </c>
      <c r="D463" s="2">
        <f>Sheet1!G469</f>
        <v>0.166996950442541</v>
      </c>
      <c r="E463" s="2">
        <f>Sheet1!AN469*MAX(B$2:B$318)/MAX(Sheet1!AN$8:AN$324)</f>
        <v>0.0165634747863128</v>
      </c>
      <c r="F463" s="2">
        <v>1</v>
      </c>
      <c r="G463" s="2">
        <v>0.75</v>
      </c>
    </row>
    <row r="464" spans="1:7">
      <c r="A464" s="1">
        <f>Sheet1!A470</f>
        <v>45795</v>
      </c>
      <c r="B464" s="2">
        <f>Sheet1!L470</f>
        <v>0.00353409090909091</v>
      </c>
      <c r="C464" s="2">
        <f>Sheet1!F470</f>
        <v>0.000362413915581279</v>
      </c>
      <c r="D464" s="2">
        <f>Sheet1!G470</f>
        <v>0.167797642914132</v>
      </c>
      <c r="E464" s="2">
        <f>Sheet1!AN470*MAX(B$2:B$318)/MAX(Sheet1!AN$8:AN$324)</f>
        <v>0.0165634747863128</v>
      </c>
      <c r="F464" s="2">
        <v>1</v>
      </c>
      <c r="G464" s="2">
        <v>0.75</v>
      </c>
    </row>
    <row r="465" spans="1:7">
      <c r="A465" s="1">
        <f>Sheet1!A471</f>
        <v>45796</v>
      </c>
      <c r="B465" s="2">
        <f>Sheet1!L471</f>
        <v>0.00670075757575759</v>
      </c>
      <c r="C465" s="2">
        <f>Sheet1!F471</f>
        <v>0.000364904705393081</v>
      </c>
      <c r="D465" s="2">
        <f>Sheet1!G471</f>
        <v>0.16931578330239</v>
      </c>
      <c r="E465" s="2">
        <f>Sheet1!AN471*MAX(B$2:B$318)/MAX(Sheet1!AN$8:AN$324)</f>
        <v>0.0165634747863128</v>
      </c>
      <c r="F465" s="2">
        <v>1</v>
      </c>
      <c r="G465" s="2">
        <v>0.75</v>
      </c>
    </row>
    <row r="466" spans="1:7">
      <c r="A466" s="1">
        <f>Sheet1!A472</f>
        <v>45797</v>
      </c>
      <c r="B466" s="2">
        <f>Sheet1!L472</f>
        <v>0.00610606060606061</v>
      </c>
      <c r="C466" s="2">
        <f>Sheet1!F472</f>
        <v>0.000367095027222474</v>
      </c>
      <c r="D466" s="2">
        <f>Sheet1!G472</f>
        <v>0.17069918765845</v>
      </c>
      <c r="E466" s="2">
        <f>Sheet1!AN472*MAX(B$2:B$318)/MAX(Sheet1!AN$8:AN$324)</f>
        <v>0.0165634747863128</v>
      </c>
      <c r="F466" s="2">
        <v>1</v>
      </c>
      <c r="G466" s="2">
        <v>0.75</v>
      </c>
    </row>
    <row r="467" spans="1:7">
      <c r="A467" s="1">
        <f>Sheet1!A473</f>
        <v>45798</v>
      </c>
      <c r="B467" s="2">
        <f>Sheet1!L473</f>
        <v>0.0120168887878527</v>
      </c>
      <c r="C467" s="2">
        <f>Sheet1!F473</f>
        <v>0.00037214970820697</v>
      </c>
      <c r="D467" s="2">
        <f>Sheet1!G473</f>
        <v>0.173421764024448</v>
      </c>
      <c r="E467" s="2">
        <f>Sheet1!AN473*MAX(B$2:B$318)/MAX(Sheet1!AN$8:AN$324)</f>
        <v>0.0165634747863128</v>
      </c>
      <c r="F467" s="2">
        <v>1</v>
      </c>
      <c r="G467" s="2">
        <v>0.75</v>
      </c>
    </row>
    <row r="468" spans="1:7">
      <c r="A468" s="1">
        <f>Sheet1!A474</f>
        <v>45799</v>
      </c>
      <c r="B468" s="2">
        <f>Sheet1!L474</f>
        <v>0.00642304324653573</v>
      </c>
      <c r="C468" s="2">
        <f>Sheet1!F474</f>
        <v>0.000374468918115613</v>
      </c>
      <c r="D468" s="2">
        <f>Sheet1!G474</f>
        <v>0.174876984759991</v>
      </c>
      <c r="E468" s="2">
        <f>Sheet1!AN474*MAX(B$2:B$318)/MAX(Sheet1!AN$8:AN$324)</f>
        <v>0.0165634747863128</v>
      </c>
      <c r="F468" s="2">
        <v>1</v>
      </c>
      <c r="G468" s="2">
        <v>0.75</v>
      </c>
    </row>
    <row r="469" spans="1:7">
      <c r="A469" s="1">
        <f>Sheet1!A475</f>
        <v>45800</v>
      </c>
      <c r="B469" s="2">
        <f>Sheet1!L475</f>
        <v>0.0070126387638764</v>
      </c>
      <c r="C469" s="2">
        <f>Sheet1!F475</f>
        <v>0.000377063644722077</v>
      </c>
      <c r="D469" s="2">
        <f>Sheet1!G475</f>
        <v>0.176465785729932</v>
      </c>
      <c r="E469" s="2">
        <f>Sheet1!AN475*MAX(B$2:B$318)/MAX(Sheet1!AN$8:AN$324)</f>
        <v>0.0165634747863128</v>
      </c>
      <c r="F469" s="2">
        <v>1</v>
      </c>
      <c r="G469" s="2">
        <v>0.75</v>
      </c>
    </row>
    <row r="470" spans="1:7">
      <c r="A470" s="1">
        <f>Sheet1!A476</f>
        <v>45801</v>
      </c>
      <c r="B470" s="2">
        <f>Sheet1!L476</f>
        <v>0.00277272727272728</v>
      </c>
      <c r="C470" s="2">
        <f>Sheet1!F476</f>
        <v>0.000377599108214626</v>
      </c>
      <c r="D470" s="2">
        <f>Sheet1!G476</f>
        <v>0.177093981752659</v>
      </c>
      <c r="E470" s="2">
        <f>Sheet1!AN476*MAX(B$2:B$318)/MAX(Sheet1!AN$8:AN$324)</f>
        <v>0.0165634747863128</v>
      </c>
      <c r="F470" s="2">
        <v>1</v>
      </c>
      <c r="G470" s="2">
        <v>0.75</v>
      </c>
    </row>
    <row r="471" spans="1:7">
      <c r="A471" s="1">
        <f>Sheet1!A477</f>
        <v>45802</v>
      </c>
      <c r="B471" s="2">
        <f>Sheet1!L477</f>
        <v>0.0151654466606998</v>
      </c>
      <c r="C471" s="2">
        <f>Sheet1!F477</f>
        <v>0.000384106177152605</v>
      </c>
      <c r="D471" s="2">
        <f>Sheet1!G477</f>
        <v>0.180529903261724</v>
      </c>
      <c r="E471" s="2">
        <f>Sheet1!AN477*MAX(B$2:B$318)/MAX(Sheet1!AN$8:AN$324)</f>
        <v>0.0165634747863128</v>
      </c>
      <c r="F471" s="2">
        <v>1</v>
      </c>
      <c r="G471" s="2">
        <v>0.75</v>
      </c>
    </row>
    <row r="472" spans="1:7">
      <c r="A472" s="1">
        <f>Sheet1!A478</f>
        <v>45803</v>
      </c>
      <c r="B472" s="2">
        <f>Sheet1!L478</f>
        <v>0.00715782828282829</v>
      </c>
      <c r="C472" s="2">
        <f>Sheet1!F478</f>
        <v>0.00038673375526975</v>
      </c>
      <c r="D472" s="2">
        <f>Sheet1!G478</f>
        <v>0.182151598732052</v>
      </c>
      <c r="E472" s="2">
        <f>Sheet1!AN478*MAX(B$2:B$318)/MAX(Sheet1!AN$8:AN$324)</f>
        <v>0.0165634747863128</v>
      </c>
      <c r="F472" s="2">
        <v>1</v>
      </c>
      <c r="G472" s="2">
        <v>0.75</v>
      </c>
    </row>
    <row r="473" spans="1:7">
      <c r="A473" s="1">
        <f>Sheet1!A479</f>
        <v>45804</v>
      </c>
      <c r="B473" s="2">
        <f>Sheet1!L479</f>
        <v>0.00881102693602696</v>
      </c>
      <c r="C473" s="2">
        <f>Sheet1!F479</f>
        <v>0.000390143743691199</v>
      </c>
      <c r="D473" s="2">
        <f>Sheet1!G479</f>
        <v>0.184147847022246</v>
      </c>
      <c r="E473" s="2">
        <f>Sheet1!AN479*MAX(B$2:B$318)/MAX(Sheet1!AN$8:AN$324)</f>
        <v>0.0165634747863128</v>
      </c>
      <c r="F473" s="2">
        <v>1</v>
      </c>
      <c r="G473" s="2">
        <v>0.75</v>
      </c>
    </row>
    <row r="474" spans="1:7">
      <c r="A474" s="1">
        <f>Sheet1!A480</f>
        <v>45805</v>
      </c>
      <c r="B474" s="2">
        <f>Sheet1!L480</f>
        <v>0.00648737373737375</v>
      </c>
      <c r="C474" s="2">
        <f>Sheet1!F480</f>
        <v>0.000392426305781437</v>
      </c>
      <c r="D474" s="2">
        <f>Sheet1!G480</f>
        <v>0.18561764263462</v>
      </c>
      <c r="E474" s="2">
        <f>Sheet1!AN480*MAX(B$2:B$318)/MAX(Sheet1!AN$8:AN$324)</f>
        <v>0.0165634747863128</v>
      </c>
      <c r="F474" s="2">
        <v>1</v>
      </c>
      <c r="G474" s="2">
        <v>0.75</v>
      </c>
    </row>
    <row r="475" spans="1:7">
      <c r="A475" s="1">
        <f>Sheet1!A481</f>
        <v>45806</v>
      </c>
      <c r="B475" s="2">
        <f>Sheet1!L481</f>
        <v>0.00712082362082363</v>
      </c>
      <c r="C475" s="2">
        <f>Sheet1!F481</f>
        <v>0.000413672899232516</v>
      </c>
      <c r="D475" s="2">
        <f>Sheet1!G481</f>
        <v>0.196080954236213</v>
      </c>
      <c r="E475" s="2">
        <f>Sheet1!AN481*MAX(B$2:B$318)/MAX(Sheet1!AN$8:AN$324)</f>
        <v>0.0165634747863128</v>
      </c>
      <c r="F475" s="2">
        <v>1</v>
      </c>
      <c r="G475" s="2">
        <v>0.75</v>
      </c>
    </row>
    <row r="476" spans="1:7">
      <c r="A476" s="1">
        <f>Sheet1!A482</f>
        <v>45807</v>
      </c>
      <c r="B476" s="2">
        <f>Sheet1!L482</f>
        <v>0.0108541181041181</v>
      </c>
      <c r="C476" s="2">
        <f>Sheet1!F482</f>
        <v>0.000514531769198267</v>
      </c>
      <c r="D476" s="2">
        <f>Sheet1!G482</f>
        <v>0.244402590369177</v>
      </c>
      <c r="E476" s="2">
        <f>Sheet1!AN482*MAX(B$2:B$318)/MAX(Sheet1!AN$8:AN$324)</f>
        <v>0.0165634747863128</v>
      </c>
      <c r="F476" s="2">
        <v>1</v>
      </c>
      <c r="G476" s="2">
        <v>0.75</v>
      </c>
    </row>
    <row r="477" spans="1:7">
      <c r="A477" s="1">
        <f>Sheet1!A483</f>
        <v>45808</v>
      </c>
      <c r="B477" s="2">
        <f>Sheet1!L483</f>
        <v>0.0082629823879824</v>
      </c>
      <c r="C477" s="2">
        <f>Sheet1!F483</f>
        <v>0.000519116958648013</v>
      </c>
      <c r="D477" s="2">
        <f>Sheet1!G483</f>
        <v>0.247099672316454</v>
      </c>
      <c r="E477" s="2">
        <f>Sheet1!AN483*MAX(B$2:B$318)/MAX(Sheet1!AN$8:AN$324)</f>
        <v>0.0165634747863128</v>
      </c>
      <c r="F477" s="2">
        <v>1</v>
      </c>
      <c r="G477" s="2">
        <v>0.75</v>
      </c>
    </row>
    <row r="478" spans="1:7">
      <c r="A478" s="1">
        <f>Sheet1!A484</f>
        <v>45809</v>
      </c>
      <c r="B478" s="2">
        <f>Sheet1!L484</f>
        <v>0.0117911162911163</v>
      </c>
      <c r="C478" s="2">
        <f>Sheet1!F484</f>
        <v>0.000525473197478374</v>
      </c>
      <c r="D478" s="2">
        <f>Sheet1!G484</f>
        <v>0.250650715197185</v>
      </c>
      <c r="E478" s="2">
        <f>Sheet1!AN484*MAX(B$2:B$318)/MAX(Sheet1!AN$8:AN$324)</f>
        <v>0.0165634747863128</v>
      </c>
      <c r="F478" s="2">
        <v>1</v>
      </c>
      <c r="G478" s="2">
        <v>0.75</v>
      </c>
    </row>
    <row r="479" spans="1:7">
      <c r="A479" s="1">
        <f>Sheet1!A485</f>
        <v>45810</v>
      </c>
      <c r="B479" s="2">
        <f>Sheet1!L485</f>
        <v>0.00394612794612796</v>
      </c>
      <c r="C479" s="2">
        <f>Sheet1!F485</f>
        <v>0.000526308763461419</v>
      </c>
      <c r="D479" s="2">
        <f>Sheet1!G485</f>
        <v>0.251575588934558</v>
      </c>
      <c r="E479" s="2">
        <f>Sheet1!AN485*MAX(B$2:B$318)/MAX(Sheet1!AN$8:AN$324)</f>
        <v>0.0165634747863128</v>
      </c>
      <c r="F479" s="2">
        <v>1</v>
      </c>
      <c r="G479" s="2">
        <v>0.75</v>
      </c>
    </row>
    <row r="480" spans="1:7">
      <c r="A480" s="1">
        <f>Sheet1!A486</f>
        <v>45811</v>
      </c>
      <c r="B480" s="2">
        <f>Sheet1!L486</f>
        <v>0.0106611952861953</v>
      </c>
      <c r="C480" s="2">
        <f>Sheet1!F486</f>
        <v>0.000535358677619541</v>
      </c>
      <c r="D480" s="2">
        <f>Sheet1!G486</f>
        <v>0.25643680657976</v>
      </c>
      <c r="E480" s="2">
        <f>Sheet1!AN486*MAX(B$2:B$318)/MAX(Sheet1!AN$8:AN$324)</f>
        <v>0.0165634747863128</v>
      </c>
      <c r="F480" s="2">
        <v>1</v>
      </c>
      <c r="G480" s="2">
        <v>0.75</v>
      </c>
    </row>
    <row r="481" spans="1:7">
      <c r="A481" s="1">
        <f>Sheet1!A487</f>
        <v>45812</v>
      </c>
      <c r="B481" s="2">
        <f>Sheet1!L487</f>
        <v>0.00488510101010101</v>
      </c>
      <c r="C481" s="2">
        <f>Sheet1!F487</f>
        <v>0.000536628650268756</v>
      </c>
      <c r="D481" s="2">
        <f>Sheet1!G487</f>
        <v>0.257581752129003</v>
      </c>
      <c r="E481" s="2">
        <f>Sheet1!AN487*MAX(B$2:B$318)/MAX(Sheet1!AN$8:AN$324)</f>
        <v>0.0165634747863128</v>
      </c>
      <c r="F481" s="2">
        <v>1</v>
      </c>
      <c r="G481" s="2">
        <v>0.75</v>
      </c>
    </row>
    <row r="482" spans="1:7">
      <c r="A482" s="1">
        <f>Sheet1!A488</f>
        <v>45813</v>
      </c>
      <c r="B482" s="2">
        <f>Sheet1!L488</f>
        <v>0.00280681818181819</v>
      </c>
      <c r="C482" s="2">
        <f>Sheet1!F488</f>
        <v>0.000536880665572487</v>
      </c>
      <c r="D482" s="2">
        <f>Sheet1!G488</f>
        <v>0.258239600140366</v>
      </c>
      <c r="E482" s="2">
        <f>Sheet1!AN488*MAX(B$2:B$318)/MAX(Sheet1!AN$8:AN$324)</f>
        <v>0.0165634747863128</v>
      </c>
      <c r="F482" s="2">
        <v>1</v>
      </c>
      <c r="G482" s="2">
        <v>0.75</v>
      </c>
    </row>
    <row r="483" spans="1:7">
      <c r="A483" s="1">
        <f>Sheet1!A489</f>
        <v>45814</v>
      </c>
      <c r="B483" s="2">
        <f>Sheet1!L489</f>
        <v>0</v>
      </c>
      <c r="C483" s="2">
        <f>Sheet1!F489</f>
        <v>0.00053576680527047</v>
      </c>
      <c r="D483" s="2">
        <f>Sheet1!G489</f>
        <v>0.258239600140366</v>
      </c>
      <c r="E483" s="2">
        <f>Sheet1!AN489*MAX(B$2:B$318)/MAX(Sheet1!AN$8:AN$324)</f>
        <v>0.0165634747863128</v>
      </c>
      <c r="F483" s="2">
        <v>1</v>
      </c>
      <c r="G483" s="2">
        <v>0.75</v>
      </c>
    </row>
    <row r="484" spans="1:7">
      <c r="A484" s="1">
        <f>Sheet1!A490</f>
        <v>45815</v>
      </c>
      <c r="B484" s="2">
        <f>Sheet1!L490</f>
        <v>0.00277272727272728</v>
      </c>
      <c r="C484" s="2">
        <f>Sheet1!F490</f>
        <v>0.000536003018830045</v>
      </c>
      <c r="D484" s="2">
        <f>Sheet1!G490</f>
        <v>0.258889458094912</v>
      </c>
      <c r="E484" s="2">
        <f>Sheet1!AN490*MAX(B$2:B$318)/MAX(Sheet1!AN$8:AN$324)</f>
        <v>0.0165634747863128</v>
      </c>
      <c r="F484" s="2">
        <v>1</v>
      </c>
      <c r="G484" s="2">
        <v>0.75</v>
      </c>
    </row>
    <row r="485" spans="1:7">
      <c r="A485" s="1">
        <f>Sheet1!A491</f>
        <v>45816</v>
      </c>
      <c r="B485" s="2">
        <f>Sheet1!L491</f>
        <v>0.0155555555555556</v>
      </c>
      <c r="C485" s="2">
        <f>Sheet1!F491</f>
        <v>0.000544132833529432</v>
      </c>
      <c r="D485" s="2">
        <f>Sheet1!G491</f>
        <v>0.263360291428245</v>
      </c>
      <c r="E485" s="2">
        <f>Sheet1!AN491*MAX(B$2:B$318)/MAX(Sheet1!AN$8:AN$324)</f>
        <v>0.0165634747863128</v>
      </c>
      <c r="F485" s="2">
        <v>1</v>
      </c>
      <c r="G485" s="2">
        <v>0.75</v>
      </c>
    </row>
    <row r="486" spans="1:7">
      <c r="A486" s="1">
        <f>Sheet1!A492</f>
        <v>45817</v>
      </c>
      <c r="B486" s="2">
        <f>Sheet1!L492</f>
        <v>0.0159343434343435</v>
      </c>
      <c r="C486" s="2">
        <f>Sheet1!F492</f>
        <v>0.000559602893135401</v>
      </c>
      <c r="D486" s="2">
        <f>Sheet1!G492</f>
        <v>0.271407403170669</v>
      </c>
      <c r="E486" s="2">
        <f>Sheet1!AN492*MAX(B$2:B$318)/MAX(Sheet1!AN$8:AN$324)</f>
        <v>0.0165634747863128</v>
      </c>
      <c r="F486" s="2">
        <v>1</v>
      </c>
      <c r="G486" s="2">
        <v>0.75</v>
      </c>
    </row>
    <row r="487" spans="1:7">
      <c r="A487" s="1">
        <f>Sheet1!A493</f>
        <v>45818</v>
      </c>
      <c r="B487" s="2">
        <f>Sheet1!L493</f>
        <v>0.0149242424242424</v>
      </c>
      <c r="C487" s="2">
        <f>Sheet1!F493</f>
        <v>0.00057182154833097</v>
      </c>
      <c r="D487" s="2">
        <f>Sheet1!G493</f>
        <v>0.277905272488851</v>
      </c>
      <c r="E487" s="2">
        <f>Sheet1!AN493*MAX(B$2:B$318)/MAX(Sheet1!AN$8:AN$324)</f>
        <v>0.0165634747863128</v>
      </c>
      <c r="F487" s="2">
        <v>1</v>
      </c>
      <c r="G487" s="2">
        <v>0.75</v>
      </c>
    </row>
    <row r="488" spans="1:7">
      <c r="A488" s="1">
        <f>Sheet1!A494</f>
        <v>45819</v>
      </c>
      <c r="B488" s="2">
        <f>Sheet1!L494</f>
        <v>0.012145202020202</v>
      </c>
      <c r="C488" s="2">
        <f>Sheet1!F494</f>
        <v>0.000585116641093093</v>
      </c>
      <c r="D488" s="2">
        <f>Sheet1!G494</f>
        <v>0.284951804212336</v>
      </c>
      <c r="E488" s="2">
        <f>Sheet1!AN494*MAX(B$2:B$318)/MAX(Sheet1!AN$8:AN$324)</f>
        <v>0.0165634747863128</v>
      </c>
      <c r="F488" s="2">
        <v>1</v>
      </c>
      <c r="G488" s="2">
        <v>0.75</v>
      </c>
    </row>
    <row r="489" spans="1:7">
      <c r="A489" s="1">
        <f>Sheet1!A495</f>
        <v>45820</v>
      </c>
      <c r="B489" s="2">
        <f>Sheet1!L495</f>
        <v>0.0158598484848485</v>
      </c>
      <c r="C489" s="2">
        <f>Sheet1!F495</f>
        <v>0.000594685361067566</v>
      </c>
      <c r="D489" s="2">
        <f>Sheet1!G495</f>
        <v>0.290206456200972</v>
      </c>
      <c r="E489" s="2">
        <f>Sheet1!AN495*MAX(B$2:B$318)/MAX(Sheet1!AN$8:AN$324)</f>
        <v>0.0165634747863128</v>
      </c>
      <c r="F489" s="2">
        <v>1</v>
      </c>
      <c r="G489" s="2">
        <v>0.75</v>
      </c>
    </row>
    <row r="490" spans="1:7">
      <c r="A490" s="1">
        <f>Sheet1!A496</f>
        <v>45821</v>
      </c>
      <c r="B490" s="2">
        <f>Sheet1!L496</f>
        <v>0.0167878787878788</v>
      </c>
      <c r="C490" s="2">
        <f>Sheet1!F496</f>
        <v>0.000605349929022253</v>
      </c>
      <c r="D490" s="2">
        <f>Sheet1!G496</f>
        <v>0.296016115291882</v>
      </c>
      <c r="E490" s="2">
        <f>Sheet1!AN496*MAX(B$2:B$318)/MAX(Sheet1!AN$8:AN$324)</f>
        <v>0.0165634747863128</v>
      </c>
      <c r="F490" s="2">
        <v>1</v>
      </c>
      <c r="G490" s="2">
        <v>0.75</v>
      </c>
    </row>
    <row r="491" spans="1:7">
      <c r="A491" s="1">
        <f>Sheet1!A497</f>
        <v>45822</v>
      </c>
      <c r="B491" s="2">
        <f>Sheet1!L497</f>
        <v>0.0183156565656566</v>
      </c>
      <c r="C491" s="2">
        <f>Sheet1!F497</f>
        <v>0.000619303769998892</v>
      </c>
      <c r="D491" s="2">
        <f>Sheet1!G497</f>
        <v>0.303458847299457</v>
      </c>
      <c r="E491" s="2">
        <f>Sheet1!AN497*MAX(B$2:B$318)/MAX(Sheet1!AN$8:AN$324)</f>
        <v>0.0165634747863128</v>
      </c>
      <c r="F491" s="2">
        <v>1</v>
      </c>
      <c r="G491" s="2">
        <v>0.75</v>
      </c>
    </row>
    <row r="492" spans="1:7">
      <c r="A492" s="1">
        <f>Sheet1!A498</f>
        <v>45823</v>
      </c>
      <c r="B492" s="2">
        <f>Sheet1!L498</f>
        <v>0.0187828282828283</v>
      </c>
      <c r="C492" s="2">
        <f>Sheet1!F498</f>
        <v>0.000635104017674634</v>
      </c>
      <c r="D492" s="2">
        <f>Sheet1!G498</f>
        <v>0.311836072678245</v>
      </c>
      <c r="E492" s="2">
        <f>Sheet1!AN498*MAX(B$2:B$318)/MAX(Sheet1!AN$8:AN$324)</f>
        <v>0.0165634747863128</v>
      </c>
      <c r="F492" s="2">
        <v>1</v>
      </c>
      <c r="G492" s="2">
        <v>0.75</v>
      </c>
    </row>
    <row r="493" spans="1:7">
      <c r="A493" s="1">
        <f>Sheet1!A499</f>
        <v>45824</v>
      </c>
      <c r="B493" s="2">
        <f>Sheet1!L499</f>
        <v>0.0109962121212121</v>
      </c>
      <c r="C493" s="2">
        <f>Sheet1!F499</f>
        <v>0.000642328881898687</v>
      </c>
      <c r="D493" s="2">
        <f>Sheet1!G499</f>
        <v>0.316025809894154</v>
      </c>
      <c r="E493" s="2">
        <f>Sheet1!AN499*MAX(B$2:B$318)/MAX(Sheet1!AN$8:AN$324)</f>
        <v>0.0165634747863128</v>
      </c>
      <c r="F493" s="2">
        <v>1</v>
      </c>
      <c r="G493" s="2">
        <v>0.75</v>
      </c>
    </row>
    <row r="494" spans="1:7">
      <c r="A494" s="1">
        <f>Sheet1!A500</f>
        <v>45825</v>
      </c>
      <c r="B494" s="2">
        <f>Sheet1!L500</f>
        <v>0.00813005050505052</v>
      </c>
      <c r="C494" s="2">
        <f>Sheet1!F500</f>
        <v>0.000644891055742952</v>
      </c>
      <c r="D494" s="2">
        <f>Sheet1!G500</f>
        <v>0.317931290481275</v>
      </c>
      <c r="E494" s="2">
        <f>Sheet1!AN500*MAX(B$2:B$318)/MAX(Sheet1!AN$8:AN$324)</f>
        <v>0.0165634747863128</v>
      </c>
      <c r="F494" s="2">
        <v>1</v>
      </c>
      <c r="G494" s="2">
        <v>0.75</v>
      </c>
    </row>
    <row r="495" spans="1:7">
      <c r="A495" s="1">
        <f>Sheet1!A501</f>
        <v>45826</v>
      </c>
      <c r="B495" s="2">
        <f>Sheet1!L501</f>
        <v>0.0055568181818182</v>
      </c>
      <c r="C495" s="2">
        <f>Sheet1!F501</f>
        <v>0.00064622200352761</v>
      </c>
      <c r="D495" s="2">
        <f>Sheet1!G501</f>
        <v>0.319233669742639</v>
      </c>
      <c r="E495" s="2">
        <f>Sheet1!AN501*MAX(B$2:B$318)/MAX(Sheet1!AN$8:AN$324)</f>
        <v>0.0165634747863128</v>
      </c>
      <c r="F495" s="2">
        <v>1</v>
      </c>
      <c r="G495" s="2">
        <v>0.75</v>
      </c>
    </row>
    <row r="496" spans="1:7">
      <c r="A496" s="1">
        <f>Sheet1!A502</f>
        <v>45827</v>
      </c>
      <c r="B496" s="2">
        <f>Sheet1!L502</f>
        <v>0.0145340909090909</v>
      </c>
      <c r="C496" s="2">
        <f>Sheet1!F502</f>
        <v>0.000656570903635267</v>
      </c>
      <c r="D496" s="2">
        <f>Sheet1!G502</f>
        <v>0.325002597299457</v>
      </c>
      <c r="E496" s="2">
        <f>Sheet1!AN502*MAX(B$2:B$318)/MAX(Sheet1!AN$8:AN$324)</f>
        <v>0.0165634747863128</v>
      </c>
      <c r="F496" s="2">
        <v>1</v>
      </c>
      <c r="G496" s="2">
        <v>0.75</v>
      </c>
    </row>
    <row r="497" spans="1:7">
      <c r="A497" s="1">
        <f>Sheet1!A503</f>
        <v>45828</v>
      </c>
      <c r="B497" s="2">
        <f>Sheet1!L503</f>
        <v>0.00715909090909093</v>
      </c>
      <c r="C497" s="2">
        <f>Sheet1!F503</f>
        <v>0.000660217760546926</v>
      </c>
      <c r="D497" s="2">
        <f>Sheet1!G503</f>
        <v>0.327468009231276</v>
      </c>
      <c r="E497" s="2">
        <f>Sheet1!AN503*MAX(B$2:B$318)/MAX(Sheet1!AN$8:AN$324)</f>
        <v>0.0165634747863128</v>
      </c>
      <c r="F497" s="2">
        <v>1</v>
      </c>
      <c r="G497" s="2">
        <v>0.75</v>
      </c>
    </row>
    <row r="498" spans="1:7">
      <c r="A498" s="1">
        <f>Sheet1!A504</f>
        <v>45829</v>
      </c>
      <c r="B498" s="2">
        <f>Sheet1!L504</f>
        <v>0.0145277777777778</v>
      </c>
      <c r="C498" s="2">
        <f>Sheet1!F504</f>
        <v>0.000676982811162862</v>
      </c>
      <c r="D498" s="2">
        <f>Sheet1!G504</f>
        <v>0.336460457147942</v>
      </c>
      <c r="E498" s="2">
        <f>Sheet1!AN504*MAX(B$2:B$318)/MAX(Sheet1!AN$8:AN$324)</f>
        <v>0.0165634747863128</v>
      </c>
      <c r="F498" s="2">
        <v>1</v>
      </c>
      <c r="G498" s="2">
        <v>0.75</v>
      </c>
    </row>
    <row r="499" spans="1:7">
      <c r="A499" s="1">
        <f>Sheet1!A505</f>
        <v>45830</v>
      </c>
      <c r="B499" s="2">
        <f>Sheet1!L505</f>
        <v>0.0178712121212121</v>
      </c>
      <c r="C499" s="2">
        <f>Sheet1!F505</f>
        <v>0.00068719683230693</v>
      </c>
      <c r="D499" s="2">
        <f>Sheet1!G505</f>
        <v>0.342224022488851</v>
      </c>
      <c r="E499" s="2">
        <f>Sheet1!AN505*MAX(B$2:B$318)/MAX(Sheet1!AN$8:AN$324)</f>
        <v>0.0165634747863128</v>
      </c>
      <c r="F499" s="2">
        <v>1</v>
      </c>
      <c r="G499" s="2">
        <v>0.75</v>
      </c>
    </row>
    <row r="500" spans="1:7">
      <c r="A500" s="1">
        <f>Sheet1!A506</f>
        <v>45831</v>
      </c>
      <c r="B500" s="2">
        <f>Sheet1!L506</f>
        <v>0.00817550505050506</v>
      </c>
      <c r="C500" s="2">
        <f>Sheet1!F506</f>
        <v>0.000689659632234596</v>
      </c>
      <c r="D500" s="2">
        <f>Sheet1!G506</f>
        <v>0.344140156485063</v>
      </c>
      <c r="E500" s="2">
        <f>Sheet1!AN506*MAX(B$2:B$318)/MAX(Sheet1!AN$8:AN$324)</f>
        <v>0.0165634747863128</v>
      </c>
      <c r="F500" s="2">
        <v>1</v>
      </c>
      <c r="G500" s="2">
        <v>0.75</v>
      </c>
    </row>
    <row r="501" spans="1:7">
      <c r="A501" s="1">
        <f>Sheet1!A507</f>
        <v>45832</v>
      </c>
      <c r="B501" s="2">
        <f>Sheet1!L507</f>
        <v>0.0166085858585859</v>
      </c>
      <c r="C501" s="2">
        <f>Sheet1!F507</f>
        <v>0.000718340587591339</v>
      </c>
      <c r="D501" s="2">
        <f>Sheet1!G507</f>
        <v>0.35917029379567</v>
      </c>
      <c r="E501" s="2">
        <f>Sheet1!AN507*MAX(B$2:B$318)/MAX(Sheet1!AN$8:AN$324)</f>
        <v>0.0165634747863128</v>
      </c>
      <c r="F501" s="2">
        <v>1</v>
      </c>
      <c r="G501" s="2">
        <v>0.75</v>
      </c>
    </row>
    <row r="502" spans="1:7">
      <c r="A502" s="1">
        <f>Sheet1!A508</f>
        <v>45833</v>
      </c>
      <c r="B502" s="2">
        <f>Sheet1!L508</f>
        <v>0.00953156565656567</v>
      </c>
      <c r="C502" s="2">
        <f>Sheet1!F508</f>
        <v>0.000722937633725403</v>
      </c>
      <c r="D502" s="2">
        <f>Sheet1!G508</f>
        <v>0.362191754496427</v>
      </c>
      <c r="E502" s="2">
        <f>Sheet1!AN508*MAX(B$2:B$318)/MAX(Sheet1!AN$8:AN$324)</f>
        <v>0.0165634747863128</v>
      </c>
      <c r="F502" s="2">
        <v>1</v>
      </c>
      <c r="G502" s="2">
        <v>0.75</v>
      </c>
    </row>
    <row r="503" spans="1:7">
      <c r="A503" s="1">
        <f>Sheet1!A509</f>
        <v>45834</v>
      </c>
      <c r="B503" s="2">
        <f>Sheet1!L509</f>
        <v>0.00931313131313133</v>
      </c>
      <c r="C503" s="2">
        <f>Sheet1!F509</f>
        <v>0.000727414381768809</v>
      </c>
      <c r="D503" s="2">
        <f>Sheet1!G509</f>
        <v>0.365162019647942</v>
      </c>
      <c r="E503" s="2">
        <f>Sheet1!AN509*MAX(B$2:B$318)/MAX(Sheet1!AN$8:AN$324)</f>
        <v>0.0165634747863128</v>
      </c>
      <c r="F503" s="2">
        <v>1</v>
      </c>
      <c r="G503" s="2">
        <v>0.75</v>
      </c>
    </row>
    <row r="504" spans="1:7">
      <c r="A504" s="1">
        <f>Sheet1!A510</f>
        <v>45835</v>
      </c>
      <c r="B504" s="2">
        <f>Sheet1!L510</f>
        <v>0.00608712121212122</v>
      </c>
      <c r="C504" s="2">
        <f>Sheet1!F510</f>
        <v>0.000728804550063684</v>
      </c>
      <c r="D504" s="2">
        <f>Sheet1!G510</f>
        <v>0.366588688682033</v>
      </c>
      <c r="E504" s="2">
        <f>Sheet1!AN510*MAX(B$2:B$318)/MAX(Sheet1!AN$8:AN$324)</f>
        <v>0.0165634747863128</v>
      </c>
      <c r="F504" s="2">
        <v>1</v>
      </c>
      <c r="G504" s="2">
        <v>0.75</v>
      </c>
    </row>
    <row r="505" spans="1:7">
      <c r="A505" s="1">
        <f>Sheet1!A511</f>
        <v>45836</v>
      </c>
      <c r="B505" s="2">
        <f>Sheet1!L511</f>
        <v>0</v>
      </c>
      <c r="C505" s="2">
        <f>Sheet1!F511</f>
        <v>0.000727358509289748</v>
      </c>
      <c r="D505" s="2">
        <f>Sheet1!G511</f>
        <v>0.366588688682033</v>
      </c>
      <c r="E505" s="2">
        <f>Sheet1!AN511*MAX(B$2:B$318)/MAX(Sheet1!AN$8:AN$324)</f>
        <v>0.0165634747863128</v>
      </c>
      <c r="F505" s="2">
        <v>1</v>
      </c>
      <c r="G505" s="2">
        <v>0.75</v>
      </c>
    </row>
    <row r="506" spans="1:7">
      <c r="A506" s="1">
        <f>Sheet1!A512</f>
        <v>45837</v>
      </c>
      <c r="B506" s="2">
        <f>Sheet1!L512</f>
        <v>0.0108396464646465</v>
      </c>
      <c r="C506" s="2">
        <f>Sheet1!F512</f>
        <v>0.000735701447172643</v>
      </c>
      <c r="D506" s="2">
        <f>Sheet1!G512</f>
        <v>0.371529230822185</v>
      </c>
      <c r="E506" s="2">
        <f>Sheet1!AN512*MAX(B$2:B$318)/MAX(Sheet1!AN$8:AN$324)</f>
        <v>0.0165634747863128</v>
      </c>
      <c r="F506" s="2">
        <v>1</v>
      </c>
      <c r="G506" s="2">
        <v>0.75</v>
      </c>
    </row>
    <row r="507" spans="1:7">
      <c r="A507" s="1">
        <f>Sheet1!A513</f>
        <v>45838</v>
      </c>
      <c r="B507" s="2">
        <f>Sheet1!L513</f>
        <v>0.0140530303030303</v>
      </c>
      <c r="C507" s="2">
        <f>Sheet1!F513</f>
        <v>0.000750613458101695</v>
      </c>
      <c r="D507" s="2">
        <f>Sheet1!G513</f>
        <v>0.379810409799457</v>
      </c>
      <c r="E507" s="2">
        <f>Sheet1!AN513*MAX(B$2:B$318)/MAX(Sheet1!AN$8:AN$324)</f>
        <v>0.0165634747863128</v>
      </c>
      <c r="F507" s="2">
        <v>1</v>
      </c>
      <c r="G507" s="2">
        <v>0.75</v>
      </c>
    </row>
    <row r="508" spans="1:7">
      <c r="A508" s="1">
        <f>Sheet1!A514</f>
        <v>45839</v>
      </c>
      <c r="B508" s="2">
        <f>Sheet1!L514</f>
        <v>0.0142045454545455</v>
      </c>
      <c r="C508" s="2">
        <f>Sheet1!F514</f>
        <v>0.00077108101213359</v>
      </c>
      <c r="D508" s="2">
        <f>Sheet1!G514</f>
        <v>0.39093807315173</v>
      </c>
      <c r="E508" s="2">
        <f>Sheet1!AN514*MAX(B$2:B$318)/MAX(Sheet1!AN$8:AN$324)</f>
        <v>0.0165634747863128</v>
      </c>
      <c r="F508" s="2">
        <v>1</v>
      </c>
      <c r="G508" s="2">
        <v>0.75</v>
      </c>
    </row>
    <row r="509" spans="1:7">
      <c r="A509" s="1">
        <f>Sheet1!A515</f>
        <v>45840</v>
      </c>
      <c r="B509" s="2">
        <f>Sheet1!L515</f>
        <v>0.0212348484848485</v>
      </c>
      <c r="C509" s="2">
        <f>Sheet1!F515</f>
        <v>0.000816891511848729</v>
      </c>
      <c r="D509" s="2">
        <f>Sheet1!G515</f>
        <v>0.414980888019154</v>
      </c>
      <c r="E509" s="2">
        <f>Sheet1!AN515*MAX(B$2:B$318)/MAX(Sheet1!AN$8:AN$324)</f>
        <v>0.0165634747863128</v>
      </c>
      <c r="F509" s="2">
        <v>1</v>
      </c>
      <c r="G509" s="2">
        <v>0.75</v>
      </c>
    </row>
    <row r="510" spans="1:7">
      <c r="A510" s="1">
        <f>Sheet1!A516</f>
        <v>45841</v>
      </c>
      <c r="B510" s="2">
        <f>Sheet1!L516</f>
        <v>0.0250757575757576</v>
      </c>
      <c r="C510" s="2">
        <f>Sheet1!F516</f>
        <v>0.000843720870446038</v>
      </c>
      <c r="D510" s="2">
        <f>Sheet1!G516</f>
        <v>0.429453923057033</v>
      </c>
      <c r="E510" s="2">
        <f>Sheet1!AN516*MAX(B$2:B$318)/MAX(Sheet1!AN$8:AN$324)</f>
        <v>0.0165634747863128</v>
      </c>
      <c r="F510" s="2">
        <v>1</v>
      </c>
      <c r="G510" s="2">
        <v>0.75</v>
      </c>
    </row>
    <row r="511" spans="1:7">
      <c r="A511" s="1">
        <f>Sheet1!A517</f>
        <v>45842</v>
      </c>
      <c r="B511" s="2">
        <f>Sheet1!L517</f>
        <v>0</v>
      </c>
      <c r="C511" s="2">
        <f>Sheet1!F517</f>
        <v>0.000842066515798104</v>
      </c>
      <c r="D511" s="2">
        <f>Sheet1!G517</f>
        <v>0.429453923057033</v>
      </c>
      <c r="E511" s="2">
        <f>Sheet1!AN517*MAX(B$2:B$318)/MAX(Sheet1!AN$8:AN$324)</f>
        <v>0.0165634747863128</v>
      </c>
      <c r="F511" s="2">
        <v>1</v>
      </c>
      <c r="G511" s="2">
        <v>0.75</v>
      </c>
    </row>
    <row r="512" spans="1:7">
      <c r="A512" s="1">
        <f>Sheet1!A518</f>
        <v>45843</v>
      </c>
      <c r="B512" s="2">
        <f>Sheet1!L518</f>
        <v>0</v>
      </c>
      <c r="C512" s="2">
        <f>Sheet1!F518</f>
        <v>0.000840418636119439</v>
      </c>
      <c r="D512" s="2">
        <f>Sheet1!G518</f>
        <v>0.429453923057033</v>
      </c>
      <c r="E512" s="2">
        <f>Sheet1!AN518*MAX(B$2:B$318)/MAX(Sheet1!AN$8:AN$324)</f>
        <v>0.0165634747863128</v>
      </c>
      <c r="F512" s="2">
        <v>1</v>
      </c>
      <c r="G512" s="2">
        <v>0.75</v>
      </c>
    </row>
    <row r="513" spans="1:7">
      <c r="A513" s="1">
        <f>Sheet1!A519</f>
        <v>45844</v>
      </c>
      <c r="B513" s="2">
        <f>Sheet1!L519</f>
        <v>0</v>
      </c>
      <c r="C513" s="2">
        <f>Sheet1!F519</f>
        <v>0.000838777193470768</v>
      </c>
      <c r="D513" s="2">
        <f>Sheet1!G519</f>
        <v>0.429453923057033</v>
      </c>
      <c r="E513" s="2">
        <f>Sheet1!AN519*MAX(B$2:B$318)/MAX(Sheet1!AN$8:AN$324)</f>
        <v>0.0165634747863128</v>
      </c>
      <c r="F513" s="2">
        <v>1</v>
      </c>
      <c r="G513" s="2">
        <v>0.75</v>
      </c>
    </row>
    <row r="514" spans="1:7">
      <c r="A514" s="1">
        <f>Sheet1!A520</f>
        <v>45845</v>
      </c>
      <c r="B514" s="2">
        <f>Sheet1!L520</f>
        <v>0</v>
      </c>
      <c r="C514" s="2">
        <f>Sheet1!F520</f>
        <v>0.000837142150208642</v>
      </c>
      <c r="D514" s="2">
        <f>Sheet1!G520</f>
        <v>0.429453923057033</v>
      </c>
      <c r="E514" s="2">
        <f>Sheet1!AN520*MAX(B$2:B$318)/MAX(Sheet1!AN$8:AN$324)</f>
        <v>0.0165634747863128</v>
      </c>
      <c r="F514" s="2">
        <v>1</v>
      </c>
      <c r="G514" s="2">
        <v>0.75</v>
      </c>
    </row>
    <row r="515" spans="1:7">
      <c r="A515" s="1">
        <f>Sheet1!A521</f>
        <v>45846</v>
      </c>
      <c r="B515" s="2">
        <f>Sheet1!L521</f>
        <v>0.0118901515151515</v>
      </c>
      <c r="C515" s="2">
        <f>Sheet1!F521</f>
        <v>0.000853153830986593</v>
      </c>
      <c r="D515" s="2">
        <f>Sheet1!G521</f>
        <v>0.438521069127109</v>
      </c>
      <c r="E515" s="2">
        <f>Sheet1!AN521*MAX(B$2:B$318)/MAX(Sheet1!AN$8:AN$324)</f>
        <v>0.0165634747863128</v>
      </c>
      <c r="F515" s="2">
        <v>1</v>
      </c>
      <c r="G515" s="2">
        <v>0.75</v>
      </c>
    </row>
    <row r="516" spans="1:7">
      <c r="A516" s="1">
        <f>Sheet1!A522</f>
        <v>45847</v>
      </c>
      <c r="B516" s="2">
        <f>Sheet1!L522</f>
        <v>0.0199280303030303</v>
      </c>
      <c r="C516" s="2">
        <f>Sheet1!F522</f>
        <v>0.000877106580516746</v>
      </c>
      <c r="D516" s="2">
        <f>Sheet1!G522</f>
        <v>0.451709888966124</v>
      </c>
      <c r="E516" s="2">
        <f>Sheet1!AN522*MAX(B$2:B$318)/MAX(Sheet1!AN$8:AN$324)</f>
        <v>0.0165634747863128</v>
      </c>
      <c r="F516" s="2">
        <v>1</v>
      </c>
      <c r="G516" s="2">
        <v>0.75</v>
      </c>
    </row>
    <row r="517" spans="1:7">
      <c r="A517" s="1">
        <f>Sheet1!A523</f>
        <v>45848</v>
      </c>
      <c r="B517" s="2">
        <f>Sheet1!L523</f>
        <v>0.0215075757575758</v>
      </c>
      <c r="C517" s="2">
        <f>Sheet1!F523</f>
        <v>0.00093339390498045</v>
      </c>
      <c r="D517" s="2">
        <f>Sheet1!G523</f>
        <v>0.481631254969912</v>
      </c>
      <c r="E517" s="2">
        <f>Sheet1!AN523*MAX(B$2:B$318)/MAX(Sheet1!AN$8:AN$324)</f>
        <v>0.0165634747863128</v>
      </c>
      <c r="F517" s="2">
        <v>1</v>
      </c>
      <c r="G517" s="2">
        <v>0.75</v>
      </c>
    </row>
    <row r="518" spans="1:7">
      <c r="A518" s="1">
        <f>Sheet1!A524</f>
        <v>45849</v>
      </c>
      <c r="B518" s="2">
        <f>Sheet1!L524</f>
        <v>0.01175</v>
      </c>
      <c r="C518" s="2">
        <f>Sheet1!F524</f>
        <v>0.000948190441189385</v>
      </c>
      <c r="D518" s="2">
        <f>Sheet1!G524</f>
        <v>0.490214458094912</v>
      </c>
      <c r="E518" s="2">
        <f>Sheet1!AN524*MAX(B$2:B$318)/MAX(Sheet1!AN$8:AN$324)</f>
        <v>0.0165634747863128</v>
      </c>
      <c r="F518" s="2">
        <v>1</v>
      </c>
      <c r="G518" s="2">
        <v>0.75</v>
      </c>
    </row>
    <row r="519" spans="1:7">
      <c r="A519" s="1">
        <f>Sheet1!A525</f>
        <v>45850</v>
      </c>
      <c r="B519" s="2">
        <f>Sheet1!L525</f>
        <v>0.0114583333333334</v>
      </c>
      <c r="C519" s="2">
        <f>Sheet1!F525</f>
        <v>0.000961635179921001</v>
      </c>
      <c r="D519" s="2">
        <f>Sheet1!G525</f>
        <v>0.498127023199079</v>
      </c>
      <c r="E519" s="2">
        <f>Sheet1!AN525*MAX(B$2:B$318)/MAX(Sheet1!AN$8:AN$324)</f>
        <v>0.0165634747863128</v>
      </c>
      <c r="F519" s="2">
        <v>1</v>
      </c>
      <c r="G519" s="2">
        <v>0.75</v>
      </c>
    </row>
    <row r="520" spans="1:7">
      <c r="A520" s="1">
        <f>Sheet1!A526</f>
        <v>45851</v>
      </c>
      <c r="B520" s="2">
        <f>Sheet1!L526</f>
        <v>0.00889393939393941</v>
      </c>
      <c r="C520" s="2">
        <f>Sheet1!F526</f>
        <v>0.000970435499318012</v>
      </c>
      <c r="D520" s="2">
        <f>Sheet1!G526</f>
        <v>0.503656024146048</v>
      </c>
      <c r="E520" s="2">
        <f>Sheet1!AN526*MAX(B$2:B$318)/MAX(Sheet1!AN$8:AN$324)</f>
        <v>0.0165634747863128</v>
      </c>
      <c r="F520" s="2">
        <v>1</v>
      </c>
      <c r="G520" s="2">
        <v>0.75</v>
      </c>
    </row>
    <row r="521" spans="1:7">
      <c r="A521" s="1">
        <f>Sheet1!A527</f>
        <v>45852</v>
      </c>
      <c r="B521" s="2">
        <f>Sheet1!L527</f>
        <v>0.0053219696969697</v>
      </c>
      <c r="C521" s="2">
        <f>Sheet1!F527</f>
        <v>0.000977321997465449</v>
      </c>
      <c r="D521" s="2">
        <f>Sheet1!G527</f>
        <v>0.508207438682033</v>
      </c>
      <c r="E521" s="2">
        <f>Sheet1!AN527*MAX(B$2:B$318)/MAX(Sheet1!AN$8:AN$324)</f>
        <v>0.0165634747863128</v>
      </c>
      <c r="F521" s="2">
        <v>1</v>
      </c>
      <c r="G521" s="2">
        <v>0.75</v>
      </c>
    </row>
    <row r="522" spans="1:7">
      <c r="A522" s="1">
        <f>Sheet1!A528</f>
        <v>45853</v>
      </c>
      <c r="B522" s="2">
        <f>Sheet1!L528</f>
        <v>0</v>
      </c>
      <c r="C522" s="2">
        <f>Sheet1!F528</f>
        <v>0.000975446139504862</v>
      </c>
      <c r="D522" s="2">
        <f>Sheet1!G528</f>
        <v>0.508207438682033</v>
      </c>
      <c r="E522" s="2">
        <f>Sheet1!AN528*MAX(B$2:B$318)/MAX(Sheet1!AN$8:AN$324)</f>
        <v>0.0165634747863128</v>
      </c>
      <c r="F522" s="2">
        <v>1</v>
      </c>
      <c r="G522" s="2">
        <v>0.75</v>
      </c>
    </row>
    <row r="523" spans="1:7">
      <c r="A523" s="1">
        <f>Sheet1!A529</f>
        <v>45854</v>
      </c>
      <c r="B523" s="2">
        <f>Sheet1!L529</f>
        <v>0</v>
      </c>
      <c r="C523" s="2">
        <f>Sheet1!F529</f>
        <v>0.000973577468739527</v>
      </c>
      <c r="D523" s="2">
        <f>Sheet1!G529</f>
        <v>0.508207438682033</v>
      </c>
      <c r="E523" s="2">
        <f>Sheet1!AN529*MAX(B$2:B$318)/MAX(Sheet1!AN$8:AN$324)</f>
        <v>0.0165634747863128</v>
      </c>
      <c r="F523" s="2">
        <v>1</v>
      </c>
      <c r="G523" s="2">
        <v>0.75</v>
      </c>
    </row>
    <row r="524" spans="1:7">
      <c r="A524" s="1">
        <f>Sheet1!A530</f>
        <v>45855</v>
      </c>
      <c r="B524" s="2">
        <f>Sheet1!L530</f>
        <v>0</v>
      </c>
      <c r="C524" s="2">
        <f>Sheet1!F530</f>
        <v>0.000971715943942702</v>
      </c>
      <c r="D524" s="2">
        <f>Sheet1!G530</f>
        <v>0.508207438682033</v>
      </c>
      <c r="E524" s="2">
        <f>Sheet1!AN530*MAX(B$2:B$318)/MAX(Sheet1!AN$8:AN$324)</f>
        <v>0.0165634747863128</v>
      </c>
      <c r="F524" s="2">
        <v>1</v>
      </c>
      <c r="G524" s="2">
        <v>0.75</v>
      </c>
    </row>
    <row r="525" spans="1:7">
      <c r="A525" s="1">
        <f>Sheet1!A531</f>
        <v>45856</v>
      </c>
      <c r="B525" s="2">
        <f>Sheet1!L531</f>
        <v>0</v>
      </c>
      <c r="C525" s="2">
        <f>Sheet1!F531</f>
        <v>0.000969861524202353</v>
      </c>
      <c r="D525" s="2">
        <f>Sheet1!G531</f>
        <v>0.508207438682033</v>
      </c>
      <c r="E525" s="2">
        <f>Sheet1!AN531*MAX(B$2:B$318)/MAX(Sheet1!AN$8:AN$324)</f>
        <v>0.0165634747863128</v>
      </c>
      <c r="F525" s="2">
        <v>1</v>
      </c>
      <c r="G525" s="2">
        <v>0.75</v>
      </c>
    </row>
    <row r="526" spans="1:7">
      <c r="A526" s="1">
        <f>Sheet1!A532</f>
        <v>45857</v>
      </c>
      <c r="B526" s="2">
        <f>Sheet1!L532</f>
        <v>0</v>
      </c>
      <c r="C526" s="2">
        <f>Sheet1!F532</f>
        <v>0.000968014168918159</v>
      </c>
      <c r="D526" s="2">
        <f>Sheet1!G532</f>
        <v>0.508207438682033</v>
      </c>
      <c r="E526" s="2">
        <f>Sheet1!AN532*MAX(B$2:B$318)/MAX(Sheet1!AN$8:AN$324)</f>
        <v>0.0165634747863128</v>
      </c>
      <c r="F526" s="2">
        <v>1</v>
      </c>
      <c r="G526" s="2">
        <v>0.75</v>
      </c>
    </row>
    <row r="527" spans="1:7">
      <c r="A527" s="1">
        <f>Sheet1!A533</f>
        <v>45858</v>
      </c>
      <c r="B527" s="2">
        <f>Sheet1!L533</f>
        <v>0</v>
      </c>
      <c r="C527" s="2">
        <f>Sheet1!F533</f>
        <v>0.000966173837798542</v>
      </c>
      <c r="D527" s="2">
        <f>Sheet1!G533</f>
        <v>0.508207438682033</v>
      </c>
      <c r="E527" s="2">
        <f>Sheet1!AN533*MAX(B$2:B$318)/MAX(Sheet1!AN$8:AN$324)</f>
        <v>0.0165634747863128</v>
      </c>
      <c r="F527" s="2">
        <v>1</v>
      </c>
      <c r="G527" s="2">
        <v>0.75</v>
      </c>
    </row>
    <row r="528" spans="1:7">
      <c r="A528" s="1">
        <f>Sheet1!A534</f>
        <v>45859</v>
      </c>
      <c r="B528" s="2">
        <f>Sheet1!L534</f>
        <v>0</v>
      </c>
      <c r="C528" s="2">
        <f>Sheet1!F534</f>
        <v>0.000964340490857748</v>
      </c>
      <c r="D528" s="2">
        <f>Sheet1!G534</f>
        <v>0.508207438682033</v>
      </c>
      <c r="E528" s="2">
        <f>Sheet1!AN534*MAX(B$2:B$318)/MAX(Sheet1!AN$8:AN$324)</f>
        <v>0.0165634747863128</v>
      </c>
      <c r="F528" s="2">
        <v>1</v>
      </c>
      <c r="G528" s="2">
        <v>0.75</v>
      </c>
    </row>
    <row r="529" spans="1:7">
      <c r="A529" s="1">
        <f>Sheet1!A535</f>
        <v>45860</v>
      </c>
      <c r="B529" s="2">
        <f>Sheet1!L535</f>
        <v>0</v>
      </c>
      <c r="C529" s="2">
        <f>Sheet1!F535</f>
        <v>0.000962514088412942</v>
      </c>
      <c r="D529" s="2">
        <f>Sheet1!G535</f>
        <v>0.508207438682033</v>
      </c>
      <c r="E529" s="2">
        <f>Sheet1!AN535*MAX(B$2:B$318)/MAX(Sheet1!AN$8:AN$324)</f>
        <v>0.0165634747863128</v>
      </c>
      <c r="F529" s="2">
        <v>1</v>
      </c>
      <c r="G529" s="2">
        <v>0.75</v>
      </c>
    </row>
    <row r="530" spans="1:7">
      <c r="A530" s="1">
        <f>Sheet1!A536</f>
        <v>45861</v>
      </c>
      <c r="B530" s="2">
        <f>Sheet1!L536</f>
        <v>0</v>
      </c>
      <c r="C530" s="2">
        <f>Sheet1!F536</f>
        <v>0.000960694591081348</v>
      </c>
      <c r="D530" s="2">
        <f>Sheet1!G536</f>
        <v>0.508207438682033</v>
      </c>
      <c r="E530" s="2">
        <f>Sheet1!AN536*MAX(B$2:B$318)/MAX(Sheet1!AN$8:AN$324)</f>
        <v>0.0165634747863128</v>
      </c>
      <c r="F530" s="2">
        <v>1</v>
      </c>
      <c r="G530" s="2">
        <v>0.75</v>
      </c>
    </row>
    <row r="531" spans="1:7">
      <c r="A531" s="1">
        <f>Sheet1!A537</f>
        <v>45862</v>
      </c>
      <c r="B531" s="2">
        <f>Sheet1!L537</f>
        <v>0.00533712121212122</v>
      </c>
      <c r="C531" s="2">
        <f>Sheet1!F537</f>
        <v>0.00096316042023697</v>
      </c>
      <c r="D531" s="2">
        <f>Sheet1!G537</f>
        <v>0.510475022725594</v>
      </c>
      <c r="E531" s="2">
        <f>Sheet1!AN537*MAX(B$2:B$318)/MAX(Sheet1!AN$8:AN$324)</f>
        <v>0.0165634747863128</v>
      </c>
      <c r="F531" s="2">
        <v>1</v>
      </c>
      <c r="G531" s="2">
        <v>0.75</v>
      </c>
    </row>
    <row r="532" spans="1:7">
      <c r="A532" s="1">
        <f>Sheet1!A538</f>
        <v>45863</v>
      </c>
      <c r="B532" s="2">
        <f>Sheet1!L538</f>
        <v>0.00556439393939395</v>
      </c>
      <c r="C532" s="2">
        <f>Sheet1!F538</f>
        <v>0.000967556778498664</v>
      </c>
      <c r="D532" s="2">
        <f>Sheet1!G538</f>
        <v>0.513772649382791</v>
      </c>
      <c r="E532" s="2">
        <f>Sheet1!AN538*MAX(B$2:B$318)/MAX(Sheet1!AN$8:AN$324)</f>
        <v>0.0165634747863128</v>
      </c>
      <c r="F532" s="2">
        <v>1</v>
      </c>
      <c r="G532" s="2">
        <v>0.75</v>
      </c>
    </row>
    <row r="533" spans="1:7">
      <c r="A533" s="1">
        <f>Sheet1!A539</f>
        <v>45864</v>
      </c>
      <c r="B533" s="2">
        <f>Sheet1!L539</f>
        <v>0.00742045454545456</v>
      </c>
      <c r="C533" s="2">
        <f>Sheet1!F539</f>
        <v>0.000972147163003793</v>
      </c>
      <c r="D533" s="2">
        <f>Sheet1!G539</f>
        <v>0.517182290718018</v>
      </c>
      <c r="E533" s="2">
        <f>Sheet1!AN539*MAX(B$2:B$318)/MAX(Sheet1!AN$8:AN$324)</f>
        <v>0.0165634747863128</v>
      </c>
      <c r="F533" s="2">
        <v>1</v>
      </c>
      <c r="G533" s="2">
        <v>0.75</v>
      </c>
    </row>
    <row r="534" spans="1:7">
      <c r="A534" s="1">
        <f>Sheet1!A540</f>
        <v>45865</v>
      </c>
      <c r="B534" s="2">
        <f>Sheet1!L540</f>
        <v>0</v>
      </c>
      <c r="C534" s="2">
        <f>Sheet1!F540</f>
        <v>0.000970323247125738</v>
      </c>
      <c r="D534" s="2">
        <f>Sheet1!G540</f>
        <v>0.517182290718018</v>
      </c>
      <c r="E534" s="2">
        <f>Sheet1!AN540*MAX(B$2:B$318)/MAX(Sheet1!AN$8:AN$324)</f>
        <v>0.0165634747863128</v>
      </c>
      <c r="F534" s="2">
        <v>1</v>
      </c>
      <c r="G534" s="2">
        <v>0.75</v>
      </c>
    </row>
    <row r="535" spans="1:7">
      <c r="A535" s="1">
        <f>Sheet1!A541</f>
        <v>45866</v>
      </c>
      <c r="B535" s="2">
        <f>Sheet1!L541</f>
        <v>0</v>
      </c>
      <c r="C535" s="2">
        <f>Sheet1!F541</f>
        <v>0.000968506162393292</v>
      </c>
      <c r="D535" s="2">
        <f>Sheet1!G541</f>
        <v>0.517182290718018</v>
      </c>
      <c r="E535" s="2">
        <f>Sheet1!AN541*MAX(B$2:B$318)/MAX(Sheet1!AN$8:AN$324)</f>
        <v>0.0165634747863128</v>
      </c>
      <c r="F535" s="2">
        <v>1</v>
      </c>
      <c r="G535" s="2">
        <v>0.75</v>
      </c>
    </row>
    <row r="536" spans="1:7">
      <c r="A536" s="1">
        <f>Sheet1!A542</f>
        <v>45867</v>
      </c>
      <c r="B536" s="2">
        <f>Sheet1!L542</f>
        <v>0</v>
      </c>
      <c r="C536" s="2">
        <f>Sheet1!F542</f>
        <v>0.000966695870500968</v>
      </c>
      <c r="D536" s="2">
        <f>Sheet1!G542</f>
        <v>0.517182290718018</v>
      </c>
      <c r="E536" s="2">
        <f>Sheet1!AN542*MAX(B$2:B$318)/MAX(Sheet1!AN$8:AN$324)</f>
        <v>0.0165634747863128</v>
      </c>
      <c r="F536" s="2">
        <v>1</v>
      </c>
      <c r="G536" s="2">
        <v>0.75</v>
      </c>
    </row>
    <row r="537" spans="1:7">
      <c r="A537" s="1">
        <f>Sheet1!A543</f>
        <v>45868</v>
      </c>
      <c r="B537" s="2">
        <f>Sheet1!L543</f>
        <v>0</v>
      </c>
      <c r="C537" s="2">
        <f>Sheet1!F543</f>
        <v>0.000964892333429138</v>
      </c>
      <c r="D537" s="2">
        <f>Sheet1!G543</f>
        <v>0.517182290718018</v>
      </c>
      <c r="E537" s="2">
        <f>Sheet1!AN543*MAX(B$2:B$318)/MAX(Sheet1!AN$8:AN$324)</f>
        <v>0.0165634747863128</v>
      </c>
      <c r="F537" s="2">
        <v>1</v>
      </c>
      <c r="G537" s="2">
        <v>0.75</v>
      </c>
    </row>
    <row r="538" spans="1:7">
      <c r="A538" s="1">
        <f>Sheet1!A544</f>
        <v>45869</v>
      </c>
      <c r="B538" s="2">
        <f>Sheet1!L544</f>
        <v>0.0050909090909091</v>
      </c>
      <c r="C538" s="2">
        <f>Sheet1!F544</f>
        <v>0.000968464143879838</v>
      </c>
      <c r="D538" s="2">
        <f>Sheet1!G544</f>
        <v>0.520065245263473</v>
      </c>
      <c r="E538" s="2">
        <f>Sheet1!AN544*MAX(B$2:B$318)/MAX(Sheet1!AN$8:AN$324)</f>
        <v>0.0165634747863128</v>
      </c>
      <c r="F538" s="2">
        <v>1</v>
      </c>
      <c r="G538" s="2">
        <v>0.75</v>
      </c>
    </row>
    <row r="539" spans="1:7">
      <c r="A539" s="1">
        <f>Sheet1!A545</f>
        <v>45870</v>
      </c>
      <c r="B539" s="2">
        <f>Sheet1!L545</f>
        <v>0</v>
      </c>
      <c r="C539" s="2">
        <f>Sheet1!F545</f>
        <v>0.000966664024653295</v>
      </c>
      <c r="D539" s="2">
        <f>Sheet1!G545</f>
        <v>0.520065245263473</v>
      </c>
      <c r="E539" s="2">
        <f>Sheet1!AN545*MAX(B$2:B$318)/MAX(Sheet1!AN$8:AN$324)</f>
        <v>0.0165634747863128</v>
      </c>
      <c r="F539" s="2">
        <v>1</v>
      </c>
      <c r="G539" s="2">
        <v>0.75</v>
      </c>
    </row>
    <row r="540" spans="1:7">
      <c r="A540" s="1">
        <f>Sheet1!A546</f>
        <v>45871</v>
      </c>
      <c r="B540" s="2">
        <f>Sheet1!L546</f>
        <v>0</v>
      </c>
      <c r="C540" s="2">
        <f>Sheet1!F546</f>
        <v>0.000964870584904402</v>
      </c>
      <c r="D540" s="2">
        <f>Sheet1!G546</f>
        <v>0.520065245263473</v>
      </c>
      <c r="E540" s="2">
        <f>Sheet1!AN546*MAX(B$2:B$318)/MAX(Sheet1!AN$8:AN$324)</f>
        <v>0.0165634747863128</v>
      </c>
      <c r="F540" s="2">
        <v>1</v>
      </c>
      <c r="G540" s="2">
        <v>0.75</v>
      </c>
    </row>
    <row r="541" spans="1:7">
      <c r="A541" s="1">
        <f>Sheet1!A547</f>
        <v>45872</v>
      </c>
      <c r="B541" s="2">
        <f>Sheet1!L547</f>
        <v>0</v>
      </c>
      <c r="C541" s="2">
        <f>Sheet1!F547</f>
        <v>0.00096308378752495</v>
      </c>
      <c r="D541" s="2">
        <f>Sheet1!G547</f>
        <v>0.520065245263473</v>
      </c>
      <c r="E541" s="2">
        <f>Sheet1!AN547*MAX(B$2:B$318)/MAX(Sheet1!AN$8:AN$324)</f>
        <v>0.0165634747863128</v>
      </c>
      <c r="F541" s="2">
        <v>1</v>
      </c>
      <c r="G541" s="2">
        <v>0.75</v>
      </c>
    </row>
    <row r="542" spans="1:7">
      <c r="A542" s="1">
        <f>Sheet1!A548</f>
        <v>45873</v>
      </c>
      <c r="B542" s="2">
        <f>Sheet1!L548</f>
        <v>0</v>
      </c>
      <c r="C542" s="2">
        <f>Sheet1!F548</f>
        <v>0.000961303595681096</v>
      </c>
      <c r="D542" s="2">
        <f>Sheet1!G548</f>
        <v>0.520065245263473</v>
      </c>
      <c r="E542" s="2">
        <f>Sheet1!AN548*MAX(B$2:B$318)/MAX(Sheet1!AN$8:AN$324)</f>
        <v>0.0165634747863128</v>
      </c>
      <c r="F542" s="2">
        <v>1</v>
      </c>
      <c r="G542" s="2">
        <v>0.75</v>
      </c>
    </row>
    <row r="543" spans="1:7">
      <c r="A543" s="1">
        <f>Sheet1!A549</f>
        <v>45874</v>
      </c>
      <c r="B543" s="2">
        <f>Sheet1!L549</f>
        <v>0</v>
      </c>
      <c r="C543" s="2">
        <f>Sheet1!F549</f>
        <v>0.000959529972810835</v>
      </c>
      <c r="D543" s="2">
        <f>Sheet1!G549</f>
        <v>0.520065245263473</v>
      </c>
      <c r="E543" s="2">
        <f>Sheet1!AN549*MAX(B$2:B$318)/MAX(Sheet1!AN$8:AN$324)</f>
        <v>0.0165634747863128</v>
      </c>
      <c r="F543" s="2">
        <v>1</v>
      </c>
      <c r="G543" s="2">
        <v>0.75</v>
      </c>
    </row>
    <row r="544" spans="1:7">
      <c r="A544" s="1">
        <f>Sheet1!A550</f>
        <v>45875</v>
      </c>
      <c r="B544" s="2">
        <f>Sheet1!L550</f>
        <v>0</v>
      </c>
      <c r="C544" s="2">
        <f>Sheet1!F550</f>
        <v>0.000957762882621497</v>
      </c>
      <c r="D544" s="2">
        <f>Sheet1!G550</f>
        <v>0.520065245263473</v>
      </c>
      <c r="E544" s="2">
        <f>Sheet1!AN550*MAX(B$2:B$318)/MAX(Sheet1!AN$8:AN$324)</f>
        <v>0.0165634747863128</v>
      </c>
      <c r="F544" s="2">
        <v>1</v>
      </c>
      <c r="G544" s="2">
        <v>0.75</v>
      </c>
    </row>
    <row r="545" spans="1:7">
      <c r="A545" s="1">
        <f>Sheet1!A551</f>
        <v>45876</v>
      </c>
      <c r="B545" s="2">
        <f>Sheet1!L551</f>
        <v>0.00221590909090909</v>
      </c>
      <c r="C545" s="2">
        <f>Sheet1!F551</f>
        <v>0.000957572100250368</v>
      </c>
      <c r="D545" s="2">
        <f>Sheet1!G551</f>
        <v>0.5209192225362</v>
      </c>
      <c r="E545" s="2">
        <f>Sheet1!AN551*MAX(B$2:B$318)/MAX(Sheet1!AN$8:AN$324)</f>
        <v>0.0165634747863128</v>
      </c>
      <c r="F545" s="2">
        <v>1</v>
      </c>
      <c r="G545" s="2">
        <v>0.75</v>
      </c>
    </row>
    <row r="546" spans="1:7">
      <c r="A546" s="1">
        <f>Sheet1!A552</f>
        <v>45877</v>
      </c>
      <c r="B546" s="2">
        <f>Sheet1!L552</f>
        <v>0.0010189393939394</v>
      </c>
      <c r="C546" s="2">
        <f>Sheet1!F552</f>
        <v>0.000956901756669147</v>
      </c>
      <c r="D546" s="2">
        <f>Sheet1!G552</f>
        <v>0.521511457384685</v>
      </c>
      <c r="E546" s="2">
        <f>Sheet1!AN552*MAX(B$2:B$318)/MAX(Sheet1!AN$8:AN$324)</f>
        <v>0.0165634747863128</v>
      </c>
      <c r="F546" s="2">
        <v>1</v>
      </c>
      <c r="G546" s="2">
        <v>0.75</v>
      </c>
    </row>
    <row r="547" spans="1:7">
      <c r="A547" s="1">
        <f>Sheet1!A553</f>
        <v>45878</v>
      </c>
      <c r="B547" s="2">
        <f>Sheet1!L553</f>
        <v>0.00788257575757577</v>
      </c>
      <c r="C547" s="2">
        <f>Sheet1!F553</f>
        <v>0.000963497438322488</v>
      </c>
      <c r="D547" s="2">
        <f>Sheet1!G553</f>
        <v>0.526069601324079</v>
      </c>
      <c r="E547" s="2">
        <f>Sheet1!AN553*MAX(B$2:B$318)/MAX(Sheet1!AN$8:AN$324)</f>
        <v>0.0165634747863128</v>
      </c>
      <c r="F547" s="2">
        <v>1</v>
      </c>
      <c r="G547" s="2">
        <v>0.75</v>
      </c>
    </row>
    <row r="548" spans="1:7">
      <c r="A548" s="1">
        <f>Sheet1!A554</f>
        <v>45879</v>
      </c>
      <c r="B548" s="2">
        <f>Sheet1!L554</f>
        <v>0</v>
      </c>
      <c r="C548" s="2">
        <f>Sheet1!F554</f>
        <v>0.000961736017045848</v>
      </c>
      <c r="D548" s="2">
        <f>Sheet1!G554</f>
        <v>0.526069601324079</v>
      </c>
      <c r="E548" s="2">
        <f>Sheet1!AN554*MAX(B$2:B$318)/MAX(Sheet1!AN$8:AN$324)</f>
        <v>0.0165634747863128</v>
      </c>
      <c r="F548" s="2">
        <v>1</v>
      </c>
      <c r="G548" s="2">
        <v>0.75</v>
      </c>
    </row>
    <row r="549" spans="1:7">
      <c r="A549" s="1">
        <f>Sheet1!A555</f>
        <v>45880</v>
      </c>
      <c r="B549" s="2">
        <f>Sheet1!L555</f>
        <v>0.0093787878787879</v>
      </c>
      <c r="C549" s="2">
        <f>Sheet1!F555</f>
        <v>0.000968433938492291</v>
      </c>
      <c r="D549" s="2">
        <f>Sheet1!G555</f>
        <v>0.530701798293776</v>
      </c>
      <c r="E549" s="2">
        <f>Sheet1!AN555*MAX(B$2:B$318)/MAX(Sheet1!AN$8:AN$324)</f>
        <v>0.0165634747863128</v>
      </c>
      <c r="F549" s="2">
        <v>1</v>
      </c>
      <c r="G549" s="2">
        <v>0.75</v>
      </c>
    </row>
    <row r="550" spans="1:7">
      <c r="A550" s="1">
        <f>Sheet1!A556</f>
        <v>45881</v>
      </c>
      <c r="B550" s="2">
        <f>Sheet1!L556</f>
        <v>0</v>
      </c>
      <c r="C550" s="2">
        <f>Sheet1!F556</f>
        <v>0.000966669942247315</v>
      </c>
      <c r="D550" s="2">
        <f>Sheet1!G556</f>
        <v>0.530701798293776</v>
      </c>
      <c r="E550" s="2">
        <f>Sheet1!AN556*MAX(B$2:B$318)/MAX(Sheet1!AN$8:AN$324)</f>
        <v>0.0165634747863128</v>
      </c>
      <c r="F550" s="2">
        <v>1</v>
      </c>
      <c r="G550" s="2">
        <v>0.75</v>
      </c>
    </row>
    <row r="551" spans="1:7">
      <c r="A551" s="1">
        <f>Sheet1!A557</f>
        <v>45882</v>
      </c>
      <c r="B551" s="2">
        <f>Sheet1!L557</f>
        <v>0.00540909090909092</v>
      </c>
      <c r="C551" s="2">
        <f>Sheet1!F557</f>
        <v>0.000970371038220088</v>
      </c>
      <c r="D551" s="2">
        <f>Sheet1!G557</f>
        <v>0.533704071021048</v>
      </c>
      <c r="E551" s="2">
        <f>Sheet1!AN557*MAX(B$2:B$318)/MAX(Sheet1!AN$8:AN$324)</f>
        <v>0.0165634747863128</v>
      </c>
      <c r="F551" s="2">
        <v>1</v>
      </c>
      <c r="G551" s="2">
        <v>0.75</v>
      </c>
    </row>
    <row r="552" spans="1:7">
      <c r="A552" s="1">
        <f>Sheet1!A558</f>
        <v>45883</v>
      </c>
      <c r="B552" s="2">
        <f>Sheet1!L558</f>
        <v>0.00393939393939395</v>
      </c>
      <c r="C552" s="2">
        <f>Sheet1!F558</f>
        <v>0.000971554300373679</v>
      </c>
      <c r="D552" s="2">
        <f>Sheet1!G558</f>
        <v>0.535326419505897</v>
      </c>
      <c r="E552" s="2">
        <f>Sheet1!AN558*MAX(B$2:B$318)/MAX(Sheet1!AN$8:AN$324)</f>
        <v>0.0165634747863128</v>
      </c>
      <c r="F552" s="2">
        <v>1</v>
      </c>
      <c r="G552" s="2">
        <v>0.75</v>
      </c>
    </row>
    <row r="553" spans="1:7">
      <c r="A553" s="1">
        <f>Sheet1!A559</f>
        <v>45884</v>
      </c>
      <c r="B553" s="2">
        <f>Sheet1!L559</f>
        <v>0.000545454545454546</v>
      </c>
      <c r="C553" s="2">
        <f>Sheet1!F559</f>
        <v>0.000970041273808443</v>
      </c>
      <c r="D553" s="2">
        <f>Sheet1!G559</f>
        <v>0.53546278314226</v>
      </c>
      <c r="E553" s="2">
        <f>Sheet1!AN559*MAX(B$2:B$318)/MAX(Sheet1!AN$8:AN$324)</f>
        <v>0.0165634747863128</v>
      </c>
      <c r="F553" s="2">
        <v>1</v>
      </c>
      <c r="G553" s="2">
        <v>0.75</v>
      </c>
    </row>
    <row r="554" spans="1:7">
      <c r="A554" s="1">
        <f>Sheet1!A560</f>
        <v>45885</v>
      </c>
      <c r="B554" s="2">
        <f>Sheet1!L560</f>
        <v>0</v>
      </c>
      <c r="C554" s="2">
        <f>Sheet1!F560</f>
        <v>0.000968287130456167</v>
      </c>
      <c r="D554" s="2">
        <f>Sheet1!G560</f>
        <v>0.53546278314226</v>
      </c>
      <c r="E554" s="2">
        <f>Sheet1!AN560*MAX(B$2:B$318)/MAX(Sheet1!AN$8:AN$324)</f>
        <v>0.0165634747863128</v>
      </c>
      <c r="F554" s="2">
        <v>1</v>
      </c>
      <c r="G554" s="2">
        <v>0.75</v>
      </c>
    </row>
    <row r="555" spans="1:7">
      <c r="A555" s="1">
        <f>Sheet1!A561</f>
        <v>45886</v>
      </c>
      <c r="B555" s="2">
        <f>Sheet1!L561</f>
        <v>0</v>
      </c>
      <c r="C555" s="2">
        <f>Sheet1!F561</f>
        <v>0.000966539319751373</v>
      </c>
      <c r="D555" s="2">
        <f>Sheet1!G561</f>
        <v>0.53546278314226</v>
      </c>
      <c r="E555" s="2">
        <f>Sheet1!AN561*MAX(B$2:B$318)/MAX(Sheet1!AN$8:AN$324)</f>
        <v>0.0165634747863128</v>
      </c>
      <c r="F555" s="2">
        <v>1</v>
      </c>
      <c r="G555" s="2">
        <v>0.75</v>
      </c>
    </row>
    <row r="556" spans="1:7">
      <c r="A556" s="1">
        <f>Sheet1!A562</f>
        <v>45887</v>
      </c>
      <c r="B556" s="2">
        <f>Sheet1!L562</f>
        <v>0</v>
      </c>
      <c r="C556" s="2">
        <f>Sheet1!F562</f>
        <v>0.000964797807463532</v>
      </c>
      <c r="D556" s="2">
        <f>Sheet1!G562</f>
        <v>0.53546278314226</v>
      </c>
      <c r="E556" s="2">
        <f>Sheet1!AN562*MAX(B$2:B$318)/MAX(Sheet1!AN$8:AN$324)</f>
        <v>0.0165634747863128</v>
      </c>
      <c r="F556" s="2">
        <v>1</v>
      </c>
      <c r="G556" s="2">
        <v>0.75</v>
      </c>
    </row>
    <row r="557" spans="1:7">
      <c r="A557" s="1">
        <f>Sheet1!A563</f>
        <v>45888</v>
      </c>
      <c r="B557" s="2">
        <f>Sheet1!L563</f>
        <v>0.0067689393939394</v>
      </c>
      <c r="C557" s="2">
        <f>Sheet1!F563</f>
        <v>0.000971366938832276</v>
      </c>
      <c r="D557" s="2">
        <f>Sheet1!G563</f>
        <v>0.540080017990745</v>
      </c>
      <c r="E557" s="2">
        <f>Sheet1!AN563*MAX(B$2:B$318)/MAX(Sheet1!AN$8:AN$324)</f>
        <v>0.0165634747863128</v>
      </c>
      <c r="F557" s="2">
        <v>1</v>
      </c>
      <c r="G557" s="2">
        <v>0.75</v>
      </c>
    </row>
    <row r="558" spans="1:7">
      <c r="A558" s="1">
        <f>Sheet1!A564</f>
        <v>45889</v>
      </c>
      <c r="B558" s="2">
        <f>Sheet1!L564</f>
        <v>0.00827272727272728</v>
      </c>
      <c r="C558" s="2">
        <f>Sheet1!F564</f>
        <v>0.000978048832691072</v>
      </c>
      <c r="D558" s="2">
        <f>Sheet1!G564</f>
        <v>0.544773199808927</v>
      </c>
      <c r="E558" s="2">
        <f>Sheet1!AN564*MAX(B$2:B$318)/MAX(Sheet1!AN$8:AN$324)</f>
        <v>0.0165634747863128</v>
      </c>
      <c r="F558" s="2">
        <v>1</v>
      </c>
      <c r="G558" s="2">
        <v>0.75</v>
      </c>
    </row>
    <row r="559" spans="1:7">
      <c r="A559" s="1">
        <f>Sheet1!A565</f>
        <v>45890</v>
      </c>
      <c r="B559" s="2">
        <f>Sheet1!L565</f>
        <v>0.0104848484848485</v>
      </c>
      <c r="C559" s="2">
        <f>Sheet1!F565</f>
        <v>0.000986773139659748</v>
      </c>
      <c r="D559" s="2">
        <f>Sheet1!G565</f>
        <v>0.550619411930139</v>
      </c>
      <c r="E559" s="2">
        <f>Sheet1!AN565*MAX(B$2:B$318)/MAX(Sheet1!AN$8:AN$324)</f>
        <v>0.0165634747863128</v>
      </c>
      <c r="F559" s="2">
        <v>1</v>
      </c>
      <c r="G559" s="2">
        <v>0.75</v>
      </c>
    </row>
    <row r="560" spans="1:7">
      <c r="A560" s="1">
        <f>Sheet1!A566</f>
        <v>45891</v>
      </c>
      <c r="B560" s="2">
        <f>Sheet1!L566</f>
        <v>0.0106136363636364</v>
      </c>
      <c r="C560" s="2">
        <f>Sheet1!F566</f>
        <v>0.000995590914170033</v>
      </c>
      <c r="D560" s="2">
        <f>Sheet1!G566</f>
        <v>0.556535321021048</v>
      </c>
      <c r="E560" s="2">
        <f>Sheet1!AN566*MAX(B$2:B$318)/MAX(Sheet1!AN$8:AN$324)</f>
        <v>0.0165634747863128</v>
      </c>
      <c r="F560" s="2">
        <v>1</v>
      </c>
      <c r="G560" s="2">
        <v>0.75</v>
      </c>
    </row>
    <row r="561" spans="1:7">
      <c r="A561" s="1">
        <f>Sheet1!A567</f>
        <v>45892</v>
      </c>
      <c r="B561" s="2">
        <f>Sheet1!L567</f>
        <v>0.0100454545454546</v>
      </c>
      <c r="C561" s="2">
        <f>Sheet1!F567</f>
        <v>0.00100412354403109</v>
      </c>
      <c r="D561" s="2">
        <f>Sheet1!G567</f>
        <v>0.562309184657412</v>
      </c>
      <c r="E561" s="2">
        <f>Sheet1!AN567*MAX(B$2:B$318)/MAX(Sheet1!AN$8:AN$324)</f>
        <v>0.0165634747863128</v>
      </c>
      <c r="F561" s="2">
        <v>1</v>
      </c>
      <c r="G561" s="2">
        <v>0.75</v>
      </c>
    </row>
    <row r="562" spans="1:7">
      <c r="A562" s="1">
        <f>Sheet1!A568</f>
        <v>45893</v>
      </c>
      <c r="B562" s="2">
        <f>Sheet1!L568</f>
        <v>0.00934848484848486</v>
      </c>
      <c r="C562" s="2">
        <f>Sheet1!F568</f>
        <v>0.00101231516197778</v>
      </c>
      <c r="D562" s="2">
        <f>Sheet1!G568</f>
        <v>0.567908805869533</v>
      </c>
      <c r="E562" s="2">
        <f>Sheet1!AN568*MAX(B$2:B$318)/MAX(Sheet1!AN$8:AN$324)</f>
        <v>0.0165634747863128</v>
      </c>
      <c r="F562" s="2">
        <v>1</v>
      </c>
      <c r="G562" s="2">
        <v>0.75</v>
      </c>
    </row>
    <row r="563" spans="1:7">
      <c r="A563" s="1">
        <f>Sheet1!A569</f>
        <v>45894</v>
      </c>
      <c r="B563" s="2">
        <f>Sheet1!L569</f>
        <v>0.0110909090909091</v>
      </c>
      <c r="C563" s="2">
        <f>Sheet1!F569</f>
        <v>0.00102238706964815</v>
      </c>
      <c r="D563" s="2">
        <f>Sheet1!G569</f>
        <v>0.574581533142261</v>
      </c>
      <c r="E563" s="2">
        <f>Sheet1!AN569*MAX(B$2:B$318)/MAX(Sheet1!AN$8:AN$324)</f>
        <v>0.0165634747863128</v>
      </c>
      <c r="F563" s="2">
        <v>1</v>
      </c>
      <c r="G563" s="2">
        <v>0.75</v>
      </c>
    </row>
    <row r="564" spans="1:7">
      <c r="A564" s="1">
        <f>Sheet1!A570</f>
        <v>45895</v>
      </c>
      <c r="B564" s="2">
        <f>Sheet1!L570</f>
        <v>0.0064128787878788</v>
      </c>
      <c r="C564" s="2">
        <f>Sheet1!F570</f>
        <v>0.00102748179900396</v>
      </c>
      <c r="D564" s="2">
        <f>Sheet1!G570</f>
        <v>0.57847225283923</v>
      </c>
      <c r="E564" s="2">
        <f>Sheet1!AN570*MAX(B$2:B$318)/MAX(Sheet1!AN$8:AN$324)</f>
        <v>0.0165634747863128</v>
      </c>
      <c r="F564" s="2">
        <v>1</v>
      </c>
      <c r="G564" s="2">
        <v>0.75</v>
      </c>
    </row>
    <row r="565" spans="1:7">
      <c r="A565" s="1">
        <f>Sheet1!A571</f>
        <v>45896</v>
      </c>
      <c r="B565" s="2">
        <f>Sheet1!L571</f>
        <v>0.00714772727272729</v>
      </c>
      <c r="C565" s="2">
        <f>Sheet1!F571</f>
        <v>0.00102882834159116</v>
      </c>
      <c r="D565" s="2">
        <f>Sheet1!G571</f>
        <v>0.580259184657412</v>
      </c>
      <c r="E565" s="2">
        <f>Sheet1!AN571*MAX(B$2:B$318)/MAX(Sheet1!AN$8:AN$324)</f>
        <v>0.0165634747863128</v>
      </c>
      <c r="F565" s="2">
        <v>1</v>
      </c>
      <c r="G565" s="2">
        <v>0.75</v>
      </c>
    </row>
    <row r="566" spans="1:7">
      <c r="A566" s="1">
        <f>Sheet1!A572</f>
        <v>45897</v>
      </c>
      <c r="B566" s="2">
        <f>Sheet1!L572</f>
        <v>0</v>
      </c>
      <c r="C566" s="2">
        <f>Sheet1!F572</f>
        <v>0.0010270074064733</v>
      </c>
      <c r="D566" s="2">
        <f>Sheet1!G572</f>
        <v>0.580259184657412</v>
      </c>
      <c r="E566" s="2">
        <f>Sheet1!AN572*MAX(B$2:B$318)/MAX(Sheet1!AN$8:AN$324)</f>
        <v>0.0165634747863128</v>
      </c>
      <c r="F566" s="2">
        <v>1</v>
      </c>
      <c r="G566" s="2">
        <v>0.75</v>
      </c>
    </row>
    <row r="567" spans="1:7">
      <c r="A567" s="1">
        <f>Sheet1!A573</f>
        <v>45898</v>
      </c>
      <c r="B567" s="2">
        <f>Sheet1!L573</f>
        <v>0</v>
      </c>
      <c r="C567" s="2">
        <f>Sheet1!F573</f>
        <v>0.00102519290575515</v>
      </c>
      <c r="D567" s="2">
        <f>Sheet1!G573</f>
        <v>0.580259184657412</v>
      </c>
      <c r="E567" s="2">
        <f>Sheet1!AN573*MAX(B$2:B$318)/MAX(Sheet1!AN$8:AN$324)</f>
        <v>0.0165634747863128</v>
      </c>
      <c r="F567" s="2">
        <v>1</v>
      </c>
      <c r="G567" s="2">
        <v>0.75</v>
      </c>
    </row>
    <row r="568" spans="1:7">
      <c r="A568" s="1">
        <f>Sheet1!A574</f>
        <v>45899</v>
      </c>
      <c r="B568" s="2">
        <f>Sheet1!L574</f>
        <v>0</v>
      </c>
      <c r="C568" s="2">
        <f>Sheet1!F574</f>
        <v>0.00102338480539226</v>
      </c>
      <c r="D568" s="2">
        <f>Sheet1!G574</f>
        <v>0.580259184657412</v>
      </c>
      <c r="E568" s="2">
        <f>Sheet1!AN574*MAX(B$2:B$318)/MAX(Sheet1!AN$8:AN$324)</f>
        <v>0.0165634747863128</v>
      </c>
      <c r="F568" s="2">
        <v>1</v>
      </c>
      <c r="G568" s="2">
        <v>0.75</v>
      </c>
    </row>
    <row r="569" spans="1:7">
      <c r="A569" s="1">
        <f>Sheet1!A575</f>
        <v>45900</v>
      </c>
      <c r="B569" s="2">
        <f>Sheet1!L575</f>
        <v>0</v>
      </c>
      <c r="C569" s="2">
        <f>Sheet1!F575</f>
        <v>0.00102158307157995</v>
      </c>
      <c r="D569" s="2">
        <f>Sheet1!G575</f>
        <v>0.580259184657412</v>
      </c>
      <c r="E569" s="2">
        <f>Sheet1!AN575*MAX(B$2:B$318)/MAX(Sheet1!AN$8:AN$324)</f>
        <v>0.0165634747863128</v>
      </c>
      <c r="F569" s="2">
        <v>1</v>
      </c>
      <c r="G569" s="2">
        <v>0.75</v>
      </c>
    </row>
    <row r="570" spans="1:7">
      <c r="A570" s="1">
        <f>Sheet1!A576</f>
        <v>45901</v>
      </c>
      <c r="B570" s="2">
        <f>Sheet1!L576</f>
        <v>0</v>
      </c>
      <c r="C570" s="2">
        <f>Sheet1!F576</f>
        <v>0.00101978767075116</v>
      </c>
      <c r="D570" s="2">
        <f>Sheet1!G576</f>
        <v>0.580259184657412</v>
      </c>
      <c r="E570" s="2">
        <f>Sheet1!AN576*MAX(B$2:B$318)/MAX(Sheet1!AN$8:AN$324)</f>
        <v>0.0165634747863128</v>
      </c>
      <c r="F570" s="2">
        <v>1</v>
      </c>
      <c r="G570" s="2">
        <v>0.75</v>
      </c>
    </row>
    <row r="571" spans="1:7">
      <c r="A571" s="1">
        <f>Sheet1!A577</f>
        <v>45902</v>
      </c>
      <c r="B571" s="2">
        <f>Sheet1!L577</f>
        <v>0</v>
      </c>
      <c r="C571" s="2">
        <f>Sheet1!F577</f>
        <v>0.00101799856957441</v>
      </c>
      <c r="D571" s="2">
        <f>Sheet1!G577</f>
        <v>0.580259184657412</v>
      </c>
      <c r="E571" s="2">
        <f>Sheet1!AN577*MAX(B$2:B$318)/MAX(Sheet1!AN$8:AN$324)</f>
        <v>0.0165634747863128</v>
      </c>
      <c r="F571" s="2">
        <v>1</v>
      </c>
      <c r="G571" s="2">
        <v>0.75</v>
      </c>
    </row>
    <row r="572" spans="1:7">
      <c r="A572" s="1">
        <f>Sheet1!A578</f>
        <v>45903</v>
      </c>
      <c r="B572" s="2">
        <f>Sheet1!L578</f>
        <v>0.00395833333333334</v>
      </c>
      <c r="C572" s="2">
        <f>Sheet1!F578</f>
        <v>0.00102233746492104</v>
      </c>
      <c r="D572" s="2">
        <f>Sheet1!G578</f>
        <v>0.583754692469912</v>
      </c>
      <c r="E572" s="2">
        <f>Sheet1!AN578*MAX(B$2:B$318)/MAX(Sheet1!AN$8:AN$324)</f>
        <v>0.0165634747863128</v>
      </c>
      <c r="F572" s="2">
        <v>1</v>
      </c>
      <c r="G572" s="2">
        <v>0.75</v>
      </c>
    </row>
    <row r="573" spans="1:7">
      <c r="A573" s="1">
        <f>Sheet1!A579</f>
        <v>45904</v>
      </c>
      <c r="B573" s="2">
        <f>Sheet1!L579</f>
        <v>0.00345454545454546</v>
      </c>
      <c r="C573" s="2">
        <f>Sheet1!F579</f>
        <v>0.00102492625431803</v>
      </c>
      <c r="D573" s="2">
        <f>Sheet1!G579</f>
        <v>0.586257817469912</v>
      </c>
      <c r="E573" s="2">
        <f>Sheet1!AN579*MAX(B$2:B$318)/MAX(Sheet1!AN$8:AN$324)</f>
        <v>0.0165634747863128</v>
      </c>
      <c r="F573" s="2">
        <v>1</v>
      </c>
      <c r="G573" s="2">
        <v>0.75</v>
      </c>
    </row>
    <row r="574" spans="1:7">
      <c r="A574" s="1">
        <f>Sheet1!A580</f>
        <v>45905</v>
      </c>
      <c r="B574" s="2">
        <f>Sheet1!L580</f>
        <v>0.0043409090909091</v>
      </c>
      <c r="C574" s="2">
        <f>Sheet1!F580</f>
        <v>0.00102941004903126</v>
      </c>
      <c r="D574" s="2">
        <f>Sheet1!G580</f>
        <v>0.589851958094912</v>
      </c>
      <c r="E574" s="2">
        <f>Sheet1!AN580*MAX(B$2:B$318)/MAX(Sheet1!AN$8:AN$324)</f>
        <v>0.0165634747863128</v>
      </c>
      <c r="F574" s="2">
        <v>1</v>
      </c>
      <c r="G574" s="2">
        <v>0.75</v>
      </c>
    </row>
    <row r="575" spans="1:7">
      <c r="A575" s="1">
        <f>Sheet1!A581</f>
        <v>45906</v>
      </c>
      <c r="B575" s="2">
        <f>Sheet1!L581</f>
        <v>0.00414772727272728</v>
      </c>
      <c r="C575" s="2">
        <f>Sheet1!F581</f>
        <v>0.0010352287352481</v>
      </c>
      <c r="D575" s="2">
        <f>Sheet1!G581</f>
        <v>0.594221294032412</v>
      </c>
      <c r="E575" s="2">
        <f>Sheet1!AN581*MAX(B$2:B$318)/MAX(Sheet1!AN$8:AN$324)</f>
        <v>0.0165634747863128</v>
      </c>
      <c r="F575" s="2">
        <v>1</v>
      </c>
      <c r="G575" s="2">
        <v>0.75</v>
      </c>
    </row>
    <row r="576" spans="1:7">
      <c r="A576" s="1">
        <f>Sheet1!A582</f>
        <v>45907</v>
      </c>
      <c r="B576" s="2">
        <f>Sheet1!L582</f>
        <v>0.00570075757575758</v>
      </c>
      <c r="C576" s="2">
        <f>Sheet1!F582</f>
        <v>0.00104172351407811</v>
      </c>
      <c r="D576" s="2">
        <f>Sheet1!G582</f>
        <v>0.598991020594912</v>
      </c>
      <c r="E576" s="2">
        <f>Sheet1!AN582*MAX(B$2:B$318)/MAX(Sheet1!AN$8:AN$324)</f>
        <v>0.0165634747863128</v>
      </c>
      <c r="F576" s="2">
        <v>1</v>
      </c>
      <c r="G576" s="2">
        <v>0.75</v>
      </c>
    </row>
    <row r="577" spans="1:7">
      <c r="A577" s="1">
        <f>Sheet1!A583</f>
        <v>45908</v>
      </c>
      <c r="B577" s="2">
        <f>Sheet1!L583</f>
        <v>0.00635227272727274</v>
      </c>
      <c r="C577" s="2">
        <f>Sheet1!F583</f>
        <v>0.00106554464567259</v>
      </c>
      <c r="D577" s="2">
        <f>Sheet1!G583</f>
        <v>0.613753715907412</v>
      </c>
      <c r="E577" s="2">
        <f>Sheet1!AN583*MAX(B$2:B$318)/MAX(Sheet1!AN$8:AN$324)</f>
        <v>0.0165634747863128</v>
      </c>
      <c r="F577" s="2">
        <v>1</v>
      </c>
      <c r="G577" s="2">
        <v>0.75</v>
      </c>
    </row>
    <row r="578" spans="1:7">
      <c r="A578" s="1">
        <f>Sheet1!A584</f>
        <v>45909</v>
      </c>
      <c r="B578" s="2">
        <f>Sheet1!L584</f>
        <v>0.0127727272727273</v>
      </c>
      <c r="C578" s="2">
        <f>Sheet1!F584</f>
        <v>0.00108513290235253</v>
      </c>
      <c r="D578" s="2">
        <f>Sheet1!G584</f>
        <v>0.626121684657412</v>
      </c>
      <c r="E578" s="2">
        <f>Sheet1!AN584*MAX(B$2:B$318)/MAX(Sheet1!AN$8:AN$324)</f>
        <v>0.0165634747863128</v>
      </c>
      <c r="F578" s="2">
        <v>1</v>
      </c>
      <c r="G578" s="2">
        <v>0.75</v>
      </c>
    </row>
    <row r="579" spans="1:7">
      <c r="A579" s="1">
        <f>Sheet1!A585</f>
        <v>45910</v>
      </c>
      <c r="B579" s="2">
        <f>Sheet1!L585</f>
        <v>0.00595454545454546</v>
      </c>
      <c r="C579" s="2">
        <f>Sheet1!F585</f>
        <v>0.00109583796004743</v>
      </c>
      <c r="D579" s="2">
        <f>Sheet1!G585</f>
        <v>0.633394340907412</v>
      </c>
      <c r="E579" s="2">
        <f>Sheet1!AN585*MAX(B$2:B$318)/MAX(Sheet1!AN$8:AN$324)</f>
        <v>0.0165634747863128</v>
      </c>
      <c r="F579" s="2">
        <v>1</v>
      </c>
      <c r="G579" s="2">
        <v>0.75</v>
      </c>
    </row>
    <row r="580" spans="1:7">
      <c r="A580" s="1">
        <f>Sheet1!A586</f>
        <v>45911</v>
      </c>
      <c r="B580" s="2">
        <f>Sheet1!L586</f>
        <v>0.00840373244641539</v>
      </c>
      <c r="C580" s="2">
        <f>Sheet1!F586</f>
        <v>0.00109768726801166</v>
      </c>
      <c r="D580" s="2">
        <f>Sheet1!G586</f>
        <v>0.635560928178754</v>
      </c>
      <c r="E580" s="2">
        <f>Sheet1!AN586*MAX(B$2:B$318)/MAX(Sheet1!AN$8:AN$324)</f>
        <v>0.0165634747863128</v>
      </c>
      <c r="F580" s="2">
        <v>1</v>
      </c>
      <c r="G580" s="2">
        <v>0.75</v>
      </c>
    </row>
    <row r="581" spans="1:7">
      <c r="A581" s="1">
        <f>Sheet1!A587</f>
        <v>45912</v>
      </c>
      <c r="B581" s="2">
        <f>Sheet1!L587</f>
        <v>0.00276136363636364</v>
      </c>
      <c r="C581" s="2">
        <f>Sheet1!F587</f>
        <v>0.00109702214179526</v>
      </c>
      <c r="D581" s="2">
        <f>Sheet1!G587</f>
        <v>0.636272842241254</v>
      </c>
      <c r="E581" s="2">
        <f>Sheet1!AN587*MAX(B$2:B$318)/MAX(Sheet1!AN$8:AN$324)</f>
        <v>0.0165634747863128</v>
      </c>
      <c r="F581" s="2">
        <v>1</v>
      </c>
      <c r="G581" s="2">
        <v>0.75</v>
      </c>
    </row>
    <row r="582" spans="1:7">
      <c r="A582" s="1">
        <f>Sheet1!A588</f>
        <v>45913</v>
      </c>
      <c r="B582" s="2">
        <f>Sheet1!L588</f>
        <v>0.00504924242424244</v>
      </c>
      <c r="C582" s="2">
        <f>Sheet1!F588</f>
        <v>0.00109924629957617</v>
      </c>
      <c r="D582" s="2">
        <f>Sheet1!G588</f>
        <v>0.638662100053753</v>
      </c>
      <c r="E582" s="2">
        <f>Sheet1!AN588*MAX(B$2:B$318)/MAX(Sheet1!AN$8:AN$324)</f>
        <v>0.0165634747863128</v>
      </c>
      <c r="F582" s="2">
        <v>1</v>
      </c>
      <c r="G582" s="2">
        <v>0.75</v>
      </c>
    </row>
    <row r="583" spans="1:7">
      <c r="A583" s="1">
        <f>Sheet1!A589</f>
        <v>45914</v>
      </c>
      <c r="B583" s="2">
        <f>Sheet1!L589</f>
        <v>0.00395833333333334</v>
      </c>
      <c r="C583" s="2">
        <f>Sheet1!F589</f>
        <v>0.00110826049461556</v>
      </c>
      <c r="D583" s="2">
        <f>Sheet1!G589</f>
        <v>0.645007607866253</v>
      </c>
      <c r="E583" s="2">
        <f>Sheet1!AN589*MAX(B$2:B$318)/MAX(Sheet1!AN$8:AN$324)</f>
        <v>0.0165634747863128</v>
      </c>
      <c r="F583" s="2">
        <v>1</v>
      </c>
      <c r="G583" s="2">
        <v>0.75</v>
      </c>
    </row>
    <row r="584" spans="1:7">
      <c r="A584" s="1">
        <f>Sheet1!A590</f>
        <v>45915</v>
      </c>
      <c r="B584" s="2">
        <f>Sheet1!L590</f>
        <v>0.00458712121212122</v>
      </c>
      <c r="C584" s="2">
        <f>Sheet1!F590</f>
        <v>0.0011101890652723</v>
      </c>
      <c r="D584" s="2">
        <f>Sheet1!G590</f>
        <v>0.647240225053753</v>
      </c>
      <c r="E584" s="2">
        <f>Sheet1!AN590*MAX(B$2:B$318)/MAX(Sheet1!AN$8:AN$324)</f>
        <v>0.0165634747863128</v>
      </c>
      <c r="F584" s="2">
        <v>1</v>
      </c>
      <c r="G584" s="2">
        <v>0.75</v>
      </c>
    </row>
    <row r="585" spans="1:7">
      <c r="A585" s="1">
        <f>Sheet1!A591</f>
        <v>45916</v>
      </c>
      <c r="B585" s="2">
        <f>Sheet1!L591</f>
        <v>0.00719318181818183</v>
      </c>
      <c r="C585" s="2">
        <f>Sheet1!F591</f>
        <v>0.0011133257144542</v>
      </c>
      <c r="D585" s="2">
        <f>Sheet1!G591</f>
        <v>0.650182217241253</v>
      </c>
      <c r="E585" s="2">
        <f>Sheet1!AN591*MAX(B$2:B$318)/MAX(Sheet1!AN$8:AN$324)</f>
        <v>0.0165634747863128</v>
      </c>
      <c r="F585" s="2">
        <v>1</v>
      </c>
      <c r="G585" s="2">
        <v>0.75</v>
      </c>
    </row>
    <row r="586" spans="1:7">
      <c r="A586" s="1">
        <f>Sheet1!A592</f>
        <v>45917</v>
      </c>
      <c r="B586" s="2">
        <f>Sheet1!L592</f>
        <v>0.00718181818181819</v>
      </c>
      <c r="C586" s="2">
        <f>Sheet1!F592</f>
        <v>0.00112369022177992</v>
      </c>
      <c r="D586" s="2">
        <f>Sheet1!G592</f>
        <v>0.657358779741253</v>
      </c>
      <c r="E586" s="2">
        <f>Sheet1!AN592*MAX(B$2:B$318)/MAX(Sheet1!AN$8:AN$324)</f>
        <v>0.0165634747863128</v>
      </c>
      <c r="F586" s="2">
        <v>1</v>
      </c>
      <c r="G586" s="2">
        <v>0.75</v>
      </c>
    </row>
    <row r="587" spans="1:7">
      <c r="A587" s="1">
        <f>Sheet1!A593</f>
        <v>45918</v>
      </c>
      <c r="B587" s="2">
        <f>Sheet1!L593</f>
        <v>0.0077159090909091</v>
      </c>
      <c r="C587" s="2">
        <f>Sheet1!F593</f>
        <v>0.00112875091732722</v>
      </c>
      <c r="D587" s="2">
        <f>Sheet1!G593</f>
        <v>0.661448037553753</v>
      </c>
      <c r="E587" s="2">
        <f>Sheet1!AN593*MAX(B$2:B$318)/MAX(Sheet1!AN$8:AN$324)</f>
        <v>0.0165634747863128</v>
      </c>
      <c r="F587" s="2">
        <v>1</v>
      </c>
      <c r="G587" s="2">
        <v>0.75</v>
      </c>
    </row>
    <row r="588" spans="1:7">
      <c r="A588" s="1">
        <f>Sheet1!A594</f>
        <v>45919</v>
      </c>
      <c r="B588" s="2">
        <f>Sheet1!L594</f>
        <v>0.0076098484848485</v>
      </c>
      <c r="C588" s="2">
        <f>Sheet1!F594</f>
        <v>0.00113381167225938</v>
      </c>
      <c r="D588" s="2">
        <f>Sheet1!G594</f>
        <v>0.665547451616253</v>
      </c>
      <c r="E588" s="2">
        <f>Sheet1!AN594*MAX(B$2:B$318)/MAX(Sheet1!AN$8:AN$324)</f>
        <v>0.0165634747863128</v>
      </c>
      <c r="F588" s="2">
        <v>1</v>
      </c>
      <c r="G588" s="2">
        <v>0.75</v>
      </c>
    </row>
    <row r="589" spans="1:7">
      <c r="A589" s="1">
        <f>Sheet1!A595</f>
        <v>45920</v>
      </c>
      <c r="B589" s="2">
        <f>Sheet1!L595</f>
        <v>0.0147878787878788</v>
      </c>
      <c r="C589" s="2">
        <f>Sheet1!F595</f>
        <v>0.0011510585911841</v>
      </c>
      <c r="D589" s="2">
        <f>Sheet1!G595</f>
        <v>0.676822451616254</v>
      </c>
      <c r="E589" s="2">
        <f>Sheet1!AN595*MAX(B$2:B$318)/MAX(Sheet1!AN$8:AN$324)</f>
        <v>0.0165634747863128</v>
      </c>
      <c r="F589" s="2">
        <v>1</v>
      </c>
      <c r="G589" s="2">
        <v>0.75</v>
      </c>
    </row>
    <row r="590" spans="1:7">
      <c r="A590" s="1">
        <f>Sheet1!A596</f>
        <v>45921</v>
      </c>
      <c r="B590" s="2">
        <f>Sheet1!L596</f>
        <v>0.0170568181818182</v>
      </c>
      <c r="C590" s="2">
        <f>Sheet1!F596</f>
        <v>0.00116924008922539</v>
      </c>
      <c r="D590" s="2">
        <f>Sheet1!G596</f>
        <v>0.688682412553754</v>
      </c>
      <c r="E590" s="2">
        <f>Sheet1!AN596*MAX(B$2:B$318)/MAX(Sheet1!AN$8:AN$324)</f>
        <v>0.0165634747863128</v>
      </c>
      <c r="F590" s="2">
        <v>1</v>
      </c>
      <c r="G590" s="2">
        <v>0.75</v>
      </c>
    </row>
    <row r="591" spans="1:7">
      <c r="A591" s="1">
        <f>Sheet1!A597</f>
        <v>45922</v>
      </c>
      <c r="B591" s="2">
        <f>Sheet1!L597</f>
        <v>0.0166098484848485</v>
      </c>
      <c r="C591" s="2">
        <f>Sheet1!F597</f>
        <v>0.0011925671849428</v>
      </c>
      <c r="D591" s="2">
        <f>Sheet1!G597</f>
        <v>0.703614639116253</v>
      </c>
      <c r="E591" s="2">
        <f>Sheet1!AN597*MAX(B$2:B$318)/MAX(Sheet1!AN$8:AN$324)</f>
        <v>0.0165634747863128</v>
      </c>
      <c r="F591" s="2">
        <v>1</v>
      </c>
      <c r="G591" s="2">
        <v>0.75</v>
      </c>
    </row>
    <row r="592" spans="1:7">
      <c r="A592" s="1">
        <f>Sheet1!A598</f>
        <v>45923</v>
      </c>
      <c r="B592" s="2">
        <f>Sheet1!L598</f>
        <v>0</v>
      </c>
      <c r="C592" s="2">
        <f>Sheet1!F598</f>
        <v>0.00119054930476523</v>
      </c>
      <c r="D592" s="2">
        <f>Sheet1!G598</f>
        <v>0.703614639116253</v>
      </c>
      <c r="E592" s="2">
        <f>Sheet1!AN598*MAX(B$2:B$318)/MAX(Sheet1!AN$8:AN$324)</f>
        <v>0.0165634747863128</v>
      </c>
      <c r="F592" s="2">
        <v>1</v>
      </c>
      <c r="G592" s="2">
        <v>0.75</v>
      </c>
    </row>
    <row r="593" spans="1:7">
      <c r="A593" s="1">
        <f>Sheet1!A599</f>
        <v>45924</v>
      </c>
      <c r="B593" s="2">
        <f>Sheet1!L599</f>
        <v>0</v>
      </c>
      <c r="C593" s="2">
        <f>Sheet1!F599</f>
        <v>0.00118853824175043</v>
      </c>
      <c r="D593" s="2">
        <f>Sheet1!G599</f>
        <v>0.703614639116253</v>
      </c>
      <c r="E593" s="2">
        <f>Sheet1!AN599*MAX(B$2:B$318)/MAX(Sheet1!AN$8:AN$324)</f>
        <v>0.0165634747863128</v>
      </c>
      <c r="F593" s="2">
        <v>1</v>
      </c>
      <c r="G593" s="2">
        <v>0.75</v>
      </c>
    </row>
    <row r="594" spans="1:7">
      <c r="A594" s="1">
        <f>Sheet1!A600</f>
        <v>45925</v>
      </c>
      <c r="B594" s="2">
        <f>Sheet1!L600</f>
        <v>0</v>
      </c>
      <c r="C594" s="2">
        <f>Sheet1!F600</f>
        <v>0.00118653396141021</v>
      </c>
      <c r="D594" s="2">
        <f>Sheet1!G600</f>
        <v>0.703614639116253</v>
      </c>
      <c r="E594" s="2">
        <f>Sheet1!AN600*MAX(B$2:B$318)/MAX(Sheet1!AN$8:AN$324)</f>
        <v>0.0165634747863128</v>
      </c>
      <c r="F594" s="2">
        <v>1</v>
      </c>
      <c r="G594" s="2">
        <v>0.75</v>
      </c>
    </row>
    <row r="595" spans="1:7">
      <c r="A595" s="1">
        <f>Sheet1!A601</f>
        <v>45926</v>
      </c>
      <c r="B595" s="2">
        <f>Sheet1!L601</f>
        <v>0</v>
      </c>
      <c r="C595" s="2">
        <f>Sheet1!F601</f>
        <v>0.00118453642948864</v>
      </c>
      <c r="D595" s="2">
        <f>Sheet1!G601</f>
        <v>0.703614639116253</v>
      </c>
      <c r="E595" s="2">
        <f>Sheet1!AN601*MAX(B$2:B$318)/MAX(Sheet1!AN$8:AN$324)</f>
        <v>0.0165634747863128</v>
      </c>
      <c r="F595" s="2">
        <v>1</v>
      </c>
      <c r="G595" s="2">
        <v>0.75</v>
      </c>
    </row>
    <row r="596" spans="1:7">
      <c r="A596" s="1">
        <f>Sheet1!A602</f>
        <v>45927</v>
      </c>
      <c r="B596" s="2">
        <f>Sheet1!L602</f>
        <v>0.0043152356902357</v>
      </c>
      <c r="C596" s="2">
        <f>Sheet1!F602</f>
        <v>0.00118441539633217</v>
      </c>
      <c r="D596" s="2">
        <f>Sheet1!G602</f>
        <v>0.704727160817642</v>
      </c>
      <c r="E596" s="2">
        <f>Sheet1!AN602*MAX(B$2:B$318)/MAX(Sheet1!AN$8:AN$324)</f>
        <v>0.0165634747863128</v>
      </c>
      <c r="F596" s="2">
        <v>1</v>
      </c>
      <c r="G596" s="2">
        <v>0.75</v>
      </c>
    </row>
    <row r="597" spans="1:7">
      <c r="A597" s="1">
        <f>Sheet1!A603</f>
        <v>45928</v>
      </c>
      <c r="B597" s="2">
        <f>Sheet1!L603</f>
        <v>0</v>
      </c>
      <c r="C597" s="2">
        <f>Sheet1!F603</f>
        <v>0.00118242812217725</v>
      </c>
      <c r="D597" s="2">
        <f>Sheet1!G603</f>
        <v>0.704727160817642</v>
      </c>
      <c r="E597" s="2">
        <f>Sheet1!AN603*MAX(B$2:B$318)/MAX(Sheet1!AN$8:AN$324)</f>
        <v>0.0165634747863128</v>
      </c>
      <c r="F597" s="2">
        <v>1</v>
      </c>
      <c r="G597" s="2">
        <v>0.75</v>
      </c>
    </row>
    <row r="598" spans="1:7">
      <c r="A598" s="1">
        <f>Sheet1!A604</f>
        <v>45929</v>
      </c>
      <c r="B598" s="2">
        <f>Sheet1!L604</f>
        <v>0</v>
      </c>
      <c r="C598" s="2">
        <f>Sheet1!F604</f>
        <v>0.00118044750555719</v>
      </c>
      <c r="D598" s="2">
        <f>Sheet1!G604</f>
        <v>0.704727160817642</v>
      </c>
      <c r="E598" s="2">
        <f>Sheet1!AN604*MAX(B$2:B$318)/MAX(Sheet1!AN$8:AN$324)</f>
        <v>0.0165634747863128</v>
      </c>
      <c r="F598" s="2">
        <v>1</v>
      </c>
      <c r="G598" s="2">
        <v>0.75</v>
      </c>
    </row>
    <row r="599" spans="1:7">
      <c r="A599" s="1">
        <f>Sheet1!A605</f>
        <v>45930</v>
      </c>
      <c r="B599" s="2">
        <f>Sheet1!L605</f>
        <v>0</v>
      </c>
      <c r="C599" s="2">
        <f>Sheet1!F605</f>
        <v>0.00117847351307298</v>
      </c>
      <c r="D599" s="2">
        <f>Sheet1!G605</f>
        <v>0.704727160817642</v>
      </c>
      <c r="E599" s="2">
        <f>Sheet1!AN605*MAX(B$2:B$318)/MAX(Sheet1!AN$8:AN$324)</f>
        <v>0.0165634747863128</v>
      </c>
      <c r="F599" s="2">
        <v>1</v>
      </c>
      <c r="G599" s="2">
        <v>0.75</v>
      </c>
    </row>
    <row r="600" spans="1:7">
      <c r="A600" s="1">
        <f>Sheet1!A606</f>
        <v>45931</v>
      </c>
      <c r="B600" s="2">
        <f>Sheet1!L606</f>
        <v>0</v>
      </c>
      <c r="C600" s="2">
        <f>Sheet1!F606</f>
        <v>0.00117650611154865</v>
      </c>
      <c r="D600" s="2">
        <f>Sheet1!G606</f>
        <v>0.704727160817642</v>
      </c>
      <c r="E600" s="2">
        <f>Sheet1!AN606*MAX(B$2:B$318)/MAX(Sheet1!AN$8:AN$324)</f>
        <v>0.0165634747863128</v>
      </c>
      <c r="F600" s="2">
        <v>1</v>
      </c>
      <c r="G600" s="2">
        <v>0.75</v>
      </c>
    </row>
    <row r="601" spans="1:7">
      <c r="A601" s="1">
        <f>Sheet1!A607</f>
        <v>45932</v>
      </c>
      <c r="B601" s="2">
        <f>Sheet1!L607</f>
        <v>0</v>
      </c>
      <c r="C601" s="2">
        <f>Sheet1!F607</f>
        <v>0.0011745452680294</v>
      </c>
      <c r="D601" s="2">
        <f>Sheet1!G607</f>
        <v>0.704727160817642</v>
      </c>
      <c r="E601" s="2">
        <f>Sheet1!AN607*MAX(B$2:B$318)/MAX(Sheet1!AN$8:AN$324)</f>
        <v>0.0165634747863128</v>
      </c>
      <c r="F601" s="2">
        <v>1</v>
      </c>
      <c r="G601" s="2">
        <v>0.75</v>
      </c>
    </row>
    <row r="602" spans="1:7">
      <c r="A602" s="1">
        <f>Sheet1!A608</f>
        <v>45933</v>
      </c>
      <c r="B602" s="2">
        <f>Sheet1!L608</f>
        <v>0</v>
      </c>
      <c r="C602" s="2">
        <f>Sheet1!F608</f>
        <v>0.00117259094977977</v>
      </c>
      <c r="D602" s="2">
        <f>Sheet1!G608</f>
        <v>0.704727160817642</v>
      </c>
      <c r="E602" s="2">
        <f>Sheet1!AN608*MAX(B$2:B$318)/MAX(Sheet1!AN$8:AN$324)</f>
        <v>0.0165634747863128</v>
      </c>
      <c r="F602" s="2">
        <v>1</v>
      </c>
      <c r="G602" s="2">
        <v>0.75</v>
      </c>
    </row>
    <row r="603" spans="1:7">
      <c r="A603" s="1">
        <f>Sheet1!A609</f>
        <v>45934</v>
      </c>
      <c r="B603" s="2">
        <f>Sheet1!L609</f>
        <v>0</v>
      </c>
      <c r="C603" s="2">
        <f>Sheet1!F609</f>
        <v>0.0011706431242818</v>
      </c>
      <c r="D603" s="2">
        <f>Sheet1!G609</f>
        <v>0.704727160817642</v>
      </c>
      <c r="E603" s="2">
        <f>Sheet1!AN609*MAX(B$2:B$318)/MAX(Sheet1!AN$8:AN$324)</f>
        <v>0.0165634747863128</v>
      </c>
      <c r="F603" s="2">
        <v>1</v>
      </c>
      <c r="G603" s="2">
        <v>0.75</v>
      </c>
    </row>
    <row r="604" spans="1:7">
      <c r="A604" s="1">
        <f>Sheet1!A610</f>
        <v>45935</v>
      </c>
      <c r="B604" s="2">
        <f>Sheet1!L610</f>
        <v>0</v>
      </c>
      <c r="C604" s="2">
        <f>Sheet1!F610</f>
        <v>0.00116870175923324</v>
      </c>
      <c r="D604" s="2">
        <f>Sheet1!G610</f>
        <v>0.704727160817642</v>
      </c>
      <c r="E604" s="2">
        <f>Sheet1!AN610*MAX(B$2:B$318)/MAX(Sheet1!AN$8:AN$324)</f>
        <v>0.0165634747863128</v>
      </c>
      <c r="F604" s="2">
        <v>1</v>
      </c>
      <c r="G604" s="2">
        <v>0.75</v>
      </c>
    </row>
    <row r="605" spans="1:7">
      <c r="A605" s="1">
        <f>Sheet1!A611</f>
        <v>45936</v>
      </c>
      <c r="B605" s="2">
        <f>Sheet1!L611</f>
        <v>0</v>
      </c>
      <c r="C605" s="2">
        <f>Sheet1!F611</f>
        <v>0.00116676682254577</v>
      </c>
      <c r="D605" s="2">
        <f>Sheet1!G611</f>
        <v>0.704727160817642</v>
      </c>
      <c r="E605" s="2">
        <f>Sheet1!AN611*MAX(B$2:B$318)/MAX(Sheet1!AN$8:AN$324)</f>
        <v>0.0165634747863128</v>
      </c>
      <c r="F605" s="2">
        <v>1</v>
      </c>
      <c r="G605" s="2">
        <v>0.75</v>
      </c>
    </row>
    <row r="606" spans="1:7">
      <c r="A606" s="1">
        <f>Sheet1!A612</f>
        <v>45937</v>
      </c>
      <c r="B606" s="2">
        <f>Sheet1!L612</f>
        <v>0</v>
      </c>
      <c r="C606" s="2">
        <f>Sheet1!F612</f>
        <v>0.00116483828234321</v>
      </c>
      <c r="D606" s="2">
        <f>Sheet1!G612</f>
        <v>0.704727160817642</v>
      </c>
      <c r="E606" s="2">
        <f>Sheet1!AN612*MAX(B$2:B$318)/MAX(Sheet1!AN$8:AN$324)</f>
        <v>0.0165634747863128</v>
      </c>
      <c r="F606" s="2">
        <v>1</v>
      </c>
      <c r="G606" s="2">
        <v>0.75</v>
      </c>
    </row>
    <row r="607" spans="1:7">
      <c r="A607" s="1">
        <f>Sheet1!A613</f>
        <v>45938</v>
      </c>
      <c r="B607" s="2">
        <f>Sheet1!L613</f>
        <v>0</v>
      </c>
      <c r="C607" s="2">
        <f>Sheet1!F613</f>
        <v>0.00116291610695981</v>
      </c>
      <c r="D607" s="2">
        <f>Sheet1!G613</f>
        <v>0.704727160817642</v>
      </c>
      <c r="E607" s="2">
        <f>Sheet1!AN613*MAX(B$2:B$318)/MAX(Sheet1!AN$8:AN$324)</f>
        <v>0.0165634747863128</v>
      </c>
      <c r="F607" s="2">
        <v>1</v>
      </c>
      <c r="G607" s="2">
        <v>0.75</v>
      </c>
    </row>
    <row r="608" spans="1:7">
      <c r="A608" s="1">
        <f>Sheet1!A614</f>
        <v>45939</v>
      </c>
      <c r="B608" s="2">
        <f>Sheet1!L614</f>
        <v>0</v>
      </c>
      <c r="C608" s="2">
        <f>Sheet1!F614</f>
        <v>0.00116100026493846</v>
      </c>
      <c r="D608" s="2">
        <f>Sheet1!G614</f>
        <v>0.704727160817642</v>
      </c>
      <c r="E608" s="2">
        <f>Sheet1!AN614*MAX(B$2:B$318)/MAX(Sheet1!AN$8:AN$324)</f>
        <v>0.0165634747863128</v>
      </c>
      <c r="F608" s="2">
        <v>1</v>
      </c>
      <c r="G608" s="2">
        <v>0.75</v>
      </c>
    </row>
    <row r="609" spans="1:7">
      <c r="A609" s="1">
        <f>Sheet1!A615</f>
        <v>45940</v>
      </c>
      <c r="B609" s="2">
        <f>Sheet1!L615</f>
        <v>0</v>
      </c>
      <c r="C609" s="2">
        <f>Sheet1!F615</f>
        <v>0.00115909072502902</v>
      </c>
      <c r="D609" s="2">
        <f>Sheet1!G615</f>
        <v>0.704727160817642</v>
      </c>
      <c r="E609" s="2">
        <f>Sheet1!AN615*MAX(B$2:B$318)/MAX(Sheet1!AN$8:AN$324)</f>
        <v>0.0165634747863128</v>
      </c>
      <c r="F609" s="2">
        <v>1</v>
      </c>
      <c r="G609" s="2">
        <v>0.75</v>
      </c>
    </row>
    <row r="610" spans="1:7">
      <c r="A610" s="1">
        <f>Sheet1!A616</f>
        <v>45941</v>
      </c>
      <c r="B610" s="2">
        <f>Sheet1!L616</f>
        <v>0.00263257575757577</v>
      </c>
      <c r="C610" s="2">
        <f>Sheet1!F616</f>
        <v>0.00115833569581814</v>
      </c>
      <c r="D610" s="2">
        <f>Sheet1!G616</f>
        <v>0.705426438753249</v>
      </c>
      <c r="E610" s="2">
        <f>Sheet1!AN616*MAX(B$2:B$318)/MAX(Sheet1!AN$8:AN$324)</f>
        <v>0.0165634747863128</v>
      </c>
      <c r="F610" s="2">
        <v>1</v>
      </c>
      <c r="G610" s="2">
        <v>0.75</v>
      </c>
    </row>
    <row r="611" spans="1:7">
      <c r="A611" s="1">
        <f>Sheet1!A617</f>
        <v>45942</v>
      </c>
      <c r="B611" s="2">
        <f>Sheet1!L617</f>
        <v>0.00514015151515153</v>
      </c>
      <c r="C611" s="2">
        <f>Sheet1!F617</f>
        <v>0.0011586750680319</v>
      </c>
      <c r="D611" s="2">
        <f>Sheet1!G617</f>
        <v>0.706791791499461</v>
      </c>
      <c r="E611" s="2">
        <f>Sheet1!AN617*MAX(B$2:B$318)/MAX(Sheet1!AN$8:AN$324)</f>
        <v>0.0165634747863128</v>
      </c>
      <c r="F611" s="2">
        <v>1</v>
      </c>
      <c r="G611" s="2">
        <v>0.75</v>
      </c>
    </row>
    <row r="612" spans="1:7">
      <c r="A612" s="1">
        <f>Sheet1!A618</f>
        <v>45943</v>
      </c>
      <c r="B612" s="2">
        <f>Sheet1!L618</f>
        <v>0.00312500000000001</v>
      </c>
      <c r="C612" s="2">
        <f>Sheet1!F618</f>
        <v>0.00115813726616115</v>
      </c>
      <c r="D612" s="2">
        <f>Sheet1!G618</f>
        <v>0.707621869624461</v>
      </c>
      <c r="E612" s="2">
        <f>Sheet1!AN618*MAX(B$2:B$318)/MAX(Sheet1!AN$8:AN$324)</f>
        <v>0.0165634747863128</v>
      </c>
      <c r="F612" s="2">
        <v>1</v>
      </c>
      <c r="G612" s="2">
        <v>0.75</v>
      </c>
    </row>
    <row r="613" spans="1:7">
      <c r="A613" s="1">
        <f>Sheet1!A619</f>
        <v>45944</v>
      </c>
      <c r="B613" s="2">
        <f>Sheet1!L619</f>
        <v>0.00123106060606061</v>
      </c>
      <c r="C613" s="2">
        <f>Sheet1!F619</f>
        <v>0.00115677919950645</v>
      </c>
      <c r="D613" s="2">
        <f>Sheet1!G619</f>
        <v>0.707948870097945</v>
      </c>
      <c r="E613" s="2">
        <f>Sheet1!AN619*MAX(B$2:B$318)/MAX(Sheet1!AN$8:AN$324)</f>
        <v>0.0165634747863128</v>
      </c>
      <c r="F613" s="2">
        <v>1</v>
      </c>
      <c r="G613" s="2">
        <v>0.75</v>
      </c>
    </row>
    <row r="614" spans="1:7">
      <c r="A614" s="1">
        <f>Sheet1!A620</f>
        <v>45945</v>
      </c>
      <c r="B614" s="2">
        <f>Sheet1!L620</f>
        <v>0.00217803030303031</v>
      </c>
      <c r="C614" s="2">
        <f>Sheet1!F620</f>
        <v>0.00115583590439998</v>
      </c>
      <c r="D614" s="2">
        <f>Sheet1!G620</f>
        <v>0.708527409397188</v>
      </c>
      <c r="E614" s="2">
        <f>Sheet1!AN620*MAX(B$2:B$318)/MAX(Sheet1!AN$8:AN$324)</f>
        <v>0.0165634747863128</v>
      </c>
      <c r="F614" s="2">
        <v>1</v>
      </c>
      <c r="G614" s="2">
        <v>0.75</v>
      </c>
    </row>
    <row r="615" spans="1:7">
      <c r="A615" s="1">
        <f>Sheet1!A621</f>
        <v>45946</v>
      </c>
      <c r="B615" s="2">
        <f>Sheet1!L621</f>
        <v>0.00187500000000001</v>
      </c>
      <c r="C615" s="2">
        <f>Sheet1!F621</f>
        <v>0.00115476458676252</v>
      </c>
      <c r="D615" s="2">
        <f>Sheet1!G621</f>
        <v>0.709025456272188</v>
      </c>
      <c r="E615" s="2">
        <f>Sheet1!AN621*MAX(B$2:B$318)/MAX(Sheet1!AN$8:AN$324)</f>
        <v>0.0165634747863128</v>
      </c>
      <c r="F615" s="2">
        <v>1</v>
      </c>
      <c r="G615" s="2">
        <v>0.75</v>
      </c>
    </row>
    <row r="616" spans="1:7">
      <c r="A616" s="1">
        <f>Sheet1!A622</f>
        <v>45947</v>
      </c>
      <c r="B616" s="2">
        <f>Sheet1!L622</f>
        <v>0.00172348484848485</v>
      </c>
      <c r="C616" s="2">
        <f>Sheet1!F622</f>
        <v>0.00115363131208954</v>
      </c>
      <c r="D616" s="2">
        <f>Sheet1!G622</f>
        <v>0.709483256935067</v>
      </c>
      <c r="E616" s="2">
        <f>Sheet1!AN622*MAX(B$2:B$318)/MAX(Sheet1!AN$8:AN$324)</f>
        <v>0.0165634747863128</v>
      </c>
      <c r="F616" s="2">
        <v>1</v>
      </c>
      <c r="G616" s="2">
        <v>0.75</v>
      </c>
    </row>
    <row r="617" spans="1:7">
      <c r="A617" s="1">
        <f>Sheet1!A623</f>
        <v>45948</v>
      </c>
      <c r="B617" s="2">
        <f>Sheet1!L623</f>
        <v>0.000303030303030304</v>
      </c>
      <c r="C617" s="2">
        <f>Sheet1!F623</f>
        <v>0.00115188920350537</v>
      </c>
      <c r="D617" s="2">
        <f>Sheet1!G623</f>
        <v>0.709563749359309</v>
      </c>
      <c r="E617" s="2">
        <f>Sheet1!AN623*MAX(B$2:B$318)/MAX(Sheet1!AN$8:AN$324)</f>
        <v>0.0165634747863128</v>
      </c>
      <c r="F617" s="2">
        <v>1</v>
      </c>
      <c r="G617" s="2">
        <v>0.75</v>
      </c>
    </row>
    <row r="618" spans="1:7">
      <c r="A618" s="1">
        <f>Sheet1!A624</f>
        <v>45949</v>
      </c>
      <c r="B618" s="2">
        <f>Sheet1!L624</f>
        <v>0.000454545454545456</v>
      </c>
      <c r="C618" s="2">
        <f>Sheet1!F624</f>
        <v>0.00115021797081957</v>
      </c>
      <c r="D618" s="2">
        <f>Sheet1!G624</f>
        <v>0.709684487995673</v>
      </c>
      <c r="E618" s="2">
        <f>Sheet1!AN624*MAX(B$2:B$318)/MAX(Sheet1!AN$8:AN$324)</f>
        <v>0.0165634747863128</v>
      </c>
      <c r="F618" s="2">
        <v>1</v>
      </c>
      <c r="G618" s="2">
        <v>0.75</v>
      </c>
    </row>
    <row r="619" spans="1:7">
      <c r="A619" s="1">
        <f>Sheet1!A625</f>
        <v>45950</v>
      </c>
      <c r="B619" s="2">
        <f>Sheet1!L625</f>
        <v>0.000606060606060608</v>
      </c>
      <c r="C619" s="2">
        <f>Sheet1!F625</f>
        <v>0.00114861726997437</v>
      </c>
      <c r="D619" s="2">
        <f>Sheet1!G625</f>
        <v>0.709845472844158</v>
      </c>
      <c r="E619" s="2">
        <f>Sheet1!AN625*MAX(B$2:B$318)/MAX(Sheet1!AN$8:AN$324)</f>
        <v>0.0165634747863128</v>
      </c>
      <c r="F619" s="2">
        <v>1</v>
      </c>
      <c r="G619" s="2">
        <v>0.75</v>
      </c>
    </row>
    <row r="620" spans="1:7">
      <c r="A620" s="1">
        <f>Sheet1!A626</f>
        <v>45951</v>
      </c>
      <c r="B620" s="2">
        <f>Sheet1!L626</f>
        <v>0.00470454545454547</v>
      </c>
      <c r="C620" s="2">
        <f>Sheet1!F626</f>
        <v>0.0011487804809863</v>
      </c>
      <c r="D620" s="2">
        <f>Sheet1!G626</f>
        <v>0.711095117730521</v>
      </c>
      <c r="E620" s="2">
        <f>Sheet1!AN626*MAX(B$2:B$318)/MAX(Sheet1!AN$8:AN$324)</f>
        <v>0.0165634747863128</v>
      </c>
      <c r="F620" s="2">
        <v>1</v>
      </c>
      <c r="G620" s="2">
        <v>0.75</v>
      </c>
    </row>
    <row r="621" spans="1:7">
      <c r="A621" s="1">
        <f>Sheet1!A627</f>
        <v>45952</v>
      </c>
      <c r="B621" s="2">
        <f>Sheet1!L627</f>
        <v>0.00182575757575758</v>
      </c>
      <c r="C621" s="2">
        <f>Sheet1!F627</f>
        <v>0.00114770981384933</v>
      </c>
      <c r="D621" s="2">
        <f>Sheet1!G627</f>
        <v>0.711580084586582</v>
      </c>
      <c r="E621" s="2">
        <f>Sheet1!AN627*MAX(B$2:B$318)/MAX(Sheet1!AN$8:AN$324)</f>
        <v>0.0165634747863128</v>
      </c>
      <c r="F621" s="2">
        <v>1</v>
      </c>
      <c r="G621" s="2">
        <v>0.75</v>
      </c>
    </row>
    <row r="622" spans="1:7">
      <c r="A622" s="1">
        <f>Sheet1!A628</f>
        <v>45953</v>
      </c>
      <c r="B622" s="2">
        <f>Sheet1!L628</f>
        <v>0.00217803030303031</v>
      </c>
      <c r="C622" s="2">
        <f>Sheet1!F628</f>
        <v>0.00114679327517846</v>
      </c>
      <c r="D622" s="2">
        <f>Sheet1!G628</f>
        <v>0.712158623885824</v>
      </c>
      <c r="E622" s="2">
        <f>Sheet1!AN628*MAX(B$2:B$318)/MAX(Sheet1!AN$8:AN$324)</f>
        <v>0.0165634747863128</v>
      </c>
      <c r="F622" s="2">
        <v>1</v>
      </c>
      <c r="G622" s="2">
        <v>0.75</v>
      </c>
    </row>
    <row r="623" spans="1:7">
      <c r="A623" s="1">
        <f>Sheet1!A629</f>
        <v>45954</v>
      </c>
      <c r="B623" s="2">
        <f>Sheet1!L629</f>
        <v>0.00248106060606061</v>
      </c>
      <c r="C623" s="2">
        <f>Sheet1!F629</f>
        <v>0.00114600909261947</v>
      </c>
      <c r="D623" s="2">
        <f>Sheet1!G629</f>
        <v>0.712817655609309</v>
      </c>
      <c r="E623" s="2">
        <f>Sheet1!AN629*MAX(B$2:B$318)/MAX(Sheet1!AN$8:AN$324)</f>
        <v>0.0165634747863128</v>
      </c>
      <c r="F623" s="2">
        <v>1</v>
      </c>
      <c r="G623" s="2">
        <v>0.75</v>
      </c>
    </row>
    <row r="624" spans="1:7">
      <c r="A624" s="1">
        <f>Sheet1!A630</f>
        <v>45955</v>
      </c>
      <c r="B624" s="2">
        <f>Sheet1!L630</f>
        <v>0.00187500000000001</v>
      </c>
      <c r="C624" s="2">
        <f>Sheet1!F630</f>
        <v>0.00114496902485443</v>
      </c>
      <c r="D624" s="2">
        <f>Sheet1!G630</f>
        <v>0.713315702484309</v>
      </c>
      <c r="E624" s="2">
        <f>Sheet1!AN630*MAX(B$2:B$318)/MAX(Sheet1!AN$8:AN$324)</f>
        <v>0.0165634747863128</v>
      </c>
      <c r="F624" s="2">
        <v>1</v>
      </c>
      <c r="G624" s="2">
        <v>0.75</v>
      </c>
    </row>
    <row r="625" spans="1:7">
      <c r="A625" s="1">
        <f>Sheet1!A631</f>
        <v>45956</v>
      </c>
      <c r="B625" s="2">
        <f>Sheet1!L631</f>
        <v>0.00278409090909092</v>
      </c>
      <c r="C625" s="2">
        <f>Sheet1!F631</f>
        <v>0.00114431927344878</v>
      </c>
      <c r="D625" s="2">
        <f>Sheet1!G631</f>
        <v>0.714055226632036</v>
      </c>
      <c r="E625" s="2">
        <f>Sheet1!AN631*MAX(B$2:B$318)/MAX(Sheet1!AN$8:AN$324)</f>
        <v>0.0165634747863128</v>
      </c>
      <c r="F625" s="2">
        <v>1</v>
      </c>
      <c r="G625" s="2">
        <v>0.75</v>
      </c>
    </row>
    <row r="626" spans="1:7">
      <c r="A626" s="1">
        <f>Sheet1!A632</f>
        <v>45957</v>
      </c>
      <c r="B626" s="2">
        <f>Sheet1!L632</f>
        <v>0.00218939393939395</v>
      </c>
      <c r="C626" s="2">
        <f>Sheet1!F632</f>
        <v>0.0011434188550355</v>
      </c>
      <c r="D626" s="2">
        <f>Sheet1!G632</f>
        <v>0.714636784397188</v>
      </c>
      <c r="E626" s="2">
        <f>Sheet1!AN632*MAX(B$2:B$318)/MAX(Sheet1!AN$8:AN$324)</f>
        <v>0.0165634747863128</v>
      </c>
      <c r="F626" s="2">
        <v>1</v>
      </c>
      <c r="G626" s="2">
        <v>0.75</v>
      </c>
    </row>
    <row r="627" spans="1:7">
      <c r="A627" s="1">
        <f>Sheet1!A633</f>
        <v>45958</v>
      </c>
      <c r="B627" s="2">
        <f>Sheet1!L633</f>
        <v>0.00869318181818185</v>
      </c>
      <c r="C627" s="2">
        <f>Sheet1!F633</f>
        <v>0.00114528100769591</v>
      </c>
      <c r="D627" s="2">
        <f>Sheet1!G633</f>
        <v>0.716945910817643</v>
      </c>
      <c r="E627" s="2">
        <f>Sheet1!AN633*MAX(B$2:B$318)/MAX(Sheet1!AN$8:AN$324)</f>
        <v>0.0165634747863128</v>
      </c>
      <c r="F627" s="2">
        <v>1</v>
      </c>
      <c r="G627" s="2">
        <v>0.75</v>
      </c>
    </row>
    <row r="628" spans="1:7">
      <c r="A628" s="1">
        <f>Sheet1!A634</f>
        <v>45959</v>
      </c>
      <c r="B628" s="2">
        <f>Sheet1!L634</f>
        <v>0.00448863636363638</v>
      </c>
      <c r="C628" s="2">
        <f>Sheet1!F634</f>
        <v>0.00114535598859926</v>
      </c>
      <c r="D628" s="2">
        <f>Sheet1!G634</f>
        <v>0.718138204851733</v>
      </c>
      <c r="E628" s="2">
        <f>Sheet1!AN634*MAX(B$2:B$318)/MAX(Sheet1!AN$8:AN$324)</f>
        <v>0.0165634747863128</v>
      </c>
      <c r="F628" s="2">
        <v>1</v>
      </c>
      <c r="G628" s="2">
        <v>0.75</v>
      </c>
    </row>
    <row r="629" spans="1:7">
      <c r="A629" s="1">
        <f>Sheet1!A635</f>
        <v>45960</v>
      </c>
      <c r="B629" s="2">
        <f>Sheet1!L635</f>
        <v>0.00714015151515154</v>
      </c>
      <c r="C629" s="2">
        <f>Sheet1!F635</f>
        <v>0.001146552241398</v>
      </c>
      <c r="D629" s="2">
        <f>Sheet1!G635</f>
        <v>0.720034807597946</v>
      </c>
      <c r="E629" s="2">
        <f>Sheet1!AN635*MAX(B$2:B$318)/MAX(Sheet1!AN$8:AN$324)</f>
        <v>0.0165634747863128</v>
      </c>
      <c r="F629" s="2">
        <v>1</v>
      </c>
      <c r="G629" s="2">
        <v>0.75</v>
      </c>
    </row>
    <row r="630" spans="1:7">
      <c r="A630" s="1">
        <f>Sheet1!A636</f>
        <v>45961</v>
      </c>
      <c r="B630" s="2">
        <f>Sheet1!L636</f>
        <v>0.00109553872053872</v>
      </c>
      <c r="C630" s="2">
        <f>Sheet1!F636</f>
        <v>0.00114519206688488</v>
      </c>
      <c r="D630" s="2">
        <f>Sheet1!G636</f>
        <v>0.720325810070589</v>
      </c>
      <c r="E630" s="2">
        <f>Sheet1!AN636*MAX(B$2:B$318)/MAX(Sheet1!AN$8:AN$324)</f>
        <v>0.0165634747863128</v>
      </c>
      <c r="F630" s="2">
        <v>1</v>
      </c>
      <c r="G630" s="2">
        <v>0.75</v>
      </c>
    </row>
    <row r="631" spans="1:7">
      <c r="A631" s="1">
        <f>Sheet1!A637</f>
        <v>45962</v>
      </c>
      <c r="B631" s="2">
        <f>Sheet1!L637</f>
        <v>0.017344696969697</v>
      </c>
      <c r="C631" s="2">
        <f>Sheet1!F637</f>
        <v>0.00115090238198133</v>
      </c>
      <c r="D631" s="2">
        <f>Sheet1!G637</f>
        <v>0.72506850064824</v>
      </c>
      <c r="E631" s="2">
        <f>Sheet1!AN637*MAX(B$2:B$318)/MAX(Sheet1!AN$8:AN$324)</f>
        <v>0.0165634747863128</v>
      </c>
      <c r="F631" s="2">
        <v>1</v>
      </c>
      <c r="G631" s="2">
        <v>0.75</v>
      </c>
    </row>
    <row r="632" spans="1:7">
      <c r="A632" s="1">
        <f>Sheet1!A638</f>
        <v>45963</v>
      </c>
      <c r="B632" s="2">
        <f>Sheet1!L638</f>
        <v>0.0135340909090909</v>
      </c>
      <c r="C632" s="2">
        <f>Sheet1!F638</f>
        <v>0.00115494331003359</v>
      </c>
      <c r="D632" s="2">
        <f>Sheet1!G638</f>
        <v>0.728769228631195</v>
      </c>
      <c r="E632" s="2">
        <f>Sheet1!AN638*MAX(B$2:B$318)/MAX(Sheet1!AN$8:AN$324)</f>
        <v>0.0165634747863128</v>
      </c>
      <c r="F632" s="2">
        <v>1</v>
      </c>
      <c r="G632" s="2">
        <v>0.75</v>
      </c>
    </row>
    <row r="633" spans="1:7">
      <c r="A633" s="1">
        <f>Sheet1!A639</f>
        <v>45964</v>
      </c>
      <c r="B633" s="2">
        <f>Sheet1!L639</f>
        <v>0.0122954545454546</v>
      </c>
      <c r="C633" s="2">
        <f>Sheet1!F639</f>
        <v>0.00115843554902447</v>
      </c>
      <c r="D633" s="2">
        <f>Sheet1!G639</f>
        <v>0.732131266983467</v>
      </c>
      <c r="E633" s="2">
        <f>Sheet1!AN639*MAX(B$2:B$318)/MAX(Sheet1!AN$8:AN$324)</f>
        <v>0.0165634747863128</v>
      </c>
      <c r="F633" s="2">
        <v>1</v>
      </c>
      <c r="G633" s="2">
        <v>0.75</v>
      </c>
    </row>
    <row r="634" spans="1:7">
      <c r="A634" s="1">
        <f>Sheet1!A640</f>
        <v>45965</v>
      </c>
      <c r="B634" s="2">
        <f>Sheet1!L640</f>
        <v>0.00900000000000001</v>
      </c>
      <c r="C634" s="2">
        <f>Sheet1!F640</f>
        <v>0.00116049321403391</v>
      </c>
      <c r="D634" s="2">
        <f>Sheet1!G640</f>
        <v>0.734592204483467</v>
      </c>
      <c r="E634" s="2">
        <f>Sheet1!AN640*MAX(B$2:B$318)/MAX(Sheet1!AN$8:AN$324)</f>
        <v>0.0165634747863128</v>
      </c>
      <c r="F634" s="2">
        <v>1</v>
      </c>
      <c r="G634" s="2">
        <v>0.75</v>
      </c>
    </row>
    <row r="635" spans="1:7">
      <c r="A635" s="1">
        <f>Sheet1!A641</f>
        <v>45966</v>
      </c>
      <c r="B635" s="2">
        <f>Sheet1!L641</f>
        <v>0.0134962121212121</v>
      </c>
      <c r="C635" s="2">
        <f>Sheet1!F641</f>
        <v>0.00116448355675925</v>
      </c>
      <c r="D635" s="2">
        <f>Sheet1!G641</f>
        <v>0.738282574985361</v>
      </c>
      <c r="E635" s="2">
        <f>Sheet1!AN641*MAX(B$2:B$318)/MAX(Sheet1!AN$8:AN$324)</f>
        <v>0.0165634747863128</v>
      </c>
      <c r="F635" s="2">
        <v>1</v>
      </c>
      <c r="G635" s="2">
        <v>0.75</v>
      </c>
    </row>
    <row r="636" spans="1:7">
      <c r="A636" s="1">
        <f>Sheet1!A642</f>
        <v>45967</v>
      </c>
      <c r="B636" s="2">
        <f>Sheet1!L642</f>
        <v>0.00835606060606063</v>
      </c>
      <c r="C636" s="2">
        <f>Sheet1!F642</f>
        <v>0.00116624792961784</v>
      </c>
      <c r="D636" s="2">
        <f>Sheet1!G642</f>
        <v>0.740567435307331</v>
      </c>
      <c r="E636" s="2">
        <f>Sheet1!AN642*MAX(B$2:B$318)/MAX(Sheet1!AN$8:AN$324)</f>
        <v>0.0165634747863128</v>
      </c>
      <c r="F636" s="2">
        <v>1</v>
      </c>
      <c r="G636" s="2">
        <v>0.75</v>
      </c>
    </row>
    <row r="637" spans="1:7">
      <c r="A637" s="1">
        <f>Sheet1!A643</f>
        <v>45968</v>
      </c>
      <c r="B637" s="2">
        <f>Sheet1!L643</f>
        <v>0.0116590909090909</v>
      </c>
      <c r="C637" s="2">
        <f>Sheet1!F643</f>
        <v>0.00116942683644306</v>
      </c>
      <c r="D637" s="2">
        <f>Sheet1!G643</f>
        <v>0.743755467977786</v>
      </c>
      <c r="E637" s="2">
        <f>Sheet1!AN643*MAX(B$2:B$318)/MAX(Sheet1!AN$8:AN$324)</f>
        <v>0.0165634747863128</v>
      </c>
      <c r="F637" s="2">
        <v>1</v>
      </c>
      <c r="G637" s="2">
        <v>0.75</v>
      </c>
    </row>
    <row r="638" spans="1:7">
      <c r="A638" s="1">
        <f>Sheet1!A644</f>
        <v>45969</v>
      </c>
      <c r="B638" s="2">
        <f>Sheet1!L644</f>
        <v>0.0169810606060606</v>
      </c>
      <c r="C638" s="2">
        <f>Sheet1!F644</f>
        <v>0.00117488026175393</v>
      </c>
      <c r="D638" s="2">
        <f>Sheet1!G644</f>
        <v>0.748398726737255</v>
      </c>
      <c r="E638" s="2">
        <f>Sheet1!AN644*MAX(B$2:B$318)/MAX(Sheet1!AN$8:AN$324)</f>
        <v>0.0165634747863128</v>
      </c>
      <c r="F638" s="2">
        <v>1</v>
      </c>
      <c r="G638" s="2">
        <v>0.75</v>
      </c>
    </row>
    <row r="639" spans="1:7">
      <c r="A639" s="1">
        <f>Sheet1!A645</f>
        <v>45970</v>
      </c>
      <c r="B639" s="2">
        <f>Sheet1!L645</f>
        <v>0.00759848484848487</v>
      </c>
      <c r="C639" s="2">
        <f>Sheet1!F645</f>
        <v>0.00117629535648591</v>
      </c>
      <c r="D639" s="2">
        <f>Sheet1!G645</f>
        <v>0.750476437438013</v>
      </c>
      <c r="E639" s="2">
        <f>Sheet1!AN645*MAX(B$2:B$318)/MAX(Sheet1!AN$8:AN$324)</f>
        <v>0.0165634747863128</v>
      </c>
      <c r="F639" s="2">
        <v>1</v>
      </c>
      <c r="G639" s="2">
        <v>0.75</v>
      </c>
    </row>
    <row r="640" spans="1:7">
      <c r="A640" s="1">
        <f>Sheet1!A646</f>
        <v>45971</v>
      </c>
      <c r="B640" s="2">
        <f>Sheet1!L646</f>
        <v>0.00341666666666667</v>
      </c>
      <c r="C640" s="2">
        <f>Sheet1!F646</f>
        <v>0.00117591656060983</v>
      </c>
      <c r="D640" s="2">
        <f>Sheet1!G646</f>
        <v>0.75141068222968</v>
      </c>
      <c r="E640" s="2">
        <f>Sheet1!AN646*MAX(B$2:B$318)/MAX(Sheet1!AN$8:AN$324)</f>
        <v>0.0165634747863128</v>
      </c>
      <c r="F640" s="2">
        <v>1</v>
      </c>
      <c r="G640" s="2">
        <v>0.75</v>
      </c>
    </row>
    <row r="641" spans="1:7">
      <c r="A641" s="1">
        <f>Sheet1!A647</f>
        <v>45972</v>
      </c>
      <c r="B641" s="2">
        <f>Sheet1!L647</f>
        <v>0.00522727272727274</v>
      </c>
      <c r="C641" s="2">
        <f>Sheet1!F647</f>
        <v>0.00117631252283757</v>
      </c>
      <c r="D641" s="2">
        <f>Sheet1!G647</f>
        <v>0.752840014616043</v>
      </c>
      <c r="E641" s="2">
        <f>Sheet1!AN647*MAX(B$2:B$318)/MAX(Sheet1!AN$8:AN$324)</f>
        <v>0.0165634747863128</v>
      </c>
      <c r="F641" s="2">
        <v>1</v>
      </c>
      <c r="G641" s="2">
        <v>0.75</v>
      </c>
    </row>
    <row r="642" spans="1:7">
      <c r="A642" s="1">
        <f>Sheet1!A648</f>
        <v>45973</v>
      </c>
      <c r="B642" s="2">
        <f>Sheet1!L648</f>
        <v>0.00960984848484851</v>
      </c>
      <c r="C642" s="2">
        <f>Sheet1!F648</f>
        <v>0.00117857676686602</v>
      </c>
      <c r="D642" s="2">
        <f>Sheet1!G648</f>
        <v>0.755467707561119</v>
      </c>
      <c r="E642" s="2">
        <f>Sheet1!AN648*MAX(B$2:B$318)/MAX(Sheet1!AN$8:AN$324)</f>
        <v>0.0165634747863128</v>
      </c>
      <c r="F642" s="2">
        <v>1</v>
      </c>
      <c r="G642" s="2">
        <v>0.75</v>
      </c>
    </row>
    <row r="643" spans="1:7">
      <c r="A643" s="1">
        <f>Sheet1!A649</f>
        <v>45974</v>
      </c>
      <c r="B643" s="2">
        <f>Sheet1!L649</f>
        <v>0.0089507575757576</v>
      </c>
      <c r="C643" s="2">
        <f>Sheet1!F649</f>
        <v>0.00118055324039835</v>
      </c>
      <c r="D643" s="2">
        <f>Sheet1!G649</f>
        <v>0.75791518033574</v>
      </c>
      <c r="E643" s="2">
        <f>Sheet1!AN649*MAX(B$2:B$318)/MAX(Sheet1!AN$8:AN$324)</f>
        <v>0.0165634747863128</v>
      </c>
      <c r="F643" s="2">
        <v>1</v>
      </c>
      <c r="G643" s="2">
        <v>0.75</v>
      </c>
    </row>
    <row r="644" spans="1:7">
      <c r="A644" s="1">
        <f>Sheet1!A650</f>
        <v>45975</v>
      </c>
      <c r="B644" s="2">
        <f>Sheet1!L650</f>
        <v>0.00686742424242426</v>
      </c>
      <c r="C644" s="2">
        <f>Sheet1!F650</f>
        <v>0.00118163762309802</v>
      </c>
      <c r="D644" s="2">
        <f>Sheet1!G650</f>
        <v>0.759792991652028</v>
      </c>
      <c r="E644" s="2">
        <f>Sheet1!AN650*MAX(B$2:B$318)/MAX(Sheet1!AN$8:AN$324)</f>
        <v>0.0165634747863128</v>
      </c>
      <c r="F644" s="2">
        <v>1</v>
      </c>
      <c r="G644" s="2">
        <v>0.75</v>
      </c>
    </row>
    <row r="645" spans="1:7">
      <c r="A645" s="1">
        <f>Sheet1!A651</f>
        <v>45976</v>
      </c>
      <c r="B645" s="2">
        <f>Sheet1!L651</f>
        <v>0.00381944444444445</v>
      </c>
      <c r="C645" s="2">
        <f>Sheet1!F651</f>
        <v>0.00118142448911849</v>
      </c>
      <c r="D645" s="2">
        <f>Sheet1!G651</f>
        <v>0.760837370992306</v>
      </c>
      <c r="E645" s="2">
        <f>Sheet1!AN651*MAX(B$2:B$318)/MAX(Sheet1!AN$8:AN$324)</f>
        <v>0.0165634747863128</v>
      </c>
      <c r="F645" s="2">
        <v>1</v>
      </c>
      <c r="G645" s="2">
        <v>0.75</v>
      </c>
    </row>
    <row r="646" spans="1:7">
      <c r="A646" s="1">
        <f>Sheet1!A652</f>
        <v>45977</v>
      </c>
      <c r="B646" s="2">
        <f>Sheet1!L652</f>
        <v>0.0109503367003367</v>
      </c>
      <c r="C646" s="2">
        <f>Sheet1!F652</f>
        <v>0.00118423504447101</v>
      </c>
      <c r="D646" s="2">
        <f>Sheet1!G652</f>
        <v>0.763831603683804</v>
      </c>
      <c r="E646" s="2">
        <f>Sheet1!AN652*MAX(B$2:B$318)/MAX(Sheet1!AN$8:AN$324)</f>
        <v>0.0165634747863128</v>
      </c>
      <c r="F646" s="2">
        <v>1</v>
      </c>
      <c r="G646" s="2">
        <v>0.75</v>
      </c>
    </row>
    <row r="647" spans="1:7">
      <c r="A647" s="1">
        <f>Sheet1!A653</f>
        <v>45978</v>
      </c>
      <c r="B647" s="2">
        <f>Sheet1!L653</f>
        <v>0.0104705387205387</v>
      </c>
      <c r="C647" s="2">
        <f>Sheet1!F653</f>
        <v>0.00118683381054985</v>
      </c>
      <c r="D647" s="2">
        <f>Sheet1!G653</f>
        <v>0.766694641615201</v>
      </c>
      <c r="E647" s="2">
        <f>Sheet1!AN653*MAX(B$2:B$318)/MAX(Sheet1!AN$8:AN$324)</f>
        <v>0.0165634747863128</v>
      </c>
      <c r="F647" s="2">
        <v>1</v>
      </c>
      <c r="G647" s="2">
        <v>0.75</v>
      </c>
    </row>
    <row r="648" spans="1:7">
      <c r="A648" s="1">
        <f>Sheet1!A654</f>
        <v>45979</v>
      </c>
      <c r="B648" s="2">
        <f>Sheet1!L654</f>
        <v>0.0270867003367004</v>
      </c>
      <c r="C648" s="2">
        <f>Sheet1!F654</f>
        <v>0.00119644692618009</v>
      </c>
      <c r="D648" s="2">
        <f>Sheet1!G654</f>
        <v>0.774101161238518</v>
      </c>
      <c r="E648" s="2">
        <f>Sheet1!AN654*MAX(B$2:B$318)/MAX(Sheet1!AN$8:AN$324)</f>
        <v>0.0165634747863128</v>
      </c>
      <c r="F648" s="2">
        <v>1</v>
      </c>
      <c r="G648" s="2">
        <v>0.75</v>
      </c>
    </row>
    <row r="649" spans="1:7">
      <c r="A649" s="1">
        <f>Sheet1!A655</f>
        <v>45980</v>
      </c>
      <c r="B649" s="2">
        <f>Sheet1!L655</f>
        <v>0.0545925925925927</v>
      </c>
      <c r="C649" s="2">
        <f>Sheet1!F655</f>
        <v>0.0012176370729561</v>
      </c>
      <c r="D649" s="2">
        <f>Sheet1!G655</f>
        <v>0.789028823275555</v>
      </c>
      <c r="E649" s="2">
        <f>Sheet1!AN655*MAX(B$2:B$318)/MAX(Sheet1!AN$8:AN$324)</f>
        <v>0.0165634747863128</v>
      </c>
      <c r="F649" s="2">
        <v>1</v>
      </c>
      <c r="G649" s="2">
        <v>0.75</v>
      </c>
    </row>
    <row r="650" spans="1:7">
      <c r="A650" s="1">
        <f>Sheet1!A656</f>
        <v>45981</v>
      </c>
      <c r="B650" s="2">
        <f>Sheet1!L656</f>
        <v>0.069598484848485</v>
      </c>
      <c r="C650" s="2">
        <f>Sheet1!F656</f>
        <v>0.00124508422030248</v>
      </c>
      <c r="D650" s="2">
        <f>Sheet1!G656</f>
        <v>0.808059658976312</v>
      </c>
      <c r="E650" s="2">
        <f>Sheet1!AN656*MAX(B$2:B$318)/MAX(Sheet1!AN$8:AN$324)</f>
        <v>0.0165634747863128</v>
      </c>
      <c r="F650" s="2">
        <v>1</v>
      </c>
      <c r="G650" s="2">
        <v>0.75</v>
      </c>
    </row>
    <row r="651" spans="1:7">
      <c r="A651" s="1">
        <f>Sheet1!A657</f>
        <v>45982</v>
      </c>
      <c r="B651" s="2">
        <f>Sheet1!L657</f>
        <v>0.0296742424242425</v>
      </c>
      <c r="C651" s="2">
        <f>Sheet1!F657</f>
        <v>0.00125565186098337</v>
      </c>
      <c r="D651" s="2">
        <f>Sheet1!G657</f>
        <v>0.816173709639191</v>
      </c>
      <c r="E651" s="2">
        <f>Sheet1!AN657*MAX(B$2:B$318)/MAX(Sheet1!AN$8:AN$324)</f>
        <v>0.0165634747863128</v>
      </c>
      <c r="F651" s="2">
        <v>1</v>
      </c>
      <c r="G651" s="2">
        <v>0.75</v>
      </c>
    </row>
    <row r="652" spans="1:7">
      <c r="A652" s="1">
        <f>Sheet1!A658</f>
        <v>45983</v>
      </c>
      <c r="B652" s="2">
        <f>Sheet1!L658</f>
        <v>0.0341578282828283</v>
      </c>
      <c r="C652" s="2">
        <f>Sheet1!F658</f>
        <v>0.00126807026238138</v>
      </c>
      <c r="D652" s="2">
        <f>Sheet1!G658</f>
        <v>0.825513740810277</v>
      </c>
      <c r="E652" s="2">
        <f>Sheet1!AN658*MAX(B$2:B$318)/MAX(Sheet1!AN$8:AN$324)</f>
        <v>0.0165634747863128</v>
      </c>
      <c r="F652" s="2">
        <v>1</v>
      </c>
      <c r="G652" s="2">
        <v>0.75</v>
      </c>
    </row>
    <row r="653" spans="1:7">
      <c r="A653" s="1">
        <f>Sheet1!A659</f>
        <v>45984</v>
      </c>
      <c r="B653" s="2">
        <f>Sheet1!L659</f>
        <v>0.0343468013468014</v>
      </c>
      <c r="C653" s="2">
        <f>Sheet1!F659</f>
        <v>0.00128052982255145</v>
      </c>
      <c r="D653" s="2">
        <f>Sheet1!G659</f>
        <v>0.834905444303543</v>
      </c>
      <c r="E653" s="2">
        <f>Sheet1!AN659*MAX(B$2:B$318)/MAX(Sheet1!AN$8:AN$324)</f>
        <v>0.0165634747863128</v>
      </c>
      <c r="F653" s="2">
        <v>1</v>
      </c>
      <c r="G653" s="2">
        <v>0.75</v>
      </c>
    </row>
    <row r="654" spans="1:7">
      <c r="A654" s="1">
        <f>Sheet1!A660</f>
        <v>45985</v>
      </c>
      <c r="B654" s="2">
        <f>Sheet1!L660</f>
        <v>0.0295820707070707</v>
      </c>
      <c r="C654" s="2">
        <f>Sheet1!F660</f>
        <v>0.00129095603638975</v>
      </c>
      <c r="D654" s="2">
        <f>Sheet1!G660</f>
        <v>0.842994291762508</v>
      </c>
      <c r="E654" s="2">
        <f>Sheet1!AN660*MAX(B$2:B$318)/MAX(Sheet1!AN$8:AN$324)</f>
        <v>0.0165634747863128</v>
      </c>
      <c r="F654" s="2">
        <v>1</v>
      </c>
      <c r="G654" s="2">
        <v>0.75</v>
      </c>
    </row>
    <row r="655" spans="1:7">
      <c r="A655" s="1">
        <f>Sheet1!A661</f>
        <v>45986</v>
      </c>
      <c r="B655" s="2">
        <f>Sheet1!L661</f>
        <v>0.0217853535353536</v>
      </c>
      <c r="C655" s="2">
        <f>Sheet1!F661</f>
        <v>0.00129809055714041</v>
      </c>
      <c r="D655" s="2">
        <f>Sheet1!G661</f>
        <v>0.848951224369831</v>
      </c>
      <c r="E655" s="2">
        <f>Sheet1!AN661*MAX(B$2:B$318)/MAX(Sheet1!AN$8:AN$324)</f>
        <v>0.0165634747863128</v>
      </c>
      <c r="F655" s="2">
        <v>1</v>
      </c>
      <c r="G655" s="2">
        <v>0.75</v>
      </c>
    </row>
    <row r="656" spans="1:7">
      <c r="A656" s="1">
        <f>Sheet1!A662</f>
        <v>45987</v>
      </c>
      <c r="B656" s="2">
        <f>Sheet1!L662</f>
        <v>0.0320580808080809</v>
      </c>
      <c r="C656" s="2">
        <f>Sheet1!F662</f>
        <v>0.00130949176464243</v>
      </c>
      <c r="D656" s="2">
        <f>Sheet1!G662</f>
        <v>0.857717105840791</v>
      </c>
      <c r="E656" s="2">
        <f>Sheet1!AN662*MAX(B$2:B$318)/MAX(Sheet1!AN$8:AN$324)</f>
        <v>0.0165634747863128</v>
      </c>
      <c r="F656" s="2">
        <v>1</v>
      </c>
      <c r="G656" s="2">
        <v>0.75</v>
      </c>
    </row>
    <row r="657" spans="1:7">
      <c r="A657" s="1">
        <f>Sheet1!A663</f>
        <v>45988</v>
      </c>
      <c r="B657" s="2">
        <f>Sheet1!L663</f>
        <v>0.0331856060606061</v>
      </c>
      <c r="C657" s="2">
        <f>Sheet1!F663</f>
        <v>0.00132132819359449</v>
      </c>
      <c r="D657" s="2">
        <f>Sheet1!G663</f>
        <v>0.866791294997988</v>
      </c>
      <c r="E657" s="2">
        <f>Sheet1!AN663*MAX(B$2:B$318)/MAX(Sheet1!AN$8:AN$324)</f>
        <v>0.0165634747863128</v>
      </c>
      <c r="F657" s="2">
        <v>1</v>
      </c>
      <c r="G657" s="2">
        <v>0.75</v>
      </c>
    </row>
    <row r="658" spans="1:7">
      <c r="A658" s="1">
        <f>Sheet1!A664</f>
        <v>45989</v>
      </c>
      <c r="B658" s="2">
        <f>Sheet1!L664</f>
        <v>0.0339015151515152</v>
      </c>
      <c r="C658" s="2">
        <f>Sheet1!F664</f>
        <v>0.00133342654573399</v>
      </c>
      <c r="D658" s="2">
        <f>Sheet1!G664</f>
        <v>0.87606124054723</v>
      </c>
      <c r="E658" s="2">
        <f>Sheet1!AN664*MAX(B$2:B$318)/MAX(Sheet1!AN$8:AN$324)</f>
        <v>0.0165634747863128</v>
      </c>
      <c r="F658" s="2">
        <v>1</v>
      </c>
      <c r="G658" s="2">
        <v>0.75</v>
      </c>
    </row>
    <row r="659" spans="1:7">
      <c r="A659" s="1">
        <f>Sheet1!A665</f>
        <v>45990</v>
      </c>
      <c r="B659" s="2">
        <f>Sheet1!L665</f>
        <v>0.0311553030303031</v>
      </c>
      <c r="C659" s="2">
        <f>Sheet1!F665</f>
        <v>0.00134434691294769</v>
      </c>
      <c r="D659" s="2">
        <f>Sheet1!G665</f>
        <v>0.884580268719579</v>
      </c>
      <c r="E659" s="2">
        <f>Sheet1!AN665*MAX(B$2:B$318)/MAX(Sheet1!AN$8:AN$324)</f>
        <v>0.0165634747863128</v>
      </c>
      <c r="F659" s="2">
        <v>1</v>
      </c>
      <c r="G659" s="2">
        <v>0.75</v>
      </c>
    </row>
    <row r="660" spans="1:7">
      <c r="A660" s="1">
        <f>Sheet1!A666</f>
        <v>45991</v>
      </c>
      <c r="B660" s="2">
        <f>Sheet1!L666</f>
        <v>0.0207878787878788</v>
      </c>
      <c r="C660" s="2">
        <f>Sheet1!F666</f>
        <v>0.00135093240413602</v>
      </c>
      <c r="D660" s="2">
        <f>Sheet1!G666</f>
        <v>0.890264454325639</v>
      </c>
      <c r="E660" s="2">
        <f>Sheet1!AN666*MAX(B$2:B$318)/MAX(Sheet1!AN$8:AN$324)</f>
        <v>0.0165634747863128</v>
      </c>
      <c r="F660" s="2">
        <v>1</v>
      </c>
      <c r="G660" s="2">
        <v>0.75</v>
      </c>
    </row>
    <row r="661" spans="1:7">
      <c r="A661" s="1">
        <f>Sheet1!A667</f>
        <v>45992</v>
      </c>
      <c r="B661" s="2">
        <f>Sheet1!L667</f>
        <v>0.0249617003367004</v>
      </c>
      <c r="C661" s="2">
        <f>Sheet1!F667</f>
        <v>0.00135952262506869</v>
      </c>
      <c r="D661" s="2">
        <f>Sheet1!G667</f>
        <v>0.897284932545336</v>
      </c>
      <c r="E661" s="2">
        <f>Sheet1!AN667*MAX(B$2:B$318)/MAX(Sheet1!AN$8:AN$324)</f>
        <v>0.0165634747863128</v>
      </c>
      <c r="F661" s="2">
        <v>1</v>
      </c>
      <c r="G661" s="2">
        <v>0.75</v>
      </c>
    </row>
    <row r="662" spans="1:7">
      <c r="A662" s="1">
        <f>Sheet1!A668</f>
        <v>45993</v>
      </c>
      <c r="B662" s="2">
        <f>Sheet1!L668</f>
        <v>0.0668307241318492</v>
      </c>
      <c r="C662" s="2">
        <f>Sheet1!F668</f>
        <v>0.00138590177565419</v>
      </c>
      <c r="D662" s="2">
        <f>Sheet1!G668</f>
        <v>0.916081073707419</v>
      </c>
      <c r="E662" s="2">
        <f>Sheet1!AN668*MAX(B$2:B$318)/MAX(Sheet1!AN$8:AN$324)</f>
        <v>0.0165634747863128</v>
      </c>
      <c r="F662" s="2">
        <v>1</v>
      </c>
      <c r="G662" s="2">
        <v>0.75</v>
      </c>
    </row>
    <row r="663" spans="1:7">
      <c r="A663" s="1">
        <f>Sheet1!A669</f>
        <v>45994</v>
      </c>
      <c r="B663" s="2">
        <f>Sheet1!L669</f>
        <v>0.0390167018574305</v>
      </c>
      <c r="C663" s="2">
        <f>Sheet1!F669</f>
        <v>0.00140038447296801</v>
      </c>
      <c r="D663" s="2">
        <f>Sheet1!G669</f>
        <v>0.927054521104821</v>
      </c>
      <c r="E663" s="2">
        <f>Sheet1!AN669*MAX(B$2:B$318)/MAX(Sheet1!AN$8:AN$324)</f>
        <v>0.0165634747863128</v>
      </c>
      <c r="F663" s="2">
        <v>1</v>
      </c>
      <c r="G663" s="2">
        <v>0.75</v>
      </c>
    </row>
    <row r="664" spans="1:7">
      <c r="A664" s="1">
        <f>Sheet1!A670</f>
        <v>45995</v>
      </c>
      <c r="B664" s="2">
        <f>Sheet1!L670</f>
        <v>0.0266949082663369</v>
      </c>
      <c r="C664" s="2">
        <f>Sheet1!F670</f>
        <v>0.00140959647670396</v>
      </c>
      <c r="D664" s="2">
        <f>Sheet1!G670</f>
        <v>0.934562464054728</v>
      </c>
      <c r="E664" s="2">
        <f>Sheet1!AN670*MAX(B$2:B$318)/MAX(Sheet1!AN$8:AN$324)</f>
        <v>0.0165634747863128</v>
      </c>
      <c r="F664" s="2">
        <v>1</v>
      </c>
      <c r="G664" s="2">
        <v>0.75</v>
      </c>
    </row>
    <row r="665" spans="1:7">
      <c r="A665" s="1">
        <f>Sheet1!A671</f>
        <v>45996</v>
      </c>
      <c r="B665" s="2">
        <f>Sheet1!L671</f>
        <v>0.0517046041813485</v>
      </c>
      <c r="C665" s="2">
        <f>Sheet1!F671</f>
        <v>0.00142937407226014</v>
      </c>
      <c r="D665" s="2">
        <f>Sheet1!G671</f>
        <v>0.949104383980732</v>
      </c>
      <c r="E665" s="2">
        <f>Sheet1!AN671*MAX(B$2:B$318)/MAX(Sheet1!AN$8:AN$324)</f>
        <v>0.0165634747863128</v>
      </c>
      <c r="F665" s="2">
        <v>1</v>
      </c>
      <c r="G665" s="2">
        <v>0.75</v>
      </c>
    </row>
    <row r="666" spans="1:7">
      <c r="A666" s="1">
        <f>Sheet1!A672</f>
        <v>45997</v>
      </c>
      <c r="B666" s="2">
        <f>Sheet1!L672</f>
        <v>0.0263110398139954</v>
      </c>
      <c r="C666" s="2">
        <f>Sheet1!F672</f>
        <v>0.00143835242696003</v>
      </c>
      <c r="D666" s="2">
        <f>Sheet1!G672</f>
        <v>0.956504363928419</v>
      </c>
      <c r="E666" s="2">
        <f>Sheet1!AN672*MAX(B$2:B$318)/MAX(Sheet1!AN$8:AN$324)</f>
        <v>0.0165634747863128</v>
      </c>
      <c r="F666" s="2">
        <v>1</v>
      </c>
      <c r="G666" s="2">
        <v>0.75</v>
      </c>
    </row>
    <row r="667" spans="1:7">
      <c r="A667" s="1">
        <f>Sheet1!A673</f>
        <v>45998</v>
      </c>
      <c r="B667" s="2">
        <f>Sheet1!L673</f>
        <v>0.084434536375992</v>
      </c>
      <c r="C667" s="2">
        <f>Sheet1!F673</f>
        <v>0.00147184921514139</v>
      </c>
      <c r="D667" s="2">
        <f>Sheet1!G673</f>
        <v>0.980251577284166</v>
      </c>
      <c r="E667" s="2">
        <f>Sheet1!AN673*MAX(B$2:B$318)/MAX(Sheet1!AN$8:AN$324)</f>
        <v>0.0165634747863128</v>
      </c>
      <c r="F667" s="2">
        <v>1</v>
      </c>
      <c r="G667" s="2">
        <v>0.75</v>
      </c>
    </row>
    <row r="668" spans="1:7">
      <c r="A668" s="1">
        <f>Sheet1!A674</f>
        <v>45999</v>
      </c>
      <c r="B668" s="2">
        <f>Sheet1!L674</f>
        <v>0.0628369159108928</v>
      </c>
      <c r="C668" s="2">
        <f>Sheet1!F674</f>
        <v>0.0014961386205159</v>
      </c>
      <c r="D668" s="2">
        <f>Sheet1!G674</f>
        <v>0.997924459884105</v>
      </c>
      <c r="E668" s="2">
        <f>Sheet1!AN674*MAX(B$2:B$318)/MAX(Sheet1!AN$8:AN$324)</f>
        <v>0.0165634747863128</v>
      </c>
      <c r="F668" s="2">
        <v>1</v>
      </c>
      <c r="G668" s="2">
        <v>0.75</v>
      </c>
    </row>
    <row r="669" spans="1:7">
      <c r="A669" s="1">
        <f>Sheet1!A675</f>
        <v>46000</v>
      </c>
      <c r="B669" s="2">
        <f>Sheet1!L675</f>
        <v>0.0611698817489135</v>
      </c>
      <c r="C669" s="2">
        <f>Sheet1!F675</f>
        <v>0.00151965342683531</v>
      </c>
      <c r="D669" s="2">
        <f>Sheet1!G675</f>
        <v>1.01512848912599</v>
      </c>
      <c r="E669" s="2">
        <f>Sheet1!AN675*MAX(B$2:B$318)/MAX(Sheet1!AN$8:AN$324)</f>
        <v>0.0165634747863128</v>
      </c>
      <c r="F669" s="2">
        <v>1</v>
      </c>
      <c r="G669" s="2">
        <v>0.75</v>
      </c>
    </row>
    <row r="670" spans="1:7">
      <c r="A670" s="1">
        <f>Sheet1!A676</f>
        <v>46001</v>
      </c>
      <c r="B670" s="2">
        <f>Sheet1!L676</f>
        <v>0.0424775630105175</v>
      </c>
      <c r="C670" s="2">
        <f>Sheet1!F676</f>
        <v>0.00153523961692481</v>
      </c>
      <c r="D670" s="2">
        <f>Sheet1!G676</f>
        <v>1.02707530372269</v>
      </c>
      <c r="E670" s="2">
        <f>Sheet1!AN676*MAX(B$2:B$318)/MAX(Sheet1!AN$8:AN$324)</f>
        <v>0.0165634747863128</v>
      </c>
      <c r="F670" s="2">
        <v>1</v>
      </c>
      <c r="G670" s="2">
        <v>0.75</v>
      </c>
    </row>
    <row r="671" spans="1:7">
      <c r="A671" s="1">
        <f>Sheet1!A677</f>
        <v>46002</v>
      </c>
      <c r="B671" s="2">
        <f>Sheet1!L677</f>
        <v>0.0212689393939394</v>
      </c>
      <c r="C671" s="2">
        <f>Sheet1!F677</f>
        <v>0.00154187640735409</v>
      </c>
      <c r="D671" s="2">
        <f>Sheet1!G677</f>
        <v>1.03305719292724</v>
      </c>
      <c r="E671" s="2">
        <f>Sheet1!AN677*MAX(B$2:B$318)/MAX(Sheet1!AN$8:AN$324)</f>
        <v>0.0165634747863128</v>
      </c>
      <c r="F671" s="2">
        <v>1</v>
      </c>
      <c r="G671" s="2">
        <v>0.75</v>
      </c>
    </row>
    <row r="672" spans="1:7">
      <c r="A672" s="1">
        <f>Sheet1!A678</f>
        <v>46003</v>
      </c>
      <c r="B672" s="2">
        <f>Sheet1!L678</f>
        <v>0</v>
      </c>
      <c r="C672" s="2">
        <f>Sheet1!F678</f>
        <v>0.00153957852895267</v>
      </c>
      <c r="D672" s="2">
        <f>Sheet1!G678</f>
        <v>1.03305719292724</v>
      </c>
      <c r="E672" s="2">
        <f>Sheet1!AN678*MAX(B$2:B$318)/MAX(Sheet1!AN$8:AN$324)</f>
        <v>0.0165634747863128</v>
      </c>
      <c r="F672" s="2">
        <v>1</v>
      </c>
      <c r="G672" s="2">
        <v>0.75</v>
      </c>
    </row>
    <row r="673" spans="1:7">
      <c r="A673" s="1">
        <f>Sheet1!A679</f>
        <v>46004</v>
      </c>
      <c r="B673" s="2">
        <f>Sheet1!L679</f>
        <v>0</v>
      </c>
      <c r="C673" s="2">
        <f>Sheet1!F679</f>
        <v>0.00153728748947506</v>
      </c>
      <c r="D673" s="2">
        <f>Sheet1!G679</f>
        <v>1.03305719292724</v>
      </c>
      <c r="E673" s="2">
        <f>Sheet1!AN679*MAX(B$2:B$318)/MAX(Sheet1!AN$8:AN$324)</f>
        <v>0.0165634747863128</v>
      </c>
      <c r="F673" s="2">
        <v>1</v>
      </c>
      <c r="G673" s="2">
        <v>0.75</v>
      </c>
    </row>
    <row r="674" spans="1:7">
      <c r="A674" s="1">
        <f>Sheet1!A680</f>
        <v>46005</v>
      </c>
      <c r="B674" s="2">
        <f>Sheet1!L680</f>
        <v>0</v>
      </c>
      <c r="C674" s="2">
        <f>Sheet1!F680</f>
        <v>0.00153500325843572</v>
      </c>
      <c r="D674" s="2">
        <f>Sheet1!G680</f>
        <v>1.03305719292724</v>
      </c>
      <c r="E674" s="2">
        <f>Sheet1!AN680*MAX(B$2:B$318)/MAX(Sheet1!AN$8:AN$324)</f>
        <v>0.0165634747863128</v>
      </c>
      <c r="F674" s="2">
        <v>1</v>
      </c>
      <c r="G674" s="2">
        <v>0.75</v>
      </c>
    </row>
    <row r="675" spans="1:7">
      <c r="A675" s="1">
        <f>Sheet1!A681</f>
        <v>46006</v>
      </c>
      <c r="B675" s="2">
        <f>Sheet1!L681</f>
        <v>0</v>
      </c>
      <c r="C675" s="2">
        <f>Sheet1!F681</f>
        <v>0.00153272580553003</v>
      </c>
      <c r="D675" s="2">
        <f>Sheet1!G681</f>
        <v>1.03305719292724</v>
      </c>
      <c r="E675" s="2">
        <f>Sheet1!AN681*MAX(B$2:B$318)/MAX(Sheet1!AN$8:AN$324)</f>
        <v>0.0165634747863128</v>
      </c>
      <c r="F675" s="2">
        <v>1</v>
      </c>
      <c r="G675" s="2">
        <v>0.75</v>
      </c>
    </row>
    <row r="676" spans="1:7">
      <c r="A676" s="1">
        <f>Sheet1!A682</f>
        <v>46007</v>
      </c>
      <c r="B676" s="2">
        <f>Sheet1!L682</f>
        <v>0</v>
      </c>
      <c r="C676" s="2">
        <f>Sheet1!F682</f>
        <v>0.00153045510063295</v>
      </c>
      <c r="D676" s="2">
        <f>Sheet1!G682</f>
        <v>1.03305719292724</v>
      </c>
      <c r="E676" s="2">
        <f>Sheet1!AN682*MAX(B$2:B$318)/MAX(Sheet1!AN$8:AN$324)</f>
        <v>0.0165634747863128</v>
      </c>
      <c r="F676" s="2">
        <v>1</v>
      </c>
      <c r="G676" s="2">
        <v>0.75</v>
      </c>
    </row>
    <row r="677" spans="1:7">
      <c r="A677" s="1">
        <f>Sheet1!A683</f>
        <v>46008</v>
      </c>
      <c r="B677" s="2">
        <f>Sheet1!L683</f>
        <v>0</v>
      </c>
      <c r="C677" s="2">
        <f>Sheet1!F683</f>
        <v>0.00152819111379769</v>
      </c>
      <c r="D677" s="2">
        <f>Sheet1!G683</f>
        <v>1.03305719292724</v>
      </c>
      <c r="E677" s="2">
        <f>Sheet1!AN683*MAX(B$2:B$318)/MAX(Sheet1!AN$8:AN$324)</f>
        <v>0.0165634747863128</v>
      </c>
      <c r="F677" s="2">
        <v>1</v>
      </c>
      <c r="G677" s="2">
        <v>0.75</v>
      </c>
    </row>
    <row r="678" spans="1:7">
      <c r="A678" s="1">
        <f>Sheet1!A684</f>
        <v>46009</v>
      </c>
      <c r="B678" s="2">
        <f>Sheet1!L684</f>
        <v>0</v>
      </c>
      <c r="C678" s="2">
        <f>Sheet1!F684</f>
        <v>0.00152593381525442</v>
      </c>
      <c r="D678" s="2">
        <f>Sheet1!G684</f>
        <v>1.03305719292724</v>
      </c>
      <c r="E678" s="2">
        <f>Sheet1!AN684*MAX(B$2:B$318)/MAX(Sheet1!AN$8:AN$324)</f>
        <v>0.0165634747863128</v>
      </c>
      <c r="F678" s="2">
        <v>1</v>
      </c>
      <c r="G678" s="2">
        <v>0.75</v>
      </c>
    </row>
    <row r="679" spans="1:7">
      <c r="A679" s="1">
        <f>Sheet1!A685</f>
        <v>46010</v>
      </c>
      <c r="B679" s="2">
        <f>Sheet1!L685</f>
        <v>0</v>
      </c>
      <c r="C679" s="2">
        <f>Sheet1!F685</f>
        <v>0.00152368317540891</v>
      </c>
      <c r="D679" s="2">
        <f>Sheet1!G685</f>
        <v>1.03305719292724</v>
      </c>
      <c r="E679" s="2">
        <f>Sheet1!AN685*MAX(B$2:B$318)/MAX(Sheet1!AN$8:AN$324)</f>
        <v>0.0165634747863128</v>
      </c>
      <c r="F679" s="2">
        <v>1</v>
      </c>
      <c r="G679" s="2">
        <v>0.75</v>
      </c>
    </row>
    <row r="680" spans="1:7">
      <c r="A680" s="1">
        <f>Sheet1!A686</f>
        <v>46011</v>
      </c>
      <c r="B680" s="2">
        <f>Sheet1!L686</f>
        <v>0</v>
      </c>
      <c r="C680" s="2">
        <f>Sheet1!F686</f>
        <v>0.0015214391648413</v>
      </c>
      <c r="D680" s="2">
        <f>Sheet1!G686</f>
        <v>1.03305719292724</v>
      </c>
      <c r="E680" s="2">
        <f>Sheet1!AN686*MAX(B$2:B$318)/MAX(Sheet1!AN$8:AN$324)</f>
        <v>0.0165634747863128</v>
      </c>
      <c r="F680" s="2">
        <v>1</v>
      </c>
      <c r="G680" s="2">
        <v>0.75</v>
      </c>
    </row>
    <row r="681" spans="1:7">
      <c r="A681" s="1">
        <f>Sheet1!A687</f>
        <v>46012</v>
      </c>
      <c r="B681" s="2">
        <f>Sheet1!L687</f>
        <v>0</v>
      </c>
      <c r="C681" s="2">
        <f>Sheet1!F687</f>
        <v>0.00151920175430477</v>
      </c>
      <c r="D681" s="2">
        <f>Sheet1!G687</f>
        <v>1.03305719292724</v>
      </c>
      <c r="E681" s="2">
        <f>Sheet1!AN687*MAX(B$2:B$318)/MAX(Sheet1!AN$8:AN$324)</f>
        <v>0.0165634747863128</v>
      </c>
      <c r="F681" s="2">
        <v>1</v>
      </c>
      <c r="G681" s="2">
        <v>0.75</v>
      </c>
    </row>
    <row r="682" spans="1:7">
      <c r="A682" s="1">
        <f>Sheet1!A688</f>
        <v>46013</v>
      </c>
      <c r="B682" s="2">
        <f>Sheet1!L688</f>
        <v>0</v>
      </c>
      <c r="C682" s="2">
        <f>Sheet1!F688</f>
        <v>0.00151697091472429</v>
      </c>
      <c r="D682" s="2">
        <f>Sheet1!G688</f>
        <v>1.03305719292724</v>
      </c>
      <c r="E682" s="2">
        <f>Sheet1!AN688*MAX(B$2:B$318)/MAX(Sheet1!AN$8:AN$324)</f>
        <v>0.0165634747863128</v>
      </c>
      <c r="F682" s="2">
        <v>1</v>
      </c>
      <c r="G682" s="2">
        <v>0.75</v>
      </c>
    </row>
    <row r="683" spans="1:7">
      <c r="A683" s="1">
        <f>Sheet1!A689</f>
        <v>46014</v>
      </c>
      <c r="B683" s="2">
        <f>Sheet1!L689</f>
        <v>0</v>
      </c>
      <c r="C683" s="2">
        <f>Sheet1!F689</f>
        <v>0.00151474661719537</v>
      </c>
      <c r="D683" s="2">
        <f>Sheet1!G689</f>
        <v>1.03305719292724</v>
      </c>
      <c r="E683" s="2">
        <f>Sheet1!AN689*MAX(B$2:B$318)/MAX(Sheet1!AN$8:AN$324)</f>
        <v>0.0165634747863128</v>
      </c>
      <c r="F683" s="2">
        <v>1</v>
      </c>
      <c r="G683" s="2">
        <v>0.75</v>
      </c>
    </row>
    <row r="684" spans="1:7">
      <c r="A684" s="1">
        <f>Sheet1!A690</f>
        <v>46015</v>
      </c>
      <c r="B684" s="2">
        <f>Sheet1!L690</f>
        <v>0</v>
      </c>
      <c r="C684" s="2">
        <f>Sheet1!F690</f>
        <v>0.00151252883298278</v>
      </c>
      <c r="D684" s="2">
        <f>Sheet1!G690</f>
        <v>1.03305719292724</v>
      </c>
      <c r="E684" s="2">
        <f>Sheet1!AN690*MAX(B$2:B$318)/MAX(Sheet1!AN$8:AN$324)</f>
        <v>0.0165634747863128</v>
      </c>
      <c r="F684" s="2">
        <v>1</v>
      </c>
      <c r="G684" s="2">
        <v>0.75</v>
      </c>
    </row>
    <row r="685" spans="1:7">
      <c r="D685" s="2"/>
    </row>
    <row r="686" spans="1:7">
      <c r="D686" s="2"/>
    </row>
    <row r="687" spans="1:7">
      <c r="D687" s="2"/>
    </row>
    <row r="688" spans="1:7">
      <c r="D688" s="2"/>
    </row>
  </sheetData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PHK110</dc:creator>
  <cp:lastModifiedBy>Scrooge</cp:lastModifiedBy>
  <dcterms:created xsi:type="dcterms:W3CDTF">2023-12-05T12:05:00Z</dcterms:created>
  <dcterms:modified xsi:type="dcterms:W3CDTF">2025-12-11T15:28:00Z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4C4BCB1A6ABB4F349D185D95BC22ED4B_13</vt:lpwstr>
  </property>
  <property fmtid="{D5CDD505-2E9C-101B-9397-08002B2CF9AE}" pid="4" name="KSOProductBuildVer">
    <vt:lpwstr>2052-12.1.0.24034</vt:lpwstr>
  </property>
  <property fmtid="{D5CDD505-2E9C-101B-9397-08002B2CF9AE}" pid="5" name="CalculationRule">
    <vt:i4>0</vt:i4>
  </property>
</Properties>
</file>