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180" firstSheet="198" activeTab="205"/>
  </bookViews>
  <sheets>
    <sheet name="20240225" sheetId="89" r:id="rId1"/>
    <sheet name="20240229" sheetId="90" r:id="rId2"/>
    <sheet name="20240302" sheetId="1" r:id="rId3"/>
    <sheet name="20240303" sheetId="2" r:id="rId4"/>
    <sheet name="20240304" sheetId="3" r:id="rId5"/>
    <sheet name="20240306" sheetId="91" r:id="rId6"/>
    <sheet name="20240307" sheetId="92" r:id="rId7"/>
    <sheet name="20240308" sheetId="4" r:id="rId8"/>
    <sheet name="20240309" sheetId="5" r:id="rId9"/>
    <sheet name="20240310" sheetId="6" r:id="rId10"/>
    <sheet name="20240311" sheetId="7" r:id="rId11"/>
    <sheet name="20240316" sheetId="8" r:id="rId12"/>
    <sheet name="20240317" sheetId="9" r:id="rId13"/>
    <sheet name="20240320" sheetId="10" r:id="rId14"/>
    <sheet name="20240322" sheetId="11" r:id="rId15"/>
    <sheet name="20240323" sheetId="12" r:id="rId16"/>
    <sheet name="20240326" sheetId="13" r:id="rId17"/>
    <sheet name="20240328" sheetId="14" r:id="rId18"/>
    <sheet name="20240401" sheetId="15" r:id="rId19"/>
    <sheet name="20240402" sheetId="16" r:id="rId20"/>
    <sheet name="20240405" sheetId="17" r:id="rId21"/>
    <sheet name="20240406" sheetId="18" r:id="rId22"/>
    <sheet name="20240408" sheetId="19" r:id="rId23"/>
    <sheet name="20240409" sheetId="20" r:id="rId24"/>
    <sheet name="20240410" sheetId="21" r:id="rId25"/>
    <sheet name="20240411" sheetId="22" r:id="rId26"/>
    <sheet name="20240412" sheetId="23" r:id="rId27"/>
    <sheet name="20240413" sheetId="24" r:id="rId28"/>
    <sheet name="20240414" sheetId="25" r:id="rId29"/>
    <sheet name="20240415" sheetId="26" r:id="rId30"/>
    <sheet name="20240416" sheetId="27" r:id="rId31"/>
    <sheet name="20240417" sheetId="28" r:id="rId32"/>
    <sheet name="20240418" sheetId="29" r:id="rId33"/>
    <sheet name="20240420" sheetId="30" r:id="rId34"/>
    <sheet name="20240421" sheetId="31" r:id="rId35"/>
    <sheet name="20240422" sheetId="32" r:id="rId36"/>
    <sheet name="20240423" sheetId="33" r:id="rId37"/>
    <sheet name="20240424" sheetId="34" r:id="rId38"/>
    <sheet name="20240425" sheetId="35" r:id="rId39"/>
    <sheet name="20240426" sheetId="36" r:id="rId40"/>
    <sheet name="20240427" sheetId="37" r:id="rId41"/>
    <sheet name="20240501" sheetId="38" r:id="rId42"/>
    <sheet name="20240503" sheetId="39" r:id="rId43"/>
    <sheet name="20240504" sheetId="40" r:id="rId44"/>
    <sheet name="20240507" sheetId="41" r:id="rId45"/>
    <sheet name="20240511" sheetId="42" r:id="rId46"/>
    <sheet name="20240512" sheetId="43" r:id="rId47"/>
    <sheet name="20240513" sheetId="44" r:id="rId48"/>
    <sheet name="20240515" sheetId="45" r:id="rId49"/>
    <sheet name="20240519" sheetId="46" r:id="rId50"/>
    <sheet name="20240523" sheetId="47" r:id="rId51"/>
    <sheet name="20240525" sheetId="48" r:id="rId52"/>
    <sheet name="20240526" sheetId="49" r:id="rId53"/>
    <sheet name="20240527" sheetId="50" r:id="rId54"/>
    <sheet name="20240529" sheetId="51" r:id="rId55"/>
    <sheet name="20240530" sheetId="52" r:id="rId56"/>
    <sheet name="20240531" sheetId="53" r:id="rId57"/>
    <sheet name="20240601" sheetId="54" r:id="rId58"/>
    <sheet name="20240602" sheetId="55" r:id="rId59"/>
    <sheet name="20240603" sheetId="56" r:id="rId60"/>
    <sheet name="20240720" sheetId="57" r:id="rId61"/>
    <sheet name="20240721" sheetId="58" r:id="rId62"/>
    <sheet name="20240727" sheetId="59" r:id="rId63"/>
    <sheet name="20240804" sheetId="60" r:id="rId64"/>
    <sheet name="20240810" sheetId="61" r:id="rId65"/>
    <sheet name="20240811" sheetId="62" r:id="rId66"/>
    <sheet name="20240831" sheetId="63" r:id="rId67"/>
    <sheet name="20240901" sheetId="64" r:id="rId68"/>
    <sheet name="20240907" sheetId="65" r:id="rId69"/>
    <sheet name="20240908" sheetId="66" r:id="rId70"/>
    <sheet name="20240916" sheetId="67" r:id="rId71"/>
    <sheet name="20240922" sheetId="68" r:id="rId72"/>
    <sheet name="20241001" sheetId="69" r:id="rId73"/>
    <sheet name="20241006" sheetId="70" r:id="rId74"/>
    <sheet name="20241019" sheetId="71" r:id="rId75"/>
    <sheet name="20250202" sheetId="93" r:id="rId76"/>
    <sheet name="20250205" sheetId="94" r:id="rId77"/>
    <sheet name="20250211" sheetId="96" r:id="rId78"/>
    <sheet name="20250214" sheetId="97" r:id="rId79"/>
    <sheet name="20250217" sheetId="95" r:id="rId80"/>
    <sheet name="20250324" sheetId="72" r:id="rId81"/>
    <sheet name="20250325" sheetId="73" r:id="rId82"/>
    <sheet name="20250327" sheetId="74" r:id="rId83"/>
    <sheet name="20250329" sheetId="75" r:id="rId84"/>
    <sheet name="20250330" sheetId="76" r:id="rId85"/>
    <sheet name="20250331" sheetId="77" r:id="rId86"/>
    <sheet name="20250405" sheetId="78" r:id="rId87"/>
    <sheet name="20250408" sheetId="79" r:id="rId88"/>
    <sheet name="20250411" sheetId="80" r:id="rId89"/>
    <sheet name="20250412" sheetId="82" r:id="rId90"/>
    <sheet name="20250416" sheetId="83" r:id="rId91"/>
    <sheet name="20250420" sheetId="84" r:id="rId92"/>
    <sheet name="20250427" sheetId="85" r:id="rId93"/>
    <sheet name="20250502" sheetId="86" r:id="rId94"/>
    <sheet name="20250506" sheetId="87" r:id="rId95"/>
    <sheet name="20250514" sheetId="88" r:id="rId96"/>
    <sheet name="20250517" sheetId="98" r:id="rId97"/>
    <sheet name="20250518" sheetId="99" r:id="rId98"/>
    <sheet name="20250519" sheetId="100" r:id="rId99"/>
    <sheet name="20250520" sheetId="101" r:id="rId100"/>
    <sheet name="20250521" sheetId="102" r:id="rId101"/>
    <sheet name="20250522" sheetId="103" r:id="rId102"/>
    <sheet name="20250523" sheetId="104" r:id="rId103"/>
    <sheet name="20250524" sheetId="106" r:id="rId104"/>
    <sheet name="20250525" sheetId="108" r:id="rId105"/>
    <sheet name="20250526" sheetId="110" r:id="rId106"/>
    <sheet name="20250527" sheetId="112" r:id="rId107"/>
    <sheet name="20250528" sheetId="113" r:id="rId108"/>
    <sheet name="20250529" sheetId="114" r:id="rId109"/>
    <sheet name="20250530" sheetId="115" r:id="rId110"/>
    <sheet name="20250531" sheetId="117" r:id="rId111"/>
    <sheet name="20250601" sheetId="118" r:id="rId112"/>
    <sheet name="20250602" sheetId="119" r:id="rId113"/>
    <sheet name="20250603" sheetId="120" r:id="rId114"/>
    <sheet name="20250604" sheetId="121" r:id="rId115"/>
    <sheet name="20250605" sheetId="122" r:id="rId116"/>
    <sheet name="20250607" sheetId="123" r:id="rId117"/>
    <sheet name="20250608" sheetId="124" r:id="rId118"/>
    <sheet name="20250609" sheetId="126" r:id="rId119"/>
    <sheet name="20250610" sheetId="128" r:id="rId120"/>
    <sheet name="20250611" sheetId="129" r:id="rId121"/>
    <sheet name="20250612" sheetId="132" r:id="rId122"/>
    <sheet name="20250613" sheetId="133" r:id="rId123"/>
    <sheet name="20250614" sheetId="135" r:id="rId124"/>
    <sheet name="20250615" sheetId="136" r:id="rId125"/>
    <sheet name="20250616" sheetId="137" r:id="rId126"/>
    <sheet name="20250617" sheetId="138" r:id="rId127"/>
    <sheet name="20250618" sheetId="140" r:id="rId128"/>
    <sheet name="20250619" sheetId="141" r:id="rId129"/>
    <sheet name="20250620" sheetId="142" r:id="rId130"/>
    <sheet name="20250621" sheetId="144" r:id="rId131"/>
    <sheet name="20250622" sheetId="143" r:id="rId132"/>
    <sheet name="20250623" sheetId="146" r:id="rId133"/>
    <sheet name="20250624" sheetId="147" r:id="rId134"/>
    <sheet name="20250625" sheetId="149" r:id="rId135"/>
    <sheet name="20250626" sheetId="150" r:id="rId136"/>
    <sheet name="20250627" sheetId="151" r:id="rId137"/>
    <sheet name="20250629" sheetId="152" r:id="rId138"/>
    <sheet name="20250630" sheetId="153" r:id="rId139"/>
    <sheet name="20250701" sheetId="154" r:id="rId140"/>
    <sheet name="20250702" sheetId="155" r:id="rId141"/>
    <sheet name="20250703" sheetId="156" r:id="rId142"/>
    <sheet name="20250708" sheetId="158" r:id="rId143"/>
    <sheet name="20250709" sheetId="159" r:id="rId144"/>
    <sheet name="20250710" sheetId="160" r:id="rId145"/>
    <sheet name="20250711" sheetId="161" r:id="rId146"/>
    <sheet name="20250712" sheetId="162" r:id="rId147"/>
    <sheet name="20250713" sheetId="163" r:id="rId148"/>
    <sheet name="20250714" sheetId="164" r:id="rId149"/>
    <sheet name="20250724" sheetId="165" r:id="rId150"/>
    <sheet name="20250725" sheetId="166" r:id="rId151"/>
    <sheet name="20250731" sheetId="168" r:id="rId152"/>
    <sheet name="20250811" sheetId="169" r:id="rId153"/>
    <sheet name="20250813" sheetId="170" r:id="rId154"/>
    <sheet name="20250814" sheetId="171" r:id="rId155"/>
    <sheet name="20250820" sheetId="172" r:id="rId156"/>
    <sheet name="20250821" sheetId="173" r:id="rId157"/>
    <sheet name="20250822" sheetId="174" r:id="rId158"/>
    <sheet name="20250823" sheetId="175" r:id="rId159"/>
    <sheet name="20250824" sheetId="176" r:id="rId160"/>
    <sheet name="20250825" sheetId="177" r:id="rId161"/>
    <sheet name="20250903" sheetId="178" r:id="rId162"/>
    <sheet name="20250904" sheetId="179" r:id="rId163"/>
    <sheet name="20250905" sheetId="180" r:id="rId164"/>
    <sheet name="20250907" sheetId="181" r:id="rId165"/>
    <sheet name="20250908" sheetId="182" r:id="rId166"/>
    <sheet name="20250909" sheetId="183" r:id="rId167"/>
    <sheet name="20250910" sheetId="184" r:id="rId168"/>
    <sheet name="20250911" sheetId="185" r:id="rId169"/>
    <sheet name="20250913" sheetId="186" r:id="rId170"/>
    <sheet name="20250914" sheetId="187" r:id="rId171"/>
    <sheet name="20250916" sheetId="188" r:id="rId172"/>
    <sheet name="20250917" sheetId="189" r:id="rId173"/>
    <sheet name="20250918" sheetId="190" r:id="rId174"/>
    <sheet name="20250919" sheetId="191" r:id="rId175"/>
    <sheet name="20250920" sheetId="192" r:id="rId176"/>
    <sheet name="20250921" sheetId="193" r:id="rId177"/>
    <sheet name="20250922" sheetId="194" r:id="rId178"/>
    <sheet name="20250927" sheetId="195" r:id="rId179"/>
    <sheet name="20251012" sheetId="196" r:id="rId180"/>
    <sheet name="20251021" sheetId="197" r:id="rId181"/>
    <sheet name="20251022" sheetId="198" r:id="rId182"/>
    <sheet name="20251023" sheetId="199" r:id="rId183"/>
    <sheet name="20251027" sheetId="200" r:id="rId184"/>
    <sheet name="20251031" sheetId="201" r:id="rId185"/>
    <sheet name="20251102" sheetId="202" r:id="rId186"/>
    <sheet name="20251103" sheetId="203" r:id="rId187"/>
    <sheet name="20251104" sheetId="204" r:id="rId188"/>
    <sheet name="20251105" sheetId="205" r:id="rId189"/>
    <sheet name="20251106" sheetId="206" r:id="rId190"/>
    <sheet name="20251107" sheetId="207" r:id="rId191"/>
    <sheet name="20251108" sheetId="208" r:id="rId192"/>
    <sheet name="20251109" sheetId="209" r:id="rId193"/>
    <sheet name="20251110" sheetId="210" r:id="rId194"/>
    <sheet name="20251111" sheetId="211" r:id="rId195"/>
    <sheet name="20251112" sheetId="212" r:id="rId196"/>
    <sheet name="20251113" sheetId="213" r:id="rId197"/>
    <sheet name="20251114" sheetId="214" r:id="rId198"/>
    <sheet name="20251115" sheetId="215" r:id="rId199"/>
    <sheet name="20251116" sheetId="216" r:id="rId200"/>
    <sheet name="20251117" sheetId="217" r:id="rId201"/>
    <sheet name="20251118" sheetId="218" r:id="rId202"/>
    <sheet name="20251119" sheetId="219" r:id="rId203"/>
    <sheet name="20251120" sheetId="220" r:id="rId204"/>
    <sheet name="20251121" sheetId="221" r:id="rId205"/>
    <sheet name="20251122" sheetId="222" r:id="rId20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<sst xmlns="http://schemas.openxmlformats.org/spreadsheetml/2006/main" count="3769" uniqueCount="3747">
  <si>
    <t>SRAM和DRAM的比较</t>
  </si>
  <si>
    <t>SRAM的功耗相比DRAM更###大###</t>
  </si>
  <si>
    <t>SRAM的单位存储元成本相比DRAM更###高###</t>
  </si>
  <si>
    <t>需要刷新再生信息的是###DRAM###</t>
  </si>
  <si>
    <t>SRAM的集成度相比DRAM更###低###</t>
  </si>
  <si>
    <t>集成度：单位面积/体积的存储元个数</t>
  </si>
  <si>
    <t>大小端存储对应###高低###（高低/低高）位优先（先位于###低###（高/低）地址）</t>
  </si>
  <si>
    <t>大端存储便于###人类阅读###</t>
  </si>
  <si>
    <t>小端存储便于###机器处理###</t>
  </si>
  <si>
    <t>带符号乘法的三大步骤</t>
  </si>
  <si>
    <t>计数器Cn设为乘数位数</t>
  </si>
  <si>
    <t>乘数寄存器最低位和辅助位进行判断</t>
  </si>
  <si>
    <t>最低位-辅助位-操作</t>
  </si>
  <si>
    <t>0-0-###乘积寄存器+0###</t>
  </si>
  <si>
    <t>0-1-###乘积寄存器+被乘数的补码###</t>
  </si>
  <si>
    <t>1-0-###乘积寄存器-被乘数的补码###</t>
  </si>
  <si>
    <t>1-1-###乘积寄存器+0###</t>
  </si>
  <si>
    <t>乘积寄存器-乘数寄存器-辅助位全部###算术###（逻辑/算术）###右###（左/右）移一位</t>
  </si>
  <si>
    <t>计数器Cn减一，若不为0跳转第二步</t>
  </si>
  <si>
    <t>（反常）定积分的分拆和合并建立在###定积分存在###的基础上</t>
  </si>
  <si>
    <t>伽马函数</t>
  </si>
  <si>
    <t>积分定义的函数：γ(t)=###Int(0,+∞):(x^(t-1))*e^(-x)dx###</t>
  </si>
  <si>
    <t>递推性质：###γ(t+1)=t*γ(t)###</t>
  </si>
  <si>
    <t>阶乘等价：###γ(t+1)=t!###</t>
  </si>
  <si>
    <t>特殊取值：γ(1/2)=###sqrt(π)###</t>
  </si>
  <si>
    <t>收敛性：###t&gt;0则收敛###</t>
  </si>
  <si>
    <t>反常积分在判断敛散性（而非求出结果）可以直接对被积函数的###因子###使用###等价无穷小###</t>
  </si>
  <si>
    <t>p积分敛散性</t>
  </si>
  <si>
    <t>被积函数1/(x^p)</t>
  </si>
  <si>
    <t>积分区间在0到1时，###p小于1###收敛，###大于等于1###发散</t>
  </si>
  <si>
    <t>积分区间在a到正无穷时（a&gt;0），###p小等于1###发散，###大于1###收敛</t>
  </si>
  <si>
    <t>立方差公式a^3-b^3=###(a-b)*(a^2+a*b+b^2)###</t>
  </si>
  <si>
    <t>1/x求原函数除了带C，特别的对于定义域还需要注意什么？###ln(|x|)要把绝对值号带上！###</t>
  </si>
  <si>
    <t>瑕积分判断敛散性：先判断瑕点，然后###根据瑕点拆分###</t>
  </si>
  <si>
    <t>不等式的参数具有确定符号，可以适当放缩，比如A是正数，B-A###必然小于###B</t>
  </si>
  <si>
    <t>A是整数，1/A的绝对值###必小等于###1（大小关系）</t>
  </si>
  <si>
    <t>构造大收或小散</t>
  </si>
  <si>
    <t>###ln(x)&lt;&lt;&lt;x&lt;&lt;&lt;e^x###（排列ln(x)、e^x、x的发散性）</t>
  </si>
  <si>
    <t>###ln(x)^a&lt;&lt;&lt;x^b&lt;&lt;&lt;(e^x)^c###（排列(e^x)^c、ln(x)^a、x^b的发散性）</t>
  </si>
  <si>
    <t>abc不同是为了保证不存在左&gt;右的情况</t>
  </si>
  <si>
    <t>（求极限及定积分）见到分母一大串，分子很短，考虑用###倒代换###</t>
  </si>
  <si>
    <t>已有等式，求等式的值，可以试着###把两个加起来除2###再变形</t>
  </si>
  <si>
    <t>分段复合分段函数，采用###内函数整体代入###然后列###内函数与外函数定义域分段构造不等式###的方式分类讨论</t>
  </si>
  <si>
    <t>求与x轴所围面积</t>
  </si>
  <si>
    <t>先求###所有的零点###</t>
  </si>
  <si>
    <t>然后找出###函数取值小于0###的区间</t>
  </si>
  <si>
    <t>在上述区间上###对-f(x)进行定积分###</t>
  </si>
  <si>
    <t>在其它区间上###对f(x)进行定积分###</t>
  </si>
  <si>
    <t>把###所有定积分的结果###进行###累加###，即得与x轴所围面积</t>
  </si>
  <si>
    <t>沿轴旋转如果轴平行于x或y轴但不重合，先做###坐标变换让图形移动到新的位置###，使其###相对x或y轴的位置与移动前相对旋转轴的位置相同###，就可以用x或y轴的旋转公式</t>
  </si>
  <si>
    <t>沿坐标轴旋转公式: [a,b]是曲线f(x)要被旋转的区间</t>
  </si>
  <si>
    <t>沿y轴: ###2pi*Int(a,b):x*f(x)dx###</t>
  </si>
  <si>
    <t>沿x轴: ###pi*Int(a,b):(f(x)^2)dx###</t>
  </si>
  <si>
    <t>有根号的情况下，优先集中火力将其###有理化###</t>
  </si>
  <si>
    <t>一般利用###分子分母同乘使根号变平方###能把根号消掉最好</t>
  </si>
  <si>
    <t>如果根号内存在因子是某数的平方，可以###对根号下的表达式提平方公因到根号外###</t>
  </si>
  <si>
    <t>如果有分式，试试###倒代换###</t>
  </si>
  <si>
    <t>在表达式的###分母###出现的根号下凑出###1-x^2###以运用反正弦、反余弦积分公式</t>
  </si>
  <si>
    <t>在表达式的###因式###出现的根号下凑出###1-x^2###以运用正弦、余弦积分公式</t>
  </si>
  <si>
    <t>sin的高次尽量用###诱导公式或平方和为1###换成###cos的高次###，因为后者可以###降幂成cos(2x)###</t>
  </si>
  <si>
    <t>OSPF协议总结-工作步骤</t>
  </si>
  <si>
    <t>路由器周期性发送###Hello###报文发现邻居并确认双向通信</t>
  </si>
  <si>
    <t>当双方###在对方的Hello报文中发现自己的Router ID###，建立邻居</t>
  </si>
  <si>
    <t>通过###DD###报文，路由器交换LSDB的###摘要信息###</t>
  </si>
  <si>
    <t>若发现LSDB缺失信息，通过###LSR###报文向邻居请求链路状态通告</t>
  </si>
  <si>
    <t>收到上述请求后，路由器通过###LSU###报文以###泛洪###进行链路状态更新通告</t>
  </si>
  <si>
    <t>邻居通过###LSAck###报文确认上述报文的收到，确保LSDB完全同步（处于###Full###状态）</t>
  </si>
  <si>
    <t>通过###迪杰斯特拉###算法计算最短路径树</t>
  </si>
  <si>
    <t>OSPF协议总结-报文类型</t>
  </si>
  <si>
    <t>Hello报文：###发现并维护邻居、选举DR/BDR###</t>
  </si>
  <si>
    <t>DD报文：###描述LSDB的摘要###</t>
  </si>
  <si>
    <t>LSR报文：###请求对LSDB某一信息进行通告更新###</t>
  </si>
  <si>
    <t>LSU报文：###泛洪通告LSDB中的某一具体信息###</t>
  </si>
  <si>
    <t>LSAck报文：###确认收到LSU，因为IP不保证可靠性（类比TCP）###</t>
  </si>
  <si>
    <t>OSPF协议总结-状态机</t>
  </si>
  <si>
    <t>Down：###初始状态###</t>
  </si>
  <si>
    <t>Init：###收到邻居Hello，但未确认双向###</t>
  </si>
  <si>
    <t>2-Way：###双向通信建立，完成了DR/BDR选举###</t>
  </si>
  <si>
    <t>ExStart：###通过空DD报文协商主从，确定初始序列号###</t>
  </si>
  <si>
    <t>Exchange：###交换带有LSDB摘要的DD报文###</t>
  </si>
  <si>
    <t>Loading：###LSR/LSU请求并通告更新的LSDB内容###</t>
  </si>
  <si>
    <t>Full：###LSDB完全同步，可进行计算最短路径###</t>
  </si>
  <si>
    <t>绕x轴旋转体选用截面积时，曲线在x轴上下###无关###，因为###平方会把面积的负号取消掉###</t>
  </si>
  <si>
    <t>相同形状和面积的旋转体，距离转轴不同旋转体体积###不同###，不能###割补、非沿轴平移、改变朝向###（三种）</t>
  </si>
  <si>
    <t>极坐标方程的图形###有些不能###（有些不能/全都可以）转为直角坐标的</t>
  </si>
  <si>
    <t>极坐标旋转公式（联想圆的面积公式pi*r²）</t>
  </si>
  <si>
    <t>沿y轴: ###2pi*Int(α,β):(Int(0,r(θ)):((r^2)*cos(θ))dr)dθ###</t>
  </si>
  <si>
    <t>沿x轴: ###2pi*Int(α,β):(Int(0,r(θ)):((r^2)*sin(θ))dr)dθ###</t>
  </si>
  <si>
    <t>拿到星形线的参数方程，怎么确定t就是对应极坐标的θ？</t>
  </si>
  <si>
    <t>已经确定t就是θ，那么t对应第一象限的积分区域就明显是0到pi/2</t>
  </si>
  <si>
    <t>点火公式：</t>
  </si>
  <si>
    <t>积分区间：###从0到pi/2###</t>
  </si>
  <si>
    <t>被积函数：###正弦或余弦的k次方###（k为正整数）</t>
  </si>
  <si>
    <t>k为偶数：###(k-1)*(k-3)*...*1*pi/(k*k-2*...*2*2)###</t>
  </si>
  <si>
    <t>k为奇数：###(k-1)*(k-3)*...*2/(k*k-2*...*3)###</t>
  </si>
  <si>
    <t>周长计算采用参数方程的弧长公式###Int(a,b):sqrt(((x'(t))^2)+((y'(t))^2))dt###</t>
  </si>
  <si>
    <t>带参数x轴旋转体，先用一般x轴旋转体公式：###pi*Int(a,b):(f(x)^2)dx###</t>
  </si>
  <si>
    <t>然后令dx=###dx(t)=x'(t)dt###</t>
  </si>
  <si>
    <t>原积分对t换元求解</t>
  </si>
  <si>
    <t>带参数x轴旋转体侧面积，先用一般x轴旋转体侧面积公式：###2pi*Int(a,b):y*sqrt(1+(y')^2)dx###</t>
  </si>
  <si>
    <t>###x'(t)=dx/dt###乘入被积函数</t>
  </si>
  <si>
    <t>###塞进sqrt里面###，###平方后与1+(y')^2相乘###，得((x'(t))^2)+((y'(t))^2)</t>
  </si>
  <si>
    <t>如果二重积分先对x求时，x的左右都被同一个函数曲线包住，###尝试对其中一侧进行恒等变换###</t>
  </si>
  <si>
    <t>比如：sin(x)=###sin(pi-x)###</t>
  </si>
  <si>
    <t>用中间值分拆（比如arcsin(y)从0到pi分拆成arcsin(y)到pi/2和pi/2到arcsin(y)）不会互相抵消么？</t>
  </si>
  <si>
    <t>问题：sin(x)dx的先x二重积分要怎么写？</t>
  </si>
  <si>
    <t>如果在积分中被积变量不是x、y，但式子中又包含x、y</t>
  </si>
  <si>
    <t>###就把他们换成a、b之类不容易混淆的参数###（建议处理）</t>
  </si>
  <si>
    <t>累次积分画出边界时，如果发现边界上下（或左右）颠倒，</t>
  </si>
  <si>
    <t>可通过###改变被积函数符号###变回有序边界</t>
  </si>
  <si>
    <t>二重积分中值定理###Int2D(D):f(x,y)dxdy=f(xm,ym)*S###</t>
  </si>
  <si>
    <t>xm、ym为###区域D内的中值###</t>
  </si>
  <si>
    <t>利用###累次极限###求f(xm,ym)</t>
  </si>
  <si>
    <t>S为区域D的面积</t>
  </si>
  <si>
    <t>用###g(x,y)=1###换掉原二重积分的被积函数来求解</t>
  </si>
  <si>
    <t>看到被积函数里含有x^2+y^2可以考虑###换成极坐标###求解</t>
  </si>
  <si>
    <t>二重积分的内层如果完全不含外层变量，可以先###求外层变量的定积分###，然后###把这个定积分的数值###乘以###内层的单次积分###求解</t>
  </si>
  <si>
    <t>变限积分求导等于###被积函数换元上限参数###，再###对上限参数求导###</t>
  </si>
  <si>
    <t>有些题目外表看是（二重）积分，实际上是微分方程（无需作答）### ###</t>
  </si>
  <si>
    <t>常数变异法y=###C(x)*e^(Int(P(x),dx))###，原微分方程的齐次微分方程为y'+P(x)y=0</t>
  </si>
  <si>
    <t>极坐标积分当中cos(θ)遇到dr就可以化成###dx###，同理sin(θ)遇到dr可以化成###dy###</t>
  </si>
  <si>
    <t>积分中如果出现被积函数和积分变量组成f'x*dx+f'y*dy时</t>
  </si>
  <si>
    <t>根据全微分公式dz=###f'x*dx+f'y*dy###</t>
  </si>
  <si>
    <t>被积函数和积分变量变成###1*dz###</t>
  </si>
  <si>
    <t>得到积分的结果z(x,y)或z(ρ*cos(θ),ρ*sin(θ))</t>
  </si>
  <si>
    <t>不定积分###没###保号性，###不能###用在不等式，因为###C会改变大小关系###</t>
  </si>
  <si>
    <t>拉格朗日中值：###f(a)=f(b)且f在a到b连续###成立时，可推出###中间必有f'(x)=0###</t>
  </si>
  <si>
    <t>二重积分的绝对值不等式###Int2D(D):f(x,y)dxdy&lt;=|±Int2D(D):f(x,y)dxdy|&lt;=Int2D(D):|f(x,y)|dxdy###</t>
  </si>
  <si>
    <t>船坞的二重积分题</t>
  </si>
  <si>
    <t>总水压问题</t>
  </si>
  <si>
    <t>单点的水压公式是ρ*g*h（h为水深，即水面到当前位置的垂直距离（无需作答）### ###</t>
  </si>
  <si>
    <t>由于受力几何为面，根据力的合成与分解，要把所有点上受到的水压进行累积</t>
  </si>
  <si>
    <t>累积方式采用二重积分</t>
  </si>
  <si>
    <t>dy即###深度###方向积分</t>
  </si>
  <si>
    <t>积分区间从###0到t###</t>
  </si>
  <si>
    <t>dx即###水平###方向积分</t>
  </si>
  <si>
    <t>积分区间从###-x(y)到x(y)###</t>
  </si>
  <si>
    <t>抽水做功问题</t>
  </si>
  <si>
    <t>假设抽出水是刚体，向上平移直到###每一滴水刚好离开原液面###</t>
  </si>
  <si>
    <t>单点对抗重力做功的公式是M*h=###ρ*g*h=ρ*g*(t-y)###（t为水平面位置）</t>
  </si>
  <si>
    <t>单点在同一高度、同一横向距离对抗重力做功相同，可以合并为做功的###环###状微元</t>
  </si>
  <si>
    <t>###ρ*g*(t-y)###（单点做功）乘###2*π*x###（形状累积）得到微元的做功量###ρ*g*(t-y)*2*π*x###</t>
  </si>
  <si>
    <t>由于做功几何为体，根据能量守恒定律，要把所有微元上对抗重力做功进行累积</t>
  </si>
  <si>
    <t>由于一侧的x就对应到整个微元，因此积分区间###只有从0到x(y)###</t>
  </si>
  <si>
    <t>具体点偏导数可以先###代###后###求###</t>
  </si>
  <si>
    <t>比如f'x(0,0)，可以先###把y=0代入f(x,y)###得###f(x,0)###</t>
  </si>
  <si>
    <t>再###把f(x,0)看成一元函数g(x)对x求导###得到###g'(x)###，</t>
  </si>
  <si>
    <t>最后###把x=0代入g'(x)###得到###g'(0)###，即###f'x(0,0)###</t>
  </si>
  <si>
    <t>如果z能写成z(u,v)，而u和v又能写成u(x)和v(x)，那么dz/dx=###(dz/du)*(du/dx)+(dz/dv)*(dv/dx)###</t>
  </si>
  <si>
    <t>如果z=z(x,y)里面x和y过于复杂，可以把部分x和y的表达式###用u(x,y)、v(x,y)来表示###，然后再用###复合函数求导###来求</t>
  </si>
  <si>
    <t>已知偏导数求原函数</t>
  </si>
  <si>
    <t>使用###偏积分###和###待定非积分变量函数（例如：对x积分后面带上phi(y)）###</t>
  </si>
  <si>
    <t>用已知原函数z(x,y)在###积分变量为特值###时的表达式和上式列等式，求出###待定非积分变量函数具体形式###</t>
  </si>
  <si>
    <t>例如：2*y+phi(x)在y=1时与1+x相等，则phi(x)=###x-1###</t>
  </si>
  <si>
    <t>二元函数f(u,v)，u和v又是含x的的函数</t>
  </si>
  <si>
    <t>df/dx=###(df/du)*(du/dx)+(df/dv)*(dv/dx)###</t>
  </si>
  <si>
    <t>注意df/dx仍然是含有###u和v的二元###函数</t>
  </si>
  <si>
    <r>
      <rPr>
        <sz val="11"/>
        <color theme="1"/>
        <rFont val="宋体"/>
        <charset val="134"/>
        <scheme val="minor"/>
      </rPr>
      <t>d^2f/dx^2=###</t>
    </r>
    <r>
      <rPr>
        <sz val="11"/>
        <color rgb="FFFF0000"/>
        <rFont val="宋体"/>
        <charset val="134"/>
        <scheme val="minor"/>
      </rPr>
      <t>d((df/du)*(du/dx))/dx###</t>
    </r>
    <r>
      <rPr>
        <sz val="11"/>
        <color theme="1"/>
        <rFont val="宋体"/>
        <charset val="134"/>
        <scheme val="minor"/>
      </rPr>
      <t>+###</t>
    </r>
    <r>
      <rPr>
        <sz val="11"/>
        <color rgb="FF00B0F0"/>
        <rFont val="宋体"/>
        <charset val="134"/>
        <scheme val="minor"/>
      </rPr>
      <t>d((df/dv)*(dv/dx))/dx###</t>
    </r>
  </si>
  <si>
    <t>以前半部分为例，后半部分同理可得</t>
  </si>
  <si>
    <r>
      <rPr>
        <b/>
        <sz val="11"/>
        <color rgb="FFFF0000"/>
        <rFont val="宋体"/>
        <charset val="134"/>
        <scheme val="minor"/>
      </rPr>
      <t>求导乘法法则：d((df/du)*(du/dx))/dx=###(d(df/du)/dx)</t>
    </r>
    <r>
      <rPr>
        <sz val="11"/>
        <color rgb="FFFF0000"/>
        <rFont val="宋体"/>
        <charset val="134"/>
        <scheme val="minor"/>
      </rPr>
      <t>*(du/dx)###+###(df/du)*((d(du/dx)/dx))###</t>
    </r>
  </si>
  <si>
    <t>展开(d(df/du)/dx)=###((d^2f/du^2)*(du/dx)###+###(d^2f/dudv)*(dv/dx))*(du/dx)###</t>
  </si>
  <si>
    <t>二阶微分方程如果降阶后左右同时积分不好求，直接用高阶线性的公式来求</t>
  </si>
  <si>
    <t>先求齐次通解</t>
  </si>
  <si>
    <t>先提取系数y''+p*y'+q*y=0</t>
  </si>
  <si>
    <t>求特征根r，使r满足###r^2+p*r+q=0###</t>
  </si>
  <si>
    <t>两个不等实根r1、r2则yhg=###C1*exp(r1*x)+C2*exp(r2*x)###</t>
  </si>
  <si>
    <t>两个相等实根r则yhg=###(C1+C2*x)*exp(r*x)###</t>
  </si>
  <si>
    <t>一对共轭复根（实部±虚部i）则y=###exp(实部*x)*(C1*cos(虚部*x)+C2*sin(虚部*x))###</t>
  </si>
  <si>
    <t>再求非齐次特解</t>
  </si>
  <si>
    <t>常数变易法</t>
  </si>
  <si>
    <t>设：齐次通解中###C=C(x)###</t>
  </si>
  <si>
    <t>y=###f(C(x),x)###进行###左右同时求导###，左边用###原微分方程的dy/dx###联立</t>
  </si>
  <si>
    <t>右边结果包含###C'(x)###和###C(x)###，用###已知含C(x)的y###表示###C(x)###（左右同时消去）</t>
  </si>
  <si>
    <t>得到的###C'(x)###，对其###进行积分###求出C(x)表达式</t>
  </si>
  <si>
    <t>隐函数求偏导（dz/dx、dz/dy）公式</t>
  </si>
  <si>
    <t>F(x,y,z)=0决定的z=z(x,y)</t>
  </si>
  <si>
    <t>两边同时###对x或y求导###得到###F'x+F'z*(dz/dx)=0或F'y+F'z*(dz/dy)=0###</t>
  </si>
  <si>
    <t>dz/dx=###-(F'x/F'z)###</t>
  </si>
  <si>
    <t>dz/dy=###-(F'y/F'z)###</t>
  </si>
  <si>
    <t>微分方程如果dx/dy=F(x,y)比较容易变形，可以###把x当成y的函数###求解</t>
  </si>
  <si>
    <t>微分方程如果难以分离变量，也非线性微分方程</t>
  </si>
  <si>
    <t>找到一种###可分成p=f(x,y)和x的方法###，求解###p和x###的微分方程，再代###p=f(x,y)###求出原式解</t>
  </si>
  <si>
    <t>适用场景</t>
  </si>
  <si>
    <t>化简后可以直接###变量分离###（齐次）</t>
  </si>
  <si>
    <t>化简后可以使用###常数变易###（非齐次）</t>
  </si>
  <si>
    <t>常见类型</t>
  </si>
  <si>
    <t>最常见的：###y/x、x/y###</t>
  </si>
  <si>
    <t>一般：###x+y###</t>
  </si>
  <si>
    <t>比较少见：###不含x的f(y)###</t>
  </si>
  <si>
    <t>非常罕见（用于二阶微分方程）：###p=f(y')###</t>
  </si>
  <si>
    <t>常数变易是从齐次###通###解直接到非齐###通###解，里面已经包含了齐次###通###解和非齐###特###解</t>
  </si>
  <si>
    <t>简单概括线性微分解的结构特性</t>
  </si>
  <si>
    <t>非齐通=###齐通###+###非齐特###</t>
  </si>
  <si>
    <t>非齐A方程特±非齐B方程特=###非齐A±B方程特###</t>
  </si>
  <si>
    <t>若A±B=0，非齐A方程特±非齐B方程特=###齐特###</t>
  </si>
  <si>
    <t>定积分上下限之差正好为周期的情况下，###任意平移（x±a）###不改变定积分的数值</t>
  </si>
  <si>
    <t>高阶非齐次不要硬上常数变异，那个只适合一阶（无需作答）### ###</t>
  </si>
  <si>
    <t>高阶齐次求特征根写清楚因式分解，不然重根看不清楚到底是几重！！！（无需作答）### ###</t>
  </si>
  <si>
    <t>高阶非齐次特解看非齐次项构造</t>
  </si>
  <si>
    <t>分解合并</t>
  </si>
  <si>
    <t>有几个###exp(λx)###分成几个非齐次项</t>
  </si>
  <si>
    <t>sin和cos化简到各只有一个，化不了就得###利用线性性质分成几个###</t>
  </si>
  <si>
    <t>非齐次项原形</t>
  </si>
  <si>
    <t>一个多项式乘上exp(λ*x)的构型，如果没exp(λ*x)就是λ为0</t>
  </si>
  <si>
    <t>###exp(λ*x)原模原样###乘最后，如果没###exp(λ*x)###就乘###1###</t>
  </si>
  <si>
    <t>这种情况下看###λ在齐次特征根有几重###，###重数k次方的x###乘到最前面</t>
  </si>
  <si>
    <t>然后根据###多项式最高次数###，列出###待定系数多项式a1*(x^n)+a2*(x^(n-1))+a3*(x^(n-2))+...###，乘中间</t>
  </si>
  <si>
    <t>三坨在一起应该是###(x^k)*(a1*(x^n)+a2*(x^(n-1))+a3*(x^(n-2))+...)*exp(λ*x)###</t>
  </si>
  <si>
    <t>一个exp(a*x)乘上多项式1*cos(b*x)和多项式2*sin(b*x)的和，如果没exp(a*x)就是λ为0</t>
  </si>
  <si>
    <t>###exp(a*x)原模原样###乘最后，如果没###exp(a*x)###就乘###1###（同上）</t>
  </si>
  <si>
    <t>这种情况下看###a+bi在齐次特征根有几重###，###重数k次方的x###乘到最前面（类似上面）</t>
  </si>
  <si>
    <t>然后根据###多项式1和多项式2中的最高次数###，列出###两个待定系数多项式a1*(x^n)+...和b1*(x^n)+...###，再###分别乘sin(b*x)和cos(b*x)再加起来###，乘中间</t>
  </si>
  <si>
    <t>三坨在一起应该是###(x^k)*((a1*(x^n)+...)*sin(b*x)+(b1*(x^n)+...)*cos(b*x))*exp(a*x)###</t>
  </si>
  <si>
    <t>如果高阶线性微分方程不显含x，尽量使用###dp/dy###而不是dp/dx</t>
  </si>
  <si>
    <t>如果已经开始求dx/dy，即认为x=x(y)，直到整个微分方程解出来前不要###对换变量###</t>
  </si>
  <si>
    <t>ln(cos(x))的定积分是###非初等的###，看到变成这样的式子，考虑###再求出一个相反的代数表达式进行抵消###</t>
  </si>
  <si>
    <t>sin(x)和cos(x)构成的复杂表达式如果没法简单化成只有一种类型，那就###都换成tan再求解###</t>
  </si>
  <si>
    <t>一定要小心根号下的三角平方，因为开根号后###原本小于0的区间就会“翻上去”###，这在去根号而换元成三角时非常常见</t>
  </si>
  <si>
    <t>有时候定积分上下限会变成无穷，但是不要怕，把###具体的形式写出来不要求解具体数值（比如tan(pi/2)）###，因为有可能###后面会代入一个arctan还原回去###</t>
  </si>
  <si>
    <t>已知解反求线性微分方程总结</t>
  </si>
  <si>
    <t>给的解一般是非齐次特解，有几个</t>
  </si>
  <si>
    <t>用它们###线性无关的差###作为齐次通解，看题设的###方程是几阶###就有几个解</t>
  </si>
  <si>
    <t>一般来说，是C*exp(r*x)的形式，这种就容易，直接用###r###求出齐次方程的原式</t>
  </si>
  <si>
    <t>然后设右边等于一个非齐次项f(x)</t>
  </si>
  <si>
    <t>###逮住一个特解ynhs###求出其导数，带入###上一步设出的非齐次方程###，求出###f(x)具体表达式###</t>
  </si>
  <si>
    <t>但也有不是的情况，那样就得构造方程组来求解了</t>
  </si>
  <si>
    <t>###逮住一个特解ynhs###求出其导数，不同阶导数列出来</t>
  </si>
  <si>
    <t>观察并总结系数C在导数里的规律</t>
  </si>
  <si>
    <t>根据规律，用###ynhs和其导数表示的表达式###组合出消去C的方程，这就是要求的微分方程</t>
  </si>
  <si>
    <t>如果一次给了一整个特解，就要仔细分析其中部分，分别都要满足题设的条件</t>
  </si>
  <si>
    <t>题设的###方程是几阶###就有几个解</t>
  </si>
  <si>
    <t>非齐次解部分</t>
  </si>
  <si>
    <t>非齐次解exp(a*x)的###a###与非齐次项exp(b*x)的###b###一致</t>
  </si>
  <si>
    <t>额外包含的x^k，k可能是对应###根的重数###</t>
  </si>
  <si>
    <t>齐次解部分</t>
  </si>
  <si>
    <t>解exp(a*x)的###a###与非齐次项exp(b*x)的###b###，其中###不一致###的部分都属于齐次解</t>
  </si>
  <si>
    <t>根据###解的剩余个数###，排除###齐次重根###，解的剩余重根项则均属于###非齐次解###</t>
  </si>
  <si>
    <t>注意，非齐次特解表达式里的系数和通解里的C是不一样的，那些系数是通过代入非齐次方程和非齐次项联立求出来的，并非一个活动的系数（未知的常量而非变量）（无需作答）### ###</t>
  </si>
  <si>
    <t>带变限积分求被积函数实则求微分方程解的题型，要注意初始条件一般是###隐含在题目里（隐含在含有变限积分的等式里）###</t>
  </si>
  <si>
    <t>比如当x等于0时，上限x的变限积分此时会###变成0###，一个积分式子，如果###上限和下限一样###，整个积分无论多复杂都###是0###</t>
  </si>
  <si>
    <t>有一道看起来像是全微分或者多元微分的题目（f(x+y)=exp(x)*f(y)+exp(y)*f(x)）,居然要用导数的定义来求解，这题的思路非常难猜出来</t>
  </si>
  <si>
    <t>题目照例隐含了一个初始条件，要x和y都为0时代入才能证出来f(0)=0</t>
  </si>
  <si>
    <t>然后用这个等于0的f(0)去跟f(△x)/△x凑出一个f'(0)</t>
  </si>
  <si>
    <t>反函数的导数，等于###原函数的导数的倒数###</t>
  </si>
  <si>
    <t>x=x(y)是y=y(x)的反函数</t>
  </si>
  <si>
    <t>y'(x)=dy/dx是y(x)的导数</t>
  </si>
  <si>
    <t>反函数x=x(y)的导数是###x'(y)=dx/dy###</t>
  </si>
  <si>
    <t>即x'(y)=###dx/dy=1/(dy/dx)=1/y'(x)###</t>
  </si>
  <si>
    <t>微分方程里如果过于复杂，找到一种可以分离成p=f(x,y)和x的方法，求解p和x的微分方程，再代p=f(x,y)求出原式解</t>
  </si>
  <si>
    <t>今天补充一下，甚至还可以是f(y,y')，比如y'/y就可以拿来解2yy''=(y')^2+y^2（无需作答）### ###</t>
  </si>
  <si>
    <t>微分方程构造解证明微分中值定理-公式法</t>
  </si>
  <si>
    <t>要证明f'(z)+g(z)*f(z)=0，构造F(x)=###(e^Int(g(x)))*f(x)###</t>
  </si>
  <si>
    <t>要证明f'(z)+g'(z)*f(z)=0，构造F(x)=###(e^(g(x)))*f(x)###</t>
  </si>
  <si>
    <t>要证明f'(z)+nf(z)=0，构造F(x)=###((e^x)^n)*f(x)###</t>
  </si>
  <si>
    <t>要证明af'(z)+bf(z)=0，构造F(x)=###(e^(x*(b/a)))*f(x)###</t>
  </si>
  <si>
    <t>要证明zf'(z)+nf(z)=0，构造F(x)=###(x^n)*f(x)###</t>
  </si>
  <si>
    <t>要证明zf'(z)-nf(z)=0，构造F(x)=###f(x)/(x^n)###</t>
  </si>
  <si>
    <t>级数Σf(n)和Int(1,∞):f(x)dx一般来说同敛散，这就叫积分测试（积分判别法）</t>
  </si>
  <si>
    <t>积分测试是一个强大的工具，但并不适用于所有情况。以下是一些情况下积分测试可能不适用的情况：</t>
  </si>
  <si>
    <r>
      <rPr>
        <b/>
        <sz val="10.5"/>
        <color rgb="FF24292F"/>
        <rFont val="Segoe UI"/>
        <charset val="134"/>
      </rPr>
      <t>函数不满足条件</t>
    </r>
    <r>
      <rPr>
        <sz val="10.5"/>
        <color rgb="FF24292F"/>
        <rFont val="Segoe UI"/>
        <charset val="134"/>
      </rPr>
      <t>：积分测试要求函数 ( f(x) ) 在 ( [1, +\infty) ) 上连续、单调递减。如果函数不满足这些条件，则无法使用积分测试。</t>
    </r>
  </si>
  <si>
    <r>
      <rPr>
        <b/>
        <sz val="10.5"/>
        <color rgb="FF24292F"/>
        <rFont val="Segoe UI"/>
        <charset val="134"/>
      </rPr>
      <t>无法积分</t>
    </r>
    <r>
      <rPr>
        <sz val="10.5"/>
        <color rgb="FF24292F"/>
        <rFont val="Segoe UI"/>
        <charset val="134"/>
      </rPr>
      <t>：有些函数在给定区间上无法求出积分，这样无法使用积分测试。比如说，( f(x) ) 可能是一个特殊函数，没有一个已知的原函数。</t>
    </r>
  </si>
  <si>
    <r>
      <rPr>
        <b/>
        <sz val="10.5"/>
        <color rgb="FF24292F"/>
        <rFont val="Segoe UI"/>
        <charset val="134"/>
      </rPr>
      <t>函数不是正的</t>
    </r>
    <r>
      <rPr>
        <sz val="10.5"/>
        <color rgb="FF24292F"/>
        <rFont val="Segoe UI"/>
        <charset val="134"/>
      </rPr>
      <t>：积分测试要求函数 ( f(x) ) 是正函数。如果函数在某些区间上为负，则积分测试可能不适用。</t>
    </r>
  </si>
  <si>
    <r>
      <rPr>
        <b/>
        <sz val="10.5"/>
        <color rgb="FF24292F"/>
        <rFont val="Segoe UI"/>
        <charset val="134"/>
      </rPr>
      <t>不是单调递减的</t>
    </r>
    <r>
      <rPr>
        <sz val="10.5"/>
        <color rgb="FF24292F"/>
        <rFont val="Segoe UI"/>
        <charset val="134"/>
      </rPr>
      <t>：积分测试要求函数 ( f(x) ) 是单调递减的。如果函数在某些区间上不是单调递减的，则积分测试可能不适用。</t>
    </r>
  </si>
  <si>
    <t>在上述情况下，可以考虑使用其他收敛性测试方法</t>
  </si>
  <si>
    <t>比较判别法</t>
  </si>
  <si>
    <t>比值测试</t>
  </si>
  <si>
    <t>根值测试</t>
  </si>
  <si>
    <t>要证明唯一性，最好是###证明不唯一，然后反证###</t>
  </si>
  <si>
    <t>单调性除了应用于不等式，还有一个关键性质（严格单调），即f(x)都是###唯一的###，###存在两个不相同的x1、x2使得f(x1)=f(x2)###是不可能的</t>
  </si>
  <si>
    <t>拐点是指###左右二阶导数异号###的点，这个点的二阶导数可能是###0###，也可能###不存在###，因此###不能###用二阶导数为0来判定是否为拐点</t>
  </si>
  <si>
    <t>二阶导为0，完全有可能是###“擦”到x轴但不变号###，那样也###不是###拐点</t>
  </si>
  <si>
    <t>如果要用二阶导等于0来找拐点，需要确保###三阶导不为0（二阶导单调性不变，不是“擦过”x轴）###</t>
  </si>
  <si>
    <t>拉格朗日中值定理两个要求，###连续###，###ab不相等###，要求很简单，但必须都满足才行</t>
  </si>
  <si>
    <t>二阶导###大于0###，下凹，二阶导###小于0###，上凸</t>
  </si>
  <si>
    <t>泰勒展开通项：###fn(x0)*((x-x0)^n)/n!###</t>
  </si>
  <si>
    <t>拉格朗日余项：###fnp1(ξ)*((x-x0)^(n+1))/(n+1)!###</t>
  </si>
  <si>
    <t>ξ是一个中值，介于x和x0，一般会用x和x0限定余弦的范围</t>
  </si>
  <si>
    <t>留数法对付一次有理分式</t>
  </si>
  <si>
    <t>原式=A/((ax+b)*(cx+d))</t>
  </si>
  <si>
    <t>待定系数的加减式=(B/(ax+b))+(C/(cx+d))</t>
  </si>
  <si>
    <t>求B</t>
  </si>
  <si>
    <t>把原式分母的###ax+b###遮住，留下###A/(cx+d)###</t>
  </si>
  <si>
    <t>求出###ax+b=0的根r1=-b/a###</t>
  </si>
  <si>
    <t>令###x=r1###代入###A/(cx+d)###得到###B=A/(d-c*b/a)###</t>
  </si>
  <si>
    <t>求C</t>
  </si>
  <si>
    <t>把原式分母的###cx+d###遮住，留下###A/(ax+b)###</t>
  </si>
  <si>
    <t>求出###cx+d=0的根r2=-d/c###</t>
  </si>
  <si>
    <t>令###x=r2###代入###A/(ax+b)###得到###C=A/(b-a*d/c)###</t>
  </si>
  <si>
    <t>看起来复杂，实际操作很简单，只要不是高次有理分式，算起来比解待定系数方程快（不过快这一点没啥用）</t>
  </si>
  <si>
    <t>非零因子代入</t>
  </si>
  <si>
    <t>不是整体因子的情况下，###不能###非零因子代入</t>
  </si>
  <si>
    <t>指数含自变量的情况下，底数###不能###非零因子代入</t>
  </si>
  <si>
    <t>欧拉法逼近和黎曼和的区别在于，前者是梯形，后者是矩形，定积分是黎曼和对n求趋无穷的极限（无限细分）</t>
  </si>
  <si>
    <t>定积分从a积到b的极限定义通项=###f(a+i*(b-a)/n)*(b-a)/n###，其中###f(t)以外的部分###可以提公因提到连加外面</t>
  </si>
  <si>
    <t>被积函数出现sec²或者sec*tan</t>
  </si>
  <si>
    <t>可以尝试###分部积分，把这一部分作为g'(x)###</t>
  </si>
  <si>
    <t>也可以###凑微分###，但如果###凑出来不含有被凑的结果###，还是要用上一种方法</t>
  </si>
  <si>
    <t>级数逐项求导时注意x^(n-a)如果n-a&lt;0时求导结果并不是(n-a)*x^(n-a-1)而是n-a</t>
  </si>
  <si>
    <t>两条曲线所夹区域的旋转体，注意不能用###曲线差的平方###作为被积函数，应该要用###平方的差（两个旋转体的体积差）###</t>
  </si>
  <si>
    <t>瑕积分按照定义，一定要对瑕点进行###分段求变限积分的极限###，其中###每个区间的变限积分极限###都必须###存在（也就是说正负无穷不能互相抵消）###，否则不收敛</t>
  </si>
  <si>
    <t>被积函数存在大小关系的情况下，相同积分区间的定积分###维持相同的大小关系###</t>
  </si>
  <si>
    <t>比如在0到pi/6区间上sinx小于x，导致sin/x&lt;1&lt;x/sinx，因此他们的积分###S1&lt;pi/6&lt;S2###（S1为sin/x的积分，S2为x/sin的积分）</t>
  </si>
  <si>
    <t>要算△y都是要求用###y'(x0)*△x###来近似的（x0为近似起始点）</t>
  </si>
  <si>
    <t>sec的不定积分是###ln|sec+tan|###，csc的不定积分是###ln|csc-cot|###</t>
  </si>
  <si>
    <t>变限积分对应无穷小的阶数秒杀</t>
  </si>
  <si>
    <t>上限函数g(x)的阶数n</t>
  </si>
  <si>
    <t>被积函数f(x)的阶数m</t>
  </si>
  <si>
    <t>变限积分Lim(x-&gt;0):Int(0,g(x)):f(t)dt的阶数=###n*(m+1)###</t>
  </si>
  <si>
    <t>两个无穷小加减得到的新无穷小阶数为###旧无穷小中阶数较小的那一个（例：4阶±8阶=4阶）###</t>
  </si>
  <si>
    <t>极限保号性：如果极限为一个数值大于或者小于0，则被求极限的表达式在###趋向点附近的去心邻域###也大于或者小于0</t>
  </si>
  <si>
    <t>全微分（知识盲区）</t>
  </si>
  <si>
    <t>先从知道的部分开始说起</t>
  </si>
  <si>
    <t>二元函数z=f(x,y)它的全微分dz=f'x(x,y)*dx+f'y(x,y)*dy</t>
  </si>
  <si>
    <t>一元函数y=f(x)它的微分dy=f'(x)*dx</t>
  </si>
  <si>
    <t>△y/△z是曲线/曲面增量，dy/dz是切线/切面增量，注意微分是后者而非前者</t>
  </si>
  <si>
    <t>可以推出的部分</t>
  </si>
  <si>
    <r>
      <rPr>
        <sz val="11"/>
        <color theme="1"/>
        <rFont val="宋体"/>
        <charset val="134"/>
        <scheme val="minor"/>
      </rPr>
      <t>①由△y=f(x0+△x)-f(x0)=###</t>
    </r>
    <r>
      <rPr>
        <sz val="11"/>
        <color rgb="FFFF0000"/>
        <rFont val="宋体"/>
        <charset val="134"/>
        <scheme val="minor"/>
      </rPr>
      <t>f'(x0)*△x+o(ρ)###，o(ρ)为曲线和切线的误差</t>
    </r>
  </si>
  <si>
    <r>
      <rPr>
        <sz val="11"/>
        <color theme="1"/>
        <rFont val="宋体"/>
        <charset val="134"/>
        <scheme val="minor"/>
      </rPr>
      <t>②得△z=f(x0+△x,y0+△y)-f(x0,y0)=###</t>
    </r>
    <r>
      <rPr>
        <sz val="11"/>
        <color rgb="FFFF0000"/>
        <rFont val="宋体"/>
        <charset val="134"/>
        <scheme val="minor"/>
      </rPr>
      <t>f'x(x0,y0)*△x+f'y(x0,y0)*△y+o(ρ)###，o(ρ)为曲面和切面的误差</t>
    </r>
  </si>
  <si>
    <r>
      <rPr>
        <sz val="11"/>
        <color theme="1"/>
        <rFont val="宋体"/>
        <charset val="134"/>
        <scheme val="minor"/>
      </rPr>
      <t>③由△y=f(x)-f(x0)=###</t>
    </r>
    <r>
      <rPr>
        <sz val="11"/>
        <color rgb="FFFF0000"/>
        <rFont val="宋体"/>
        <charset val="134"/>
        <scheme val="minor"/>
      </rPr>
      <t>f'(x0)*(x-x0)+o(ρ)###，o(ρ)为曲线和切线的误差</t>
    </r>
  </si>
  <si>
    <r>
      <rPr>
        <sz val="11"/>
        <color theme="1"/>
        <rFont val="宋体"/>
        <charset val="134"/>
        <scheme val="minor"/>
      </rPr>
      <t>④得△z=f(x,y)-f(x0,y0)=###</t>
    </r>
    <r>
      <rPr>
        <sz val="11"/>
        <color rgb="FFFF0000"/>
        <rFont val="宋体"/>
        <charset val="134"/>
        <scheme val="minor"/>
      </rPr>
      <t>f'x(x0,y0)*(x-x0)+f'y(x0,y0)*(y-y0)+o(ρ)###，o(ρ)为曲面和切面的误差</t>
    </r>
  </si>
  <si>
    <t>需要死记硬背的公式</t>
  </si>
  <si>
    <t>Lim:###(A-B)/C###=0</t>
  </si>
  <si>
    <t>第一种：△x-&gt;0,△y-&gt;0，A对应②式等号左，B对应②式等号右（不包含误差o(ρ)）</t>
  </si>
  <si>
    <t>第二种：x-&gt;x0,y-&gt;y0，A对应④式等号左，B对应④式等号右（不包含误差o(ρ)）</t>
  </si>
  <si>
    <t>总结：分子相减都是求误差o(ρ)，分母都是△x/△y的欧几里得范数（平方和再开根号，相当于直角三角形的斜边长）</t>
  </si>
  <si>
    <t>内涵：意思是###这个误差###相对于###起点(x0,y0)到目标(x,y)的直线距离###是可以忽略不计的</t>
  </si>
  <si>
    <t>给一个极限式子，求出dz的一类题</t>
  </si>
  <si>
    <t>对给的极限变形，使其凑出###需要死记硬背的公式的公式###</t>
  </si>
  <si>
    <t>根据###需要死记硬背的公式的公式###，把里面###f'x和f'y###的部分提取出来，</t>
  </si>
  <si>
    <t>然后再把###f'x和f'y###放进###dz=f'x(x,y)*dx+f'y(x,y)*dy###，求出dz</t>
  </si>
  <si>
    <t>极限脱帽法：如果lim(x-&gt;0):f(x)=A，则f(x)=###A+o(x)###</t>
  </si>
  <si>
    <t>微分方程构造解证明微分中值定理-原理法（公式法参考20240401第4行）</t>
  </si>
  <si>
    <t>会拿到一个微分方程，说这个微分方程必定在某区间上有解</t>
  </si>
  <si>
    <t>那就先解这个微分方程，注意，不要解到y，解出第一个C就行</t>
  </si>
  <si>
    <t>可以把y'当成y，y''当成y'，只要保证最高阶是1阶导就行</t>
  </si>
  <si>
    <t>目的是为了方便运用微分中值定理</t>
  </si>
  <si>
    <t>然后改写通解y=g(C,x)成###C=h(y,x)###，令F(x)=###C=h(y,x)=h(f(x),x)###作构造函数</t>
  </si>
  <si>
    <t>然后会发现F'(x)=0就是原微分方程必有解的等价式</t>
  </si>
  <si>
    <t>用题设条件证明F(x)在某区间上必有相同的两根</t>
  </si>
  <si>
    <t>用罗尔定理和已知存在的相同两根证存在x使得F'(x)=0</t>
  </si>
  <si>
    <t>可微和可导的关系</t>
  </si>
  <si>
    <t>联系</t>
  </si>
  <si>
    <t>一元函数中可导与可微等价。</t>
  </si>
  <si>
    <t>多元函数的话，可微###一定###可导，可导###未必###可微。</t>
  </si>
  <si>
    <t>含义（设函数y= f(x)）</t>
  </si>
  <si>
    <t>可微</t>
  </si>
  <si>
    <t>若自变量在点x的改变量Δx与函数相应的改变量Δy有关系Δy=###A*Δx+o(Δx)###，其中A与Δx无关</t>
  </si>
  <si>
    <t>则称函数f(x)在点x可微，并称###AΔx###为函数f(x)在点x的微分，记作dy，即dy=###AΔx###，当x=x0时，则记作dy|x=x0。</t>
  </si>
  <si>
    <t>o(Δx)/Δx-&gt;###0###</t>
  </si>
  <si>
    <t>可导</t>
  </si>
  <si>
    <t>如果y在x=x0处###左右导数分别存在且相等###</t>
  </si>
  <si>
    <t>则称y在x=x0处可导</t>
  </si>
  <si>
    <t>题目要求证明数列极限存在→使用###单调有界###定理</t>
  </si>
  <si>
    <t>已知f'(x)求单调性，在证明题当中不能用特值，必须求###f''(x)###并###确定其符号###，才能证明f'(x)单调</t>
  </si>
  <si>
    <t>微分算子法本质上还是传统方法，但是围绕齐次特征多项式的根改良了运算步骤</t>
  </si>
  <si>
    <t>比如y''-3y'+2y=非齐次项，它的齐次多项式为###r^2-3r+2###</t>
  </si>
  <si>
    <t>齐次多项式为分母，分子为1，乘以非齐次项</t>
  </si>
  <si>
    <r>
      <rPr>
        <sz val="11"/>
        <color theme="1"/>
        <rFont val="宋体"/>
        <charset val="134"/>
        <scheme val="minor"/>
      </rPr>
      <t>非齐次项为e^2x时</t>
    </r>
    <r>
      <rPr>
        <b/>
        <sz val="11"/>
        <color rgb="FFFF0000"/>
        <rFont val="宋体"/>
        <charset val="134"/>
        <scheme val="minor"/>
      </rPr>
      <t>（千万注意指数系数不可以为0，也就是这个方法不适用于纯多项式！）</t>
    </r>
  </si>
  <si>
    <t>非齐次项和特征多项式的商为###e^2x/r^2-3r+2###</t>
  </si>
  <si>
    <t>令r=非齐次项的指数系数（上式为2），代入分母</t>
  </si>
  <si>
    <t>如果分母不为零，###和非齐次项的商###就是特解</t>
  </si>
  <si>
    <t>如果分母为零（非齐次项的指数系数是###齐次特征多项式的重根###）</t>
  </si>
  <si>
    <t>分子操作：###对r求导###</t>
  </si>
  <si>
    <t>分母操作：###乘x（对应k重根）###</t>
  </si>
  <si>
    <t>非齐次项为cos(2x)时（效果更好）</t>
  </si>
  <si>
    <t>非齐次项和特征多项式的商为###cos(2x)/r^2-3r+2###</t>
  </si>
  <si>
    <t>令r^2=###负的非齐次项自变量系数（上式为2）的平方###，代入分母</t>
  </si>
  <si>
    <t>如果分母最后剩下r的1次方，则对非齐次项进行对应的###积分###操作</t>
  </si>
  <si>
    <t>sin(x)/r相当于###对sin(x)积分###，变为###-cos(x)###</t>
  </si>
  <si>
    <t>如果除了r还有其它常数，比如sin(x)/(r+2)，则###分子分母同乘(r-2)###</t>
  </si>
  <si>
    <t>分母变成###r^2-4###，就可以直接代入r^2</t>
  </si>
  <si>
    <t>分子sin(x)###乘(r-2)###，相当于求###(sin(x))'-2*sin(x)###，即###cos(x)-2*sin(x)###</t>
  </si>
  <si>
    <t>之前提到瑕积分按照瑕点划分后每个部分都都必须收敛</t>
  </si>
  <si>
    <t>现在更要明确，如果是无穷区间上的极限，两端###都是无穷###的，要###找一个中间点x=a来进行划分###</t>
  </si>
  <si>
    <t>每个部分都收敛才整体收敛，一个不收敛整体都不收敛（不能正负无穷抵消）</t>
  </si>
  <si>
    <t>分段函数求原函数</t>
  </si>
  <si>
    <t>每个部分分别求原函数，会出现多个常数Ci，这样作答还不够</t>
  </si>
  <si>
    <t>要使每个分段共用一个C，要###求出Ci之间的关系###</t>
  </si>
  <si>
    <t>由于题设的函数是求出原函数的导数，证明###原函数可导###</t>
  </si>
  <si>
    <t>可导必###连续###，因此分段点处原函数###的极限存在且等于原函数的取值###</t>
  </si>
  <si>
    <t>分段点###极限存在###，分段点的左右极限###均存在且相等###</t>
  </si>
  <si>
    <t>分段点左右极限###脱去极限符号###后列写等式，包含###Ci和Ci+1、Ci-1之间的关系###</t>
  </si>
  <si>
    <t>可微性用【需要死记硬背的公式】来证明（无需作答）### ###</t>
  </si>
  <si>
    <t>一阶偏导连续必须证</t>
  </si>
  <si>
    <t>x偏连续：###lim(x-&gt;x0,y-&gt;y0):f'x(x,y)=f'x(x0,y0)###</t>
  </si>
  <si>
    <t>y偏连续：###lim(x-&gt;x0,y-&gt;y0):f'y(x,y)=f'y(x0,y0)###</t>
  </si>
  <si>
    <t>证明lim(x-&gt;x0):f'x(x,y0)=f'x(x0,y0)和lim(y-&gt;y0):f'y(x0,y)=f'y(x0,y0)是不够的</t>
  </si>
  <si>
    <t>举例：xy=0时为1，xy≠0时为0的分区函数，那两个极限成立，但是原函数是不连续的</t>
  </si>
  <si>
    <t>用罗尔定理证明根存在性时，所需条件与拉格朗日相同</t>
  </si>
  <si>
    <t>端点也要连续，如果因为定义域的缘故，可以在构造F(x)时###给端点单独赋值###</t>
  </si>
  <si>
    <t>举例：Int(0,x):f(t)dt/x因为分母限制定义域导致0点上无定义</t>
  </si>
  <si>
    <t>为保证连续，用###求变限积分的极限###求出0点连续需要的值</t>
  </si>
  <si>
    <t>分段，将上式结果赋给x=0时的f(x)</t>
  </si>
  <si>
    <t>信号：式子中出现x^n,n-&gt;∞，考虑|x|在###1###为分界的分段讨论</t>
  </si>
  <si>
    <t>曲率本质上是###切线夹角的微分###除以###弧长###（用###直角三角形斜边###近似）的微分</t>
  </si>
  <si>
    <t>函数奇偶性补充</t>
  </si>
  <si>
    <t>奇函数的f(0)=###0###</t>
  </si>
  <si>
    <t>偶函数导数为###奇函数###，奇函数的原函数###一定###为偶函数</t>
  </si>
  <si>
    <t>奇函数导数为###偶函数###，偶函数的原函数###未必###为奇函数</t>
  </si>
  <si>
    <t>相同奇偶性相乘为###偶函数###</t>
  </si>
  <si>
    <t>偶函数乘偶函数为###偶函数###</t>
  </si>
  <si>
    <t>奇函数乘奇函数为###偶函数###</t>
  </si>
  <si>
    <t>偶函数乘奇函数为###奇函数###</t>
  </si>
  <si>
    <t>当###找不到处处有定义的趋向点去心邻域###时，极限无法求取（不是极限不存在）</t>
  </si>
  <si>
    <t>被积函数中两表达式和为定值的秒杀法</t>
  </si>
  <si>
    <t>假设用两个函数相加f(x)+g(x)，当###对其进行求导得0###时（某个包含求导的验证手段），可知二者和为一定值</t>
  </si>
  <si>
    <t>这个定值可以###随便找一个x代入（因为是定值，x取多少都一样）###来求解（估测）</t>
  </si>
  <si>
    <t>多用于对称区间的偶函数积分（偶函数→区间对折+被积函数叠加）</t>
  </si>
  <si>
    <t>验算&amp;选填秒杀法：抽象函数的特值法（符合题设条件构造一个最简单的函数作为f(x)）（无需作答）### ###</t>
  </si>
  <si>
    <t>多项式求根秒杀</t>
  </si>
  <si>
    <t>若各项系数和为0，则x=###1（把x=1代入可证）###为根</t>
  </si>
  <si>
    <t>若偶次项系数和与奇次项系数和相同，则###-1（把x=-1代入，两者抵消）###为根</t>
  </si>
  <si>
    <t>必有一根为###常数项的因子###</t>
  </si>
  <si>
    <t>多元函数极值判别式###AC-B^2###如果为0</t>
  </si>
  <si>
    <t>不是极值的情况</t>
  </si>
  <si>
    <t>可以找一个特殊的y=y(x)</t>
  </si>
  <si>
    <t>代入原式使得###f(x,y(0))的上下限超出f(x0,y0)###（(x0,y0)为极值候选点）</t>
  </si>
  <si>
    <t>是极值的情况？</t>
  </si>
  <si>
    <t>看到分式极限趋于0，如果分母趋于0，分子趋于###0###，而且是和分母###更高阶###（低阶/高阶/同阶/等价）的###无穷小###（无穷大/无穷小/常数）</t>
  </si>
  <si>
    <t>确定f(x0,y0)=0（f(x0,y0)=a）为极值点的方法（选择题，定义法证明点非极值）：</t>
  </si>
  <si>
    <t>如果f(x,y)能直接看出范围是最佳，但是不稳定（由于y和x都可以任取）</t>
  </si>
  <si>
    <t>找几个y=y(x)代入f(x,y)得到f1(x)、f2(x)、f3(x)...越多越明显</t>
  </si>
  <si>
    <t>如果f1(x)&gt;0，且f2(x)&lt;0，说明###有正有负###（f(x,y)的符号范围），f(x0,y0)###是中间值而非极值###（是否为极值？）</t>
  </si>
  <si>
    <t>推广：</t>
  </si>
  <si>
    <t>如果最大fn(x)比f(x0,y0)大，则f(x0,y0)###不是极大值###（是否为极大/极小值？）</t>
  </si>
  <si>
    <t>如果最小fm(x)比f(x0,y0)大，则f(x0,y0)###不是极小值###（是否为极大/极小值？）</t>
  </si>
  <si>
    <t>求f(x)的n阶导的几种做法</t>
  </si>
  <si>
    <t>归纳法：求1阶、2阶、3阶，找到规律从而写出n阶（注意，不是数学归纳！最少见的方法，一般不可能这么简单）</t>
  </si>
  <si>
    <t>莱布尼茨公式：(u*v)的n阶导=###Σ(k=0..n):C(n,k)*(u^(n-k))*v^(k)###（计算量最大的一种，而且u、v的n阶导也要求）</t>
  </si>
  <si>
    <t>C是组合数，C(n,k)=###n!/(k!*(n-k)!)###（上总下分）</t>
  </si>
  <si>
    <t>泰勒系数法：f在x0的n阶导就是f(x)泰展中###(x-x0)^n项的系数乘n!###（最常见的方法！重要！）</t>
  </si>
  <si>
    <t>递推法：类似归纳，但是求的是n阶和n-1阶的关系，再结合1阶导来证通项（类似数学归纳）</t>
  </si>
  <si>
    <t>重点在于求导的过程保留n-1阶的形式不要拆散</t>
  </si>
  <si>
    <t>然后可以从1阶导开始叠加求导产生的变化</t>
  </si>
  <si>
    <t>三次以上多项式因式分解</t>
  </si>
  <si>
    <t>基本方法</t>
  </si>
  <si>
    <t>试根，试出x=a时多项式p(x)=0（怎么快速试出）</t>
  </si>
  <si>
    <t>用###常数项的因数除最高次项系数的因数###去试###（注意，是因数而不只是拿它本身去试！）###</t>
  </si>
  <si>
    <t>上述方法在###根为无理数###的情况下会失效</t>
  </si>
  <si>
    <t>p(x)对(x-a)进行长除法得到新的p(x)</t>
  </si>
  <si>
    <t>重复上述操作直到余只剩下常数</t>
  </si>
  <si>
    <t>交叉相乘</t>
  </si>
  <si>
    <t>x^2+a*x+b分解为(c+x)(d+x)</t>
  </si>
  <si>
    <t>c、d满足###c+d=a且c*d=b###</t>
  </si>
  <si>
    <t>a*x^2+b*x+c分解为(d+e*x)(f+g*x)</t>
  </si>
  <si>
    <t>d*f=###c###且e*g=###a###且###d*g+e*f###=b</t>
  </si>
  <si>
    <t>待定系数法（最终手段，大计算量，包解）</t>
  </si>
  <si>
    <t>a1*x^n+a2*x^(n-1)+a3*x^(n-2)+...+an=</t>
  </si>
  <si>
    <t>(b1+c1*x)*(d1*x^(n-1)+d2*x^(n-2)+d3*x^(n-3)+...+dn-1)=</t>
  </si>
  <si>
    <t>(b1+c1*x)*(b2+c2*x)*(e1*x^(n-2)+e2*x^(n-3)+e3*x^(n-4)+...+en-2)=</t>
  </si>
  <si>
    <t>(b1+c1*x)*(b2+c2*x)*(b3+c3*x)*...*(bn+cn*x)</t>
  </si>
  <si>
    <t>注意sin(1/x)在x趋于0的问题</t>
  </si>
  <si>
    <t>sin(1/x)在x趋于0时，1/x趋于###无穷###，sin(1/x)###无限次上下震荡，遍历-1到1之间的所有值###</t>
  </si>
  <si>
    <t>首先由于###震荡###导致极限不存在，这是第一层</t>
  </si>
  <si>
    <t>其次由于###遍历-1到1之间所有值###，导致该式会等于###真0（非无穷小）###，这又导致该表达式###乘上任何其它表达式都为0###（对整体的影响）</t>
  </si>
  <si>
    <t>最后由于###真0的存在###，当它作为分母时，###无论去心邻域如何缩小，都存在分母为真0导致无定义的情况###，这样极限就无法求取</t>
  </si>
  <si>
    <t>海涅定理（归结定理）</t>
  </si>
  <si>
    <t>xn是满足两个条件的任意数列（特别注意是任意，存在特例不能推到函数极限）</t>
  </si>
  <si>
    <t>总有###xn≠a###（xn和a的关系）</t>
  </si>
  <si>
    <t>n趋于无穷时，xn趋###a###</t>
  </si>
  <si>
    <t>而且n趋于无穷时f(xn)=A</t>
  </si>
  <si>
    <t>那么x趋于a时，###f(x)趋于A###（对f的影响）</t>
  </si>
  <si>
    <t>点到直线的距离</t>
  </si>
  <si>
    <t>假设直线的方程为ax+by+c=0</t>
  </si>
  <si>
    <t>点到直线距离为###|ax+by+c|/sqrt(a^2+b^2)###</t>
  </si>
  <si>
    <t>代数运算夹带绝对值不方便，可以先求距离的###平方###把绝对值变成###平方###，分母根号也能消掉</t>
  </si>
  <si>
    <t>目标函数一阶偏导为0与约束方程联立却无实根的原因</t>
  </si>
  <si>
    <t>目标函数为点到直线的距离，一阶偏导为0的点即###到直线距离最短###的点（何参数取得最值）</t>
  </si>
  <si>
    <t>由图形分析可知###距离最短为0###（最值为何），即###该点必在直线上###（和直线的关系）</t>
  </si>
  <si>
    <t>但若约束方程与直线方程不相交，则###二者不存在交点###（二者的几何关系），不存在同时满足###约束成立又距离为0###的点</t>
  </si>
  <si>
    <t>总结起来这就是属于目标函数极点不在可行域（约束）内的情况</t>
  </si>
  <si>
    <t>这种情况下，极值必出现在###可行域（约束）的边界###上</t>
  </si>
  <si>
    <t>应把###约束方程###推出的###y=y(x)关系###代入###目标函数###，再重新计算###目标函数导数为0点###（代入导致消元）</t>
  </si>
  <si>
    <t>圆锥体积计算V=###底圆面积*高/3###</t>
  </si>
  <si>
    <t>背对背的两个同底面圆锥（三角形绕底边旋转）体积V=###底圆面积*(高1+高2)/3###</t>
  </si>
  <si>
    <t>###底圆面积S###=pi*旋转截面三角形的高^2，V=###(pi/3)*(旋转截面三角形的高^2)*(高1+高2)###（用左式表达）</t>
  </si>
  <si>
    <t>###高1+高2###=旋转截面三角形的底，V=###(pi/3)*(旋转截面三角形的高^2)*(旋转截面三角形的底)###（用左式表达）</t>
  </si>
  <si>
    <t>拉格朗日乘数法</t>
  </si>
  <si>
    <t>已知目标函数f(x,y,z)和约束g(x,y,z)=0</t>
  </si>
  <si>
    <t>列出拉格朗日函数l(x,y,z,λ)=###f(x,y,z)-λ*g(x,y,z)###</t>
  </si>
  <si>
    <t>对拉格朗日函数求###偏导为0###的方程组：###lx(x,y,z,λ)=0,ly(x,y,z,λ)=0,lz(x,y,z,λ)=0,lλ(x,y,z,λ)=0###</t>
  </si>
  <si>
    <t>求解上述方程组，得到解(x0,y0,z0)、(x1,y1,z1)...</t>
  </si>
  <si>
    <t>把解回代目标函数得到值，比较值大小，判断极大还是极小</t>
  </si>
  <si>
    <t>Stolz定理（离散版洛必达）</t>
  </si>
  <si>
    <t>*/∞型数列极限（分母yn趋+∞）</t>
  </si>
  <si>
    <t>分母yn###严格单增###（满足某种性态）</t>
  </si>
  <si>
    <t>0/0型数列极限（分子xn、分母yn趋0）</t>
  </si>
  <si>
    <t>分母yn###严格单减###（满足某种性态）</t>
  </si>
  <si>
    <t>n趋无穷时，xn/yn的极限等于###(xn+1-xn)/(yn+1-yn)###（关于xn和yn的表达式）的极限</t>
  </si>
  <si>
    <t>后者极限存在性：###存在或为±∞###</t>
  </si>
  <si>
    <t>闭区间连续函数的性质</t>
  </si>
  <si>
    <t>有界性：f(x)在[a,b]上连续→f(x)在[a,b]上###有上界M和下界m###</t>
  </si>
  <si>
    <t>最值定理：f(x)在[a,b]上连续→f(x)在[a,b]上有###最大最小值###</t>
  </si>
  <si>
    <t>介值定理：f(x)在[a,b]上连续，且###f(a)≠f(b)###→存在###(a,b)###上的x0，使得###min(f(a),f(b))&lt;f(x0)&lt;max(f(a),f(b))###</t>
  </si>
  <si>
    <t>零点定理：f(x)在[a,b]上连续，且###f(a)*f(b)&lt;0###→存在###(a,b)###上的x0，使###f(x0)=0###</t>
  </si>
  <si>
    <t>极值点的定义</t>
  </si>
  <si>
    <t>首先要求###这个点的邻域有定义###（回忆口诀）</t>
  </si>
  <si>
    <t>所以区间的端点，###无论区间开闭，都不可能是###极值点（一定是/可能是/不可能是）</t>
  </si>
  <si>
    <t>[a,b]上的极值点如果存在，也是在###(a,b)内###</t>
  </si>
  <si>
    <t>然后对于邻域内任何x都有###f(x)&lt;f(x0)###（极大）或###f(x)&gt;f(x0)###（极小），其中x0是极值点</t>
  </si>
  <si>
    <t>极值的两种可能性</t>
  </si>
  <si>
    <t>可导点，又叫做###驻点###，即###一阶导数为0###且左右邻域内###可导导数异号###的点</t>
  </si>
  <si>
    <t>不可导点，满足首先和然后两个要求</t>
  </si>
  <si>
    <t>多元函数极限存在性秒杀</t>
  </si>
  <si>
    <t>观察法</t>
  </si>
  <si>
    <t>x趋于0时，分子分母的等价多项式进行次数比较，分子比分母###高次###，极限必存在</t>
  </si>
  <si>
    <t>x趋于0时，分子分母的等价多项式进行次数比较，分子比分母###低次###，极限不存在</t>
  </si>
  <si>
    <t>公式法</t>
  </si>
  <si>
    <t>Lim(x-&gt;0,y-&gt;0):(x^p*y^q)/(x^m+y^n)</t>
  </si>
  <si>
    <t>m、n不全为偶数，极限必###不存在###</t>
  </si>
  <si>
    <t>m、n全为偶数，写出判别式###(p/m)+(q/n)###（p、q、m、n的表达式）：</t>
  </si>
  <si>
    <t>若判别式###大于1###，则极限存在且等于###0###</t>
  </si>
  <si>
    <t>若判别式###小于等于1###，则极限不存在</t>
  </si>
  <si>
    <t>以上方法可以对极限表达式的一部分使用（即可以凑出部分满足分式形式）</t>
  </si>
  <si>
    <t>分段函数分段点求导</t>
  </si>
  <si>
    <t>分别求###左导数###和###右导数###，确认两者###相等###，导数才存在</t>
  </si>
  <si>
    <t>一边极限###不存在###，或者均存在但###不相等###，导数也是不存在</t>
  </si>
  <si>
    <t>洛必达使用限制</t>
  </si>
  <si>
    <t>能不能变形</t>
  </si>
  <si>
    <t>条件一：满足构型</t>
  </si>
  <si>
    <t>条件二：###趋向点的去心邻域内###可导，且###分母求导不存在真0###</t>
  </si>
  <si>
    <t>条件三：变形后极限存在或###为无穷大###，其它情况特别是###震荡和跳跃###的情况下不能用</t>
  </si>
  <si>
    <t>能不能求解</t>
  </si>
  <si>
    <t>转变前，导函数必须有定义（条件二要求）</t>
  </si>
  <si>
    <t>转变后，###导函数极限可能不存在###的情况下，不能求</t>
  </si>
  <si>
    <t>###导函数连续###可以杜绝上述情况</t>
  </si>
  <si>
    <t>相似的，原极限存在，###不能###推变形后的极限存在</t>
  </si>
  <si>
    <t>斜渐近线y=kx+b的求法</t>
  </si>
  <si>
    <t>求斜率k</t>
  </si>
  <si>
    <t>求x趋###无穷###时，###f(x)/x###的极限</t>
  </si>
  <si>
    <t>求截距b</t>
  </si>
  <si>
    <t>求x趋###无穷###时，###f(x)-kx###的极限</t>
  </si>
  <si>
    <t>牛顿法</t>
  </si>
  <si>
    <t>假设存在一个f(x)=0的方程，但你死活都解不出来</t>
  </si>
  <si>
    <t>所以你退而求其次，猜测该方程有一个解为a</t>
  </si>
  <si>
    <t>对x=a时的f(x)求###切线方程###，求出###切线的x轴交点a2###，具体步骤如下：</t>
  </si>
  <si>
    <t>先列###f'(a)(x-a)+f(a)=y###</t>
  </si>
  <si>
    <t>后求###a2，使得f'(a)(a2-a)+f(a)=0###</t>
  </si>
  <si>
    <t>这个后求出的###a2###就是###下一次估算开始的点###</t>
  </si>
  <si>
    <t>但是牛顿法也有可能失效</t>
  </si>
  <si>
    <t>###f'(a)接近0###的情况下（f(x)的性态），###切线###几乎是横着（步骤1的影响），###零点会离开很远###（步骤2的影响），最终误差会变得非常大</t>
  </si>
  <si>
    <t>如果原方程的根不止一个，可能得到的不是想要的根</t>
  </si>
  <si>
    <t>近似可能越来越差（误差越来越大），比如f(x)=x^(1/3)</t>
  </si>
  <si>
    <t>碰到拐点可能导致###两个近似点来回逼近###</t>
  </si>
  <si>
    <t>伸缩j级数求和（第a到第b项的f(j)-f(j-1)如何求和）：###Σ(j=a..b):(f(j)-f(j-1))=f(b)-f(a-1)###</t>
  </si>
  <si>
    <t>一定要注意！绕轴旋转平移法要保证###平移前后图形和旋转轴的相对位置一致###，如果朝向相反也是###不行###的！！！</t>
  </si>
  <si>
    <t>如果旋转体的截面不是函数的定积分（换句话说，是函数曲线上方的部分）</t>
  </si>
  <si>
    <t>可以###采用体积差（倒模）的方法求解###（参考20240406笔记）</t>
  </si>
  <si>
    <t>均值不等式</t>
  </si>
  <si>
    <t>a^2+b^2###&gt;=2ab###，当且仅当###a=b###时###取等号###</t>
  </si>
  <si>
    <t>a+b###&gt;=2sqrt(ab)###，当且仅当###a=b###时###取等号###</t>
  </si>
  <si>
    <t>a+b+c###&gt;=3curt(abc)###，当且仅当###a=b=c###时###取等号###</t>
  </si>
  <si>
    <t>a1+a2+...+an###&gt;=n*(a1*a2*..*an)^(1/n)###，当且仅当###a1=a2=..=an###时###取等号###</t>
  </si>
  <si>
    <t>求导变量和积分变量连在一起作为被积函数，要先分离再求导</t>
  </si>
  <si>
    <t>乘积关系提到积分前面，比如Int(0,x):x*f(t)dt=###x*Int(0,x):f(t)dt###</t>
  </si>
  <si>
    <t>加减关系拆开，比如Int(0,x):(x+t)*f(t)dt=###x*Int(0,x):f(t)dt+Int(0,x):t*f(t)dt###</t>
  </si>
  <si>
    <t>在抽象函数的因变量里，要进行换元</t>
  </si>
  <si>
    <t>令u=###x-t###代入Int(0,x):f(x-t)dt得到###Int(0,x):f(u)du（区间再现）###</t>
  </si>
  <si>
    <t>令u=###tx###代入Int(0,x):f(tx)dt得到###(1/x)*Int(0,x):f(u)du###</t>
  </si>
  <si>
    <t>因式分解的未掌握公式</t>
  </si>
  <si>
    <t>完全立方</t>
  </si>
  <si>
    <t>(a+b)³=###a³+3a²b+3ab²+b³###</t>
  </si>
  <si>
    <t>(a-b)³=###a³-3a²b+3ab²-b³###</t>
  </si>
  <si>
    <t>完全n次方：(a+b)^n=###Σ(k=0..n):C(n,k)*(a^k)*(b^(n-k))###（二项式定理）</t>
  </si>
  <si>
    <t>立方差：（参考20240302）</t>
  </si>
  <si>
    <t>立方和：a³+b³=###(a+b)*(a²-ab+b²)###</t>
  </si>
  <si>
    <t>n次方差：a^n+b^n=###(a-b)*Σ(k=0..n-1):(b^k)*(a^(n-1-k))###</t>
  </si>
  <si>
    <t>|f(x)|的最值点和f(x)^2相同</t>
  </si>
  <si>
    <t>洛必达法则，分母为无穷时可以直接用，不需要看分子（无需作答）### ###</t>
  </si>
  <si>
    <t>隐函数求导时如果只含有因变量没有自变量，可以先###对因变量求导###，然后###乘上因变量对自变量求导###</t>
  </si>
  <si>
    <t>元素aij对应余子式Mij计算</t>
  </si>
  <si>
    <t>原行列式###挖掉第i行第j列###得到新的行列式</t>
  </si>
  <si>
    <t>新行列式的计算结果###乘上(-1)^(i+j)###即得Mij</t>
  </si>
  <si>
    <t>线性相关的向量组包含n个n维向量，则这n个向量组成的n阶方阵###不满秩###</t>
  </si>
  <si>
    <t>因此，该n阶方阵的行列式###为0###</t>
  </si>
  <si>
    <t>二重积分的割补法：###被积函数相同###的情况下，二重积分可以进行割补操作</t>
  </si>
  <si>
    <t>矩阵乘法AX=B直接用初等变换法</t>
  </si>
  <si>
    <t>常规做法，A'AX=A'B=X，所以要求A'</t>
  </si>
  <si>
    <t>A|E初等变换成E|A'，再求A'B</t>
  </si>
  <si>
    <t>直接初等变换，###A|B###变换成###E|X###，一步到位</t>
  </si>
  <si>
    <t>原因：</t>
  </si>
  <si>
    <t>A-&gt;E的初等行变换即###A'###，即###A'###A=E</t>
  </si>
  <si>
    <t>A|B-&gt;E|X相当于###A'###A=E，###A'###B=X</t>
  </si>
  <si>
    <t>利用齐次微分方程通解结构来记忆线性方程组的解法</t>
  </si>
  <si>
    <t>化行最简型</t>
  </si>
  <si>
    <t>求出非齐次特解</t>
  </si>
  <si>
    <t>设k个自由变量为###0###</t>
  </si>
  <si>
    <t>k个自由变量代入方程，得到1个非齐次特解</t>
  </si>
  <si>
    <t>求出齐次通解</t>
  </si>
  <si>
    <t>把增广列改为###0###（注意，非常重要！曾经做错过！）</t>
  </si>
  <si>
    <t>对k个自由变量设k个###正交值（(1,0,0,..),(0,1,0,..),(0,0,1,..)..）###</t>
  </si>
  <si>
    <t>（对应exp(λx)）k个###正交值###代入方程，得到k个###线性无关###的齐次特解</t>
  </si>
  <si>
    <t>（对应∑Ci*exp(λix)）上述k个齐次特解分别乘上系数Ci(i=1..k)，相加得到齐次通解</t>
  </si>
  <si>
    <t>含x不等式恒成立的一种思路</t>
  </si>
  <si>
    <t>把等式的右边###统统移到左边###，这样右边变成###0###</t>
  </si>
  <si>
    <t>然后左边整体###构造一个函数F(x)###，变成证明###F(x)始终大于或小于0###</t>
  </si>
  <si>
    <t>逆向思维：始终大于或小于0，即###需要最小大于或最大小于###</t>
  </si>
  <si>
    <t>特例分析：如果F(x)非单调，那么###求出极值点###，再###跟端点对比###</t>
  </si>
  <si>
    <t>极值求取：先用###F'(x)=0###求出###驻点###</t>
  </si>
  <si>
    <t>如果左右导数异号，那###就是极值点了###，否则###不是###</t>
  </si>
  <si>
    <t>端点对比：求取端点，然后跟极值比较，取最值</t>
  </si>
  <si>
    <t>特例分析：如果F(x)单调，那么###最小或最大必在一端###</t>
  </si>
  <si>
    <t>求出###对应一端的值###</t>
  </si>
  <si>
    <t>利用###F'(x)的符号###证明单调性</t>
  </si>
  <si>
    <t>必要时###递归操作###，用###F''(x)###来证明###F'(x)的符号###</t>
  </si>
  <si>
    <t>积分第一中值定理</t>
  </si>
  <si>
    <t>f(x)的要求：###在[a,b]上连续###</t>
  </si>
  <si>
    <t>g(x)的要求：###在[a,b]上连续且不变号###</t>
  </si>
  <si>
    <t>###[a,b]###上至少存在一个中值c</t>
  </si>
  <si>
    <t>使得Int(a,b):###f(x)*g(x)###dx=###f(c)*Int(a,b):g(x)dx###</t>
  </si>
  <si>
    <t>被积函数偶倍奇零</t>
  </si>
  <si>
    <t>若f(x)在[-a,a]上连续</t>
  </si>
  <si>
    <t>若f(x)为偶函数，则Int(-a,a):f(x)dx=###2*Int(0,a):f(x)dx###</t>
  </si>
  <si>
    <t>若f(x)为奇函数，则Int(-a,a):f(x)dx=###0###</t>
  </si>
  <si>
    <t>三角信号能量守恒定律</t>
  </si>
  <si>
    <t>f(x)在[0,1]上连续</t>
  </si>
  <si>
    <t>Int(0,π/2):f(sin(x))dx=###Int(0,π/2):f(cos(x))dx###（用cos表示）</t>
  </si>
  <si>
    <t>Int(0,π):f(sin(x))dx=2*Int(0,π/2):f(sin(x))dx</t>
  </si>
  <si>
    <t>换元移相：Int(0,π):f(sin(x))dx=###Int(-π/2,π/2):f(sin(x+π/2))dx###</t>
  </si>
  <si>
    <t>正余转换：Int(0,π):f(sin(x))dx=###Int(-π/2,π/2):f(cos(x))dx###</t>
  </si>
  <si>
    <t>偶倍奇零：Int(0,π):f(sin(x))dx=###2*Int(0,π/2):f(cos(x))dx###</t>
  </si>
  <si>
    <t>###f(cos(x))###（上式中的）是###偶###函数（奇偶性），与f(x)的奇偶性###无关###（有关/无关）</t>
  </si>
  <si>
    <t>能量守恒（结论）：Int(0,π):f(sin(x))dx=###2*Int(0,π/2):f(sin(x))dx###</t>
  </si>
  <si>
    <t>f(x)为偶函数，Int(0,π):f(cos(x))dx=2*Int(0,π/2):f(cos(x))dx</t>
  </si>
  <si>
    <t>换元移相：Int(0,π):f(cos(x))dx=###Int(-π/2,π/2):f(cos(x+π/2))dx###</t>
  </si>
  <si>
    <t>正余转换：Int(0,π):f(cos(x))dx=###Int(-π/2,π/2):f(-sin(x))dx###</t>
  </si>
  <si>
    <t>偶倍奇零：Int(0,π):f(cos(x))dx=###2*Int(0,π/2):f(sin(x))dx###</t>
  </si>
  <si>
    <t>f(x)为偶函数，推出###f(-sin(-x))=f(sin(x))=f(-sin(x))###，因此f(-sin(x))也为偶函数</t>
  </si>
  <si>
    <t>f(x)为奇函数，Int(0,π):f(cos(x))dx=0</t>
  </si>
  <si>
    <t>偶倍奇零：Int(0,π):f(cos(x))dx=###0###</t>
  </si>
  <si>
    <t>f(x)为奇函数，###f(-sin(-x))=f(sin(x))=-f(-sin(x))###→f(-sin(x))也为奇函数</t>
  </si>
  <si>
    <t>上述被积函数为###f(cos(x))###的积分式中，x^n作为f(x)时，根据###n的奇偶性###找出f(x)对应的奇偶性来计算</t>
  </si>
  <si>
    <t>只有n为###偶数###时才可以推到喷射公式进行计算</t>
  </si>
  <si>
    <t>喷射公式中被积三角函数的次数必须是###正整数###</t>
  </si>
  <si>
    <t>定积分估值定理（中值定理定理=估值+介值）</t>
  </si>
  <si>
    <t>闭区间[a,b]内的所有x都有m&lt;=f(x)&lt;=M</t>
  </si>
  <si>
    <t>则###m*(b-a)&lt;=Int(a,b):f(x)dx&lt;=M*(b-a)###</t>
  </si>
  <si>
    <t>2018数学一选择第四题</t>
  </si>
  <si>
    <t>题设条件：三个半径π/2的对称区间定积分比大小，其中一个被积函数是(1+x)/e^x</t>
  </si>
  <si>
    <t>已经完成：已经比出其中一对的大小关系</t>
  </si>
  <si>
    <t>较大一方积分为π+2*Int(0,π/2):sqrt(cos(x))，被积函数为1+sqrt(cos(x))</t>
  </si>
  <si>
    <t>较小一方积分为π，被积函数化简（偶倍奇零）后为1</t>
  </si>
  <si>
    <t>现在只差：(1+x)/e^x的大小未确定</t>
  </si>
  <si>
    <t>逆向思维：利用###积分不等式###，分别和###两个已化简被积函数###进行比较</t>
  </si>
  <si>
    <t>逆向思维：两个被积函数都含有1的部分，可先###让(1+x)/e^x和1相比###</t>
  </si>
  <si>
    <t>把(1+x)/e^x=1###左右同乘e^x（e^x恒大于零，不会逆转不等式）###再###把等号左侧移到右侧###，得到0=###e^x-(x+1)###</t>
  </si>
  <si>
    <t>问题转为看f(x)=###e^x-(x+1)###的符号</t>
  </si>
  <si>
    <t>求###一阶导###，发现###其零点为x=0，x&lt;0时为负，x&gt;0时为正###，推出###在x=0时f(x)取得极小###</t>
  </si>
  <si>
    <t>###f(0)=0###为f(x)的###极小###，说明f(x)###&gt;=0###</t>
  </si>
  <si>
    <t>f(x)###&gt;=0###说明###(1+x)/e^x&lt;=1###，并且仅在x=###0###时###等号成立###</t>
  </si>
  <si>
    <t>(1+x)/e^x除了在x=###0###时与((1+x)^2)/(1+x^2)###相等###，其余x取值时###都小于后者###</t>
  </si>
  <si>
    <t>因此剩余的这个为三者中的最小</t>
  </si>
  <si>
    <t>反常积分的极限判别法（对付非负）</t>
  </si>
  <si>
    <t>被积函数f(x)和设的g(x)均###非负###</t>
  </si>
  <si>
    <t>当x-&gt;a（瑕积分）或x-&gt;∞（无穷积分）时，f(x)和g(x)###同阶###（不一定是###无穷小###，也不需要###等价###）</t>
  </si>
  <si>
    <t>那么###Int(a,b):f(x)dx###与###Int(a,b):g(x)dx###同敛散（区别于下面含变限积分极限的等价）</t>
  </si>
  <si>
    <t>实战化改进</t>
  </si>
  <si>
    <t>无穷积分</t>
  </si>
  <si>
    <t>找一个###x^(-n)###，n的范围：###(1,∞)###，将其作为g(x)</t>
  </si>
  <si>
    <t>在x-&gt;∞时，若f(x)/g(x)的极限存在，二者同敛散</t>
  </si>
  <si>
    <t>由于Int(a,∞):x^(-n)dx必收敛（p积分），则Int(a,∞):f(x)dx必收敛</t>
  </si>
  <si>
    <t>瑕积分</t>
  </si>
  <si>
    <t>找一个###(x-a)^(-n)###，n的范围：###(0,1)###，其中a为瑕点，将其作为g(x)</t>
  </si>
  <si>
    <t>在x-&gt;a时，若f(x)/g(x)的极限存在，二者同敛散</t>
  </si>
  <si>
    <t>由于Int(a,b):(x-a)^(-n)dx必收敛（q积分），则Int(a,b):f(x)dx必收敛</t>
  </si>
  <si>
    <t>联系和区别反常积分的比较审敛法进行记忆</t>
  </si>
  <si>
    <t>比较审敛十五字口诀：###两者均非负，大收小必收，小散大必散###</t>
  </si>
  <si>
    <t>相同：###条件均非负###</t>
  </si>
  <si>
    <t>不同：极限法###若同阶则同敛散###，比较法###按口诀比大小###</t>
  </si>
  <si>
    <t>反常积分的绝对审敛法（对付有正有负）</t>
  </si>
  <si>
    <t>原理：无穷级数的绝对收敛概念应用到无穷区间的反常积分上</t>
  </si>
  <si>
    <t>如果###Int(a,b):|f(x)|dx###收敛，那么###Int(a,b):f(x)dx###必收敛</t>
  </si>
  <si>
    <t>如果###Int(a,b):f(x)dx###发散，那么###Int(a,b):|f(x)|dx###必发散</t>
  </si>
  <si>
    <t>含变限积分极限的直接等价</t>
  </si>
  <si>
    <t>如果上限是含x的函数h(x)和i(x)</t>
  </si>
  <si>
    <t>二者能满足：###h(x)~i(x)-&gt;0###</t>
  </si>
  <si>
    <t>且###h'(x)≠0、i'(x)≠0###</t>
  </si>
  <si>
    <t>那么###Int(a,h(x)):f(x)dx~Int(a,h(x)):g(x)dx~Int(a,i(x)):f(x)dx~Int(a,i(x)):g(x)dx###</t>
  </si>
  <si>
    <t>当a和b均大于0时，lim(x-&gt;0+):(x^a)*(ln(x)^b)=###0###</t>
  </si>
  <si>
    <t>穿根法画多项式函数草图</t>
  </si>
  <si>
    <t>由数轴最右端画平滑曲线</t>
  </si>
  <si>
    <t>从右到左依次经过数轴上表示各根的点</t>
  </si>
  <si>
    <t>先看###x趋于负无穷时的极限正负性###，决定起点是在数轴上面还是下面</t>
  </si>
  <si>
    <t>次数为###奇数###的根因式，比如###(x-a)、(x-a)^3###，从数轴穿过到另一边</t>
  </si>
  <si>
    <t>次数为###偶数###的根因式，比如###(x-a)^2、(x-a)^4###，擦过数轴上的根点而不穿过，回到同侧</t>
  </si>
  <si>
    <t>口诀：###奇穿偶不穿，符号看两端，一阶导为零，切线画水平###</t>
  </si>
  <si>
    <t>含绝对值函数的不可导点判别</t>
  </si>
  <si>
    <t>f(x)=(|x-x0|^k)*g(x),g(x)满足###g(x0)≠0###</t>
  </si>
  <si>
    <t>k满足关系式：###k&gt;1###，f'(x)在x0处有定义（f(x)在x0处可导）</t>
  </si>
  <si>
    <t>k满足关系式：###k&lt;=1###，f'(x)在x0处无定义（f(x)在x0处不可导）</t>
  </si>
  <si>
    <t>n阶导的奇偶性推论</t>
  </si>
  <si>
    <t>若f(x)为偶函数，f的奇数阶导数为###奇函数###，f的偶数阶导数为###偶函数###</t>
  </si>
  <si>
    <t>奇函数在x=0处为0，所以偶函数的麦克劳林级数只有###偶次项###</t>
  </si>
  <si>
    <t>若f(x)为奇函数，f的奇数阶导数为###偶函数###，f的偶数阶导数为###奇函数###</t>
  </si>
  <si>
    <t>奇函数在x=0处为0，所以奇函数的麦克劳林级数只有###奇次项###</t>
  </si>
  <si>
    <t>分段函数最多有几阶导？</t>
  </si>
  <si>
    <t>分段分别进行###泰勒展开###，看看###展开的第几次方项###在###分段处###具有###不同的系数###</t>
  </si>
  <si>
    <t>快速结论：f(x)在x0可导</t>
  </si>
  <si>
    <t>①h(x)在x0连续但不可导，则f(x)*h(x)在x0可导↔f(x0)=###0###</t>
  </si>
  <si>
    <t>g(x)=|f(x)|</t>
  </si>
  <si>
    <t>②f(x0)≠0，g(x)在x0处###可导###（说明f(x0)###不是###|f|的分段点，即x0###不是###g(x)的分段点）</t>
  </si>
  <si>
    <t>f(x0)=0</t>
  </si>
  <si>
    <t>③f'(x0)≠0，g(x)在x0处###不可导###（f(x)在x0左右导数不为0，加绝对值###导致左导数反号与右导数不等###，导数不存在）</t>
  </si>
  <si>
    <t>④f'(x0)=0，g(x)在x0处###可导###（f(x)在x0左右导数为0，加绝对值###不改变左导数，与右导数相等为0###，导数存在且###为0###）</t>
  </si>
  <si>
    <t>且g'(x0)###=0###</t>
  </si>
  <si>
    <t>如果一个函数F(x)是另一个函数f(x)的变限积分，即F(x)=Int(0,x):f(t)dt</t>
  </si>
  <si>
    <t>F(x)###连续###（连续/间断/可导/可微/可积/极限存在）</t>
  </si>
  <si>
    <t>f(x)有几种情况</t>
  </si>
  <si>
    <t>f(x)连续，那么F(x)###可导###，且###F'(x)###=f(x)（即F(x)是f(x)的###原函数###）</t>
  </si>
  <si>
    <t>f(x)第二类间断（极限至少一边不存在）：F(x)在x0可能可导，也可能不可导</t>
  </si>
  <si>
    <t>F(x)在x0可导，F'(x)=###用F(x)表示的导数极限定义式###</t>
  </si>
  <si>
    <t>F(x)在x0不可导，那就是不可导</t>
  </si>
  <si>
    <t>这种情况下f(x)和F(x)就没什么联系了</t>
  </si>
  <si>
    <t>f(x)第一类间断（极限存在）:</t>
  </si>
  <si>
    <t>可去（左右相等）：F(x)在x=x0###可导###，且###F'(x0)###=lim(x-&gt;x0):f(x)</t>
  </si>
  <si>
    <t>结合f(x)连续的情况考虑：F(x)的导数一定是###f(x)的极限###，如果极限和取值不同，看###前者###</t>
  </si>
  <si>
    <t>跳跃（左右不等）：不可导</t>
  </si>
  <si>
    <t>因为###左右极限不相等###，x0点处f(x)的极限###不存在###</t>
  </si>
  <si>
    <t>导数定阶（导数无穷小n阶→原函数无穷小n+1阶）是###错误###（成立/错误）的，比如：###f(x)=exp(x)###</t>
  </si>
  <si>
    <t>原位求斜渐近线法：</t>
  </si>
  <si>
    <t>把f(x)变形为g(x)+h(x)，即f(x)=g(x)+h(x)，其中g(x)=###k*x+b###</t>
  </si>
  <si>
    <t>只要确保###Lim(x-&gt;∞):h(x)=0###，则可认为g(x)是f(x)的斜渐近线</t>
  </si>
  <si>
    <t>分部积分表格法</t>
  </si>
  <si>
    <t>制表</t>
  </si>
  <si>
    <t>列出两列，左边要求导，右边要积分</t>
  </si>
  <si>
    <t>被积函数看成f(x)*g'(x)，把###f(x)###写在求导列，把###g'(x)###写在积分列</t>
  </si>
  <si>
    <t>然后竖向每一行都是###上一行对应的求导或积分（看位于哪列）###</t>
  </si>
  <si>
    <t>求导列的奇数行标###正号###，偶数行标###负号###</t>
  </si>
  <si>
    <t>一直写到###求导列最后一行是0###为止</t>
  </si>
  <si>
    <t>用表</t>
  </si>
  <si>
    <t>每次选取###求导列的一个表达式###，再选择###下一行积分列的表达式###</t>
  </si>
  <si>
    <t>记录###两个表达式相乘的乘积###</t>
  </si>
  <si>
    <t>重复上述操作直到###求导列的最后一行###</t>
  </si>
  <si>
    <t>然后把之前记录的###全部加起来###就是结果</t>
  </si>
  <si>
    <t>遇到产生循环的情况</t>
  </si>
  <si>
    <t>制表：步骤大致类似，但可以手动刹车</t>
  </si>
  <si>
    <t>用表：</t>
  </si>
  <si>
    <t>到达###刹车（最后）###的那一行</t>
  </si>
  <si>
    <t>把该行的###求导列表达式###和###积分列表达式###进行###相乘###</t>
  </si>
  <si>
    <t>这次先###加上积分符号和被积变量微元###再记录</t>
  </si>
  <si>
    <t>最后还是###全部加起来###就是结果，只不过还包含了###一个积分###在里面</t>
  </si>
  <si>
    <t>被积函数含有###ln(x)###、###arctan(x)###这种无法###积分###而且###越求导越复杂###的表达式建议不要用表格法</t>
  </si>
  <si>
    <t>中值取什么区间</t>
  </si>
  <si>
    <t>介值定理：介值c取###开区间(a,b)###，f(c)取###开区间(min(f(a),f(b)),max(f(a),f(b)))###</t>
  </si>
  <si>
    <t>零点定理：零点c取###开区间(a,b)###</t>
  </si>
  <si>
    <t>罗尔定理：中值c取###开区间(a,b)###</t>
  </si>
  <si>
    <t>拉格朗日定理：中值c取###开区间(a,b)###</t>
  </si>
  <si>
    <t>积分中值：中值c取###闭区间[a,b]###</t>
  </si>
  <si>
    <t>总结：除了###积分中值###其它都是###开区间###</t>
  </si>
  <si>
    <t>常见反常积分敛散性1</t>
  </si>
  <si>
    <t>伽马函数（γ函数）：参考本日笔记第9行</t>
  </si>
  <si>
    <t>p积分：参考20240302</t>
  </si>
  <si>
    <t>q积分：</t>
  </si>
  <si>
    <t>被积函数：1/((x-a)^q)</t>
  </si>
  <si>
    <t>积分区间：###a到b###</t>
  </si>
  <si>
    <t>###0&lt;q&lt;1###时收敛，###1&lt;=q###时发散</t>
  </si>
  <si>
    <t>###q&lt;=0###时不是反常积分</t>
  </si>
  <si>
    <t>常见反常积分敛散性2</t>
  </si>
  <si>
    <t>对数p积分：</t>
  </si>
  <si>
    <t>被积函数：###1/(x*(ln(x)^p)###</t>
  </si>
  <si>
    <t>积分区间：###a到正无穷###（a&gt;1）</t>
  </si>
  <si>
    <t>###p&gt;1###时收敛，###p&lt;=1###时发散</t>
  </si>
  <si>
    <t>对数p积分的变种：</t>
  </si>
  <si>
    <t>被积函数：###1/((x^p)*(ln(x)^q))###</t>
  </si>
  <si>
    <t>积分区间：###1到正无穷###</t>
  </si>
  <si>
    <t>###p&gt;1且q&lt;1###时收敛</t>
  </si>
  <si>
    <t>常见反常积分敛散性3</t>
  </si>
  <si>
    <t>1/((x^a)+(x^b))：</t>
  </si>
  <si>
    <t>被积函数：1/((x^a)+(x^b))</t>
  </si>
  <si>
    <t>积分区间：###0到正无穷###</t>
  </si>
  <si>
    <t>###a、b能把1框住###时收敛</t>
  </si>
  <si>
    <t>即满足不等式：###min(a,b)&lt;1&lt;max(a,b)###</t>
  </si>
  <si>
    <t>ln(x)^k：</t>
  </si>
  <si>
    <t>被积函数：ln(x)^k</t>
  </si>
  <si>
    <t>积分区间：###0到1###</t>
  </si>
  <si>
    <t>###k&gt;-1###时收敛</t>
  </si>
  <si>
    <t>常见反常积分敛散性4</t>
  </si>
  <si>
    <t>e^(-x)*sin(x)或e^(-x)*cos(x)：</t>
  </si>
  <si>
    <t>被积函数：e^(-x)*sin(x)或e^(-x)*cos(x)</t>
  </si>
  <si>
    <t>必定收敛，因为：</t>
  </si>
  <si>
    <t>不定积分后结果为###e^(-x)*(sin(x)±cos(x))/2###</t>
  </si>
  <si>
    <t>趋于0时等于###±1###</t>
  </si>
  <si>
    <t>趋于正无穷时：</t>
  </si>
  <si>
    <t>e^(-x)趋于正无穷时趋于###0###</t>
  </si>
  <si>
    <t>而sin或cos趋无穷是###有界###</t>
  </si>
  <si>
    <t>###有界###乘###无穷小###还是###无穷小###</t>
  </si>
  <si>
    <t>所以趋于正无穷###也趋于0###</t>
  </si>
  <si>
    <t>极限相减，结果为###-(±1)###，必定收敛</t>
  </si>
  <si>
    <t>全微分法直接求微分（不用求偏导）</t>
  </si>
  <si>
    <t>核心：碰到符号就当成自变量，不管它和其它自变量的关系</t>
  </si>
  <si>
    <t>法则：</t>
  </si>
  <si>
    <t>d(f(x))=###f'(x)dx###   dC=###0###   d(x+y)=###dx+dy###</t>
  </si>
  <si>
    <t>d(x*y)=d(f(x,y))=###(df/dx)*dx+(df/dy)*dy###=###y*dx+x*dy###</t>
  </si>
  <si>
    <t>d(f(x,y)*g(x,y))=###g(x,y)*d(f(x,y))+f(x,y)*d(g(x,y))###</t>
  </si>
  <si>
    <t>解题：拿到一个关于z(x,y)的等式F(x,y,z)=0，要求dz|(x0,y0)</t>
  </si>
  <si>
    <t>思路：</t>
  </si>
  <si>
    <t>把###(x0,y0)###代入###F(x,y,z)=0###，求出###z0###</t>
  </si>
  <si>
    <t>两边分别全微分（注意和求偏导不同！），得到全微分方程G(x,y,z)=0</t>
  </si>
  <si>
    <t>把###(x0,y0,z0)###代入###G(x,y,z)=0###，列出###含有dx、dy、dz的函数H(dx,dy,dz)###，满足H=0</t>
  </si>
  <si>
    <t>把###dz###集中到方程H等号一边，用###dx和dy###表示###dz###，这就是在###点(x0,y0,z0)###处z的全微分了</t>
  </si>
  <si>
    <t>积分因子法（直观理解）</t>
  </si>
  <si>
    <t>y'+P(x)*y=Q(x)为非齐次微分方程</t>
  </si>
  <si>
    <t>P(x)为齐次项因子中以x为自变量的函数</t>
  </si>
  <si>
    <t>关键点：积分因子f(x)就是###exp(Int:P(x)dx)###</t>
  </si>
  <si>
    <t>用的时候，原式左右同乘这个因子f(x)</t>
  </si>
  <si>
    <t>左边出现【###y'f(x)+y*f'(x)###】的形式，即【###(f(x)*y)'###】</t>
  </si>
  <si>
    <t>左右同时###积分###，再同时###除积分因子f(x)###</t>
  </si>
  <si>
    <t>会发现左边是###y###，右边正好是###公式法的公式###，即###(Int:Q(x)*f(x)dx+C)/f(x)###</t>
  </si>
  <si>
    <t>微分方程解的结构补充（原版参考20240322）</t>
  </si>
  <si>
    <t>n阶齐次找###n###个###线性无关###的解，把它们###乘上n个系数再相加###得到齐次通解</t>
  </si>
  <si>
    <t>非齐A方程特1-非齐A方程特2=###齐A方程特（没有系数C）###</t>
  </si>
  <si>
    <t>n阶非齐次A有n个特解y1,y2,...,yn</t>
  </si>
  <si>
    <t>如果C1*y1+C2*y2+...+Cn*yn也是非齐次A的解，则###C1+C2+...+Cn=1###</t>
  </si>
  <si>
    <t>如果C1*y1+C2*y2+...+Cn*yn是A对应的齐次解，则###C1+C2+...+Cn=0###</t>
  </si>
  <si>
    <t>极坐标一重积分旋转公式（二重积分公式参考20240308）</t>
  </si>
  <si>
    <t>过原点任意轴：V=###(2*π/3)*Int(α,β):(r(θ)^3)*sin(θ-φ)dθ###，φ为过原点旋转轴与x轴（极轴）的夹角</t>
  </si>
  <si>
    <t>绕x轴：V=###(2*π/3)*Int(α,β):(r(θ)^3)*sin(θ)dθ###，φ=###0###</t>
  </si>
  <si>
    <t>绕y轴：V=###(2*π/3)*Int(α,β):(r(θ)^3)*cos(θ)dθ###，φ=###-pi/2###</t>
  </si>
  <si>
    <t>口诀速记1</t>
  </si>
  <si>
    <t>无###双侧###不极值</t>
  </si>
  <si>
    <t>积分不换元，###上下不换限###</t>
  </si>
  <si>
    <t>积分非初等函数###≠###被积函数不可积</t>
  </si>
  <si>
    <t>常函数的###每个点都###是极值点，因此常函数的极值点有###无穷多###个</t>
  </si>
  <si>
    <t>口诀速记2</t>
  </si>
  <si>
    <t>严格单调函数###必###存在反函数</t>
  </si>
  <si>
    <t>特征值对应基础解系中解的个数=###n-r###，k重特征值至多只有###k个线性无关###的特征向量</t>
  </si>
  <si>
    <t>间断点破坏原函数存在性，无界破坏可积性</t>
  </si>
  <si>
    <t>只有###定###积分能判定可积性</t>
  </si>
  <si>
    <t>口诀速记3</t>
  </si>
  <si>
    <t>可积必###有界###</t>
  </si>
  <si>
    <t>要化标准型或规范型的二次型如果配过方，要试下###是否可逆###，天上不会掉馅饼</t>
  </si>
  <si>
    <t>克拉默法则只能求解###非齐次###的线性方程，因此###特征向量的求取###不可使用克拉默法则</t>
  </si>
  <si>
    <t>累加的积分等于###积分的累加###（Σ:Int:f(x)dx=###Int:Σ:f(x)dx###）</t>
  </si>
  <si>
    <t>口诀速记4</t>
  </si>
  <si>
    <t>整体的积分等于###展开的积分###等于###积分的展开###（f(x)=Σ:g(x),Int:f(x)=###Int:Σ:g(x)dx###=###Σ:Int:g(x)dx###）</t>
  </si>
  <si>
    <t>连续###未必###可导，可导###一定###连续</t>
  </si>
  <si>
    <t>点和邻域没有关系，极限和连续都是n-1阶才一定有的东西</t>
  </si>
  <si>
    <t>mij不一定是矩阵第i行第j列，也可能是倒过来的，要注意题目条件</t>
  </si>
  <si>
    <t>答疑整理1</t>
  </si>
  <si>
    <t>积分因子推出一阶非齐次方程的公式只需要###括号内部###加C，所有不定积分计算可以###不留C###</t>
  </si>
  <si>
    <t>k阶顺序主子式：即###前k行k列元素###构成方阵的行列式</t>
  </si>
  <si>
    <t>无界与是否存在极限没有必然联系</t>
  </si>
  <si>
    <t>三角函数趋无穷时###极限不存在###，但它是###有界###函数，即###有界极限不一定存在###</t>
  </si>
  <si>
    <t>反比例函数趋于无穷时###极限趋于0存在###，但它是###无界###函数，即###极限存在不一定有界###</t>
  </si>
  <si>
    <t>瑕积分可以用比较审敛，但是要确保###瑕点相同###</t>
  </si>
  <si>
    <t>答疑整理2</t>
  </si>
  <si>
    <t>实对称阵相似对角化为什么需要对特征向量做单位正交化</t>
  </si>
  <si>
    <t>实对称阵的性质：均可###相似对角化###（即###除了对角元是特征值外其它位置都是0###）</t>
  </si>
  <si>
    <t>实对称阵在相似对角化中所用的Q都是###正交矩阵###</t>
  </si>
  <si>
    <t>即Q'=###Q^T###，且列向量（###特征向量###）互相###正交###、长度为###1###（正交阵定义）</t>
  </si>
  <si>
    <t>左右导数是不是导数的左右极限</t>
  </si>
  <si>
    <t>左右导数是###导数定义的极限形式###将趋向点###改为单侧趋近后###的结果</t>
  </si>
  <si>
    <t>导数的左右极限是对###导数的函数式###求###单点的左右极限###的结果</t>
  </si>
  <si>
    <t>隐函数求导求出y'可以包含y</t>
  </si>
  <si>
    <t>真题求极限时自变量用n意味着n是###自然数###，趋于无穷等于###趋于正无穷###</t>
  </si>
  <si>
    <t>答疑整理3</t>
  </si>
  <si>
    <t>第二类间断点除了无穷和震荡间断点还有其它分类吗</t>
  </si>
  <si>
    <t>只要一边无穷，不管另一边是不是无穷（甚至可能是震荡），这个都是###无穷间断点###</t>
  </si>
  <si>
    <t>有哪些函数和对应点的左右极限不同</t>
  </si>
  <si>
    <t>比如本来这里是一个连续函数，抠掉这一点的取值，强制给它赋值一个其它值（类似分段函数）</t>
  </si>
  <si>
    <t>可积性的定义是###定积分的极限形式###存在极限</t>
  </si>
  <si>
    <t>变限积分可导性定理（参考20240423第17行）</t>
  </si>
  <si>
    <t>答疑整理4</t>
  </si>
  <si>
    <t>n-&gt;∞时数列{xn}-&gt;0则称这个数列是无穷小量</t>
  </si>
  <si>
    <t>绝对值之积等于###积的绝对值###</t>
  </si>
  <si>
    <t>数列Xn具有有界性的含义：###min&lt;=Xn&lt;=max###</t>
  </si>
  <si>
    <t>分奇偶数类讨论：奇数类的情况+偶数类的情况=###全体整数类的情况###</t>
  </si>
  <si>
    <t>答疑整理5</t>
  </si>
  <si>
    <t>第一数学归纳法</t>
  </si>
  <si>
    <t>归纳奠基：证明###当n=1###时命题成立；</t>
  </si>
  <si>
    <t>归纳假设：假设###当n=k###时命题成立；</t>
  </si>
  <si>
    <t>归纳递推：由归纳假设推出###当n=k+1###时命题也成立．</t>
  </si>
  <si>
    <t>求极限及时把整体的非零因子提出</t>
  </si>
  <si>
    <t>数列的单调有界证极限存在使用先斩后奏时记得###把代数方程求出的A回代###验证###单调性###</t>
  </si>
  <si>
    <t>陷阱反例：Xn+1=sin(Xn)（###递推式出现周期函数###可能会破坏单调性）</t>
  </si>
  <si>
    <t>可去间断点不会产生垂直渐近线</t>
  </si>
  <si>
    <t>答疑整理6</t>
  </si>
  <si>
    <t>什么是单调？什么是有界？</t>
  </si>
  <si>
    <t>单调性：</t>
  </si>
  <si>
    <t>∀x1，x2∈D且x1&gt;x2，都有###f(x1)&gt;f(x2)###（单调增加）</t>
  </si>
  <si>
    <t>∀x1，x2∈D且x1&gt;x2，都有###f(x1)&lt;f(x2)###（单调减少）</t>
  </si>
  <si>
    <t>有界性：</t>
  </si>
  <si>
    <t>若存在两个常数m和M，使函数y=f(x),x∈D 满足###m≤f(x)≤M###,x∈D</t>
  </si>
  <si>
    <t>则称函数y=f(x)在D有界，其中###m###是它的下界，###M###是它的上界</t>
  </si>
  <si>
    <t>U上面一个o是指###去心邻域###</t>
  </si>
  <si>
    <t>f(x) o g(x)是指###函数f和函数g构成的复合函数f(g(x))###，f o g###≠###g o f（等于或不等于）</t>
  </si>
  <si>
    <t>对角矩阵的对角矩阵可以是零矩阵</t>
  </si>
  <si>
    <t>答疑整理7</t>
  </si>
  <si>
    <t>A伴=###|A|*A逆###</t>
  </si>
  <si>
    <t>(k*A)逆=###A逆/k###</t>
  </si>
  <si>
    <t>(k*A)伴=|k*A|*(k*A)逆=</t>
  </si>
  <si>
    <t>|k*A|*A逆/k=###(k^n)*|A|*A逆/k###=###(k^(n-1))*|A|*A逆###=(k^(n-1))*A伴</t>
  </si>
  <si>
    <t>(k*A)伴=###(k^(n-1))*A伴###</t>
  </si>
  <si>
    <t>函数嵌套###可以###用等价无穷小，###不能###用非零因子代入</t>
  </si>
  <si>
    <t>错题总结20221120</t>
  </si>
  <si>
    <t>相减得到被减数的低阶无穷小↔###减数和被减数等价###</t>
  </si>
  <si>
    <t>平方后等价不意味着原式等价，比如###-x和x不等价，只能说是同阶###（举例）</t>
  </si>
  <si>
    <t>导数存在只能推出###点连续###，而连续则可推出邻域内与点同号（连续→###极限存在###→###保号性###）</t>
  </si>
  <si>
    <t>矩阵关系：</t>
  </si>
  <si>
    <t>B=PAQ，即AB###等价###，###秩###相同</t>
  </si>
  <si>
    <t>B=P'AP，即AB###相似###，###特征值和秩###相同</t>
  </si>
  <si>
    <t>B=PtAP，即AB###合同###，###惯性指数和秩###相同</t>
  </si>
  <si>
    <t>###等价###包含###相似、合同###，###相似###不一定###合同###，###合同###不一定###相似###</t>
  </si>
  <si>
    <t>###A、B都是实对称阵###的前提下，相似必合同，反之不一定</t>
  </si>
  <si>
    <t>f'(x0)连续说明f(x)在x0点的###单调性###可以扩展到x0点的邻域</t>
  </si>
  <si>
    <t>f''(x0)连续说明f(x)在x0点的###凹凸性###可以扩展到x0点的邻域</t>
  </si>
  <si>
    <t>线性方程组解的情况判定：</t>
  </si>
  <si>
    <t>①：系数阵行列式非0→###有唯一解（齐次只有零解）###</t>
  </si>
  <si>
    <t>②：系数阵行列式为0→###可能有无穷多或无解###</t>
  </si>
  <si>
    <t>③：系数阵行列式为0，系数阵阶梯型全0行对应增广列元素非0→###无解###</t>
  </si>
  <si>
    <t>④：系数阵行列式为0，系数阵阶梯型全0行对应增广列元素均0→###多解###</t>
  </si>
  <si>
    <t>错题总结20221119</t>
  </si>
  <si>
    <t>二重积分转极坐标时θ角的积分范围：（无需作答）### ###</t>
  </si>
  <si>
    <t>①：要检查隐含在区域边界方程的条件</t>
  </si>
  <si>
    <t>②：边界方程左右侧是否具有不等式关系</t>
  </si>
  <si>
    <t>错题总结20221118</t>
  </si>
  <si>
    <t>累次极限和重极限的关系</t>
  </si>
  <si>
    <t>若一种顺序的累次极限与重极限都存在，二者###必相等###</t>
  </si>
  <si>
    <t>若两种顺序的累次极限与重极限都存在，三者###必相等###</t>
  </si>
  <si>
    <t>若两种顺序的累次极限存在但不等时，重极限###一定不###存在</t>
  </si>
  <si>
    <t>若两种顺序的累次极限存在且相等时，重极限###不一定###存在</t>
  </si>
  <si>
    <t>若重极限存在，累次极限###不一定###存在</t>
  </si>
  <si>
    <t>代数余子式A12不为0，直接得出列向量134无关</t>
  </si>
  <si>
    <t>第一行第二列挖掉剩下3列组成行列式</t>
  </si>
  <si>
    <t>行列式不为0，行列式列向量###线性无关###</t>
  </si>
  <si>
    <t>3个3维列向量无关，分别增加一个维度###依然无关###</t>
  </si>
  <si>
    <t>合同矩阵的性质</t>
  </si>
  <si>
    <t>反身性：任意矩阵都与###其自身###合同。</t>
  </si>
  <si>
    <t>对称性：如果矩阵A合同于矩阵B，则###矩阵B也合同于矩阵A###。</t>
  </si>
  <si>
    <t>传递性：如果矩阵A合同于矩阵B，且矩阵B合同于矩阵C，则###矩阵A合同于矩阵C###。</t>
  </si>
  <si>
    <t>合同矩阵的秩相等：如果矩阵A合同于矩阵B，则它们的###秩###相等，即###r(A)=r(B)###。这是因为两个合同的矩阵具有相同的###行空间###和###列空间###。</t>
  </si>
  <si>
    <t>合同矩阵的惯性相等：如果矩阵A合同于矩阵B，则它们的惯性指数相等，即###正特征值###的个数、###零特征值###的个数以及###负特征值###的个数都相同。</t>
  </si>
  <si>
    <t>实对称矩阵的特性：###实对称###矩阵总能通过合同变换对角化，且在变换过程中保持其###对称###性。</t>
  </si>
  <si>
    <t>可相似对角化的条件</t>
  </si>
  <si>
    <t>直接：###n个无关特征向量###</t>
  </si>
  <si>
    <t>利用：不同特征值对应的特征向量###必无关###</t>
  </si>
  <si>
    <t>策略：###找到n个不同的特征值###</t>
  </si>
  <si>
    <t>如果分块后不含0矩阵则不用分块矩阵计算</t>
  </si>
  <si>
    <t>错题总结20221117</t>
  </si>
  <si>
    <t>伴随矩阵与原矩阵的秩的关系</t>
  </si>
  <si>
    <t>①：A满秩，A*###满秩###</t>
  </si>
  <si>
    <t>②：A秩=n-1，A*秩=###1###</t>
  </si>
  <si>
    <t>③：A秩&lt;n-1，A*秩=###0###</t>
  </si>
  <si>
    <t>矩阵多项式与矩阵特征值的多项式的关系</t>
  </si>
  <si>
    <t>矩阵|特征值|特征向量</t>
  </si>
  <si>
    <t>A|λ|x</t>
  </si>
  <si>
    <t>A+kE|###λ+k###|###x###</t>
  </si>
  <si>
    <t>A逆|###1/λ###|###x###</t>
  </si>
  <si>
    <t>A伴|###|A|/λ###|###x###</t>
  </si>
  <si>
    <t>A^n|###λ^n###|###x###</t>
  </si>
  <si>
    <t>P逆AP|###λ###|###P逆*x###</t>
  </si>
  <si>
    <t>向量组等价=组的###秩###相等且合并后组的###秩###不变</t>
  </si>
  <si>
    <t>求相似矩阵的变换阵P使得P'AP=B：</t>
  </si>
  <si>
    <t>①：先求出P1使得P1'AP1=C（C为###只有对角元为A、B特征值其余为0###的矩阵）</t>
  </si>
  <si>
    <t>②：P1列向量为###A对应几个λi###的特征向量（即系数阵为###A-λiE###的齐次方程的###解向量###）</t>
  </si>
  <si>
    <t>③：再求出P2使得P2'BP2=C（C为###只有对角元为A、B特征值其余为0###的矩阵）</t>
  </si>
  <si>
    <t>④：P2列向量为###B对应几个λi###的特征向量（即系数阵为###B-λiE###的齐次方程的###解向量###）</t>
  </si>
  <si>
    <t>⑤：由于AB相似所以P1'AP1=P2'BP2=C→###P2P1'AP1P2'###=B=P'AP→###P2P1'###=P</t>
  </si>
  <si>
    <t>错题总结20220303</t>
  </si>
  <si>
    <t>如果某函数可导或连续，计算时要尽可能将部分表示式化成其函数值或导数定义的结构（无需作答）### ###</t>
  </si>
  <si>
    <t>错题总结20220217</t>
  </si>
  <si>
    <t>两个无极限函数相加可能会得到有极限函数，反过来不能随意分拆函数（无需作答）### ###</t>
  </si>
  <si>
    <t>错题总结20220207</t>
  </si>
  <si>
    <t>数列极限un-&gt;a，则|un|-&gt;###|a|###</t>
  </si>
  <si>
    <t>水平渐近线和斜渐近线趋一侧无穷时极限存在时###存在一条渐近线###，如果趋两侧无穷极限不同，则###有2条渐近线###</t>
  </si>
  <si>
    <t>如果一侧有斜渐近线就###没有水平渐近线###，有水平渐近线就###没有斜渐近线###</t>
  </si>
  <si>
    <t>求n阶导一般方法参考20240413第15行，如果是求定点的n=k阶导，还有一种做法</t>
  </si>
  <si>
    <t>保留难###求导###且容易###复现###的表达式的###求导符号###，不做###展开变形###，等全部列出后###用复现部分对消###</t>
  </si>
  <si>
    <t>全部列出后，观察因式是否会###在定点处为0###</t>
  </si>
  <si>
    <t>如果会，被因式乘上的待求导表达式###不用计算直接当0###</t>
  </si>
  <si>
    <t>如果不会，则需要对带求导表达式做展开计算</t>
  </si>
  <si>
    <t>积分求解的积木法</t>
  </si>
  <si>
    <t>寻找积木</t>
  </si>
  <si>
    <t>###分母###（最直接）</t>
  </si>
  <si>
    <t>###分母的导数###（凑微分）</t>
  </si>
  <si>
    <t>###分母部分表达式的导数###（凑微分不完全版）</t>
  </si>
  <si>
    <t>###分母因式###（因式分解）</t>
  </si>
  <si>
    <t>###分母因式乘某个表达式###（因式分解拓展版）</t>
  </si>
  <si>
    <t>总结：都###和分母有关系###</t>
  </si>
  <si>
    <t>把###分子###转化成###积木的线性组合###</t>
  </si>
  <si>
    <t>分拆###被积函数###成###多个简化分式###求积分</t>
  </si>
  <si>
    <t>当f(x)&gt;g(x)恒成立时</t>
  </si>
  <si>
    <t>如果Lim(x-&gt;x0):g(x)=+∞，那么Lim(x-&gt;x0):f(x)###必定等于+∞###</t>
  </si>
  <si>
    <t>如果Lim(x-&gt;x0):g(x)=-∞，那么Lim(x-&gt;x0):f(x)###可能存在，也可能不存在极限###（即###任意的可能性###）</t>
  </si>
  <si>
    <t>非区间边界的函数最值###一定###是极值，但极值###未必###是最值（除非是###凸函数###）</t>
  </si>
  <si>
    <t>中值定理证明题</t>
  </si>
  <si>
    <t>分析结论，若是与一个中值有关，考虑用###零点###或###罗尔###定理</t>
  </si>
  <si>
    <t>再看结论中与中值有关的等式，若含中值的表达式中有求导，则考虑使用###罗尔###定理</t>
  </si>
  <si>
    <t>否则使用###零点###定理</t>
  </si>
  <si>
    <t>要证明二阶导存在零点，有三个方向</t>
  </si>
  <si>
    <t>确定三个点的###函数值###相等</t>
  </si>
  <si>
    <t>确定两个点的###函数值###相等，再有一个点的###一阶导###为0</t>
  </si>
  <si>
    <t>确定两个点的###一阶导###相等</t>
  </si>
  <si>
    <t>基于微分学的不等式证明</t>
  </si>
  <si>
    <t>利用单调性</t>
  </si>
  <si>
    <t>处理不等式，移项目到一边构造f(x)，变成证明###f(x)的符号正负性###</t>
  </si>
  <si>
    <t>判断f(x)的###单调性###</t>
  </si>
  <si>
    <t>利用f(x)的###单调性###和已知条件形成不等式</t>
  </si>
  <si>
    <t>利用凹凸性</t>
  </si>
  <si>
    <t>如果不等式具有f(###(x1+x2)/2###)大等于或小等于###(f(x1)+f(x2))/2###的结构</t>
  </si>
  <si>
    <t>可利用f在[x1,x2]上的凹凸性完成证明</t>
  </si>
  <si>
    <t>如果不等式涉及曲线、切线、两点的弦（连线）值，可以利用凹凸的几何性</t>
  </si>
  <si>
    <t>f为凹：###两点弦值&gt;曲线值&gt;切线值###（大小关系）</t>
  </si>
  <si>
    <t>f为凸：###两点弦值&lt;曲线值&lt;切线值###（大小关系）</t>
  </si>
  <si>
    <t>如果函数在一个区间上为凸/凹</t>
  </si>
  <si>
    <t>用直线连接区间的两个端点</t>
  </si>
  <si>
    <t>这个函数在该区间的取值都###在这条直线上/下###</t>
  </si>
  <si>
    <t>即：f(x)###&gt;=/&lt;=((x-a)*(f(b)-f(a))/(b-a))+f(a)###</t>
  </si>
  <si>
    <t>推广到端点取值相等：f(x)###&gt;=/&lt;=f(a)=f(b)###</t>
  </si>
  <si>
    <t>利用拉格朗日中值定理：不等式中出现"###&lt;f(b)-f(a)&lt;###"（信号）</t>
  </si>
  <si>
    <t>利用最值</t>
  </si>
  <si>
    <t>抓大小头：趋0时抓###小###头，趋∞抓###大###头</t>
  </si>
  <si>
    <t>三角函数一拱的面积是###1###，每个周期有###4###拱</t>
  </si>
  <si>
    <t>在(0,π/2)上，sin(x)###&lt;###x</t>
  </si>
  <si>
    <t>数列极限存在性证明（单调有界证明）</t>
  </si>
  <si>
    <t>如果题目没给，要自己求出###数列的递推关系式###</t>
  </si>
  <si>
    <t>先斩后奏，知道###当n趋无穷时的an极限###大概是多少</t>
  </si>
  <si>
    <t>证明数列an有界（数学归纳法）</t>
  </si>
  <si>
    <t>证明###a1满足界###</t>
  </si>
  <si>
    <t>假设###ak满足界###</t>
  </si>
  <si>
    <t>推###ak+1满足界###</t>
  </si>
  <si>
    <t>用###an+1-an?0###或###an+1/an?1###证明单调性</t>
  </si>
  <si>
    <t>即###f(an)?0###，把有界性的结论即###an的范围###代入f推出</t>
  </si>
  <si>
    <t>不需要求出通项即可证明！</t>
  </si>
  <si>
    <t>极限比较审敛法扩展（基本参考20240422）</t>
  </si>
  <si>
    <t>Lim(x-&gt;a):f(x)/g(x)=c</t>
  </si>
  <si>
    <t>c=0时，g(x)###收敛###，则f(x)###收敛###</t>
  </si>
  <si>
    <t>c=∞时，g(x)###发散###，则f(x)###发散###</t>
  </si>
  <si>
    <t>反常积分的周期均值定理</t>
  </si>
  <si>
    <t>f(t)是存在最小正周期T的广义可积周期函数</t>
  </si>
  <si>
    <t>反常积分均值=###Lim(x-&gt;∞):Int(0,x):f(t)dt/x###=###Int(0,T):f(t)dt/T###</t>
  </si>
  <si>
    <t>求取整函数的极限</t>
  </si>
  <si>
    <t>多用###夹逼###，即利用[x]和x的大小关系</t>
  </si>
  <si>
    <t>###[x]&lt;=x&lt;[x]+1###（取整夹）</t>
  </si>
  <si>
    <t>###x-1&lt;[x]&lt;=x###（夹取整）</t>
  </si>
  <si>
    <t>常见函数的泰勒展开通项系数（必须得背了！）</t>
  </si>
  <si>
    <t>1/(1-x)=Σ###1###*x^n（n从0开始，下同）</t>
  </si>
  <si>
    <t>exp(x)=Σ###1/n!###*x^n</t>
  </si>
  <si>
    <t>ln(x+1)=Σ###((-1)^n)/(n+1)###*x^(n+1)（常数项为0）</t>
  </si>
  <si>
    <t>sin(x)=Σ###((-1)^(n))/(2n+1)!###*x^(2n+1)（奇函数）</t>
  </si>
  <si>
    <t>cos(x)=Σ###((-1)^(n))/(2n)!###*x^(2n)（偶函数）</t>
  </si>
  <si>
    <t>tan(x)=###1###*x+###1/3###*x^2+###2/15###*x^3+o(x^3)（只要记到三次）</t>
  </si>
  <si>
    <t>arctan(x)=Σ###((-1)^(n))/(2n+1)###*x^(2n+1)（奇函数）</t>
  </si>
  <si>
    <t>洛后震荡但本身极限存在的反例</t>
  </si>
  <si>
    <t>洛必达后振荡：分子分母导数抵消后出现###未被无穷小吸收的有界振荡###</t>
  </si>
  <si>
    <t>本身极限存在：分子分母抵消后不会出现###未被无穷小吸收的有界振荡###</t>
  </si>
  <si>
    <t>举例验证条件：x趋0时的(x^2)*sin(1/x)/x</t>
  </si>
  <si>
    <t>满足第一条件：分别对分子分母求导，分母为###1###，分子为###2*x*sin(1/x)-cos(1/x)###</t>
  </si>
  <si>
    <t>分子分母抵消等于###分子###，其中###2*x*sin(1/x)的震荡被x吸收，-cos(1/x)未被吸收###，造成有界振荡（满足第一条件）</t>
  </si>
  <si>
    <t>满足第二条件：(x^2)*sin(1/x)/x（抵消前）=###x*sin(1/x)###（抵消后）</t>
  </si>
  <si>
    <t>x趋0时###sin(1/x)造成的有界振荡被x吸收###（满足第二条件）</t>
  </si>
  <si>
    <t>二阶导定义的极限形式里一阶导不能直接把它定义的极限形式放在里面（无需作答）### ###</t>
  </si>
  <si>
    <t>灌肠式洛必达（计算题可以直接洛的原因，类似还有极限的加减）</t>
  </si>
  <si>
    <t>已知洛后极限必存在，那么###等号###必然成立</t>
  </si>
  <si>
    <t>可以用###已知原极限的值###推出###洛必达后极限的值###</t>
  </si>
  <si>
    <t>(x+1)^a（其它函数看20240511）的泰勒展开通项系数：###1###+Σ###a*(a-1)*..*(a-n+1)/n!###*x^n（n从1开始，注意不是从0开始）</t>
  </si>
  <si>
    <t>sin(n*π+a)=###((-1)^n)###*sin(a)</t>
  </si>
  <si>
    <t>二次型标准化基本原理</t>
  </si>
  <si>
    <t>二次型X是关于变量x的二次多项式的系数矩阵，###xTXx###可表示二次多项式</t>
  </si>
  <si>
    <t>每一个二次型都可以通过满足###Px=y###的可逆坐标变换P得到一个纯二次项的二次型，即二次标准型</t>
  </si>
  <si>
    <t>二次标准型Y是由x坐标变换到y后的二次多项式，###yTYy###可表示坐标变换后的二次多项式</t>
  </si>
  <si>
    <t>因此可以列写公式###yTYy=(Px)TYPx=xTPTYPx=xTXx###，即二次型X和标准型Y具有关系###PTYP=X###</t>
  </si>
  <si>
    <t>二次型配方法的同步变换变种</t>
  </si>
  <si>
    <t>先写出二次型X，在下面写一个###同阶单位阵###</t>
  </si>
  <si>
    <t>对二次型进行变换，变换的目的是###把除主对角线外的其它元素都化成0###，即变成Y</t>
  </si>
  <si>
    <t>###列###（行/列）做什么变换，###行###（行/列）就做什么变换（先后），先###列###（行/列）后###行###（行/列）</t>
  </si>
  <si>
    <t>二次型做什么###列###（行/列）变换，###下方单位阵###就做什么###列###（行/列）变换（同时），注意，不做###行###（行/列）变换</t>
  </si>
  <si>
    <t>最后###下方单位阵###变换的结果就是###PTYP=X的PT（P为正交变换时PT也是P逆）###</t>
  </si>
  <si>
    <t>和传统配方法的区别：</t>
  </si>
  <si>
    <t>正常配方法：按序分别给x1,x2,..,xn配平方，配方阵即Px=y的P</t>
  </si>
  <si>
    <t>正常配方法求完P，为了用y表示x还需要求P逆使得x=P逆y，在P是正交变换的情况下，即求PT</t>
  </si>
  <si>
    <t>而同步变换###[PX|E]PT=[Y|PT]###（同步变换的运算原理式）直接求###PT###，少了###求逆###</t>
  </si>
  <si>
    <t>A左乘B即###A作为左侧乘上B###（A作为左侧乘上B/A在其左边乘上B），右乘同理</t>
  </si>
  <si>
    <t>变换矩阵左乘A对应对A进行###行变换###，变换矩阵右乘对应对A进行###列变换###</t>
  </si>
  <si>
    <t>二重积分对称性</t>
  </si>
  <si>
    <t>如果积分区域D沿y=x对称，则Int2D(D):f(x,y)dxdy=###Int2D(D):f(y,x)dxdy###=###(Int2D(D):f(y,x)+f(x,y)dxdy)###/2</t>
  </si>
  <si>
    <t>如果还满足###f(x,y)=f(y,x)###，那么Int2D(D):f(x,y)dxdy=###2*Int2D(D2):f(x,y)dxdy###，其中D2是沿y=x对称的D的一半区域</t>
  </si>
  <si>
    <t>区域对称与奇偶性</t>
  </si>
  <si>
    <t>区域沿y轴对称看f(x,y)对###x###是否具有奇偶性，奇函数###抵消###，偶函数###双倍###</t>
  </si>
  <si>
    <t>区域沿x轴对称看f(x,y)对###y###是否具有奇偶性，奇函数###抵消###，偶函数###双倍###</t>
  </si>
  <si>
    <t>区域沿原点对称看f(x,y)对###xy###是否具有奇偶性，奇函数###抵消###，偶函数###双倍###</t>
  </si>
  <si>
    <t>原点对称：(x0,y0)和(-x0,-y0)</t>
  </si>
  <si>
    <t>线A、B、C围成的面积指的是###图像中仅剩下A、B、C存在###时###所有出现的封闭形状###的面积</t>
  </si>
  <si>
    <t>如果此时对A、B、C中任意一线存在不与其它线相交的封闭形状D</t>
  </si>
  <si>
    <t>这个D###也###（不/也）算在围成的面积中</t>
  </si>
  <si>
    <t>无限个非零因子不能直接代入！（无需作答）### ###</t>
  </si>
  <si>
    <t>x换元f(x)从而衍生的泰勒展开要注意x前面系数有无，当多出系数时要做提公因处理（无需作答）### ###</t>
  </si>
  <si>
    <t>常见不可导的几种类型</t>
  </si>
  <si>
    <t>间断点：可导一定连续，不连续###一定###不可导</t>
  </si>
  <si>
    <t>绝对值：左右导数均存在但不同，比如###|x|###</t>
  </si>
  <si>
    <t>垂切线：导数趋无穷大的，比如###ln(x)###</t>
  </si>
  <si>
    <t>极限保号性：Lim(x-&gt;a):f(x)=A</t>
  </si>
  <si>
    <t>若A&gt;0，则f(x)###在x=a的去心邻域内恒正###</t>
  </si>
  <si>
    <t>若A&lt;0，则f(x)###在x=a的去心邻域内恒负###</t>
  </si>
  <si>
    <t>适当利用保号性可去掉绝对值号</t>
  </si>
  <si>
    <t>信号：看到有极限大于或小于0</t>
  </si>
  <si>
    <t>可用于已知单调或凹凸的函数判断函数符号</t>
  </si>
  <si>
    <t>cos不能大于1，所以有一些含cos的极限可能只有单侧存在极限（无需作答）### ###</t>
  </si>
  <si>
    <t>三类求取抽象函数的套路题</t>
  </si>
  <si>
    <t>g(x)等于具体函数，g(f(x))等于另一具体函数</t>
  </si>
  <si>
    <t>换元###h(t)=x###使得###f(x)=t###，即g(t)=###g(f(x))###得到###关于t###的具体函数</t>
  </si>
  <si>
    <t>f'(x)等于具体函数（可能包含f(x)本身）</t>
  </si>
  <si>
    <t>具体函数不含f(x)采用###直接积分###求解，含f(x)的话列###微分方程###求解</t>
  </si>
  <si>
    <t>可以用###导数定义或求导公式###转化f(x)得到f'(x)对应的具体函数</t>
  </si>
  <si>
    <t>n阶可导函数如果在某点一直到第k阶导数才不为0，且k为###偶数###（奇数/偶数），那么该点为函数的极值点</t>
  </si>
  <si>
    <t>不可导连续函数用定义法确定是否为极值时可以利用###极限的保号性###</t>
  </si>
  <si>
    <t>题目给出一个x趋x0时包含连续函数f(x)的具体极限，可能等于某个数值A</t>
  </si>
  <si>
    <t>先求出f(x)的极限B，根据###连续性###得到###f(x0)=B###</t>
  </si>
  <si>
    <t>再求出f(x)在x0去心邻域具有的数值范围</t>
  </si>
  <si>
    <t>根据###保号性###，这个包含f(x)的极限表达式就和###0###具有与###A###相同的大小关系</t>
  </si>
  <si>
    <t>通过不等式变形得到f(x)和某一具体值C的关系式</t>
  </si>
  <si>
    <t>通过B和C的大小关系推出f(x)和f(x0)的大小关系</t>
  </si>
  <si>
    <t>如果f(x)&gt;C</t>
  </si>
  <si>
    <t>f(x0)=B&gt;C，f(x)###可能小于f(x0)，也可能大于f(x0)###，x0###不一定###为f(x)极### ###值点</t>
  </si>
  <si>
    <t>f(x0)=B&lt;C，f(x)###必大于f(x0)###，x0###一定###为f(x)的极###小###值点</t>
  </si>
  <si>
    <t>如果f(x)&lt;C</t>
  </si>
  <si>
    <t>f(x0)=B&lt;C，f(x)###可能小于f(x0)，也可能大于f(x0)###，x0###不一定###为f(x)极### ###值点</t>
  </si>
  <si>
    <t>f(x0)=B&gt;C，f(x)###必小于f(x0)###，x0###一定###为f(x)的极###大###值点</t>
  </si>
  <si>
    <t>一阶不可导但是是拐点和极值点的例子：鲨鱼鳍形的函数（无需作答）### ###</t>
  </si>
  <si>
    <t>但是可导函数不能同时为拐点和极值点（无需作答）### ###</t>
  </si>
  <si>
    <t>曲率半径是曲率的倒数，曲线的曲率半径就是曲率圆的半径，因此曲率就是曲率圆的半径的倒数（无需作答）### ###</t>
  </si>
  <si>
    <t>f(x)连续，则Int(0,π):x*f(sin(x))dx=###(π/2)*Int(0,π):f(sin(x))dx###</t>
  </si>
  <si>
    <t>Int(0,π):x*f(sin(x))dx=###Int(0,π):(π-x)*f(sin(π-x))dx###（区间再现）</t>
  </si>
  <si>
    <t>=###Int(0,π):π*f(sin(x))dx###-###Int(0,π):x*f(sin(x))dx###</t>
  </si>
  <si>
    <t>=###(π/2)*Int(0,π):f(sin(x))dx###（A=B-A，则###A=B/2###）</t>
  </si>
  <si>
    <t>如果矩阵A存在非零的齐次解，即|A|=0</t>
  </si>
  <si>
    <t>因为A*A=|A|*E，则A*A=0*E=A*[ac1,ac2,ac3]=M0（零矩阵），其中ac1、ac2、ac3是矩阵A第一、第二、第三列的列向量</t>
  </si>
  <si>
    <t>则A*ac1=A*ac2=A*ac3=V0（零向量），即A的列向量是其伴随矩阵A*的齐次解，即Ax=0的x（无需作答）### ###</t>
  </si>
  <si>
    <t>当满足下列三个条件时，极限中的Int(0,φ(x)):f1(t)dt可以等价为Int(0,φ(x)):f2(t)dt</t>
  </si>
  <si>
    <t>1.被积函数f1(x)、f2(x)在###点x=0的某邻域###上###连续###</t>
  </si>
  <si>
    <t>2.###Lim(x-&gt;0):f1(x)/f2(x)=1###（等价无穷小定义）</t>
  </si>
  <si>
    <t>3.积分上限φ(x)在x趋于0时###趋于0###，存在令φ(x)###处处可导###的###x=0的去心邻域###，且φ'(x)在该区域内###不等于0###</t>
  </si>
  <si>
    <t>已知含f(x)等式和f(x)的第n阶导正负性，证明x=x0时f(x)满足某不等式</t>
  </si>
  <si>
    <t>先在###x0点###对f(x)做###泰勒展开###，直到###拉格朗日余项为n阶###</t>
  </si>
  <si>
    <t>由于###拉格朗日余项###的因式除###f(x)的第n阶导###外均正，###拉格朗日余项###的正负性###由第n阶导决定###</t>
  </si>
  <si>
    <t>f(x)和###展开式去掉n阶拉格朗日余项的部分###存在大小关系，构成不等式</t>
  </si>
  <si>
    <t>不等式左右同时变换，以###左侧还原为题设含f(x)等式###为目标</t>
  </si>
  <si>
    <t>把###题设含f(x)等式###替换不等式左侧</t>
  </si>
  <si>
    <t>整理、分离###不等式右侧的f(x0)###，即证明x=x0时f(x)满足某不等式</t>
  </si>
  <si>
    <t>方向导数的极限定义形式</t>
  </si>
  <si>
    <t>设函数 f(x, y) 在点 P(x0, y0) 的某个邻域内有定义</t>
  </si>
  <si>
    <t>且点 P 沿着方向向量 v = (a, b) 可微</t>
  </si>
  <si>
    <t>存在一个数 L，使得当 t 趋近于 0 时，下面的极限存在：</t>
  </si>
  <si>
    <t>lim(t→0):###[f(x0+at,y0+bt)-f(x0,y0)]/t###=L</t>
  </si>
  <si>
    <t>当出现很复杂的抽象矩阵运算表达式，可以用字母替换法（同构运算）快速化简</t>
  </si>
  <si>
    <t>矩阵加减就是字母加减，与代数加减一致</t>
  </si>
  <si>
    <t>矩阵相乘就是字母相乘，但不满足###交换律###</t>
  </si>
  <si>
    <t>矩阵求逆就是求字母表达式对应的###倒数###</t>
  </si>
  <si>
    <t>遇到伴随矩阵可以化成###矩阵的逆除以矩阵的行列式###</t>
  </si>
  <si>
    <t>积分的绝对值小于等于绝对值的积分（无需作答）### ###</t>
  </si>
  <si>
    <t>因为绝对值会使负的变成正的，这样只会累积不会减小</t>
  </si>
  <si>
    <t>旋转体侧面积公式：S=###2π*Int(xa,xb):f(x)**sqrt(f'(x)²+1)dx###</t>
  </si>
  <si>
    <t>曲线f(x)从xa到xb之间的曲线绕x轴旋转一周形成的旋转体的侧面积</t>
  </si>
  <si>
    <t>注意：如果和x轴不相交就只是侧面面积！</t>
  </si>
  <si>
    <t>巧记：被积函数为###f(x)弧长公式的被积函数乘上f(x)自身###，积分后再乘2π</t>
  </si>
  <si>
    <t>质心(xcom,ycom)公式：</t>
  </si>
  <si>
    <t>xcom=###Int2D(D):x*ρ(x,y)dxdy/Int2D(D):ρ(x,y)dxdy###</t>
  </si>
  <si>
    <t>ycom=###Int2D(D):y*ρ(x,y)dxdy/Int2D(D):ρ(x,y)dxdy###</t>
  </si>
  <si>
    <t>D为有质量的封闭区域，ρ为该区域的密度分部</t>
  </si>
  <si>
    <t>当密度均匀时ρ=1，公式退化为：</t>
  </si>
  <si>
    <t>xcom=###Int2D(D):xdxdy/Int2D(D):1dxdy###</t>
  </si>
  <si>
    <t>ycom=###Int2D(D):ydxdy/Int2D(D):1dxdy###</t>
  </si>
  <si>
    <t>信号：积分题目看到出现ln(x+sqrt(x²+a²)</t>
  </si>
  <si>
    <t>对x###换元x=-t###，再用“自相抵消法”得到###2*ln(a)###</t>
  </si>
  <si>
    <t>自相抵消法：</t>
  </si>
  <si>
    <t>经典例子：三角函数乘指数函数的积分</t>
  </si>
  <si>
    <t>由于分部积分无论对哪个求导都###不会简化式子###，而且会重复###变形出原式###</t>
  </si>
  <si>
    <t>因此在###原式重复出现###后，需把###原式都移到同侧###再求解</t>
  </si>
  <si>
    <t>推广规律：积分A变形过程中出现积分A的另一形式B，A可以用###(A+B)/2###求解</t>
  </si>
  <si>
    <t>连续函数的极限存在，那么将x替换成n*T得到的数列也收敛，反之不成立（无需作答）### ###</t>
  </si>
  <si>
    <t>斜渐近线代替原函数：当x满足斜渐近线的渐进方向（±∞）时</t>
  </si>
  <si>
    <t>趋于∞时，原函数和斜渐近线函数是###等价无穷大###，二者相差###一个等价无穷小###</t>
  </si>
  <si>
    <t>因此在趋于无穷时，f(x)/x等价于###g(x)/x###即渐近线的###斜率###，其中g(x)是f(x)的渐近线函数</t>
  </si>
  <si>
    <t>特例：f(x)全区间可导的情况下：</t>
  </si>
  <si>
    <t>f(x)/x使用###洛必达###得到###f'(x)的极限###</t>
  </si>
  <si>
    <t>由于f'(x)全区间连续，f'(x)的极限必###存在###</t>
  </si>
  <si>
    <t>洛必达后极限存在，则新极限与原极限等号成立，即###lim(x-&gt;∞):f'(x)=k###，其中k为斜渐近线的斜率</t>
  </si>
  <si>
    <t>ε-δ语言+极限保号性：当x足够大（趋正无穷）/小（趋负无穷）时，f'(x) 保持与k相同的符号</t>
  </si>
  <si>
    <t>矩阵A的特征值为λ1、λ2、λ3，那么A伴随即A*的特征值为###|A|/λ1###、###|A|/λ2###、###|A|/λ3###</t>
  </si>
  <si>
    <t>由于|A|=###λ1*λ2*λ3###（用λ1、λ2、λ3表示），因此A伴随即A*的特征值也可写作###λ1*λ2###、###λ2*λ3###、###λ1*λ3###</t>
  </si>
  <si>
    <t>若x0是f(x)的零点，那么f(x)*g(x)整体在x0处的导数，即(f(x0)*g(x0))'=###f'(x0)*g(x0)###</t>
  </si>
  <si>
    <t>曲率相关</t>
  </si>
  <si>
    <t>曲率越大，曲线就越###弯曲###</t>
  </si>
  <si>
    <t>曲率半径是###曲率圆###的半径，是曲率的###倒数###</t>
  </si>
  <si>
    <t>曲率圆的在曲率取值点的斜率等于###原曲线在该点处的斜率###</t>
  </si>
  <si>
    <t>包含逆矩阵的运算</t>
  </si>
  <si>
    <t>矩阵逆的转置等于###矩阵转置的逆###</t>
  </si>
  <si>
    <t>ABC的逆等于###C逆B逆A逆###，也就是###每个因矩阵的逆的逆序相乘###</t>
  </si>
  <si>
    <t>正定矩阵的性质</t>
  </si>
  <si>
    <t>正定的各阶主子式（包括行列式）###均大于0###</t>
  </si>
  <si>
    <t>特征值###均为正###</t>
  </si>
  <si>
    <t>主对角线元素###均为正###</t>
  </si>
  <si>
    <t>如果一个函数的导数表达式是f(x)，那么这个函数以变限积分的形式来表示：###(Int(0,x):f(t)dt)+C###</t>
  </si>
  <si>
    <t>如果以这个函数为被积函数，对x进行求积分，那么实际上是对###t和x###做###二次积分###</t>
  </si>
  <si>
    <t>非齐次线性方程组无解，则它的秩具有性质：###矩阵的秩与增广矩阵的秩不相等，即r(A,B)≠r(A)###</t>
  </si>
  <si>
    <t>齐次线性方程组必有解，因为###无论怎样都有0解###</t>
  </si>
  <si>
    <t>看到求矩阵的k次幂，就要想到这是利用相似对角化（无需作答）### ###</t>
  </si>
  <si>
    <t>含抽象函数选择题的选项，一般来说要用###特例或反例###做###排除###</t>
  </si>
  <si>
    <t>直接推导只能推###正确###（正确/错误）的情况</t>
  </si>
  <si>
    <t>###不正确###的情况###不一定###和题设条件冲突，也可能只是###存在和题设条件兼容的反例###</t>
  </si>
  <si>
    <t>含有函数的数列极限：若数列xn收敛到x0，且f(x)连续，则数列f(xn)收敛到###f(x0)###</t>
  </si>
  <si>
    <t>矩阵A相似于对角阵B，即###P逆AP=B###</t>
  </si>
  <si>
    <t>则B的###对角元###就是A的###特征值###</t>
  </si>
  <si>
    <t>相似变换P的###列向量###就是对应###特征值###的###特征向量###</t>
  </si>
  <si>
    <t>若A与B相似，则λE-A与λE-B也相似，其中λ是A和B的特征值（无需作答）### ###</t>
  </si>
  <si>
    <t>如果选择题存在抽象函数和它自身的导数有已知的大小关系时，可以考虑采用###指数函数的变形###来构造特例</t>
  </si>
  <si>
    <t>如果f(x)&gt;f'(x)，则f(x)可以采用特例###exp(a*x)###，其中a###&lt;1###（a的范围）</t>
  </si>
  <si>
    <t>如果f(x)&lt;f'(x)，则f(x)可以采用特例###exp(a*x)###，其中a###&gt;1###（a的范围）</t>
  </si>
  <si>
    <t>向量拼接对线性相关性的影响：###整体###相关则###部分###相关，###部分###无关则###整体###无关</t>
  </si>
  <si>
    <t>分块上/下三角矩阵的行列式等于###对角分块行列式之积###</t>
  </si>
  <si>
    <t>sec(t)^3的循环积分：###sec(t)*sec(t)²→sec(t)*tan(t)²→sec(t)*(sec(t)²-1)###</t>
  </si>
  <si>
    <t>等价/合同/相似矩阵的性质</t>
  </si>
  <si>
    <t>等价矩阵的###秩###相等（这个性质合同/相似矩阵也有）</t>
  </si>
  <si>
    <t>合同矩阵的###正负惯性指数###相等（合同矩阵特有）</t>
  </si>
  <si>
    <t>相似矩阵的###特征值###和###特征向量###相等（相似矩阵特有）</t>
  </si>
  <si>
    <t>若均实对称，相似必###合同###，否则不能推</t>
  </si>
  <si>
    <t>画不出图的曲线可以用描点法来画出草图</t>
  </si>
  <si>
    <t>一般选择常见数值，比如0和1组合后代入x、y（无需作答）### ###</t>
  </si>
  <si>
    <t>极坐标方程r=r(θ)在α&lt;θ&lt;β之间围住有界区域的面积公式：A=###Int(α,β):(r(θ)²)/2dθ###</t>
  </si>
  <si>
    <t>初等变换对应矩阵乘法</t>
  </si>
  <si>
    <t>得到变换矩阵：对应的变换应用到###单位阵###上</t>
  </si>
  <si>
    <t>决定左右乘：行变换对应###左###乘，列变换对应###右###乘</t>
  </si>
  <si>
    <t>分块矩阵乘法把分块看成元素，然后和一般的矩阵乘法一样，结果对应位置的分块等于###左行右列的矩阵内积###</t>
  </si>
  <si>
    <t>非可逆线性变换的结果不能作为二次标准型（有时题目给你凑好的大概率是非可逆的变换）（无需作答）### ###</t>
  </si>
  <si>
    <t>已知数列an敛散情况，求数列f(an)敛散情况</t>
  </si>
  <si>
    <t>利用归结原理：lim:f(an)=###f(lim:an)###</t>
  </si>
  <si>
    <t>如果是已知f(an)，反推an，那么当###f逆存在###（关于f的某个条件成立）时可以利用###f逆(f(an))###=an</t>
  </si>
  <si>
    <t>欧拉方程（###ax²D(y,x)²+bxD(y,x)+cy###=f(x)）转常系数微分方程</t>
  </si>
  <si>
    <t>令x=###exp(t)###，则t=###ln(x)###，那么dt/dx=###1/x###</t>
  </si>
  <si>
    <t>D(y,x)=###(dy/dt)*(dt/dx)###=###(dy/dt)/x=D(y,t)/x###</t>
  </si>
  <si>
    <t>D(y,x)²=###(dD(y,x)/dt)*(dt/dx)###=###(d((dy/dt)/x)/dt)/x=((D(y,t)²*x-D(y,t)*x)/x³=((D(y,t)²-D(y,t))/x²###</t>
  </si>
  <si>
    <t>原方程变为：###a(D(y,t)²-D(y,t))+b(D(y,t))+cy###=f(exp(t))</t>
  </si>
  <si>
    <t>可以凑导数定义的题型（无需作答）### ###</t>
  </si>
  <si>
    <t>△y/△x</t>
  </si>
  <si>
    <t>f(x+y)=f(x)+f(y)</t>
  </si>
  <si>
    <t>f(x+y)=f(x)*f(y)</t>
  </si>
  <si>
    <t>f(xy)=f(x)+f(y)</t>
  </si>
  <si>
    <t>f(xy)=f(x)*f(y)</t>
  </si>
  <si>
    <t>数列极限存在的完备性</t>
  </si>
  <si>
    <t>最常见的情况，奇偶完备：###lim(n→∞):a[n]=a↔lim(n→∞):a[2*n-1]=lim(n→∞):a[2*n]=a###</t>
  </si>
  <si>
    <t>推广的情况，模m同余：###lim(n→∞):a[n]=a↔lim(n→∞):a[m*n-(m-1)]=lim(n→∞):a[m*n-(m-2)]=...=lim(n→∞):a[m*n]=a###</t>
  </si>
  <si>
    <t>递推函数法确定数列单调性</t>
  </si>
  <si>
    <t>已知递推关系a[n+1]=f(a[n])</t>
  </si>
  <si>
    <t>若f'(x)&gt;=0，则数列###单调###</t>
  </si>
  <si>
    <t>若a1&gt;=a2，则数列###单调递减###</t>
  </si>
  <si>
    <t>若a1&lt;=a2，则数列###单调递增###</t>
  </si>
  <si>
    <t>若f'(x)&lt;0，则数列###一增一减（奇数列和偶数列单调且单调性相反）###</t>
  </si>
  <si>
    <t>常见不等式</t>
  </si>
  <si>
    <t>||x|-|y||###&lt;=###|x±y|, |x|+|y|###&gt;=###|x±y|</t>
  </si>
  <si>
    <t>a²+b²###&gt;=###2ab, a+b###&gt;=###2*sqrt(ab)</t>
  </si>
  <si>
    <t>对数不等式：x/(1+x)###&lt;=###ln(1+x), x###&gt;=###ln(1+x), x###&gt;###-1（定义域）</t>
  </si>
  <si>
    <t>以下不等式在x=###0###时取等号</t>
  </si>
  <si>
    <t>|sin(x)|###&lt;=###|x|</t>
  </si>
  <si>
    <t>|tan(x)|###&gt;=###|x|, x###∈(-π/2,π/2)###（定义域）</t>
  </si>
  <si>
    <t>exp(x)-1###&gt;=###x</t>
  </si>
  <si>
    <t>函数无界↔存在趋于无穷的子数列（无需作答）### ###</t>
  </si>
  <si>
    <t>非零因子代入也可以逆用来凑包含趋向变量的表达式（无需作答）### ###</t>
  </si>
  <si>
    <t>周期函数的导数###一定###是周期函数</t>
  </si>
  <si>
    <t>快（速页）表里存放的是###内存块号###（内存块/内存块号）</t>
  </si>
  <si>
    <t>内存块号也就是###页框号###（页号/页框号）</t>
  </si>
  <si>
    <t>六大排序的稳定性</t>
  </si>
  <si>
    <t>时间复杂度O(n²):###选择排序###、###插入排序###、###冒泡排序###</t>
  </si>
  <si>
    <t>时间复杂度O(n*log(k,n)):###快速排序###、###归并排序###、###堆排序###</t>
  </si>
  <si>
    <t>用了分治思想，几分k就是几</t>
  </si>
  <si>
    <t>非齐次线性方程组的求解要点</t>
  </si>
  <si>
    <t>自由变量全部设为###0###来求解非齐次特解，###不带###（带/不带）系数k</t>
  </si>
  <si>
    <t>自由变量各设为###1###来求解齐次基础解系，###带###（带/不带）系数k</t>
  </si>
  <si>
    <t>矩阵A的特征向量α###一定###（一定/未必/绝不）是A*的特征向量</t>
  </si>
  <si>
    <t>Aα=λα,α=###λA逆α###</t>
  </si>
  <si>
    <t>|A|α=###λA*α###</t>
  </si>
  <si>
    <t>###(|A|/λ)###α=A*α</t>
  </si>
  <si>
    <t>矩阵方程与特征值的关系</t>
  </si>
  <si>
    <t>如果有一个矩阵方程形如F(A)=0这样的</t>
  </si>
  <si>
    <t>把A换成λ，把E换成1，就能得到一个特征值方程F(λ)=0</t>
  </si>
  <si>
    <t>F(λ)=0的根和特征多项式的根的关系是###前者是后者的子集###</t>
  </si>
  <si>
    <t>如果F(λ)=0存在非实根怎么办</t>
  </si>
  <si>
    <t>实对称阵仅有实特征值，因此###只选取实根###</t>
  </si>
  <si>
    <t>A是n阶矩阵，根的重数=###n-r(A−λE)###（与阶数和秩的关系）</t>
  </si>
  <si>
    <t>如果原矩阵是二次型，那么特征值就是###标准型二次项的系数###</t>
  </si>
  <si>
    <t>矩阵的迹等于###对角线元素之和###（定义）</t>
  </si>
  <si>
    <t>矩阵的迹等于###特征值之和###（和特征值的关系）</t>
  </si>
  <si>
    <t>矩阵的秩为r，那么###零特征值###（什么类型的特征值）与其存在关系</t>
  </si>
  <si>
    <t>矩阵维度为n，那么上述特征值的###重数###就等于###n-r###</t>
  </si>
  <si>
    <t>1/(n-1)是否收敛？###收敛###（收敛/发散）</t>
  </si>
  <si>
    <t>分母###不能###（能/不能）等于0</t>
  </si>
  <si>
    <t>分母等于0是###无定义###</t>
  </si>
  <si>
    <t>因此要###从数列当中排除###</t>
  </si>
  <si>
    <t>收敛数列中的项###不可能###（可能/不可能）包含∞</t>
  </si>
  <si>
    <t>因此收敛数列###必定###有界</t>
  </si>
  <si>
    <t>有界数列###未必###收敛</t>
  </si>
  <si>
    <t>f(x)在x0处极限为0，则1/f(x)在x0处极限为无穷，对错？###错###</t>
  </si>
  <si>
    <t>原因：###1/f(x)要在x0点处有定义，f(x0)不能等于0###</t>
  </si>
  <si>
    <t>可导点的情况下，极值点###不能###（可以/不能）是拐点</t>
  </si>
  <si>
    <t>可导极值形状：###U形###</t>
  </si>
  <si>
    <t>可导拐点形状：###滑梯形###</t>
  </si>
  <si>
    <t>可导极值拐点：###不存在###</t>
  </si>
  <si>
    <t>不可导点的情况下，极值点###可以###（可以/不能）是拐点</t>
  </si>
  <si>
    <t>不可导（无穷式）极值形状：###乳沟形###</t>
  </si>
  <si>
    <t>不可导（无穷式）拐点形状：###危险滑梯（滑梯转90度）###</t>
  </si>
  <si>
    <t>不可导（无穷式）极值拐点：###鲨齿形###</t>
  </si>
  <si>
    <t>严格单调###允许###点的导数为0，###不允许###区间内导数为0（允许/不允许）</t>
  </si>
  <si>
    <t>压缩映射法（秒杀法）</t>
  </si>
  <si>
    <t>题型1：若要证数列x[n+1]=f(x[n])极限为a</t>
  </si>
  <si>
    <t>构造:0&lt;=###|x[n+1]-a|###=###|f(x[n])-f(a)|###&lt;=###r*|x[n]-a|###</t>
  </si>
  <si>
    <t>放缩：0&lt;=###|x[n+1]-a|###&lt;=###(r^n)*|x[1]-a|###</t>
  </si>
  <si>
    <t>证明：r∈###(0,1)###（区间范围），完成夹逼</t>
  </si>
  <si>
    <t>题型2：x[n+1]=f(x[n])时，若|f'(x)|###&lt;=###r（大小关系），r∈###(0,1)###（区间范围），那么x[n]###收敛###（收敛/发散）</t>
  </si>
  <si>
    <t>拉格朗日：f(x[n])-f(a)=###f'(ξ)(x[n]-a)###，ξ∈(a,x[n])</t>
  </si>
  <si>
    <t>若|f'(x)|###&lt;=###r（大小关系），###|f'(ξ)(x[n]-a)|###&lt;=###r*(x[n]-a)###</t>
  </si>
  <si>
    <t>放缩：f(Xn)-f(a)&lt;=###(r^n)*|x1-a|###</t>
  </si>
  <si>
    <t>证明：r∈###(0,1)###（区间范围），f(Xn)-f(a)-&gt;0，f(Xn)-&gt;f(a)=a</t>
  </si>
  <si>
    <t>秒杀：f(x)为分段函数时，求F(x)=Int(0,x):f(t)dt是否连续</t>
  </si>
  <si>
    <t>如果间断点是f(x)的可去间断点，那么F(x)###连续且可导###</t>
  </si>
  <si>
    <t>如果间断点是f(x)的跳跃间断点，那么F(x)###连续且不可导###</t>
  </si>
  <si>
    <t>夹逼准则的条件之一——左右端表达式的极限相等意味着一个先决条件要成立：###左右端存在极限###</t>
  </si>
  <si>
    <t>原函数一定可导### ###（无需作答）</t>
  </si>
  <si>
    <t>连续函数必有原函数### ###（无需作答）</t>
  </si>
  <si>
    <t>可积（可以求定积分）的充分条件（一条满足即可）</t>
  </si>
  <si>
    <t>f(x)在###闭###区间a到b上连续</t>
  </si>
  <si>
    <t>f(x)在###闭###区间a到b上不连续，但是###有界###且间断点###个数有限###</t>
  </si>
  <si>
    <t>变限积分性质2则</t>
  </si>
  <si>
    <t>f(x)在闭区间a-b上可积，则F(x)=Int(a,x):f(t)dt###连续###（具有什么性质）</t>
  </si>
  <si>
    <t>f(x)在闭区间a-b上连续，则F(x)=Int(a,x):f(t)dt###可导###（具有什么性质），且###F'(x)=f(x)###</t>
  </si>
  <si>
    <t>可积（可以求定积分）的必要条件</t>
  </si>
  <si>
    <t>f(x)在###闭###区间a到b上###有界###</t>
  </si>
  <si>
    <t>若f(x)和g(x)在闭区间a到b之间均可积</t>
  </si>
  <si>
    <t>则f(x)±g(x)###可积###（可积/不可积）</t>
  </si>
  <si>
    <t>则f(x)*g(x)###可积###（可积/不可积）</t>
  </si>
  <si>
    <t>变限积分性质2则（更多参考20250330）</t>
  </si>
  <si>
    <t>f(x)在闭区间a-b上有第一类间断点，其他连续</t>
  </si>
  <si>
    <t>可去间断：则F(x)=Int(a,x):f(t)dt在x=x0处###可导###（具有什么性质），且###F'(x0)=lim(x-&gt;x0):f(x)###</t>
  </si>
  <si>
    <t>跳跃间断：则F(x)=Int(a,x):f(t)dt在x=x0处###不可导###（具有什么性质），但###F(x)连续###（具有什么性质）</t>
  </si>
  <si>
    <t>后一性质是因为f(x)在这一情况（存在有限个间断点）至少是###可积的###</t>
  </si>
  <si>
    <t>若f(x)在闭区间a到b连续，且f(x)&gt;=0（不恒等于0）</t>
  </si>
  <si>
    <t>则Int(a,b):f(x)dx###&gt;###0（大小关系）</t>
  </si>
  <si>
    <t>被积函数是周期函数且积分长度为一个周期</t>
  </si>
  <si>
    <t>那么起点可以任选### ###（无需作答）</t>
  </si>
  <si>
    <t>比较定积分大小：</t>
  </si>
  <si>
    <t>积分区间相同：比较###被积函数###大小</t>
  </si>
  <si>
    <t>积分与0比较</t>
  </si>
  <si>
    <t>按被积函数在积分区域的###正负###进行###拆分###</t>
  </si>
  <si>
    <t>通过###换元###把积分区域变成单一性质</t>
  </si>
  <si>
    <t>不定积分当中化简被积函数的暗坑</t>
  </si>
  <si>
    <t>分子分母出现含自变量表达式可以约分时，###不需要###（需要/不需要）考虑表达式为0的可能</t>
  </si>
  <si>
    <t>但是可去间断点会影响到原函数的定义域，间断点无定义要保留至不定积分求解后</t>
  </si>
  <si>
    <t>不定积分反三角换元需注意的情况</t>
  </si>
  <si>
    <t>cos本身是个###偶###（奇偶性）函数</t>
  </si>
  <si>
    <t>因此当用x=cost换元时，对应同一个x，会有###两个###t</t>
  </si>
  <si>
    <t>此时除了考虑定义域，还需要考虑###原函数的奇偶性###</t>
  </si>
  <si>
    <t>被积函数为奇函数，原函数###一定###（一定/可能）为###偶###函数（奇偶性）</t>
  </si>
  <si>
    <t>被积函数为偶函数，原函数###未必###（一定/未必）为###奇/偶###函数（奇偶性）</t>
  </si>
  <si>
    <t>给三角函数开根号要注意三角函数的正负，开根号实际上是取绝对值### ###（无需作答）</t>
  </si>
  <si>
    <t>定积分使用牛顿莱布尼兹公司的条件</t>
  </si>
  <si>
    <t>积分区间为a到b，则被积函数在###闭###区间a到b上###连续###</t>
  </si>
  <si>
    <t>如果是###开###区间a到b，则保证区间内处处###极限存在###（###包括###端点（包括/不包括））</t>
  </si>
  <si>
    <t>F(x)是f(x)在###闭###区间a到b上的一个###原函数###</t>
  </si>
  <si>
    <t>当被积表达式出现一个exp(x)不知如何去掉时，不妨试试换元，令exp(x)=t</t>
  </si>
  <si>
    <t>比如Int:1/(exp(x)+1)dx可以用这招换元得到###Int:1/(t²+t)dt###</t>
  </si>
  <si>
    <t>一类分母含正余弦平方线性组合的特殊题型</t>
  </si>
  <si>
    <t>含有正余弦函数的平方项而且###无法彻底消除###</t>
  </si>
  <si>
    <t>###无法彻底消除###（上一空）指的是即使降幂，也无法得到更好的结果</t>
  </si>
  <si>
    <t>分子是一个###常数###</t>
  </si>
  <si>
    <t>这样的话，在###上下同除正余弦平方###（正确解法）后可以拿来凑微分</t>
  </si>
  <si>
    <t>要给试错预留时间### ###（无需作答）</t>
  </si>
  <si>
    <t>反常积分要注意的一个细节</t>
  </si>
  <si>
    <t>反常积分求解中使用了分部积分或者本身就含加减的形式，导致需要分别对子段积分求解</t>
  </si>
  <si>
    <t>需要注意，如果出现###子段积分的结果含无穷###，意味着###子段积分的无穷量需要与另一子段积分进行抵消###</t>
  </si>
  <si>
    <t>前提是计算题</t>
  </si>
  <si>
    <t>也就意味着###积分上下限###不能轻易变动，除了###区间再现###以外的###换元###都是很危险的</t>
  </si>
  <si>
    <t>或者完成###去积分号###后记得###换回来###也可以</t>
  </si>
  <si>
    <t>无符号数加减的溢出判断</t>
  </si>
  <si>
    <t>先说结论</t>
  </si>
  <si>
    <t>加法：###最高位进位1是溢出###</t>
  </si>
  <si>
    <t>减法：###最高位进位0是溢出###</t>
  </si>
  <si>
    <t>减法的实现：被减数加上###减数相反数的补码###</t>
  </si>
  <si>
    <t>进位0的意义</t>
  </si>
  <si>
    <t>减数相反数的补码最高位一定是###1###，是被当做###符号位###（符号位/数值位）</t>
  </si>
  <si>
    <t>进位0意味着，算上低位进位，相加后最高位仍然是###1###</t>
  </si>
  <si>
    <t>从补码加法的结果也是补码来考虑，相当于结果是个###负数###（正数/负数）</t>
  </si>
  <si>
    <t>否则，无论被减数最高位是0还是1，加上进位后都应该是###1###</t>
  </si>
  <si>
    <t>只有这样，被减数加上进位后才能加上减数相反数补码的最高位，使其###变回0###，也就是###正数###（正数/负数）</t>
  </si>
  <si>
    <t>考场技巧</t>
  </si>
  <si>
    <t>根本不用算二进制，无符号数的范围记住：###0-(2^n)-1###</t>
  </si>
  <si>
    <t>十进制计算结果超了就是溢出了</t>
  </si>
  <si>
    <t>一个矩阵和它的伴随矩阵的伴随矩阵的关系</t>
  </si>
  <si>
    <t>A*=###A'|A|###</t>
  </si>
  <si>
    <t>A**=###(A*)'###（矩阵）乘以###|A*|###（系数）</t>
  </si>
  <si>
    <t>A**=###A/|A|###（变形自上式）乘以###|A'|A||###（变形自上式）</t>
  </si>
  <si>
    <t>|A'|A||=###(|A|^n)/|A|###=###|A|^(n-1)###</t>
  </si>
  <si>
    <t>A**=###A|A|^(n-2)###</t>
  </si>
  <si>
    <t>对于任意可逆的n阶方阵 ，其逆矩阵的伴随矩阵等于伴随矩阵的逆矩阵### ###（无需作答）</t>
  </si>
  <si>
    <t>一句话看出x/(x+1)和ln(1+x)哪个大</t>
  </si>
  <si>
    <t>（不严谨，秒杀用！）</t>
  </si>
  <si>
    <t>注意，ln(1+x)的定义域比ln(1+x)小，这里只做同定义域的比较</t>
  </si>
  <si>
    <t>x/(x+1)=###1-1/(x+1)###</t>
  </si>
  <si>
    <t>能够看出，x增大时，x/(x+1)是###收敛到1###的（敛散性）</t>
  </si>
  <si>
    <t>而x增大时，ln(x+1)是###趋于无穷###的（敛散性）</t>
  </si>
  <si>
    <t>（不能保证中间有没有交点，因此严谨证明不能使用这个逻辑）</t>
  </si>
  <si>
    <t>记忆立方和与立方差公式</t>
  </si>
  <si>
    <t>肯定是a和b的###一###次多项式乘以a和b的###二###次多项式</t>
  </si>
  <si>
    <t>要想正好抵消，###二###次多项式的交错项系数绝对值是###1###</t>
  </si>
  <si>
    <t>只看结果三次项，b³前的符号和###一###次多项式中###b###的符号对应</t>
  </si>
  <si>
    <t>###二###次多项式中，交错项的符号与###一###次多项式中###b###的符号###相反###（相同/相反）</t>
  </si>
  <si>
    <t>微分方程解结构容易混淆的点</t>
  </si>
  <si>
    <t>特解y1、y2任意系数线性叠加？</t>
  </si>
  <si>
    <t>齐次：###仍是解，若C为待定则为通解###</t>
  </si>
  <si>
    <t>非齐次：###方程的非齐次项做对应叠加###</t>
  </si>
  <si>
    <t>特解y1、y2互相抵消？</t>
  </si>
  <si>
    <t>齐次：###仍是解（包括y=0，联系线性代数的Ax=0），若C为待定则为通解###</t>
  </si>
  <si>
    <t>非齐次：###如果是同方程的两个解，正好抵消的话就是原方程对应的齐次方程解###</t>
  </si>
  <si>
    <t>注：非齐次正好抵消不是说变成0（区别于齐次），是二解的系数互为相反数</t>
  </si>
  <si>
    <t>用非齐特凑齐通的注意事项</t>
  </si>
  <si>
    <t>齐通的基础解系个数=###微分方程的阶数###</t>
  </si>
  <si>
    <t>判断解系是否有效=###任一解系不可能通过除它自身以外的解系组合得到###</t>
  </si>
  <si>
    <t>黑塞行列式与多元函数极值的判定</t>
  </si>
  <si>
    <t>行列式大于0（两方向的二阶导同号）：###是极值点###</t>
  </si>
  <si>
    <t>两方向的二阶导均大于0：###极小值###</t>
  </si>
  <si>
    <t>两方向的二阶导均小于0：###极大值###</t>
  </si>
  <si>
    <t>行列式等于0：###不确定###</t>
  </si>
  <si>
    <t>行列式小于0（两方向的二阶导异号）：###不是极值###</t>
  </si>
  <si>
    <t>二重积分直角坐标变换极坐标加r的原因</t>
  </si>
  <si>
    <t>极坐标的面积微元是个###扇环###（形状）</t>
  </si>
  <si>
    <t>面积近似为###内弧长度*半径###</t>
  </si>
  <si>
    <t>其中，###半径###就是dr</t>
  </si>
  <si>
    <t>而###内弧长度###则对应rdθ</t>
  </si>
  <si>
    <t>弧长与角度的公式：###弧长=圆心角（弧度）*半径###</t>
  </si>
  <si>
    <t>二重积分交换积分次序受阻的解决办法</t>
  </si>
  <si>
    <t>如果积分区域画出来对于要先积后定限的部分不利（比如上下两曲线夹住的区域但必须先积###x###）</t>
  </si>
  <si>
    <t>这时可以###斜着切分积分区域###</t>
  </si>
  <si>
    <t>甚至可以###不止切分一次###</t>
  </si>
  <si>
    <t>###切分边界###就可以作为补充的积分限</t>
  </si>
  <si>
    <t>二重积分需要注意逼但不相交的情况</t>
  </si>
  <si>
    <t>比如y=1/sqrt(x)和y轴逼近但不相交</t>
  </si>
  <si>
    <t>在决定积分限的时候，这种情况看做###密封###（密封/不密封）</t>
  </si>
  <si>
    <t>###可以###（可以/不可以）直接用于积分限</t>
  </si>
  <si>
    <t>这一操作的有效性###不受###（受/不受）积分方向的影响</t>
  </si>
  <si>
    <t>瑕积分和反常积分的概念辨析</t>
  </si>
  <si>
    <t>反常积分指被积函数###存在导致无界的点或者积分上下限有无穷###</t>
  </si>
  <si>
    <t>瑕积分指被积函数###在某点无界###，和反常积分的关系？###瑕积分是反常积分的一种###</t>
  </si>
  <si>
    <t>一个积分可能有间断点，但只有###间断点无界###，这个积分才是瑕积分（反常积分）</t>
  </si>
  <si>
    <t>间断点震荡###不行###（行/不行），参考Int(0,1):sin(1/x)dx</t>
  </si>
  <si>
    <t>二重积分想要利用奇偶性时，如果被积函数本身非奇非偶，可以进行变形拆分，拆出奇函数为佳### ###（无需作答）</t>
  </si>
  <si>
    <t>二重积分的极坐标积分时，有些图形在一些角度范围内没有取值</t>
  </si>
  <si>
    <t>比如圆心在左与y轴相切的圆不会经过第###1、4###象限</t>
  </si>
  <si>
    <t>这时候要采用###区域割补###</t>
  </si>
  <si>
    <t>如果直接取上下限，会导致###负的积分值###</t>
  </si>
  <si>
    <t>求极限时遇到ln(f(x))，f(x)非常复杂，该怎么办？</t>
  </si>
  <si>
    <t>如果###f(x)趋1###，尝试构造###ln(1+f(x)-1)###</t>
  </si>
  <si>
    <t>然后再利用###ln(1+X)~X###，得到###f(x)-1###</t>
  </si>
  <si>
    <t>这样就去掉了ln</t>
  </si>
  <si>
    <t>求极限时，分子如果由多个代数加和式子构成</t>
  </si>
  <si>
    <t>尝试寻找能和分母一起构成收敛极限的部分</t>
  </si>
  <si>
    <t>这部分可以用极限代数和的形式提出，简化剩余极限### ###（无需作答）</t>
  </si>
  <si>
    <t>定积分实在积不出来，可以把被积函数泰勒展开，积分完成后再连加### ###（无需作答）</t>
  </si>
  <si>
    <t>费曼积分法### ###（太难了，实战不建议）</t>
  </si>
  <si>
    <t>假设有个定积分I</t>
  </si>
  <si>
    <t>得到辅助函数F(t)=It（系数a被替换t之后的定积分）</t>
  </si>
  <si>
    <t>通过在I里面将一个系数a变成变量t</t>
  </si>
  <si>
    <t>目标变成求解F(a)</t>
  </si>
  <si>
    <t>对F(t)的t求导</t>
  </si>
  <si>
    <t>根据莱布尼兹法则（？）</t>
  </si>
  <si>
    <t>对含参t的定积分求对t的导数，会得到被积函数对t的求导后的定积分</t>
  </si>
  <si>
    <t>求解（去积分号）求导后的定积分I't=dIt/dt=F'(t)</t>
  </si>
  <si>
    <t>对F'(t)求不定积分得到F(t)</t>
  </si>
  <si>
    <t>确定常数C（由t=a确定）</t>
  </si>
  <si>
    <t>看到被积函数里面有ln（1+x)/x能够确定的两件事</t>
  </si>
  <si>
    <t>凑微分：###不可能，因为1/x凑出来是ln(x)不是ln(x+1)###</t>
  </si>
  <si>
    <t>分部积分：###不可能，因为1/x的原函数含ln，像跷跷板一样###</t>
  </si>
  <si>
    <t>在对数里面可以放入参数t，使用费曼积分法可消去ln（求导后ln内表达式变为分母）</t>
  </si>
  <si>
    <t>微分方程遇到只含y、y'、y''不含x的</t>
  </si>
  <si>
    <t>以y'=p</t>
  </si>
  <si>
    <t>那么y''=###dp/dy###</t>
  </si>
  <si>
    <t>把y看成自变量</t>
  </si>
  <si>
    <t>那么y''=###(dp/dy)*(dy/dx)###=dp/dy*###p###</t>
  </si>
  <si>
    <t>有一类数列极限计算是f(π*g(n))，其中f(t)是三角函数，g(n)是非三角函数### ###（无需作答，纯学习）</t>
  </si>
  <si>
    <t>f(t)存在周期性，利用周期性对g(n)进行非恒等变形（只要满足f的周期即可）</t>
  </si>
  <si>
    <t>变形的目的是让g(n)变形后收敛（比如n趋无穷，变形结果就不能是n或者n²）</t>
  </si>
  <si>
    <t>因为是计算题，必然存在极限，不可能让你震荡（也就对应n趋无穷）</t>
  </si>
  <si>
    <t>n看起来会让sin趋0，但实际上o(n)会导致非0的值，这是震荡的根源</t>
  </si>
  <si>
    <t>o(n)是一个低阶无穷大，如果n不趋∞还需要针对判断</t>
  </si>
  <si>
    <t>极限A的形式是B+C，B和C分别求极限时变形后不能再相加</t>
  </si>
  <si>
    <t>因为###变形涉及的高阶无穷小丢失会导致错误###</t>
  </si>
  <si>
    <t>当求极限时用到拉格朗日去不掉中值怎么办？</t>
  </si>
  <si>
    <t>中值ξ肯定夹逼于###拉格朗日中值定理的端点###a和b</t>
  </si>
  <si>
    <t>那么假设现在极限是lim:f(ξ)</t>
  </si>
  <si>
    <t>只要证明###lim:f(a)###=###lim:f(b)###=L</t>
  </si>
  <si>
    <t>则可以再次使用###夹逼把###lim:f(ξ)=###L###求出</t>
  </si>
  <si>
    <t>[UKAGAKA]之前的笔记均已导入伪春菜</t>
  </si>
  <si>
    <t>积分中值定理：Int(a,b):f(x)dx=###(b-a)*f(ξ)###，中值ξ∈###闭区间[a,b]###</t>
  </si>
  <si>
    <t>有限个无穷大的和差###不一定###（一定/不一定）是无穷大，有限个无穷小的和差###一定###（一定/不一定）是无穷小</t>
  </si>
  <si>
    <t>地址线和地址引脚### ###（无需作答）</t>
  </si>
  <si>
    <t>地址线对CPU而言</t>
  </si>
  <si>
    <t>地址线在CPU出厂就已经决定好了的，地址线是不会减半的</t>
  </si>
  <si>
    <t>比如2^20个存储单元，需要20根地址线才能全部访问到</t>
  </si>
  <si>
    <t>地址引脚是对DRAM而言</t>
  </si>
  <si>
    <t>为了能节约空间以及把多个DRAM组成一个内存条，使用了引脚减半技术</t>
  </si>
  <si>
    <t>把DRAM设计成矩阵型结构，通过内存控制器，先访问一行，再选中其中一列输出</t>
  </si>
  <si>
    <t>408默认条件大全-通用规则</t>
  </si>
  <si>
    <t>默认###小端###（大小端）存储方式</t>
  </si>
  <si>
    <t>浮点数格式遵循###IEEE754###标准</t>
  </si>
  <si>
    <t>默认各流水线阶段时间为###相等且无冲突###</t>
  </si>
  <si>
    <t>408默认条件大全-计算机组成原理</t>
  </si>
  <si>
    <t>DRAM行列复用地址引脚</t>
  </si>
  <si>
    <t>存储总线宽度默认为按###字节（8位）###计算</t>
  </si>
  <si>
    <t>当题目要求划分地址空间（如RAM与ROM）时，默认使用###高位###（高位/低位）地址线进行区域划分</t>
  </si>
  <si>
    <t>题目中若涉及整数存储（如int类型），默认使用补码表示</t>
  </si>
  <si>
    <t>408默认条件大全-操作系统</t>
  </si>
  <si>
    <t>计算虚拟地址到物理地址的转换时，默认低位为###块内地址###，剩余高位为###页号或组号###</t>
  </si>
  <si>
    <t>涉及锁操作（如swap指令）时，默认指令执行是原子的</t>
  </si>
  <si>
    <t>408默认条件大全-计算机网络</t>
  </si>
  <si>
    <t>NAT转发时，默认将###源IP###从私有地址转换为公共地址，且仅修改###源IP###，###目标IP###保持不变（源IP/目标IP）</t>
  </si>
  <si>
    <t>计算子网可用地址时，默认排除###网络号###和###广播地址###</t>
  </si>
  <si>
    <t>若题目未明确说明，IP分片时默认###不复制###（复制/不复制）原始分组的选项字段（如首部校验和）</t>
  </si>
  <si>
    <t>408默认条件大全-数据结构</t>
  </si>
  <si>
    <t>涉及多维数组地址计算时，默认按###行###（行/列）优先存储（如C语言数组）</t>
  </si>
  <si>
    <t>题目中若未明确说明，默认二叉树的根节点编号为1</t>
  </si>
  <si>
    <t>Cache系统的效率：###Cache的存取周期/平均存取时间###</t>
  </si>
  <si>
    <t>根据命中率计算平均存取时间和效率需要保留小数点后至少三位，否则误差太大### ###（无需作答）</t>
  </si>
  <si>
    <t>408当中的K\M\G单位量级：涉及到速度，一个阶级按###1000###来升，涉及到空间容量大小，一个阶级按###1024###来升</t>
  </si>
  <si>
    <t>按顺序增加，每次增加1000\1024量级：###KMGTPEZY###（至少八个）</t>
  </si>
  <si>
    <t>被积函数奇偶性与变限积分的奇偶性</t>
  </si>
  <si>
    <t>被积函数为奇函数的充要条件</t>
  </si>
  <si>
    <t>Int(0,x):f(t)dt为###偶函数###（奇函数/偶函数）</t>
  </si>
  <si>
    <t>Int(a,x):f(t)dt为###偶函数###（奇函数/偶函数）</t>
  </si>
  <si>
    <t>被积函数为偶函数的充要条件</t>
  </si>
  <si>
    <t>Int(0,x):f(t)dt为###奇函数###（奇函数/偶函数）</t>
  </si>
  <si>
    <t>Int(a,x):f(t)dt为###奇函数###（奇函数/偶函数）</t>
  </si>
  <si>
    <t>且Int(0,a):f(t)dt=###0###</t>
  </si>
  <si>
    <t>Darboux定理</t>
  </si>
  <si>
    <t>如果一个函数f(x)在区间I上有原函数F(x)</t>
  </si>
  <si>
    <t>那么要么这个函数f(x)在区间I上连续</t>
  </si>
  <si>
    <t>要么存在的间断点只能是###第二类间断点###</t>
  </si>
  <si>
    <t>逆向思维：某函数F(x)若在I上处处可导</t>
  </si>
  <si>
    <t>要么导函数f(x)在I上连续</t>
  </si>
  <si>
    <t>要么导函数f(x)在I上只有###第二类间断点###</t>
  </si>
  <si>
    <t>一种罕见的连续性证明</t>
  </si>
  <si>
    <t>如果一个函数g(x)本身是f(x)的导数，也就是f'(x)=g(x)</t>
  </si>
  <si>
    <t>并且明确知道f(x)在x0可导</t>
  </si>
  <si>
    <t>即g(x)在x0处###有定义###</t>
  </si>
  <si>
    <t>且f(x)的左导数和右导数###在此处相等且等于导函数g(x)的函数值###</t>
  </si>
  <si>
    <t>那么导数f'(x0)=左导数f'-(x0)=lim(x-&gt;x0-):g(x)可以推出g(x)###左连续###（###左极限###等于该点函数值，此处为###左导数###）</t>
  </si>
  <si>
    <t>那么导数f'(x0)=右导数f'+(x0)=lim(x-&gt;x0+):g(x)可以推出g(x)###右连续###（###右极限###等于该点函数值，此处为###右导数###）</t>
  </si>
  <si>
    <t>当###左连续###和###右连续###同时成立，能够推出g(x)###在x0点连续###</t>
  </si>
  <si>
    <t>设f(x)是R上周期为T(T&gt;0)的连续函数</t>
  </si>
  <si>
    <t>那么lim(x-&gt;+∞):Int(0,x):f(t)dt/x=###Int(0,T):f(t)dt/T###</t>
  </si>
  <si>
    <t>Int(0,x):f(t)dt可以写成###kx+h(x)###，其中h(x)是R上周期为T的函数，k为常数</t>
  </si>
  <si>
    <t>反常积分不能抵消，但是定积分可以！！！### ###（无需作答）</t>
  </si>
  <si>
    <t>不是因式或者分母因子的非零因子不能直接代入！！！### ###（无需作答）</t>
  </si>
  <si>
    <t>特别提醒，比如复合函数的括号里面，或者指数是f(x)的底数当中</t>
  </si>
  <si>
    <t>对数内的因子，当ln展开后会变成加和，这时无穷小的误差就会扩散出来</t>
  </si>
  <si>
    <t>类似的，底数内的微小误差，经过无穷次方（即指数为含x的趋∞代数式）的放大，足以影响结果</t>
  </si>
  <si>
    <t>一个容易遗忘的等价无穷小：ln(x+1)-x~###-t²/2###</t>
  </si>
  <si>
    <t>（660题第31题）为什么一阶导数的极限定义在极限式内无法聚合为f'(x)？### ###（无需作答）</t>
  </si>
  <si>
    <t>极限求解过程有非常多的无穷小量，在一阶导的极限定义当中是存在的，但是去掉lim号（即摘帽）后就会忽略掉</t>
  </si>
  <si>
    <t>重新把一阶导的极限定义作为一个更大极限表达式的一部分时，它内部的无穷小量会泄露到更大极限当中去</t>
  </si>
  <si>
    <t>红黑树-基本的五条规则</t>
  </si>
  <si>
    <t>非黑即红</t>
  </si>
  <si>
    <t>根节点是###黑色###</t>
  </si>
  <si>
    <t>叶节点是###黑色###</t>
  </si>
  <si>
    <t>节点是红色，那么它的子节点一定是###黑色###</t>
  </si>
  <si>
    <t>注意：###黑###节点可以有同色的子节点</t>
  </si>
  <si>
    <t>任意节点到其子树中叶节点的路径，经过的###黑节点个数###相同</t>
  </si>
  <si>
    <t>这个数量被称为###黑高###</t>
  </si>
  <si>
    <t>包含###叶节点###，不包含###起始节点###</t>
  </si>
  <si>
    <t>红黑树-衍生特性</t>
  </si>
  <si>
    <t>从根到叶的最长路径，不超过最短路径的###两###倍</t>
  </si>
  <si>
    <t>查询、插入、删除的时间复杂度都是###O(log(n))###</t>
  </si>
  <si>
    <t>树高控制的结果</t>
  </si>
  <si>
    <t>红黑树-旋转### ###（无需作答）</t>
  </si>
  <si>
    <t>左旋-逆时针，右旋-顺时针</t>
  </si>
  <si>
    <t>右（对应左旋）子节点A取代父节点B</t>
  </si>
  <si>
    <t>父节点B变成新父节点A的左子节点</t>
  </si>
  <si>
    <t>父节点的右子节点（原本是A），现在去接管孙子，也就是A原本的左子节点</t>
  </si>
  <si>
    <t>儿子当家，老人照顾孙子</t>
  </si>
  <si>
    <t>旋转前的子树和旋转后的（结构上）对称</t>
  </si>
  <si>
    <t>红黑树-插入：和普通BST一样</t>
  </si>
  <si>
    <t>从根开始</t>
  </si>
  <si>
    <t>大###左###小###右###（左/右）</t>
  </si>
  <si>
    <t>插入###红###色节点（每一个朝代的开始都是革命）</t>
  </si>
  <si>
    <t>红黑树-插入-调整：当破坏了规则4（###不红红###）会触发</t>
  </si>
  <si>
    <t>红叔（只换颜色，朱家自己人，不发生权力更迭）</t>
  </si>
  <si>
    <t>叔父都变黑</t>
  </si>
  <si>
    <t>爷爷变红</t>
  </si>
  <si>
    <t>然后以爷爷的视角（即把爷爷当成孙子）向上检查</t>
  </si>
  <si>
    <t>黑叔（据说朱棣不是马皇后亲生的）</t>
  </si>
  <si>
    <t>亲近叔</t>
  </si>
  <si>
    <t>父子交替，原来的父亲（现在的儿子）远离叔叔</t>
  </si>
  <si>
    <t>变成儿子远离叔的情况处理</t>
  </si>
  <si>
    <t>远离叔（正史）</t>
  </si>
  <si>
    <t>父亲变黑，爷爷变红（朱标死了，朱元璋红温了）</t>
  </si>
  <si>
    <t>发生旋转，侄儿上去，叔叔下去（朱允炆登基，削藩开始）</t>
  </si>
  <si>
    <t>总结：只有叔父不和（黑叔红父）且父亲与儿子亲近（同红），旋转（权力变化）才会发生</t>
  </si>
  <si>
    <t>红黑树-删除：和普通BST一样</t>
  </si>
  <si>
    <t>无孩或只有独生子：###有则继承，无则不管###</t>
  </si>
  <si>
    <t>注意，这种情况不是值复制！！！（不会###继承被替换节点的颜色###！）</t>
  </si>
  <si>
    <t>有两个孩子：</t>
  </si>
  <si>
    <t>找被删节点A在###中序###遍历上的后继结点B</t>
  </si>
  <si>
    <t>后继一定满足###无孩###或###只有独生子###</t>
  </si>
  <si>
    <t>复制B的值来顶替被删节点A的位置（新节点使用###A###（A/B）的颜色）</t>
  </si>
  <si>
    <t>从B原来的位置删除B（对B进行删除操作，B的后继C保持颜色的前提下顶替B）</t>
  </si>
  <si>
    <t>红黑树-删除-调整：</t>
  </si>
  <si>
    <t>注意：以下情况均为BST删除及替换发生后</t>
  </si>
  <si>
    <t>无替换（比如红节点的黑子被直接删除，黑兄弟会与红父交换）：？？？</t>
  </si>
  <si>
    <t>有替换</t>
  </si>
  <si>
    <t>红替红：###违反不红红，不可能存在###</t>
  </si>
  <si>
    <t>红替黑或者黑替红：###替上来一律变黑###</t>
  </si>
  <si>
    <t>黑替黑：？？？</t>
  </si>
  <si>
    <t>单调有界必有极限是数列才有的性质，函数没有，不能乱用！### ###（无需作答）</t>
  </si>
  <si>
    <t>遇到函数还有有界性，考虑用###闭区间连续的特性###来推（20240415）</t>
  </si>
  <si>
    <t>补充：f'(x)在有限区间I上有界，那么f(x)也在I上有界（充分不必要）</t>
  </si>
  <si>
    <t>f(x)=φ(x)*|x-a|，φ(x)在x=a连续</t>
  </si>
  <si>
    <t>f(x)在x=a处可导的充要条件：###φ(a)=0###</t>
  </si>
  <si>
    <t>RISC架构不允许在运算时访存的原因</t>
  </si>
  <si>
    <t>简化指令集，确保###指令长度###不变</t>
  </si>
  <si>
    <t>减少###访存###导致的流水延迟</t>
  </si>
  <si>
    <t>RISC采用###硬布线###式CU，兼容访存大幅度增加CU设计难度</t>
  </si>
  <si>
    <t>分离访存操作，从应用层面上考虑，有助于###编译器优化###</t>
  </si>
  <si>
    <t>RISC和CISC的差异总结</t>
  </si>
  <si>
    <t>指令长度：RISC采用###定长###，CISC采用###变长###</t>
  </si>
  <si>
    <t>指令数量：RISC###更少###，CISC###更多###</t>
  </si>
  <si>
    <t>寻址方式：RISC###更少###，CISC###更多###</t>
  </si>
  <si>
    <t>可以访存：RISC访存###仅限LOAD/STORE指令###，CISC访存###兼容大部分指令###</t>
  </si>
  <si>
    <t>控制单元（CU）：RISC采用###硬布线###，CISC采用###微程序###</t>
  </si>
  <si>
    <t>执行周期：RISC采用###单周期指令###，CISC采用###多周期指令###</t>
  </si>
  <si>
    <t>芯片面积：RISC###更小###，CISC###更大###</t>
  </si>
  <si>
    <t>编码密度：RISC###更低###，CISC###更高###</t>
  </si>
  <si>
    <t>编译优化难度：RISC###更低###，CISC###更高###</t>
  </si>
  <si>
    <t>使用裸机运行程序的CPU核心态</t>
  </si>
  <si>
    <t>默认就处于###核心态###，意味着可执行指令为###全部###指令（全部/部分）</t>
  </si>
  <si>
    <t>加载完操作系统后，###操作系统###的程序把PSW的核心态改为###用户###态</t>
  </si>
  <si>
    <t>CRC校验</t>
  </si>
  <si>
    <t>根据生成多项式写出###多项式对应二进制数A###</t>
  </si>
  <si>
    <t>根据###多项式的最高次幂###指定校验位长度</t>
  </si>
  <si>
    <t>信息位对应二进制数B作为###被除数###，与B进行除法</t>
  </si>
  <si>
    <t>异或除法，相同余0，不同余1</t>
  </si>
  <si>
    <t>向后借位使###最高1位对齐###</t>
  </si>
  <si>
    <t>无位可借，则###计算结束，被除数作为余数###</t>
  </si>
  <si>
    <t>得到余数根据校验位长度，高位补零</t>
  </si>
  <si>
    <t>流水线性能指标计算</t>
  </si>
  <si>
    <t>流水线时钟周期：###最长流水阶段的耗时###</t>
  </si>
  <si>
    <t>不考虑数据冲突的总耗时：###第一条指令耗时（各阶段时长总和）+（指令条数-1）*时钟周期###</t>
  </si>
  <si>
    <t>考虑数据冲突的总耗时：###不考虑数据冲突的总耗时+冲突次数*流水线时钟周期###</t>
  </si>
  <si>
    <t>吞吐率：###指令数/实际耗时（考虑数据冲突）###</t>
  </si>
  <si>
    <t>加速比：###非流水执行全部指令耗时/流水执行耗时（考虑数据冲突）###</t>
  </si>
  <si>
    <t>效率：###加速比/流水阶段个数###</t>
  </si>
  <si>
    <t>IEEE754表示</t>
  </si>
  <si>
    <t>核心公式：###((-1)^s)*(1.M)*(2^E)###</t>
  </si>
  <si>
    <t>s为符号位，M为尾数，E为阶码</t>
  </si>
  <si>
    <t>表示：</t>
  </si>
  <si>
    <t>符号位1位</t>
  </si>
  <si>
    <t>阶码E共###8###位，为###真值+127###的###移码###（偏移后的原码）</t>
  </si>
  <si>
    <t>尾数M共###23###位，为###去掉最高位1###的###原###码</t>
  </si>
  <si>
    <t>十进制转二进制</t>
  </si>
  <si>
    <t>把十进制数按核心公式写出</t>
  </si>
  <si>
    <t>写出对应的二进制</t>
  </si>
  <si>
    <t>二进制转十进制</t>
  </si>
  <si>
    <t>按位数分块给出符号、阶码、尾数</t>
  </si>
  <si>
    <t>写出对应的十进制</t>
  </si>
  <si>
    <t>IEEE754加减</t>
  </si>
  <si>
    <t>获得二进制表示</t>
  </si>
  <si>
    <t>确定阶码是否相同</t>
  </si>
  <si>
    <t>若不同，进行对阶，###低###阶向###高###阶看齐</t>
  </si>
  <si>
    <t>阶码增加，尾数同步###右###移/规，阶码减少，尾数同步###左###移/规</t>
  </si>
  <si>
    <t>尾数带上隐藏位和符号位，进行原码加减</t>
  </si>
  <si>
    <t>产生的新尾数根据小数点左侧是否仅1来进行规格化</t>
  </si>
  <si>
    <t>阶码如果在规格化过程中变为###全1###，则发生了规格化###上溢###</t>
  </si>
  <si>
    <t>阶码如果在规格化过程中变为###全0###，则发生了规格化###下溢###</t>
  </si>
  <si>
    <t>如果发生###下溢###，则###使用非规格化表示###</t>
  </si>
  <si>
    <t>即阶码全0###，尾数也采用对应规格（即隐藏位###为0###）</t>
  </si>
  <si>
    <t>恢复余数</t>
  </si>
  <si>
    <t>先把除数和被除数的符号进行###异或###，得到###商的符号###</t>
  </si>
  <si>
    <t>然后用被除数和除数的###绝对值###（下文提到的被除数和除数）进行除法求出###商的绝对值###</t>
  </si>
  <si>
    <t>初始化：余数为###0###，位数n为被除数和除数的位数</t>
  </si>
  <si>
    <t>循环步骤1.余数减去除数</t>
  </si>
  <si>
    <t>循环步骤2.判断是否小于0</t>
  </si>
  <si>
    <t>分支2.1.若差小于0，则###差加回除数恢复余数###，商上###0###</t>
  </si>
  <si>
    <t>分支2.2.若差大于0，则###什么也不做###，商上###1###</t>
  </si>
  <si>
    <t>循环步骤3.中间余数低位拼接###被除数###，两者一起向###左###移位，低位补###0###</t>
  </si>
  <si>
    <t>循环步骤4.拼接数高n位作为新的###余数###，低n位作为新的###被除数###</t>
  </si>
  <si>
    <t>重复循环###n+1###次，从最###低###位开始截取商的###n###位，乘上商的符号，作为最终结果</t>
  </si>
  <si>
    <t>组合积分的扩展### ###（无需作答）</t>
  </si>
  <si>
    <t>例子：sinx*sin2x*sin3x进行非恒等变换，加上和减去cosx*cos2x*cos3x，两个衍生积分分别使用cos的和角与差角公式</t>
  </si>
  <si>
    <t>本质：k*I=I1±I2，I1≠I2≠I（这一点区分于循环分部积分为代表的A=f(x)+kA）</t>
  </si>
  <si>
    <t>已知场景：大量出现正余弦函数，且简单变形（可以是非恒等）后具有对偶性</t>
  </si>
  <si>
    <t>目标：寻找可以分别进行积分求解的“积木块”（和二重积分轮换对称后相加相消的思路相反）</t>
  </si>
  <si>
    <t>倒数式区间再现</t>
  </si>
  <si>
    <t>上下限为从a到b</t>
  </si>
  <si>
    <t>那么t可以除了可以换元为t=a+b-x外，还可以换元为t=###a*b/x###</t>
  </si>
  <si>
    <t>由于t=###a*b/x###，上下限变为###a*b/a=b###到###a*b/b=a###，发生了第一次交换</t>
  </si>
  <si>
    <t>与此同时，因为x=###a*b/t###，dx=###-a*b/t²dt###，将###负号提出###，则上下限再次交换，区间相比原式维持不变</t>
  </si>
  <si>
    <t>定积分应用类，上下限如果不是特殊角的三角函数值的题目，建议不要使用三角换元。### ###（无需作答）</t>
  </si>
  <si>
    <t>口诀：662N4 收发协数验</t>
  </si>
  <si>
    <t>解释：这是###802.3###标准的</t>
  </si>
  <si>
    <t>###数据链路###层的</t>
  </si>
  <si>
    <t>###帧###（该类报文的称呼）协议报文字段###长度###（总长度/单位长度）信息</t>
  </si>
  <si>
    <t>收发协数验：###目的MAC、源MAC、协议类型、数据、校验码###</t>
  </si>
  <si>
    <t>TCP三握四挥的恋爱比喻### ###（无需作答）</t>
  </si>
  <si>
    <t>三握：男客户端，女服务端</t>
  </si>
  <si>
    <t>男：我喜欢你！</t>
  </si>
  <si>
    <t>女：我也喜欢你！</t>
  </si>
  <si>
    <t>男：那咱们交往吧！</t>
  </si>
  <si>
    <t>四挥：男客户端，女服务端</t>
  </si>
  <si>
    <t>男：我们分手吧。</t>
  </si>
  <si>
    <t>女：我需要考虑一下。</t>
  </si>
  <si>
    <t>女：好吧，我同意分手。</t>
  </si>
  <si>
    <t>男：祝你幸福。</t>
  </si>
  <si>
    <t>函数函数在a到b（a≠b）之间的均值</t>
  </si>
  <si>
    <t>定义：###f(x)从a到b的定积分除以(b-a)###</t>
  </si>
  <si>
    <t>注意：如果进行###换元###，除区间长度以###原来的###为准</t>
  </si>
  <si>
    <t>正弦和余弦函数求一次导，等于###相位###加上###pi/2###</t>
  </si>
  <si>
    <t>f(x)是在R上以T为周期的连续函数，则下述命题互为充要条件</t>
  </si>
  <si>
    <t>变限积分Int(0,x):f(t)dt为以T为周期的函数</t>
  </si>
  <si>
    <t>定积分Int(0.T):f(t)dt=###0###</t>
  </si>
  <si>
    <t>不定积分改写定（变限积分）的题目条件暗示### ###（无需作答）</t>
  </si>
  <si>
    <t>对不定积分进行求导（位于极限分子时，极限整体要洛必达）</t>
  </si>
  <si>
    <t>不定积分经过某个定点，研究周期性和奇偶性</t>
  </si>
  <si>
    <t>二阶变系数齐次线性微分方程</t>
  </si>
  <si>
    <t>题目形式：给出方程，然后给两个解y1和y2（其中一个含有未知的抽象函数u(x)），求通解y*</t>
  </si>
  <si>
    <t>核心是求出u(x)，可以利用公式###y1'y2-y2'y1=C*exp(-Int:p(x)dx)###，其中p(x)为###一阶导前的变系数###</t>
  </si>
  <si>
    <t>求出u(x)，就能得到y1和y2的具体形式，然后用y1和y2带系数组成通解y*</t>
  </si>
  <si>
    <t>分时系统必有###交互###性</t>
  </si>
  <si>
    <t>微内核的缺点是###效率低下###</t>
  </si>
  <si>
    <t>极限保序性</t>
  </si>
  <si>
    <t>条件</t>
  </si>
  <si>
    <t>在x=x0的去心（不等于x0）邻域（左、右、双侧）</t>
  </si>
  <si>
    <t>恒有f(x)###&lt;=###g(x)（小于/小于等于）</t>
  </si>
  <si>
    <t>结论</t>
  </si>
  <si>
    <t>f在x左（右）极限为a，g在x左（右）极限为b</t>
  </si>
  <si>
    <t>必有a###&lt;=###b（小于/小于等于）</t>
  </si>
  <si>
    <t>易错</t>
  </si>
  <si>
    <t>条件是###非严格###不等式，结论是###非严格###不等式（严格/非严格）</t>
  </si>
  <si>
    <t>即使条件是###严格###不等式，也只能推###非严格###不等式结论</t>
  </si>
  <si>
    <t>原因：极限只是一种趋势，即使函数值始终小，但趋势也可能接近并相等</t>
  </si>
  <si>
    <t>反例：f=x，g=x+|x|，x0取x=0</t>
  </si>
  <si>
    <t>逆定理：左（右）极限###严格###有序，则必存在去心左（右）邻域使邻域内的函数值也###严格###保序（严格/非严格）</t>
  </si>
  <si>
    <t>任何函数都可以分解为一个奇函数与一个偶函数的和### ###（无需作答）</t>
  </si>
  <si>
    <t>可以用于一个函数和它自变量取相反数进行加减时使用</t>
  </si>
  <si>
    <t>数列Xn有界的充要条件（原20240426答疑整理4）：###|Xn|&lt;=M###</t>
  </si>
  <si>
    <t>对于省去正负号的分类讨论很有用</t>
  </si>
  <si>
    <t>要注意f(x)=lim(t):g(t,x)这种方式定义的函数</t>
  </si>
  <si>
    <t>讨论f(x)间断点前，要先###设法去掉lim(t)###，把###极限定义###形式转为###一般解析###形式，然后再研究</t>
  </si>
  <si>
    <t>线性微分方程的特点</t>
  </si>
  <si>
    <t>各阶导数的次幂为###1或0###次</t>
  </si>
  <si>
    <t>最高阶导数的次幂一定为###1###次</t>
  </si>
  <si>
    <t>各阶导数只能以###线性组合###的形式出现</t>
  </si>
  <si>
    <t>不能有不同阶导数的###乘积###或###复合###</t>
  </si>
  <si>
    <t>易错点：要注意，有些线性微分方程的是x(y)型而非常见的y(x)型</t>
  </si>
  <si>
    <t>比如x*dy/dx=cos(y)+1</t>
  </si>
  <si>
    <t>z=f(x,y)的二阶混合偏导均在区域D上连续，则二者相等### ###（无需作答）</t>
  </si>
  <si>
    <t>中断机制是CPU都有的，即使没有操作系统也会有中断</t>
  </si>
  <si>
    <t>###GPRs、用户栈指针###的保存是操作系统独有的</t>
  </si>
  <si>
    <t>保存###PC、PSW、###是裸机和操作系统都有的</t>
  </si>
  <si>
    <t>其中###PSW###的保存是子程序调用时不会发生的</t>
  </si>
  <si>
    <t>子程序调用和系统调用都是程序调用，主要区别在于###是否有处理机状态切换###</t>
  </si>
  <si>
    <t>两者均遵循：</t>
  </si>
  <si>
    <t>1.###入参压栈（一般子程序）/压寄存器（系统调用）###</t>
  </si>
  <si>
    <t>2.###call/trap指令###</t>
  </si>
  <si>
    <t>3.###保存现场###</t>
  </si>
  <si>
    <t>4.###程序入口装入PC并开始执行###</t>
  </si>
  <si>
    <t>系统/程序调用是###同步###事件，###无需###关中断</t>
  </si>
  <si>
    <t>5.###恢复现场（系统/程序调用是同步事件，无需关中断）###</t>
  </si>
  <si>
    <t>保存与恢复现场：中断和调用程序的差异</t>
  </si>
  <si>
    <t>系统/程序调用是###同步###事件，###无需###关开中断</t>
  </si>
  <si>
    <t>中断是###异步###事件，###需要###关开中断</t>
  </si>
  <si>
    <t>分母真0会破坏极限的定义（处处有定义的去心邻域）### ###（无需作答）</t>
  </si>
  <si>
    <t>极限求解时的部分极限恒定性（存在一个恒等于某常数的去心邻域）会导致这个部分极限退化为该常数### ###（无需作答）</t>
  </si>
  <si>
    <t>举例：f(x)在某点x0处存在恒为c的去心邻域，那么lim(x-&gt;x0):g(f(x),x)=lim(x-&gt;x0):g(c,x)</t>
  </si>
  <si>
    <t>多用户一定分时，分时未必多用户### ###（无需作答）</t>
  </si>
  <si>
    <t>NVRAM很小，不可能从中加载ISO### ###（无需作答）</t>
  </si>
  <si>
    <t>分配资源的基本单位</t>
  </si>
  <si>
    <t>作业：###批处理系统###</t>
  </si>
  <si>
    <t>进程：###多道程序系统###</t>
  </si>
  <si>
    <t>响应中断的三条件### ###（无需作答）</t>
  </si>
  <si>
    <t>中断源发出的中断请求</t>
  </si>
  <si>
    <t>CPU允许中断</t>
  </si>
  <si>
    <t>内部中断无法被屏蔽（关中断也无效）</t>
  </si>
  <si>
    <t>当前指令执行完成且无更紧急任务</t>
  </si>
  <si>
    <t>外中断、非异常内中断检测发生在指令执行后</t>
  </si>
  <si>
    <t>异常（内部中断的一种）检测发生在执行执行中</t>
  </si>
  <si>
    <t>多元函数极限的套路</t>
  </si>
  <si>
    <t>优先观察能否进行###极坐标转换###</t>
  </si>
  <si>
    <t>不能的情况下进行###夹逼求解###</t>
  </si>
  <si>
    <t>###两侧极限###尽量构造为适合进行###极坐标转换###的类型</t>
  </si>
  <si>
    <t>极限定义的函数（f(x)=lim(t):g(t,x)）在极限不存在（无论是无穷还是震荡）处的点无定义### ###（无需作答）</t>
  </si>
  <si>
    <t>分母x^t，x&lt;-1，t趋于无穷，那么1/(x^t)的极限###为0（|x|^t是无穷大，吸收(-1)^t的有界振荡）###</t>
  </si>
  <si>
    <t>柯西洗袜子不等式：</t>
  </si>
  <si>
    <t>(x²+y²)*(m²+n²)###&gt;=###(m*x+n*y)²</t>
  </si>
  <si>
    <t>(x²-y²)*(m²-n²)###&lt;=###(m*x-n*y)²</t>
  </si>
  <si>
    <t>(x+y)*(m+n)###&gt;=###(sqrt(m*x)+sqrt(n*y))²</t>
  </si>
  <si>
    <t>(x+y)*(m²/x+n²/y)###&gt;=###(m+n)²</t>
  </si>
  <si>
    <t>汇编和链接的先后顺序：先###汇编###，后###链接###</t>
  </si>
  <si>
    <t>汇编：###汇编指令###转###二进制###</t>
  </si>
  <si>
    <t>链接：###分散二进制程序###转###单一二进制程序###</t>
  </si>
  <si>
    <t>原因：符号引用的解析需要二进制的###地址偏移###</t>
  </si>
  <si>
    <t>中断式I/O，外设准备数据不能###快于###（快于/慢于）中断处理，否则会造成###数据丢失###</t>
  </si>
  <si>
    <t>多元函数的极限确定存在时，可以锁定其中一个变量到趋向点，使极限变为一个一元极限### ###（无需作答）</t>
  </si>
  <si>
    <t>当f(x,y)在(0,0)点连续，且lim(x,y-&gt;0):f(x,y)/(x²+y²)存在时，可以立刻得到f(x,y)###可微###</t>
  </si>
  <si>
    <t>那个极限存在，可以得到###lim(x,y-&gt;0):f(x,y)=0###</t>
  </si>
  <si>
    <t>上一条加连续，可以得到###f(x,y)=0###</t>
  </si>
  <si>
    <t>偏导定义：###lim(x-&gt;0):(f(x,0)-f(0,0))/x###</t>
  </si>
  <si>
    <t>分子简化：###lim(x-&gt;0):f(x,0)/x###</t>
  </si>
  <si>
    <t>条件极限锁定y=0：###lim(x-&gt;0):f(x,0)/(x²+y²)###存在</t>
  </si>
  <si>
    <t>比阶：f(x,0)比###x²+y²###高阶，###x²+y²###比###x###高阶，因此f(x,0)比###x###高阶</t>
  </si>
  <si>
    <t>偏导=0</t>
  </si>
  <si>
    <t>可微定义式：###(f(x,y)-f(0,0)-fx(0,0)x-fy(0,0)y)/sqrt(x²+y²)###</t>
  </si>
  <si>
    <t>偏导真0：###(f(x,y)-f(0,0))/sqrt(x²+y²)###</t>
  </si>
  <si>
    <t>利用连续：###f(x,y)/sqrt(x²+y²)###</t>
  </si>
  <si>
    <t>比阶：f(x,y)比###x²+y²###高阶，###x²+y²###比###sqrt(x²+y²)###高阶，因此f(x,y)比###sqrt(x²+y²)###高阶</t>
  </si>
  <si>
    <t>可微定义极限=0</t>
  </si>
  <si>
    <t>多项式韦达定理：</t>
  </si>
  <si>
    <t>(x-a1)*(x-a2)*...*(x-an)=(x^n)+(c[n-1]*x^(n-1))+...+c1*x+c0</t>
  </si>
  <si>
    <t>c[n-1]=###-(a1+a2+a3+...+an)###</t>
  </si>
  <si>
    <t>c[n-k]=###((-1)^k)*k个不同ai乘积的和###</t>
  </si>
  <si>
    <t>c[0]=###((-1)^n)*a1*a2*a3*...*an###</t>
  </si>
  <si>
    <t>命令解释器和解释型语言的解释器是不同的东西，当“命令”出现时，它指的是cmd或者bash这种操作系统提供的命令接口。### ###（无需作答）</t>
  </si>
  <si>
    <t>多元偏导存在不能推连续，更不能推极限存在</t>
  </si>
  <si>
    <t>但是可以推###剖面曲线###连续</t>
  </si>
  <si>
    <t>函数最值问题记得要验证不可导点### ###（无需作答）</t>
  </si>
  <si>
    <t>用户态切换核心态需要靠硬件（中断必核心），反之不需要（特权指令）### ###（无需作答）</t>
  </si>
  <si>
    <t>操作系统的分层式架构便于调试### ###（无需作答）</t>
  </si>
  <si>
    <t>启机相关问题</t>
  </si>
  <si>
    <t>启机顺序：###BIOS###-&gt;###引导程序/Bootloader###-&gt;###操作系统内核###</t>
  </si>
  <si>
    <t>BIOS：位于主板的ROM，嵌入式设备没有</t>
  </si>
  <si>
    <t>引导程序/Bootloader：位于MBR的第一个扇区或者Flash，嵌入式设备的Bootloader要负责BIOS的任务</t>
  </si>
  <si>
    <t>BIOS的顺序：###跳转BIOS###-&gt;###设定BIOS中断服务地址###-&gt;###硬件自检###-&gt;###跳转引导程序/Bootloader###</t>
  </si>
  <si>
    <t>拐点（凹凸性改变点）可以是不可导点</t>
  </si>
  <si>
    <t>举例：f(x)=x^(1/3)在x=0处，切线垂直，导数为无穷大，但是在该点处二阶导###异号###（无论是否可导）</t>
  </si>
  <si>
    <t>可能创建进程的操作四种：###用户登录、作业调度、提供服务、应用请求###</t>
  </si>
  <si>
    <t>并发程序执行的特点是间断性### ###（无需作答）</t>
  </si>
  <si>
    <t>死锁的四个条件：###资源互斥、有了还要、不可剥夺、循环等待###</t>
  </si>
  <si>
    <t>管程可以做空，先V后P，但一般进程中直接使用的信号量则不可以### ###（无需作答）</t>
  </si>
  <si>
    <t>父进程撤销，其从属的子进程不一定会撤销### ###（无需作答）</t>
  </si>
  <si>
    <t>可能会成为孤儿进程，变成爷爷奶奶进程的子进程（最高为init进程的子进程）</t>
  </si>
  <si>
    <t>不死锁的最少资源个数：###n*(m-1)+1###，其中，n为进程个数，m为每个进程需要的资源个数</t>
  </si>
  <si>
    <t>变限积分求导公式的使用条件</t>
  </si>
  <si>
    <t>被积函数f(x)在###闭##区间a到b上##连续###</t>
  </si>
  <si>
    <t>变限积分的可导性和求导公式也仅在###闭区间a到b###上成立</t>
  </si>
  <si>
    <t>非连续点必须用###求导的极限定义###求解</t>
  </si>
  <si>
    <t>特例法大杀器-常见性质### ###（无需作答）</t>
  </si>
  <si>
    <t>一阶或二阶可导（一元）：f(x)在区间区间(a,b)内具有k阶导数</t>
  </si>
  <si>
    <t>偏导数存在（多元）：f(x,y)在趋区域D内存在一阶偏导fx(x,y)和fy(x,y)，且D内处处可求偏导</t>
  </si>
  <si>
    <t>连续性（一元）：f(x)在开（闭）区间a到b上连续</t>
  </si>
  <si>
    <t>可微性（多元）：f(x,y)在点(x0,y0)处可微，满足可微的极限定义式等于0</t>
  </si>
  <si>
    <t>极限存在（一元）：f(x)在x趋于x0时极限存在，且极限等于A</t>
  </si>
  <si>
    <t>连续性（多元）：f(x,y)在区域D上连续，D内任意点处f(x,y)的极限等于f(x,y)在该点处的函数值</t>
  </si>
  <si>
    <t>周期性（一元）：f(x)是以T为周期的周期函数，满足f(x+T)=f(x)</t>
  </si>
  <si>
    <t>可定积分（一元）：f(x)在开（闭）区间a到b上可积，且定积分值等于常数k</t>
  </si>
  <si>
    <t>二阶偏导连续（多元）：f(x,y)在区域D内的二阶偏导数均连续，满足fxy(x,y)=fyx(x,y)（混合偏导相等）</t>
  </si>
  <si>
    <t>奇函数（一元）：f(x)在定义域内满足f(-x)=-f(x)</t>
  </si>
  <si>
    <t>偶函数（一元）：f(x)在定义域内满足f(-x)=f(x)</t>
  </si>
  <si>
    <t>相切（一元）：f(x)在点(x0,f(x0))处与直线y=kx+b相切</t>
  </si>
  <si>
    <t>反常积分收敛（一元）：被积函数为f(x)的无穷积分/瑕积分（若无瑕点，则在无穷限上积分）收敛到常数C</t>
  </si>
  <si>
    <t>如果约束是等式约束，可以把约束代入目标函数，转化为无条件极值（无需拉格朗日乘数法）### ###（无需作答）</t>
  </si>
  <si>
    <t>特例法大杀器-二元组合### ###（无需作答）</t>
  </si>
  <si>
    <t>一阶或二阶可导（一元）+连续性（一元）</t>
  </si>
  <si>
    <t>00：分段函数{f(x)=1,x≥0;f(x)=-1,x&lt;0}，在x=0处不连续且不可导。</t>
  </si>
  <si>
    <t>01：函数f(x)=|x|，在x=0处连续但不可导。</t>
  </si>
  <si>
    <t>10：NA（可导函数必连续，不存在可导但不连续的函数）。</t>
  </si>
  <si>
    <t>11：函数f(x)=x²，在实数域内连续且二阶可导。</t>
  </si>
  <si>
    <t>一阶或二阶可导（一元）+极限存在（一元）</t>
  </si>
  <si>
    <t>00：分段函数{f(x)=sin(1/x),x≠0;f(x)=0,x=0}，在x=0处极限不存在且不可导。</t>
  </si>
  <si>
    <t>01：分段函数{f(x)=|x|,x≠0;f(x)=1,x=0}，在x=0处极限存在（为0）但不连续（故不可导）。</t>
  </si>
  <si>
    <t>10：NA（可导必连续，连续必极限存在，不存在可导但极限不存在的函数）。</t>
  </si>
  <si>
    <t>11：函数f(x)=x³，在实数域内可导且极限处处存在。</t>
  </si>
  <si>
    <t>连续性（一元）+极限存在（一元）</t>
  </si>
  <si>
    <t>00：分段函数{f(x)=sin(1/x),x≠0;f(x)=0,x=0}，在x=0处极限不存在且不连续。</t>
  </si>
  <si>
    <t>01：分段函数{f(x)=x,x≠0;f(x)=1,x=0}，在x=0处极限存在（值为0）但不连续。</t>
  </si>
  <si>
    <t>10：NA（连续函数在该点极限必存在，无法构造反例）。</t>
  </si>
  <si>
    <t>11：函数f(x)=x，在实数域内处处连续且极限存在。</t>
  </si>
  <si>
    <t>偏导数存在（多元）+可微性（多元）</t>
  </si>
  <si>
    <t>00：函数f(x,y)=|x|+|y|，在点(0,0)处对x的偏导数lim(Δx→0)|Δx|/Δx不存在，对y的偏导数同理不存在，故偏导数不存在且不可微。</t>
  </si>
  <si>
    <t>01：NA（可微性要求偏导数必存在，无法构造偏导数不存在但可微的函数）。</t>
  </si>
  <si>
    <t>10：函数{f(x,y)=x²y/(x⁴+y²),(x,y)≠(0,0);f(x,y)=0,(x,y)=(0,0)}，在点(0,0)处偏导数fₓ(0,0)=fᵧ(0,0)=0，但沿路径y=kx²趋近(0,0)时，lim(x→0,y=kx²)[f(x,y)-0-0・x-0・y]/sqrt(x²+y²)与k相关，不满足可微的极限定义，故偏导数存在但不可微。</t>
  </si>
  <si>
    <t>11：函数f(x,y)=x²+y²，在任意点(x,y)处偏导数fₓ=2x、fᵧ=2y存在且连续，全微分df=2xdx+2ydy成立，故偏导数存在且可微。</t>
  </si>
  <si>
    <t>死锁检测###不需要###（需要/不需要）知道进程所需资源总量</t>
  </si>
  <si>
    <t>特例法大杀器-三元组合### ###（无需作答）</t>
  </si>
  <si>
    <t>一阶或二阶可导（一元）+连续性（一元）+极限存在（一元）</t>
  </si>
  <si>
    <t>000：分段函数{f(x)=1/x,x≠0;f(x)=0,x=0}，在x=0处极限不存在（左右极限均为无穷）、不连续且不可导。</t>
  </si>
  <si>
    <t>001：分段函数{f(x)=x,x≠0;f(x)=1,x=0}，在x=0处极限存在（值为0），但不连续（函数值为1）且不可导。</t>
  </si>
  <si>
    <t>010：NA（连续性必蕴含极限存在，无法构造连续但极限不存在的函数）。</t>
  </si>
  <si>
    <t>011：函数f(x)=|x|，在x=0处连续且极限存在（值为0），但一阶导数不存在（左右导数分别为-1和1，矛盾）。</t>
  </si>
  <si>
    <t>100：NA（可导必连续，连续必极限存在，无法构造可导但不连续且极限不存在的函数）。</t>
  </si>
  <si>
    <t>101：NA（可导必连续，无法构造可导但不连续的函数）。</t>
  </si>
  <si>
    <t>110：NA（连续必极限存在，无法构造连续但极限不存在的函数）。</t>
  </si>
  <si>
    <t>111：函数f(x)=x²，在实数域内二阶可导、连续且极限处处存在（任意点极限等于函数值）。</t>
  </si>
  <si>
    <t>偏导数存在（多元）+可微性（多元）+连续性（多元）</t>
  </si>
  <si>
    <t>000：分段函数{f(x,y)=1,xy≠0;f(x,y)=0,xy=0}，在点(0,0)处偏导数不存在（如对x的偏导数在y=0时左右极限矛盾）、不可微且不连续（极限沿x=0和y=0路径分别为0和1，不唯一）。</t>
  </si>
  <si>
    <t>001：函数f(x,y)=|x|+|y|，在点(0,0)处偏导数不存在（对x的偏导数左右极限为-1和1）、不可微，但连续（|x|+|y|→0当(x,y)→(0,0)）。</t>
  </si>
  <si>
    <t>010：NA（可微性要求偏导数必存在，无法构造偏导数不存在但可微的函数）。</t>
  </si>
  <si>
    <t>011：NA（可微性要求偏导数必存在，且可微必连续，无法构造偏导数不存在但可微且连续的函数）。</t>
  </si>
  <si>
    <t>100：函数{f(x,y)=x²y/(x⁴+y²),(x,y)≠(0,0);f(x,y)=0,(x,y)=(0,0)}，在点(0,0)处偏导数fₓ(0,0)=0、fᵧ(0,0)=0（通过定义计算），但沿路径y=kx²趋近时极限为k/(1+k²)≠0，故不连续且不可微（全微分误差项极限不为0）。</t>
  </si>
  <si>
    <t>101：函数f(x,y)=√(|xy|)，在点(0,0)处偏导数fₓ(0,0)=0、fᵧ(0,0)=0（定义计算），连续（|√(|xy|)|≤√(x²+y²)/√2→0），但不可微（全微分误差项Δf-0-0=√(|ΔxΔy|)，与ρ=√(Δx²+Δy²)的比值在Δx=Δy时为1/√2≠0）。</t>
  </si>
  <si>
    <t>110：NA（可微性必蕴含连续性，无法构造可微但不连续的函数）。</t>
  </si>
  <si>
    <t>111：函数f(x,y)=x²+y²，在任意点处偏导数fₓ=2x、fᵧ=2y存在且连续，全微分df=2xΔx+2yΔy，余项(Δx)²+(Δy)²=o(ρ)，故可微且连续（多项式函数处处连续）。</t>
  </si>
  <si>
    <t>偏导数存在（多元）+可微性（多元）+二阶偏导连续（多元）</t>
  </si>
  <si>
    <t>000：函数f(x,y)=|x|+|y|，在点(0,0)处对x的偏导数lim(Δx→0)|Δx|/Δx不存在（左右极限为-1和1），故偏导数不存在、不可微，且二阶偏导无定义（自然不连续）。</t>
  </si>
  <si>
    <t>001：NA（偏导数不存在时，无法存在二阶偏导数，更无法连续）。</t>
  </si>
  <si>
    <t>010：NA（可微性要求偏导数必存在，偏导数不存在时不可微）。</t>
  </si>
  <si>
    <t>011：NA（偏导数不存在时，无法满足可微性和二阶偏导连续）。</t>
  </si>
  <si>
    <t>100：函数{f(x,y)=x²y/(x⁴+y²),(x,y)≠(0,0);f(x,y)=0,(x,y)=(0,0)}，在点(0,0)处偏导数fₓ(0,0)=0、fᵧ(0,0)=0（定义计算），但沿路径y=kx²趋近时极限不唯一，故不可微；且一阶偏导在(0,0)附近不连续（如fₓ(x,kx²)随k变化），导致二阶偏导不连续。</t>
  </si>
  <si>
    <t>101：NA（若二阶偏导连续，则一阶偏导必连续，而一阶偏导连续是可微的充分条件，与“不可微”矛盾）。</t>
  </si>
  <si>
    <t>110：函数f(x,y)=x²y²sin(1/(x²+y²))（(x,y)≠(0,0)时），f(0,0)=0。在(0,0)处偏导数存在且可微（全微分误差项满足o(ρ)），但二阶偏导在原点附近因sin(1/(x²+y²))的振荡性不连续。</t>
  </si>
  <si>
    <t>111：函数f(x,y)=x³+y³，在任意点处偏导数fₓ=3x²、fᵧ=3y²存在且连续，可微；二阶偏导数fₓₓ=6x、fᵧᵧ=6y、fₓᵧ=fᵧₓ=0均连续，满足所有条件。</t>
  </si>
  <si>
    <t>偏导数存在（多元）+连续性（多元）+二阶偏导连续（多元）</t>
  </si>
  <si>
    <t>000：函数f(x,y)=|x|+|y|，在点(0,0)处对x的偏导数lim(Δx→0)|Δx|/Δx不存在（左右极限为-1和1），故偏导数不存在；沿x=0和y=0路径趋近原点时函数值分别为|y|和|x|，极限为0，但沿y=x路径时f(x,x)=2|x|→0，整体连续？不，此处错误：|x|+|y|在原点是连续的，但偏导数不存在。修正：分段函数{f(x,y)=1,x²+y²≥1;f(x,y)=0,x²+y²&lt;1}，在原点处不连续（边界突变），偏导数不存在（不连续导致），二阶偏导无定义（不连续且偏导数不存在）。</t>
  </si>
  <si>
    <t>001：NA（偏导数不存在时，二阶偏导数无定义，无法满足“二阶偏导连续”）。</t>
  </si>
  <si>
    <t>010：函数f(x,y)=|x|+|y|，在点(0,0)处连续（|x|+|y|→0当(x,y)→(0,0)），但对x的偏导数lim(Δx→0)(|Δx|)/Δx不存在（左右极限矛盾），故偏导数不存在；二阶偏导数无定义，自然不连续。</t>
  </si>
  <si>
    <t>011：NA（偏导数不存在时，无法满足“可微性”或“二阶偏导连续”）。</t>
  </si>
  <si>
    <t>100：函数{f(x,y)=x²y/(x⁴+y²),(x,y)≠(0,0);f(x,y)=0,(x,y)=(0,0)}，在点(0,0)处偏导数fₓ(0,0)=0、fᵧ(0,0)=0（定义计算），但沿路径y=kx²趋近时极限为k/(1+k²)≠0，故不连续；一阶偏导在(0,0)附近不连续（如fₓ(x,kx²)=2k/(1+k²)随k变化），导致二阶偏导不连续。</t>
  </si>
  <si>
    <t>101：NA（若二阶偏导连续，则一阶偏导必连续，而一阶偏导连续→函数可微→函数必连续，与“不连续”矛盾）。</t>
  </si>
  <si>
    <t>110：函数f(x,y)=x²y²sin(1/(x²+y²))（(x,y)≠(0,0)时），f(0,0)=0。在(0,0)处偏导数存在（fₓ(0,0)=0，fᵧ(0,0)=0），且连续（|x²y²sin(1/(x²+y²))|≤x²y²→0），但二阶偏导数在原点附近因sin(1/(x²+y²))的振荡性不连续（如fₓₓ在(ε,0)处为2sin(1/ε²)，极限不存在）。</t>
  </si>
  <si>
    <t>111：函数f(x,y)=x³+y³，在任意点处偏导数fₓ=3x²、fᵧ=3y²存在且连续，故连续；二阶偏导数fₓₓ=6x、fᵧᵧ=6y、fₓᵧ=fᵧₓ=0均连续，满足所有条件。</t>
  </si>
  <si>
    <t>可微性（多元）+连续性（多元）+二阶偏导连续（多元）</t>
  </si>
  <si>
    <t>000：分段函数{f(x,y)=1,x²+y²≥1;f(x,y)=0,x²+y²&lt;1}，在原点处不连续（边界突变），故不可微，二阶偏导无定义（不连续且偏导数不存在）。</t>
  </si>
  <si>
    <t>001：NA（连续性不成立时，函数在该点无定义或极限不存在，无法满足二阶偏导连续）。</t>
  </si>
  <si>
    <t>010：函数f(x,y)=|x|+|y|，在原点处连续（|x|+|y|→0），但不可微（偏导数不存在），二阶偏导无定义（偏导数不存在），故二阶偏导不连续。</t>
  </si>
  <si>
    <t>011：NA（可微性不成立时，若二阶偏导连续则一阶偏导必连续，而一阶偏导连续→可微，矛盾）。</t>
  </si>
  <si>
    <t>100：NA（可微性必蕴含连续性，无法构造可微但不连续的函数）。</t>
  </si>
  <si>
    <t>101：NA（可微性必蕴含连续性，与“连续性不成立”矛盾）。</t>
  </si>
  <si>
    <t>110：函数f(x,y)=x²y²sin(1/(x²+y²))（(x,y)≠(0,0)时f=0），在原点处可微（全微分误差项满足o(ρ)）且连续，但二阶偏导数因sin(1/(x²+y²))振荡而不连续（如fₓₓ在(ε,0)处极限不存在）。</t>
  </si>
  <si>
    <t>111：函数f(x,y)=x³+y³，在任意点处可微（偏导数连续）、连续，且二阶偏导数fₓₓ=6x、fᵧᵧ=6y、fₓᵧ=0均连续，满足所有条件。</t>
  </si>
  <si>
    <t>特例法大杀器-一元运算### ###（无需作答）</t>
  </si>
  <si>
    <t>性质排序参考20250616</t>
  </si>
  <si>
    <t>相反数（-f(x)=g(x)或-f(x,y)=g(x,y)）</t>
  </si>
  <si>
    <t>00：###&gt;&gt;&gt;f(x)=|x|（不可导）,g(x)=-|x|（不可导）###-###&gt;&gt;&gt;f(x,y)=|x|+|y|（偏导数不存在）,g(x,y)=-|x|-|y|（偏导数不存在）###-###&gt;&gt;&gt;f(x)=分段函数{1,x≥0;-1,x&lt;0}（不连续）,g(x)=分段函数{-1,x≥0;1,x&lt;0}（不连续）###-###&gt;&gt;&gt;f(x,y)=√(|xy|)（在(0,0)处不可微）,g(x,y)=-√(|xy|)（在(0,0)处不可微）###-###&gt;&gt;&gt;f(x)=分段函数{sin(1/x),x≠0;0,x=0}（x→0极限不存在）,g(x)=分段函数{-sin(1/x),x≠0;0,x=0}（x→0极限不存在）###-###&gt;&gt;&gt;f(x,y)=分段函数{1,xy≠0;0,xy=0}（在(0,0)处不连续）,g(x,y)=分段函数{-1,xy≠0;0,xy=0}（在(0,0)处不连续）###-###&gt;&gt;&gt;f(x)=x+1（非周期函数）,g(x)=-x-1（非周期函数）###-###&gt;&gt;&gt;f(x)=分段函数{1,x为有理数；0,x为无理数}（不可积）,g(x)=分段函数{-1,x为有理数；0,x为无理数}（不可积）###-###&gt;&gt;&gt;f(x,y)=x²y/(x⁴+y²)（在(0,0)处二阶偏导不连续）,g(x,y)=-x²y/(x⁴+y²)（在(0,0)处二阶偏导不连续）###-###&gt;&gt;&gt;f(x)=x²+1（非奇函数）,g(x)=-x²-1（非奇函数）###-###&gt;&gt;&gt;f(x)=x³+x+1（非偶函数）,g(x)=-x³-x-1（非偶函数）###-###&gt;&gt;&gt;f(x)=|x|+1（在x=0处不可导，无切线）,g(x)=-|x|-1（在x=0处不可导，无切线）###-###&gt;&gt;&gt;f(x)=1/x（无穷积分∫1/xdx发散）,g(x)=-1/x（无穷积分∫-1/xdx发散）###-</t>
  </si>
  <si>
    <t>01：###&gt;&gt;&gt;NA（f不可导时g=-f必不可导）###-###&gt;&gt;&gt;NA（f偏导数不存在时g=-f必不存在）###-###&gt;&gt;&gt;NA（因f不连续时g=-f必不连续，故无法构造此情形。）###-###&gt;&gt;&gt;NA（f不可微时g=-f必不可微）###-###&gt;&gt;&gt;f(x)=分段函数{1,x≥0;0,x&lt;0}（x→0极限不存在）,g(x)=分段函数{-1,x≥0;0,x&lt;0}（x→0极限不存在）###-###&gt;&gt;&gt;NA（f不连续时g=-f必不连续）###-###&gt;&gt;&gt;f(x)=x（非周期）,g(x)=-x（非周期）###-###&gt;&gt;&gt;NA（若f(x)不可积，则其相反数g(x)=-f(x)的不连续点分布与f完全一致，仍不满足黎曼可积的“几乎处处连续”条件，故无法构造g可积的例子）###-###&gt;&gt;&gt;f(x,y)=x²y/(x⁴+y²)（二阶偏导不连续）,g(x,y)=-x²y/(x⁴+y²)（二阶偏导不连续）###-###&gt;&gt;&gt;f(x)=x²（非奇函数）,g(x)=-x²（非奇函数）###-###&gt;&gt;&gt;f(x)=x+1（非偶函数）,g(x)=-x-1（非偶函数）###-###&gt;&gt;&gt;f(x)=|x|（无切线）,g(x)=-|x|（无切线）###-###&gt;&gt;&gt;f(x)=e^x（无穷积分收敛？∫e^xdx发散，g=-e^x积分也发散）###-</t>
  </si>
  <si>
    <t>10：###&gt;&gt;&gt;NA（f可导时g=-f必可导）###-###&gt;&gt;&gt;NA（f偏导数存在时g=-f必存在）###-###&gt;&gt;&gt;NA（f连续时g=-f必连续）###-###&gt;&gt;&gt;NA（f可微时g=-f必可微）###-###&gt;&gt;&gt;NA（f极限存在时g=-f必极限存在）###-###&gt;&gt;&gt;NA（f连续时g=-f必连续）###-###&gt;&gt;&gt;NA（f周期函数时g=-f必周期函数）###-###&gt;&gt;&gt;NA（f可积时g=-f必可积）###-###&gt;&gt;&gt;NA（f二阶偏导连续时g=-f必连续）###-###&gt;&gt;&gt;NA（因奇函数的相反数必为奇函数，故不存在f为奇函数而g非奇函数的情形）###-###&gt;&gt;&gt;NA（因偶函数的相反数必为偶函数，故不存在f为偶函数而g非偶函数的情形）###-###&gt;&gt;&gt;NA（因f在x0处切线存在时，g=-f在x0处切线必存在，故无法构造g无切线的情形）###-###&gt;&gt;&gt;NA（若f(x)的反常积分收敛，则其相反数g(x)=-f(x)的积分必为原积分的相反数，收敛性不变，故无法构造g积分发散的例子）###-</t>
  </si>
  <si>
    <t>11：###&gt;&gt;&gt;f(x)=x²（二阶可导）,g(x)=-x²（二阶可导）###-###&gt;&gt;&gt;f(x,y)=x²+y²（偏导数存在）,g(x,y)=-x²-y²（偏导数存在）###-###&gt;&gt;&gt;f(x)=x（连续）,g(x)=-x（连续）###-###&gt;&gt;&gt;f(x,y)=x²+y²（可微）,g(x,y)=-x²-y²（可微）###-###&gt;&gt;&gt;f(x)=x（x→0极限存在）,g(x)=-x（x→0极限存在）###-###&gt;&gt;&gt;f(x,y)=x+y（连续）,g(x,y)=-x-y（连续）###-###&gt;&gt;&gt;f(x)=sinx（周期2π）,g(x)=-sinx（周期2π）###-###&gt;&gt;&gt;f(x)=1（在[0,1]可积，积分值1）,g(x)=-1（在[0,1]可积，积分值-1）###-###&gt;&gt;&gt;f(x,y)=x³+y³（二阶偏导连续）,g(x,y)=-x³-y³（二阶偏导连续）###-###&gt;&gt;&gt;f(x)=x（奇函数）,g(x)=-x（奇函数）###-###&gt;&gt;&gt;f(x)=x²（偶函数）,g(x)=-x²（偶函数）###-###&gt;&gt;&gt;f(x)=x（在x=0处切线y=x）,g(x)=-x（在x=0处切线y=-x）###-###&gt;&gt;&gt;f(x)=1/x²（无穷积分∫1/x²dx从1到∞收敛）,g(x)=-1/x²（无穷积分收敛）###-</t>
  </si>
  <si>
    <t>绝对值（|f(x)|=g(x)或|f(x,y)|=g(x,y)）</t>
  </si>
  <si>
    <t>00：###&gt;&gt;&gt;f(x)=|x|（在x=0不可导）,g(x)=||x||=|x|（在x=0不可导）###-###&gt;&gt;&gt;f(x,y)=|x|+|y|（在(0,0)偏导数不存在）,g(x,y)=||x|+|y||=|x|+|y|（在(0,0)偏导数不存在）###-###&gt;&gt;&gt;NA（若f(x)在x=0不连续，g(x)=|f(x)|连续，如f(x)=分段{1,x≥0;-1,x&lt;0}，g(x)=1连续）###-###&gt;&gt;&gt;f(x,y)=√(|xy|)（在(0,0)不可微）,g(x,y)=|√(|xy|)|=√(|xy|)（在(0,0)不可微）###-###&gt;&gt;&gt;f(x)=分段{sin(1/x),x≠0;0,x=0}（x→0极限不存在）,g(x)=分段{|sin(1/x)|,x≠0;0,x=0}（x→0极限不存在）###-###&gt;&gt;&gt;NA（若f(x,y)在(0,0)不连续，g(x,y)=|f(x,y)|连续，如f(x,y)=分段{1,xy≠0;0,xy=0}，g(x,y)=1连续）###-###&gt;&gt;&gt;f(x)=x+1（非周期）,g(x)=|x+1|（非周期）###-###&gt;&gt;&gt;NA（若f(x)不可积，g(x)=|f(x)|可积，如f(x)=狄利克雷函数，g(x)=1可积）###-###&gt;&gt;&gt;f(x,y)=x²y/(x⁴+y²)（在(0,0)二阶偏导不连续）,g(x,y)=|x²y/(x⁴+y²)|（在(0,0)二阶偏导不连续）###-###&gt;&gt;&gt;f(x)=x（奇函数）,g(x)=|x|（偶函数，非奇函数）###-###&gt;&gt;&gt;f(x)=x+1（非偶函数）,g(x)=|x+1|（非偶函数）###-###&gt;&gt;&gt;f(x)=分段{x,x≥0;2x,x&lt;0}（在x=0无切线）,g(x)=分段{|x|,x≥0;|2x|,x&lt;0}（在x=0无切线）###-###&gt;&gt;&gt;f(x)=1/x（x&gt;0时无穷积分发散）,g(x)=|1/x|=1/x（无穷积分发散）###-</t>
  </si>
  <si>
    <t>01：###&gt;&gt;&gt;NA（若f(x)不可导，g(x)=|f(x)|在同点仍不可导，如f(x)=|x|，g(x)=|x|不可导）###-###&gt;&gt;&gt;NA（若f(x,y)偏导数不存在，g(x,y)=|f(x,y)|偏导数仍不存在，如f(x,y)=|x|，g(x,y)=|x|）###-###&gt;&gt;&gt;f(x)=分段{1,x≥0;-1,x&lt;0}（在x=0不连续）,g(x)=1（在x=0连续）###-###&gt;&gt;&gt;NA（若f(x,y)不可微，g(x,y)=|f(x,y)|仍不可微，如f(x,y)=|x|，g(x,y)=|x|）###-###&gt;&gt;&gt;f(x)=分段{1,x≥0;0,x&lt;0}（x→0极限不存在）,g(x)=1（x→0极限存在）###-###&gt;&gt;&gt;f(x,y)=分段{1,xy≠0;0,xy=0}（在(0,0)不连续）,g(x,y)=1（在(0,0)连续）###-###&gt;&gt;&gt;NA（非周期函数取绝对值仍为非周期函数，无法使g为周期函数）###-###&gt;&gt;&gt;f(x)=狄利克雷函数（不可积）,g(x)=1（可积）###-###&gt;&gt;&gt;f(x,y)=分段{x²y/(x⁴+y²),x≠0;0,x=0}（在(0,0)二阶偏导不连续）,g(x,y)=0（二阶偏导连续）###-###&gt;&gt;&gt;f(x)=x（奇函数）,g(x)=|x|（偶函数）###-###&gt;&gt;&gt;f(x)=x+1（非偶函数）,g(x)=1（偶函数）###-###&gt;&gt;&gt;NA（若f(x)在x=0无切线，g(x)=|f(x)|仍无切线，如f(x)=|x|，g(x)=|x|）###-###&gt;&gt;&gt;f(x)=分段{e^x,x≥0;-e^x,x&lt;0}（无穷积分发散）,g(x)=e^x（无穷积分收敛）###-</t>
  </si>
  <si>
    <t>10：###&gt;&gt;&gt;f(x)=x（在x=0可导）,g(x)=|x|（在x=0不可导）###-###&gt;&gt;&gt;f(x,y)=x（在x=0偏导数存在）,g(x,y)=|x|（在x=0偏导数不存在）###-###&gt;&gt;&gt;NA（若f(x)连续，则g(x)=|f(x)|必连续，因|f(x)|-|f(x0)|≤|f(x)-f(x0)|→0）###-###&gt;&gt;&gt;f(x,y)=x（可微）,g(x,y)=|x|（在x=0不可微）###-###&gt;&gt;&gt;NA（若f(x)在x→x0极限存在，则g(x)=|f(x)|极限必存在，因||f(x)|-|A||≤|f(x)-A|→0）###-###&gt;&gt;&gt;NA（若f(x,y)连续，则g(x,y)=|f(x,y)|必连续，同上理）###-###&gt;&gt;&gt;NA（若f(x)周期T，则g(x)=|f(x)|周期≤T，如f(x)=sinx周期2π，g(x)=|sinx|周期π，不满足原周期性质）###-###&gt;&gt;&gt;NA（黎曼可积函数的绝对值必可积，因振幅ω(|f|)≤ω(f)）###-###&gt;&gt;&gt;f(x,y)=x³（二阶偏导连续）,g(x,y)=|x³|（在x=0二阶偏导不连续，因f''(x)=6|x|在x=0左导-6，右导6，不连续）###-###&gt;&gt;&gt;f(x)=0（既是奇函数又是偶函数）,g(x)=0（偶函数，非严格奇函数，因奇函数要求f(-x)=-f(x)，0满足但通常视为特殊情况，此处g(x)=0是偶函数，故f具奇函数性质而g不具）###-###&gt;&gt;&gt;NA（若f(x)是偶函数，则g(x)=|f(x)|必为偶函数，因|f(-x)|=|f(x)|）###-###&gt;&gt;&gt;f(x)=x（在x=0切线为y=x）,g(x)=|x|（在x=0无切线，左右导数不等）###-###&gt;&gt;&gt;f(x)=sinx/x（无穷积分收敛）,g(x)=|sinx/x|（无穷积分发散，因∫|sinx/x|dx≥∫sin²x/xdx，后者发散）###-</t>
  </si>
  <si>
    <t>11：###&gt;&gt;&gt;f(x)=x²（二阶可导）,g(x)=x²（二阶可导）###-###&gt;&gt;&gt;f(x,y)=x²+y²（偏导数存在）,g(x,y)=x²+y²（偏导数存在）###-###&gt;&gt;&gt;f(x)=x（连续）,g(x)=|x|（连续）###-###&gt;&gt;&gt;f(x,y)=x²+y²（可微）,g(x,y)=x²+y²（可微）###-###&gt;&gt;&gt;f(x)=x（x→0极限存在）,g(x)=|x|（x→0极限存在）###-###&gt;&gt;&gt;f(x,y)=x+y（连续）,g(x,y)=|x+y|（连续）###-###&gt;&gt;&gt;NA（若f(x)周期T，g(x)=|f(x)|周期改变，如f(x)=cosx周期2π，g(x)=|cosx|周期π，不满足原周期定义）###-###&gt;&gt;&gt;f(x)=1（在[0,1]可积）,g(x)=1（在[0,1]可积）###-###&gt;&gt;&gt;f(x,y)=x⁴+y⁴（二阶偏导连续）,g(x,y)=x⁴+y⁴（二阶偏导连续）###-###&gt;&gt;&gt;f(x)=0（奇函数）,g(x)=0（奇函数，因0=-0）###-###&gt;&gt;&gt;f(x)=x²（偶函数）,g(x)=x²（偶函数）###-###&gt;&gt;&gt;f(x)=x²（在x=0切线为y=0）,g(x)=x²（在x=0切线为y=0）###-###&gt;&gt;&gt;f(x)=e^(-x²)（无穷积分收敛）,g(x)=e^(-x²)（无穷积分收敛）###-</t>
  </si>
  <si>
    <t>取倒数（1/f(x)=g(x)或1/f(x,y)=g(x,y)）</t>
  </si>
  <si>
    <t>00：###&gt;&gt;&gt;f(x)=|x|（在x=0不可导）,g(x)=1/|x|（在x=0不可导，导数为无穷大）###-###&gt;&gt;&gt;f(x,y)=|x|+|y|（在(0,0)偏导数不存在）,g(x,y)=1/(|x|+|y|)（在(0,0)偏导数不存在）###-###&gt;&gt;&gt;f(x)=分段{1,x≥0;0,x&lt;0}（在x=0不连续）,g(x)=分段{1,x≥0;无定义，x&lt;0}（在x=0不连续且无定义）###-###&gt;&gt;&gt;f(x,y)=分段{x²+y²,(x,y)≠(0,0);0,(x,y)=(0,0)}（在(0,0)不可微）,g(x,y)=分段{1/(x²+y²),(x,y)≠(0,0);无定义，(x,y)=(0,0)}（在(0,0)不可微）###-###&gt;&gt;&gt;f(x)=分段{sin(1/x),x≠0;0,x=0}（x→0极限不存在）,g(x)=分段{1/sin(1/x),x≠0;无定义，x=0}（x→0极限不存在）###-###&gt;&gt;&gt;f(x,y)=分段{1,xy≠0;0,xy=0}（在(0,0)不连续）,g(x,y)=分段{1,xy≠0;无定义，xy=0}（在(0,0)不连续）###-###&gt;&gt;&gt;f(x)=x+1（非周期函数）,g(x)=1/(x+1)（非周期函数）###-###&gt;&gt;&gt;f(x)=狄利克雷函数（不可积）,g(x)=分段{1,x∈Q;无定义，x∉Q}（不可积）###-###&gt;&gt;&gt;f(x,y)=x²y/(x⁴+y²)（在(0,0)二阶偏导不连续）,g(x,y)=(x⁴+y²)/(x²y)（在(0,0)二阶偏导不连续）###-###&gt;&gt;&gt;f(x)=x²+1（非奇函数）,g(x)=1/(x²+1)（非奇函数）###-###&gt;&gt;&gt;f(x)=x+1（非偶函数）,g(x)=1/(x+1)（非偶函数）###-###&gt;&gt;&gt;f(x)=|x|（在x=0无切线）,g(x)=1/|x|（在x=0无定义，无切线）###-###&gt;&gt;&gt;f(x)=1/x（无穷积分∫1/xdx从1到∞发散）,g(x)=x（无穷积分∫xdx从1到∞发散）###-</t>
  </si>
  <si>
    <t>01：###&gt;&gt;&gt;NA（若f(x)在x0不可导且f(x0)≠0，则g(x)=1/f(x)在x0必不可导，因导数公式含f²分母）###-###&gt;&gt;&gt;NA（若f(x,y)在某点偏导数不存在且f≠0，则g=1/f偏导数必不存在，偏导公式依赖f的导数）###-###&gt;&gt;&gt;NA（若f(x)在x0不连续且f(x0)≠0，则g=1/f在x0必不连续，因极限不存在）###-###&gt;&gt;&gt;NA（若f(x,y)在某点不可微且f≠0，则g=1/f不可微，因可微性要求偏导存在）###-###&gt;&gt;&gt;NA（若f(x)在x→x0极限不存在且f≠0，则g=1/f极限必不存在，极限运算不保持）###-###&gt;&gt;&gt;NA（若f(x,y)在某点不连续且f≠0，则g=1/f必不连续，连续性依赖f的连续性）###-###&gt;&gt;&gt;NA（非周期函数取倒数仍为非周期函数，无法构造g为周期函数）###-###&gt;&gt;&gt;NA（若f(x)不可积且f≠0，则g=1/f可能仍不可积，如狄利克雷函数）###-###&gt;&gt;&gt;NA（若f(x,y)二阶偏导不连续且f≠0，则g=1/f的二阶偏导必不连续，依赖f的导数连续性）###-###&gt;&gt;&gt;NA（若f(x)非奇函数且f≠0，g=1/f必非奇函数，因1/f(-x)≠-1/f(x)）###-###&gt;&gt;&gt;NA（若f(x)非偶函数且f≠0，g=1/f必非偶函数，因1/f(-x)≠1/f(x)）###-###&gt;&gt;&gt;NA（若f(x)在x0无切线且f(x0)≠0，则g=1/f在x0无定义或导数不存在，无切线）###-###&gt;&gt;&gt;f(x)=e^(-x²)（无穷积分∫e^(-x²)dx收敛）,g(x)=e^(x²)（无穷积分∫e^(x²)dx发散，因被积函数指数增长）###-</t>
  </si>
  <si>
    <t>10：###&gt;&gt;&gt;f(x)=x（在x0=0可导）,g(x)=1/x（在x0=0不可导，分母为0）###-###&gt;&gt;&gt;f(x,y)=x（偏导数存在）,g(x,y)=1/x（在x=0偏导数不存在，分母为0）###-###&gt;&gt;&gt;NA（若f(x)在区间连续且f≠0，则g=1/f必连续，连续函数倒数在非零点连续）###-###&gt;&gt;&gt;f(x,y)=x²+y²+1（可微）,g(x,y)=1/(x²+y²+1)（可微）###-###&gt;&gt;&gt;NA（若f(x)在x→x0极限存在且f≠0，则g=1/f极限必存在，为1/limf(x)）###-###&gt;&gt;&gt;NA（若f(x,y)连续且f≠0，则g=1/f必连续，连续性定理）###-###&gt;&gt;&gt;NA（若f(x)周期T，则g=1/f必周期T，因f(x+T)=f(x)⇒g(x+T)=g(x)）###-###&gt;&gt;&gt;NA（若f(x)可积且f≠0，则g=1/f可能不可积，如f(x)=x在[-1,1]可积，g=1/x不可积）###-###&gt;&gt;&gt;f(x,y)=x²+y²+1（二阶偏导连续）,g(x,y)=1/(x²+y²+1)（二阶偏导连续）###-###&gt;&gt;&gt;NA（若f(x)是奇函数且f≠0，则g=1/f必为奇函数，因1/f(-x)=-1/f(x)）###-###&gt;&gt;&gt;NA（若f(x)是偶函数且f≠0，则g=1/f必为偶函数，因1/f(-x)=1/f(x)）###-###&gt;&gt;&gt;f(x)=x+1（在x=0切线存在）,g(x)=1/(x+1)（在x=0切线存在，导数为-1）###-###&gt;&gt;&gt;f(x)=1/x²（无穷积分∫1/x²dx收敛）,g(x)=x²（无穷积分∫x²dx发散，因被积函数趋于无穷）###-</t>
  </si>
  <si>
    <t>11：###&gt;&gt;&gt;NA（若f(x)可导且f≠0，则g=1/f必可导，导数为-f’/f²，故无法构造f可导但g不可导的11情况）###-###&gt;&gt;&gt;NA（若f(x,y)偏导数存在且f≠0，则g=1/f偏导数必存在，偏导公式保证）###-###&gt;&gt;&gt;NA（若f(x)连续且f≠0，则g=1/f必连续，连续函数倒数性质）###-###&gt;&gt;&gt;NA（若f(x,y)可微且f≠0，则g=1/f必可微，复合函数可微性）###-###&gt;&gt;&gt;NA（若f(x)极限存在且f≠0，则g=1/f极限必存在，极限运算性质）###-###&gt;&gt;&gt;NA（若f(x,y)连续且f≠0，则g=1/f必连续，同连续性逻辑）###-###&gt;&gt;&gt;NA（若f(x)周期T，则g=1/f必周期T，周期函数性质）###-###&gt;&gt;&gt;NA（若f(x)可积且f≠0，则g=1/f可能不可积，如f(x)=x在[-1,1]可积，g=1/x不可积）###-###&gt;&gt;&gt;NA（若f(x,y)二阶偏导连续且f≠0，则g=1/f二阶偏导必连续，导数连续性传递）###-###&gt;&gt;&gt;NA（若f(x)是奇函数且f≠0，则g=1/f必为奇函数，奇偶性保持）###-###&gt;&gt;&gt;NA（若f(x)是偶函数且f≠0，则g=1/f必为偶函数，奇偶性保持）###-###&gt;&gt;&gt;NA（若f(x)在x0切线存在且f≠0，则g=1/f在x0切线存在，导数公式保证）###-###&gt;&gt;&gt;NA（若f(x)反常积分收敛且f≠0，则g=1/f反常积分必发散，因f→0时1/f→∞或f→c≠0时1/f不趋于0）###-</t>
  </si>
  <si>
    <t>平方（f(x)²=g(x)或f(x,y)²=g(x,y)）</t>
  </si>
  <si>
    <t>00：###&gt;&gt;&gt;f(x)=分段{x,x≠0;1,x=0}（在x=0不可导）,g(x)=分段{x²,x≠0;1,x=0}（在x=0不可导）###-###&gt;&gt;&gt;f(x,y)=|x|+|y|（在(0,0)偏导数不存在）,g(x,y)=(|x|+|y|)²（在(0,0)偏导数不存在）###-###&gt;&gt;&gt;f(x)=分段{1,x≥0;0,x&lt;0}（在x=0不连续）,g(x)=分段{1,x≥0;0,x&lt;0}（在x=0不连续）###-###&gt;&gt;&gt;f(x,y)=分段{1,x≥0;0,x&lt;0}（在x=0不可微）,g(x,y)=分段{1,x≥0;0,x&lt;0}（在x=0不可微）###-###&gt;&gt;&gt;f(x)=分段{sin(1/x),x≠0;0,x=0}（x→0极限不存在）,g(x)=分段{sin²(1/x),x≠0;0,x=0}（x→0极限不存在）###-###&gt;&gt;&gt;f(x,y)=分段{1,xy≠0;0,xy=0}（在(0,0)不连续）,g(x,y)=分段{1,xy≠0;0,xy=0}（在(0,0)不连续）###-###&gt;&gt;&gt;f(x)=x+1（非周期函数）,g(x)=(x+1)²（非周期函数）###-###&gt;&gt;&gt;f(x)=狄利克雷函数（不可积）,g(x)=分段{1,x∈Q;0,x∉Q}（不可积）###-###&gt;&gt;&gt;f(x,y)=x²y/(x⁴+y²)（在(0,0)二阶偏导不连续）,g(x,y)=[x²y/(x⁴+y²)]²（在(0,0)二阶偏导不连续）###-###&gt;&gt;&gt;f(x)=x+1（非奇函数）,g(x)=(x+1)²（非奇函数）###-###&gt;&gt;&gt;f(x)=x+1（非偶函数）,g(x)=(x+1)²（非偶函数）###-###&gt;&gt;&gt;f(x)=分段{x,x≥0;2x,x&lt;0}（在x=0无切线）,g(x)=分段{x²,x≥0;4x²,x&lt;0}（在x=0无切线）###-###&gt;&gt;&gt;f(x)=1/x（无穷积分∫1/xdx从1到∞发散）,g(x)=1/x²（无穷积分∫1/x²dx从1到∞收敛）###-</t>
  </si>
  <si>
    <t>01：###&gt;&gt;&gt;NA（若f(x)在x0处不可导且不连续，则g(x)=f(x)²在x0处因函数值跳跃而不连续，必然不可导，故无法构造此情形）###-###&gt;&gt;&gt;f(x,y)=|x|（在(0,0)处对x的偏导数不存在）,g(x,y)=|x|²=x²（在(0,0)处对x的偏导数存在，为0）###-###&gt;&gt;&gt;NA（若f(x)在x0处不连续，则g(x)=f(x)²在x0处的左右极限必为f(x)左右极限的平方，若f(x)左右极限不等或与函数值不等，g(x)必不连续，故无法构造f不连续但g连续的情形）###-###&gt;&gt;&gt;f(x,y)=|x|（在(0,0)处不可微，因对x的偏导数不存在）,g(x,y)=|x|²=x²（在(0,0)处可微，因偏导数存在且满足全微分条件）###-###&gt;&gt;&gt;f(x)=分段{1,x&gt;0;-1,x&lt;0;0,x=0}（x→0时左极限为-1，右极限为1，极限不存在，不满足性质E）,g(x)=f(x)²=分段{1,x≠0;0,x=0}（x→0时左右极限均为1，极限存在，满足性质E）###-###&gt;&gt;&gt;f(x,y)=分段{2,xy≠0;0,xy=0}（在(0,0)处不连续，不满足性质F），g(x,y)=4（在(0,0)处连续，满足性质F）###-###&gt;&gt;&gt;f(x)=|sin(x)|,g(x)=sin(x)²###-###&gt;&gt;&gt;f(x)=分段{1,x∈Q;-1,x∉Q}（不可积）,g(x)=分段{1,x∈Q;1,x∉Q}（可积，因g几乎处处为1，满足黎曼可积的“几乎处处连续”条件）###-###&gt;&gt;&gt;NA（f(x,y)在(0,0)处二阶偏导不连续，其平方后g(x,y)=[x²y/(x⁴+y²)]²在该点附近沿不同路径（如y=kx²）极限值随k变化而不同，导致g(x,y)在(0,0)处不连续，进而二阶偏导必不连续，无法满足性质I）###-###&gt;&gt;&gt;NA（若f(x)非奇函数，g(x)=f²(x)可能为偶函数，如f(x)=x+1非奇函数，g(x)=(x+1)²非奇函数，无法使g为奇函数）###-###&gt;&gt;&gt;f(x)=x（非偶函数，不满足性质K），g(x)=x²（偶函数，满足性质K）###-###&gt;&gt;&gt;f(x)=|x|（在x=0处无切线，不满足性质L），g(x)=x²（在x=0处切线为y=0，满足性质L）###-###&gt;&gt;&gt;f(x)=1/x（无穷积分∫1/xdx从1到∞发散）,g(x)=1/x²（无穷积分∫1/x²dx从1到∞收敛）###-</t>
  </si>
  <si>
    <t>10：###&gt;&gt;&gt;f(x)=x（在x=0可导）,g(x)=x²（在x=0可导）###-###&gt;&gt;&gt;f(x,y)=x（偏导数存在）,g(x,y)=x²（偏导数存在）###-###&gt;&gt;&gt;NA（若f(x)连续，则g(x)=f²(x)必连续）###-###&gt;&gt;&gt;f(x,y)=x（可微）,g(x,y)=x²（可微）###-###&gt;&gt;&gt;NA（若f(x)在x→x0极限存在，则g(x)=f²(x)极限必存在）###-###&gt;&gt;&gt;NA（若f(x,y)连续，则g(x,y)=f²(x,y)必连续）###-###&gt;&gt;&gt;NA（若f(x)周期T，则g(x)=f²(x)周期≤T，如f(x)=sinx周期2π，g(x)=sin²x也有周期2π）###-###&gt;&gt;&gt;NA（若f(x)可积，则g(x)=f²(x)必可积）###-###&gt;&gt;&gt;f(x,y)=x³（二阶偏导连续）,g(x,y)=x⁶（二阶偏导连续）###-###&gt;&gt;&gt;f(x)=x（奇函数）,g(x)=x²（偶函数）###-###&gt;&gt;&gt;f(x)=x²（偶函数）,g(x)=x⁴（偶函数）###-###&gt;&gt;&gt;f(x)=x（在x=0切线存在）,g(x)=x²（在x=0切线存在）###-###&gt;&gt;&gt;f(x)=1/x²（无穷积分∫1/x²dx从1到∞收敛）,g(x)=1/x⁴（无穷积分∫1/x⁴dx从1到∞收敛）###-</t>
  </si>
  <si>
    <t>11：###&gt;&gt;&gt;f(x)=x²（二阶可导）,g(x)=x⁴（二阶可导）###-###&gt;&gt;&gt;f(x,y)=x²+y²（偏导数存在）,g(x,y)=(x²+y²)²（偏导数存在）###-###&gt;&gt;&gt;f(x)=x（连续）,g(x)=x²（连续）###-###&gt;&gt;&gt;f(x,y)=x（可微）,g(x,y)=x²（可微）###-###&gt;&gt;&gt;f(x)=x（极限存在）,g(x)=x²（极限存在）###-###&gt;&gt;&gt;f(x,y)=x+y（连续）,g(x,y)=(x+y)²（连续）###-###&gt;&gt;&gt;f(x)=sinx周期2π，g(x)=sin²x也有周期2π###-###&gt;&gt;&gt;f(x)=1（可积）,g(x)=1（可积）###-###&gt;&gt;&gt;f(x,y)=x⁴+y⁴（二阶偏导连续）,g(x,y)=(x⁴+y⁴)²（二阶偏导连续）###-###&gt;&gt;&gt;f(x)=x（奇函数）,g(x)=x²（偶函数）###-###&gt;&gt;&gt;f(x)=x²（偶函数）,g(x)=x⁴（偶函数）###-###&gt;&gt;&gt;f(x)=x（在x=0切线存在）,g(x)=x²（在x=0切线存在）###-###&gt;&gt;&gt;f(x)=e^(-x)（无穷积分∫e^(-x)dx从0到∞收敛）,g(x)=e^(-2x)（无穷积分∫e^(-2x)dx从0到∞收敛）###-</t>
  </si>
  <si>
    <t>立方（f(x)³=g(x)或f(x,y)³=g(x,y)）</t>
  </si>
  <si>
    <t>00：###&gt;&gt;&gt;f(x)=|x|（在x=0不可导）,g(x)=|x|³（在x=0不可导，因左右导数均为0但f'''(0)不存在）###-###&gt;&gt;&gt;f(x,y)=|x|+|y|（在(0,0)偏导数不存在）,g(x,y)=(|x|+|y|)³（在(0,0)偏导数不存在）###-###&gt;&gt;&gt;f(x)=分段{1,x≥0;0,x&lt;0}（在x=0不连续）,g(x)=分段{1,x≥0;0,x&lt;0}（在x=0不连续）###-###&gt;&gt;&gt;f(x,y)=分段{1,x≥0;0,x&lt;0}（在x=0不可微）,g(x,y)=分段{1,x≥0;0,x&lt;0}（在x=0不可微）###-###&gt;&gt;&gt;f(x)=分段{sin(1/x),x≠0;0,x=0}（x→0极限不存在）,g(x)=分段{sin³(1/x),x≠0;0,x=0}（x→0极限不存在）###-###&gt;&gt;&gt;f(x,y)=分段{1,xy≠0;0,xy=0}（在(0,0)不连续）,g(x,y)=分段{1,xy≠0;0,xy=0}（在(0,0)不连续）###-###&gt;&gt;&gt;f(x)=x+1（非周期函数）,g(x)=(x+1)³（非周期函数）###-###&gt;&gt;&gt;f(x)=狄利克雷函数（不可积）,g(x)=分段{1,x∈Q;0,x∉Q}（不可积）###-###&gt;&gt;&gt;f(x,y)=x²y/(x⁴+y²)（在(0,0)二阶偏导不连续）,g(x,y)=[x²y/(x⁴+y²)]³（在(0,0)二阶偏导不连续）###-###&gt;&gt;&gt;f(x)=x+1（非奇函数）,g(x)=(x+1)³（非奇函数）###-###&gt;&gt;&gt;f(x)=x+1（非偶函数）,g(x)=(x+1)³（非偶函数）###-###&gt;&gt;&gt;f(x)=分段{x,x≥0;2x,x&lt;0}（在x=0无切线）,g(x)=分段{x³,x≥0;8x³,x&lt;0}（在x=0无切线）###-###&gt;&gt;&gt;f(x)=1/x（无穷积分∫1/xdx从1到∞发散）,g(x)=1/x³（无穷积分∫1/x³dx从1到∞收敛）###-</t>
  </si>
  <si>
    <t>01：###&gt;&gt;&gt;NA（若f(x)在x0不可导，则g(x)=f³(x)在x0仍不可导，如f(x)=|x|，g(x)=|x|³不可导）###-###&gt;&gt;&gt;NA（若f(x,y)在某点偏导数不存在，则g(x)=f³(x,y)偏导数仍不存在，如f(x,y)=|x|+|y|）###-###&gt;&gt;&gt;NA（若f(x)在x0不连续，则g(x)=f³(x)在x0必不连续，因连续性要求极限等于函数值）###-###&gt;&gt;&gt;NA（若f(x,y)在某点不可微，则g(x)=f³(x,y)不可微，因可微性要求偏导存在且满足全微分条件）###-###&gt;&gt;&gt;NA（若f(x)在x→x0极限不存在，则g(x)=f³(x)极限必不存在，因极限运算性质）###-###&gt;&gt;&gt;NA（若f(x,y)在某点不连续，则g(x)=f³(x,y)必不连续，同连续性逻辑）###-###&gt;&gt;&gt;NA（非周期函数立方仍为非周期函数，无法使g为周期函数）###-###&gt;&gt;&gt;NA（若f(x)不可积，则g(x)=f³(x)仍不可积，如狄利克雷函数）###-###&gt;&gt;&gt;NA（若f(x,y)二阶偏导不连续，则g(x)=f³(x,y)的二阶偏导依赖f的导数连续性，必不连续）###-###&gt;&gt;&gt;NA（若f(x)非奇函数，则g(x)=f³(x)仍非奇函数，如f(x)=x+1）###-###&gt;&gt;&gt;NA（若f(x)非偶函数，则g(x)=f³(x)仍非偶函数，如f(x)=x+1）###-###&gt;&gt;&gt;NA（若f(x)在x0无切线，则g(x)=f³(x)在x0无定义或导数不存在，无切线）###-###&gt;&gt;&gt;f(x)=1/x（无穷积分∫1/xdx从1到∞发散）,g(x)=1/x³（无穷积分∫1/x³dx从1到∞收敛）###-</t>
  </si>
  <si>
    <t>10：###&gt;&gt;&gt;f(x)=x（在x=0可导）,g(x)=x³（在x=0可导）###-###&gt;&gt;&gt;f(x,y)=x（偏导数存在）,g(x,y)=x³（偏导数存在）###-###&gt;&gt;&gt;NA（若f(x)在区间连续，则g(x)=f³(x)必连续，因连续函数的立方仍连续）###-###&gt;&gt;&gt;f(x,y)=x（可微）,g(x,y)=x³（可微）###-###&gt;&gt;&gt;NA（若f(x)在x→x0极限存在，则g(x)=f³(x)极限必存在，为[limf(x)]³）###-###&gt;&gt;&gt;NA（若f(x,y)连续，则g(x)=f³(x,y)必连续，同连续性定理）###-###&gt;&gt;&gt;NA（若f(x)周期T，则g(x)=f³(x)必周期T，因f(x+T)=f(x)⇒g(x+T)=g(x)）###-###&gt;&gt;&gt;NA（若f(x)可积，则g(x)=f³(x)必可积，因可积函数的立方仍可积）###-###&gt;&gt;&gt;f(x,y)=x³（二阶偏导连续）,g(x,y)=x⁹（二阶偏导连续）###-###&gt;&gt;&gt;f(x)=x（奇函数）,g(x)=x³（奇函数）###-###&gt;&gt;&gt;f(x)=x²（偶函数）,g(x)=x⁶（偶函数）###-###&gt;&gt;&gt;f(x)=x（在x=0切线存在）,g(x)=x³（在x=0切线存在）###-###&gt;&gt;&gt;f(x)=1/x²（无穷积分∫1/x²dx从1到∞收敛）,g(x)=1/x⁶（无穷积分∫1/x⁶dx从1到∞收敛）###-</t>
  </si>
  <si>
    <t>11：###&gt;&gt;&gt;f(x)=x²（二阶可导）,g(x)=x⁶（二阶可导）###-###&gt;&gt;&gt;f(x,y)=x²+y²（偏导数存在）,g(x,y)=(x²+y²)³（偏导数存在）###-###&gt;&gt;&gt;f(x)=x（连续）,g(x)=x³（连续）###-###&gt;&gt;&gt;f(x,y)=x（可微）,g(x,y)=x³（可微）###-###&gt;&gt;&gt;f(x)=x（极限存在）,g(x)=x³（极限存在）###-###&gt;&gt;&gt;f(x,y)=x+y（连续）,g(x,y)=(x+y)³（连续）###-###&gt;&gt;&gt;NA（若f(x)周期T，则g(x)=f³(x)周期T，但g(x)=sin³x周期2π与f(x)=sinx周期2π相同，符合原周期定义）###-###&gt;&gt;&gt;f(x)=1（可积）,g(x)=1（可积）###-###&gt;&gt;&gt;f(x,y)=x⁴+y⁴（二阶偏导连续）,g(x,y)=(x⁴+y⁴)³（二阶偏导连续）###-###&gt;&gt;&gt;f(x)=x（奇函数）,g(x)=x³（奇函数）###-###&gt;&gt;&gt;f(x)=x²（偶函数）,g(x)=x⁶（偶函数）###-###&gt;&gt;&gt;f(x)=x（在x=0切线存在）,g(x)=x³（在x=0切线存在）###-###&gt;&gt;&gt;f(x)=e^(-x)（无穷积分∫e^(-x)dx从0到∞收敛）,g(x)=e^(-3x)（无穷积分∫e^(-3x)dx从0到∞收敛）###-</t>
  </si>
  <si>
    <t>平方根（sqrt(f(x))=g(x)或sqrt(f(x,y))=g(x,y)）</t>
  </si>
  <si>
    <t>00：###&gt;&gt;&gt;f(x)=|x|（在x=0不可导）,g(x)=sqrt(|x|)（在x=0不可导，导数为无穷大）###-###&gt;&gt;&gt;f(x,y)=|x|+|y|（在(0,0)偏导数不存在）,g(x,y)=sqrt(|x|+|y|)（在(0,0)偏导数不存在）###-###&gt;&gt;&gt;f(x)=分段{1,x≥0;0,x&lt;0}（在x=0不连续）,g(x)=分段{1,x≥0;0,x&lt;0}（在x=0不连续）###-###&gt;&gt;&gt;f(x,y)=分段{1,x≥0;0,x&lt;0}（在x=0不可微）,g(x,y)=分段{1,x≥0;0,x&lt;0}（在x=0不可微）###-###&gt;&gt;&gt;f(x)=分段{sin²(1/x),x≠0;0,x=0}（x→0极限不存在）,g(x)=分段{|sin(1/x)|,x≠0;0,x=0}（x→0极限不存在）###-###&gt;&gt;&gt;f(x,y)=分段{1,xy≠0;0,xy=0}（在(0,0)不连续）,g(x,y)=分段{1,xy≠0;0,xy=0}（在(0,0)不连续）###-###&gt;&gt;&gt;f(x)=x²+1（非周期函数）,g(x)=sqrt(x²+1)（非周期函数）###-###&gt;&gt;&gt;f(x)=狄利克雷函数（不可积）,g(x)=分段{1,x∈Q;0,x∉Q}（不可积）###-###&gt;&gt;&gt;f(x,y)=x²y²/(x⁴+y⁴)（在(0,0)二阶偏导不连续）,g(x,y)=|xy|/sqrt(x⁴+y⁴)（在(0,0)二阶偏导不连续）###-###&gt;&gt;&gt;f(x)=x²（偶函数）,g(x)=|x|（偶函数）###-###&gt;&gt;&gt;f(x)=x²+1（非奇函数）,g(x)=sqrt(x²+1)（非奇函数）###-###&gt;&gt;&gt;f(x)=分段{x²,x≥0;2x²,x&lt;0}（在x=0无切线）,g(x)=分段{|x|,x≥0;|x|sqrt(2),x&lt;0}（在x=0无切线）###-###&gt;&gt;&gt;f(x)=1/x⁴（无穷积分∫1/x⁴dx从1到∞收敛）,g(x)=1/x²（无穷积分∫1/x²dx从1到∞收敛）###-</t>
  </si>
  <si>
    <t>01：###&gt;&gt;&gt;NA（若f(x)在x0不可导且f(x0)&gt;0，则g(x)=sqrt(f(x))在x0可能仍不可导，如f(x)=|x|，g(x)=sqrt(|x|)不可导）###-###&gt;&gt;&gt;NA（若f(x,y)在某点偏导数不存在且f&gt;0，则g=sqrt(f)偏导数仍不存在，如f(x,y)=|x|+|y|）###-###&gt;&gt;&gt;NA（若f(x)在x0不连续且f(x0)≥0，则g=sqrt(f)在x0必不连续，因连续性要求极限等于函数值）###-###&gt;&gt;&gt;NA（若f(x,y)在某点不可微且f&gt;0，则g=sqrt(f)不可微，因可微性要求偏导存在且满足全微分条件）###-###&gt;&gt;&gt;NA（若f(x)在x→x0极限不存在且f(x)≥0，则g=sqrt(f)极限必不存在，因极限运算性质）###-###&gt;&gt;&gt;NA（若f(x,y)在某点不连续且f≥0，则g=sqrt(f)必不连续，同连续性逻辑）###-###&gt;&gt;&gt;NA（非周期函数的平方根仍为非周期函数，无法使g为周期函数）###-###&gt;&gt;&gt;NA（若f(x)不可积且f(x)≥0，则g=sqrt(f)可能仍不可积，如狄利克雷函数）###-###&gt;&gt;&gt;NA（若f(x,y)二阶偏导不连续且f&gt;0，则g=sqrt(f)的二阶偏导依赖f的导数连续性，必不连续）###-###&gt;&gt;&gt;NA（若f(x)非偶函数且f(x)≥0，则g=sqrt(f)可能仍非偶函数，如f(x)=x²+1）###-###&gt;&gt;&gt;NA（若f(x)非奇函数且f(x)≥0，则g=sqrt(f)可能仍非奇函数，如f(x)=x²+1）###-###&gt;&gt;&gt;NA（若f(x)在x0无切线且f(x0)&gt;0，则g=sqrt(f)在x0无定义或导数不存在，无切线）###-###&gt;&gt;&gt;f(x)=1/x⁴（无穷积分∫1/x⁴dx从1到∞收敛）,g(x)=1/x²（无穷积分∫1/x²dx从1到∞收敛）###-</t>
  </si>
  <si>
    <t>10：###&gt;&gt;&gt;f(x)=x²（在x=0可导）,g(x)=|x|（在x=0不可导）###-###&gt;&gt;&gt;f(x,y)=x²+y²（偏导数存在）,g(x)=sqrt(x²+y²)（在(0,0)偏导数不存在）###-###&gt;&gt;&gt;NA（若f(x)在区间连续且f(x)≥0，则g=sqrt(f)必连续，因连续函数的平方根仍连续）###-###&gt;&gt;&gt;f(x,y)=x²+y²（可微）,g(x)=sqrt(x²+y²)（在(0,0)不可微）###-###&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f(x,y)=x⁴+y⁴（二阶偏导连续）,g(x)=sqrt(x⁴+y⁴)（在(0,0)二阶偏导不连续）###-###&gt;&gt;&gt;f(x)=x²（偶函数）,g(x)=|x|（偶函数）###-###&gt;&gt;&gt;f(x)=x²（偶函数）,g(x)=|x|（偶函数）###-###&gt;&gt;&gt;f(x)=x²（在x=0切线存在）,g(x)=|x|（在x=0无切线）###-###&gt;&gt;&gt;f(x)=1/x⁴（无穷积分∫1/x⁴dx从1到∞收敛）,g(x)=1/x²（无穷积分∫1/x²dx从1到∞收敛）###-</t>
  </si>
  <si>
    <t>11：###&gt;&gt;&gt;NA（若f(x)在x0二阶可导且f(x0)&gt;0，则g=sqrt(f)在x0的二阶导数可能不存在，如f(x)=x²，g=|x|二阶导数不存在）###-###&gt;&gt;&gt;NA（若f(x,y)在某点偏导数存在且f&gt;0，则g=sqrt(f)偏导数可能不存在，如f(x,y)=x²+y²）###-###&gt;&gt;&gt;NA（若f(x)在区间连续且f(x)≥0，则g=sqrt(f)必连续，因连续函数的平方根仍连续）###-###&gt;&gt;&gt;NA（若f(x,y)在某点可微且f&gt;0，则g=sqrt(f)可能不可微，如f(x,y)=x²+y²）###-###&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NA（若f(x,y)二阶偏导连续且f&gt;0，则g=sqrt(f)的二阶偏导可能不连续，如f(x,y)=x⁴+y⁴）###-###&gt;&gt;&gt;NA（若f(x)是偶函数且f(x)≥0，则g=sqrt(f)必为偶函数，因sqrt(f(-x))=sqrt(f(x))）###-###&gt;&gt;&gt;NA（若f(x)是偶函数且f(x)≥0，则g=sqrt(f)必为偶函数，同上）###-###&gt;&gt;&gt;NA（若f(x)在x0切线存在且f(x0)&gt;0，则g=sqrt(f)在x0可能无切线，如f(x)=x²）###-###&gt;&gt;&gt;NA（若f(x)为反常积分收敛且f(x)≥0，则g=sqrt(f)的反常积分可能发散，如f(x)=1/x⁴收敛，g=1/x²发散）###-</t>
  </si>
  <si>
    <t>立方根（curt(f(x))=g(x)或curt(f(x,y))=g(x,y)）</t>
  </si>
  <si>
    <t>00：###&gt;&gt;&gt;f(x)=|x|（在x=0不可导）,g(x)=curt(|x|)（在x=0导数为无穷大，不可导）###-###&gt;&gt;&gt;f(x,y)=|x|+|y|（在(0,0)偏导数不存在）,g(x,y)=curt(|x|+|y|)（在(0,0)偏导数不存在）###-###&gt;&gt;&gt;f(x)=分段{1,x≥0;0,x&lt;0}（在x=0不连续）,g(x)=分段{curt(1),x≥0;curt(0),x&lt;0}={1,x≥0;0,x&lt;0}（在x=0不连续）###-###&gt;&gt;&gt;f(x,y)=分段{1,x≥0;0,x&lt;0}（在x=0不可微）,g(x,y)=分段{1,x≥0;0,x&lt;0}（在x=0不可微）###-###&gt;&gt;&gt;f(x)=分段{sin(1/x),x≠0;0,x=0}（x→0极限不存在）,g(x)=分段{curt(sin(1/x)),x≠0;0,x=0}（x→0极限不存在）###-###&gt;&gt;&gt;f(x,y)=分段{1,xy≠0;0,xy=0}（在(0,0)不连续）,g(x,y)=分段{1,xy≠0;0,xy=0}（在(0,0)不连续）###-###&gt;&gt;&gt;f(x)=x+1（非周期函数）,g(x)=curt(x+1)（非周期函数）###-###&gt;&gt;&gt;f(x)=狄利克雷函数（不可积）,g(x)=分段{1,x∈Q;0,x∉Q}（不可积）###-###&gt;&gt;&gt;f(x,y)=x²y/(x⁴+y²)（在(0,0)二阶偏导不连续）,g(x,y)=curt(x²y/(x⁴+y²))（在(0,0)二阶偏导不连续）###-###&gt;&gt;&gt;f(x)=x²+1（非奇函数）,g(x)=curt(x²+1)（非奇函数）###-###&gt;&gt;&gt;f(x)=x+1（非偶函数）,g(x)=curt(x+1)（非偶函数）###-###&gt;&gt;&gt;f(x)=|x|（在x=0无切线）,g(x)=curt(|x|)（在x=0无切线，导数无穷大）###-###&gt;&gt;&gt;f(x)=1/x（无穷积分∫1/xdx从1到∞发散）,g(x)=1/x^(1/3)（无穷积分∫1/x^(1/3)dx从1到∞发散）###-</t>
  </si>
  <si>
    <t>01：###&gt;&gt;&gt;NA（若f(x)在x0不可导且f(x0)≠0，g(x)=curt(f(x))在x0可能仍不可导，如f(x)=|x|，g(x)不可导）###-###&gt;&gt;&gt;NA（若f(x,y)在某点偏导数不存在且f≠0，g=curt(f)偏导数仍不存在，如f(x,y)=|x|+|y|）###-###&gt;&gt;&gt;NA（若f(x)在x0不连续，则g=curt(f)在x0必不连续，因f极限不存在则g极限也不存在）###-###&gt;&gt;&gt;NA（若f(x,y)在某点不可微且f≠0，则g=curt(f)不可微，因偏导不存在）###-###&gt;&gt;&gt;NA（若f(x)在x→x0极限不存在，则g=curt(f)极限必不存在，因立方根保持极限不存在性）###-###&gt;&gt;&gt;NA（若f(x,y)在某点不连续，则g=curt(f)必不连续，同极限逻辑）###-###&gt;&gt;&gt;NA（非周期函数的立方根仍为非周期函数，无法使g为周期函数）###-###&gt;&gt;&gt;NA（若f(x)不可积且f(x)为有界函数，则g=curt(f)可能仍不可积，如狄利克雷函数）###-###&gt;&gt;&gt;NA（若f(x,y)二阶偏导不连续且f≠0，则g=curt(f)的二阶偏导依赖f的导数连续性，必不连续）###-###&gt;&gt;&gt;NA（若f(x)非奇函数且f(x)≠-f(-x)，则g=curt(f)可能仍非奇函数，如f(x)=x²+1）###-###&gt;&gt;&gt;NA（若f(x)非偶函数且f(x)≠f(-x)，则g=curt(f)可能仍非偶函数，如f(x)=x+1）###-###&gt;&gt;&gt;NA（若f(x)在x0无切线且f(x0)≠0，则g=curt(f)在x0无定义或导数不存在，无切线）###-###&gt;&gt;&gt;f(x)=1/x³（无穷积分∫1/x³dx从1到∞收敛）,g(x)=1/x（无穷积分∫1/xdx从1到∞发散）###-</t>
  </si>
  <si>
    <t>10：###&gt;&gt;&gt;f(x)=x²（在x=0可导）,g(x)=curt(x²)=|x|^(2/3)（在x=0导数不存在）###-###&gt;&gt;&gt;f(x,y)=x²+y²（偏导数存在）,g(x,y)=curt(x²+y²)（在(0,0)偏导数存在但二阶偏导不连续）###-###&gt;&gt;&gt;NA（若f(x)连续，则g=curt(f)必连续，因立方根函数连续）###-###&gt;&gt;&gt;f(x,y)=x³（可微）,g(x,y)=x（可微）###-###&gt;&gt;&gt;NA（若f(x)在x→x0极限存在，则g=curt(f)极限必存在，为curt(limf(x))）###-###&gt;&gt;&gt;NA（若f(x,y)连续，则g=curt(f)必连续，同连续性定理）###-###&gt;&gt;&gt;NA（若f(x)周期T，则g=curt(f)必周期T，因f(x+T)=f(x)⇒g(x+T)=g(x)）###-###&gt;&gt;&gt;NA（若f(x)可积，则g=curt(f)必可积，因可积函数的立方根仍可积（有界时））###-###&gt;&gt;&gt;f(x,y)=x⁶+y⁶（二阶偏导连续）,g(x,y)=x²+y²（二阶偏导连续）###-###&gt;&gt;&gt;f(x)=x³（奇函数）,g(x)=x（奇函数）###-###&gt;&gt;&gt;f(x)=x⁶（偶函数）,g(x)=x²（偶函数）###-###&gt;&gt;&gt;f(x)=x³（在x=0切线存在）,g(x)=x（在x=0切线存在）###-###&gt;&gt;&gt;f(x)=1/x⁶（无穷积分∫1/x⁶dx从1到∞收敛）,g(x)=1/x²（无穷积分∫1/x²dx从1到∞收敛）###-</t>
  </si>
  <si>
    <t>11：###&gt;&gt;&gt;f(x)=x³（二阶可导）,g(x)=x（二阶可导）###-###&gt;&gt;&gt;f(x,y)=x³+y³（偏导数存在）,g(x,y)=x+y（偏导数存在）###-###&gt;&gt;&gt;f(x)=x（连续）,g(x)=curt(x)（连续）###-###&gt;&gt;&gt;f(x,y)=x³+y³（可微）,g(x,y)=x+y（可微）###-###&gt;&gt;&gt;f(x)=x（极限存在）,g(x)=curt(x)（极限存在）###-###&gt;&gt;&gt;f(x,y)=x+y（连续）,g(x,y)=curt(x+y)（连续）###-###&gt;&gt;&gt;f(x)=sinx（周期2π）,g(x)=curt(sinx)（周期2π）###-###&gt;&gt;&gt;f(x)=1（可积）,g(x)=1（可积）###-###&gt;&gt;&gt;f(x,y)=x⁶+y⁶（二阶偏导连续）,g(x,y)=x²+y²（二阶偏导连续）###-###&gt;&gt;&gt;f(x)=x³（奇函数）,g(x)=x（奇函数）###-###&gt;&gt;&gt;f(x)=x⁶（偶函数）,g(x)=x²（偶函数）###-###&gt;&gt;&gt;f(x)=x³（在x=0切线存在）,g(x)=x（在x=0切线存在）###-###&gt;&gt;&gt;f(x)=e^(-3x)（无穷积分∫e^(-3x)dx从0到∞收敛）,g(x)=e^(-x)（无穷积分∫e^(-x)dx从0到∞收敛）###-</t>
  </si>
  <si>
    <t>向上取整（ceil(f(x))=g(x)或ceil(f(x,y))=g(x,y)）</t>
  </si>
  <si>
    <t>00：###&gt;&gt;&gt;f(x)=|x|（在x=0不可导）,g(x)=ceil(|x|)（在x=0不可导，因ceil(0)=0，ceil(|x|)在x→0+时为1，跳跃间断）###-###&gt;&gt;&gt;f(x,y)=|x|+|y|（在(0,0)偏导数不存在）,g(x,y)=ceil(|x|+|y|)（在(0,0)偏导数不存在，因(x,y)→(0,0)时g→1，跳跃）###-###&gt;&gt;&gt;f(x)=分段{0.5,x≥0;-0.5,x&lt;0}（在x=0处不连续，不满足性质C），g(x)=ceil(f(x))=分段{1,x≥0;0,x&lt;0}（在x=0处不连续，不满足性质C）###-###&gt;&gt;&gt;f(x,y)=分段{0.5,xy&lt;0;1.5,xy≥0}（在(0,0)不可微）,g(x,y)=分段{1,xy&lt;0;2,xy≥0}（在(0,0)不可微，跳跃）###-###&gt;&gt;&gt;f(x)=分段{sin(1/x),x≠0;0,x=0}（x→0极限不存在）,g(x)=分段{ceil(sin(1/x)),x≠0;0,x=0}（x→0极限不存在，因sin(1/x)在-1到1间震荡，ceil后在0到1间震荡）###-###&gt;&gt;&gt;f(x,y)=分段{1-|xy|,xy≠0;0,xy=0}（在(0,0)不连续）,g(x,y)=分段{1,xy≠0;0,xy=0}（在(0,0)不连续）###-###&gt;&gt;&gt;f(x)=x+sinx（非周期函数）,g(x)=ceil(x+sinx)（非周期函数，因x递增时g无重复周期）###-###&gt;&gt;&gt;f(x)=分段{1.5,x∈Q;1,x∉Q}（不可积，不满足性质H），g(x)=ceil(f(x))=分段{2,x∈Q;1,x∉Q}（不可积，不满足性质H）###-###&gt;&gt;&gt;f(x,y)=x²y/(x⁴+y²)+1（在(0,0)处二阶偏导不连续，不满足性质I），g(x,y)=ceil(x²y/(x⁴+y²)+1)（在(0,0)处因沿y=kx²路径时f(x,y)趋近于1+k/(1+k²)，其值在(1,2)内波动，导致g(x,y)在1和2之间跳跃，二阶偏导不连续，不满足性质I）###-###&gt;&gt;&gt;f(x)=x（奇函数）,g(x)=ceil(x)（非奇函数，如ceil(1)=1，ceil(-1)=-1，但ceil(0.5)=1，ceil(-0.5)=0，不满足f(-x)=-f(x)）###-###&gt;&gt;&gt;f(x)=x²（偶函数）,g(x)=ceil(x²)（偶函数，因ceil(x²)=ceil((-x)²)）###-###&gt;&gt;&gt;f(x)=x（在x=0切线存在）,g(x)=ceil(x)（在x=0无切线，因x=0处左右导数不存在，跳跃）###-###&gt;&gt;&gt;f(x)=1/x（无穷积分∫1/xdx发散）,g(x)=ceil(1/x)（x≥1时1/x∈(0,1]，ceil(1/x)=1，无穷积分∫1dx发散）###-</t>
  </si>
  <si>
    <t>01：###&gt;&gt;&gt;f(x)=|x|（在x=0不可导）,g(x)=ceil(|x|+0.5)（在x=0可导，因|x|+0.5∈(0.5,1.5)，ceil后为1，常数函数）###-###&gt;&gt;&gt;f(x,y)=|x|（在x=0偏导数不存在）,g(x,y)=ceil(|x|+0.5)（在x=0偏导数存在，因|x|+0.5∈(0.5,1.5)，ceil后为1，偏导为0）###-###&gt;&gt;&gt;f(x)=分段{2.2,x&lt;0;2.8,x≥0}（在x=0处不连续，不满足性质C），g(x)=ceil(f(x))=2（在x=0处连续，满足性质C）###-###&gt;&gt;&gt;f(x,y)=|x|（在x=0不可微）,g(x,y)=ceil(|x|+0.5)（在x=0可微，常数函数）###-###&gt;&gt;&gt;f(x)=分段{0.5,x&lt;0;1.5,x≥0}（x→0极限不存在）,g(x)=分段{1,x&lt;0;2,x≥0}（x→0极限不存在，NA）###-###&gt;&gt;&gt;f(x,y)=分段{0.5,xy&lt;0;1.5,xy≥0}（在(0,0)不连续）,g(x,y)=分段{1,xy&lt;0;2,xy≥0}（在(0,0)不连续，NA）###-###&gt;&gt;&gt;f(x)=|0.5*sin(x)|+0.5,g(x)=1###-###&gt;&gt;&gt;f(x)=狄利克雷函数（不可积）,g(x)=1（可积，因几乎处处为1）###-###&gt;&gt;&gt;f(x,y)=x²y²/(x⁴+y⁴)（在(0,0)处二阶偏导不连续，不满足性质I），g(x,y)=ceil(x²y²/(x⁴+y⁴))=0（在全平面二阶偏导连续，满足性质I，因x²y²/(x⁴+y⁴)≤0.5恒成立，向上取整后为0）###-###&gt;&gt;&gt;f(x)=x+1（非奇函数）,g(x)=ceil(x+1)（非奇函数，如ceil(1+1)=2，ceil(-1+1)=0）###-###&gt;&gt;&gt;f(x)=x+1（非偶函数）,g(x)=ceil(x+1)（非偶函数，如ceil(1+1)=2，ceil(-1+1)=0）###-###&gt;&gt;&gt;f(x)=|x|（在x=0无切线）,g(x)=ceil(|x|+0.5)（在x=0有切线，常数函数导数为0）###-###&gt;&gt;&gt;f(x)=1/x+1（x≥1时1/x+1∈(1,2]，无穷积分∫(1/x+1)dx发散）,g(x)=2（无穷积分∫2dx发散）###-</t>
  </si>
  <si>
    <t>10：###&gt;&gt;&gt;f(x)=x（在x=0可导）,g(x)=ceil(x)（在x=0不可导，因ceil(0)=0，ceil(x)在x→0+时为1，跳跃）###-###&gt;&gt;&gt;f(x,y)=x（偏导数存在）,g(x,y)=ceil(x)（在x=0偏导数不存在，跳跃）###-###&gt;&gt;&gt;NA（若f(x)连续，则g(x)=ceil(f(x))在f(x)为整数处可能不连续，如f(x)=x在x=1连续，g(1)=1，g(1-ε)=1，g(1+ε)=2，不连续）###-###&gt;&gt;&gt;f(x,y)=x（可微）,g(x,y)=ceil(x)（在x=0不可微，跳跃）###-###&gt;&gt;&gt;NA（若f(x)在x→x0极限存在，则g(x)=ceil(f(x))在f(x0)为整数时可能极限不存在，如f(x)=x→1，g(x)→2（x→1+）和1（x→1-））###-###&gt;&gt;&gt;NA（若f(x,y)连续，则g(x,y)=ceil(f(x,y))在f=整数处不连续，如f(x,y)=x+y在(0,1)连续，g(0,1)=1，g(0,1+ε)=2）###-###&gt;&gt;&gt;NA（若f(x)周期T，g(x)=ceil(f(x))周期必为T，因f(x+T)=f(x)⇒g(x+T)=g(x)，但g在整数点间断，仍为周期函数）###-###&gt;&gt;&gt;NA（若f(x)可积，g(x)=ceil(f(x))在f(x)值域不含整数时可积，如f(x)=x+0.5在[0,1]可积，g(x)=1可积，无法构造g不可积的例子）###-###&gt;&gt;&gt;f(x,y)=x³（二阶偏导连续）,g(x,y)=ceil(x³)（在x=0二阶偏导不存在，跳跃）###-###&gt;&gt;&gt;f(x)=x（奇函数）,g(x)=ceil(x)（非奇函数，如ceil(1)=1，ceil(-1)=-1，但ceil(0.5)=1，ceil(-0.5)=0≠-1）###-###&gt;&gt;&gt;f(x)=x²（偶函数）,g(x)=ceil(x²)（偶函数，因x²=(-x)²）###-###&gt;&gt;&gt;f(x)=x（在x=0切线存在）,g(x)=ceil(x)（在x=0无切线，跳跃）###-###&gt;&gt;&gt;f(x)=e^(-x)（无穷积分收敛）,g(x)=ceil(e^(-x))=1（无穷积分发散）###-</t>
  </si>
  <si>
    <t>11：###&gt;&gt;&gt;NA（若f(x)可导，则g(x)=ceil(f(x))在f(x)为整数处不可导，因跳跃，故无法构造f可导且g可导的11情况）###-###&gt;&gt;&gt;NA（若f(x,y)偏导数存在，则g(x,y)=ceil(f(x,y))在f为整数处偏导数不存在，跳跃）###-###&gt;&gt;&gt;NA（若f(x)连续，则g(x)=ceil(f(x))在f(x)为整数处不连续，无法同时连续）###-###&gt;&gt;&gt;NA（若f(x,y)可微，则g(x,y)=ceil(f(x,y))在f为整数处不可微，跳跃）###-###&gt;&gt;&gt;NA（若f(x)在x→x0极限存在，则g(x)=ceil(f(x))在f(x0)为整数时左右极限不同，极限不存在）###-###&gt;&gt;&gt;NA（若f(x,y)连续，则g(x,y)=ceil(f(x,y))在f为整数处不连续，无法同时连续）###-###&gt;&gt;&gt;f(x)=sinx（周期2π，满足性质G），g(x)=ceil(sinx)（周期2π，满足性质G）###-###&gt;&gt;&gt;NA（若f(x)可积，则g(x)=ceil(f(x))可能可积（如f(x)值域不含整数），但需f和g都可积，如f(x)=x+0.5在[0,1]可积，g(x)=1可积）###-###&gt;&gt;&gt;NA（若f(x,y)二阶偏导连续，则g(x,y)=ceil(f(x,y))在f为整数处二阶偏导不存在，跳跃）###-###&gt;&gt;&gt;NA（若f(x)是奇函数且g(x)=ceil(f(x))，则g(-x)=ceil(-f(x))≠-ceil(f(x))，如f(x)=x，g(-x)=ceil(-x)≠-ceil(x)）###-###&gt;&gt;&gt;NA（若f(x)是偶函数，则g(x)=ceil(f(x))是偶函数，因f(-x)=f(x)⇒g(-x)=g(x)，但需f和g都为偶函数，如f(x)=x²，g(x)=ceil(x²)）###-###&gt;&gt;&gt;NA（若f(x)在x0切线存在，则g(x)=ceil(f(x))在x0无切线，因跳跃）###-###&gt;&gt;&gt;NA（若f(x)反常积分收敛，则g(x)=ceil(f(x))因f(x)→0时ceil(f(x))在0附近为0或1，积分可能发散，如f(x)=e^(-x)收敛，g(x)=1（x≥0）发散）###-</t>
  </si>
  <si>
    <t>向下取整（floor(f(x))=g(x)或floor(f(x,y))=g(x,y)）</t>
  </si>
  <si>
    <t>00：###&gt;&gt;&gt;f(x)=|x|（在x=0不可导）,g(x)=floor(|x|)（在x=0不可导，跳跃间断）###-###&gt;&gt;&gt;f(x,y)=|x|+|y|（在(0,0)偏导数不存在）,g(x,y)=floor(|x|+|y|)（在(0,0)偏导数不存在，跳跃）###-###&gt;&gt;&gt;f(x)=分段{0.5,x&lt;0;1.5,x≥0}（在x=0不连续）,g(x)=分段{0,x&lt;0;1,x≥0}（在x=0不连续）###-###&gt;&gt;&gt;f(x,y)=分段{0.5,xy&lt;0;1.5,xy≥0}（在(0,0)不可微）,g(x,y)=分段{0,xy&lt;0;1,xy≥0}（在(0,0)不可微，跳跃）###-###&gt;&gt;&gt;f(x)=分段{sin(1/x),x≠0;0,x=0}（x→0极限不存在）,g(x)=分段{floor(sin(1/x)),x≠0;0,x=0}（x→0极限不存在，震荡）###-###&gt;&gt;&gt;f(x,y)=分段{1-|xy|,xy≠0;0,xy=0}（在(0,0)不连续）,g(x,y)=0（在(0,0)连续，因floor将(0,1)内的f值统一映射为0，消除了跳跃间断）###-###&gt;&gt;&gt;f(x)=x+sinx（非周期函数）,g(x)=floor(x+sinx)（非周期函数）###-###&gt;&gt;&gt;f(x)=分段{1.5,x∈Q;1,x∉Q}（类狄利克雷不可积），g(x)=1（可积，因floor将f(x)恒映射为1，满足可积条件）###-###&gt;&gt;&gt;f(x,y)=x²y/(x⁴+y²)（在(0,0)二阶偏导不连续）,g(x,y)=0（二阶偏导连续，因floor将f(x,y)在(0,0)附近的值强制映射为0，导数恒为0）###-###&gt;&gt;&gt;f(x)=x+1（非奇函数）,g(x)=floor(x+1)（非奇函数）###-###&gt;&gt;&gt;f(x)=x+1（非偶函数）,g(x)=floor(x+1)（非偶函数）###-###&gt;&gt;&gt;f(x)=|x|（在x=0无切线）,g(x)=floor(|x|)（在x=0无切线，分段常数）###-###&gt;&gt;&gt;NA（floor函数对f(x)=1/x（x≥1）取整后恒为0，导致g(x)在积分区间内几乎处处为0，其积分必然收敛，与f(x)的发散性无关，故无法通过f发散推断g必发散）###-</t>
  </si>
  <si>
    <t>01：###&gt;&gt;&gt;f(x)=|x|+0.5（在x=0处因不可导无切线，不满足性质L）,g(x)=floor(|x|+0.5)=1（在x=0处为常数函数，切线存在且为y=1，满足性质L）###-###&gt;&gt;&gt;f(x,y)=|x|+0.5（在x=0处对x的偏导数不存在，不满足性质B）,g(x,y)=floor(|x|+0.5)=1（在全平面偏导数存在，满足性质B，因常数函数偏导恒为0）###-###&gt;&gt;&gt;f(x)=分段{2.2,x&lt;0;2.8,x≥0}（在x=0处左极限2.2，右极限2.8，不连续）,g(x)=floor(f(x))=2（在x=0处左右极限均为2，连续）###-###&gt;&gt;&gt;f(x,y)=|x|+0.5（在(0,0)处因偏导数不存在-&gt;不可微，不满足性质D）,g(x,y)=floor(|x|+0.5)=0（在全平面可微，满足性质D，因常数函数必可微）###-###&gt;&gt;&gt;NA（若f(x)在x→x0极限不存在，g(x)=floor(f(x))可能仍极限不存在，如分段函数，故无需NA）###-###&gt;&gt;&gt;f(x,y)=分段{0.5,xy&lt;0;0.25,xy≥0}（在(0,0)处不连续，不满足性质F），g(x,y)=0（在(0,0)处连续，满足性质F）###-###&gt;&gt;&gt;NA（非周期函数取floor仍为非周期，无法构造g为周期函数）###-###&gt;&gt;&gt;f(x)=狄利克雷函数（不可积）,g(x)=1（可积）###-###&gt;&gt;&gt;f(x,y)=x²y/(x⁴+y²)（在(0,0)处二阶偏导不连续，不满足性质I），g(x,y)=0（分母比分子高阶，绝对值在0-1之间，向下取整全部拉到0。二阶偏导连续，满足性质I）###-###&gt;&gt;&gt;f(x)=分段{1.5,x&gt;0;0.5,x=0;-0.5,x&lt;0},g(x)=分段{1,x&gt;0;0,x=0;-1,x&lt;0}###-###&gt;&gt;&gt;f(x)=分段{0,x≠1;0.5,x=1}（非偶函数，不满足性质K），g(x)=0（偶函数，满足性质K）###-###&gt;&gt;&gt;f(x)=|x|+0.5（在x=0处无切线，不满足性质L），g(x)=floor(|x|+0.5)=0（在x=0处有切线，满足性质L）###-###&gt;&gt;&gt;f(x)=1/x+1（x≥1时floor(1/x+1)=1，无穷积分发散）,g(x)=1（无穷积分发散）###-</t>
  </si>
  <si>
    <t>10：###&gt;&gt;&gt;f(x)=x（在x=0处可导，满足性质A）,g(x)=floor(x)（在x=0处因跳跃间断不可导，不满足性质A）###-###&gt;&gt;&gt;f(x,y)=x（在全平面偏导数存在，满足性质B）,g(x,y)=floor(x)（在x=0处因整数点跳跃导致左右偏导数不存在，不满足性质B）###-###&gt;&gt;&gt;NA（若f(x)连续，则g(x)=floor(f(x))在f(x)∈Z处必间断，因floor函数在整数点跳跃）###-###&gt;&gt;&gt;f(x,y)=x（在全平面可微，满足性质D）,g(x,y)=floor(x)（在x=0处因整数点跳跃不连续，不满足可微性要求，故不满足性质D）###-###&gt;&gt;&gt;NA（若f(x)在x→x0极限存在且f(x0)∈Z，则g(x)左右极限不同，极限不存在）###-###&gt;&gt;&gt;NA（若f(x,y)连续且f(x,y)∈Z，则g(x,y)在该点间断，因floor跳跃）###-###&gt;&gt;&gt;NA（若f(x)周期T，g(x)=floor(f(x))周期必为T，因f(x+T)=f(x)⇒g(x+T)=g(x)，但g在整数点间断，仍为周期函数）###-###&gt;&gt;&gt;NA（若f(x)可积，g(x)=floor(f(x))在f(x)值域不含整数时可积，如f(x)=x+0.5在[0,1]可积，g(x)=0可积，无法构造g不可积的例子）###-###&gt;&gt;&gt;f(x,y)=x³二阶偏导连续，g(x,y)=floor(x³)在x=0处二阶偏导不存在###-###&gt;&gt;&gt;NA（若f(x)是奇函数，g(x)=floor(f(x))非奇函数，因floor(-f(x))≠-floor(f(x))，如f(x)=x，floor(-0.5)=-1≠-floor(0.5)=0）###-###&gt;&gt;&gt;f(x)=x²（偶函数）,g(x)=floor(x²)（偶函数，因x²=(-x)²⇒floor(x²)=floor((-x)²)）###-###&gt;&gt;&gt;f(x)=x（在x=0处切线为y=x）,g(x)=floor(x)（在x=0处左极限0、右极限1，不连续，无切线）###-###&gt;&gt;&gt;NA（若f(x)的反常积分收敛，则当x→∞时f(x)→0，故存在X使得x&gt;X时f(x)&lt;1，此时floor(f(x))=0。因此g(x)在(X,∞)上恒为0，仅在[0,X]上可能非零，其积分必收敛，无法构造g积分发散的例子）###-</t>
  </si>
  <si>
    <t>11：###&gt;&gt;&gt;NA（若f(x)可导，则g(x)=floor(f(x))在f(x)∈Z处必不可导，因floor跳跃）###-###&gt;&gt;&gt;NA（若f(x,y)偏导数存在，则g(x,y)=floor(f(x,y))在f∈Z处偏导数不存在，因跳跃）###-###&gt;&gt;&gt;NA（若f(x)连续，则g(x)=floor(f(x))在f(x)∈Z处必不连续，因floor跳跃）###-###&gt;&gt;&gt;NA（若f(x,y)可微，则g(x,y)=floor(f(x,y))在f∈Z处必不可微，因不连续）###-###&gt;&gt;&gt;NA（若f(x)在x→x0极限存在且f(x0)∈Z，则g(x)极限不存在，因左右极限不同）###-###&gt;&gt;&gt;NA（若f(x,y)连续，则g(x,y)=floor(f(x,y))在f∈Z处必不连续，因跳跃）###-###&gt;&gt;&gt;f(x)=sinx（周期2π，满足性质G），g(x)=floor(sinx)（周期2π，满足性质G）###-###&gt;&gt;&gt;f(x)=x+0.5（在[0,1]上连续可积，定积分值为Int(0,1):(x+0.5)dx=0.75）,g(x)=floor(x+0.5)=0（在[0,1]上为常数函数，定积分值为0，满足可积性）###-###&gt;&gt;&gt;NA（若f(x,y)二阶偏导连续，则g(x,y)=floor(f(x,y))在f∈Z处二阶偏导不存在，因跳跃）###-###&gt;&gt;&gt;NA（若f(x)是奇函数，g(x)=floor(f(x))必非奇函数，因floor(-f(x))≠-floor(f(x))）###-###&gt;&gt;&gt;f(x)=x²（偶函数）,g(x)=floor(x²)（偶函数）###-###&gt;&gt;&gt;f(x)=x+0.5（在x=0处切线为y=x+0.5）,g(x)=floor(x+0.5)=0（常数函数，在x=0处切线为y=0）###-###&gt;&gt;&gt;f(x)=e^(-x)（无穷积分收敛）,g(x)=0（无穷积分收敛）###-</t>
  </si>
  <si>
    <t>定积分换元时要注意###间断点###和###区间压扁###</t>
  </si>
  <si>
    <t>考察t(x)本身</t>
  </si>
  <si>
    <t>考察t(x)换入被积函数后</t>
  </si>
  <si>
    <t>考察积分区间是否会被压缩（比如±a上的积分，换元x²）</t>
  </si>
  <si>
    <t>IO密集型的进程应该优先执行，因为提前让慢的IO先开始可以同时利用CPU并行提效。### ###（无需作答）</t>
  </si>
  <si>
    <t>驻留集大小不是驻留集窗口的大小，驻留集窗口之外的页号，也会被从页框释放掉。### ###（无需作答）</t>
  </si>
  <si>
    <t>fork产生子进程的逻辑### ###（无需作答）</t>
  </si>
  <si>
    <t>父进程执行fork后，子进程相当于从父进程的fork返回位置开始执行，只是fork返回的pid不同而已。</t>
  </si>
  <si>
    <t>特例法大杀器-二元运算### ###（无需作答）</t>
  </si>
  <si>
    <t>加减（f(x)±g(x)=h(x)或f(x,y)±g(x,y)=h(x,y)）</t>
  </si>
  <si>
    <t>000：###F (x)=|x|,G (x)=|x|###-###F (x,y)=|x|+|y|,G (x,y)=|x|+|y|###-###F (x)=1/x,G (x)=1/x###-###F (x,y)=1/√(x²+y²),G (x,y)=1/√(x²+y²)###-###F (x)=1/x,G (x)=1/x###-###F (x,y)=1/(x+y),G (x,y)=1/(x+y)###-###F (x)=sinx+1/x,G (x)=cosx+1/x###-###F (x)=1/x,G (x)=1/x（区间 [0,1]）###-###F (x,y)=1/(x+y),G (x,y)=1/(x+y)###-###F (x)=x²+1,G (x)=x²+1###-###F (x)=x+1,G (x)=x+1###-###F (x)=|x|,G (x)=|x|###-###F (x)=1/x,G (x)=1/x（积分区间 [1,+∞)）###</t>
  </si>
  <si>
    <t>001：###F (x)=x,G (x)=2x→h (x)=3x###-###F (x,y)=x+y,G (x,y)=xy→h (x,y)=x+y-xy###-###F (x)=sinx,G (x)=x（连续函数加减必连续√）###-###F (x)=x²,G (x)=cosx（可导函数加减必可导√，因 (h)'=(f±g)'=f'±g'）###-###F (x)=x+1,G (x)=2x（x→2 时极限存在，加减后极限仍存在√）###-###F (x)=sinx,G (x)=sin (√2x)（周期函数加减未必周期 ×，如两函数周期比为无理数时和非周期）###-###F (x)=x,G (x)=1（[0,1] 上可积函数加减必可积√）###-###F (x,y)=x²,G (x,y)=y²→h (x,y)=x²+y²###-###F (x)=x,G (x)=x³（奇函数加减奇函数必为奇函数√，h (-x)=-f (x)±(-g (x))=-h (x)）###-###F (x)=x²,G (x)=cosx（偶函数加减偶函数必为偶函数√，h (-x)=f (-x)±g (-x)=h (x)）###-###F (x)=1/x²,G (x)=1/x³（积分区间 [1,+∞) 收敛，加减后仍收敛√）###-###F (x)=sinx,G (x)=cosx（有界函数加减必为有界函数√，|h (x)|≤|f (x)|+|g (x)|≤2）###-###F (x)=2x+1,G (x)=-x→h (x)=x+1（线性函数加减仍为线性函数√）###</t>
  </si>
  <si>
    <t>010：###F (x)=|x|,G (x)=x###-###F (x,y)=|x|,G (x,y)=y###-###F (x)=1/x,G (x)=x###-###F (x,y)=1/√(x²+y²),G (x,y)=y###-###F (x)=1/x,G (x)=x###-###F (x,y)=1/(x+y),G (x,y)=y###-###F (x)=sinx+1/x,G (x)=sinx###-###F (x)=1/x,G (x)=x（区间 [0,1]）###-###F (x,y)=1/(x+y),G (x,y)=y###-###F (x)=x²+1,G (x)=x###-###F (x)=x+1,G (x)=x²###-###F (x)=|x|,G (x)=x###-###F (x)=1/x,G (x)=1/x²（积分区间 [1,+∞)）###</t>
  </si>
  <si>
    <t>011：###F (x)=x,G (x)=x²###-###F (x,y)=xy,G (x,y)=x²y###-###F (x)=x,G (x)=x²###-###F (x,y)=xy,G (x,y)=x²y###-###F (x)=x,G (x)=x²###-###F (x,y)=xy,G (x,y)=x²y###-###F (x)=sinx,G (x)=sinx###-###F (x)=x,G (x)=x²（区间 [0,1]）###-###F (x,y)=xy,G (x,y)=x²y###-###F (x)=x,G (x)=x³###-###F (x)=x²,G (x)=x⁴###-###F (x)=x,G (x)=x²###-###F (x)=1/x²,G (x)=1/x³（积分区间 [1,+∞)）###</t>
  </si>
  <si>
    <t>110：###NA (可导函数加减必可导)###-###NA (偏导存在函数加减必偏导存在)###-###NA (连续函数加减必连续)###-###NA (可微函数加减必可微)###-###NA (极限存在函数加减必极限存在)###-###NA (连续函数加减必连续)###-###F (x)=sinx,G (x)=sin2x###-###NA (可积函数加减必可积)###-###NA (二阶偏导连续函数加减必连续)###-###NA (奇函数加减必奇函数)###-###NA (偶函数加减必偶函数)###-###NA (有切线函数加减必有切线)###-###NA (收敛反常积分加减必收敛)###</t>
  </si>
  <si>
    <t>111：###F (x)=x,G (x)=x²###-###F (x,y)=xy,G (x,y)=x²y###-###F (x)=x,G (x)=x²###-###F (x,y)=xy,G (x,y)=x²y###-###F (x)=x,G (x)=x²###-###F (x,y)=xy,G (x,y)=x²y###-###F (x)=sinx,G (x)=sinx###-###F (x)=x,G (x)=x²（区间 [0,1]）###-###F (x,y)=xy,G (x,y)=x²y###-###F (x)=x,G (x)=x³###-###F (x)=x²,G (x)=x⁴###-###F (x)=x,G (x)=x²###-###F (x)=1/x²,G (x)=1/x³（积分区间 [1,+∞)）###</t>
  </si>
  <si>
    <t>乘法（f(x)*g(x)=h(x)或f(x,y)*g(x,y)=h(x,y)）</t>
  </si>
  <si>
    <t>000：###F (x)=|x|+1,G (x)=|x|+1###-###F (x,y)=1/√(x²+y²),G (x,y)=1/√(x²+y²)###-###F (x)=1/x,G (x)=1/x###-###F (x,y)=1/√(x²+y²),G (x,y)=1/√(x²+y²)###-###F (x)=1/x,G (x)=1/x###-###F (x,y)=1/(x+y),G (x,y)=1/(x+y)###-###F (x)=sinx+1/x,G (x)=cosx+1/x###-###F (x)=1/x,G (x)=1/x（区间 [0,1]）###-###F (x,y)=1/(x+y),G (x,y)=1/(x+y)###-###F (x)=x²+1,G (x)=x²+1###-###F (x)=x+1,G (x)=x+1###-###F (x)=|x|,G (x)=|x|###-###F (x)=1/√x,G (x)=1/√x（积分区间 [1,+∞)）###</t>
  </si>
  <si>
    <t>001：###F (x)=x,G (x)=2x→h (x)=2x²###-###F (x,y)=x+y,G (x,y)=xy→h (x,y)=(x+y) xy=x²y+xy²###-###F (x)=sinx,G (x)=x（连续函数相乘必连续√，由连续函数运算性质保证）###-###F (x)=x²,G (x)=cosx（可导函数相乘必可导√，因 (h)'=f'g+fg' 存在）###-###F (x)=x+1,G (x)=2x（x→2 时极限存在，相乘后极限为 (2+1)×4=12√）###-###F (x)=sinx,G (x)=sin (√2x)（周期函数相乘未必周期 ×，两函数周期比为无理数时无公共周期；反例：sinx・sin (√2x) 非周期）###-###F (x)=x,G (x)=1（[0,1] 上可积函数相乘必可积√，因乘积仍有界且间断点有限）###-###F (x,y)=x²,G (x,y)=y²→h (x,y)=x²y²###-###F (x)=x,G (x)=x³（奇函数 × 奇函数 = 偶函数√，h (-x)=(-x)・(-x³)=x⁴=h (x)）###-###F (x)=x²,G (x)=cosx（偶函数 × 偶函数 = 偶函数√，h (-x)=x²・cosx=h (x)）###-###F (x)=1/x²,G (x)=1/x³（积分区间 [1,+∞)，乘积 1/x^5 收敛√，因 p=5&gt;1）###-###F (x)=sinx,G (x)=cosx（有界函数相乘必为有界函数√，|h (x)|≤|sinx||cosx|≤1/2）###-###F (x)=2x+1,G (x)=-x→h (x)=-2x²-x（线性函数相乘必为二次函数√，次数为 1+1=2）###</t>
  </si>
  <si>
    <t>010：###F (x)=x,G (x)=|x|###-###F (x,y)=0,G (x,y)=|x|###-###F (x)=0,G (x)=1/x###-###F (x,y)=0,G (x,y)=|x|+|y|###-###F (x)=x,G (x)=1/x###-###F (x,y)=0,G (x,y)=1/(x+y)###-###F (x)=0,G (x)=x###-###F (x)=0,G (x)=1/x（区间 [0,1]）###-###F (x,y)=0,G (x,y)=1/(x+y)###-###F (x)=x,G (x)=x²###-###F (x)=0,G (x)=x###-###F (x)=x,G (x)=|x|###-###F (x)=0,G (x)=x（积分区间 [1,+∞)）###</t>
  </si>
  <si>
    <t>011：###F (x)=x,G (x)=x²###-###F (x,y)=x,G (x,y)=x²y###-###F (x)=x,G (x)=x²###-###F (x,y)=x,G (x,y)=x²y###-###F (x)=x,G (x)=x²###-###F (x,y)=x,G (x,y)=x²y###-###F (x)=sinx,G (x)=x###-###F (x)=x,G (x)=x²（区间 [0,1]）###-###F (x,y)=x,G (x,y)=x²y###-###F (x)=x,G (x)=x³###-###F (x)=x²,G (x)=x⁴###-###F (x)=x,G (x)=x²###-###F (x)=x,G (x)=x²（积分区间 [1,+∞)）###</t>
  </si>
  <si>
    <t>110：###F (x)=x,G (x)=x###-###F (x,y)=x,G (x,y)=y###-###F (x)=x,G (x)=x²###-###F (x,y)=x,G (x,y)=y###-###F (x)=x,G (x)=x²###-###F (x,y)=x,G (x,y)=y###-###F (x)=sinx,G (x)=cosx###-###F (x)=x,G (x)=x²（区间 [0,1]）###-###F (x,y)=x,G (x,y)=y###-###F (x)=x,G (x)=x²###-###F (x)=x²,G (x)=x³###-###F (x)=x,G (x)=x²###-###F (x)=1/x²,G (x)=1/x³（积分区间 [1,+∞)）###</t>
  </si>
  <si>
    <t>除法（f(x)/g(x)=h(x)或f(x,y)/g(x,y)=h(x,y)）</t>
  </si>
  <si>
    <t>000：###F (x)=x²,G (x)=x（x≠0）###-###F (x,y)=x²y,G (x,y)=xy（xy≠0）###-###F (x)=x+1,G (x)=1###-###F (x,y)=x²+y²,G (x,y)=1###-###F (x)=x³,G (x)=x（x≠0）###-###F (x,y)=x+y,G (x,y)=2###-###F (x)=sin2x,G (x)=sinx（sinx≠0）###-###F (x)=1,G (x)=2（区间 [0,1]）###-###F (x,y)=x³y³,G (x,y)=xy（xy≠0）###-###F (x)=x²,G (x)=x⁴###-###F (x)=x+1,G (x)=1###-###F (x)=x,G (x)=1###-###F (x)=1/x²,G (x)=1（积分区间 [1,+∞)）###</t>
  </si>
  <si>
    <t>001：###F (x)=|x|,G (x)=x（x≠0）###-###F (x,y)=|x|,G (x,y)=y（y≠0）###-###F (x)=sgn (x),G (x)=1###-###F (x,y)=|x|+|y|,G (x,y)=x（x≠0）###-###F (x)=1/x,G (x)=x（x≠0）###-###F (x,y)=1/|x+y|,G (x,y)=1###-###F (x)=x+|x|,G (x)=sinx（sinx≠0）###-###F (x)=1/x,G (x)=1（区间 (0,1]）###-###F (x,y)=|x|+|y|,G (x,y)=y（y≠0）###-###F (x)=x²+|x|,G (x)=x（x≠0）###-###F (x)=x+1,G (x)=x²###-###F (x)=|x|,G (x)=x（x≠0）###-###F (x)=1/x,G (x)=1/x²（积分区间 [1,+∞)）###</t>
  </si>
  <si>
    <t>010：###F (x)=x,G (x)=|x|（x≠0）###-###F (x,y)=x,G (x,y)=|x|（x≠0）###-###F (x)=x²,G (x)=x（x≠0）###-###F (x,y)=x,G (x,y)=1/√(x²+y²)（x²+y²≠0）###-###F (x)=x³,G (x)=x²（x≠0）###-###F (x,y)=x,G (x,y)=1/(x+y)（x+y≠0）###-###F (x)=sinx,G (x)=x（x≠0）###-###F (x)=x,G (x)=1（区间 [0,1]）###-###F (x,y)=x,G (x,y)=1/(x+y)（x+y≠0）###-###F (x)=x⁴,G (x)=x²（x≠0）###-###F (x)=x³,G (x)=x（x≠0）###-###F (x)=x,G (x)=|x|（x≠0）###-###F (x)=1/x,G (x)=1/x²（积分区间 [1,+∞)）###</t>
  </si>
  <si>
    <t>011：###F (x)=x³,G (x)=x²（x≠0）###-###F (x,y)=x²y³,G (x,y)=xy²（xy≠0）###-###F (x)=sinx,G (x)=cosx（cosx≠0）###-###F (x,y)=x+y,G (x,y)=x（x≠0）###-###F (x)=x²+1,G (x)=x+1（x≠-1）###-###F (x,y)=1/√(x²+y²),G (x,y)=1/(x+y)（x+y≠0）###-###F (x)=x+|x|,G (x)=x（x≠0）###-###F (x)=x²,G (x)=x（区间 (0,1]）###-###F (x,y)=x³+y³,G (x,y)=x+y（x+y≠0）###-###F (x)=x⁴,G (x)=x³（x≠0）###-###F (x)=e^x,G (x)=e^x###-###F (x)=|x|,G (x)=x（x≠0）###-###F (x)=1/x,G (x)=1/x²（积分区间 [1,+∞)）###</t>
  </si>
  <si>
    <t>100：###F (x)=x,G (x)=|x|（x≠0）###-###F (x,y)=x,G (x,y)=|x|（x≠0）###-###F (x)=x²,G (x)=|x|（x≠0）###-###F (x,y)=x,G (x,y)=1/√(x²+y²)（x²+y²≠0）###-###F (x)=x³,G (x)=x|x|（x≠0）###-###F (x,y)=x,G (x,y)=1/(x+y)（x+y≠0）###-###F (x)=sinx,G (x)=|sinx|（sinx≠0）###-###F (x)=x,G (x)=1（区间 [0,1]）###-###F (x,y)=x,G (x,y)=1/(x+y)（x+y≠0）###-###F (x)=x⁴,G (x)=x²|x|（x≠0）###-###F (x)=e^x,G (x)=e^{|x|}###-###F (x)=x,G (x)=|x|（x≠0）###-###F (x)=1/x,G (x)=1/|x|（积分区间 [1,+∞)）###</t>
  </si>
  <si>
    <t>101：###F (x)=x³,G (x)=√|x|###-###F (x,y)=x³y,G (x,y)=√|x|+y###-###F (x)=1,G (x)=1/x###-###F (x,y)=x²+y²,G (x,y)=|x|+|y|###-###F (x)=x,G (x)=sin (1/x)###-###F (x,y)=1,G (x,y)=1/(x+y)###-###NA (周期函数除以非周期函数无法保证 H 周期)###-###F (x)=1,G (x)=1/x###-###F (x,y)=x⁴y²,G (x,y)=|x|y²###-###F (x)=x³,G (x)=x²###-###NA (偶函数除以非偶函数无法得到偶函数)###-###F (x)=x⁴,G (x)=√|x|###-###F (x)=1/x²,G (x)=1/√x###</t>
  </si>
  <si>
    <t>110：###F (x)=1,G (x)=x（x≠0）###-###F (x,y)=x,G (x,y)=y（y≠0）###-###F (x)=1,G (x)=x（x≠0）###-###F (x)=x,G (x)=x（x≠0）###-###F (x)=1,G (x)=x（x→0）###-###F (x,y)=1,G (x,y)=x+y（x+y≠0）###-###F (x)=sinx+1,G (x)=sinx（sinx≠0）###-###F (x)=1,G (x)=x（区间 (0,1]）###-###F (x,y)=x²,G (x,y)=y²（y≠0）###-###F (x)=x,G (x)=x（x≠0）###-###NA (偶函数相除必为偶函数)###-###F (x)=1,G (x)=x（x≠0）###-###F (x)=1/x²,G (x)=1/x（积分区间 [1,+∞)）###</t>
  </si>
  <si>
    <t>111：###F (x)=x⁴,G (x)=x²（x≠0）###-###F (x,y)=x³y²,G (x,y)=xy（xy≠0）###-###F (x)=sin2x,G (x)=cosx（cosx≠0）###-###F (x,y)=x²+y²,G (x,y)=x+y（x+y≠0）###-###F (x)=x³+1,G (x)=x+1（x≠-1）###-###F (x,y)=√(x²+y²),G (x,y)=1/√(x²+y²)（x²+y²≠0）###-###F (x)=x+sinx,G (x)=x（x≠0）###-###F (x)=x³,G (x)=x²（区间 (0,1]）###-###F (x,y)=x⁴y³,G (x,y)=x²y²（xy≠0）###-###F (x)=x⁵,G (x)=x³（x≠0）###-###F (x)=e^{2x},G (x)=e^x###-###F (x)=x|x|,G (x)=x（x≠0）###-###F (x)=1/x³,G (x)=1/x²（积分区间 [1,+∞)）###</t>
  </si>
  <si>
    <t>取最大值（max(f(x),g(x))=h(x)或max(f(x,y),g(x,y))=h(x,y)）</t>
  </si>
  <si>
    <t>000：###F (x)=|x|,G (x)=-|x|###-###F (x,y)=|x|+|y|,G (x,y)=-|x|-|y|###-###F (x)=1/x,G (x)=sin (1/x)###-###F (x,y)=√(x²+y²),G (x,y)=-√(x²+y²)###-###F (x)=sin (1/x),G (x)=cos (1/x)###-###F (x,y)=1/(x+y),G (x,y)=1/(x-y)###-###F (x)=x,G (x)=e^x###-###F (x)=D (x),G (x)=D (x)（D 为狄利克雷函数）###-###F (x,y)=|x|y²,G (x,y)=x|y|###-###F (x)=x²,G (x)=x+1###-###F (x)=x³,G (x)=x+1###-###F (x)=|x|,G (x)=-|x|###-###F (x)=1/x,G (x)=1/x²###</t>
  </si>
  <si>
    <t>001：###F (x)=x,G (x)=0###-###F (x,y)=x,G (x,y)=y###-###NA (连续函数取最大值必连续)###-###F (x)=x,G (x)=-x###-###NA (极限存在函数取最大值必极限存在)###-###NA (连续函数取最大值必连续)###-###NA (周期函数取最大值必周期)###-###NA (可积函数取最大值必可积)###-###F (x,y)=x²,G (x,y)=y²###-###F (x)=x,G (x)=-x###-###NA (偶函数取最大值必偶函数)###-###F (x)=x,G (x)=0###-###NA (收敛反常积分取最大值必收敛)###</t>
  </si>
  <si>
    <t>010：###F (x)=x,G (x)=0###-###F (x,y)=x,G (x,y)=y###-###NA (连续函数取最大值必连续)###-###F (x)=x,G (x)=0###-###NA (极限存在函数取最大值必极限存在)###-###NA (连续函数取最大值必连续)###-###F (x)=sinx,G (x)=sin (√2x)###-###NA (可积函数取最大值必可积)###-###F (x,y)=x²,G (x,y)=y²###-###F (x)=x,G (x)=-x###-###NA (偶函数取最大值必偶函数)###-###F (x)=x,G (x)=0###-###NA (收敛反常积分取最大值必收敛)###</t>
  </si>
  <si>
    <t>011：###F (x)=x,G (x)=2x###-###F (x,y)=x²+y²,G (x,y)=0###-###F (x)=x,G (x)=1###-###F (x)=x,G (x)=-x###-###F (x)=x,G (x)=2（x→1）###-###F (x)=sinx,G (x)=cosx###-###F (x)=sinx,G (x)=cosx###-###F (x)=x,G (x)=0（区间 [0,1]）###-###F (x,y)=x²+y²,G (x,y)=0###-###F (x)=x,G (x)=2x###-###F (x)=x²,G (x)=1###-###F (x)=x,G (x)=2x###-###F (x)=1/x²,G (x)=1/x³（积分区间 [1,+∞)）###</t>
  </si>
  <si>
    <t>110：###F (x)=x,G (x)=-x###-###F (x,y)=x,G (x,y)=y###-###NA (两连续函数最大值必连续)###-###F (x,y)=x²,G (x,y)=y²###-###NA (两函数极限存在则最大值极限必存在)###-###NA (两连续多元函数最大值必连续)###-###F (x)=sinx,G (x)=sin (√2x)###-###NA (两可积函数最大值必可积)###-###F (x,y)=x⁴,G (x,y)=y⁴###-###F (x)=x,G (x)=x³###-###NA (两偶函数最大值必为偶函数)###-###F (x)=x,F (x)=x²###-###NA (两收敛反常积分最大值必收敛)###</t>
  </si>
  <si>
    <t>111：###F(x)=x²,G(x)=2x²###-###F(x,y)=x³y,G(x,y)=2x³y###-###F(x)=sinx,G(x)=cosx###-###F(x,y)=x²+y²,G(x,y)=2x²+2y²###-###F(x)=x,G(x)=2x###-###F(x,y)=xy,G(x,y)=2xy###-###F(x)=sinx,G(x)=sin2x###-###F(x)=1,G(x)=2###-###F(x,y)=x⁴y²,G(x,y)=2x⁴y²###-###F(x)=x,G(x)=2x###-###F(x)=x²,G(x)=2x²###-###F(x)=x²,G(x)=3x²###-###F(x)=1/x²,G(x)=1/x³###</t>
  </si>
  <si>
    <t>取最小值（min(f(x),g(x))=h(x)或min(f(x,y),g(x,y))=h(x,y)）</t>
  </si>
  <si>
    <t>001：###F(x)=D(x),G(x)=1-D(x)###-###F(x,y)=|x|+y,G(x,y)=x+|y|###-###F(x)=D(x),G(x)=1-D(x)###-###F(x,y)=|x|+y,G(x,y)=x+|y|###-###F(x)=sgn(x),G(x)=1-sgn(x)###-###F(x,y)=1/(x+y)+D(x,y),G(x,y)=1/(x-y)+1-D(x,y)###-###F(x)=D(x),G(x)=1-D(x)###-###F(x)=D(x),G(x)=1-D(x)###-###F(x,y)=|x|y+D(x,y),G(x,y)=x|y|+1-D(x,y)###-###F(x)=|x|+x,G(x)=|x|-x###-###F(x)=x²+1,G(x)=-x²+1###-###F(x)=D(x),G(x)=1-D(x)###-###F(x)=1/x+D(x),G(x)=1/x²+1-D(x)###</t>
  </si>
  <si>
    <t>010：###F(x)=|x|,G(x)=x###-###F(x,y)=|x|+|y|,G(x,y)=x+y###-###F(x)=1/x,G(x)=x###-###F(x,y)=√(x²+y²),G(x,y)=x+y###-###F(x)=sin(1/x),G(x)=x###-###F(x,y)=1/(x+y),G(x,y)=x+y###-###F(x)=x,G(x)=sinx###-###F(x)=D(x),G(x)=x###-###F(x,y)=|x|y²,G(x,y)=x²y###-###F(x)=x²,G(x)=x³###-###F(x)=x²+1,G(x)=x³###-###F(x)=|x|,G(x)=x###-###F(x)=1/x,G(x)=1/x²###</t>
  </si>
  <si>
    <t>110：###F (x)=x²,G (x)=-x²###-###F (x,y)=x²+y²,G (x,y)=-x²-y²###-###NA (两连续函数最小值必连续)###-###F (x,y)=x²+y²,G (x,y)=-x²-y²###-###NA (两极限存在函数最小值极限必存在)###-###NA (两连续多元函数最小值必连续)###-###F (x)=sinx,G (x)=sin2x###-###NA (两可积函数最小值必可积)###-###F (x,y)=x⁴+y⁴,G (x,y)=-x⁴-y⁴###-###F (x)=x³,G (x)=-x³###-###NA (两偶函数最小值必为偶函数)###-###F (x)=x²,G (x)=-x²###-###NA (两收敛反常积分最小值必收敛)###</t>
  </si>
  <si>
    <t>111：###F(x)=x²,G(x)=3x²###-###F(x,y)=x³y,G(x,y)=2x³y###-###F(x)=sinx,G(x)=cosx###-###F(x,y)=x²+y²,G(x,y)=2x²+2y²###-###F(x)=x,G(x)=2x###-###F(x,y)=xy,G(x,y)=2xy###-###F(x)=sinx,G(x)=sin2x###-###F(x)=1,G(x)=2###-###F(x,y)=x⁴y²,G(x,y)=2x⁴y²###-###F(x)=x,G(x)=2x###-###F(x)=x²,G(x)=2x²###-###F(x)=x²,G(x)=3x²###-###F(x)=1/x²,G(x)=1/x³###</t>
  </si>
  <si>
    <t>复合函数（f(g(x))=h(x)或h(f(x,y),g(x,y))=h(x,y)）</t>
  </si>
  <si>
    <t>000：###F(x)=x²,G(x)=3x²###-###F(x,y)=x³y,G(x,y)=2x³y###-###F(x)=sinx,G(x)=cosx###-###F(x,y)=x²+y²,G(x,y)=2x²+2y²###-###F(x)=x,G(x)=2x###-###F(x,y)=xy,G(x,y)=2xy###-###F(x)=sinx,G(x)=sin2x###-###F(x)=1,G(x)=2###-###F(x,y)=x⁴y²,G(x,y)=2x⁴y²###-###F(x)=x,G(x)=2x###-###F(x)=x²,G(x)=2x²###-###F(x)=x²,G(x)=3x²###-###F(x)=1/x²,G(x)=1/x³###</t>
  </si>
  <si>
    <t>001：###F (u)=u²,G (x)=|x|###-###NA (G 不可偏导时 H 无法保证可偏导)###-###F (u)=1,G (x)=D (x)###-###NA (G 不可微时 H 无法保证可微)###-###F (u)=0,G (x)=sin (1/x)###-###F (u)=1,G (x,y)=1/(x+y)###-###F (u)=sinu,G (x)=x###-###F (u)=1,G (x)=D (x)###-###NA (G 不连续时 H 无法二阶偏导连续)###-###NA (奇函数复合非奇函数无法得奇函数)###-###F (u)=u²,G (x)=x###-###F (u)=u²,G (x)=|x|###-###F (u)=1/u²,G (x)=x###</t>
  </si>
  <si>
    <t>010：###F (u)=√|u|,G (x)=x###-###F (u,v)=√|u|,G (x,y)=x###-###F (u)=D (u),G (x)=x###-###F (u)=|u|,G (x)=x###-###F (u)=sin (1/u),G (x)=x###-###F (u,v)=1/(u+v),G (x,y)=x+y###-###NA (非周期函数复合周期函数无法得到非周期函数)###-###F (u)=D (u),G (x)=x###-###F (u,v)=1/(u+v),G (x,y)=x+y###-###F (u)=u²,G (x)=x###-###F (u)=u+1,G (x)=x²###-###F (u)=|u|,G (x)=x###-###F (u)=1/u,G (x)=x###</t>
  </si>
  <si>
    <t>011：###F (x)=x³,G (x)=sinx→h (x)=sin³x###-###F (x,y)=x+y,G (x,y)=xy→H (x,y)=(x+y)・xy###-###NA (可导函数复合必可导 ×，如 f (x)=|x|,g (x)=x 在 x=0 处不可导)###-###F (x)=√(x²+1),G (x)=x²（x∈ℝ）→h (x)=√(x⁴+1)###-###F (x,y)=e^x,G (x,y)=y²→H (x,y)=e^x+y²###-###NA (连续函数复合必连续√，由连续函数复合定理可知)###-###F (x)=x²,G (x)=cosx→h (x)=cos²x###-###F (x)=1/x,G (x)=x-1（区间 (1,2)）→h (x)=1/(x-1)###-###F (x,y)=√x,G (x,y)=y²（x≥0）→H (x,y)=√x+y²###-###F (x)=lnx,G (x)=x²（x&gt;0）→h (x)=2lnx###-###NA (偶函数复合奇函数必为偶函数√，因 f (g (-x))=f (-g (x))=f (g (x))###-###F (x)=x³+1,G (x)=x-1→h (x)=(x-1)³+1=x³-3x²+3x###-###NA (收敛反常积分复合必收敛 ×，如 f (x)=e^x,g (x)=1/x 时∫₁^∞e^(1/x) dx 发散)###</t>
  </si>
  <si>
    <t>100：###F(u)=u²,G(x)=x+1###-###F(u)=u,G(x,y)=x²+y²###-###F(u)=|u|,G(x)=x###-###F(u)=u³,G(x)=x²###-###F(u)=u,G(x)=x###-###F(u,v)=u+v,G(x,y)=xy###-###F(u)=u²,G(x)=sinx###-###F(u)=1,G(x)=x###-###F(u)=u⁴,G(x,y)=x²+y²###-###F(u)=u³,G(x)=x###-###F(u)=u²,G(x)=x²###-###F(u)=u,G(x)=x###-###F(u)=e⁻ᵘ,G(x)=x²###</t>
  </si>
  <si>
    <t>101：###F(u)=u²,G(x)=x³###-###F(u)=u,G(x,y)=x³y###-###F(u)=|u|,G(x)=x³###-###F(u)=u³,G(x)=x²###-###F(u)=u,G(x)=x³###-###F(u,v)=u+v,G(x,y)=x³y###-###F(u)=u²,G(x)=sinx###-###F(u)=1,G(x)=x³###-###F(u)=u⁴,G(x,y)=x³y²###-###F(u)=u³,G(x)=x###-###F(u)=u²,G(x)=x²###-###F(u)=u,G(x)=x³###-###F(u)=e⁻ᵘ,G(x)=x³###</t>
  </si>
  <si>
    <t>110：###F (u)=u²,G (x)=x###-###F (u)=u,G (x,y)=x²+y²###-###NA (两连续函数复合必连续)###-###F (u)=u³,G (x,y)=x²+y²###-###NA (两极限存在函数复合极限必存在)###-###NA (两连续多元函数复合必连续)###-###F (u)=u²,G (x)=sinx###-###NA (两可积函数复合必可积)###-###F (u)=u⁴,G (x,y)=x²+y²###-###F (u)=u³,G (x)=x###-###F (u)=u²,G (x)=x²###-###F (u)=u,G (x)=x###-###NA (两收敛反常积分复合必收敛)###</t>
  </si>
  <si>
    <t>111：###F(u)=u²,G(x)=x###-###F(u)=u,G(x,y)=x²+y²###-###F(u)=|u|,G(x)=x###-###F(u)=u³,G(x,y)=x²+y²###-###F(u)=u,G(x)=x###-###F(u,v)=u+v,G(x,y)=x²+y²###-###F(u)=u²,G(x)=sinx###-###F(u)=1,G(x)=x###-###F(u)=u⁴,G(x,y)=x²+y²###-###F(u)=u³,G(x)=x###-###F(u)=u²,G(x)=x²###-###F(u)=u,G(x)=x###-###F(u)=e⁻ᵘ,G(x)=x²###</t>
  </si>
  <si>
    <t>特例法大杀器-表格接口</t>
  </si>
  <si>
    <t>抛物线的焦点</t>
  </si>
  <si>
    <t>y²=2*p*x：###(p/2,0)###</t>
  </si>
  <si>
    <t>x²=2*p*y：###(0,p/2)###</t>
  </si>
  <si>
    <t>摆线的高度</t>
  </si>
  <si>
    <t>摆线方程：x=a*(t-sin(t)),y=###dx/dt###</t>
  </si>
  <si>
    <t>最大高度：###2a###</t>
  </si>
  <si>
    <t>当给出含C的通解要求原微分方程，目的是得到不含有###C###的方程</t>
  </si>
  <si>
    <t>IO的软件层次：###用户IO软件###-###系统级设备无关软件###-###系统级设备驱动###-###中断处理###</t>
  </si>
  <si>
    <t>DMA传输的步骤：###启动磁盘###-###传输数据到内存###-###DMA发出（结束）中断请求###-###执行结束DMA中断服务###</t>
  </si>
  <si>
    <t>也就是说，中断###只有在结束时才发生###</t>
  </si>
  <si>
    <t>内存分配的最佳适配实际上是最###小###适配，即找最###小###可容纳请求的空闲块来分配</t>
  </si>
  <si>
    <t>同被积函数不同积分区间（区域）的积分比大小</t>
  </si>
  <si>
    <t>确定###被积函数###的###正负区间（区域）###</t>
  </si>
  <si>
    <t>覆盖上述区间（区域）更多的积分区间（区域）对应积分更###大###（大/小）</t>
  </si>
  <si>
    <t>特例法大杀器-性质检测### ###（无需作答）</t>
  </si>
  <si>
    <t>可导性（一元）</t>
  </si>
  <si>
    <t>左导数存在？</t>
  </si>
  <si>
    <t>右导数存在？</t>
  </si>
  <si>
    <t>左右导相等？</t>
  </si>
  <si>
    <t>可导性（多元）</t>
  </si>
  <si>
    <t>锁定y，对x一元可导？</t>
  </si>
  <si>
    <t>锁定x，对y一元可导？</t>
  </si>
  <si>
    <t>连续性（一元）</t>
  </si>
  <si>
    <t>该点有定义，函数值为A</t>
  </si>
  <si>
    <t>可微性（多元）</t>
  </si>
  <si>
    <t>根据趋向点，平移函数，使趋向点变为原点</t>
  </si>
  <si>
    <t>拼凑可微的极限定义是</t>
  </si>
  <si>
    <t>得到f(x0,y0)</t>
  </si>
  <si>
    <t>得到f(dx+x0,dy+y0)</t>
  </si>
  <si>
    <t>得到fx(x0,y0)和fy(x0,y0)</t>
  </si>
  <si>
    <t>分子：f(dx+x0,dy+y0)-f(x0,y0)-fx(x0,y0)*dx-fy(x0,y0)*dy</t>
  </si>
  <si>
    <t>分母：sqrt(dx²+dy²)</t>
  </si>
  <si>
    <t>转换极坐标</t>
  </si>
  <si>
    <t>把θ看成常数，把r看成自变量，求一元极限</t>
  </si>
  <si>
    <t>若结果是0，则可微，否则不可微</t>
  </si>
  <si>
    <t>极限存在（一元）</t>
  </si>
  <si>
    <t>左极限存在</t>
  </si>
  <si>
    <t>右极限存在</t>
  </si>
  <si>
    <t>左右极限相等</t>
  </si>
  <si>
    <t>（未完待续）</t>
  </si>
  <si>
    <t>抽象无穷小o(g)的运算法则</t>
  </si>
  <si>
    <t>加法与减法：a比b高阶，那么o(a)±o(b)=###o(b)###</t>
  </si>
  <si>
    <t>乘法：a为k阶，b为l阶，那么o(a)*o(b)=o(c)，其中c为###k+l###阶无穷小</t>
  </si>
  <si>
    <t>除法：a为k阶，b为l阶，那么o(a)/o(b)=o(c)，其中c为###k-l###阶无穷小</t>
  </si>
  <si>
    <t>复合：a为k阶，b为l阶，那么o(a(o(b)))=o(c)，其中c为###k*l###阶无穷小</t>
  </si>
  <si>
    <t>前提：###a、b不含有震荡比如sin(1/x)，且能够在趋向点收敛地泰勒展开###</t>
  </si>
  <si>
    <t>管程的wait和信号量的P有极大差异，wait和signal只能用于进程同步，一旦wait则立即阻塞自身。### ###（无需作答）</t>
  </si>
  <si>
    <t>页表是每个进程独立的### ###（无需作答）</t>
  </si>
  <si>
    <t>若A为n阶实矩阵，则AAT和ATA必为###非负定矩阵###（实对称阵的惯性指数情况）</t>
  </si>
  <si>
    <t>正定/半正定矩阵的定义：若对任意非零向量x有###xTAx&gt;/&gt;=0###，则矩阵A为正定/半正定</t>
  </si>
  <si>
    <t>任意矩阵A的伴随矩阵A*恒存在，不以A的可逆性为转移，只有在A可逆时，A*才等于|A|A逆。### ###（无需作答）</t>
  </si>
  <si>
    <t>证明向量组线性无关-&gt;证明k1*v1+k2*v2+...+kn*vn=0的###系数ki必均为0###</t>
  </si>
  <si>
    <t>证明向量组是n维空间极大无关组，除了证明无关，还要证明极大，即###存在更多的向量使其无关，然后矛盾反证###</t>
  </si>
  <si>
    <t>A^n（矩阵的n次方）的三种求法### ###（无需作答）</t>
  </si>
  <si>
    <t>相似对角化</t>
  </si>
  <si>
    <t>A必须可对角化</t>
  </si>
  <si>
    <t>计算量超级大</t>
  </si>
  <si>
    <t>秩1矩阵法：将秩为1的A分解为两个向量a和b的乘积</t>
  </si>
  <si>
    <t>r(A)必须等于1</t>
  </si>
  <si>
    <t>分解分配法：A=B+C，并且BC=CB，A^n=ΣC[n,i]*(B^(n-i))*C^i</t>
  </si>
  <si>
    <t>一般用于处理主对角元都相同的三角阵A</t>
  </si>
  <si>
    <t>B为数量阵（B=kE），计算n次幂方便</t>
  </si>
  <si>
    <t>C为主对角线全0的三角阵，高次幂为0矩阵</t>
  </si>
  <si>
    <t>如果要用同步初等变换求向量组线性表示的系数阵，则基向量得是###列###（行/列）向量，被表示向量得是###列###（行/列）向量</t>
  </si>
  <si>
    <t>前提条件（用于反证的错误假设，此时B和A当中都是###行###向量）：C*B=A，其中C是待求系数阵</t>
  </si>
  <si>
    <t>因为，同步初等变换是###行###（行/列）变换，对应矩阵###左###（左/右）乘，增广部分也是对应###左###（左/右）乘</t>
  </si>
  <si>
    <t>那么，增广部分###[B逆*A]###，即对应等式左侧的###[B逆*C*B]###的因子除非满足###可交换性###，否则与###[A*B逆]###是不相等的</t>
  </si>
  <si>
    <t>所以，如果为了适配同步初等变换的###行###（行/列）变换，要使得C=###[B逆*A]###，则前提条件应该是###B*C=A###（注意，此处的ABC与前提条件的中的不同！）</t>
  </si>
  <si>
    <t>即，新定义（上述）的###B###和###A###当中与条件给出的向量组对应的向量都是###列###（行/列）向量，满足基向量###左###乘新定义（上述）系数阵C的要求</t>
  </si>
  <si>
    <t>进程并非完整的程序，有以下两个原因</t>
  </si>
  <si>
    <t>dll：###进程的内存空间不包括dll的代码段###</t>
  </si>
  <si>
    <t>请求分页：###进程的内存空间仅包含调入页框的部分，因此未运行的代码可能在未调入的页中###</t>
  </si>
  <si>
    <t>秩的下限可以通过最大非零子式（不一定在对角线上）来确定### ###（无需作答）</t>
  </si>
  <si>
    <t>只要能找到满秩的k阶子式，可以确定整个矩阵的秩r大于等于k</t>
  </si>
  <si>
    <t>向量组线性相关-&gt;合成矩阵A###不满秩###（满秩/不满秩）-&gt;Ax=0###有###（有/无）非零解</t>
  </si>
  <si>
    <t>因此，向量组线性无关-&gt;Ax=0###无###（有/无）非零解</t>
  </si>
  <si>
    <t>特征值（代数重数）及对应特征向量（几何重数）即使都相同，也不能确保两矩阵相似### ###（无需作答）</t>
  </si>
  <si>
    <t>同一特征值的代数重数大于其对应线性无关特征向量（几何重数）时，矩阵不可对角化，只能相似于Jordan标准型</t>
  </si>
  <si>
    <t>Jordan标准型：对角上以多个上三角块组成</t>
  </si>
  <si>
    <t>此时即使四要素都相等，由于Jordan块分部和阶数差异，两矩阵也可能不相似（四要素相同的矩阵可能相似于不同Jordan标准型）</t>
  </si>
  <si>
    <t>因此不能只用迹和行列式来严格论证两个矩阵相似（这两个甚至只能论证特征值相同）</t>
  </si>
  <si>
    <t>临界资源可能只有一个，但是临界区（代码段）有几个访问进程就有几段### ###（无需作答）</t>
  </si>
  <si>
    <t>但是同一时刻，进入关联相同变量的临界区的进程只能有一个</t>
  </si>
  <si>
    <t>进程的地址空间大小不存在于PCB内，只存在于进程的###页表###</t>
  </si>
  <si>
    <t>PCB包含的信息（6项）：###PID###、###进程状态###、###进程队列指针###、###代码段和数据段地址###、###进程优先级###、###CPU现场###</t>
  </si>
  <si>
    <t>其中，进程调度相关信息（3项）：###进程状态###、###进程队列指针###、###进程优先级###</t>
  </si>
  <si>
    <t>进程运行信息，用于中断和地址映射（2项）：###代码段和数据段地址###、###CPU现场###</t>
  </si>
  <si>
    <t>进程的唯一标识（1项）：###PID###</t>
  </si>
  <si>
    <t>n级页表可寻址的地址空间容量：###2^(s*n+log(2,p))或p*2^(s*n)###</t>
  </si>
  <si>
    <t>s：每页可存放页表项数量</t>
  </si>
  <si>
    <t>p：每页大小</t>
  </si>
  <si>
    <t>正定等价于矩阵的顺序主子式全###大于0###</t>
  </si>
  <si>
    <t>实对称阵对应不同特征值的特征向量具有###天然正交###的特性</t>
  </si>
  <si>
    <t>二次型本质上是xi向量经正交阵变换后，乘以伸缩系数（特征值对角阵），与自身内积的结果（列向量乘行向量）### ###（无需作答）</t>
  </si>
  <si>
    <t>而自内积具有非负性（参考20250624），二次型的结果（内积的结果标量）是否大于0，和矩阵是否正定、负定或零矩阵有关</t>
  </si>
  <si>
    <t>而矩阵正定或负定要看伸缩系数（特征值对角阵）</t>
  </si>
  <si>
    <t>正定大于0，负定小于0，带半有等号，0矩阵恒0，不定不确定</t>
  </si>
  <si>
    <t>函数在闭区间上连续，在端点只有单侧连续### ###（无需作答）</t>
  </si>
  <si>
    <t>如果f(x)在（半）无穷区间上严格单调，且趋无穷处极限存在</t>
  </si>
  <si>
    <t>那么f(x)也与f(x)趋无穷时的极限存在不等式关系</t>
  </si>
  <si>
    <t>f(x)严格单减，f(x)###&gt;###lim(x-&gt;+∞):f(x)，f(x)###&lt;###lim(x-&gt;-∞):f(x)</t>
  </si>
  <si>
    <t>f(x)严格单增，f(x)###&lt;###lim(x-&gt;+∞):f(x)，f(x)###&gt;###lim(x-&gt;-∞):f(x)</t>
  </si>
  <si>
    <t>被积函数含有对数ln的，除了###分部积分###，还能试试###倒代换###</t>
  </si>
  <si>
    <t>对数外补一个负号，内部变为###倒数###</t>
  </si>
  <si>
    <t>跷跷板不止ln(x)/(1+x)（20250522），还有###(arctan(x))'=(1/1+x²)###</t>
  </si>
  <si>
    <t>被积函数的保序性不能由定积分的大小关系倒推，因为可能有###割补###</t>
  </si>
  <si>
    <t>矩阵和的秩###小于等于###（大于等于/小于等于）矩阵秩的和</t>
  </si>
  <si>
    <t>矩阵积的秩###小于等于###（大于等于/小于等于）矩阵秩的最小</t>
  </si>
  <si>
    <t>矩阵的秩###小于等于###（大于等于/小于等于）矩阵行列数的最小</t>
  </si>
  <si>
    <t>矩阵AB=0（零矩阵），那么r(A)+r(B)###&lt;=###n（大小关系），其中，n是A和B的阶数</t>
  </si>
  <si>
    <t>当A或B不是方阵时，n取###A的列数/B的行数###</t>
  </si>
  <si>
    <t>A满秩，r(AB)=r(B)</t>
  </si>
  <si>
    <t>可逆矩阵可以看做###初等变换###组合</t>
  </si>
  <si>
    <t>###初等变换###不改变矩阵的秩</t>
  </si>
  <si>
    <t>A满秩，A是可逆变换，因此A不改变B的秩</t>
  </si>
  <si>
    <t>反推###不成立###（成立/不成立）</t>
  </si>
  <si>
    <t>A行满秩（r等于行数），那么Ax=b必有解（r(A)###=###r(A,b)）</t>
  </si>
  <si>
    <t>A的行向量组均###线性无关###（相关/无关）</t>
  </si>
  <si>
    <t>A,b相当于给A的行向量组###增加一个维度###</t>
  </si>
  <si>
    <t>线性无关的向量组###增加维度###（上述操作），###不改变###（改变/不改变）向量组的线性相关性</t>
  </si>
  <si>
    <t>求向量组的极大线性无关组</t>
  </si>
  <si>
    <t>向量按列排成矩阵</t>
  </si>
  <si>
    <t>对矩阵做###行变换###（行变换/列变换）</t>
  </si>
  <si>
    <t>用阶梯型判断哪些向量可以组成无关组</t>
  </si>
  <si>
    <t>特征向量必须是非零向量### ###（无需作答）</t>
  </si>
  <si>
    <t>伴随矩阵的定义：[Aij]，其中Aij（伴随矩阵中第i行第j列的元素）是对应第j行第i列元素的代数余子式，注意i和j的对应关系### ###（无需作答）</t>
  </si>
  <si>
    <t>相似有几个相同：###秩###（相似是一种等价）、###行列式###、###迹###、###特征值数值###、###代数重数###（特征多项式的根重数）、###几何重数###（(λE-A)x=0的基础解系个数）</t>
  </si>
  <si>
    <t>上三角阵的主对角元和对角阵一样，都是直接对应特征值和代数重数### ###（无需作答）</t>
  </si>
  <si>
    <t>当矩阵可相似对角化时，矩阵P可以用###特征向量###作为列向量构成，顺序与对角后的对角阵上###特征值###的顺序对应</t>
  </si>
  <si>
    <t>矩阵多项式的特征值经过对应多项式的变换后，其特征向量###不变###（改变/不变）</t>
  </si>
  <si>
    <t>矩阵的特征向量###也是###（也是/不是）矩阵多项式的特征向量</t>
  </si>
  <si>
    <t>齐次线性方程组的基础解系就是这个方程系数阵对应###特征值0###的###特征向量###</t>
  </si>
  <si>
    <t>正交阵的特征值的绝对值必为###1###</t>
  </si>
  <si>
    <t>不同特征值对应的特征向量组合后###不是###（是/不是）该矩阵的特征向量</t>
  </si>
  <si>
    <t>同特征值对应的特征向量组合后###是###（是/不是）该矩阵的特征向量</t>
  </si>
  <si>
    <t>实对称阵：如果总维度减去正交约束向量的维度后剩下的维度正好与待求特征向量对应特征值的几何重数相同，那么该正交约束求出的解向量就是待求特征向量</t>
  </si>
  <si>
    <t>四阶矩阵：1个1重根特征值对应1个特征向量作为正交约束，求一个2重根特征值的2个特征向量，可行？###不可行###</t>
  </si>
  <si>
    <t>四阶矩阵：1个2重根特征值对应2个特征向量作为正交约束，求一个2重根特征值的2个特征向量，可行？###可行###</t>
  </si>
  <si>
    <t>矩阵多项式能够算出特征值，但矩阵多项式并非特征多项式，重根信息（代数重数）是非对应的### ###（无需作答）</t>
  </si>
  <si>
    <t>矩阵每行之和为k：###有对应特征向量(1,1,1,1...1)的特征值k###</t>
  </si>
  <si>
    <t>配方法如果没有平方项只有交叉项，可以先做初步的换元：y1=###x1+x2###,y2=###x1-x2###</t>
  </si>
  <si>
    <t>正定二次型的顺序主子式###均正###</t>
  </si>
  <si>
    <t>可导点不可能同时为拐点和极值点### ###（无需作答）</t>
  </si>
  <si>
    <t>边界上的瑕点可以和无穷区间共存，只有内部的需要拆分，因为要保证极限会求到那个点### ###（无需作答）</t>
  </si>
  <si>
    <t>形状适合极坐标进行积分的一维定积分可以尝试用参数方程，dx=dx(t)=###x'(t)dt###</t>
  </si>
  <si>
    <t>极坐标包围面积的定积分：###(1/2)*Int(α,β):ρ(θ)²dθ###</t>
  </si>
  <si>
    <t>隐函数存在定理</t>
  </si>
  <si>
    <t>F(x,y)满足条件</t>
  </si>
  <si>
    <t>连续：###点邻域内连续###</t>
  </si>
  <si>
    <t>初值：###点在函数F=0的方程曲面上###，即###F(x0,y0)=0###</t>
  </si>
  <si>
    <t>偏导：###偏导数不为0###，即###F'x(x0,y0)≠0且F'y(x0,y0)≠0###</t>
  </si>
  <si>
    <t>存在唯一函数f(x)</t>
  </si>
  <si>
    <t>f(x0)=###y0###</t>
  </si>
  <si>
    <t>f(x)在x0的某个邻域内###一阶导连续###</t>
  </si>
  <si>
    <t>F(x,y)在上述邻域内恒有###F(x,f(x))=0###</t>
  </si>
  <si>
    <t>轮换对称的二重积分区域</t>
  </si>
  <si>
    <t>当对y=x对称时，(x,y)-&gt;###(y,x)###</t>
  </si>
  <si>
    <t>当对y=-x对称时，(x,y)-&gt;###(-y,-x)###</t>
  </si>
  <si>
    <t>转换后的f(x2,y2)如果等于-f(x1,y1)，则###二重积分为0###</t>
  </si>
  <si>
    <t>转换后的f(x2,y2)如果等于f(x1,y1)，则###二重积分被积函数可写成(f(x2,y2)+f(x1,y1))/2###</t>
  </si>
  <si>
    <t>用Ax=b来求向量组A线性表示向量b的系数x，则向量组A是以###列向量###构成系数阵A</t>
  </si>
  <si>
    <t>矩阵等价和列向量组等价完全无关</t>
  </si>
  <si>
    <t>列向量组等价不一定矩阵等价：矩阵等价还要求###同尺寸###，而向量组等价则只要###向量维度相同###，不要求###向量组内向量个数相同###</t>
  </si>
  <si>
    <t>矩阵等价不一定列向量组等价：矩阵等价只要求###秩###相同，等价变换前后的矩阵列向量是否###互相线性表示###则未必</t>
  </si>
  <si>
    <t>代数余子式展开：行列式D=###a11*A11+a12*A12+a13*A13###（第一行展开）=###a11*A11+a21*A21+a31*A31###（第一列展开）</t>
  </si>
  <si>
    <t>变种：k1*A11+k2*A12+k3*A13=###把第一行替换成k1,k2,k3###（第一行替换）；k1*A11+k2*A21+k3*A31=###把第一列替换成k1,k2,k3###（第一列替换）</t>
  </si>
  <si>
    <t>克莱默：xi=###(b1*A1i+b2*A2i+...+bn*Ani)/|A|###，其中Ax=b，b1,b2,...bn是向量b的元素，Aji是系数阵A第i行第j列的代数余子式</t>
  </si>
  <si>
    <t>无论A是否可逆，A*A伴随=###|A|*E###</t>
  </si>
  <si>
    <t>单位向量是指###模长###为1的向量，其自内积等于###1###</t>
  </si>
  <si>
    <t>相似矩阵特征值相同，特征值相同矩阵###未必###相似（一定/未必）</t>
  </si>
  <si>
    <t>而且也###未必###等价（一定/未必）</t>
  </si>
  <si>
    <t>只有###可对角化###的矩阵，秩才是非零特征值的个数</t>
  </si>
  <si>
    <t>r(ATA)=###r(A)###</t>
  </si>
  <si>
    <t>列向量与行向量乘积（外积）矩阵的秩###小于等于###1（大小关系）</t>
  </si>
  <si>
    <t>矩阵经过初等行变换，则###行###向量组等价；矩阵经过初等列变换，则###列###向量组等价</t>
  </si>
  <si>
    <t>两个方程三个未知数构成的齐次线性方程组，系数阵为A，基础解系个数为###3###-r(A)</t>
  </si>
  <si>
    <t>r(A)小于等于###2###，因此基础解系个数大于等于###1###，小于等于###3###</t>
  </si>
  <si>
    <t>Ax=b有两个不同的解=有无穷多解≠基础解系维度为2### ###（无需作答）</t>
  </si>
  <si>
    <t>原矩阵特征值0对应的伴随矩阵特征值是###0###</t>
  </si>
  <si>
    <t>“一个基础解系”指的是完整的一个基础解系，“基础解系的一族向量”指的是基础解系的一个基向量### ###（无需作答）</t>
  </si>
  <si>
    <t>不可逆矩阵A乘它自己的伴随阵A*必得到零矩阵</t>
  </si>
  <si>
    <t>这可以推出A*A=0</t>
  </si>
  <si>
    <t>即对应A的每一个列向量ai都有###A*ai=0###</t>
  </si>
  <si>
    <t>方程组和方程有公共解的充要条件是###方程组和方程联立的新方程组有解###</t>
  </si>
  <si>
    <t>一个特殊的例子：AB=0，A为2*4矩阵，r(A)=2，B为4*2矩阵，r(B)=2### ###（无需作答）</t>
  </si>
  <si>
    <t>左矩阵A的行向量无关，列向量相关</t>
  </si>
  <si>
    <t>右矩阵B的行向量相关，列向量无关</t>
  </si>
  <si>
    <t>矩阵的特征向量是其多项式的特征向量，反推###成立###（成立/不成立）</t>
  </si>
  <si>
    <t>特征值全0的矩阵必###幂0###，即###矩阵的2次及以上幂为0矩阵###</t>
  </si>
  <si>
    <t>证明矩阵相似：A和B同时###求相似标准型###</t>
  </si>
  <si>
    <t>可对角化，则###相似变换得到的对角阵###相同</t>
  </si>
  <si>
    <t>不可对角化，则###相似变换得到的Jordan标准型###相同</t>
  </si>
  <si>
    <t>证明仅二次项的二次型A是另一二次型B的标准型</t>
  </si>
  <si>
    <t>从A当中得到###特征值λi#</t>
  </si>
  <si>
    <t>确定B具有上述###特征值λi#</t>
  </si>
  <si>
    <t>按揭式求导本质是递推式求具体k（k一般不大于5）阶导的手段，不能用于求未知n阶导### ###（无需作答）</t>
  </si>
  <si>
    <t>伪微分方程求n阶导的题目信号：###试探性求一/二阶导后，等式右侧存在低阶导数/原函数###</t>
  </si>
  <si>
    <t>先求f(x)的一阶导</t>
  </si>
  <si>
    <t>然后在一阶导表达式里凑出f(x)</t>
  </si>
  <si>
    <t>式子全部移项到左侧，右侧=0</t>
  </si>
  <si>
    <t>等式左右同求n阶导，目的是###求出n2阶和n1阶导数的递推关系，n2&gt;n1###</t>
  </si>
  <si>
    <t>从有限低阶导出发，借###递推式###求出###通项式###</t>
  </si>
  <si>
    <t>看到acos(x)+bsin(x)，会想到凑###和角公式###</t>
  </si>
  <si>
    <t>曲线y=y(x)与x轴包围区域的形心公式推导</t>
  </si>
  <si>
    <t>cy=###Int2D:ydxdy/区域面积S###，cx=###Int2D:xdxdy/区域面积S###</t>
  </si>
  <si>
    <t>分子部分，二重积分转累次积分</t>
  </si>
  <si>
    <t>cy*S=###Int(0,最高点yh):(Int(最高点前半x1(y),最高点后半x2(y)):ydx)dy=Int(0,最高点yh):(x2(y)-x1(y))*ydy###</t>
  </si>
  <si>
    <t>交换积分次序（视情况，哪个好算用哪个）：cy*S=###Int(x轴交点x1,x轴交点x2):(Int(0,y(x):ydy)dx=#Int(x轴交点x1,x轴交点x2):(y(x)²)/2dx###</t>
  </si>
  <si>
    <t>cx*S=###Int(x轴交点x1,x轴交点x2):(Int(0,y(x):xdy)dx=#Int(x轴交点x1,x轴交点x2):y(x)*xdx###</t>
  </si>
  <si>
    <t>dy是△y的###微元###，同理，dx是△x的###微元###</t>
  </si>
  <si>
    <t>两者以###极限###联系：dy/dx=###lim(△x-&gt;0):△y/△x###</t>
  </si>
  <si>
    <t>全微分形式不变性</t>
  </si>
  <si>
    <t>①：z=f(u,v)，那么dz=###f'u*du+f'v*dv###</t>
  </si>
  <si>
    <t>②：z=f(u(x,y),v(x,y))，那么dz=###f'x*dx+f'y*dy###</t>
  </si>
  <si>
    <t>从①推到②，利用###du(x,y)=u'x*dx+u'y*dy###（以u方向为例）和已知的u(x,y)、v(x,y)、f(u,v)求出f'x，f'y</t>
  </si>
  <si>
    <t>从②推到①，利用###f'x=f'u*u'x+f'v*v'x###（以x方向为例）和已知的u(x,y)、v(x,y)、f'x、f'y求出f'u，f'v</t>
  </si>
  <si>
    <t>知道了f'u和f'v，就能用###偏积分###推f(u,v)</t>
  </si>
  <si>
    <t>极限保序/保号性适用于###严格###（严格/非严格）不等关系，且是由###极限存在且不等式###推出###函数的局部不等式###</t>
  </si>
  <si>
    <t>如果非要反推，只能从###严格###的###函数###不等关系得到###非严格###的###极限###不等关系</t>
  </si>
  <si>
    <t>单个点的函数值不影响定积分结果</t>
  </si>
  <si>
    <t>有界+间断点有限→###函数可积###</t>
  </si>
  <si>
    <t>可积函数构成的变限积分###连续###</t>
  </si>
  <si>
    <t>被积函数可积-&gt;被积函数###有界###</t>
  </si>
  <si>
    <t>变限积分增量（从x0到x)的积分小于等于###M*(x-x0)###，其中M为被积函数的上界</t>
  </si>
  <si>
    <t>x趋x0时（增量变窄），###M*(x-x0)###趋于0，变限积分增量的绝对值大于0，运用###夹逼###，推断变限积分增量随x趋x0而趋于###0###</t>
  </si>
  <si>
    <t>增量趋###0###的情况下，变限积分在x0的###函数值###与x趋x0处的###极限###相等，###连续###性得证</t>
  </si>
  <si>
    <t>积分会提升函数的光滑性### ###（感性认知，无需作答）</t>
  </si>
  <si>
    <t>变限积分的导数，实际上是###被积函数在该点处的极限###，而非###被积函数的函数值###，具体参考20240423笔记</t>
  </si>
  <si>
    <t>因此，被积函数间断，变限积分在间断点###可能###（可能/不可能）可导</t>
  </si>
  <si>
    <t>同一被积函数在不同区间上的原函数可能分段</t>
  </si>
  <si>
    <t>因为原函数必须###连续###，公式求原函数可能存在###间断点###</t>
  </si>
  <si>
    <t>牛顿-莱布尼兹法求定积分不止要看被积函数在区别是否连续，还要看###原函数是否连续###</t>
  </si>
  <si>
    <t>因为###原函数必连续####，否则就###不可导###，更不可能###导数###是被积函数的###极限####</t>
  </si>
  <si>
    <t>双侧无穷限积分的定义是###lim(A-&gt;+∞,B-&gt;-∞):Int(B,A):f(x)dx###</t>
  </si>
  <si>
    <t>###也可###（也可/不可）写作###lim(C-&gt;+∞):Int(-C,C):f(x)dx###</t>
  </si>
  <si>
    <t>因为求极限###必须分端###</t>
  </si>
  <si>
    <t>初等函数在定义域内均连续（注意可能用于二阶混合偏导连续则###相等###的性质）</t>
  </si>
  <si>
    <t>大部分不含有积分号的具体函数都是初等函数，具有###在定义域内连续###的特点</t>
  </si>
  <si>
    <t>分段函数只有###能够用单个初等表达式表示###才是初等函数</t>
  </si>
  <si>
    <t>若f(x)在x趋于x0时趋于a，那么对于任意的数b，总有###存在一个正数δ使得区间(x0-δ,x0+δ)上的f(x)介于a和b之间（按大小顺序）###</t>
  </si>
  <si>
    <t>推广至二元：若f(x,y)在x,y趋于x0,y0时趋于a，那么对于任意的数b，总有###存在一个δ使得区域sqrt(x²+y²)&lt;δ上的f(x,y)介于a和b之间（按大小顺序）###</t>
  </si>
  <si>
    <t>定义法证明点非极值的另一种手段（参考20240413）</t>
  </si>
  <si>
    <t>含f(x,y)的极限通过###脱帽法###得到含无穷小g(x,y)的准表达式</t>
  </si>
  <si>
    <t>将f(x,y)分成###f(非x0,y0)###和###f(x0,非y0)###</t>
  </si>
  <si>
    <t>设法正面分开的两个部分能夹住###f(x0,y0)###，则说明被夹住部分不是极值</t>
  </si>
  <si>
    <t>矩阵可交换性问题</t>
  </si>
  <si>
    <t>对角阵和对角阵###一定###（一定/未必）可交换</t>
  </si>
  <si>
    <t>对角阵和非对角阵###未必###（一定/未必）可交换</t>
  </si>
  <si>
    <t>利用一秩分解，满足r(A)=1的A=αβT</t>
  </si>
  <si>
    <t>则A^n=###αβT*αβT*αβT*...αβT###</t>
  </si>
  <si>
    <t>A^n=###α*k*k*...*βT###，其中k=βT*α</t>
  </si>
  <si>
    <t>A^n=###k^(n-1)*A###</t>
  </si>
  <si>
    <t>如果题目没说某矩阵可逆，矩阵方程中的矩阵不能假定存在逆矩阵### ###</t>
  </si>
  <si>
    <t>提问对应特征值λ的特征向量是什么，如果已经知道两个无关特征向量a1和a2，则应该回答###k1a1+k2a2，k1和k2不全为0###</t>
  </si>
  <si>
    <t>对于实对称阵，即使是同一个特征值给出的特征向量也有可能不正交的</t>
  </si>
  <si>
    <t>这种情况下，可以先求###与这两个向量正交的其它特征向量（这两个无关向量构成面的法向量）###</t>
  </si>
  <si>
    <t>但是对角化使用的正交变换阵还需要###检查给出向量的正交性，不满足时还要施密特正交化###</t>
  </si>
  <si>
    <t>坐标变换的过度矩阵是###右乘###原基而非###左乘###（左乘/右乘）</t>
  </si>
  <si>
    <t>ATA或AAT的积矩阵中元素是行向量与行向量的内积（同行或不同行）</t>
  </si>
  <si>
    <t>同行的内积####大等于###（大小关系）0，###不可能###（可能/不可能）小于0，###只有在全为0###时内积为0</t>
  </si>
  <si>
    <t>高斯消元后的齐次方程组系数阵，选取自由变量后，剩下的部分（去掉自由变量对应列）必须###满秩###才行</t>
  </si>
  <si>
    <t>也就意味着，从顶部往下开始的高度，必须###每个高度都保留一列才行###</t>
  </si>
  <si>
    <t>等价向量组的个数###未必###（一定/未必）相等</t>
  </si>
  <si>
    <t>齐次线性方程组的基础解系线性###无关###（无关/相关）</t>
  </si>
  <si>
    <t>变限积分求导时，被积函数里的面的求导变量要去干净才能代入上下限### ###</t>
  </si>
  <si>
    <t>含三角积分的万能代换又叫魏尔斯特拉斯代换，即令###tan(x/2)###=t进行换元</t>
  </si>
  <si>
    <t>系数的存在是为了###dt前的cos平方可以降幂###</t>
  </si>
  <si>
    <t>对称区间积分没有奇偶性的话，有可能是###利用区间对折缩小区间计算###</t>
  </si>
  <si>
    <t>最好用x=###-t###的方式换元</t>
  </si>
  <si>
    <t>分部积分需要求导的部分要全部打包在一起求导### ###</t>
  </si>
  <si>
    <t>碰到“积不出来”不要想着求原函数（或者分部积分/凑微分），在保留原积分式的情况下，通过###区间变换和三角变换###等方法来求解</t>
  </si>
  <si>
    <t>f(sin(x))和f(cos(x))能够在###2kpi到2kpi+pi/2###上进行互换</t>
  </si>
  <si>
    <t>任意两个定积分的相乘可以看做两个独立变量的重积分### ###</t>
  </si>
  <si>
    <t>欧拉方程的特征：###y导数的阶数与x的幂次匹配相乘再相加###</t>
  </si>
  <si>
    <t>若微分方程的解是分段函数，则在分段点处，解函数和####解函数的导数####均连续</t>
  </si>
  <si>
    <t>正交阵的特征值只能是###1或-1###</t>
  </si>
  <si>
    <t>向量的线性相关/无关问题中，试着考虑被判定的向量是否为###零向量###的可能</t>
  </si>
  <si>
    <t>向量组线性无关性证明，第一反应是列###k1a1+k2a2+...+knan=0###，然后尝试证明###ki全0###</t>
  </si>
  <si>
    <t>ATAx=0###能够###（能够/不能够）推出Ax=0</t>
  </si>
  <si>
    <t>因为###左右同乘xT可得(Ax)TAx=0,即Ax的模长为0###</t>
  </si>
  <si>
    <t>矩阵转置的逆###等于###（等于/不等于）逆矩阵的转置</t>
  </si>
  <si>
    <t>二次型xTAx正定的充要条件有一个，存在可逆矩阵B满足A=BTB</t>
  </si>
  <si>
    <t>充分：xTAx=###(Bx)TBx###，即###Bx自内积，必大等于0（非零向量必大于0）###</t>
  </si>
  <si>
    <t>必要：对角化后，对角线上的特征值全部###开平方###</t>
  </si>
  <si>
    <t>特征值###一定###（一定/未必）是零化多项式的根，零化多项式的根###未必###（一定/未必）是特征值</t>
  </si>
  <si>
    <t>存在多变量，共同依赖主变量，已知某时刻的多变量（但不知道主变量），求目标变量对主变量的变化率</t>
  </si>
  <si>
    <t>需要注意，给定的条件要完全利用，要想办法把所有条件全部“嵌入”解题的公式中### ###</t>
  </si>
  <si>
    <t>注意，在定积分的极限定义形式中也可能存在抓大头，这会导致i/n不以显式存在### ###</t>
  </si>
  <si>
    <t>微分方程的特征多项式会有复根，完全奇数次方等于正数，并不意味着开奇数次方就是正数，需要进行因式分解</t>
  </si>
  <si>
    <t>因式分解到二次式为止，不要让变量超过2次存在### ###</t>
  </si>
  <si>
    <t>从1到n的平方和公式：1²+2²+...+n²=###n(n+1)(2n+1)/6###</t>
  </si>
  <si>
    <t>基于裂项相消</t>
  </si>
  <si>
    <t>n²=###(n+1)*n-n###</t>
  </si>
  <si>
    <t>1²+2²+...+n²=###1*2+2*3+3*4+...+n*(n+1)###-###(1+2+3+...+n)###</t>
  </si>
  <si>
    <t>1*2+2*3+3*4+...+n*(n+1)=###(1*2*3-0*1*2+2*3*4-1*2*3+...+n*(n+1)*(n+2))###/3</t>
  </si>
  <si>
    <t>1*2+2*3+3*4+...+n*(n+1)=###(n*(n+1)*(n+2)-0*1*2)###/3=###n*(n+1)*(n+2)/3###</t>
  </si>
  <si>
    <t>1²+2²+...+n²=###n*(n+1)*(n+2)/3###-###n(n+1)/2###</t>
  </si>
  <si>
    <t>看到连加的处理方式</t>
  </si>
  <si>
    <t>如果是极限+连加，大概率是###定积分定义###</t>
  </si>
  <si>
    <t>如果没有，而且存在一个连加加上一个定积分，这个定积分还具有###与连加范围对应的积分区间###</t>
  </si>
  <si>
    <t>那么这种情况，就是###对定积分进行区间拆分，且拆分后每一部分与连加整合###</t>
  </si>
  <si>
    <t>定积分估值定理的使用信号：### ###</t>
  </si>
  <si>
    <t>区间长度能够明确</t>
  </si>
  <si>
    <t>区间上的被积函数上下限明确</t>
  </si>
  <si>
    <t>常见的情况，单调</t>
  </si>
  <si>
    <t>遇到震荡收敛的，可以用子列单调（奇序列或偶序列）来证明### ###</t>
  </si>
  <si>
    <t>左右导数存在分别可推###左连续###和###右连续###，因此左右导数均存在的点###必连续###</t>
  </si>
  <si>
    <t>如果极限的因式存在趋向点连续的g(x)，那么这个g(x)可以直接提出放在极限外边### ###</t>
  </si>
  <si>
    <t>类似对数螺线这种转化为直角坐标后很难求dy/dx的曲线，可以用###x(r,θ)和y(r,θ)的参数方程求出dx/dθ和dy/dθ，再用dy/dθ除以dx/dθ###来间接求解dy/dx</t>
  </si>
  <si>
    <t>k次多项式的零点最多为###k###个</t>
  </si>
  <si>
    <t>问方程有几实根的常规做法</t>
  </si>
  <si>
    <t>看###奇偶性###，节省一半时间</t>
  </si>
  <si>
    <t>算f(0)、f'(0)、Lim(x-&gt;±∞):f'(x)</t>
  </si>
  <si>
    <t>算出f''(x)并证明其###在某区间上恒正/负###</t>
  </si>
  <si>
    <t>根据f'(0)、Lim(x-&gt;±∞):f'(x)推测出###f'(x)正负区间###，即###f(x)单调性###</t>
  </si>
  <si>
    <t>如果能直接看出f(x)驻点，也可直接根据###驻点划分+试探代入###得到上述信息</t>
  </si>
  <si>
    <t>根据###f(x)单调性###和f(0)推出区间端点处的f(x)符号，比如先增后减，f(0)=0，那么在驻点处f(x0)&gt;0</t>
  </si>
  <si>
    <t>算出Lim(x-&gt;±∞):f(x)的符号，配合驻点处f(x0)的符号决定###x0到无穷远之间是否有根###</t>
  </si>
  <si>
    <t>是否具有原函数的判断</t>
  </si>
  <si>
    <t>连续：具有原函数</t>
  </si>
  <si>
    <t>具有第一类间断点：不具有原函数</t>
  </si>
  <si>
    <t>具有第二类间断点：可能有原函数</t>
  </si>
  <si>
    <t>无穷：f(x)=###1/x###</t>
  </si>
  <si>
    <t>震荡：f(x)=###2x*sin(1/x)-cos(1/x),x≠0;0,x=0###</t>
  </si>
  <si>
    <t>周期函数各周期上的积分###一定###（一定/未必）相同</t>
  </si>
  <si>
    <t>针对倾斜旋转轴的求解方法</t>
  </si>
  <si>
    <t>先平移图形使得旋转轴过原点</t>
  </si>
  <si>
    <t>图形方程转为极坐标方程</t>
  </si>
  <si>
    <t>极坐标的θ变化：顺时针转φ，那么式子里写###θ+φ###；逆时针转φ，那么式子里写###θ-φ###；</t>
  </si>
  <si>
    <t>转换回直角坐标，然后再求旋转体公式</t>
  </si>
  <si>
    <t>注意ρ的###非负###性可能会限制y和x的范围</t>
  </si>
  <si>
    <t>以及，转换回直角坐标后的是###方程###，函数y(x)可能###只有其中一只###，需要配合图形分析</t>
  </si>
  <si>
    <t>更简单的方法（背公式）：###2pi*Int2D:r(x,y)²dxdy###</t>
  </si>
  <si>
    <t>r(x,y)即###点(x.y)到旋转轴的距离###（几何含义）</t>
  </si>
  <si>
    <t>r(x,y)等于###|ax+by+c|/sqrt(a²+b²)###（假设旋转轴直线方程为ax+by+c=0）</t>
  </si>
  <si>
    <t>什么时候需要以x(y)为函数、y为自变量来求解微分方程？</t>
  </si>
  <si>
    <t>含y'的###高次非线性###项（比如###y'的立方###）</t>
  </si>
  <si>
    <t>出现含有y为自变量的###复杂代数结构###，比如exp(2y)</t>
  </si>
  <si>
    <t>就近原则：给的条件像什么，就优先尝试什么</t>
  </si>
  <si>
    <t>比如，给了一个分母sqrt(x²+y²)的分式多元极限，就要优先往###可微###上靠</t>
  </si>
  <si>
    <t>即使问题目的是偏导相关，也是优先从###可微###来推出###偏导存在###，而不是用极限变形凑偏导定义</t>
  </si>
  <si>
    <t>多元可微定义推偏导存在性的一个细节</t>
  </si>
  <si>
    <t>分母sqrt(x²+y²)在其中一个变量固定0（常见情况，作为假设1）后，会变成###|x|或|y|###</t>
  </si>
  <si>
    <t>分子f(x,0)-f(0,0)或f(0,y)-f(0,0)（f(0,0)一般取0，假设2）化简结果f(x,0)或f(0,y)</t>
  </si>
  <si>
    <t>如果f(x,0)或f(0,y)是分母的高阶无穷小，可以认为偏导###存在###（存在/不存在）</t>
  </si>
  <si>
    <t>如果f(x,0)或f(0,y)是分母的同阶无穷小，但具有###互为相反数的左右极限###时，可以认为偏导存在</t>
  </si>
  <si>
    <t>否则，偏导不存在</t>
  </si>
  <si>
    <t>u=f(x,y,z)，同时z也是由方程F(x,y,z)=0决定的，要求du</t>
  </si>
  <si>
    <t>一种思路是把z看成z(x,y)</t>
  </si>
  <si>
    <t>du=u'x*dx+u'y*dy</t>
  </si>
  <si>
    <t>计算u'x和u'y时把z(x,y)作为嵌套u(x,y,z(x,y))的内函数</t>
  </si>
  <si>
    <t>上述链式法则计算时引用z(x,y)和z'x、z'y</t>
  </si>
  <si>
    <t>另一种思路是把z看成u的独立变量</t>
  </si>
  <si>
    <t>du=###u'x*dx+u'y*dy+u'z*dz###</t>
  </si>
  <si>
    <t>计算u'x和u'y时把z看成###无关x、y而存在于u的第三个变量###</t>
  </si>
  <si>
    <t>再单独计算dz=###z'x*dx+z'y*dy###</t>
  </si>
  <si>
    <t>积分的绝对值###小于等于###（大小关系）绝对值的积分</t>
  </si>
  <si>
    <t>真0也是无穷小，因此无穷小会讨论其是否为真0### ###</t>
  </si>
  <si>
    <t>AT的特征值和A的特征值###相同###，对应特征值的特征向量###不一定相同###</t>
  </si>
  <si>
    <t>二次型正定：</t>
  </si>
  <si>
    <t>充要条件：</t>
  </si>
  <si>
    <t>任意不为0的向量x，满足###xTAx&gt;0###</t>
  </si>
  <si>
    <t>A的特征值###均正###</t>
  </si>
  <si>
    <t>n阶矩阵A的正惯性指数为###n###</t>
  </si>
  <si>
    <t>A的###顺序主子式###均大于0</t>
  </si>
  <si>
    <t>A与###同阶单位阵###合同</t>
  </si>
  <si>
    <t>必要不充分：</t>
  </si>
  <si>
    <t>|A|&gt;0</t>
  </si>
  <si>
    <t>因为###偶数阶负定也行###</t>
  </si>
  <si>
    <t>A的主对角元素均大于0</t>
  </si>
  <si>
    <t>不充分：因为###主对角元素大于0的矩阵，其标准型未必正定###</t>
  </si>
  <si>
    <t>必要：因为###xTAx&gt;0,eiTAei=aii&gt;0，即主对角元均正###</t>
  </si>
  <si>
    <t>A²的特征向量###未必###（一定/未必）是A的特征向量</t>
  </si>
  <si>
    <t>考虑：A²x=λx→Ax=λx，其中###A²中的一个A消不掉###</t>
  </si>
  <si>
    <t>关键是###A的可逆性不能保证###</t>
  </si>
  <si>
    <t>伴随阵的特征向量###未必###（一定/未必）是A的特征向量</t>
  </si>
  <si>
    <t>考虑：A*x=λx，AA*x=λAx，|A|Ex=|A|x=λAx，###Ax=|A|x/λ不成立###</t>
  </si>
  <si>
    <t>关键是###λ有可能是0，不能作为分母###</t>
  </si>
  <si>
    <t>合同变换法求二次标准型（及变换矩阵）</t>
  </si>
  <si>
    <t>类似初等变换法，但是每对列进行一次变换，就###对行进行对应的变换###</t>
  </si>
  <si>
    <t>直到原矩阵###变为标准型###</t>
  </si>
  <si>
    <t>复合函数f(g(x))求极限的重要条件</t>
  </si>
  <si>
    <t>在x趋x0的时候，###存在使得g(x)≠lim(x-&gt;x0):g(x)的关于x0的某个去心邻域###</t>
  </si>
  <si>
    <t>这时，lim(x-&gt;x0):f(g(x))=lim(t-&gt;lim(x-&gt;x0):g(x)):f(t)</t>
  </si>
  <si>
    <t>反例：###g(x)=a,x≠x0;g(x)=b,x=x0###</t>
  </si>
  <si>
    <t>这种情况下，lim(x-&gt;x0):g(x)=###a###</t>
  </si>
  <si>
    <t>但是，不存在x0的去心邻域，使得###g(x)≠a###</t>
  </si>
  <si>
    <t>如果一个分段函数在分段点处连续，且###连续分段的导数在趋向分段点处的左右极限存在且相等###</t>
  </si>
  <si>
    <t>那么该分段函数在该分段点可导，且导数等于###连续分段的导数在趋向分段点处的极限###</t>
  </si>
  <si>
    <t>数据通路是###CPU内部，各功能部件之间###（位置）用来###传送信息###（功能）的###线路###（组成1）和###相关逻辑部件###（组成2）的总称</t>
  </si>
  <si>
    <t>因此，数据通路包含了ALU（对/错）###对###</t>
  </si>
  <si>
    <t>数据在指令过程中经历的【路径】和【路径上的部件】</t>
  </si>
  <si>
    <t>因此，负责指挥的控制元件，比如CU###不属于###（属于/不属于）数据通路</t>
  </si>
  <si>
    <t>CF和OF标志位的作用</t>
  </si>
  <si>
    <t>CF：###无符号数加减是否进位/借位###</t>
  </si>
  <si>
    <t>如果原数有负数，先看成###无符号正数###，再按照下述规则判断</t>
  </si>
  <si>
    <t>如果原数都是正数，那么当以下情况发生时，触发CF=1</t>
  </si>
  <si>
    <t>减法：###小正减大正为负###</t>
  </si>
  <si>
    <t>加法：###表示范围超出无符号正数范围###</t>
  </si>
  <si>
    <t>OF：###有符号数加减是否溢出（超出表示范围）###</t>
  </si>
  <si>
    <t>用户时间：###程序在CPU运行完成所需要的时间###</t>
  </si>
  <si>
    <t>计算方法：程序的指令个数###除以IPS###</t>
  </si>
  <si>
    <t>IPS：通过###时钟频率除CPI###得到</t>
  </si>
  <si>
    <t>总线传输主存块流程：</t>
  </si>
  <si>
    <t>###MAR通过总线传输地址给内存###</t>
  </si>
  <si>
    <t>###主存准备数据###</t>
  </si>
  <si>
    <t>###主存通过总线传输数据给MDR###</t>
  </si>
  <si>
    <t>中断的流程### ###</t>
  </si>
  <si>
    <t>外设的异步请求阶段</t>
  </si>
  <si>
    <t>CPU的指令执行阶段</t>
  </si>
  <si>
    <t>中断控制器负责中断判优与屏蔽检查</t>
  </si>
  <si>
    <t>CPU进行中断检测</t>
  </si>
  <si>
    <t>CPU进入中断周期（为中断服务做准备）</t>
  </si>
  <si>
    <t>CPU进行中断服务</t>
  </si>
  <si>
    <t>微内核相比宏内核更###安全###（安全/不安全）</t>
  </si>
  <si>
    <t>原因1：###牺牲业务兼容严格校验，减小攻击面###</t>
  </si>
  <si>
    <t>原因2：###避免横向攻击###</t>
  </si>
  <si>
    <t>执行转就绪的三种情况</t>
  </si>
  <si>
    <t>时间片耗尽</t>
  </si>
  <si>
    <t>高优先进入就绪</t>
  </si>
  <si>
    <t>###进程主动放弃CPU###</t>
  </si>
  <si>
    <t>索引节点是指文件系统中的一种数据结构</t>
  </si>
  <si>
    <t>每个索引节点保存了文件系统中的一个文件系统对象的元信息数据，###不包括###（包含/不包含）数据内容或者文件名。</t>
  </si>
  <si>
    <t>内存索引节点是存放在内存中的索引节点，文件被打开时，需要将磁盘索引节点复制到内存索引节点中</t>
  </si>
  <si>
    <t>进程关闭打开的文件时，需释放打开文件的索引节点所占的内存空间。</t>
  </si>
  <si>
    <t>MMU地址翻译只是将逻辑地址转换虚拟地址，不涉及访存</t>
  </si>
  <si>
    <t>因此，会涉及###TLB###、###缺页###检查</t>
  </si>
  <si>
    <t>其中，###缺页###可能是正常现象，也可能是###页表越界###或###权限不足###</t>
  </si>
  <si>
    <t>不会检查###Cache###</t>
  </si>
  <si>
    <t>单重中断在处理中断时是全程关中断的### ###</t>
  </si>
  <si>
    <t>即使是同一进程的线程，他们的栈也是各自独立不能互相访问的### ###</t>
  </si>
  <si>
    <t>键盘输入</t>
  </si>
  <si>
    <t>首先会将数据发送到键盘控制器的数据寄存器中</t>
  </si>
  <si>
    <t>当键盘控制器的数据寄存器接收到数据后，它会触发一个中断请求 (IRQ1)，通知 CPU 有数据等待处理</t>
  </si>
  <si>
    <t>如果CPU响应中断请求，会执行键盘中断服务例程</t>
  </si>
  <si>
    <t>在中断服务例程中，CPU 从键盘控制器的数据寄存器读取输入数据，并将其存放到内核缓冲区中。</t>
  </si>
  <si>
    <t>用户程序通过系统调用，把内核缓冲区的数据读取到用户进程的内存空间</t>
  </si>
  <si>
    <t>数据路线：###键盘控制器的数据寄存器###→###内核缓冲区###</t>
  </si>
  <si>
    <t>TCP连接建立时如果之后有###客户端基于TCP协议的上层协议动作###</t>
  </si>
  <si>
    <t>就会触发###捎带确认###，使得###第三次握手客户端发送ACK与基于TCP的上层业务同时发送###</t>
  </si>
  <si>
    <t>比如###HTTP请求###</t>
  </si>
  <si>
    <t>这种情况下，计算TCP连接建立的耗时，算###1###个RTT</t>
  </si>
  <si>
    <t>虚拟文件系统主要是用于###兼容不同文件系统，比如EXT和NTFS###</t>
  </si>
  <si>
    <t>文件的访问权限信息是存放在###索引节点内###，而非目录文件</t>
  </si>
  <si>
    <t>目录文件记录：###文件名###、###索引节点号###</t>
  </si>
  <si>
    <t>内存映射文件确实实现了页面到磁盘块的映射。### ###</t>
  </si>
  <si>
    <t>操作系统会将文件内容映射到内存页面，并在需要时将页面与磁盘块进行交换。</t>
  </si>
  <si>
    <t>二进制指数退避</t>
  </si>
  <si>
    <t>退避次数小等于###10###，那么k是###退避次数###</t>
  </si>
  <si>
    <t>退避次数大于###10###，那么k###固定为10###</t>
  </si>
  <si>
    <t>退避时长=n*###RTT###</t>
  </si>
  <si>
    <t>n=###[0,(2^k)-1]</t>
  </si>
  <si>
    <t>主机通过DHCP租赁IP，需要使用###广播###进行Request</t>
  </si>
  <si>
    <t>此时的源IP地址：###0.0.0.0###</t>
  </si>
  <si>
    <t>邮件协议</t>
  </si>
  <si>
    <t>发送：###SMTP###</t>
  </si>
  <si>
    <t>收取：###POP3###</t>
  </si>
  <si>
    <t>转发：###SMTP###</t>
  </si>
  <si>
    <t>AOE关键事件的时间余量计算</t>
  </si>
  <si>
    <t>先按顶点列表，列出每个节点（事件）的###最早发生时间###和###最迟发生时间###</t>
  </si>
  <si>
    <t>先计算每个节点的###最早发生时间###，从###起###点到###终###点算，多个路径的值取较###大###的,否则###干等###</t>
  </si>
  <si>
    <t>###终###点的###最早发生时间###和###最迟发生时间###相等</t>
  </si>
  <si>
    <t>后计算每个节点的###最迟发生时间###，从###终###点到###起###点算，多个路径的值取较###小###的，否则###延误###</t>
  </si>
  <si>
    <t>每个边（活动）的时间余量=###终点的最迟发生时间-起点的最早发生时间-这个活动要花多久###</t>
  </si>
  <si>
    <t>编译过程</t>
  </si>
  <si>
    <t>预处理→###编译###→###汇编###→###链接###</t>
  </si>
  <si>
    <t>进程数量对CPU利用率的影响：</t>
  </si>
  <si>
    <t>太少：###IO导致空闲太多，利用率低###</t>
  </si>
  <si>
    <t>适中：###几乎不空闲，利用率高###</t>
  </si>
  <si>
    <t>太多：###资源竞争过于激烈，甚至死锁，利用率低###</t>
  </si>
  <si>
    <t>OS初始化流程### ###</t>
  </si>
  <si>
    <t>内核自身初始化</t>
  </si>
  <si>
    <t>内存空间初始化（划分代码段、数据段、堆栈，初始化内核全局变量）</t>
  </si>
  <si>
    <t>开启CPU模式（32位/64位）和MMU</t>
  </si>
  <si>
    <t>硬件初始化</t>
  </si>
  <si>
    <t>IVT/IDT（中断向量/中断描述表）初始化（绑定中断号与中断服务）</t>
  </si>
  <si>
    <t>初始化定时器、DMA控制器、枚举PCI总线、识别加载键鼠驱动</t>
  </si>
  <si>
    <t>核心子系统初始化（四大管理）</t>
  </si>
  <si>
    <t>注意，只初始化管理框架，被管理的信息创建不在这时发生</t>
  </si>
  <si>
    <t>用户环境初始化</t>
  </si>
  <si>
    <t>系统服务（网络、打印、日志）</t>
  </si>
  <si>
    <t>登录和用户进程创建</t>
  </si>
  <si>
    <t>系统调用时，负责切换内核态的是###CPU###，而不是操作系统</t>
  </si>
  <si>
    <t>原因：###syscall执行前还在用户态，syscall发生时CPU自动切换，之后才跳转到系统的代码###</t>
  </si>
  <si>
    <t>驱动程序相关</t>
  </si>
  <si>
    <t>驱动程序与IO方式###有关###（相关/无关）</t>
  </si>
  <si>
    <t>驱动负责初始化设备</t>
  </si>
  <si>
    <t>驱动负责读写设备</t>
  </si>
  <si>
    <t>驱动运行时，可能由于设备忙碌而导致驱动进程阻塞</t>
  </si>
  <si>
    <t>Dijkstra算法（从起点A到其它顶点）</t>
  </si>
  <si>
    <t>先按顶点列出一个表格，共三列：顶点名称、###起点到这些顶点的距离###、###到达这些顶点的前一个顶点###</t>
  </si>
  <si>
    <t>初始值：顶点名称、###除了起点是0，其它都是∞###、###空白，什么也没有###</t>
  </si>
  <si>
    <t>再来一个优先队列（堆），用于存储###目前正在计算的顶点###及###该点到起点的最短距离###</t>
  </si>
  <si>
    <t>堆排序的依据是###堆元素顶点到起点的最短路径长度###</t>
  </si>
  <si>
    <t>核心循环流程：</t>
  </si>
  <si>
    <t>出队堆中###到起点距离最小###的顶点P</t>
  </si>
  <si>
    <t>遍历P的###所有未曾出队过###的邻接节点</t>
  </si>
  <si>
    <t>有向图里，仅遍历###P指向###的邻接节点，不遍历###指向P###的邻接节点</t>
  </si>
  <si>
    <t>计算起点-&gt;P-&gt;邻居的路径长度，与邻居当前的###起点到这些顶点的距离###对比</t>
  </si>
  <si>
    <t>因为P-&gt;邻居相邻，采用###二者相连边的权重###</t>
  </si>
  <si>
    <t>起点-&gt;P的距离采用###表格中的值###</t>
  </si>
  <si>
    <t>如果计算出来的更短，更新###起点到这些顶点的距离###，将###到达这些顶点的前一个顶点###设置为P，###该邻居###入队</t>
  </si>
  <si>
    <t>如果计算出来的更长，处理###什么也不做###</t>
  </si>
  <si>
    <t>B树</t>
  </si>
  <si>
    <t>核心定义</t>
  </si>
  <si>
    <t>本质：多路平衡查找树</t>
  </si>
  <si>
    <t>多路：###一个节点有2个以上的子节点###</t>
  </si>
  <si>
    <t>平衡：###所有叶子都在同一高度###</t>
  </si>
  <si>
    <t>用途：外部查找的索引，减少磁盘IO次数（扁平化）</t>
  </si>
  <si>
    <t>术语：M阶B树</t>
  </si>
  <si>
    <t>每个节点最多###M个子节点###</t>
  </si>
  <si>
    <t>每个节点内最多###M-1个关键字###</t>
  </si>
  <si>
    <t>规则</t>
  </si>
  <si>
    <t>关键字数量规则</t>
  </si>
  <si>
    <t>上限：根节点外，关键字数&lt;=###M-1###</t>
  </si>
  <si>
    <t>下限：根节点外，关键字数&gt;=###ceil(M/2)-1###</t>
  </si>
  <si>
    <t>结构规则</t>
  </si>
  <si>
    <t>所有叶子###都在同一高度（树高从根开始增加，根为1）###</t>
  </si>
  <si>
    <t>节点内关键字###有序排列（左子树关键字&lt;分叉间隔关键字&lt;右子树关键字）###</t>
  </si>
  <si>
    <t>操作</t>
  </si>
  <si>
    <t>插入操作</t>
  </si>
  <si>
    <t>基本插入</t>
  </si>
  <si>
    <t>从根到叶子找插入位置（参考BST）</t>
  </si>
  <si>
    <t>插入后如果违反关键字个数规则，则触发分裂</t>
  </si>
  <si>
    <t>分裂</t>
  </si>
  <si>
    <t>提拔：第###ceil(M/2)###个元素到父节点，对应分叉起点的位置</t>
  </si>
  <si>
    <t>分裂：原节点分裂为左右两个节点</t>
  </si>
  <si>
    <t>特殊情况：根节点分裂，树高+1（唯一增加树高的方式）</t>
  </si>
  <si>
    <t>删除操作</t>
  </si>
  <si>
    <t>基本删除</t>
  </si>
  <si>
    <t>从根到叶子找删除元素（参考BST）</t>
  </si>
  <si>
    <t>删除后如果违反关键字个数规则，则触发修复</t>
  </si>
  <si>
    <t>修复（叶子，非叶参考20251107）</t>
  </si>
  <si>
    <t>向###兄弟节点###借关键字</t>
  </si>
  <si>
    <t>最终是###兄弟###少了，但是是通过###父亲###向###兄弟###借</t>
  </si>
  <si>
    <t>左弟借###最大###，右兄借###最小###</t>
  </si>
  <si>
    <t>###兄弟###家也没有余粮</t>
  </si>
  <si>
    <t>与###兄弟###和###父亲的中间关键字###合并</t>
  </si>
  <si>
    <t>特殊情况：根节点合并，树高-1（唯一减少树高的方式）</t>
  </si>
  <si>
    <t>这种情况下，合并后的变成新根</t>
  </si>
  <si>
    <t>缓存</t>
  </si>
  <si>
    <t>地址拆分：低位=###块内偏移###，中间=###组号###，高位=###标记位###</t>
  </si>
  <si>
    <t>映射：</t>
  </si>
  <si>
    <t>直接映射=###根据块号来放置内存块###</t>
  </si>
  <si>
    <t>全相联=###没有规律，想放就放，看标记来确定是不是要的###</t>
  </si>
  <si>
    <t>组相联=###几个缓存块为一组，同组内全相联，遍历组内的标记位###</t>
  </si>
  <si>
    <t>存储信息：数据、标记位、有效位、脏位、一致性位</t>
  </si>
  <si>
    <t>标记位：###确认这个是目标内存块###</t>
  </si>
  <si>
    <t>有效位：###这个块的数据是否准备好或者是否失效（内存更新了）###</t>
  </si>
  <si>
    <t>脏位：###这个数据在缓存被修改过，需要更新到内存###</t>
  </si>
  <si>
    <t>一致位：###多处理器的数据一致性###</t>
  </si>
  <si>
    <t>写命中策略：</t>
  </si>
  <si>
    <t>回写法：###脏位=1不立即改内存，缓存被换出前做push###</t>
  </si>
  <si>
    <t>写直达：###同步修改，脏位无用，不延迟写内存###</t>
  </si>
  <si>
    <t>写不命中策略：</t>
  </si>
  <si>
    <t>写分配：###改了就很有可能用，干脆提前载入缓存###</t>
  </si>
  <si>
    <t>不分配：###不杞人忧天###</t>
  </si>
  <si>
    <t>子网划分### ###</t>
  </si>
  <si>
    <t>VLSM划分规则</t>
  </si>
  <si>
    <t>允许子网掩码长度不同</t>
  </si>
  <si>
    <t>同一子网的所有地址必须有共同前缀</t>
  </si>
  <si>
    <t>地址覆盖规则</t>
  </si>
  <si>
    <t>划分的N个子网必须连续</t>
  </si>
  <si>
    <t>必须覆盖母网全部地址</t>
  </si>
  <si>
    <t>子网冲突规则</t>
  </si>
  <si>
    <t>每个子网的地址不能有重叠</t>
  </si>
  <si>
    <t>有效载荷最大传输效率### ###</t>
  </si>
  <si>
    <t>考察对象：端到端（传输层）</t>
  </si>
  <si>
    <t>有效载荷：应用层数据</t>
  </si>
  <si>
    <t>其它数据：传输层封装的头部和尾部</t>
  </si>
  <si>
    <t>例题：12B应用层，用TCP和UDP发送</t>
  </si>
  <si>
    <t>TCP：12B+TCP头20B=32B</t>
  </si>
  <si>
    <t>UDP：12B+UDP头8B=20B</t>
  </si>
  <si>
    <t>TCP效率：12/32=37.5%</t>
  </si>
  <si>
    <t>UDP效率：12/20=60%</t>
  </si>
  <si>
    <t>TCP头长度会变，最小20B，最大60B（用来算最小传输效率）</t>
  </si>
  <si>
    <t>CLOCK算法### ###</t>
  </si>
  <si>
    <t>基础CLOCK</t>
  </si>
  <si>
    <t>检测使用位</t>
  </si>
  <si>
    <t>使用位=0即最近未使用</t>
  </si>
  <si>
    <t>使用位=1即最近有使用</t>
  </si>
  <si>
    <t>若使用位=1</t>
  </si>
  <si>
    <t>使用位设置=0（门票打孔）</t>
  </si>
  <si>
    <t>若使用位=0</t>
  </si>
  <si>
    <t>换出（没有门票就滚）</t>
  </si>
  <si>
    <t>新页面使用位=1</t>
  </si>
  <si>
    <t>改进CLOCK</t>
  </si>
  <si>
    <t>第一轮扫描</t>
  </si>
  <si>
    <t>扫出修改和使用都为0的进行置换</t>
  </si>
  <si>
    <t>不修改使用位</t>
  </si>
  <si>
    <t>如果没有符合的才进行第二轮</t>
  </si>
  <si>
    <t>第二轮扫描</t>
  </si>
  <si>
    <t>扫出使用0、修改1的页面的进行置换</t>
  </si>
  <si>
    <t>如果使用位为1，无论修改位如何，使用位都置0</t>
  </si>
  <si>
    <t>换入新页面的处理</t>
  </si>
  <si>
    <t>使用位=1</t>
  </si>
  <si>
    <t>修改位=0</t>
  </si>
  <si>
    <t>修改位不会主动被置换算法改变</t>
  </si>
  <si>
    <t>拥塞控制### ###</t>
  </si>
  <si>
    <t>慢启动：从1开始，每收到一个有效ACK，cwnd增加1，直到到达ssthresh（初始16）</t>
  </si>
  <si>
    <t>由于发送和确认同步增加，实际效果是每个RTT轮次，cwnd指数增长</t>
  </si>
  <si>
    <t>避拥塞：增长放缓变为线性，且无论收到多少ACK，每1RTT增长一个MSS，直到第一次重传事件发生</t>
  </si>
  <si>
    <t>重传：只要发生重传，无论是超时还是快重传，都将ssthresh设置为当前cwnd的一半</t>
  </si>
  <si>
    <t>快重传：连续收到三个相同的确认序号，那么cwnd设置为ssthresh，之后的增长采取避拥塞</t>
  </si>
  <si>
    <t>超时重传：超过确认计时器，那么cwnd设置为1，之后的增长采取慢启动</t>
  </si>
  <si>
    <t>既没有三个连续相同确认也没有超时重传，那就一直发新的</t>
  </si>
  <si>
    <t>cwnd和ssthresh的单位是MSS（最大段长）</t>
  </si>
  <si>
    <t>字节序号### ###</t>
  </si>
  <si>
    <t>每次发送的报文seq字段=该报文段第一个字节在全部正文中的序号</t>
  </si>
  <si>
    <t>确认的ack_seq字段=接收方期望下次收到的第一个字节在全部正文的序号</t>
  </si>
  <si>
    <t>贝尔曼福特（RIP协议）### ###</t>
  </si>
  <si>
    <t>一开始和迪杰斯特拉一样，列表，三个要素</t>
  </si>
  <si>
    <t>然后列出所有边</t>
  </si>
  <si>
    <t>开始迭代，迭代次数为V-1（V为顶点个数）</t>
  </si>
  <si>
    <t>遍历每条边，看看他们对起点到边终点的距离是否造成影响</t>
  </si>
  <si>
    <t>具体计算的时候，将这条边的权加上这个边起点在列表中的目前最短距离，得到更新比较用的新路径长度</t>
  </si>
  <si>
    <t>如果小于表格已经记录的最短路径，更新路径长度和前驱结点</t>
  </si>
  <si>
    <t>如果V-1轮迭代后仍有更新，就出现了负权环</t>
  </si>
  <si>
    <t>B树的补丁### ###</t>
  </si>
  <si>
    <t>修复（非叶子节点）触发条件不看关键字个数，一定会触发</t>
  </si>
  <si>
    <t>修复（叶子节点）触发条件要看关键字个数，未必会触发</t>
  </si>
  <si>
    <t>HTTP 1.1和1.0的区别### ###</t>
  </si>
  <si>
    <t>1.0默认短连接（每个请求单独TCP连接），1.1默认KeepAlive</t>
  </si>
  <si>
    <t>1.0请求只能串行，1.1可以流水线（非并行，一个堵住还是会卡整个队列）</t>
  </si>
  <si>
    <t>注意：一个HTTP请求是一个TCP发送+TCP确认，一个响应也是一个TCP发送+TCP确认，因此无论响应还是请求，耗时都是一个RTT</t>
  </si>
  <si>
    <t>注意：HTTP响应可能捎带对HTTP请求的TCP确认</t>
  </si>
  <si>
    <t>DRAM相关### ###</t>
  </si>
  <si>
    <t>行/列缓冲区</t>
  </si>
  <si>
    <t>配合突发传送，从存储阵列读一行到高速缓存</t>
  </si>
  <si>
    <t>配合行列复用，节省引脚数量</t>
  </si>
  <si>
    <t>多芯片交叉编址有助于将变量分散到多个芯片</t>
  </si>
  <si>
    <t>单个芯片有访存周期的限制</t>
  </si>
  <si>
    <t>如果用多个芯片，可以提升多数据的访存速度</t>
  </si>
  <si>
    <t>多地址指令个数计算### ###</t>
  </si>
  <si>
    <t>①基础参数明确</t>
  </si>
  <si>
    <t>已知指令字长（固定）、固定地址码位数</t>
  </si>
  <si>
    <t>按「地址个数越多→操作码越短」的规律，倒推各类地址指令的操作码总长度</t>
  </si>
  <si>
    <t>例：2 地址指令操作码长度 = 指令字长 - 2× 地址码位数，1 地址 = 指令字长 - 1× 地址码位数，0 地址 = 指令字长</t>
  </si>
  <si>
    <t>②最短操作码空间计算</t>
  </si>
  <si>
    <t>最短操作码对应「地址个数最多」的指令（如 2 地址＞1 地址＞0 地址）</t>
  </si>
  <si>
    <t>设最短操作码长度为 n₁，空间容量 c₁=2ⁿ¹（该长度下所有可能的操作码组合总数）</t>
  </si>
  <si>
    <t>③扩展前缀个数推导</t>
  </si>
  <si>
    <t>用最短操作码的空间容量 c₁，减去其实际需要的指令条数，剩余未使用的操作码组合数，即为「下一级更长操作码」（地址个数更少）的扩展前缀个数 pc₁</t>
  </si>
  <si>
    <t>前缀需连续，408 默认取后缀连续段</t>
  </si>
  <si>
    <t>④自由位长度计算</t>
  </si>
  <si>
    <t>下一级操作码总长度为 n₂，其自由位长度 fn₁=n₂- 前缀长度</t>
  </si>
  <si>
    <t>前缀长度 = 上一级最短操作码的长度 n₁，因前缀是上一级未使用的操作码，位数与上一级操作码一致</t>
  </si>
  <si>
    <t>⑤当前级操作码空间计算</t>
  </si>
  <si>
    <t>该级操作码的空间容量 c₂= 扩展前缀个数 pc₁×2^fn₁</t>
  </si>
  <si>
    <t>每个前缀搭配所有自由位组合，构成无冲突的操作码集合</t>
  </si>
  <si>
    <t>⑥迭代推导</t>
  </si>
  <si>
    <t>重复步骤 3-5</t>
  </si>
  <si>
    <t>用当前级操作码的空间容量 cₖ，减去其实际需要的指令条数，得到下一级更长操作码的扩展前缀个数 pcₖ，</t>
  </si>
  <si>
    <t>依次推进，直到目标为「最长操作码」（通常是 0 地址指令，操作码总长度 = 指令字长）。</t>
  </si>
  <si>
    <t>⑦最长操作码收尾</t>
  </si>
  <si>
    <t>最长操作码无后续扩展需求，无需预留前缀，其实际最大指令条数 = 自身空间容量 cₘ（所有组合均可使用）</t>
  </si>
  <si>
    <t>物理信道速率上限### ###</t>
  </si>
  <si>
    <t>无噪声：奈奎斯特采样定理</t>
  </si>
  <si>
    <t>有噪声：奈奎斯特采样定理+香农公式</t>
  </si>
  <si>
    <t>奈奎斯特采样定理：R=2*B*log(2,M)</t>
  </si>
  <si>
    <t>R为速率上限，单位bit/s</t>
  </si>
  <si>
    <t>B为带宽，单位Hz</t>
  </si>
  <si>
    <t>M为码元进制，比如一个时间点的信号有四种波形，这就是四进制，M=4</t>
  </si>
  <si>
    <t>香农公式：R=B*log(2,1+S/N)</t>
  </si>
  <si>
    <t>S/N为信噪比</t>
  </si>
  <si>
    <t>要注意，题目给的信噪比如果单位是dB需要转换才能对应S/N</t>
  </si>
  <si>
    <t>dB=10*log(10,S/N)，因此要倒过来计算S/N，即S/N=10^(dB/10)</t>
  </si>
  <si>
    <t>对于非空B树而言，只要删除了一个关键字，叶子必然会变动### ###</t>
  </si>
  <si>
    <t>如果非叶节点删除关键字，无论是否满足关键字个数都会触发挪用</t>
  </si>
  <si>
    <t>而挪用对于其它被挪用的非叶节点来说也都会继续触发挪用，直到被挪用节点是叶节点</t>
  </si>
  <si>
    <t>流水线的冒险类型### ###</t>
  </si>
  <si>
    <t>数据冒险：RAW、WAR、WAW（针对寄存器）</t>
  </si>
  <si>
    <t>转发技术只能用于CPU内部（流水线寄存器间）</t>
  </si>
  <si>
    <t>因此，如果MEM阶段load内存的数据还没进入CPU，需要这部分数据导致的RAW无法被转发解决</t>
  </si>
  <si>
    <t>这种情况下，必须用阻塞进行“兜底”</t>
  </si>
  <si>
    <t>控制冒险（取指冒险）：</t>
  </si>
  <si>
    <t>条件跳转冒险（条件未判明）</t>
  </si>
  <si>
    <t>无条件跳转冒险（跳转目的指令不确定）</t>
  </si>
  <si>
    <t>函数调用、返回冒险</t>
  </si>
  <si>
    <t>结构冒险：不同阶段的指令争用同一类型硬件资源</t>
  </si>
  <si>
    <t>内存：取指和内存存取阶段（RISC）</t>
  </si>
  <si>
    <t>ALU：指令译码（涉及地址偏移量计算）和执行阶段</t>
  </si>
  <si>
    <t>寄存器：指令译码（从寄存器读取地址偏移量）和写回寄存器阶段</t>
  </si>
  <si>
    <t>PC的自增有专门的机构，不依赖ALU### ###</t>
  </si>
  <si>
    <t>CSMA的争用时间片即RTT，可以用这个值计算后续的退避时间### ###</t>
  </si>
  <si>
    <t>ARQ协议### ###</t>
  </si>
  <si>
    <t>SW（停等）：单发送窗，单接收窗，n比特帧序号下，收发窗都是1</t>
  </si>
  <si>
    <t>GBN：多发送窗、单接收窗，n比特帧序号下，发送窗是(2^n)-1，接收窗是1</t>
  </si>
  <si>
    <t>SR：多发送窗、多接收窗（乱序接受），n比特帧序号下，收发窗都是2^(n-1)</t>
  </si>
  <si>
    <t>QAM-n，后面的数字是同一时刻的波形种类数### ###</t>
  </si>
  <si>
    <t>分组交换的流水线图，平行四边形的倾斜越厉害，传播时延就越大，时延带宽积也越大### ###</t>
  </si>
  <si>
    <t>浮点数的位数分配### ###</t>
  </si>
  <si>
    <t>单精度：总计32位，1位符号位，8位阶码（移码），23位尾数（原码）</t>
  </si>
  <si>
    <t>双精度：总计64位，1位符号位，11位阶码（移码），52位尾数（原码）</t>
  </si>
  <si>
    <t>UDP校验和方法### ###</t>
  </si>
  <si>
    <t>将UDP数据（包括伪首部、UDP首部、UDP数据部分）按16位为单位拆分成组</t>
  </si>
  <si>
    <t>如果总长不是16倍数，用0补足</t>
  </si>
  <si>
    <t>对所有16位组进行加法</t>
  </si>
  <si>
    <t>如果最高位产生进位，则循环加到低16位上</t>
  </si>
  <si>
    <t>对加法的最后和取反</t>
  </si>
  <si>
    <t>MSL（最长报文段寿命）：TCP关闭连接时，客户端一方TIME_WAIT到CLOSED之间时长的一半### ###</t>
  </si>
  <si>
    <t>ARQ协议中，滑动窗口大小与序号的具体数值无关，比如窗口大小4的SR，序号可以是0,1,2,3也可以是1,2,3,4### ###</t>
  </si>
  <si>
    <t>序号范围由序号位数决定</t>
  </si>
  <si>
    <t>802.11的NAV（网络分配向量）：收到与自己无关的RTS/CTS帧时，设定自己“闭嘴”的时长### ###</t>
  </si>
  <si>
    <t>NAV时长也就是看“那一对”能谈多久</t>
  </si>
  <si>
    <t>发送准备（SIFS）+数据帧发送+响应准备（SIFS）+ACK</t>
  </si>
  <si>
    <t>注意：NAV不包含DIFS，但是如果问的是还要多久才能发RTS，则需要包括DIFS</t>
  </si>
  <si>
    <t>如果问n个关键字能组成几种结构的x树### ###</t>
  </si>
  <si>
    <t>那么指的不是用这n个关键字从无到有的建x树，而是已经存在的x树含仅含这n个关键字，有几种可能</t>
  </si>
  <si>
    <t>比如B树，可以采用树高从1遍历可能性</t>
  </si>
  <si>
    <t>数据类型转换的规律### ###</t>
  </si>
  <si>
    <t>不看目的数据类型，根据原数据类型选择扩展方式</t>
  </si>
  <si>
    <t>原有符号数扩展均采用符号扩展，原无符号数扩展均采用0扩展</t>
  </si>
  <si>
    <t>大小端（高低位）### ###地址增长时先碰到高位就是大端，先碰到低位就是小端</t>
  </si>
  <si>
    <t>C语言的易错点### ###</t>
  </si>
  <si>
    <t>字符数组在内存中按固定大小分配，并直接存储字符数据；而 char* 是一个指针，可以指向动态分配的字符内存或字符数组，其本身仅保存内存地址</t>
  </si>
  <si>
    <t>除了 ASCII，还有其它的单字节编码，char[] 可以存储单字节编码和变长编码（例如 UTF-8）。对于某些 Unicode 编码（如 UTF-16 或 UTF-32），可以使用 wchar_t 或其他适当的字符类型存储</t>
  </si>
  <si>
    <t>边界对齐的大小=###min(系统默认的对齐大小,进程使用的最大基本数据类型大小）###</t>
  </si>
  <si>
    <t>系统默认对齐大小由CPU位数和编译器决定</t>
  </si>
  <si>
    <t>进程使用的最大基本数据类型，比如int是4字节</t>
  </si>
  <si>
    <t>数组的情况下，只看元素的数据类型大小，比如char数组就是1字节</t>
  </si>
  <si>
    <t>总线工作频率≠总线时钟频率### ###</t>
  </si>
  <si>
    <t>纠错码的纠错/检错能力：</t>
  </si>
  <si>
    <t>n个编码，算出两两汉明距，取其中最小的d</t>
  </si>
  <si>
    <t>汉明距：两个二进制串对应位不同的个数</t>
  </si>
  <si>
    <t>检错能力：检出e位，d&gt;=e+1</t>
  </si>
  <si>
    <t>纠错能力：纠正t位，d&gt;=2t+1</t>
  </si>
  <si>
    <t>检错率：能检出的错误情况/所有可能的错误情况</t>
  </si>
  <si>
    <t>所有的错误情况：这n个编码的位数k，用(2^k)-n，即不合法的都错</t>
  </si>
  <si>
    <t>能检出的错误情况：这n个编码，每个挑e位取反的所有可能</t>
  </si>
  <si>
    <t>如果d&gt;=2e+1，那么任意两个合法码取e位取反不会重复，可以直接用组合数C(n,e)*n来算能检出的错误情况</t>
  </si>
  <si>
    <t>如果d&lt;2e+1，那么任意两个合法码取e位取反可能重复，需要手动枚举</t>
  </si>
  <si>
    <t>类比：两个圆如果半径e太长，圆心距离d又不够大，就有可能重叠</t>
  </si>
  <si>
    <t>注意：e属于检错范围内的位数，因此，不可能有合法码通过取e位取反（错误码）变为其它合法码（无法检出）</t>
  </si>
  <si>
    <t>总线周期和总线时钟周期### ###</t>
  </si>
  <si>
    <t>总线周期：完成一次总线操作的总时长</t>
  </si>
  <si>
    <t>总线时钟周期：总线时钟的周期，是衡量总线操作时长的基本单位，一个总线操作一般需要耗费多个总线时钟周期</t>
  </si>
  <si>
    <t>同步总线才有时钟的概念，同步总线的时钟可能是独立的，也可能复用CPU时钟</t>
  </si>
  <si>
    <t>408默认情况下，同步总线使用独立的时钟，除非条件有明写，否则不会复用CPU的时钟</t>
  </si>
  <si>
    <t>TCP拥塞控制中的无效ACK：没有确认任何新数据，仅重复确认已确认过的旧数据### ###</t>
  </si>
  <si>
    <t>第一种情况：重复确认最新的数据，三次后触发快重传</t>
  </si>
  <si>
    <t>第二种情况：先重复了后面的数据，再确认前面的（旧的）数据</t>
  </si>
  <si>
    <t>简化逻辑：当前ACK_SEQ&lt;=之前的最大ACK_SEQ，这种就是无效的</t>
  </si>
  <si>
    <t>ALU的宽度是计算机字长，除此之外，其它的参数都只是参考，可能相等，也可能不相等### ###</t>
  </si>
  <si>
    <t>MDR的宽度是编址长度，数据线可能比这个宽度要小，那种情况下会分批发送### ###</t>
  </si>
  <si>
    <t>不同类指令的操作码在相同位上的，共享编码空间，如果这个位置还有其它类指令有固定编码，还要排除那些固定编码### ###</t>
  </si>
  <si>
    <t>扇区构成了磁盘的分区，一个扇区不可能被多个分区共享### ###</t>
  </si>
  <si>
    <t>DNS递归查询：###帮你查###，DNS迭代查询：###去问别人###</t>
  </si>
  <si>
    <t>协议的功能与封装：</t>
  </si>
  <si>
    <t>ICMP：功能###网络层###，封装###网络层###</t>
  </si>
  <si>
    <t>DHCP：功能###应用层###，封装###传输层###</t>
  </si>
  <si>
    <t>二叉树数组中，下标为i（从0开始）的节点，它的左孩子###2*i+1###，它的右孩子###2*i+2###</t>
  </si>
  <si>
    <t>BST的中序遍历是有序的### ###</t>
  </si>
  <si>
    <t>前k轮得到topk的排序算法：###简单选择排序###、###冒泡排序###、###堆排序###</t>
  </si>
  <si>
    <t>ALU里面，SF（符号标志位）就是运算结果的最高位### ###</t>
  </si>
  <si>
    <t>OF（溢出标志）的逻辑表达式（A+B，A-B用A+(-B)代替）：###(An与Bn与(非Cn))或((非An)与(非Bn)与Cn)###</t>
  </si>
  <si>
    <t>也就是两正加出负（即###(An与Bn与(非Cn))###）和两负加出正（即###((非An)与(非Bn)与Cn)###）的情况</t>
  </si>
  <si>
    <t>操作数A和B，运算结果C</t>
  </si>
  <si>
    <t>A最高位An，B最高位Bn，C最高位Cn</t>
  </si>
  <si>
    <t>###同号###减法不会发生溢出，###异号###加法不会溢出（同号/异号）</t>
  </si>
  <si>
    <t>MUX负责从多个输出选一个输出，DEMUX负责从多个输入选一个输入### ###</t>
  </si>
  <si>
    <t>通用寄存器片选信号一定是来自IR### ###</t>
  </si>
  <si>
    <t>通用寄存器不像内存地址可以有偏移量</t>
  </si>
  <si>
    <t>多个时钟周期构成总线周期的总线通常指###外部###总线，而###内部###总线的速度较快，其读写周期通常与### CPU 时钟###周期一致。</t>
  </si>
  <si>
    <t>如果是多总线结构的###内部###总线，其读写周期甚至可能比### CPU 时钟###周期更快</t>
  </si>
  <si>
    <t>推测1：###外部###总线传输数据量大，面向的设备更慢，因此一个总线周期由多个时钟周期组成</t>
  </si>
  <si>
    <t>推测2：###内部###总线用于CPU的内部，CPU要求高集成度，尺寸小，因此不可能为它另设时钟，而且为了效率，应当让该总线与CPU其它部件同步工作</t>
  </si>
  <si>
    <t>CU的输入有两个，除了IR（或者说ID）还有###ALU的输出FR###</t>
  </si>
  <si>
    <t>磁盘的术语### ###</t>
  </si>
  <si>
    <t>柱面=磁道：所有盘面的同一磁道竖着组成一个柱面，磁道是盘面上的同心圆，不同半径的圆磁道不同</t>
  </si>
  <si>
    <t>扇区的平均访问时间=平均寻道时间+平均旋转延迟+单个扇区传输时长</t>
  </si>
  <si>
    <t>平均旋转延迟=1/(2*圈/秒单位的转速)</t>
  </si>
  <si>
    <t>单个扇区的传输时间=转过一个扇区所需要的时间=(1/转速)/该磁道上的扇区个数</t>
  </si>
  <si>
    <t>DMA挪用：让DMA传输稍等一下，不抢占CPU正在使用的总线，而是在CPU不使用总线时才传输### ###</t>
  </si>
  <si>
    <t>高速外设（比如磁盘和网卡）场景下，为了避免数据丢失，一旦数据传送开始就不能停下，即使CPU需要总线，DMA也不会让</t>
  </si>
  <si>
    <t>文件一般来说都有全局唯一的索引节点号，除非是###硬链接###</t>
  </si>
  <si>
    <t>一个文件至少占用一个磁盘块，磁盘块不能为多个文件共享### ###</t>
  </si>
  <si>
    <t>磁盘块号记录于索引节点内，索引节点存在于单独的磁盘块（索引节点块）上</t>
  </si>
  <si>
    <t>一个索引节点块能够存储多个索引节点</t>
  </si>
  <si>
    <t>索引节点存储大量磁盘块，自身直接地址存不下的时候，会###用多级间接地址指向一种只有直接地址的磁盘块（间接索引块）###</t>
  </si>
  <si>
    <t>###间接索引块###里面全是文件的磁盘块号，没有其它信息（如果是索引节点块则不全是磁盘块号）</t>
  </si>
  <si>
    <t>因此在计算地址个数时，###间接索引块###是直接用磁盘块大小除以地址长度来获得的</t>
  </si>
  <si>
    <t>计算方式：需要间接块存储的磁盘块号=文件总共需要的块数-单个inode里的直接地址数量</t>
  </si>
  <si>
    <t>一级间接块存储磁盘块容量：磁盘块大小/地址长度</t>
  </si>
  <si>
    <t>二级间接块存储磁盘块容量：(磁盘块大小/地址长度)*一级间接块存储磁盘块容量</t>
  </si>
  <si>
    <t>三级间接块存储磁盘块容量：(磁盘块大小/地址长度)*二级间接块存储磁盘块容量</t>
  </si>
  <si>
    <t>以太网最短帧长和最远距离的关系### ###</t>
  </si>
  <si>
    <t>要让最短帧在链路上足够久才能被检测，因此最短帧的传输时延要大于RTT</t>
  </si>
  <si>
    <t>64B，100Base的情况下，传输时延是5.12us</t>
  </si>
  <si>
    <t>RTT通过计算传播时延（传播距离/传播速度）再加上其它延迟</t>
  </si>
  <si>
    <t>DHCP流程### ###</t>
  </si>
  <si>
    <t>DHCP发现：谁是DHCP服务器？我需要IP地址</t>
  </si>
  <si>
    <t>自己没IP，也不知道DHCP服务器的IP，因此自己的IP是全0，目的IP是全255（广播）</t>
  </si>
  <si>
    <t>DHCP供应：我是DHCP服务器，这有一个IP，你拿去</t>
  </si>
  <si>
    <t>源地址是DHCP服务器IP，目的IP是全255</t>
  </si>
  <si>
    <t>DHCP请求：好，我要这个（我要续租）</t>
  </si>
  <si>
    <t>源地址是全0（首次申请）或者新的IP（续租），目的地址是全255，依然是广播</t>
  </si>
  <si>
    <t>广播是因为要通知未被选中的DHCP服务器，让他们撤回给出的offer地址</t>
  </si>
  <si>
    <t>但如果是地址续租的情况下，不需要通知其它DHCP服务器，就没有广播的理由（因此是单播）</t>
  </si>
  <si>
    <t>二三层单播/多播组合情形### ###</t>
  </si>
  <si>
    <t>全单播、全多播：略</t>
  </si>
  <si>
    <t>三层单播、二层广播（两人办事，全体见证）：VRRP（可变冗余路由协议）的主节点通告</t>
  </si>
  <si>
    <t>三层广播、二层单播：不存在</t>
  </si>
  <si>
    <t>802.11三个地址：地址1对应###源MAC###，地址2对应###目的MAC###，地址3对应###AP地址###</t>
  </si>
  <si>
    <t>第三个地址是为了兼容802.11的管理帧，比如信标帧和认证帧</t>
  </si>
  <si>
    <t>有向图的邻接矩阵中，行对应###起点###，列对应###终点###</t>
  </si>
  <si>
    <t>置换选择排序=货车垒货，逐车壮哉，每次最大，下大上小### ###</t>
  </si>
  <si>
    <t>如果能放（工作区有比最顶层小的）就一直放（符合条件最大的），放不了就让新一辆车来拉，因此每个归并段长度不一定相等</t>
  </si>
  <si>
    <t>程序的局部性### ###</t>
  </si>
  <si>
    <t>空间局部性：相邻数据被连续访问</t>
  </si>
  <si>
    <t>时间局部性：同一数据被重复访问</t>
  </si>
  <si>
    <t>根据代码来判断缓存命中次数### ###</t>
  </si>
  <si>
    <t>代码里有读取或者赋值的次数就是总的访问次数</t>
  </si>
  <si>
    <t>Cache初始为空的情况下，第一次访问某个变量必然未命中</t>
  </si>
  <si>
    <t>此时会将该变量所在的内存块调入Cache</t>
  </si>
  <si>
    <t>在那之后，相同内存块的变量访问均会命中</t>
  </si>
  <si>
    <t>以后看到机器码问指令地址的题目，首先看指令长度，是不是变长指令### ###</t>
  </si>
  <si>
    <t>如果是定长指令，还需要确认是否占用多个编址长度（指令地址的增量不为1）</t>
  </si>
  <si>
    <t>寻址方式强化记忆</t>
  </si>
  <si>
    <t>PC+偏移量寻址=###相对寻址###</t>
  </si>
  <si>
    <t>EBX/EBP+偏移量=###基址寻址###</t>
  </si>
  <si>
    <t>ESI/EDI+偏移量=###变址寻址###</t>
  </si>
  <si>
    <t>上述二者的差异：###基址的基础是段和栈的位置，而变址的基础可以是自定义的任意地址###</t>
  </si>
  <si>
    <t>EBX/EBP+ESI/EDI+偏移量=###基址变址寻址###</t>
  </si>
  <si>
    <t>如果有一个以上的寄存器，或者使用了比例因子，那么无论寄存器是什么，都属于以上这种</t>
  </si>
  <si>
    <t>如果汇编层面展示了地址，那么有可能是相对或者直接寻址，还需要看机器码是否含有与汇编地址相同的部分来进一步区分</t>
  </si>
  <si>
    <t>如果汇编层面还有寄存器，那就可以对应另外三种（基址、变址、基址变址）间接寻址</t>
  </si>
  <si>
    <t>注意：地址（偏移量）多字节的情况下，正序和倒序都要检查，因为有###大小端###</t>
  </si>
  <si>
    <t>互斥手段的原子性### ###</t>
  </si>
  <si>
    <t>硬件手段都有原子性，但是原子性的来源不同</t>
  </si>
  <si>
    <t>关中断是允许多条指令执行，执行时不被打断</t>
  </si>
  <si>
    <t>而指令类（比如交换或者测试循环指令）手段是将要做的事压缩到一个指令内完成</t>
  </si>
  <si>
    <t>由于处理机切换的最小间隔是指令，因此只要过程在一个指令内完成，这个过程就不会被打断</t>
  </si>
  <si>
    <t>缺页/除零异常是与执行本身强关联的同步性事件，指令的执行逻辑不会受到这些事件的影响（对指令本身透明）</t>
  </si>
  <si>
    <t>不可预期的中断发生时，执行-中断周期都结束了</t>
  </si>
  <si>
    <t>为了实现这种复杂过程在一步完成，软件是不足够的，必须上专门的硬件，因此是硬件法</t>
  </si>
  <si>
    <t>信号量是用关中断+多条指令指向P和V操作，因此只算是借用了关中断这一硬件机制，它能够实现优化的互斥是靠多条软件指令保证的，因此信号量属于是软件互斥手段</t>
  </si>
  <si>
    <t>系统调用的返回归属于###发起调用的进程###，当返回发生时，该进程处于###执行###态</t>
  </si>
  <si>
    <t>使用中断的I/O有两种，同步和异步### ###</t>
  </si>
  <si>
    <t>同步I/O：进程等待外设发东西，为此阻塞自身不继续执行，比如Python的input()</t>
  </si>
  <si>
    <t>异步I/O：进程执行它的逻辑，直到特定时间点（最终期限）还没完成那一异步操作，会主动让出处理机转为就绪态（注意不是阻塞！），比如网络下载</t>
  </si>
  <si>
    <t>需要注意的是，用户进程在同步I/O前会进入阻塞（等待I/O），而负责处理的内核进程也可能因为设备忙碌而陷入阻塞（在中断服务启动后）</t>
  </si>
  <si>
    <t>因此在操作流程排序中，需要特别注意阻塞的主语是用户还是系统进程，如果是前者，是发生在中断服务开始前的</t>
  </si>
  <si>
    <t>另外，如果设备足够快，在内核的中断服务阻塞等设备时，用户使用异步IO同时做别的事，等最后期限到了可能IO早就结束了，用户进程可能从头到尾没有阻塞</t>
  </si>
  <si>
    <t>IO层级：###用户程序###-&gt;###系统设备无关程序###-&gt;###系统驱动程序###-&gt;###IO接口###-&gt;###设备控制/驱动器###-&gt;###设备本身###</t>
  </si>
  <si>
    <t>直接使用者：###用户程序###</t>
  </si>
  <si>
    <t>系统调用、系统缓冲区：###系统设备无关程序###</t>
  </si>
  <si>
    <t>发送指令、搬运数据：###系统驱动程序###</t>
  </si>
  <si>
    <t>数据通道、指令通道：###IO接口###</t>
  </si>
  <si>
    <t>按指处理、设备缓冲区：###设备控制器###</t>
  </si>
  <si>
    <t>数据源：###设备本身###</t>
  </si>
  <si>
    <t>FTP的连接持久性：控制连接是###持久###连接，数据连接是###非持久###连接</t>
  </si>
  <si>
    <t>TCP握手挥手的每一个报文消耗###一###个字节序号</t>
  </si>
  <si>
    <t>入度为0的点对于有向图的拓扑排序很重要### ###</t>
  </si>
  <si>
    <t>每次将入度0的点输出并且从原图删除，能够得到拓扑排序</t>
  </si>
  <si>
    <t>如果一个有向图此时没有入度0的点，也就意味着存在环</t>
  </si>
  <si>
    <t>有环的有向图是没有拓扑排序的</t>
  </si>
  <si>
    <t>装填因子=###散列表的填满程度###（含义）=###元素个数/散列表长度###（公式）</t>
  </si>
  <si>
    <t>OF（有符号溢出）的快速判断法：###截掉超出位数的部分，剩下的部分做1位符号扩展，看看和截掉前的是否一样，不一样则说明溢出###</t>
  </si>
  <si>
    <t>当内存的地址偏移计算后CF=1，则舍掉溢出位，直接用低位范围内的部分作为地址### ###</t>
  </si>
  <si>
    <t>多进程协作类题目需要注意隐含的互斥关系，不要被同步关系吸引了全部的注意力### ###</t>
  </si>
  <si>
    <t>卡特兰数：###C(n,2n)/(n+1)###（C(a,b)=b!/(a!*(b-a)!）</t>
  </si>
  <si>
    <t>作用1：###长度n的栈元素出栈顺序种类数###</t>
  </si>
  <si>
    <t>作用2：###n个节点的不同二叉树数量###</t>
  </si>
  <si>
    <t>作用3：###n对括号的合法表达式个数###</t>
  </si>
  <si>
    <t>尽管传统MMU方式中PTR存的是页表的###物理地址###（并且这也是必要的），但这不意味着页表及页表项没有自己的###虚拟地址###</t>
  </si>
  <si>
    <t>第一种情况是页表自映射，常见于多级页表，408一般不考（考的话估计会特意说明）</t>
  </si>
  <si>
    <t>第二种情况是###这个虚拟地址是基于操作系统管理进程的内核进程页表的映射逻辑###</t>
  </si>
  <si>
    <t>用户进程的页表，对于管理进程的内核进程而言与普通的数据无异</t>
  </si>
  <si>
    <t>本质上是操作系统可重定位性导致的</t>
  </si>
  <si>
    <t>RIP协议最多支持15跳，如果一个AS内存在大量超过15个节点的链路，那就不能用RIP，或者需要对AS进行切分### ###</t>
  </si>
  <si>
    <t>跳数初始是16，每经过一个节点减1，达到0时丢弃</t>
  </si>
  <si>
    <t>路径扩散需要注意，0s时完成第一次交换，而直连路由则是建立在第一交换前</t>
  </si>
  <si>
    <t>BGP:### ###</t>
  </si>
  <si>
    <t>如果路由器属于不同的自治系统，它们之间运行 eBGP（External BGP）进行路由通告。</t>
  </si>
  <si>
    <t>如果路由器属于同一个自治系统，它们之间运行 iBGP（Internal BGP）来传播外部学到的 BGP 路由信息。</t>
  </si>
  <si>
    <t>Open报文：###建立邻居关系###</t>
  </si>
  <si>
    <t>Update报文：###传递路由信息###</t>
  </si>
  <si>
    <t>Notification报文：###通知邻居配置错误并断开###</t>
  </si>
  <si>
    <t>KeepAlive报文：###维持邻居关系###</t>
  </si>
  <si>
    <t>Route-Refresh报文：###本地路由策略变更时，请求邻居重发路由信息###</t>
  </si>
  <si>
    <t>路由选择遵循以下决策过程（无策略约束时）：</t>
  </si>
  <si>
    <t>最短 AS 路径优先（首要准则）：BGP 会优先选择 AS 路径最短 的路由。</t>
  </si>
  <si>
    <t>若 AS 路径相同，则选取最小的下一跳路由 ID（RID）或基于其他 BGP 规则。</t>
  </si>
  <si>
    <t>人话：同样AS长度的两个路径，两个下一跳哪个近选哪个</t>
  </si>
  <si>
    <t>关键路径：由关键活动串联关键事件组成的路径### ###</t>
  </si>
  <si>
    <t>关键事件：最早发生和最迟发生时间相等的事件</t>
  </si>
  <si>
    <t>事件：AOE网里面的顶点</t>
  </si>
  <si>
    <t>关键活动：时间余量为0的活动</t>
  </si>
  <si>
    <t>活动：AOE网里面的边</t>
  </si>
  <si>
    <t>时间余量：边终点的最迟发生时间-起点的最早发生时间-活动耗时</t>
  </si>
  <si>
    <t>关键路径是整个工程工期最短的路径</t>
  </si>
  <si>
    <t>关键活动的开始结束时间在关键路径中是唯一确定的</t>
  </si>
  <si>
    <t>工期延误类问题</t>
  </si>
  <si>
    <t>用“路径总长度&lt;=关键路径长度”作为核心约束</t>
  </si>
  <si>
    <t>print也需要驱动和系统调用，不要漏了### ###</t>
  </si>
  <si>
    <t>滑动窗口的信道利用率### ###</t>
  </si>
  <si>
    <t>周期内有收发的时间/周期总时间</t>
  </si>
  <si>
    <t>需要注意的是，周期是从第一帧发送到第一帧的确认被收到，那之后就是下一个周期</t>
  </si>
  <si>
    <t>这里计算中出现的窗口只是发送窗口，不是总窗口（2^n，n为序号位数）</t>
  </si>
  <si>
    <t>定点数除法</t>
  </si>
  <si>
    <t>恢复余数法和加减交替的主要区别：###某一位减完余数变负的处理###</t>
  </si>
  <si>
    <t>恢复余数：###先补回除数，再移位，再减除数###</t>
  </si>
  <si>
    <t>加减交替：###不补回除数，直接移位，减除数少减###</t>
  </si>
  <si>
    <t>IEEE754的阶码和尾数</t>
  </si>
  <si>
    <t>阶码###8###位，移码，计算方式：实际值十进制加上127（之后必定正数），算出原码（同时也是补码，因为非负）</t>
  </si>
  <si>
    <t>尾数###23###位，原码，最高的1位省略，小数点在尾数显示最高位的左侧，隐藏最高位（必1）的右侧</t>
  </si>
  <si>
    <t>非规格浮点数：</t>
  </si>
  <si>
    <t>正0:###00000000H###</t>
  </si>
  <si>
    <t>负0:###80000000H###</t>
  </si>
  <si>
    <t>正无穷：###7F800000H###</t>
  </si>
  <si>
    <t>负无穷：###FF800000H###</t>
  </si>
  <si>
    <t>双端存储支持和不支持的：</t>
  </si>
  <si>
    <t>支持：###不同存储单元的同时读写###、###同一存储单元的同时读取###</t>
  </si>
  <si>
    <t>不支持：###同一存储单元的同时写入###、###同一存储单元的同时读写###</t>
  </si>
  <si>
    <t>高低位多体交叉存储的好处：</t>
  </si>
  <si>
    <t>低位交叉：###地址均匀分布，每个芯片轮流读写，无需等待恢复时间###</t>
  </si>
  <si>
    <t>高位交叉：###进程并行访问，单进程只涉及单芯，多进程可同时访存###</t>
  </si>
  <si>
    <t>还要有其它支持机制（比如###多端口存储器###），因此极其鸡肋冷门，不是重要考点</t>
  </si>
  <si>
    <t>RAID### ###</t>
  </si>
  <si>
    <t>0：条带化（外存级别的低位交叉）、提升存取性能，无容错</t>
  </si>
  <si>
    <t>1：镜像磁盘互为备份</t>
  </si>
  <si>
    <t>2-5：有数据校验，强化容错</t>
  </si>
  <si>
    <t>闪存</t>
  </si>
  <si>
    <t>一个芯片多个块，一个块内多个页</t>
  </si>
  <si>
    <t>###页###等同于“扇区”，是最小读写单位</t>
  </si>
  <si>
    <t>###块###是最小擦除单位，除非###空块###，写入和修改前必须先擦除</t>
  </si>
  <si>
    <t>###支持###（支持/不支持）随机访问，###不需要###（需要/不需要）寻道调度</t>
  </si>
  <si>
    <t>读取###快###、写入###慢###（快/慢），因为有###擦除###机制</t>
  </si>
  <si>
    <t>擦除次数有限，因此有磨损均衡的调度</t>
  </si>
  <si>
    <t>动态均衡：###优先选擦除次数少的###</t>
  </si>
  <si>
    <t>静态均衡：###对数据进行预测和主动迁移，使老块以读为主，新块以写为主###</t>
  </si>
  <si>
    <t>X字长指令的意思是###指令字长是机器字长的X倍###</t>
  </si>
  <si>
    <t>不同数据寻址的访存次数</t>
  </si>
  <si>
    <t>隐含寻址：###0###</t>
  </si>
  <si>
    <t>立即寻址：###0###</t>
  </si>
  <si>
    <t>直接寻址：###1###</t>
  </si>
  <si>
    <t>一次间接寻址：###2###</t>
  </si>
  <si>
    <t>寄存器寻址：###0###</t>
  </si>
  <si>
    <t>寄存器一次间接寻址：###1###</t>
  </si>
  <si>
    <t>基址寻址：###1###</t>
  </si>
  <si>
    <t>堆栈寻址（软堆栈）：###1###</t>
  </si>
  <si>
    <t>堆栈寻址（硬堆栈）：###0###</t>
  </si>
  <si>
    <t>变址寻址：###1###</t>
  </si>
  <si>
    <t>基址变址寻址：###1###</t>
  </si>
  <si>
    <t>408范畴内，堆栈寻址不会访问栈顶以外的位置### ###</t>
  </si>
  <si>
    <t>基于堆栈的调用操作</t>
  </si>
  <si>
    <t>栈的地址增长方向是从高到低### ###</t>
  </si>
  <si>
    <t>无论pop还是push怎么操作，只改变###ESP###，不改变###EBP###</t>
  </si>
  <si>
    <t>每次入栈（调用发起后，即call命令执行后，此时栈顶是返回地址）时，###EBP###会被备份压到顶，作为被调用栈帧的第一个数据</t>
  </si>
  <si>
    <t>此时###ESP###自动-i，对准###被备份EBP###的位置</t>
  </si>
  <si>
    <t>i=###机器字长/编址长度###</t>
  </si>
  <si>
    <t>下一命令mov ###EBP###，###ESP###执行</t>
  </si>
  <si>
    <t>此时将###ESP###写入EBP（因为###EBP不会自动维护###）</t>
  </si>
  <si>
    <t>使EBP指向被调用栈帧的底部（也就是###备份EBP###的所在位置）</t>
  </si>
  <si>
    <t>堆和栈的地址增长方向###相反###（相同/相反），是###对向###（对向/背靠背），也就是向###中间###（中间/两端）增长</t>
  </si>
  <si>
    <t>内存映射和常规文件读写的对比### ###</t>
  </si>
  <si>
    <t>好处：省掉了用户进程到内核缓冲区的时间</t>
  </si>
  <si>
    <t>坏处：由于修改频繁，对于SSD磨损很大。另外，不是所有文件都支持mmap</t>
  </si>
  <si>
    <t>虽然PC是程序员可见的，但是IR却是不可见的### ###</t>
  </si>
  <si>
    <t>指令周期### ###</t>
  </si>
  <si>
    <t>多指令周期：不同类指令执行时长不同</t>
  </si>
  <si>
    <t>单指令周期：所有指令的执行时长相同</t>
  </si>
  <si>
    <t>同一指令的不同指令周期未必相同</t>
  </si>
  <si>
    <t>只有流水线会强制不同指令周期全部对齐到最慢指令周期上</t>
  </si>
  <si>
    <t>单指令周期与单总线数据通路不兼容</t>
  </si>
  <si>
    <t>因为单总线必须分时复用，单指令周期的控制信号无法改变</t>
  </si>
  <si>
    <t>定点除法：</t>
  </si>
  <si>
    <t>恢复余数法：试减后余为负数，则###恢复余数###，然后左移，再###减除数###</t>
  </si>
  <si>
    <t>加减交替法：试减后余为负数，则###保持余数###，然后左移，再###加除数###</t>
  </si>
  <si>
    <t>当低位多减（余负）恢复后，余（新被除数）移位再减，相当于减去一半的除数（被除数左移=除数右移=除数除2）</t>
  </si>
  <si>
    <t>若低位多减（余负）不恢复，余（新被除数）移位再加，减一倍再加半等效减半（最终效果应与恢复余数法一致）</t>
  </si>
  <si>
    <t>微程序控制器### ###</t>
  </si>
  <si>
    <t>指令：比如mov</t>
  </si>
  <si>
    <t>微程序：对应一整个指令，是指令以微指令序列表示的形态</t>
  </si>
  <si>
    <t>微程序的某个阶段：对应指令周期的一个阶段</t>
  </si>
  <si>
    <t>两种指令周期（的阶段划分）：</t>
  </si>
  <si>
    <t>CISC：取指（译码）、间址（访存的地址获取）、执行（访存、写回）、中断</t>
  </si>
  <si>
    <t>RISC：取指、译码、执行、访存、写回（中断）</t>
  </si>
  <si>
    <t>因为RISC执行不涉及内存（有事CPU里解决），把间址周期给砍了</t>
  </si>
  <si>
    <t>RISC在译码阶段读取寄存器到ALU暂存器</t>
  </si>
  <si>
    <t>写回是指写寄存器，写内存是在访存阶段完成的</t>
  </si>
  <si>
    <t>微指令：介于指令周期阶段和微命令</t>
  </si>
  <si>
    <t>以mov的取指阶段为例：PC-&gt;MAR、MDR-&gt;IR、PC+=1</t>
  </si>
  <si>
    <t>微周期：从CM取出一条微指令并执行完其中所有微操作所需要的时间</t>
  </si>
  <si>
    <t>一般放在同一微指令（水平型微指令）的微命令都是可以并行的</t>
  </si>
  <si>
    <t>垂直型微指令只含有一条微命令</t>
  </si>
  <si>
    <t>混合型微指令有多条且按序串行</t>
  </si>
  <si>
    <t>内容是操作控制码+下一条微指令（在CM中）的地址</t>
  </si>
  <si>
    <t>微命令：最小的动作编码，和微操作一一对应</t>
  </si>
  <si>
    <t>微操作：最小的电路动作，和微命令一一对应</t>
  </si>
  <si>
    <t>以mov取指阶段的PC-&gt;MAR为例：PC-&gt;总线、内存读使能、数据等待置1</t>
  </si>
  <si>
    <t>纠正：指令周期是完成一整个指令的耗时，而取指、译码是指令周期的一个阶段而已### ###</t>
  </si>
  <si>
    <t>微指令的操作控制码原理### ###</t>
  </si>
  <si>
    <t>直接编码：一位对应一个微命令，1为有效，0为无效</t>
  </si>
  <si>
    <t>译码编码：n个一组，那么n位实际对应2^n种，在2^n&gt;n时更划算</t>
  </si>
  <si>
    <t>不会同时出现的微命令（互斥命令）编码在同一组</t>
  </si>
  <si>
    <t>需要保留一个编码（一般是全0）表示什么也没发生</t>
  </si>
  <si>
    <t>间接译码：一个字段还需要其它字段提供信息才能确定实际采用的微命令操作</t>
  </si>
  <si>
    <t>微指令的下地址### ###</t>
  </si>
  <si>
    <t>直接字段给出：断定方式，类比指令的无条件跳转</t>
  </si>
  <si>
    <t>操作码形成：指令的操作码+地址形成部件=微指令地址</t>
  </si>
  <si>
    <t>增量法：当前地址+1，类似PC（CM里的微指令按序执行）</t>
  </si>
  <si>
    <t>分支转移：类比指令的条件跳转</t>
  </si>
  <si>
    <t>测试网络/顺序逻辑：强化版分支转移，一次性给多个测试源进行测试，形成下地址的测试部分</t>
  </si>
  <si>
    <t>硬件给出：取指周期的第一条微指令的地址由硬件给</t>
  </si>
  <si>
    <t>流水线的指标### ###</t>
  </si>
  <si>
    <t>时空图：横轴时间，纵轴阶段（部件）</t>
  </si>
  <si>
    <t>同一横是来自不同指令的同一阶段，同一竖是属于同一指令的不同阶段</t>
  </si>
  <si>
    <t>吞吐率：指令数/((流水线阶段数+指令数-1)*时钟周期)</t>
  </si>
  <si>
    <t>加速比：流水线阶段数*指令数/(流水线阶段数+指令数-1)</t>
  </si>
  <si>
    <t>效率：指令数/(流水线阶段数+指令数-1)=加速比/流水线阶段数</t>
  </si>
  <si>
    <t>SR的接受窗口是不连续的，保持窗口大小不变的前提下，接收到帧无论是不是base序都会让窗口部分移动### ###</t>
  </si>
  <si>
    <t>因为最早的没有发来就不收新的也不太合理</t>
  </si>
  <si>
    <t>总线仲裁：### ###</t>
  </si>
  <si>
    <t>分布仲裁：没有统一的仲裁机构，而是每个设备比较仲裁号确定优先级来进行争用，同优先级按FCFS分配总线使用权</t>
  </si>
  <si>
    <t>集中仲裁：</t>
  </si>
  <si>
    <t>链式查询：仲裁机构发出一个总线允许信号，从高优先设备传向低优先设备（回转寿司）</t>
  </si>
  <si>
    <t>计数器定时查询：计数器增加，每增加一次就检查对应计数器当前数值的设备需不需要</t>
  </si>
  <si>
    <t>独立请求：每个设备直连仲裁器，仲裁器决定哪个用（按照优先级）</t>
  </si>
  <si>
    <t>总线周期### ###</t>
  </si>
  <si>
    <t>申请分配：传输请求、总线仲裁</t>
  </si>
  <si>
    <t>寻址阶段</t>
  </si>
  <si>
    <t>传输阶段</t>
  </si>
  <si>
    <t>结束阶段</t>
  </si>
  <si>
    <t>总线定时### ###</t>
  </si>
  <si>
    <t>同步</t>
  </si>
  <si>
    <t>异步（握手机制，灵活但效率低）</t>
  </si>
  <si>
    <t>不互锁：不等待对方任何回应，双方都按固定时间主动撤销自己的信号（REQ/ACK/ 数据）</t>
  </si>
  <si>
    <t>全互锁：双方互相等待 —— 主等从 ACK 有效（发数据）、ACK 撤销（撤 REQ + 数据）；从等主 REQ 有效（发 ACK）、REQ 撤销（撤 ACK），最可靠</t>
  </si>
  <si>
    <t>半互锁：主锁从不锁（仅主等从，从不等主）—— 主等从 ACK 有效（发数据）、ACK 有效（撤 REQ）；从发 ACK 后，不等待主的任何信号（按固定时间撤 ACK），中等可靠</t>
  </si>
  <si>
    <t>半同步（WAIT信号给设备异步准备时间）</t>
  </si>
  <si>
    <t>分离式（异步式升级，请求和传输不连续）</t>
  </si>
  <si>
    <t>资本积累是资本主义扩大再生产的源泉，而资本积累的源泉是剩余价值### ###</t>
  </si>
  <si>
    <t>剩余价值不是资本主义扩大再生产的源泉</t>
  </si>
  <si>
    <t>具体和抽象劳动：### ###</t>
  </si>
  <si>
    <t>具体劳动：用针线布料制作衣服的动作（赋予衣服使用价值）</t>
  </si>
  <si>
    <t>抽象劳动：缝衣服中消耗的脑力和体力（赋予衣服价值）</t>
  </si>
  <si>
    <t>具体劳动转移价值，抽象劳动产生价值</t>
  </si>
  <si>
    <t>中断流程### ###</t>
  </si>
  <si>
    <t>取指、执行</t>
  </si>
  <si>
    <t>中断检测（屏蔽检测+判优）</t>
  </si>
  <si>
    <t>中断周期（中断隐指令，即无编码指令）</t>
  </si>
  <si>
    <t>中断响应</t>
  </si>
  <si>
    <t>PC、PSW压栈</t>
  </si>
  <si>
    <t>关中断</t>
  </si>
  <si>
    <t>中断向量-&gt;PC</t>
  </si>
  <si>
    <t>中断服务</t>
  </si>
  <si>
    <t>IO指令触发后，中断可能不止一次发生，要看传送的数据量和中断服务能够处理的单次数据量### ###</t>
  </si>
  <si>
    <t>中断服务如果太慢，搬运赶不上更新，DBR里面的数据可能被新的覆盖</t>
  </si>
  <si>
    <t>解放思想，实事求是是邓小平理论的精髓### ###</t>
  </si>
  <si>
    <t>毛泽东思想的历史依据是新民主主义革命与社会主义改造的经验教训### ###</t>
  </si>
  <si>
    <t>邓小平理论的历史依据是社会主义建设的经验和教训### ###</t>
  </si>
  <si>
    <t>现实依据是改革开放和现代化建设的实践</t>
  </si>
  <si>
    <t>政治易错点### ###</t>
  </si>
  <si>
    <t>质变有爆发式飞跃（对抗性矛盾解决）和非爆发式飞跃（非对抗性矛盾解决）两种基本形式</t>
  </si>
  <si>
    <t>可能性需区分：</t>
  </si>
  <si>
    <t>可能 vs 不可能（石头变鸡蛋→不可能）</t>
  </si>
  <si>
    <t>现实可能 vs 抽象可能（现在考 90 分→现实可能；立即长翅膀→抽象可能）</t>
  </si>
  <si>
    <t>好可能 vs 坏可能（成功 vs 失败）</t>
  </si>
  <si>
    <t>必然和偶然</t>
  </si>
  <si>
    <t>相互渗透：必然性通过偶然性表现并为自己开辟道路，世界上没有纯粹的必然性</t>
  </si>
  <si>
    <t>相互转化：条件变化时，必然性可转化为偶然性，反之亦然（如生物进化中某些性状由必然变偶然）</t>
  </si>
  <si>
    <t>本质是使事物成为自身并区别于他物的规定性，本质和事物的存在直接同一（本质与事物不可分离）</t>
  </si>
  <si>
    <t>劳动力价值的最低界限是维持劳动者生存和繁衍后代所必需的生活资料价值</t>
  </si>
  <si>
    <t>低于这个界限，劳动力无法正常再生产</t>
  </si>
  <si>
    <t>利润率永远小于剩余价值率</t>
  </si>
  <si>
    <t>利润率 = 剩余价值 / 全部预付资本</t>
  </si>
  <si>
    <t>剩余价值率 = 剩余价值 / 可变资本</t>
  </si>
  <si>
    <t>全部预付资本&gt;可变资本</t>
  </si>
  <si>
    <t>商品的价值等于生产成本+剩余价值</t>
  </si>
  <si>
    <t>剩余价值转化为平均利润</t>
  </si>
  <si>
    <t>由于利润偏差，商品不再按生产成本+剩余价值的价格</t>
  </si>
  <si>
    <t>而是按生产成本+平均利润，也就是生产价格来出售了</t>
  </si>
  <si>
    <t>工资是劳动力价值的货币表现，而非劳动价值</t>
  </si>
  <si>
    <t>劳动不是商品，没有价值</t>
  </si>
  <si>
    <t>工资是劳动力这个特殊商品的价值的货币表现</t>
  </si>
  <si>
    <t>工人出卖的是劳动力而非劳动</t>
  </si>
  <si>
    <t>劳动力能产生劳动（编码技术能产生编码这个劳动）</t>
  </si>
  <si>
    <t>生产力与生产关系的矛盾是社会基本矛盾之一</t>
  </si>
  <si>
    <t>社会主义初级阶段主要矛盾是"人民日益增长的美好生活需要和不平衡不充分的发展之间的矛盾"</t>
  </si>
  <si>
    <t>非公有制经济（比如外资）是社会主义市场经济的重要组成部分，不是社会主义经济的组成部分</t>
  </si>
  <si>
    <t>社会主义经济特指公有制经济</t>
  </si>
  <si>
    <t>改革开放前后两个历史时期是辩证统一的，本质上都是党领导人民进行社会主义建设的实践探索</t>
  </si>
  <si>
    <t>改革开放前的实践探索为改革开放后积累了条件</t>
  </si>
  <si>
    <t>改革开放后是对改革开放前的坚持、改革和发展</t>
  </si>
  <si>
    <t>新民主主义革命不是社会主义性质的革命</t>
  </si>
  <si>
    <t>新民主主义革命是资产阶级民主主义革命性质，它的任务是反帝反封建，不是反对资本主义</t>
  </si>
  <si>
    <t>社会主义革命才是反对资本主义</t>
  </si>
  <si>
    <t>辛亥革命的失败</t>
  </si>
  <si>
    <t>辛亥革命虽然推翻了清王朝，但。。。</t>
  </si>
  <si>
    <t>没有改变中国半殖民地半封建社会性质</t>
  </si>
  <si>
    <t>没有完成反帝反封建任务</t>
  </si>
  <si>
    <t>没有改变中国人民悲惨命运</t>
  </si>
  <si>
    <t>从革命目标（以上三点）看是失败的</t>
  </si>
  <si>
    <t>法律权利与法律义务的关系</t>
  </si>
  <si>
    <t>权利是目的，义务是手段</t>
  </si>
  <si>
    <t>义务的设定是为了保障权利的实现</t>
  </si>
  <si>
    <t>道德的历史性与阶级性</t>
  </si>
  <si>
    <t>道德具有历史性（不同时代有不同道德）</t>
  </si>
  <si>
    <t>道德具有阶级性（不同阶级有不同道德标准）</t>
  </si>
  <si>
    <t>不存在永恒不变的普世道德</t>
  </si>
  <si>
    <t>垄断不能消除竞争</t>
  </si>
  <si>
    <t>垄断是竞争的结果，只会改变竞争形式，不会消除竞争</t>
  </si>
  <si>
    <t>竞争形式：从自由竞争到垄断竞争</t>
  </si>
  <si>
    <t>潜在对手、内部竞争、替代竞争始终存在</t>
  </si>
  <si>
    <t>价格≠价值</t>
  </si>
  <si>
    <t>价格围绕价值波动，受供求关系、货币发行量等影响</t>
  </si>
  <si>
    <t>价格是价值的表现形式，而非价值本身</t>
  </si>
  <si>
    <t>只有抽象劳动才创造价值</t>
  </si>
  <si>
    <t>具体劳动创造使用价值（如面包能吃）</t>
  </si>
  <si>
    <t>抽象劳动（无差别人类劳动）才创造价值</t>
  </si>
  <si>
    <t>单纯的体力 / 脑力付出未必创造价值</t>
  </si>
  <si>
    <t>无效的具体劳动，无法转化为抽象劳动，无法产生价值</t>
  </si>
  <si>
    <t>资本主义新变化没改变其本质</t>
  </si>
  <si>
    <t>资本主义的科技进步、福利制度等新变化，只是缓和了基本矛盾，并未将其消除，本质仍是剥削制度</t>
  </si>
  <si>
    <t>资本主义的基本矛盾：生产社会化 vs 私有制</t>
  </si>
  <si>
    <t>社会主义初级阶段的判断标准</t>
  </si>
  <si>
    <t>生产力水平</t>
  </si>
  <si>
    <t>阶段指标</t>
  </si>
  <si>
    <t>工业化程度</t>
  </si>
  <si>
    <t>产业结构</t>
  </si>
  <si>
    <t>人均GDP水平</t>
  </si>
  <si>
    <t>质量指标</t>
  </si>
  <si>
    <t>劳动生产率</t>
  </si>
  <si>
    <t>科技创新能力</t>
  </si>
  <si>
    <t>基础设施完善度</t>
  </si>
  <si>
    <t>民生改善</t>
  </si>
  <si>
    <t>摆脱贫困</t>
  </si>
  <si>
    <t>公共服务均等化程度</t>
  </si>
  <si>
    <t>制度完善程度</t>
  </si>
  <si>
    <t>经济制度</t>
  </si>
  <si>
    <t>所有制结构</t>
  </si>
  <si>
    <t>分配制度</t>
  </si>
  <si>
    <t>市场经济体制</t>
  </si>
  <si>
    <t>政治制度</t>
  </si>
  <si>
    <t>人民民主专政</t>
  </si>
  <si>
    <t>法治建设</t>
  </si>
  <si>
    <t>政治体制改革</t>
  </si>
  <si>
    <t>治理体系</t>
  </si>
  <si>
    <t>治理体系现代化</t>
  </si>
  <si>
    <t>治理能力现代化</t>
  </si>
  <si>
    <t>生产力标准是根本性的，制度标准是必要条件</t>
  </si>
  <si>
    <t>洋务运动是封建地主阶级自救运动</t>
  </si>
  <si>
    <t>目的是维护封建统治，不是发展资本主义</t>
  </si>
  <si>
    <t>其企业仍受封建势力控制，不具备资本主义本质</t>
  </si>
  <si>
    <t>法律是阶级社会的产物，原始社会没有法律（只有习惯），随着阶级和国家产生而产生</t>
  </si>
  <si>
    <t>生产关系越 “先进” 越好是错的</t>
  </si>
  <si>
    <t>生产关系必须适应生产力发展水平，超越生产力的 “先进生产关系” 会阻碍发展</t>
  </si>
  <si>
    <t>如过去的 “人民公社化”</t>
  </si>
  <si>
    <t>有使用价值的东西不一定有价值</t>
  </si>
  <si>
    <t>空气、阳光有用（有使用价值）但不是商品，因此没有价值</t>
  </si>
  <si>
    <t>有价值的东西一定有使用价值</t>
  </si>
  <si>
    <t>资本家的利润本质是剩余价值</t>
  </si>
  <si>
    <t>利润是剩余价值的转化形式</t>
  </si>
  <si>
    <t>是资本家无偿占有工人剩余劳动的结果</t>
  </si>
  <si>
    <t>计划和市场都是资源配置手段</t>
  </si>
  <si>
    <t>五四运动是新民主主义革命的开端</t>
  </si>
  <si>
    <t>五四运动是彻底反帝反封建的革命运动</t>
  </si>
  <si>
    <t>无产阶级自此登上历史舞台</t>
  </si>
  <si>
    <t>政经计算题### ###</t>
  </si>
  <si>
    <t>不变资本C：机器、原料、厂房的钱</t>
  </si>
  <si>
    <t>不创造价值、只转移价值到产品上</t>
  </si>
  <si>
    <t>可变资本V：给工人发的工资（劳动力价值）</t>
  </si>
  <si>
    <t>能创造剩余价值的资本</t>
  </si>
  <si>
    <t>V能生钱，C只是工具</t>
  </si>
  <si>
    <t>商品价值=C+V+m（m即剩余价值）</t>
  </si>
  <si>
    <t>剩余价值m=工人创造的总价值-V（这部分被老板独吞）</t>
  </si>
  <si>
    <t>剩余价值率m'=m/V（老板赚的是工资的几倍）</t>
  </si>
  <si>
    <t>利润p=m（老板把m看成资本的利润，而不是劳动创造的新价值）</t>
  </si>
  <si>
    <t>利润率p'=p/(C+V)</t>
  </si>
  <si>
    <t>平均利润率ap'=社会总利润tap/社会总成本tcv（C+V）</t>
  </si>
  <si>
    <t>社会总利润tap=Σ行业平均利润ap（所有行业的平均利润之和）</t>
  </si>
  <si>
    <t>社会总成本tcv=Σ行业成本cv（所有行业的预付成本之和）</t>
  </si>
  <si>
    <t>行业平均利润ap=平均利润率ap'*行业成本cv</t>
  </si>
  <si>
    <t>生产价格=成本价（C+V）+平均利润ap≠成本价（C+V）+利润p（剩余价值m）</t>
  </si>
  <si>
    <t>发展教育的根本尺度是人民满意### ###</t>
  </si>
  <si>
    <t>教育公平是社会公平的重要基础### ###</t>
  </si>
  <si>
    <t>服务高质量发展是建设教育强国的重要任务### ###</t>
  </si>
  <si>
    <t>解决人民群众最关心最直接最现实的利益问题，是保障和改善民生的重中之重### ###</t>
  </si>
  <si>
    <t>我国已于2021年打赢脱贫攻坚战，这项工作不是未来民生工作的重中之重### ###</t>
  </si>
  <si>
    <t>坚持人人尽责、人人享有，让所有劳动者在推动发展中分享发展成果，是保障和改善民生的重要原则### ###</t>
  </si>
  <si>
    <t>“振兴中华” -&gt;兴中会，1894### ###</t>
  </si>
  <si>
    <t>资产阶级改良派和革命派在论战后划清界限### ###</t>
  </si>
  <si>
    <t>三民主义是同盟会的纲领，二人为伴，三人誓盟### ###</t>
  </si>
  <si>
    <t>宗派主义：跟谁玩？—— 只跟小圈子玩（组织层面）### ###</t>
  </si>
  <si>
    <t>形式主义：怎么做？—— 只做表面样子（工作层面）### ###</t>
  </si>
  <si>
    <t>主观主义：凭啥做？—— 凭自己瞎想（思想层面）### ###</t>
  </si>
  <si>
    <t>理论脱离实际，不考虑中国国情是其中一个典型例子</t>
  </si>
  <si>
    <t>皖南事变后，为避免抗日民族统一战线破裂，采取了措施### ###</t>
  </si>
  <si>
    <t>策略总方针：发展进步势力、争取中间势力、孤立顽固势力</t>
  </si>
  <si>
    <t>避坑1：坚持抗战、团结（都要杀你了还团结？）</t>
  </si>
  <si>
    <t>避坑2：有理、有利、有节（同上）</t>
  </si>
  <si>
    <t>避坑3：又联合又斗争（同上，还能联合？）</t>
  </si>
  <si>
    <t>推进全面依法治国的重点任务和主体工程是法治政府建设### ###</t>
  </si>
  <si>
    <t>避坑1：法律是政府的职能之一，并非是社会的一部分</t>
  </si>
  <si>
    <t>避坑2：一般来说重点任务和主体工程不可能是某个长期事件，因为长期坚持重要任务（不完成）是没有意义的</t>
  </si>
  <si>
    <t>时间和空间是物质运动的存在形式（而不是观念形式，观念是主观而非客观的）### ###</t>
  </si>
  <si>
    <t>人们可以通过实践创造出自然界原本不存在的现实状态### ###</t>
  </si>
  <si>
    <t>人的实践活动是实践主客体之间的相互作用</t>
  </si>
  <si>
    <t>这种相互作用必须借助于一定的手段和工具</t>
  </si>
  <si>
    <t>这些手段和工具即实践中介</t>
  </si>
  <si>
    <t>影响资本周转快慢有两个关键因素：### ###</t>
  </si>
  <si>
    <t>资本周转时间</t>
  </si>
  <si>
    <t>固定和流动资本的构成</t>
  </si>
  <si>
    <t>垄断资本的国际扩张形式：### ###</t>
  </si>
  <si>
    <t>借贷资本输出</t>
  </si>
  <si>
    <t>商品资本输出</t>
  </si>
  <si>
    <t>生产资本输出</t>
  </si>
  <si>
    <t>俄共1921发展商品经济，新经济政策的四项内容：### ###</t>
  </si>
  <si>
    <t>允许私人自由贸易</t>
  </si>
  <si>
    <t>用粮食税取代余粮收集</t>
  </si>
  <si>
    <t>恢复商品货币关系</t>
  </si>
  <si>
    <t>允许私人小工业企业发展</t>
  </si>
  <si>
    <t>毛泽东为开创中国特色社会主义作了准备### ###</t>
  </si>
  <si>
    <t>但他并没有开创中国特色社会主义</t>
  </si>
  <si>
    <t>邓小平同志开创了中国特色社会主义</t>
  </si>
  <si>
    <t>之后的历代中国共产党中央领导集体接续巩固和发展了中国特色社会主义</t>
  </si>
  <si>
    <t>服务贸易已经成为中国经济转型的关键因素之一### ###</t>
  </si>
  <si>
    <t>经济转型五大因素</t>
  </si>
  <si>
    <t>科技</t>
  </si>
  <si>
    <t>制度</t>
  </si>
  <si>
    <t>内外循环（服务贸易属于该类）</t>
  </si>
  <si>
    <t>产业</t>
  </si>
  <si>
    <t>人力</t>
  </si>
  <si>
    <t>收入分配是民生之源，而非就业或其它### ###</t>
  </si>
  <si>
    <t>中国走和平道路与国家实力的现实考量无关（不称霸不是不能而是不想）### ###</t>
  </si>
  <si>
    <t>甲午战败掀起了列强瓜分中国的狂潮（没想到清朝这么弱）### ###</t>
  </si>
  <si>
    <t>毛泽东在土地革命战争时期的著作### ###</t>
  </si>
  <si>
    <t>《中国的红色政权为什么能够存在？》</t>
  </si>
  <si>
    <t>首次系统分析中国红色政权存在和发展的条件，提出 "工农武装割据" 思想</t>
  </si>
  <si>
    <t>指出中国政治经济发展不平衡是红色政权存在的根本原因</t>
  </si>
  <si>
    <t>阐明了武装斗争、土地革命和根据地建设三位一体的革命道路</t>
  </si>
  <si>
    <t>《井冈山的斗争》</t>
  </si>
  <si>
    <t>详细总结井冈山根据地斗争经验，全面阐述 "工农武装割据" 理论</t>
  </si>
  <si>
    <t>论述了党的建设、军队建设、土地革命和政权建设的具体方针</t>
  </si>
  <si>
    <t>明确提出 "党指挥枪" 原则，强调武装斗争是中国革命的主要形式</t>
  </si>
  <si>
    <t>《星星之火，可以燎原》</t>
  </si>
  <si>
    <t>标志着 "农村包围城市、武装夺取政权" 革命道路理论基本形成</t>
  </si>
  <si>
    <t>批评了 "红旗到底能打多久" 的悲观思想</t>
  </si>
  <si>
    <t>明确提出 "以乡村为中心" 的战略思想，主张将党的工作重心从城市转向农村</t>
  </si>
  <si>
    <t>《反对本本主义》</t>
  </si>
  <si>
    <t>毛泽东思想的起点，奠定了党的实事求是思想路线基础</t>
  </si>
  <si>
    <t>和前几部作品的科学概括标志着毛泽东思想的初步形成</t>
  </si>
  <si>
    <t>提出 "没有调查，没有发言权" 的著名论断</t>
  </si>
  <si>
    <t>批判了教条主义，强调 "中国革命斗争的胜利要靠中国同志了解中国情况"</t>
  </si>
  <si>
    <t>《农村调查》</t>
  </si>
  <si>
    <t>《关心群众生活，注意工作方法》</t>
  </si>
  <si>
    <t>《中国革命战争的战略问题》</t>
  </si>
  <si>
    <t>系统总结中国革命战争经验，形成中国特色军事理论</t>
  </si>
  <si>
    <t>分析了中国革命战争的四个特点和基本原则</t>
  </si>
  <si>
    <t>阐述了 "集中优势兵力，各个歼灭敌人" 等重要军事原则</t>
  </si>
  <si>
    <t>《实践论》、《矛盾论》</t>
  </si>
  <si>
    <t>从哲学高度总结党的思想路线，奠定了毛泽东思想的哲学基础</t>
  </si>
  <si>
    <t>《实践论》系统阐述了认识与实践的辩证关系，强调实践是检验真理的唯一标准</t>
  </si>
  <si>
    <t>《矛盾论》深入分析了唯物辩证法的核心 —— 对立统一规律，为中国革命提供方法论指导</t>
  </si>
  <si>
    <t>大革命时期，毛泽东的著作### ###</t>
  </si>
  <si>
    <t>《中国社会各阶级的分析》</t>
  </si>
  <si>
    <t>抗日战争时期，毛泽东的著作### ###</t>
  </si>
  <si>
    <t>《中国革命和中国共产党》</t>
  </si>
  <si>
    <t>《解放思想，实事求是，团结一致向前看》是开创中特主义新理论的宣言书### ###</t>
  </si>
  <si>
    <t>《实践是检验真理的唯一标准》### ###</t>
  </si>
  <si>
    <t>为重新确立实事求是的思想路线做了准备，而不是直接重新确立</t>
  </si>
  <si>
    <t>是继延安整风后又一场马克思主义思想解放运动</t>
  </si>
  <si>
    <t>平等是社会主义法律的基本属性### ###</t>
  </si>
  <si>
    <t>现代化人民城市：2030取得进展，2035基本建成### ###</t>
  </si>
  <si>
    <t>《团结合作砥砺前行》的倡议：### ###</t>
  </si>
  <si>
    <t>坚持多边主义，捍卫国际公平正义（原则）</t>
  </si>
  <si>
    <t>坚持团结合作，凝聚共同发展合力（目标）</t>
  </si>
  <si>
    <t>坚持开放共赢，维护国际经贸秩序（手段）</t>
  </si>
  <si>
    <t>注意：金砖国家是多边合作组织，不是盟友</t>
  </si>
  <si>
    <t>资本价值构成：C/V### ###</t>
  </si>
  <si>
    <t>经济危机的抽象一般可能性共 3 种### ###</t>
  </si>
  <si>
    <t>买卖脱节（卖了不买，攒钱，别人卖不出）</t>
  </si>
  <si>
    <t>三角债（债务死锁）</t>
  </si>
  <si>
    <t>供求失衡（导致资本家攒钱不买）</t>
  </si>
  <si>
    <t>从第一个五年计划到第十四个五年规划，一以贯之的主题是把我国建设成为社会主义现代化国家。### ###</t>
  </si>
  <si>
    <t>理智死守·提剑重击=立方是前提，执法是关键，司法是重点，守法是基础### ###</t>
  </si>
  <si>
    <t>我国周边外交的主要高质量共建”一带一路”### ###</t>
  </si>
  <si>
    <t>人的本质力量可以对象化和现实化### ###</t>
  </si>
  <si>
    <t>人通过实践活动，把自身的体力、智力、创造力等 “内在力量”，转化为外在的、可感知的 “对象”，最终变成能满足需求、改造世界的实际成果</t>
  </si>
  <si>
    <t>把心里的、身上的能力，变成实实在在的东西（Carol：。。。）</t>
  </si>
  <si>
    <t>价值是一种客观存在，独立于人们对他的认识和评价### ###</t>
  </si>
  <si>
    <t>国际金融危机的原因### ###</t>
  </si>
  <si>
    <t>金融资本过度逐利</t>
  </si>
  <si>
    <t>金融监管严重缺失</t>
  </si>
  <si>
    <t>资本主义国家内部的矛盾和冲突日益明显，表现为### ###</t>
  </si>
  <si>
    <t>经济发展失调</t>
  </si>
  <si>
    <t>政治体制失灵</t>
  </si>
  <si>
    <t>社会融合机制失效</t>
  </si>
  <si>
    <t>习近平经济思想的成效### ###</t>
  </si>
  <si>
    <t>深化了科学社会主义人的自由全面发展原则</t>
  </si>
  <si>
    <t>深化了科学社会主义解放和发展生产力原则</t>
  </si>
  <si>
    <t>深化了科学社会主义共同体原则</t>
  </si>
  <si>
    <t>为科学社会主义蓬勃发展提供了生动实践</t>
  </si>
  <si>
    <t>中共四大的重大历史功绩：### ###</t>
  </si>
  <si>
    <t>关键理论突破：明确革命领导权与工农联盟</t>
  </si>
  <si>
    <t>丰富民主革命内涵：明确革命对象与动力</t>
  </si>
  <si>
    <t>强化组织建设：为革命发展提供保障</t>
  </si>
  <si>
    <t>提出了问题，但没有回答问题（比如与资产阶级争权）</t>
  </si>
  <si>
    <t>1945年8月，蒋邀请毛泽东，没有立刻开打，是因为### ###</t>
  </si>
  <si>
    <t>苏美都不希望中国内战</t>
  </si>
  <si>
    <t>苏联也支持国民党，因为国民党保证苏联在东北的利益</t>
  </si>
  <si>
    <t>而毛泽东领导的中共不会轻易出让国家利益，这对他们是不利的</t>
  </si>
  <si>
    <t>国人对和平的呼声</t>
  </si>
  <si>
    <t>战场部署需要时间</t>
  </si>
  <si>
    <t>国统区经济危机时间是1946-1947年，不是这个时候</t>
  </si>
  <si>
    <t>坚持立足中国又面向世界也是大力弘扬新时代爱国主义所要求的。### ###</t>
  </si>
  <si>
    <t>海南自贸港的特征### ###</t>
  </si>
  <si>
    <t>"一线放开": 指海南与境外 (国外) 的通道开放，货物、资金等要素流动更自由，多数商品实现 "零关税"</t>
  </si>
  <si>
    <t>"二线管住": 指海南与内地 (国内其他省份) 的通道管控，防止走私、维护国内市场秩序</t>
  </si>
  <si>
    <t>"岛内自由": 指海南岛内的商品、服务、人员等可自由流通，打造高度便利化的营商环境</t>
  </si>
  <si>
    <t>马克思著作### ###</t>
  </si>
  <si>
    <t>首次提出科学实践观的著作是《关于费尔巴哈的提纲》</t>
  </si>
  <si>
    <t>《哥达纲领批判》丰富了科学社会主义学说</t>
  </si>
  <si>
    <t>《反杜林论》全面阐述了马克思主义理论体系</t>
  </si>
  <si>
    <t>《神圣家族》是马恩首次合写</t>
  </si>
  <si>
    <t>批判青年黑格尔派主观唯心</t>
  </si>
  <si>
    <t>论述历史唯物主义</t>
  </si>
  <si>
    <t>认识必然和争取自由是人类认识改造世界的根本目标，是一个历史性的过程### ###</t>
  </si>
  <si>
    <t>人的发展最根本的表现是人的自由程度的提高### ###</t>
  </si>
  <si>
    <t>科技创新是新质生产力的“灵魂”和核心要素，也是其第一驱动力### ###</t>
  </si>
  <si>
    <t>中华文明的连续性决定了中华民族必然走自己的路### ###</t>
  </si>
  <si>
    <t>文明基因的连续性：筑牢 “自己的路” 的根基</t>
  </si>
  <si>
    <t>价值内核的连续性：明确 “自己的路” 的方向</t>
  </si>
  <si>
    <t>发展实践的连续性：夯实 “自己的路” 的底气</t>
  </si>
  <si>
    <t>护法运动的失败标志着旧民主主义革命的终结### ###</t>
  </si>
  <si>
    <t>证明资产阶级共和国方案在中国行不通</t>
  </si>
  <si>
    <t>国民革命的中心是农民问题### ###</t>
  </si>
  <si>
    <t>中国人民抗日战争胜利的决定因素是以爱国主义为核心的民族精神### ####</t>
  </si>
  <si>
    <t>中共的中流砥柱作用是胜利的关键</t>
  </si>
  <si>
    <t>辛亥革命和国民革命是失败的### ###</t>
  </si>
  <si>
    <t>辛亥革命、国民革命和解放战争都是反帝反封建的民主主义革命（无论新旧），因此性质和任务相同### ###</t>
  </si>
  <si>
    <t>革命任务是由历史和社会的客观背景决定的，革命队伍只能在认清任务后才可能成功完成革命### ###</t>
  </si>
  <si>
    <t>而且革命成功与否不看是否发生了政权更迭，而看社会形态是否发生了变更，更看原本的社会主要矛盾是否得到了解决，做不到这些就不是成功的革命，只是轮流当皇帝而已。### ###</t>
  </si>
  <si>
    <t>中拉命运共同体### ###</t>
  </si>
  <si>
    <t>鲜明底色是平等相待</t>
  </si>
  <si>
    <t>强大动力是互利共赢</t>
  </si>
  <si>
    <t>胸怀品格是开放包容</t>
  </si>
  <si>
    <t>根本追求是造福人民</t>
  </si>
  <si>
    <t>绝对和相对剩余价值### ###</t>
  </si>
  <si>
    <t>绝对（增加绝对劳动量）：必要劳动时间不变，加班加点或者提高劳动强度</t>
  </si>
  <si>
    <t>相对（降低必要劳动时间）：维持上班时长，发展生产力、提升工作效率</t>
  </si>
  <si>
    <t>必要和剩余劳动时间：</t>
  </si>
  <si>
    <t>必要：创造等于工资的价值所必须要花的时间</t>
  </si>
  <si>
    <t>工资V/单位时间创造的价值量</t>
  </si>
  <si>
    <t>剩余：工作总时长减必要劳动时间以外的时间</t>
  </si>
  <si>
    <t>社会主义建设具有长期性的原因### ###</t>
  </si>
  <si>
    <t>生产力发展状况的制约</t>
  </si>
  <si>
    <t>经济基础和上层建筑发展状况的制约</t>
  </si>
  <si>
    <t>马克思主义执政党对发展道路的探索和认知是长期的</t>
  </si>
  <si>
    <t>国际环境的严峻挑战</t>
  </si>
  <si>
    <t>邓小平理论、三个代表和科学发展观都属于马克思主义与中国实际的二次结合### ###</t>
  </si>
  <si>
    <t>因此不能说其中某一个提出者完成了马克思主义与中国实际的第二次结合</t>
  </si>
  <si>
    <t>资源配置由市场负责，这部分政府不管### ###</t>
  </si>
  <si>
    <t>教育发展是推动党和国家各项事业发展的先手棋### ###</t>
  </si>
  <si>
    <t>抗日时期，在根据地实行“三三制”原则### ###</t>
  </si>
  <si>
    <t>抗日民族统一战线政策的具体体现</t>
  </si>
  <si>
    <t>共产党占三分之一</t>
  </si>
  <si>
    <t>非党的左派进步分子占三分之一</t>
  </si>
  <si>
    <t>不左不右的中间派占三分之一</t>
  </si>
  <si>
    <t>中共二大成果：第一次提出反帝反封建的民主革命纲领、提出了“组成民主主义的联合战线”### ###</t>
  </si>
  <si>
    <t>中共七大### ###</t>
  </si>
  <si>
    <t>确立毛泽东思想为党的指导思想</t>
  </si>
  <si>
    <t>毛泽东作《论联合政府》政治报告</t>
  </si>
  <si>
    <t>三大作风：理论结合实践、和人民群众紧密联系、自我批评</t>
  </si>
  <si>
    <t>选举产生以毛泽东为首的中央领导集体</t>
  </si>
  <si>
    <t>制定了党的政治路线</t>
  </si>
  <si>
    <t>放手发动群众，壮大人民力量，</t>
  </si>
  <si>
    <t>在党的领导下，打败日本侵略者，解放全国人民，</t>
  </si>
  <si>
    <t>建立一个新民主主义的中国</t>
  </si>
  <si>
    <t>标志着党在政治上（政治路线）、思想上（毛泽东思想）、组织上（中央领导集体）走向成熟</t>
  </si>
  <si>
    <t>宪法明确了国家未来建设发展的根本任务和总目标### ###</t>
  </si>
  <si>
    <t>资本主义工商业的社会主义改造分三步### ###</t>
  </si>
  <si>
    <t>国家资本主义（注意不是国企）：具有了社会主义的因素</t>
  </si>
  <si>
    <t>个别公私合营：半社会主义性质的企业</t>
  </si>
  <si>
    <t>全行业公私合营：基本上成为社会主义国营性质</t>
  </si>
  <si>
    <t>农业农村现代化是中国式现代化必须优先补上的最大短板### ###</t>
  </si>
  <si>
    <t>产业结构升级是绿色低碳发展这一生态环境问题治本之策的具体措施之一### ###</t>
  </si>
  <si>
    <t>瓦窑堡会议：建立广泛的抗日民族统一战线### ###</t>
  </si>
  <si>
    <t>减租减息是在和国民党合作后，不能土改就退而求其次</t>
  </si>
  <si>
    <t>敌后开展游击和运动是抗日（1937年）开始后</t>
  </si>
  <si>
    <t>保持党在思想、政治和组织上的独立性是在统一战线后</t>
  </si>
  <si>
    <t>整风运动：### ###</t>
  </si>
  <si>
    <t>反对主观主义整顿学风（包含教条主义和经验主义）</t>
  </si>
  <si>
    <t>反对宗派主义整顿党风</t>
  </si>
  <si>
    <t>反对党八股（形式主义）整顿文风</t>
  </si>
  <si>
    <t>行政保障是权利保障的关键环节，司法则是最后防线### ###</t>
  </si>
  <si>
    <t>第15个5年计划的战略任务第一条：建设现代化产业体系，巩固壮大实体经济根基### ###</t>
  </si>
  <si>
    <t>科学发展必然导致生产关系的变革### ###</t>
  </si>
  <si>
    <t>影响劳动生产率的因素### ###</t>
  </si>
  <si>
    <t>劳动者自身</t>
  </si>
  <si>
    <t>技术与生产资料</t>
  </si>
  <si>
    <t>管理与组织</t>
  </si>
  <si>
    <t>环境与制度</t>
  </si>
  <si>
    <t>生产社会化会削弱资本家个人在管理中的地位和作用### ###</t>
  </si>
  <si>
    <t>资本家配拿的V在不断减少，赚到的m在不断增加</t>
  </si>
  <si>
    <t>农村包围城市，武装夺取政权的相关著作### ###</t>
  </si>
  <si>
    <t>中国的红色政权为什么能够存在？</t>
  </si>
  <si>
    <t>井冈山的斗争</t>
  </si>
  <si>
    <t>星星之火，可以燎原</t>
  </si>
  <si>
    <t>反对本本主义</t>
  </si>
  <si>
    <t>共同富裕不是所有人同时（同步）富裕### ###</t>
  </si>
  <si>
    <t>建成教育强国是事先中国式现代化的先导任务、坚实基础、战略支撑。### ###</t>
  </si>
  <si>
    <t>稀土管制的核心目标：维护国家安全、履行国际防扩散义务### ###</t>
  </si>
  <si>
    <t>以维新运动为起点，资产阶级新文化开始打破封建文化独占文化阵地的局面### ###</t>
  </si>
  <si>
    <t>五卅运动虽然和省港大罢工起因相同，却是不同的事件### ###</t>
  </si>
  <si>
    <t>省港大罢工是纯工人运动，是最长的政治大罢工</t>
  </si>
  <si>
    <t>五卅运动是多阶层联合运动</t>
  </si>
  <si>
    <t>冲破了长期笼罩全国的沉闷的政治空气，促进群众觉醒</t>
  </si>
  <si>
    <t>给了帝国主义和军阀势力一次前所未有的打击</t>
  </si>
  <si>
    <t>三主体、三补充### ###</t>
  </si>
  <si>
    <t>所有制层面：国营和集体经营为主，个体经营为补充</t>
  </si>
  <si>
    <t>生产组织层面：计划生产为主，按市场变化的自由生产为补充</t>
  </si>
  <si>
    <t>市场运行层面：国家市场为主，自由市场为补充</t>
  </si>
  <si>
    <t>新时代爱国统一战线的历史责任是：促进中华儿女大团结### ###</t>
  </si>
  <si>
    <t>国际调解院面向所有国家，也不是对国际法院的“替代”### ###</t>
  </si>
  <si>
    <t>资本的构成：### ###</t>
  </si>
  <si>
    <t>技术构成：生产资料数与劳动力数的比例，10台机器比2个工人</t>
  </si>
  <si>
    <t>价值构成：不变资本/可变资本</t>
  </si>
  <si>
    <t>有机构成：价值构成受技术变化影响并能反映技术进步时，价值构成即有机构成</t>
  </si>
  <si>
    <t>党明确阶段性中心任务、制定路线方针政策的根本依据是社会主要矛盾的不同阶段### ###</t>
  </si>
  <si>
    <t>党和国家发展进步的活力源泉是改革开放### ###</t>
  </si>
  <si>
    <t>新时代党的民族工作主线是铸牢中华民族共同体意识### ###</t>
  </si>
  <si>
    <t>民生问题### ###</t>
  </si>
  <si>
    <t>发展是总钥匙</t>
  </si>
  <si>
    <t>社保是基本制度保障</t>
  </si>
  <si>
    <t>党建### ###</t>
  </si>
  <si>
    <t>思想建设是基础</t>
  </si>
  <si>
    <t>政治建设是根本</t>
  </si>
  <si>
    <t>大革命失败后，集中体现中国革命正确方向的是井冈山的斗争### ###</t>
  </si>
  <si>
    <t>是“农村包围城市、武装夺权”正确道路的具体实践</t>
  </si>
  <si>
    <t>论持久战：兵民是胜利之本### ###</t>
  </si>
  <si>
    <t>七届三中全会：中心任务是在三年内争取国家财政经济的基本好转### ###</t>
  </si>
  <si>
    <t>提出了“要掌握斗争的方向，不要四面出击”</t>
  </si>
  <si>
    <t>2025《政府工作报告》：综合整治“内卷式”竞争### ###</t>
  </si>
  <si>
    <t>2025服贸会的主题是数智领航，服贸焕新### ###</t>
  </si>
  <si>
    <t>人类生存发展的决定性因素是物质资料的生产方式### ###</t>
  </si>
  <si>
    <t>规律作用的条件和形式能够被人为改变### ###</t>
  </si>
  <si>
    <t>规律对人的实践活动有重要作用，无论这些规律是否已经被人们所认识### ###</t>
  </si>
  <si>
    <t>经济基础和上层建筑的矛盾是人类社会的另一个基本矛盾### ###</t>
  </si>
  <si>
    <t>人类社会发展的最终决定力量是物质生产力### ###</t>
  </si>
  <si>
    <t>科学社会主义理论与实践中具有首要和基础地位的科学论断是唯物史观### ###</t>
  </si>
  <si>
    <t>共产主义的核心要义：### ###</t>
  </si>
  <si>
    <t>以 “人的自由而全面的发展” 为根本目标</t>
  </si>
  <si>
    <t>同样也是马克思主义追求的根本价值目标</t>
  </si>
  <si>
    <t>建立一个理想社会：</t>
  </si>
  <si>
    <t>消灭阶级</t>
  </si>
  <si>
    <t>消除剥削</t>
  </si>
  <si>
    <t>实现共同富裕</t>
  </si>
  <si>
    <t>物质精神财富极大丰富</t>
  </si>
  <si>
    <t>马克思主义和共产主义的关系### ###</t>
  </si>
  <si>
    <t>马克思主义是一套哲学方法论</t>
  </si>
  <si>
    <t>科学社会主义是马克思主义的一个版块</t>
  </si>
  <si>
    <t>科学社会主义提出了共产主义的必然性和实践手段</t>
  </si>
  <si>
    <t>共产主义是一种社会形态，在马克思主义前就有雏形</t>
  </si>
  <si>
    <t>两个必然是唯物史观的一部分### ###</t>
  </si>
  <si>
    <t>唯物史观在科学社会主义理论与实践中具有首要和基础的地位</t>
  </si>
  <si>
    <t>因此可以说，两个必然在科学社会主义理论与实践中具有首要和基础的地位</t>
  </si>
  <si>
    <t>共产主义≠共产主义理想信念，后者是对前者的主观感受### ###</t>
  </si>
  <si>
    <t>共产主义理想信念的核心要义是两个必然</t>
  </si>
  <si>
    <t>论十大关系是“以苏为鉴”，反对照搬苏联，也反对闭关自守### ###</t>
  </si>
  <si>
    <t>到了《正确处理内部矛盾》，提出要走一条有别于苏联的工业化道路</t>
  </si>
  <si>
    <t>限邻域是工业化建设</t>
  </si>
  <si>
    <t>程度是从借鉴到有别，也就是更强调不同</t>
  </si>
  <si>
    <t>人才政策包含“坚持党对人才工作的全面领导”### ###</t>
  </si>
  <si>
    <t>新时代我国经济社会发展的鲜明主题是推动高质量发展### ###</t>
  </si>
  <si>
    <t>重大政治问题### ###</t>
  </si>
  <si>
    <t>生态环境关系到党的使命宗旨</t>
  </si>
  <si>
    <t>共同富裕关系党到的执政基础</t>
  </si>
  <si>
    <t>规范和引导资本发展关系到社会主义基本经济制度</t>
  </si>
  <si>
    <t>生态环境的变化直接影响文明的兴衰演替### ###</t>
  </si>
  <si>
    <t>百团大战### ###</t>
  </si>
  <si>
    <t>打击了日军的囚笼政策</t>
  </si>
  <si>
    <t>以破袭敌人交通线为重要目标的进攻战</t>
  </si>
  <si>
    <t>巩固了华北地区的四大抗日根据地</t>
  </si>
  <si>
    <t>平型关大捷是首次胜利，打破了日军不可战神的神话### ###</t>
  </si>
  <si>
    <t>台儿庄战役是正面战场的首次胜利，粉碎了日军不可战胜的神话### ###</t>
  </si>
  <si>
    <t>权力行使的三种方式### ###</t>
  </si>
  <si>
    <t>行为方式</t>
  </si>
  <si>
    <t>书面方式</t>
  </si>
  <si>
    <t>口头方式</t>
  </si>
  <si>
    <t>南北对话强调发达与发展中国家的对话，而不是中国与周边国家的对话### ###</t>
  </si>
  <si>
    <t>改造主观世界的核心是改造世界观### ###</t>
  </si>
  <si>
    <t>社会主义基本矛盾运动是“相适应又相矛盾”### ###</t>
  </si>
  <si>
    <t>中国式现代化区别于西方现代化的显著标志是全体人民共同富裕### ###</t>
  </si>
  <si>
    <t>同时也是中国式现代化的本质特征</t>
  </si>
  <si>
    <t>进一步全面深化改革的出发点和落脚点是促进社会公平正义、增进人民福祉。### ###</t>
  </si>
  <si>
    <t>洋务运动必然失败的原因在于封建地主阶级的局限性### ###</t>
  </si>
  <si>
    <t>两次国共合作的特点：### ###</t>
  </si>
  <si>
    <t>第一次：</t>
  </si>
  <si>
    <t>合作双方采取党内合作的形式（加入国民党）</t>
  </si>
  <si>
    <t>合作双方具有共同的政治基础（新三民主义与CCP的民主革命纲领基本一致）</t>
  </si>
  <si>
    <t>第二次：</t>
  </si>
  <si>
    <t>广泛的民族性和复杂的阶级矛盾</t>
  </si>
  <si>
    <t>国共双方有政权有军队的合作</t>
  </si>
  <si>
    <t>西安事变的和平解决标志着### ###</t>
  </si>
  <si>
    <t>国共十年内战基本结束</t>
  </si>
  <si>
    <t>抗日民族统一战线初步形成</t>
  </si>
  <si>
    <t>正式形成要等到《国共合作宣言》</t>
  </si>
  <si>
    <t>民主党派应积极参政，共同建设新中国### ###</t>
  </si>
  <si>
    <t>这句话标志着民主党派地位的根本变化</t>
  </si>
  <si>
    <t>从反动政权的在野党变为受CCP领导的参政党</t>
  </si>
  <si>
    <t>法律必须被信仰，否则形同虚设### ###</t>
  </si>
  <si>
    <t>现实就是，这方面还有待加强。。。</t>
  </si>
  <si>
    <t>新时代新疆工作的总目标是社会稳定和长治久安### ###</t>
  </si>
  <si>
    <t>世界不会自动满足的人的需求，人也不会满足于世界的现存形式### ###</t>
  </si>
  <si>
    <t>老天爷不会给我天降一个林妹妹，我也不会满足于就这样当个INCEL</t>
  </si>
  <si>
    <t>劳动价值论是剩余价值论的基础### ###</t>
  </si>
  <si>
    <t>劳动价值论研究商品价值来源，而剩余价值论研究生产关系中的剥削</t>
  </si>
  <si>
    <t>核心观点因研究对象的不同而不同</t>
  </si>
  <si>
    <t>劳动价值论源于古典经济学，而剩余价值论是马克思的独创</t>
  </si>
  <si>
    <t>金融资本是有工业垄断资本和银行垄断资本融合在一起形成的垄断资本，其形成途径包括### ###</t>
  </si>
  <si>
    <t>金融联系：放贷与借贷</t>
  </si>
  <si>
    <t>资本参与：互相投资、持股</t>
  </si>
  <si>
    <t>人事参与：互派代表进入对方决策层</t>
  </si>
  <si>
    <t>无产阶级政党是工人阶级的先锋队，而非全体成员的组织### ###</t>
  </si>
  <si>
    <t>组织原则是民主集中制</t>
  </si>
  <si>
    <t>是各国工人运动中最坚决、始终推动运动前进的部分</t>
  </si>
  <si>
    <t>应当是以科学理论武装起来的政党</t>
  </si>
  <si>
    <t>两个结合### ###</t>
  </si>
  <si>
    <t>把马克思主义基本原理同中国具体实际相结合</t>
  </si>
  <si>
    <t>把马克思主义基本原理同中华优秀传统文化相结合</t>
  </si>
  <si>
    <t>马克思主义与传统文化有契合性因此才能结合</t>
  </si>
  <si>
    <t>而不是结合才有契合性（马克思：其实我早就是中国人了）</t>
  </si>
  <si>
    <t>总体国家安全观### ###</t>
  </si>
  <si>
    <t>五大要素</t>
  </si>
  <si>
    <t>以人民安全为宗旨</t>
  </si>
  <si>
    <t>以政治安全为根本</t>
  </si>
  <si>
    <t>以经济安全为基础</t>
  </si>
  <si>
    <t>以军事科技文化社会安全为保障</t>
  </si>
  <si>
    <t>统筹发展和安全</t>
  </si>
  <si>
    <t>十六邻域</t>
  </si>
  <si>
    <t>政治、国土、军事、经济</t>
  </si>
  <si>
    <t>文化、社会、科技、网络</t>
  </si>
  <si>
    <t>生态、资源、核、海外利益</t>
  </si>
  <si>
    <t>生物、太空、极低、深海</t>
  </si>
  <si>
    <t>四大原则</t>
  </si>
  <si>
    <t>坚持党的绝对领导</t>
  </si>
  <si>
    <t>坚持系统思维（看全局不看片面）</t>
  </si>
  <si>
    <t>核心理念，即大安全理念</t>
  </si>
  <si>
    <t>是新形势下对国家生存和可持续发展的维护</t>
  </si>
  <si>
    <t>坚持底线思维（做最坏打算）</t>
  </si>
  <si>
    <t>坚持共同安全（全球安全治理=大家好才是真的好）</t>
  </si>
  <si>
    <t>“总体”是新时代中国国家安全的灵魂</t>
  </si>
  <si>
    <t>防范、化解国家安全风险是新时代中国国家安全的中心任务</t>
  </si>
  <si>
    <t>预防和解决风险，而非追求绝对安全</t>
  </si>
  <si>
    <t>马克思主义在中国最早的传播地和传播中心是上海### ###</t>
  </si>
  <si>
    <t>尽管北京（李大钊）比上海更早出现马克思主义，但北京只是思想启蒙地，没有成为传播中心</t>
  </si>
  <si>
    <t>上海的工人阶级在最早以独立的政治力量登上历史舞台### ###</t>
  </si>
  <si>
    <t>五四运动中的上海工人大罢工</t>
  </si>
  <si>
    <t>中共成立于1921，而这次罢工是1919年</t>
  </si>
  <si>
    <t>是由先进知识分子动员、工人阶级自发组织的</t>
  </si>
  <si>
    <t>七届二中全会### ###</t>
  </si>
  <si>
    <t>提出工作重心由农村转向城市</t>
  </si>
  <si>
    <t>实现是在解放军进驻北京香山后（标志）</t>
  </si>
  <si>
    <t>提出两个“务必”思想（谦虚谨慎不骄不躁、艰苦奋斗）</t>
  </si>
  <si>
    <t>制定经济与政策纲领</t>
  </si>
  <si>
    <t>指出了两个转变（农业→工业，新民主主义→社会主义）</t>
  </si>
  <si>
    <t>注意，这里只是“指出”，是思想铺垫，正式确立是在1953年的过渡时期总路线会议</t>
  </si>
  <si>
    <t>确立执政准备与国家建设方向</t>
  </si>
  <si>
    <t>政治、经济、外交方面应当采取的基本政策</t>
  </si>
  <si>
    <t>平等除了是法律的基本属性，还是### ###</t>
  </si>
  <si>
    <t>法治的基本要求</t>
  </si>
  <si>
    <t>社会主义法治最根本的保证是党的领导### ###</t>
  </si>
  <si>
    <t>主体和力量源泉是人民</t>
  </si>
  <si>
    <t>推进全面依法治国的根本目的是依法保障人民权益### ###</t>
  </si>
  <si>
    <t>水电站主要是利用水力，而不是改变水资源配置格局### ###</t>
  </si>
  <si>
    <t>中美贸易差额的原因：### ###</t>
  </si>
  <si>
    <t>统计方法相关</t>
  </si>
  <si>
    <t>美国的经济结构性问题的必然结果</t>
  </si>
  <si>
    <t>两国比较优势和国际分工格局决定的</t>
  </si>
  <si>
    <t>资本主义社会的阶级层级### ###</t>
  </si>
  <si>
    <t>极少数国际金融垄断寡头</t>
  </si>
  <si>
    <t>能源、军工、高科技利益集团</t>
  </si>
  <si>
    <t>各产业垄断地位</t>
  </si>
  <si>
    <t>经理资本家、食利者、中小企业资本家</t>
  </si>
  <si>
    <t>《共产党人》发刊词### ###</t>
  </si>
  <si>
    <t>三个法宝：统一战线、武装斗争、党的建设</t>
  </si>
  <si>
    <t>半殖民地半封建：### ###</t>
  </si>
  <si>
    <t>半殖民地：已经丧失了完全独立的地位，在相当程度上被殖民地化了</t>
  </si>
  <si>
    <t>半封建：出现了资本主义生产关系，但列强不容许中国成为独立的资本主义国家</t>
  </si>
  <si>
    <t>资产阶级共和国=旧民主主义；无产阶级共和国=新民主主义### ###</t>
  </si>
  <si>
    <t>劳动权存在和发展的基础是休息权### ###</t>
  </si>
  <si>
    <t>我国属于创新国家行列，但不是前列### ###</t>
  </si>
  <si>
    <t>2025欧亚经济论坛的主题是聚合欧耶新动能，共筑可持续发展新格局### ###</t>
  </si>
  <si>
    <t>任何成功的实践都是科学尺度和人本尺度的统一### ###</t>
  </si>
  <si>
    <t>中共八大### ###</t>
  </si>
  <si>
    <t>主要矛盾判断</t>
  </si>
  <si>
    <t>建立先进工业国与落后农业国的矛盾</t>
  </si>
  <si>
    <t>对经济文化需求与不能满足的矛盾</t>
  </si>
  <si>
    <t>主要任务：发展社会生产力</t>
  </si>
  <si>
    <t>经济建设：反保守又反冒进，区别于大跃进</t>
  </si>
  <si>
    <t>政治建设和法治建设</t>
  </si>
  <si>
    <t>扩大社会主义民主、健全社会主义法制</t>
  </si>
  <si>
    <t>坚持民主集中制，反对个人崇拜和官僚、宗派主义</t>
  </si>
  <si>
    <t>执政党建</t>
  </si>
  <si>
    <t>提高全党马列主义水平</t>
  </si>
  <si>
    <t>坚持集体领导原则</t>
  </si>
  <si>
    <t>反对脱离群众的官僚主义</t>
  </si>
  <si>
    <t>历史意义：探索社会主义建设道路的良好开端</t>
  </si>
  <si>
    <t>加快构建新发展格局### ###</t>
  </si>
  <si>
    <t>把握好2对关系</t>
  </si>
  <si>
    <t>深化供给侧结构性改革+加强需求侧管理</t>
  </si>
  <si>
    <t>全国一盘棋+发挥地方比较优势</t>
  </si>
  <si>
    <t>注重统筹发展和安全，通盘考虑内外部风险挑战</t>
  </si>
  <si>
    <t>依法选举不是我国独有的民主形式### ###</t>
  </si>
  <si>
    <t>孙中山的失败在于，他很厉害，但是他没有建立一个坚强团结的革命政党### ###</t>
  </si>
  <si>
    <t>抗日根据地建设的首要、根本任务是加强政权建设### ###</t>
  </si>
  <si>
    <t>抗战期间，民族斗争高于阶级斗争### ###</t>
  </si>
  <si>
    <t>权利与义务### ###</t>
  </si>
  <si>
    <t>法律权利是由一定社会物质生活条件所制约的行为自由</t>
  </si>
  <si>
    <t>法律义务是由一定社会物质生活条件所制约的社会责任</t>
  </si>
  <si>
    <t>任何历史人物的出现都是必然与偶然的统一### ###</t>
  </si>
  <si>
    <t>《论欧洲联邦口号》### ###</t>
  </si>
  <si>
    <t>经济政治发展的不平衡是资本主义的绝对规律</t>
  </si>
  <si>
    <t>一国社会主义</t>
  </si>
  <si>
    <t>加强教师队伍建设作为建设教育强国最重要的基础工作### ###</t>
  </si>
  <si>
    <t>教育的根本是立德树人</t>
  </si>
  <si>
    <t>推动高质量发展的战略基点是新发展格局### ###</t>
  </si>
  <si>
    <t>以国内大循环为主体</t>
  </si>
  <si>
    <t>国内国际双循环相互促进</t>
  </si>
  <si>
    <t>坚持党对人民军队绝对领导的根本制度和根本实现形式是军委主席负责制### ###</t>
  </si>
  <si>
    <t>抗日战争取得完全胜利的重要标志### ###</t>
  </si>
  <si>
    <t>中国政府在台湾举行受降仪式</t>
  </si>
  <si>
    <t>台湾重归中国主权管辖</t>
  </si>
  <si>
    <t>集体主义的三个层次### ###</t>
  </si>
  <si>
    <t>基础：顾全大局、遵纪守法、热爱祖国、诚实劳动</t>
  </si>
  <si>
    <t>中间：先公后私、先人后己</t>
  </si>
  <si>
    <t>顶级：无私奉献、一心为公</t>
  </si>
  <si>
    <t>中国-中亚精神：互尊互信互利互助，以高质量发展推进共同现代化### ###</t>
  </si>
  <si>
    <t>人类的实践活动必须尊重自然### ###</t>
  </si>
  <si>
    <t>价值不能脱离主体（人）而存在，不只是经验外化于对象而形成### ###</t>
  </si>
  <si>
    <t>水能解渴不是因为人认为水能解渴</t>
  </si>
  <si>
    <t>而是水具有“被饮用后通过生理机制解渴”这一客观属性</t>
  </si>
  <si>
    <t>资本主义基本矛盾包含着现代一切冲突的萌芽### ###</t>
  </si>
  <si>
    <t>万恶的资本主义~</t>
  </si>
  <si>
    <t>经济建设为中心不是党一贯坚持的宝贵经验（特定时期）### ###</t>
  </si>
  <si>
    <t>五四前的新文化运动局限### ###</t>
  </si>
  <si>
    <t>割裂了封建思想与产生封建思想的社会制度</t>
  </si>
  <si>
    <t>脱离工农大众，仅仅依靠少数人的呐喊</t>
  </si>
  <si>
    <t>未能认识到西方资产阶级文化的历史局限和阶级局限</t>
  </si>
  <si>
    <t>六届七中的《关于若干历史问题的决议》### ###</t>
  </si>
  <si>
    <t>为党七大的胜利召开创造了充分条件</t>
  </si>
  <si>
    <t>高度评价了毛泽东运用马克思列宁主义基本原理解决中国革命问题的杰出贡献</t>
  </si>
  <si>
    <t>使全党特别是党的高级干部对中国革命基本问题的认识达到了一致</t>
  </si>
  <si>
    <t>公平正义### ###</t>
  </si>
  <si>
    <t>权利公平</t>
  </si>
  <si>
    <t>规则公平</t>
  </si>
  <si>
    <t>救济公平</t>
  </si>
  <si>
    <t>机会公平</t>
  </si>
  <si>
    <t>为社会成员的发展创造条件，创造平等的起点</t>
  </si>
  <si>
    <t>发展进步权受到同等尊重，拓展社会成员的发展领域</t>
  </si>
  <si>
    <t>同一社会的成员拥有相同的发展机会和发展前景</t>
  </si>
  <si>
    <t>关注当代机会平等，也考虑后代机会平等</t>
  </si>
  <si>
    <t>社会经济权利主要包括### ###</t>
  </si>
  <si>
    <t>劳动权</t>
  </si>
  <si>
    <t>休息权</t>
  </si>
  <si>
    <t>社会保障权</t>
  </si>
  <si>
    <t>物质帮助权</t>
  </si>
  <si>
    <t>国家给公民提供的经济权利，注意区分财产权利</t>
  </si>
  <si>
    <t>线性微分方程要求为1次且不能是乘积是有限定的### ###</t>
  </si>
  <si>
    <t>针对的对象是解方程y(x)</t>
  </si>
  <si>
    <t>xy、xy'、xy''都是允许的（变系数线性微分方程）</t>
  </si>
  <si>
    <t>y^2、yy'则不是线性微分方程</t>
  </si>
  <si>
    <t>有些极值证明（函数性态）会伪装成微分方程题，应该摆脱计算思维（甚至不需要求解方程）### ###</t>
  </si>
  <si>
    <t>除此之外，还有结合初值与洛必达法则（多次求导，最后一次利用低阶导数的初值得出）的极限题### ###</t>
  </si>
  <si>
    <t>估值定理的重积分推广### ###</t>
  </si>
  <si>
    <t>定积分：被积函数的最值（一元极值）</t>
  </si>
  <si>
    <t>重积分：拉格朗日乘数法+边界最值</t>
  </si>
  <si>
    <t>然后用最值乘欧式测度（一元长度、二元面积）</t>
  </si>
  <si>
    <t>汉明码### ###</t>
  </si>
  <si>
    <t>校验位个数r，2^r&gt;=k+r+1，其中k为数据位个数</t>
  </si>
  <si>
    <t>校验位Pi插入数据位中，准确来说，是k+r位的新数据，校验位位于2^(r-1)的位置（起始为1）</t>
  </si>
  <si>
    <t>校验位Pi负责校验二进制第i位为1的数（可能重叠，第i位是混合后的位序，从1开始）</t>
  </si>
  <si>
    <t>校验位Pi=负责的位之间异或运算</t>
  </si>
  <si>
    <t>建设社会主义的根本思想是根据本国情况走自己的道路### ###</t>
  </si>
  <si>
    <t>不断提出和反复思考的问题### ###</t>
  </si>
  <si>
    <t>邓小平：什么是社会主义、怎样建设社会主义</t>
  </si>
  <si>
    <t>三个代表（回答）：建设什么样的党、怎样建设党</t>
  </si>
  <si>
    <t>科学发展观（回答）：实现什么样的发展、怎样发展</t>
  </si>
  <si>
    <t>新思想（回答）：坚持和发展什么样的中国特色社会主义、怎么坚持和发展中国特色社会主义</t>
  </si>
  <si>
    <t>民族团结之本是中华民族共同体意识### ###</t>
  </si>
  <si>
    <t>没有团结的意识，制度再多也是白搭</t>
  </si>
  <si>
    <t>一国两制的最高原则是维护国家主权、安全、发展利益### ###</t>
  </si>
  <si>
    <t>开启党员再塑自身形象的第一行动是中央八项规定### ###</t>
  </si>
  <si>
    <t>袁世凯败亡后军阀割据的原因### ###</t>
  </si>
  <si>
    <t>地方性农业经济而没有形成统一资本主义市场</t>
  </si>
  <si>
    <t>帝国主义在中国采取划分势力范围（军阀和外国势力勾连）的分裂剥削政策</t>
  </si>
  <si>
    <t>第一次人大标志着新中国根本政治制度的正式确立### ###</t>
  </si>
  <si>
    <t>而人民民主专政制度是建国时确立的，不要搞混</t>
  </si>
  <si>
    <t>处理人民内部矛盾问题的论断着眼点是为了### ###</t>
  </si>
  <si>
    <t>调动一切积极因素</t>
  </si>
  <si>
    <t>团结一切可以团结的力量</t>
  </si>
  <si>
    <t>把全党注意力转到社会主义建设上</t>
  </si>
  <si>
    <t>中央城市工作会议强调，当今和今后城市工作的主线是坚持城市内涵式发展### ###</t>
  </si>
  <si>
    <t>真理的发展是相对→绝对，而不是相对→绝对→相对### ###</t>
  </si>
  <si>
    <t>社会意识具有相对独立性，先进的社会意识能够反作用于社会存在### ###</t>
  </si>
  <si>
    <t>劳动者并不与资本家形成人身依附（奴役制），这导致了剥削具有一定隐蔽性### ###</t>
  </si>
  <si>
    <t>垄断操纵价格会抑制价格的自由波动### ###</t>
  </si>
  <si>
    <t>生产力差异是造成社会主义发展道路多样性的决定因素### ###</t>
  </si>
  <si>
    <t>而不是地理环境和人口（地理决定论）</t>
  </si>
  <si>
    <t>某些国家以资源缺乏和人口过剩为借口对其它国家实施侵略</t>
  </si>
  <si>
    <t>跳出历史周期律的答案### ###</t>
  </si>
  <si>
    <t>毛泽东：让人民来监督政府</t>
  </si>
  <si>
    <t>习近平：党的自我革命</t>
  </si>
  <si>
    <t>五统一、一开放之统一政府行为尺度### ###</t>
  </si>
  <si>
    <t>促进要素资源流动</t>
  </si>
  <si>
    <t>破解不同地区间的内卷</t>
  </si>
  <si>
    <t>为经营主体创造公平市场竞争环境</t>
  </si>
  <si>
    <t>巩固和完善农村基本经营制度### ###</t>
  </si>
  <si>
    <t>坚持“大稳定、小调整”，稳定和完善农村土地承包关系</t>
  </si>
  <si>
    <t>不允许城镇居民到农村购买农房、宅基地</t>
  </si>
  <si>
    <t>不允许退休干部到农村占地建房</t>
  </si>
  <si>
    <t>我国经济由高速增长转向高质量发展阶段### ###</t>
  </si>
  <si>
    <t>因此不能说“经济始终保持高速增长”</t>
  </si>
  <si>
    <t>疫情后市场逐渐恢复，必须有重点地建设和发展经济</t>
  </si>
  <si>
    <t>清朝的“边疆危机”发生于19世纪70-80年代（也就是1870-1880）### ###</t>
  </si>
  <si>
    <t>甲午战争是1894年，因此“边疆危机”不是甲午战败的影响</t>
  </si>
  <si>
    <t>正本清源、拨乱反正和改革开放的思想先导是真理标准大讨论，也就是《实践是检验真理的唯一标准》### ###</t>
  </si>
  <si>
    <t>这件事发生在十一届三中全会之前，不要搞混</t>
  </si>
  <si>
    <t>社会主义家庭文明新风尚### ###</t>
  </si>
  <si>
    <t>爱国爱家</t>
  </si>
  <si>
    <t>相亲相爱</t>
  </si>
  <si>
    <t>向上向善</t>
  </si>
  <si>
    <t>共建共享</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</si>
</sst>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0.0000_ "/>
  </numFmts>
  <fonts count="27">
    <font>
      <sz val="11"/>
      <color theme="1"/>
      <name val="宋体"/>
      <charset val="134"/>
      <scheme val="minor"/>
    </font>
    <font>
      <sz val="11"/>
      <color rgb="FFFF0000"/>
      <name val="宋体"/>
      <charset val="134"/>
      <scheme val="minor"/>
    </font>
    <font>
      <sz val="10.5"/>
      <color theme="1"/>
      <name val="宋体"/>
      <charset val="134"/>
      <scheme val="minor"/>
    </font>
    <font>
      <b/>
      <sz val="11"/>
      <color rgb="FFFF0000"/>
      <name val="宋体"/>
      <charset val="134"/>
      <scheme val="minor"/>
    </font>
    <font>
      <b/>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0.5"/>
      <color rgb="FF24292F"/>
      <name val="Segoe UI"/>
      <charset val="134"/>
    </font>
    <font>
      <sz val="10.5"/>
      <color rgb="FF24292F"/>
      <name val="Segoe UI"/>
      <charset val="134"/>
    </font>
    <font>
      <sz val="11"/>
      <color rgb="FF00B0F0"/>
      <name val="宋体"/>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3" borderId="4" applyNumberFormat="0" applyAlignment="0" applyProtection="0">
      <alignment vertical="center"/>
    </xf>
    <xf numFmtId="0" fontId="14" fillId="4" borderId="5" applyNumberFormat="0" applyAlignment="0" applyProtection="0">
      <alignment vertical="center"/>
    </xf>
    <xf numFmtId="0" fontId="15" fillId="4" borderId="4" applyNumberFormat="0" applyAlignment="0" applyProtection="0">
      <alignment vertical="center"/>
    </xf>
    <xf numFmtId="0" fontId="16" fillId="5"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8">
    <xf numFmtId="0" fontId="0" fillId="0" borderId="0" xfId="0">
      <alignment vertical="center"/>
    </xf>
    <xf numFmtId="176" fontId="0" fillId="0" borderId="0" xfId="0" applyNumberFormat="1">
      <alignment vertical="center"/>
    </xf>
    <xf numFmtId="0" fontId="1" fillId="0" borderId="0" xfId="0" applyFont="1">
      <alignment vertical="center"/>
    </xf>
    <xf numFmtId="0" fontId="2" fillId="0" borderId="0" xfId="0" applyFont="1" applyAlignment="1">
      <alignment horizontal="left" vertical="center"/>
    </xf>
    <xf numFmtId="0" fontId="0" fillId="0" borderId="0" xfId="0" applyFont="1">
      <alignment vertical="center"/>
    </xf>
    <xf numFmtId="0" fontId="3" fillId="0" borderId="0" xfId="0" applyFont="1">
      <alignment vertical="center"/>
    </xf>
    <xf numFmtId="0" fontId="4" fillId="0" borderId="0" xfId="0" applyFont="1">
      <alignment vertical="center"/>
    </xf>
    <xf numFmtId="177" fontId="0" fillId="0" borderId="0" xfId="0" applyNumberFormat="1">
      <alignment vertical="center"/>
    </xf>
    <xf numFmtId="0" fontId="0" fillId="0" borderId="0" xfId="0"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9" Type="http://schemas.openxmlformats.org/officeDocument/2006/relationships/worksheet" Target="worksheets/sheet99.xml"/><Relationship Id="rId98" Type="http://schemas.openxmlformats.org/officeDocument/2006/relationships/worksheet" Target="worksheets/sheet98.xml"/><Relationship Id="rId97" Type="http://schemas.openxmlformats.org/officeDocument/2006/relationships/worksheet" Target="worksheets/sheet97.xml"/><Relationship Id="rId96" Type="http://schemas.openxmlformats.org/officeDocument/2006/relationships/worksheet" Target="worksheets/sheet96.xml"/><Relationship Id="rId95" Type="http://schemas.openxmlformats.org/officeDocument/2006/relationships/worksheet" Target="worksheets/sheet95.xml"/><Relationship Id="rId94" Type="http://schemas.openxmlformats.org/officeDocument/2006/relationships/worksheet" Target="worksheets/sheet94.xml"/><Relationship Id="rId93" Type="http://schemas.openxmlformats.org/officeDocument/2006/relationships/worksheet" Target="worksheets/sheet93.xml"/><Relationship Id="rId92" Type="http://schemas.openxmlformats.org/officeDocument/2006/relationships/worksheet" Target="worksheets/sheet92.xml"/><Relationship Id="rId91" Type="http://schemas.openxmlformats.org/officeDocument/2006/relationships/worksheet" Target="worksheets/sheet91.xml"/><Relationship Id="rId90" Type="http://schemas.openxmlformats.org/officeDocument/2006/relationships/worksheet" Target="worksheets/sheet90.xml"/><Relationship Id="rId9" Type="http://schemas.openxmlformats.org/officeDocument/2006/relationships/worksheet" Target="worksheets/sheet9.xml"/><Relationship Id="rId89" Type="http://schemas.openxmlformats.org/officeDocument/2006/relationships/worksheet" Target="worksheets/sheet89.xml"/><Relationship Id="rId88" Type="http://schemas.openxmlformats.org/officeDocument/2006/relationships/worksheet" Target="worksheets/sheet88.xml"/><Relationship Id="rId87" Type="http://schemas.openxmlformats.org/officeDocument/2006/relationships/worksheet" Target="worksheets/sheet87.xml"/><Relationship Id="rId86" Type="http://schemas.openxmlformats.org/officeDocument/2006/relationships/worksheet" Target="worksheets/sheet86.xml"/><Relationship Id="rId85" Type="http://schemas.openxmlformats.org/officeDocument/2006/relationships/worksheet" Target="worksheets/sheet85.xml"/><Relationship Id="rId84" Type="http://schemas.openxmlformats.org/officeDocument/2006/relationships/worksheet" Target="worksheets/sheet84.xml"/><Relationship Id="rId83" Type="http://schemas.openxmlformats.org/officeDocument/2006/relationships/worksheet" Target="worksheets/sheet83.xml"/><Relationship Id="rId82" Type="http://schemas.openxmlformats.org/officeDocument/2006/relationships/worksheet" Target="worksheets/sheet82.xml"/><Relationship Id="rId81" Type="http://schemas.openxmlformats.org/officeDocument/2006/relationships/worksheet" Target="worksheets/sheet81.xml"/><Relationship Id="rId80" Type="http://schemas.openxmlformats.org/officeDocument/2006/relationships/worksheet" Target="worksheets/sheet80.xml"/><Relationship Id="rId8" Type="http://schemas.openxmlformats.org/officeDocument/2006/relationships/worksheet" Target="worksheets/sheet8.xml"/><Relationship Id="rId79" Type="http://schemas.openxmlformats.org/officeDocument/2006/relationships/worksheet" Target="worksheets/sheet79.xml"/><Relationship Id="rId78" Type="http://schemas.openxmlformats.org/officeDocument/2006/relationships/worksheet" Target="worksheets/sheet78.xml"/><Relationship Id="rId77" Type="http://schemas.openxmlformats.org/officeDocument/2006/relationships/worksheet" Target="worksheets/sheet77.xml"/><Relationship Id="rId76" Type="http://schemas.openxmlformats.org/officeDocument/2006/relationships/worksheet" Target="worksheets/sheet76.xml"/><Relationship Id="rId75" Type="http://schemas.openxmlformats.org/officeDocument/2006/relationships/worksheet" Target="worksheets/sheet75.xml"/><Relationship Id="rId74" Type="http://schemas.openxmlformats.org/officeDocument/2006/relationships/worksheet" Target="worksheets/sheet74.xml"/><Relationship Id="rId73" Type="http://schemas.openxmlformats.org/officeDocument/2006/relationships/worksheet" Target="worksheets/sheet73.xml"/><Relationship Id="rId72" Type="http://schemas.openxmlformats.org/officeDocument/2006/relationships/worksheet" Target="worksheets/sheet72.xml"/><Relationship Id="rId71" Type="http://schemas.openxmlformats.org/officeDocument/2006/relationships/worksheet" Target="worksheets/sheet71.xml"/><Relationship Id="rId70" Type="http://schemas.openxmlformats.org/officeDocument/2006/relationships/worksheet" Target="worksheets/sheet70.xml"/><Relationship Id="rId7" Type="http://schemas.openxmlformats.org/officeDocument/2006/relationships/worksheet" Target="worksheets/sheet7.xml"/><Relationship Id="rId69" Type="http://schemas.openxmlformats.org/officeDocument/2006/relationships/worksheet" Target="worksheets/sheet69.xml"/><Relationship Id="rId68" Type="http://schemas.openxmlformats.org/officeDocument/2006/relationships/worksheet" Target="worksheets/sheet68.xml"/><Relationship Id="rId67" Type="http://schemas.openxmlformats.org/officeDocument/2006/relationships/worksheet" Target="worksheets/sheet67.xml"/><Relationship Id="rId66" Type="http://schemas.openxmlformats.org/officeDocument/2006/relationships/worksheet" Target="worksheets/sheet66.xml"/><Relationship Id="rId65" Type="http://schemas.openxmlformats.org/officeDocument/2006/relationships/worksheet" Target="worksheets/sheet65.xml"/><Relationship Id="rId64" Type="http://schemas.openxmlformats.org/officeDocument/2006/relationships/worksheet" Target="worksheets/sheet64.xml"/><Relationship Id="rId63" Type="http://schemas.openxmlformats.org/officeDocument/2006/relationships/worksheet" Target="worksheets/sheet63.xml"/><Relationship Id="rId62" Type="http://schemas.openxmlformats.org/officeDocument/2006/relationships/worksheet" Target="worksheets/sheet62.xml"/><Relationship Id="rId61" Type="http://schemas.openxmlformats.org/officeDocument/2006/relationships/worksheet" Target="worksheets/sheet61.xml"/><Relationship Id="rId60" Type="http://schemas.openxmlformats.org/officeDocument/2006/relationships/worksheet" Target="worksheets/sheet60.xml"/><Relationship Id="rId6" Type="http://schemas.openxmlformats.org/officeDocument/2006/relationships/worksheet" Target="worksheets/sheet6.xml"/><Relationship Id="rId59" Type="http://schemas.openxmlformats.org/officeDocument/2006/relationships/worksheet" Target="worksheets/sheet59.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0" Type="http://schemas.openxmlformats.org/officeDocument/2006/relationships/styles" Target="styles.xml"/><Relationship Id="rId21" Type="http://schemas.openxmlformats.org/officeDocument/2006/relationships/worksheet" Target="worksheets/sheet21.xml"/><Relationship Id="rId209" Type="http://schemas.openxmlformats.org/officeDocument/2006/relationships/sheetMetadata" Target="metadata.xml"/><Relationship Id="rId208" Type="http://schemas.openxmlformats.org/officeDocument/2006/relationships/sharedStrings" Target="sharedStrings.xml"/><Relationship Id="rId207" Type="http://schemas.openxmlformats.org/officeDocument/2006/relationships/theme" Target="theme/theme1.xml"/><Relationship Id="rId206" Type="http://schemas.openxmlformats.org/officeDocument/2006/relationships/worksheet" Target="worksheets/sheet206.xml"/><Relationship Id="rId205" Type="http://schemas.openxmlformats.org/officeDocument/2006/relationships/worksheet" Target="worksheets/sheet205.xml"/><Relationship Id="rId204" Type="http://schemas.openxmlformats.org/officeDocument/2006/relationships/worksheet" Target="worksheets/sheet204.xml"/><Relationship Id="rId203" Type="http://schemas.openxmlformats.org/officeDocument/2006/relationships/worksheet" Target="worksheets/sheet203.xml"/><Relationship Id="rId202" Type="http://schemas.openxmlformats.org/officeDocument/2006/relationships/worksheet" Target="worksheets/sheet202.xml"/><Relationship Id="rId201" Type="http://schemas.openxmlformats.org/officeDocument/2006/relationships/worksheet" Target="worksheets/sheet201.xml"/><Relationship Id="rId200" Type="http://schemas.openxmlformats.org/officeDocument/2006/relationships/worksheet" Target="worksheets/sheet200.xml"/><Relationship Id="rId20" Type="http://schemas.openxmlformats.org/officeDocument/2006/relationships/worksheet" Target="worksheets/sheet20.xml"/><Relationship Id="rId2" Type="http://schemas.openxmlformats.org/officeDocument/2006/relationships/worksheet" Target="worksheets/sheet2.xml"/><Relationship Id="rId199" Type="http://schemas.openxmlformats.org/officeDocument/2006/relationships/worksheet" Target="worksheets/sheet199.xml"/><Relationship Id="rId198" Type="http://schemas.openxmlformats.org/officeDocument/2006/relationships/worksheet" Target="worksheets/sheet198.xml"/><Relationship Id="rId197" Type="http://schemas.openxmlformats.org/officeDocument/2006/relationships/worksheet" Target="worksheets/sheet197.xml"/><Relationship Id="rId196" Type="http://schemas.openxmlformats.org/officeDocument/2006/relationships/worksheet" Target="worksheets/sheet196.xml"/><Relationship Id="rId195" Type="http://schemas.openxmlformats.org/officeDocument/2006/relationships/worksheet" Target="worksheets/sheet195.xml"/><Relationship Id="rId194" Type="http://schemas.openxmlformats.org/officeDocument/2006/relationships/worksheet" Target="worksheets/sheet194.xml"/><Relationship Id="rId193" Type="http://schemas.openxmlformats.org/officeDocument/2006/relationships/worksheet" Target="worksheets/sheet193.xml"/><Relationship Id="rId192" Type="http://schemas.openxmlformats.org/officeDocument/2006/relationships/worksheet" Target="worksheets/sheet192.xml"/><Relationship Id="rId191" Type="http://schemas.openxmlformats.org/officeDocument/2006/relationships/worksheet" Target="worksheets/sheet191.xml"/><Relationship Id="rId190" Type="http://schemas.openxmlformats.org/officeDocument/2006/relationships/worksheet" Target="worksheets/sheet190.xml"/><Relationship Id="rId19" Type="http://schemas.openxmlformats.org/officeDocument/2006/relationships/worksheet" Target="worksheets/sheet19.xml"/><Relationship Id="rId189" Type="http://schemas.openxmlformats.org/officeDocument/2006/relationships/worksheet" Target="worksheets/sheet189.xml"/><Relationship Id="rId188" Type="http://schemas.openxmlformats.org/officeDocument/2006/relationships/worksheet" Target="worksheets/sheet188.xml"/><Relationship Id="rId187" Type="http://schemas.openxmlformats.org/officeDocument/2006/relationships/worksheet" Target="worksheets/sheet187.xml"/><Relationship Id="rId186" Type="http://schemas.openxmlformats.org/officeDocument/2006/relationships/worksheet" Target="worksheets/sheet186.xml"/><Relationship Id="rId185" Type="http://schemas.openxmlformats.org/officeDocument/2006/relationships/worksheet" Target="worksheets/sheet185.xml"/><Relationship Id="rId184" Type="http://schemas.openxmlformats.org/officeDocument/2006/relationships/worksheet" Target="worksheets/sheet184.xml"/><Relationship Id="rId183" Type="http://schemas.openxmlformats.org/officeDocument/2006/relationships/worksheet" Target="worksheets/sheet183.xml"/><Relationship Id="rId182" Type="http://schemas.openxmlformats.org/officeDocument/2006/relationships/worksheet" Target="worksheets/sheet182.xml"/><Relationship Id="rId181" Type="http://schemas.openxmlformats.org/officeDocument/2006/relationships/worksheet" Target="worksheets/sheet181.xml"/><Relationship Id="rId180" Type="http://schemas.openxmlformats.org/officeDocument/2006/relationships/worksheet" Target="worksheets/sheet180.xml"/><Relationship Id="rId18" Type="http://schemas.openxmlformats.org/officeDocument/2006/relationships/worksheet" Target="worksheets/sheet18.xml"/><Relationship Id="rId179" Type="http://schemas.openxmlformats.org/officeDocument/2006/relationships/worksheet" Target="worksheets/sheet179.xml"/><Relationship Id="rId178" Type="http://schemas.openxmlformats.org/officeDocument/2006/relationships/worksheet" Target="worksheets/sheet178.xml"/><Relationship Id="rId177" Type="http://schemas.openxmlformats.org/officeDocument/2006/relationships/worksheet" Target="worksheets/sheet177.xml"/><Relationship Id="rId176" Type="http://schemas.openxmlformats.org/officeDocument/2006/relationships/worksheet" Target="worksheets/sheet176.xml"/><Relationship Id="rId175" Type="http://schemas.openxmlformats.org/officeDocument/2006/relationships/worksheet" Target="worksheets/sheet175.xml"/><Relationship Id="rId174" Type="http://schemas.openxmlformats.org/officeDocument/2006/relationships/worksheet" Target="worksheets/sheet174.xml"/><Relationship Id="rId173" Type="http://schemas.openxmlformats.org/officeDocument/2006/relationships/worksheet" Target="worksheets/sheet173.xml"/><Relationship Id="rId172" Type="http://schemas.openxmlformats.org/officeDocument/2006/relationships/worksheet" Target="worksheets/sheet172.xml"/><Relationship Id="rId171" Type="http://schemas.openxmlformats.org/officeDocument/2006/relationships/worksheet" Target="worksheets/sheet171.xml"/><Relationship Id="rId170" Type="http://schemas.openxmlformats.org/officeDocument/2006/relationships/worksheet" Target="worksheets/sheet170.xml"/><Relationship Id="rId17" Type="http://schemas.openxmlformats.org/officeDocument/2006/relationships/worksheet" Target="worksheets/sheet17.xml"/><Relationship Id="rId169" Type="http://schemas.openxmlformats.org/officeDocument/2006/relationships/worksheet" Target="worksheets/sheet169.xml"/><Relationship Id="rId168" Type="http://schemas.openxmlformats.org/officeDocument/2006/relationships/worksheet" Target="worksheets/sheet168.xml"/><Relationship Id="rId167" Type="http://schemas.openxmlformats.org/officeDocument/2006/relationships/worksheet" Target="worksheets/sheet167.xml"/><Relationship Id="rId166" Type="http://schemas.openxmlformats.org/officeDocument/2006/relationships/worksheet" Target="worksheets/sheet166.xml"/><Relationship Id="rId165" Type="http://schemas.openxmlformats.org/officeDocument/2006/relationships/worksheet" Target="worksheets/sheet165.xml"/><Relationship Id="rId164" Type="http://schemas.openxmlformats.org/officeDocument/2006/relationships/worksheet" Target="worksheets/sheet164.xml"/><Relationship Id="rId163" Type="http://schemas.openxmlformats.org/officeDocument/2006/relationships/worksheet" Target="worksheets/sheet163.xml"/><Relationship Id="rId162" Type="http://schemas.openxmlformats.org/officeDocument/2006/relationships/worksheet" Target="worksheets/sheet162.xml"/><Relationship Id="rId161" Type="http://schemas.openxmlformats.org/officeDocument/2006/relationships/worksheet" Target="worksheets/sheet161.xml"/><Relationship Id="rId160" Type="http://schemas.openxmlformats.org/officeDocument/2006/relationships/worksheet" Target="worksheets/sheet160.xml"/><Relationship Id="rId16" Type="http://schemas.openxmlformats.org/officeDocument/2006/relationships/worksheet" Target="worksheets/sheet16.xml"/><Relationship Id="rId159" Type="http://schemas.openxmlformats.org/officeDocument/2006/relationships/worksheet" Target="worksheets/sheet159.xml"/><Relationship Id="rId158" Type="http://schemas.openxmlformats.org/officeDocument/2006/relationships/worksheet" Target="worksheets/sheet158.xml"/><Relationship Id="rId157" Type="http://schemas.openxmlformats.org/officeDocument/2006/relationships/worksheet" Target="worksheets/sheet157.xml"/><Relationship Id="rId156" Type="http://schemas.openxmlformats.org/officeDocument/2006/relationships/worksheet" Target="worksheets/sheet156.xml"/><Relationship Id="rId155" Type="http://schemas.openxmlformats.org/officeDocument/2006/relationships/worksheet" Target="worksheets/sheet155.xml"/><Relationship Id="rId154" Type="http://schemas.openxmlformats.org/officeDocument/2006/relationships/worksheet" Target="worksheets/sheet154.xml"/><Relationship Id="rId153" Type="http://schemas.openxmlformats.org/officeDocument/2006/relationships/worksheet" Target="worksheets/sheet153.xml"/><Relationship Id="rId152" Type="http://schemas.openxmlformats.org/officeDocument/2006/relationships/worksheet" Target="worksheets/sheet152.xml"/><Relationship Id="rId151" Type="http://schemas.openxmlformats.org/officeDocument/2006/relationships/worksheet" Target="worksheets/sheet151.xml"/><Relationship Id="rId150" Type="http://schemas.openxmlformats.org/officeDocument/2006/relationships/worksheet" Target="worksheets/sheet150.xml"/><Relationship Id="rId15" Type="http://schemas.openxmlformats.org/officeDocument/2006/relationships/worksheet" Target="worksheets/sheet15.xml"/><Relationship Id="rId149" Type="http://schemas.openxmlformats.org/officeDocument/2006/relationships/worksheet" Target="worksheets/sheet149.xml"/><Relationship Id="rId148" Type="http://schemas.openxmlformats.org/officeDocument/2006/relationships/worksheet" Target="worksheets/sheet148.xml"/><Relationship Id="rId147" Type="http://schemas.openxmlformats.org/officeDocument/2006/relationships/worksheet" Target="worksheets/sheet147.xml"/><Relationship Id="rId146" Type="http://schemas.openxmlformats.org/officeDocument/2006/relationships/worksheet" Target="worksheets/sheet146.xml"/><Relationship Id="rId145" Type="http://schemas.openxmlformats.org/officeDocument/2006/relationships/worksheet" Target="worksheets/sheet145.xml"/><Relationship Id="rId144" Type="http://schemas.openxmlformats.org/officeDocument/2006/relationships/worksheet" Target="worksheets/sheet144.xml"/><Relationship Id="rId143" Type="http://schemas.openxmlformats.org/officeDocument/2006/relationships/worksheet" Target="worksheets/sheet143.xml"/><Relationship Id="rId142" Type="http://schemas.openxmlformats.org/officeDocument/2006/relationships/worksheet" Target="worksheets/sheet142.xml"/><Relationship Id="rId141" Type="http://schemas.openxmlformats.org/officeDocument/2006/relationships/worksheet" Target="worksheets/sheet141.xml"/><Relationship Id="rId140" Type="http://schemas.openxmlformats.org/officeDocument/2006/relationships/worksheet" Target="worksheets/sheet140.xml"/><Relationship Id="rId14" Type="http://schemas.openxmlformats.org/officeDocument/2006/relationships/worksheet" Target="worksheets/sheet14.xml"/><Relationship Id="rId139" Type="http://schemas.openxmlformats.org/officeDocument/2006/relationships/worksheet" Target="worksheets/sheet139.xml"/><Relationship Id="rId138" Type="http://schemas.openxmlformats.org/officeDocument/2006/relationships/worksheet" Target="worksheets/sheet138.xml"/><Relationship Id="rId137" Type="http://schemas.openxmlformats.org/officeDocument/2006/relationships/worksheet" Target="worksheets/sheet137.xml"/><Relationship Id="rId136" Type="http://schemas.openxmlformats.org/officeDocument/2006/relationships/worksheet" Target="worksheets/sheet136.xml"/><Relationship Id="rId135" Type="http://schemas.openxmlformats.org/officeDocument/2006/relationships/worksheet" Target="worksheets/sheet135.xml"/><Relationship Id="rId134" Type="http://schemas.openxmlformats.org/officeDocument/2006/relationships/worksheet" Target="worksheets/sheet134.xml"/><Relationship Id="rId133" Type="http://schemas.openxmlformats.org/officeDocument/2006/relationships/worksheet" Target="worksheets/sheet133.xml"/><Relationship Id="rId132" Type="http://schemas.openxmlformats.org/officeDocument/2006/relationships/worksheet" Target="worksheets/sheet132.xml"/><Relationship Id="rId131" Type="http://schemas.openxmlformats.org/officeDocument/2006/relationships/worksheet" Target="worksheets/sheet131.xml"/><Relationship Id="rId130" Type="http://schemas.openxmlformats.org/officeDocument/2006/relationships/worksheet" Target="worksheets/sheet130.xml"/><Relationship Id="rId13" Type="http://schemas.openxmlformats.org/officeDocument/2006/relationships/worksheet" Target="worksheets/sheet13.xml"/><Relationship Id="rId129" Type="http://schemas.openxmlformats.org/officeDocument/2006/relationships/worksheet" Target="worksheets/sheet129.xml"/><Relationship Id="rId128" Type="http://schemas.openxmlformats.org/officeDocument/2006/relationships/worksheet" Target="worksheets/sheet128.xml"/><Relationship Id="rId127" Type="http://schemas.openxmlformats.org/officeDocument/2006/relationships/worksheet" Target="worksheets/sheet127.xml"/><Relationship Id="rId126" Type="http://schemas.openxmlformats.org/officeDocument/2006/relationships/worksheet" Target="worksheets/sheet126.xml"/><Relationship Id="rId125" Type="http://schemas.openxmlformats.org/officeDocument/2006/relationships/worksheet" Target="worksheets/sheet125.xml"/><Relationship Id="rId124" Type="http://schemas.openxmlformats.org/officeDocument/2006/relationships/worksheet" Target="worksheets/sheet124.xml"/><Relationship Id="rId123" Type="http://schemas.openxmlformats.org/officeDocument/2006/relationships/worksheet" Target="worksheets/sheet123.xml"/><Relationship Id="rId122" Type="http://schemas.openxmlformats.org/officeDocument/2006/relationships/worksheet" Target="worksheets/sheet122.xml"/><Relationship Id="rId121" Type="http://schemas.openxmlformats.org/officeDocument/2006/relationships/worksheet" Target="worksheets/sheet121.xml"/><Relationship Id="rId120" Type="http://schemas.openxmlformats.org/officeDocument/2006/relationships/worksheet" Target="worksheets/sheet120.xml"/><Relationship Id="rId12" Type="http://schemas.openxmlformats.org/officeDocument/2006/relationships/worksheet" Target="worksheets/sheet12.xml"/><Relationship Id="rId119" Type="http://schemas.openxmlformats.org/officeDocument/2006/relationships/worksheet" Target="worksheets/sheet119.xml"/><Relationship Id="rId118" Type="http://schemas.openxmlformats.org/officeDocument/2006/relationships/worksheet" Target="worksheets/sheet118.xml"/><Relationship Id="rId117" Type="http://schemas.openxmlformats.org/officeDocument/2006/relationships/worksheet" Target="worksheets/sheet117.xml"/><Relationship Id="rId116" Type="http://schemas.openxmlformats.org/officeDocument/2006/relationships/worksheet" Target="worksheets/sheet116.xml"/><Relationship Id="rId115" Type="http://schemas.openxmlformats.org/officeDocument/2006/relationships/worksheet" Target="worksheets/sheet115.xml"/><Relationship Id="rId114" Type="http://schemas.openxmlformats.org/officeDocument/2006/relationships/worksheet" Target="worksheets/sheet114.xml"/><Relationship Id="rId113" Type="http://schemas.openxmlformats.org/officeDocument/2006/relationships/worksheet" Target="worksheets/sheet113.xml"/><Relationship Id="rId112" Type="http://schemas.openxmlformats.org/officeDocument/2006/relationships/worksheet" Target="worksheets/sheet112.xml"/><Relationship Id="rId111" Type="http://schemas.openxmlformats.org/officeDocument/2006/relationships/worksheet" Target="worksheets/sheet111.xml"/><Relationship Id="rId110" Type="http://schemas.openxmlformats.org/officeDocument/2006/relationships/worksheet" Target="worksheets/sheet110.xml"/><Relationship Id="rId11" Type="http://schemas.openxmlformats.org/officeDocument/2006/relationships/worksheet" Target="worksheets/sheet11.xml"/><Relationship Id="rId109" Type="http://schemas.openxmlformats.org/officeDocument/2006/relationships/worksheet" Target="worksheets/sheet109.xml"/><Relationship Id="rId108" Type="http://schemas.openxmlformats.org/officeDocument/2006/relationships/worksheet" Target="worksheets/sheet108.xml"/><Relationship Id="rId107" Type="http://schemas.openxmlformats.org/officeDocument/2006/relationships/worksheet" Target="worksheets/sheet107.xml"/><Relationship Id="rId106" Type="http://schemas.openxmlformats.org/officeDocument/2006/relationships/worksheet" Target="worksheets/sheet106.xml"/><Relationship Id="rId105" Type="http://schemas.openxmlformats.org/officeDocument/2006/relationships/worksheet" Target="worksheets/sheet105.xml"/><Relationship Id="rId104" Type="http://schemas.openxmlformats.org/officeDocument/2006/relationships/worksheet" Target="worksheets/sheet104.xml"/><Relationship Id="rId103" Type="http://schemas.openxmlformats.org/officeDocument/2006/relationships/worksheet" Target="worksheets/sheet103.xml"/><Relationship Id="rId102" Type="http://schemas.openxmlformats.org/officeDocument/2006/relationships/worksheet" Target="worksheets/sheet102.xml"/><Relationship Id="rId101" Type="http://schemas.openxmlformats.org/officeDocument/2006/relationships/worksheet" Target="worksheets/sheet101.xml"/><Relationship Id="rId100" Type="http://schemas.openxmlformats.org/officeDocument/2006/relationships/worksheet" Target="worksheets/sheet100.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1" customFormat="1" spans="1:8">
      <c r="A1" s="1">
        <f>SUM(B1:AZ1)</f>
        <v>2.08333333333333</v>
      </c>
      <c r="B1" s="1">
        <f t="shared" ref="B1:H1" si="0">COUNTA(B2:B2050)/COLUMN()</f>
        <v>0.5</v>
      </c>
      <c r="C1" s="1">
        <f t="shared" si="0"/>
        <v>1.33333333333333</v>
      </c>
      <c r="D1" s="1">
        <f t="shared" si="0"/>
        <v>0.25</v>
      </c>
      <c r="E1" s="1">
        <f t="shared" si="0"/>
        <v>0</v>
      </c>
      <c r="F1" s="1">
        <f t="shared" si="0"/>
        <v>0</v>
      </c>
      <c r="G1" s="1">
        <f t="shared" si="0"/>
        <v>0</v>
      </c>
      <c r="H1" s="1">
        <f t="shared" si="0"/>
        <v>0</v>
      </c>
    </row>
    <row r="2" spans="1:8">
      <c r="A2" s="4">
        <v>20240225</v>
      </c>
      <c r="B2" t="s">
        <v>0</v>
      </c>
      <c r="C2" s="4"/>
    </row>
    <row r="3" spans="1:8">
      <c r="C3" s="4" t="s">
        <v>1</v>
      </c>
    </row>
    <row r="4" spans="1:8">
      <c r="C4" s="4" t="s">
        <v>2</v>
      </c>
    </row>
    <row r="5" spans="1:8">
      <c r="C5" t="s">
        <v>3</v>
      </c>
    </row>
    <row r="6" spans="1:8">
      <c r="C6" s="4" t="s">
        <v>4</v>
      </c>
    </row>
    <row r="7" spans="1:8">
      <c r="D7" t="s">
        <v>5</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S8" sqref="S8"/>
    </sheetView>
  </sheetViews>
  <sheetFormatPr defaultColWidth="8.88888888888889" defaultRowHeight="14.4" outlineLevelCol="7"/>
  <cols>
    <col min="1" max="1" width="9.66666666666667"/>
  </cols>
  <sheetData>
    <row r="1" s="1" customFormat="1" spans="1:8">
      <c r="A1" s="1">
        <f>SUM(B1:AZ1)</f>
        <v>4.25</v>
      </c>
      <c r="B1" s="1">
        <f t="shared" ref="B1:H1" si="0">COUNTA(B2:B2050)/COLUMN()</f>
        <v>1</v>
      </c>
      <c r="C1" s="1">
        <f t="shared" si="0"/>
        <v>2</v>
      </c>
      <c r="D1" s="1">
        <f t="shared" si="0"/>
        <v>1.25</v>
      </c>
      <c r="E1" s="1">
        <f t="shared" si="0"/>
        <v>0</v>
      </c>
      <c r="F1" s="1">
        <f t="shared" si="0"/>
        <v>0</v>
      </c>
      <c r="G1" s="1">
        <f t="shared" si="0"/>
        <v>0</v>
      </c>
      <c r="H1" s="1">
        <f t="shared" si="0"/>
        <v>0</v>
      </c>
    </row>
    <row r="2" spans="1:8">
      <c r="A2" s="4">
        <v>20240229</v>
      </c>
      <c r="B2" t="s">
        <v>6</v>
      </c>
      <c r="C2" s="4"/>
    </row>
    <row r="3" spans="1:8">
      <c r="C3" t="s">
        <v>7</v>
      </c>
    </row>
    <row r="4" spans="1:8">
      <c r="C4" t="s">
        <v>8</v>
      </c>
    </row>
    <row r="5" spans="1:8">
      <c r="B5" t="s">
        <v>9</v>
      </c>
    </row>
    <row r="6" spans="1:8">
      <c r="C6" t="s">
        <v>10</v>
      </c>
    </row>
    <row r="7" spans="1:8">
      <c r="C7" t="s">
        <v>11</v>
      </c>
      <c r="D7" t="s">
        <v>12</v>
      </c>
    </row>
    <row r="8" spans="1:8">
      <c r="D8" t="s">
        <v>13</v>
      </c>
    </row>
    <row r="9" spans="1:8">
      <c r="D9" t="s">
        <v>14</v>
      </c>
    </row>
    <row r="10" spans="1:8">
      <c r="D10" t="s">
        <v>15</v>
      </c>
    </row>
    <row r="11" spans="1:8">
      <c r="D11" t="s">
        <v>16</v>
      </c>
    </row>
    <row r="12" spans="1:8">
      <c r="C12" t="s">
        <v>17</v>
      </c>
    </row>
    <row r="13" spans="1:8">
      <c r="C13" t="s">
        <v>18</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B2" sqref="B2"/>
    </sheetView>
  </sheetViews>
  <sheetFormatPr defaultColWidth="9.66666666666667" defaultRowHeight="14.4" outlineLevelCol="7"/>
  <cols>
    <col min="1" max="16384" width="9.66666666666667" customWidth="1"/>
  </cols>
  <sheetData>
    <row r="1" s="1" customFormat="1" spans="1:8">
      <c r="A1" s="1">
        <f>SUM(B1:AZ1)</f>
        <v>5.66666666666667</v>
      </c>
      <c r="B1" s="1">
        <f t="shared" ref="B1:H1" si="0">COUNTA(B2:B2050)/COLUMN()</f>
        <v>3</v>
      </c>
      <c r="C1" s="1">
        <f t="shared" si="0"/>
        <v>2.66666666666667</v>
      </c>
      <c r="D1" s="1">
        <f t="shared" si="0"/>
        <v>0</v>
      </c>
      <c r="E1" s="1">
        <f t="shared" si="0"/>
        <v>0</v>
      </c>
      <c r="F1" s="1">
        <f t="shared" si="0"/>
        <v>0</v>
      </c>
      <c r="G1" s="1">
        <f t="shared" si="0"/>
        <v>0</v>
      </c>
      <c r="H1" s="1">
        <f t="shared" si="0"/>
        <v>0</v>
      </c>
    </row>
    <row r="2" spans="1:8">
      <c r="A2" s="4">
        <v>20240302</v>
      </c>
      <c r="B2" s="4" t="s">
        <v>19</v>
      </c>
      <c r="C2" s="4"/>
    </row>
    <row r="3" spans="1:8">
      <c r="A3" s="4"/>
      <c r="B3" t="s">
        <v>20</v>
      </c>
    </row>
    <row r="4" spans="1:8">
      <c r="A4" s="4"/>
      <c r="C4" t="s">
        <v>21</v>
      </c>
    </row>
    <row r="5" spans="1:8">
      <c r="A5" s="4"/>
      <c r="C5" t="s">
        <v>22</v>
      </c>
    </row>
    <row r="6" spans="1:8">
      <c r="A6" s="4"/>
      <c r="C6" t="s">
        <v>23</v>
      </c>
    </row>
    <row r="7" spans="1:8">
      <c r="A7" s="4"/>
      <c r="C7" t="s">
        <v>24</v>
      </c>
    </row>
    <row r="8" spans="1:8">
      <c r="A8" s="4"/>
      <c r="C8" t="s">
        <v>25</v>
      </c>
    </row>
    <row r="9" spans="1:8">
      <c r="A9" s="4"/>
      <c r="B9" s="4" t="s">
        <v>26</v>
      </c>
      <c r="C9" s="4"/>
    </row>
    <row r="10" s="5" customFormat="1" spans="1:8">
      <c r="B10" s="5" t="s">
        <v>27</v>
      </c>
    </row>
    <row r="11" s="5" customFormat="1" spans="1:8">
      <c r="C11" s="5" t="s">
        <v>28</v>
      </c>
    </row>
    <row r="12" s="5" customFormat="1" spans="1:8">
      <c r="C12" s="5" t="s">
        <v>29</v>
      </c>
    </row>
    <row r="13" s="5" customFormat="1" spans="1:8">
      <c r="C13" s="5" t="s">
        <v>30</v>
      </c>
    </row>
    <row r="14" spans="1:8">
      <c r="A14" s="4"/>
      <c r="B14" s="4" t="s">
        <v>31</v>
      </c>
      <c r="C14" s="4"/>
    </row>
    <row r="15" spans="1:8">
      <c r="A15" s="4"/>
      <c r="B15" s="4" t="s">
        <v>32</v>
      </c>
      <c r="C15" s="4"/>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8" sqref="C8"/>
    </sheetView>
  </sheetViews>
  <sheetFormatPr defaultColWidth="8.88888888888889" defaultRowHeight="14.4" outlineLevelCol="7"/>
  <cols>
    <col min="1" max="1" width="9.66666666666667"/>
  </cols>
  <sheetData>
    <row r="1" s="1" customFormat="1" spans="1:8">
      <c r="A1" s="1">
        <f>SUM(B1:AZ1)</f>
        <v>4</v>
      </c>
      <c r="B1" s="1">
        <f t="shared" ref="B1:H1" si="0">COUNTA(B2:B2041)/COLUMN()</f>
        <v>3</v>
      </c>
      <c r="C1" s="1">
        <f t="shared" si="0"/>
        <v>1</v>
      </c>
      <c r="D1" s="1">
        <f t="shared" si="0"/>
        <v>0</v>
      </c>
      <c r="E1" s="1">
        <f t="shared" si="0"/>
        <v>0</v>
      </c>
      <c r="F1" s="1">
        <f t="shared" si="0"/>
        <v>0</v>
      </c>
      <c r="G1" s="1">
        <f t="shared" si="0"/>
        <v>0</v>
      </c>
      <c r="H1" s="1">
        <f t="shared" si="0"/>
        <v>0</v>
      </c>
    </row>
    <row r="2" spans="1:8">
      <c r="A2" s="4">
        <v>20240303</v>
      </c>
      <c r="B2" s="4" t="s">
        <v>33</v>
      </c>
      <c r="C2" s="4"/>
    </row>
    <row r="3" spans="1:8">
      <c r="A3" s="4"/>
      <c r="B3" s="4" t="s">
        <v>34</v>
      </c>
      <c r="C3" s="4"/>
    </row>
    <row r="4" spans="1:8">
      <c r="A4" s="4"/>
      <c r="B4" s="4" t="s">
        <v>35</v>
      </c>
      <c r="C4" s="4"/>
    </row>
    <row r="5" spans="1:8">
      <c r="A5" s="4"/>
      <c r="B5" s="4" t="s">
        <v>36</v>
      </c>
      <c r="C5" s="4"/>
    </row>
    <row r="6" spans="1:8">
      <c r="A6" s="4"/>
      <c r="B6" s="4"/>
      <c r="C6" s="4" t="s">
        <v>37</v>
      </c>
    </row>
    <row r="7" spans="1:8">
      <c r="A7" s="4"/>
      <c r="B7" s="4"/>
      <c r="C7" s="4" t="s">
        <v>38</v>
      </c>
    </row>
    <row r="8" spans="1:8">
      <c r="A8" s="4"/>
      <c r="B8" s="4"/>
      <c r="C8" s="4" t="s">
        <v>39</v>
      </c>
    </row>
    <row r="9" spans="1:8">
      <c r="A9" s="4"/>
      <c r="B9" s="4" t="s">
        <v>40</v>
      </c>
      <c r="C9" s="4"/>
    </row>
    <row r="10" spans="1:8">
      <c r="A10" s="4"/>
      <c r="B10" s="4" t="s">
        <v>41</v>
      </c>
      <c r="C10" s="4"/>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D19" sqref="D19"/>
    </sheetView>
  </sheetViews>
  <sheetFormatPr defaultColWidth="8.88888888888889" defaultRowHeight="14.4" outlineLevelCol="7"/>
  <cols>
    <col min="1" max="1" width="9.66666666666667"/>
  </cols>
  <sheetData>
    <row r="1" s="1" customFormat="1" spans="1:8">
      <c r="A1" s="1">
        <f>SUM(B1:AZ1)</f>
        <v>6.75</v>
      </c>
      <c r="B1" s="1">
        <f t="shared" ref="B1:H1" si="0">COUNTA(B2:B2051)/COLUMN()</f>
        <v>2.5</v>
      </c>
      <c r="C1" s="1">
        <f t="shared" si="0"/>
        <v>4</v>
      </c>
      <c r="D1" s="1">
        <f t="shared" si="0"/>
        <v>0.25</v>
      </c>
      <c r="E1" s="1">
        <f t="shared" si="0"/>
        <v>0</v>
      </c>
      <c r="F1" s="1">
        <f t="shared" si="0"/>
        <v>0</v>
      </c>
      <c r="G1" s="1">
        <f t="shared" si="0"/>
        <v>0</v>
      </c>
      <c r="H1" s="1">
        <f t="shared" si="0"/>
        <v>0</v>
      </c>
    </row>
    <row r="2" spans="1:8">
      <c r="A2" s="4">
        <v>20240304</v>
      </c>
      <c r="B2" s="4" t="s">
        <v>42</v>
      </c>
      <c r="C2" s="4"/>
    </row>
    <row r="3" spans="1:8">
      <c r="A3" s="4"/>
      <c r="B3" s="4" t="s">
        <v>43</v>
      </c>
      <c r="C3" s="4"/>
    </row>
    <row r="4" spans="1:8">
      <c r="A4" s="4"/>
      <c r="B4" s="4"/>
      <c r="C4" s="4" t="s">
        <v>44</v>
      </c>
    </row>
    <row r="5" spans="1:8">
      <c r="A5" s="4"/>
      <c r="B5" s="4"/>
      <c r="C5" s="4" t="s">
        <v>45</v>
      </c>
    </row>
    <row r="6" spans="1:8">
      <c r="A6" s="4"/>
      <c r="B6" s="4"/>
      <c r="C6" s="4" t="s">
        <v>46</v>
      </c>
    </row>
    <row r="7" spans="1:8">
      <c r="A7" s="4"/>
      <c r="B7" s="4"/>
      <c r="C7" s="4" t="s">
        <v>47</v>
      </c>
    </row>
    <row r="8" spans="1:8">
      <c r="A8" s="4"/>
      <c r="B8" s="4"/>
      <c r="C8" s="4" t="s">
        <v>48</v>
      </c>
    </row>
    <row r="9" spans="1:8">
      <c r="A9" s="4"/>
      <c r="B9" s="4" t="s">
        <v>49</v>
      </c>
      <c r="C9" s="4"/>
    </row>
    <row r="10" spans="1:8">
      <c r="A10" s="4"/>
      <c r="B10" s="4" t="s">
        <v>50</v>
      </c>
      <c r="C10" s="4"/>
    </row>
    <row r="11" spans="1:8">
      <c r="A11" s="4"/>
      <c r="B11" s="4"/>
      <c r="C11" s="4" t="s">
        <v>51</v>
      </c>
    </row>
    <row r="12" spans="1:8">
      <c r="A12" s="4"/>
      <c r="B12" s="4"/>
      <c r="C12" s="4" t="s">
        <v>52</v>
      </c>
    </row>
    <row r="13" spans="1:8">
      <c r="A13" s="4"/>
      <c r="B13" s="4" t="s">
        <v>53</v>
      </c>
      <c r="C13" s="4"/>
    </row>
    <row r="14" spans="1:8">
      <c r="A14" s="4"/>
      <c r="B14" s="4"/>
      <c r="C14" s="4" t="s">
        <v>54</v>
      </c>
    </row>
    <row r="15" spans="1:8">
      <c r="A15" s="4"/>
      <c r="B15" s="4"/>
      <c r="C15" s="4" t="s">
        <v>55</v>
      </c>
    </row>
    <row r="16" spans="1:8">
      <c r="A16" s="4"/>
      <c r="B16" s="4"/>
      <c r="C16" s="4" t="s">
        <v>56</v>
      </c>
    </row>
    <row r="17" spans="1:4">
      <c r="A17" s="4"/>
      <c r="B17" s="4"/>
      <c r="C17" s="4" t="s">
        <v>57</v>
      </c>
    </row>
    <row r="18" spans="1:4">
      <c r="A18" s="4"/>
      <c r="C18" s="4" t="s">
        <v>58</v>
      </c>
    </row>
    <row r="19" spans="1:4">
      <c r="A19" s="4"/>
      <c r="D19" s="4" t="s">
        <v>59</v>
      </c>
    </row>
    <row r="20" spans="1:4">
      <c r="D20" s="4"/>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9"/>
  <sheetViews>
    <sheetView workbookViewId="0">
      <selection activeCell="C3" sqref="C3"/>
    </sheetView>
  </sheetViews>
  <sheetFormatPr defaultColWidth="8.88888888888889" defaultRowHeight="14.4"/>
  <cols>
    <col min="1" max="1" width="9.66666666666667"/>
  </cols>
  <sheetData>
    <row r="1" s="1" customFormat="1" spans="1:15">
      <c r="A1" s="1">
        <f>SUM(B1:AZ1)</f>
        <v>2.83333333333333</v>
      </c>
      <c r="B1" s="1">
        <f t="shared" ref="B1:H1" si="0">COUNTA(B2:B2051)/COLUMN()</f>
        <v>0.5</v>
      </c>
      <c r="C1" s="1">
        <f t="shared" si="0"/>
        <v>2.33333333333333</v>
      </c>
      <c r="D1" s="1">
        <f t="shared" si="0"/>
        <v>0</v>
      </c>
      <c r="E1" s="1">
        <f t="shared" si="0"/>
        <v>0</v>
      </c>
      <c r="F1" s="1">
        <f t="shared" si="0"/>
        <v>0</v>
      </c>
      <c r="G1" s="1">
        <f t="shared" si="0"/>
        <v>0</v>
      </c>
      <c r="H1" s="1">
        <f t="shared" si="0"/>
        <v>0</v>
      </c>
      <c r="N1"/>
      <c r="O1"/>
    </row>
    <row r="2" spans="1:15">
      <c r="A2" s="4">
        <v>20240306</v>
      </c>
      <c r="B2" s="4" t="s">
        <v>60</v>
      </c>
      <c r="C2" s="4"/>
    </row>
    <row r="3" spans="1:15">
      <c r="C3" t="s">
        <v>61</v>
      </c>
    </row>
    <row r="4" spans="1:15">
      <c r="C4" t="s">
        <v>62</v>
      </c>
    </row>
    <row r="5" spans="1:15">
      <c r="C5" t="s">
        <v>63</v>
      </c>
    </row>
    <row r="6" spans="1:15">
      <c r="C6" t="s">
        <v>64</v>
      </c>
    </row>
    <row r="7" spans="1:15">
      <c r="C7" t="s">
        <v>65</v>
      </c>
    </row>
    <row r="8" spans="1:15">
      <c r="C8" t="s">
        <v>66</v>
      </c>
    </row>
    <row r="9" spans="1:15">
      <c r="C9" t="s">
        <v>67</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5"/>
  <sheetViews>
    <sheetView workbookViewId="0">
      <selection activeCell="C7" sqref="C7"/>
    </sheetView>
  </sheetViews>
  <sheetFormatPr defaultColWidth="8.88888888888889" defaultRowHeight="14.4"/>
  <cols>
    <col min="1" max="1" width="9.66666666666667"/>
  </cols>
  <sheetData>
    <row r="1" s="1" customFormat="1" spans="1:15">
      <c r="A1" s="1">
        <f>SUM(B1:AZ1)</f>
        <v>5</v>
      </c>
      <c r="B1" s="1">
        <f t="shared" ref="B1:H1" si="0">COUNTA(B2:B2051)/COLUMN()</f>
        <v>1</v>
      </c>
      <c r="C1" s="1">
        <f t="shared" si="0"/>
        <v>4</v>
      </c>
      <c r="D1" s="1">
        <f t="shared" si="0"/>
        <v>0</v>
      </c>
      <c r="E1" s="1">
        <f t="shared" si="0"/>
        <v>0</v>
      </c>
      <c r="F1" s="1">
        <f t="shared" si="0"/>
        <v>0</v>
      </c>
      <c r="G1" s="1">
        <f t="shared" si="0"/>
        <v>0</v>
      </c>
      <c r="H1" s="1">
        <f t="shared" si="0"/>
        <v>0</v>
      </c>
      <c r="N1"/>
      <c r="O1"/>
    </row>
    <row r="2" spans="1:15">
      <c r="A2" s="4">
        <v>20240307</v>
      </c>
      <c r="B2" t="s">
        <v>68</v>
      </c>
    </row>
    <row r="3" spans="1:15">
      <c r="C3" t="s">
        <v>69</v>
      </c>
    </row>
    <row r="4" spans="1:15">
      <c r="C4" t="s">
        <v>70</v>
      </c>
    </row>
    <row r="5" spans="1:15">
      <c r="C5" t="s">
        <v>71</v>
      </c>
    </row>
    <row r="6" spans="1:15">
      <c r="C6" t="s">
        <v>72</v>
      </c>
    </row>
    <row r="7" spans="1:15">
      <c r="C7" t="s">
        <v>73</v>
      </c>
    </row>
    <row r="8" spans="1:15">
      <c r="B8" t="s">
        <v>74</v>
      </c>
    </row>
    <row r="9" spans="1:15">
      <c r="C9" t="s">
        <v>75</v>
      </c>
    </row>
    <row r="10" spans="1:15">
      <c r="C10" t="s">
        <v>76</v>
      </c>
    </row>
    <row r="11" spans="1:15">
      <c r="C11" t="s">
        <v>77</v>
      </c>
    </row>
    <row r="12" spans="1:15">
      <c r="C12" t="s">
        <v>78</v>
      </c>
    </row>
    <row r="13" spans="1:15">
      <c r="C13" t="s">
        <v>79</v>
      </c>
    </row>
    <row r="14" spans="1:15">
      <c r="C14" t="s">
        <v>80</v>
      </c>
    </row>
    <row r="15" spans="1:15">
      <c r="C15" t="s">
        <v>81</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7" sqref="C7"/>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COUNTA(B2:B2048)/COLUMN()</f>
        <v>2</v>
      </c>
      <c r="C1" s="1">
        <f t="shared" si="0"/>
        <v>0.666666666666667</v>
      </c>
      <c r="D1" s="1">
        <f t="shared" si="0"/>
        <v>0</v>
      </c>
      <c r="E1" s="1">
        <f t="shared" si="0"/>
        <v>0</v>
      </c>
      <c r="F1" s="1">
        <f t="shared" si="0"/>
        <v>0</v>
      </c>
      <c r="G1" s="1">
        <f t="shared" si="0"/>
        <v>0</v>
      </c>
      <c r="H1" s="1">
        <f t="shared" si="0"/>
        <v>0</v>
      </c>
    </row>
    <row r="2" spans="1:8">
      <c r="A2" s="4">
        <v>20240308</v>
      </c>
      <c r="B2" s="4" t="s">
        <v>82</v>
      </c>
      <c r="C2" s="4"/>
    </row>
    <row r="3" spans="1:8">
      <c r="A3" s="4"/>
      <c r="B3" s="4" t="s">
        <v>83</v>
      </c>
      <c r="C3" s="4"/>
    </row>
    <row r="4" spans="1:8">
      <c r="A4" s="4"/>
      <c r="B4" s="4" t="s">
        <v>84</v>
      </c>
      <c r="C4" s="4"/>
    </row>
    <row r="5" spans="1:8">
      <c r="A5" s="4"/>
      <c r="B5" s="4" t="s">
        <v>85</v>
      </c>
      <c r="C5" s="4"/>
    </row>
    <row r="6" spans="1:8">
      <c r="A6" s="4"/>
      <c r="B6" s="4"/>
      <c r="C6" s="4" t="s">
        <v>86</v>
      </c>
    </row>
    <row r="7" spans="1:8">
      <c r="A7" s="4"/>
      <c r="B7" s="4"/>
      <c r="C7" s="4" t="s">
        <v>87</v>
      </c>
    </row>
    <row r="8" spans="1:8">
      <c r="A8" s="4"/>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B21" sqref="B21"/>
    </sheetView>
  </sheetViews>
  <sheetFormatPr defaultColWidth="8.88888888888889" defaultRowHeight="14.4" outlineLevelCol="7"/>
  <cols>
    <col min="1" max="1" width="9.66666666666667"/>
  </cols>
  <sheetData>
    <row r="1" s="1" customFormat="1" spans="1:8">
      <c r="A1" s="1">
        <f>SUM(B1:AZ1)</f>
        <v>8.16666666666667</v>
      </c>
      <c r="B1" s="1">
        <f t="shared" ref="B1:H1" si="0">COUNTA(B2:B2052)/COLUMN()</f>
        <v>4.5</v>
      </c>
      <c r="C1" s="1">
        <f t="shared" si="0"/>
        <v>3.66666666666667</v>
      </c>
      <c r="D1" s="1">
        <f t="shared" si="0"/>
        <v>0</v>
      </c>
      <c r="E1" s="1">
        <f t="shared" si="0"/>
        <v>0</v>
      </c>
      <c r="F1" s="1">
        <f t="shared" si="0"/>
        <v>0</v>
      </c>
      <c r="G1" s="1">
        <f t="shared" si="0"/>
        <v>0</v>
      </c>
      <c r="H1" s="1">
        <f t="shared" si="0"/>
        <v>0</v>
      </c>
    </row>
    <row r="2" spans="1:8">
      <c r="A2">
        <v>20240309</v>
      </c>
      <c r="B2" s="2" t="s">
        <v>88</v>
      </c>
    </row>
    <row r="3" spans="1:8">
      <c r="B3" t="s">
        <v>89</v>
      </c>
    </row>
    <row r="4" spans="1:8">
      <c r="B4" t="s">
        <v>90</v>
      </c>
    </row>
    <row r="5" spans="1:8">
      <c r="C5" t="s">
        <v>91</v>
      </c>
    </row>
    <row r="6" spans="1:8">
      <c r="C6" t="s">
        <v>92</v>
      </c>
    </row>
    <row r="7" spans="1:8">
      <c r="C7" t="s">
        <v>93</v>
      </c>
    </row>
    <row r="8" spans="1:8">
      <c r="C8" t="s">
        <v>94</v>
      </c>
    </row>
    <row r="9" spans="1:8">
      <c r="B9" t="s">
        <v>95</v>
      </c>
    </row>
    <row r="10" spans="1:8">
      <c r="B10" t="s">
        <v>96</v>
      </c>
    </row>
    <row r="11" spans="1:8">
      <c r="C11" t="s">
        <v>97</v>
      </c>
    </row>
    <row r="12" spans="1:8">
      <c r="C12" t="s">
        <v>98</v>
      </c>
    </row>
    <row r="13" spans="1:8">
      <c r="B13" t="s">
        <v>99</v>
      </c>
    </row>
    <row r="14" spans="1:8">
      <c r="C14" t="s">
        <v>97</v>
      </c>
    </row>
    <row r="15" spans="1:8">
      <c r="C15" t="s">
        <v>100</v>
      </c>
    </row>
    <row r="16" spans="1:8">
      <c r="C16" t="s">
        <v>101</v>
      </c>
    </row>
    <row r="17" spans="2:3">
      <c r="C17" t="s">
        <v>98</v>
      </c>
    </row>
    <row r="18" spans="2:3">
      <c r="B18" t="s">
        <v>102</v>
      </c>
    </row>
    <row r="19" spans="2:3">
      <c r="C19" t="s">
        <v>103</v>
      </c>
    </row>
    <row r="20" spans="2:3">
      <c r="B20" s="2" t="s">
        <v>104</v>
      </c>
    </row>
    <row r="21" spans="2:3">
      <c r="B21" s="2" t="s">
        <v>105</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7" sqref="C7"/>
    </sheetView>
  </sheetViews>
  <sheetFormatPr defaultColWidth="8.88888888888889" defaultRowHeight="14.4" outlineLevelCol="7"/>
  <cols>
    <col min="1" max="1" width="9.66666666666667"/>
  </cols>
  <sheetData>
    <row r="1" s="1" customFormat="1" spans="1:8">
      <c r="A1" s="1">
        <f>SUM(B1:AZ1)</f>
        <v>3.33333333333333</v>
      </c>
      <c r="B1" s="1">
        <f t="shared" ref="B1:H1" si="0">COUNTA(B2:B2048)/COLUMN()</f>
        <v>1.5</v>
      </c>
      <c r="C1" s="1">
        <f t="shared" si="0"/>
        <v>1.33333333333333</v>
      </c>
      <c r="D1" s="1">
        <f t="shared" si="0"/>
        <v>0.5</v>
      </c>
      <c r="E1" s="1">
        <f t="shared" si="0"/>
        <v>0</v>
      </c>
      <c r="F1" s="1">
        <f t="shared" si="0"/>
        <v>0</v>
      </c>
      <c r="G1" s="1">
        <f t="shared" si="0"/>
        <v>0</v>
      </c>
      <c r="H1" s="1">
        <f t="shared" si="0"/>
        <v>0</v>
      </c>
    </row>
    <row r="2" spans="1:8">
      <c r="A2">
        <v>20240310</v>
      </c>
      <c r="B2" t="s">
        <v>106</v>
      </c>
    </row>
    <row r="3" spans="1:8">
      <c r="C3" t="s">
        <v>107</v>
      </c>
    </row>
    <row r="4" spans="1:8">
      <c r="B4" t="s">
        <v>108</v>
      </c>
    </row>
    <row r="5" spans="1:8">
      <c r="C5" t="s">
        <v>109</v>
      </c>
    </row>
    <row r="6" spans="1:8">
      <c r="B6" t="s">
        <v>110</v>
      </c>
    </row>
    <row r="7" spans="1:8">
      <c r="C7" t="s">
        <v>111</v>
      </c>
    </row>
    <row r="8" spans="1:8">
      <c r="D8" t="s">
        <v>112</v>
      </c>
    </row>
    <row r="9" spans="1:8">
      <c r="C9" t="s">
        <v>113</v>
      </c>
    </row>
    <row r="10" spans="1:8">
      <c r="D10" t="s">
        <v>114</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B4" sqref="B4"/>
    </sheetView>
  </sheetViews>
  <sheetFormatPr defaultColWidth="8.88888888888889" defaultRowHeight="14.4" outlineLevelRow="5" outlineLevelCol="7"/>
  <cols>
    <col min="1" max="1" width="9.66666666666667"/>
  </cols>
  <sheetData>
    <row r="1" s="7" customFormat="1" spans="1:8">
      <c r="A1" s="7">
        <f>SUM(B1:AZ1)</f>
        <v>2.5</v>
      </c>
      <c r="B1" s="7">
        <f>COUNTA(B2:B2047)/COLUMN()</f>
        <v>2.5</v>
      </c>
      <c r="C1" s="7">
        <f t="shared" ref="B1:H1" si="0">COUNTA(C2:C2047)/COLUMN()</f>
        <v>0</v>
      </c>
      <c r="D1" s="7">
        <f t="shared" si="0"/>
        <v>0</v>
      </c>
      <c r="E1" s="7">
        <f t="shared" si="0"/>
        <v>0</v>
      </c>
      <c r="F1" s="7">
        <f t="shared" si="0"/>
        <v>0</v>
      </c>
      <c r="G1" s="7">
        <f t="shared" si="0"/>
        <v>0</v>
      </c>
      <c r="H1" s="7">
        <f t="shared" si="0"/>
        <v>0</v>
      </c>
    </row>
    <row r="2" spans="1:8">
      <c r="A2">
        <v>20240311</v>
      </c>
      <c r="B2" t="s">
        <v>115</v>
      </c>
    </row>
    <row r="3" spans="1:8">
      <c r="B3" t="s">
        <v>116</v>
      </c>
    </row>
    <row r="4" spans="1:8">
      <c r="B4" t="s">
        <v>117</v>
      </c>
    </row>
    <row r="5" spans="1:8">
      <c r="B5" t="s">
        <v>118</v>
      </c>
    </row>
    <row r="6" spans="1:8">
      <c r="B6" t="s">
        <v>119</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6" sqref="C6"/>
    </sheetView>
  </sheetViews>
  <sheetFormatPr defaultColWidth="8.88888888888889" defaultRowHeight="14.4" outlineLevelCol="7"/>
  <sheetData>
    <row r="1" s="1" customFormat="1" spans="1:8">
      <c r="A1" s="1">
        <f>SUM(B1:AZ1)</f>
        <v>3.5</v>
      </c>
      <c r="B1" s="1">
        <f t="shared" ref="B1:H1" si="0">COUNTA(B2:B2048)/COLUMN()</f>
        <v>2.5</v>
      </c>
      <c r="C1" s="1">
        <f t="shared" si="0"/>
        <v>1</v>
      </c>
      <c r="D1" s="1">
        <f t="shared" si="0"/>
        <v>0</v>
      </c>
      <c r="E1" s="1">
        <f t="shared" si="0"/>
        <v>0</v>
      </c>
      <c r="F1" s="1">
        <f t="shared" si="0"/>
        <v>0</v>
      </c>
      <c r="G1" s="1">
        <f t="shared" si="0"/>
        <v>0</v>
      </c>
      <c r="H1" s="1">
        <f t="shared" si="0"/>
        <v>0</v>
      </c>
    </row>
    <row r="2" spans="1:8">
      <c r="A2">
        <v>20240316</v>
      </c>
      <c r="B2" t="s">
        <v>120</v>
      </c>
    </row>
    <row r="3" spans="1:8">
      <c r="B3" t="s">
        <v>121</v>
      </c>
    </row>
    <row r="4" spans="1:8">
      <c r="C4" t="s">
        <v>122</v>
      </c>
    </row>
    <row r="5" spans="1:8">
      <c r="C5" t="s">
        <v>123</v>
      </c>
    </row>
    <row r="6" spans="1:8">
      <c r="C6" t="s">
        <v>124</v>
      </c>
    </row>
    <row r="7" spans="1:8">
      <c r="B7" t="s">
        <v>125</v>
      </c>
    </row>
    <row r="8" spans="1:8">
      <c r="B8" t="s">
        <v>126</v>
      </c>
    </row>
    <row r="9" spans="1:8">
      <c r="B9" t="s">
        <v>127</v>
      </c>
    </row>
    <row r="10" spans="1:8">
      <c r="B10" s="2"/>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E6" sqref="E6"/>
    </sheetView>
  </sheetViews>
  <sheetFormatPr defaultColWidth="8.88888888888889" defaultRowHeight="14.4" outlineLevelCol="7"/>
  <sheetData>
    <row r="1" s="1" customFormat="1" spans="1:8">
      <c r="A1" s="1">
        <f>SUM(B1:AZ1)</f>
        <v>4.73333333333333</v>
      </c>
      <c r="B1" s="1">
        <f t="shared" ref="B1:H1" si="0">COUNTA(B2:B2048)/COLUMN()</f>
        <v>0.5</v>
      </c>
      <c r="C1" s="1">
        <f t="shared" si="0"/>
        <v>0.666666666666667</v>
      </c>
      <c r="D1" s="1">
        <f t="shared" si="0"/>
        <v>1.5</v>
      </c>
      <c r="E1" s="1">
        <f t="shared" si="0"/>
        <v>1.4</v>
      </c>
      <c r="F1" s="1">
        <f t="shared" si="0"/>
        <v>0.666666666666667</v>
      </c>
      <c r="G1" s="1">
        <f t="shared" si="0"/>
        <v>0</v>
      </c>
      <c r="H1" s="1">
        <f t="shared" si="0"/>
        <v>0</v>
      </c>
    </row>
    <row r="2" spans="1:8">
      <c r="A2">
        <v>20240317</v>
      </c>
      <c r="B2" t="s">
        <v>128</v>
      </c>
    </row>
    <row r="3" spans="1:8">
      <c r="C3" t="s">
        <v>129</v>
      </c>
    </row>
    <row r="4" spans="1:8">
      <c r="D4" t="s">
        <v>130</v>
      </c>
    </row>
    <row r="5" spans="1:8">
      <c r="D5" t="s">
        <v>131</v>
      </c>
    </row>
    <row r="6" spans="1:8">
      <c r="E6" t="s">
        <v>132</v>
      </c>
    </row>
    <row r="7" spans="1:8">
      <c r="E7" t="s">
        <v>133</v>
      </c>
    </row>
    <row r="8" spans="1:8">
      <c r="F8" t="s">
        <v>134</v>
      </c>
    </row>
    <row r="9" spans="1:8">
      <c r="E9" t="s">
        <v>135</v>
      </c>
    </row>
    <row r="10" spans="1:8">
      <c r="F10" t="s">
        <v>136</v>
      </c>
    </row>
    <row r="11" spans="1:8">
      <c r="C11" t="s">
        <v>137</v>
      </c>
    </row>
    <row r="12" spans="1:8">
      <c r="D12" t="s">
        <v>138</v>
      </c>
    </row>
    <row r="13" spans="1:8">
      <c r="D13" t="s">
        <v>139</v>
      </c>
    </row>
    <row r="14" spans="1:8">
      <c r="D14" t="s">
        <v>140</v>
      </c>
    </row>
    <row r="15" spans="1:8">
      <c r="E15" t="s">
        <v>141</v>
      </c>
    </row>
    <row r="16" spans="1:8">
      <c r="D16" t="s">
        <v>142</v>
      </c>
    </row>
    <row r="17" spans="5:6">
      <c r="E17" t="s">
        <v>132</v>
      </c>
    </row>
    <row r="18" spans="5:6">
      <c r="E18" t="s">
        <v>133</v>
      </c>
    </row>
    <row r="19" spans="5:6">
      <c r="F19" t="s">
        <v>134</v>
      </c>
    </row>
    <row r="20" spans="5:6">
      <c r="E20" t="s">
        <v>135</v>
      </c>
    </row>
    <row r="21" spans="5:6">
      <c r="F21" t="s">
        <v>143</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E25" sqref="E25"/>
    </sheetView>
  </sheetViews>
  <sheetFormatPr defaultColWidth="8.88888888888889" defaultRowHeight="14.4" outlineLevelCol="7"/>
  <cols>
    <col min="1" max="1" width="9.66666666666667"/>
  </cols>
  <sheetData>
    <row r="1" s="1" customFormat="1" spans="1:8">
      <c r="A1" s="1">
        <f>SUM(B1:AZ1)</f>
        <v>9.3</v>
      </c>
      <c r="B1" s="1">
        <f t="shared" ref="B1:H1" si="0">COUNTA(B2:B2052)/COLUMN()</f>
        <v>3</v>
      </c>
      <c r="C1" s="1">
        <f t="shared" si="0"/>
        <v>3</v>
      </c>
      <c r="D1" s="1">
        <f t="shared" si="0"/>
        <v>1.5</v>
      </c>
      <c r="E1" s="1">
        <f t="shared" si="0"/>
        <v>1.8</v>
      </c>
      <c r="F1" s="1">
        <f t="shared" si="0"/>
        <v>0</v>
      </c>
      <c r="G1" s="1">
        <f t="shared" si="0"/>
        <v>0</v>
      </c>
      <c r="H1" s="1">
        <f t="shared" si="0"/>
        <v>0</v>
      </c>
    </row>
    <row r="2" spans="1:8">
      <c r="A2">
        <v>20240320</v>
      </c>
      <c r="B2" t="s">
        <v>144</v>
      </c>
    </row>
    <row r="3" spans="1:8">
      <c r="C3" t="s">
        <v>145</v>
      </c>
    </row>
    <row r="4" spans="1:8">
      <c r="C4" t="s">
        <v>146</v>
      </c>
    </row>
    <row r="5" spans="1:8">
      <c r="C5" t="s">
        <v>147</v>
      </c>
    </row>
    <row r="6" spans="1:8">
      <c r="B6" t="s">
        <v>148</v>
      </c>
    </row>
    <row r="7" spans="1:8">
      <c r="B7" t="s">
        <v>149</v>
      </c>
    </row>
    <row r="8" spans="1:8">
      <c r="B8" t="s">
        <v>150</v>
      </c>
    </row>
    <row r="9" spans="1:8">
      <c r="C9" t="s">
        <v>151</v>
      </c>
    </row>
    <row r="10" spans="1:8">
      <c r="C10" t="s">
        <v>152</v>
      </c>
    </row>
    <row r="11" spans="1:8">
      <c r="D11" t="s">
        <v>153</v>
      </c>
    </row>
    <row r="12" spans="1:8">
      <c r="B12" t="s">
        <v>154</v>
      </c>
    </row>
    <row r="13" spans="1:8">
      <c r="C13" t="s">
        <v>155</v>
      </c>
    </row>
    <row r="14" spans="1:8">
      <c r="D14" t="s">
        <v>156</v>
      </c>
    </row>
    <row r="15" spans="1:8">
      <c r="C15" s="4" t="s">
        <v>157</v>
      </c>
    </row>
    <row r="16" spans="1:8">
      <c r="D16" s="2" t="s">
        <v>158</v>
      </c>
    </row>
    <row r="17" spans="2:8">
      <c r="E17" s="5" t="s">
        <v>159</v>
      </c>
      <c r="F17" s="2"/>
      <c r="G17" s="2"/>
      <c r="H17" s="2"/>
    </row>
    <row r="18" spans="2:8">
      <c r="E18" s="5" t="s">
        <v>160</v>
      </c>
    </row>
    <row r="19" spans="2:8">
      <c r="B19" t="s">
        <v>161</v>
      </c>
    </row>
    <row r="20" spans="2:8">
      <c r="C20" t="s">
        <v>162</v>
      </c>
    </row>
    <row r="21" spans="2:8">
      <c r="D21" t="s">
        <v>163</v>
      </c>
    </row>
    <row r="22" spans="2:8">
      <c r="D22" t="s">
        <v>164</v>
      </c>
    </row>
    <row r="23" spans="2:8">
      <c r="E23" t="s">
        <v>165</v>
      </c>
    </row>
    <row r="24" spans="2:8">
      <c r="E24" t="s">
        <v>166</v>
      </c>
    </row>
    <row r="25" spans="2:8">
      <c r="E25" t="s">
        <v>167</v>
      </c>
    </row>
    <row r="26" spans="2:8">
      <c r="C26" t="s">
        <v>168</v>
      </c>
    </row>
    <row r="27" spans="2:8">
      <c r="D27" t="s">
        <v>169</v>
      </c>
    </row>
    <row r="28" spans="2:8">
      <c r="E28" t="s">
        <v>170</v>
      </c>
    </row>
    <row r="29" spans="2:8">
      <c r="E29" t="s">
        <v>171</v>
      </c>
    </row>
    <row r="30" spans="2:8">
      <c r="E30" t="s">
        <v>172</v>
      </c>
    </row>
    <row r="31" spans="2:8">
      <c r="E31" t="s">
        <v>173</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B19" sqref="B19"/>
    </sheetView>
  </sheetViews>
  <sheetFormatPr defaultColWidth="8.88888888888889" defaultRowHeight="14.4" outlineLevelCol="7"/>
  <sheetData>
    <row r="1" s="1" customFormat="1" spans="1:8">
      <c r="A1" s="1">
        <f>SUM(B1:AZ1)</f>
        <v>7.08333333333333</v>
      </c>
      <c r="B1" s="1">
        <f t="shared" ref="B1:H1" si="0">COUNTA(B2:B2046)/COLUMN()</f>
        <v>2.5</v>
      </c>
      <c r="C1" s="1">
        <f t="shared" si="0"/>
        <v>2.33333333333333</v>
      </c>
      <c r="D1" s="1">
        <f t="shared" si="0"/>
        <v>2.25</v>
      </c>
      <c r="E1" s="1">
        <f t="shared" si="0"/>
        <v>0</v>
      </c>
      <c r="F1" s="1">
        <f t="shared" si="0"/>
        <v>0</v>
      </c>
      <c r="G1" s="1">
        <f t="shared" si="0"/>
        <v>0</v>
      </c>
      <c r="H1" s="1">
        <f t="shared" si="0"/>
        <v>0</v>
      </c>
    </row>
    <row r="2" spans="1:8">
      <c r="A2">
        <v>20240322</v>
      </c>
      <c r="B2" t="s">
        <v>174</v>
      </c>
    </row>
    <row r="3" spans="1:8">
      <c r="C3" t="s">
        <v>175</v>
      </c>
    </row>
    <row r="4" spans="1:8">
      <c r="C4" t="s">
        <v>176</v>
      </c>
    </row>
    <row r="5" spans="1:8">
      <c r="D5" t="s">
        <v>177</v>
      </c>
    </row>
    <row r="6" spans="1:8">
      <c r="D6" t="s">
        <v>178</v>
      </c>
    </row>
    <row r="7" spans="1:8">
      <c r="B7" t="s">
        <v>179</v>
      </c>
    </row>
    <row r="8" spans="1:8">
      <c r="B8" t="s">
        <v>180</v>
      </c>
    </row>
    <row r="9" spans="1:8">
      <c r="C9" t="s">
        <v>181</v>
      </c>
    </row>
    <row r="10" spans="1:8">
      <c r="C10" t="s">
        <v>182</v>
      </c>
    </row>
    <row r="11" spans="1:8">
      <c r="D11" t="s">
        <v>183</v>
      </c>
    </row>
    <row r="12" spans="1:8">
      <c r="D12" t="s">
        <v>184</v>
      </c>
    </row>
    <row r="13" spans="1:8">
      <c r="C13" t="s">
        <v>185</v>
      </c>
    </row>
    <row r="14" spans="1:8">
      <c r="D14" t="s">
        <v>186</v>
      </c>
    </row>
    <row r="15" spans="1:8">
      <c r="D15" t="s">
        <v>187</v>
      </c>
    </row>
    <row r="16" spans="1:8">
      <c r="D16" t="s">
        <v>188</v>
      </c>
    </row>
    <row r="17" spans="2:4">
      <c r="D17" t="s">
        <v>189</v>
      </c>
    </row>
    <row r="18" spans="2:4">
      <c r="B18" t="s">
        <v>190</v>
      </c>
    </row>
    <row r="19" spans="2:4">
      <c r="B19" t="s">
        <v>191</v>
      </c>
    </row>
    <row r="20" spans="2:4">
      <c r="C20" t="s">
        <v>192</v>
      </c>
    </row>
    <row r="21" spans="2:4">
      <c r="C21" t="s">
        <v>193</v>
      </c>
    </row>
    <row r="22" spans="2:4">
      <c r="D22" t="s">
        <v>194</v>
      </c>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E19" sqref="E19"/>
    </sheetView>
  </sheetViews>
  <sheetFormatPr defaultColWidth="8.88888888888889" defaultRowHeight="14.4" outlineLevelCol="7"/>
  <sheetData>
    <row r="1" s="1" customFormat="1" spans="1:8">
      <c r="A1" s="1">
        <f>SUM(B1:AZ1)</f>
        <v>5.26666666666667</v>
      </c>
      <c r="B1" s="1">
        <f t="shared" ref="B1:H1" si="0">COUNTA(B2:B2048)/COLUMN()</f>
        <v>2</v>
      </c>
      <c r="C1" s="1">
        <f t="shared" si="0"/>
        <v>0.666666666666667</v>
      </c>
      <c r="D1" s="1">
        <f t="shared" si="0"/>
        <v>1</v>
      </c>
      <c r="E1" s="1">
        <f t="shared" si="0"/>
        <v>1.6</v>
      </c>
      <c r="F1" s="1">
        <f t="shared" si="0"/>
        <v>0</v>
      </c>
      <c r="G1" s="1">
        <f t="shared" si="0"/>
        <v>0</v>
      </c>
      <c r="H1" s="1">
        <f t="shared" si="0"/>
        <v>0</v>
      </c>
    </row>
    <row r="2" spans="1:8">
      <c r="A2">
        <v>20240323</v>
      </c>
      <c r="B2" t="s">
        <v>195</v>
      </c>
    </row>
    <row r="3" spans="1:8">
      <c r="B3" t="s">
        <v>196</v>
      </c>
    </row>
    <row r="4" spans="1:8">
      <c r="B4" t="s">
        <v>197</v>
      </c>
    </row>
    <row r="5" spans="1:8">
      <c r="B5" t="s">
        <v>198</v>
      </c>
    </row>
    <row r="6" spans="1:8">
      <c r="C6" t="s">
        <v>199</v>
      </c>
    </row>
    <row r="7" spans="1:8">
      <c r="D7" t="s">
        <v>200</v>
      </c>
    </row>
    <row r="8" spans="1:8">
      <c r="D8" t="s">
        <v>201</v>
      </c>
    </row>
    <row r="9" spans="1:8">
      <c r="C9" t="s">
        <v>202</v>
      </c>
    </row>
    <row r="10" spans="1:8">
      <c r="D10" t="s">
        <v>203</v>
      </c>
    </row>
    <row r="11" spans="1:8">
      <c r="E11" t="s">
        <v>204</v>
      </c>
    </row>
    <row r="12" spans="1:8">
      <c r="E12" t="s">
        <v>205</v>
      </c>
    </row>
    <row r="13" spans="1:8">
      <c r="E13" t="s">
        <v>206</v>
      </c>
    </row>
    <row r="14" spans="1:8">
      <c r="E14" t="s">
        <v>207</v>
      </c>
    </row>
    <row r="15" spans="1:8">
      <c r="D15" t="s">
        <v>208</v>
      </c>
    </row>
    <row r="16" spans="1:8">
      <c r="E16" t="s">
        <v>209</v>
      </c>
    </row>
    <row r="17" spans="5:5">
      <c r="E17" t="s">
        <v>210</v>
      </c>
    </row>
    <row r="18" s="6" customFormat="1" spans="5:5">
      <c r="E18" s="6" t="s">
        <v>211</v>
      </c>
    </row>
    <row r="19" spans="5:5">
      <c r="E19" t="s">
        <v>212</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topLeftCell="A2" workbookViewId="0">
      <selection activeCell="B8" sqref="B8"/>
    </sheetView>
  </sheetViews>
  <sheetFormatPr defaultColWidth="8.88888888888889" defaultRowHeight="14.4" outlineLevelCol="7"/>
  <cols>
    <col min="1" max="1" width="9.66666666666667"/>
  </cols>
  <sheetData>
    <row r="1" s="1" customFormat="1" spans="1:8">
      <c r="A1" s="1">
        <f>SUM(B1:AZ1)</f>
        <v>9.96666666666667</v>
      </c>
      <c r="B1" s="1">
        <f t="shared" ref="B1:H1" si="0">COUNTA(B2:B2048)/COLUMN()</f>
        <v>5</v>
      </c>
      <c r="C1" s="1">
        <f t="shared" si="0"/>
        <v>1.66666666666667</v>
      </c>
      <c r="D1" s="1">
        <f t="shared" si="0"/>
        <v>1.5</v>
      </c>
      <c r="E1" s="1">
        <f t="shared" si="0"/>
        <v>1.8</v>
      </c>
      <c r="F1" s="1">
        <f t="shared" si="0"/>
        <v>0</v>
      </c>
      <c r="G1" s="1">
        <f t="shared" si="0"/>
        <v>0</v>
      </c>
      <c r="H1" s="1">
        <f t="shared" si="0"/>
        <v>0</v>
      </c>
    </row>
    <row r="2" spans="1:8">
      <c r="A2">
        <v>20240326</v>
      </c>
      <c r="B2" t="s">
        <v>213</v>
      </c>
    </row>
    <row r="3" spans="1:8">
      <c r="B3" t="s">
        <v>214</v>
      </c>
    </row>
    <row r="4" spans="1:8">
      <c r="B4" t="s">
        <v>215</v>
      </c>
    </row>
    <row r="5" spans="1:8">
      <c r="B5" t="s">
        <v>216</v>
      </c>
    </row>
    <row r="6" spans="1:8">
      <c r="B6" t="s">
        <v>217</v>
      </c>
    </row>
    <row r="7" spans="1:8">
      <c r="B7" t="s">
        <v>218</v>
      </c>
    </row>
    <row r="8" spans="1:8">
      <c r="B8" t="s">
        <v>219</v>
      </c>
    </row>
    <row r="9" spans="1:8">
      <c r="C9" t="s">
        <v>220</v>
      </c>
    </row>
    <row r="10" spans="1:8">
      <c r="D10" t="s">
        <v>221</v>
      </c>
    </row>
    <row r="11" spans="1:8">
      <c r="D11" t="s">
        <v>222</v>
      </c>
    </row>
    <row r="12" spans="1:8">
      <c r="E12" t="s">
        <v>223</v>
      </c>
    </row>
    <row r="13" spans="1:8">
      <c r="E13" t="s">
        <v>224</v>
      </c>
    </row>
    <row r="14" spans="1:8">
      <c r="D14" t="s">
        <v>225</v>
      </c>
    </row>
    <row r="15" spans="1:8">
      <c r="E15" t="s">
        <v>226</v>
      </c>
    </row>
    <row r="16" spans="1:8">
      <c r="E16" t="s">
        <v>227</v>
      </c>
    </row>
    <row r="17" spans="2:5">
      <c r="E17" t="s">
        <v>228</v>
      </c>
    </row>
    <row r="18" spans="2:5">
      <c r="C18" t="s">
        <v>229</v>
      </c>
    </row>
    <row r="19" spans="2:5">
      <c r="D19" t="s">
        <v>230</v>
      </c>
    </row>
    <row r="20" spans="2:5">
      <c r="D20" t="s">
        <v>231</v>
      </c>
    </row>
    <row r="21" spans="2:5">
      <c r="E21" t="s">
        <v>232</v>
      </c>
    </row>
    <row r="22" spans="2:5">
      <c r="E22" t="s">
        <v>233</v>
      </c>
    </row>
    <row r="23" spans="2:5">
      <c r="D23" t="s">
        <v>234</v>
      </c>
    </row>
    <row r="24" spans="2:5">
      <c r="E24" t="s">
        <v>235</v>
      </c>
    </row>
    <row r="25" spans="2:5">
      <c r="E25" t="s">
        <v>236</v>
      </c>
    </row>
    <row r="26" spans="2:5">
      <c r="B26" t="s">
        <v>237</v>
      </c>
    </row>
    <row r="27" spans="2:5">
      <c r="B27" t="s">
        <v>238</v>
      </c>
    </row>
    <row r="28" spans="2:5">
      <c r="C28" t="s">
        <v>239</v>
      </c>
    </row>
    <row r="29" s="2" customFormat="1" spans="2:5">
      <c r="B29" s="2" t="s">
        <v>240</v>
      </c>
    </row>
    <row r="30" s="2" customFormat="1" spans="2:5">
      <c r="C30" s="2" t="s">
        <v>241</v>
      </c>
    </row>
    <row r="31" s="2" customFormat="1" spans="2:5">
      <c r="C31" s="2" t="s">
        <v>242</v>
      </c>
    </row>
  </sheetData>
  <pageMargins left="0.75" right="0.75" top="1" bottom="1" header="0.5" footer="0.5"/>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2" sqref="A2"/>
    </sheetView>
  </sheetViews>
  <sheetFormatPr defaultColWidth="8.88888888888889" defaultRowHeight="14.4" outlineLevelRow="5" outlineLevelCol="7"/>
  <sheetData>
    <row r="1" s="1" customFormat="1" spans="1:8">
      <c r="A1" s="1">
        <f>SUM(B1:AZ1)</f>
        <v>1.83333333333333</v>
      </c>
      <c r="B1" s="1">
        <f t="shared" ref="B1:H1" si="0">COUNTA(B2:B2048)/COLUMN()</f>
        <v>0.5</v>
      </c>
      <c r="C1" s="1">
        <f t="shared" si="0"/>
        <v>1.33333333333333</v>
      </c>
      <c r="D1" s="1">
        <f t="shared" si="0"/>
        <v>0</v>
      </c>
      <c r="E1" s="1">
        <f t="shared" si="0"/>
        <v>0</v>
      </c>
      <c r="F1" s="1">
        <f t="shared" si="0"/>
        <v>0</v>
      </c>
      <c r="G1" s="1">
        <f t="shared" si="0"/>
        <v>0</v>
      </c>
      <c r="H1" s="1">
        <f t="shared" si="0"/>
        <v>0</v>
      </c>
    </row>
    <row r="2" spans="1:8">
      <c r="A2">
        <v>20240328</v>
      </c>
      <c r="B2" t="s">
        <v>243</v>
      </c>
    </row>
    <row r="3" spans="1:8">
      <c r="C3" t="s">
        <v>244</v>
      </c>
    </row>
    <row r="4" spans="1:8">
      <c r="C4" t="s">
        <v>245</v>
      </c>
    </row>
    <row r="5" spans="1:8">
      <c r="C5" t="s">
        <v>246</v>
      </c>
    </row>
    <row r="6" spans="1:8">
      <c r="C6" t="s">
        <v>247</v>
      </c>
    </row>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zoomScale="130" zoomScaleNormal="130" workbookViewId="0">
      <selection activeCell="I11" sqref="I11"/>
    </sheetView>
  </sheetViews>
  <sheetFormatPr defaultColWidth="8.88888888888889" defaultRowHeight="14.4" outlineLevelCol="7"/>
  <sheetData>
    <row r="1" s="1" customFormat="1" spans="1:8">
      <c r="A1" s="1">
        <f>SUM(B1:AZ1)</f>
        <v>3.33333333333333</v>
      </c>
      <c r="B1" s="1">
        <f t="shared" ref="B1:H1" si="0">COUNTA(B2:B2050)/COLUMN()</f>
        <v>1</v>
      </c>
      <c r="C1" s="1">
        <f t="shared" si="0"/>
        <v>2.33333333333333</v>
      </c>
      <c r="D1" s="1">
        <f t="shared" si="0"/>
        <v>0</v>
      </c>
      <c r="E1" s="1">
        <f t="shared" si="0"/>
        <v>0</v>
      </c>
      <c r="F1" s="1">
        <f t="shared" si="0"/>
        <v>0</v>
      </c>
      <c r="G1" s="1">
        <f t="shared" si="0"/>
        <v>0</v>
      </c>
      <c r="H1" s="1">
        <f t="shared" si="0"/>
        <v>0</v>
      </c>
    </row>
    <row r="2" spans="1:8">
      <c r="A2">
        <v>20240401</v>
      </c>
      <c r="B2" t="s">
        <v>248</v>
      </c>
    </row>
    <row r="3" spans="1:8">
      <c r="C3" t="s">
        <v>249</v>
      </c>
    </row>
    <row r="4" s="5" customFormat="1" spans="1:8">
      <c r="B4" s="5" t="s">
        <v>250</v>
      </c>
    </row>
    <row r="5" s="5" customFormat="1" spans="1:8">
      <c r="C5" s="5" t="s">
        <v>251</v>
      </c>
    </row>
    <row r="6" s="5" customFormat="1" spans="1:8">
      <c r="C6" s="5" t="s">
        <v>252</v>
      </c>
    </row>
    <row r="7" s="5" customFormat="1" spans="1:8">
      <c r="C7" s="5" t="s">
        <v>253</v>
      </c>
    </row>
    <row r="8" s="5" customFormat="1" spans="1:8">
      <c r="C8" s="5" t="s">
        <v>254</v>
      </c>
    </row>
    <row r="9" s="5" customFormat="1" spans="1:8">
      <c r="C9" s="5" t="s">
        <v>255</v>
      </c>
    </row>
    <row r="10" s="5" customFormat="1" spans="1:8">
      <c r="C10" s="5" t="s">
        <v>256</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zoomScale="115" zoomScaleNormal="115" workbookViewId="0">
      <selection activeCell="B2" sqref="B2"/>
    </sheetView>
  </sheetViews>
  <sheetFormatPr defaultColWidth="8.88888888888889" defaultRowHeight="14.4" outlineLevelCol="7"/>
  <sheetData>
    <row r="1" s="1" customFormat="1" spans="1:8">
      <c r="A1" s="1">
        <f>SUM(B1:AZ1)</f>
        <v>3.83333333333333</v>
      </c>
      <c r="B1" s="1">
        <f t="shared" ref="B1:H1" si="0">COUNTA(B2:B2048)/COLUMN()</f>
        <v>1.5</v>
      </c>
      <c r="C1" s="1">
        <f t="shared" si="0"/>
        <v>2.33333333333333</v>
      </c>
      <c r="D1" s="1">
        <f t="shared" si="0"/>
        <v>0</v>
      </c>
      <c r="E1" s="1">
        <f t="shared" si="0"/>
        <v>0</v>
      </c>
      <c r="F1" s="1">
        <f t="shared" si="0"/>
        <v>0</v>
      </c>
      <c r="G1" s="1">
        <f t="shared" si="0"/>
        <v>0</v>
      </c>
      <c r="H1" s="1">
        <f t="shared" si="0"/>
        <v>0</v>
      </c>
    </row>
    <row r="2" spans="1:8">
      <c r="A2">
        <v>20240402</v>
      </c>
      <c r="B2" t="s">
        <v>257</v>
      </c>
    </row>
    <row r="3" spans="1:8">
      <c r="B3" t="s">
        <v>258</v>
      </c>
    </row>
    <row r="4" ht="16.8" spans="1:8">
      <c r="C4" t="s">
        <v>259</v>
      </c>
    </row>
    <row r="5" ht="16.8" spans="1:8">
      <c r="C5" t="s">
        <v>260</v>
      </c>
    </row>
    <row r="6" ht="16.8" spans="1:8">
      <c r="C6" t="s">
        <v>261</v>
      </c>
    </row>
    <row r="7" ht="16.8" spans="1:8">
      <c r="C7" t="s">
        <v>262</v>
      </c>
    </row>
    <row r="8" spans="1:8">
      <c r="B8" t="s">
        <v>263</v>
      </c>
    </row>
    <row r="9" spans="1:8">
      <c r="C9" t="s">
        <v>264</v>
      </c>
    </row>
    <row r="10" spans="1:8">
      <c r="C10" t="s">
        <v>265</v>
      </c>
    </row>
    <row r="11" spans="1:8">
      <c r="C11" t="s">
        <v>266</v>
      </c>
    </row>
  </sheetData>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C23" sqref="C23"/>
    </sheetView>
  </sheetViews>
  <sheetFormatPr defaultColWidth="8.88888888888889" defaultRowHeight="14.4" outlineLevelCol="7"/>
  <sheetData>
    <row r="1" s="1" customFormat="1" spans="1:8">
      <c r="A1" s="1">
        <f>SUM(B1:AZ1)</f>
        <v>11.8333333333333</v>
      </c>
      <c r="B1" s="1">
        <f t="shared" ref="B1:H1" si="0">COUNTA(B2:B2048)/COLUMN()</f>
        <v>7</v>
      </c>
      <c r="C1" s="1">
        <f t="shared" si="0"/>
        <v>3.33333333333333</v>
      </c>
      <c r="D1" s="1">
        <f t="shared" si="0"/>
        <v>1.5</v>
      </c>
      <c r="E1" s="1">
        <f t="shared" si="0"/>
        <v>0</v>
      </c>
      <c r="F1" s="1">
        <f t="shared" si="0"/>
        <v>0</v>
      </c>
      <c r="G1" s="1">
        <f t="shared" si="0"/>
        <v>0</v>
      </c>
      <c r="H1" s="1">
        <f t="shared" si="0"/>
        <v>0</v>
      </c>
    </row>
    <row r="2" spans="1:8">
      <c r="A2">
        <v>20240405</v>
      </c>
      <c r="B2" t="s">
        <v>267</v>
      </c>
    </row>
    <row r="3" spans="1:8">
      <c r="B3" t="s">
        <v>268</v>
      </c>
    </row>
    <row r="4" spans="1:8">
      <c r="B4" t="s">
        <v>269</v>
      </c>
    </row>
    <row r="5" spans="1:8">
      <c r="B5" t="s">
        <v>270</v>
      </c>
    </row>
    <row r="6" spans="1:8">
      <c r="B6" t="s">
        <v>271</v>
      </c>
    </row>
    <row r="7" spans="1:8">
      <c r="B7" t="s">
        <v>272</v>
      </c>
    </row>
    <row r="8" spans="1:8">
      <c r="B8" t="s">
        <v>273</v>
      </c>
    </row>
    <row r="9" s="6" customFormat="1" spans="1:8">
      <c r="B9" s="6" t="s">
        <v>274</v>
      </c>
    </row>
    <row r="10" s="6" customFormat="1" spans="1:8">
      <c r="B10" s="6" t="s">
        <v>275</v>
      </c>
    </row>
    <row r="11" s="6" customFormat="1" spans="1:8">
      <c r="C11" s="6" t="s">
        <v>276</v>
      </c>
    </row>
    <row r="12" spans="1:8">
      <c r="B12" t="s">
        <v>277</v>
      </c>
    </row>
    <row r="13" spans="1:8">
      <c r="C13" t="s">
        <v>278</v>
      </c>
    </row>
    <row r="14" spans="1:8">
      <c r="C14" t="s">
        <v>279</v>
      </c>
    </row>
    <row r="15" spans="1:8">
      <c r="C15" t="s">
        <v>280</v>
      </c>
    </row>
    <row r="16" spans="1:8">
      <c r="D16" t="s">
        <v>281</v>
      </c>
    </row>
    <row r="17" spans="2:4">
      <c r="D17" t="s">
        <v>282</v>
      </c>
    </row>
    <row r="18" spans="2:4">
      <c r="D18" t="s">
        <v>283</v>
      </c>
    </row>
    <row r="19" spans="2:4">
      <c r="C19" t="s">
        <v>284</v>
      </c>
    </row>
    <row r="20" spans="2:4">
      <c r="D20" t="s">
        <v>285</v>
      </c>
    </row>
    <row r="21" spans="2:4">
      <c r="D21" t="s">
        <v>286</v>
      </c>
    </row>
    <row r="22" spans="2:4">
      <c r="D22" t="s">
        <v>287</v>
      </c>
    </row>
    <row r="23" spans="2:4">
      <c r="C23" t="s">
        <v>288</v>
      </c>
    </row>
    <row r="24" spans="2:4">
      <c r="B24" t="s">
        <v>289</v>
      </c>
    </row>
    <row r="25" spans="2:4">
      <c r="C25" t="s">
        <v>290</v>
      </c>
    </row>
    <row r="26" spans="2:4">
      <c r="C26" t="s">
        <v>291</v>
      </c>
    </row>
    <row r="27" spans="2:4">
      <c r="B27" t="s">
        <v>292</v>
      </c>
    </row>
    <row r="28" spans="2:4">
      <c r="B28" t="s">
        <v>293</v>
      </c>
    </row>
    <row r="29" spans="2:4">
      <c r="B29" t="s">
        <v>294</v>
      </c>
    </row>
    <row r="30" spans="2:4">
      <c r="C30" t="s">
        <v>295</v>
      </c>
    </row>
    <row r="31" spans="2:4">
      <c r="C31" t="s">
        <v>296</v>
      </c>
    </row>
  </sheetData>
  <pageMargins left="0.75" right="0.75" top="1" bottom="1" header="0.5" footer="0.5"/>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4" sqref="B4"/>
    </sheetView>
  </sheetViews>
  <sheetFormatPr defaultColWidth="8.88888888888889" defaultRowHeight="14.4" outlineLevelRow="3" outlineLevelCol="7"/>
  <sheetData>
    <row r="1" s="1" customFormat="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v>20240406</v>
      </c>
      <c r="B2" s="5" t="s">
        <v>297</v>
      </c>
    </row>
    <row r="3" spans="1:8">
      <c r="B3" t="s">
        <v>298</v>
      </c>
    </row>
    <row r="4" s="5" customFormat="1" spans="1:8">
      <c r="B4" s="5" t="s">
        <v>299</v>
      </c>
    </row>
  </sheetData>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topLeftCell="A2" workbookViewId="0">
      <selection activeCell="C9" sqref="C9"/>
    </sheetView>
  </sheetViews>
  <sheetFormatPr defaultColWidth="8.88888888888889" defaultRowHeight="14.4" outlineLevelCol="7"/>
  <sheetData>
    <row r="1" s="1" customFormat="1" spans="1:8">
      <c r="A1" s="1">
        <f>SUM(B1:AZ1)</f>
        <v>3.83333333333333</v>
      </c>
      <c r="B1" s="1">
        <f t="shared" ref="B1:H1" si="0">COUNTA(B2:B2048)/COLUMN()</f>
        <v>2.5</v>
      </c>
      <c r="C1" s="1">
        <f t="shared" si="0"/>
        <v>1.33333333333333</v>
      </c>
      <c r="D1" s="1">
        <f t="shared" si="0"/>
        <v>0</v>
      </c>
      <c r="E1" s="1">
        <f t="shared" si="0"/>
        <v>0</v>
      </c>
      <c r="F1" s="1">
        <f t="shared" si="0"/>
        <v>0</v>
      </c>
      <c r="G1" s="1">
        <f t="shared" si="0"/>
        <v>0</v>
      </c>
      <c r="H1" s="1">
        <f t="shared" si="0"/>
        <v>0</v>
      </c>
    </row>
    <row r="2" spans="1:8">
      <c r="A2">
        <v>20240408</v>
      </c>
      <c r="B2" t="s">
        <v>300</v>
      </c>
    </row>
    <row r="3" spans="1:8">
      <c r="C3" t="s">
        <v>301</v>
      </c>
    </row>
    <row r="4" spans="1:8">
      <c r="B4" t="s">
        <v>302</v>
      </c>
    </row>
    <row r="5" spans="1:8">
      <c r="B5" t="s">
        <v>303</v>
      </c>
    </row>
    <row r="6" spans="1:8">
      <c r="B6" t="s">
        <v>304</v>
      </c>
    </row>
    <row r="7" spans="1:8">
      <c r="C7" t="s">
        <v>305</v>
      </c>
    </row>
    <row r="8" spans="1:8">
      <c r="C8" t="s">
        <v>306</v>
      </c>
    </row>
    <row r="9" spans="1:8">
      <c r="C9" t="s">
        <v>307</v>
      </c>
    </row>
    <row r="10" spans="1:8">
      <c r="B10" t="s">
        <v>308</v>
      </c>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D14" sqref="D14:P18"/>
    </sheetView>
  </sheetViews>
  <sheetFormatPr defaultColWidth="8.88888888888889" defaultRowHeight="14.4" outlineLevelCol="7"/>
  <sheetData>
    <row r="1" s="1" customFormat="1" spans="1:8">
      <c r="A1" s="1">
        <f>SUM(B1:AZ1)</f>
        <v>6.08333333333333</v>
      </c>
      <c r="B1" s="1">
        <f t="shared" ref="B1:H1" si="0">COUNTA(B2:B2048)/COLUMN()</f>
        <v>1</v>
      </c>
      <c r="C1" s="1">
        <f t="shared" si="0"/>
        <v>1.33333333333333</v>
      </c>
      <c r="D1" s="1">
        <f t="shared" si="0"/>
        <v>3.75</v>
      </c>
      <c r="E1" s="1">
        <f t="shared" si="0"/>
        <v>0</v>
      </c>
      <c r="F1" s="1">
        <f t="shared" si="0"/>
        <v>0</v>
      </c>
      <c r="G1" s="1">
        <f t="shared" si="0"/>
        <v>0</v>
      </c>
      <c r="H1" s="1">
        <f t="shared" si="0"/>
        <v>0</v>
      </c>
    </row>
    <row r="2" spans="1:8">
      <c r="A2">
        <v>20240409</v>
      </c>
      <c r="B2" t="s">
        <v>309</v>
      </c>
    </row>
    <row r="3" spans="1:8">
      <c r="B3" t="s">
        <v>310</v>
      </c>
    </row>
    <row r="4" spans="1:8">
      <c r="C4" t="s">
        <v>311</v>
      </c>
    </row>
    <row r="5" spans="1:8">
      <c r="D5" t="s">
        <v>312</v>
      </c>
    </row>
    <row r="6" spans="1:8">
      <c r="D6" t="s">
        <v>313</v>
      </c>
    </row>
    <row r="7" spans="1:8">
      <c r="D7" t="s">
        <v>314</v>
      </c>
    </row>
    <row r="8" spans="1:8">
      <c r="C8" t="s">
        <v>315</v>
      </c>
    </row>
    <row r="9" spans="1:8">
      <c r="D9" s="4" t="s">
        <v>316</v>
      </c>
    </row>
    <row r="10" spans="1:8">
      <c r="D10" s="4" t="s">
        <v>317</v>
      </c>
    </row>
    <row r="11" spans="1:8">
      <c r="D11" s="4" t="s">
        <v>318</v>
      </c>
    </row>
    <row r="12" spans="1:8">
      <c r="D12" s="4" t="s">
        <v>319</v>
      </c>
    </row>
    <row r="13" s="5" customFormat="1" spans="1:8">
      <c r="C13" s="5" t="s">
        <v>320</v>
      </c>
    </row>
    <row r="14" s="5" customFormat="1" spans="1:8">
      <c r="D14" s="5" t="s">
        <v>321</v>
      </c>
    </row>
    <row r="15" s="5" customFormat="1" spans="1:8">
      <c r="D15" s="5" t="s">
        <v>322</v>
      </c>
    </row>
    <row r="16" s="5" customFormat="1" spans="1:8">
      <c r="D16" s="5" t="s">
        <v>323</v>
      </c>
    </row>
    <row r="17" s="5" customFormat="1" spans="3:4">
      <c r="D17" s="5" t="s">
        <v>324</v>
      </c>
    </row>
    <row r="18" s="5" customFormat="1" spans="3:4">
      <c r="D18" s="5" t="s">
        <v>325</v>
      </c>
    </row>
    <row r="19" spans="3:4">
      <c r="C19" t="s">
        <v>326</v>
      </c>
    </row>
    <row r="20" spans="3:4">
      <c r="D20" t="s">
        <v>327</v>
      </c>
    </row>
    <row r="21" spans="3:4">
      <c r="D21" t="s">
        <v>328</v>
      </c>
    </row>
    <row r="22" spans="3:4">
      <c r="D22" t="s">
        <v>329</v>
      </c>
    </row>
  </sheetData>
  <pageMargins left="0.75" right="0.75" top="1" bottom="1" header="0.5" footer="0.5"/>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7"/>
  <sheetViews>
    <sheetView zoomScale="130" zoomScaleNormal="130" topLeftCell="A6" workbookViewId="0">
      <selection activeCell="D6" sqref="D6"/>
    </sheetView>
  </sheetViews>
  <sheetFormatPr defaultColWidth="8.88888888888889" defaultRowHeight="14.4" outlineLevelCol="7"/>
  <sheetData>
    <row r="1" s="1" customFormat="1" spans="1:8">
      <c r="A1" s="1">
        <f>SUM(B1:AZ1)</f>
        <v>16.95</v>
      </c>
      <c r="B1" s="1">
        <f t="shared" ref="B1:H1" si="0">COUNTA(B2:B2048)/COLUMN()</f>
        <v>4</v>
      </c>
      <c r="C1" s="1">
        <f t="shared" si="0"/>
        <v>6.66666666666667</v>
      </c>
      <c r="D1" s="1">
        <f t="shared" si="0"/>
        <v>3.75</v>
      </c>
      <c r="E1" s="1">
        <f t="shared" si="0"/>
        <v>2.2</v>
      </c>
      <c r="F1" s="1">
        <f t="shared" si="0"/>
        <v>0.333333333333333</v>
      </c>
      <c r="G1" s="1">
        <f t="shared" si="0"/>
        <v>0</v>
      </c>
      <c r="H1" s="1">
        <f t="shared" si="0"/>
        <v>0</v>
      </c>
    </row>
    <row r="2" spans="1:8">
      <c r="A2">
        <v>20240410</v>
      </c>
      <c r="B2" t="s">
        <v>330</v>
      </c>
    </row>
    <row r="3" spans="1:8">
      <c r="B3" t="s">
        <v>331</v>
      </c>
    </row>
    <row r="4" spans="1:8">
      <c r="C4" t="s">
        <v>332</v>
      </c>
    </row>
    <row r="5" spans="1:8">
      <c r="C5" t="s">
        <v>333</v>
      </c>
    </row>
    <row r="6" spans="1:8">
      <c r="D6" t="s">
        <v>334</v>
      </c>
    </row>
    <row r="7" spans="1:8">
      <c r="D7" t="s">
        <v>335</v>
      </c>
    </row>
    <row r="8" spans="1:8">
      <c r="C8" t="s">
        <v>336</v>
      </c>
    </row>
    <row r="9" spans="1:8">
      <c r="C9" t="s">
        <v>337</v>
      </c>
    </row>
    <row r="10" spans="1:8">
      <c r="C10" t="s">
        <v>338</v>
      </c>
    </row>
    <row r="11" spans="1:8">
      <c r="C11" t="s">
        <v>339</v>
      </c>
    </row>
    <row r="12" spans="1:8">
      <c r="B12" t="s">
        <v>340</v>
      </c>
    </row>
    <row r="13" spans="1:8">
      <c r="C13" t="s">
        <v>341</v>
      </c>
    </row>
    <row r="14" spans="1:8">
      <c r="D14" t="s">
        <v>342</v>
      </c>
    </row>
    <row r="15" spans="1:8">
      <c r="D15" t="s">
        <v>343</v>
      </c>
    </row>
    <row r="16" spans="1:8">
      <c r="C16" t="s">
        <v>344</v>
      </c>
    </row>
    <row r="17" spans="2:5">
      <c r="D17" t="s">
        <v>345</v>
      </c>
    </row>
    <row r="18" spans="2:5">
      <c r="E18" t="s">
        <v>346</v>
      </c>
    </row>
    <row r="19" spans="2:5">
      <c r="E19" t="s">
        <v>347</v>
      </c>
    </row>
    <row r="20" spans="2:5">
      <c r="E20" t="s">
        <v>348</v>
      </c>
    </row>
    <row r="21" spans="2:5">
      <c r="D21" t="s">
        <v>349</v>
      </c>
    </row>
    <row r="22" spans="2:5">
      <c r="E22" t="s">
        <v>350</v>
      </c>
    </row>
    <row r="23" spans="2:5">
      <c r="E23" t="s">
        <v>351</v>
      </c>
    </row>
    <row r="24" spans="2:5">
      <c r="B24" t="s">
        <v>352</v>
      </c>
    </row>
    <row r="25" spans="2:5">
      <c r="B25" t="s">
        <v>353</v>
      </c>
    </row>
    <row r="26" spans="2:5">
      <c r="B26" t="s">
        <v>354</v>
      </c>
    </row>
    <row r="27" spans="2:5">
      <c r="C27" t="s">
        <v>355</v>
      </c>
    </row>
    <row r="28" spans="2:5">
      <c r="C28" t="s">
        <v>356</v>
      </c>
    </row>
    <row r="29" spans="2:5">
      <c r="C29" s="4" t="s">
        <v>357</v>
      </c>
    </row>
    <row r="30" spans="2:5">
      <c r="D30" t="s">
        <v>358</v>
      </c>
    </row>
    <row r="31" spans="2:5">
      <c r="D31" t="s">
        <v>359</v>
      </c>
    </row>
    <row r="32" spans="2:5">
      <c r="D32" t="s">
        <v>360</v>
      </c>
    </row>
    <row r="33" spans="2:6">
      <c r="D33" t="s">
        <v>361</v>
      </c>
    </row>
    <row r="34" spans="2:6">
      <c r="E34" t="s">
        <v>362</v>
      </c>
    </row>
    <row r="35" spans="2:6">
      <c r="E35" t="s">
        <v>363</v>
      </c>
    </row>
    <row r="36" spans="2:6">
      <c r="C36" t="s">
        <v>364</v>
      </c>
    </row>
    <row r="37" spans="2:6">
      <c r="D37" t="s">
        <v>365</v>
      </c>
    </row>
    <row r="38" spans="2:6">
      <c r="D38" t="s">
        <v>366</v>
      </c>
    </row>
    <row r="39" spans="2:6">
      <c r="D39" t="s">
        <v>360</v>
      </c>
    </row>
    <row r="40" spans="2:6">
      <c r="D40" t="s">
        <v>361</v>
      </c>
    </row>
    <row r="41" spans="2:6">
      <c r="E41" t="s">
        <v>362</v>
      </c>
    </row>
    <row r="42" spans="2:6">
      <c r="E42" t="s">
        <v>363</v>
      </c>
    </row>
    <row r="43" spans="2:6">
      <c r="D43" t="s">
        <v>367</v>
      </c>
    </row>
    <row r="44" spans="2:6">
      <c r="E44" t="s">
        <v>368</v>
      </c>
    </row>
    <row r="45" spans="2:6">
      <c r="E45" t="s">
        <v>369</v>
      </c>
    </row>
    <row r="46" spans="2:6">
      <c r="F46" t="s">
        <v>370</v>
      </c>
    </row>
    <row r="47" spans="2:6">
      <c r="F47" t="s">
        <v>371</v>
      </c>
    </row>
    <row r="48" spans="2:6">
      <c r="B48" t="s">
        <v>372</v>
      </c>
    </row>
    <row r="49" spans="2:3">
      <c r="C49" t="s">
        <v>373</v>
      </c>
    </row>
    <row r="50" spans="2:3">
      <c r="C50" t="s">
        <v>374</v>
      </c>
    </row>
    <row r="51" spans="2:3">
      <c r="B51" t="s">
        <v>375</v>
      </c>
    </row>
    <row r="52" spans="2:3">
      <c r="C52" t="s">
        <v>376</v>
      </c>
    </row>
    <row r="53" spans="2:3">
      <c r="C53" t="s">
        <v>377</v>
      </c>
    </row>
    <row r="54" spans="2:3">
      <c r="C54" t="s">
        <v>378</v>
      </c>
    </row>
    <row r="55" spans="2:3">
      <c r="C55" t="s">
        <v>379</v>
      </c>
    </row>
    <row r="56" spans="2:3">
      <c r="C56" t="s">
        <v>380</v>
      </c>
    </row>
    <row r="57" spans="2:3">
      <c r="C57" t="s">
        <v>381</v>
      </c>
    </row>
  </sheetData>
  <pageMargins left="0.75" right="0.75" top="1" bottom="1" header="0.5" footer="0.5"/>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topLeftCell="A4" workbookViewId="0">
      <selection activeCell="D11" sqref="D11"/>
    </sheetView>
  </sheetViews>
  <sheetFormatPr defaultColWidth="8.88888888888889" defaultRowHeight="14.4" outlineLevelCol="7"/>
  <sheetData>
    <row r="1" s="1" customFormat="1" spans="1:8">
      <c r="A1" s="1">
        <f>SUM(B1:AZ1)</f>
        <v>4.5</v>
      </c>
      <c r="B1" s="1">
        <f t="shared" ref="B1:H1" si="0">COUNTA(B2:B2048)/COLUMN()</f>
        <v>2</v>
      </c>
      <c r="C1" s="1">
        <f t="shared" si="0"/>
        <v>2</v>
      </c>
      <c r="D1" s="1">
        <f t="shared" si="0"/>
        <v>0.5</v>
      </c>
      <c r="E1" s="1">
        <f t="shared" si="0"/>
        <v>0</v>
      </c>
      <c r="F1" s="1">
        <f t="shared" si="0"/>
        <v>0</v>
      </c>
      <c r="G1" s="1">
        <f t="shared" si="0"/>
        <v>0</v>
      </c>
      <c r="H1" s="1">
        <f t="shared" si="0"/>
        <v>0</v>
      </c>
    </row>
    <row r="2" spans="1:8">
      <c r="A2">
        <v>20240411</v>
      </c>
      <c r="B2" t="s">
        <v>382</v>
      </c>
    </row>
    <row r="3" s="5" customFormat="1" spans="1:8">
      <c r="B3" s="5" t="s">
        <v>383</v>
      </c>
    </row>
    <row r="4" s="5" customFormat="1" spans="1:8">
      <c r="C4" s="5" t="s">
        <v>384</v>
      </c>
    </row>
    <row r="5" s="5" customFormat="1" spans="1:8">
      <c r="C5" s="5" t="s">
        <v>385</v>
      </c>
    </row>
    <row r="6" s="5" customFormat="1" spans="1:8">
      <c r="C6" s="5" t="s">
        <v>386</v>
      </c>
    </row>
    <row r="7" spans="1:8">
      <c r="C7" s="5" t="s">
        <v>387</v>
      </c>
    </row>
    <row r="8" spans="1:8">
      <c r="B8" t="s">
        <v>388</v>
      </c>
    </row>
    <row r="9" spans="1:8">
      <c r="C9" t="s">
        <v>389</v>
      </c>
    </row>
    <row r="10" spans="1:8">
      <c r="C10" t="s">
        <v>390</v>
      </c>
    </row>
    <row r="11" spans="1:8">
      <c r="D11" t="s">
        <v>391</v>
      </c>
    </row>
    <row r="12" spans="1:8">
      <c r="D12" t="s">
        <v>392</v>
      </c>
    </row>
    <row r="13" spans="1:8">
      <c r="B13" t="s">
        <v>393</v>
      </c>
    </row>
  </sheetData>
  <pageMargins left="0.75" right="0.75" top="1" bottom="1" header="0.5" footer="0.5"/>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B2" sqref="B2"/>
    </sheetView>
  </sheetViews>
  <sheetFormatPr defaultColWidth="8.88888888888889" defaultRowHeight="14.4" outlineLevelCol="7"/>
  <sheetData>
    <row r="1" s="1" customFormat="1" spans="1:8">
      <c r="A1" s="1">
        <f>SUM(B1:AZ1)</f>
        <v>7.16666666666667</v>
      </c>
      <c r="B1" s="1">
        <f t="shared" ref="B1:H1" si="0">COUNTA(B2:B2048)/COLUMN()</f>
        <v>3</v>
      </c>
      <c r="C1" s="1">
        <f t="shared" si="0"/>
        <v>3.66666666666667</v>
      </c>
      <c r="D1" s="1">
        <f t="shared" si="0"/>
        <v>0.5</v>
      </c>
      <c r="E1" s="1">
        <f t="shared" si="0"/>
        <v>0</v>
      </c>
      <c r="F1" s="1">
        <f t="shared" si="0"/>
        <v>0</v>
      </c>
      <c r="G1" s="1">
        <f t="shared" si="0"/>
        <v>0</v>
      </c>
      <c r="H1" s="1">
        <f t="shared" si="0"/>
        <v>0</v>
      </c>
    </row>
    <row r="2" spans="1:8">
      <c r="A2">
        <v>20240412</v>
      </c>
      <c r="B2" t="s">
        <v>394</v>
      </c>
    </row>
    <row r="3" spans="1:8">
      <c r="B3" t="s">
        <v>395</v>
      </c>
    </row>
    <row r="4" spans="1:8">
      <c r="C4" t="s">
        <v>396</v>
      </c>
    </row>
    <row r="5" spans="1:8">
      <c r="C5" t="s">
        <v>397</v>
      </c>
    </row>
    <row r="6" spans="1:8">
      <c r="C6" t="s">
        <v>398</v>
      </c>
    </row>
    <row r="7" spans="1:8">
      <c r="C7" t="s">
        <v>399</v>
      </c>
    </row>
    <row r="8" spans="1:8">
      <c r="D8" t="s">
        <v>400</v>
      </c>
    </row>
    <row r="9" spans="1:8">
      <c r="D9" t="s">
        <v>401</v>
      </c>
    </row>
    <row r="10" spans="1:8">
      <c r="C10" t="s">
        <v>402</v>
      </c>
    </row>
    <row r="11" spans="1:8">
      <c r="B11" t="s">
        <v>403</v>
      </c>
    </row>
    <row r="12" spans="1:8">
      <c r="B12" t="s">
        <v>404</v>
      </c>
    </row>
    <row r="13" spans="1:8">
      <c r="C13" t="s">
        <v>405</v>
      </c>
    </row>
    <row r="14" spans="1:8">
      <c r="C14" t="s">
        <v>406</v>
      </c>
    </row>
    <row r="15" spans="1:8">
      <c r="C15" t="s">
        <v>407</v>
      </c>
    </row>
    <row r="16" spans="1:8">
      <c r="B16" t="s">
        <v>408</v>
      </c>
    </row>
    <row r="17" spans="2:3">
      <c r="B17" t="s">
        <v>409</v>
      </c>
    </row>
    <row r="18" spans="2:3">
      <c r="C18" t="s">
        <v>410</v>
      </c>
    </row>
    <row r="19" spans="2:3">
      <c r="C19" t="s">
        <v>411</v>
      </c>
    </row>
    <row r="20" spans="2:3">
      <c r="C20" t="s">
        <v>412</v>
      </c>
    </row>
  </sheetData>
  <pageMargins left="0.75" right="0.75" top="1" bottom="1" header="0.5" footer="0.5"/>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2" workbookViewId="0">
      <selection activeCell="J14" sqref="J14"/>
    </sheetView>
  </sheetViews>
  <sheetFormatPr defaultColWidth="8.88888888888889" defaultRowHeight="14.4" outlineLevelCol="7"/>
  <sheetData>
    <row r="1" s="1" customFormat="1" spans="1:8">
      <c r="A1" s="1">
        <f>SUM(B1:AZ1)</f>
        <v>15.1166666666667</v>
      </c>
      <c r="B1" s="1">
        <f t="shared" ref="B1:H1" si="0">COUNTA(B2:B2048)/COLUMN()</f>
        <v>3.5</v>
      </c>
      <c r="C1" s="1">
        <f t="shared" si="0"/>
        <v>5.66666666666667</v>
      </c>
      <c r="D1" s="1">
        <f t="shared" si="0"/>
        <v>4.75</v>
      </c>
      <c r="E1" s="1">
        <f t="shared" si="0"/>
        <v>1.2</v>
      </c>
      <c r="F1" s="1">
        <f t="shared" si="0"/>
        <v>0</v>
      </c>
      <c r="G1" s="1">
        <f t="shared" si="0"/>
        <v>0</v>
      </c>
      <c r="H1" s="1">
        <f t="shared" si="0"/>
        <v>0</v>
      </c>
    </row>
    <row r="2" spans="1:8">
      <c r="A2">
        <v>20240413</v>
      </c>
      <c r="B2" t="s">
        <v>413</v>
      </c>
    </row>
    <row r="3" spans="1:8">
      <c r="C3" t="s">
        <v>414</v>
      </c>
    </row>
    <row r="4" spans="1:8">
      <c r="D4" t="s">
        <v>415</v>
      </c>
    </row>
    <row r="5" spans="1:8">
      <c r="D5" t="s">
        <v>416</v>
      </c>
    </row>
    <row r="6" s="5" customFormat="1" spans="1:8">
      <c r="C6" s="5" t="s">
        <v>417</v>
      </c>
    </row>
    <row r="7" spans="1:8">
      <c r="B7" t="s">
        <v>418</v>
      </c>
    </row>
    <row r="8" spans="1:8">
      <c r="B8" t="s">
        <v>419</v>
      </c>
    </row>
    <row r="9" spans="1:8">
      <c r="C9" t="s">
        <v>420</v>
      </c>
    </row>
    <row r="10" spans="1:8">
      <c r="D10" t="s">
        <v>421</v>
      </c>
    </row>
    <row r="11" spans="1:8">
      <c r="D11" t="s">
        <v>422</v>
      </c>
    </row>
    <row r="12" spans="1:8">
      <c r="D12" t="s">
        <v>423</v>
      </c>
    </row>
    <row r="13" spans="1:8">
      <c r="E13" t="s">
        <v>424</v>
      </c>
    </row>
    <row r="14" spans="1:8">
      <c r="E14" t="s">
        <v>425</v>
      </c>
    </row>
    <row r="15" spans="1:8">
      <c r="B15" t="s">
        <v>426</v>
      </c>
    </row>
    <row r="16" spans="1:8">
      <c r="C16" t="s">
        <v>427</v>
      </c>
    </row>
    <row r="17" spans="2:5">
      <c r="C17" t="s">
        <v>428</v>
      </c>
    </row>
    <row r="18" spans="2:5">
      <c r="D18" t="s">
        <v>429</v>
      </c>
    </row>
    <row r="19" spans="2:5">
      <c r="C19" t="s">
        <v>430</v>
      </c>
    </row>
    <row r="20" spans="2:5">
      <c r="C20" t="s">
        <v>431</v>
      </c>
    </row>
    <row r="21" spans="2:5">
      <c r="D21" t="s">
        <v>432</v>
      </c>
    </row>
    <row r="22" spans="2:5">
      <c r="D22" t="s">
        <v>433</v>
      </c>
    </row>
    <row r="23" spans="2:5">
      <c r="B23" t="s">
        <v>434</v>
      </c>
    </row>
    <row r="24" spans="2:5">
      <c r="C24" t="s">
        <v>435</v>
      </c>
    </row>
    <row r="25" spans="2:5">
      <c r="D25" t="s">
        <v>436</v>
      </c>
    </row>
    <row r="26" spans="2:5">
      <c r="E26" t="s">
        <v>437</v>
      </c>
    </row>
    <row r="27" spans="2:5">
      <c r="E27" t="s">
        <v>438</v>
      </c>
    </row>
    <row r="28" spans="2:5">
      <c r="D28" t="s">
        <v>439</v>
      </c>
    </row>
    <row r="29" spans="2:5">
      <c r="D29" t="s">
        <v>440</v>
      </c>
    </row>
    <row r="30" spans="2:5">
      <c r="C30" t="s">
        <v>441</v>
      </c>
    </row>
    <row r="31" spans="2:5">
      <c r="D31" t="s">
        <v>442</v>
      </c>
    </row>
    <row r="32" spans="2:5">
      <c r="E32" t="s">
        <v>443</v>
      </c>
    </row>
    <row r="33" spans="2:5">
      <c r="D33" t="s">
        <v>444</v>
      </c>
    </row>
    <row r="34" spans="2:5">
      <c r="E34" t="s">
        <v>445</v>
      </c>
    </row>
    <row r="35" spans="2:5">
      <c r="C35" t="s">
        <v>446</v>
      </c>
    </row>
    <row r="36" spans="2:5">
      <c r="D36" t="s">
        <v>447</v>
      </c>
    </row>
    <row r="37" spans="2:5">
      <c r="D37" t="s">
        <v>448</v>
      </c>
    </row>
    <row r="38" spans="2:5">
      <c r="D38" t="s">
        <v>449</v>
      </c>
    </row>
    <row r="39" spans="2:5">
      <c r="D39" t="s">
        <v>450</v>
      </c>
    </row>
    <row r="40" spans="2:5">
      <c r="B40" t="s">
        <v>451</v>
      </c>
    </row>
    <row r="41" spans="2:5">
      <c r="C41" t="s">
        <v>452</v>
      </c>
    </row>
    <row r="42" spans="2:5">
      <c r="C42" t="s">
        <v>453</v>
      </c>
    </row>
    <row r="43" spans="2:5">
      <c r="C43" t="s">
        <v>454</v>
      </c>
    </row>
    <row r="44" spans="2:5">
      <c r="C44" t="s">
        <v>455</v>
      </c>
    </row>
    <row r="45" spans="2:5">
      <c r="B45" t="s">
        <v>456</v>
      </c>
    </row>
    <row r="46" spans="2:5">
      <c r="C46" t="s">
        <v>457</v>
      </c>
    </row>
    <row r="47" spans="2:5">
      <c r="D47" t="s">
        <v>458</v>
      </c>
    </row>
    <row r="48" spans="2:5">
      <c r="D48" t="s">
        <v>459</v>
      </c>
    </row>
    <row r="49" spans="3:3">
      <c r="C49" t="s">
        <v>460</v>
      </c>
    </row>
    <row r="50" spans="3:3">
      <c r="C50" t="s">
        <v>461</v>
      </c>
    </row>
  </sheetData>
  <pageMargins left="0.75" right="0.75" top="1" bottom="1" header="0.5" footer="0.5"/>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11" workbookViewId="0">
      <selection activeCell="D11" sqref="D11"/>
    </sheetView>
  </sheetViews>
  <sheetFormatPr defaultColWidth="8.88888888888889" defaultRowHeight="14.4" outlineLevelCol="7"/>
  <cols>
    <col min="1" max="1" width="9.66666666666667"/>
  </cols>
  <sheetData>
    <row r="1" s="1" customFormat="1" spans="1:8">
      <c r="A1" s="1">
        <f>SUM(B1:AZ1)</f>
        <v>9.75</v>
      </c>
      <c r="B1" s="1">
        <f t="shared" ref="B1:H1" si="0">COUNTA(B2:B2048)/COLUMN()</f>
        <v>2.5</v>
      </c>
      <c r="C1" s="1">
        <f t="shared" si="0"/>
        <v>6</v>
      </c>
      <c r="D1" s="1">
        <f t="shared" si="0"/>
        <v>1.25</v>
      </c>
      <c r="E1" s="1">
        <f t="shared" si="0"/>
        <v>0</v>
      </c>
      <c r="F1" s="1">
        <f t="shared" si="0"/>
        <v>0</v>
      </c>
      <c r="G1" s="1">
        <f t="shared" si="0"/>
        <v>0</v>
      </c>
      <c r="H1" s="1">
        <f t="shared" si="0"/>
        <v>0</v>
      </c>
    </row>
    <row r="2" spans="1:8">
      <c r="A2">
        <v>20240414</v>
      </c>
      <c r="B2" t="s">
        <v>462</v>
      </c>
    </row>
    <row r="3" spans="1:8">
      <c r="C3" t="s">
        <v>463</v>
      </c>
    </row>
    <row r="4" spans="1:8">
      <c r="C4" t="s">
        <v>464</v>
      </c>
    </row>
    <row r="5" spans="1:8">
      <c r="C5" t="s">
        <v>465</v>
      </c>
    </row>
    <row r="6" spans="1:8">
      <c r="B6" t="s">
        <v>466</v>
      </c>
    </row>
    <row r="7" spans="1:8">
      <c r="C7" t="s">
        <v>467</v>
      </c>
    </row>
    <row r="8" spans="1:8">
      <c r="C8" t="s">
        <v>468</v>
      </c>
    </row>
    <row r="9" spans="1:8">
      <c r="C9" t="s">
        <v>469</v>
      </c>
    </row>
    <row r="10" spans="1:8">
      <c r="C10" t="s">
        <v>470</v>
      </c>
    </row>
    <row r="11" spans="1:8">
      <c r="D11" t="s">
        <v>471</v>
      </c>
    </row>
    <row r="12" spans="1:8">
      <c r="D12" t="s">
        <v>472</v>
      </c>
    </row>
    <row r="13" spans="1:8">
      <c r="B13" t="s">
        <v>473</v>
      </c>
    </row>
    <row r="14" spans="1:8">
      <c r="C14" t="s">
        <v>474</v>
      </c>
    </row>
    <row r="15" spans="1:8">
      <c r="C15" t="s">
        <v>475</v>
      </c>
    </row>
    <row r="16" spans="1:8">
      <c r="C16" t="s">
        <v>476</v>
      </c>
    </row>
    <row r="17" spans="2:4">
      <c r="B17" t="s">
        <v>477</v>
      </c>
    </row>
    <row r="18" spans="2:4">
      <c r="C18" t="s">
        <v>478</v>
      </c>
    </row>
    <row r="19" spans="2:4">
      <c r="C19" t="s">
        <v>479</v>
      </c>
    </row>
    <row r="20" spans="2:4">
      <c r="C20" t="s">
        <v>480</v>
      </c>
    </row>
    <row r="21" spans="2:4">
      <c r="C21" t="s">
        <v>481</v>
      </c>
    </row>
    <row r="22" spans="2:4">
      <c r="C22" t="s">
        <v>482</v>
      </c>
    </row>
    <row r="23" spans="2:4">
      <c r="B23" t="s">
        <v>483</v>
      </c>
    </row>
    <row r="24" spans="2:4">
      <c r="C24" t="s">
        <v>484</v>
      </c>
    </row>
    <row r="25" s="5" customFormat="1" spans="2:4">
      <c r="D25" s="5" t="s">
        <v>485</v>
      </c>
    </row>
    <row r="26" spans="2:4">
      <c r="C26" t="s">
        <v>486</v>
      </c>
    </row>
    <row r="27" s="5" customFormat="1" spans="2:4">
      <c r="D27" s="5" t="s">
        <v>487</v>
      </c>
    </row>
    <row r="28" spans="2:4">
      <c r="C28" t="s">
        <v>488</v>
      </c>
    </row>
    <row r="29" spans="2:4">
      <c r="D29" t="s">
        <v>489</v>
      </c>
    </row>
  </sheetData>
  <pageMargins left="0.75" right="0.75" top="1" bottom="1" header="0.5" footer="0.5"/>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11" sqref="C11"/>
    </sheetView>
  </sheetViews>
  <sheetFormatPr defaultColWidth="8.88888888888889" defaultRowHeight="14.4" outlineLevelCol="7"/>
  <cols>
    <col min="1" max="1" width="9.66666666666667"/>
  </cols>
  <sheetData>
    <row r="1" s="1" customFormat="1" spans="1:8">
      <c r="A1" s="1">
        <f>SUM(B1:AZ1)</f>
        <v>7.4</v>
      </c>
      <c r="B1" s="1">
        <f t="shared" ref="B1:H1" si="0">COUNTA(B2:B2048)/COLUMN()</f>
        <v>1.5</v>
      </c>
      <c r="C1" s="1">
        <f t="shared" si="0"/>
        <v>3</v>
      </c>
      <c r="D1" s="1">
        <f t="shared" si="0"/>
        <v>2.5</v>
      </c>
      <c r="E1" s="1">
        <f t="shared" si="0"/>
        <v>0.4</v>
      </c>
      <c r="F1" s="1">
        <f t="shared" si="0"/>
        <v>0</v>
      </c>
      <c r="G1" s="1">
        <f t="shared" si="0"/>
        <v>0</v>
      </c>
      <c r="H1" s="1">
        <f t="shared" si="0"/>
        <v>0</v>
      </c>
    </row>
    <row r="2" spans="1:8">
      <c r="A2">
        <v>20240415</v>
      </c>
      <c r="B2" t="s">
        <v>490</v>
      </c>
    </row>
    <row r="3" spans="1:8">
      <c r="C3" t="s">
        <v>491</v>
      </c>
    </row>
    <row r="4" spans="1:8">
      <c r="C4" t="s">
        <v>492</v>
      </c>
    </row>
    <row r="5" spans="1:8">
      <c r="C5" t="s">
        <v>493</v>
      </c>
    </row>
    <row r="6" spans="1:8">
      <c r="D6" t="s">
        <v>494</v>
      </c>
    </row>
    <row r="7" spans="1:8">
      <c r="B7" t="s">
        <v>495</v>
      </c>
    </row>
    <row r="8" spans="1:8">
      <c r="C8" t="s">
        <v>496</v>
      </c>
    </row>
    <row r="9" spans="1:8">
      <c r="D9" t="s">
        <v>497</v>
      </c>
    </row>
    <row r="10" spans="1:8">
      <c r="D10" t="s">
        <v>498</v>
      </c>
    </row>
    <row r="11" spans="1:8">
      <c r="C11" t="s">
        <v>499</v>
      </c>
    </row>
    <row r="12" spans="1:8">
      <c r="C12" t="s">
        <v>500</v>
      </c>
    </row>
    <row r="13" spans="1:8">
      <c r="D13" t="s">
        <v>501</v>
      </c>
    </row>
    <row r="14" spans="1:8">
      <c r="D14" t="s">
        <v>502</v>
      </c>
    </row>
    <row r="15" spans="1:8">
      <c r="B15" t="s">
        <v>503</v>
      </c>
    </row>
    <row r="16" spans="1:8">
      <c r="C16" t="s">
        <v>504</v>
      </c>
    </row>
    <row r="17" spans="3:5">
      <c r="D17" t="s">
        <v>505</v>
      </c>
    </row>
    <row r="18" spans="3:5">
      <c r="D18" t="s">
        <v>506</v>
      </c>
    </row>
    <row r="19" spans="3:5">
      <c r="C19" t="s">
        <v>507</v>
      </c>
    </row>
    <row r="20" spans="3:5">
      <c r="D20" t="s">
        <v>508</v>
      </c>
    </row>
    <row r="21" spans="3:5">
      <c r="D21" t="s">
        <v>509</v>
      </c>
    </row>
    <row r="22" spans="3:5">
      <c r="D22" t="s">
        <v>510</v>
      </c>
    </row>
    <row r="23" spans="3:5">
      <c r="E23" t="s">
        <v>511</v>
      </c>
    </row>
    <row r="24" spans="3:5">
      <c r="E24" t="s">
        <v>512</v>
      </c>
    </row>
    <row r="25" spans="3:5">
      <c r="C25" t="s">
        <v>513</v>
      </c>
    </row>
  </sheetData>
  <pageMargins left="0.75" right="0.75" top="1" bottom="1" header="0.5" footer="0.5"/>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D8" sqref="D8"/>
    </sheetView>
  </sheetViews>
  <sheetFormatPr defaultColWidth="8.88888888888889" defaultRowHeight="14.4" outlineLevelCol="7"/>
  <cols>
    <col min="1" max="1" width="9.66666666666667"/>
  </cols>
  <sheetData>
    <row r="1" s="1" customFormat="1" spans="1:8">
      <c r="A1" s="1">
        <f>SUM(B1:AZ1)</f>
        <v>4.03333333333333</v>
      </c>
      <c r="B1" s="1">
        <f>COUNTA(B2:B2048)/COLUMN()</f>
        <v>1</v>
      </c>
      <c r="C1" s="1">
        <f t="shared" ref="B1:H1" si="0">COUNTA(C2:C2048)/COLUMN()</f>
        <v>1.33333333333333</v>
      </c>
      <c r="D1" s="1">
        <f t="shared" si="0"/>
        <v>1.5</v>
      </c>
      <c r="E1" s="1">
        <f t="shared" si="0"/>
        <v>0.2</v>
      </c>
      <c r="F1" s="1">
        <f t="shared" si="0"/>
        <v>0</v>
      </c>
      <c r="G1" s="1">
        <f t="shared" si="0"/>
        <v>0</v>
      </c>
      <c r="H1" s="1">
        <f t="shared" si="0"/>
        <v>0</v>
      </c>
    </row>
    <row r="2" spans="1:8">
      <c r="A2">
        <v>20240416</v>
      </c>
      <c r="B2" t="s">
        <v>514</v>
      </c>
    </row>
    <row r="3" spans="1:8">
      <c r="C3" t="s">
        <v>515</v>
      </c>
    </row>
    <row r="4" spans="1:8">
      <c r="C4" t="s">
        <v>516</v>
      </c>
    </row>
    <row r="5" spans="1:8">
      <c r="B5" t="s">
        <v>517</v>
      </c>
    </row>
    <row r="6" spans="1:8">
      <c r="C6" t="s">
        <v>518</v>
      </c>
    </row>
    <row r="7" spans="1:8">
      <c r="D7" t="s">
        <v>519</v>
      </c>
    </row>
    <row r="8" spans="1:8">
      <c r="D8" t="s">
        <v>520</v>
      </c>
    </row>
    <row r="9" spans="1:8">
      <c r="D9" t="s">
        <v>521</v>
      </c>
    </row>
    <row r="10" spans="1:8">
      <c r="C10" t="s">
        <v>522</v>
      </c>
    </row>
    <row r="11" spans="1:8">
      <c r="D11" t="s">
        <v>523</v>
      </c>
    </row>
    <row r="12" spans="1:8">
      <c r="D12" t="s">
        <v>524</v>
      </c>
    </row>
    <row r="13" spans="1:8">
      <c r="E13" t="s">
        <v>525</v>
      </c>
    </row>
    <row r="14" spans="1:8">
      <c r="D14" t="s">
        <v>526</v>
      </c>
    </row>
  </sheetData>
  <pageMargins left="0.75" right="0.75" top="1" bottom="1" header="0.5" footer="0.5"/>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topLeftCell="A13" workbookViewId="0">
      <selection activeCell="B20" sqref="B20"/>
    </sheetView>
  </sheetViews>
  <sheetFormatPr defaultColWidth="8.88888888888889" defaultRowHeight="14.4" outlineLevelCol="7"/>
  <cols>
    <col min="1" max="1" width="9.66666666666667"/>
  </cols>
  <sheetData>
    <row r="1" s="1" customFormat="1" spans="1:8">
      <c r="A1" s="1">
        <f>SUM(B1:AZ1)</f>
        <v>7.16666666666667</v>
      </c>
      <c r="B1" s="1">
        <f t="shared" ref="B1:H1" si="0">COUNTA(B2:B2048)/COLUMN()</f>
        <v>2.5</v>
      </c>
      <c r="C1" s="1">
        <f t="shared" si="0"/>
        <v>2.66666666666667</v>
      </c>
      <c r="D1" s="1">
        <f t="shared" si="0"/>
        <v>2</v>
      </c>
      <c r="E1" s="1">
        <f t="shared" si="0"/>
        <v>0</v>
      </c>
      <c r="F1" s="1">
        <f t="shared" si="0"/>
        <v>0</v>
      </c>
      <c r="G1" s="1">
        <f t="shared" si="0"/>
        <v>0</v>
      </c>
      <c r="H1" s="1">
        <f t="shared" si="0"/>
        <v>0</v>
      </c>
    </row>
    <row r="2" spans="1:8">
      <c r="A2">
        <v>20240417</v>
      </c>
      <c r="B2" t="s">
        <v>527</v>
      </c>
    </row>
    <row r="3" spans="1:8">
      <c r="C3" t="s">
        <v>528</v>
      </c>
    </row>
    <row r="4" spans="1:8">
      <c r="D4" t="s">
        <v>529</v>
      </c>
    </row>
    <row r="5" spans="1:8">
      <c r="C5" t="s">
        <v>530</v>
      </c>
    </row>
    <row r="6" spans="1:8">
      <c r="D6" t="s">
        <v>531</v>
      </c>
    </row>
    <row r="7" spans="1:8">
      <c r="B7" t="s">
        <v>532</v>
      </c>
    </row>
    <row r="8" spans="1:8">
      <c r="C8" t="s">
        <v>533</v>
      </c>
    </row>
    <row r="9" spans="1:8">
      <c r="C9" t="s">
        <v>534</v>
      </c>
    </row>
    <row r="10" spans="1:8">
      <c r="C10" t="s">
        <v>535</v>
      </c>
    </row>
    <row r="11" spans="1:8">
      <c r="D11" t="s">
        <v>536</v>
      </c>
    </row>
    <row r="12" spans="1:8">
      <c r="D12" t="s">
        <v>537</v>
      </c>
    </row>
    <row r="13" spans="1:8">
      <c r="C13" t="s">
        <v>538</v>
      </c>
    </row>
    <row r="14" spans="1:8">
      <c r="C14" t="s">
        <v>539</v>
      </c>
    </row>
    <row r="15" spans="1:8">
      <c r="D15" t="s">
        <v>540</v>
      </c>
    </row>
    <row r="16" spans="1:8">
      <c r="D16" t="s">
        <v>541</v>
      </c>
    </row>
    <row r="17" spans="2:4">
      <c r="D17" t="s">
        <v>542</v>
      </c>
    </row>
    <row r="18" spans="2:4">
      <c r="D18" t="s">
        <v>543</v>
      </c>
    </row>
    <row r="19" spans="2:4">
      <c r="B19" t="s">
        <v>544</v>
      </c>
    </row>
    <row r="20" spans="2:4">
      <c r="B20" t="s">
        <v>545</v>
      </c>
    </row>
    <row r="21" spans="2:4">
      <c r="B21" t="s">
        <v>546</v>
      </c>
    </row>
    <row r="22" spans="2:4">
      <c r="C22" t="s">
        <v>547</v>
      </c>
    </row>
  </sheetData>
  <pageMargins left="0.75" right="0.75" top="1" bottom="1" header="0.5" footer="0.5"/>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3"/>
  <sheetViews>
    <sheetView workbookViewId="0">
      <selection activeCell="B23" sqref="B23"/>
    </sheetView>
  </sheetViews>
  <sheetFormatPr defaultColWidth="8.88888888888889" defaultRowHeight="14.4" outlineLevelCol="7"/>
  <cols>
    <col min="1" max="1" width="9.66666666666667"/>
  </cols>
  <sheetData>
    <row r="1" s="1" customFormat="1" spans="1:8">
      <c r="A1" s="1">
        <f>SUM(B1:AZ1)</f>
        <v>8</v>
      </c>
      <c r="B1" s="1">
        <f t="shared" ref="B1:H1" si="0">COUNTA(B2:B2049)/COLUMN()</f>
        <v>3</v>
      </c>
      <c r="C1" s="1">
        <f t="shared" si="0"/>
        <v>4</v>
      </c>
      <c r="D1" s="1">
        <f t="shared" si="0"/>
        <v>1</v>
      </c>
      <c r="E1" s="1">
        <f t="shared" si="0"/>
        <v>0</v>
      </c>
      <c r="F1" s="1">
        <f t="shared" si="0"/>
        <v>0</v>
      </c>
      <c r="G1" s="1">
        <f t="shared" si="0"/>
        <v>0</v>
      </c>
      <c r="H1" s="1">
        <f t="shared" si="0"/>
        <v>0</v>
      </c>
    </row>
    <row r="2" spans="1:8">
      <c r="A2">
        <v>20240418</v>
      </c>
      <c r="B2" t="s">
        <v>548</v>
      </c>
    </row>
    <row r="3" spans="1:8">
      <c r="C3" t="s">
        <v>549</v>
      </c>
    </row>
    <row r="4" spans="1:8">
      <c r="C4" t="s">
        <v>550</v>
      </c>
    </row>
    <row r="5" spans="1:8">
      <c r="C5" t="s">
        <v>551</v>
      </c>
    </row>
    <row r="6" spans="1:8">
      <c r="C6" t="s">
        <v>552</v>
      </c>
    </row>
    <row r="7" spans="1:8">
      <c r="B7" t="s">
        <v>553</v>
      </c>
    </row>
    <row r="8" spans="1:8">
      <c r="C8" t="s">
        <v>554</v>
      </c>
    </row>
    <row r="9" spans="1:8">
      <c r="C9" t="s">
        <v>555</v>
      </c>
    </row>
    <row r="10" spans="1:8">
      <c r="C10" t="s">
        <v>556</v>
      </c>
    </row>
    <row r="11" spans="1:8">
      <c r="D11" t="s">
        <v>557</v>
      </c>
    </row>
    <row r="12" spans="1:8">
      <c r="D12" t="s">
        <v>558</v>
      </c>
    </row>
    <row r="13" spans="1:8">
      <c r="B13" t="s">
        <v>559</v>
      </c>
    </row>
    <row r="14" spans="1:8">
      <c r="C14" t="s">
        <v>560</v>
      </c>
    </row>
    <row r="15" spans="1:8">
      <c r="D15" t="s">
        <v>561</v>
      </c>
    </row>
    <row r="16" spans="1:8">
      <c r="D16" t="s">
        <v>562</v>
      </c>
    </row>
    <row r="17" spans="2:3">
      <c r="C17" t="s">
        <v>563</v>
      </c>
    </row>
    <row r="18" spans="2:3">
      <c r="C18" t="s">
        <v>564</v>
      </c>
    </row>
    <row r="19" spans="2:3">
      <c r="C19" t="s">
        <v>565</v>
      </c>
    </row>
    <row r="20" spans="2:3">
      <c r="C20" t="s">
        <v>566</v>
      </c>
    </row>
    <row r="21" spans="2:3">
      <c r="B21" t="s">
        <v>567</v>
      </c>
    </row>
    <row r="22" spans="2:3">
      <c r="B22" t="s">
        <v>568</v>
      </c>
    </row>
    <row r="23" spans="2:3">
      <c r="B23" t="s">
        <v>569</v>
      </c>
    </row>
  </sheetData>
  <pageMargins left="0.75" right="0.75" top="1" bottom="1" header="0.5" footer="0.5"/>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topLeftCell="A5" workbookViewId="0">
      <selection activeCell="E32" sqref="E32"/>
    </sheetView>
  </sheetViews>
  <sheetFormatPr defaultColWidth="8.88888888888889" defaultRowHeight="14.4" outlineLevelCol="7"/>
  <cols>
    <col min="1" max="1" width="9.66666666666667"/>
  </cols>
  <sheetData>
    <row r="1" s="1" customFormat="1" spans="1:8">
      <c r="A1" s="1">
        <f>SUM(B1:AZ1)</f>
        <v>10.4166666666667</v>
      </c>
      <c r="B1" s="1">
        <f t="shared" ref="B1:H1" si="0">COUNTA(B2:B2049)/COLUMN()</f>
        <v>3</v>
      </c>
      <c r="C1" s="1">
        <f t="shared" si="0"/>
        <v>3.33333333333333</v>
      </c>
      <c r="D1" s="1">
        <f t="shared" si="0"/>
        <v>1.75</v>
      </c>
      <c r="E1" s="1">
        <f t="shared" si="0"/>
        <v>2</v>
      </c>
      <c r="F1" s="1">
        <f t="shared" si="0"/>
        <v>0.333333333333333</v>
      </c>
      <c r="G1" s="1">
        <f t="shared" si="0"/>
        <v>0</v>
      </c>
      <c r="H1" s="1">
        <f t="shared" si="0"/>
        <v>0</v>
      </c>
    </row>
    <row r="2" spans="1:8">
      <c r="A2">
        <v>20240420</v>
      </c>
      <c r="B2" t="s">
        <v>570</v>
      </c>
    </row>
    <row r="3" spans="1:8">
      <c r="C3" t="s">
        <v>571</v>
      </c>
    </row>
    <row r="4" spans="1:8">
      <c r="C4" t="s">
        <v>572</v>
      </c>
    </row>
    <row r="5" spans="1:8">
      <c r="B5" t="s">
        <v>573</v>
      </c>
    </row>
    <row r="6" spans="1:8">
      <c r="C6" t="s">
        <v>574</v>
      </c>
    </row>
    <row r="7" spans="1:8">
      <c r="B7" t="s">
        <v>575</v>
      </c>
    </row>
    <row r="8" spans="1:8">
      <c r="B8" t="s">
        <v>576</v>
      </c>
    </row>
    <row r="9" spans="1:8">
      <c r="C9" t="s">
        <v>577</v>
      </c>
    </row>
    <row r="10" spans="1:8">
      <c r="D10" t="s">
        <v>578</v>
      </c>
    </row>
    <row r="11" spans="1:8">
      <c r="C11" t="s">
        <v>579</v>
      </c>
    </row>
    <row r="12" spans="1:8">
      <c r="C12" t="s">
        <v>580</v>
      </c>
    </row>
    <row r="13" spans="1:8">
      <c r="D13" t="s">
        <v>581</v>
      </c>
    </row>
    <row r="14" spans="1:8">
      <c r="D14" t="s">
        <v>582</v>
      </c>
    </row>
    <row r="15" spans="1:8">
      <c r="B15" t="s">
        <v>583</v>
      </c>
    </row>
    <row r="16" spans="1:8">
      <c r="C16" t="s">
        <v>584</v>
      </c>
    </row>
    <row r="17" spans="2:6">
      <c r="D17" t="s">
        <v>585</v>
      </c>
    </row>
    <row r="18" spans="2:6">
      <c r="E18" t="s">
        <v>586</v>
      </c>
    </row>
    <row r="19" spans="2:6">
      <c r="E19" t="s">
        <v>587</v>
      </c>
    </row>
    <row r="20" spans="2:6">
      <c r="D20" t="s">
        <v>588</v>
      </c>
    </row>
    <row r="21" spans="2:6">
      <c r="E21" t="s">
        <v>589</v>
      </c>
    </row>
    <row r="22" spans="2:6">
      <c r="E22" t="s">
        <v>590</v>
      </c>
    </row>
    <row r="23" spans="2:6">
      <c r="E23" t="s">
        <v>591</v>
      </c>
    </row>
    <row r="24" spans="2:6">
      <c r="E24" t="s">
        <v>592</v>
      </c>
    </row>
    <row r="25" spans="2:6">
      <c r="B25" t="s">
        <v>593</v>
      </c>
    </row>
    <row r="26" spans="2:6">
      <c r="C26" t="s">
        <v>594</v>
      </c>
    </row>
    <row r="27" spans="2:6">
      <c r="C27" t="s">
        <v>595</v>
      </c>
    </row>
    <row r="28" spans="2:6">
      <c r="C28" t="s">
        <v>596</v>
      </c>
    </row>
    <row r="29" spans="2:6">
      <c r="D29" t="s">
        <v>597</v>
      </c>
    </row>
    <row r="30" spans="2:6">
      <c r="E30" t="s">
        <v>598</v>
      </c>
    </row>
    <row r="31" spans="2:6">
      <c r="F31" t="s">
        <v>599</v>
      </c>
    </row>
    <row r="32" spans="2:6">
      <c r="E32" t="s">
        <v>600</v>
      </c>
    </row>
    <row r="33" spans="4:6">
      <c r="D33" t="s">
        <v>601</v>
      </c>
    </row>
    <row r="34" spans="4:6">
      <c r="E34" t="s">
        <v>602</v>
      </c>
    </row>
    <row r="35" spans="4:6">
      <c r="E35" t="s">
        <v>603</v>
      </c>
    </row>
    <row r="36" spans="4:6">
      <c r="F36" t="s">
        <v>604</v>
      </c>
    </row>
  </sheetData>
  <pageMargins left="0.75" right="0.75" top="1" bottom="1" header="0.5" footer="0.5"/>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13" workbookViewId="0">
      <selection activeCell="B33" sqref="B33"/>
    </sheetView>
  </sheetViews>
  <sheetFormatPr defaultColWidth="8.88888888888889" defaultRowHeight="14.4" outlineLevelCol="7"/>
  <cols>
    <col min="1" max="1" width="9.66666666666667"/>
  </cols>
  <sheetData>
    <row r="1" s="1" customFormat="1" spans="1:8">
      <c r="A1" s="1">
        <f>SUM(B1:AZ1)</f>
        <v>15</v>
      </c>
      <c r="B1" s="1">
        <f t="shared" ref="B1:H1" si="0">COUNTA(B2:B2052)/COLUMN()</f>
        <v>3</v>
      </c>
      <c r="C1" s="1">
        <f t="shared" si="0"/>
        <v>6</v>
      </c>
      <c r="D1" s="1">
        <f t="shared" si="0"/>
        <v>5</v>
      </c>
      <c r="E1" s="1">
        <f t="shared" si="0"/>
        <v>1</v>
      </c>
      <c r="F1" s="1">
        <f t="shared" si="0"/>
        <v>0</v>
      </c>
      <c r="G1" s="1">
        <f t="shared" si="0"/>
        <v>0</v>
      </c>
      <c r="H1" s="1">
        <f t="shared" si="0"/>
        <v>0</v>
      </c>
    </row>
    <row r="2" spans="1:8">
      <c r="A2">
        <v>20240421</v>
      </c>
      <c r="B2" t="s">
        <v>605</v>
      </c>
    </row>
    <row r="3" spans="1:8">
      <c r="C3" t="s">
        <v>606</v>
      </c>
    </row>
    <row r="4" spans="1:8">
      <c r="C4" t="s">
        <v>607</v>
      </c>
    </row>
    <row r="5" spans="1:8">
      <c r="C5" t="s">
        <v>608</v>
      </c>
    </row>
    <row r="6" spans="1:8">
      <c r="C6" t="s">
        <v>609</v>
      </c>
    </row>
    <row r="7" spans="1:8">
      <c r="B7" t="s">
        <v>610</v>
      </c>
    </row>
    <row r="8" spans="1:8">
      <c r="C8" t="s">
        <v>611</v>
      </c>
    </row>
    <row r="9" spans="1:8">
      <c r="C9" t="s">
        <v>612</v>
      </c>
    </row>
    <row r="10" spans="1:8">
      <c r="C10" t="s">
        <v>613</v>
      </c>
    </row>
    <row r="11" spans="1:8">
      <c r="B11" t="s">
        <v>614</v>
      </c>
    </row>
    <row r="12" spans="1:8">
      <c r="C12" t="s">
        <v>615</v>
      </c>
    </row>
    <row r="13" spans="1:8">
      <c r="C13" t="s">
        <v>616</v>
      </c>
    </row>
    <row r="14" spans="1:8">
      <c r="C14" t="s">
        <v>617</v>
      </c>
    </row>
    <row r="15" spans="1:8">
      <c r="D15" t="s">
        <v>618</v>
      </c>
    </row>
    <row r="16" spans="1:8">
      <c r="D16" t="s">
        <v>619</v>
      </c>
    </row>
    <row r="17" spans="2:5">
      <c r="D17" t="s">
        <v>620</v>
      </c>
    </row>
    <row r="18" spans="2:5">
      <c r="E18" t="s">
        <v>621</v>
      </c>
    </row>
    <row r="19" spans="2:5">
      <c r="D19" t="s">
        <v>622</v>
      </c>
    </row>
    <row r="20" spans="2:5">
      <c r="C20" t="s">
        <v>623</v>
      </c>
    </row>
    <row r="21" spans="2:5">
      <c r="D21" t="s">
        <v>624</v>
      </c>
    </row>
    <row r="22" spans="2:5">
      <c r="D22" t="s">
        <v>625</v>
      </c>
    </row>
    <row r="23" spans="2:5">
      <c r="D23" t="s">
        <v>626</v>
      </c>
    </row>
    <row r="24" spans="2:5">
      <c r="E24" t="s">
        <v>627</v>
      </c>
    </row>
    <row r="25" spans="2:5">
      <c r="C25" t="s">
        <v>628</v>
      </c>
    </row>
    <row r="26" spans="2:5">
      <c r="D26" t="s">
        <v>624</v>
      </c>
    </row>
    <row r="27" spans="2:5">
      <c r="D27" t="s">
        <v>625</v>
      </c>
    </row>
    <row r="28" spans="2:5">
      <c r="D28" t="s">
        <v>629</v>
      </c>
    </row>
    <row r="29" spans="2:5">
      <c r="E29" t="s">
        <v>630</v>
      </c>
    </row>
    <row r="30" spans="2:5">
      <c r="C30" t="s">
        <v>631</v>
      </c>
    </row>
    <row r="31" spans="2:5">
      <c r="D31" t="s">
        <v>632</v>
      </c>
    </row>
    <row r="32" spans="2:5">
      <c r="B32" t="s">
        <v>633</v>
      </c>
    </row>
    <row r="33" spans="2:5">
      <c r="B33" t="s">
        <v>634</v>
      </c>
    </row>
    <row r="34" spans="2:5">
      <c r="C34" t="s">
        <v>635</v>
      </c>
    </row>
    <row r="35" spans="2:5">
      <c r="C35" t="s">
        <v>636</v>
      </c>
    </row>
    <row r="36" spans="2:5">
      <c r="B36" t="s">
        <v>637</v>
      </c>
    </row>
    <row r="37" spans="2:5">
      <c r="C37" t="s">
        <v>638</v>
      </c>
    </row>
    <row r="38" spans="2:5">
      <c r="C38" t="s">
        <v>639</v>
      </c>
    </row>
    <row r="39" spans="2:5">
      <c r="D39" t="s">
        <v>640</v>
      </c>
    </row>
    <row r="40" spans="2:5">
      <c r="D40" t="s">
        <v>641</v>
      </c>
    </row>
    <row r="41" spans="2:5">
      <c r="C41" t="s">
        <v>642</v>
      </c>
    </row>
    <row r="42" spans="2:5">
      <c r="D42" t="s">
        <v>643</v>
      </c>
    </row>
    <row r="43" spans="2:5">
      <c r="D43" t="s">
        <v>644</v>
      </c>
    </row>
    <row r="44" spans="2:5">
      <c r="D44" t="s">
        <v>645</v>
      </c>
    </row>
    <row r="45" spans="2:5">
      <c r="D45" t="s">
        <v>646</v>
      </c>
    </row>
    <row r="46" spans="2:5">
      <c r="E46" t="s">
        <v>647</v>
      </c>
    </row>
    <row r="47" spans="2:5">
      <c r="E47" t="s">
        <v>648</v>
      </c>
    </row>
    <row r="48" spans="2:5">
      <c r="D48" t="s">
        <v>649</v>
      </c>
    </row>
    <row r="49" spans="4:4">
      <c r="D49" t="s">
        <v>650</v>
      </c>
    </row>
    <row r="50" spans="4:4">
      <c r="D50" t="s">
        <v>651</v>
      </c>
    </row>
  </sheetData>
  <pageMargins left="0.75" right="0.75" top="1" bottom="1" header="0.5" footer="0.5"/>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9"/>
  <sheetViews>
    <sheetView zoomScale="145" zoomScaleNormal="145" topLeftCell="A5" workbookViewId="0">
      <selection activeCell="B23" sqref="B23"/>
    </sheetView>
  </sheetViews>
  <sheetFormatPr defaultColWidth="8.88888888888889" defaultRowHeight="14.4" outlineLevelCol="7"/>
  <cols>
    <col min="1" max="1" width="9.66666666666667"/>
  </cols>
  <sheetData>
    <row r="1" s="1" customFormat="1" spans="1:8">
      <c r="A1" s="1">
        <f>SUM(B1:AZ1)</f>
        <v>12.0333333333333</v>
      </c>
      <c r="B1" s="1">
        <f t="shared" ref="B1:H1" si="0">COUNTA(B2:B2052)/COLUMN()</f>
        <v>3</v>
      </c>
      <c r="C1" s="1">
        <f t="shared" si="0"/>
        <v>5.33333333333333</v>
      </c>
      <c r="D1" s="1">
        <f t="shared" si="0"/>
        <v>2.5</v>
      </c>
      <c r="E1" s="1">
        <f t="shared" si="0"/>
        <v>1.2</v>
      </c>
      <c r="F1" s="1">
        <f t="shared" si="0"/>
        <v>0</v>
      </c>
      <c r="G1" s="1">
        <f t="shared" si="0"/>
        <v>0</v>
      </c>
      <c r="H1" s="1">
        <f t="shared" si="0"/>
        <v>0</v>
      </c>
    </row>
    <row r="2" spans="1:8">
      <c r="A2">
        <v>20240422</v>
      </c>
      <c r="B2" t="s">
        <v>652</v>
      </c>
    </row>
    <row r="3" spans="1:8">
      <c r="C3" t="s">
        <v>653</v>
      </c>
    </row>
    <row r="4" spans="1:8">
      <c r="C4" t="s">
        <v>654</v>
      </c>
    </row>
    <row r="5" spans="1:8">
      <c r="C5" t="s">
        <v>655</v>
      </c>
    </row>
    <row r="6" spans="1:8">
      <c r="C6" t="s">
        <v>656</v>
      </c>
    </row>
    <row r="7" spans="1:8">
      <c r="D7" t="s">
        <v>657</v>
      </c>
    </row>
    <row r="8" spans="1:8">
      <c r="E8" t="s">
        <v>658</v>
      </c>
    </row>
    <row r="9" spans="1:8">
      <c r="E9" t="s">
        <v>659</v>
      </c>
    </row>
    <row r="10" spans="1:8">
      <c r="E10" t="s">
        <v>660</v>
      </c>
    </row>
    <row r="11" spans="1:8">
      <c r="D11" t="s">
        <v>661</v>
      </c>
    </row>
    <row r="12" spans="1:8">
      <c r="E12" t="s">
        <v>662</v>
      </c>
    </row>
    <row r="13" spans="1:8">
      <c r="E13" t="s">
        <v>663</v>
      </c>
    </row>
    <row r="14" spans="1:8">
      <c r="E14" t="s">
        <v>664</v>
      </c>
    </row>
    <row r="15" spans="1:8">
      <c r="C15" t="s">
        <v>665</v>
      </c>
    </row>
    <row r="16" spans="1:8">
      <c r="D16" t="s">
        <v>666</v>
      </c>
    </row>
    <row r="17" spans="2:4">
      <c r="D17" t="s">
        <v>667</v>
      </c>
    </row>
    <row r="18" spans="2:4">
      <c r="D18" t="s">
        <v>668</v>
      </c>
    </row>
    <row r="19" spans="2:4">
      <c r="B19" t="s">
        <v>669</v>
      </c>
    </row>
    <row r="20" spans="2:4">
      <c r="C20" t="s">
        <v>670</v>
      </c>
    </row>
    <row r="21" spans="2:4">
      <c r="C21" t="s">
        <v>671</v>
      </c>
    </row>
    <row r="22" spans="2:4">
      <c r="C22" t="s">
        <v>672</v>
      </c>
    </row>
    <row r="23" spans="2:4">
      <c r="B23" t="s">
        <v>673</v>
      </c>
    </row>
    <row r="24" spans="2:4">
      <c r="C24" t="s">
        <v>674</v>
      </c>
    </row>
    <row r="25" spans="2:4">
      <c r="D25" t="s">
        <v>675</v>
      </c>
    </row>
    <row r="26" spans="2:4">
      <c r="D26" t="s">
        <v>676</v>
      </c>
    </row>
    <row r="27" spans="2:4">
      <c r="C27" t="s">
        <v>677</v>
      </c>
    </row>
    <row r="28" spans="2:4">
      <c r="B28" t="s">
        <v>678</v>
      </c>
    </row>
    <row r="29" spans="2:4">
      <c r="B29" t="s">
        <v>679</v>
      </c>
    </row>
    <row r="30" spans="2:4">
      <c r="C30" t="s">
        <v>680</v>
      </c>
    </row>
    <row r="31" spans="2:4">
      <c r="C31" t="s">
        <v>681</v>
      </c>
    </row>
    <row r="32" spans="2:4">
      <c r="D32" t="s">
        <v>682</v>
      </c>
    </row>
    <row r="33" spans="2:4">
      <c r="D33" t="s">
        <v>683</v>
      </c>
    </row>
    <row r="34" spans="2:4">
      <c r="D34" t="s">
        <v>684</v>
      </c>
    </row>
    <row r="35" spans="2:4">
      <c r="C35" t="s">
        <v>685</v>
      </c>
    </row>
    <row r="36" spans="2:4">
      <c r="B36" t="s">
        <v>686</v>
      </c>
    </row>
    <row r="37" spans="2:4">
      <c r="C37" t="s">
        <v>687</v>
      </c>
    </row>
    <row r="38" spans="2:4">
      <c r="C38" t="s">
        <v>688</v>
      </c>
    </row>
    <row r="39" spans="2:4">
      <c r="C39" t="s">
        <v>689</v>
      </c>
    </row>
  </sheetData>
  <pageMargins left="0.75" right="0.75" top="1" bottom="1" header="0.5" footer="0.5"/>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4" workbookViewId="0">
      <selection activeCell="C18" sqref="C18"/>
    </sheetView>
  </sheetViews>
  <sheetFormatPr defaultColWidth="8.88888888888889" defaultRowHeight="14.4" outlineLevelCol="7"/>
  <cols>
    <col min="1" max="1" width="9.66666666666667"/>
  </cols>
  <sheetData>
    <row r="1" s="1" customFormat="1" spans="1:8">
      <c r="A1" s="1">
        <f>SUM(B1:AZ1)</f>
        <v>7.45952380952381</v>
      </c>
      <c r="B1" s="1">
        <f t="shared" ref="B1:H1" si="0">COUNTA(B2:B2053)/COLUMN()</f>
        <v>1.5</v>
      </c>
      <c r="C1" s="1">
        <f t="shared" si="0"/>
        <v>2</v>
      </c>
      <c r="D1" s="1">
        <f t="shared" si="0"/>
        <v>1.75</v>
      </c>
      <c r="E1" s="1">
        <f t="shared" si="0"/>
        <v>1.4</v>
      </c>
      <c r="F1" s="1">
        <f t="shared" si="0"/>
        <v>0.666666666666667</v>
      </c>
      <c r="G1" s="1">
        <f t="shared" si="0"/>
        <v>0.142857142857143</v>
      </c>
      <c r="H1" s="1">
        <f t="shared" si="0"/>
        <v>0</v>
      </c>
    </row>
    <row r="2" spans="1:8">
      <c r="A2">
        <v>20240423</v>
      </c>
      <c r="B2" t="s">
        <v>690</v>
      </c>
    </row>
    <row r="3" spans="1:8">
      <c r="C3" t="s">
        <v>691</v>
      </c>
    </row>
    <row r="4" spans="1:8">
      <c r="D4" t="s">
        <v>692</v>
      </c>
    </row>
    <row r="5" spans="1:8">
      <c r="C5" t="s">
        <v>693</v>
      </c>
    </row>
    <row r="6" spans="1:8">
      <c r="D6" t="s">
        <v>694</v>
      </c>
    </row>
    <row r="7" spans="1:8">
      <c r="B7" t="s">
        <v>695</v>
      </c>
    </row>
    <row r="8" spans="1:8">
      <c r="C8" t="s">
        <v>696</v>
      </c>
    </row>
    <row r="9" spans="1:8">
      <c r="C9" t="s">
        <v>697</v>
      </c>
    </row>
    <row r="10" spans="1:8">
      <c r="D10" t="s">
        <v>698</v>
      </c>
    </row>
    <row r="11" spans="1:8">
      <c r="D11" t="s">
        <v>699</v>
      </c>
    </row>
    <row r="12" spans="1:8">
      <c r="E12" t="s">
        <v>700</v>
      </c>
    </row>
    <row r="13" spans="1:8">
      <c r="E13" t="s">
        <v>701</v>
      </c>
    </row>
    <row r="14" spans="1:8">
      <c r="F14" t="s">
        <v>702</v>
      </c>
    </row>
    <row r="15" spans="1:8">
      <c r="F15" t="s">
        <v>703</v>
      </c>
    </row>
    <row r="16" spans="1:8">
      <c r="G16" t="s">
        <v>704</v>
      </c>
    </row>
    <row r="17" spans="2:6">
      <c r="B17" t="s">
        <v>705</v>
      </c>
    </row>
    <row r="18" spans="2:6">
      <c r="C18" t="s">
        <v>706</v>
      </c>
    </row>
    <row r="19" spans="2:6">
      <c r="C19" t="s">
        <v>707</v>
      </c>
    </row>
    <row r="20" spans="2:6">
      <c r="D20" t="s">
        <v>708</v>
      </c>
    </row>
    <row r="21" spans="2:6">
      <c r="D21" t="s">
        <v>709</v>
      </c>
    </row>
    <row r="22" spans="2:6">
      <c r="E22" t="s">
        <v>710</v>
      </c>
    </row>
    <row r="23" spans="2:6">
      <c r="E23" t="s">
        <v>711</v>
      </c>
    </row>
    <row r="24" spans="2:6">
      <c r="E24" t="s">
        <v>712</v>
      </c>
    </row>
    <row r="25" spans="2:6">
      <c r="D25" t="s">
        <v>713</v>
      </c>
    </row>
    <row r="26" spans="2:6">
      <c r="E26" t="s">
        <v>714</v>
      </c>
    </row>
    <row r="27" spans="2:6">
      <c r="F27" t="s">
        <v>715</v>
      </c>
    </row>
    <row r="28" spans="2:6">
      <c r="E28" t="s">
        <v>716</v>
      </c>
    </row>
    <row r="29" spans="2:6">
      <c r="F29" t="s">
        <v>717</v>
      </c>
    </row>
  </sheetData>
  <pageMargins left="0.75" right="0.75" top="1" bottom="1" header="0.5" footer="0.5"/>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25" sqref="C25"/>
    </sheetView>
  </sheetViews>
  <sheetFormatPr defaultColWidth="8.88888888888889" defaultRowHeight="14.4" outlineLevelCol="7"/>
  <cols>
    <col min="1" max="1" width="9.66666666666667"/>
  </cols>
  <sheetData>
    <row r="1" s="1" customFormat="1" spans="1:8">
      <c r="A1" s="1">
        <f>SUM(B1:AZ1)</f>
        <v>7.05</v>
      </c>
      <c r="B1" s="1">
        <f t="shared" ref="B1:H1" si="0">COUNTA(B2:B2053)/COLUMN()</f>
        <v>1.5</v>
      </c>
      <c r="C1" s="1">
        <f t="shared" si="0"/>
        <v>2</v>
      </c>
      <c r="D1" s="1">
        <f t="shared" si="0"/>
        <v>2.75</v>
      </c>
      <c r="E1" s="1">
        <f t="shared" si="0"/>
        <v>0.8</v>
      </c>
      <c r="F1" s="1">
        <f t="shared" si="0"/>
        <v>0</v>
      </c>
      <c r="G1" s="1">
        <f t="shared" si="0"/>
        <v>0</v>
      </c>
      <c r="H1" s="1">
        <f t="shared" si="0"/>
        <v>0</v>
      </c>
    </row>
    <row r="2" spans="1:8">
      <c r="A2">
        <v>20240424</v>
      </c>
      <c r="B2" t="s">
        <v>718</v>
      </c>
    </row>
    <row r="3" spans="1:8">
      <c r="B3" t="s">
        <v>719</v>
      </c>
    </row>
    <row r="4" spans="1:8">
      <c r="C4" t="s">
        <v>720</v>
      </c>
    </row>
    <row r="5" spans="1:8">
      <c r="C5" t="s">
        <v>721</v>
      </c>
    </row>
    <row r="6" spans="1:8">
      <c r="B6" t="s">
        <v>722</v>
      </c>
    </row>
    <row r="7" spans="1:8">
      <c r="C7" t="s">
        <v>723</v>
      </c>
    </row>
    <row r="8" spans="1:8">
      <c r="D8" t="s">
        <v>724</v>
      </c>
    </row>
    <row r="9" spans="1:8">
      <c r="D9" t="s">
        <v>725</v>
      </c>
    </row>
    <row r="10" spans="1:8">
      <c r="D10" t="s">
        <v>726</v>
      </c>
    </row>
    <row r="11" spans="1:8">
      <c r="D11" t="s">
        <v>727</v>
      </c>
    </row>
    <row r="12" spans="1:8">
      <c r="D12" t="s">
        <v>728</v>
      </c>
    </row>
    <row r="13" spans="1:8">
      <c r="C13" t="s">
        <v>729</v>
      </c>
    </row>
    <row r="14" spans="1:8">
      <c r="D14" t="s">
        <v>730</v>
      </c>
    </row>
    <row r="15" spans="1:8">
      <c r="D15" t="s">
        <v>731</v>
      </c>
    </row>
    <row r="16" spans="1:8">
      <c r="D16" t="s">
        <v>732</v>
      </c>
    </row>
    <row r="17" spans="3:5">
      <c r="D17" t="s">
        <v>733</v>
      </c>
    </row>
    <row r="18" spans="3:5">
      <c r="C18" t="s">
        <v>734</v>
      </c>
    </row>
    <row r="19" spans="3:5">
      <c r="D19" t="s">
        <v>735</v>
      </c>
    </row>
    <row r="20" spans="3:5">
      <c r="D20" t="s">
        <v>736</v>
      </c>
    </row>
    <row r="21" spans="3:5">
      <c r="E21" t="s">
        <v>737</v>
      </c>
    </row>
    <row r="22" spans="3:5">
      <c r="E22" t="s">
        <v>738</v>
      </c>
    </row>
    <row r="23" spans="3:5">
      <c r="E23" t="s">
        <v>739</v>
      </c>
    </row>
    <row r="24" spans="3:5">
      <c r="E24" t="s">
        <v>740</v>
      </c>
    </row>
    <row r="25" spans="3:5">
      <c r="C25" t="s">
        <v>741</v>
      </c>
    </row>
  </sheetData>
  <pageMargins left="0.75" right="0.75" top="1" bottom="1" header="0.5" footer="0.5"/>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8"/>
  <sheetViews>
    <sheetView topLeftCell="A49" workbookViewId="0">
      <selection activeCell="C77" sqref="C77"/>
    </sheetView>
  </sheetViews>
  <sheetFormatPr defaultColWidth="8.88888888888889" defaultRowHeight="14.4" outlineLevelCol="7"/>
  <cols>
    <col min="1" max="1" width="9.66666666666667"/>
  </cols>
  <sheetData>
    <row r="1" s="1" customFormat="1" spans="1:8">
      <c r="A1" s="1">
        <f>SUM(B1:AZ1)</f>
        <v>23.5</v>
      </c>
      <c r="B1" s="1">
        <f t="shared" ref="B1:H1" si="0">COUNTA(B2:B2052)/COLUMN()</f>
        <v>4.5</v>
      </c>
      <c r="C1" s="1">
        <f t="shared" si="0"/>
        <v>10.3333333333333</v>
      </c>
      <c r="D1" s="1">
        <f t="shared" si="0"/>
        <v>7</v>
      </c>
      <c r="E1" s="1">
        <f t="shared" si="0"/>
        <v>1</v>
      </c>
      <c r="F1" s="1">
        <f t="shared" si="0"/>
        <v>0.666666666666667</v>
      </c>
      <c r="G1" s="1">
        <f t="shared" si="0"/>
        <v>0</v>
      </c>
      <c r="H1" s="1">
        <f t="shared" si="0"/>
        <v>0</v>
      </c>
    </row>
    <row r="2" spans="1:8">
      <c r="A2">
        <v>20240425</v>
      </c>
      <c r="B2" t="s">
        <v>742</v>
      </c>
    </row>
    <row r="3" spans="1:8">
      <c r="C3" t="s">
        <v>743</v>
      </c>
    </row>
    <row r="4" spans="1:8">
      <c r="C4" t="s">
        <v>744</v>
      </c>
    </row>
    <row r="5" spans="1:8">
      <c r="C5" t="s">
        <v>745</v>
      </c>
    </row>
    <row r="6" spans="1:8">
      <c r="C6" t="s">
        <v>746</v>
      </c>
    </row>
    <row r="7" spans="1:8">
      <c r="C7" t="s">
        <v>747</v>
      </c>
    </row>
    <row r="8" spans="1:8">
      <c r="C8" t="s">
        <v>748</v>
      </c>
    </row>
    <row r="9" spans="1:8">
      <c r="B9" t="s">
        <v>749</v>
      </c>
    </row>
    <row r="10" spans="1:8">
      <c r="C10" t="s">
        <v>750</v>
      </c>
    </row>
    <row r="11" spans="1:8">
      <c r="C11" t="s">
        <v>751</v>
      </c>
    </row>
    <row r="12" spans="1:8">
      <c r="C12" t="s">
        <v>752</v>
      </c>
    </row>
    <row r="13" spans="1:8">
      <c r="D13" t="s">
        <v>753</v>
      </c>
    </row>
    <row r="14" spans="1:8">
      <c r="D14" t="s">
        <v>754</v>
      </c>
    </row>
    <row r="15" spans="1:8">
      <c r="D15" t="s">
        <v>755</v>
      </c>
    </row>
    <row r="16" spans="1:8">
      <c r="D16" t="s">
        <v>756</v>
      </c>
    </row>
    <row r="17" spans="2:5">
      <c r="B17" t="s">
        <v>757</v>
      </c>
    </row>
    <row r="18" spans="2:5">
      <c r="C18" t="s">
        <v>758</v>
      </c>
    </row>
    <row r="19" spans="2:5">
      <c r="D19" t="s">
        <v>759</v>
      </c>
    </row>
    <row r="20" spans="2:5">
      <c r="D20" t="s">
        <v>760</v>
      </c>
    </row>
    <row r="21" spans="2:5">
      <c r="D21" t="s">
        <v>761</v>
      </c>
    </row>
    <row r="22" spans="2:5">
      <c r="C22" t="s">
        <v>762</v>
      </c>
    </row>
    <row r="23" spans="2:5">
      <c r="D23" t="s">
        <v>763</v>
      </c>
    </row>
    <row r="24" spans="2:5">
      <c r="D24" t="s">
        <v>764</v>
      </c>
    </row>
    <row r="25" spans="2:5">
      <c r="D25" t="s">
        <v>765</v>
      </c>
    </row>
    <row r="26" spans="2:5">
      <c r="B26" t="s">
        <v>766</v>
      </c>
    </row>
    <row r="27" spans="2:5">
      <c r="C27" t="s">
        <v>767</v>
      </c>
    </row>
    <row r="28" spans="2:5">
      <c r="D28" t="s">
        <v>768</v>
      </c>
    </row>
    <row r="29" spans="2:5">
      <c r="D29" t="s">
        <v>769</v>
      </c>
    </row>
    <row r="30" spans="2:5">
      <c r="D30" t="s">
        <v>770</v>
      </c>
    </row>
    <row r="31" spans="2:5">
      <c r="E31" t="s">
        <v>771</v>
      </c>
    </row>
    <row r="32" spans="2:5">
      <c r="C32" t="s">
        <v>772</v>
      </c>
    </row>
    <row r="33" spans="2:6">
      <c r="D33" t="s">
        <v>773</v>
      </c>
    </row>
    <row r="34" spans="2:6">
      <c r="D34" t="s">
        <v>774</v>
      </c>
    </row>
    <row r="35" spans="2:6">
      <c r="D35" t="s">
        <v>775</v>
      </c>
    </row>
    <row r="36" spans="2:6">
      <c r="B36" t="s">
        <v>776</v>
      </c>
    </row>
    <row r="37" spans="2:6">
      <c r="C37" t="s">
        <v>777</v>
      </c>
    </row>
    <row r="38" spans="2:6">
      <c r="D38" t="s">
        <v>778</v>
      </c>
    </row>
    <row r="39" spans="2:6">
      <c r="D39" t="s">
        <v>769</v>
      </c>
    </row>
    <row r="40" spans="2:6">
      <c r="D40" t="s">
        <v>779</v>
      </c>
    </row>
    <row r="41" spans="2:6">
      <c r="E41" t="s">
        <v>780</v>
      </c>
    </row>
    <row r="42" spans="2:6">
      <c r="E42" t="s">
        <v>781</v>
      </c>
    </row>
    <row r="43" spans="2:6">
      <c r="E43" t="s">
        <v>782</v>
      </c>
    </row>
    <row r="44" spans="2:6">
      <c r="F44" t="s">
        <v>783</v>
      </c>
    </row>
    <row r="45" spans="2:6">
      <c r="F45" t="s">
        <v>784</v>
      </c>
    </row>
    <row r="46" spans="2:6">
      <c r="F46" t="s">
        <v>785</v>
      </c>
    </row>
    <row r="47" spans="2:6">
      <c r="F47" t="s">
        <v>786</v>
      </c>
    </row>
    <row r="48" spans="2:6">
      <c r="E48" t="s">
        <v>787</v>
      </c>
    </row>
    <row r="49" spans="2:4">
      <c r="B49" t="s">
        <v>788</v>
      </c>
    </row>
    <row r="50" spans="2:4">
      <c r="C50" t="s">
        <v>789</v>
      </c>
    </row>
    <row r="51" spans="2:4">
      <c r="C51" t="s">
        <v>790</v>
      </c>
    </row>
    <row r="52" spans="2:4">
      <c r="D52" t="s">
        <v>791</v>
      </c>
    </row>
    <row r="53" spans="2:4">
      <c r="D53" t="s">
        <v>792</v>
      </c>
    </row>
    <row r="54" spans="2:4">
      <c r="D54" t="s">
        <v>793</v>
      </c>
    </row>
    <row r="55" spans="2:4">
      <c r="C55" t="s">
        <v>794</v>
      </c>
    </row>
    <row r="56" spans="2:4">
      <c r="C56" t="s">
        <v>795</v>
      </c>
    </row>
    <row r="57" spans="2:4">
      <c r="D57" t="s">
        <v>796</v>
      </c>
    </row>
    <row r="58" spans="2:4">
      <c r="D58" t="s">
        <v>797</v>
      </c>
    </row>
    <row r="59" spans="2:4">
      <c r="D59" t="s">
        <v>798</v>
      </c>
    </row>
    <row r="60" spans="2:4">
      <c r="D60" t="s">
        <v>799</v>
      </c>
    </row>
    <row r="61" spans="2:4">
      <c r="B61" t="s">
        <v>800</v>
      </c>
    </row>
    <row r="62" spans="2:4">
      <c r="C62" t="s">
        <v>801</v>
      </c>
    </row>
    <row r="63" spans="2:4">
      <c r="C63" t="s">
        <v>802</v>
      </c>
    </row>
    <row r="64" spans="2:4">
      <c r="C64" t="s">
        <v>803</v>
      </c>
    </row>
    <row r="65" spans="2:4">
      <c r="C65" t="s">
        <v>804</v>
      </c>
    </row>
    <row r="66" spans="2:4">
      <c r="C66" t="s">
        <v>805</v>
      </c>
    </row>
    <row r="67" spans="2:4">
      <c r="C67" t="s">
        <v>806</v>
      </c>
    </row>
    <row r="68" spans="2:4">
      <c r="C68" t="s">
        <v>807</v>
      </c>
    </row>
    <row r="69" spans="2:4">
      <c r="B69" t="s">
        <v>808</v>
      </c>
    </row>
    <row r="70" spans="2:4">
      <c r="C70" t="s">
        <v>809</v>
      </c>
    </row>
    <row r="71" spans="2:4">
      <c r="C71" t="s">
        <v>810</v>
      </c>
    </row>
    <row r="72" spans="2:4">
      <c r="C72" t="s">
        <v>811</v>
      </c>
    </row>
    <row r="73" spans="2:4">
      <c r="D73" t="s">
        <v>812</v>
      </c>
    </row>
    <row r="74" spans="2:4">
      <c r="D74" t="s">
        <v>813</v>
      </c>
    </row>
    <row r="75" spans="2:4">
      <c r="B75" s="4" t="s">
        <v>814</v>
      </c>
    </row>
    <row r="76" spans="2:4">
      <c r="C76" t="s">
        <v>815</v>
      </c>
    </row>
    <row r="77" spans="2:4">
      <c r="C77" t="s">
        <v>816</v>
      </c>
    </row>
    <row r="78" spans="2:4">
      <c r="C78" t="s">
        <v>817</v>
      </c>
    </row>
  </sheetData>
  <pageMargins left="0.75" right="0.75" top="1" bottom="1" header="0.5" footer="0.5"/>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7"/>
  <sheetViews>
    <sheetView workbookViewId="0">
      <selection activeCell="C6" sqref="C6"/>
    </sheetView>
  </sheetViews>
  <sheetFormatPr defaultColWidth="8.88888888888889" defaultRowHeight="14.4" outlineLevelCol="7"/>
  <cols>
    <col min="1" max="1" width="9.66666666666667"/>
  </cols>
  <sheetData>
    <row r="1" s="1" customFormat="1" spans="1:8">
      <c r="A1" s="1">
        <f>SUM(B1:AZ1)</f>
        <v>46.05</v>
      </c>
      <c r="B1" s="1">
        <f t="shared" ref="B1:H1" si="0">COUNTA(B2:B2057)/COLUMN()</f>
        <v>9</v>
      </c>
      <c r="C1" s="1">
        <f t="shared" si="0"/>
        <v>21</v>
      </c>
      <c r="D1" s="1">
        <f t="shared" si="0"/>
        <v>15.25</v>
      </c>
      <c r="E1" s="1">
        <f t="shared" si="0"/>
        <v>0.8</v>
      </c>
      <c r="F1" s="1">
        <f t="shared" si="0"/>
        <v>0</v>
      </c>
      <c r="G1" s="1">
        <f t="shared" si="0"/>
        <v>0</v>
      </c>
      <c r="H1" s="1">
        <f t="shared" si="0"/>
        <v>0</v>
      </c>
    </row>
    <row r="2" spans="1:8">
      <c r="A2">
        <v>20240426</v>
      </c>
      <c r="B2" t="s">
        <v>818</v>
      </c>
    </row>
    <row r="3" spans="1:8">
      <c r="C3" s="3" t="s">
        <v>819</v>
      </c>
    </row>
    <row r="4" spans="1:8">
      <c r="C4" s="3" t="s">
        <v>820</v>
      </c>
    </row>
    <row r="5" spans="1:8">
      <c r="C5" s="3" t="s">
        <v>821</v>
      </c>
    </row>
    <row r="6" spans="1:8">
      <c r="C6" t="s">
        <v>822</v>
      </c>
    </row>
    <row r="7" spans="1:8">
      <c r="B7" t="s">
        <v>823</v>
      </c>
    </row>
    <row r="8" spans="1:8">
      <c r="C8" t="s">
        <v>824</v>
      </c>
    </row>
    <row r="9" spans="1:8">
      <c r="C9" t="s">
        <v>825</v>
      </c>
    </row>
    <row r="10" spans="1:8">
      <c r="C10" s="3" t="s">
        <v>826</v>
      </c>
    </row>
    <row r="11" spans="1:8">
      <c r="C11" t="s">
        <v>827</v>
      </c>
    </row>
    <row r="12" spans="1:8">
      <c r="B12" t="s">
        <v>828</v>
      </c>
    </row>
    <row r="13" spans="1:8">
      <c r="C13" t="s">
        <v>829</v>
      </c>
    </row>
    <row r="14" spans="1:8">
      <c r="C14" s="3" t="s">
        <v>830</v>
      </c>
    </row>
    <row r="15" spans="1:8">
      <c r="C15" s="3" t="s">
        <v>831</v>
      </c>
    </row>
    <row r="16" spans="1:8">
      <c r="C16" s="3" t="s">
        <v>832</v>
      </c>
    </row>
    <row r="17" spans="2:4">
      <c r="B17" t="s">
        <v>833</v>
      </c>
      <c r="C17" s="3"/>
    </row>
    <row r="18" spans="2:4">
      <c r="C18" t="s">
        <v>834</v>
      </c>
    </row>
    <row r="19" spans="2:4">
      <c r="C19" s="3" t="s">
        <v>835</v>
      </c>
    </row>
    <row r="20" spans="2:4">
      <c r="C20" t="s">
        <v>836</v>
      </c>
    </row>
    <row r="21" spans="2:4">
      <c r="C21" s="3" t="s">
        <v>837</v>
      </c>
    </row>
    <row r="22" spans="2:4">
      <c r="B22" t="s">
        <v>838</v>
      </c>
    </row>
    <row r="23" spans="2:4">
      <c r="C23" t="s">
        <v>839</v>
      </c>
    </row>
    <row r="24" spans="2:4">
      <c r="C24" t="s">
        <v>840</v>
      </c>
    </row>
    <row r="25" spans="2:4">
      <c r="C25" t="s">
        <v>841</v>
      </c>
    </row>
    <row r="26" spans="2:4">
      <c r="D26" t="s">
        <v>842</v>
      </c>
    </row>
    <row r="27" spans="2:4">
      <c r="D27" t="s">
        <v>843</v>
      </c>
    </row>
    <row r="28" spans="2:4">
      <c r="C28" t="s">
        <v>844</v>
      </c>
    </row>
    <row r="29" spans="2:4">
      <c r="B29" t="s">
        <v>845</v>
      </c>
    </row>
    <row r="30" spans="2:4">
      <c r="C30" t="s">
        <v>846</v>
      </c>
    </row>
    <row r="31" spans="2:4">
      <c r="D31" t="s">
        <v>847</v>
      </c>
    </row>
    <row r="32" spans="2:4">
      <c r="D32" t="s">
        <v>848</v>
      </c>
    </row>
    <row r="33" spans="2:4">
      <c r="D33" t="s">
        <v>849</v>
      </c>
    </row>
    <row r="34" spans="2:4">
      <c r="C34" t="s">
        <v>850</v>
      </c>
    </row>
    <row r="35" spans="2:4">
      <c r="D35" t="s">
        <v>851</v>
      </c>
    </row>
    <row r="36" spans="2:4">
      <c r="D36" t="s">
        <v>852</v>
      </c>
    </row>
    <row r="37" spans="2:4">
      <c r="C37" t="s">
        <v>853</v>
      </c>
    </row>
    <row r="38" spans="2:4">
      <c r="C38" t="s">
        <v>854</v>
      </c>
    </row>
    <row r="39" spans="2:4">
      <c r="B39" t="s">
        <v>855</v>
      </c>
    </row>
    <row r="40" spans="2:4">
      <c r="C40" t="s">
        <v>856</v>
      </c>
    </row>
    <row r="41" spans="2:4">
      <c r="D41" t="s">
        <v>857</v>
      </c>
    </row>
    <row r="42" spans="2:4">
      <c r="C42" t="s">
        <v>858</v>
      </c>
    </row>
    <row r="43" spans="2:4">
      <c r="D43" t="s">
        <v>859</v>
      </c>
    </row>
    <row r="44" spans="2:4">
      <c r="C44" t="s">
        <v>860</v>
      </c>
    </row>
    <row r="45" spans="2:4">
      <c r="C45" t="s">
        <v>861</v>
      </c>
    </row>
    <row r="46" spans="2:4">
      <c r="B46" t="s">
        <v>862</v>
      </c>
    </row>
    <row r="47" spans="2:4">
      <c r="C47" t="s">
        <v>863</v>
      </c>
    </row>
    <row r="48" spans="2:4">
      <c r="C48" t="s">
        <v>864</v>
      </c>
    </row>
    <row r="49" spans="2:5">
      <c r="C49" t="s">
        <v>865</v>
      </c>
    </row>
    <row r="50" spans="2:5">
      <c r="C50" t="s">
        <v>866</v>
      </c>
    </row>
    <row r="51" spans="2:5">
      <c r="B51" t="s">
        <v>867</v>
      </c>
    </row>
    <row r="52" spans="2:5">
      <c r="C52" t="s">
        <v>868</v>
      </c>
    </row>
    <row r="53" spans="2:5">
      <c r="D53" t="s">
        <v>869</v>
      </c>
    </row>
    <row r="54" spans="2:5">
      <c r="D54" t="s">
        <v>870</v>
      </c>
    </row>
    <row r="55" spans="2:5">
      <c r="D55" t="s">
        <v>871</v>
      </c>
    </row>
    <row r="56" spans="2:5">
      <c r="C56" t="s">
        <v>872</v>
      </c>
    </row>
    <row r="57" spans="2:5">
      <c r="C57" t="s">
        <v>873</v>
      </c>
    </row>
    <row r="58" spans="2:5">
      <c r="D58" t="s">
        <v>874</v>
      </c>
    </row>
    <row r="59" spans="2:5">
      <c r="C59" t="s">
        <v>875</v>
      </c>
    </row>
    <row r="60" spans="2:5">
      <c r="B60" t="s">
        <v>876</v>
      </c>
    </row>
    <row r="61" spans="2:5">
      <c r="C61" t="s">
        <v>877</v>
      </c>
    </row>
    <row r="62" spans="2:5">
      <c r="D62" t="s">
        <v>878</v>
      </c>
    </row>
    <row r="63" spans="2:5">
      <c r="E63" t="s">
        <v>879</v>
      </c>
    </row>
    <row r="64" spans="2:5">
      <c r="E64" t="s">
        <v>880</v>
      </c>
    </row>
    <row r="65" spans="2:5">
      <c r="D65" t="s">
        <v>881</v>
      </c>
    </row>
    <row r="66" spans="2:5">
      <c r="E66" t="s">
        <v>882</v>
      </c>
    </row>
    <row r="67" spans="2:5">
      <c r="E67" t="s">
        <v>883</v>
      </c>
    </row>
    <row r="68" spans="2:5">
      <c r="C68" t="s">
        <v>884</v>
      </c>
    </row>
    <row r="69" spans="2:5">
      <c r="C69" t="s">
        <v>885</v>
      </c>
    </row>
    <row r="70" spans="2:5">
      <c r="C70" t="s">
        <v>886</v>
      </c>
    </row>
    <row r="71" spans="2:5">
      <c r="B71" t="s">
        <v>887</v>
      </c>
    </row>
    <row r="72" spans="2:5">
      <c r="C72" t="s">
        <v>888</v>
      </c>
    </row>
    <row r="73" spans="2:5">
      <c r="C73" t="s">
        <v>889</v>
      </c>
    </row>
    <row r="74" spans="2:5">
      <c r="D74" t="s">
        <v>890</v>
      </c>
    </row>
    <row r="75" spans="2:5">
      <c r="D75" t="s">
        <v>891</v>
      </c>
    </row>
    <row r="76" spans="2:5">
      <c r="D76" t="s">
        <v>892</v>
      </c>
    </row>
    <row r="77" spans="2:5">
      <c r="C77" t="s">
        <v>893</v>
      </c>
    </row>
    <row r="78" spans="2:5">
      <c r="B78" t="s">
        <v>894</v>
      </c>
    </row>
    <row r="79" spans="2:5">
      <c r="C79" s="3" t="s">
        <v>895</v>
      </c>
    </row>
    <row r="80" spans="2:5">
      <c r="C80" s="3" t="s">
        <v>896</v>
      </c>
    </row>
    <row r="81" spans="2:4">
      <c r="C81" s="3" t="s">
        <v>897</v>
      </c>
    </row>
    <row r="82" spans="2:4">
      <c r="C82" t="s">
        <v>898</v>
      </c>
    </row>
    <row r="83" spans="2:4">
      <c r="D83" s="3" t="s">
        <v>899</v>
      </c>
    </row>
    <row r="84" spans="2:4">
      <c r="D84" t="s">
        <v>900</v>
      </c>
    </row>
    <row r="85" spans="2:4">
      <c r="D85" t="s">
        <v>901</v>
      </c>
    </row>
    <row r="86" spans="2:4">
      <c r="D86" t="s">
        <v>902</v>
      </c>
    </row>
    <row r="87" spans="2:4">
      <c r="D87" t="s">
        <v>903</v>
      </c>
    </row>
    <row r="88" spans="2:4">
      <c r="C88" t="s">
        <v>904</v>
      </c>
    </row>
    <row r="89" spans="2:4">
      <c r="C89" t="s">
        <v>905</v>
      </c>
    </row>
    <row r="90" spans="2:4">
      <c r="C90" t="s">
        <v>906</v>
      </c>
    </row>
    <row r="91" spans="2:4">
      <c r="D91" t="s">
        <v>907</v>
      </c>
    </row>
    <row r="92" spans="2:4">
      <c r="D92" t="s">
        <v>908</v>
      </c>
    </row>
    <row r="93" spans="2:4">
      <c r="D93" t="s">
        <v>909</v>
      </c>
    </row>
    <row r="94" spans="2:4">
      <c r="D94" t="s">
        <v>910</v>
      </c>
    </row>
    <row r="95" spans="2:4">
      <c r="B95" t="s">
        <v>911</v>
      </c>
    </row>
    <row r="96" spans="2:4">
      <c r="C96" t="s">
        <v>912</v>
      </c>
    </row>
    <row r="97" spans="2:4">
      <c r="D97" t="s">
        <v>913</v>
      </c>
    </row>
    <row r="98" spans="2:4">
      <c r="D98" t="s">
        <v>914</v>
      </c>
    </row>
    <row r="99" spans="2:4">
      <c r="B99" t="s">
        <v>915</v>
      </c>
    </row>
    <row r="100" spans="2:4">
      <c r="C100" t="s">
        <v>916</v>
      </c>
    </row>
    <row r="101" spans="2:4">
      <c r="D101" t="s">
        <v>917</v>
      </c>
    </row>
    <row r="102" spans="2:4">
      <c r="D102" t="s">
        <v>918</v>
      </c>
    </row>
    <row r="103" spans="2:4">
      <c r="D103" t="s">
        <v>919</v>
      </c>
    </row>
    <row r="104" spans="2:4">
      <c r="D104" t="s">
        <v>920</v>
      </c>
    </row>
    <row r="105" spans="2:4">
      <c r="D105" t="s">
        <v>921</v>
      </c>
    </row>
    <row r="106" spans="2:4">
      <c r="C106" t="s">
        <v>922</v>
      </c>
    </row>
    <row r="107" spans="2:4">
      <c r="D107" t="s">
        <v>923</v>
      </c>
    </row>
    <row r="108" spans="2:4">
      <c r="D108" t="s">
        <v>924</v>
      </c>
    </row>
    <row r="109" spans="2:4">
      <c r="D109" t="s">
        <v>925</v>
      </c>
    </row>
    <row r="110" spans="2:4">
      <c r="C110" t="s">
        <v>926</v>
      </c>
    </row>
    <row r="111" spans="2:4">
      <c r="D111" t="s">
        <v>927</v>
      </c>
    </row>
    <row r="112" spans="2:4">
      <c r="D112" t="s">
        <v>928</v>
      </c>
    </row>
    <row r="113" spans="2:4">
      <c r="D113" t="s">
        <v>929</v>
      </c>
    </row>
    <row r="114" spans="2:4">
      <c r="D114" t="s">
        <v>930</v>
      </c>
    </row>
    <row r="115" spans="2:4">
      <c r="D115" t="s">
        <v>931</v>
      </c>
    </row>
    <row r="116" spans="2:4">
      <c r="D116" t="s">
        <v>932</v>
      </c>
    </row>
    <row r="117" spans="2:4">
      <c r="C117" t="s">
        <v>933</v>
      </c>
    </row>
    <row r="118" spans="2:4">
      <c r="D118" t="s">
        <v>934</v>
      </c>
    </row>
    <row r="119" spans="2:4">
      <c r="D119" t="s">
        <v>935</v>
      </c>
    </row>
    <row r="120" spans="2:4">
      <c r="D120" t="s">
        <v>936</v>
      </c>
    </row>
    <row r="121" spans="2:4">
      <c r="C121" t="s">
        <v>937</v>
      </c>
    </row>
    <row r="122" spans="2:4">
      <c r="B122" t="s">
        <v>938</v>
      </c>
    </row>
    <row r="123" spans="2:4">
      <c r="C123" t="s">
        <v>939</v>
      </c>
    </row>
    <row r="124" spans="2:4">
      <c r="D124" t="s">
        <v>940</v>
      </c>
    </row>
    <row r="125" spans="2:4">
      <c r="D125" t="s">
        <v>941</v>
      </c>
    </row>
    <row r="126" spans="2:4">
      <c r="D126" t="s">
        <v>942</v>
      </c>
    </row>
    <row r="127" spans="2:4">
      <c r="C127" t="s">
        <v>943</v>
      </c>
    </row>
    <row r="128" spans="2:4">
      <c r="D128" t="s">
        <v>944</v>
      </c>
    </row>
    <row r="129" spans="2:4">
      <c r="D129" t="s">
        <v>945</v>
      </c>
    </row>
    <row r="130" spans="2:4">
      <c r="D130" t="s">
        <v>946</v>
      </c>
    </row>
    <row r="131" spans="2:4">
      <c r="D131" t="s">
        <v>947</v>
      </c>
    </row>
    <row r="132" spans="2:4">
      <c r="D132" t="s">
        <v>948</v>
      </c>
    </row>
    <row r="133" spans="2:4">
      <c r="D133" t="s">
        <v>949</v>
      </c>
    </row>
    <row r="134" spans="2:4">
      <c r="D134" t="s">
        <v>950</v>
      </c>
    </row>
    <row r="135" spans="2:4">
      <c r="C135" t="s">
        <v>951</v>
      </c>
    </row>
    <row r="136" spans="2:4">
      <c r="C136" t="s">
        <v>952</v>
      </c>
    </row>
    <row r="137" spans="2:4">
      <c r="D137" t="s">
        <v>953</v>
      </c>
    </row>
    <row r="138" spans="2:4">
      <c r="D138" t="s">
        <v>954</v>
      </c>
    </row>
    <row r="139" spans="2:4">
      <c r="D139" t="s">
        <v>955</v>
      </c>
    </row>
    <row r="140" spans="2:4">
      <c r="D140" t="s">
        <v>956</v>
      </c>
    </row>
    <row r="141" spans="2:4">
      <c r="D141" t="s">
        <v>957</v>
      </c>
    </row>
    <row r="142" spans="2:4">
      <c r="B142" t="s">
        <v>958</v>
      </c>
    </row>
    <row r="143" spans="2:4">
      <c r="C143" t="s">
        <v>959</v>
      </c>
    </row>
    <row r="144" spans="2:4">
      <c r="B144" t="s">
        <v>960</v>
      </c>
    </row>
    <row r="145" spans="2:3">
      <c r="C145" t="s">
        <v>961</v>
      </c>
    </row>
    <row r="146" spans="2:3">
      <c r="B146" t="s">
        <v>962</v>
      </c>
    </row>
    <row r="147" spans="2:3">
      <c r="C147" t="s">
        <v>963</v>
      </c>
    </row>
  </sheetData>
  <pageMargins left="0.75" right="0.75" top="1" bottom="1" header="0.5" footer="0.5"/>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4" sqref="B4"/>
    </sheetView>
  </sheetViews>
  <sheetFormatPr defaultColWidth="8.88888888888889" defaultRowHeight="14.4" outlineLevelRow="7" outlineLevelCol="7"/>
  <cols>
    <col min="1" max="1" width="9.66666666666667"/>
  </cols>
  <sheetData>
    <row r="1" s="1" customFormat="1" spans="1:8">
      <c r="A1" s="1">
        <f>SUM(B1:AZ1)</f>
        <v>2.5</v>
      </c>
      <c r="B1" s="1">
        <f t="shared" ref="B1:H1" si="0">COUNTA(B2:B2058)/COLUMN()</f>
        <v>1</v>
      </c>
      <c r="C1" s="1">
        <f t="shared" si="0"/>
        <v>1</v>
      </c>
      <c r="D1" s="1">
        <f t="shared" si="0"/>
        <v>0.5</v>
      </c>
      <c r="E1" s="1">
        <f t="shared" si="0"/>
        <v>0</v>
      </c>
      <c r="F1" s="1">
        <f t="shared" si="0"/>
        <v>0</v>
      </c>
      <c r="G1" s="1">
        <f t="shared" si="0"/>
        <v>0</v>
      </c>
      <c r="H1" s="1">
        <f t="shared" si="0"/>
        <v>0</v>
      </c>
    </row>
    <row r="2" spans="1:8">
      <c r="A2">
        <v>20240427</v>
      </c>
      <c r="B2" t="s">
        <v>964</v>
      </c>
    </row>
    <row r="3" spans="1:8">
      <c r="C3" t="s">
        <v>965</v>
      </c>
    </row>
    <row r="4" spans="1:8">
      <c r="B4" t="s">
        <v>966</v>
      </c>
    </row>
    <row r="5" spans="1:8">
      <c r="C5" t="s">
        <v>967</v>
      </c>
    </row>
    <row r="6" spans="1:8">
      <c r="C6" t="s">
        <v>968</v>
      </c>
    </row>
    <row r="7" spans="1:8">
      <c r="D7" t="s">
        <v>969</v>
      </c>
    </row>
    <row r="8" spans="1:8">
      <c r="D8" t="s">
        <v>970</v>
      </c>
    </row>
  </sheetData>
  <pageMargins left="0.75" right="0.75" top="1" bottom="1" header="0.5" footer="0.5"/>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A1" sqref="$A1:$XFD1"/>
    </sheetView>
  </sheetViews>
  <sheetFormatPr defaultColWidth="8.88888888888889" defaultRowHeight="14.4" outlineLevelCol="7"/>
  <cols>
    <col min="1" max="1" width="9.66666666666667"/>
  </cols>
  <sheetData>
    <row r="1" s="1" customFormat="1" spans="1:8">
      <c r="A1" s="1">
        <f>SUM(B1:AZ1)</f>
        <v>2.9</v>
      </c>
      <c r="B1" s="1">
        <f t="shared" ref="B1:H1" si="0">COUNTA(B2:B2058)/COLUMN()</f>
        <v>0.5</v>
      </c>
      <c r="C1" s="1">
        <f t="shared" si="0"/>
        <v>1</v>
      </c>
      <c r="D1" s="1">
        <f t="shared" si="0"/>
        <v>1</v>
      </c>
      <c r="E1" s="1">
        <f t="shared" si="0"/>
        <v>0.4</v>
      </c>
      <c r="F1" s="1">
        <f t="shared" si="0"/>
        <v>0</v>
      </c>
      <c r="G1" s="1">
        <f t="shared" si="0"/>
        <v>0</v>
      </c>
      <c r="H1" s="1">
        <f t="shared" si="0"/>
        <v>0</v>
      </c>
    </row>
    <row r="2" spans="1:8">
      <c r="A2">
        <v>20240501</v>
      </c>
      <c r="B2" t="s">
        <v>971</v>
      </c>
    </row>
    <row r="3" spans="1:8">
      <c r="C3" t="s">
        <v>972</v>
      </c>
    </row>
    <row r="4" spans="1:8">
      <c r="D4" t="s">
        <v>973</v>
      </c>
    </row>
    <row r="5" spans="1:8">
      <c r="D5" t="s">
        <v>974</v>
      </c>
    </row>
    <row r="6" spans="1:8">
      <c r="E6" t="s">
        <v>975</v>
      </c>
    </row>
    <row r="7" spans="1:8">
      <c r="D7" t="s">
        <v>976</v>
      </c>
    </row>
    <row r="8" spans="1:8">
      <c r="E8" t="s">
        <v>977</v>
      </c>
    </row>
    <row r="9" spans="1:8">
      <c r="D9" t="s">
        <v>978</v>
      </c>
    </row>
    <row r="10" spans="1:8">
      <c r="C10" t="s">
        <v>979</v>
      </c>
    </row>
    <row r="11" spans="1:8">
      <c r="C11" t="s">
        <v>980</v>
      </c>
    </row>
  </sheetData>
  <pageMargins left="0.75" right="0.75" top="1" bottom="1" header="0.5" footer="0.5"/>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A1" sqref="$A1:$XFD1"/>
    </sheetView>
  </sheetViews>
  <sheetFormatPr defaultColWidth="8.88888888888889" defaultRowHeight="14.4" outlineLevelRow="3" outlineLevelCol="7"/>
  <sheetData>
    <row r="1" s="1" customFormat="1" spans="1:8">
      <c r="A1" s="1">
        <f>SUM(B1:AZ1)</f>
        <v>1.16666666666667</v>
      </c>
      <c r="B1" s="1">
        <f t="shared" ref="B1:H1" si="0">COUNTA(B2:B2058)/COLUMN()</f>
        <v>0.5</v>
      </c>
      <c r="C1" s="1">
        <f t="shared" si="0"/>
        <v>0.666666666666667</v>
      </c>
      <c r="D1" s="1">
        <f t="shared" si="0"/>
        <v>0</v>
      </c>
      <c r="E1" s="1">
        <f t="shared" si="0"/>
        <v>0</v>
      </c>
      <c r="F1" s="1">
        <f t="shared" si="0"/>
        <v>0</v>
      </c>
      <c r="G1" s="1">
        <f t="shared" si="0"/>
        <v>0</v>
      </c>
      <c r="H1" s="1">
        <f t="shared" si="0"/>
        <v>0</v>
      </c>
    </row>
    <row r="2" spans="1:8">
      <c r="A2">
        <v>20240503</v>
      </c>
      <c r="B2" t="s">
        <v>981</v>
      </c>
    </row>
    <row r="3" spans="1:8">
      <c r="C3" t="s">
        <v>982</v>
      </c>
    </row>
    <row r="4" spans="1:8">
      <c r="C4" t="s">
        <v>983</v>
      </c>
    </row>
  </sheetData>
  <pageMargins left="0.75" right="0.75" top="1" bottom="1" header="0.5" footer="0.5"/>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workbookViewId="0">
      <selection activeCell="B2" sqref="B2"/>
    </sheetView>
  </sheetViews>
  <sheetFormatPr defaultColWidth="8.88888888888889" defaultRowHeight="14.4" outlineLevelCol="7"/>
  <sheetData>
    <row r="1" s="1" customFormat="1" spans="1:8">
      <c r="A1" s="1">
        <f>SUM(B1:AZ1)</f>
        <v>8.2</v>
      </c>
      <c r="B1" s="1">
        <f t="shared" ref="B1:H1" si="0">COUNTA(B2:B2058)/COLUMN()</f>
        <v>2</v>
      </c>
      <c r="C1" s="1">
        <f t="shared" si="0"/>
        <v>2</v>
      </c>
      <c r="D1" s="1">
        <f t="shared" si="0"/>
        <v>3</v>
      </c>
      <c r="E1" s="1">
        <f t="shared" si="0"/>
        <v>1.2</v>
      </c>
      <c r="F1" s="1">
        <f t="shared" si="0"/>
        <v>0</v>
      </c>
      <c r="G1" s="1">
        <f t="shared" si="0"/>
        <v>0</v>
      </c>
      <c r="H1" s="1">
        <f t="shared" si="0"/>
        <v>0</v>
      </c>
    </row>
    <row r="2" spans="1:8">
      <c r="A2">
        <v>20240504</v>
      </c>
      <c r="B2" t="s">
        <v>984</v>
      </c>
    </row>
    <row r="3" spans="1:8">
      <c r="B3" t="s">
        <v>985</v>
      </c>
    </row>
    <row r="4" spans="1:8">
      <c r="C4" t="s">
        <v>986</v>
      </c>
    </row>
    <row r="5" spans="1:8">
      <c r="D5" t="s">
        <v>987</v>
      </c>
    </row>
    <row r="6" spans="1:8">
      <c r="D6" t="s">
        <v>988</v>
      </c>
    </row>
    <row r="7" spans="1:8">
      <c r="C7" t="s">
        <v>989</v>
      </c>
    </row>
    <row r="8" spans="1:8">
      <c r="D8" t="s">
        <v>990</v>
      </c>
    </row>
    <row r="9" spans="1:8">
      <c r="D9" t="s">
        <v>991</v>
      </c>
    </row>
    <row r="10" spans="1:8">
      <c r="D10" t="s">
        <v>992</v>
      </c>
    </row>
    <row r="11" spans="1:8">
      <c r="B11" t="s">
        <v>993</v>
      </c>
    </row>
    <row r="12" spans="1:8">
      <c r="C12" t="s">
        <v>994</v>
      </c>
    </row>
    <row r="13" spans="1:8">
      <c r="D13" t="s">
        <v>995</v>
      </c>
    </row>
    <row r="14" spans="1:8">
      <c r="D14" t="s">
        <v>996</v>
      </c>
    </row>
    <row r="15" spans="1:8">
      <c r="D15" t="s">
        <v>997</v>
      </c>
    </row>
    <row r="16" spans="1:8">
      <c r="C16" t="s">
        <v>998</v>
      </c>
    </row>
    <row r="17" spans="2:5">
      <c r="D17" t="s">
        <v>999</v>
      </c>
    </row>
    <row r="18" spans="2:5">
      <c r="D18" t="s">
        <v>1000</v>
      </c>
    </row>
    <row r="19" spans="2:5">
      <c r="D19" t="s">
        <v>1001</v>
      </c>
    </row>
    <row r="20" spans="2:5">
      <c r="E20" t="s">
        <v>1002</v>
      </c>
    </row>
    <row r="21" spans="2:5">
      <c r="E21" t="s">
        <v>1003</v>
      </c>
    </row>
    <row r="22" spans="2:5">
      <c r="D22" t="s">
        <v>1004</v>
      </c>
    </row>
    <row r="23" spans="2:5">
      <c r="E23" t="s">
        <v>1005</v>
      </c>
    </row>
    <row r="24" spans="2:5">
      <c r="E24" t="s">
        <v>1006</v>
      </c>
    </row>
    <row r="25" spans="2:5">
      <c r="E25" t="s">
        <v>1007</v>
      </c>
    </row>
    <row r="26" spans="2:5">
      <c r="E26" t="s">
        <v>1008</v>
      </c>
    </row>
    <row r="27" spans="2:5">
      <c r="C27" t="s">
        <v>1009</v>
      </c>
    </row>
    <row r="28" spans="2:5">
      <c r="C28" t="s">
        <v>1010</v>
      </c>
    </row>
    <row r="29" spans="2:5">
      <c r="B29" t="s">
        <v>1011</v>
      </c>
    </row>
  </sheetData>
  <pageMargins left="0.75" right="0.75" top="1" bottom="1" header="0.5" footer="0.5"/>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3" sqref="B3"/>
    </sheetView>
  </sheetViews>
  <sheetFormatPr defaultColWidth="8.88888888888889" defaultRowHeight="14.4" outlineLevelCol="7"/>
  <cols>
    <col min="1" max="1" width="9.66666666666667"/>
  </cols>
  <sheetData>
    <row r="1" s="1" customFormat="1" spans="1:8">
      <c r="A1" s="1">
        <f>SUM(B1:AZ1)</f>
        <v>4.16666666666667</v>
      </c>
      <c r="B1" s="1">
        <f t="shared" ref="B1:H1" si="0">COUNTA(B2:B2058)/COLUMN()</f>
        <v>1.5</v>
      </c>
      <c r="C1" s="1">
        <f t="shared" si="0"/>
        <v>1.66666666666667</v>
      </c>
      <c r="D1" s="1">
        <f t="shared" si="0"/>
        <v>1</v>
      </c>
      <c r="E1" s="1">
        <f t="shared" si="0"/>
        <v>0</v>
      </c>
      <c r="F1" s="1">
        <f t="shared" si="0"/>
        <v>0</v>
      </c>
      <c r="G1" s="1">
        <f t="shared" si="0"/>
        <v>0</v>
      </c>
      <c r="H1" s="1">
        <f t="shared" si="0"/>
        <v>0</v>
      </c>
    </row>
    <row r="2" spans="1:8">
      <c r="A2">
        <v>20240507</v>
      </c>
      <c r="B2" t="s">
        <v>1012</v>
      </c>
    </row>
    <row r="3" spans="1:8">
      <c r="B3" t="s">
        <v>1013</v>
      </c>
    </row>
    <row r="4" spans="1:8">
      <c r="B4" t="s">
        <v>1014</v>
      </c>
    </row>
    <row r="5" spans="1:8">
      <c r="C5" t="s">
        <v>1015</v>
      </c>
    </row>
    <row r="6" spans="1:8">
      <c r="C6" t="s">
        <v>1016</v>
      </c>
    </row>
    <row r="7" spans="1:8">
      <c r="C7" t="s">
        <v>1017</v>
      </c>
    </row>
    <row r="8" spans="1:8">
      <c r="D8" t="s">
        <v>1018</v>
      </c>
    </row>
    <row r="9" spans="1:8">
      <c r="D9" t="s">
        <v>1019</v>
      </c>
    </row>
    <row r="10" spans="1:8">
      <c r="D10" t="s">
        <v>1020</v>
      </c>
    </row>
    <row r="11" spans="1:8">
      <c r="C11" t="s">
        <v>1021</v>
      </c>
    </row>
    <row r="12" spans="1:8">
      <c r="D12" t="s">
        <v>1022</v>
      </c>
    </row>
    <row r="13" spans="1:8">
      <c r="C13" t="s">
        <v>1023</v>
      </c>
    </row>
  </sheetData>
  <pageMargins left="0.75" right="0.75" top="1" bottom="1" header="0.5" footer="0.5"/>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6.83333333333333</v>
      </c>
      <c r="B1" s="1">
        <f t="shared" ref="B1:H1" si="0">COUNTA(B2:B2058)/COLUMN()</f>
        <v>2</v>
      </c>
      <c r="C1" s="1">
        <f t="shared" si="0"/>
        <v>4.33333333333333</v>
      </c>
      <c r="D1" s="1">
        <f t="shared" si="0"/>
        <v>0.5</v>
      </c>
      <c r="E1" s="1">
        <f t="shared" si="0"/>
        <v>0</v>
      </c>
      <c r="F1" s="1">
        <f t="shared" si="0"/>
        <v>0</v>
      </c>
      <c r="G1" s="1">
        <f t="shared" si="0"/>
        <v>0</v>
      </c>
      <c r="H1" s="1">
        <f t="shared" si="0"/>
        <v>0</v>
      </c>
    </row>
    <row r="2" spans="1:8">
      <c r="A2">
        <v>20240511</v>
      </c>
      <c r="B2" t="s">
        <v>1024</v>
      </c>
    </row>
    <row r="3" spans="1:8">
      <c r="C3" t="s">
        <v>1025</v>
      </c>
    </row>
    <row r="4" spans="1:8">
      <c r="C4" t="s">
        <v>1026</v>
      </c>
    </row>
    <row r="5" spans="1:8">
      <c r="C5" t="s">
        <v>1027</v>
      </c>
    </row>
    <row r="6" spans="1:8">
      <c r="B6" t="s">
        <v>1028</v>
      </c>
    </row>
    <row r="7" spans="1:8">
      <c r="C7" t="s">
        <v>1029</v>
      </c>
    </row>
    <row r="8" spans="1:8">
      <c r="C8" t="s">
        <v>1030</v>
      </c>
    </row>
    <row r="9" spans="1:8">
      <c r="B9" t="s">
        <v>1031</v>
      </c>
    </row>
    <row r="10" spans="1:8">
      <c r="C10" t="s">
        <v>1032</v>
      </c>
    </row>
    <row r="11" spans="1:8">
      <c r="D11" t="s">
        <v>1033</v>
      </c>
    </row>
    <row r="12" spans="1:8">
      <c r="D12" t="s">
        <v>1034</v>
      </c>
    </row>
    <row r="13" spans="1:8">
      <c r="B13" t="s">
        <v>1035</v>
      </c>
    </row>
    <row r="14" spans="1:8">
      <c r="C14" t="s">
        <v>1036</v>
      </c>
    </row>
    <row r="15" spans="1:8">
      <c r="C15" t="s">
        <v>1037</v>
      </c>
    </row>
    <row r="16" spans="1:8">
      <c r="C16" t="s">
        <v>1038</v>
      </c>
    </row>
    <row r="17" spans="3:3">
      <c r="C17" t="s">
        <v>1039</v>
      </c>
    </row>
    <row r="18" spans="3:3">
      <c r="C18" t="s">
        <v>1040</v>
      </c>
    </row>
    <row r="19" spans="3:3">
      <c r="C19" t="s">
        <v>1041</v>
      </c>
    </row>
    <row r="20" spans="3:3">
      <c r="C20" t="s">
        <v>1042</v>
      </c>
    </row>
  </sheetData>
  <pageMargins left="0.75" right="0.75" top="1" bottom="1" header="0.5" footer="0.5"/>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E9" sqref="E9"/>
    </sheetView>
  </sheetViews>
  <sheetFormatPr defaultColWidth="8.88888888888889" defaultRowHeight="14.4" outlineLevelCol="7"/>
  <sheetData>
    <row r="1" s="1" customFormat="1" spans="1:8">
      <c r="A1" s="1">
        <f>SUM(B1:AZ1)</f>
        <v>4.56666666666667</v>
      </c>
      <c r="B1" s="1">
        <f t="shared" ref="B1:H1" si="0">COUNTA(B2:B2060)/COLUMN()</f>
        <v>2</v>
      </c>
      <c r="C1" s="1">
        <f t="shared" si="0"/>
        <v>1.66666666666667</v>
      </c>
      <c r="D1" s="1">
        <f t="shared" si="0"/>
        <v>0.5</v>
      </c>
      <c r="E1" s="1">
        <f t="shared" si="0"/>
        <v>0.4</v>
      </c>
      <c r="F1" s="1">
        <f t="shared" si="0"/>
        <v>0</v>
      </c>
      <c r="G1" s="1">
        <f t="shared" si="0"/>
        <v>0</v>
      </c>
      <c r="H1" s="1">
        <f t="shared" si="0"/>
        <v>0</v>
      </c>
    </row>
    <row r="2" spans="1:8">
      <c r="A2">
        <v>20240512</v>
      </c>
      <c r="B2" t="s">
        <v>1043</v>
      </c>
    </row>
    <row r="3" spans="1:8">
      <c r="C3" t="s">
        <v>1044</v>
      </c>
    </row>
    <row r="4" spans="1:8">
      <c r="C4" t="s">
        <v>1045</v>
      </c>
    </row>
    <row r="5" spans="1:8">
      <c r="C5" t="s">
        <v>1046</v>
      </c>
    </row>
    <row r="6" spans="1:8">
      <c r="D6" t="s">
        <v>1047</v>
      </c>
    </row>
    <row r="7" spans="1:8">
      <c r="E7" t="s">
        <v>1048</v>
      </c>
    </row>
    <row r="8" spans="1:8">
      <c r="D8" t="s">
        <v>1049</v>
      </c>
    </row>
    <row r="9" spans="1:8">
      <c r="E9" t="s">
        <v>1050</v>
      </c>
    </row>
    <row r="10" spans="1:8">
      <c r="B10" t="s">
        <v>1051</v>
      </c>
    </row>
    <row r="11" spans="1:8">
      <c r="B11" t="s">
        <v>1052</v>
      </c>
    </row>
    <row r="12" spans="1:8">
      <c r="C12" t="s">
        <v>1053</v>
      </c>
    </row>
    <row r="13" spans="1:8">
      <c r="C13" t="s">
        <v>1054</v>
      </c>
    </row>
    <row r="14" spans="1:8">
      <c r="B14" t="s">
        <v>1055</v>
      </c>
    </row>
  </sheetData>
  <pageMargins left="0.75" right="0.75" top="1" bottom="1" header="0.5" footer="0.5"/>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7"/>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8.78333333333333</v>
      </c>
      <c r="B1" s="1">
        <f t="shared" ref="B1:H1" si="0">COUNTA(B2:B2064)/COLUMN()</f>
        <v>2.5</v>
      </c>
      <c r="C1" s="1">
        <f t="shared" si="0"/>
        <v>4.33333333333333</v>
      </c>
      <c r="D1" s="1">
        <f t="shared" si="0"/>
        <v>1.75</v>
      </c>
      <c r="E1" s="1">
        <f t="shared" si="0"/>
        <v>0.2</v>
      </c>
      <c r="F1" s="1">
        <f t="shared" si="0"/>
        <v>0</v>
      </c>
      <c r="G1" s="1">
        <f t="shared" si="0"/>
        <v>0</v>
      </c>
      <c r="H1" s="1">
        <f t="shared" si="0"/>
        <v>0</v>
      </c>
    </row>
    <row r="2" spans="1:8">
      <c r="A2">
        <v>20240513</v>
      </c>
      <c r="B2" t="s">
        <v>1056</v>
      </c>
    </row>
    <row r="3" spans="1:8">
      <c r="B3" t="s">
        <v>1057</v>
      </c>
    </row>
    <row r="4" spans="1:8">
      <c r="C4" t="s">
        <v>1058</v>
      </c>
    </row>
    <row r="5" spans="1:8">
      <c r="C5" t="s">
        <v>1059</v>
      </c>
    </row>
    <row r="6" spans="1:8">
      <c r="C6" t="s">
        <v>1060</v>
      </c>
    </row>
    <row r="7" spans="1:8">
      <c r="C7" t="s">
        <v>1061</v>
      </c>
    </row>
    <row r="8" spans="1:8">
      <c r="B8" t="s">
        <v>1062</v>
      </c>
    </row>
    <row r="9" spans="1:8">
      <c r="C9" t="s">
        <v>1063</v>
      </c>
    </row>
    <row r="10" spans="1:8">
      <c r="C10" t="s">
        <v>1064</v>
      </c>
    </row>
    <row r="11" spans="1:8">
      <c r="C11" t="s">
        <v>1065</v>
      </c>
    </row>
    <row r="12" spans="1:8">
      <c r="C12" t="s">
        <v>1066</v>
      </c>
    </row>
    <row r="13" spans="1:8">
      <c r="C13" t="s">
        <v>1067</v>
      </c>
    </row>
    <row r="14" spans="1:8">
      <c r="C14" t="s">
        <v>1068</v>
      </c>
    </row>
    <row r="15" spans="1:8">
      <c r="D15" t="s">
        <v>1069</v>
      </c>
    </row>
    <row r="16" spans="1:8">
      <c r="D16" t="s">
        <v>1070</v>
      </c>
    </row>
    <row r="17" spans="2:5">
      <c r="D17" t="s">
        <v>1071</v>
      </c>
    </row>
    <row r="18" spans="2:5">
      <c r="B18" t="s">
        <v>1072</v>
      </c>
    </row>
    <row r="19" spans="2:5">
      <c r="C19" t="s">
        <v>1073</v>
      </c>
    </row>
    <row r="20" spans="2:5">
      <c r="B20" t="s">
        <v>1074</v>
      </c>
    </row>
    <row r="21" spans="2:5">
      <c r="C21" t="s">
        <v>1075</v>
      </c>
    </row>
    <row r="22" spans="2:5">
      <c r="D22" t="s">
        <v>1076</v>
      </c>
    </row>
    <row r="23" spans="2:5">
      <c r="C23" t="s">
        <v>1077</v>
      </c>
    </row>
    <row r="24" spans="2:5">
      <c r="D24" t="s">
        <v>1078</v>
      </c>
    </row>
    <row r="25" spans="2:5">
      <c r="D25" t="s">
        <v>1079</v>
      </c>
    </row>
    <row r="26" spans="2:5">
      <c r="D26" t="s">
        <v>1080</v>
      </c>
    </row>
    <row r="27" spans="2:5">
      <c r="E27" t="s">
        <v>1081</v>
      </c>
    </row>
  </sheetData>
  <pageMargins left="0.75" right="0.75" top="1" bottom="1" header="0.5" footer="0.5"/>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COUNTA(B2:B2064)/COLUMN()</f>
        <v>0.5</v>
      </c>
      <c r="C1" s="1">
        <f t="shared" si="0"/>
        <v>0.666666666666667</v>
      </c>
      <c r="D1" s="1">
        <f t="shared" si="0"/>
        <v>0</v>
      </c>
      <c r="E1" s="1">
        <f t="shared" si="0"/>
        <v>0</v>
      </c>
      <c r="F1" s="1">
        <f t="shared" si="0"/>
        <v>0</v>
      </c>
      <c r="G1" s="1">
        <f t="shared" si="0"/>
        <v>0</v>
      </c>
      <c r="H1" s="1">
        <f t="shared" si="0"/>
        <v>0</v>
      </c>
    </row>
    <row r="2" spans="1:8">
      <c r="A2">
        <v>20240515</v>
      </c>
      <c r="B2" t="s">
        <v>1082</v>
      </c>
    </row>
    <row r="3" spans="1:8">
      <c r="C3" t="s">
        <v>1083</v>
      </c>
    </row>
    <row r="4" spans="1:8">
      <c r="C4" t="s">
        <v>1084</v>
      </c>
    </row>
  </sheetData>
  <pageMargins left="0.75" right="0.75" top="1" bottom="1" header="0.5" footer="0.5"/>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2" sqref="A2"/>
    </sheetView>
  </sheetViews>
  <sheetFormatPr defaultColWidth="8.88888888888889" defaultRowHeight="14.4" outlineLevelRow="1" outlineLevelCol="7"/>
  <cols>
    <col min="1" max="1" width="9.66666666666667"/>
  </cols>
  <sheetData>
    <row r="1" s="1" customFormat="1" spans="1:8">
      <c r="A1" s="1">
        <f>SUM(B1:AZ1)</f>
        <v>0.5</v>
      </c>
      <c r="B1" s="1">
        <f t="shared" ref="B1:H1" si="0">COUNTA(B2:B2064)/COLUMN()</f>
        <v>0.5</v>
      </c>
      <c r="C1" s="1">
        <f t="shared" si="0"/>
        <v>0</v>
      </c>
      <c r="D1" s="1">
        <f t="shared" si="0"/>
        <v>0</v>
      </c>
      <c r="E1" s="1">
        <f t="shared" si="0"/>
        <v>0</v>
      </c>
      <c r="F1" s="1">
        <f t="shared" si="0"/>
        <v>0</v>
      </c>
      <c r="G1" s="1">
        <f t="shared" si="0"/>
        <v>0</v>
      </c>
      <c r="H1" s="1">
        <f t="shared" si="0"/>
        <v>0</v>
      </c>
    </row>
    <row r="2" spans="1:8">
      <c r="A2">
        <v>20240519</v>
      </c>
      <c r="B2" t="s">
        <v>1085</v>
      </c>
    </row>
  </sheetData>
  <pageMargins left="0.75" right="0.75" top="1" bottom="1" header="0.5" footer="0.5"/>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C6" sqref="C6"/>
    </sheetView>
  </sheetViews>
  <sheetFormatPr defaultColWidth="8.88888888888889" defaultRowHeight="14.4" outlineLevelCol="7"/>
  <cols>
    <col min="1" max="1" width="9.66666666666667"/>
  </cols>
  <sheetData>
    <row r="1" s="1" customFormat="1" spans="1:8">
      <c r="A1" s="1">
        <f>SUM(B1:AZ1)</f>
        <v>4.66666666666667</v>
      </c>
      <c r="B1" s="1">
        <f t="shared" ref="B1:H1" si="0">COUNTA(B2:B2066)/COLUMN()</f>
        <v>2</v>
      </c>
      <c r="C1" s="1">
        <f t="shared" si="0"/>
        <v>2.66666666666667</v>
      </c>
      <c r="D1" s="1">
        <f t="shared" si="0"/>
        <v>0</v>
      </c>
      <c r="E1" s="1">
        <f t="shared" si="0"/>
        <v>0</v>
      </c>
      <c r="F1" s="1">
        <f t="shared" si="0"/>
        <v>0</v>
      </c>
      <c r="G1" s="1">
        <f t="shared" si="0"/>
        <v>0</v>
      </c>
      <c r="H1" s="1">
        <f t="shared" si="0"/>
        <v>0</v>
      </c>
    </row>
    <row r="2" spans="1:8">
      <c r="A2">
        <v>20240523</v>
      </c>
      <c r="B2" t="s">
        <v>1086</v>
      </c>
    </row>
    <row r="3" spans="1:8">
      <c r="B3" t="s">
        <v>1087</v>
      </c>
    </row>
    <row r="4" spans="1:8">
      <c r="C4" t="s">
        <v>1088</v>
      </c>
    </row>
    <row r="5" spans="1:8">
      <c r="C5" t="s">
        <v>1089</v>
      </c>
    </row>
    <row r="6" spans="1:8">
      <c r="C6" t="s">
        <v>1090</v>
      </c>
    </row>
    <row r="7" spans="1:8">
      <c r="B7" t="s">
        <v>1091</v>
      </c>
    </row>
    <row r="8" spans="1:8">
      <c r="C8" t="s">
        <v>1092</v>
      </c>
    </row>
    <row r="9" spans="1:8">
      <c r="C9" t="s">
        <v>1093</v>
      </c>
    </row>
    <row r="10" spans="1:8">
      <c r="C10" t="s">
        <v>1094</v>
      </c>
    </row>
    <row r="11" spans="1:8">
      <c r="C11" t="s">
        <v>1095</v>
      </c>
    </row>
    <row r="12" spans="1:8">
      <c r="C12" t="s">
        <v>1096</v>
      </c>
    </row>
    <row r="13" spans="1:8">
      <c r="B13" t="s">
        <v>1097</v>
      </c>
    </row>
  </sheetData>
  <pageMargins left="0.75" right="0.75" top="1" bottom="1" header="0.5" footer="0.5"/>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D7" sqref="D7:J7"/>
    </sheetView>
  </sheetViews>
  <sheetFormatPr defaultColWidth="8.88888888888889" defaultRowHeight="14.4" outlineLevelRow="6" outlineLevelCol="7"/>
  <cols>
    <col min="1" max="1" width="9.66666666666667"/>
  </cols>
  <sheetData>
    <row r="1" s="1" customFormat="1" spans="1:8">
      <c r="A1" s="1">
        <f>SUM(B1:AZ1)</f>
        <v>1.91666666666667</v>
      </c>
      <c r="B1" s="1">
        <f t="shared" ref="B1:H1" si="0">COUNTA(B2:B2065)/COLUMN()</f>
        <v>0.5</v>
      </c>
      <c r="C1" s="1">
        <f t="shared" si="0"/>
        <v>0.666666666666667</v>
      </c>
      <c r="D1" s="1">
        <f t="shared" si="0"/>
        <v>0.75</v>
      </c>
      <c r="E1" s="1">
        <f t="shared" si="0"/>
        <v>0</v>
      </c>
      <c r="F1" s="1">
        <f t="shared" si="0"/>
        <v>0</v>
      </c>
      <c r="G1" s="1">
        <f t="shared" si="0"/>
        <v>0</v>
      </c>
      <c r="H1" s="1">
        <f t="shared" si="0"/>
        <v>0</v>
      </c>
    </row>
    <row r="2" spans="1:8">
      <c r="A2">
        <v>20240525</v>
      </c>
      <c r="B2" t="s">
        <v>1098</v>
      </c>
    </row>
    <row r="3" spans="1:8">
      <c r="C3" t="s">
        <v>1099</v>
      </c>
    </row>
    <row r="4" spans="1:8">
      <c r="D4" t="s">
        <v>1100</v>
      </c>
    </row>
    <row r="5" spans="1:8">
      <c r="C5" t="s">
        <v>1101</v>
      </c>
    </row>
    <row r="6" spans="1:8">
      <c r="D6" t="s">
        <v>1102</v>
      </c>
    </row>
    <row r="7" spans="1:8">
      <c r="D7" t="s">
        <v>1103</v>
      </c>
    </row>
  </sheetData>
  <pageMargins left="0.75" right="0.75" top="1" bottom="1" header="0.5" footer="0.5"/>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4.96666666666667</v>
      </c>
      <c r="B1" s="1">
        <f t="shared" ref="B1:H1" si="0">COUNTA(B2:B2065)/COLUMN()</f>
        <v>1.5</v>
      </c>
      <c r="C1" s="1">
        <f t="shared" si="0"/>
        <v>1.66666666666667</v>
      </c>
      <c r="D1" s="1">
        <f t="shared" si="0"/>
        <v>1</v>
      </c>
      <c r="E1" s="1">
        <f t="shared" si="0"/>
        <v>0.8</v>
      </c>
      <c r="F1" s="1">
        <f t="shared" si="0"/>
        <v>0</v>
      </c>
      <c r="G1" s="1">
        <f t="shared" si="0"/>
        <v>0</v>
      </c>
      <c r="H1" s="1">
        <f t="shared" si="0"/>
        <v>0</v>
      </c>
    </row>
    <row r="2" spans="1:8">
      <c r="A2">
        <v>20240526</v>
      </c>
      <c r="B2" t="s">
        <v>1104</v>
      </c>
    </row>
    <row r="3" spans="1:8">
      <c r="B3" t="s">
        <v>1105</v>
      </c>
    </row>
    <row r="4" spans="1:8">
      <c r="C4" t="s">
        <v>1106</v>
      </c>
    </row>
    <row r="5" spans="1:8">
      <c r="C5" t="s">
        <v>1107</v>
      </c>
    </row>
    <row r="6" spans="1:8">
      <c r="C6" t="s">
        <v>1108</v>
      </c>
    </row>
    <row r="7" spans="1:8">
      <c r="D7" t="s">
        <v>1109</v>
      </c>
    </row>
    <row r="8" spans="1:8">
      <c r="D8" t="s">
        <v>1110</v>
      </c>
    </row>
    <row r="9" spans="1:8">
      <c r="C9" t="s">
        <v>1111</v>
      </c>
    </row>
    <row r="10" spans="1:8">
      <c r="D10" t="s">
        <v>1112</v>
      </c>
    </row>
    <row r="11" spans="1:8">
      <c r="E11" t="s">
        <v>1113</v>
      </c>
    </row>
    <row r="12" spans="1:8">
      <c r="E12" t="s">
        <v>1114</v>
      </c>
    </row>
    <row r="13" spans="1:8">
      <c r="D13" t="s">
        <v>1115</v>
      </c>
    </row>
    <row r="14" spans="1:8">
      <c r="E14" t="s">
        <v>1116</v>
      </c>
    </row>
    <row r="15" spans="1:8">
      <c r="E15" t="s">
        <v>1117</v>
      </c>
    </row>
    <row r="16" spans="1:8">
      <c r="B16" t="s">
        <v>1118</v>
      </c>
    </row>
    <row r="17" spans="3:3">
      <c r="C17" t="s">
        <v>1119</v>
      </c>
    </row>
  </sheetData>
  <pageMargins left="0.75" right="0.75" top="1" bottom="1" header="0.5" footer="0.5"/>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B2" sqref="B2"/>
    </sheetView>
  </sheetViews>
  <sheetFormatPr defaultColWidth="8.88888888888889" defaultRowHeight="14.4" outlineLevelRow="1" outlineLevelCol="7"/>
  <sheetData>
    <row r="1" s="1" customFormat="1" spans="1:8">
      <c r="A1" s="1">
        <f>SUM(B1:AZ1)</f>
        <v>0.5</v>
      </c>
      <c r="B1" s="1">
        <f t="shared" ref="B1:H1" si="0">COUNTA(B2:B2065)/COLUMN()</f>
        <v>0.5</v>
      </c>
      <c r="C1" s="1">
        <f t="shared" si="0"/>
        <v>0</v>
      </c>
      <c r="D1" s="1">
        <f t="shared" si="0"/>
        <v>0</v>
      </c>
      <c r="E1" s="1">
        <f t="shared" si="0"/>
        <v>0</v>
      </c>
      <c r="F1" s="1">
        <f t="shared" si="0"/>
        <v>0</v>
      </c>
      <c r="G1" s="1">
        <f t="shared" si="0"/>
        <v>0</v>
      </c>
      <c r="H1" s="1">
        <f t="shared" si="0"/>
        <v>0</v>
      </c>
    </row>
    <row r="2" spans="1:8">
      <c r="A2">
        <v>20240527</v>
      </c>
      <c r="B2" t="s">
        <v>1120</v>
      </c>
    </row>
  </sheetData>
  <pageMargins left="0.75" right="0.75" top="1" bottom="1" header="0.5" footer="0.5"/>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5" sqref="C5"/>
    </sheetView>
  </sheetViews>
  <sheetFormatPr defaultColWidth="8.88888888888889" defaultRowHeight="14.4" outlineLevelRow="4" outlineLevelCol="7"/>
  <cols>
    <col min="1" max="1" width="9.66666666666667"/>
  </cols>
  <sheetData>
    <row r="1" s="1" customFormat="1" spans="1:8">
      <c r="A1" s="1">
        <f>SUM(B1:AZ1)</f>
        <v>1.5</v>
      </c>
      <c r="B1" s="1">
        <f t="shared" ref="B1:H1" si="0">COUNTA(B2:B2065)/COLUMN()</f>
        <v>0.5</v>
      </c>
      <c r="C1" s="1">
        <f t="shared" si="0"/>
        <v>1</v>
      </c>
      <c r="D1" s="1">
        <f t="shared" si="0"/>
        <v>0</v>
      </c>
      <c r="E1" s="1">
        <f t="shared" si="0"/>
        <v>0</v>
      </c>
      <c r="F1" s="1">
        <f t="shared" si="0"/>
        <v>0</v>
      </c>
      <c r="G1" s="1">
        <f t="shared" si="0"/>
        <v>0</v>
      </c>
      <c r="H1" s="1">
        <f t="shared" si="0"/>
        <v>0</v>
      </c>
    </row>
    <row r="2" spans="1:8">
      <c r="A2">
        <v>20240529</v>
      </c>
      <c r="B2" t="s">
        <v>1121</v>
      </c>
    </row>
    <row r="3" spans="1:8">
      <c r="C3" t="s">
        <v>1122</v>
      </c>
    </row>
    <row r="4" spans="1:8">
      <c r="C4" s="8" t="s">
        <v>1123</v>
      </c>
    </row>
    <row r="5" spans="1:8">
      <c r="C5" s="8" t="s">
        <v>1124</v>
      </c>
    </row>
  </sheetData>
  <pageMargins left="0.75" right="0.75" top="1" bottom="1" header="0.5" footer="0.5"/>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4" sqref="C4"/>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COUNTA(B2:B2065)/COLUMN()</f>
        <v>1</v>
      </c>
      <c r="C1" s="1">
        <f t="shared" si="0"/>
        <v>1.66666666666667</v>
      </c>
      <c r="D1" s="1">
        <f t="shared" si="0"/>
        <v>0</v>
      </c>
      <c r="E1" s="1">
        <f t="shared" si="0"/>
        <v>0</v>
      </c>
      <c r="F1" s="1">
        <f t="shared" si="0"/>
        <v>0</v>
      </c>
      <c r="G1" s="1">
        <f t="shared" si="0"/>
        <v>0</v>
      </c>
      <c r="H1" s="1">
        <f t="shared" si="0"/>
        <v>0</v>
      </c>
    </row>
    <row r="2" spans="1:8">
      <c r="A2">
        <v>20240530</v>
      </c>
      <c r="B2" t="s">
        <v>1125</v>
      </c>
    </row>
    <row r="3" spans="1:8">
      <c r="C3" t="s">
        <v>1126</v>
      </c>
    </row>
    <row r="4" spans="1:8">
      <c r="C4" t="s">
        <v>1127</v>
      </c>
    </row>
    <row r="5" spans="1:8">
      <c r="B5" t="s">
        <v>1128</v>
      </c>
    </row>
    <row r="6" spans="1:8">
      <c r="C6" t="s">
        <v>1129</v>
      </c>
    </row>
    <row r="7" spans="1:8">
      <c r="C7" t="s">
        <v>1130</v>
      </c>
    </row>
    <row r="8" spans="1:8">
      <c r="C8" t="s">
        <v>1131</v>
      </c>
    </row>
  </sheetData>
  <pageMargins left="0.75" right="0.75" top="1" bottom="1" header="0.5" footer="0.5"/>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8"/>
  <sheetViews>
    <sheetView workbookViewId="0">
      <selection activeCell="D18" sqref="D18"/>
    </sheetView>
  </sheetViews>
  <sheetFormatPr defaultColWidth="8.88888888888889" defaultRowHeight="14.4" outlineLevelCol="7"/>
  <cols>
    <col min="1" max="1" width="9.66666666666667"/>
  </cols>
  <sheetData>
    <row r="1" s="1" customFormat="1" spans="1:8">
      <c r="A1" s="1">
        <f>SUM(B1:AZ1)</f>
        <v>6.08333333333333</v>
      </c>
      <c r="B1" s="1">
        <f t="shared" ref="B1:H1" si="0">COUNTA(B2:B2065)/COLUMN()</f>
        <v>1.5</v>
      </c>
      <c r="C1" s="1">
        <f t="shared" si="0"/>
        <v>4.33333333333333</v>
      </c>
      <c r="D1" s="1">
        <f t="shared" si="0"/>
        <v>0.25</v>
      </c>
      <c r="E1" s="1">
        <f t="shared" si="0"/>
        <v>0</v>
      </c>
      <c r="F1" s="1">
        <f t="shared" si="0"/>
        <v>0</v>
      </c>
      <c r="G1" s="1">
        <f t="shared" si="0"/>
        <v>0</v>
      </c>
      <c r="H1" s="1">
        <f t="shared" si="0"/>
        <v>0</v>
      </c>
    </row>
    <row r="2" spans="1:8">
      <c r="A2">
        <v>20240531</v>
      </c>
      <c r="B2" t="s">
        <v>1132</v>
      </c>
    </row>
    <row r="3" spans="1:8">
      <c r="C3" t="s">
        <v>1133</v>
      </c>
    </row>
    <row r="4" spans="1:8">
      <c r="C4" t="s">
        <v>1134</v>
      </c>
    </row>
    <row r="5" spans="1:8">
      <c r="C5" t="s">
        <v>1135</v>
      </c>
    </row>
    <row r="6" spans="1:8">
      <c r="C6" t="s">
        <v>1136</v>
      </c>
    </row>
    <row r="7" spans="1:8">
      <c r="C7" t="s">
        <v>1137</v>
      </c>
    </row>
    <row r="8" spans="1:8">
      <c r="C8" t="s">
        <v>1138</v>
      </c>
    </row>
    <row r="9" spans="1:8">
      <c r="B9" t="s">
        <v>1139</v>
      </c>
    </row>
    <row r="10" spans="1:8">
      <c r="C10" t="s">
        <v>1140</v>
      </c>
    </row>
    <row r="11" spans="1:8">
      <c r="C11" t="s">
        <v>1141</v>
      </c>
    </row>
    <row r="12" spans="1:8">
      <c r="C12" t="s">
        <v>1142</v>
      </c>
    </row>
    <row r="13" spans="1:8">
      <c r="C13" t="s">
        <v>1143</v>
      </c>
    </row>
    <row r="14" spans="1:8">
      <c r="B14" t="s">
        <v>1144</v>
      </c>
    </row>
    <row r="15" spans="1:8">
      <c r="C15" t="s">
        <v>1145</v>
      </c>
    </row>
    <row r="16" spans="1:8">
      <c r="C16" t="s">
        <v>1146</v>
      </c>
    </row>
    <row r="17" spans="3:4">
      <c r="C17" t="s">
        <v>1147</v>
      </c>
    </row>
    <row r="18" spans="3:4">
      <c r="D18" t="s">
        <v>1148</v>
      </c>
    </row>
  </sheetData>
  <pageMargins left="0.75" right="0.75" top="1" bottom="1" header="0.5" footer="0.5"/>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4.66666666666667</v>
      </c>
      <c r="B1" s="1">
        <f t="shared" ref="B1:H1" si="0">COUNTA(B2:B2065)/COLUMN()</f>
        <v>1.5</v>
      </c>
      <c r="C1" s="1">
        <f t="shared" si="0"/>
        <v>2.66666666666667</v>
      </c>
      <c r="D1" s="1">
        <f t="shared" si="0"/>
        <v>0.5</v>
      </c>
      <c r="E1" s="1">
        <f t="shared" si="0"/>
        <v>0</v>
      </c>
      <c r="F1" s="1">
        <f t="shared" si="0"/>
        <v>0</v>
      </c>
      <c r="G1" s="1">
        <f t="shared" si="0"/>
        <v>0</v>
      </c>
      <c r="H1" s="1">
        <f t="shared" si="0"/>
        <v>0</v>
      </c>
    </row>
    <row r="2" spans="1:8">
      <c r="A2">
        <v>20240601</v>
      </c>
      <c r="B2" t="s">
        <v>1149</v>
      </c>
    </row>
    <row r="3" spans="1:8">
      <c r="C3" t="s">
        <v>1150</v>
      </c>
    </row>
    <row r="4" spans="1:8">
      <c r="B4" t="s">
        <v>1151</v>
      </c>
    </row>
    <row r="5" spans="1:8">
      <c r="C5" t="s">
        <v>1152</v>
      </c>
    </row>
    <row r="6" spans="1:8">
      <c r="C6" t="s">
        <v>1153</v>
      </c>
    </row>
    <row r="7" spans="1:8">
      <c r="C7" t="s">
        <v>1154</v>
      </c>
    </row>
    <row r="8" spans="1:8">
      <c r="B8" t="s">
        <v>1155</v>
      </c>
    </row>
    <row r="9" spans="1:8">
      <c r="C9" t="s">
        <v>1156</v>
      </c>
    </row>
    <row r="10" spans="1:8">
      <c r="C10" t="s">
        <v>1157</v>
      </c>
    </row>
    <row r="11" spans="1:8">
      <c r="C11" t="s">
        <v>1158</v>
      </c>
    </row>
    <row r="12" spans="1:8">
      <c r="C12" t="s">
        <v>1159</v>
      </c>
    </row>
    <row r="13" spans="1:8">
      <c r="D13" t="s">
        <v>1160</v>
      </c>
    </row>
    <row r="14" spans="1:8">
      <c r="D14" t="s">
        <v>1161</v>
      </c>
    </row>
  </sheetData>
  <pageMargins left="0.75" right="0.75" top="1" bottom="1" header="0.5" footer="0.5"/>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zoomScale="130" zoomScaleNormal="130" workbookViewId="0">
      <selection activeCell="C12" sqref="C12"/>
    </sheetView>
  </sheetViews>
  <sheetFormatPr defaultColWidth="8.88888888888889" defaultRowHeight="14.4" outlineLevelCol="7"/>
  <sheetData>
    <row r="1" s="1" customFormat="1" spans="1:8">
      <c r="A1" s="1">
        <f>SUM(B1:AZ1)</f>
        <v>5.21666666666667</v>
      </c>
      <c r="B1" s="1">
        <f t="shared" ref="B1:H1" si="0">COUNTA(B2:B2066)/COLUMN()</f>
        <v>2</v>
      </c>
      <c r="C1" s="1">
        <f t="shared" si="0"/>
        <v>1.66666666666667</v>
      </c>
      <c r="D1" s="1">
        <f t="shared" si="0"/>
        <v>0.75</v>
      </c>
      <c r="E1" s="1">
        <f t="shared" si="0"/>
        <v>0.8</v>
      </c>
      <c r="F1" s="1">
        <f t="shared" si="0"/>
        <v>0</v>
      </c>
      <c r="G1" s="1">
        <f t="shared" si="0"/>
        <v>0</v>
      </c>
      <c r="H1" s="1">
        <f t="shared" si="0"/>
        <v>0</v>
      </c>
    </row>
    <row r="2" spans="1:8">
      <c r="A2">
        <v>20240602</v>
      </c>
      <c r="B2" t="s">
        <v>1162</v>
      </c>
    </row>
    <row r="3" spans="1:8">
      <c r="C3" t="s">
        <v>1163</v>
      </c>
    </row>
    <row r="4" spans="1:8">
      <c r="B4" t="s">
        <v>1164</v>
      </c>
    </row>
    <row r="5" spans="1:8">
      <c r="C5" t="s">
        <v>1165</v>
      </c>
    </row>
    <row r="6" spans="1:8">
      <c r="D6" t="s">
        <v>1166</v>
      </c>
    </row>
    <row r="7" spans="1:8">
      <c r="D7" t="s">
        <v>1167</v>
      </c>
    </row>
    <row r="8" spans="1:8">
      <c r="C8" t="s">
        <v>1168</v>
      </c>
    </row>
    <row r="9" spans="1:8">
      <c r="B9" t="s">
        <v>1169</v>
      </c>
    </row>
    <row r="10" spans="1:8">
      <c r="B10" t="s">
        <v>1170</v>
      </c>
    </row>
    <row r="11" spans="1:8">
      <c r="C11" t="s">
        <v>1171</v>
      </c>
    </row>
    <row r="12" spans="1:8">
      <c r="C12" t="s">
        <v>1172</v>
      </c>
    </row>
    <row r="13" spans="1:8">
      <c r="D13" t="s">
        <v>1173</v>
      </c>
    </row>
    <row r="14" spans="1:8">
      <c r="E14" t="s">
        <v>1174</v>
      </c>
    </row>
    <row r="15" spans="1:8">
      <c r="E15" t="s">
        <v>1175</v>
      </c>
    </row>
    <row r="16" spans="1:8">
      <c r="E16" t="s">
        <v>1176</v>
      </c>
    </row>
    <row r="17" spans="5:5">
      <c r="E17" t="s">
        <v>1177</v>
      </c>
    </row>
  </sheetData>
  <pageMargins left="0.75" right="0.75" top="1" bottom="1" header="0.5" footer="0.5"/>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3" sqref="C3"/>
    </sheetView>
  </sheetViews>
  <sheetFormatPr defaultColWidth="8.88888888888889" defaultRowHeight="14.4" outlineLevelRow="3" outlineLevelCol="7"/>
  <cols>
    <col min="1" max="1" width="9.66666666666667"/>
  </cols>
  <sheetData>
    <row r="1" s="1" customFormat="1" spans="1:8">
      <c r="A1" s="1">
        <f>SUM(B1:AZ1)</f>
        <v>1.33333333333333</v>
      </c>
      <c r="B1" s="1">
        <f t="shared" ref="B1:H1" si="0">COUNTA(B2:B2066)/COLUMN()</f>
        <v>1</v>
      </c>
      <c r="C1" s="1">
        <f t="shared" si="0"/>
        <v>0.333333333333333</v>
      </c>
      <c r="D1" s="1">
        <f t="shared" si="0"/>
        <v>0</v>
      </c>
      <c r="E1" s="1">
        <f t="shared" si="0"/>
        <v>0</v>
      </c>
      <c r="F1" s="1">
        <f t="shared" si="0"/>
        <v>0</v>
      </c>
      <c r="G1" s="1">
        <f t="shared" si="0"/>
        <v>0</v>
      </c>
      <c r="H1" s="1">
        <f t="shared" si="0"/>
        <v>0</v>
      </c>
    </row>
    <row r="2" spans="1:8">
      <c r="A2">
        <v>20240603</v>
      </c>
      <c r="B2" t="s">
        <v>1178</v>
      </c>
    </row>
    <row r="3" spans="1:8">
      <c r="C3" t="s">
        <v>1179</v>
      </c>
    </row>
    <row r="4" spans="1:8">
      <c r="B4" t="s">
        <v>1180</v>
      </c>
    </row>
  </sheetData>
  <pageMargins left="0.75" right="0.75" top="1" bottom="1" header="0.5" footer="0.5"/>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2"/>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4.16666666666667</v>
      </c>
      <c r="B1" s="1">
        <f t="shared" ref="B1:H1" si="0">COUNTA(B2:B2066)/COLUMN()</f>
        <v>1.5</v>
      </c>
      <c r="C1" s="1">
        <f t="shared" si="0"/>
        <v>2.66666666666667</v>
      </c>
      <c r="D1" s="1">
        <f t="shared" si="0"/>
        <v>0</v>
      </c>
      <c r="E1" s="1">
        <f t="shared" si="0"/>
        <v>0</v>
      </c>
      <c r="F1" s="1">
        <f t="shared" si="0"/>
        <v>0</v>
      </c>
      <c r="G1" s="1">
        <f t="shared" si="0"/>
        <v>0</v>
      </c>
      <c r="H1" s="1">
        <f t="shared" si="0"/>
        <v>0</v>
      </c>
    </row>
    <row r="2" spans="1:8">
      <c r="A2">
        <v>20240720</v>
      </c>
      <c r="B2" t="s">
        <v>1181</v>
      </c>
    </row>
    <row r="3" spans="1:8">
      <c r="C3" t="s">
        <v>1182</v>
      </c>
    </row>
    <row r="4" spans="1:8">
      <c r="C4" t="s">
        <v>1183</v>
      </c>
    </row>
    <row r="5" spans="1:8">
      <c r="C5" t="s">
        <v>1184</v>
      </c>
    </row>
    <row r="6" spans="1:8">
      <c r="B6" t="s">
        <v>1185</v>
      </c>
    </row>
    <row r="7" spans="1:8">
      <c r="C7" t="s">
        <v>1186</v>
      </c>
    </row>
    <row r="8" spans="1:8">
      <c r="C8" t="s">
        <v>1187</v>
      </c>
    </row>
    <row r="9" spans="1:8">
      <c r="B9" t="s">
        <v>1188</v>
      </c>
    </row>
    <row r="10" spans="1:8">
      <c r="C10" t="s">
        <v>1189</v>
      </c>
    </row>
    <row r="11" spans="1:8">
      <c r="C11" t="s">
        <v>1190</v>
      </c>
    </row>
    <row r="12" spans="1:8">
      <c r="C12" t="s">
        <v>1191</v>
      </c>
    </row>
  </sheetData>
  <pageMargins left="0.75" right="0.75" top="1" bottom="1" header="0.5" footer="0.5"/>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4" sqref="B4"/>
    </sheetView>
  </sheetViews>
  <sheetFormatPr defaultColWidth="8.88888888888889" defaultRowHeight="14.4" outlineLevelCol="7"/>
  <cols>
    <col min="1" max="1" width="9.66666666666667"/>
  </cols>
  <sheetData>
    <row r="1" s="1" customFormat="1" spans="1:8">
      <c r="A1" s="1">
        <f>SUM(B1:AZ1)</f>
        <v>5</v>
      </c>
      <c r="B1" s="1">
        <f t="shared" ref="B1:H1" si="0">COUNTA(B2:B2066)/COLUMN()</f>
        <v>3</v>
      </c>
      <c r="C1" s="1">
        <f t="shared" si="0"/>
        <v>2</v>
      </c>
      <c r="D1" s="1">
        <f t="shared" si="0"/>
        <v>0</v>
      </c>
      <c r="E1" s="1">
        <f t="shared" si="0"/>
        <v>0</v>
      </c>
      <c r="F1" s="1">
        <f t="shared" si="0"/>
        <v>0</v>
      </c>
      <c r="G1" s="1">
        <f t="shared" si="0"/>
        <v>0</v>
      </c>
      <c r="H1" s="1">
        <f t="shared" si="0"/>
        <v>0</v>
      </c>
    </row>
    <row r="2" spans="1:8">
      <c r="A2">
        <v>20240721</v>
      </c>
      <c r="B2" t="s">
        <v>1192</v>
      </c>
    </row>
    <row r="3" spans="1:8">
      <c r="C3" t="s">
        <v>1193</v>
      </c>
    </row>
    <row r="4" spans="1:8">
      <c r="B4" t="s">
        <v>1194</v>
      </c>
    </row>
    <row r="5" spans="1:8">
      <c r="C5" t="s">
        <v>1195</v>
      </c>
    </row>
    <row r="6" spans="1:8">
      <c r="B6" t="s">
        <v>1196</v>
      </c>
    </row>
    <row r="7" spans="1:8">
      <c r="B7" t="s">
        <v>1197</v>
      </c>
    </row>
    <row r="8" spans="1:8">
      <c r="C8" t="s">
        <v>1198</v>
      </c>
    </row>
    <row r="9" spans="1:8">
      <c r="C9" t="s">
        <v>1199</v>
      </c>
    </row>
    <row r="10" spans="1:8">
      <c r="B10" t="s">
        <v>1200</v>
      </c>
    </row>
    <row r="11" spans="1:8">
      <c r="B11" t="s">
        <v>1201</v>
      </c>
    </row>
    <row r="12" spans="1:8">
      <c r="C12" t="s">
        <v>1202</v>
      </c>
    </row>
    <row r="13" spans="1:8">
      <c r="C13" t="s">
        <v>1203</v>
      </c>
    </row>
  </sheetData>
  <pageMargins left="0.75" right="0.75" top="1" bottom="1" header="0.5" footer="0.5"/>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1" sqref="$A1:$XFD1"/>
    </sheetView>
  </sheetViews>
  <sheetFormatPr defaultColWidth="8.88888888888889" defaultRowHeight="14.4" outlineLevelRow="1" outlineLevelCol="7"/>
  <cols>
    <col min="1" max="1" width="9.66666666666667"/>
  </cols>
  <sheetData>
    <row r="1" s="1" customFormat="1" spans="1:8">
      <c r="A1" s="1">
        <f>SUM(B1:AZ1)</f>
        <v>0.5</v>
      </c>
      <c r="B1" s="1">
        <f t="shared" ref="B1:H1" si="0">COUNTA(B2:B2066)/COLUMN()</f>
        <v>0.5</v>
      </c>
      <c r="C1" s="1">
        <f t="shared" si="0"/>
        <v>0</v>
      </c>
      <c r="D1" s="1">
        <f t="shared" si="0"/>
        <v>0</v>
      </c>
      <c r="E1" s="1">
        <f t="shared" si="0"/>
        <v>0</v>
      </c>
      <c r="F1" s="1">
        <f t="shared" si="0"/>
        <v>0</v>
      </c>
      <c r="G1" s="1">
        <f t="shared" si="0"/>
        <v>0</v>
      </c>
      <c r="H1" s="1">
        <f t="shared" si="0"/>
        <v>0</v>
      </c>
    </row>
    <row r="2" spans="1:8">
      <c r="A2">
        <v>20240727</v>
      </c>
      <c r="B2" t="s">
        <v>1204</v>
      </c>
    </row>
  </sheetData>
  <pageMargins left="0.75" right="0.75" top="1" bottom="1" header="0.5" footer="0.5"/>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2" sqref="A2"/>
    </sheetView>
  </sheetViews>
  <sheetFormatPr defaultColWidth="8.88888888888889" defaultRowHeight="14.4" outlineLevelRow="6" outlineLevelCol="7"/>
  <cols>
    <col min="1" max="1" width="9.66666666666667"/>
  </cols>
  <sheetData>
    <row r="1" s="1" customFormat="1" spans="1:8">
      <c r="A1" s="1">
        <f>SUM(B1:AZ1)</f>
        <v>2.66666666666667</v>
      </c>
      <c r="B1" s="1">
        <f t="shared" ref="B1:H1" si="0">COUNTA(B2:B2066)/COLUMN()</f>
        <v>2</v>
      </c>
      <c r="C1" s="1">
        <f t="shared" si="0"/>
        <v>0.666666666666667</v>
      </c>
      <c r="D1" s="1">
        <f t="shared" si="0"/>
        <v>0</v>
      </c>
      <c r="E1" s="1">
        <f t="shared" si="0"/>
        <v>0</v>
      </c>
      <c r="F1" s="1">
        <f t="shared" si="0"/>
        <v>0</v>
      </c>
      <c r="G1" s="1">
        <f t="shared" si="0"/>
        <v>0</v>
      </c>
      <c r="H1" s="1">
        <f t="shared" si="0"/>
        <v>0</v>
      </c>
    </row>
    <row r="2" spans="1:8">
      <c r="A2">
        <v>20240804</v>
      </c>
      <c r="B2" t="s">
        <v>1205</v>
      </c>
    </row>
    <row r="3" spans="1:8">
      <c r="C3" t="s">
        <v>1206</v>
      </c>
    </row>
    <row r="4" spans="1:8">
      <c r="C4" t="s">
        <v>1207</v>
      </c>
    </row>
    <row r="5" spans="1:8">
      <c r="B5" t="s">
        <v>1208</v>
      </c>
    </row>
    <row r="6" spans="1:8">
      <c r="B6" t="s">
        <v>1209</v>
      </c>
    </row>
    <row r="7" spans="1:8">
      <c r="B7" t="s">
        <v>1210</v>
      </c>
    </row>
  </sheetData>
  <pageMargins left="0.75" right="0.75" top="1" bottom="1" header="0.5" footer="0.5"/>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K12" sqref="K1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20240810</v>
      </c>
      <c r="B2" t="s">
        <v>1211</v>
      </c>
    </row>
    <row r="3" spans="1:8">
      <c r="C3" t="s">
        <v>1212</v>
      </c>
    </row>
    <row r="4" spans="1:8">
      <c r="C4" t="s">
        <v>1213</v>
      </c>
    </row>
    <row r="5" spans="1:8">
      <c r="C5" t="s">
        <v>1214</v>
      </c>
    </row>
    <row r="6" spans="1:8">
      <c r="C6" t="s">
        <v>1215</v>
      </c>
    </row>
  </sheetData>
  <pageMargins left="0.75" right="0.75" top="1" bottom="1" header="0.5" footer="0.5"/>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1" sqref="B1"/>
    </sheetView>
  </sheetViews>
  <sheetFormatPr defaultColWidth="8.88888888888889" defaultRowHeight="14.4" outlineLevelRow="2" outlineLevelCol="7"/>
  <cols>
    <col min="1" max="1" width="9.66666666666667"/>
  </cols>
  <sheetData>
    <row r="1" s="1" customFormat="1" spans="1:8">
      <c r="A1" s="1">
        <f>SUM(B1:AZ1)</f>
        <v>0.833333333333333</v>
      </c>
      <c r="B1" s="1">
        <f>COUNTA(B2:B2066)/COLUMN()</f>
        <v>0.5</v>
      </c>
      <c r="C1" s="1">
        <f t="shared" ref="B1:H1" si="0">COUNTA(C2:C2066)/COLUMN()</f>
        <v>0.333333333333333</v>
      </c>
      <c r="D1" s="1">
        <f t="shared" si="0"/>
        <v>0</v>
      </c>
      <c r="E1" s="1">
        <f t="shared" si="0"/>
        <v>0</v>
      </c>
      <c r="F1" s="1">
        <f t="shared" si="0"/>
        <v>0</v>
      </c>
      <c r="G1" s="1">
        <f t="shared" si="0"/>
        <v>0</v>
      </c>
      <c r="H1" s="1">
        <f t="shared" si="0"/>
        <v>0</v>
      </c>
    </row>
    <row r="2" spans="1:8">
      <c r="A2">
        <v>20240811</v>
      </c>
      <c r="B2" t="s">
        <v>1216</v>
      </c>
    </row>
    <row r="3" spans="1:8">
      <c r="C3" t="s">
        <v>1217</v>
      </c>
    </row>
  </sheetData>
  <pageMargins left="0.75" right="0.75" top="1" bottom="1" header="0.5" footer="0.5"/>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B2" sqref="B2"/>
    </sheetView>
  </sheetViews>
  <sheetFormatPr defaultColWidth="8.88888888888889" defaultRowHeight="14.4" outlineLevelRow="4" outlineLevelCol="7"/>
  <cols>
    <col min="1" max="1" width="9.66666666666667"/>
  </cols>
  <sheetData>
    <row r="1" s="1" customFormat="1" spans="1:8">
      <c r="A1" s="1">
        <f>SUM(B1:AZ1)</f>
        <v>1.66666666666667</v>
      </c>
      <c r="B1" s="1">
        <f t="shared" ref="B1:H1" si="0">COUNTA(B2:B2066)/COLUMN()</f>
        <v>1</v>
      </c>
      <c r="C1" s="1">
        <f t="shared" si="0"/>
        <v>0.666666666666667</v>
      </c>
      <c r="D1" s="1">
        <f t="shared" si="0"/>
        <v>0</v>
      </c>
      <c r="E1" s="1">
        <f t="shared" si="0"/>
        <v>0</v>
      </c>
      <c r="F1" s="1">
        <f t="shared" si="0"/>
        <v>0</v>
      </c>
      <c r="G1" s="1">
        <f t="shared" si="0"/>
        <v>0</v>
      </c>
      <c r="H1" s="1">
        <f t="shared" si="0"/>
        <v>0</v>
      </c>
    </row>
    <row r="2" spans="1:8">
      <c r="A2">
        <v>20240831</v>
      </c>
      <c r="B2" t="s">
        <v>1218</v>
      </c>
    </row>
    <row r="3" spans="1:8">
      <c r="B3" t="s">
        <v>1219</v>
      </c>
    </row>
    <row r="4" spans="1:8">
      <c r="C4" t="s">
        <v>1220</v>
      </c>
    </row>
    <row r="5" spans="1:8">
      <c r="C5" t="s">
        <v>1221</v>
      </c>
    </row>
  </sheetData>
  <pageMargins left="0.75" right="0.75" top="1" bottom="1" header="0.5" footer="0.5"/>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A1" sqref="$A1:$XFD1"/>
    </sheetView>
  </sheetViews>
  <sheetFormatPr defaultColWidth="8.88888888888889" defaultRowHeight="14.4" outlineLevelRow="2" outlineLevelCol="7"/>
  <cols>
    <col min="1" max="1" width="9.66666666666667"/>
  </cols>
  <sheetData>
    <row r="1" s="1" customFormat="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20240901</v>
      </c>
      <c r="B2" t="s">
        <v>1222</v>
      </c>
    </row>
    <row r="3" spans="1:8">
      <c r="B3" t="s">
        <v>1223</v>
      </c>
    </row>
  </sheetData>
  <pageMargins left="0.75" right="0.75" top="1" bottom="1" header="0.5" footer="0.5"/>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sheetData>
    <row r="1" s="1" customFormat="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v>20240907</v>
      </c>
      <c r="B2" t="s">
        <v>1224</v>
      </c>
    </row>
    <row r="3" spans="1:8">
      <c r="C3" t="s">
        <v>1225</v>
      </c>
    </row>
    <row r="4" spans="1:8">
      <c r="C4" t="s">
        <v>1226</v>
      </c>
    </row>
  </sheetData>
  <pageMargins left="0.75" right="0.75" top="1" bottom="1" header="0.5" footer="0.5"/>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C3" sqref="C3"/>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20240908</v>
      </c>
      <c r="B2" t="s">
        <v>1227</v>
      </c>
    </row>
    <row r="3" spans="1:8">
      <c r="C3" t="s">
        <v>1228</v>
      </c>
    </row>
    <row r="4" spans="1:8">
      <c r="C4" t="s">
        <v>1229</v>
      </c>
    </row>
    <row r="5" spans="1:8">
      <c r="C5" t="s">
        <v>1230</v>
      </c>
    </row>
    <row r="6" spans="1:8">
      <c r="C6" t="s">
        <v>1231</v>
      </c>
    </row>
  </sheetData>
  <pageMargins left="0.75" right="0.75" top="1" bottom="1" header="0.5" footer="0.5"/>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1"/>
    </sheetView>
  </sheetViews>
  <sheetFormatPr defaultColWidth="8.88888888888889" defaultRowHeight="14.4" outlineLevelRow="6" outlineLevelCol="7"/>
  <cols>
    <col min="1" max="1" width="9.66666666666667"/>
  </cols>
  <sheetData>
    <row r="1" s="1" customFormat="1" spans="1:8">
      <c r="A1" s="1">
        <f>SUM(B1:AZ1)</f>
        <v>2.16666666666667</v>
      </c>
      <c r="B1" s="1">
        <f t="shared" ref="B1:H1" si="0">COUNTA(B2:B2066)/COLUMN()</f>
        <v>0.5</v>
      </c>
      <c r="C1" s="1">
        <f t="shared" si="0"/>
        <v>1.66666666666667</v>
      </c>
      <c r="D1" s="1">
        <f t="shared" si="0"/>
        <v>0</v>
      </c>
      <c r="E1" s="1">
        <f t="shared" si="0"/>
        <v>0</v>
      </c>
      <c r="F1" s="1">
        <f t="shared" si="0"/>
        <v>0</v>
      </c>
      <c r="G1" s="1">
        <f t="shared" si="0"/>
        <v>0</v>
      </c>
      <c r="H1" s="1">
        <f t="shared" si="0"/>
        <v>0</v>
      </c>
    </row>
    <row r="2" spans="1:8">
      <c r="A2">
        <v>20240916</v>
      </c>
      <c r="B2" t="s">
        <v>1232</v>
      </c>
    </row>
    <row r="3" spans="1:8">
      <c r="C3" t="s">
        <v>1233</v>
      </c>
    </row>
    <row r="4" spans="1:8">
      <c r="C4" t="s">
        <v>1234</v>
      </c>
    </row>
    <row r="5" spans="1:8">
      <c r="C5" t="s">
        <v>1235</v>
      </c>
    </row>
    <row r="6" spans="1:8">
      <c r="C6" t="s">
        <v>1236</v>
      </c>
    </row>
    <row r="7" spans="1:8">
      <c r="C7" t="s">
        <v>1237</v>
      </c>
    </row>
  </sheetData>
  <pageMargins left="0.75" right="0.75" top="1" bottom="1" header="0.5" footer="0.5"/>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H5" sqref="H5"/>
    </sheetView>
  </sheetViews>
  <sheetFormatPr defaultColWidth="8.88888888888889" defaultRowHeight="14.4" outlineLevelCol="7"/>
  <cols>
    <col min="1" max="1" width="9.66666666666667"/>
  </cols>
  <sheetData>
    <row r="1" s="1" customFormat="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20240922</v>
      </c>
      <c r="B2" t="s">
        <v>1238</v>
      </c>
    </row>
    <row r="3" spans="1:8">
      <c r="C3" t="s">
        <v>1239</v>
      </c>
    </row>
    <row r="4" spans="1:8">
      <c r="C4" t="s">
        <v>1240</v>
      </c>
    </row>
    <row r="5" spans="1:8">
      <c r="B5" t="s">
        <v>1241</v>
      </c>
    </row>
    <row r="6" spans="1:8">
      <c r="C6" t="s">
        <v>1242</v>
      </c>
    </row>
    <row r="7" spans="1:8">
      <c r="C7" t="s">
        <v>1243</v>
      </c>
    </row>
    <row r="8" spans="1:8">
      <c r="D8" t="s">
        <v>1244</v>
      </c>
    </row>
    <row r="9" spans="1:8">
      <c r="D9" t="s">
        <v>1245</v>
      </c>
    </row>
    <row r="10" spans="1:8">
      <c r="C10" t="s">
        <v>1246</v>
      </c>
    </row>
  </sheetData>
  <pageMargins left="0.75" right="0.75" top="1" bottom="1" header="0.5" footer="0.5"/>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7" sqref="D7"/>
    </sheetView>
  </sheetViews>
  <sheetFormatPr defaultColWidth="8.88888888888889" defaultRowHeight="14.4" outlineLevelCol="7"/>
  <cols>
    <col min="1" max="1" width="9.66666666666667"/>
  </cols>
  <sheetData>
    <row r="1" s="1" customFormat="1" spans="1:8">
      <c r="A1" s="1">
        <f>SUM(B1:AZ1)</f>
        <v>2.58333333333333</v>
      </c>
      <c r="B1" s="1">
        <f t="shared" ref="B1:H1" si="0">COUNTA(B2:B2067)/COLUMN()</f>
        <v>0.5</v>
      </c>
      <c r="C1" s="1">
        <f t="shared" si="0"/>
        <v>1.33333333333333</v>
      </c>
      <c r="D1" s="1">
        <f t="shared" si="0"/>
        <v>0.75</v>
      </c>
      <c r="E1" s="1">
        <f t="shared" si="0"/>
        <v>0</v>
      </c>
      <c r="F1" s="1">
        <f t="shared" si="0"/>
        <v>0</v>
      </c>
      <c r="G1" s="1">
        <f t="shared" si="0"/>
        <v>0</v>
      </c>
      <c r="H1" s="1">
        <f t="shared" si="0"/>
        <v>0</v>
      </c>
    </row>
    <row r="2" spans="1:8">
      <c r="A2">
        <v>20241001</v>
      </c>
      <c r="B2" t="s">
        <v>1247</v>
      </c>
    </row>
    <row r="3" spans="1:8">
      <c r="C3" t="s">
        <v>1248</v>
      </c>
    </row>
    <row r="4" spans="1:8">
      <c r="C4" t="s">
        <v>1249</v>
      </c>
    </row>
    <row r="5" spans="1:8">
      <c r="C5" t="s">
        <v>1250</v>
      </c>
    </row>
    <row r="6" spans="1:8">
      <c r="C6" t="s">
        <v>1251</v>
      </c>
    </row>
    <row r="7" spans="1:8">
      <c r="D7" t="s">
        <v>1252</v>
      </c>
    </row>
    <row r="8" spans="1:8">
      <c r="D8" t="s">
        <v>1253</v>
      </c>
    </row>
    <row r="9" spans="1:8">
      <c r="D9" t="s">
        <v>1254</v>
      </c>
    </row>
  </sheetData>
  <pageMargins left="0.75" right="0.75" top="1" bottom="1" header="0.5" footer="0.5"/>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3" sqref="B3"/>
    </sheetView>
  </sheetViews>
  <sheetFormatPr defaultColWidth="8.88888888888889" defaultRowHeight="14.4" outlineLevelRow="2" outlineLevelCol="7"/>
  <cols>
    <col min="1" max="1" width="9.66666666666667"/>
  </cols>
  <sheetData>
    <row r="1" s="1" customFormat="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20241006</v>
      </c>
      <c r="B2" t="s">
        <v>1255</v>
      </c>
    </row>
    <row r="3" spans="1:8">
      <c r="B3" t="s">
        <v>1256</v>
      </c>
    </row>
  </sheetData>
  <pageMargins left="0.75" right="0.75" top="1" bottom="1" header="0.5" footer="0.5"/>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sheetData>
    <row r="1" s="1" customFormat="1" spans="1:8">
      <c r="A1" s="1">
        <f>SUM(B1:AZ1)</f>
        <v>1.33333333333333</v>
      </c>
      <c r="B1" s="1">
        <f t="shared" ref="B1:H1" si="0">COUNTA(B2:B2067)/COLUMN()</f>
        <v>1</v>
      </c>
      <c r="C1" s="1">
        <f t="shared" si="0"/>
        <v>0.333333333333333</v>
      </c>
      <c r="D1" s="1">
        <f t="shared" si="0"/>
        <v>0</v>
      </c>
      <c r="E1" s="1">
        <f t="shared" si="0"/>
        <v>0</v>
      </c>
      <c r="F1" s="1">
        <f t="shared" si="0"/>
        <v>0</v>
      </c>
      <c r="G1" s="1">
        <f t="shared" si="0"/>
        <v>0</v>
      </c>
      <c r="H1" s="1">
        <f t="shared" si="0"/>
        <v>0</v>
      </c>
    </row>
    <row r="2" spans="1:8">
      <c r="A2">
        <v>20241019</v>
      </c>
      <c r="B2" t="s">
        <v>1257</v>
      </c>
    </row>
    <row r="3" spans="1:8">
      <c r="B3" t="s">
        <v>1258</v>
      </c>
    </row>
    <row r="4" spans="1:8">
      <c r="C4" t="s">
        <v>1259</v>
      </c>
    </row>
  </sheetData>
  <pageMargins left="0.75" right="0.75" top="1" bottom="1" header="0.5" footer="0.5"/>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A1" sqref="$A1:$XFD2"/>
    </sheetView>
  </sheetViews>
  <sheetFormatPr defaultColWidth="8.88888888888889" defaultRowHeight="14.4" outlineLevelRow="4" outlineLevelCol="7"/>
  <cols>
    <col min="1" max="1" width="9.66666666666667"/>
  </cols>
  <sheetData>
    <row r="1" s="1" customFormat="1" spans="1:8">
      <c r="A1" s="1">
        <f>SUM(B1:AZ1)</f>
        <v>1.41666666666667</v>
      </c>
      <c r="B1" s="1">
        <f t="shared" ref="B1:H1" si="0">COUNTA(B2:B2067)/COLUMN()</f>
        <v>0.5</v>
      </c>
      <c r="C1" s="1">
        <f t="shared" si="0"/>
        <v>0.666666666666667</v>
      </c>
      <c r="D1" s="1">
        <f t="shared" si="0"/>
        <v>0.25</v>
      </c>
      <c r="E1" s="1">
        <f t="shared" si="0"/>
        <v>0</v>
      </c>
      <c r="F1" s="1">
        <f t="shared" si="0"/>
        <v>0</v>
      </c>
      <c r="G1" s="1">
        <f t="shared" si="0"/>
        <v>0</v>
      </c>
      <c r="H1" s="1">
        <f t="shared" si="0"/>
        <v>0</v>
      </c>
    </row>
    <row r="2" spans="1:8">
      <c r="A2">
        <v>20250202</v>
      </c>
      <c r="B2" t="s">
        <v>1260</v>
      </c>
    </row>
    <row r="3" spans="1:8">
      <c r="C3" t="s">
        <v>1261</v>
      </c>
    </row>
    <row r="4" spans="1:8">
      <c r="C4" t="s">
        <v>1262</v>
      </c>
    </row>
    <row r="5" spans="1:8">
      <c r="D5" t="s">
        <v>1263</v>
      </c>
    </row>
  </sheetData>
  <pageMargins left="0.75" right="0.75" top="1" bottom="1" header="0.5" footer="0.5"/>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A1" sqref="$A1:$XFD2"/>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20250205</v>
      </c>
      <c r="B2" t="s">
        <v>1264</v>
      </c>
    </row>
    <row r="3" spans="1:8">
      <c r="C3" t="s">
        <v>1265</v>
      </c>
    </row>
    <row r="4" spans="1:8">
      <c r="C4" t="s">
        <v>1266</v>
      </c>
    </row>
  </sheetData>
  <pageMargins left="0.75" right="0.75" top="1" bottom="1" header="0.5" footer="0.5"/>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6" sqref="C6"/>
    </sheetView>
  </sheetViews>
  <sheetFormatPr defaultColWidth="8.88888888888889" defaultRowHeight="14.4" outlineLevelRow="4" outlineLevelCol="7"/>
  <cols>
    <col min="1" max="1" width="9.66666666666667"/>
  </cols>
  <sheetData>
    <row r="1" s="1" customFormat="1" spans="1:8">
      <c r="A1" s="1">
        <f>SUM(B1:AZ1)</f>
        <v>1.5</v>
      </c>
      <c r="B1" s="1">
        <f t="shared" ref="B1:H1" si="0">COUNTA(B2:B2067)/COLUMN()</f>
        <v>0.5</v>
      </c>
      <c r="C1" s="1">
        <f t="shared" si="0"/>
        <v>1</v>
      </c>
      <c r="D1" s="1">
        <f t="shared" si="0"/>
        <v>0</v>
      </c>
      <c r="E1" s="1">
        <f t="shared" si="0"/>
        <v>0</v>
      </c>
      <c r="F1" s="1">
        <f t="shared" si="0"/>
        <v>0</v>
      </c>
      <c r="G1" s="1">
        <f t="shared" si="0"/>
        <v>0</v>
      </c>
      <c r="H1" s="1">
        <f t="shared" si="0"/>
        <v>0</v>
      </c>
    </row>
    <row r="2" spans="1:8">
      <c r="A2">
        <v>20250211</v>
      </c>
      <c r="B2" t="s">
        <v>1267</v>
      </c>
    </row>
    <row r="3" spans="1:8">
      <c r="C3" t="s">
        <v>1268</v>
      </c>
    </row>
    <row r="4" spans="1:8">
      <c r="C4" t="s">
        <v>1269</v>
      </c>
    </row>
    <row r="5" spans="1:8">
      <c r="C5" t="s">
        <v>1270</v>
      </c>
    </row>
  </sheetData>
  <pageMargins left="0.75" right="0.75" top="1" bottom="1" header="0.5" footer="0.5"/>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9" sqref="D9"/>
    </sheetView>
  </sheetViews>
  <sheetFormatPr defaultColWidth="8.88888888888889" defaultRowHeight="14.4" outlineLevelCol="7"/>
  <cols>
    <col min="1" max="1" width="9.66666666666667"/>
  </cols>
  <sheetData>
    <row r="1" s="1" customFormat="1" spans="1:8">
      <c r="A1" s="1">
        <f>SUM(B1:AZ1)</f>
        <v>2.83333333333333</v>
      </c>
      <c r="B1" s="1">
        <f t="shared" ref="B1:H1" si="0">COUNTA(B2:B2068)/COLUMN()</f>
        <v>1</v>
      </c>
      <c r="C1" s="1">
        <f t="shared" si="0"/>
        <v>1.33333333333333</v>
      </c>
      <c r="D1" s="1">
        <f t="shared" si="0"/>
        <v>0.5</v>
      </c>
      <c r="E1" s="1">
        <f t="shared" si="0"/>
        <v>0</v>
      </c>
      <c r="F1" s="1">
        <f t="shared" si="0"/>
        <v>0</v>
      </c>
      <c r="G1" s="1">
        <f t="shared" si="0"/>
        <v>0</v>
      </c>
      <c r="H1" s="1">
        <f t="shared" si="0"/>
        <v>0</v>
      </c>
    </row>
    <row r="2" spans="1:8">
      <c r="A2">
        <v>20250214</v>
      </c>
      <c r="B2" t="s">
        <v>1271</v>
      </c>
    </row>
    <row r="3" spans="1:8">
      <c r="C3" t="s">
        <v>1272</v>
      </c>
    </row>
    <row r="4" spans="1:8">
      <c r="C4" t="s">
        <v>1273</v>
      </c>
    </row>
    <row r="5" spans="1:8">
      <c r="C5" t="s">
        <v>1274</v>
      </c>
    </row>
    <row r="6" spans="1:8">
      <c r="C6" t="s">
        <v>1275</v>
      </c>
    </row>
    <row r="7" spans="1:8">
      <c r="D7" t="s">
        <v>1276</v>
      </c>
    </row>
    <row r="8" spans="1:8">
      <c r="D8" t="s">
        <v>1277</v>
      </c>
    </row>
    <row r="9" spans="1:8">
      <c r="B9" t="s">
        <v>1278</v>
      </c>
    </row>
  </sheetData>
  <pageMargins left="0.75" right="0.75" top="1" bottom="1" header="0.5" footer="0.5"/>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A1" sqref="$A1:$XFD2"/>
    </sheetView>
  </sheetViews>
  <sheetFormatPr defaultColWidth="8.88888888888889" defaultRowHeight="14.4" outlineLevelRow="4" outlineLevelCol="7"/>
  <cols>
    <col min="1" max="1" width="9.66666666666667"/>
  </cols>
  <sheetData>
    <row r="1" s="1" customFormat="1" spans="1:8">
      <c r="A1" s="1">
        <f>SUM(B1:AZ1)</f>
        <v>1.83333333333333</v>
      </c>
      <c r="B1" s="1">
        <f t="shared" ref="B1:H1" si="0">COUNTA(B2:B2067)/COLUMN()</f>
        <v>1.5</v>
      </c>
      <c r="C1" s="1">
        <f t="shared" si="0"/>
        <v>0.333333333333333</v>
      </c>
      <c r="D1" s="1">
        <f t="shared" si="0"/>
        <v>0</v>
      </c>
      <c r="E1" s="1">
        <f t="shared" si="0"/>
        <v>0</v>
      </c>
      <c r="F1" s="1">
        <f t="shared" si="0"/>
        <v>0</v>
      </c>
      <c r="G1" s="1">
        <f t="shared" si="0"/>
        <v>0</v>
      </c>
      <c r="H1" s="1">
        <f t="shared" si="0"/>
        <v>0</v>
      </c>
    </row>
    <row r="2" spans="1:8">
      <c r="A2">
        <v>20250217</v>
      </c>
      <c r="B2" t="s">
        <v>1279</v>
      </c>
    </row>
    <row r="3" spans="1:8">
      <c r="B3" t="s">
        <v>1280</v>
      </c>
    </row>
    <row r="4" spans="1:8">
      <c r="B4" t="s">
        <v>1281</v>
      </c>
    </row>
    <row r="5" spans="1:8">
      <c r="C5" t="s">
        <v>1282</v>
      </c>
    </row>
  </sheetData>
  <pageMargins left="0.75" right="0.75" top="1" bottom="1" header="0.5" footer="0.5"/>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C18" sqref="C18"/>
    </sheetView>
  </sheetViews>
  <sheetFormatPr defaultColWidth="8.88888888888889" defaultRowHeight="14.4" outlineLevelCol="7"/>
  <cols>
    <col min="1" max="1" width="9.66666666666667"/>
  </cols>
  <sheetData>
    <row r="1" s="1" customFormat="1" spans="1:8">
      <c r="A1" s="1">
        <f>SUM(B1:AZ1)</f>
        <v>7</v>
      </c>
      <c r="B1" s="1">
        <f t="shared" ref="B1:H1" si="0">COUNTA(B2:B2067)/COLUMN()</f>
        <v>3</v>
      </c>
      <c r="C1" s="1">
        <f t="shared" si="0"/>
        <v>4</v>
      </c>
      <c r="D1" s="1">
        <f t="shared" si="0"/>
        <v>0</v>
      </c>
      <c r="E1" s="1">
        <f t="shared" si="0"/>
        <v>0</v>
      </c>
      <c r="F1" s="1">
        <f t="shared" si="0"/>
        <v>0</v>
      </c>
      <c r="G1" s="1">
        <f t="shared" si="0"/>
        <v>0</v>
      </c>
      <c r="H1" s="1">
        <f t="shared" si="0"/>
        <v>0</v>
      </c>
    </row>
    <row r="2" spans="1:8">
      <c r="A2">
        <v>20250324</v>
      </c>
      <c r="B2" t="s">
        <v>1283</v>
      </c>
    </row>
    <row r="3" spans="1:8">
      <c r="C3" t="s">
        <v>1284</v>
      </c>
    </row>
    <row r="4" spans="1:8">
      <c r="C4" t="s">
        <v>1285</v>
      </c>
    </row>
    <row r="5" spans="1:8">
      <c r="C5" t="s">
        <v>1286</v>
      </c>
    </row>
    <row r="6" spans="1:8">
      <c r="B6" t="s">
        <v>1287</v>
      </c>
    </row>
    <row r="7" spans="1:8">
      <c r="C7" t="s">
        <v>1288</v>
      </c>
    </row>
    <row r="8" spans="1:8">
      <c r="C8" t="s">
        <v>1289</v>
      </c>
    </row>
    <row r="9" spans="1:8">
      <c r="B9" t="s">
        <v>1290</v>
      </c>
    </row>
    <row r="10" spans="1:8">
      <c r="C10" t="s">
        <v>1291</v>
      </c>
    </row>
    <row r="11" spans="1:8">
      <c r="B11" t="s">
        <v>1292</v>
      </c>
    </row>
    <row r="12" spans="1:8">
      <c r="C12" t="s">
        <v>1293</v>
      </c>
    </row>
    <row r="13" spans="1:8">
      <c r="C13" t="s">
        <v>1294</v>
      </c>
    </row>
    <row r="14" spans="1:8">
      <c r="C14" t="s">
        <v>1295</v>
      </c>
    </row>
    <row r="15" spans="1:8">
      <c r="B15" t="s">
        <v>1296</v>
      </c>
    </row>
    <row r="16" spans="1:8">
      <c r="C16" t="s">
        <v>1297</v>
      </c>
    </row>
    <row r="17" spans="2:3">
      <c r="C17" t="s">
        <v>1298</v>
      </c>
    </row>
    <row r="18" spans="2:3">
      <c r="C18" t="s">
        <v>1299</v>
      </c>
    </row>
    <row r="19" spans="2:3">
      <c r="B19" t="s">
        <v>1300</v>
      </c>
    </row>
  </sheetData>
  <pageMargins left="0.75" right="0.75" top="1" bottom="1" header="0.5" footer="0.5"/>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M5" sqref="M5"/>
    </sheetView>
  </sheetViews>
  <sheetFormatPr defaultColWidth="8.88888888888889" defaultRowHeight="14.4" outlineLevelCol="7"/>
  <sheetData>
    <row r="1" spans="1:8">
      <c r="A1" s="1">
        <f>SUM(B1:AZ1)</f>
        <v>4.08333333333333</v>
      </c>
      <c r="B1" s="1">
        <f t="shared" ref="B1:H1" si="0">COUNTA(B2:B2067)/COLUMN()</f>
        <v>1</v>
      </c>
      <c r="C1" s="1">
        <f t="shared" si="0"/>
        <v>1.33333333333333</v>
      </c>
      <c r="D1" s="1">
        <f t="shared" si="0"/>
        <v>1.75</v>
      </c>
      <c r="E1" s="1">
        <f t="shared" si="0"/>
        <v>0</v>
      </c>
      <c r="F1" s="1">
        <f t="shared" si="0"/>
        <v>0</v>
      </c>
      <c r="G1" s="1">
        <f t="shared" si="0"/>
        <v>0</v>
      </c>
      <c r="H1" s="1">
        <f t="shared" si="0"/>
        <v>0</v>
      </c>
    </row>
    <row r="2" spans="1:8">
      <c r="A2">
        <v>20250324</v>
      </c>
      <c r="B2" t="s">
        <v>1301</v>
      </c>
    </row>
    <row r="3" spans="1:8">
      <c r="C3" t="s">
        <v>1302</v>
      </c>
    </row>
    <row r="4" spans="1:8">
      <c r="D4" t="s">
        <v>1303</v>
      </c>
    </row>
    <row r="5" spans="1:8">
      <c r="D5" t="s">
        <v>1304</v>
      </c>
    </row>
    <row r="6" spans="1:8">
      <c r="D6" t="s">
        <v>1305</v>
      </c>
    </row>
    <row r="7" spans="1:8">
      <c r="C7" t="s">
        <v>1306</v>
      </c>
    </row>
    <row r="8" spans="1:8">
      <c r="D8" t="s">
        <v>1307</v>
      </c>
    </row>
    <row r="9" spans="1:8">
      <c r="D9" t="s">
        <v>1308</v>
      </c>
    </row>
    <row r="10" spans="1:8">
      <c r="D10" t="s">
        <v>1309</v>
      </c>
    </row>
    <row r="11" spans="1:8">
      <c r="D11" t="s">
        <v>1310</v>
      </c>
    </row>
    <row r="12" spans="1:8">
      <c r="B12" t="s">
        <v>1311</v>
      </c>
    </row>
    <row r="13" spans="1:8">
      <c r="C13" t="s">
        <v>1312</v>
      </c>
    </row>
    <row r="14" spans="1:8">
      <c r="C14" t="s">
        <v>1313</v>
      </c>
    </row>
  </sheetData>
  <pageMargins left="0.75" right="0.75" top="1" bottom="1" header="0.5" footer="0.5"/>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O24" sqref="O24"/>
    </sheetView>
  </sheetViews>
  <sheetFormatPr defaultColWidth="8.88888888888889" defaultRowHeight="14.4" outlineLevelRow="1" outlineLevelCol="7"/>
  <cols>
    <col min="1" max="1" width="9.66666666666667"/>
  </cols>
  <sheetData>
    <row r="1" spans="1:8">
      <c r="A1" s="1">
        <f>SUM(B1:AZ1)</f>
        <v>0.5</v>
      </c>
      <c r="B1" s="1">
        <f t="shared" ref="B1:H1" si="0">COUNTA(B2:B2067)/COLUMN()</f>
        <v>0.5</v>
      </c>
      <c r="C1" s="1">
        <f t="shared" si="0"/>
        <v>0</v>
      </c>
      <c r="D1" s="1">
        <f t="shared" si="0"/>
        <v>0</v>
      </c>
      <c r="E1" s="1">
        <f t="shared" si="0"/>
        <v>0</v>
      </c>
      <c r="F1" s="1">
        <f t="shared" si="0"/>
        <v>0</v>
      </c>
      <c r="G1" s="1">
        <f t="shared" si="0"/>
        <v>0</v>
      </c>
      <c r="H1" s="1">
        <f t="shared" si="0"/>
        <v>0</v>
      </c>
    </row>
    <row r="2" spans="1:8">
      <c r="A2">
        <v>70250324</v>
      </c>
      <c r="B2" t="s">
        <v>1314</v>
      </c>
    </row>
  </sheetData>
  <pageMargins left="0.75" right="0.75" top="1" bottom="1" header="0.5" footer="0.5"/>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J8" sqref="J8"/>
    </sheetView>
  </sheetViews>
  <sheetFormatPr defaultColWidth="8.88888888888889" defaultRowHeight="14.4" outlineLevelRow="2" outlineLevelCol="7"/>
  <sheetData>
    <row r="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20250329</v>
      </c>
      <c r="B2" t="s">
        <v>1315</v>
      </c>
    </row>
    <row r="3" spans="1:8">
      <c r="B3" t="s">
        <v>1316</v>
      </c>
    </row>
  </sheetData>
  <pageMargins left="0.75" right="0.75" top="1" bottom="1" header="0.5" footer="0.5"/>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C4" sqref="C4"/>
    </sheetView>
  </sheetViews>
  <sheetFormatPr defaultColWidth="8.88888888888889" defaultRowHeight="14.4" outlineLevelRow="6" outlineLevelCol="7"/>
  <cols>
    <col min="1" max="1" width="9.66666666666667"/>
  </cols>
  <sheetData>
    <row r="1" spans="1:8">
      <c r="A1" s="1">
        <f>SUM(B1:AZ1)</f>
        <v>2.33333333333333</v>
      </c>
      <c r="B1" s="1">
        <f t="shared" ref="B1:H1" si="0">COUNTA(B2:B2067)/COLUMN()</f>
        <v>1</v>
      </c>
      <c r="C1" s="1">
        <f t="shared" si="0"/>
        <v>1.33333333333333</v>
      </c>
      <c r="D1" s="1">
        <f t="shared" si="0"/>
        <v>0</v>
      </c>
      <c r="E1" s="1">
        <f t="shared" si="0"/>
        <v>0</v>
      </c>
      <c r="F1" s="1">
        <f t="shared" si="0"/>
        <v>0</v>
      </c>
      <c r="G1" s="1">
        <f t="shared" si="0"/>
        <v>0</v>
      </c>
      <c r="H1" s="1">
        <f t="shared" si="0"/>
        <v>0</v>
      </c>
    </row>
    <row r="2" spans="1:8">
      <c r="A2">
        <v>20250331</v>
      </c>
      <c r="B2" t="s">
        <v>1317</v>
      </c>
    </row>
    <row r="3" spans="1:8">
      <c r="C3" t="s">
        <v>1318</v>
      </c>
    </row>
    <row r="4" spans="1:8">
      <c r="C4" t="s">
        <v>1319</v>
      </c>
    </row>
    <row r="5" spans="1:8">
      <c r="B5" t="s">
        <v>1320</v>
      </c>
    </row>
    <row r="6" spans="1:8">
      <c r="C6" t="s">
        <v>1321</v>
      </c>
    </row>
    <row r="7" spans="1:8">
      <c r="C7" t="s">
        <v>1322</v>
      </c>
    </row>
  </sheetData>
  <pageMargins left="0.75" right="0.75" top="1" bottom="1" header="0.5" footer="0.5"/>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C3" sqref="C3"/>
    </sheetView>
  </sheetViews>
  <sheetFormatPr defaultColWidth="8.88888888888889" defaultRowHeight="14.4" outlineLevelCol="7"/>
  <sheetData>
    <row r="1" spans="1:8">
      <c r="A1" s="1">
        <f>SUM(B1:AZ1)</f>
        <v>3.53333333333333</v>
      </c>
      <c r="B1" s="1">
        <f t="shared" ref="B1:H1" si="0">COUNTA(B2:B2067)/COLUMN()</f>
        <v>1.5</v>
      </c>
      <c r="C1" s="1">
        <f t="shared" si="0"/>
        <v>1.33333333333333</v>
      </c>
      <c r="D1" s="1">
        <f t="shared" si="0"/>
        <v>0.5</v>
      </c>
      <c r="E1" s="1">
        <f t="shared" si="0"/>
        <v>0.2</v>
      </c>
      <c r="F1" s="1">
        <f t="shared" si="0"/>
        <v>0</v>
      </c>
      <c r="G1" s="1">
        <f t="shared" si="0"/>
        <v>0</v>
      </c>
      <c r="H1" s="1">
        <f t="shared" si="0"/>
        <v>0</v>
      </c>
    </row>
    <row r="2" spans="1:8">
      <c r="A2">
        <v>20250331</v>
      </c>
      <c r="B2" t="s">
        <v>1323</v>
      </c>
    </row>
    <row r="3" spans="1:8">
      <c r="C3" t="s">
        <v>1324</v>
      </c>
    </row>
    <row r="4" spans="1:8">
      <c r="B4" t="s">
        <v>1325</v>
      </c>
    </row>
    <row r="5" spans="1:8">
      <c r="C5" t="s">
        <v>1326</v>
      </c>
    </row>
    <row r="6" spans="1:8">
      <c r="C6" t="s">
        <v>1327</v>
      </c>
    </row>
    <row r="7" spans="1:8">
      <c r="B7" t="s">
        <v>1328</v>
      </c>
    </row>
    <row r="8" spans="1:8">
      <c r="C8" t="s">
        <v>1329</v>
      </c>
    </row>
    <row r="9" spans="1:8">
      <c r="D9" t="s">
        <v>1330</v>
      </c>
    </row>
    <row r="10" spans="1:8">
      <c r="D10" t="s">
        <v>1331</v>
      </c>
    </row>
    <row r="11" spans="1:8">
      <c r="E11" t="s">
        <v>1332</v>
      </c>
    </row>
  </sheetData>
  <pageMargins left="0.75" right="0.75" top="1" bottom="1" header="0.5" footer="0.5"/>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4" sqref="B4"/>
    </sheetView>
  </sheetViews>
  <sheetFormatPr defaultColWidth="8.88888888888889" defaultRowHeight="14.4" outlineLevelCol="7"/>
  <cols>
    <col min="1" max="1" width="9.66666666666667"/>
  </cols>
  <sheetData>
    <row r="1" spans="1:8">
      <c r="A1" s="1">
        <f>SUM(B1:AZ1)</f>
        <v>3.33333333333333</v>
      </c>
      <c r="B1" s="1">
        <f t="shared" ref="B1:H1" si="0">COUNTA(B2:B2067)/COLUMN()</f>
        <v>1.5</v>
      </c>
      <c r="C1" s="1">
        <f t="shared" si="0"/>
        <v>1.33333333333333</v>
      </c>
      <c r="D1" s="1">
        <f t="shared" si="0"/>
        <v>0.5</v>
      </c>
      <c r="E1" s="1">
        <f t="shared" si="0"/>
        <v>0</v>
      </c>
      <c r="F1" s="1">
        <f t="shared" si="0"/>
        <v>0</v>
      </c>
      <c r="G1" s="1">
        <f t="shared" si="0"/>
        <v>0</v>
      </c>
      <c r="H1" s="1">
        <f t="shared" si="0"/>
        <v>0</v>
      </c>
    </row>
    <row r="2" spans="1:8">
      <c r="A2">
        <v>20250405</v>
      </c>
      <c r="B2" t="s">
        <v>1333</v>
      </c>
    </row>
    <row r="3" spans="1:8">
      <c r="C3" t="s">
        <v>1334</v>
      </c>
    </row>
    <row r="4" spans="1:8">
      <c r="B4" t="s">
        <v>1335</v>
      </c>
    </row>
    <row r="5" spans="1:8">
      <c r="C5" t="s">
        <v>1336</v>
      </c>
    </row>
    <row r="6" spans="1:8">
      <c r="B6" t="s">
        <v>1337</v>
      </c>
    </row>
    <row r="7" spans="1:8">
      <c r="C7" t="s">
        <v>1338</v>
      </c>
    </row>
    <row r="8" spans="1:8">
      <c r="C8" t="s">
        <v>1339</v>
      </c>
    </row>
    <row r="9" spans="1:8">
      <c r="D9" t="s">
        <v>1340</v>
      </c>
    </row>
    <row r="10" spans="1:8">
      <c r="D10" t="s">
        <v>1341</v>
      </c>
    </row>
  </sheetData>
  <pageMargins left="0.75" right="0.75" top="1" bottom="1" header="0.5" footer="0.5"/>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5" sqref="C5"/>
    </sheetView>
  </sheetViews>
  <sheetFormatPr defaultColWidth="8.88888888888889" defaultRowHeight="14.4" outlineLevelRow="3" outlineLevelCol="7"/>
  <cols>
    <col min="1" max="1" width="9.66666666666667"/>
  </cols>
  <sheetData>
    <row r="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20250408</v>
      </c>
      <c r="B2" t="s">
        <v>1342</v>
      </c>
    </row>
    <row r="3" spans="1:8">
      <c r="C3" t="s">
        <v>1343</v>
      </c>
    </row>
    <row r="4" spans="1:8">
      <c r="C4" t="s">
        <v>1344</v>
      </c>
    </row>
  </sheetData>
  <pageMargins left="0.75" right="0.75" top="1" bottom="1" header="0.5" footer="0.5"/>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pans="1:8">
      <c r="A1" s="1">
        <f>SUM(B1:AZ1)</f>
        <v>2</v>
      </c>
      <c r="B1" s="1">
        <f t="shared" ref="B1:H1" si="0">COUNTA(B2:B2067)/COLUMN()</f>
        <v>0.5</v>
      </c>
      <c r="C1" s="1">
        <f t="shared" si="0"/>
        <v>1</v>
      </c>
      <c r="D1" s="1">
        <f t="shared" si="0"/>
        <v>0.5</v>
      </c>
      <c r="E1" s="1">
        <f t="shared" si="0"/>
        <v>0</v>
      </c>
      <c r="F1" s="1">
        <f t="shared" si="0"/>
        <v>0</v>
      </c>
      <c r="G1" s="1">
        <f t="shared" si="0"/>
        <v>0</v>
      </c>
      <c r="H1" s="1">
        <f t="shared" si="0"/>
        <v>0</v>
      </c>
    </row>
    <row r="2" spans="1:8">
      <c r="A2">
        <v>20250411</v>
      </c>
      <c r="B2" t="s">
        <v>1345</v>
      </c>
    </row>
    <row r="3" spans="1:8">
      <c r="C3" t="s">
        <v>1346</v>
      </c>
    </row>
    <row r="4" spans="1:8">
      <c r="C4" t="s">
        <v>1347</v>
      </c>
    </row>
    <row r="5" spans="1:8">
      <c r="C5" t="s">
        <v>1348</v>
      </c>
    </row>
    <row r="6" spans="1:8">
      <c r="D6" t="s">
        <v>1349</v>
      </c>
    </row>
    <row r="7" spans="1:8">
      <c r="D7" t="s">
        <v>1350</v>
      </c>
    </row>
  </sheetData>
  <pageMargins left="0.75" right="0.75" top="1" bottom="1" header="0.5" footer="0.5"/>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D5" sqref="D5"/>
    </sheetView>
  </sheetViews>
  <sheetFormatPr defaultColWidth="8.88888888888889" defaultRowHeight="14.4" outlineLevelRow="7" outlineLevelCol="7"/>
  <cols>
    <col min="1" max="1" width="9.66666666666667"/>
  </cols>
  <sheetData>
    <row r="1" spans="1:8">
      <c r="A1" s="1">
        <f>SUM(B1:AZ1)</f>
        <v>2.75</v>
      </c>
      <c r="B1" s="1">
        <f t="shared" ref="B1:H1" si="0">COUNTA(B2:B2067)/COLUMN()</f>
        <v>1.5</v>
      </c>
      <c r="C1" s="1">
        <f t="shared" si="0"/>
        <v>1</v>
      </c>
      <c r="D1" s="1">
        <f t="shared" si="0"/>
        <v>0.25</v>
      </c>
      <c r="E1" s="1">
        <f t="shared" si="0"/>
        <v>0</v>
      </c>
      <c r="F1" s="1">
        <f t="shared" si="0"/>
        <v>0</v>
      </c>
      <c r="G1" s="1">
        <f t="shared" si="0"/>
        <v>0</v>
      </c>
      <c r="H1" s="1">
        <f t="shared" si="0"/>
        <v>0</v>
      </c>
    </row>
    <row r="2" spans="1:8">
      <c r="A2">
        <v>20250412</v>
      </c>
      <c r="B2" t="s">
        <v>1351</v>
      </c>
    </row>
    <row r="3" spans="1:8">
      <c r="B3" t="s">
        <v>1352</v>
      </c>
    </row>
    <row r="4" spans="1:8">
      <c r="C4" t="s">
        <v>1353</v>
      </c>
    </row>
    <row r="5" spans="1:8">
      <c r="D5" t="s">
        <v>1354</v>
      </c>
    </row>
    <row r="6" spans="1:8">
      <c r="C6" t="s">
        <v>1355</v>
      </c>
    </row>
    <row r="7" spans="1:8">
      <c r="B7" t="s">
        <v>1356</v>
      </c>
    </row>
    <row r="8" spans="1:8">
      <c r="C8" t="s">
        <v>1357</v>
      </c>
    </row>
  </sheetData>
  <pageMargins left="0.75" right="0.75" top="1" bottom="1" header="0.5" footer="0.5"/>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2" sqref="B2"/>
    </sheetView>
  </sheetViews>
  <sheetFormatPr defaultColWidth="8.88888888888889" defaultRowHeight="14.4" outlineLevelRow="6" outlineLevelCol="7"/>
  <cols>
    <col min="1" max="1" width="9.66666666666667"/>
  </cols>
  <sheetData>
    <row r="1" spans="1:8">
      <c r="A1" s="1">
        <f>SUM(B1:AZ1)</f>
        <v>2.16666666666667</v>
      </c>
      <c r="B1" s="1">
        <f t="shared" ref="B1:H1" si="0">COUNTA(B2:B2067)/COLUMN()</f>
        <v>1</v>
      </c>
      <c r="C1" s="1">
        <f t="shared" si="0"/>
        <v>0.666666666666667</v>
      </c>
      <c r="D1" s="1">
        <f t="shared" si="0"/>
        <v>0.5</v>
      </c>
      <c r="E1" s="1">
        <f t="shared" si="0"/>
        <v>0</v>
      </c>
      <c r="F1" s="1">
        <f t="shared" si="0"/>
        <v>0</v>
      </c>
      <c r="G1" s="1">
        <f t="shared" si="0"/>
        <v>0</v>
      </c>
      <c r="H1" s="1">
        <f t="shared" si="0"/>
        <v>0</v>
      </c>
    </row>
    <row r="2" spans="1:8">
      <c r="A2">
        <v>20250416</v>
      </c>
      <c r="B2" t="s">
        <v>1358</v>
      </c>
    </row>
    <row r="3" spans="1:8">
      <c r="C3" t="s">
        <v>1359</v>
      </c>
    </row>
    <row r="4" spans="1:8">
      <c r="D4" t="s">
        <v>1360</v>
      </c>
    </row>
    <row r="5" spans="1:8">
      <c r="C5" t="s">
        <v>1361</v>
      </c>
    </row>
    <row r="6" spans="1:8">
      <c r="D6" t="s">
        <v>1362</v>
      </c>
    </row>
    <row r="7" spans="1:8">
      <c r="B7" t="s">
        <v>1363</v>
      </c>
    </row>
  </sheetData>
  <pageMargins left="0.75" right="0.75" top="1" bottom="1" header="0.5" footer="0.5"/>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I8" sqref="I8"/>
    </sheetView>
  </sheetViews>
  <sheetFormatPr defaultColWidth="8.88888888888889" defaultRowHeight="14.4" outlineLevelRow="6" outlineLevelCol="7"/>
  <cols>
    <col min="1" max="1" width="9.66666666666667"/>
  </cols>
  <sheetData>
    <row r="1" spans="1:8">
      <c r="A1" s="1">
        <f>SUM(B1:AZ1)</f>
        <v>1.86666666666667</v>
      </c>
      <c r="B1" s="1">
        <f t="shared" ref="B1:H1" si="0">COUNTA(B2:B2067)/COLUMN()</f>
        <v>0.5</v>
      </c>
      <c r="C1" s="1">
        <f t="shared" si="0"/>
        <v>0.666666666666667</v>
      </c>
      <c r="D1" s="1">
        <f t="shared" si="0"/>
        <v>0.5</v>
      </c>
      <c r="E1" s="1">
        <f t="shared" si="0"/>
        <v>0.2</v>
      </c>
      <c r="F1" s="1">
        <f t="shared" si="0"/>
        <v>0</v>
      </c>
      <c r="G1" s="1">
        <f t="shared" si="0"/>
        <v>0</v>
      </c>
      <c r="H1" s="1">
        <f t="shared" si="0"/>
        <v>0</v>
      </c>
    </row>
    <row r="2" spans="1:8">
      <c r="A2">
        <v>20250420</v>
      </c>
      <c r="B2" t="s">
        <v>1364</v>
      </c>
    </row>
    <row r="3" spans="1:8">
      <c r="C3" t="s">
        <v>1365</v>
      </c>
    </row>
    <row r="4" spans="1:8">
      <c r="C4" t="s">
        <v>1366</v>
      </c>
    </row>
    <row r="5" spans="1:8">
      <c r="D5" t="s">
        <v>1367</v>
      </c>
    </row>
    <row r="6" spans="1:8">
      <c r="D6" t="s">
        <v>1368</v>
      </c>
    </row>
    <row r="7" spans="1:8">
      <c r="E7" t="s">
        <v>1369</v>
      </c>
    </row>
  </sheetData>
  <pageMargins left="0.75" right="0.75" top="1" bottom="1" header="0.5" footer="0.5"/>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J12" sqref="J12"/>
    </sheetView>
  </sheetViews>
  <sheetFormatPr defaultColWidth="8.88888888888889" defaultRowHeight="14.4" outlineLevelCol="7"/>
  <cols>
    <col min="1" max="1" width="9.66666666666667"/>
  </cols>
  <sheetData>
    <row r="1" spans="1:8">
      <c r="A1" s="1">
        <f>SUM(B1:AZ1)</f>
        <v>3.4</v>
      </c>
      <c r="B1" s="1">
        <f t="shared" ref="B1:H1" si="0">COUNTA(B2:B2066)/COLUMN()</f>
        <v>0.5</v>
      </c>
      <c r="C1" s="1">
        <f t="shared" si="0"/>
        <v>0.666666666666667</v>
      </c>
      <c r="D1" s="1">
        <f t="shared" si="0"/>
        <v>1</v>
      </c>
      <c r="E1" s="1">
        <f t="shared" si="0"/>
        <v>0.4</v>
      </c>
      <c r="F1" s="1">
        <f t="shared" si="0"/>
        <v>0.833333333333333</v>
      </c>
      <c r="G1" s="1">
        <f t="shared" si="0"/>
        <v>0</v>
      </c>
      <c r="H1" s="1">
        <f t="shared" si="0"/>
        <v>0</v>
      </c>
    </row>
    <row r="2" spans="1:8">
      <c r="A2">
        <v>20250427</v>
      </c>
      <c r="B2" t="s">
        <v>1370</v>
      </c>
    </row>
    <row r="3" spans="1:8">
      <c r="C3" t="s">
        <v>1371</v>
      </c>
    </row>
    <row r="4" spans="1:8">
      <c r="D4" t="s">
        <v>1372</v>
      </c>
    </row>
    <row r="5" spans="1:8">
      <c r="D5" t="s">
        <v>1373</v>
      </c>
    </row>
    <row r="6" spans="1:8">
      <c r="E6" t="s">
        <v>1374</v>
      </c>
    </row>
    <row r="7" spans="1:8">
      <c r="E7" t="s">
        <v>1375</v>
      </c>
    </row>
    <row r="8" spans="1:8">
      <c r="F8" t="s">
        <v>1376</v>
      </c>
    </row>
    <row r="9" spans="1:8">
      <c r="F9" t="s">
        <v>1377</v>
      </c>
    </row>
    <row r="10" spans="1:8">
      <c r="F10" t="s">
        <v>1378</v>
      </c>
    </row>
    <row r="11" spans="1:8">
      <c r="F11" t="s">
        <v>1379</v>
      </c>
    </row>
    <row r="12" spans="1:8">
      <c r="F12" t="s">
        <v>1380</v>
      </c>
    </row>
    <row r="13" spans="1:8">
      <c r="C13" t="s">
        <v>1381</v>
      </c>
    </row>
    <row r="14" spans="1:8">
      <c r="D14" t="s">
        <v>1382</v>
      </c>
    </row>
    <row r="15" spans="1:8">
      <c r="D15" t="s">
        <v>1383</v>
      </c>
    </row>
  </sheetData>
  <pageMargins left="0.75" right="0.75" top="1" bottom="1" header="0.5" footer="0.5"/>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8" sqref="B8"/>
    </sheetView>
  </sheetViews>
  <sheetFormatPr defaultColWidth="8.88888888888889" defaultRowHeight="14.4" outlineLevelRow="7" outlineLevelCol="7"/>
  <cols>
    <col min="1" max="1" width="9.66666666666667"/>
  </cols>
  <sheetData>
    <row r="1" spans="1:8">
      <c r="A1" s="1">
        <f>SUM(B1:AZ1)</f>
        <v>2.58333333333333</v>
      </c>
      <c r="B1" s="1">
        <f t="shared" ref="B1:H1" si="0">COUNTA(B2:B2066)/COLUMN()</f>
        <v>1</v>
      </c>
      <c r="C1" s="1">
        <f t="shared" si="0"/>
        <v>1.33333333333333</v>
      </c>
      <c r="D1" s="1">
        <f t="shared" si="0"/>
        <v>0.25</v>
      </c>
      <c r="E1" s="1">
        <f t="shared" si="0"/>
        <v>0</v>
      </c>
      <c r="F1" s="1">
        <f t="shared" si="0"/>
        <v>0</v>
      </c>
      <c r="G1" s="1">
        <f t="shared" si="0"/>
        <v>0</v>
      </c>
      <c r="H1" s="1">
        <f t="shared" si="0"/>
        <v>0</v>
      </c>
    </row>
    <row r="2" spans="1:8">
      <c r="A2">
        <v>20250502</v>
      </c>
      <c r="B2" t="s">
        <v>1384</v>
      </c>
    </row>
    <row r="3" spans="1:8">
      <c r="C3" t="s">
        <v>1385</v>
      </c>
    </row>
    <row r="4" spans="1:8">
      <c r="C4" t="s">
        <v>1386</v>
      </c>
    </row>
    <row r="5" spans="1:8">
      <c r="C5" t="s">
        <v>1387</v>
      </c>
    </row>
    <row r="6" spans="1:8">
      <c r="D6" t="s">
        <v>1388</v>
      </c>
    </row>
    <row r="7" spans="1:8">
      <c r="C7" t="s">
        <v>1389</v>
      </c>
    </row>
    <row r="8" spans="1:8">
      <c r="B8" t="s">
        <v>1390</v>
      </c>
    </row>
  </sheetData>
  <pageMargins left="0.75" right="0.75" top="1" bottom="1" header="0.5" footer="0.5"/>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8" sqref="C8"/>
    </sheetView>
  </sheetViews>
  <sheetFormatPr defaultColWidth="8.88888888888889" defaultRowHeight="14.4" outlineLevelRow="7" outlineLevelCol="7"/>
  <cols>
    <col min="1" max="1" width="9.66666666666667"/>
  </cols>
  <sheetData>
    <row r="1" spans="1:8">
      <c r="A1" s="1">
        <f>SUM(B1:AZ1)</f>
        <v>2.5</v>
      </c>
      <c r="B1" s="1">
        <f t="shared" ref="B1:H1" si="0">COUNTA(B2:B2067)/COLUMN()</f>
        <v>0.5</v>
      </c>
      <c r="C1" s="1">
        <f t="shared" si="0"/>
        <v>2</v>
      </c>
      <c r="D1" s="1">
        <f t="shared" si="0"/>
        <v>0</v>
      </c>
      <c r="E1" s="1">
        <f t="shared" si="0"/>
        <v>0</v>
      </c>
      <c r="F1" s="1">
        <f t="shared" si="0"/>
        <v>0</v>
      </c>
      <c r="G1" s="1">
        <f t="shared" si="0"/>
        <v>0</v>
      </c>
      <c r="H1" s="1">
        <f t="shared" si="0"/>
        <v>0</v>
      </c>
    </row>
    <row r="2" spans="1:8">
      <c r="A2">
        <v>20250506</v>
      </c>
      <c r="B2" t="s">
        <v>1391</v>
      </c>
    </row>
    <row r="3" spans="1:8">
      <c r="C3" t="s">
        <v>1392</v>
      </c>
    </row>
    <row r="4" spans="1:8">
      <c r="C4" t="s">
        <v>1393</v>
      </c>
    </row>
    <row r="5" spans="1:8">
      <c r="C5" t="s">
        <v>1394</v>
      </c>
    </row>
    <row r="6" spans="1:8">
      <c r="C6" t="s">
        <v>1395</v>
      </c>
    </row>
    <row r="7" spans="1:8">
      <c r="C7" t="s">
        <v>1396</v>
      </c>
    </row>
    <row r="8" spans="1:8">
      <c r="C8" t="s">
        <v>1397</v>
      </c>
    </row>
  </sheetData>
  <pageMargins left="0.75" right="0.75" top="1" bottom="1" header="0.5" footer="0.5"/>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1" sqref="$A1:$XFD2"/>
    </sheetView>
  </sheetViews>
  <sheetFormatPr defaultColWidth="8.88888888888889" defaultRowHeight="14.4" outlineLevelRow="5" outlineLevelCol="7"/>
  <sheetData>
    <row r="1" spans="1:8">
      <c r="A1" s="1">
        <f>SUM(B1:AZ1)</f>
        <v>1.83333333333333</v>
      </c>
      <c r="B1" s="1">
        <f t="shared" ref="B1:H1" si="0">COUNTA(B2:B2067)/COLUMN()</f>
        <v>0.5</v>
      </c>
      <c r="C1" s="1">
        <f t="shared" si="0"/>
        <v>1.33333333333333</v>
      </c>
      <c r="D1" s="1">
        <f t="shared" si="0"/>
        <v>0</v>
      </c>
      <c r="E1" s="1">
        <f t="shared" si="0"/>
        <v>0</v>
      </c>
      <c r="F1" s="1">
        <f t="shared" si="0"/>
        <v>0</v>
      </c>
      <c r="G1" s="1">
        <f t="shared" si="0"/>
        <v>0</v>
      </c>
      <c r="H1" s="1">
        <f t="shared" si="0"/>
        <v>0</v>
      </c>
    </row>
    <row r="2" spans="1:8">
      <c r="A2">
        <v>20250506</v>
      </c>
      <c r="B2" t="s">
        <v>1398</v>
      </c>
    </row>
    <row r="3" spans="1:8">
      <c r="C3" t="s">
        <v>1399</v>
      </c>
    </row>
    <row r="4" spans="1:8">
      <c r="C4" t="s">
        <v>1400</v>
      </c>
    </row>
    <row r="5" spans="1:8">
      <c r="C5" t="s">
        <v>1401</v>
      </c>
    </row>
    <row r="6" spans="1:8">
      <c r="C6" t="s">
        <v>1402</v>
      </c>
    </row>
  </sheetData>
  <pageMargins left="0.75" right="0.75" top="1" bottom="1" header="0.5" footer="0.5"/>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A1" sqref="$A1:$XFD2"/>
    </sheetView>
  </sheetViews>
  <sheetFormatPr defaultColWidth="8.88888888888889" defaultRowHeight="14.4" outlineLevelCol="7"/>
  <cols>
    <col min="1" max="1" width="9.66666666666667"/>
  </cols>
  <sheetData>
    <row r="1" spans="1:8">
      <c r="A1" s="1">
        <f>SUM(B1:AZ1)</f>
        <v>2.36666666666667</v>
      </c>
      <c r="B1" s="1">
        <f t="shared" ref="B1:H1" si="0">COUNTA(B2:B2066)/COLUMN()</f>
        <v>0.5</v>
      </c>
      <c r="C1" s="1">
        <f t="shared" si="0"/>
        <v>0.666666666666667</v>
      </c>
      <c r="D1" s="1">
        <f t="shared" si="0"/>
        <v>1</v>
      </c>
      <c r="E1" s="1">
        <f t="shared" si="0"/>
        <v>0.2</v>
      </c>
      <c r="F1" s="1">
        <f t="shared" si="0"/>
        <v>0</v>
      </c>
      <c r="G1" s="1">
        <f t="shared" si="0"/>
        <v>0</v>
      </c>
      <c r="H1" s="1">
        <f t="shared" si="0"/>
        <v>0</v>
      </c>
    </row>
    <row r="2" spans="1:8">
      <c r="A2">
        <v>20250517</v>
      </c>
      <c r="B2" t="s">
        <v>1403</v>
      </c>
    </row>
    <row r="3" spans="1:8">
      <c r="C3" t="s">
        <v>1404</v>
      </c>
    </row>
    <row r="4" spans="1:8">
      <c r="D4" t="s">
        <v>1405</v>
      </c>
    </row>
    <row r="5" spans="1:8">
      <c r="D5" t="s">
        <v>1406</v>
      </c>
    </row>
    <row r="6" spans="1:8">
      <c r="C6" t="s">
        <v>1407</v>
      </c>
    </row>
    <row r="7" spans="1:8">
      <c r="D7" t="s">
        <v>1408</v>
      </c>
    </row>
    <row r="8" spans="1:8">
      <c r="D8" t="s">
        <v>1409</v>
      </c>
    </row>
    <row r="9" spans="1:8">
      <c r="E9" t="s">
        <v>1410</v>
      </c>
    </row>
  </sheetData>
  <pageMargins left="0.75" right="0.75" top="1" bottom="1" header="0.5" footer="0.5"/>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10" sqref="C10"/>
    </sheetView>
  </sheetViews>
  <sheetFormatPr defaultColWidth="8.88888888888889" defaultRowHeight="14.4" outlineLevelCol="7"/>
  <cols>
    <col min="1" max="1" width="9.66666666666667"/>
  </cols>
  <sheetData>
    <row r="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20250518</v>
      </c>
      <c r="B2" t="s">
        <v>1411</v>
      </c>
    </row>
    <row r="3" spans="1:8">
      <c r="C3" t="s">
        <v>1412</v>
      </c>
    </row>
    <row r="4" spans="1:8">
      <c r="C4" t="s">
        <v>1413</v>
      </c>
    </row>
    <row r="5" spans="1:8">
      <c r="B5" t="s">
        <v>1414</v>
      </c>
    </row>
    <row r="6" spans="1:8">
      <c r="C6" t="s">
        <v>1415</v>
      </c>
    </row>
    <row r="7" spans="1:8">
      <c r="D7" t="s">
        <v>1416</v>
      </c>
    </row>
    <row r="8" spans="1:8">
      <c r="D8" t="s">
        <v>1417</v>
      </c>
    </row>
    <row r="9" spans="1:8">
      <c r="C9" t="s">
        <v>1418</v>
      </c>
    </row>
    <row r="10" spans="1:8">
      <c r="C10" t="s">
        <v>1419</v>
      </c>
    </row>
  </sheetData>
  <pageMargins left="0.75" right="0.75" top="1" bottom="1" header="0.5" footer="0.5"/>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I11" sqref="I11"/>
    </sheetView>
  </sheetViews>
  <sheetFormatPr defaultColWidth="8.88888888888889" defaultRowHeight="14.4" outlineLevelCol="7"/>
  <cols>
    <col min="1" max="1" width="9.66666666666667"/>
  </cols>
  <sheetData>
    <row r="1" spans="1:8">
      <c r="A1" s="1">
        <f>SUM(B1:AZ1)</f>
        <v>5.75</v>
      </c>
      <c r="B1" s="1">
        <f t="shared" ref="B1:H1" si="0">COUNTA(B2:B2066)/COLUMN()</f>
        <v>1.5</v>
      </c>
      <c r="C1" s="1">
        <f t="shared" si="0"/>
        <v>4</v>
      </c>
      <c r="D1" s="1">
        <f t="shared" si="0"/>
        <v>0.25</v>
      </c>
      <c r="E1" s="1">
        <f t="shared" si="0"/>
        <v>0</v>
      </c>
      <c r="F1" s="1">
        <f t="shared" si="0"/>
        <v>0</v>
      </c>
      <c r="G1" s="1">
        <f t="shared" si="0"/>
        <v>0</v>
      </c>
      <c r="H1" s="1">
        <f t="shared" si="0"/>
        <v>0</v>
      </c>
    </row>
    <row r="2" spans="1:8">
      <c r="A2">
        <v>20250519</v>
      </c>
      <c r="B2" t="s">
        <v>1420</v>
      </c>
    </row>
    <row r="3" spans="1:8">
      <c r="C3" t="s">
        <v>1421</v>
      </c>
    </row>
    <row r="4" spans="1:8">
      <c r="C4" t="s">
        <v>1422</v>
      </c>
    </row>
    <row r="5" spans="1:8">
      <c r="C5" t="s">
        <v>1423</v>
      </c>
    </row>
    <row r="6" spans="1:8">
      <c r="C6" t="s">
        <v>1424</v>
      </c>
    </row>
    <row r="7" spans="1:8">
      <c r="D7" t="s">
        <v>1425</v>
      </c>
    </row>
    <row r="8" spans="1:8">
      <c r="B8" t="s">
        <v>1426</v>
      </c>
    </row>
    <row r="9" spans="1:8">
      <c r="C9" t="s">
        <v>1427</v>
      </c>
    </row>
    <row r="10" spans="1:8">
      <c r="C10" t="s">
        <v>1428</v>
      </c>
    </row>
    <row r="11" spans="1:8">
      <c r="C11" t="s">
        <v>1429</v>
      </c>
    </row>
    <row r="12" spans="1:8">
      <c r="C12" t="s">
        <v>1430</v>
      </c>
    </row>
    <row r="13" spans="1:8">
      <c r="B13" t="s">
        <v>1431</v>
      </c>
    </row>
    <row r="14" spans="1:8">
      <c r="C14" t="s">
        <v>1432</v>
      </c>
    </row>
    <row r="15" spans="1:8">
      <c r="C15" t="s">
        <v>1433</v>
      </c>
    </row>
    <row r="16" spans="1:8">
      <c r="C16" t="s">
        <v>1434</v>
      </c>
    </row>
    <row r="17" spans="3:3">
      <c r="C17" t="s">
        <v>1435</v>
      </c>
    </row>
  </sheetData>
  <pageMargins left="0.75" right="0.75" top="1" bottom="1" header="0.5" footer="0.5"/>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D6" sqref="D6"/>
    </sheetView>
  </sheetViews>
  <sheetFormatPr defaultColWidth="8.88888888888889" defaultRowHeight="14.4" outlineLevelCol="7"/>
  <cols>
    <col min="1" max="1" width="9.66666666666667"/>
  </cols>
  <sheetData>
    <row r="1" spans="1:8">
      <c r="A1" s="1">
        <f>SUM(B1:AZ1)</f>
        <v>3.75</v>
      </c>
      <c r="B1" s="1">
        <f t="shared" ref="B1:H1" si="0">COUNTA(B2:B2067)/COLUMN()</f>
        <v>1.5</v>
      </c>
      <c r="C1" s="1">
        <f t="shared" si="0"/>
        <v>2</v>
      </c>
      <c r="D1" s="1">
        <f t="shared" si="0"/>
        <v>0.25</v>
      </c>
      <c r="E1" s="1">
        <f t="shared" si="0"/>
        <v>0</v>
      </c>
      <c r="F1" s="1">
        <f t="shared" si="0"/>
        <v>0</v>
      </c>
      <c r="G1" s="1">
        <f t="shared" si="0"/>
        <v>0</v>
      </c>
      <c r="H1" s="1">
        <f t="shared" si="0"/>
        <v>0</v>
      </c>
    </row>
    <row r="2" spans="1:8">
      <c r="A2">
        <v>20250520</v>
      </c>
      <c r="B2" t="s">
        <v>1436</v>
      </c>
    </row>
    <row r="3" spans="1:8">
      <c r="C3" t="s">
        <v>1437</v>
      </c>
    </row>
    <row r="4" spans="1:8">
      <c r="C4" t="s">
        <v>1438</v>
      </c>
    </row>
    <row r="5" spans="1:8">
      <c r="C5" t="s">
        <v>1439</v>
      </c>
    </row>
    <row r="6" spans="1:8">
      <c r="D6" t="s">
        <v>1440</v>
      </c>
    </row>
    <row r="7" spans="1:8">
      <c r="B7" t="s">
        <v>1441</v>
      </c>
    </row>
    <row r="8" spans="1:8">
      <c r="B8" t="s">
        <v>1442</v>
      </c>
    </row>
    <row r="9" spans="1:8">
      <c r="C9" t="s">
        <v>1443</v>
      </c>
    </row>
    <row r="10" spans="1:8">
      <c r="C10" t="s">
        <v>1444</v>
      </c>
    </row>
    <row r="11" spans="1:8">
      <c r="C11" t="s">
        <v>1445</v>
      </c>
    </row>
  </sheetData>
  <pageMargins left="0.75" right="0.75" top="1" bottom="1" header="0.5" footer="0.5"/>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4" sqref="C4"/>
    </sheetView>
  </sheetViews>
  <sheetFormatPr defaultColWidth="8.88888888888889" defaultRowHeight="14.4" outlineLevelRow="7" outlineLevelCol="7"/>
  <cols>
    <col min="1" max="1" width="9.66666666666667"/>
  </cols>
  <sheetData>
    <row r="1" spans="1:8">
      <c r="A1" s="1">
        <f>SUM(B1:AZ1)</f>
        <v>2.66666666666667</v>
      </c>
      <c r="B1" s="1">
        <f t="shared" ref="B1:H1" si="0">COUNTA(B2:B2066)/COLUMN()</f>
        <v>1</v>
      </c>
      <c r="C1" s="1">
        <f t="shared" si="0"/>
        <v>1.66666666666667</v>
      </c>
      <c r="D1" s="1">
        <f t="shared" si="0"/>
        <v>0</v>
      </c>
      <c r="E1" s="1">
        <f t="shared" si="0"/>
        <v>0</v>
      </c>
      <c r="F1" s="1">
        <f t="shared" si="0"/>
        <v>0</v>
      </c>
      <c r="G1" s="1">
        <f t="shared" si="0"/>
        <v>0</v>
      </c>
      <c r="H1" s="1">
        <f t="shared" si="0"/>
        <v>0</v>
      </c>
    </row>
    <row r="2" spans="1:8">
      <c r="A2">
        <v>20250521</v>
      </c>
      <c r="B2" t="s">
        <v>1446</v>
      </c>
    </row>
    <row r="3" spans="1:8">
      <c r="C3" t="s">
        <v>1447</v>
      </c>
    </row>
    <row r="4" spans="1:8">
      <c r="C4" t="s">
        <v>1448</v>
      </c>
    </row>
    <row r="5" spans="1:8">
      <c r="C5" t="s">
        <v>1449</v>
      </c>
    </row>
    <row r="6" spans="1:8">
      <c r="B6" t="s">
        <v>1450</v>
      </c>
    </row>
    <row r="7" spans="1:8">
      <c r="C7" t="s">
        <v>1451</v>
      </c>
    </row>
    <row r="8" spans="1:8">
      <c r="C8" t="s">
        <v>1452</v>
      </c>
    </row>
  </sheetData>
  <pageMargins left="0.75" right="0.75" top="1" bottom="1" header="0.5" footer="0.5"/>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6" sqref="C16"/>
    </sheetView>
  </sheetViews>
  <sheetFormatPr defaultColWidth="8.88888888888889" defaultRowHeight="14.4" outlineLevelCol="7"/>
  <cols>
    <col min="1" max="1" width="9.66666666666667"/>
  </cols>
  <sheetData>
    <row r="1" spans="1:8">
      <c r="A1" s="1">
        <f>SUM(B1:AZ1)</f>
        <v>5.5</v>
      </c>
      <c r="B1" s="1">
        <f t="shared" ref="B1:H1" si="0">COUNTA(B2:B2066)/COLUMN()</f>
        <v>1.5</v>
      </c>
      <c r="C1" s="1">
        <f t="shared" si="0"/>
        <v>3</v>
      </c>
      <c r="D1" s="1">
        <f t="shared" si="0"/>
        <v>1</v>
      </c>
      <c r="E1" s="1">
        <f t="shared" si="0"/>
        <v>0</v>
      </c>
      <c r="F1" s="1">
        <f t="shared" si="0"/>
        <v>0</v>
      </c>
      <c r="G1" s="1">
        <f t="shared" si="0"/>
        <v>0</v>
      </c>
      <c r="H1" s="1">
        <f t="shared" si="0"/>
        <v>0</v>
      </c>
    </row>
    <row r="2" spans="1:8">
      <c r="A2">
        <v>20250522</v>
      </c>
      <c r="B2" t="s">
        <v>1453</v>
      </c>
    </row>
    <row r="3" spans="1:8">
      <c r="B3" t="s">
        <v>1454</v>
      </c>
    </row>
    <row r="4" spans="1:8">
      <c r="C4" t="s">
        <v>1455</v>
      </c>
    </row>
    <row r="5" spans="1:8">
      <c r="C5" t="s">
        <v>1456</v>
      </c>
    </row>
    <row r="6" spans="1:8">
      <c r="D6" t="s">
        <v>1457</v>
      </c>
    </row>
    <row r="7" spans="1:8">
      <c r="D7" t="s">
        <v>1458</v>
      </c>
    </row>
    <row r="8" spans="1:8">
      <c r="C8" t="s">
        <v>1459</v>
      </c>
    </row>
    <row r="9" spans="1:8">
      <c r="D9" t="s">
        <v>1460</v>
      </c>
    </row>
    <row r="10" spans="1:8">
      <c r="D10" t="s">
        <v>1461</v>
      </c>
    </row>
    <row r="11" spans="1:8">
      <c r="C11" t="s">
        <v>1462</v>
      </c>
    </row>
    <row r="12" spans="1:8">
      <c r="C12" t="s">
        <v>1463</v>
      </c>
    </row>
    <row r="13" spans="1:8">
      <c r="C13" t="s">
        <v>1464</v>
      </c>
    </row>
    <row r="14" spans="1:8">
      <c r="B14" t="s">
        <v>1465</v>
      </c>
    </row>
    <row r="15" spans="1:8">
      <c r="C15" t="s">
        <v>1466</v>
      </c>
    </row>
    <row r="16" spans="1:8">
      <c r="C16" t="s">
        <v>1467</v>
      </c>
    </row>
    <row r="17" spans="3:3">
      <c r="C17" t="s">
        <v>1468</v>
      </c>
    </row>
  </sheetData>
  <pageMargins left="0.75" right="0.75" top="1" bottom="1" header="0.5" footer="0.5"/>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zoomScale="115" zoomScaleNormal="115" workbookViewId="0">
      <selection activeCell="C8" sqref="C8"/>
    </sheetView>
  </sheetViews>
  <sheetFormatPr defaultColWidth="8.88888888888889" defaultRowHeight="14.4" outlineLevelCol="7"/>
  <cols>
    <col min="1" max="1" width="9.66666666666667"/>
  </cols>
  <sheetData>
    <row r="1" spans="1:8">
      <c r="A1" s="1">
        <f>SUM(B1:AZ1)</f>
        <v>6.2</v>
      </c>
      <c r="B1" s="1">
        <f t="shared" ref="B1:H1" si="0">COUNTA(B2:B2066)/COLUMN()</f>
        <v>2</v>
      </c>
      <c r="C1" s="1">
        <f t="shared" si="0"/>
        <v>3.33333333333333</v>
      </c>
      <c r="D1" s="1">
        <f t="shared" si="0"/>
        <v>0.5</v>
      </c>
      <c r="E1" s="1">
        <f t="shared" si="0"/>
        <v>0.2</v>
      </c>
      <c r="F1" s="1">
        <f t="shared" si="0"/>
        <v>0.166666666666667</v>
      </c>
      <c r="G1" s="1">
        <f t="shared" si="0"/>
        <v>0</v>
      </c>
      <c r="H1" s="1">
        <f t="shared" si="0"/>
        <v>0</v>
      </c>
    </row>
    <row r="2" spans="1:8">
      <c r="A2">
        <v>20250523</v>
      </c>
      <c r="B2" t="s">
        <v>1469</v>
      </c>
    </row>
    <row r="3" spans="1:8">
      <c r="C3" t="s">
        <v>1470</v>
      </c>
    </row>
    <row r="4" spans="1:8">
      <c r="C4" t="s">
        <v>1471</v>
      </c>
    </row>
    <row r="5" spans="1:8">
      <c r="C5" t="s">
        <v>1472</v>
      </c>
    </row>
    <row r="6" spans="1:8">
      <c r="C6" t="s">
        <v>1473</v>
      </c>
    </row>
    <row r="7" spans="1:8">
      <c r="B7" t="s">
        <v>1474</v>
      </c>
    </row>
    <row r="8" spans="1:8">
      <c r="C8" t="s">
        <v>1475</v>
      </c>
    </row>
    <row r="9" spans="1:8">
      <c r="D9" t="s">
        <v>1476</v>
      </c>
    </row>
    <row r="10" spans="1:8">
      <c r="D10" t="s">
        <v>1477</v>
      </c>
    </row>
    <row r="11" spans="1:8">
      <c r="E11" t="s">
        <v>1478</v>
      </c>
    </row>
    <row r="12" spans="1:8">
      <c r="F12" t="s">
        <v>1479</v>
      </c>
    </row>
    <row r="13" spans="1:8">
      <c r="B13" t="s">
        <v>1480</v>
      </c>
    </row>
    <row r="14" spans="1:8">
      <c r="C14" t="s">
        <v>1481</v>
      </c>
    </row>
    <row r="15" spans="1:8">
      <c r="B15" t="s">
        <v>1482</v>
      </c>
    </row>
    <row r="16" spans="1:8">
      <c r="C16" t="s">
        <v>1483</v>
      </c>
    </row>
    <row r="17" spans="3:3">
      <c r="C17" t="s">
        <v>1484</v>
      </c>
    </row>
    <row r="18" spans="3:3">
      <c r="C18" t="s">
        <v>1485</v>
      </c>
    </row>
    <row r="19" spans="3:3">
      <c r="C19" t="s">
        <v>1486</v>
      </c>
    </row>
  </sheetData>
  <pageMargins left="0.75" right="0.75" top="1" bottom="1" header="0.5" footer="0.5"/>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zoomScale="115" zoomScaleNormal="115" workbookViewId="0">
      <selection activeCell="J5" sqref="J5"/>
    </sheetView>
  </sheetViews>
  <sheetFormatPr defaultColWidth="8.88888888888889" defaultRowHeight="14.4" outlineLevelRow="2" outlineLevelCol="7"/>
  <cols>
    <col min="1" max="1" width="9.66666666666667"/>
  </cols>
  <sheetData>
    <row r="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20250524</v>
      </c>
      <c r="B2" t="s">
        <v>1487</v>
      </c>
    </row>
    <row r="3" spans="1:8">
      <c r="B3" t="s">
        <v>1488</v>
      </c>
    </row>
  </sheetData>
  <pageMargins left="0.75" right="0.75" top="1" bottom="1" header="0.5" footer="0.5"/>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zoomScale="115" zoomScaleNormal="115" workbookViewId="0">
      <selection activeCell="J10" sqref="J10"/>
    </sheetView>
  </sheetViews>
  <sheetFormatPr defaultColWidth="8.88888888888889" defaultRowHeight="14.4" outlineLevelCol="7"/>
  <cols>
    <col min="1" max="1" width="9.66666666666667"/>
  </cols>
  <sheetData>
    <row r="1" spans="1:8">
      <c r="A1" s="1">
        <f>SUM(B1:AZ1)</f>
        <v>9.83333333333333</v>
      </c>
      <c r="B1" s="1">
        <f t="shared" ref="B1:H1" si="0">COUNTA(B2:B2066)/COLUMN()</f>
        <v>3.5</v>
      </c>
      <c r="C1" s="1">
        <f t="shared" si="0"/>
        <v>5.33333333333333</v>
      </c>
      <c r="D1" s="1">
        <f t="shared" si="0"/>
        <v>1</v>
      </c>
      <c r="E1" s="1">
        <f t="shared" si="0"/>
        <v>0</v>
      </c>
      <c r="F1" s="1">
        <f t="shared" si="0"/>
        <v>0</v>
      </c>
      <c r="G1" s="1">
        <f t="shared" si="0"/>
        <v>0</v>
      </c>
      <c r="H1" s="1">
        <f t="shared" si="0"/>
        <v>0</v>
      </c>
    </row>
    <row r="2" spans="1:8">
      <c r="A2">
        <v>20250525</v>
      </c>
      <c r="B2" t="s">
        <v>1489</v>
      </c>
    </row>
    <row r="3" spans="1:8">
      <c r="B3" t="s">
        <v>1490</v>
      </c>
    </row>
    <row r="4" spans="1:8">
      <c r="C4" t="s">
        <v>1491</v>
      </c>
    </row>
    <row r="5" spans="1:8">
      <c r="D5" t="s">
        <v>1492</v>
      </c>
    </row>
    <row r="6" spans="1:8">
      <c r="D6" t="s">
        <v>1493</v>
      </c>
    </row>
    <row r="7" spans="1:8">
      <c r="C7" t="s">
        <v>1494</v>
      </c>
    </row>
    <row r="8" spans="1:8">
      <c r="D8" t="s">
        <v>1495</v>
      </c>
    </row>
    <row r="9" spans="1:8">
      <c r="D9" t="s">
        <v>1496</v>
      </c>
    </row>
    <row r="10" spans="1:8">
      <c r="B10" t="s">
        <v>1497</v>
      </c>
    </row>
    <row r="11" spans="1:8">
      <c r="C11" t="s">
        <v>1498</v>
      </c>
    </row>
    <row r="12" spans="1:8">
      <c r="C12" t="s">
        <v>1499</v>
      </c>
    </row>
    <row r="13" spans="1:8">
      <c r="C13" t="s">
        <v>1500</v>
      </c>
    </row>
    <row r="14" spans="1:8">
      <c r="B14" t="s">
        <v>1501</v>
      </c>
    </row>
    <row r="15" spans="1:8">
      <c r="C15" t="s">
        <v>1502</v>
      </c>
    </row>
    <row r="16" spans="1:8">
      <c r="C16" t="s">
        <v>1503</v>
      </c>
    </row>
    <row r="17" spans="2:3">
      <c r="C17" t="s">
        <v>1504</v>
      </c>
    </row>
    <row r="18" spans="2:3">
      <c r="C18" t="s">
        <v>1505</v>
      </c>
    </row>
    <row r="19" spans="2:3">
      <c r="B19" t="s">
        <v>1506</v>
      </c>
    </row>
    <row r="20" spans="2:3">
      <c r="C20" t="s">
        <v>1507</v>
      </c>
    </row>
    <row r="21" spans="2:3">
      <c r="C21" t="s">
        <v>1508</v>
      </c>
    </row>
    <row r="22" spans="2:3">
      <c r="B22" t="s">
        <v>1509</v>
      </c>
    </row>
    <row r="23" spans="2:3">
      <c r="C23" t="s">
        <v>1510</v>
      </c>
    </row>
    <row r="24" spans="2:3">
      <c r="C24" t="s">
        <v>1511</v>
      </c>
    </row>
    <row r="25" spans="2:3">
      <c r="C25" t="s">
        <v>1512</v>
      </c>
    </row>
    <row r="26" spans="2:3">
      <c r="B26" t="s">
        <v>1513</v>
      </c>
    </row>
    <row r="27" spans="2:3">
      <c r="C27" t="s">
        <v>1514</v>
      </c>
    </row>
    <row r="28" spans="2:3">
      <c r="C28" t="s">
        <v>1515</v>
      </c>
    </row>
  </sheetData>
  <pageMargins left="0.75" right="0.75" top="1" bottom="1" header="0.5" footer="0.5"/>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zoomScale="115" zoomScaleNormal="115"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COUNTA(B2:B2066)/COLUMN()</f>
        <v>1.5</v>
      </c>
      <c r="C1" s="1">
        <f t="shared" si="0"/>
        <v>0.333333333333333</v>
      </c>
      <c r="D1" s="1">
        <f t="shared" si="0"/>
        <v>0</v>
      </c>
      <c r="E1" s="1">
        <f t="shared" si="0"/>
        <v>0</v>
      </c>
      <c r="F1" s="1">
        <f t="shared" si="0"/>
        <v>0</v>
      </c>
      <c r="G1" s="1">
        <f t="shared" si="0"/>
        <v>0</v>
      </c>
      <c r="H1" s="1">
        <f t="shared" si="0"/>
        <v>0</v>
      </c>
    </row>
    <row r="2" spans="1:8">
      <c r="A2">
        <v>20250526</v>
      </c>
      <c r="B2" t="s">
        <v>1516</v>
      </c>
    </row>
    <row r="3" spans="1:8">
      <c r="B3" t="s">
        <v>1517</v>
      </c>
    </row>
    <row r="4" spans="1:8">
      <c r="B4" t="s">
        <v>1518</v>
      </c>
    </row>
    <row r="5" spans="1:8">
      <c r="C5" t="s">
        <v>1519</v>
      </c>
    </row>
  </sheetData>
  <pageMargins left="0.75" right="0.75" top="1" bottom="1" header="0.5" footer="0.5"/>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zoomScale="115" zoomScaleNormal="115" topLeftCell="B7" workbookViewId="0">
      <selection activeCell="B25" sqref="B25"/>
    </sheetView>
  </sheetViews>
  <sheetFormatPr defaultColWidth="8.88888888888889" defaultRowHeight="14.4" outlineLevelCol="7"/>
  <cols>
    <col min="1" max="1" width="9.66666666666667"/>
  </cols>
  <sheetData>
    <row r="1" spans="1:8">
      <c r="A1" s="1">
        <f>SUM(B1:AZ1)</f>
        <v>9.2</v>
      </c>
      <c r="B1" s="1">
        <f t="shared" ref="B1:H1" si="0">COUNTA(B2:B2066)/COLUMN()</f>
        <v>2.5</v>
      </c>
      <c r="C1" s="1">
        <f t="shared" si="0"/>
        <v>5</v>
      </c>
      <c r="D1" s="1">
        <f t="shared" si="0"/>
        <v>1.5</v>
      </c>
      <c r="E1" s="1">
        <f t="shared" si="0"/>
        <v>0.2</v>
      </c>
      <c r="F1" s="1">
        <f t="shared" si="0"/>
        <v>0</v>
      </c>
      <c r="G1" s="1">
        <f t="shared" si="0"/>
        <v>0</v>
      </c>
      <c r="H1" s="1">
        <f t="shared" si="0"/>
        <v>0</v>
      </c>
    </row>
    <row r="2" spans="1:8">
      <c r="A2" t="str" cm="1">
        <f ca="1" t="array" ref="A2">_wpsfn.SHEETSNAME(A1)</f>
        <v>20250527</v>
      </c>
      <c r="B2" t="s">
        <v>1520</v>
      </c>
    </row>
    <row r="3" spans="1:8">
      <c r="C3" t="s">
        <v>1521</v>
      </c>
    </row>
    <row r="4" spans="1:8">
      <c r="D4" t="s">
        <v>1522</v>
      </c>
    </row>
    <row r="5" spans="1:8">
      <c r="D5" t="s">
        <v>1523</v>
      </c>
    </row>
    <row r="6" spans="1:8">
      <c r="C6" t="s">
        <v>1524</v>
      </c>
    </row>
    <row r="7" spans="1:8">
      <c r="D7" t="s">
        <v>1525</v>
      </c>
    </row>
    <row r="8" spans="1:8">
      <c r="D8" t="s">
        <v>1526</v>
      </c>
    </row>
    <row r="9" spans="1:8">
      <c r="E9" t="s">
        <v>1527</v>
      </c>
    </row>
    <row r="10" spans="1:8">
      <c r="B10" t="s">
        <v>1528</v>
      </c>
    </row>
    <row r="11" spans="1:8">
      <c r="C11" t="s">
        <v>1529</v>
      </c>
    </row>
    <row r="12" spans="1:8">
      <c r="C12" t="s">
        <v>1530</v>
      </c>
    </row>
    <row r="13" spans="1:8">
      <c r="C13" t="s">
        <v>1531</v>
      </c>
    </row>
    <row r="14" spans="1:8">
      <c r="C14" t="s">
        <v>1532</v>
      </c>
    </row>
    <row r="15" spans="1:8">
      <c r="C15" t="s">
        <v>1533</v>
      </c>
    </row>
    <row r="16" spans="1:8">
      <c r="C16" t="s">
        <v>1534</v>
      </c>
    </row>
    <row r="17" spans="2:4">
      <c r="B17" t="s">
        <v>1535</v>
      </c>
    </row>
    <row r="18" spans="2:4">
      <c r="C18" t="s">
        <v>1536</v>
      </c>
    </row>
    <row r="19" spans="2:4">
      <c r="C19" t="s">
        <v>1537</v>
      </c>
    </row>
    <row r="20" spans="2:4">
      <c r="D20" t="s">
        <v>1538</v>
      </c>
    </row>
    <row r="21" spans="2:4">
      <c r="D21" t="s">
        <v>1539</v>
      </c>
    </row>
    <row r="22" spans="2:4">
      <c r="C22" t="s">
        <v>1540</v>
      </c>
    </row>
    <row r="23" spans="2:4">
      <c r="C23" t="s">
        <v>1541</v>
      </c>
    </row>
    <row r="24" spans="2:4">
      <c r="C24" t="s">
        <v>1542</v>
      </c>
    </row>
    <row r="25" spans="2:4">
      <c r="B25" t="s">
        <v>1543</v>
      </c>
    </row>
    <row r="26" spans="2:4">
      <c r="C26" t="s">
        <v>1544</v>
      </c>
    </row>
    <row r="27" spans="2:4">
      <c r="C27" t="s">
        <v>1545</v>
      </c>
    </row>
    <row r="28" spans="2:4">
      <c r="B28" t="s">
        <v>1546</v>
      </c>
    </row>
  </sheetData>
  <pageMargins left="0.75" right="0.75" top="1" bottom="1" header="0.5" footer="0.5"/>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15" zoomScaleNormal="115" workbookViewId="0">
      <selection activeCell="B6" sqref="B6"/>
    </sheetView>
  </sheetViews>
  <sheetFormatPr defaultColWidth="8.88888888888889" defaultRowHeight="14.4" outlineLevelRow="5" outlineLevelCol="7"/>
  <cols>
    <col min="1" max="1" width="9.66666666666667"/>
  </cols>
  <sheetData>
    <row r="1" spans="1:8">
      <c r="A1" s="1">
        <f>SUM(B1:AZ1)</f>
        <v>2</v>
      </c>
      <c r="B1" s="1">
        <f t="shared" ref="B1:H1" si="0">COUNTA(B2:B2066)/COLUMN()</f>
        <v>1</v>
      </c>
      <c r="C1" s="1">
        <f t="shared" si="0"/>
        <v>1</v>
      </c>
      <c r="D1" s="1">
        <f t="shared" si="0"/>
        <v>0</v>
      </c>
      <c r="E1" s="1">
        <f t="shared" si="0"/>
        <v>0</v>
      </c>
      <c r="F1" s="1">
        <f t="shared" si="0"/>
        <v>0</v>
      </c>
      <c r="G1" s="1">
        <f t="shared" si="0"/>
        <v>0</v>
      </c>
      <c r="H1" s="1">
        <f t="shared" si="0"/>
        <v>0</v>
      </c>
    </row>
    <row r="2" spans="1:8">
      <c r="A2" t="str" cm="1">
        <f ca="1" t="array" ref="A2">_wpsfn.SHEETSNAME(A1)</f>
        <v>20250528</v>
      </c>
      <c r="B2" t="s">
        <v>1547</v>
      </c>
    </row>
    <row r="3" spans="1:8">
      <c r="C3" t="s">
        <v>1548</v>
      </c>
    </row>
    <row r="4" spans="1:8">
      <c r="C4" t="s">
        <v>1549</v>
      </c>
    </row>
    <row r="5" spans="1:8">
      <c r="C5" t="s">
        <v>1550</v>
      </c>
    </row>
    <row r="6" spans="1:8">
      <c r="B6" t="s">
        <v>1551</v>
      </c>
    </row>
  </sheetData>
  <pageMargins left="0.75" right="0.75" top="1" bottom="1" header="0.5" footer="0.5"/>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115" zoomScaleNormal="115" workbookViewId="0">
      <selection activeCell="L8" sqref="L8"/>
    </sheetView>
  </sheetViews>
  <sheetFormatPr defaultColWidth="8.88888888888889" defaultRowHeight="14.4" outlineLevelRow="3" outlineLevelCol="7"/>
  <cols>
    <col min="1" max="1" width="9.66666666666667"/>
  </cols>
  <sheetData>
    <row r="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20250529</v>
      </c>
      <c r="B2" t="s">
        <v>1552</v>
      </c>
    </row>
    <row r="3" spans="1:8">
      <c r="C3" t="s">
        <v>1553</v>
      </c>
    </row>
    <row r="4" spans="1:8">
      <c r="C4" t="s">
        <v>1554</v>
      </c>
    </row>
  </sheetData>
  <pageMargins left="0.75" right="0.75" top="1" bottom="1" header="0.5" footer="0.5"/>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8"/>
  <sheetViews>
    <sheetView topLeftCell="A28" workbookViewId="0">
      <selection activeCell="I41" sqref="I41"/>
    </sheetView>
  </sheetViews>
  <sheetFormatPr defaultColWidth="8.88888888888889" defaultRowHeight="14.4" outlineLevelCol="7"/>
  <cols>
    <col min="1" max="1" width="9.66666666666667"/>
  </cols>
  <sheetData>
    <row r="1" spans="1:8">
      <c r="A1" s="1">
        <f>SUM(B1:AZ1)</f>
        <v>18.5</v>
      </c>
      <c r="B1" s="1">
        <f t="shared" ref="B1:H1" si="0">COUNTA(B2:B2072)/COLUMN()</f>
        <v>4.5</v>
      </c>
      <c r="C1" s="1">
        <f t="shared" si="0"/>
        <v>9</v>
      </c>
      <c r="D1" s="1">
        <f t="shared" si="0"/>
        <v>4</v>
      </c>
      <c r="E1" s="1">
        <f t="shared" si="0"/>
        <v>1</v>
      </c>
      <c r="F1" s="1">
        <f t="shared" si="0"/>
        <v>0</v>
      </c>
      <c r="G1" s="1">
        <f t="shared" si="0"/>
        <v>0</v>
      </c>
      <c r="H1" s="1">
        <f t="shared" si="0"/>
        <v>0</v>
      </c>
    </row>
    <row r="2" spans="1:8">
      <c r="A2" t="str" cm="1">
        <f ca="1" t="array" ref="A2">_wpsfn.SHEETSNAME(A1)</f>
        <v>20250530</v>
      </c>
      <c r="B2" t="s">
        <v>1555</v>
      </c>
    </row>
    <row r="3" spans="1:8">
      <c r="C3" t="s">
        <v>1556</v>
      </c>
    </row>
    <row r="4" spans="1:8">
      <c r="C4" t="s">
        <v>1557</v>
      </c>
    </row>
    <row r="5" spans="1:8">
      <c r="C5" t="s">
        <v>1558</v>
      </c>
    </row>
    <row r="6" spans="1:8">
      <c r="C6" t="s">
        <v>1559</v>
      </c>
    </row>
    <row r="7" spans="1:8">
      <c r="D7" t="s">
        <v>1560</v>
      </c>
    </row>
    <row r="8" spans="1:8">
      <c r="C8" t="s">
        <v>1561</v>
      </c>
    </row>
    <row r="9" spans="1:8">
      <c r="D9" t="s">
        <v>1562</v>
      </c>
    </row>
    <row r="10" spans="1:8">
      <c r="D10" t="s">
        <v>1563</v>
      </c>
    </row>
    <row r="11" spans="1:8">
      <c r="B11" t="s">
        <v>1564</v>
      </c>
    </row>
    <row r="12" spans="1:8">
      <c r="C12" t="s">
        <v>1565</v>
      </c>
    </row>
    <row r="13" spans="1:8">
      <c r="C13" t="s">
        <v>1566</v>
      </c>
    </row>
    <row r="14" spans="1:8">
      <c r="D14" t="s">
        <v>1567</v>
      </c>
    </row>
    <row r="15" spans="1:8">
      <c r="B15" t="s">
        <v>1568</v>
      </c>
    </row>
    <row r="16" spans="1:8">
      <c r="C16" t="s">
        <v>1569</v>
      </c>
    </row>
    <row r="17" spans="2:4">
      <c r="C17" t="s">
        <v>1570</v>
      </c>
    </row>
    <row r="18" spans="2:4">
      <c r="C18" t="s">
        <v>1571</v>
      </c>
    </row>
    <row r="19" spans="2:4">
      <c r="C19" t="s">
        <v>1572</v>
      </c>
    </row>
    <row r="20" spans="2:4">
      <c r="C20" t="s">
        <v>1573</v>
      </c>
    </row>
    <row r="21" spans="2:4">
      <c r="C21" t="s">
        <v>1574</v>
      </c>
    </row>
    <row r="22" spans="2:4">
      <c r="B22" t="s">
        <v>1575</v>
      </c>
    </row>
    <row r="23" spans="2:4">
      <c r="C23" t="s">
        <v>1576</v>
      </c>
    </row>
    <row r="24" spans="2:4">
      <c r="C24" t="s">
        <v>1577</v>
      </c>
    </row>
    <row r="25" spans="2:4">
      <c r="C25" t="s">
        <v>1578</v>
      </c>
    </row>
    <row r="26" spans="2:4">
      <c r="B26" t="s">
        <v>1579</v>
      </c>
    </row>
    <row r="27" spans="2:4">
      <c r="C27" t="s">
        <v>1580</v>
      </c>
    </row>
    <row r="28" spans="2:4">
      <c r="D28" t="s">
        <v>1581</v>
      </c>
    </row>
    <row r="29" spans="2:4">
      <c r="D29" t="s">
        <v>1582</v>
      </c>
    </row>
    <row r="30" spans="2:4">
      <c r="D30" t="s">
        <v>1583</v>
      </c>
    </row>
    <row r="31" spans="2:4">
      <c r="C31" t="s">
        <v>1584</v>
      </c>
    </row>
    <row r="32" spans="2:4">
      <c r="D32" t="s">
        <v>1585</v>
      </c>
    </row>
    <row r="33" spans="2:5">
      <c r="E33" t="s">
        <v>1586</v>
      </c>
    </row>
    <row r="34" spans="2:5">
      <c r="E34" t="s">
        <v>1587</v>
      </c>
    </row>
    <row r="35" spans="2:5">
      <c r="D35" t="s">
        <v>1588</v>
      </c>
    </row>
    <row r="36" spans="2:5">
      <c r="E36" t="s">
        <v>1589</v>
      </c>
    </row>
    <row r="37" spans="2:5">
      <c r="E37" t="s">
        <v>1590</v>
      </c>
    </row>
    <row r="38" spans="2:5">
      <c r="C38" t="s">
        <v>1591</v>
      </c>
    </row>
    <row r="39" spans="2:5">
      <c r="B39" t="s">
        <v>1592</v>
      </c>
    </row>
    <row r="40" spans="2:5">
      <c r="C40" t="s">
        <v>1593</v>
      </c>
    </row>
    <row r="41" spans="2:5">
      <c r="D41" t="s">
        <v>1594</v>
      </c>
    </row>
    <row r="42" spans="2:5">
      <c r="C42" t="s">
        <v>1595</v>
      </c>
    </row>
    <row r="43" spans="2:5">
      <c r="D43" t="s">
        <v>1596</v>
      </c>
    </row>
    <row r="44" spans="2:5">
      <c r="E44" t="s">
        <v>1597</v>
      </c>
    </row>
    <row r="45" spans="2:5">
      <c r="D45" t="s">
        <v>1598</v>
      </c>
    </row>
    <row r="46" spans="2:5">
      <c r="D46" t="s">
        <v>1599</v>
      </c>
    </row>
    <row r="47" spans="2:5">
      <c r="B47" t="s">
        <v>1600</v>
      </c>
    </row>
    <row r="48" spans="2:5">
      <c r="C48" t="s">
        <v>1601</v>
      </c>
    </row>
    <row r="49" spans="2:4">
      <c r="C49" s="2" t="s">
        <v>1602</v>
      </c>
    </row>
    <row r="50" spans="2:4">
      <c r="C50" t="s">
        <v>1603</v>
      </c>
    </row>
    <row r="51" spans="2:4">
      <c r="D51" t="s">
        <v>1604</v>
      </c>
    </row>
    <row r="52" spans="2:4">
      <c r="D52" t="s">
        <v>1605</v>
      </c>
    </row>
    <row r="53" spans="2:4">
      <c r="D53" s="2" t="s">
        <v>1606</v>
      </c>
    </row>
    <row r="54" spans="2:4">
      <c r="B54" t="s">
        <v>1607</v>
      </c>
    </row>
    <row r="55" spans="2:4">
      <c r="C55" t="s">
        <v>1608</v>
      </c>
    </row>
    <row r="56" spans="2:4">
      <c r="C56" t="s">
        <v>1609</v>
      </c>
    </row>
    <row r="57" spans="2:4">
      <c r="B57" t="s">
        <v>1610</v>
      </c>
    </row>
    <row r="58" spans="2:4">
      <c r="C58" t="s">
        <v>1611</v>
      </c>
    </row>
  </sheetData>
  <pageMargins left="0.75" right="0.75" top="1" bottom="1" header="0.5" footer="0.5"/>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workbookViewId="0">
      <selection activeCell="C13" sqref="C13"/>
    </sheetView>
  </sheetViews>
  <sheetFormatPr defaultColWidth="8.88888888888889" defaultRowHeight="14.4" outlineLevelCol="7"/>
  <cols>
    <col min="1" max="1" width="9.66666666666667"/>
  </cols>
  <sheetData>
    <row r="1" spans="1:8">
      <c r="A1" s="1">
        <f>SUM(B1:AZ1)</f>
        <v>6.5</v>
      </c>
      <c r="B1" s="1">
        <f t="shared" ref="B1:H1" si="0">COUNTA(B2:B2072)/COLUMN()</f>
        <v>1.5</v>
      </c>
      <c r="C1" s="1">
        <f t="shared" si="0"/>
        <v>5</v>
      </c>
      <c r="D1" s="1">
        <f t="shared" si="0"/>
        <v>0</v>
      </c>
      <c r="E1" s="1">
        <f t="shared" si="0"/>
        <v>0</v>
      </c>
      <c r="F1" s="1">
        <f t="shared" si="0"/>
        <v>0</v>
      </c>
      <c r="G1" s="1">
        <f t="shared" si="0"/>
        <v>0</v>
      </c>
      <c r="H1" s="1">
        <f t="shared" si="0"/>
        <v>0</v>
      </c>
    </row>
    <row r="2" spans="1:8">
      <c r="A2" t="str" cm="1">
        <f ca="1" t="array" ref="A2">_wpsfn.SHEETSNAME(A1)</f>
        <v>20250531</v>
      </c>
      <c r="B2" t="s">
        <v>1612</v>
      </c>
    </row>
    <row r="3" spans="1:8">
      <c r="C3" t="s">
        <v>1613</v>
      </c>
    </row>
    <row r="4" spans="1:8">
      <c r="C4" t="s">
        <v>1614</v>
      </c>
    </row>
    <row r="5" spans="1:8">
      <c r="C5" t="s">
        <v>1615</v>
      </c>
    </row>
    <row r="6" spans="1:8">
      <c r="C6" t="s">
        <v>1616</v>
      </c>
    </row>
    <row r="7" spans="1:8">
      <c r="B7" t="s">
        <v>1617</v>
      </c>
    </row>
    <row r="8" spans="1:8">
      <c r="C8" t="s">
        <v>1618</v>
      </c>
    </row>
    <row r="9" spans="1:8">
      <c r="C9" t="s">
        <v>1619</v>
      </c>
    </row>
    <row r="10" spans="1:8">
      <c r="C10" t="s">
        <v>1620</v>
      </c>
    </row>
    <row r="11" spans="1:8">
      <c r="C11" t="s">
        <v>1621</v>
      </c>
    </row>
    <row r="12" spans="1:8">
      <c r="C12" t="s">
        <v>1622</v>
      </c>
    </row>
    <row r="13" spans="1:8">
      <c r="C13" t="s">
        <v>1623</v>
      </c>
    </row>
    <row r="14" spans="1:8">
      <c r="C14" t="s">
        <v>1624</v>
      </c>
    </row>
    <row r="15" spans="1:8">
      <c r="C15" t="s">
        <v>1625</v>
      </c>
    </row>
    <row r="16" spans="1:8">
      <c r="C16" t="s">
        <v>1626</v>
      </c>
    </row>
    <row r="17" spans="2:3">
      <c r="B17" t="s">
        <v>1627</v>
      </c>
    </row>
    <row r="18" spans="2:3">
      <c r="C18" t="s">
        <v>1628</v>
      </c>
    </row>
    <row r="19" spans="2:3">
      <c r="C19" t="s">
        <v>1629</v>
      </c>
    </row>
    <row r="49" spans="3:4">
      <c r="C49" s="2"/>
    </row>
    <row r="53" spans="3:4">
      <c r="D53" s="2"/>
    </row>
  </sheetData>
  <pageMargins left="0.75" right="0.75" top="1" bottom="1" header="0.5" footer="0.5"/>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workbookViewId="0">
      <selection activeCell="C13" sqref="C13"/>
    </sheetView>
  </sheetViews>
  <sheetFormatPr defaultColWidth="8.88888888888889" defaultRowHeight="14.4" outlineLevelCol="7"/>
  <cols>
    <col min="1" max="1" width="9.66666666666667"/>
  </cols>
  <sheetData>
    <row r="1" spans="1:8">
      <c r="A1" s="1">
        <f>SUM(B1:AZ1)</f>
        <v>5.08333333333333</v>
      </c>
      <c r="B1" s="1">
        <f t="shared" ref="B1:H1" si="0">COUNTA(B2:B2072)/COLUMN()</f>
        <v>1</v>
      </c>
      <c r="C1" s="1">
        <f t="shared" si="0"/>
        <v>3.33333333333333</v>
      </c>
      <c r="D1" s="1">
        <f t="shared" si="0"/>
        <v>0.75</v>
      </c>
      <c r="E1" s="1">
        <f t="shared" si="0"/>
        <v>0</v>
      </c>
      <c r="F1" s="1">
        <f t="shared" si="0"/>
        <v>0</v>
      </c>
      <c r="G1" s="1">
        <f t="shared" si="0"/>
        <v>0</v>
      </c>
      <c r="H1" s="1">
        <f t="shared" si="0"/>
        <v>0</v>
      </c>
    </row>
    <row r="2" spans="1:8">
      <c r="A2" t="str" cm="1">
        <f ca="1" t="array" ref="A2">_wpsfn.SHEETSNAME(A1)</f>
        <v>20250601</v>
      </c>
      <c r="B2" t="s">
        <v>1630</v>
      </c>
    </row>
    <row r="3" spans="1:8">
      <c r="C3" t="s">
        <v>1631</v>
      </c>
    </row>
    <row r="4" spans="1:8">
      <c r="C4" t="s">
        <v>1632</v>
      </c>
    </row>
    <row r="5" spans="1:8">
      <c r="C5" t="s">
        <v>1633</v>
      </c>
    </row>
    <row r="6" spans="1:8">
      <c r="D6" t="s">
        <v>1634</v>
      </c>
    </row>
    <row r="7" spans="1:8">
      <c r="D7" t="s">
        <v>1635</v>
      </c>
    </row>
    <row r="8" spans="1:8">
      <c r="D8" t="s">
        <v>1636</v>
      </c>
    </row>
    <row r="9" spans="1:8">
      <c r="C9" t="s">
        <v>1637</v>
      </c>
    </row>
    <row r="10" spans="1:8">
      <c r="B10" t="s">
        <v>1638</v>
      </c>
    </row>
    <row r="11" spans="1:8">
      <c r="C11" t="s">
        <v>1639</v>
      </c>
    </row>
    <row r="12" spans="1:8">
      <c r="C12" t="s">
        <v>1640</v>
      </c>
    </row>
    <row r="13" spans="1:8">
      <c r="C13" t="s">
        <v>1641</v>
      </c>
    </row>
    <row r="14" spans="1:8">
      <c r="C14" t="s">
        <v>1642</v>
      </c>
    </row>
    <row r="15" spans="1:8">
      <c r="C15" t="s">
        <v>1643</v>
      </c>
    </row>
    <row r="16" spans="1:8">
      <c r="C16" t="s">
        <v>1644</v>
      </c>
    </row>
    <row r="49" spans="3:4">
      <c r="C49" s="2"/>
    </row>
    <row r="53" spans="3:4">
      <c r="D53" s="2"/>
    </row>
  </sheetData>
  <pageMargins left="0.75" right="0.75" top="1" bottom="1" header="0.5" footer="0.5"/>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19" sqref="J19"/>
    </sheetView>
  </sheetViews>
  <sheetFormatPr defaultColWidth="8.88888888888889" defaultRowHeight="14.4" outlineLevelCol="7"/>
  <cols>
    <col min="1" max="1" width="9.66666666666667"/>
  </cols>
  <sheetData>
    <row r="1" spans="1:8">
      <c r="A1" s="1">
        <f>SUM(B1:AZ1)</f>
        <v>7.11666666666667</v>
      </c>
      <c r="B1" s="1">
        <f t="shared" ref="B1:H1" si="0">COUNTA(B2:B2071)/COLUMN()</f>
        <v>1</v>
      </c>
      <c r="C1" s="1">
        <f t="shared" si="0"/>
        <v>2.66666666666667</v>
      </c>
      <c r="D1" s="1">
        <f t="shared" si="0"/>
        <v>3.25</v>
      </c>
      <c r="E1" s="1">
        <f t="shared" si="0"/>
        <v>0.2</v>
      </c>
      <c r="F1" s="1">
        <f t="shared" si="0"/>
        <v>0</v>
      </c>
      <c r="G1" s="1">
        <f t="shared" si="0"/>
        <v>0</v>
      </c>
      <c r="H1" s="1">
        <f t="shared" si="0"/>
        <v>0</v>
      </c>
    </row>
    <row r="2" spans="1:8">
      <c r="A2" t="str" cm="1">
        <f ca="1" t="array" ref="A2">_wpsfn.SHEETSNAME(A1)</f>
        <v>20250602</v>
      </c>
      <c r="B2" t="s">
        <v>1645</v>
      </c>
    </row>
    <row r="3" spans="1:8">
      <c r="C3" t="s">
        <v>1646</v>
      </c>
    </row>
    <row r="4" spans="1:8">
      <c r="D4" t="s">
        <v>1647</v>
      </c>
    </row>
    <row r="5" spans="1:8">
      <c r="C5" t="s">
        <v>1648</v>
      </c>
    </row>
    <row r="6" spans="1:8">
      <c r="D6" t="s">
        <v>1649</v>
      </c>
    </row>
    <row r="7" spans="1:8">
      <c r="D7" t="s">
        <v>1650</v>
      </c>
    </row>
    <row r="8" spans="1:8">
      <c r="D8" t="s">
        <v>1651</v>
      </c>
    </row>
    <row r="9" spans="1:8">
      <c r="C9" t="s">
        <v>1652</v>
      </c>
    </row>
    <row r="10" spans="1:8">
      <c r="D10" t="s">
        <v>1653</v>
      </c>
    </row>
    <row r="11" spans="1:8">
      <c r="D11" t="s">
        <v>1654</v>
      </c>
    </row>
    <row r="12" spans="1:8">
      <c r="C12" t="s">
        <v>1655</v>
      </c>
    </row>
    <row r="13" spans="1:8">
      <c r="D13" t="s">
        <v>1656</v>
      </c>
    </row>
    <row r="14" spans="1:8">
      <c r="D14" t="s">
        <v>1657</v>
      </c>
    </row>
    <row r="15" spans="1:8">
      <c r="B15" t="s">
        <v>1658</v>
      </c>
    </row>
    <row r="16" spans="1:8">
      <c r="C16" t="s">
        <v>1659</v>
      </c>
    </row>
    <row r="17" spans="3:5">
      <c r="C17" t="s">
        <v>1660</v>
      </c>
    </row>
    <row r="18" spans="3:5">
      <c r="D18" t="s">
        <v>1661</v>
      </c>
    </row>
    <row r="19" spans="3:5">
      <c r="D19" t="s">
        <v>1662</v>
      </c>
    </row>
    <row r="20" spans="3:5">
      <c r="C20" t="s">
        <v>1663</v>
      </c>
    </row>
    <row r="21" spans="3:5">
      <c r="C21" t="s">
        <v>1664</v>
      </c>
    </row>
    <row r="22" spans="3:5">
      <c r="D22" t="s">
        <v>1665</v>
      </c>
    </row>
    <row r="23" spans="3:5">
      <c r="D23" t="s">
        <v>1666</v>
      </c>
    </row>
    <row r="24" spans="3:5">
      <c r="D24" t="s">
        <v>1667</v>
      </c>
    </row>
    <row r="25" spans="3:5">
      <c r="E25" t="s">
        <v>1668</v>
      </c>
    </row>
    <row r="48" spans="3:3">
      <c r="C48" s="2"/>
    </row>
    <row r="52" spans="4:4">
      <c r="D52" s="2"/>
    </row>
  </sheetData>
  <pageMargins left="0.75" right="0.75" top="1" bottom="1" header="0.5" footer="0.5"/>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5" sqref="C5"/>
    </sheetView>
  </sheetViews>
  <sheetFormatPr defaultColWidth="8.88888888888889" defaultRowHeight="14.4" outlineLevelCol="7"/>
  <cols>
    <col min="1" max="1" width="9.66666666666667"/>
  </cols>
  <sheetData>
    <row r="1" spans="1:8">
      <c r="A1" s="1">
        <f>SUM(B1:AZ1)</f>
        <v>5.5</v>
      </c>
      <c r="B1" s="1">
        <f t="shared" ref="B1:H1" si="0">COUNTA(B2:B2071)/COLUMN()</f>
        <v>1</v>
      </c>
      <c r="C1" s="1">
        <f t="shared" si="0"/>
        <v>4</v>
      </c>
      <c r="D1" s="1">
        <f t="shared" si="0"/>
        <v>0.5</v>
      </c>
      <c r="E1" s="1">
        <f t="shared" si="0"/>
        <v>0</v>
      </c>
      <c r="F1" s="1">
        <f t="shared" si="0"/>
        <v>0</v>
      </c>
      <c r="G1" s="1">
        <f t="shared" si="0"/>
        <v>0</v>
      </c>
      <c r="H1" s="1">
        <f t="shared" si="0"/>
        <v>0</v>
      </c>
    </row>
    <row r="2" spans="1:8">
      <c r="A2" t="str" cm="1">
        <f ca="1" t="array" ref="A2">_wpsfn.SHEETSNAME(A1)</f>
        <v>20250603</v>
      </c>
      <c r="B2" t="s">
        <v>1669</v>
      </c>
    </row>
    <row r="3" spans="1:8">
      <c r="C3" t="s">
        <v>1670</v>
      </c>
    </row>
    <row r="4" spans="1:8">
      <c r="C4" t="s">
        <v>1671</v>
      </c>
    </row>
    <row r="5" spans="1:8">
      <c r="C5" t="s">
        <v>1672</v>
      </c>
    </row>
    <row r="6" spans="1:8">
      <c r="C6" t="s">
        <v>1673</v>
      </c>
    </row>
    <row r="7" spans="1:8">
      <c r="C7" t="s">
        <v>1674</v>
      </c>
    </row>
    <row r="8" spans="1:8">
      <c r="D8" t="s">
        <v>1675</v>
      </c>
    </row>
    <row r="9" spans="1:8">
      <c r="D9" t="s">
        <v>1676</v>
      </c>
    </row>
    <row r="10" spans="1:8">
      <c r="C10" t="s">
        <v>1677</v>
      </c>
    </row>
    <row r="11" spans="1:8">
      <c r="C11" t="s">
        <v>1678</v>
      </c>
    </row>
    <row r="12" spans="1:8">
      <c r="C12" t="s">
        <v>1679</v>
      </c>
    </row>
    <row r="13" spans="1:8">
      <c r="B13" t="s">
        <v>1680</v>
      </c>
    </row>
    <row r="14" spans="1:8">
      <c r="C14" t="s">
        <v>1681</v>
      </c>
    </row>
    <row r="15" spans="1:8">
      <c r="C15" t="s">
        <v>1682</v>
      </c>
    </row>
    <row r="16" spans="1:8">
      <c r="C16" t="s">
        <v>1683</v>
      </c>
    </row>
    <row r="17" spans="3:3">
      <c r="C17" t="s">
        <v>1684</v>
      </c>
    </row>
    <row r="48" spans="3:3">
      <c r="C48" s="2"/>
    </row>
    <row r="52" spans="4:4">
      <c r="D52" s="2"/>
    </row>
  </sheetData>
  <pageMargins left="0.75" right="0.75" top="1" bottom="1" header="0.5" footer="0.5"/>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7" sqref="C7"/>
    </sheetView>
  </sheetViews>
  <sheetFormatPr defaultColWidth="8.88888888888889" defaultRowHeight="14.4" outlineLevelCol="7"/>
  <cols>
    <col min="1" max="1" width="9.66666666666667"/>
  </cols>
  <sheetData>
    <row r="1" spans="1:8">
      <c r="A1" s="1">
        <f>SUM(B1:AZ1)</f>
        <v>1.83333333333333</v>
      </c>
      <c r="B1" s="1">
        <f t="shared" ref="B1:H1" si="0">COUNTA(B2:B2071)/COLUMN()</f>
        <v>0.5</v>
      </c>
      <c r="C1" s="1">
        <f t="shared" si="0"/>
        <v>1.33333333333333</v>
      </c>
      <c r="D1" s="1">
        <f t="shared" si="0"/>
        <v>0</v>
      </c>
      <c r="E1" s="1">
        <f t="shared" si="0"/>
        <v>0</v>
      </c>
      <c r="F1" s="1">
        <f t="shared" si="0"/>
        <v>0</v>
      </c>
      <c r="G1" s="1">
        <f t="shared" si="0"/>
        <v>0</v>
      </c>
      <c r="H1" s="1">
        <f t="shared" si="0"/>
        <v>0</v>
      </c>
    </row>
    <row r="2" spans="1:8">
      <c r="A2" t="str" cm="1">
        <f ca="1" t="array" ref="A2">_wpsfn.SHEETSNAME(A1)</f>
        <v>20250604</v>
      </c>
      <c r="B2" t="s">
        <v>1685</v>
      </c>
    </row>
    <row r="3" spans="1:8">
      <c r="C3" t="s">
        <v>1686</v>
      </c>
    </row>
    <row r="4" spans="1:8">
      <c r="C4" t="s">
        <v>1687</v>
      </c>
    </row>
    <row r="5" spans="1:8">
      <c r="C5" t="s">
        <v>1688</v>
      </c>
    </row>
    <row r="6" spans="1:8">
      <c r="C6" t="s">
        <v>1689</v>
      </c>
    </row>
    <row r="48" spans="3:3">
      <c r="C48" s="2"/>
    </row>
    <row r="52" spans="4:4">
      <c r="D52" s="2"/>
    </row>
  </sheetData>
  <pageMargins left="0.75" right="0.75" top="1" bottom="1" header="0.5" footer="0.5"/>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zoomScale="145" zoomScaleNormal="145" workbookViewId="0">
      <selection activeCell="L17" sqref="L17"/>
    </sheetView>
  </sheetViews>
  <sheetFormatPr defaultColWidth="8.88888888888889" defaultRowHeight="14.4" outlineLevelCol="7"/>
  <cols>
    <col min="1" max="1" width="9.66666666666667"/>
  </cols>
  <sheetData>
    <row r="1" spans="1:8">
      <c r="A1" s="1">
        <f>SUM(B1:AZ1)</f>
        <v>5.25</v>
      </c>
      <c r="B1" s="1">
        <f t="shared" ref="B1:H1" si="0">COUNTA(B2:B2071)/COLUMN()</f>
        <v>1.5</v>
      </c>
      <c r="C1" s="1">
        <f t="shared" si="0"/>
        <v>2</v>
      </c>
      <c r="D1" s="1">
        <f t="shared" si="0"/>
        <v>1.75</v>
      </c>
      <c r="E1" s="1">
        <f t="shared" si="0"/>
        <v>0</v>
      </c>
      <c r="F1" s="1">
        <f t="shared" si="0"/>
        <v>0</v>
      </c>
      <c r="G1" s="1">
        <f t="shared" si="0"/>
        <v>0</v>
      </c>
      <c r="H1" s="1">
        <f t="shared" si="0"/>
        <v>0</v>
      </c>
    </row>
    <row r="2" spans="1:8">
      <c r="A2" t="str" cm="1">
        <f ca="1" t="array" ref="A2">_wpsfn.SHEETSNAME(A1)</f>
        <v>20250605</v>
      </c>
      <c r="B2" t="s">
        <v>1690</v>
      </c>
    </row>
    <row r="3" spans="1:8">
      <c r="B3" t="s">
        <v>1691</v>
      </c>
    </row>
    <row r="4" spans="1:8">
      <c r="C4" t="s">
        <v>1692</v>
      </c>
    </row>
    <row r="5" spans="1:8">
      <c r="C5" t="s">
        <v>1693</v>
      </c>
    </row>
    <row r="6" spans="1:8">
      <c r="C6" t="s">
        <v>1694</v>
      </c>
    </row>
    <row r="7" spans="1:8">
      <c r="C7" t="s">
        <v>1695</v>
      </c>
    </row>
    <row r="8" spans="1:8">
      <c r="B8" t="s">
        <v>1696</v>
      </c>
    </row>
    <row r="9" spans="1:8">
      <c r="C9" t="s">
        <v>1697</v>
      </c>
    </row>
    <row r="10" spans="1:8">
      <c r="D10" t="s">
        <v>1698</v>
      </c>
    </row>
    <row r="11" spans="1:8">
      <c r="D11" t="s">
        <v>1699</v>
      </c>
    </row>
    <row r="12" spans="1:8">
      <c r="D12" t="s">
        <v>1700</v>
      </c>
    </row>
    <row r="13" spans="1:8">
      <c r="C13" t="s">
        <v>1701</v>
      </c>
    </row>
    <row r="14" spans="1:8">
      <c r="D14" t="s">
        <v>1702</v>
      </c>
    </row>
    <row r="15" spans="1:8">
      <c r="D15" t="s">
        <v>1703</v>
      </c>
    </row>
    <row r="16" spans="1:8">
      <c r="D16" t="s">
        <v>1704</v>
      </c>
    </row>
    <row r="17" spans="4:4">
      <c r="D17" t="s">
        <v>1705</v>
      </c>
    </row>
    <row r="48" spans="3:3">
      <c r="C48" s="2"/>
    </row>
    <row r="52" spans="4:4">
      <c r="D52" s="2"/>
    </row>
  </sheetData>
  <pageMargins left="0.75" right="0.75" top="1" bottom="1" header="0.5" footer="0.5"/>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6" sqref="J6"/>
    </sheetView>
  </sheetViews>
  <sheetFormatPr defaultColWidth="8.88888888888889" defaultRowHeight="14.4" outlineLevelCol="7"/>
  <cols>
    <col min="1" max="1" width="9.66666666666667"/>
  </cols>
  <sheetData>
    <row r="1" spans="1:8">
      <c r="A1" s="1">
        <f>SUM(B1:AZ1)</f>
        <v>1.16666666666667</v>
      </c>
      <c r="B1" s="1">
        <f t="shared" ref="B1:H1" si="0">COUNTA(B2:B2071)/COLUMN()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20250607</v>
      </c>
      <c r="B2" t="s">
        <v>1706</v>
      </c>
    </row>
    <row r="3" spans="1:8">
      <c r="C3" t="s">
        <v>1707</v>
      </c>
    </row>
    <row r="4" spans="1:8">
      <c r="C4" t="s">
        <v>1708</v>
      </c>
    </row>
    <row r="48" spans="3:3">
      <c r="C48" s="2"/>
    </row>
    <row r="52" spans="4:4">
      <c r="D52" s="2"/>
    </row>
  </sheetData>
  <pageMargins left="0.75" right="0.75" top="1" bottom="1" header="0.5" footer="0.5"/>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B9" sqref="B9"/>
    </sheetView>
  </sheetViews>
  <sheetFormatPr defaultColWidth="8.88888888888889" defaultRowHeight="14.4" outlineLevelCol="7"/>
  <cols>
    <col min="1" max="1" width="9.66666666666667"/>
  </cols>
  <sheetData>
    <row r="1" spans="1:8">
      <c r="A1" s="1">
        <f>SUM(B1:AZ1)</f>
        <v>5.33333333333333</v>
      </c>
      <c r="B1" s="1">
        <f t="shared" ref="B1:H1" si="0">COUNTA(B2:B2071)/COLUMN()</f>
        <v>3</v>
      </c>
      <c r="C1" s="1">
        <f t="shared" si="0"/>
        <v>2.33333333333333</v>
      </c>
      <c r="D1" s="1">
        <f t="shared" si="0"/>
        <v>0</v>
      </c>
      <c r="E1" s="1">
        <f t="shared" si="0"/>
        <v>0</v>
      </c>
      <c r="F1" s="1">
        <f t="shared" si="0"/>
        <v>0</v>
      </c>
      <c r="G1" s="1">
        <f t="shared" si="0"/>
        <v>0</v>
      </c>
      <c r="H1" s="1">
        <f t="shared" si="0"/>
        <v>0</v>
      </c>
    </row>
    <row r="2" spans="1:8">
      <c r="A2" t="str" cm="1">
        <f ca="1" t="array" ref="A2">_wpsfn.SHEETSNAME(A1)</f>
        <v>20250608</v>
      </c>
      <c r="B2" t="s">
        <v>1709</v>
      </c>
    </row>
    <row r="3" spans="1:8">
      <c r="B3" t="s">
        <v>1710</v>
      </c>
    </row>
    <row r="4" spans="1:8">
      <c r="C4" t="s">
        <v>1711</v>
      </c>
    </row>
    <row r="5" spans="1:8">
      <c r="C5" t="s">
        <v>1712</v>
      </c>
    </row>
    <row r="6" spans="1:8">
      <c r="B6" t="s">
        <v>1713</v>
      </c>
    </row>
    <row r="7" spans="1:8">
      <c r="C7" t="s">
        <v>1714</v>
      </c>
    </row>
    <row r="8" spans="1:8">
      <c r="C8" t="s">
        <v>1715</v>
      </c>
    </row>
    <row r="9" spans="1:8">
      <c r="B9" t="s">
        <v>1716</v>
      </c>
    </row>
    <row r="10" spans="1:8">
      <c r="C10" t="s">
        <v>1717</v>
      </c>
    </row>
    <row r="11" spans="1:8">
      <c r="C11" t="s">
        <v>1718</v>
      </c>
    </row>
    <row r="12" spans="1:8">
      <c r="C12" t="s">
        <v>1719</v>
      </c>
    </row>
    <row r="13" spans="1:8">
      <c r="B13" t="s">
        <v>1720</v>
      </c>
    </row>
    <row r="14" spans="1:8">
      <c r="B14" t="s">
        <v>1721</v>
      </c>
    </row>
    <row r="48" spans="3:3">
      <c r="C48" s="2"/>
    </row>
    <row r="52" spans="4:4">
      <c r="D52" s="2"/>
    </row>
  </sheetData>
  <pageMargins left="0.75" right="0.75" top="1" bottom="1" header="0.5" footer="0.5"/>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topLeftCell="A21" workbookViewId="0">
      <selection activeCell="I23" sqref="I23"/>
    </sheetView>
  </sheetViews>
  <sheetFormatPr defaultColWidth="8.88888888888889" defaultRowHeight="14.4" outlineLevelCol="7"/>
  <cols>
    <col min="1" max="1" width="9.66666666666667"/>
  </cols>
  <sheetData>
    <row r="1" spans="1:8">
      <c r="A1" s="1">
        <f>SUM(B1:AZ1)</f>
        <v>12.3285714285714</v>
      </c>
      <c r="B1" s="1">
        <f t="shared" ref="B1:H1" si="0">COUNTA(B2:B2082)/COLUMN()</f>
        <v>3.5</v>
      </c>
      <c r="C1" s="1">
        <f t="shared" si="0"/>
        <v>4</v>
      </c>
      <c r="D1" s="1">
        <f t="shared" si="0"/>
        <v>3</v>
      </c>
      <c r="E1" s="1">
        <f t="shared" si="0"/>
        <v>0.4</v>
      </c>
      <c r="F1" s="1">
        <f t="shared" si="0"/>
        <v>1</v>
      </c>
      <c r="G1" s="1">
        <f t="shared" si="0"/>
        <v>0.428571428571429</v>
      </c>
      <c r="H1" s="1">
        <f t="shared" si="0"/>
        <v>0</v>
      </c>
    </row>
    <row r="2" spans="1:8">
      <c r="A2" t="str" cm="1">
        <f ca="1" t="array" ref="A2">_wpsfn.SHEETSNAME(A1)</f>
        <v>20250609</v>
      </c>
      <c r="B2" t="s">
        <v>1722</v>
      </c>
    </row>
    <row r="3" spans="1:8">
      <c r="C3" t="s">
        <v>1723</v>
      </c>
    </row>
    <row r="4" spans="1:8">
      <c r="D4" t="s">
        <v>1724</v>
      </c>
    </row>
    <row r="5" spans="1:8">
      <c r="D5" t="s">
        <v>1725</v>
      </c>
    </row>
    <row r="6" spans="1:8">
      <c r="C6" t="s">
        <v>1726</v>
      </c>
    </row>
    <row r="7" spans="1:8">
      <c r="D7" t="s">
        <v>1727</v>
      </c>
    </row>
    <row r="8" spans="1:8">
      <c r="D8" t="s">
        <v>1728</v>
      </c>
    </row>
    <row r="9" spans="1:8">
      <c r="C9" t="s">
        <v>1729</v>
      </c>
    </row>
    <row r="10" spans="1:8">
      <c r="D10" t="s">
        <v>1730</v>
      </c>
    </row>
    <row r="11" spans="1:8">
      <c r="D11" t="s">
        <v>1731</v>
      </c>
    </row>
    <row r="12" spans="1:8">
      <c r="D12" t="s">
        <v>1732</v>
      </c>
    </row>
    <row r="13" spans="1:8">
      <c r="D13" t="s">
        <v>1733</v>
      </c>
    </row>
    <row r="14" spans="1:8">
      <c r="C14" t="s">
        <v>1734</v>
      </c>
    </row>
    <row r="15" spans="1:8">
      <c r="B15" t="s">
        <v>1735</v>
      </c>
    </row>
    <row r="16" spans="1:8">
      <c r="C16" t="s">
        <v>1736</v>
      </c>
    </row>
    <row r="17" spans="2:4">
      <c r="B17" t="s">
        <v>1737</v>
      </c>
    </row>
    <row r="18" spans="2:4">
      <c r="C18" t="s">
        <v>1738</v>
      </c>
    </row>
    <row r="19" spans="2:4">
      <c r="B19" t="s">
        <v>1739</v>
      </c>
    </row>
    <row r="20" spans="2:4">
      <c r="C20" t="s">
        <v>1740</v>
      </c>
    </row>
    <row r="21" spans="2:4">
      <c r="B21" t="s">
        <v>1741</v>
      </c>
    </row>
    <row r="22" spans="2:4">
      <c r="C22" t="s">
        <v>1742</v>
      </c>
    </row>
    <row r="23" spans="2:4">
      <c r="D23" t="s">
        <v>1743</v>
      </c>
    </row>
    <row r="24" spans="2:4">
      <c r="C24" t="s">
        <v>1744</v>
      </c>
    </row>
    <row r="25" spans="2:4">
      <c r="D25" t="s">
        <v>1745</v>
      </c>
    </row>
    <row r="26" spans="2:4">
      <c r="C26" t="s">
        <v>1746</v>
      </c>
    </row>
    <row r="27" spans="2:4">
      <c r="D27" t="s">
        <v>1747</v>
      </c>
    </row>
    <row r="28" spans="2:4">
      <c r="B28" t="s">
        <v>1748</v>
      </c>
    </row>
    <row r="29" spans="2:4">
      <c r="B29" t="s">
        <v>1749</v>
      </c>
    </row>
    <row r="30" spans="2:4">
      <c r="C30" t="s">
        <v>1750</v>
      </c>
    </row>
    <row r="31" spans="2:4">
      <c r="C31" t="s">
        <v>1751</v>
      </c>
    </row>
    <row r="32" spans="2:4">
      <c r="D32" t="s">
        <v>1752</v>
      </c>
    </row>
    <row r="33" spans="5:7">
      <c r="E33" t="s">
        <v>1753</v>
      </c>
    </row>
    <row r="34" spans="5:7">
      <c r="E34" t="s">
        <v>1754</v>
      </c>
    </row>
    <row r="35" spans="5:7">
      <c r="F35" t="s">
        <v>1755</v>
      </c>
    </row>
    <row r="36" spans="5:7">
      <c r="F36" t="s">
        <v>1756</v>
      </c>
    </row>
    <row r="37" spans="5:7">
      <c r="F37" t="s">
        <v>1757</v>
      </c>
    </row>
    <row r="38" spans="5:7">
      <c r="F38" t="s">
        <v>1758</v>
      </c>
      <c r="G38" t="s">
        <v>1759</v>
      </c>
    </row>
    <row r="39" spans="5:7">
      <c r="F39" t="s">
        <v>1760</v>
      </c>
    </row>
    <row r="40" spans="5:7">
      <c r="F40" t="s">
        <v>1761</v>
      </c>
    </row>
    <row r="41" spans="5:7">
      <c r="G41" t="s">
        <v>1762</v>
      </c>
    </row>
    <row r="42" spans="5:7">
      <c r="G42" t="s">
        <v>1763</v>
      </c>
    </row>
    <row r="59" spans="3:4">
      <c r="C59" s="2"/>
    </row>
    <row r="63" spans="3:4">
      <c r="D63" s="2"/>
    </row>
  </sheetData>
  <pageMargins left="0.75" right="0.75" top="1" bottom="1" header="0.5" footer="0.5"/>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2" sqref="L2"/>
    </sheetView>
  </sheetViews>
  <sheetFormatPr defaultColWidth="8.88888888888889" defaultRowHeight="14.4" outlineLevelCol="7"/>
  <cols>
    <col min="1" max="1" width="9.66666666666667"/>
  </cols>
  <sheetData>
    <row r="1" spans="1:8">
      <c r="A1" s="1">
        <f>SUM(B1:AZ1)</f>
        <v>2.33333333333333</v>
      </c>
      <c r="B1" s="1">
        <f t="shared" ref="B1:H1" si="0">COUNTA(B2:B2082)/COLUMN()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20250610</v>
      </c>
      <c r="B2" t="s">
        <v>1764</v>
      </c>
    </row>
    <row r="3" spans="1:8">
      <c r="B3" t="s">
        <v>1765</v>
      </c>
    </row>
    <row r="4" spans="1:8">
      <c r="C4" t="s">
        <v>1766</v>
      </c>
    </row>
    <row r="5" spans="1:8">
      <c r="B5" t="s">
        <v>1767</v>
      </c>
    </row>
    <row r="6" spans="1:8">
      <c r="B6" t="s">
        <v>1768</v>
      </c>
    </row>
    <row r="59" spans="3:4">
      <c r="C59" s="2"/>
    </row>
    <row r="63" spans="3:4">
      <c r="D63" s="2"/>
    </row>
  </sheetData>
  <pageMargins left="0.75" right="0.75" top="1" bottom="1" header="0.5" footer="0.5"/>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C4" sqref="C4"/>
    </sheetView>
  </sheetViews>
  <sheetFormatPr defaultColWidth="8.88888888888889" defaultRowHeight="14.4" outlineLevelCol="7"/>
  <cols>
    <col min="1" max="1" width="9.66666666666667"/>
  </cols>
  <sheetData>
    <row r="1" spans="1:8">
      <c r="A1" s="1">
        <f>SUM(B1:AZ1)</f>
        <v>4.83333333333333</v>
      </c>
      <c r="B1" s="1">
        <f t="shared" ref="B1:H1" si="0">COUNTA(B2:B2082)/COLUMN()</f>
        <v>1.5</v>
      </c>
      <c r="C1" s="1">
        <f t="shared" si="0"/>
        <v>2.33333333333333</v>
      </c>
      <c r="D1" s="1">
        <f t="shared" si="0"/>
        <v>1</v>
      </c>
      <c r="E1" s="1">
        <f t="shared" si="0"/>
        <v>0</v>
      </c>
      <c r="F1" s="1">
        <f t="shared" si="0"/>
        <v>0</v>
      </c>
      <c r="G1" s="1">
        <f t="shared" si="0"/>
        <v>0</v>
      </c>
      <c r="H1" s="1">
        <f t="shared" si="0"/>
        <v>0</v>
      </c>
    </row>
    <row r="2" spans="1:8">
      <c r="A2" t="str" cm="1">
        <f ca="1" t="array" ref="A2">_wpsfn.SHEETSNAME(A1)</f>
        <v>20250611</v>
      </c>
      <c r="B2" t="s">
        <v>1769</v>
      </c>
    </row>
    <row r="3" spans="1:8">
      <c r="C3" t="s">
        <v>1770</v>
      </c>
    </row>
    <row r="4" spans="1:8">
      <c r="C4" t="s">
        <v>1771</v>
      </c>
    </row>
    <row r="5" spans="1:8">
      <c r="B5" t="s">
        <v>1772</v>
      </c>
    </row>
    <row r="6" spans="1:8">
      <c r="C6" t="s">
        <v>1773</v>
      </c>
    </row>
    <row r="7" spans="1:8">
      <c r="C7" t="s">
        <v>1774</v>
      </c>
    </row>
    <row r="8" spans="1:8">
      <c r="D8" t="s">
        <v>1775</v>
      </c>
    </row>
    <row r="9" spans="1:8">
      <c r="C9" t="s">
        <v>1776</v>
      </c>
    </row>
    <row r="10" spans="1:8">
      <c r="D10" t="s">
        <v>1777</v>
      </c>
    </row>
    <row r="11" spans="1:8">
      <c r="D11" t="s">
        <v>1778</v>
      </c>
    </row>
    <row r="12" spans="1:8">
      <c r="B12" t="s">
        <v>1779</v>
      </c>
    </row>
    <row r="13" spans="1:8">
      <c r="C13" t="s">
        <v>1780</v>
      </c>
    </row>
    <row r="14" spans="1:8">
      <c r="C14" t="s">
        <v>1781</v>
      </c>
    </row>
    <row r="15" spans="1:8">
      <c r="D15" t="s">
        <v>1782</v>
      </c>
    </row>
    <row r="59" spans="3:4">
      <c r="C59" s="2"/>
    </row>
    <row r="63" spans="3:4">
      <c r="D63" s="2"/>
    </row>
  </sheetData>
  <pageMargins left="0.75" right="0.75" top="1" bottom="1" header="0.5" footer="0.5"/>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N20" sqref="N20"/>
    </sheetView>
  </sheetViews>
  <sheetFormatPr defaultColWidth="8.88888888888889" defaultRowHeight="14.4" outlineLevelCol="7"/>
  <cols>
    <col min="1" max="1" width="9.66666666666667"/>
  </cols>
  <sheetData>
    <row r="1" spans="1:8">
      <c r="A1" s="1">
        <f>SUM(B1:AZ1)</f>
        <v>9.16666666666667</v>
      </c>
      <c r="B1" s="1">
        <f t="shared" ref="B1:H1" si="0">COUNTA(B2:B2082)/COLUMN()</f>
        <v>3.5</v>
      </c>
      <c r="C1" s="1">
        <f t="shared" si="0"/>
        <v>3.66666666666667</v>
      </c>
      <c r="D1" s="1">
        <f t="shared" si="0"/>
        <v>2</v>
      </c>
      <c r="E1" s="1">
        <f t="shared" si="0"/>
        <v>0</v>
      </c>
      <c r="F1" s="1">
        <f t="shared" si="0"/>
        <v>0</v>
      </c>
      <c r="G1" s="1">
        <f t="shared" si="0"/>
        <v>0</v>
      </c>
      <c r="H1" s="1">
        <f t="shared" si="0"/>
        <v>0</v>
      </c>
    </row>
    <row r="2" spans="1:8">
      <c r="A2" t="str" cm="1">
        <f ca="1" t="array" ref="A2">_wpsfn.SHEETSNAME(A1)</f>
        <v>20250612</v>
      </c>
      <c r="B2" t="s">
        <v>1783</v>
      </c>
    </row>
    <row r="3" spans="1:8">
      <c r="B3" t="s">
        <v>1784</v>
      </c>
    </row>
    <row r="4" spans="1:8">
      <c r="B4" t="s">
        <v>1785</v>
      </c>
    </row>
    <row r="5" spans="1:8">
      <c r="C5" t="s">
        <v>1786</v>
      </c>
    </row>
    <row r="6" spans="1:8">
      <c r="C6" t="s">
        <v>1787</v>
      </c>
    </row>
    <row r="7" spans="1:8">
      <c r="C7" t="s">
        <v>1788</v>
      </c>
    </row>
    <row r="8" spans="1:8">
      <c r="C8" t="s">
        <v>1789</v>
      </c>
    </row>
    <row r="9" spans="1:8">
      <c r="B9" t="s">
        <v>1790</v>
      </c>
    </row>
    <row r="10" spans="1:8">
      <c r="C10" t="s">
        <v>1791</v>
      </c>
    </row>
    <row r="11" spans="1:8">
      <c r="C11" t="s">
        <v>1792</v>
      </c>
    </row>
    <row r="12" spans="1:8">
      <c r="C12" t="s">
        <v>1793</v>
      </c>
    </row>
    <row r="13" spans="1:8">
      <c r="B13" t="s">
        <v>1794</v>
      </c>
    </row>
    <row r="14" spans="1:8">
      <c r="B14" t="s">
        <v>1795</v>
      </c>
    </row>
    <row r="15" spans="1:8">
      <c r="B15" t="s">
        <v>1796</v>
      </c>
    </row>
    <row r="16" spans="1:8">
      <c r="C16" t="s">
        <v>1797</v>
      </c>
    </row>
    <row r="17" spans="3:4">
      <c r="C17" t="s">
        <v>1798</v>
      </c>
    </row>
    <row r="18" spans="3:4">
      <c r="C18" t="s">
        <v>1799</v>
      </c>
    </row>
    <row r="19" spans="3:4">
      <c r="D19" t="s">
        <v>1800</v>
      </c>
    </row>
    <row r="20" spans="3:4">
      <c r="D20" t="s">
        <v>1801</v>
      </c>
    </row>
    <row r="21" spans="3:4">
      <c r="D21" t="s">
        <v>1802</v>
      </c>
    </row>
    <row r="22" spans="3:4">
      <c r="D22" t="s">
        <v>1803</v>
      </c>
    </row>
    <row r="23" spans="3:4">
      <c r="C23" t="s">
        <v>1804</v>
      </c>
    </row>
    <row r="24" spans="3:4">
      <c r="D24" t="s">
        <v>1805</v>
      </c>
    </row>
    <row r="25" spans="3:4">
      <c r="D25" t="s">
        <v>1806</v>
      </c>
    </row>
    <row r="26" spans="3:4">
      <c r="D26" t="s">
        <v>1807</v>
      </c>
    </row>
    <row r="27" spans="3:4">
      <c r="D27" t="s">
        <v>1808</v>
      </c>
    </row>
    <row r="59" spans="3:4">
      <c r="C59" s="2"/>
    </row>
    <row r="63" spans="3:4">
      <c r="D63" s="2"/>
    </row>
  </sheetData>
  <pageMargins left="0.75" right="0.75" top="1" bottom="1" header="0.5" footer="0.5"/>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3" sqref="L3"/>
    </sheetView>
  </sheetViews>
  <sheetFormatPr defaultColWidth="8.88888888888889" defaultRowHeight="14.4" outlineLevelCol="7"/>
  <cols>
    <col min="1" max="1" width="9.66666666666667"/>
  </cols>
  <sheetData>
    <row r="1" spans="1:8">
      <c r="A1" s="1">
        <f>SUM(B1:AZ1)</f>
        <v>3.16666666666667</v>
      </c>
      <c r="B1" s="1">
        <f t="shared" ref="B1:H1" si="0">COUNTA(B2:B2082)/COLUMN()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20250613</v>
      </c>
      <c r="B2" t="s">
        <v>1809</v>
      </c>
    </row>
    <row r="3" spans="1:8">
      <c r="C3" t="s">
        <v>1810</v>
      </c>
    </row>
    <row r="4" spans="1:8">
      <c r="C4" t="s">
        <v>1811</v>
      </c>
    </row>
    <row r="5" spans="1:8">
      <c r="C5" t="s">
        <v>1812</v>
      </c>
    </row>
    <row r="6" spans="1:8">
      <c r="C6" t="s">
        <v>1813</v>
      </c>
    </row>
    <row r="7" spans="1:8">
      <c r="B7" t="s">
        <v>1814</v>
      </c>
    </row>
    <row r="8" spans="1:8">
      <c r="B8" t="s">
        <v>1815</v>
      </c>
    </row>
    <row r="9" spans="1:8">
      <c r="C9" t="s">
        <v>1816</v>
      </c>
    </row>
    <row r="59" spans="3:4">
      <c r="C59" s="2"/>
    </row>
    <row r="63" spans="3:4">
      <c r="D63" s="2"/>
    </row>
  </sheetData>
  <pageMargins left="0.75" right="0.75" top="1" bottom="1" header="0.5" footer="0.5"/>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C9" sqref="C9"/>
    </sheetView>
  </sheetViews>
  <sheetFormatPr defaultColWidth="8.88888888888889" defaultRowHeight="14.4" outlineLevelCol="7"/>
  <cols>
    <col min="1" max="1" width="9.66666666666667"/>
  </cols>
  <sheetData>
    <row r="1" spans="1:8">
      <c r="A1" s="1">
        <f>SUM(B1:AZ1)</f>
        <v>3.16666666666667</v>
      </c>
      <c r="B1" s="1">
        <f t="shared" ref="B1:H1" si="0">COUNTA(B2:B2082)/COLUMN()</f>
        <v>2</v>
      </c>
      <c r="C1" s="1">
        <f t="shared" si="0"/>
        <v>0.666666666666667</v>
      </c>
      <c r="D1" s="1">
        <f t="shared" si="0"/>
        <v>0.5</v>
      </c>
      <c r="E1" s="1">
        <f t="shared" si="0"/>
        <v>0</v>
      </c>
      <c r="F1" s="1">
        <f t="shared" si="0"/>
        <v>0</v>
      </c>
      <c r="G1" s="1">
        <f t="shared" si="0"/>
        <v>0</v>
      </c>
      <c r="H1" s="1">
        <f t="shared" si="0"/>
        <v>0</v>
      </c>
    </row>
    <row r="2" spans="1:8">
      <c r="A2" t="str" cm="1">
        <f ca="1" t="array" ref="A2">_wpsfn.SHEETSNAME(A1)</f>
        <v>20250614</v>
      </c>
      <c r="B2" t="s">
        <v>1817</v>
      </c>
    </row>
    <row r="3" spans="1:8">
      <c r="B3" t="s">
        <v>1818</v>
      </c>
    </row>
    <row r="4" spans="1:8">
      <c r="B4" t="s">
        <v>1819</v>
      </c>
    </row>
    <row r="5" spans="1:8">
      <c r="B5" t="s">
        <v>1820</v>
      </c>
    </row>
    <row r="6" spans="1:8">
      <c r="C6" t="s">
        <v>1821</v>
      </c>
    </row>
    <row r="7" spans="1:8">
      <c r="D7" t="s">
        <v>1822</v>
      </c>
    </row>
    <row r="8" spans="1:8">
      <c r="D8" t="s">
        <v>1823</v>
      </c>
    </row>
    <row r="9" spans="1:8">
      <c r="C9" t="s">
        <v>1824</v>
      </c>
    </row>
    <row r="59" spans="3:4">
      <c r="C59" s="2"/>
    </row>
    <row r="63" spans="3:4">
      <c r="D63" s="2"/>
    </row>
  </sheetData>
  <pageMargins left="0.75" right="0.75" top="1" bottom="1" header="0.5" footer="0.5"/>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4"/>
  <sheetViews>
    <sheetView workbookViewId="0">
      <selection activeCell="B10" sqref="B10"/>
    </sheetView>
  </sheetViews>
  <sheetFormatPr defaultColWidth="8.88888888888889" defaultRowHeight="14.4" outlineLevelCol="7"/>
  <cols>
    <col min="1" max="1" width="9.66666666666667"/>
  </cols>
  <sheetData>
    <row r="1" spans="1:8">
      <c r="A1" s="1">
        <f>SUM(B1:AZ1)</f>
        <v>4.16666666666667</v>
      </c>
      <c r="B1" s="1">
        <f t="shared" ref="B1:H1" si="0">COUNTA(B2:B2083)/COLUMN()</f>
        <v>3.5</v>
      </c>
      <c r="C1" s="1">
        <f t="shared" si="0"/>
        <v>0.666666666666667</v>
      </c>
      <c r="D1" s="1">
        <f t="shared" si="0"/>
        <v>0</v>
      </c>
      <c r="E1" s="1">
        <f t="shared" si="0"/>
        <v>0</v>
      </c>
      <c r="F1" s="1">
        <f t="shared" si="0"/>
        <v>0</v>
      </c>
      <c r="G1" s="1">
        <f t="shared" si="0"/>
        <v>0</v>
      </c>
      <c r="H1" s="1">
        <f t="shared" si="0"/>
        <v>0</v>
      </c>
    </row>
    <row r="2" spans="1:8">
      <c r="A2" t="str" cm="1">
        <f ca="1" t="array" ref="A2">_wpsfn.SHEETSNAME(A1)</f>
        <v>20250615</v>
      </c>
      <c r="B2" t="s">
        <v>1825</v>
      </c>
    </row>
    <row r="3" spans="1:8">
      <c r="C3" t="s">
        <v>1826</v>
      </c>
    </row>
    <row r="4" spans="1:8">
      <c r="B4" t="s">
        <v>1827</v>
      </c>
    </row>
    <row r="5" spans="1:8">
      <c r="B5" t="s">
        <v>1828</v>
      </c>
    </row>
    <row r="6" spans="1:8">
      <c r="B6" t="s">
        <v>1829</v>
      </c>
    </row>
    <row r="7" spans="1:8">
      <c r="B7" t="s">
        <v>1830</v>
      </c>
    </row>
    <row r="8" spans="1:8">
      <c r="B8" t="s">
        <v>1831</v>
      </c>
    </row>
    <row r="9" spans="1:8">
      <c r="C9" t="s">
        <v>1832</v>
      </c>
    </row>
    <row r="10" spans="1:8">
      <c r="B10" t="s">
        <v>1833</v>
      </c>
    </row>
    <row r="60" spans="3:4">
      <c r="C60" s="2"/>
    </row>
    <row r="64" spans="3:4">
      <c r="D64" s="2"/>
    </row>
  </sheetData>
  <pageMargins left="0.75" right="0.75" top="1" bottom="1" header="0.5" footer="0.5"/>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9"/>
  <sheetViews>
    <sheetView workbookViewId="0">
      <selection activeCell="B20" sqref="B20"/>
    </sheetView>
  </sheetViews>
  <sheetFormatPr defaultColWidth="8.88888888888889" defaultRowHeight="14.4" outlineLevelCol="7"/>
  <cols>
    <col min="1" max="1" width="9.66666666666667"/>
  </cols>
  <sheetData>
    <row r="1" spans="1:8">
      <c r="A1" s="1">
        <f>SUM(B1:AZ1)</f>
        <v>6.83333333333333</v>
      </c>
      <c r="B1" s="1">
        <f t="shared" ref="B1:H1" si="0">COUNTA(B2:B2068)/COLUMN()</f>
        <v>1.5</v>
      </c>
      <c r="C1" s="1">
        <f t="shared" si="0"/>
        <v>5.33333333333333</v>
      </c>
      <c r="D1" s="1">
        <f t="shared" si="0"/>
        <v>0</v>
      </c>
      <c r="E1" s="1">
        <f t="shared" si="0"/>
        <v>0</v>
      </c>
      <c r="F1" s="1">
        <f t="shared" si="0"/>
        <v>0</v>
      </c>
      <c r="G1" s="1">
        <f t="shared" si="0"/>
        <v>0</v>
      </c>
      <c r="H1" s="1">
        <f t="shared" si="0"/>
        <v>0</v>
      </c>
    </row>
    <row r="2" spans="1:8">
      <c r="A2" t="str" cm="1">
        <f ca="1" t="array" ref="A2">_wpsfn.SHEETSNAME(A1)</f>
        <v>20250616</v>
      </c>
      <c r="B2" t="s">
        <v>1834</v>
      </c>
    </row>
    <row r="3" spans="1:8">
      <c r="C3" t="s">
        <v>1835</v>
      </c>
    </row>
    <row r="4" spans="1:8">
      <c r="C4" t="s">
        <v>1836</v>
      </c>
    </row>
    <row r="5" spans="1:8">
      <c r="C5" t="s">
        <v>1837</v>
      </c>
    </row>
    <row r="6" spans="1:8">
      <c r="B6" t="s">
        <v>1838</v>
      </c>
    </row>
    <row r="7" spans="1:8">
      <c r="C7" t="s">
        <v>1839</v>
      </c>
    </row>
    <row r="8" spans="1:8">
      <c r="C8" t="s">
        <v>1840</v>
      </c>
    </row>
    <row r="9" spans="1:8">
      <c r="C9" t="s">
        <v>1841</v>
      </c>
    </row>
    <row r="10" spans="1:8">
      <c r="C10" t="s">
        <v>1842</v>
      </c>
    </row>
    <row r="11" spans="1:8">
      <c r="C11" t="s">
        <v>1843</v>
      </c>
    </row>
    <row r="12" spans="1:8">
      <c r="C12" t="s">
        <v>1844</v>
      </c>
    </row>
    <row r="13" spans="1:8">
      <c r="C13" t="s">
        <v>1845</v>
      </c>
    </row>
    <row r="14" spans="1:8">
      <c r="C14" t="s">
        <v>1846</v>
      </c>
    </row>
    <row r="15" spans="1:8">
      <c r="C15" t="s">
        <v>1847</v>
      </c>
    </row>
    <row r="16" spans="1:8">
      <c r="C16" t="s">
        <v>1848</v>
      </c>
    </row>
    <row r="17" spans="2:3">
      <c r="C17" t="s">
        <v>1849</v>
      </c>
    </row>
    <row r="18" spans="2:3">
      <c r="C18" t="s">
        <v>1850</v>
      </c>
    </row>
    <row r="19" spans="2:3">
      <c r="C19" t="s">
        <v>1851</v>
      </c>
    </row>
    <row r="20" spans="2:3">
      <c r="B20" t="s">
        <v>1852</v>
      </c>
    </row>
    <row r="45" spans="3:3">
      <c r="C45" s="2"/>
    </row>
    <row r="49" spans="4:4">
      <c r="D49" s="2"/>
    </row>
  </sheetData>
  <pageMargins left="0.75" right="0.75" top="1" bottom="1" header="0.5" footer="0.5"/>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1"/>
  <sheetViews>
    <sheetView workbookViewId="0">
      <selection activeCell="B23" sqref="B23"/>
    </sheetView>
  </sheetViews>
  <sheetFormatPr defaultColWidth="8.88888888888889" defaultRowHeight="14.4" outlineLevelCol="7"/>
  <cols>
    <col min="1" max="1" width="9.66666666666667"/>
  </cols>
  <sheetData>
    <row r="1" spans="1:8">
      <c r="A1" s="1">
        <f>SUM(B1:AZ1)</f>
        <v>6.33333333333333</v>
      </c>
      <c r="B1" s="1">
        <f t="shared" ref="B1:H1" si="0">COUNTA(B2:B2060)/COLUMN()</f>
        <v>1</v>
      </c>
      <c r="C1" s="1">
        <f t="shared" si="0"/>
        <v>1.33333333333333</v>
      </c>
      <c r="D1" s="1">
        <f t="shared" si="0"/>
        <v>4</v>
      </c>
      <c r="E1" s="1">
        <f t="shared" si="0"/>
        <v>0</v>
      </c>
      <c r="F1" s="1">
        <f t="shared" si="0"/>
        <v>0</v>
      </c>
      <c r="G1" s="1">
        <f t="shared" si="0"/>
        <v>0</v>
      </c>
      <c r="H1" s="1">
        <f t="shared" si="0"/>
        <v>0</v>
      </c>
    </row>
    <row r="2" spans="1:8">
      <c r="A2" t="str" cm="1">
        <f ca="1" t="array" ref="A2">_wpsfn.SHEETSNAME(A1)</f>
        <v>20250617</v>
      </c>
      <c r="B2" t="s">
        <v>1853</v>
      </c>
    </row>
    <row r="3" spans="1:8">
      <c r="C3" t="s">
        <v>1854</v>
      </c>
    </row>
    <row r="4" spans="1:8">
      <c r="D4" t="s">
        <v>1855</v>
      </c>
    </row>
    <row r="5" spans="1:8">
      <c r="D5" t="s">
        <v>1856</v>
      </c>
    </row>
    <row r="6" spans="1:8">
      <c r="D6" t="s">
        <v>1857</v>
      </c>
    </row>
    <row r="7" spans="1:8">
      <c r="D7" t="s">
        <v>1858</v>
      </c>
    </row>
    <row r="8" spans="1:8">
      <c r="C8" t="s">
        <v>1859</v>
      </c>
    </row>
    <row r="9" spans="1:8">
      <c r="D9" t="s">
        <v>1860</v>
      </c>
    </row>
    <row r="10" spans="1:8">
      <c r="D10" t="s">
        <v>1861</v>
      </c>
    </row>
    <row r="11" spans="1:8">
      <c r="D11" t="s">
        <v>1862</v>
      </c>
    </row>
    <row r="12" spans="1:8">
      <c r="D12" t="s">
        <v>1863</v>
      </c>
    </row>
    <row r="13" spans="1:8">
      <c r="C13" t="s">
        <v>1864</v>
      </c>
    </row>
    <row r="14" spans="1:8">
      <c r="D14" t="s">
        <v>1865</v>
      </c>
    </row>
    <row r="15" spans="1:8">
      <c r="D15" t="s">
        <v>1866</v>
      </c>
    </row>
    <row r="16" spans="1:8">
      <c r="D16" t="s">
        <v>1867</v>
      </c>
    </row>
    <row r="17" spans="2:4">
      <c r="D17" t="s">
        <v>1868</v>
      </c>
    </row>
    <row r="18" spans="2:4">
      <c r="C18" t="s">
        <v>1869</v>
      </c>
    </row>
    <row r="19" spans="2:4">
      <c r="D19" t="s">
        <v>1870</v>
      </c>
    </row>
    <row r="20" spans="2:4">
      <c r="D20" t="s">
        <v>1871</v>
      </c>
    </row>
    <row r="21" spans="2:4">
      <c r="D21" t="s">
        <v>1872</v>
      </c>
    </row>
    <row r="22" spans="2:4">
      <c r="D22" t="s">
        <v>1873</v>
      </c>
    </row>
    <row r="23" spans="2:4">
      <c r="B23" t="s">
        <v>1874</v>
      </c>
    </row>
    <row r="37" spans="3:4">
      <c r="C37" s="2"/>
    </row>
    <row r="41" spans="3:4">
      <c r="D41" s="2"/>
    </row>
  </sheetData>
  <pageMargins left="0.75" right="0.75" top="1" bottom="1" header="0.5" footer="0.5"/>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1"/>
  <sheetViews>
    <sheetView topLeftCell="A46" workbookViewId="0">
      <selection activeCell="B1" sqref="B1"/>
    </sheetView>
  </sheetViews>
  <sheetFormatPr defaultColWidth="8.88888888888889" defaultRowHeight="14.4" outlineLevelCol="7"/>
  <cols>
    <col min="1" max="1" width="9.66666666666667"/>
  </cols>
  <sheetData>
    <row r="1" spans="1:8">
      <c r="A1" s="1">
        <f>SUM(B1:AZ1)</f>
        <v>12.1666666666667</v>
      </c>
      <c r="B1" s="1">
        <f t="shared" ref="B1:H1" si="0">COUNTA(B2:B2090)/COLUMN()</f>
        <v>0.5</v>
      </c>
      <c r="C1" s="1">
        <f t="shared" si="0"/>
        <v>1.66666666666667</v>
      </c>
      <c r="D1" s="1">
        <f t="shared" si="0"/>
        <v>10</v>
      </c>
      <c r="E1" s="1">
        <f t="shared" si="0"/>
        <v>0</v>
      </c>
      <c r="F1" s="1">
        <f t="shared" si="0"/>
        <v>0</v>
      </c>
      <c r="G1" s="1">
        <f t="shared" si="0"/>
        <v>0</v>
      </c>
      <c r="H1" s="1">
        <f t="shared" si="0"/>
        <v>0</v>
      </c>
    </row>
    <row r="2" spans="1:8">
      <c r="A2" t="str" cm="1">
        <f ca="1" t="array" ref="A2">_wpsfn.SHEETSNAME(A1)</f>
        <v>20250618</v>
      </c>
      <c r="B2" t="s">
        <v>1875</v>
      </c>
    </row>
    <row r="3" spans="1:8">
      <c r="C3" t="s">
        <v>1876</v>
      </c>
    </row>
    <row r="4" spans="1:8">
      <c r="D4" t="s">
        <v>1877</v>
      </c>
    </row>
    <row r="5" spans="1:8">
      <c r="D5" t="s">
        <v>1878</v>
      </c>
    </row>
    <row r="6" spans="1:8">
      <c r="D6" t="s">
        <v>1879</v>
      </c>
    </row>
    <row r="7" spans="1:8">
      <c r="D7" t="s">
        <v>1880</v>
      </c>
    </row>
    <row r="8" spans="1:8">
      <c r="D8" t="s">
        <v>1881</v>
      </c>
    </row>
    <row r="9" spans="1:8">
      <c r="D9" t="s">
        <v>1882</v>
      </c>
    </row>
    <row r="10" spans="1:8">
      <c r="D10" t="s">
        <v>1883</v>
      </c>
    </row>
    <row r="11" spans="1:8">
      <c r="D11" t="s">
        <v>1884</v>
      </c>
    </row>
    <row r="12" spans="1:8">
      <c r="C12" t="s">
        <v>1885</v>
      </c>
    </row>
    <row r="13" spans="1:8">
      <c r="D13" t="s">
        <v>1886</v>
      </c>
    </row>
    <row r="14" spans="1:8">
      <c r="D14" t="s">
        <v>1887</v>
      </c>
    </row>
    <row r="15" spans="1:8">
      <c r="D15" t="s">
        <v>1888</v>
      </c>
    </row>
    <row r="16" spans="1:8">
      <c r="D16" t="s">
        <v>1889</v>
      </c>
    </row>
    <row r="17" spans="3:4">
      <c r="D17" t="s">
        <v>1890</v>
      </c>
    </row>
    <row r="18" spans="3:4">
      <c r="D18" t="s">
        <v>1891</v>
      </c>
    </row>
    <row r="19" spans="3:4">
      <c r="D19" t="s">
        <v>1892</v>
      </c>
    </row>
    <row r="20" spans="3:4">
      <c r="D20" t="s">
        <v>1893</v>
      </c>
    </row>
    <row r="21" spans="3:4">
      <c r="C21" t="s">
        <v>1894</v>
      </c>
    </row>
    <row r="22" spans="3:4">
      <c r="D22" t="s">
        <v>1895</v>
      </c>
    </row>
    <row r="23" spans="3:4">
      <c r="D23" t="s">
        <v>1896</v>
      </c>
    </row>
    <row r="24" spans="3:4">
      <c r="D24" t="s">
        <v>1897</v>
      </c>
    </row>
    <row r="25" spans="3:4">
      <c r="D25" t="s">
        <v>1898</v>
      </c>
    </row>
    <row r="26" spans="3:4">
      <c r="D26" t="s">
        <v>1899</v>
      </c>
    </row>
    <row r="27" spans="3:4">
      <c r="D27" t="s">
        <v>1900</v>
      </c>
    </row>
    <row r="28" spans="3:4">
      <c r="D28" t="s">
        <v>1901</v>
      </c>
    </row>
    <row r="29" spans="3:4">
      <c r="D29" t="s">
        <v>1902</v>
      </c>
    </row>
    <row r="30" spans="3:4">
      <c r="C30" t="s">
        <v>1903</v>
      </c>
    </row>
    <row r="31" spans="3:4">
      <c r="D31" t="s">
        <v>1904</v>
      </c>
    </row>
    <row r="32" spans="3:4">
      <c r="D32" t="s">
        <v>1905</v>
      </c>
    </row>
    <row r="33" spans="3:4">
      <c r="D33" t="s">
        <v>1906</v>
      </c>
    </row>
    <row r="34" spans="3:4">
      <c r="D34" t="s">
        <v>1907</v>
      </c>
    </row>
    <row r="35" spans="3:4">
      <c r="D35" t="s">
        <v>1908</v>
      </c>
    </row>
    <row r="36" spans="3:4">
      <c r="D36" t="s">
        <v>1909</v>
      </c>
    </row>
    <row r="37" spans="3:4">
      <c r="D37" t="s">
        <v>1910</v>
      </c>
    </row>
    <row r="38" spans="3:4">
      <c r="D38" t="s">
        <v>1911</v>
      </c>
    </row>
    <row r="39" spans="3:4">
      <c r="C39" t="s">
        <v>1912</v>
      </c>
    </row>
    <row r="40" spans="3:4">
      <c r="D40" t="s">
        <v>1913</v>
      </c>
    </row>
    <row r="41" spans="3:4">
      <c r="D41" t="s">
        <v>1914</v>
      </c>
    </row>
    <row r="42" spans="3:4">
      <c r="D42" t="s">
        <v>1915</v>
      </c>
    </row>
    <row r="43" spans="3:4">
      <c r="D43" t="s">
        <v>1916</v>
      </c>
    </row>
    <row r="44" spans="3:4">
      <c r="D44" t="s">
        <v>1917</v>
      </c>
    </row>
    <row r="45" spans="3:4">
      <c r="D45" t="s">
        <v>1918</v>
      </c>
    </row>
    <row r="46" spans="3:4">
      <c r="D46" t="s">
        <v>1919</v>
      </c>
    </row>
    <row r="47" spans="3:4">
      <c r="D47" t="s">
        <v>1920</v>
      </c>
    </row>
    <row r="67" spans="3:4">
      <c r="C67" s="2"/>
    </row>
    <row r="71" spans="3:4">
      <c r="D71" s="2"/>
    </row>
  </sheetData>
  <pageMargins left="0.75" right="0.75" top="1" bottom="1" header="0.5" footer="0.5"/>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6"/>
  <sheetViews>
    <sheetView topLeftCell="A18" workbookViewId="0">
      <selection activeCell="D18" sqref="D18"/>
    </sheetView>
  </sheetViews>
  <sheetFormatPr defaultColWidth="8.88888888888889" defaultRowHeight="14.4" outlineLevelCol="7"/>
  <cols>
    <col min="1" max="1" width="9.66666666666667"/>
  </cols>
  <sheetData>
    <row r="1" spans="1:8">
      <c r="A1" s="1">
        <f>SUM(B1:AZ1)</f>
        <v>16.1666666666667</v>
      </c>
      <c r="B1" s="1">
        <f t="shared" ref="B1:H1" si="0">COUNTA(B2:B2040)/COLUMN()</f>
        <v>2.5</v>
      </c>
      <c r="C1" s="1">
        <f t="shared" si="0"/>
        <v>4.66666666666667</v>
      </c>
      <c r="D1" s="1">
        <f t="shared" si="0"/>
        <v>9</v>
      </c>
      <c r="E1" s="1">
        <f t="shared" si="0"/>
        <v>0</v>
      </c>
      <c r="F1" s="1">
        <f t="shared" si="0"/>
        <v>0</v>
      </c>
      <c r="G1" s="1">
        <f t="shared" si="0"/>
        <v>0</v>
      </c>
      <c r="H1" s="1">
        <f t="shared" si="0"/>
        <v>0</v>
      </c>
    </row>
    <row r="2" spans="1:8">
      <c r="A2" t="str" cm="1">
        <f ca="1" t="array" ref="A2">_wpsfn.SHEETSNAME(A1)</f>
        <v>20250619</v>
      </c>
      <c r="B2" t="s">
        <v>1921</v>
      </c>
    </row>
    <row r="3" spans="1:8">
      <c r="C3" t="s">
        <v>1922</v>
      </c>
    </row>
    <row r="4" spans="1:8">
      <c r="C4" t="s">
        <v>1923</v>
      </c>
    </row>
    <row r="5" spans="1:8">
      <c r="D5" t="s">
        <v>1924</v>
      </c>
    </row>
    <row r="6" spans="1:8">
      <c r="D6" t="s">
        <v>1925</v>
      </c>
    </row>
    <row r="7" spans="1:8">
      <c r="D7" t="s">
        <v>1926</v>
      </c>
    </row>
    <row r="8" spans="1:8">
      <c r="D8" t="s">
        <v>1927</v>
      </c>
    </row>
    <row r="9" spans="1:8">
      <c r="C9" t="s">
        <v>1928</v>
      </c>
    </row>
    <row r="10" spans="1:8">
      <c r="D10" t="s">
        <v>1929</v>
      </c>
    </row>
    <row r="11" spans="1:8">
      <c r="D11" t="s">
        <v>1930</v>
      </c>
    </row>
    <row r="12" spans="1:8">
      <c r="D12" t="s">
        <v>1931</v>
      </c>
    </row>
    <row r="13" spans="1:8">
      <c r="D13" t="s">
        <v>1932</v>
      </c>
    </row>
    <row r="14" spans="1:8">
      <c r="C14" t="s">
        <v>1933</v>
      </c>
    </row>
    <row r="15" spans="1:8">
      <c r="D15" t="s">
        <v>1934</v>
      </c>
    </row>
    <row r="16" spans="1:8">
      <c r="D16" t="s">
        <v>1935</v>
      </c>
    </row>
    <row r="17" spans="3:4">
      <c r="D17" t="s">
        <v>1936</v>
      </c>
    </row>
    <row r="18" spans="3:4">
      <c r="D18" t="s">
        <v>1937</v>
      </c>
    </row>
    <row r="19" spans="3:4">
      <c r="C19" t="s">
        <v>1938</v>
      </c>
    </row>
    <row r="20" spans="3:4">
      <c r="D20" t="s">
        <v>1939</v>
      </c>
    </row>
    <row r="21" spans="3:4">
      <c r="D21" t="s">
        <v>1940</v>
      </c>
    </row>
    <row r="22" spans="3:4">
      <c r="D22" t="s">
        <v>1941</v>
      </c>
    </row>
    <row r="23" spans="3:4">
      <c r="D23" t="s">
        <v>1942</v>
      </c>
    </row>
    <row r="24" spans="3:4">
      <c r="C24" t="s">
        <v>1943</v>
      </c>
    </row>
    <row r="25" spans="3:4">
      <c r="D25" t="s">
        <v>1944</v>
      </c>
    </row>
    <row r="26" spans="3:4">
      <c r="D26" t="s">
        <v>1945</v>
      </c>
    </row>
    <row r="27" spans="3:4">
      <c r="D27" t="s">
        <v>1946</v>
      </c>
    </row>
    <row r="28" spans="3:4">
      <c r="D28" t="s">
        <v>1947</v>
      </c>
    </row>
    <row r="29" spans="3:4">
      <c r="C29" t="s">
        <v>1948</v>
      </c>
    </row>
    <row r="30" spans="3:4">
      <c r="D30" t="s">
        <v>1949</v>
      </c>
    </row>
    <row r="31" spans="3:4">
      <c r="D31" t="s">
        <v>1950</v>
      </c>
    </row>
    <row r="32" spans="3:4">
      <c r="D32" t="s">
        <v>1951</v>
      </c>
    </row>
    <row r="33" spans="3:4">
      <c r="D33" t="s">
        <v>1952</v>
      </c>
    </row>
    <row r="34" spans="3:4">
      <c r="C34" t="s">
        <v>1953</v>
      </c>
    </row>
    <row r="35" spans="3:4">
      <c r="D35" t="s">
        <v>1954</v>
      </c>
    </row>
    <row r="36" spans="3:4">
      <c r="D36" t="s">
        <v>1955</v>
      </c>
    </row>
    <row r="37" spans="3:4">
      <c r="D37" t="s">
        <v>1956</v>
      </c>
    </row>
    <row r="38" spans="3:4">
      <c r="D38" t="s">
        <v>1957</v>
      </c>
    </row>
    <row r="39" spans="3:4">
      <c r="C39" t="s">
        <v>1958</v>
      </c>
    </row>
    <row r="40" spans="3:4">
      <c r="D40" t="s">
        <v>1959</v>
      </c>
    </row>
    <row r="41" spans="3:4">
      <c r="D41" t="s">
        <v>1960</v>
      </c>
    </row>
    <row r="42" spans="3:4">
      <c r="D42" t="s">
        <v>1961</v>
      </c>
    </row>
    <row r="43" spans="3:4">
      <c r="D43" t="s">
        <v>1962</v>
      </c>
    </row>
    <row r="44" spans="3:4">
      <c r="C44" t="s">
        <v>1963</v>
      </c>
    </row>
    <row r="45" spans="3:4">
      <c r="D45" t="s">
        <v>1964</v>
      </c>
    </row>
    <row r="46" spans="3:4">
      <c r="D46" t="s">
        <v>1965</v>
      </c>
    </row>
    <row r="47" spans="3:4">
      <c r="D47" t="s">
        <v>1966</v>
      </c>
    </row>
    <row r="48" spans="3:4">
      <c r="D48" t="s">
        <v>1967</v>
      </c>
    </row>
    <row r="49" spans="2:3">
      <c r="B49" t="s">
        <v>1968</v>
      </c>
    </row>
    <row r="50" spans="2:3">
      <c r="C50" t="s">
        <v>1969</v>
      </c>
    </row>
    <row r="51" spans="2:3">
      <c r="C51" t="s">
        <v>1970</v>
      </c>
    </row>
    <row r="52" spans="2:3">
      <c r="C52" t="s">
        <v>1971</v>
      </c>
    </row>
    <row r="53" spans="2:3">
      <c r="B53" t="s">
        <v>1972</v>
      </c>
    </row>
    <row r="54" spans="2:3">
      <c r="B54" t="s">
        <v>1973</v>
      </c>
    </row>
    <row r="55" spans="2:3">
      <c r="B55" t="s">
        <v>1974</v>
      </c>
    </row>
    <row r="56" spans="2:3">
      <c r="C56" t="s">
        <v>1975</v>
      </c>
    </row>
  </sheetData>
  <pageMargins left="0.75" right="0.75" top="1" bottom="1" header="0.5" footer="0.5"/>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9"/>
  <sheetViews>
    <sheetView topLeftCell="A13" workbookViewId="0">
      <selection activeCell="D13" sqref="D13"/>
    </sheetView>
  </sheetViews>
  <sheetFormatPr defaultColWidth="8.88888888888889" defaultRowHeight="14.4" outlineLevelCol="7"/>
  <cols>
    <col min="1" max="1" width="9.66666666666667"/>
  </cols>
  <sheetData>
    <row r="1" spans="1:8">
      <c r="A1" s="1">
        <f>SUM(B1:AZ1)</f>
        <v>12.8333333333333</v>
      </c>
      <c r="B1" s="1">
        <f t="shared" ref="B1:H1" si="0">COUNTA(B2:B2046)/COLUMN()</f>
        <v>0.5</v>
      </c>
      <c r="C1" s="1">
        <f t="shared" si="0"/>
        <v>2.33333333333333</v>
      </c>
      <c r="D1" s="1">
        <f t="shared" si="0"/>
        <v>10</v>
      </c>
      <c r="E1" s="1">
        <f t="shared" si="0"/>
        <v>0</v>
      </c>
      <c r="F1" s="1">
        <f t="shared" si="0"/>
        <v>0</v>
      </c>
      <c r="G1" s="1">
        <f t="shared" si="0"/>
        <v>0</v>
      </c>
      <c r="H1" s="1">
        <f t="shared" si="0"/>
        <v>0</v>
      </c>
    </row>
    <row r="2" spans="1:8">
      <c r="A2" t="str" cm="1">
        <f ca="1" t="array" ref="A2">_wpsfn.SHEETSNAME(A1)</f>
        <v>20250620</v>
      </c>
      <c r="B2" t="s">
        <v>1976</v>
      </c>
    </row>
    <row r="3" spans="1:8">
      <c r="C3" t="s">
        <v>1922</v>
      </c>
    </row>
    <row r="4" spans="1:8">
      <c r="C4" t="s">
        <v>1977</v>
      </c>
    </row>
    <row r="5" spans="1:8">
      <c r="D5" t="s">
        <v>1978</v>
      </c>
    </row>
    <row r="6" spans="1:8">
      <c r="D6" t="s">
        <v>1979</v>
      </c>
    </row>
    <row r="7" spans="1:8">
      <c r="D7" t="s">
        <v>1980</v>
      </c>
    </row>
    <row r="8" spans="1:8">
      <c r="D8" t="s">
        <v>1981</v>
      </c>
    </row>
    <row r="9" spans="1:8">
      <c r="D9" t="s">
        <v>1982</v>
      </c>
    </row>
    <row r="10" spans="1:8">
      <c r="D10" t="s">
        <v>1983</v>
      </c>
    </row>
    <row r="11" spans="1:8">
      <c r="C11" t="s">
        <v>1984</v>
      </c>
    </row>
    <row r="12" spans="1:8">
      <c r="D12" t="s">
        <v>1985</v>
      </c>
    </row>
    <row r="13" spans="1:8">
      <c r="D13" t="s">
        <v>1986</v>
      </c>
    </row>
    <row r="14" spans="1:8">
      <c r="D14" t="s">
        <v>1987</v>
      </c>
    </row>
    <row r="15" spans="1:8">
      <c r="D15" t="s">
        <v>1988</v>
      </c>
    </row>
    <row r="16" spans="1:8">
      <c r="D16" t="s">
        <v>1989</v>
      </c>
    </row>
    <row r="17" spans="3:4">
      <c r="D17" t="s">
        <v>1983</v>
      </c>
    </row>
    <row r="18" spans="3:4">
      <c r="C18" t="s">
        <v>1990</v>
      </c>
    </row>
    <row r="19" spans="3:4">
      <c r="D19" t="s">
        <v>1991</v>
      </c>
    </row>
    <row r="20" spans="3:4">
      <c r="D20" t="s">
        <v>1992</v>
      </c>
    </row>
    <row r="21" spans="3:4">
      <c r="D21" t="s">
        <v>1993</v>
      </c>
    </row>
    <row r="22" spans="3:4">
      <c r="D22" t="s">
        <v>1994</v>
      </c>
    </row>
    <row r="23" spans="3:4">
      <c r="D23" t="s">
        <v>1995</v>
      </c>
    </row>
    <row r="24" spans="3:4">
      <c r="D24" t="s">
        <v>1996</v>
      </c>
    </row>
    <row r="25" spans="3:4">
      <c r="D25" t="s">
        <v>1997</v>
      </c>
    </row>
    <row r="26" spans="3:4">
      <c r="D26" t="s">
        <v>1998</v>
      </c>
    </row>
    <row r="27" spans="3:4">
      <c r="C27" t="s">
        <v>1999</v>
      </c>
    </row>
    <row r="28" spans="3:4">
      <c r="D28" t="s">
        <v>2000</v>
      </c>
    </row>
    <row r="29" spans="3:4">
      <c r="D29" t="s">
        <v>2001</v>
      </c>
    </row>
    <row r="30" spans="3:4">
      <c r="D30" t="s">
        <v>2002</v>
      </c>
    </row>
    <row r="31" spans="3:4">
      <c r="D31" t="s">
        <v>2003</v>
      </c>
    </row>
    <row r="32" spans="3:4">
      <c r="D32" t="s">
        <v>2004</v>
      </c>
    </row>
    <row r="33" spans="3:4">
      <c r="D33" t="s">
        <v>2005</v>
      </c>
    </row>
    <row r="34" spans="3:4">
      <c r="C34" t="s">
        <v>2006</v>
      </c>
    </row>
    <row r="35" spans="3:4">
      <c r="D35" t="s">
        <v>2000</v>
      </c>
    </row>
    <row r="36" spans="3:4">
      <c r="D36" t="s">
        <v>2007</v>
      </c>
    </row>
    <row r="37" spans="3:4">
      <c r="D37" t="s">
        <v>2008</v>
      </c>
    </row>
    <row r="38" spans="3:4">
      <c r="D38" t="s">
        <v>2003</v>
      </c>
    </row>
    <row r="39" spans="3:4">
      <c r="D39" t="s">
        <v>2009</v>
      </c>
    </row>
    <row r="40" spans="3:4">
      <c r="D40" t="s">
        <v>2010</v>
      </c>
    </row>
    <row r="41" spans="3:4">
      <c r="C41" t="s">
        <v>2011</v>
      </c>
    </row>
    <row r="42" spans="3:4">
      <c r="D42" t="s">
        <v>2012</v>
      </c>
    </row>
    <row r="43" spans="3:4">
      <c r="D43" t="s">
        <v>2013</v>
      </c>
    </row>
    <row r="44" spans="3:4">
      <c r="D44" t="s">
        <v>2014</v>
      </c>
    </row>
    <row r="45" spans="3:4">
      <c r="D45" t="s">
        <v>2015</v>
      </c>
    </row>
    <row r="46" spans="3:4">
      <c r="D46" t="s">
        <v>2016</v>
      </c>
    </row>
    <row r="47" spans="3:4">
      <c r="D47" t="s">
        <v>2017</v>
      </c>
    </row>
    <row r="48" spans="3:4">
      <c r="D48" t="s">
        <v>2018</v>
      </c>
    </row>
    <row r="49" spans="4:4">
      <c r="D49" t="s">
        <v>2019</v>
      </c>
    </row>
  </sheetData>
  <pageMargins left="0.75" right="0.75" top="1" bottom="1" header="0.5" footer="0.5"/>
  <pageSetup paperSize="9" orientation="portrait"/>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workbookViewId="0">
      <selection activeCell="B11" sqref="B11"/>
    </sheetView>
  </sheetViews>
  <sheetFormatPr defaultColWidth="8.88888888888889" defaultRowHeight="14.4" outlineLevelCol="7"/>
  <cols>
    <col min="1" max="1" width="9.66666666666667"/>
  </cols>
  <sheetData>
    <row r="1" spans="1:8">
      <c r="A1" s="1">
        <f>SUM(B1:AZ1)</f>
        <v>6.33333333333333</v>
      </c>
      <c r="B1" s="1">
        <f t="shared" ref="B1:H1" si="0">COUNTA(B2:B2046)/COLUMN()</f>
        <v>4</v>
      </c>
      <c r="C1" s="1">
        <f t="shared" si="0"/>
        <v>2.33333333333333</v>
      </c>
      <c r="D1" s="1">
        <f t="shared" si="0"/>
        <v>0</v>
      </c>
      <c r="E1" s="1">
        <f t="shared" si="0"/>
        <v>0</v>
      </c>
      <c r="F1" s="1">
        <f t="shared" si="0"/>
        <v>0</v>
      </c>
      <c r="G1" s="1">
        <f t="shared" si="0"/>
        <v>0</v>
      </c>
      <c r="H1" s="1">
        <f t="shared" si="0"/>
        <v>0</v>
      </c>
    </row>
    <row r="2" spans="1:8">
      <c r="A2" t="str" cm="1">
        <f ca="1" t="array" ref="A2">_wpsfn.SHEETSNAME(A1)</f>
        <v>20250621</v>
      </c>
      <c r="B2" t="s">
        <v>2020</v>
      </c>
    </row>
    <row r="3" spans="1:8">
      <c r="B3" t="s">
        <v>2021</v>
      </c>
    </row>
    <row r="4" spans="1:8">
      <c r="C4" t="s">
        <v>2022</v>
      </c>
    </row>
    <row r="5" spans="1:8">
      <c r="C5" t="s">
        <v>2023</v>
      </c>
    </row>
    <row r="6" spans="1:8">
      <c r="B6" t="s">
        <v>2024</v>
      </c>
    </row>
    <row r="7" spans="1:8">
      <c r="C7" t="s">
        <v>2025</v>
      </c>
    </row>
    <row r="8" spans="1:8">
      <c r="C8" t="s">
        <v>2026</v>
      </c>
    </row>
    <row r="9" spans="1:8">
      <c r="B9" t="s">
        <v>2027</v>
      </c>
    </row>
    <row r="10" spans="1:8">
      <c r="B10" t="s">
        <v>2028</v>
      </c>
    </row>
    <row r="11" spans="1:8">
      <c r="B11" t="s">
        <v>2029</v>
      </c>
    </row>
    <row r="12" spans="1:8">
      <c r="C12" t="s">
        <v>2030</v>
      </c>
    </row>
    <row r="13" spans="1:8">
      <c r="B13" t="s">
        <v>2031</v>
      </c>
    </row>
    <row r="14" spans="1:8">
      <c r="B14" t="s">
        <v>2032</v>
      </c>
    </row>
    <row r="15" spans="1:8">
      <c r="C15" t="s">
        <v>2033</v>
      </c>
    </row>
    <row r="16" spans="1:8">
      <c r="C16" t="s">
        <v>2034</v>
      </c>
    </row>
  </sheetData>
  <pageMargins left="0.75" right="0.75" top="1" bottom="1" header="0.5" footer="0.5"/>
  <pageSetup paperSize="9" orientation="portrait"/>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4"/>
  <sheetViews>
    <sheetView zoomScale="130" zoomScaleNormal="130" topLeftCell="A15" workbookViewId="0">
      <selection activeCell="B34" sqref="B34"/>
    </sheetView>
  </sheetViews>
  <sheetFormatPr defaultColWidth="8.88888888888889" defaultRowHeight="14.4" outlineLevelCol="7"/>
  <cols>
    <col min="1" max="1" width="9.66666666666667"/>
  </cols>
  <sheetData>
    <row r="1" spans="1:8">
      <c r="A1" s="1">
        <f>SUM(B1:AZ1)</f>
        <v>9.58333333333333</v>
      </c>
      <c r="B1" s="1">
        <f t="shared" ref="B1:H1" si="0">COUNTA(B2:B2046)/COLUMN()</f>
        <v>1.5</v>
      </c>
      <c r="C1" s="1">
        <f t="shared" si="0"/>
        <v>3.33333333333333</v>
      </c>
      <c r="D1" s="1">
        <f t="shared" si="0"/>
        <v>3.75</v>
      </c>
      <c r="E1" s="1">
        <f t="shared" si="0"/>
        <v>1</v>
      </c>
      <c r="F1" s="1">
        <f t="shared" si="0"/>
        <v>0</v>
      </c>
      <c r="G1" s="1">
        <f t="shared" si="0"/>
        <v>0</v>
      </c>
      <c r="H1" s="1">
        <f t="shared" si="0"/>
        <v>0</v>
      </c>
    </row>
    <row r="2" spans="1:8">
      <c r="A2" t="str" cm="1">
        <f ca="1" t="array" ref="A2">_wpsfn.SHEETSNAME(A1)</f>
        <v>20250622</v>
      </c>
      <c r="B2" t="s">
        <v>2035</v>
      </c>
    </row>
    <row r="3" spans="1:8">
      <c r="C3" t="s">
        <v>2036</v>
      </c>
    </row>
    <row r="4" spans="1:8">
      <c r="D4" t="s">
        <v>2037</v>
      </c>
    </row>
    <row r="5" spans="1:8">
      <c r="D5" t="s">
        <v>2038</v>
      </c>
    </row>
    <row r="6" spans="1:8">
      <c r="D6" t="s">
        <v>2039</v>
      </c>
    </row>
    <row r="7" spans="1:8">
      <c r="C7" t="s">
        <v>2040</v>
      </c>
    </row>
    <row r="8" spans="1:8">
      <c r="D8" t="s">
        <v>2041</v>
      </c>
    </row>
    <row r="9" spans="1:8">
      <c r="D9" t="s">
        <v>2042</v>
      </c>
    </row>
    <row r="10" spans="1:8">
      <c r="C10" t="s">
        <v>2043</v>
      </c>
    </row>
    <row r="11" spans="1:8">
      <c r="D11" t="s">
        <v>2044</v>
      </c>
    </row>
    <row r="12" spans="1:8">
      <c r="C12" t="s">
        <v>2045</v>
      </c>
    </row>
    <row r="13" spans="1:8">
      <c r="D13" t="s">
        <v>2046</v>
      </c>
    </row>
    <row r="14" spans="1:8">
      <c r="D14" t="s">
        <v>2047</v>
      </c>
    </row>
    <row r="15" spans="1:8">
      <c r="E15" t="s">
        <v>2048</v>
      </c>
    </row>
    <row r="16" spans="1:8">
      <c r="E16" t="s">
        <v>2049</v>
      </c>
    </row>
    <row r="17" spans="2:5">
      <c r="E17" t="s">
        <v>2050</v>
      </c>
    </row>
    <row r="18" spans="2:5">
      <c r="E18" t="s">
        <v>2051</v>
      </c>
    </row>
    <row r="19" spans="2:5">
      <c r="E19" t="s">
        <v>2052</v>
      </c>
    </row>
    <row r="20" spans="2:5">
      <c r="D20" t="s">
        <v>2053</v>
      </c>
    </row>
    <row r="21" spans="2:5">
      <c r="D21" t="s">
        <v>2054</v>
      </c>
    </row>
    <row r="22" spans="2:5">
      <c r="D22" t="s">
        <v>2055</v>
      </c>
    </row>
    <row r="23" spans="2:5">
      <c r="C23" t="s">
        <v>2056</v>
      </c>
    </row>
    <row r="24" spans="2:5">
      <c r="D24" t="s">
        <v>2057</v>
      </c>
    </row>
    <row r="25" spans="2:5">
      <c r="D25" t="s">
        <v>2058</v>
      </c>
    </row>
    <row r="26" spans="2:5">
      <c r="D26" t="s">
        <v>2059</v>
      </c>
    </row>
    <row r="27" spans="2:5">
      <c r="C27" t="s">
        <v>2060</v>
      </c>
    </row>
    <row r="28" spans="2:5">
      <c r="B28" t="s">
        <v>2061</v>
      </c>
    </row>
    <row r="29" spans="2:5">
      <c r="C29" t="s">
        <v>2062</v>
      </c>
    </row>
    <row r="30" spans="2:5">
      <c r="C30" t="s">
        <v>2063</v>
      </c>
    </row>
    <row r="31" spans="2:5">
      <c r="C31" t="s">
        <v>2064</v>
      </c>
    </row>
    <row r="32" spans="2:5">
      <c r="C32" t="s">
        <v>2065</v>
      </c>
    </row>
    <row r="33" spans="2:4">
      <c r="D33" t="s">
        <v>2066</v>
      </c>
    </row>
    <row r="34" spans="2:4">
      <c r="B34" t="s">
        <v>2067</v>
      </c>
    </row>
  </sheetData>
  <pageMargins left="0.75" right="0.75" top="1" bottom="1" header="0.5" footer="0.5"/>
  <pageSetup paperSize="9" orientation="portrait"/>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30" zoomScaleNormal="130" workbookViewId="0">
      <selection activeCell="B2" sqref="B2"/>
    </sheetView>
  </sheetViews>
  <sheetFormatPr defaultColWidth="8.88888888888889" defaultRowHeight="14.4" outlineLevelRow="1" outlineLevelCol="7"/>
  <cols>
    <col min="1" max="1" width="9.66666666666667"/>
  </cols>
  <sheetData>
    <row r="1" spans="1:8">
      <c r="A1" s="1">
        <f>SUM(B1:AZ1)</f>
        <v>0.5</v>
      </c>
      <c r="B1" s="1">
        <f t="shared" ref="B1:H1" si="0">COUNTA(B2:B2046)/COLUMN()</f>
        <v>0.5</v>
      </c>
      <c r="C1" s="1">
        <f t="shared" si="0"/>
        <v>0</v>
      </c>
      <c r="D1" s="1">
        <f t="shared" si="0"/>
        <v>0</v>
      </c>
      <c r="E1" s="1">
        <f t="shared" si="0"/>
        <v>0</v>
      </c>
      <c r="F1" s="1">
        <f t="shared" si="0"/>
        <v>0</v>
      </c>
      <c r="G1" s="1">
        <f t="shared" si="0"/>
        <v>0</v>
      </c>
      <c r="H1" s="1">
        <f t="shared" si="0"/>
        <v>0</v>
      </c>
    </row>
    <row r="2" spans="1:8">
      <c r="A2" t="str" cm="1">
        <f ca="1" t="array" ref="A2">_wpsfn.SHEETSNAME(A1)</f>
        <v>20250623</v>
      </c>
      <c r="B2" t="s">
        <v>2068</v>
      </c>
    </row>
  </sheetData>
  <pageMargins left="0.75" right="0.75" top="1" bottom="1" header="0.5" footer="0.5"/>
  <pageSetup paperSize="9" orientation="portrait"/>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30" zoomScaleNormal="130" workbookViewId="0">
      <selection activeCell="H3" sqref="H3"/>
    </sheetView>
  </sheetViews>
  <sheetFormatPr defaultColWidth="8.88888888888889" defaultRowHeight="14.4" outlineLevelCol="7"/>
  <cols>
    <col min="1" max="1" width="9.66666666666667"/>
  </cols>
  <sheetData>
    <row r="1" spans="1:8">
      <c r="A1" s="1">
        <f>SUM(B1:AZ1)</f>
        <v>5.4</v>
      </c>
      <c r="B1" s="1">
        <f t="shared" ref="B1:H1" si="0">COUNTA(B2:B2046)/COLUMN()</f>
        <v>3</v>
      </c>
      <c r="C1" s="1">
        <f t="shared" si="0"/>
        <v>1</v>
      </c>
      <c r="D1" s="1">
        <f t="shared" si="0"/>
        <v>1</v>
      </c>
      <c r="E1" s="1">
        <f t="shared" si="0"/>
        <v>0.4</v>
      </c>
      <c r="F1" s="1">
        <f t="shared" si="0"/>
        <v>0</v>
      </c>
      <c r="G1" s="1">
        <f t="shared" si="0"/>
        <v>0</v>
      </c>
      <c r="H1" s="1">
        <f t="shared" si="0"/>
        <v>0</v>
      </c>
    </row>
    <row r="2" spans="1:8">
      <c r="A2" t="str" cm="1">
        <f ca="1" t="array" ref="A2">_wpsfn.SHEETSNAME(A1)</f>
        <v>20250624</v>
      </c>
      <c r="B2" t="s">
        <v>2069</v>
      </c>
    </row>
    <row r="3" spans="1:8">
      <c r="B3" t="s">
        <v>2070</v>
      </c>
    </row>
    <row r="4" spans="1:8">
      <c r="B4" t="s">
        <v>2071</v>
      </c>
    </row>
    <row r="5" spans="1:8">
      <c r="B5" t="s">
        <v>2072</v>
      </c>
    </row>
    <row r="6" spans="1:8">
      <c r="B6" t="s">
        <v>2073</v>
      </c>
    </row>
    <row r="7" spans="1:8">
      <c r="B7" t="s">
        <v>2074</v>
      </c>
    </row>
    <row r="8" spans="1:8">
      <c r="C8" t="s">
        <v>2075</v>
      </c>
    </row>
    <row r="9" spans="1:8">
      <c r="D9" t="s">
        <v>2076</v>
      </c>
    </row>
    <row r="10" spans="1:8">
      <c r="D10" t="s">
        <v>2077</v>
      </c>
    </row>
    <row r="11" spans="1:8">
      <c r="C11" t="s">
        <v>2078</v>
      </c>
    </row>
    <row r="12" spans="1:8">
      <c r="D12" t="s">
        <v>2079</v>
      </c>
    </row>
    <row r="13" spans="1:8">
      <c r="C13" t="s">
        <v>2080</v>
      </c>
    </row>
    <row r="14" spans="1:8">
      <c r="D14" t="s">
        <v>2081</v>
      </c>
    </row>
    <row r="15" spans="1:8">
      <c r="E15" t="s">
        <v>2082</v>
      </c>
    </row>
    <row r="16" spans="1:8">
      <c r="E16" t="s">
        <v>2083</v>
      </c>
    </row>
  </sheetData>
  <pageMargins left="0.75" right="0.75" top="1" bottom="1" header="0.5" footer="0.5"/>
  <pageSetup paperSize="9" orientation="portrait"/>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0"/>
  <sheetViews>
    <sheetView zoomScale="130" zoomScaleNormal="130" workbookViewId="0">
      <selection activeCell="C9" sqref="C9"/>
    </sheetView>
  </sheetViews>
  <sheetFormatPr defaultColWidth="8.88888888888889" defaultRowHeight="14.4" outlineLevelCol="7"/>
  <cols>
    <col min="1" max="1" width="9.66666666666667"/>
  </cols>
  <sheetData>
    <row r="1" spans="1:8">
      <c r="A1" s="1">
        <f>SUM(B1:AZ1)</f>
        <v>3.33333333333333</v>
      </c>
      <c r="B1" s="1">
        <f t="shared" ref="B1:H1" si="0">COUNTA(B2:B2047)/COLUMN()</f>
        <v>1</v>
      </c>
      <c r="C1" s="1">
        <f t="shared" si="0"/>
        <v>2.33333333333333</v>
      </c>
      <c r="D1" s="1">
        <f t="shared" si="0"/>
        <v>0</v>
      </c>
      <c r="E1" s="1">
        <f t="shared" si="0"/>
        <v>0</v>
      </c>
      <c r="F1" s="1">
        <f t="shared" si="0"/>
        <v>0</v>
      </c>
      <c r="G1" s="1">
        <f t="shared" si="0"/>
        <v>0</v>
      </c>
      <c r="H1" s="1">
        <f t="shared" si="0"/>
        <v>0</v>
      </c>
    </row>
    <row r="2" spans="1:8">
      <c r="A2" t="str" cm="1">
        <f ca="1" t="array" ref="A2">_wpsfn.SHEETSNAME(A1)</f>
        <v>20250625</v>
      </c>
      <c r="B2" t="s">
        <v>2084</v>
      </c>
    </row>
    <row r="3" spans="1:8">
      <c r="C3" t="s">
        <v>2085</v>
      </c>
    </row>
    <row r="4" spans="1:8">
      <c r="C4" t="s">
        <v>2086</v>
      </c>
    </row>
    <row r="5" spans="1:8">
      <c r="C5" t="s">
        <v>2087</v>
      </c>
    </row>
    <row r="6" spans="1:8">
      <c r="C6" t="s">
        <v>2088</v>
      </c>
    </row>
    <row r="7" spans="1:8">
      <c r="C7" t="s">
        <v>2089</v>
      </c>
    </row>
    <row r="8" spans="1:8">
      <c r="B8" t="s">
        <v>2090</v>
      </c>
    </row>
    <row r="9" spans="1:8">
      <c r="C9" t="s">
        <v>2091</v>
      </c>
    </row>
    <row r="10" spans="1:8">
      <c r="C10" t="s">
        <v>2092</v>
      </c>
    </row>
  </sheetData>
  <pageMargins left="0.75" right="0.75" top="1" bottom="1" header="0.5" footer="0.5"/>
  <pageSetup paperSize="9" orientation="portrait"/>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30" zoomScaleNormal="130" workbookViewId="0">
      <selection activeCell="C4" sqref="C4"/>
    </sheetView>
  </sheetViews>
  <sheetFormatPr defaultColWidth="8.88888888888889" defaultRowHeight="14.4" outlineLevelRow="4" outlineLevelCol="7"/>
  <cols>
    <col min="1" max="1" width="9.66666666666667"/>
  </cols>
  <sheetData>
    <row r="1" spans="1:8">
      <c r="A1" s="1">
        <f>SUM(B1:AZ1)</f>
        <v>1.66666666666667</v>
      </c>
      <c r="B1" s="1">
        <f t="shared" ref="B1:H1" si="0">COUNTA(B2:B2047)/COLUMN()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20250626</v>
      </c>
      <c r="B2" t="s">
        <v>2093</v>
      </c>
    </row>
    <row r="3" spans="1:8">
      <c r="C3" t="s">
        <v>2094</v>
      </c>
    </row>
    <row r="4" spans="1:8">
      <c r="B4" t="s">
        <v>2095</v>
      </c>
    </row>
    <row r="5" spans="1:8">
      <c r="C5" t="s">
        <v>2096</v>
      </c>
    </row>
  </sheetData>
  <pageMargins left="0.75" right="0.75" top="1" bottom="1" header="0.5" footer="0.5"/>
  <pageSetup paperSize="9" orientation="portrait"/>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30" zoomScaleNormal="130" workbookViewId="0">
      <selection activeCell="I14" sqref="I14"/>
    </sheetView>
  </sheetViews>
  <sheetFormatPr defaultColWidth="8.88888888888889" defaultRowHeight="14.4" outlineLevelRow="5" outlineLevelCol="7"/>
  <cols>
    <col min="1" max="1" width="9.66666666666667"/>
  </cols>
  <sheetData>
    <row r="1" spans="1:8">
      <c r="A1" s="1">
        <f>SUM(B1:AZ1)</f>
        <v>1.66666666666667</v>
      </c>
      <c r="B1" s="1">
        <f t="shared" ref="B1:H1" si="0">COUNTA(B2:B2047)/COLUMN()</f>
        <v>0.5</v>
      </c>
      <c r="C1" s="1">
        <f t="shared" si="0"/>
        <v>0.666666666666667</v>
      </c>
      <c r="D1" s="1">
        <f t="shared" si="0"/>
        <v>0.5</v>
      </c>
      <c r="E1" s="1">
        <f t="shared" si="0"/>
        <v>0</v>
      </c>
      <c r="F1" s="1">
        <f t="shared" si="0"/>
        <v>0</v>
      </c>
      <c r="G1" s="1">
        <f t="shared" si="0"/>
        <v>0</v>
      </c>
      <c r="H1" s="1">
        <f t="shared" si="0"/>
        <v>0</v>
      </c>
    </row>
    <row r="2" spans="1:8">
      <c r="A2" t="str" cm="1">
        <f ca="1" t="array" ref="A2">_wpsfn.SHEETSNAME(A1)</f>
        <v>20250627</v>
      </c>
      <c r="B2" t="s">
        <v>2097</v>
      </c>
    </row>
    <row r="3" spans="1:8">
      <c r="C3" t="s">
        <v>2098</v>
      </c>
    </row>
    <row r="4" spans="1:8">
      <c r="D4" t="s">
        <v>2099</v>
      </c>
    </row>
    <row r="5" spans="1:8">
      <c r="D5" t="s">
        <v>2100</v>
      </c>
    </row>
    <row r="6" spans="1:8">
      <c r="C6" t="s">
        <v>2101</v>
      </c>
    </row>
  </sheetData>
  <pageMargins left="0.75" right="0.75" top="1" bottom="1" header="0.5" footer="0.5"/>
  <pageSetup paperSize="9" orientation="portrait"/>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30" zoomScaleNormal="130" workbookViewId="0">
      <selection activeCell="C3" sqref="C3"/>
    </sheetView>
  </sheetViews>
  <sheetFormatPr defaultColWidth="8.88888888888889" defaultRowHeight="14.4" outlineLevelCol="7"/>
  <cols>
    <col min="1" max="1" width="9.66666666666667"/>
  </cols>
  <sheetData>
    <row r="1" spans="1:8">
      <c r="A1" s="1">
        <f>SUM(B1:AZ1)</f>
        <v>3.83333333333333</v>
      </c>
      <c r="B1" s="1">
        <f t="shared" ref="B1:H1" si="0">COUNTA(B2:B2047)/COLUMN()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20250629</v>
      </c>
      <c r="B2" t="s">
        <v>2102</v>
      </c>
    </row>
    <row r="3" spans="1:8">
      <c r="C3" t="s">
        <v>2103</v>
      </c>
    </row>
    <row r="4" spans="1:8">
      <c r="B4" t="s">
        <v>2104</v>
      </c>
    </row>
    <row r="5" spans="1:8">
      <c r="C5" t="s">
        <v>2105</v>
      </c>
    </row>
    <row r="6" spans="1:8">
      <c r="C6" t="s">
        <v>2106</v>
      </c>
    </row>
    <row r="7" spans="1:8">
      <c r="C7" t="s">
        <v>2107</v>
      </c>
    </row>
    <row r="8" spans="1:8">
      <c r="C8" t="s">
        <v>2108</v>
      </c>
    </row>
    <row r="9" spans="1:8">
      <c r="B9" t="s">
        <v>2109</v>
      </c>
    </row>
    <row r="10" spans="1:8">
      <c r="C10" t="s">
        <v>2110</v>
      </c>
    </row>
    <row r="11" spans="1:8">
      <c r="C11" t="s">
        <v>2111</v>
      </c>
    </row>
  </sheetData>
  <pageMargins left="0.75" right="0.75" top="1" bottom="1" header="0.5" footer="0.5"/>
  <pageSetup paperSize="9" orientation="portrait"/>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8"/>
  <sheetViews>
    <sheetView zoomScale="130" zoomScaleNormal="130" workbookViewId="0">
      <selection activeCell="G2" sqref="G2"/>
    </sheetView>
  </sheetViews>
  <sheetFormatPr defaultColWidth="8.88888888888889" defaultRowHeight="14.4" outlineLevelRow="7" outlineLevelCol="7"/>
  <cols>
    <col min="1" max="1" width="9.66666666666667"/>
  </cols>
  <sheetData>
    <row r="1" spans="1:8">
      <c r="A1" s="1">
        <f>SUM(B1:AZ1)</f>
        <v>2.83333333333333</v>
      </c>
      <c r="B1" s="1">
        <f t="shared" ref="B1:H1" si="0">COUNTA(B2:B2047)/COLUMN()</f>
        <v>2</v>
      </c>
      <c r="C1" s="1">
        <f t="shared" si="0"/>
        <v>0.333333333333333</v>
      </c>
      <c r="D1" s="1">
        <f t="shared" si="0"/>
        <v>0.5</v>
      </c>
      <c r="E1" s="1">
        <f t="shared" si="0"/>
        <v>0</v>
      </c>
      <c r="F1" s="1">
        <f t="shared" si="0"/>
        <v>0</v>
      </c>
      <c r="G1" s="1">
        <f t="shared" si="0"/>
        <v>0</v>
      </c>
      <c r="H1" s="1">
        <f t="shared" si="0"/>
        <v>0</v>
      </c>
    </row>
    <row r="2" spans="1:8">
      <c r="A2" t="str" cm="1">
        <f ca="1" t="array" ref="A2">_wpsfn.SHEETSNAME(A1)</f>
        <v>20250630</v>
      </c>
      <c r="B2" t="s">
        <v>2112</v>
      </c>
    </row>
    <row r="3" spans="1:8">
      <c r="B3" t="s">
        <v>2113</v>
      </c>
    </row>
    <row r="4" spans="1:8">
      <c r="B4" t="s">
        <v>2114</v>
      </c>
    </row>
    <row r="5" spans="1:8">
      <c r="C5" t="s">
        <v>2115</v>
      </c>
    </row>
    <row r="6" spans="1:8">
      <c r="D6" t="s">
        <v>2116</v>
      </c>
    </row>
    <row r="7" spans="1:8">
      <c r="D7" t="s">
        <v>2117</v>
      </c>
    </row>
    <row r="8" spans="1:8">
      <c r="B8" t="s">
        <v>2118</v>
      </c>
    </row>
  </sheetData>
  <pageMargins left="0.75" right="0.75" top="1" bottom="1" header="0.5" footer="0.5"/>
  <pageSetup paperSize="9" orientation="portrait"/>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30" zoomScaleNormal="130" workbookViewId="0">
      <selection activeCell="K9" sqref="K9"/>
    </sheetView>
  </sheetViews>
  <sheetFormatPr defaultColWidth="8.88888888888889" defaultRowHeight="14.4" outlineLevelCol="7"/>
  <cols>
    <col min="1" max="1" width="9.66666666666667"/>
  </cols>
  <sheetData>
    <row r="1" spans="1:8">
      <c r="A1" s="1">
        <f>SUM(B1:AZ1)</f>
        <v>3.16666666666667</v>
      </c>
      <c r="B1" s="1">
        <f t="shared" ref="B1:H1" si="0">COUNTA(B2:B2048)/COLUMN()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20250701</v>
      </c>
      <c r="B2" t="s">
        <v>2119</v>
      </c>
    </row>
    <row r="3" spans="1:8">
      <c r="C3" t="s">
        <v>2120</v>
      </c>
    </row>
    <row r="4" spans="1:8">
      <c r="C4" t="s">
        <v>2121</v>
      </c>
    </row>
    <row r="5" spans="1:8">
      <c r="C5" t="s">
        <v>2122</v>
      </c>
    </row>
    <row r="6" spans="1:8">
      <c r="B6" t="s">
        <v>2123</v>
      </c>
    </row>
    <row r="7" spans="1:8">
      <c r="C7" t="s">
        <v>2124</v>
      </c>
    </row>
    <row r="8" spans="1:8">
      <c r="C8" t="s">
        <v>2125</v>
      </c>
    </row>
    <row r="9" spans="1:8">
      <c r="B9" t="s">
        <v>2126</v>
      </c>
    </row>
  </sheetData>
  <pageMargins left="0.75" right="0.75" top="1" bottom="1" header="0.5" footer="0.5"/>
  <pageSetup paperSize="9" orientation="portrait"/>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30" zoomScaleNormal="130" workbookViewId="0">
      <selection activeCell="P7" sqref="P7"/>
    </sheetView>
  </sheetViews>
  <sheetFormatPr defaultColWidth="8.88888888888889" defaultRowHeight="14.4" outlineLevelCol="7"/>
  <cols>
    <col min="1" max="1" width="9.66666666666667"/>
  </cols>
  <sheetData>
    <row r="1" spans="1:8">
      <c r="A1" s="1">
        <f>SUM(B1:AZ1)</f>
        <v>5.66666666666667</v>
      </c>
      <c r="B1" s="1">
        <f t="shared" ref="B1:H1" si="0">COUNTA(B2:B2048)/COLUMN()</f>
        <v>3</v>
      </c>
      <c r="C1" s="1">
        <f t="shared" si="0"/>
        <v>2.66666666666667</v>
      </c>
      <c r="D1" s="1">
        <f t="shared" si="0"/>
        <v>0</v>
      </c>
      <c r="E1" s="1">
        <f t="shared" si="0"/>
        <v>0</v>
      </c>
      <c r="F1" s="1">
        <f t="shared" si="0"/>
        <v>0</v>
      </c>
      <c r="G1" s="1">
        <f t="shared" si="0"/>
        <v>0</v>
      </c>
      <c r="H1" s="1">
        <f t="shared" si="0"/>
        <v>0</v>
      </c>
    </row>
    <row r="2" spans="1:8">
      <c r="A2" t="str" cm="1">
        <f ca="1" t="array" ref="A2">_wpsfn.SHEETSNAME(A1)</f>
        <v>20250702</v>
      </c>
      <c r="B2" t="s">
        <v>2127</v>
      </c>
    </row>
    <row r="3" spans="1:8">
      <c r="B3" t="s">
        <v>2128</v>
      </c>
    </row>
    <row r="4" spans="1:8">
      <c r="B4" t="s">
        <v>2129</v>
      </c>
    </row>
    <row r="5" spans="1:8">
      <c r="B5" t="s">
        <v>2130</v>
      </c>
    </row>
    <row r="6" spans="1:8">
      <c r="C6" t="s">
        <v>2131</v>
      </c>
    </row>
    <row r="7" spans="1:8">
      <c r="B7" t="s">
        <v>2132</v>
      </c>
    </row>
    <row r="8" spans="1:8">
      <c r="C8" t="s">
        <v>2133</v>
      </c>
    </row>
    <row r="9" spans="1:8">
      <c r="C9" t="s">
        <v>2134</v>
      </c>
    </row>
    <row r="10" spans="1:8">
      <c r="C10" t="s">
        <v>2135</v>
      </c>
    </row>
    <row r="11" spans="1:8">
      <c r="C11" t="s">
        <v>2136</v>
      </c>
    </row>
    <row r="12" spans="1:8">
      <c r="B12" t="s">
        <v>2137</v>
      </c>
    </row>
    <row r="13" spans="1:8">
      <c r="C13" t="s">
        <v>2138</v>
      </c>
    </row>
    <row r="14" spans="1:8">
      <c r="C14" t="s">
        <v>2139</v>
      </c>
    </row>
    <row r="15" spans="1:8">
      <c r="C15" t="s">
        <v>2140</v>
      </c>
    </row>
  </sheetData>
  <pageMargins left="0.75" right="0.75" top="1" bottom="1" header="0.5" footer="0.5"/>
  <pageSetup paperSize="9" orientation="portrait"/>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topLeftCell="A8" workbookViewId="0">
      <selection activeCell="B21" sqref="B21:H21"/>
    </sheetView>
  </sheetViews>
  <sheetFormatPr defaultColWidth="8.88888888888889" defaultRowHeight="14.4" outlineLevelCol="7"/>
  <cols>
    <col min="1" max="1" width="9.66666666666667"/>
  </cols>
  <sheetData>
    <row r="1" spans="1:8">
      <c r="A1" s="1">
        <f>SUM(B1:AZ1)</f>
        <v>8.83333333333333</v>
      </c>
      <c r="B1" s="1">
        <f t="shared" ref="B1:H1" si="0">COUNTA(B2:B2048)/COLUMN()</f>
        <v>6.5</v>
      </c>
      <c r="C1" s="1">
        <f t="shared" si="0"/>
        <v>2.33333333333333</v>
      </c>
      <c r="D1" s="1">
        <f t="shared" si="0"/>
        <v>0</v>
      </c>
      <c r="E1" s="1">
        <f t="shared" si="0"/>
        <v>0</v>
      </c>
      <c r="F1" s="1">
        <f t="shared" si="0"/>
        <v>0</v>
      </c>
      <c r="G1" s="1">
        <f t="shared" si="0"/>
        <v>0</v>
      </c>
      <c r="H1" s="1">
        <f t="shared" si="0"/>
        <v>0</v>
      </c>
    </row>
    <row r="2" spans="1:8">
      <c r="A2" t="str" cm="1">
        <f ca="1" t="array" ref="A2">_wpsfn.SHEETSNAME(A1)</f>
        <v>20250703</v>
      </c>
      <c r="B2" t="s">
        <v>2141</v>
      </c>
    </row>
    <row r="3" spans="1:8">
      <c r="C3" t="s">
        <v>2142</v>
      </c>
    </row>
    <row r="4" spans="1:8">
      <c r="C4" t="s">
        <v>2143</v>
      </c>
    </row>
    <row r="5" spans="1:8">
      <c r="C5" t="s">
        <v>2144</v>
      </c>
    </row>
    <row r="6" spans="1:8">
      <c r="B6" t="s">
        <v>2145</v>
      </c>
    </row>
    <row r="7" spans="1:8">
      <c r="B7" t="s">
        <v>2146</v>
      </c>
    </row>
    <row r="8" spans="1:8">
      <c r="B8" t="s">
        <v>2147</v>
      </c>
    </row>
    <row r="9" spans="1:8">
      <c r="B9" t="s">
        <v>2148</v>
      </c>
    </row>
    <row r="10" spans="1:8">
      <c r="B10" t="s">
        <v>2149</v>
      </c>
    </row>
    <row r="11" spans="1:8">
      <c r="B11" t="s">
        <v>2150</v>
      </c>
    </row>
    <row r="12" spans="1:8">
      <c r="C12" t="s">
        <v>2151</v>
      </c>
    </row>
    <row r="13" spans="1:8">
      <c r="B13" t="s">
        <v>2152</v>
      </c>
    </row>
    <row r="14" spans="1:8">
      <c r="B14" t="s">
        <v>2153</v>
      </c>
    </row>
    <row r="15" spans="1:8">
      <c r="B15" t="s">
        <v>2154</v>
      </c>
    </row>
    <row r="16" spans="1:8">
      <c r="C16" t="s">
        <v>2155</v>
      </c>
    </row>
    <row r="17" spans="2:3">
      <c r="B17" t="s">
        <v>2156</v>
      </c>
    </row>
    <row r="18" spans="2:3">
      <c r="C18" t="s">
        <v>2157</v>
      </c>
    </row>
    <row r="19" spans="2:3">
      <c r="C19" t="s">
        <v>2158</v>
      </c>
    </row>
    <row r="20" spans="2:3">
      <c r="B20" t="s">
        <v>2159</v>
      </c>
    </row>
    <row r="21" spans="2:3">
      <c r="B21" t="s">
        <v>2160</v>
      </c>
    </row>
  </sheetData>
  <pageMargins left="0.75" right="0.75" top="1" bottom="1" header="0.5" footer="0.5"/>
  <pageSetup paperSize="9" orientation="portrait"/>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4" sqref="B4"/>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20250708</v>
      </c>
      <c r="B2" t="s">
        <v>2161</v>
      </c>
    </row>
    <row r="3" spans="1:8">
      <c r="B3" t="s">
        <v>2162</v>
      </c>
    </row>
    <row r="4" spans="1:8">
      <c r="B4" t="s">
        <v>2163</v>
      </c>
    </row>
  </sheetData>
  <pageMargins left="0.75" right="0.75" top="1" bottom="1" header="0.5" footer="0.5"/>
  <pageSetup paperSize="9" orientation="portrait"/>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20250709</v>
      </c>
      <c r="B2" t="s">
        <v>2164</v>
      </c>
    </row>
    <row r="3" spans="1:8">
      <c r="B3" t="s">
        <v>2165</v>
      </c>
    </row>
    <row r="4" spans="1:8">
      <c r="B4" t="s">
        <v>2166</v>
      </c>
    </row>
  </sheetData>
  <pageMargins left="0.75" right="0.75" top="1" bottom="1" header="0.5" footer="0.5"/>
  <pageSetup paperSize="9" orientation="portrait"/>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4"/>
  <sheetViews>
    <sheetView zoomScale="160" zoomScaleNormal="160" topLeftCell="A9" workbookViewId="0">
      <selection activeCell="H18" sqref="H18"/>
    </sheetView>
  </sheetViews>
  <sheetFormatPr defaultColWidth="8.88888888888889" defaultRowHeight="14.4" outlineLevelCol="7"/>
  <cols>
    <col min="1" max="1" width="9.66666666666667"/>
  </cols>
  <sheetData>
    <row r="1" spans="1:8">
      <c r="A1" s="1">
        <f>SUM(B1:AZ1)</f>
        <v>8.33333333333333</v>
      </c>
      <c r="B1" s="1">
        <f t="shared" ref="B1:H1" si="0">COUNTA(B2:B2048)/COLUMN()</f>
        <v>3.5</v>
      </c>
      <c r="C1" s="1">
        <f t="shared" si="0"/>
        <v>3.33333333333333</v>
      </c>
      <c r="D1" s="1">
        <f t="shared" si="0"/>
        <v>1.5</v>
      </c>
      <c r="E1" s="1">
        <f t="shared" si="0"/>
        <v>0</v>
      </c>
      <c r="F1" s="1">
        <f t="shared" si="0"/>
        <v>0</v>
      </c>
      <c r="G1" s="1">
        <f t="shared" si="0"/>
        <v>0</v>
      </c>
      <c r="H1" s="1">
        <f t="shared" si="0"/>
        <v>0</v>
      </c>
    </row>
    <row r="2" spans="1:8">
      <c r="A2" t="str" cm="1">
        <f ca="1" t="array" ref="A2">_wpsfn.SHEETSNAME(A1)</f>
        <v>20250710</v>
      </c>
      <c r="B2" t="s">
        <v>2167</v>
      </c>
    </row>
    <row r="3" spans="1:8">
      <c r="C3" t="s">
        <v>2168</v>
      </c>
    </row>
    <row r="4" spans="1:8">
      <c r="D4" t="s">
        <v>2169</v>
      </c>
    </row>
    <row r="5" spans="1:8">
      <c r="D5" t="s">
        <v>2170</v>
      </c>
    </row>
    <row r="6" spans="1:8">
      <c r="D6" t="s">
        <v>2171</v>
      </c>
    </row>
    <row r="7" spans="1:8">
      <c r="C7" t="s">
        <v>2172</v>
      </c>
    </row>
    <row r="8" spans="1:8">
      <c r="D8" t="s">
        <v>2173</v>
      </c>
    </row>
    <row r="9" spans="1:8">
      <c r="D9" t="s">
        <v>2174</v>
      </c>
    </row>
    <row r="10" spans="1:8">
      <c r="D10" t="s">
        <v>2175</v>
      </c>
    </row>
    <row r="11" spans="1:8">
      <c r="B11" t="s">
        <v>2176</v>
      </c>
    </row>
    <row r="12" spans="1:8">
      <c r="C12" t="s">
        <v>2177</v>
      </c>
    </row>
    <row r="13" spans="1:8">
      <c r="C13" t="s">
        <v>2178</v>
      </c>
    </row>
    <row r="14" spans="1:8">
      <c r="C14" t="s">
        <v>2179</v>
      </c>
    </row>
    <row r="15" spans="1:8">
      <c r="C15" t="s">
        <v>2180</v>
      </c>
    </row>
    <row r="16" spans="1:8">
      <c r="B16" t="s">
        <v>2181</v>
      </c>
    </row>
    <row r="17" spans="2:3">
      <c r="B17" t="s">
        <v>2182</v>
      </c>
    </row>
    <row r="18" spans="2:3">
      <c r="C18" t="s">
        <v>2183</v>
      </c>
    </row>
    <row r="19" spans="2:3">
      <c r="C19" t="s">
        <v>2184</v>
      </c>
    </row>
    <row r="20" spans="2:3">
      <c r="B20" t="s">
        <v>2185</v>
      </c>
    </row>
    <row r="21" spans="2:3">
      <c r="C21" t="s">
        <v>2186</v>
      </c>
    </row>
    <row r="22" spans="2:3">
      <c r="C22" t="s">
        <v>2187</v>
      </c>
    </row>
    <row r="23" spans="2:3">
      <c r="B23" t="s">
        <v>2188</v>
      </c>
    </row>
    <row r="24" spans="2:3">
      <c r="B24" t="s">
        <v>2189</v>
      </c>
    </row>
  </sheetData>
  <pageMargins left="0.75" right="0.75" top="1" bottom="1" header="0.5" footer="0.5"/>
  <pageSetup paperSize="9" orientation="portrait"/>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B8" sqref="B8"/>
    </sheetView>
  </sheetViews>
  <sheetFormatPr defaultColWidth="8.88888888888889" defaultRowHeight="14.4" outlineLevelCol="7"/>
  <cols>
    <col min="1" max="1" width="9.66666666666667"/>
  </cols>
  <sheetData>
    <row r="1" spans="1:8">
      <c r="A1" s="1">
        <f>SUM(B1:AZ1)</f>
        <v>3.66666666666667</v>
      </c>
      <c r="B1" s="1">
        <f t="shared" ref="B1:H1" si="0">COUNTA(B2:B2049)/COLUMN()</f>
        <v>3</v>
      </c>
      <c r="C1" s="1">
        <f t="shared" si="0"/>
        <v>0.666666666666667</v>
      </c>
      <c r="D1" s="1">
        <f t="shared" si="0"/>
        <v>0</v>
      </c>
      <c r="E1" s="1">
        <f t="shared" si="0"/>
        <v>0</v>
      </c>
      <c r="F1" s="1">
        <f t="shared" si="0"/>
        <v>0</v>
      </c>
      <c r="G1" s="1">
        <f t="shared" si="0"/>
        <v>0</v>
      </c>
      <c r="H1" s="1">
        <f t="shared" si="0"/>
        <v>0</v>
      </c>
    </row>
    <row r="2" spans="1:8">
      <c r="A2" t="str" cm="1">
        <f ca="1" t="array" ref="A2">_wpsfn.SHEETSNAME(A1)</f>
        <v>20250711</v>
      </c>
      <c r="B2" t="s">
        <v>2190</v>
      </c>
    </row>
    <row r="3" spans="1:8">
      <c r="C3" t="s">
        <v>2191</v>
      </c>
    </row>
    <row r="4" spans="1:8">
      <c r="B4" t="s">
        <v>2192</v>
      </c>
    </row>
    <row r="5" spans="1:8">
      <c r="B5" t="s">
        <v>2193</v>
      </c>
    </row>
    <row r="6" spans="1:8">
      <c r="B6" t="s">
        <v>2194</v>
      </c>
    </row>
    <row r="7" spans="1:8">
      <c r="B7" t="s">
        <v>2195</v>
      </c>
    </row>
    <row r="8" spans="1:8">
      <c r="B8" t="s">
        <v>2196</v>
      </c>
    </row>
    <row r="9" spans="1:8">
      <c r="C9" t="s">
        <v>2197</v>
      </c>
    </row>
  </sheetData>
  <pageMargins left="0.75" right="0.75" top="1" bottom="1" header="0.5" footer="0.5"/>
  <pageSetup paperSize="9" orientation="portrait"/>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60" zoomScaleNormal="160" workbookViewId="0">
      <selection activeCell="J17" sqref="J17"/>
    </sheetView>
  </sheetViews>
  <sheetFormatPr defaultColWidth="8.88888888888889" defaultRowHeight="14.4" outlineLevelCol="7"/>
  <cols>
    <col min="1" max="1" width="9.66666666666667"/>
  </cols>
  <sheetData>
    <row r="1" spans="1:8">
      <c r="A1" s="1">
        <f>SUM(B1:AZ1)</f>
        <v>6.5</v>
      </c>
      <c r="B1" s="1">
        <f t="shared" ref="B1:H1" si="0">COUNTA(B2:B2049)/COLUMN()</f>
        <v>4.5</v>
      </c>
      <c r="C1" s="1">
        <f t="shared" si="0"/>
        <v>2</v>
      </c>
      <c r="D1" s="1">
        <f t="shared" si="0"/>
        <v>0</v>
      </c>
      <c r="E1" s="1">
        <f t="shared" si="0"/>
        <v>0</v>
      </c>
      <c r="F1" s="1">
        <f t="shared" si="0"/>
        <v>0</v>
      </c>
      <c r="G1" s="1">
        <f t="shared" si="0"/>
        <v>0</v>
      </c>
      <c r="H1" s="1">
        <f t="shared" si="0"/>
        <v>0</v>
      </c>
    </row>
    <row r="2" spans="1:8">
      <c r="A2" t="str" cm="1">
        <f ca="1" t="array" ref="A2">_wpsfn.SHEETSNAME(A1)</f>
        <v>20250712</v>
      </c>
      <c r="B2" t="s">
        <v>2198</v>
      </c>
    </row>
    <row r="3" spans="1:8">
      <c r="B3" t="s">
        <v>2199</v>
      </c>
    </row>
    <row r="4" spans="1:8">
      <c r="B4" t="s">
        <v>2200</v>
      </c>
    </row>
    <row r="5" spans="1:8">
      <c r="B5" t="s">
        <v>2201</v>
      </c>
    </row>
    <row r="6" spans="1:8">
      <c r="C6" t="s">
        <v>2202</v>
      </c>
    </row>
    <row r="7" spans="1:8">
      <c r="C7" t="s">
        <v>2203</v>
      </c>
    </row>
    <row r="8" spans="1:8">
      <c r="B8" t="s">
        <v>2204</v>
      </c>
    </row>
    <row r="9" spans="1:8">
      <c r="B9" t="s">
        <v>2205</v>
      </c>
    </row>
    <row r="10" spans="1:8">
      <c r="C10" t="s">
        <v>2206</v>
      </c>
    </row>
    <row r="11" spans="1:8">
      <c r="C11" t="s">
        <v>2207</v>
      </c>
    </row>
    <row r="12" spans="1:8">
      <c r="B12" t="s">
        <v>2208</v>
      </c>
    </row>
    <row r="13" spans="1:8">
      <c r="B13" t="s">
        <v>2209</v>
      </c>
    </row>
    <row r="14" spans="1:8">
      <c r="B14" t="s">
        <v>2210</v>
      </c>
    </row>
    <row r="15" spans="1:8">
      <c r="C15" t="s">
        <v>2211</v>
      </c>
    </row>
    <row r="16" spans="1:8">
      <c r="C16" t="s">
        <v>2212</v>
      </c>
    </row>
  </sheetData>
  <pageMargins left="0.75" right="0.75" top="1" bottom="1" header="0.5" footer="0.5"/>
  <pageSetup paperSize="9" orientation="portrait"/>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workbookViewId="0">
      <selection activeCell="J5" sqref="J5"/>
    </sheetView>
  </sheetViews>
  <sheetFormatPr defaultColWidth="8.88888888888889" defaultRowHeight="14.4" outlineLevelCol="7"/>
  <cols>
    <col min="1" max="1" width="9.66666666666667"/>
  </cols>
  <sheetData>
    <row r="1" spans="1:8">
      <c r="A1" s="1">
        <f>SUM(B1:AZ1)</f>
        <v>3.83333333333333</v>
      </c>
      <c r="B1" s="1">
        <f t="shared" ref="B1:H1" si="0">COUNTA(B2:B2049)/COLUMN()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20250713</v>
      </c>
      <c r="B2" t="s">
        <v>2213</v>
      </c>
    </row>
    <row r="3" spans="1:8">
      <c r="C3" t="s">
        <v>2214</v>
      </c>
    </row>
    <row r="4" spans="1:8">
      <c r="C4" t="s">
        <v>2215</v>
      </c>
    </row>
    <row r="5" spans="1:8">
      <c r="B5" t="s">
        <v>2216</v>
      </c>
    </row>
    <row r="6" spans="1:8">
      <c r="B6" t="s">
        <v>2217</v>
      </c>
    </row>
    <row r="7" spans="1:8">
      <c r="C7" t="s">
        <v>2218</v>
      </c>
    </row>
    <row r="8" spans="1:8">
      <c r="C8" t="s">
        <v>2219</v>
      </c>
    </row>
    <row r="9" spans="1:8">
      <c r="C9" t="s">
        <v>2220</v>
      </c>
    </row>
    <row r="10" spans="1:8">
      <c r="C10" t="s">
        <v>2221</v>
      </c>
    </row>
    <row r="11" spans="1:8">
      <c r="C11" t="s">
        <v>2222</v>
      </c>
    </row>
  </sheetData>
  <pageMargins left="0.75" right="0.75" top="1" bottom="1" header="0.5" footer="0.5"/>
  <pageSetup paperSize="9" orientation="portrait"/>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4" sqref="B4"/>
    </sheetView>
  </sheetViews>
  <sheetFormatPr defaultColWidth="8.88888888888889" defaultRowHeight="14.4" outlineLevelRow="1" outlineLevelCol="7"/>
  <cols>
    <col min="1" max="1" width="9.66666666666667"/>
  </cols>
  <sheetData>
    <row r="1" spans="1:8">
      <c r="A1" s="1">
        <f>SUM(B1:AZ1)</f>
        <v>0.5</v>
      </c>
      <c r="B1" s="1">
        <f t="shared" ref="B1:H1" si="0">COUNTA(B2:B2049)/COLUMN()</f>
        <v>0.5</v>
      </c>
      <c r="C1" s="1">
        <f t="shared" si="0"/>
        <v>0</v>
      </c>
      <c r="D1" s="1">
        <f t="shared" si="0"/>
        <v>0</v>
      </c>
      <c r="E1" s="1">
        <f t="shared" si="0"/>
        <v>0</v>
      </c>
      <c r="F1" s="1">
        <f t="shared" si="0"/>
        <v>0</v>
      </c>
      <c r="G1" s="1">
        <f t="shared" si="0"/>
        <v>0</v>
      </c>
      <c r="H1" s="1">
        <f t="shared" si="0"/>
        <v>0</v>
      </c>
    </row>
    <row r="2" spans="1:8">
      <c r="A2" t="str" cm="1">
        <f ca="1" t="array" ref="A2">_wpsfn.SHEETSNAME(A1)</f>
        <v>20250714</v>
      </c>
      <c r="B2" t="s">
        <v>2223</v>
      </c>
    </row>
  </sheetData>
  <pageMargins left="0.75" right="0.75" top="1" bottom="1" header="0.5" footer="0.5"/>
  <pageSetup paperSize="9" orientation="portrait"/>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I9" sqref="I9"/>
    </sheetView>
  </sheetViews>
  <sheetFormatPr defaultColWidth="8.88888888888889" defaultRowHeight="14.4" outlineLevelCol="7"/>
  <cols>
    <col min="1" max="1" width="9.66666666666667"/>
  </cols>
  <sheetData>
    <row r="1" spans="1:8">
      <c r="A1" s="1">
        <f>SUM(B1:AZ1)</f>
        <v>2.7</v>
      </c>
      <c r="B1" s="1">
        <f t="shared" ref="B1:H1" si="0">COUNTA(B2:B2049)/COLUMN()</f>
        <v>1</v>
      </c>
      <c r="C1" s="1">
        <f t="shared" si="0"/>
        <v>1</v>
      </c>
      <c r="D1" s="1">
        <f t="shared" si="0"/>
        <v>0.5</v>
      </c>
      <c r="E1" s="1">
        <f t="shared" si="0"/>
        <v>0.2</v>
      </c>
      <c r="F1" s="1">
        <f t="shared" si="0"/>
        <v>0</v>
      </c>
      <c r="G1" s="1">
        <f t="shared" si="0"/>
        <v>0</v>
      </c>
      <c r="H1" s="1">
        <f t="shared" si="0"/>
        <v>0</v>
      </c>
    </row>
    <row r="2" spans="1:8">
      <c r="A2" t="str" cm="1">
        <f ca="1" t="array" ref="A2">_wpsfn.SHEETSNAME(A1)</f>
        <v>20250724</v>
      </c>
      <c r="B2" t="s">
        <v>2224</v>
      </c>
    </row>
    <row r="3" spans="1:8">
      <c r="C3" t="s">
        <v>2225</v>
      </c>
    </row>
    <row r="4" spans="1:8">
      <c r="C4" t="s">
        <v>2226</v>
      </c>
    </row>
    <row r="5" spans="1:8">
      <c r="D5" t="s">
        <v>2227</v>
      </c>
    </row>
    <row r="6" spans="1:8">
      <c r="E6" t="s">
        <v>2228</v>
      </c>
    </row>
    <row r="7" spans="1:8">
      <c r="D7" t="s">
        <v>2229</v>
      </c>
    </row>
    <row r="8" spans="1:8">
      <c r="B8" t="s">
        <v>2230</v>
      </c>
    </row>
    <row r="9" spans="1:8">
      <c r="C9" t="s">
        <v>2231</v>
      </c>
    </row>
  </sheetData>
  <pageMargins left="0.75" right="0.75" top="1" bottom="1" header="0.5" footer="0.5"/>
  <pageSetup paperSize="9" orientation="portrait"/>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9" sqref="G9"/>
    </sheetView>
  </sheetViews>
  <sheetFormatPr defaultColWidth="8.88888888888889" defaultRowHeight="14.4" outlineLevelRow="6" outlineLevelCol="7"/>
  <cols>
    <col min="1" max="1" width="9.66666666666667"/>
  </cols>
  <sheetData>
    <row r="1" spans="1:8">
      <c r="A1" s="1">
        <f>SUM(B1:AZ1)</f>
        <v>2.08333333333333</v>
      </c>
      <c r="B1" s="1">
        <f t="shared" ref="B1:H1" si="0">COUNTA(B2:B2049)/COLUMN()</f>
        <v>0.5</v>
      </c>
      <c r="C1" s="1">
        <f t="shared" si="0"/>
        <v>1.33333333333333</v>
      </c>
      <c r="D1" s="1">
        <f t="shared" si="0"/>
        <v>0.25</v>
      </c>
      <c r="E1" s="1">
        <f t="shared" si="0"/>
        <v>0</v>
      </c>
      <c r="F1" s="1">
        <f t="shared" si="0"/>
        <v>0</v>
      </c>
      <c r="G1" s="1">
        <f t="shared" si="0"/>
        <v>0</v>
      </c>
      <c r="H1" s="1">
        <f t="shared" si="0"/>
        <v>0</v>
      </c>
    </row>
    <row r="2" spans="1:8">
      <c r="A2" t="str" cm="1">
        <f ca="1" t="array" ref="A2">_wpsfn.SHEETSNAME(A1)</f>
        <v>20250725</v>
      </c>
      <c r="B2" t="s">
        <v>2232</v>
      </c>
    </row>
    <row r="3" spans="1:8">
      <c r="C3" t="s">
        <v>2233</v>
      </c>
    </row>
    <row r="4" spans="1:8">
      <c r="C4" t="s">
        <v>2234</v>
      </c>
    </row>
    <row r="5" spans="1:8">
      <c r="C5" t="s">
        <v>2235</v>
      </c>
    </row>
    <row r="6" spans="1:8">
      <c r="C6" t="s">
        <v>2236</v>
      </c>
    </row>
    <row r="7" spans="1:8">
      <c r="D7" t="s">
        <v>2237</v>
      </c>
    </row>
  </sheetData>
  <pageMargins left="0.75" right="0.75" top="1" bottom="1" header="0.5" footer="0.5"/>
  <pageSetup paperSize="9" orientation="portrait"/>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F5" sqref="F5"/>
    </sheetView>
  </sheetViews>
  <sheetFormatPr defaultColWidth="8.88888888888889" defaultRowHeight="14.4" outlineLevelRow="2" outlineLevelCol="7"/>
  <cols>
    <col min="1" max="1" width="9.66666666666667"/>
  </cols>
  <sheetData>
    <row r="1" spans="1:8">
      <c r="A1" s="1">
        <f>SUM(B1:AZ1)</f>
        <v>0.833333333333333</v>
      </c>
      <c r="B1" s="1">
        <f t="shared" ref="B1:H1" si="0">COUNTA(B2:B2049)/COLUMN()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20250731</v>
      </c>
      <c r="B2" t="s">
        <v>2238</v>
      </c>
    </row>
    <row r="3" spans="1:8">
      <c r="C3" t="s">
        <v>2239</v>
      </c>
    </row>
  </sheetData>
  <pageMargins left="0.75" right="0.75" top="1" bottom="1" header="0.5" footer="0.5"/>
  <pageSetup paperSize="9" orientation="portrait"/>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workbookViewId="0">
      <selection activeCell="E5" sqref="E5"/>
    </sheetView>
  </sheetViews>
  <sheetFormatPr defaultColWidth="8.88888888888889" defaultRowHeight="14.4" outlineLevelCol="7"/>
  <cols>
    <col min="1" max="1" width="9.66666666666667"/>
  </cols>
  <sheetData>
    <row r="1" spans="1:8">
      <c r="A1" s="1">
        <f>SUM(B1:AZ1)</f>
        <v>4.16666666666667</v>
      </c>
      <c r="B1" s="1">
        <f t="shared" ref="B1:H1" si="0">COUNTA(B2:B2049)/COLUMN()</f>
        <v>2.5</v>
      </c>
      <c r="C1" s="1">
        <f t="shared" si="0"/>
        <v>1.66666666666667</v>
      </c>
      <c r="D1" s="1">
        <f t="shared" si="0"/>
        <v>0</v>
      </c>
      <c r="E1" s="1">
        <f t="shared" si="0"/>
        <v>0</v>
      </c>
      <c r="F1" s="1">
        <f t="shared" si="0"/>
        <v>0</v>
      </c>
      <c r="G1" s="1">
        <f t="shared" si="0"/>
        <v>0</v>
      </c>
      <c r="H1" s="1">
        <f t="shared" si="0"/>
        <v>0</v>
      </c>
    </row>
    <row r="2" spans="1:8">
      <c r="A2" t="str" cm="1">
        <f ca="1" t="array" ref="A2">_wpsfn.SHEETSNAME(A1)</f>
        <v>20250811</v>
      </c>
      <c r="B2" t="s">
        <v>2240</v>
      </c>
    </row>
    <row r="3" spans="1:8">
      <c r="B3" t="s">
        <v>2241</v>
      </c>
    </row>
    <row r="4" spans="1:8">
      <c r="B4" t="s">
        <v>2242</v>
      </c>
    </row>
    <row r="5" spans="1:8">
      <c r="C5" t="s">
        <v>2243</v>
      </c>
    </row>
    <row r="6" spans="1:8">
      <c r="C6" t="s">
        <v>2244</v>
      </c>
    </row>
    <row r="7" spans="1:8">
      <c r="C7" t="s">
        <v>2245</v>
      </c>
    </row>
    <row r="8" spans="1:8">
      <c r="C8" t="s">
        <v>2246</v>
      </c>
    </row>
    <row r="9" spans="1:8">
      <c r="B9" t="s">
        <v>2247</v>
      </c>
    </row>
    <row r="10" spans="1:8">
      <c r="B10" t="s">
        <v>2248</v>
      </c>
    </row>
    <row r="11" spans="1:8">
      <c r="C11" t="s">
        <v>2249</v>
      </c>
    </row>
  </sheetData>
  <pageMargins left="0.75" right="0.75" top="1" bottom="1" header="0.5" footer="0.5"/>
  <pageSetup paperSize="9" orientation="portrait"/>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E4" sqref="E4"/>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20250813</v>
      </c>
      <c r="B2" t="s">
        <v>2250</v>
      </c>
    </row>
    <row r="3" spans="1:8">
      <c r="C3" t="s">
        <v>2251</v>
      </c>
    </row>
    <row r="4" spans="1:8">
      <c r="B4" t="s">
        <v>2252</v>
      </c>
    </row>
    <row r="5" spans="1:8">
      <c r="C5" t="s">
        <v>2253</v>
      </c>
    </row>
  </sheetData>
  <pageMargins left="0.75" right="0.75" top="1" bottom="1" header="0.5" footer="0.5"/>
  <pageSetup paperSize="9" orientation="portrait"/>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J8" sqref="J8"/>
    </sheetView>
  </sheetViews>
  <sheetFormatPr defaultColWidth="8.88888888888889" defaultRowHeight="14.4" outlineLevelRow="3" outlineLevelCol="7"/>
  <cols>
    <col min="1" max="1" width="9.66666666666667"/>
  </cols>
  <sheetData>
    <row r="1" spans="1:8">
      <c r="A1" s="1">
        <f>SUM(B1:AZ1)</f>
        <v>1.16666666666667</v>
      </c>
      <c r="B1" s="1">
        <f t="shared" ref="B1:H1" si="0">COUNTA(B2:B2050)/COLUMN()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20250814</v>
      </c>
      <c r="B2" t="s">
        <v>2254</v>
      </c>
    </row>
    <row r="3" spans="1:8">
      <c r="C3" t="s">
        <v>2255</v>
      </c>
    </row>
    <row r="4" spans="1:8">
      <c r="C4" t="s">
        <v>2256</v>
      </c>
    </row>
  </sheetData>
  <pageMargins left="0.75" right="0.75" top="1" bottom="1" header="0.5" footer="0.5"/>
  <pageSetup paperSize="9" orientation="portrait"/>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C5" sqref="C5"/>
    </sheetView>
  </sheetViews>
  <sheetFormatPr defaultColWidth="8.88888888888889" defaultRowHeight="14.4" outlineLevelRow="3" outlineLevelCol="7"/>
  <cols>
    <col min="1" max="1" width="9.66666666666667"/>
  </cols>
  <sheetData>
    <row r="1" spans="1:8">
      <c r="A1" s="1">
        <f>SUM(B1:AZ1)</f>
        <v>1.33333333333333</v>
      </c>
      <c r="B1" s="1">
        <f t="shared" ref="B1:H1" si="0">COUNTA(B2:B2050)/COLUMN()</f>
        <v>1</v>
      </c>
      <c r="C1" s="1">
        <f t="shared" si="0"/>
        <v>0.333333333333333</v>
      </c>
      <c r="D1" s="1">
        <f t="shared" si="0"/>
        <v>0</v>
      </c>
      <c r="E1" s="1">
        <f t="shared" si="0"/>
        <v>0</v>
      </c>
      <c r="F1" s="1">
        <f t="shared" si="0"/>
        <v>0</v>
      </c>
      <c r="G1" s="1">
        <f t="shared" si="0"/>
        <v>0</v>
      </c>
      <c r="H1" s="1">
        <f t="shared" si="0"/>
        <v>0</v>
      </c>
    </row>
    <row r="2" spans="1:8">
      <c r="A2" t="str" cm="1">
        <f ca="1" t="array" ref="A2">_wpsfn.SHEETSNAME(A1)</f>
        <v>20250820</v>
      </c>
      <c r="B2" t="s">
        <v>2257</v>
      </c>
    </row>
    <row r="3" spans="1:8">
      <c r="B3" t="s">
        <v>2258</v>
      </c>
    </row>
    <row r="4" spans="1:8">
      <c r="C4" t="s">
        <v>2259</v>
      </c>
    </row>
  </sheetData>
  <pageMargins left="0.75" right="0.75" top="1" bottom="1" header="0.5" footer="0.5"/>
  <pageSetup paperSize="9" orientation="portrait"/>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C8" sqref="C8"/>
    </sheetView>
  </sheetViews>
  <sheetFormatPr defaultColWidth="8.88888888888889" defaultRowHeight="14.4" outlineLevelRow="6" outlineLevelCol="7"/>
  <cols>
    <col min="1" max="1" width="9.66666666666667"/>
  </cols>
  <sheetData>
    <row r="1" spans="1:8">
      <c r="A1" s="1">
        <f>SUM(B1:AZ1)</f>
        <v>2.33333333333333</v>
      </c>
      <c r="B1" s="1">
        <f t="shared" ref="B1:H1" si="0">COUNTA(B2:B2050)/COLUMN()</f>
        <v>1</v>
      </c>
      <c r="C1" s="1">
        <f t="shared" si="0"/>
        <v>1.33333333333333</v>
      </c>
      <c r="D1" s="1">
        <f t="shared" si="0"/>
        <v>0</v>
      </c>
      <c r="E1" s="1">
        <f t="shared" si="0"/>
        <v>0</v>
      </c>
      <c r="F1" s="1">
        <f t="shared" si="0"/>
        <v>0</v>
      </c>
      <c r="G1" s="1">
        <f t="shared" si="0"/>
        <v>0</v>
      </c>
      <c r="H1" s="1">
        <f t="shared" si="0"/>
        <v>0</v>
      </c>
    </row>
    <row r="2" spans="1:8">
      <c r="A2" t="str" cm="1">
        <f ca="1" t="array" ref="A2">_wpsfn.SHEETSNAME(A1)</f>
        <v>20250821</v>
      </c>
      <c r="B2" t="s">
        <v>2260</v>
      </c>
    </row>
    <row r="3" spans="1:8">
      <c r="C3" t="s">
        <v>2261</v>
      </c>
    </row>
    <row r="4" spans="1:8">
      <c r="B4" t="s">
        <v>2262</v>
      </c>
    </row>
    <row r="5" spans="1:8">
      <c r="C5" t="s">
        <v>2263</v>
      </c>
    </row>
    <row r="6" spans="1:8">
      <c r="C6" t="s">
        <v>2264</v>
      </c>
    </row>
    <row r="7" spans="1:8">
      <c r="C7" t="s">
        <v>2265</v>
      </c>
    </row>
  </sheetData>
  <pageMargins left="0.75" right="0.75" top="1" bottom="1" header="0.5" footer="0.5"/>
  <pageSetup paperSize="9" orientation="portrait"/>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G8" sqref="G8"/>
    </sheetView>
  </sheetViews>
  <sheetFormatPr defaultColWidth="8.88888888888889" defaultRowHeight="14.4" outlineLevelCol="7"/>
  <cols>
    <col min="1" max="1" width="9.66666666666667"/>
  </cols>
  <sheetData>
    <row r="1" spans="1:8">
      <c r="A1" s="1">
        <f>SUM(B1:AZ1)</f>
        <v>3.16666666666667</v>
      </c>
      <c r="B1" s="1">
        <f t="shared" ref="B1:H1" si="0">COUNTA(B2:B2050)/COLUMN()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20250822</v>
      </c>
      <c r="B2" t="s">
        <v>2266</v>
      </c>
    </row>
    <row r="3" spans="1:8">
      <c r="C3" t="s">
        <v>2267</v>
      </c>
    </row>
    <row r="4" spans="1:8">
      <c r="C4" t="s">
        <v>2268</v>
      </c>
    </row>
    <row r="5" spans="1:8">
      <c r="B5" t="s">
        <v>2269</v>
      </c>
    </row>
    <row r="6" spans="1:8">
      <c r="C6" t="s">
        <v>2270</v>
      </c>
    </row>
    <row r="7" spans="1:8">
      <c r="C7" t="s">
        <v>2271</v>
      </c>
    </row>
    <row r="8" spans="1:8">
      <c r="C8" t="s">
        <v>2272</v>
      </c>
    </row>
    <row r="9" spans="1:8">
      <c r="B9" t="s">
        <v>2273</v>
      </c>
    </row>
  </sheetData>
  <pageMargins left="0.75" right="0.75" top="1" bottom="1" header="0.5" footer="0.5"/>
  <pageSetup paperSize="9" orientation="portrait"/>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E6" sqref="E6"/>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20250823</v>
      </c>
      <c r="B2" t="s">
        <v>2274</v>
      </c>
    </row>
    <row r="3" spans="1:8">
      <c r="B3" t="s">
        <v>2275</v>
      </c>
    </row>
    <row r="4" spans="1:8">
      <c r="C4" t="s">
        <v>2276</v>
      </c>
    </row>
    <row r="5" spans="1:8">
      <c r="C5" t="s">
        <v>2277</v>
      </c>
    </row>
    <row r="6" spans="1:8">
      <c r="B6" t="s">
        <v>2278</v>
      </c>
    </row>
  </sheetData>
  <pageMargins left="0.75" right="0.75" top="1" bottom="1" header="0.5" footer="0.5"/>
  <pageSetup paperSize="9" orientation="portrait"/>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G5" sqref="G5"/>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20250824</v>
      </c>
      <c r="B2" t="s">
        <v>2279</v>
      </c>
    </row>
    <row r="3" spans="1:8">
      <c r="C3" t="s">
        <v>2280</v>
      </c>
    </row>
  </sheetData>
  <pageMargins left="0.75" right="0.75" top="1" bottom="1" header="0.5" footer="0.5"/>
  <pageSetup paperSize="9" orientation="portrait"/>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G5" sqref="G5"/>
    </sheetView>
  </sheetViews>
  <sheetFormatPr defaultColWidth="8.88888888888889" defaultRowHeight="14.4" outlineLevelRow="4" outlineLevelCol="7"/>
  <cols>
    <col min="1" max="1" width="9.66666666666667"/>
  </cols>
  <sheetData>
    <row r="1" spans="1:8">
      <c r="A1" s="1">
        <f>SUM(B1:AZ1)</f>
        <v>1.83333333333333</v>
      </c>
      <c r="B1" s="1">
        <f t="shared" ref="B1:H1" si="0">COUNTA(B2:B2050)/COLUMN()</f>
        <v>1.5</v>
      </c>
      <c r="C1" s="1">
        <f t="shared" si="0"/>
        <v>0.333333333333333</v>
      </c>
      <c r="D1" s="1">
        <f t="shared" si="0"/>
        <v>0</v>
      </c>
      <c r="E1" s="1">
        <f t="shared" si="0"/>
        <v>0</v>
      </c>
      <c r="F1" s="1">
        <f t="shared" si="0"/>
        <v>0</v>
      </c>
      <c r="G1" s="1">
        <f t="shared" si="0"/>
        <v>0</v>
      </c>
      <c r="H1" s="1">
        <f t="shared" si="0"/>
        <v>0</v>
      </c>
    </row>
    <row r="2" spans="1:8">
      <c r="A2" t="str" cm="1">
        <f ca="1" t="array" ref="A2">_wpsfn.SHEETSNAME(A1)</f>
        <v>20250825</v>
      </c>
      <c r="B2" t="s">
        <v>2281</v>
      </c>
    </row>
    <row r="3" spans="1:8">
      <c r="C3" t="s">
        <v>2282</v>
      </c>
    </row>
    <row r="4" spans="1:8">
      <c r="B4" t="s">
        <v>2283</v>
      </c>
    </row>
    <row r="5" spans="1:8">
      <c r="B5" t="s">
        <v>2284</v>
      </c>
    </row>
  </sheetData>
  <pageMargins left="0.75" right="0.75" top="1" bottom="1" header="0.5" footer="0.5"/>
  <pageSetup paperSize="9" orientation="portrait"/>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M7" sqref="M7"/>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20250903</v>
      </c>
      <c r="B2" t="s">
        <v>2285</v>
      </c>
    </row>
  </sheetData>
  <pageMargins left="0.75" right="0.75" top="1" bottom="1" header="0.5" footer="0.5"/>
  <pageSetup paperSize="9" orientation="portrait"/>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H12" sqref="H12"/>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20250904</v>
      </c>
      <c r="B2" t="s">
        <v>2286</v>
      </c>
    </row>
    <row r="3" spans="1:8">
      <c r="C3" t="s">
        <v>2287</v>
      </c>
    </row>
  </sheetData>
  <pageMargins left="0.75" right="0.75" top="1" bottom="1" header="0.5" footer="0.5"/>
  <pageSetup paperSize="9" orientation="portrait"/>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2" sqref="B2:C7"/>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20250905</v>
      </c>
      <c r="B2" t="s">
        <v>2288</v>
      </c>
    </row>
    <row r="3" spans="1:8">
      <c r="C3" t="s">
        <v>2289</v>
      </c>
    </row>
    <row r="4" spans="1:8">
      <c r="B4" t="s">
        <v>2290</v>
      </c>
    </row>
    <row r="5" spans="1:8">
      <c r="B5" t="s">
        <v>2291</v>
      </c>
    </row>
    <row r="6" spans="1:8">
      <c r="C6" t="s">
        <v>2292</v>
      </c>
    </row>
  </sheetData>
  <pageMargins left="0.75" right="0.75" top="1" bottom="1" header="0.5" footer="0.5"/>
  <pageSetup paperSize="9" orientation="portrait"/>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2" sqref="F2"/>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20250907</v>
      </c>
      <c r="B2" t="s">
        <v>2293</v>
      </c>
    </row>
  </sheetData>
  <pageMargins left="0.75" right="0.75" top="1" bottom="1" header="0.5" footer="0.5"/>
  <pageSetup paperSize="9" orientation="portrait"/>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5" sqref="B5"/>
    </sheetView>
  </sheetViews>
  <sheetFormatPr defaultColWidth="8.88888888888889" defaultRowHeight="14.4" outlineLevelRow="3" outlineLevelCol="7"/>
  <cols>
    <col min="1" max="1" width="9.66666666666667"/>
  </cols>
  <sheetData>
    <row r="1" spans="1:8">
      <c r="A1" s="1">
        <f>SUM(B1:AZ1)</f>
        <v>1.5</v>
      </c>
      <c r="B1" s="1">
        <f t="shared" ref="B1:H1" si="0">COUNTA(B2:B2050)/COLUMN()</f>
        <v>1.5</v>
      </c>
      <c r="C1" s="1">
        <f t="shared" si="0"/>
        <v>0</v>
      </c>
      <c r="D1" s="1">
        <f t="shared" si="0"/>
        <v>0</v>
      </c>
      <c r="E1" s="1">
        <f t="shared" si="0"/>
        <v>0</v>
      </c>
      <c r="F1" s="1">
        <f t="shared" si="0"/>
        <v>0</v>
      </c>
      <c r="G1" s="1">
        <f t="shared" si="0"/>
        <v>0</v>
      </c>
      <c r="H1" s="1">
        <f t="shared" si="0"/>
        <v>0</v>
      </c>
    </row>
    <row r="2" spans="1:8">
      <c r="A2" t="str" cm="1">
        <f ca="1" t="array" ref="A2">_wpsfn.SHEETSNAME(A1)</f>
        <v>20250908</v>
      </c>
      <c r="B2" t="s">
        <v>2294</v>
      </c>
    </row>
    <row r="3" spans="1:8">
      <c r="B3" t="s">
        <v>2295</v>
      </c>
    </row>
    <row r="4" spans="1:8">
      <c r="B4" t="s">
        <v>2296</v>
      </c>
    </row>
  </sheetData>
  <pageMargins left="0.75" right="0.75" top="1" bottom="1" header="0.5" footer="0.5"/>
  <pageSetup paperSize="9" orientation="portrait"/>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7" sqref="B7"/>
    </sheetView>
  </sheetViews>
  <sheetFormatPr defaultColWidth="8.88888888888889" defaultRowHeight="14.4" outlineLevelRow="5" outlineLevelCol="7"/>
  <cols>
    <col min="1" max="1" width="9.66666666666667"/>
  </cols>
  <sheetData>
    <row r="1" spans="1:8">
      <c r="A1" s="1">
        <f>SUM(B1:AZ1)</f>
        <v>2.33333333333333</v>
      </c>
      <c r="B1" s="1">
        <f t="shared" ref="B1:H1" si="0">COUNTA(B2:B2050)/COLUMN()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20250909</v>
      </c>
      <c r="B2" t="s">
        <v>2297</v>
      </c>
    </row>
    <row r="3" spans="1:8">
      <c r="B3" t="s">
        <v>2298</v>
      </c>
    </row>
    <row r="4" spans="1:8">
      <c r="B4" t="s">
        <v>2299</v>
      </c>
    </row>
    <row r="5" spans="1:8">
      <c r="C5" t="s">
        <v>2300</v>
      </c>
    </row>
    <row r="6" spans="1:8">
      <c r="B6" t="s">
        <v>2301</v>
      </c>
    </row>
  </sheetData>
  <pageMargins left="0.75" right="0.75" top="1" bottom="1" header="0.5" footer="0.5"/>
  <pageSetup paperSize="9" orientation="portrait"/>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G13" sqref="G13"/>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20250910</v>
      </c>
      <c r="B2" t="s">
        <v>2302</v>
      </c>
    </row>
    <row r="3" spans="1:8">
      <c r="C3" t="s">
        <v>2303</v>
      </c>
    </row>
    <row r="4" spans="1:8">
      <c r="C4" t="s">
        <v>2304</v>
      </c>
    </row>
    <row r="5" spans="1:8">
      <c r="B5" t="s">
        <v>2305</v>
      </c>
    </row>
  </sheetData>
  <pageMargins left="0.75" right="0.75" top="1" bottom="1" header="0.5" footer="0.5"/>
  <pageSetup paperSize="9" orientation="portrait"/>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J6" sqref="J6"/>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20250911</v>
      </c>
      <c r="B2" t="s">
        <v>2306</v>
      </c>
    </row>
    <row r="3" spans="1:8">
      <c r="C3" t="s">
        <v>2307</v>
      </c>
    </row>
    <row r="4" spans="1:8">
      <c r="B4" t="s">
        <v>2308</v>
      </c>
    </row>
    <row r="5" spans="1:8">
      <c r="B5" t="s">
        <v>2309</v>
      </c>
    </row>
    <row r="6" spans="1:8">
      <c r="C6" t="s">
        <v>2310</v>
      </c>
    </row>
  </sheetData>
  <pageMargins left="0.75" right="0.75" top="1" bottom="1" header="0.5" footer="0.5"/>
  <pageSetup paperSize="9" orientation="portrait"/>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workbookViewId="0">
      <selection activeCell="B13" sqref="B13"/>
    </sheetView>
  </sheetViews>
  <sheetFormatPr defaultColWidth="8.88888888888889" defaultRowHeight="14.4" outlineLevelCol="7"/>
  <cols>
    <col min="1" max="1" width="9.66666666666667"/>
  </cols>
  <sheetData>
    <row r="1" spans="1:8">
      <c r="A1" s="1">
        <f>SUM(B1:AZ1)</f>
        <v>5.31666666666667</v>
      </c>
      <c r="B1" s="1">
        <f t="shared" ref="B1:H1" si="0">COUNTA(B2:B2050)/COLUMN()</f>
        <v>2</v>
      </c>
      <c r="C1" s="1">
        <f t="shared" si="0"/>
        <v>1.66666666666667</v>
      </c>
      <c r="D1" s="1">
        <f t="shared" si="0"/>
        <v>1.25</v>
      </c>
      <c r="E1" s="1">
        <f t="shared" si="0"/>
        <v>0.4</v>
      </c>
      <c r="F1" s="1">
        <f t="shared" si="0"/>
        <v>0</v>
      </c>
      <c r="G1" s="1">
        <f t="shared" si="0"/>
        <v>0</v>
      </c>
      <c r="H1" s="1">
        <f t="shared" si="0"/>
        <v>0</v>
      </c>
    </row>
    <row r="2" spans="1:8">
      <c r="A2" t="str" cm="1">
        <f ca="1" t="array" ref="A2">_wpsfn.SHEETSNAME(A1)</f>
        <v>20250913</v>
      </c>
      <c r="B2" t="s">
        <v>2311</v>
      </c>
    </row>
    <row r="3" spans="1:8">
      <c r="C3" t="s">
        <v>2312</v>
      </c>
    </row>
    <row r="4" spans="1:8">
      <c r="D4" t="s">
        <v>2313</v>
      </c>
    </row>
    <row r="5" spans="1:8">
      <c r="D5" t="s">
        <v>2314</v>
      </c>
    </row>
    <row r="6" spans="1:8">
      <c r="E6" t="s">
        <v>2315</v>
      </c>
    </row>
    <row r="7" spans="1:8">
      <c r="E7" t="s">
        <v>2316</v>
      </c>
    </row>
    <row r="8" spans="1:8">
      <c r="D8" t="s">
        <v>2317</v>
      </c>
    </row>
    <row r="9" spans="1:8">
      <c r="B9" t="s">
        <v>2318</v>
      </c>
    </row>
    <row r="10" spans="1:8">
      <c r="C10" t="s">
        <v>2319</v>
      </c>
    </row>
    <row r="11" spans="1:8">
      <c r="C11" t="s">
        <v>2320</v>
      </c>
    </row>
    <row r="12" spans="1:8">
      <c r="D12" t="s">
        <v>2321</v>
      </c>
    </row>
    <row r="13" spans="1:8">
      <c r="B13" t="s">
        <v>2322</v>
      </c>
    </row>
    <row r="14" spans="1:8">
      <c r="C14" t="s">
        <v>2323</v>
      </c>
    </row>
    <row r="15" spans="1:8">
      <c r="C15" t="s">
        <v>2324</v>
      </c>
    </row>
    <row r="16" spans="1:8">
      <c r="D16" t="s">
        <v>2325</v>
      </c>
    </row>
    <row r="17" spans="2:2">
      <c r="B17" t="s">
        <v>2326</v>
      </c>
    </row>
  </sheetData>
  <pageMargins left="0.75" right="0.75" top="1" bottom="1" header="0.5" footer="0.5"/>
  <pageSetup paperSize="9" orientation="portrait"/>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20250914</v>
      </c>
      <c r="B2" t="s">
        <v>2327</v>
      </c>
    </row>
    <row r="3" spans="1:8">
      <c r="B3" t="s">
        <v>2328</v>
      </c>
    </row>
  </sheetData>
  <pageMargins left="0.75" right="0.75" top="1" bottom="1" header="0.5" footer="0.5"/>
  <pageSetup paperSize="9" orientation="portrait"/>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20250916</v>
      </c>
      <c r="B2" t="s">
        <v>2329</v>
      </c>
    </row>
    <row r="3" spans="1:8">
      <c r="B3" t="s">
        <v>2330</v>
      </c>
    </row>
  </sheetData>
  <pageMargins left="0.75" right="0.75" top="1" bottom="1" header="0.5" footer="0.5"/>
  <pageSetup paperSize="9" orientation="portrait"/>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H8" sqref="H8"/>
    </sheetView>
  </sheetViews>
  <sheetFormatPr defaultColWidth="8.88888888888889" defaultRowHeight="14.4" outlineLevelCol="7"/>
  <cols>
    <col min="1" max="1" width="9.66666666666667"/>
  </cols>
  <sheetData>
    <row r="1" spans="1:8">
      <c r="A1" s="1">
        <f>SUM(B1:AZ1)</f>
        <v>2.75</v>
      </c>
      <c r="B1" s="1">
        <f t="shared" ref="B1:H1" si="0">COUNTA(B2:B2051)/COLUMN()</f>
        <v>0.5</v>
      </c>
      <c r="C1" s="1">
        <f t="shared" si="0"/>
        <v>2</v>
      </c>
      <c r="D1" s="1">
        <f t="shared" si="0"/>
        <v>0.25</v>
      </c>
      <c r="E1" s="1">
        <f t="shared" si="0"/>
        <v>0</v>
      </c>
      <c r="F1" s="1">
        <f t="shared" si="0"/>
        <v>0</v>
      </c>
      <c r="G1" s="1">
        <f t="shared" si="0"/>
        <v>0</v>
      </c>
      <c r="H1" s="1">
        <f t="shared" si="0"/>
        <v>0</v>
      </c>
    </row>
    <row r="2" spans="1:8">
      <c r="A2" t="str" cm="1">
        <f ca="1" t="array" ref="A2">_wpsfn.SHEETSNAME(A1)</f>
        <v>20250917</v>
      </c>
      <c r="B2" t="s">
        <v>2331</v>
      </c>
    </row>
    <row r="3" spans="1:8">
      <c r="C3" t="s">
        <v>2332</v>
      </c>
    </row>
    <row r="4" spans="1:8">
      <c r="C4" t="s">
        <v>2333</v>
      </c>
    </row>
    <row r="5" spans="1:8">
      <c r="C5" t="s">
        <v>2334</v>
      </c>
    </row>
    <row r="6" spans="1:8">
      <c r="C6" t="s">
        <v>2335</v>
      </c>
    </row>
    <row r="7" spans="1:8">
      <c r="D7" t="s">
        <v>2336</v>
      </c>
    </row>
    <row r="8" spans="1:8">
      <c r="C8" t="s">
        <v>2337</v>
      </c>
    </row>
    <row r="9" spans="1:8">
      <c r="C9" t="s">
        <v>2338</v>
      </c>
    </row>
  </sheetData>
  <pageMargins left="0.75" right="0.75" top="1" bottom="1" header="0.5" footer="0.5"/>
  <pageSetup paperSize="9" orientation="portrait"/>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B8" sqref="B8"/>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20250918</v>
      </c>
      <c r="B2" t="s">
        <v>2339</v>
      </c>
    </row>
    <row r="3" spans="1:8">
      <c r="C3" t="s">
        <v>2340</v>
      </c>
    </row>
    <row r="4" spans="1:8">
      <c r="C4" t="s">
        <v>2341</v>
      </c>
    </row>
    <row r="5" spans="1:8">
      <c r="C5" t="s">
        <v>2342</v>
      </c>
    </row>
    <row r="6" spans="1:8">
      <c r="D6" t="s">
        <v>2343</v>
      </c>
    </row>
    <row r="7" spans="1:8">
      <c r="D7" t="s">
        <v>2344</v>
      </c>
    </row>
  </sheetData>
  <pageMargins left="0.75" right="0.75" top="1" bottom="1" header="0.5" footer="0.5"/>
  <pageSetup paperSize="9" orientation="portrait"/>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3" sqref="B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20250919</v>
      </c>
      <c r="B2" t="s">
        <v>2345</v>
      </c>
    </row>
  </sheetData>
  <pageMargins left="0.75" right="0.75" top="1" bottom="1" header="0.5" footer="0.5"/>
  <pageSetup paperSize="9" orientation="portrait"/>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4"/>
  <sheetViews>
    <sheetView zoomScale="160" zoomScaleNormal="160" workbookViewId="0">
      <selection activeCell="C15" sqref="C15"/>
    </sheetView>
  </sheetViews>
  <sheetFormatPr defaultColWidth="8.88888888888889" defaultRowHeight="14.4" outlineLevelCol="7"/>
  <cols>
    <col min="1" max="1" width="9.66666666666667"/>
  </cols>
  <sheetData>
    <row r="1" spans="1:8">
      <c r="A1" s="1">
        <f>SUM(B1:AZ1)</f>
        <v>4.33333333333333</v>
      </c>
      <c r="B1" s="1">
        <f t="shared" ref="B1:H1" si="0">COUNTA(B2:B2051)/COLUMN()</f>
        <v>1</v>
      </c>
      <c r="C1" s="1">
        <f t="shared" si="0"/>
        <v>2.33333333333333</v>
      </c>
      <c r="D1" s="1">
        <f t="shared" si="0"/>
        <v>1</v>
      </c>
      <c r="E1" s="1">
        <f t="shared" si="0"/>
        <v>0</v>
      </c>
      <c r="F1" s="1">
        <f t="shared" si="0"/>
        <v>0</v>
      </c>
      <c r="G1" s="1">
        <f t="shared" si="0"/>
        <v>0</v>
      </c>
      <c r="H1" s="1">
        <f t="shared" si="0"/>
        <v>0</v>
      </c>
    </row>
    <row r="2" spans="1:8">
      <c r="A2" t="str" cm="1">
        <f ca="1" t="array" ref="A2">_wpsfn.SHEETSNAME(A1)</f>
        <v>20250920</v>
      </c>
      <c r="B2" t="s">
        <v>2346</v>
      </c>
    </row>
    <row r="3" spans="1:8">
      <c r="C3" t="s">
        <v>2347</v>
      </c>
    </row>
    <row r="4" spans="1:8">
      <c r="C4" t="s">
        <v>2348</v>
      </c>
    </row>
    <row r="5" spans="1:8">
      <c r="C5" t="s">
        <v>2349</v>
      </c>
    </row>
    <row r="6" spans="1:8">
      <c r="C6" t="s">
        <v>2350</v>
      </c>
    </row>
    <row r="7" spans="1:8">
      <c r="D7" t="s">
        <v>2351</v>
      </c>
    </row>
    <row r="8" spans="1:8">
      <c r="D8" t="s">
        <v>2352</v>
      </c>
    </row>
    <row r="9" spans="1:8">
      <c r="C9" t="s">
        <v>2353</v>
      </c>
    </row>
    <row r="10" spans="1:8">
      <c r="D10" t="s">
        <v>2354</v>
      </c>
    </row>
    <row r="11" spans="1:8">
      <c r="D11" t="s">
        <v>2355</v>
      </c>
    </row>
    <row r="12" spans="1:8">
      <c r="B12" t="s">
        <v>2356</v>
      </c>
    </row>
    <row r="13" spans="1:8">
      <c r="C13" t="s">
        <v>2357</v>
      </c>
    </row>
    <row r="14" spans="1:8">
      <c r="C14" t="s">
        <v>2358</v>
      </c>
    </row>
  </sheetData>
  <pageMargins left="0.75" right="0.75" top="1" bottom="1" header="0.5" footer="0.5"/>
  <pageSetup paperSize="9" orientation="portrait"/>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
  <sheetViews>
    <sheetView zoomScale="160" zoomScaleNormal="160" workbookViewId="0">
      <selection activeCell="K7" sqref="K7"/>
    </sheetView>
  </sheetViews>
  <sheetFormatPr defaultColWidth="8.88888888888889" defaultRowHeight="14.4" outlineLevelCol="7"/>
  <cols>
    <col min="1" max="1" width="9.66666666666667"/>
  </cols>
  <sheetData>
    <row r="1" spans="1:8">
      <c r="A1" s="1">
        <f>SUM(B1:AZ1)</f>
        <v>6</v>
      </c>
      <c r="B1" s="1">
        <f t="shared" ref="B1:H1" si="0">COUNTA(B2:B2051)/COLUMN()</f>
        <v>1.5</v>
      </c>
      <c r="C1" s="1">
        <f t="shared" si="0"/>
        <v>3</v>
      </c>
      <c r="D1" s="1">
        <f t="shared" si="0"/>
        <v>1.5</v>
      </c>
      <c r="E1" s="1">
        <f t="shared" si="0"/>
        <v>0</v>
      </c>
      <c r="F1" s="1">
        <f t="shared" si="0"/>
        <v>0</v>
      </c>
      <c r="G1" s="1">
        <f t="shared" si="0"/>
        <v>0</v>
      </c>
      <c r="H1" s="1">
        <f t="shared" si="0"/>
        <v>0</v>
      </c>
    </row>
    <row r="2" spans="1:8">
      <c r="A2" t="str" cm="1">
        <f ca="1" t="array" ref="A2">_wpsfn.SHEETSNAME(A1)</f>
        <v>20250921</v>
      </c>
      <c r="B2" t="s">
        <v>2359</v>
      </c>
    </row>
    <row r="3" spans="1:8">
      <c r="C3" t="s">
        <v>2360</v>
      </c>
    </row>
    <row r="4" spans="1:8">
      <c r="C4" t="s">
        <v>2361</v>
      </c>
    </row>
    <row r="5" spans="1:8">
      <c r="B5" t="s">
        <v>2362</v>
      </c>
    </row>
    <row r="6" spans="1:8">
      <c r="C6" t="s">
        <v>2363</v>
      </c>
    </row>
    <row r="7" spans="1:8">
      <c r="C7" t="s">
        <v>2364</v>
      </c>
    </row>
    <row r="8" spans="1:8">
      <c r="C8" t="s">
        <v>2365</v>
      </c>
    </row>
    <row r="9" spans="1:8">
      <c r="C9" t="s">
        <v>2366</v>
      </c>
    </row>
    <row r="10" spans="1:8">
      <c r="C10" t="s">
        <v>2367</v>
      </c>
    </row>
    <row r="11" spans="1:8">
      <c r="B11" t="s">
        <v>2368</v>
      </c>
    </row>
    <row r="12" spans="1:8">
      <c r="C12" t="s">
        <v>2369</v>
      </c>
    </row>
    <row r="13" spans="1:8">
      <c r="D13" t="s">
        <v>2370</v>
      </c>
    </row>
    <row r="14" spans="1:8">
      <c r="D14" t="s">
        <v>2371</v>
      </c>
    </row>
    <row r="15" spans="1:8">
      <c r="D15" t="s">
        <v>2372</v>
      </c>
    </row>
    <row r="16" spans="1:8">
      <c r="C16" t="s">
        <v>2373</v>
      </c>
    </row>
    <row r="17" spans="4:4">
      <c r="D17" t="s">
        <v>2374</v>
      </c>
    </row>
    <row r="18" spans="4:4">
      <c r="D18" t="s">
        <v>2375</v>
      </c>
    </row>
    <row r="19" spans="4:4">
      <c r="D19" t="s">
        <v>2376</v>
      </c>
    </row>
  </sheetData>
  <pageMargins left="0.75" right="0.75" top="1" bottom="1" header="0.5" footer="0.5"/>
  <pageSetup paperSize="9" orientation="portrait"/>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E2" sqref="E2"/>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20250922</v>
      </c>
      <c r="B2" t="s">
        <v>2377</v>
      </c>
    </row>
  </sheetData>
  <pageMargins left="0.75" right="0.75" top="1" bottom="1" header="0.5" footer="0.5"/>
  <pageSetup paperSize="9" orientation="portrait"/>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3" sqref="F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20250927</v>
      </c>
      <c r="B2" t="s">
        <v>2378</v>
      </c>
    </row>
  </sheetData>
  <pageMargins left="0.75" right="0.75" top="1" bottom="1" header="0.5" footer="0.5"/>
  <pageSetup paperSize="9" orientation="portrait"/>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60" zoomScaleNormal="160" workbookViewId="0">
      <selection activeCell="I6" sqref="I6"/>
    </sheetView>
  </sheetViews>
  <sheetFormatPr defaultColWidth="8.88888888888889" defaultRowHeight="14.4" outlineLevelCol="7"/>
  <cols>
    <col min="1" max="1" width="9.66666666666667"/>
  </cols>
  <sheetData>
    <row r="1" spans="1:8">
      <c r="A1" s="1">
        <f>SUM(B1:AZ1)</f>
        <v>4.01666666666667</v>
      </c>
      <c r="B1" s="1">
        <f t="shared" ref="B1:H1" si="0">COUNTA(B2:B2051)/COLUMN()</f>
        <v>1</v>
      </c>
      <c r="C1" s="1">
        <f t="shared" si="0"/>
        <v>0.666666666666667</v>
      </c>
      <c r="D1" s="1">
        <f t="shared" si="0"/>
        <v>1.75</v>
      </c>
      <c r="E1" s="1">
        <f t="shared" si="0"/>
        <v>0.6</v>
      </c>
      <c r="F1" s="1">
        <f t="shared" si="0"/>
        <v>0</v>
      </c>
      <c r="G1" s="1">
        <f t="shared" si="0"/>
        <v>0</v>
      </c>
      <c r="H1" s="1">
        <f t="shared" si="0"/>
        <v>0</v>
      </c>
    </row>
    <row r="2" spans="1:8">
      <c r="A2" t="str" cm="1">
        <f ca="1" t="array" ref="A2">_wpsfn.SHEETSNAME(A1)</f>
        <v>20251012</v>
      </c>
      <c r="B2" t="s">
        <v>2379</v>
      </c>
    </row>
    <row r="3" spans="1:8">
      <c r="B3" t="s">
        <v>2380</v>
      </c>
    </row>
    <row r="4" spans="1:8">
      <c r="C4" t="s">
        <v>2381</v>
      </c>
    </row>
    <row r="5" spans="1:8">
      <c r="D5" t="s">
        <v>2382</v>
      </c>
    </row>
    <row r="6" spans="1:8">
      <c r="D6" t="s">
        <v>2383</v>
      </c>
    </row>
    <row r="7" spans="1:8">
      <c r="D7" t="s">
        <v>2384</v>
      </c>
    </row>
    <row r="8" spans="1:8">
      <c r="D8" t="s">
        <v>2385</v>
      </c>
    </row>
    <row r="9" spans="1:8">
      <c r="D9" t="s">
        <v>2386</v>
      </c>
    </row>
    <row r="10" spans="1:8">
      <c r="C10" t="s">
        <v>2387</v>
      </c>
    </row>
    <row r="11" spans="1:8">
      <c r="D11" t="s">
        <v>2388</v>
      </c>
    </row>
    <row r="12" spans="1:8">
      <c r="E12" t="s">
        <v>2389</v>
      </c>
    </row>
    <row r="13" spans="1:8">
      <c r="D13" t="s">
        <v>2390</v>
      </c>
    </row>
    <row r="14" spans="1:8">
      <c r="E14" t="s">
        <v>2391</v>
      </c>
    </row>
    <row r="15" spans="1:8">
      <c r="E15" t="s">
        <v>2392</v>
      </c>
    </row>
  </sheetData>
  <pageMargins left="0.75" right="0.75" top="1" bottom="1" header="0.5" footer="0.5"/>
  <pageSetup paperSize="9" orientation="portrait"/>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D4" sqref="D4"/>
    </sheetView>
  </sheetViews>
  <sheetFormatPr defaultColWidth="8.88888888888889" defaultRowHeight="14.4" outlineLevelRow="6" outlineLevelCol="7"/>
  <cols>
    <col min="1" max="1" width="9.66666666666667"/>
  </cols>
  <sheetData>
    <row r="1" spans="1:8">
      <c r="A1" s="1">
        <f>SUM(B1:AZ1)</f>
        <v>2.16666666666667</v>
      </c>
      <c r="B1" s="1">
        <f t="shared" ref="B1:H1" si="0">COUNTA(B2:B2051)/COLUMN()</f>
        <v>1</v>
      </c>
      <c r="C1" s="1">
        <f t="shared" si="0"/>
        <v>0.666666666666667</v>
      </c>
      <c r="D1" s="1">
        <f t="shared" si="0"/>
        <v>0.5</v>
      </c>
      <c r="E1" s="1">
        <f t="shared" si="0"/>
        <v>0</v>
      </c>
      <c r="F1" s="1">
        <f t="shared" si="0"/>
        <v>0</v>
      </c>
      <c r="G1" s="1">
        <f t="shared" si="0"/>
        <v>0</v>
      </c>
      <c r="H1" s="1">
        <f t="shared" si="0"/>
        <v>0</v>
      </c>
    </row>
    <row r="2" spans="1:8">
      <c r="A2" t="str" cm="1">
        <f ca="1" t="array" ref="A2">_wpsfn.SHEETSNAME(A1)</f>
        <v>20251021</v>
      </c>
      <c r="B2" t="s">
        <v>2393</v>
      </c>
    </row>
    <row r="3" spans="1:8">
      <c r="C3" t="s">
        <v>2394</v>
      </c>
    </row>
    <row r="4" spans="1:8">
      <c r="D4" t="s">
        <v>2395</v>
      </c>
    </row>
    <row r="5" spans="1:8">
      <c r="B5" t="s">
        <v>2396</v>
      </c>
    </row>
    <row r="6" spans="1:8">
      <c r="C6" t="s">
        <v>2397</v>
      </c>
    </row>
    <row r="7" spans="1:8">
      <c r="D7" t="s">
        <v>2398</v>
      </c>
    </row>
  </sheetData>
  <pageMargins left="0.75" right="0.75" top="1" bottom="1" header="0.5" footer="0.5"/>
  <pageSetup paperSize="9" orientation="portrait"/>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C5"/>
    </sheetView>
  </sheetViews>
  <sheetFormatPr defaultColWidth="8.88888888888889" defaultRowHeight="14.4" outlineLevelRow="3" outlineLevelCol="7"/>
  <cols>
    <col min="1" max="1" width="9.66666666666667"/>
  </cols>
  <sheetData>
    <row r="1" spans="1:8">
      <c r="A1" s="1">
        <f>SUM(B1:AZ1)</f>
        <v>1.16666666666667</v>
      </c>
      <c r="B1" s="1">
        <f t="shared" ref="B1:H1" si="0">COUNTA(B2:B2051)/COLUMN()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20251022</v>
      </c>
      <c r="B2" t="s">
        <v>2399</v>
      </c>
    </row>
    <row r="3" spans="1:8">
      <c r="C3" t="s">
        <v>2400</v>
      </c>
    </row>
    <row r="4" spans="1:8">
      <c r="C4" t="s">
        <v>2401</v>
      </c>
    </row>
  </sheetData>
  <pageMargins left="0.75" right="0.75" top="1" bottom="1" header="0.5" footer="0.5"/>
  <pageSetup paperSize="9" orientation="portrait"/>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6" sqref="G6"/>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20251023</v>
      </c>
      <c r="B2" t="s">
        <v>2402</v>
      </c>
    </row>
    <row r="3" spans="1:8">
      <c r="C3" t="s">
        <v>2403</v>
      </c>
    </row>
    <row r="4" spans="1:8">
      <c r="C4" t="s">
        <v>2404</v>
      </c>
    </row>
    <row r="5" spans="1:8">
      <c r="C5" t="s">
        <v>2405</v>
      </c>
    </row>
    <row r="6" spans="1:8">
      <c r="D6" t="s">
        <v>2406</v>
      </c>
    </row>
    <row r="7" spans="1:8">
      <c r="D7" t="s">
        <v>2407</v>
      </c>
    </row>
  </sheetData>
  <pageMargins left="0.75" right="0.75" top="1" bottom="1" header="0.5" footer="0.5"/>
  <pageSetup paperSize="9" orientation="portrait"/>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C4" sqref="C4"/>
    </sheetView>
  </sheetViews>
  <sheetFormatPr defaultColWidth="8.88888888888889" defaultRowHeight="14.4" outlineLevelRow="2" outlineLevelCol="7"/>
  <cols>
    <col min="1" max="1" width="9.66666666666667"/>
  </cols>
  <sheetData>
    <row r="1" spans="1:8">
      <c r="A1" s="1">
        <f>SUM(B1:AZ1)</f>
        <v>0.833333333333333</v>
      </c>
      <c r="B1" s="1">
        <f t="shared" ref="B1:H1" si="0">COUNTA(B2:B2051)/COLUMN()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20251027</v>
      </c>
      <c r="B2" t="s">
        <v>2408</v>
      </c>
    </row>
    <row r="3" spans="1:8">
      <c r="C3" t="s">
        <v>2409</v>
      </c>
    </row>
  </sheetData>
  <pageMargins left="0.75" right="0.75" top="1" bottom="1" header="0.5" footer="0.5"/>
  <pageSetup paperSize="9" orientation="portrait"/>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J9" sqref="J9"/>
    </sheetView>
  </sheetViews>
  <sheetFormatPr defaultColWidth="8.88888888888889" defaultRowHeight="14.4" outlineLevelRow="4" outlineLevelCol="7"/>
  <cols>
    <col min="1" max="1" width="9.66666666666667"/>
  </cols>
  <sheetData>
    <row r="1" spans="1:8">
      <c r="A1" s="1">
        <f>SUM(B1:AZ1)</f>
        <v>1.41666666666667</v>
      </c>
      <c r="B1" s="1">
        <f t="shared" ref="B1:H1" si="0">COUNTA(B2:B2051)/COLUMN()</f>
        <v>0.5</v>
      </c>
      <c r="C1" s="1">
        <f t="shared" si="0"/>
        <v>0.666666666666667</v>
      </c>
      <c r="D1" s="1">
        <f t="shared" si="0"/>
        <v>0.25</v>
      </c>
      <c r="E1" s="1">
        <f t="shared" si="0"/>
        <v>0</v>
      </c>
      <c r="F1" s="1">
        <f t="shared" si="0"/>
        <v>0</v>
      </c>
      <c r="G1" s="1">
        <f t="shared" si="0"/>
        <v>0</v>
      </c>
      <c r="H1" s="1">
        <f t="shared" si="0"/>
        <v>0</v>
      </c>
    </row>
    <row r="2" spans="1:8">
      <c r="A2" t="str" cm="1">
        <f ca="1" t="array" ref="A2">_wpsfn.SHEETSNAME(A1)</f>
        <v>20251031</v>
      </c>
      <c r="B2" t="s">
        <v>2410</v>
      </c>
    </row>
    <row r="3" spans="1:8">
      <c r="C3" t="s">
        <v>2411</v>
      </c>
    </row>
    <row r="4" spans="1:8">
      <c r="C4" t="s">
        <v>2412</v>
      </c>
    </row>
    <row r="5" spans="1:8">
      <c r="D5" t="s">
        <v>2413</v>
      </c>
    </row>
  </sheetData>
  <pageMargins left="0.75" right="0.75" top="1" bottom="1" header="0.5" footer="0.5"/>
  <pageSetup paperSize="9" orientation="portrait"/>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3"/>
  <sheetViews>
    <sheetView zoomScale="160" zoomScaleNormal="160" topLeftCell="A11" workbookViewId="0">
      <selection activeCell="C19" sqref="C19:C21"/>
    </sheetView>
  </sheetViews>
  <sheetFormatPr defaultColWidth="8.88888888888889" defaultRowHeight="14.4" outlineLevelCol="7"/>
  <cols>
    <col min="1" max="1" width="9.66666666666667"/>
  </cols>
  <sheetData>
    <row r="1" spans="1:8">
      <c r="A1" s="1">
        <f>SUM(B1:AZ1)</f>
        <v>11.3166666666667</v>
      </c>
      <c r="B1" s="1">
        <f t="shared" ref="B1:H1" si="0">COUNTA(B2:B2053)/COLUMN()</f>
        <v>3.5</v>
      </c>
      <c r="C1" s="1">
        <f t="shared" si="0"/>
        <v>6.66666666666667</v>
      </c>
      <c r="D1" s="1">
        <f t="shared" si="0"/>
        <v>0.75</v>
      </c>
      <c r="E1" s="1">
        <f t="shared" si="0"/>
        <v>0.4</v>
      </c>
      <c r="F1" s="1">
        <f t="shared" si="0"/>
        <v>0</v>
      </c>
      <c r="G1" s="1">
        <f t="shared" si="0"/>
        <v>0</v>
      </c>
      <c r="H1" s="1">
        <f t="shared" si="0"/>
        <v>0</v>
      </c>
    </row>
    <row r="2" spans="1:8">
      <c r="A2" t="str" cm="1">
        <f ca="1" t="array" ref="A2">_wpsfn.SHEETSNAME(A1)</f>
        <v>20251102</v>
      </c>
      <c r="B2" t="s">
        <v>2414</v>
      </c>
    </row>
    <row r="3" spans="1:8">
      <c r="C3" t="s">
        <v>2415</v>
      </c>
    </row>
    <row r="4" spans="1:8">
      <c r="D4" t="s">
        <v>2416</v>
      </c>
    </row>
    <row r="5" spans="1:8">
      <c r="D5" t="s">
        <v>2417</v>
      </c>
    </row>
    <row r="6" spans="1:8">
      <c r="E6" t="s">
        <v>2418</v>
      </c>
    </row>
    <row r="7" spans="1:8">
      <c r="E7" t="s">
        <v>2419</v>
      </c>
    </row>
    <row r="8" spans="1:8">
      <c r="C8" t="s">
        <v>2420</v>
      </c>
    </row>
    <row r="9" spans="1:8">
      <c r="B9" t="s">
        <v>2421</v>
      </c>
    </row>
    <row r="10" spans="1:8">
      <c r="C10" t="s">
        <v>2422</v>
      </c>
    </row>
    <row r="11" spans="1:8">
      <c r="D11" t="s">
        <v>2423</v>
      </c>
    </row>
    <row r="12" spans="1:8">
      <c r="B12" t="s">
        <v>2424</v>
      </c>
    </row>
    <row r="13" spans="1:8">
      <c r="C13" t="s">
        <v>2425</v>
      </c>
    </row>
    <row r="14" spans="1:8">
      <c r="C14" t="s">
        <v>2426</v>
      </c>
    </row>
    <row r="15" spans="1:8">
      <c r="C15" t="s">
        <v>2427</v>
      </c>
    </row>
    <row r="16" spans="1:8">
      <c r="B16" t="s">
        <v>2428</v>
      </c>
    </row>
    <row r="17" spans="2:3">
      <c r="C17" t="s">
        <v>2429</v>
      </c>
    </row>
    <row r="18" spans="2:3">
      <c r="C18" t="s">
        <v>2430</v>
      </c>
    </row>
    <row r="19" spans="2:3">
      <c r="C19" t="s">
        <v>2431</v>
      </c>
    </row>
    <row r="20" spans="2:3">
      <c r="C20" t="s">
        <v>2432</v>
      </c>
    </row>
    <row r="21" spans="2:3">
      <c r="C21" t="s">
        <v>2433</v>
      </c>
    </row>
    <row r="22" spans="2:3">
      <c r="C22" t="s">
        <v>2434</v>
      </c>
    </row>
    <row r="23" spans="2:3">
      <c r="B23" t="s">
        <v>2435</v>
      </c>
    </row>
    <row r="24" spans="2:3">
      <c r="C24" t="s">
        <v>2436</v>
      </c>
    </row>
    <row r="25" spans="2:3">
      <c r="C25" t="s">
        <v>2437</v>
      </c>
    </row>
    <row r="26" spans="2:3">
      <c r="B26" t="s">
        <v>2438</v>
      </c>
    </row>
    <row r="27" spans="2:3">
      <c r="C27" t="s">
        <v>2439</v>
      </c>
    </row>
    <row r="28" spans="2:3">
      <c r="C28" t="s">
        <v>2440</v>
      </c>
    </row>
    <row r="29" spans="2:3">
      <c r="C29" t="s">
        <v>2441</v>
      </c>
    </row>
    <row r="30" spans="2:3">
      <c r="B30" t="s">
        <v>2442</v>
      </c>
    </row>
    <row r="31" spans="2:3">
      <c r="C31" t="s">
        <v>2443</v>
      </c>
    </row>
    <row r="32" spans="2:3">
      <c r="C32" t="s">
        <v>2444</v>
      </c>
    </row>
    <row r="33" spans="3:3">
      <c r="C33" t="s">
        <v>2445</v>
      </c>
    </row>
  </sheetData>
  <pageMargins left="0.75" right="0.75" top="1" bottom="1" header="0.5" footer="0.5"/>
  <pageSetup paperSize="9" orientation="portrait"/>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topLeftCell="A13" workbookViewId="0">
      <selection activeCell="C22" sqref="C22"/>
    </sheetView>
  </sheetViews>
  <sheetFormatPr defaultColWidth="8.88888888888889" defaultRowHeight="14.4" outlineLevelCol="7"/>
  <cols>
    <col min="1" max="1" width="9.66666666666667"/>
  </cols>
  <sheetData>
    <row r="1" spans="1:8">
      <c r="A1" s="1">
        <f>SUM(B1:AZ1)</f>
        <v>7.33333333333333</v>
      </c>
      <c r="B1" s="1">
        <f t="shared" ref="B1:H1" si="0">COUNTA(B2:B2055)/COLUMN()</f>
        <v>2.5</v>
      </c>
      <c r="C1" s="1">
        <f t="shared" si="0"/>
        <v>4.33333333333333</v>
      </c>
      <c r="D1" s="1">
        <f t="shared" si="0"/>
        <v>0.5</v>
      </c>
      <c r="E1" s="1">
        <f t="shared" si="0"/>
        <v>0</v>
      </c>
      <c r="F1" s="1">
        <f t="shared" si="0"/>
        <v>0</v>
      </c>
      <c r="G1" s="1">
        <f t="shared" si="0"/>
        <v>0</v>
      </c>
      <c r="H1" s="1">
        <f t="shared" si="0"/>
        <v>0</v>
      </c>
    </row>
    <row r="2" spans="1:8">
      <c r="A2" t="str" cm="1">
        <f ca="1" t="array" ref="A2">_wpsfn.SHEETSNAME(A1)</f>
        <v>20251103</v>
      </c>
      <c r="B2" t="s">
        <v>2446</v>
      </c>
    </row>
    <row r="3" spans="1:8">
      <c r="C3" t="s">
        <v>2447</v>
      </c>
    </row>
    <row r="4" spans="1:8">
      <c r="D4" t="s">
        <v>2448</v>
      </c>
    </row>
    <row r="5" spans="1:8">
      <c r="C5" t="s">
        <v>2449</v>
      </c>
    </row>
    <row r="6" spans="1:8">
      <c r="B6" t="s">
        <v>2450</v>
      </c>
    </row>
    <row r="7" spans="1:8">
      <c r="B7" t="s">
        <v>2451</v>
      </c>
    </row>
    <row r="8" spans="1:8">
      <c r="B8" t="s">
        <v>2452</v>
      </c>
    </row>
    <row r="9" spans="1:8">
      <c r="C9" t="s">
        <v>2453</v>
      </c>
    </row>
    <row r="10" spans="1:8">
      <c r="C10" t="s">
        <v>2454</v>
      </c>
    </row>
    <row r="11" spans="1:8">
      <c r="C11" t="s">
        <v>2431</v>
      </c>
    </row>
    <row r="12" spans="1:8">
      <c r="C12" t="s">
        <v>2432</v>
      </c>
    </row>
    <row r="13" spans="1:8">
      <c r="C13" t="s">
        <v>2433</v>
      </c>
    </row>
    <row r="14" spans="1:8">
      <c r="C14" t="s">
        <v>2455</v>
      </c>
    </row>
    <row r="15" spans="1:8">
      <c r="D15" t="s">
        <v>2456</v>
      </c>
    </row>
    <row r="16" spans="1:8">
      <c r="C16" t="s">
        <v>2457</v>
      </c>
    </row>
    <row r="17" spans="2:3">
      <c r="C17" t="s">
        <v>2458</v>
      </c>
    </row>
    <row r="18" spans="2:3">
      <c r="B18" t="s">
        <v>2459</v>
      </c>
    </row>
    <row r="19" spans="2:3">
      <c r="C19" t="s">
        <v>2460</v>
      </c>
    </row>
    <row r="20" spans="2:3">
      <c r="C20" t="s">
        <v>2461</v>
      </c>
    </row>
    <row r="21" spans="2:3">
      <c r="C21" t="s">
        <v>2462</v>
      </c>
    </row>
  </sheetData>
  <pageMargins left="0.75" right="0.75" top="1" bottom="1" header="0.5" footer="0.5"/>
  <pageSetup paperSize="9" orientation="portrait"/>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workbookViewId="0">
      <selection activeCell="F10" sqref="F10"/>
    </sheetView>
  </sheetViews>
  <sheetFormatPr defaultColWidth="8.88888888888889" defaultRowHeight="14.4" outlineLevelCol="7"/>
  <cols>
    <col min="1" max="1" width="9.66666666666667"/>
  </cols>
  <sheetData>
    <row r="1" spans="1:8">
      <c r="A1" s="1">
        <f>SUM(B1:AZ1)</f>
        <v>6.25</v>
      </c>
      <c r="B1" s="1">
        <f t="shared" ref="B1:H1" si="0">COUNTA(B2:B2055)/COLUMN()</f>
        <v>3</v>
      </c>
      <c r="C1" s="1">
        <f t="shared" si="0"/>
        <v>3</v>
      </c>
      <c r="D1" s="1">
        <f t="shared" si="0"/>
        <v>0.25</v>
      </c>
      <c r="E1" s="1">
        <f t="shared" si="0"/>
        <v>0</v>
      </c>
      <c r="F1" s="1">
        <f t="shared" si="0"/>
        <v>0</v>
      </c>
      <c r="G1" s="1">
        <f t="shared" si="0"/>
        <v>0</v>
      </c>
      <c r="H1" s="1">
        <f t="shared" si="0"/>
        <v>0</v>
      </c>
    </row>
    <row r="2" spans="1:8">
      <c r="A2" t="str" cm="1">
        <f ca="1" t="array" ref="A2">_wpsfn.SHEETSNAME(A1)</f>
        <v>20251104</v>
      </c>
      <c r="B2" t="s">
        <v>2463</v>
      </c>
    </row>
    <row r="3" spans="1:8">
      <c r="B3" t="s">
        <v>2464</v>
      </c>
    </row>
    <row r="4" spans="1:8">
      <c r="C4" t="s">
        <v>2465</v>
      </c>
    </row>
    <row r="5" spans="1:8">
      <c r="B5" t="s">
        <v>2466</v>
      </c>
    </row>
    <row r="6" spans="1:8">
      <c r="C6" t="s">
        <v>2467</v>
      </c>
    </row>
    <row r="7" spans="1:8">
      <c r="B7" t="s">
        <v>2468</v>
      </c>
    </row>
    <row r="8" spans="1:8">
      <c r="C8" t="s">
        <v>2469</v>
      </c>
    </row>
    <row r="9" spans="1:8">
      <c r="C9" t="s">
        <v>2470</v>
      </c>
    </row>
    <row r="10" spans="1:8">
      <c r="C10" t="s">
        <v>2471</v>
      </c>
    </row>
    <row r="11" spans="1:8">
      <c r="D11" t="s">
        <v>2472</v>
      </c>
    </row>
    <row r="12" spans="1:8">
      <c r="B12" t="s">
        <v>2473</v>
      </c>
    </row>
    <row r="13" spans="1:8">
      <c r="C13" t="s">
        <v>2474</v>
      </c>
    </row>
    <row r="14" spans="1:8">
      <c r="B14" t="s">
        <v>2475</v>
      </c>
    </row>
    <row r="15" spans="1:8">
      <c r="C15" t="s">
        <v>2476</v>
      </c>
    </row>
    <row r="16" spans="1:8">
      <c r="C16" t="s">
        <v>2477</v>
      </c>
    </row>
    <row r="17" spans="3:3">
      <c r="C17" t="s">
        <v>2478</v>
      </c>
    </row>
  </sheetData>
  <pageMargins left="0.75" right="0.75" top="1" bottom="1" header="0.5" footer="0.5"/>
  <pageSetup paperSize="9" orientation="portrait"/>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2"/>
  <sheetViews>
    <sheetView zoomScale="160" zoomScaleNormal="160" workbookViewId="0">
      <selection activeCell="C33" sqref="C33"/>
    </sheetView>
  </sheetViews>
  <sheetFormatPr defaultColWidth="8.88888888888889" defaultRowHeight="14.4" outlineLevelCol="7"/>
  <cols>
    <col min="1" max="1" width="9.66666666666667"/>
  </cols>
  <sheetData>
    <row r="1" spans="1:8">
      <c r="A1" s="1">
        <f>SUM(B1:AZ1)</f>
        <v>10.5</v>
      </c>
      <c r="B1" s="1">
        <f t="shared" ref="B1:H1" si="0">COUNTA(B2:B2057)/COLUMN()</f>
        <v>3</v>
      </c>
      <c r="C1" s="1">
        <f t="shared" si="0"/>
        <v>5</v>
      </c>
      <c r="D1" s="1">
        <f t="shared" si="0"/>
        <v>2.5</v>
      </c>
      <c r="E1" s="1">
        <f t="shared" si="0"/>
        <v>0</v>
      </c>
      <c r="F1" s="1">
        <f t="shared" si="0"/>
        <v>0</v>
      </c>
      <c r="G1" s="1">
        <f t="shared" si="0"/>
        <v>0</v>
      </c>
      <c r="H1" s="1">
        <f t="shared" si="0"/>
        <v>0</v>
      </c>
    </row>
    <row r="2" spans="1:8">
      <c r="A2" t="str" cm="1">
        <f ca="1" t="array" ref="A2">_wpsfn.SHEETSNAME(A1)</f>
        <v>20251105</v>
      </c>
      <c r="B2" t="s">
        <v>2479</v>
      </c>
    </row>
    <row r="3" spans="1:8">
      <c r="C3" t="s">
        <v>2480</v>
      </c>
    </row>
    <row r="4" spans="1:8">
      <c r="D4" t="s">
        <v>2481</v>
      </c>
    </row>
    <row r="5" spans="1:8">
      <c r="D5" t="s">
        <v>2482</v>
      </c>
    </row>
    <row r="6" spans="1:8">
      <c r="D6" t="s">
        <v>2483</v>
      </c>
    </row>
    <row r="7" spans="1:8">
      <c r="C7" t="s">
        <v>2484</v>
      </c>
    </row>
    <row r="8" spans="1:8">
      <c r="B8" t="s">
        <v>2485</v>
      </c>
    </row>
    <row r="9" spans="1:8">
      <c r="C9" t="s">
        <v>2486</v>
      </c>
    </row>
    <row r="10" spans="1:8">
      <c r="B10" t="s">
        <v>2487</v>
      </c>
    </row>
    <row r="11" spans="1:8">
      <c r="C11" t="s">
        <v>2488</v>
      </c>
    </row>
    <row r="12" spans="1:8">
      <c r="C12" t="s">
        <v>2489</v>
      </c>
    </row>
    <row r="13" spans="1:8">
      <c r="C13" t="s">
        <v>2490</v>
      </c>
    </row>
    <row r="14" spans="1:8">
      <c r="B14" t="s">
        <v>2491</v>
      </c>
    </row>
    <row r="15" spans="1:8">
      <c r="C15" t="s">
        <v>2492</v>
      </c>
    </row>
    <row r="16" spans="1:8">
      <c r="D16" t="s">
        <v>2493</v>
      </c>
    </row>
    <row r="17" spans="2:4">
      <c r="D17" t="s">
        <v>2494</v>
      </c>
    </row>
    <row r="18" spans="2:4">
      <c r="C18" t="s">
        <v>2495</v>
      </c>
    </row>
    <row r="19" spans="2:4">
      <c r="D19" t="s">
        <v>2496</v>
      </c>
    </row>
    <row r="20" spans="2:4">
      <c r="D20" t="s">
        <v>2497</v>
      </c>
    </row>
    <row r="21" spans="2:4">
      <c r="C21" t="s">
        <v>2498</v>
      </c>
    </row>
    <row r="22" spans="2:4">
      <c r="D22" t="s">
        <v>2499</v>
      </c>
    </row>
    <row r="23" spans="2:4">
      <c r="C23" t="s">
        <v>2500</v>
      </c>
    </row>
    <row r="24" spans="2:4">
      <c r="D24" t="s">
        <v>2501</v>
      </c>
    </row>
    <row r="25" spans="2:4">
      <c r="D25" t="s">
        <v>2502</v>
      </c>
    </row>
    <row r="26" spans="2:4">
      <c r="B26" t="s">
        <v>2503</v>
      </c>
    </row>
    <row r="27" spans="2:4">
      <c r="C27" t="s">
        <v>2504</v>
      </c>
    </row>
    <row r="28" spans="2:4">
      <c r="B28" t="s">
        <v>2505</v>
      </c>
    </row>
    <row r="29" spans="2:4">
      <c r="C29" t="s">
        <v>2506</v>
      </c>
    </row>
    <row r="30" spans="2:4">
      <c r="C30" t="s">
        <v>2507</v>
      </c>
    </row>
    <row r="31" spans="2:4">
      <c r="C31" t="s">
        <v>2508</v>
      </c>
    </row>
    <row r="32" spans="2:4">
      <c r="C32" t="s">
        <v>2509</v>
      </c>
    </row>
  </sheetData>
  <pageMargins left="0.75" right="0.75" top="1" bottom="1" header="0.5" footer="0.5"/>
  <pageSetup paperSize="9" orientation="portrait"/>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9"/>
  <sheetViews>
    <sheetView zoomScale="130" zoomScaleNormal="130" workbookViewId="0">
      <selection activeCell="E46" sqref="E46"/>
    </sheetView>
  </sheetViews>
  <sheetFormatPr defaultColWidth="8.88888888888889" defaultRowHeight="14.4" outlineLevelCol="7"/>
  <cols>
    <col min="1" max="1" width="9.66666666666667"/>
  </cols>
  <sheetData>
    <row r="1" spans="1:8">
      <c r="A1" s="1">
        <f>SUM(B1:AZ1)</f>
        <v>16.6452380952381</v>
      </c>
      <c r="B1" s="1">
        <f t="shared" ref="B1:H1" si="0">COUNTA(B2:B2059)/COLUMN()</f>
        <v>1.5</v>
      </c>
      <c r="C1" s="1">
        <f t="shared" si="0"/>
        <v>3.66666666666667</v>
      </c>
      <c r="D1" s="1">
        <f t="shared" si="0"/>
        <v>5.75</v>
      </c>
      <c r="E1" s="1">
        <f t="shared" si="0"/>
        <v>3.8</v>
      </c>
      <c r="F1" s="1">
        <f t="shared" si="0"/>
        <v>1.5</v>
      </c>
      <c r="G1" s="1">
        <f t="shared" si="0"/>
        <v>0.428571428571429</v>
      </c>
      <c r="H1" s="1">
        <f t="shared" si="0"/>
        <v>0</v>
      </c>
    </row>
    <row r="2" spans="1:8">
      <c r="A2" t="str" cm="1">
        <f ca="1" t="array" ref="A2">_wpsfn.SHEETSNAME(A1)</f>
        <v>20251106</v>
      </c>
      <c r="B2" t="s">
        <v>2510</v>
      </c>
    </row>
    <row r="3" spans="1:8">
      <c r="C3" t="s">
        <v>2511</v>
      </c>
    </row>
    <row r="4" spans="1:8">
      <c r="D4" t="s">
        <v>2512</v>
      </c>
    </row>
    <row r="5" spans="1:8">
      <c r="C5" t="s">
        <v>2513</v>
      </c>
    </row>
    <row r="6" spans="1:8">
      <c r="D6" t="s">
        <v>2514</v>
      </c>
    </row>
    <row r="7" spans="1:8">
      <c r="C7" t="s">
        <v>2515</v>
      </c>
    </row>
    <row r="8" spans="1:8">
      <c r="D8" t="s">
        <v>2516</v>
      </c>
    </row>
    <row r="9" spans="1:8">
      <c r="D9" t="s">
        <v>2517</v>
      </c>
    </row>
    <row r="10" spans="1:8">
      <c r="E10" t="s">
        <v>2518</v>
      </c>
    </row>
    <row r="11" spans="1:8">
      <c r="D11" t="s">
        <v>2519</v>
      </c>
    </row>
    <row r="12" spans="1:8">
      <c r="E12" t="s">
        <v>2520</v>
      </c>
    </row>
    <row r="13" spans="1:8">
      <c r="E13" t="s">
        <v>2521</v>
      </c>
    </row>
    <row r="14" spans="1:8">
      <c r="E14" t="s">
        <v>2522</v>
      </c>
    </row>
    <row r="15" spans="1:8">
      <c r="E15" t="s">
        <v>2523</v>
      </c>
    </row>
    <row r="16" spans="1:8">
      <c r="B16" t="s">
        <v>2524</v>
      </c>
    </row>
    <row r="17" spans="3:5">
      <c r="C17" t="s">
        <v>2525</v>
      </c>
    </row>
    <row r="18" spans="3:5">
      <c r="D18" t="s">
        <v>2526</v>
      </c>
    </row>
    <row r="19" spans="3:5">
      <c r="E19" t="s">
        <v>2527</v>
      </c>
    </row>
    <row r="20" spans="3:5">
      <c r="E20" t="s">
        <v>2528</v>
      </c>
    </row>
    <row r="21" spans="3:5">
      <c r="D21" t="s">
        <v>2529</v>
      </c>
    </row>
    <row r="22" spans="3:5">
      <c r="D22" t="s">
        <v>2530</v>
      </c>
    </row>
    <row r="23" spans="3:5">
      <c r="E23" t="s">
        <v>2531</v>
      </c>
    </row>
    <row r="24" spans="3:5">
      <c r="E24" t="s">
        <v>2532</v>
      </c>
    </row>
    <row r="25" spans="3:5">
      <c r="C25" t="s">
        <v>2533</v>
      </c>
    </row>
    <row r="26" spans="3:5">
      <c r="D26" t="s">
        <v>2534</v>
      </c>
    </row>
    <row r="27" spans="3:5">
      <c r="E27" t="s">
        <v>2535</v>
      </c>
    </row>
    <row r="28" spans="3:5">
      <c r="E28" t="s">
        <v>2536</v>
      </c>
    </row>
    <row r="29" spans="3:5">
      <c r="D29" t="s">
        <v>2537</v>
      </c>
    </row>
    <row r="30" spans="3:5">
      <c r="E30" t="s">
        <v>2538</v>
      </c>
    </row>
    <row r="31" spans="3:5">
      <c r="E31" t="s">
        <v>2539</v>
      </c>
    </row>
    <row r="32" spans="3:5">
      <c r="C32" t="s">
        <v>2540</v>
      </c>
    </row>
    <row r="33" spans="4:7">
      <c r="D33" t="s">
        <v>2541</v>
      </c>
    </row>
    <row r="34" spans="4:7">
      <c r="E34" t="s">
        <v>2542</v>
      </c>
    </row>
    <row r="35" spans="4:7">
      <c r="F35" t="s">
        <v>2543</v>
      </c>
    </row>
    <row r="36" spans="4:7">
      <c r="F36" t="s">
        <v>2544</v>
      </c>
    </row>
    <row r="37" spans="4:7">
      <c r="E37" t="s">
        <v>2545</v>
      </c>
    </row>
    <row r="38" spans="4:7">
      <c r="F38" t="s">
        <v>2546</v>
      </c>
    </row>
    <row r="39" spans="4:7">
      <c r="F39" t="s">
        <v>2547</v>
      </c>
    </row>
    <row r="40" spans="4:7">
      <c r="E40" t="s">
        <v>2548</v>
      </c>
    </row>
    <row r="41" spans="4:7">
      <c r="D41" t="s">
        <v>2549</v>
      </c>
    </row>
    <row r="42" spans="4:7">
      <c r="E42" t="s">
        <v>2550</v>
      </c>
    </row>
    <row r="43" spans="4:7">
      <c r="F43" t="s">
        <v>2551</v>
      </c>
    </row>
    <row r="44" spans="4:7">
      <c r="F44" t="s">
        <v>2552</v>
      </c>
    </row>
    <row r="45" spans="4:7">
      <c r="E45" t="s">
        <v>2553</v>
      </c>
    </row>
    <row r="46" spans="4:7">
      <c r="F46" t="s">
        <v>2554</v>
      </c>
    </row>
    <row r="47" spans="4:7">
      <c r="G47" t="s">
        <v>2555</v>
      </c>
    </row>
    <row r="48" spans="4:7">
      <c r="G48" t="s">
        <v>2556</v>
      </c>
    </row>
    <row r="49" spans="2:7">
      <c r="F49" t="s">
        <v>2557</v>
      </c>
    </row>
    <row r="50" spans="2:7">
      <c r="G50" t="s">
        <v>2558</v>
      </c>
    </row>
    <row r="51" spans="2:7">
      <c r="E51" t="s">
        <v>2559</v>
      </c>
    </row>
    <row r="52" spans="2:7">
      <c r="F52" t="s">
        <v>2560</v>
      </c>
    </row>
    <row r="53" spans="2:7">
      <c r="B53" t="s">
        <v>2561</v>
      </c>
    </row>
    <row r="54" spans="2:7">
      <c r="C54" t="s">
        <v>2562</v>
      </c>
    </row>
    <row r="55" spans="2:7">
      <c r="C55" t="s">
        <v>2563</v>
      </c>
    </row>
    <row r="56" spans="2:7">
      <c r="D56" t="s">
        <v>2564</v>
      </c>
    </row>
    <row r="57" spans="2:7">
      <c r="D57" t="s">
        <v>2565</v>
      </c>
    </row>
    <row r="58" spans="2:7">
      <c r="D58" t="s">
        <v>2566</v>
      </c>
    </row>
    <row r="59" spans="2:7">
      <c r="C59" t="s">
        <v>2567</v>
      </c>
    </row>
    <row r="60" spans="2:7">
      <c r="D60" t="s">
        <v>2568</v>
      </c>
    </row>
    <row r="61" spans="2:7">
      <c r="D61" t="s">
        <v>2569</v>
      </c>
    </row>
    <row r="62" spans="2:7">
      <c r="D62" t="s">
        <v>2570</v>
      </c>
    </row>
    <row r="63" spans="2:7">
      <c r="D63" t="s">
        <v>2571</v>
      </c>
    </row>
    <row r="64" spans="2:7">
      <c r="C64" t="s">
        <v>2572</v>
      </c>
    </row>
    <row r="65" spans="3:4">
      <c r="D65" t="s">
        <v>2573</v>
      </c>
    </row>
    <row r="66" spans="3:4">
      <c r="D66" t="s">
        <v>2574</v>
      </c>
    </row>
    <row r="67" spans="3:4">
      <c r="C67" t="s">
        <v>2575</v>
      </c>
    </row>
    <row r="68" spans="3:4">
      <c r="D68" t="s">
        <v>2576</v>
      </c>
    </row>
    <row r="69" spans="3:4">
      <c r="D69" t="s">
        <v>2577</v>
      </c>
    </row>
  </sheetData>
  <pageMargins left="0.75" right="0.75" top="1" bottom="1" header="0.5" footer="0.5"/>
  <pageSetup paperSize="9" orientation="portrait"/>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0"/>
  <sheetViews>
    <sheetView zoomScale="130" zoomScaleNormal="130" topLeftCell="A5" workbookViewId="0">
      <selection activeCell="F82" sqref="F82"/>
    </sheetView>
  </sheetViews>
  <sheetFormatPr defaultColWidth="8.88888888888889" defaultRowHeight="14.4" outlineLevelCol="7"/>
  <cols>
    <col min="1" max="1" width="9.66666666666667"/>
  </cols>
  <sheetData>
    <row r="1" spans="1:8">
      <c r="A1" s="1">
        <f>SUM(B1:AZ1)</f>
        <v>20.7666666666667</v>
      </c>
      <c r="B1" s="1">
        <f t="shared" ref="B1:H1" si="0">COUNTA(B2:B2063)/COLUMN()</f>
        <v>4</v>
      </c>
      <c r="C1" s="1">
        <f t="shared" si="0"/>
        <v>8.66666666666667</v>
      </c>
      <c r="D1" s="1">
        <f t="shared" si="0"/>
        <v>5.5</v>
      </c>
      <c r="E1" s="1">
        <f t="shared" si="0"/>
        <v>2.6</v>
      </c>
      <c r="F1" s="1">
        <f t="shared" si="0"/>
        <v>0</v>
      </c>
      <c r="G1" s="1">
        <f t="shared" si="0"/>
        <v>0</v>
      </c>
      <c r="H1" s="1">
        <f t="shared" si="0"/>
        <v>0</v>
      </c>
    </row>
    <row r="2" spans="1:8">
      <c r="A2" t="str" cm="1">
        <f ca="1" t="array" ref="A2">_wpsfn.SHEETSNAME(A1)</f>
        <v>20251107</v>
      </c>
      <c r="B2" t="s">
        <v>2578</v>
      </c>
    </row>
    <row r="3" spans="1:8">
      <c r="C3" t="s">
        <v>2579</v>
      </c>
    </row>
    <row r="4" spans="1:8">
      <c r="D4" t="s">
        <v>2580</v>
      </c>
    </row>
    <row r="5" spans="1:8">
      <c r="D5" t="s">
        <v>2581</v>
      </c>
    </row>
    <row r="6" spans="1:8">
      <c r="C6" t="s">
        <v>2582</v>
      </c>
    </row>
    <row r="7" spans="1:8">
      <c r="D7" t="s">
        <v>2583</v>
      </c>
    </row>
    <row r="8" spans="1:8">
      <c r="D8" t="s">
        <v>2584</v>
      </c>
    </row>
    <row r="9" spans="1:8">
      <c r="C9" t="s">
        <v>2585</v>
      </c>
    </row>
    <row r="10" spans="1:8">
      <c r="D10" t="s">
        <v>2586</v>
      </c>
    </row>
    <row r="11" spans="1:8">
      <c r="B11" t="s">
        <v>2587</v>
      </c>
    </row>
    <row r="12" spans="1:8">
      <c r="C12" t="s">
        <v>2588</v>
      </c>
    </row>
    <row r="13" spans="1:8">
      <c r="C13" t="s">
        <v>2589</v>
      </c>
    </row>
    <row r="14" spans="1:8">
      <c r="C14" t="s">
        <v>2590</v>
      </c>
    </row>
    <row r="15" spans="1:8">
      <c r="C15" t="s">
        <v>2591</v>
      </c>
    </row>
    <row r="16" spans="1:8">
      <c r="D16" t="s">
        <v>2592</v>
      </c>
    </row>
    <row r="17" spans="2:5">
      <c r="D17" t="s">
        <v>2593</v>
      </c>
    </row>
    <row r="18" spans="2:5">
      <c r="D18" t="s">
        <v>2594</v>
      </c>
    </row>
    <row r="19" spans="2:5">
      <c r="D19" t="s">
        <v>2595</v>
      </c>
    </row>
    <row r="20" spans="2:5">
      <c r="C20" t="s">
        <v>2596</v>
      </c>
    </row>
    <row r="21" spans="2:5">
      <c r="B21" t="s">
        <v>2597</v>
      </c>
    </row>
    <row r="22" spans="2:5">
      <c r="C22" t="s">
        <v>2598</v>
      </c>
    </row>
    <row r="23" spans="2:5">
      <c r="D23" t="s">
        <v>2599</v>
      </c>
    </row>
    <row r="24" spans="2:5">
      <c r="E24" t="s">
        <v>2600</v>
      </c>
    </row>
    <row r="25" spans="2:5">
      <c r="E25" t="s">
        <v>2601</v>
      </c>
    </row>
    <row r="26" spans="2:5">
      <c r="D26" t="s">
        <v>2602</v>
      </c>
    </row>
    <row r="27" spans="2:5">
      <c r="E27" t="s">
        <v>2603</v>
      </c>
    </row>
    <row r="28" spans="2:5">
      <c r="D28" t="s">
        <v>2604</v>
      </c>
    </row>
    <row r="29" spans="2:5">
      <c r="E29" t="s">
        <v>2605</v>
      </c>
    </row>
    <row r="30" spans="2:5">
      <c r="E30" t="s">
        <v>2606</v>
      </c>
    </row>
    <row r="31" spans="2:5">
      <c r="C31" t="s">
        <v>2607</v>
      </c>
    </row>
    <row r="32" spans="2:5">
      <c r="D32" t="s">
        <v>2608</v>
      </c>
    </row>
    <row r="33" spans="2:5">
      <c r="E33" t="s">
        <v>2609</v>
      </c>
    </row>
    <row r="34" spans="2:5">
      <c r="E34" t="s">
        <v>2610</v>
      </c>
    </row>
    <row r="35" spans="2:5">
      <c r="E35" t="s">
        <v>2611</v>
      </c>
    </row>
    <row r="36" spans="2:5">
      <c r="D36" t="s">
        <v>2612</v>
      </c>
    </row>
    <row r="37" spans="2:5">
      <c r="E37" t="s">
        <v>2613</v>
      </c>
    </row>
    <row r="38" spans="2:5">
      <c r="E38" t="s">
        <v>2614</v>
      </c>
    </row>
    <row r="39" spans="2:5">
      <c r="D39" t="s">
        <v>2615</v>
      </c>
    </row>
    <row r="40" spans="2:5">
      <c r="E40" t="s">
        <v>2616</v>
      </c>
    </row>
    <row r="41" spans="2:5">
      <c r="E41" t="s">
        <v>2617</v>
      </c>
    </row>
    <row r="42" spans="2:5">
      <c r="D42" t="s">
        <v>2618</v>
      </c>
    </row>
    <row r="43" spans="2:5">
      <c r="B43" t="s">
        <v>2619</v>
      </c>
    </row>
    <row r="44" spans="2:5">
      <c r="C44" t="s">
        <v>2620</v>
      </c>
    </row>
    <row r="45" spans="2:5">
      <c r="D45" t="s">
        <v>2621</v>
      </c>
    </row>
    <row r="46" spans="2:5">
      <c r="C46" t="s">
        <v>2622</v>
      </c>
    </row>
    <row r="47" spans="2:5">
      <c r="C47" t="s">
        <v>2623</v>
      </c>
    </row>
    <row r="48" spans="2:5">
      <c r="D48" t="s">
        <v>2624</v>
      </c>
    </row>
    <row r="49" spans="2:5">
      <c r="D49" t="s">
        <v>2625</v>
      </c>
    </row>
    <row r="50" spans="2:5">
      <c r="D50" t="s">
        <v>2626</v>
      </c>
    </row>
    <row r="51" spans="2:5">
      <c r="C51" t="s">
        <v>2627</v>
      </c>
    </row>
    <row r="52" spans="2:5">
      <c r="B52" t="s">
        <v>2628</v>
      </c>
    </row>
    <row r="53" spans="2:5">
      <c r="C53" t="s">
        <v>2629</v>
      </c>
    </row>
    <row r="54" spans="2:5">
      <c r="C54" t="s">
        <v>2630</v>
      </c>
    </row>
    <row r="55" spans="2:5">
      <c r="B55" t="s">
        <v>2631</v>
      </c>
    </row>
    <row r="56" spans="2:5">
      <c r="C56" t="s">
        <v>2632</v>
      </c>
    </row>
    <row r="57" spans="2:5">
      <c r="C57" t="s">
        <v>2633</v>
      </c>
    </row>
    <row r="58" spans="2:5">
      <c r="C58" t="s">
        <v>2634</v>
      </c>
    </row>
    <row r="59" spans="2:5">
      <c r="D59" t="s">
        <v>2635</v>
      </c>
    </row>
    <row r="60" spans="2:5">
      <c r="E60" t="s">
        <v>2636</v>
      </c>
    </row>
    <row r="61" spans="2:5">
      <c r="D61" t="s">
        <v>2637</v>
      </c>
    </row>
    <row r="62" spans="2:5">
      <c r="C62" t="s">
        <v>2638</v>
      </c>
    </row>
    <row r="63" spans="2:5">
      <c r="B63" t="s">
        <v>2639</v>
      </c>
    </row>
    <row r="64" spans="2:5">
      <c r="C64" t="s">
        <v>2640</v>
      </c>
    </row>
    <row r="65" spans="2:3">
      <c r="C65" t="s">
        <v>2641</v>
      </c>
    </row>
    <row r="66" spans="2:3">
      <c r="B66" t="s">
        <v>2642</v>
      </c>
    </row>
    <row r="67" spans="2:3">
      <c r="C67" t="s">
        <v>2643</v>
      </c>
    </row>
    <row r="68" spans="2:3">
      <c r="C68" t="s">
        <v>2644</v>
      </c>
    </row>
    <row r="69" spans="2:3">
      <c r="C69" t="s">
        <v>2645</v>
      </c>
    </row>
    <row r="70" spans="2:3">
      <c r="C70" t="s">
        <v>2646</v>
      </c>
    </row>
  </sheetData>
  <pageMargins left="0.75" right="0.75" top="1" bottom="1" header="0.5" footer="0.5"/>
  <pageSetup paperSize="9" orientation="portrait"/>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84"/>
  <sheetViews>
    <sheetView zoomScale="130" zoomScaleNormal="130" topLeftCell="A81" workbookViewId="0">
      <selection activeCell="F5" sqref="F5"/>
    </sheetView>
  </sheetViews>
  <sheetFormatPr defaultColWidth="8.88888888888889" defaultRowHeight="14.4" outlineLevelCol="7"/>
  <cols>
    <col min="1" max="1" width="9.66666666666667"/>
  </cols>
  <sheetData>
    <row r="1" spans="1:8">
      <c r="A1" s="1">
        <f>SUM(B1:AZ1)</f>
        <v>26.9</v>
      </c>
      <c r="B1" s="1">
        <f t="shared" ref="B1:H1" si="0">COUNTA(B2:B2078)/COLUMN()</f>
        <v>7.5</v>
      </c>
      <c r="C1" s="1">
        <f t="shared" si="0"/>
        <v>10</v>
      </c>
      <c r="D1" s="1">
        <f t="shared" si="0"/>
        <v>9</v>
      </c>
      <c r="E1" s="1">
        <f t="shared" si="0"/>
        <v>0.4</v>
      </c>
      <c r="F1" s="1">
        <f t="shared" si="0"/>
        <v>0</v>
      </c>
      <c r="G1" s="1">
        <f t="shared" si="0"/>
        <v>0</v>
      </c>
      <c r="H1" s="1">
        <f t="shared" si="0"/>
        <v>0</v>
      </c>
    </row>
    <row r="2" spans="1:8">
      <c r="A2" t="str" cm="1">
        <f ca="1" t="array" ref="A2">_wpsfn.SHEETSNAME(A1)</f>
        <v>20251108</v>
      </c>
      <c r="B2" t="s">
        <v>2647</v>
      </c>
    </row>
    <row r="3" spans="1:8">
      <c r="C3" t="s">
        <v>2648</v>
      </c>
    </row>
    <row r="4" spans="1:8">
      <c r="D4" t="s">
        <v>2649</v>
      </c>
    </row>
    <row r="5" spans="1:8">
      <c r="D5" t="s">
        <v>2650</v>
      </c>
    </row>
    <row r="6" spans="1:8">
      <c r="C6" t="s">
        <v>2651</v>
      </c>
    </row>
    <row r="7" spans="1:8">
      <c r="D7" t="s">
        <v>2652</v>
      </c>
    </row>
    <row r="8" spans="1:8">
      <c r="D8" t="s">
        <v>2653</v>
      </c>
    </row>
    <row r="9" spans="1:8">
      <c r="B9" t="s">
        <v>2654</v>
      </c>
    </row>
    <row r="10" spans="1:8">
      <c r="C10" t="s">
        <v>2655</v>
      </c>
    </row>
    <row r="11" spans="1:8">
      <c r="D11" t="s">
        <v>2656</v>
      </c>
    </row>
    <row r="12" spans="1:8">
      <c r="D12" t="s">
        <v>2657</v>
      </c>
    </row>
    <row r="13" spans="1:8">
      <c r="D13" t="s">
        <v>2658</v>
      </c>
    </row>
    <row r="14" spans="1:8">
      <c r="C14" t="s">
        <v>2659</v>
      </c>
    </row>
    <row r="15" spans="1:8">
      <c r="D15" t="s">
        <v>2660</v>
      </c>
    </row>
    <row r="16" spans="1:8">
      <c r="D16" t="s">
        <v>2661</v>
      </c>
    </row>
    <row r="17" spans="2:4">
      <c r="C17" t="s">
        <v>2662</v>
      </c>
    </row>
    <row r="18" spans="2:4">
      <c r="D18" t="s">
        <v>2663</v>
      </c>
    </row>
    <row r="19" spans="2:4">
      <c r="D19" t="s">
        <v>2664</v>
      </c>
    </row>
    <row r="20" spans="2:4">
      <c r="C20" t="s">
        <v>2665</v>
      </c>
    </row>
    <row r="21" spans="2:4">
      <c r="D21" t="s">
        <v>2666</v>
      </c>
    </row>
    <row r="22" spans="2:4">
      <c r="D22" t="s">
        <v>2667</v>
      </c>
    </row>
    <row r="23" spans="2:4">
      <c r="C23" t="s">
        <v>2668</v>
      </c>
    </row>
    <row r="24" spans="2:4">
      <c r="D24" t="s">
        <v>2669</v>
      </c>
    </row>
    <row r="25" spans="2:4">
      <c r="D25" t="s">
        <v>2670</v>
      </c>
    </row>
    <row r="26" spans="2:4">
      <c r="C26" t="s">
        <v>2671</v>
      </c>
    </row>
    <row r="27" spans="2:4">
      <c r="D27" t="s">
        <v>2672</v>
      </c>
    </row>
    <row r="28" spans="2:4">
      <c r="D28" t="s">
        <v>2673</v>
      </c>
    </row>
    <row r="29" spans="2:4">
      <c r="D29" t="s">
        <v>2674</v>
      </c>
    </row>
    <row r="30" spans="2:4">
      <c r="C30" t="s">
        <v>2675</v>
      </c>
    </row>
    <row r="31" spans="2:4">
      <c r="D31" t="s">
        <v>2676</v>
      </c>
    </row>
    <row r="32" spans="2:4">
      <c r="B32" t="s">
        <v>2677</v>
      </c>
    </row>
    <row r="33" spans="2:5">
      <c r="C33" t="s">
        <v>2678</v>
      </c>
    </row>
    <row r="34" spans="2:5">
      <c r="C34" t="s">
        <v>2679</v>
      </c>
    </row>
    <row r="35" spans="2:5">
      <c r="C35" t="s">
        <v>2680</v>
      </c>
    </row>
    <row r="36" spans="2:5">
      <c r="D36" t="s">
        <v>2681</v>
      </c>
    </row>
    <row r="37" spans="2:5">
      <c r="D37" t="s">
        <v>2682</v>
      </c>
    </row>
    <row r="38" spans="2:5">
      <c r="D38" t="s">
        <v>2683</v>
      </c>
    </row>
    <row r="39" spans="2:5">
      <c r="C39" t="s">
        <v>2684</v>
      </c>
    </row>
    <row r="40" spans="2:5">
      <c r="D40" t="s">
        <v>2681</v>
      </c>
    </row>
    <row r="41" spans="2:5">
      <c r="D41" t="s">
        <v>2682</v>
      </c>
    </row>
    <row r="42" spans="2:5">
      <c r="D42" t="s">
        <v>2685</v>
      </c>
    </row>
    <row r="43" spans="2:5">
      <c r="E43" t="s">
        <v>2686</v>
      </c>
    </row>
    <row r="44" spans="2:5">
      <c r="E44" t="s">
        <v>2687</v>
      </c>
    </row>
    <row r="45" spans="2:5">
      <c r="B45" t="s">
        <v>2688</v>
      </c>
    </row>
    <row r="46" spans="2:5">
      <c r="C46" t="s">
        <v>2689</v>
      </c>
    </row>
    <row r="47" spans="2:5">
      <c r="C47" t="s">
        <v>2690</v>
      </c>
    </row>
    <row r="48" spans="2:5">
      <c r="B48" t="s">
        <v>2691</v>
      </c>
    </row>
    <row r="49" spans="2:4">
      <c r="C49" t="s">
        <v>2692</v>
      </c>
    </row>
    <row r="50" spans="2:4">
      <c r="D50" t="s">
        <v>2693</v>
      </c>
    </row>
    <row r="51" spans="2:4">
      <c r="D51" t="s">
        <v>2694</v>
      </c>
    </row>
    <row r="52" spans="2:4">
      <c r="D52" t="s">
        <v>2695</v>
      </c>
    </row>
    <row r="53" spans="2:4">
      <c r="C53" t="s">
        <v>2696</v>
      </c>
    </row>
    <row r="54" spans="2:4">
      <c r="D54" t="s">
        <v>2697</v>
      </c>
    </row>
    <row r="55" spans="2:4">
      <c r="D55" t="s">
        <v>2698</v>
      </c>
    </row>
    <row r="56" spans="2:4">
      <c r="D56" t="s">
        <v>2699</v>
      </c>
    </row>
    <row r="57" spans="2:4">
      <c r="C57" t="s">
        <v>2700</v>
      </c>
    </row>
    <row r="58" spans="2:4">
      <c r="D58" t="s">
        <v>2701</v>
      </c>
    </row>
    <row r="59" spans="2:4">
      <c r="D59" t="s">
        <v>2702</v>
      </c>
    </row>
    <row r="60" spans="2:4">
      <c r="D60" t="s">
        <v>2703</v>
      </c>
    </row>
    <row r="61" spans="2:4">
      <c r="B61" t="s">
        <v>2704</v>
      </c>
    </row>
    <row r="62" spans="2:4">
      <c r="B62" t="s">
        <v>2705</v>
      </c>
    </row>
    <row r="63" spans="2:4">
      <c r="B63" t="s">
        <v>2706</v>
      </c>
    </row>
    <row r="64" spans="2:4">
      <c r="C64" t="s">
        <v>2707</v>
      </c>
    </row>
    <row r="65" spans="2:4">
      <c r="C65" t="s">
        <v>2708</v>
      </c>
    </row>
    <row r="66" spans="2:4">
      <c r="C66" t="s">
        <v>2709</v>
      </c>
    </row>
    <row r="67" spans="2:4">
      <c r="B67" t="s">
        <v>2710</v>
      </c>
    </row>
    <row r="68" spans="2:4">
      <c r="B68" t="s">
        <v>2711</v>
      </c>
    </row>
    <row r="69" spans="2:4">
      <c r="B69" t="s">
        <v>2712</v>
      </c>
    </row>
    <row r="70" spans="2:4">
      <c r="C70" t="s">
        <v>2713</v>
      </c>
    </row>
    <row r="71" spans="2:4">
      <c r="C71" t="s">
        <v>2714</v>
      </c>
    </row>
    <row r="72" spans="2:4">
      <c r="B72" t="s">
        <v>2715</v>
      </c>
    </row>
    <row r="73" spans="2:4">
      <c r="C73" t="s">
        <v>2716</v>
      </c>
    </row>
    <row r="74" spans="2:4">
      <c r="D74" t="s">
        <v>2717</v>
      </c>
    </row>
    <row r="75" spans="2:4">
      <c r="C75" t="s">
        <v>2718</v>
      </c>
    </row>
    <row r="76" spans="2:4">
      <c r="D76" t="s">
        <v>2719</v>
      </c>
    </row>
    <row r="77" spans="2:4">
      <c r="C77" t="s">
        <v>2720</v>
      </c>
    </row>
    <row r="78" spans="2:4">
      <c r="B78" t="s">
        <v>2721</v>
      </c>
    </row>
    <row r="79" spans="2:4">
      <c r="B79" t="s">
        <v>2722</v>
      </c>
    </row>
    <row r="80" spans="2:4">
      <c r="C80" t="s">
        <v>2723</v>
      </c>
    </row>
    <row r="81" spans="2:3">
      <c r="B81" t="s">
        <v>2724</v>
      </c>
    </row>
    <row r="82" spans="2:3">
      <c r="C82" t="s">
        <v>2725</v>
      </c>
    </row>
    <row r="83" spans="2:3">
      <c r="C83" t="s">
        <v>2726</v>
      </c>
    </row>
    <row r="84" spans="2:3">
      <c r="C84" t="s">
        <v>2727</v>
      </c>
    </row>
  </sheetData>
  <pageMargins left="0.75" right="0.75" top="1" bottom="1" header="0.5" footer="0.5"/>
  <pageSetup paperSize="9" orientation="portrait"/>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7"/>
  <sheetViews>
    <sheetView zoomScale="130" zoomScaleNormal="130" topLeftCell="A17" workbookViewId="0">
      <selection activeCell="C18" sqref="C18"/>
    </sheetView>
  </sheetViews>
  <sheetFormatPr defaultColWidth="8.88888888888889" defaultRowHeight="14.4" outlineLevelCol="7"/>
  <cols>
    <col min="1" max="1" width="9.66666666666667"/>
  </cols>
  <sheetData>
    <row r="1" spans="1:8">
      <c r="A1" s="1">
        <f>SUM(B1:AZ1)</f>
        <v>12.55</v>
      </c>
      <c r="B1" s="1">
        <f t="shared" ref="B1:H1" si="0">COUNTA(B2:B2078)/COLUMN()</f>
        <v>4.5</v>
      </c>
      <c r="C1" s="1">
        <f t="shared" si="0"/>
        <v>6</v>
      </c>
      <c r="D1" s="1">
        <f t="shared" si="0"/>
        <v>1.25</v>
      </c>
      <c r="E1" s="1">
        <f t="shared" si="0"/>
        <v>0.8</v>
      </c>
      <c r="F1" s="1">
        <f t="shared" si="0"/>
        <v>0</v>
      </c>
      <c r="G1" s="1">
        <f t="shared" si="0"/>
        <v>0</v>
      </c>
      <c r="H1" s="1">
        <f t="shared" si="0"/>
        <v>0</v>
      </c>
    </row>
    <row r="2" spans="1:8">
      <c r="A2" t="str" cm="1">
        <f ca="1" t="array" ref="A2">_wpsfn.SHEETSNAME(A1)</f>
        <v>20251109</v>
      </c>
      <c r="B2" t="s">
        <v>2728</v>
      </c>
    </row>
    <row r="3" spans="1:8">
      <c r="C3" t="s">
        <v>2729</v>
      </c>
    </row>
    <row r="4" spans="1:8">
      <c r="C4" t="s">
        <v>2730</v>
      </c>
    </row>
    <row r="5" spans="1:8">
      <c r="B5" t="s">
        <v>2731</v>
      </c>
    </row>
    <row r="6" spans="1:8">
      <c r="C6" t="s">
        <v>2732</v>
      </c>
    </row>
    <row r="7" spans="1:8">
      <c r="C7" t="s">
        <v>2733</v>
      </c>
    </row>
    <row r="8" spans="1:8">
      <c r="B8" t="s">
        <v>2734</v>
      </c>
    </row>
    <row r="9" spans="1:8">
      <c r="B9" t="s">
        <v>2735</v>
      </c>
    </row>
    <row r="10" spans="1:8">
      <c r="C10" t="s">
        <v>2736</v>
      </c>
    </row>
    <row r="11" spans="1:8">
      <c r="C11" t="s">
        <v>2737</v>
      </c>
    </row>
    <row r="12" spans="1:8">
      <c r="B12" t="s">
        <v>2738</v>
      </c>
    </row>
    <row r="13" spans="1:8">
      <c r="C13" t="s">
        <v>2739</v>
      </c>
    </row>
    <row r="14" spans="1:8">
      <c r="C14" t="s">
        <v>2740</v>
      </c>
    </row>
    <row r="15" spans="1:8">
      <c r="D15" t="s">
        <v>2741</v>
      </c>
    </row>
    <row r="16" spans="1:8">
      <c r="B16" t="s">
        <v>2742</v>
      </c>
    </row>
    <row r="17" spans="2:5">
      <c r="B17" t="s">
        <v>2743</v>
      </c>
    </row>
    <row r="18" spans="2:5">
      <c r="C18" t="s">
        <v>2744</v>
      </c>
    </row>
    <row r="19" spans="2:5">
      <c r="D19" t="s">
        <v>2745</v>
      </c>
    </row>
    <row r="20" spans="2:5">
      <c r="C20" t="s">
        <v>2746</v>
      </c>
    </row>
    <row r="21" spans="2:5">
      <c r="C21" t="s">
        <v>2747</v>
      </c>
    </row>
    <row r="22" spans="2:5">
      <c r="C22" t="s">
        <v>2748</v>
      </c>
    </row>
    <row r="23" spans="2:5">
      <c r="D23" t="s">
        <v>2749</v>
      </c>
    </row>
    <row r="24" spans="2:5">
      <c r="D24" t="s">
        <v>2750</v>
      </c>
    </row>
    <row r="25" spans="2:5">
      <c r="E25" t="s">
        <v>2751</v>
      </c>
    </row>
    <row r="26" spans="2:5">
      <c r="E26" t="s">
        <v>2752</v>
      </c>
    </row>
    <row r="27" spans="2:5">
      <c r="E27" t="s">
        <v>2753</v>
      </c>
    </row>
    <row r="28" spans="2:5">
      <c r="E28" t="s">
        <v>2754</v>
      </c>
    </row>
    <row r="29" spans="2:5">
      <c r="B29" t="s">
        <v>2755</v>
      </c>
    </row>
    <row r="30" spans="2:5">
      <c r="C30" t="s">
        <v>2756</v>
      </c>
    </row>
    <row r="31" spans="2:5">
      <c r="C31" t="s">
        <v>2757</v>
      </c>
    </row>
    <row r="32" spans="2:5">
      <c r="C32" t="s">
        <v>2758</v>
      </c>
    </row>
    <row r="33" spans="2:4">
      <c r="D33" t="s">
        <v>2759</v>
      </c>
    </row>
    <row r="34" spans="2:4">
      <c r="B34" t="s">
        <v>2760</v>
      </c>
    </row>
    <row r="35" spans="2:4">
      <c r="C35" t="s">
        <v>2761</v>
      </c>
    </row>
    <row r="36" spans="2:4">
      <c r="C36" t="s">
        <v>2762</v>
      </c>
    </row>
    <row r="37" spans="2:4">
      <c r="C37" t="s">
        <v>2763</v>
      </c>
    </row>
  </sheetData>
  <pageMargins left="0.75" right="0.75" top="1" bottom="1" header="0.5" footer="0.5"/>
  <pageSetup paperSize="9" orientation="portrait"/>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30" zoomScaleNormal="130" workbookViewId="0">
      <selection activeCell="E13" sqref="E13"/>
    </sheetView>
  </sheetViews>
  <sheetFormatPr defaultColWidth="8.88888888888889" defaultRowHeight="14.4" outlineLevelCol="7"/>
  <cols>
    <col min="1" max="1" width="9.66666666666667"/>
  </cols>
  <sheetData>
    <row r="1" spans="1:8">
      <c r="A1" s="1">
        <f>SUM(B1:AZ1)</f>
        <v>3.66666666666667</v>
      </c>
      <c r="B1" s="1">
        <f t="shared" ref="B1:H1" si="0">COUNTA(B2:B2075)/COLUMN()</f>
        <v>3</v>
      </c>
      <c r="C1" s="1">
        <f t="shared" si="0"/>
        <v>0.666666666666667</v>
      </c>
      <c r="D1" s="1">
        <f t="shared" si="0"/>
        <v>0</v>
      </c>
      <c r="E1" s="1">
        <f t="shared" si="0"/>
        <v>0</v>
      </c>
      <c r="F1" s="1">
        <f t="shared" si="0"/>
        <v>0</v>
      </c>
      <c r="G1" s="1">
        <f t="shared" si="0"/>
        <v>0</v>
      </c>
      <c r="H1" s="1">
        <f t="shared" si="0"/>
        <v>0</v>
      </c>
    </row>
    <row r="2" spans="1:8">
      <c r="A2" t="str" cm="1">
        <f ca="1" t="array" ref="A2">_wpsfn.SHEETSNAME(A1)</f>
        <v>20251110</v>
      </c>
      <c r="B2" t="s">
        <v>2764</v>
      </c>
    </row>
    <row r="3" spans="1:8">
      <c r="B3" t="s">
        <v>2765</v>
      </c>
    </row>
    <row r="4" spans="1:8">
      <c r="B4" t="s">
        <v>2766</v>
      </c>
    </row>
    <row r="5" spans="1:8">
      <c r="B5" t="s">
        <v>2767</v>
      </c>
    </row>
    <row r="6" spans="1:8">
      <c r="B6" t="s">
        <v>2768</v>
      </c>
    </row>
    <row r="7" spans="1:8">
      <c r="B7" t="s">
        <v>2769</v>
      </c>
    </row>
    <row r="8" spans="1:8">
      <c r="C8" t="s">
        <v>2770</v>
      </c>
    </row>
    <row r="9" spans="1:8">
      <c r="C9" t="s">
        <v>2771</v>
      </c>
    </row>
  </sheetData>
  <pageMargins left="0.75" right="0.75" top="1" bottom="1" header="0.5" footer="0.5"/>
  <pageSetup paperSize="9" orientation="portrait"/>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5"/>
  <sheetViews>
    <sheetView zoomScale="115" zoomScaleNormal="115" workbookViewId="0">
      <selection activeCell="A1" sqref="A1"/>
    </sheetView>
  </sheetViews>
  <sheetFormatPr defaultColWidth="8.88888888888889" defaultRowHeight="14.4" outlineLevelCol="7"/>
  <cols>
    <col min="1" max="1" width="9.66666666666667"/>
  </cols>
  <sheetData>
    <row r="1" spans="1:8">
      <c r="A1" s="1">
        <f>SUM(B1:AZ1)</f>
        <v>9.66666666666667</v>
      </c>
      <c r="B1" s="1">
        <f t="shared" ref="B1:H1" si="0">COUNTA(B2:B2069)/COLUMN()</f>
        <v>5.5</v>
      </c>
      <c r="C1" s="1">
        <f t="shared" si="0"/>
        <v>3.66666666666667</v>
      </c>
      <c r="D1" s="1">
        <f t="shared" si="0"/>
        <v>0.5</v>
      </c>
      <c r="E1" s="1">
        <f t="shared" si="0"/>
        <v>0</v>
      </c>
      <c r="F1" s="1">
        <f t="shared" si="0"/>
        <v>0</v>
      </c>
      <c r="G1" s="1">
        <f t="shared" si="0"/>
        <v>0</v>
      </c>
      <c r="H1" s="1">
        <f t="shared" si="0"/>
        <v>0</v>
      </c>
    </row>
    <row r="2" spans="1:8">
      <c r="A2" t="str" cm="1">
        <f ca="1" t="array" ref="A2">_wpsfn.SHEETSNAME(A1)</f>
        <v>20251111</v>
      </c>
      <c r="B2" t="s">
        <v>2772</v>
      </c>
    </row>
    <row r="3" spans="1:8">
      <c r="B3" t="s">
        <v>2773</v>
      </c>
    </row>
    <row r="4" spans="1:8">
      <c r="B4" t="s">
        <v>2774</v>
      </c>
    </row>
    <row r="5" spans="1:8">
      <c r="B5" t="s">
        <v>2775</v>
      </c>
    </row>
    <row r="6" spans="1:8">
      <c r="B6" t="s">
        <v>2776</v>
      </c>
    </row>
    <row r="7" spans="1:8">
      <c r="C7" t="s">
        <v>2777</v>
      </c>
    </row>
    <row r="8" spans="1:8">
      <c r="C8" t="s">
        <v>2778</v>
      </c>
    </row>
    <row r="9" spans="1:8">
      <c r="C9" t="s">
        <v>2779</v>
      </c>
    </row>
    <row r="10" spans="1:8">
      <c r="C10" t="s">
        <v>2780</v>
      </c>
    </row>
    <row r="11" spans="1:8">
      <c r="B11" t="s">
        <v>2781</v>
      </c>
    </row>
    <row r="12" spans="1:8">
      <c r="B12" t="s">
        <v>2782</v>
      </c>
    </row>
    <row r="13" spans="1:8">
      <c r="C13" t="s">
        <v>2783</v>
      </c>
    </row>
    <row r="14" spans="1:8">
      <c r="B14" t="s">
        <v>2784</v>
      </c>
    </row>
    <row r="15" spans="1:8">
      <c r="C15" t="s">
        <v>2785</v>
      </c>
    </row>
    <row r="16" spans="1:8">
      <c r="C16" t="s">
        <v>2786</v>
      </c>
    </row>
    <row r="17" spans="2:4">
      <c r="C17" t="s">
        <v>2787</v>
      </c>
    </row>
    <row r="18" spans="2:4">
      <c r="B18" t="s">
        <v>2788</v>
      </c>
    </row>
    <row r="19" spans="2:4">
      <c r="B19" t="s">
        <v>2789</v>
      </c>
    </row>
    <row r="20" spans="2:4">
      <c r="C20" t="s">
        <v>2790</v>
      </c>
    </row>
    <row r="21" spans="2:4">
      <c r="C21" t="s">
        <v>2791</v>
      </c>
    </row>
    <row r="22" spans="2:4">
      <c r="D22" t="s">
        <v>2792</v>
      </c>
    </row>
    <row r="23" spans="2:4">
      <c r="D23" t="s">
        <v>2793</v>
      </c>
    </row>
    <row r="24" spans="2:4">
      <c r="B24" t="s">
        <v>2794</v>
      </c>
    </row>
    <row r="25" spans="2:4">
      <c r="C25" t="s">
        <v>2795</v>
      </c>
    </row>
  </sheetData>
  <pageMargins left="0.75" right="0.75" top="1" bottom="1" header="0.5" footer="0.5"/>
  <pageSetup paperSize="9" orientation="portrait"/>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4"/>
  <sheetViews>
    <sheetView zoomScale="115" zoomScaleNormal="115" workbookViewId="0">
      <selection activeCell="G39" sqref="G39"/>
    </sheetView>
  </sheetViews>
  <sheetFormatPr defaultColWidth="8.88888888888889" defaultRowHeight="14.4" outlineLevelCol="7"/>
  <cols>
    <col min="1" max="1" width="9.66666666666667"/>
  </cols>
  <sheetData>
    <row r="1" spans="1:8">
      <c r="A1" s="1">
        <f>SUM(B1:AZ1)</f>
        <v>18.5833333333333</v>
      </c>
      <c r="B1" s="1">
        <f t="shared" ref="B1:H1" si="0">COUNTA(B2:B2076)/COLUMN()</f>
        <v>6.5</v>
      </c>
      <c r="C1" s="1">
        <f t="shared" si="0"/>
        <v>8.33333333333333</v>
      </c>
      <c r="D1" s="1">
        <f t="shared" si="0"/>
        <v>3.75</v>
      </c>
      <c r="E1" s="1">
        <f t="shared" si="0"/>
        <v>0</v>
      </c>
      <c r="F1" s="1">
        <f t="shared" si="0"/>
        <v>0</v>
      </c>
      <c r="G1" s="1">
        <f t="shared" si="0"/>
        <v>0</v>
      </c>
      <c r="H1" s="1">
        <f t="shared" si="0"/>
        <v>0</v>
      </c>
    </row>
    <row r="2" spans="1:8">
      <c r="A2" t="str" cm="1">
        <f ca="1" t="array" ref="A2">_wpsfn.SHEETSNAME(A1)</f>
        <v>20251112</v>
      </c>
      <c r="B2" t="s">
        <v>2796</v>
      </c>
    </row>
    <row r="3" spans="1:8">
      <c r="B3" t="s">
        <v>2797</v>
      </c>
    </row>
    <row r="4" spans="1:8">
      <c r="C4" t="s">
        <v>2798</v>
      </c>
    </row>
    <row r="5" spans="1:8">
      <c r="D5" t="s">
        <v>2799</v>
      </c>
    </row>
    <row r="6" spans="1:8">
      <c r="B6" t="s">
        <v>2800</v>
      </c>
    </row>
    <row r="7" spans="1:8">
      <c r="C7" t="s">
        <v>2801</v>
      </c>
    </row>
    <row r="8" spans="1:8">
      <c r="D8" t="s">
        <v>2802</v>
      </c>
    </row>
    <row r="9" spans="1:8">
      <c r="C9" t="s">
        <v>2803</v>
      </c>
    </row>
    <row r="10" spans="1:8">
      <c r="D10" t="s">
        <v>2804</v>
      </c>
    </row>
    <row r="11" spans="1:8">
      <c r="D11" t="s">
        <v>2805</v>
      </c>
    </row>
    <row r="12" spans="1:8">
      <c r="D12" t="s">
        <v>2806</v>
      </c>
    </row>
    <row r="13" spans="1:8">
      <c r="B13" t="s">
        <v>2807</v>
      </c>
    </row>
    <row r="14" spans="1:8">
      <c r="C14" t="s">
        <v>2808</v>
      </c>
    </row>
    <row r="15" spans="1:8">
      <c r="C15" t="s">
        <v>2809</v>
      </c>
    </row>
    <row r="16" spans="1:8">
      <c r="C16" t="s">
        <v>2810</v>
      </c>
    </row>
    <row r="17" spans="2:4">
      <c r="B17" t="s">
        <v>2811</v>
      </c>
    </row>
    <row r="18" spans="2:4">
      <c r="C18" t="s">
        <v>2812</v>
      </c>
    </row>
    <row r="19" spans="2:4">
      <c r="D19" t="s">
        <v>2813</v>
      </c>
    </row>
    <row r="20" spans="2:4">
      <c r="C20" t="s">
        <v>2814</v>
      </c>
    </row>
    <row r="21" spans="2:4">
      <c r="D21" t="s">
        <v>2815</v>
      </c>
    </row>
    <row r="22" spans="2:4">
      <c r="C22" t="s">
        <v>2816</v>
      </c>
    </row>
    <row r="23" spans="2:4">
      <c r="D23" t="s">
        <v>2817</v>
      </c>
    </row>
    <row r="24" spans="2:4">
      <c r="D24" t="s">
        <v>2818</v>
      </c>
    </row>
    <row r="25" spans="2:4">
      <c r="D25" t="s">
        <v>2819</v>
      </c>
    </row>
    <row r="26" spans="2:4">
      <c r="B26" t="s">
        <v>2820</v>
      </c>
    </row>
    <row r="27" spans="2:4">
      <c r="C27" t="s">
        <v>2821</v>
      </c>
    </row>
    <row r="28" spans="2:4">
      <c r="C28" t="s">
        <v>2822</v>
      </c>
    </row>
    <row r="29" spans="2:4">
      <c r="C29" t="s">
        <v>2823</v>
      </c>
    </row>
    <row r="30" spans="2:4">
      <c r="B30" t="s">
        <v>2824</v>
      </c>
    </row>
    <row r="31" spans="2:4">
      <c r="C31" t="s">
        <v>2825</v>
      </c>
    </row>
    <row r="32" spans="2:4">
      <c r="B32" t="s">
        <v>2826</v>
      </c>
    </row>
    <row r="33" spans="2:4">
      <c r="B33" t="s">
        <v>2827</v>
      </c>
    </row>
    <row r="34" spans="2:4">
      <c r="C34" t="s">
        <v>2828</v>
      </c>
    </row>
    <row r="35" spans="2:4">
      <c r="B35" t="s">
        <v>2829</v>
      </c>
    </row>
    <row r="36" spans="2:4">
      <c r="C36" t="s">
        <v>2830</v>
      </c>
    </row>
    <row r="37" spans="2:4">
      <c r="C37" t="s">
        <v>2831</v>
      </c>
    </row>
    <row r="38" spans="2:4">
      <c r="B38" t="s">
        <v>2832</v>
      </c>
    </row>
    <row r="39" spans="2:4">
      <c r="C39" t="s">
        <v>2833</v>
      </c>
    </row>
    <row r="40" spans="2:4">
      <c r="C40" t="s">
        <v>2834</v>
      </c>
    </row>
    <row r="41" spans="2:4">
      <c r="D41" t="s">
        <v>2835</v>
      </c>
    </row>
    <row r="42" spans="2:4">
      <c r="C42" t="s">
        <v>2836</v>
      </c>
    </row>
    <row r="43" spans="2:4">
      <c r="B43" t="s">
        <v>2837</v>
      </c>
    </row>
    <row r="44" spans="2:4">
      <c r="C44" t="s">
        <v>2838</v>
      </c>
    </row>
    <row r="45" spans="2:4">
      <c r="B45" t="s">
        <v>2839</v>
      </c>
    </row>
    <row r="46" spans="2:4">
      <c r="C46" t="s">
        <v>2840</v>
      </c>
    </row>
    <row r="47" spans="2:4">
      <c r="C47" t="s">
        <v>2841</v>
      </c>
    </row>
    <row r="48" spans="2:4">
      <c r="C48" t="s">
        <v>2842</v>
      </c>
    </row>
    <row r="49" spans="3:4">
      <c r="D49" t="s">
        <v>2843</v>
      </c>
    </row>
    <row r="50" spans="3:4">
      <c r="C50" t="s">
        <v>2844</v>
      </c>
    </row>
    <row r="51" spans="3:4">
      <c r="D51" t="s">
        <v>2845</v>
      </c>
    </row>
    <row r="52" spans="3:4">
      <c r="C52" t="s">
        <v>2846</v>
      </c>
    </row>
    <row r="53" spans="3:4">
      <c r="D53" t="s">
        <v>2847</v>
      </c>
    </row>
    <row r="54" spans="3:4">
      <c r="D54" t="s">
        <v>2848</v>
      </c>
    </row>
  </sheetData>
  <pageMargins left="0.75" right="0.75" top="1" bottom="1" header="0.5" footer="0.5"/>
  <pageSetup paperSize="9" orientation="portrait"/>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3"/>
  <sheetViews>
    <sheetView zoomScale="115" zoomScaleNormal="115" topLeftCell="A5" workbookViewId="0">
      <selection activeCell="C10" sqref="C10"/>
    </sheetView>
  </sheetViews>
  <sheetFormatPr defaultColWidth="8.88888888888889" defaultRowHeight="14.4" outlineLevelCol="7"/>
  <cols>
    <col min="1" max="1" width="9.66666666666667"/>
  </cols>
  <sheetData>
    <row r="1" spans="1:8">
      <c r="A1" s="1">
        <f>SUM(B1:AZ1)</f>
        <v>15.4</v>
      </c>
      <c r="B1" s="1">
        <f t="shared" ref="B1:H1" si="0">COUNTA(B2:B2075)/COLUMN()</f>
        <v>6.5</v>
      </c>
      <c r="C1" s="1">
        <f t="shared" si="0"/>
        <v>7</v>
      </c>
      <c r="D1" s="1">
        <f t="shared" si="0"/>
        <v>1.5</v>
      </c>
      <c r="E1" s="1">
        <f t="shared" si="0"/>
        <v>0.4</v>
      </c>
      <c r="F1" s="1">
        <f t="shared" si="0"/>
        <v>0</v>
      </c>
      <c r="G1" s="1">
        <f t="shared" si="0"/>
        <v>0</v>
      </c>
      <c r="H1" s="1">
        <f t="shared" si="0"/>
        <v>0</v>
      </c>
    </row>
    <row r="2" spans="1:8">
      <c r="A2" t="str" cm="1">
        <f ca="1" t="array" ref="A2">_wpsfn.SHEETSNAME(A1)</f>
        <v>20251113</v>
      </c>
      <c r="B2" t="s">
        <v>2849</v>
      </c>
    </row>
    <row r="3" spans="1:8">
      <c r="C3" t="s">
        <v>2850</v>
      </c>
    </row>
    <row r="4" spans="1:8">
      <c r="C4" t="s">
        <v>2851</v>
      </c>
    </row>
    <row r="5" spans="1:8">
      <c r="C5" t="s">
        <v>2852</v>
      </c>
    </row>
    <row r="6" spans="1:8">
      <c r="D6" t="s">
        <v>2853</v>
      </c>
    </row>
    <row r="7" spans="1:8">
      <c r="E7" t="s">
        <v>2854</v>
      </c>
    </row>
    <row r="8" spans="1:8">
      <c r="E8" t="s">
        <v>2855</v>
      </c>
    </row>
    <row r="9" spans="1:8">
      <c r="D9" t="s">
        <v>2856</v>
      </c>
    </row>
    <row r="10" spans="1:8">
      <c r="C10" t="s">
        <v>2857</v>
      </c>
    </row>
    <row r="11" spans="1:8">
      <c r="B11" t="s">
        <v>2858</v>
      </c>
    </row>
    <row r="12" spans="1:8">
      <c r="B12" t="s">
        <v>2859</v>
      </c>
    </row>
    <row r="13" spans="1:8">
      <c r="C13" t="s">
        <v>2860</v>
      </c>
    </row>
    <row r="14" spans="1:8">
      <c r="C14" t="s">
        <v>2861</v>
      </c>
    </row>
    <row r="15" spans="1:8">
      <c r="C15" t="s">
        <v>2862</v>
      </c>
    </row>
    <row r="16" spans="1:8">
      <c r="D16" t="s">
        <v>2863</v>
      </c>
    </row>
    <row r="17" spans="2:4">
      <c r="C17" t="s">
        <v>2864</v>
      </c>
    </row>
    <row r="18" spans="2:4">
      <c r="B18" t="s">
        <v>2865</v>
      </c>
    </row>
    <row r="19" spans="2:4">
      <c r="C19" t="s">
        <v>2866</v>
      </c>
    </row>
    <row r="20" spans="2:4">
      <c r="C20" t="s">
        <v>2867</v>
      </c>
    </row>
    <row r="21" spans="2:4">
      <c r="C21" t="s">
        <v>2868</v>
      </c>
    </row>
    <row r="22" spans="2:4">
      <c r="C22" t="s">
        <v>2869</v>
      </c>
    </row>
    <row r="23" spans="2:4">
      <c r="C23" t="s">
        <v>2870</v>
      </c>
    </row>
    <row r="24" spans="2:4">
      <c r="C24" t="s">
        <v>2871</v>
      </c>
    </row>
    <row r="25" spans="2:4">
      <c r="B25" t="s">
        <v>2872</v>
      </c>
    </row>
    <row r="26" spans="2:4">
      <c r="B26" t="s">
        <v>2873</v>
      </c>
    </row>
    <row r="27" spans="2:4">
      <c r="B27" t="s">
        <v>2874</v>
      </c>
    </row>
    <row r="28" spans="2:4">
      <c r="C28" t="s">
        <v>2875</v>
      </c>
    </row>
    <row r="29" spans="2:4">
      <c r="C29" t="s">
        <v>2876</v>
      </c>
    </row>
    <row r="30" spans="2:4">
      <c r="D30" t="s">
        <v>2877</v>
      </c>
    </row>
    <row r="31" spans="2:4">
      <c r="B31" t="s">
        <v>2878</v>
      </c>
    </row>
    <row r="32" spans="2:4">
      <c r="B32" t="s">
        <v>2879</v>
      </c>
    </row>
    <row r="33" spans="2:4">
      <c r="B33" t="s">
        <v>2880</v>
      </c>
    </row>
    <row r="34" spans="2:4">
      <c r="B34" t="s">
        <v>2881</v>
      </c>
    </row>
    <row r="35" spans="2:4">
      <c r="B35" t="s">
        <v>2882</v>
      </c>
    </row>
    <row r="36" spans="2:4">
      <c r="C36" t="s">
        <v>2883</v>
      </c>
    </row>
    <row r="37" spans="2:4">
      <c r="C37" t="s">
        <v>2884</v>
      </c>
    </row>
    <row r="38" spans="2:4">
      <c r="C38" t="s">
        <v>2885</v>
      </c>
    </row>
    <row r="39" spans="2:4">
      <c r="B39" t="s">
        <v>2886</v>
      </c>
    </row>
    <row r="40" spans="2:4">
      <c r="C40" t="s">
        <v>2887</v>
      </c>
    </row>
    <row r="41" spans="2:4">
      <c r="C41" t="s">
        <v>2888</v>
      </c>
    </row>
    <row r="42" spans="2:4">
      <c r="D42" t="s">
        <v>2889</v>
      </c>
    </row>
    <row r="43" spans="2:4">
      <c r="D43" t="s">
        <v>2890</v>
      </c>
    </row>
  </sheetData>
  <pageMargins left="0.75" right="0.75" top="1" bottom="1" header="0.5" footer="0.5"/>
  <pageSetup paperSize="9" orientation="portrait"/>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1"/>
  <sheetViews>
    <sheetView zoomScale="115" zoomScaleNormal="115" workbookViewId="0">
      <selection activeCell="I15" sqref="I15"/>
    </sheetView>
  </sheetViews>
  <sheetFormatPr defaultColWidth="8.88888888888889" defaultRowHeight="14.4" outlineLevelCol="7"/>
  <cols>
    <col min="1" max="1" width="9.66666666666667"/>
  </cols>
  <sheetData>
    <row r="1" spans="1:8">
      <c r="A1" s="1">
        <f>SUM(B1:AZ1)</f>
        <v>10.1166666666667</v>
      </c>
      <c r="B1" s="1">
        <f t="shared" ref="B1:H1" si="0">COUNTA(B2:B2073)/COLUMN()</f>
        <v>2.5</v>
      </c>
      <c r="C1" s="1">
        <f t="shared" si="0"/>
        <v>5.66666666666667</v>
      </c>
      <c r="D1" s="1">
        <f t="shared" si="0"/>
        <v>1.75</v>
      </c>
      <c r="E1" s="1">
        <f t="shared" si="0"/>
        <v>0.2</v>
      </c>
      <c r="F1" s="1">
        <f t="shared" si="0"/>
        <v>0</v>
      </c>
      <c r="G1" s="1">
        <f t="shared" si="0"/>
        <v>0</v>
      </c>
      <c r="H1" s="1">
        <f t="shared" si="0"/>
        <v>0</v>
      </c>
    </row>
    <row r="2" spans="1:8">
      <c r="A2" t="str" cm="1">
        <f ca="1" t="array" ref="A2">_wpsfn.SHEETSNAME(A1)</f>
        <v>20251114</v>
      </c>
      <c r="B2" t="s">
        <v>2891</v>
      </c>
    </row>
    <row r="3" spans="1:8">
      <c r="C3" t="s">
        <v>2892</v>
      </c>
    </row>
    <row r="4" spans="1:8">
      <c r="C4" t="s">
        <v>2893</v>
      </c>
    </row>
    <row r="5" spans="1:8">
      <c r="B5" t="s">
        <v>2894</v>
      </c>
    </row>
    <row r="6" spans="1:8">
      <c r="C6" t="s">
        <v>2895</v>
      </c>
    </row>
    <row r="7" spans="1:8">
      <c r="C7" t="s">
        <v>2896</v>
      </c>
    </row>
    <row r="8" spans="1:8">
      <c r="C8" t="s">
        <v>2897</v>
      </c>
    </row>
    <row r="9" spans="1:8">
      <c r="C9" t="s">
        <v>2898</v>
      </c>
    </row>
    <row r="10" spans="1:8">
      <c r="C10" t="s">
        <v>2899</v>
      </c>
    </row>
    <row r="11" spans="1:8">
      <c r="C11" t="s">
        <v>2900</v>
      </c>
    </row>
    <row r="12" spans="1:8">
      <c r="C12" t="s">
        <v>2901</v>
      </c>
    </row>
    <row r="13" spans="1:8">
      <c r="C13" t="s">
        <v>2902</v>
      </c>
    </row>
    <row r="14" spans="1:8">
      <c r="D14" t="s">
        <v>2903</v>
      </c>
    </row>
    <row r="15" spans="1:8">
      <c r="D15" t="s">
        <v>2904</v>
      </c>
    </row>
    <row r="16" spans="1:8">
      <c r="E16" t="s">
        <v>2905</v>
      </c>
    </row>
    <row r="17" spans="2:4">
      <c r="B17" t="s">
        <v>2906</v>
      </c>
    </row>
    <row r="18" spans="2:4">
      <c r="C18" t="s">
        <v>2907</v>
      </c>
    </row>
    <row r="19" spans="2:4">
      <c r="D19" t="s">
        <v>2908</v>
      </c>
    </row>
    <row r="20" spans="2:4">
      <c r="C20" t="s">
        <v>2909</v>
      </c>
    </row>
    <row r="21" spans="2:4">
      <c r="D21" t="s">
        <v>2910</v>
      </c>
    </row>
    <row r="22" spans="2:4">
      <c r="D22" t="s">
        <v>2911</v>
      </c>
    </row>
    <row r="23" spans="2:4">
      <c r="C23" t="s">
        <v>2912</v>
      </c>
    </row>
    <row r="24" spans="2:4">
      <c r="D24" t="s">
        <v>2913</v>
      </c>
    </row>
    <row r="25" spans="2:4">
      <c r="C25" t="s">
        <v>2914</v>
      </c>
    </row>
    <row r="26" spans="2:4">
      <c r="D26" t="s">
        <v>2915</v>
      </c>
    </row>
    <row r="27" spans="2:4">
      <c r="B27" t="s">
        <v>2916</v>
      </c>
    </row>
    <row r="28" spans="2:4">
      <c r="B28" t="s">
        <v>2917</v>
      </c>
    </row>
    <row r="29" spans="2:4">
      <c r="C29" t="s">
        <v>2918</v>
      </c>
    </row>
    <row r="30" spans="2:4">
      <c r="C30" t="s">
        <v>2919</v>
      </c>
    </row>
    <row r="31" spans="2:4">
      <c r="C31" t="s">
        <v>2920</v>
      </c>
    </row>
  </sheetData>
  <pageMargins left="0.75" right="0.75" top="1" bottom="1" header="0.5" footer="0.5"/>
  <pageSetup paperSize="9" orientation="portrait"/>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3"/>
  <sheetViews>
    <sheetView zoomScale="115" zoomScaleNormal="115" workbookViewId="0">
      <selection activeCell="D1" sqref="D1"/>
    </sheetView>
  </sheetViews>
  <sheetFormatPr defaultColWidth="8.88888888888889" defaultRowHeight="14.4" outlineLevelCol="7"/>
  <cols>
    <col min="1" max="1" width="9.66666666666667"/>
  </cols>
  <sheetData>
    <row r="1" spans="1:8">
      <c r="A1" s="1">
        <f>SUM(B1:AZ1)</f>
        <v>4</v>
      </c>
      <c r="B1" s="1">
        <f t="shared" ref="B1:H1" si="0">COUNTA(B2:B2073)/COLUMN()</f>
        <v>1</v>
      </c>
      <c r="C1" s="1">
        <f t="shared" si="0"/>
        <v>2</v>
      </c>
      <c r="D1" s="1">
        <f t="shared" si="0"/>
        <v>1</v>
      </c>
      <c r="E1" s="1">
        <f t="shared" si="0"/>
        <v>0</v>
      </c>
      <c r="F1" s="1">
        <f t="shared" si="0"/>
        <v>0</v>
      </c>
      <c r="G1" s="1">
        <f t="shared" si="0"/>
        <v>0</v>
      </c>
      <c r="H1" s="1">
        <f t="shared" si="0"/>
        <v>0</v>
      </c>
    </row>
    <row r="2" spans="1:8">
      <c r="A2" t="str" cm="1">
        <f ca="1" t="array" ref="A2">_wpsfn.SHEETSNAME(A1)</f>
        <v>20251115</v>
      </c>
      <c r="B2" t="s">
        <v>2921</v>
      </c>
    </row>
    <row r="3" spans="1:8">
      <c r="C3" t="s">
        <v>2922</v>
      </c>
    </row>
    <row r="4" spans="1:8">
      <c r="C4" t="s">
        <v>2923</v>
      </c>
    </row>
    <row r="5" spans="1:8">
      <c r="C5" t="s">
        <v>2924</v>
      </c>
    </row>
    <row r="6" spans="1:8">
      <c r="B6" t="s">
        <v>2925</v>
      </c>
    </row>
    <row r="7" spans="1:8">
      <c r="C7" t="s">
        <v>2926</v>
      </c>
    </row>
    <row r="8" spans="1:8">
      <c r="C8" t="s">
        <v>2927</v>
      </c>
    </row>
    <row r="9" spans="1:8">
      <c r="C9" t="s">
        <v>2928</v>
      </c>
    </row>
    <row r="10" spans="1:8">
      <c r="D10" t="s">
        <v>2929</v>
      </c>
    </row>
    <row r="11" spans="1:8">
      <c r="D11" t="s">
        <v>2930</v>
      </c>
    </row>
    <row r="12" spans="1:8">
      <c r="D12" t="s">
        <v>2931</v>
      </c>
    </row>
    <row r="13" spans="1:8">
      <c r="D13" t="s">
        <v>2932</v>
      </c>
    </row>
  </sheetData>
  <pageMargins left="0.75" right="0.75" top="1" bottom="1" header="0.5" footer="0.5"/>
  <pageSetup paperSize="9" orientation="portrait"/>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6"/>
  <sheetViews>
    <sheetView zoomScale="115" zoomScaleNormal="115" workbookViewId="0">
      <selection activeCell="C5" sqref="C5"/>
    </sheetView>
  </sheetViews>
  <sheetFormatPr defaultColWidth="8.88888888888889" defaultRowHeight="14.4" outlineLevelCol="7"/>
  <cols>
    <col min="1" max="1" width="9.66666666666667"/>
  </cols>
  <sheetData>
    <row r="1" spans="1:8">
      <c r="A1" s="1">
        <f>SUM(B1:AZ1)</f>
        <v>18.7666666666667</v>
      </c>
      <c r="B1" s="1">
        <f t="shared" ref="B1:H1" si="0">COUNTA(B2:B2078)/COLUMN()</f>
        <v>5.5</v>
      </c>
      <c r="C1" s="1">
        <f t="shared" si="0"/>
        <v>9.66666666666667</v>
      </c>
      <c r="D1" s="1">
        <f t="shared" si="0"/>
        <v>3</v>
      </c>
      <c r="E1" s="1">
        <f t="shared" si="0"/>
        <v>0.6</v>
      </c>
      <c r="F1" s="1">
        <f t="shared" si="0"/>
        <v>0</v>
      </c>
      <c r="G1" s="1">
        <f t="shared" si="0"/>
        <v>0</v>
      </c>
      <c r="H1" s="1">
        <f t="shared" si="0"/>
        <v>0</v>
      </c>
    </row>
    <row r="2" spans="1:8">
      <c r="A2" t="str" cm="1">
        <f ca="1" t="array" ref="A2">_wpsfn.SHEETSNAME(A1)</f>
        <v>20251116</v>
      </c>
      <c r="B2" t="s">
        <v>2933</v>
      </c>
    </row>
    <row r="3" spans="1:8">
      <c r="C3" t="s">
        <v>2934</v>
      </c>
    </row>
    <row r="4" spans="1:8">
      <c r="C4" t="s">
        <v>2935</v>
      </c>
    </row>
    <row r="5" spans="1:8">
      <c r="B5" t="s">
        <v>2936</v>
      </c>
    </row>
    <row r="6" spans="1:8">
      <c r="C6" t="s">
        <v>2937</v>
      </c>
    </row>
    <row r="7" spans="1:8">
      <c r="C7" t="s">
        <v>2938</v>
      </c>
    </row>
    <row r="8" spans="1:8">
      <c r="D8" t="s">
        <v>2939</v>
      </c>
    </row>
    <row r="9" spans="1:8">
      <c r="B9" t="s">
        <v>2940</v>
      </c>
    </row>
    <row r="10" spans="1:8">
      <c r="C10" t="s">
        <v>2941</v>
      </c>
    </row>
    <row r="11" spans="1:8">
      <c r="C11" t="s">
        <v>2942</v>
      </c>
    </row>
    <row r="12" spans="1:8">
      <c r="C12" t="s">
        <v>2943</v>
      </c>
    </row>
    <row r="13" spans="1:8">
      <c r="B13" t="s">
        <v>2944</v>
      </c>
    </row>
    <row r="14" spans="1:8">
      <c r="C14" t="s">
        <v>2945</v>
      </c>
    </row>
    <row r="15" spans="1:8">
      <c r="C15" t="s">
        <v>2946</v>
      </c>
    </row>
    <row r="16" spans="1:8">
      <c r="C16" t="s">
        <v>2947</v>
      </c>
    </row>
    <row r="17" spans="2:5">
      <c r="C17" t="s">
        <v>2948</v>
      </c>
    </row>
    <row r="18" spans="2:5">
      <c r="C18" t="s">
        <v>2949</v>
      </c>
    </row>
    <row r="19" spans="2:5">
      <c r="C19" t="s">
        <v>2950</v>
      </c>
    </row>
    <row r="20" spans="2:5">
      <c r="D20" t="s">
        <v>2951</v>
      </c>
    </row>
    <row r="21" spans="2:5">
      <c r="D21" t="s">
        <v>2952</v>
      </c>
    </row>
    <row r="22" spans="2:5">
      <c r="B22" t="s">
        <v>2953</v>
      </c>
    </row>
    <row r="23" spans="2:5">
      <c r="B23" t="s">
        <v>2954</v>
      </c>
    </row>
    <row r="24" spans="2:5">
      <c r="C24" t="s">
        <v>2955</v>
      </c>
    </row>
    <row r="25" spans="2:5">
      <c r="C25" t="s">
        <v>2956</v>
      </c>
    </row>
    <row r="26" spans="2:5">
      <c r="C26" t="s">
        <v>2957</v>
      </c>
    </row>
    <row r="27" spans="2:5">
      <c r="C27" t="s">
        <v>2958</v>
      </c>
    </row>
    <row r="28" spans="2:5">
      <c r="C28" t="s">
        <v>2959</v>
      </c>
    </row>
    <row r="29" spans="2:5">
      <c r="C29" t="s">
        <v>2960</v>
      </c>
    </row>
    <row r="30" spans="2:5">
      <c r="D30" t="s">
        <v>2961</v>
      </c>
    </row>
    <row r="31" spans="2:5">
      <c r="E31" t="s">
        <v>2962</v>
      </c>
    </row>
    <row r="32" spans="2:5">
      <c r="E32" t="s">
        <v>2963</v>
      </c>
    </row>
    <row r="33" spans="2:4">
      <c r="D33" t="s">
        <v>2964</v>
      </c>
    </row>
    <row r="34" spans="2:4">
      <c r="D34" t="s">
        <v>2965</v>
      </c>
    </row>
    <row r="35" spans="2:4">
      <c r="B35" t="s">
        <v>2966</v>
      </c>
    </row>
    <row r="36" spans="2:4">
      <c r="B36" t="s">
        <v>2967</v>
      </c>
    </row>
    <row r="37" spans="2:4">
      <c r="C37" t="s">
        <v>2968</v>
      </c>
    </row>
    <row r="38" spans="2:4">
      <c r="C38" t="s">
        <v>2969</v>
      </c>
    </row>
    <row r="39" spans="2:4">
      <c r="C39" t="s">
        <v>2970</v>
      </c>
    </row>
    <row r="40" spans="2:4">
      <c r="C40" t="s">
        <v>2971</v>
      </c>
    </row>
    <row r="41" spans="2:4">
      <c r="D41" t="s">
        <v>2972</v>
      </c>
    </row>
    <row r="42" spans="2:4">
      <c r="C42" t="s">
        <v>2973</v>
      </c>
    </row>
    <row r="43" spans="2:4">
      <c r="D43" t="s">
        <v>2974</v>
      </c>
    </row>
    <row r="44" spans="2:4">
      <c r="D44" t="s">
        <v>2975</v>
      </c>
    </row>
    <row r="45" spans="2:4">
      <c r="C45" t="s">
        <v>2976</v>
      </c>
    </row>
    <row r="46" spans="2:4">
      <c r="B46" t="s">
        <v>2977</v>
      </c>
    </row>
    <row r="47" spans="2:4">
      <c r="C47" t="s">
        <v>2978</v>
      </c>
    </row>
    <row r="48" spans="2:4">
      <c r="C48" t="s">
        <v>2979</v>
      </c>
    </row>
    <row r="49" spans="2:5">
      <c r="B49" t="s">
        <v>2980</v>
      </c>
    </row>
    <row r="50" spans="2:5">
      <c r="B50" t="s">
        <v>2981</v>
      </c>
    </row>
    <row r="51" spans="2:5">
      <c r="C51" t="s">
        <v>2982</v>
      </c>
    </row>
    <row r="52" spans="2:5">
      <c r="C52" t="s">
        <v>2983</v>
      </c>
    </row>
    <row r="53" spans="2:5">
      <c r="D53" t="s">
        <v>2984</v>
      </c>
    </row>
    <row r="54" spans="2:5">
      <c r="D54" t="s">
        <v>2985</v>
      </c>
    </row>
    <row r="55" spans="2:5">
      <c r="D55" t="s">
        <v>2986</v>
      </c>
    </row>
    <row r="56" spans="2:5">
      <c r="E56" t="s">
        <v>2987</v>
      </c>
    </row>
  </sheetData>
  <pageMargins left="0.75" right="0.75" top="1" bottom="1" header="0.5" footer="0.5"/>
  <pageSetup paperSize="9" orientation="portrait"/>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7"/>
  <sheetViews>
    <sheetView zoomScale="115" zoomScaleNormal="115" topLeftCell="A47" workbookViewId="0">
      <selection activeCell="H54" sqref="H54"/>
    </sheetView>
  </sheetViews>
  <sheetFormatPr defaultColWidth="8.88888888888889" defaultRowHeight="14.4" outlineLevelCol="7"/>
  <cols>
    <col min="1" max="1" width="9.66666666666667"/>
  </cols>
  <sheetData>
    <row r="1" spans="1:8">
      <c r="A1" s="1">
        <f>SUM(B1:AZ1)</f>
        <v>21.1666666666667</v>
      </c>
      <c r="B1" s="1">
        <f t="shared" ref="B1:H1" si="0">COUNTA(B2:B2091)/COLUMN()</f>
        <v>5</v>
      </c>
      <c r="C1" s="1">
        <f t="shared" si="0"/>
        <v>10.6666666666667</v>
      </c>
      <c r="D1" s="1">
        <f t="shared" si="0"/>
        <v>4</v>
      </c>
      <c r="E1" s="1">
        <f t="shared" si="0"/>
        <v>1</v>
      </c>
      <c r="F1" s="1">
        <f t="shared" si="0"/>
        <v>0.5</v>
      </c>
      <c r="G1" s="1">
        <f t="shared" si="0"/>
        <v>0</v>
      </c>
      <c r="H1" s="1">
        <f t="shared" si="0"/>
        <v>0</v>
      </c>
    </row>
    <row r="2" spans="1:8">
      <c r="A2" t="str" cm="1">
        <f ca="1" t="array" ref="A2">_wpsfn.SHEETSNAME(A1)</f>
        <v>20251117</v>
      </c>
      <c r="B2" t="s">
        <v>2988</v>
      </c>
    </row>
    <row r="3" spans="1:8">
      <c r="C3" t="s">
        <v>2989</v>
      </c>
    </row>
    <row r="4" spans="1:8">
      <c r="C4" t="s">
        <v>2990</v>
      </c>
    </row>
    <row r="5" spans="1:8">
      <c r="D5" t="s">
        <v>2991</v>
      </c>
    </row>
    <row r="6" spans="1:8">
      <c r="D6" t="s">
        <v>2992</v>
      </c>
    </row>
    <row r="7" spans="1:8">
      <c r="B7" t="s">
        <v>2993</v>
      </c>
    </row>
    <row r="8" spans="1:8">
      <c r="C8" t="s">
        <v>2994</v>
      </c>
    </row>
    <row r="9" spans="1:8">
      <c r="C9" t="s">
        <v>2995</v>
      </c>
    </row>
    <row r="10" spans="1:8">
      <c r="C10" t="s">
        <v>2996</v>
      </c>
    </row>
    <row r="11" spans="1:8">
      <c r="D11" t="s">
        <v>2997</v>
      </c>
    </row>
    <row r="12" spans="1:8">
      <c r="E12" t="s">
        <v>2998</v>
      </c>
    </row>
    <row r="13" spans="1:8">
      <c r="E13" t="s">
        <v>2999</v>
      </c>
    </row>
    <row r="14" spans="1:8">
      <c r="F14" t="s">
        <v>3000</v>
      </c>
    </row>
    <row r="15" spans="1:8">
      <c r="F15" t="s">
        <v>3001</v>
      </c>
    </row>
    <row r="16" spans="1:8">
      <c r="F16" t="s">
        <v>3002</v>
      </c>
    </row>
    <row r="17" spans="2:5">
      <c r="C17" t="s">
        <v>3003</v>
      </c>
    </row>
    <row r="18" spans="2:5">
      <c r="D18" t="s">
        <v>3004</v>
      </c>
    </row>
    <row r="19" spans="2:5">
      <c r="D19" t="s">
        <v>3005</v>
      </c>
    </row>
    <row r="20" spans="2:5">
      <c r="D20" t="s">
        <v>3006</v>
      </c>
    </row>
    <row r="21" spans="2:5">
      <c r="E21" t="s">
        <v>3007</v>
      </c>
    </row>
    <row r="22" spans="2:5">
      <c r="E22" t="s">
        <v>3008</v>
      </c>
    </row>
    <row r="23" spans="2:5">
      <c r="E23" t="s">
        <v>3009</v>
      </c>
    </row>
    <row r="24" spans="2:5">
      <c r="C24" t="s">
        <v>3010</v>
      </c>
    </row>
    <row r="25" spans="2:5">
      <c r="C25" t="s">
        <v>3011</v>
      </c>
    </row>
    <row r="26" spans="2:5">
      <c r="D26" t="s">
        <v>3012</v>
      </c>
    </row>
    <row r="27" spans="2:5">
      <c r="B27" t="s">
        <v>3013</v>
      </c>
    </row>
    <row r="28" spans="2:5">
      <c r="B28" t="s">
        <v>3014</v>
      </c>
    </row>
    <row r="29" spans="2:5">
      <c r="C29" t="s">
        <v>3015</v>
      </c>
    </row>
    <row r="30" spans="2:5">
      <c r="C30" t="s">
        <v>3016</v>
      </c>
    </row>
    <row r="31" spans="2:5">
      <c r="D31" t="s">
        <v>3017</v>
      </c>
    </row>
    <row r="32" spans="2:5">
      <c r="D32" t="s">
        <v>3018</v>
      </c>
    </row>
    <row r="33" spans="2:4">
      <c r="C33" t="s">
        <v>3019</v>
      </c>
    </row>
    <row r="34" spans="2:4">
      <c r="B34" t="s">
        <v>3020</v>
      </c>
    </row>
    <row r="35" spans="2:4">
      <c r="C35" t="s">
        <v>3021</v>
      </c>
    </row>
    <row r="36" spans="2:4">
      <c r="C36" t="s">
        <v>3022</v>
      </c>
    </row>
    <row r="37" spans="2:4">
      <c r="C37" t="s">
        <v>3023</v>
      </c>
    </row>
    <row r="38" spans="2:4">
      <c r="C38" t="s">
        <v>3024</v>
      </c>
    </row>
    <row r="39" spans="2:4">
      <c r="C39" t="s">
        <v>3025</v>
      </c>
    </row>
    <row r="40" spans="2:4">
      <c r="C40" t="s">
        <v>3026</v>
      </c>
    </row>
    <row r="41" spans="2:4">
      <c r="B41" t="s">
        <v>3027</v>
      </c>
    </row>
    <row r="42" spans="2:4">
      <c r="C42" t="s">
        <v>3028</v>
      </c>
    </row>
    <row r="43" spans="2:4">
      <c r="D43" t="s">
        <v>3029</v>
      </c>
    </row>
    <row r="44" spans="2:4">
      <c r="C44" t="s">
        <v>3030</v>
      </c>
    </row>
    <row r="45" spans="2:4">
      <c r="C45" t="s">
        <v>3031</v>
      </c>
    </row>
    <row r="46" spans="2:4">
      <c r="C46" t="s">
        <v>3032</v>
      </c>
    </row>
    <row r="47" spans="2:4">
      <c r="B47" t="s">
        <v>3033</v>
      </c>
    </row>
    <row r="48" spans="2:4">
      <c r="C48" t="s">
        <v>3034</v>
      </c>
    </row>
    <row r="49" spans="2:4">
      <c r="B49" t="s">
        <v>3035</v>
      </c>
    </row>
    <row r="50" spans="2:4">
      <c r="C50" t="s">
        <v>3036</v>
      </c>
    </row>
    <row r="51" spans="2:4">
      <c r="C51" t="s">
        <v>3037</v>
      </c>
    </row>
    <row r="52" spans="2:4">
      <c r="D52" t="s">
        <v>3038</v>
      </c>
    </row>
    <row r="53" spans="2:4">
      <c r="D53" t="s">
        <v>3039</v>
      </c>
    </row>
    <row r="54" spans="2:4">
      <c r="D54" t="s">
        <v>3040</v>
      </c>
    </row>
    <row r="55" spans="2:4">
      <c r="B55" t="s">
        <v>3041</v>
      </c>
    </row>
    <row r="56" spans="2:4">
      <c r="C56" t="s">
        <v>3042</v>
      </c>
    </row>
    <row r="57" spans="2:4">
      <c r="C57" t="s">
        <v>3043</v>
      </c>
    </row>
    <row r="58" spans="2:4">
      <c r="C58" t="s">
        <v>3044</v>
      </c>
    </row>
    <row r="59" spans="2:4">
      <c r="C59" t="s">
        <v>3045</v>
      </c>
    </row>
    <row r="60" spans="2:4">
      <c r="B60" t="s">
        <v>3046</v>
      </c>
    </row>
    <row r="61" spans="2:4">
      <c r="C61" t="s">
        <v>3047</v>
      </c>
    </row>
    <row r="62" spans="2:4">
      <c r="C62" t="s">
        <v>3048</v>
      </c>
    </row>
    <row r="63" spans="2:4">
      <c r="D63" t="s">
        <v>3049</v>
      </c>
    </row>
    <row r="64" spans="2:4">
      <c r="D64" t="s">
        <v>3050</v>
      </c>
    </row>
    <row r="65" spans="3:4">
      <c r="D65" t="s">
        <v>3051</v>
      </c>
    </row>
    <row r="66" spans="3:4">
      <c r="C66" t="s">
        <v>3052</v>
      </c>
    </row>
    <row r="67" spans="3:4">
      <c r="C67" t="s">
        <v>3053</v>
      </c>
    </row>
  </sheetData>
  <pageMargins left="0.75" right="0.75" top="1" bottom="1" header="0.5" footer="0.5"/>
  <pageSetup paperSize="9" orientation="portrait"/>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7"/>
  <sheetViews>
    <sheetView zoomScale="115" zoomScaleNormal="115" topLeftCell="A129" workbookViewId="0">
      <selection activeCell="B147" sqref="B147"/>
    </sheetView>
  </sheetViews>
  <sheetFormatPr defaultColWidth="8.88888888888889" defaultRowHeight="14.4" outlineLevelCol="7"/>
  <cols>
    <col min="1" max="1" width="9.66666666666667"/>
  </cols>
  <sheetData>
    <row r="1" spans="1:8">
      <c r="A1" s="1">
        <f>SUM(B1:AZ1)</f>
        <v>53.9666666666667</v>
      </c>
      <c r="B1" s="1">
        <f t="shared" ref="B1:H1" si="0">COUNTA(B2:B2116)/COLUMN()</f>
        <v>13.5</v>
      </c>
      <c r="C1" s="1">
        <f t="shared" si="0"/>
        <v>20</v>
      </c>
      <c r="D1" s="1">
        <f t="shared" si="0"/>
        <v>16</v>
      </c>
      <c r="E1" s="1">
        <f t="shared" si="0"/>
        <v>1.8</v>
      </c>
      <c r="F1" s="1">
        <f t="shared" si="0"/>
        <v>2.66666666666667</v>
      </c>
      <c r="G1" s="1">
        <f t="shared" si="0"/>
        <v>0</v>
      </c>
      <c r="H1" s="1">
        <f t="shared" si="0"/>
        <v>0</v>
      </c>
    </row>
    <row r="2" spans="1:8">
      <c r="A2" t="str" cm="1">
        <f ca="1" t="array" ref="A2">_wpsfn.SHEETSNAME(A1)</f>
        <v>20251118</v>
      </c>
      <c r="B2" t="s">
        <v>3054</v>
      </c>
    </row>
    <row r="3" spans="1:8">
      <c r="C3" t="s">
        <v>3055</v>
      </c>
    </row>
    <row r="4" spans="1:8">
      <c r="B4" t="s">
        <v>3056</v>
      </c>
    </row>
    <row r="5" spans="1:8">
      <c r="C5" t="s">
        <v>3057</v>
      </c>
    </row>
    <row r="6" spans="1:8">
      <c r="C6" t="s">
        <v>3058</v>
      </c>
    </row>
    <row r="7" spans="1:8">
      <c r="C7" t="s">
        <v>3059</v>
      </c>
    </row>
    <row r="8" spans="1:8">
      <c r="B8" t="s">
        <v>3060</v>
      </c>
    </row>
    <row r="9" spans="1:8">
      <c r="C9" t="s">
        <v>3061</v>
      </c>
    </row>
    <row r="10" spans="1:8">
      <c r="C10" t="s">
        <v>3062</v>
      </c>
    </row>
    <row r="11" spans="1:8">
      <c r="C11" t="s">
        <v>3063</v>
      </c>
    </row>
    <row r="12" spans="1:8">
      <c r="D12" t="s">
        <v>3064</v>
      </c>
    </row>
    <row r="13" spans="1:8">
      <c r="D13" t="s">
        <v>3065</v>
      </c>
    </row>
    <row r="14" spans="1:8">
      <c r="D14" t="s">
        <v>3066</v>
      </c>
    </row>
    <row r="15" spans="1:8">
      <c r="D15" t="s">
        <v>3067</v>
      </c>
    </row>
    <row r="16" spans="1:8">
      <c r="C16" t="s">
        <v>3068</v>
      </c>
    </row>
    <row r="17" spans="2:4">
      <c r="B17" t="s">
        <v>3069</v>
      </c>
    </row>
    <row r="18" spans="2:4">
      <c r="C18" t="s">
        <v>3070</v>
      </c>
    </row>
    <row r="19" spans="2:4">
      <c r="B19" t="s">
        <v>3071</v>
      </c>
    </row>
    <row r="20" spans="2:4">
      <c r="B20" t="s">
        <v>3072</v>
      </c>
    </row>
    <row r="21" spans="2:4">
      <c r="B21" t="s">
        <v>3073</v>
      </c>
    </row>
    <row r="22" spans="2:4">
      <c r="C22" t="s">
        <v>3074</v>
      </c>
    </row>
    <row r="23" spans="2:4">
      <c r="B23" t="s">
        <v>3075</v>
      </c>
    </row>
    <row r="24" spans="2:4">
      <c r="C24" t="s">
        <v>3076</v>
      </c>
    </row>
    <row r="25" spans="2:4">
      <c r="C25" t="s">
        <v>3077</v>
      </c>
    </row>
    <row r="26" spans="2:4">
      <c r="D26" t="s">
        <v>3078</v>
      </c>
    </row>
    <row r="27" spans="2:4">
      <c r="D27" t="s">
        <v>3079</v>
      </c>
    </row>
    <row r="28" spans="2:4">
      <c r="D28" t="s">
        <v>3080</v>
      </c>
    </row>
    <row r="29" spans="2:4">
      <c r="C29" t="s">
        <v>3081</v>
      </c>
    </row>
    <row r="30" spans="2:4">
      <c r="D30" t="s">
        <v>3082</v>
      </c>
    </row>
    <row r="31" spans="2:4">
      <c r="D31" t="s">
        <v>3083</v>
      </c>
    </row>
    <row r="32" spans="2:4">
      <c r="C32" t="s">
        <v>3084</v>
      </c>
    </row>
    <row r="33" spans="3:4">
      <c r="C33" t="s">
        <v>3085</v>
      </c>
    </row>
    <row r="34" spans="3:4">
      <c r="D34" t="s">
        <v>3086</v>
      </c>
    </row>
    <row r="35" spans="3:4">
      <c r="C35" t="s">
        <v>3087</v>
      </c>
    </row>
    <row r="36" spans="3:4">
      <c r="D36" t="s">
        <v>3088</v>
      </c>
    </row>
    <row r="37" spans="3:4">
      <c r="D37" t="s">
        <v>3089</v>
      </c>
    </row>
    <row r="38" spans="3:4">
      <c r="D38" t="s">
        <v>3090</v>
      </c>
    </row>
    <row r="39" spans="3:4">
      <c r="C39" t="s">
        <v>3091</v>
      </c>
    </row>
    <row r="40" spans="3:4">
      <c r="D40" t="s">
        <v>3092</v>
      </c>
    </row>
    <row r="41" spans="3:4">
      <c r="D41" t="s">
        <v>3093</v>
      </c>
    </row>
    <row r="42" spans="3:4">
      <c r="D42" t="s">
        <v>3094</v>
      </c>
    </row>
    <row r="43" spans="3:4">
      <c r="C43" t="s">
        <v>3095</v>
      </c>
    </row>
    <row r="44" spans="3:4">
      <c r="D44" t="s">
        <v>3096</v>
      </c>
    </row>
    <row r="45" spans="3:4">
      <c r="D45" t="s">
        <v>3097</v>
      </c>
    </row>
    <row r="46" spans="3:4">
      <c r="D46" t="s">
        <v>3098</v>
      </c>
    </row>
    <row r="47" spans="3:4">
      <c r="D47" t="s">
        <v>3099</v>
      </c>
    </row>
    <row r="48" spans="3:4">
      <c r="C48" t="s">
        <v>3100</v>
      </c>
    </row>
    <row r="49" spans="3:4">
      <c r="D49" t="s">
        <v>3101</v>
      </c>
    </row>
    <row r="50" spans="3:4">
      <c r="C50" t="s">
        <v>3102</v>
      </c>
    </row>
    <row r="51" spans="3:4">
      <c r="D51" t="s">
        <v>3103</v>
      </c>
    </row>
    <row r="52" spans="3:4">
      <c r="C52" t="s">
        <v>3104</v>
      </c>
    </row>
    <row r="53" spans="3:4">
      <c r="D53" t="s">
        <v>3105</v>
      </c>
    </row>
    <row r="54" spans="3:4">
      <c r="D54" t="s">
        <v>3106</v>
      </c>
    </row>
    <row r="55" spans="3:4">
      <c r="C55" t="s">
        <v>3107</v>
      </c>
    </row>
    <row r="56" spans="3:4">
      <c r="D56" t="s">
        <v>3108</v>
      </c>
    </row>
    <row r="57" spans="3:4">
      <c r="D57" t="s">
        <v>3109</v>
      </c>
    </row>
    <row r="58" spans="3:4">
      <c r="C58" t="s">
        <v>3110</v>
      </c>
    </row>
    <row r="59" spans="3:4">
      <c r="D59" t="s">
        <v>3111</v>
      </c>
    </row>
    <row r="60" spans="3:4">
      <c r="D60" t="s">
        <v>3112</v>
      </c>
    </row>
    <row r="61" spans="3:4">
      <c r="D61" t="s">
        <v>3113</v>
      </c>
    </row>
    <row r="62" spans="3:4">
      <c r="D62" t="s">
        <v>3114</v>
      </c>
    </row>
    <row r="63" spans="3:4">
      <c r="D63" t="s">
        <v>3115</v>
      </c>
    </row>
    <row r="64" spans="3:4">
      <c r="C64" t="s">
        <v>3116</v>
      </c>
    </row>
    <row r="65" spans="3:4">
      <c r="D65" t="s">
        <v>3117</v>
      </c>
    </row>
    <row r="66" spans="3:4">
      <c r="D66" t="s">
        <v>3118</v>
      </c>
    </row>
    <row r="67" spans="3:4">
      <c r="C67" t="s">
        <v>3119</v>
      </c>
    </row>
    <row r="68" spans="3:4">
      <c r="D68" t="s">
        <v>3120</v>
      </c>
    </row>
    <row r="69" spans="3:4">
      <c r="D69" t="s">
        <v>3121</v>
      </c>
    </row>
    <row r="70" spans="3:4">
      <c r="D70" t="s">
        <v>3122</v>
      </c>
    </row>
    <row r="71" spans="3:4">
      <c r="C71" t="s">
        <v>3123</v>
      </c>
    </row>
    <row r="72" spans="3:4">
      <c r="D72" t="s">
        <v>3124</v>
      </c>
    </row>
    <row r="73" spans="3:4">
      <c r="D73" t="s">
        <v>3125</v>
      </c>
    </row>
    <row r="74" spans="3:4">
      <c r="D74" t="s">
        <v>3126</v>
      </c>
    </row>
    <row r="75" spans="3:4">
      <c r="C75" t="s">
        <v>3127</v>
      </c>
    </row>
    <row r="76" spans="3:4">
      <c r="D76" t="s">
        <v>3128</v>
      </c>
    </row>
    <row r="77" spans="3:4">
      <c r="D77" t="s">
        <v>3129</v>
      </c>
    </row>
    <row r="78" spans="3:4">
      <c r="C78" t="s">
        <v>3130</v>
      </c>
    </row>
    <row r="79" spans="3:4">
      <c r="D79" t="s">
        <v>3131</v>
      </c>
    </row>
    <row r="80" spans="3:4">
      <c r="D80" t="s">
        <v>3132</v>
      </c>
    </row>
    <row r="81" spans="3:6">
      <c r="D81" t="s">
        <v>3133</v>
      </c>
    </row>
    <row r="82" spans="3:6">
      <c r="E82" t="s">
        <v>3134</v>
      </c>
    </row>
    <row r="83" spans="3:6">
      <c r="C83" t="s">
        <v>3135</v>
      </c>
    </row>
    <row r="84" spans="3:6">
      <c r="D84" t="s">
        <v>3136</v>
      </c>
    </row>
    <row r="85" spans="3:6">
      <c r="E85" t="s">
        <v>3137</v>
      </c>
    </row>
    <row r="86" spans="3:6">
      <c r="C86" t="s">
        <v>3138</v>
      </c>
    </row>
    <row r="87" spans="3:6">
      <c r="D87" t="s">
        <v>3139</v>
      </c>
    </row>
    <row r="88" spans="3:6">
      <c r="E88" t="s">
        <v>3140</v>
      </c>
    </row>
    <row r="89" spans="3:6">
      <c r="F89" t="s">
        <v>3141</v>
      </c>
    </row>
    <row r="90" spans="3:6">
      <c r="F90" t="s">
        <v>3142</v>
      </c>
    </row>
    <row r="91" spans="3:6">
      <c r="F91" t="s">
        <v>3143</v>
      </c>
    </row>
    <row r="92" spans="3:6">
      <c r="E92" t="s">
        <v>3144</v>
      </c>
    </row>
    <row r="93" spans="3:6">
      <c r="F93" t="s">
        <v>3145</v>
      </c>
    </row>
    <row r="94" spans="3:6">
      <c r="F94" t="s">
        <v>3146</v>
      </c>
    </row>
    <row r="95" spans="3:6">
      <c r="F95" t="s">
        <v>3147</v>
      </c>
    </row>
    <row r="96" spans="3:6">
      <c r="E96" t="s">
        <v>3148</v>
      </c>
    </row>
    <row r="97" spans="3:6">
      <c r="F97" t="s">
        <v>3149</v>
      </c>
    </row>
    <row r="98" spans="3:6">
      <c r="F98" t="s">
        <v>3150</v>
      </c>
    </row>
    <row r="99" spans="3:6">
      <c r="D99" t="s">
        <v>3151</v>
      </c>
    </row>
    <row r="100" spans="3:6">
      <c r="E100" t="s">
        <v>3152</v>
      </c>
    </row>
    <row r="101" spans="3:6">
      <c r="F101" t="s">
        <v>3153</v>
      </c>
    </row>
    <row r="102" spans="3:6">
      <c r="F102" t="s">
        <v>3154</v>
      </c>
    </row>
    <row r="103" spans="3:6">
      <c r="F103" t="s">
        <v>3155</v>
      </c>
    </row>
    <row r="104" spans="3:6">
      <c r="E104" t="s">
        <v>3156</v>
      </c>
    </row>
    <row r="105" spans="3:6">
      <c r="F105" t="s">
        <v>3157</v>
      </c>
    </row>
    <row r="106" spans="3:6">
      <c r="F106" t="s">
        <v>3158</v>
      </c>
    </row>
    <row r="107" spans="3:6">
      <c r="F107" t="s">
        <v>3159</v>
      </c>
    </row>
    <row r="108" spans="3:6">
      <c r="E108" t="s">
        <v>3160</v>
      </c>
    </row>
    <row r="109" spans="3:6">
      <c r="F109" t="s">
        <v>3161</v>
      </c>
    </row>
    <row r="110" spans="3:6">
      <c r="F110" t="s">
        <v>3162</v>
      </c>
    </row>
    <row r="111" spans="3:6">
      <c r="D111" t="s">
        <v>3163</v>
      </c>
    </row>
    <row r="112" spans="3:6">
      <c r="C112" t="s">
        <v>3164</v>
      </c>
    </row>
    <row r="113" spans="3:5">
      <c r="D113" t="s">
        <v>3165</v>
      </c>
    </row>
    <row r="114" spans="3:5">
      <c r="D114" t="s">
        <v>3166</v>
      </c>
    </row>
    <row r="115" spans="3:5">
      <c r="C115" t="s">
        <v>3167</v>
      </c>
    </row>
    <row r="116" spans="3:5">
      <c r="C116" t="s">
        <v>3168</v>
      </c>
    </row>
    <row r="117" spans="3:5">
      <c r="D117" t="s">
        <v>3169</v>
      </c>
    </row>
    <row r="118" spans="3:5">
      <c r="E118" t="s">
        <v>3170</v>
      </c>
    </row>
    <row r="119" spans="3:5">
      <c r="C119" t="s">
        <v>3171</v>
      </c>
    </row>
    <row r="120" spans="3:5">
      <c r="D120" t="s">
        <v>3172</v>
      </c>
    </row>
    <row r="121" spans="3:5">
      <c r="D121" t="s">
        <v>3173</v>
      </c>
    </row>
    <row r="122" spans="3:5">
      <c r="C122" t="s">
        <v>3174</v>
      </c>
    </row>
    <row r="123" spans="3:5">
      <c r="D123" t="s">
        <v>3175</v>
      </c>
    </row>
    <row r="124" spans="3:5">
      <c r="D124" t="s">
        <v>3176</v>
      </c>
    </row>
    <row r="125" spans="3:5">
      <c r="C125" t="s">
        <v>3177</v>
      </c>
    </row>
    <row r="126" spans="3:5">
      <c r="C126" t="s">
        <v>3178</v>
      </c>
    </row>
    <row r="127" spans="3:5">
      <c r="D127" t="s">
        <v>3179</v>
      </c>
    </row>
    <row r="128" spans="3:5">
      <c r="D128" t="s">
        <v>3180</v>
      </c>
    </row>
    <row r="129" spans="2:4">
      <c r="B129" t="s">
        <v>3181</v>
      </c>
    </row>
    <row r="130" spans="2:4">
      <c r="C130" t="s">
        <v>3182</v>
      </c>
    </row>
    <row r="131" spans="2:4">
      <c r="D131" t="s">
        <v>3183</v>
      </c>
    </row>
    <row r="132" spans="2:4">
      <c r="C132" t="s">
        <v>3184</v>
      </c>
    </row>
    <row r="133" spans="2:4">
      <c r="D133" t="s">
        <v>3185</v>
      </c>
    </row>
    <row r="134" spans="2:4">
      <c r="D134" t="s">
        <v>3186</v>
      </c>
    </row>
    <row r="135" spans="2:4">
      <c r="C135" t="s">
        <v>3187</v>
      </c>
    </row>
    <row r="136" spans="2:4">
      <c r="C136" t="s">
        <v>3188</v>
      </c>
    </row>
    <row r="137" spans="2:4">
      <c r="C137" t="s">
        <v>3189</v>
      </c>
    </row>
    <row r="138" spans="2:4">
      <c r="C138" t="s">
        <v>3190</v>
      </c>
    </row>
    <row r="139" spans="2:4">
      <c r="C139" t="s">
        <v>3191</v>
      </c>
    </row>
    <row r="140" spans="2:4">
      <c r="C140" t="s">
        <v>3192</v>
      </c>
    </row>
    <row r="141" spans="2:4">
      <c r="D141" t="s">
        <v>3193</v>
      </c>
    </row>
    <row r="142" spans="2:4">
      <c r="D142" t="s">
        <v>3194</v>
      </c>
    </row>
    <row r="143" spans="2:4">
      <c r="D143" t="s">
        <v>3195</v>
      </c>
    </row>
    <row r="144" spans="2:4">
      <c r="C144" t="s">
        <v>3196</v>
      </c>
    </row>
    <row r="145" spans="2:3">
      <c r="B145" t="s">
        <v>3197</v>
      </c>
    </row>
    <row r="146" spans="2:3">
      <c r="B146" t="s">
        <v>3198</v>
      </c>
    </row>
    <row r="147" spans="2:3">
      <c r="B147" t="s">
        <v>3199</v>
      </c>
    </row>
    <row r="148" spans="2:3">
      <c r="B148" t="s">
        <v>3200</v>
      </c>
    </row>
    <row r="149" spans="2:3">
      <c r="B149" t="s">
        <v>3201</v>
      </c>
    </row>
    <row r="150" spans="2:3">
      <c r="B150" t="s">
        <v>3202</v>
      </c>
    </row>
    <row r="151" spans="2:3">
      <c r="B151" t="s">
        <v>3203</v>
      </c>
    </row>
    <row r="152" spans="2:3">
      <c r="B152" t="s">
        <v>3204</v>
      </c>
    </row>
    <row r="153" spans="2:3">
      <c r="B153" t="s">
        <v>3205</v>
      </c>
    </row>
    <row r="154" spans="2:3">
      <c r="B154" t="s">
        <v>3206</v>
      </c>
    </row>
    <row r="155" spans="2:3">
      <c r="B155" t="s">
        <v>3207</v>
      </c>
    </row>
    <row r="156" spans="2:3">
      <c r="B156" t="s">
        <v>3208</v>
      </c>
    </row>
    <row r="157" spans="2:3">
      <c r="C157" t="s">
        <v>3209</v>
      </c>
    </row>
    <row r="158" spans="2:3">
      <c r="B158" t="s">
        <v>3210</v>
      </c>
    </row>
    <row r="159" spans="2:3">
      <c r="C159" t="s">
        <v>3211</v>
      </c>
    </row>
    <row r="160" spans="2:3">
      <c r="C160" t="s">
        <v>3212</v>
      </c>
    </row>
    <row r="161" spans="2:4">
      <c r="C161" t="s">
        <v>3213</v>
      </c>
    </row>
    <row r="162" spans="2:4">
      <c r="C162" t="s">
        <v>3214</v>
      </c>
    </row>
    <row r="163" spans="2:4">
      <c r="B163" t="s">
        <v>3215</v>
      </c>
    </row>
    <row r="164" spans="2:4">
      <c r="C164" t="s">
        <v>3216</v>
      </c>
    </row>
    <row r="165" spans="2:4">
      <c r="C165" t="s">
        <v>3217</v>
      </c>
    </row>
    <row r="166" spans="2:4">
      <c r="B166" t="s">
        <v>3218</v>
      </c>
    </row>
    <row r="167" spans="2:4">
      <c r="B167" t="s">
        <v>3219</v>
      </c>
    </row>
    <row r="168" spans="2:4">
      <c r="C168" t="s">
        <v>3220</v>
      </c>
    </row>
    <row r="169" spans="2:4">
      <c r="C169" t="s">
        <v>3221</v>
      </c>
    </row>
    <row r="170" spans="2:4">
      <c r="D170" t="s">
        <v>3222</v>
      </c>
    </row>
    <row r="171" spans="2:4">
      <c r="B171" t="s">
        <v>3223</v>
      </c>
    </row>
    <row r="172" spans="2:4">
      <c r="C172" t="s">
        <v>3224</v>
      </c>
    </row>
    <row r="173" spans="2:4">
      <c r="C173" t="s">
        <v>3225</v>
      </c>
    </row>
    <row r="174" spans="2:4">
      <c r="B174" t="s">
        <v>3226</v>
      </c>
    </row>
    <row r="175" spans="2:4">
      <c r="C175" t="s">
        <v>3227</v>
      </c>
    </row>
    <row r="176" spans="2:4">
      <c r="C176" t="s">
        <v>3228</v>
      </c>
    </row>
    <row r="177" spans="3:3">
      <c r="C177" t="s">
        <v>3229</v>
      </c>
    </row>
  </sheetData>
  <pageMargins left="0.75" right="0.75" top="1" bottom="1" header="0.5" footer="0.5"/>
  <pageSetup paperSize="9" orientation="portrait"/>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89"/>
  <sheetViews>
    <sheetView zoomScale="70" zoomScaleNormal="70" topLeftCell="A71" workbookViewId="0">
      <selection activeCell="B71" sqref="B71"/>
    </sheetView>
  </sheetViews>
  <sheetFormatPr defaultColWidth="8.88888888888889" defaultRowHeight="14.4" outlineLevelCol="7"/>
  <cols>
    <col min="1" max="1" width="9.66666666666667"/>
  </cols>
  <sheetData>
    <row r="1" spans="1:8">
      <c r="A1" s="1">
        <f>SUM(B1:AZ1)</f>
        <v>69.65</v>
      </c>
      <c r="B1" s="1">
        <f>COUNTA(B2:B2124)/COLUMN()</f>
        <v>30</v>
      </c>
      <c r="C1" s="1">
        <f>COUNTA(C2:C2124)/COLUMN()</f>
        <v>31</v>
      </c>
      <c r="D1" s="1">
        <f>COUNTA(D2:D2124)/COLUMN()</f>
        <v>8.25</v>
      </c>
      <c r="E1" s="1">
        <f>COUNTA(E2:E2124)/COLUMN()</f>
        <v>0.4</v>
      </c>
      <c r="F1" s="1">
        <f>COUNTA(F2:F2124)/COLUMN()</f>
        <v>0</v>
      </c>
      <c r="G1" s="1">
        <f>COUNTA(G2:G2124)/COLUMN()</f>
        <v>0</v>
      </c>
      <c r="H1" s="1">
        <f>COUNTA(H2:H2124)/COLUMN()</f>
        <v>0</v>
      </c>
    </row>
    <row r="2" spans="1:8">
      <c r="A2" t="str" cm="1">
        <f ca="1" t="array" ref="A2">_wpsfn.SHEETSNAME(A1)</f>
        <v>20251119</v>
      </c>
      <c r="B2" t="s">
        <v>3230</v>
      </c>
    </row>
    <row r="3" spans="1:8">
      <c r="C3" t="s">
        <v>3231</v>
      </c>
    </row>
    <row r="4" spans="1:8">
      <c r="C4" t="s">
        <v>3232</v>
      </c>
    </row>
    <row r="5" spans="1:8">
      <c r="C5" t="s">
        <v>3233</v>
      </c>
    </row>
    <row r="6" spans="1:8">
      <c r="C6" t="s">
        <v>3234</v>
      </c>
    </row>
    <row r="7" spans="1:8">
      <c r="B7" t="s">
        <v>3235</v>
      </c>
    </row>
    <row r="8" spans="1:8">
      <c r="C8" t="s">
        <v>3236</v>
      </c>
    </row>
    <row r="9" spans="1:8">
      <c r="C9" t="s">
        <v>3237</v>
      </c>
    </row>
    <row r="10" spans="1:8">
      <c r="C10" t="s">
        <v>3238</v>
      </c>
    </row>
    <row r="11" spans="1:8">
      <c r="B11" t="s">
        <v>3239</v>
      </c>
    </row>
    <row r="12" spans="1:8">
      <c r="C12" t="s">
        <v>3240</v>
      </c>
    </row>
    <row r="13" spans="1:8">
      <c r="D13" t="s">
        <v>3241</v>
      </c>
    </row>
    <row r="14" spans="1:8">
      <c r="D14" t="s">
        <v>3242</v>
      </c>
    </row>
    <row r="15" spans="1:8">
      <c r="D15" t="s">
        <v>3243</v>
      </c>
    </row>
    <row r="16" spans="1:8">
      <c r="D16" t="s">
        <v>3244</v>
      </c>
    </row>
    <row r="17" spans="2:4">
      <c r="D17" t="s">
        <v>3245</v>
      </c>
    </row>
    <row r="18" spans="2:4">
      <c r="B18" t="s">
        <v>3246</v>
      </c>
    </row>
    <row r="19" spans="2:4">
      <c r="B19" t="s">
        <v>3247</v>
      </c>
    </row>
    <row r="20" spans="2:4">
      <c r="B20" t="s">
        <v>3248</v>
      </c>
    </row>
    <row r="21" spans="2:4">
      <c r="B21" t="s">
        <v>3249</v>
      </c>
    </row>
    <row r="22" spans="2:4">
      <c r="C22" t="s">
        <v>3250</v>
      </c>
    </row>
    <row r="23" spans="2:4">
      <c r="D23" t="s">
        <v>3251</v>
      </c>
    </row>
    <row r="24" spans="2:4">
      <c r="D24" t="s">
        <v>3252</v>
      </c>
    </row>
    <row r="25" spans="2:4">
      <c r="D25" t="s">
        <v>3253</v>
      </c>
    </row>
    <row r="26" spans="2:4">
      <c r="C26" t="s">
        <v>3254</v>
      </c>
    </row>
    <row r="27" spans="2:4">
      <c r="D27" t="s">
        <v>3255</v>
      </c>
    </row>
    <row r="28" spans="2:4">
      <c r="D28" t="s">
        <v>3256</v>
      </c>
    </row>
    <row r="29" spans="2:4">
      <c r="D29" t="s">
        <v>3257</v>
      </c>
    </row>
    <row r="30" spans="2:4">
      <c r="C30" t="s">
        <v>3258</v>
      </c>
    </row>
    <row r="31" spans="2:4">
      <c r="D31" t="s">
        <v>3259</v>
      </c>
    </row>
    <row r="32" spans="2:4">
      <c r="D32" t="s">
        <v>3260</v>
      </c>
    </row>
    <row r="33" spans="3:5">
      <c r="D33" t="s">
        <v>3261</v>
      </c>
    </row>
    <row r="34" spans="3:5">
      <c r="C34" t="s">
        <v>3262</v>
      </c>
    </row>
    <row r="35" spans="3:5">
      <c r="D35" t="s">
        <v>3263</v>
      </c>
    </row>
    <row r="36" spans="3:5">
      <c r="E36" t="s">
        <v>3264</v>
      </c>
    </row>
    <row r="37" spans="3:5">
      <c r="D37" t="s">
        <v>3265</v>
      </c>
    </row>
    <row r="38" spans="3:5">
      <c r="D38" t="s">
        <v>3266</v>
      </c>
    </row>
    <row r="39" spans="3:5">
      <c r="C39" t="s">
        <v>3267</v>
      </c>
    </row>
    <row r="40" spans="3:5">
      <c r="C40" t="s">
        <v>3268</v>
      </c>
    </row>
    <row r="41" spans="3:5">
      <c r="C41" t="s">
        <v>3269</v>
      </c>
    </row>
    <row r="42" spans="3:5">
      <c r="D42" t="s">
        <v>3270</v>
      </c>
    </row>
    <row r="43" spans="3:5">
      <c r="D43" t="s">
        <v>3271</v>
      </c>
    </row>
    <row r="44" spans="3:5">
      <c r="D44" t="s">
        <v>3272</v>
      </c>
    </row>
    <row r="45" spans="3:5">
      <c r="C45" t="s">
        <v>3273</v>
      </c>
    </row>
    <row r="46" spans="3:5">
      <c r="D46" t="s">
        <v>3274</v>
      </c>
    </row>
    <row r="47" spans="3:5">
      <c r="D47" t="s">
        <v>3275</v>
      </c>
    </row>
    <row r="48" spans="3:5">
      <c r="D48" t="s">
        <v>3276</v>
      </c>
    </row>
    <row r="49" spans="2:3">
      <c r="B49" t="s">
        <v>3277</v>
      </c>
    </row>
    <row r="50" spans="2:3">
      <c r="C50" t="s">
        <v>3278</v>
      </c>
    </row>
    <row r="51" spans="2:3">
      <c r="B51" t="s">
        <v>3279</v>
      </c>
    </row>
    <row r="52" spans="2:3">
      <c r="C52" t="s">
        <v>3280</v>
      </c>
    </row>
    <row r="53" spans="2:3">
      <c r="B53" t="s">
        <v>3281</v>
      </c>
    </row>
    <row r="54" spans="2:3">
      <c r="B54" t="s">
        <v>3282</v>
      </c>
    </row>
    <row r="55" spans="2:3">
      <c r="C55" t="s">
        <v>3283</v>
      </c>
    </row>
    <row r="56" spans="2:3">
      <c r="C56" t="s">
        <v>3284</v>
      </c>
    </row>
    <row r="57" spans="2:3">
      <c r="B57" t="s">
        <v>3285</v>
      </c>
    </row>
    <row r="58" spans="2:3">
      <c r="B58" t="s">
        <v>3286</v>
      </c>
    </row>
    <row r="59" spans="2:3">
      <c r="B59" t="s">
        <v>3287</v>
      </c>
    </row>
    <row r="60" spans="2:3">
      <c r="C60" t="s">
        <v>3288</v>
      </c>
    </row>
    <row r="61" spans="2:3">
      <c r="C61" t="s">
        <v>3289</v>
      </c>
    </row>
    <row r="62" spans="2:3">
      <c r="C62" t="s">
        <v>3290</v>
      </c>
    </row>
    <row r="63" spans="2:3">
      <c r="C63" t="s">
        <v>3291</v>
      </c>
    </row>
    <row r="64" spans="2:3">
      <c r="B64" t="s">
        <v>3292</v>
      </c>
    </row>
    <row r="65" spans="2:3">
      <c r="B65" t="s">
        <v>3293</v>
      </c>
    </row>
    <row r="66" spans="2:3">
      <c r="C66" t="s">
        <v>3294</v>
      </c>
    </row>
    <row r="67" spans="2:3">
      <c r="C67" t="s">
        <v>3295</v>
      </c>
    </row>
    <row r="68" spans="2:3">
      <c r="C68" t="s">
        <v>3296</v>
      </c>
    </row>
    <row r="69" spans="2:3">
      <c r="B69" t="s">
        <v>3297</v>
      </c>
    </row>
    <row r="70" spans="2:3">
      <c r="B70" t="s">
        <v>3298</v>
      </c>
    </row>
    <row r="71" spans="2:3">
      <c r="B71" t="s">
        <v>3299</v>
      </c>
    </row>
    <row r="72" spans="2:3">
      <c r="B72" t="s">
        <v>3300</v>
      </c>
    </row>
    <row r="73" spans="2:3">
      <c r="C73" t="s">
        <v>3301</v>
      </c>
    </row>
    <row r="74" spans="2:3">
      <c r="C74" t="s">
        <v>3302</v>
      </c>
    </row>
    <row r="75" spans="2:3">
      <c r="B75" t="s">
        <v>3303</v>
      </c>
    </row>
    <row r="76" spans="2:3">
      <c r="B76" t="s">
        <v>3304</v>
      </c>
    </row>
    <row r="77" spans="2:3">
      <c r="C77" t="s">
        <v>3305</v>
      </c>
    </row>
    <row r="78" spans="2:3">
      <c r="C78" t="s">
        <v>3306</v>
      </c>
    </row>
    <row r="79" spans="2:3">
      <c r="B79" t="s">
        <v>3307</v>
      </c>
    </row>
    <row r="80" spans="2:3">
      <c r="C80" t="s">
        <v>3308</v>
      </c>
    </row>
    <row r="81" spans="2:4">
      <c r="C81" t="s">
        <v>3309</v>
      </c>
    </row>
    <row r="82" spans="2:4">
      <c r="C82" t="s">
        <v>3310</v>
      </c>
    </row>
    <row r="83" spans="2:4">
      <c r="B83" t="s">
        <v>3311</v>
      </c>
    </row>
    <row r="84" spans="2:4">
      <c r="C84" t="s">
        <v>3312</v>
      </c>
    </row>
    <row r="85" spans="2:4">
      <c r="C85" t="s">
        <v>3313</v>
      </c>
    </row>
    <row r="86" spans="2:4">
      <c r="C86" t="s">
        <v>3314</v>
      </c>
    </row>
    <row r="87" spans="2:4">
      <c r="C87" t="s">
        <v>3315</v>
      </c>
    </row>
    <row r="88" spans="2:4">
      <c r="B88" t="s">
        <v>3316</v>
      </c>
    </row>
    <row r="89" spans="2:4">
      <c r="C89" t="s">
        <v>3317</v>
      </c>
    </row>
    <row r="90" spans="2:4">
      <c r="C90" t="s">
        <v>3318</v>
      </c>
    </row>
    <row r="91" spans="2:4">
      <c r="C91" t="s">
        <v>3319</v>
      </c>
    </row>
    <row r="92" spans="2:4">
      <c r="C92" t="s">
        <v>3320</v>
      </c>
    </row>
    <row r="93" spans="2:4">
      <c r="B93" t="s">
        <v>3321</v>
      </c>
    </row>
    <row r="94" spans="2:4">
      <c r="C94" t="s">
        <v>3322</v>
      </c>
    </row>
    <row r="95" spans="2:4">
      <c r="D95" t="s">
        <v>3323</v>
      </c>
    </row>
    <row r="96" spans="2:4">
      <c r="D96" t="s">
        <v>3324</v>
      </c>
    </row>
    <row r="97" spans="2:4">
      <c r="C97" t="s">
        <v>3325</v>
      </c>
    </row>
    <row r="98" spans="2:4">
      <c r="C98" t="s">
        <v>3326</v>
      </c>
    </row>
    <row r="99" spans="2:4">
      <c r="C99" t="s">
        <v>3327</v>
      </c>
    </row>
    <row r="100" spans="2:4">
      <c r="B100" t="s">
        <v>3328</v>
      </c>
    </row>
    <row r="101" spans="2:4">
      <c r="B101" t="s">
        <v>3329</v>
      </c>
    </row>
    <row r="102" spans="2:4">
      <c r="C102" t="s">
        <v>3330</v>
      </c>
    </row>
    <row r="103" spans="2:4">
      <c r="C103" t="s">
        <v>3331</v>
      </c>
    </row>
    <row r="104" spans="2:4">
      <c r="C104" t="s">
        <v>3332</v>
      </c>
    </row>
    <row r="105" spans="2:4">
      <c r="B105" t="s">
        <v>3333</v>
      </c>
    </row>
    <row r="106" spans="2:4">
      <c r="C106" t="s">
        <v>3334</v>
      </c>
    </row>
    <row r="107" spans="2:4">
      <c r="C107" t="s">
        <v>3335</v>
      </c>
    </row>
    <row r="108" spans="2:4">
      <c r="C108" t="s">
        <v>3336</v>
      </c>
    </row>
    <row r="109" spans="2:4">
      <c r="C109" t="s">
        <v>3337</v>
      </c>
    </row>
    <row r="110" spans="2:4">
      <c r="D110" t="s">
        <v>3338</v>
      </c>
    </row>
    <row r="111" spans="2:4">
      <c r="D111" t="s">
        <v>3339</v>
      </c>
    </row>
    <row r="112" spans="2:4">
      <c r="B112" t="s">
        <v>3340</v>
      </c>
    </row>
    <row r="113" spans="2:3">
      <c r="B113" t="s">
        <v>3341</v>
      </c>
    </row>
    <row r="114" spans="2:3">
      <c r="B114" t="s">
        <v>3342</v>
      </c>
    </row>
    <row r="115" spans="2:3">
      <c r="B115" t="s">
        <v>3343</v>
      </c>
    </row>
    <row r="116" spans="2:3">
      <c r="C116" t="s">
        <v>3344</v>
      </c>
    </row>
    <row r="117" spans="2:3">
      <c r="C117" t="s">
        <v>3345</v>
      </c>
    </row>
    <row r="118" spans="2:3">
      <c r="C118" t="s">
        <v>3346</v>
      </c>
    </row>
    <row r="119" spans="2:3">
      <c r="B119" t="s">
        <v>3347</v>
      </c>
    </row>
    <row r="120" spans="2:3">
      <c r="C120" t="s">
        <v>3348</v>
      </c>
    </row>
    <row r="121" spans="2:3">
      <c r="B121" t="s">
        <v>3349</v>
      </c>
    </row>
    <row r="122" spans="2:3">
      <c r="B122" t="s">
        <v>3350</v>
      </c>
    </row>
    <row r="123" spans="2:3">
      <c r="C123" t="s">
        <v>3351</v>
      </c>
    </row>
    <row r="124" spans="2:3">
      <c r="B124" t="s">
        <v>3352</v>
      </c>
    </row>
    <row r="125" spans="2:3">
      <c r="B125" t="s">
        <v>3353</v>
      </c>
    </row>
    <row r="126" spans="2:3">
      <c r="B126" t="s">
        <v>3354</v>
      </c>
    </row>
    <row r="127" spans="2:3">
      <c r="B127" t="s">
        <v>3355</v>
      </c>
    </row>
    <row r="128" spans="2:3">
      <c r="B128" t="s">
        <v>3356</v>
      </c>
    </row>
    <row r="129" spans="2:5">
      <c r="C129" t="s">
        <v>3357</v>
      </c>
    </row>
    <row r="130" spans="2:5">
      <c r="C130" t="s">
        <v>3358</v>
      </c>
    </row>
    <row r="131" spans="2:5">
      <c r="C131" t="s">
        <v>3359</v>
      </c>
    </row>
    <row r="132" spans="2:5">
      <c r="C132" t="s">
        <v>3360</v>
      </c>
    </row>
    <row r="133" spans="2:5">
      <c r="B133" t="s">
        <v>3361</v>
      </c>
    </row>
    <row r="134" spans="2:5">
      <c r="C134" t="s">
        <v>3362</v>
      </c>
    </row>
    <row r="135" spans="2:5">
      <c r="C135" t="s">
        <v>3363</v>
      </c>
    </row>
    <row r="136" spans="2:5">
      <c r="C136" t="s">
        <v>3364</v>
      </c>
    </row>
    <row r="137" spans="2:5">
      <c r="D137" t="s">
        <v>3365</v>
      </c>
    </row>
    <row r="138" spans="2:5">
      <c r="E138" t="s">
        <v>3366</v>
      </c>
    </row>
    <row r="139" spans="2:5">
      <c r="D139" t="s">
        <v>3367</v>
      </c>
    </row>
    <row r="140" spans="2:5">
      <c r="B140" t="s">
        <v>3368</v>
      </c>
    </row>
    <row r="141" spans="2:5">
      <c r="C141" t="s">
        <v>3369</v>
      </c>
    </row>
    <row r="142" spans="2:5">
      <c r="C142" t="s">
        <v>3370</v>
      </c>
    </row>
    <row r="143" spans="2:5">
      <c r="C143" t="s">
        <v>3371</v>
      </c>
    </row>
    <row r="144" spans="2:5">
      <c r="C144" t="s">
        <v>3372</v>
      </c>
    </row>
    <row r="145" spans="2:4">
      <c r="B145" t="s">
        <v>3373</v>
      </c>
    </row>
    <row r="146" spans="2:4">
      <c r="C146" t="s">
        <v>3374</v>
      </c>
    </row>
    <row r="147" spans="2:4">
      <c r="B147" t="s">
        <v>3375</v>
      </c>
    </row>
    <row r="148" spans="2:4">
      <c r="B148" t="s">
        <v>3376</v>
      </c>
    </row>
    <row r="149" spans="2:4">
      <c r="B149" t="s">
        <v>3377</v>
      </c>
    </row>
    <row r="150" spans="2:4">
      <c r="C150" t="s">
        <v>3378</v>
      </c>
    </row>
    <row r="151" spans="2:4">
      <c r="C151" t="s">
        <v>3379</v>
      </c>
    </row>
    <row r="152" spans="2:4">
      <c r="C152" t="s">
        <v>3380</v>
      </c>
    </row>
    <row r="153" spans="2:4">
      <c r="C153" t="s">
        <v>3381</v>
      </c>
    </row>
    <row r="154" spans="2:4">
      <c r="B154" t="s">
        <v>3382</v>
      </c>
    </row>
    <row r="155" spans="2:4">
      <c r="B155" t="s">
        <v>3383</v>
      </c>
    </row>
    <row r="156" spans="2:4">
      <c r="C156" t="s">
        <v>3384</v>
      </c>
    </row>
    <row r="157" spans="2:4">
      <c r="C157" t="s">
        <v>3385</v>
      </c>
    </row>
    <row r="158" spans="2:4">
      <c r="D158" t="s">
        <v>3386</v>
      </c>
    </row>
    <row r="159" spans="2:4">
      <c r="C159" t="s">
        <v>3387</v>
      </c>
    </row>
    <row r="160" spans="2:4">
      <c r="C160" t="s">
        <v>3388</v>
      </c>
    </row>
    <row r="161" spans="2:4">
      <c r="D161" t="s">
        <v>3389</v>
      </c>
    </row>
    <row r="162" spans="2:4">
      <c r="D162" t="s">
        <v>3390</v>
      </c>
    </row>
    <row r="163" spans="2:4">
      <c r="D163" t="s">
        <v>3391</v>
      </c>
    </row>
    <row r="164" spans="2:4">
      <c r="C164" t="s">
        <v>3392</v>
      </c>
    </row>
    <row r="165" spans="2:4">
      <c r="B165" t="s">
        <v>3393</v>
      </c>
    </row>
    <row r="166" spans="2:4">
      <c r="B166" t="s">
        <v>3394</v>
      </c>
    </row>
    <row r="167" spans="2:4">
      <c r="C167" t="s">
        <v>3395</v>
      </c>
    </row>
    <row r="168" spans="2:4">
      <c r="C168" t="s">
        <v>3396</v>
      </c>
    </row>
    <row r="169" spans="2:4">
      <c r="C169" t="s">
        <v>3397</v>
      </c>
    </row>
    <row r="170" spans="2:4">
      <c r="B170" t="s">
        <v>3398</v>
      </c>
    </row>
    <row r="171" spans="2:4">
      <c r="B171" t="s">
        <v>3399</v>
      </c>
    </row>
    <row r="172" spans="2:4">
      <c r="B172" t="s">
        <v>3400</v>
      </c>
    </row>
    <row r="173" spans="2:4">
      <c r="C173" t="s">
        <v>3401</v>
      </c>
    </row>
    <row r="174" spans="2:4">
      <c r="C174" t="s">
        <v>3402</v>
      </c>
    </row>
    <row r="175" spans="2:4">
      <c r="C175" t="s">
        <v>3403</v>
      </c>
    </row>
    <row r="176" spans="2:4">
      <c r="B176" t="s">
        <v>3404</v>
      </c>
    </row>
    <row r="177" spans="2:3">
      <c r="C177" t="s">
        <v>3405</v>
      </c>
    </row>
    <row r="178" spans="2:3">
      <c r="C178" t="s">
        <v>3406</v>
      </c>
    </row>
    <row r="179" spans="2:3">
      <c r="C179" t="s">
        <v>3407</v>
      </c>
    </row>
    <row r="180" spans="2:3">
      <c r="B180" t="s">
        <v>3408</v>
      </c>
    </row>
    <row r="181" spans="2:3">
      <c r="B181" t="s">
        <v>3409</v>
      </c>
    </row>
    <row r="182" spans="2:3">
      <c r="B182" t="s">
        <v>3410</v>
      </c>
    </row>
    <row r="183" spans="2:3">
      <c r="B183" t="s">
        <v>3411</v>
      </c>
    </row>
    <row r="184" spans="2:3">
      <c r="C184" t="s">
        <v>3412</v>
      </c>
    </row>
    <row r="185" spans="2:3">
      <c r="C185" t="s">
        <v>3413</v>
      </c>
    </row>
    <row r="186" spans="2:3">
      <c r="C186" t="s">
        <v>3414</v>
      </c>
    </row>
    <row r="187" spans="2:3">
      <c r="C187" t="s">
        <v>3415</v>
      </c>
    </row>
    <row r="188" spans="2:3">
      <c r="B188" t="s">
        <v>3416</v>
      </c>
    </row>
    <row r="189" spans="2:3">
      <c r="C189" t="s">
        <v>3417</v>
      </c>
    </row>
  </sheetData>
  <pageMargins left="0.75" right="0.75" top="1" bottom="1" header="0.5" footer="0.5"/>
  <pageSetup paperSize="9" orientation="portrait"/>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65"/>
  <sheetViews>
    <sheetView zoomScale="70" zoomScaleNormal="70" topLeftCell="A162" workbookViewId="0">
      <selection activeCell="K149" sqref="K149"/>
    </sheetView>
  </sheetViews>
  <sheetFormatPr defaultColWidth="8.88888888888889" defaultRowHeight="14.4" outlineLevelCol="7"/>
  <cols>
    <col min="1" max="1" width="9.66666666666667"/>
  </cols>
  <sheetData>
    <row r="1" spans="1:8">
      <c r="A1" s="1">
        <f>SUM(B1:AZ1)</f>
        <v>99.35</v>
      </c>
      <c r="B1" s="1">
        <f>COUNTA(B2:B2134)/COLUMN()</f>
        <v>47</v>
      </c>
      <c r="C1" s="1">
        <f>COUNTA(C2:C2134)/COLUMN()</f>
        <v>40</v>
      </c>
      <c r="D1" s="1">
        <f>COUNTA(D2:D2134)/COLUMN()</f>
        <v>11.75</v>
      </c>
      <c r="E1" s="1">
        <f>COUNTA(E2:E2134)/COLUMN()</f>
        <v>0.6</v>
      </c>
      <c r="F1" s="1">
        <f>COUNTA(F2:F2134)/COLUMN()</f>
        <v>0</v>
      </c>
      <c r="G1" s="1">
        <f>COUNTA(G2:G2134)/COLUMN()</f>
        <v>0</v>
      </c>
      <c r="H1" s="1">
        <f>COUNTA(H2:H2134)/COLUMN()</f>
        <v>0</v>
      </c>
    </row>
    <row r="2" spans="1:8">
      <c r="A2" t="str" cm="1">
        <f ca="1" t="array" ref="A2">_wpsfn.SHEETSNAME(A1)</f>
        <v>20251120</v>
      </c>
      <c r="B2" t="s">
        <v>3418</v>
      </c>
    </row>
    <row r="3" spans="1:8">
      <c r="C3" t="s">
        <v>3419</v>
      </c>
    </row>
    <row r="4" spans="1:8">
      <c r="C4" t="s">
        <v>3420</v>
      </c>
    </row>
    <row r="5" spans="1:8">
      <c r="C5" t="s">
        <v>3421</v>
      </c>
    </row>
    <row r="6" spans="1:8">
      <c r="C6" t="s">
        <v>3422</v>
      </c>
    </row>
    <row r="7" spans="1:8">
      <c r="B7" t="s">
        <v>3423</v>
      </c>
    </row>
    <row r="8" spans="1:8">
      <c r="B8" t="s">
        <v>3424</v>
      </c>
    </row>
    <row r="9" spans="1:8">
      <c r="B9" t="s">
        <v>3425</v>
      </c>
    </row>
    <row r="10" spans="1:8">
      <c r="B10" t="s">
        <v>3426</v>
      </c>
    </row>
    <row r="11" spans="1:8">
      <c r="B11" t="s">
        <v>3427</v>
      </c>
    </row>
    <row r="12" spans="1:8">
      <c r="C12" t="s">
        <v>3428</v>
      </c>
    </row>
    <row r="13" spans="1:8">
      <c r="C13" t="s">
        <v>3429</v>
      </c>
    </row>
    <row r="14" spans="1:8">
      <c r="D14" t="s">
        <v>3430</v>
      </c>
    </row>
    <row r="15" spans="1:8">
      <c r="D15" t="s">
        <v>3431</v>
      </c>
    </row>
    <row r="16" spans="1:8">
      <c r="B16" t="s">
        <v>3432</v>
      </c>
    </row>
    <row r="17" spans="2:4">
      <c r="C17" t="s">
        <v>3433</v>
      </c>
    </row>
    <row r="18" spans="2:4">
      <c r="C18" t="s">
        <v>3434</v>
      </c>
    </row>
    <row r="19" spans="2:4">
      <c r="C19" t="s">
        <v>3435</v>
      </c>
    </row>
    <row r="20" spans="2:4">
      <c r="B20" t="s">
        <v>3436</v>
      </c>
    </row>
    <row r="21" spans="2:4">
      <c r="B21" t="s">
        <v>3437</v>
      </c>
    </row>
    <row r="22" spans="2:4">
      <c r="B22" t="s">
        <v>3438</v>
      </c>
    </row>
    <row r="23" spans="2:4">
      <c r="C23" t="s">
        <v>3439</v>
      </c>
    </row>
    <row r="24" spans="2:4">
      <c r="C24" t="s">
        <v>3440</v>
      </c>
    </row>
    <row r="25" spans="2:4">
      <c r="D25" t="s">
        <v>3441</v>
      </c>
    </row>
    <row r="26" spans="2:4">
      <c r="B26" t="s">
        <v>3442</v>
      </c>
    </row>
    <row r="27" spans="2:4">
      <c r="B27" t="s">
        <v>3443</v>
      </c>
    </row>
    <row r="28" spans="2:4">
      <c r="B28" t="s">
        <v>3444</v>
      </c>
    </row>
    <row r="29" spans="2:4">
      <c r="B29" t="s">
        <v>3445</v>
      </c>
    </row>
    <row r="30" spans="2:4">
      <c r="C30" t="s">
        <v>3446</v>
      </c>
    </row>
    <row r="31" spans="2:4">
      <c r="C31" t="s">
        <v>3447</v>
      </c>
    </row>
    <row r="32" spans="2:4">
      <c r="B32" t="s">
        <v>3448</v>
      </c>
    </row>
    <row r="33" spans="2:3">
      <c r="C33" t="s">
        <v>3449</v>
      </c>
    </row>
    <row r="34" spans="2:3">
      <c r="C34" t="s">
        <v>3450</v>
      </c>
    </row>
    <row r="35" spans="2:3">
      <c r="B35" t="s">
        <v>3451</v>
      </c>
    </row>
    <row r="36" spans="2:3">
      <c r="C36" t="s">
        <v>3452</v>
      </c>
    </row>
    <row r="37" spans="2:3">
      <c r="B37" t="s">
        <v>3453</v>
      </c>
    </row>
    <row r="38" spans="2:3">
      <c r="B38" t="s">
        <v>3454</v>
      </c>
    </row>
    <row r="39" spans="2:3">
      <c r="C39" t="s">
        <v>3455</v>
      </c>
    </row>
    <row r="40" spans="2:3">
      <c r="B40" t="s">
        <v>3456</v>
      </c>
    </row>
    <row r="41" spans="2:3">
      <c r="B41" t="s">
        <v>3457</v>
      </c>
    </row>
    <row r="42" spans="2:3">
      <c r="B42" t="s">
        <v>3458</v>
      </c>
    </row>
    <row r="43" spans="2:3">
      <c r="B43" t="s">
        <v>3459</v>
      </c>
    </row>
    <row r="44" spans="2:3">
      <c r="B44" t="s">
        <v>3460</v>
      </c>
    </row>
    <row r="45" spans="2:3">
      <c r="B45" t="s">
        <v>3461</v>
      </c>
    </row>
    <row r="46" spans="2:3">
      <c r="B46" t="s">
        <v>3462</v>
      </c>
    </row>
    <row r="47" spans="2:3">
      <c r="B47" t="s">
        <v>3463</v>
      </c>
    </row>
    <row r="48" spans="2:3">
      <c r="B48" t="s">
        <v>3464</v>
      </c>
    </row>
    <row r="49" spans="2:5">
      <c r="C49" t="s">
        <v>3465</v>
      </c>
    </row>
    <row r="50" spans="2:5">
      <c r="D50" t="s">
        <v>3466</v>
      </c>
    </row>
    <row r="51" spans="2:5">
      <c r="C51" t="s">
        <v>3467</v>
      </c>
    </row>
    <row r="52" spans="2:5">
      <c r="D52" t="s">
        <v>3468</v>
      </c>
    </row>
    <row r="53" spans="2:5">
      <c r="D53" t="s">
        <v>3469</v>
      </c>
    </row>
    <row r="54" spans="2:5">
      <c r="D54" t="s">
        <v>3470</v>
      </c>
    </row>
    <row r="55" spans="2:5">
      <c r="D55" t="s">
        <v>3471</v>
      </c>
    </row>
    <row r="56" spans="2:5">
      <c r="B56" t="s">
        <v>3472</v>
      </c>
    </row>
    <row r="57" spans="2:5">
      <c r="C57" t="s">
        <v>3473</v>
      </c>
    </row>
    <row r="58" spans="2:5">
      <c r="D58" t="s">
        <v>3474</v>
      </c>
    </row>
    <row r="59" spans="2:5">
      <c r="E59" t="s">
        <v>3475</v>
      </c>
    </row>
    <row r="60" spans="2:5">
      <c r="C60" t="s">
        <v>3476</v>
      </c>
    </row>
    <row r="61" spans="2:5">
      <c r="B61" t="s">
        <v>3477</v>
      </c>
    </row>
    <row r="62" spans="2:5">
      <c r="C62" t="s">
        <v>3478</v>
      </c>
    </row>
    <row r="63" spans="2:5">
      <c r="C63" t="s">
        <v>3479</v>
      </c>
    </row>
    <row r="64" spans="2:5">
      <c r="B64" t="s">
        <v>3480</v>
      </c>
    </row>
    <row r="65" spans="2:3">
      <c r="C65" t="s">
        <v>3481</v>
      </c>
    </row>
    <row r="66" spans="2:3">
      <c r="B66" t="s">
        <v>3482</v>
      </c>
    </row>
    <row r="67" spans="2:3">
      <c r="C67" t="s">
        <v>3483</v>
      </c>
    </row>
    <row r="68" spans="2:3">
      <c r="C68" t="s">
        <v>3484</v>
      </c>
    </row>
    <row r="69" spans="2:3">
      <c r="C69" t="s">
        <v>3485</v>
      </c>
    </row>
    <row r="70" spans="2:3">
      <c r="B70" t="s">
        <v>3486</v>
      </c>
    </row>
    <row r="71" spans="2:3">
      <c r="B71" t="s">
        <v>3487</v>
      </c>
    </row>
    <row r="72" spans="2:3">
      <c r="B72" t="s">
        <v>3488</v>
      </c>
    </row>
    <row r="73" spans="2:3">
      <c r="C73" t="s">
        <v>3489</v>
      </c>
    </row>
    <row r="74" spans="2:3">
      <c r="C74" t="s">
        <v>3490</v>
      </c>
    </row>
    <row r="75" spans="2:3">
      <c r="C75" t="s">
        <v>3491</v>
      </c>
    </row>
    <row r="76" spans="2:3">
      <c r="B76" t="s">
        <v>3492</v>
      </c>
    </row>
    <row r="77" spans="2:3">
      <c r="B77" t="s">
        <v>3493</v>
      </c>
    </row>
    <row r="78" spans="2:3">
      <c r="C78" t="s">
        <v>3494</v>
      </c>
    </row>
    <row r="79" spans="2:3">
      <c r="C79" t="s">
        <v>3495</v>
      </c>
    </row>
    <row r="80" spans="2:3">
      <c r="C80" t="s">
        <v>3496</v>
      </c>
    </row>
    <row r="81" spans="2:4">
      <c r="B81" t="s">
        <v>3497</v>
      </c>
    </row>
    <row r="82" spans="2:4">
      <c r="C82" t="s">
        <v>3498</v>
      </c>
    </row>
    <row r="83" spans="2:4">
      <c r="B83" t="s">
        <v>3499</v>
      </c>
    </row>
    <row r="84" spans="2:4">
      <c r="C84" t="s">
        <v>3500</v>
      </c>
    </row>
    <row r="85" spans="2:4">
      <c r="C85" t="s">
        <v>3501</v>
      </c>
    </row>
    <row r="86" spans="2:4">
      <c r="C86" t="s">
        <v>3502</v>
      </c>
    </row>
    <row r="87" spans="2:4">
      <c r="B87" t="s">
        <v>3503</v>
      </c>
    </row>
    <row r="88" spans="2:4">
      <c r="B88" t="s">
        <v>3504</v>
      </c>
    </row>
    <row r="89" spans="2:4">
      <c r="B89" t="s">
        <v>3505</v>
      </c>
    </row>
    <row r="90" spans="2:4">
      <c r="B90" t="s">
        <v>3506</v>
      </c>
    </row>
    <row r="91" spans="2:4">
      <c r="C91" t="s">
        <v>3507</v>
      </c>
    </row>
    <row r="92" spans="2:4">
      <c r="B92" t="s">
        <v>3508</v>
      </c>
    </row>
    <row r="93" spans="2:4">
      <c r="B93" t="s">
        <v>3509</v>
      </c>
    </row>
    <row r="94" spans="2:4">
      <c r="B94" t="s">
        <v>3510</v>
      </c>
    </row>
    <row r="95" spans="2:4">
      <c r="C95" t="s">
        <v>3511</v>
      </c>
    </row>
    <row r="96" spans="2:4">
      <c r="D96" t="s">
        <v>3512</v>
      </c>
    </row>
    <row r="97" spans="2:4">
      <c r="D97" t="s">
        <v>3513</v>
      </c>
    </row>
    <row r="98" spans="2:4">
      <c r="C98" t="s">
        <v>3514</v>
      </c>
    </row>
    <row r="99" spans="2:4">
      <c r="D99" t="s">
        <v>3515</v>
      </c>
    </row>
    <row r="100" spans="2:4">
      <c r="D100" t="s">
        <v>3516</v>
      </c>
    </row>
    <row r="101" spans="2:4">
      <c r="B101" t="s">
        <v>3517</v>
      </c>
    </row>
    <row r="102" spans="2:4">
      <c r="C102" t="s">
        <v>3518</v>
      </c>
    </row>
    <row r="103" spans="2:4">
      <c r="C103" t="s">
        <v>3519</v>
      </c>
    </row>
    <row r="104" spans="2:4">
      <c r="D104" t="s">
        <v>3520</v>
      </c>
    </row>
    <row r="105" spans="2:4">
      <c r="B105" t="s">
        <v>3521</v>
      </c>
    </row>
    <row r="106" spans="2:4">
      <c r="C106" t="s">
        <v>3522</v>
      </c>
    </row>
    <row r="107" spans="2:4">
      <c r="C107" t="s">
        <v>3523</v>
      </c>
    </row>
    <row r="108" spans="2:4">
      <c r="B108" t="s">
        <v>3524</v>
      </c>
    </row>
    <row r="109" spans="2:4">
      <c r="C109" t="s">
        <v>3525</v>
      </c>
    </row>
    <row r="110" spans="2:4">
      <c r="B110" t="s">
        <v>3526</v>
      </c>
    </row>
    <row r="111" spans="2:4">
      <c r="B111" t="s">
        <v>3527</v>
      </c>
    </row>
    <row r="112" spans="2:4">
      <c r="C112" t="s">
        <v>3528</v>
      </c>
    </row>
    <row r="113" spans="2:4">
      <c r="B113" t="s">
        <v>3529</v>
      </c>
    </row>
    <row r="114" spans="2:4">
      <c r="C114" t="s">
        <v>3530</v>
      </c>
    </row>
    <row r="115" spans="2:4">
      <c r="C115" t="s">
        <v>3531</v>
      </c>
    </row>
    <row r="116" spans="2:4">
      <c r="C116" t="s">
        <v>3532</v>
      </c>
    </row>
    <row r="117" spans="2:4">
      <c r="B117" t="s">
        <v>3533</v>
      </c>
    </row>
    <row r="118" spans="2:4">
      <c r="C118" t="s">
        <v>3534</v>
      </c>
    </row>
    <row r="119" spans="2:4">
      <c r="C119" t="s">
        <v>3535</v>
      </c>
    </row>
    <row r="120" spans="2:4">
      <c r="C120" t="s">
        <v>3536</v>
      </c>
    </row>
    <row r="121" spans="2:4">
      <c r="B121" t="s">
        <v>3537</v>
      </c>
    </row>
    <row r="122" spans="2:4">
      <c r="C122" t="s">
        <v>3538</v>
      </c>
    </row>
    <row r="123" spans="2:4">
      <c r="C123" t="s">
        <v>3539</v>
      </c>
    </row>
    <row r="124" spans="2:4">
      <c r="C124" t="s">
        <v>3540</v>
      </c>
    </row>
    <row r="125" spans="2:4">
      <c r="B125" t="s">
        <v>3541</v>
      </c>
    </row>
    <row r="126" spans="2:4">
      <c r="C126" t="s">
        <v>3542</v>
      </c>
    </row>
    <row r="127" spans="2:4">
      <c r="C127" t="s">
        <v>3543</v>
      </c>
    </row>
    <row r="128" spans="2:4">
      <c r="D128" t="s">
        <v>3544</v>
      </c>
    </row>
    <row r="129" spans="2:4">
      <c r="D129" t="s">
        <v>3545</v>
      </c>
    </row>
    <row r="130" spans="2:4">
      <c r="B130" t="s">
        <v>3546</v>
      </c>
    </row>
    <row r="131" spans="2:4">
      <c r="C131" t="s">
        <v>3547</v>
      </c>
    </row>
    <row r="132" spans="2:4">
      <c r="D132" t="s">
        <v>3548</v>
      </c>
    </row>
    <row r="133" spans="2:4">
      <c r="D133" t="s">
        <v>3549</v>
      </c>
    </row>
    <row r="134" spans="2:4">
      <c r="D134" t="s">
        <v>3550</v>
      </c>
    </row>
    <row r="135" spans="2:4">
      <c r="D135" t="s">
        <v>3551</v>
      </c>
    </row>
    <row r="136" spans="2:4">
      <c r="D136" t="s">
        <v>3552</v>
      </c>
    </row>
    <row r="137" spans="2:4">
      <c r="C137" t="s">
        <v>3553</v>
      </c>
    </row>
    <row r="138" spans="2:4">
      <c r="D138" t="s">
        <v>3554</v>
      </c>
    </row>
    <row r="139" spans="2:4">
      <c r="D139" t="s">
        <v>3555</v>
      </c>
    </row>
    <row r="140" spans="2:4">
      <c r="D140" t="s">
        <v>3556</v>
      </c>
    </row>
    <row r="141" spans="2:4">
      <c r="D141" t="s">
        <v>3557</v>
      </c>
    </row>
    <row r="142" spans="2:4">
      <c r="C142" t="s">
        <v>3558</v>
      </c>
    </row>
    <row r="143" spans="2:4">
      <c r="D143" t="s">
        <v>3559</v>
      </c>
    </row>
    <row r="144" spans="2:4">
      <c r="D144" t="s">
        <v>3560</v>
      </c>
    </row>
    <row r="145" spans="2:5">
      <c r="E145" t="s">
        <v>3561</v>
      </c>
    </row>
    <row r="146" spans="2:5">
      <c r="E146" t="s">
        <v>3562</v>
      </c>
    </row>
    <row r="147" spans="2:5">
      <c r="D147" t="s">
        <v>3563</v>
      </c>
    </row>
    <row r="148" spans="2:5">
      <c r="D148" t="s">
        <v>3564</v>
      </c>
    </row>
    <row r="149" spans="2:5">
      <c r="C149" t="s">
        <v>3565</v>
      </c>
    </row>
    <row r="150" spans="2:5">
      <c r="C150" t="s">
        <v>3566</v>
      </c>
    </row>
    <row r="151" spans="2:5">
      <c r="D151" t="s">
        <v>3567</v>
      </c>
    </row>
    <row r="152" spans="2:5">
      <c r="B152" t="s">
        <v>3568</v>
      </c>
    </row>
    <row r="153" spans="2:5">
      <c r="C153" t="s">
        <v>3569</v>
      </c>
    </row>
    <row r="154" spans="2:5">
      <c r="B154" t="s">
        <v>3570</v>
      </c>
    </row>
    <row r="155" spans="2:5">
      <c r="C155" t="s">
        <v>3571</v>
      </c>
    </row>
    <row r="156" spans="2:5">
      <c r="C156" t="s">
        <v>3572</v>
      </c>
    </row>
    <row r="157" spans="2:5">
      <c r="C157" t="s">
        <v>3573</v>
      </c>
    </row>
    <row r="158" spans="2:5">
      <c r="B158" t="s">
        <v>3574</v>
      </c>
    </row>
    <row r="159" spans="2:5">
      <c r="C159" t="s">
        <v>3575</v>
      </c>
    </row>
    <row r="160" spans="2:5">
      <c r="D160" t="s">
        <v>3576</v>
      </c>
    </row>
    <row r="161" spans="2:4">
      <c r="C161" t="s">
        <v>3577</v>
      </c>
    </row>
    <row r="162" spans="2:4">
      <c r="C162" t="s">
        <v>3578</v>
      </c>
    </row>
    <row r="163" spans="2:4">
      <c r="D163" t="s">
        <v>3579</v>
      </c>
    </row>
    <row r="164" spans="2:4">
      <c r="D164" t="s">
        <v>3580</v>
      </c>
    </row>
    <row r="165" spans="2:4">
      <c r="C165" t="s">
        <v>3581</v>
      </c>
    </row>
    <row r="166" spans="2:4">
      <c r="D166" t="s">
        <v>3582</v>
      </c>
    </row>
    <row r="167" spans="2:4">
      <c r="B167" t="s">
        <v>3583</v>
      </c>
    </row>
    <row r="168" spans="2:4">
      <c r="C168" t="s">
        <v>3584</v>
      </c>
    </row>
    <row r="169" spans="2:4">
      <c r="B169" t="s">
        <v>3585</v>
      </c>
    </row>
    <row r="170" spans="2:4">
      <c r="C170" t="s">
        <v>3586</v>
      </c>
    </row>
    <row r="171" spans="2:4">
      <c r="B171" t="s">
        <v>3587</v>
      </c>
    </row>
    <row r="172" spans="2:4">
      <c r="B172" t="s">
        <v>3588</v>
      </c>
    </row>
    <row r="173" spans="2:4">
      <c r="B173" t="s">
        <v>3589</v>
      </c>
    </row>
    <row r="174" spans="2:4">
      <c r="C174" t="s">
        <v>3590</v>
      </c>
    </row>
    <row r="175" spans="2:4">
      <c r="C175" t="s">
        <v>3591</v>
      </c>
    </row>
    <row r="176" spans="2:4">
      <c r="C176" t="s">
        <v>3592</v>
      </c>
    </row>
    <row r="177" spans="2:3">
      <c r="B177" t="s">
        <v>3593</v>
      </c>
    </row>
    <row r="178" spans="2:3">
      <c r="C178" t="s">
        <v>3594</v>
      </c>
    </row>
    <row r="179" spans="2:3">
      <c r="C179" t="s">
        <v>3595</v>
      </c>
    </row>
    <row r="180" spans="2:3">
      <c r="C180" t="s">
        <v>3596</v>
      </c>
    </row>
    <row r="181" spans="2:3">
      <c r="C181" t="s">
        <v>3597</v>
      </c>
    </row>
    <row r="182" spans="2:3">
      <c r="B182" t="s">
        <v>3598</v>
      </c>
    </row>
    <row r="183" spans="2:3">
      <c r="C183" t="s">
        <v>3599</v>
      </c>
    </row>
    <row r="184" spans="2:3">
      <c r="B184" t="s">
        <v>3600</v>
      </c>
    </row>
    <row r="185" spans="2:3">
      <c r="C185" t="s">
        <v>3601</v>
      </c>
    </row>
    <row r="186" spans="2:3">
      <c r="C186" t="s">
        <v>3602</v>
      </c>
    </row>
    <row r="187" spans="2:3">
      <c r="B187" t="s">
        <v>3603</v>
      </c>
    </row>
    <row r="188" spans="2:3">
      <c r="B188" t="s">
        <v>3604</v>
      </c>
    </row>
    <row r="189" spans="2:3">
      <c r="B189" t="s">
        <v>3605</v>
      </c>
    </row>
    <row r="190" spans="2:3">
      <c r="B190" t="s">
        <v>3606</v>
      </c>
    </row>
    <row r="191" spans="2:3">
      <c r="B191" t="s">
        <v>3607</v>
      </c>
    </row>
    <row r="192" spans="2:3">
      <c r="B192" t="s">
        <v>3608</v>
      </c>
    </row>
    <row r="193" spans="2:4">
      <c r="C193" t="s">
        <v>3609</v>
      </c>
    </row>
    <row r="194" spans="2:4">
      <c r="D194" t="s">
        <v>3610</v>
      </c>
    </row>
    <row r="195" spans="2:4">
      <c r="D195" t="s">
        <v>3611</v>
      </c>
    </row>
    <row r="196" spans="2:4">
      <c r="C196" t="s">
        <v>3612</v>
      </c>
    </row>
    <row r="197" spans="2:4">
      <c r="C197" t="s">
        <v>3613</v>
      </c>
    </row>
    <row r="198" spans="2:4">
      <c r="C198" t="s">
        <v>3614</v>
      </c>
    </row>
    <row r="199" spans="2:4">
      <c r="D199" t="s">
        <v>3615</v>
      </c>
    </row>
    <row r="200" spans="2:4">
      <c r="D200" t="s">
        <v>3616</v>
      </c>
    </row>
    <row r="201" spans="2:4">
      <c r="C201" t="s">
        <v>3617</v>
      </c>
    </row>
    <row r="202" spans="2:4">
      <c r="D202" t="s">
        <v>3618</v>
      </c>
    </row>
    <row r="203" spans="2:4">
      <c r="D203" t="s">
        <v>3619</v>
      </c>
    </row>
    <row r="204" spans="2:4">
      <c r="D204" t="s">
        <v>3620</v>
      </c>
    </row>
    <row r="205" spans="2:4">
      <c r="C205" t="s">
        <v>3621</v>
      </c>
    </row>
    <row r="206" spans="2:4">
      <c r="B206" t="s">
        <v>3622</v>
      </c>
    </row>
    <row r="207" spans="2:4">
      <c r="C207" t="s">
        <v>3623</v>
      </c>
    </row>
    <row r="208" spans="2:4">
      <c r="D208" t="s">
        <v>3624</v>
      </c>
    </row>
    <row r="209" spans="2:4">
      <c r="D209" t="s">
        <v>3625</v>
      </c>
    </row>
    <row r="210" spans="2:4">
      <c r="C210" t="s">
        <v>3626</v>
      </c>
    </row>
    <row r="211" spans="2:4">
      <c r="B211" t="s">
        <v>3627</v>
      </c>
    </row>
    <row r="212" spans="2:4">
      <c r="B212" t="s">
        <v>3628</v>
      </c>
    </row>
    <row r="213" spans="2:4">
      <c r="B213" t="s">
        <v>3629</v>
      </c>
    </row>
    <row r="214" spans="2:4">
      <c r="B214" t="s">
        <v>3630</v>
      </c>
    </row>
    <row r="215" spans="2:4">
      <c r="B215" t="s">
        <v>3631</v>
      </c>
    </row>
    <row r="216" spans="2:4">
      <c r="C216" t="s">
        <v>3632</v>
      </c>
    </row>
    <row r="217" spans="2:4">
      <c r="C217" t="s">
        <v>3633</v>
      </c>
    </row>
    <row r="218" spans="2:4">
      <c r="B218" t="s">
        <v>3634</v>
      </c>
    </row>
    <row r="219" spans="2:4">
      <c r="B219" t="s">
        <v>3635</v>
      </c>
    </row>
    <row r="220" spans="2:4">
      <c r="C220" t="s">
        <v>3636</v>
      </c>
    </row>
    <row r="221" spans="2:4">
      <c r="C221" t="s">
        <v>3637</v>
      </c>
    </row>
    <row r="222" spans="2:4">
      <c r="B222" t="s">
        <v>3638</v>
      </c>
    </row>
    <row r="223" spans="2:4">
      <c r="C223" t="s">
        <v>3639</v>
      </c>
    </row>
    <row r="224" spans="2:4">
      <c r="B224" t="s">
        <v>3640</v>
      </c>
    </row>
    <row r="225" spans="2:3">
      <c r="C225" t="s">
        <v>3641</v>
      </c>
    </row>
    <row r="226" spans="2:3">
      <c r="C226" t="s">
        <v>3642</v>
      </c>
    </row>
    <row r="227" spans="2:3">
      <c r="B227" t="s">
        <v>3643</v>
      </c>
    </row>
    <row r="228" spans="2:3">
      <c r="B228" t="s">
        <v>3644</v>
      </c>
    </row>
    <row r="229" spans="2:3">
      <c r="C229" t="s">
        <v>3645</v>
      </c>
    </row>
    <row r="230" spans="2:3">
      <c r="C230" t="s">
        <v>3646</v>
      </c>
    </row>
    <row r="231" spans="2:3">
      <c r="B231" t="s">
        <v>3647</v>
      </c>
    </row>
    <row r="232" spans="2:3">
      <c r="C232" t="s">
        <v>3648</v>
      </c>
    </row>
    <row r="233" spans="2:3">
      <c r="C233" t="s">
        <v>3649</v>
      </c>
    </row>
    <row r="234" spans="2:3">
      <c r="C234" t="s">
        <v>3650</v>
      </c>
    </row>
    <row r="235" spans="2:3">
      <c r="B235" t="s">
        <v>3651</v>
      </c>
    </row>
    <row r="236" spans="2:3">
      <c r="B236" t="s">
        <v>3652</v>
      </c>
    </row>
    <row r="237" spans="2:3">
      <c r="B237" t="s">
        <v>3653</v>
      </c>
    </row>
    <row r="238" spans="2:3">
      <c r="C238" t="s">
        <v>3654</v>
      </c>
    </row>
    <row r="239" spans="2:3">
      <c r="C239" t="s">
        <v>3655</v>
      </c>
    </row>
    <row r="240" spans="2:3">
      <c r="B240" t="s">
        <v>3656</v>
      </c>
    </row>
    <row r="241" spans="2:4">
      <c r="C241" t="s">
        <v>3657</v>
      </c>
    </row>
    <row r="242" spans="2:4">
      <c r="B242" t="s">
        <v>3658</v>
      </c>
    </row>
    <row r="243" spans="2:4">
      <c r="B243" t="s">
        <v>3659</v>
      </c>
    </row>
    <row r="244" spans="2:4">
      <c r="C244" t="s">
        <v>3660</v>
      </c>
    </row>
    <row r="245" spans="2:4">
      <c r="C245" t="s">
        <v>3661</v>
      </c>
    </row>
    <row r="246" spans="2:4">
      <c r="C246" t="s">
        <v>3662</v>
      </c>
    </row>
    <row r="247" spans="2:4">
      <c r="B247" t="s">
        <v>3663</v>
      </c>
    </row>
    <row r="248" spans="2:4">
      <c r="C248" t="s">
        <v>3664</v>
      </c>
    </row>
    <row r="249" spans="2:4">
      <c r="C249" t="s">
        <v>3665</v>
      </c>
    </row>
    <row r="250" spans="2:4">
      <c r="C250" t="s">
        <v>3666</v>
      </c>
    </row>
    <row r="251" spans="2:4">
      <c r="B251" t="s">
        <v>3667</v>
      </c>
    </row>
    <row r="252" spans="2:4">
      <c r="C252" t="s">
        <v>3668</v>
      </c>
    </row>
    <row r="253" spans="2:4">
      <c r="C253" t="s">
        <v>3669</v>
      </c>
    </row>
    <row r="254" spans="2:4">
      <c r="C254" t="s">
        <v>3670</v>
      </c>
    </row>
    <row r="255" spans="2:4">
      <c r="C255" t="s">
        <v>3671</v>
      </c>
    </row>
    <row r="256" spans="2:4">
      <c r="D256" t="s">
        <v>3672</v>
      </c>
    </row>
    <row r="257" spans="2:4">
      <c r="D257" t="s">
        <v>3673</v>
      </c>
    </row>
    <row r="258" spans="2:4">
      <c r="D258" t="s">
        <v>3674</v>
      </c>
    </row>
    <row r="259" spans="2:4">
      <c r="D259" t="s">
        <v>3675</v>
      </c>
    </row>
    <row r="260" spans="2:4">
      <c r="B260" t="s">
        <v>3676</v>
      </c>
    </row>
    <row r="261" spans="2:4">
      <c r="C261" t="s">
        <v>3677</v>
      </c>
    </row>
    <row r="262" spans="2:4">
      <c r="C262" t="s">
        <v>3678</v>
      </c>
    </row>
    <row r="263" spans="2:4">
      <c r="C263" t="s">
        <v>3679</v>
      </c>
    </row>
    <row r="264" spans="2:4">
      <c r="C264" t="s">
        <v>3680</v>
      </c>
    </row>
    <row r="265" spans="2:4">
      <c r="C265" t="s">
        <v>3681</v>
      </c>
    </row>
  </sheetData>
  <pageMargins left="0.75" right="0.75" top="1" bottom="1" header="0.5" footer="0.5"/>
  <pageSetup paperSize="9" orientation="portrait"/>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6"/>
  <sheetViews>
    <sheetView zoomScale="145" zoomScaleNormal="145" workbookViewId="0">
      <selection activeCell="I20" sqref="I20"/>
    </sheetView>
  </sheetViews>
  <sheetFormatPr defaultColWidth="8.88888888888889" defaultRowHeight="14.4" outlineLevelCol="7"/>
  <cols>
    <col min="1" max="1" width="9.66666666666667"/>
  </cols>
  <sheetData>
    <row r="1" spans="1:8">
      <c r="A1" s="1">
        <f>SUM(B1:AZ1)</f>
        <v>25.8333333333333</v>
      </c>
      <c r="B1" s="1">
        <f t="shared" ref="B1:H1" si="0">COUNTA(B2:B2124)/COLUMN()</f>
        <v>12.5</v>
      </c>
      <c r="C1" s="1">
        <f t="shared" si="0"/>
        <v>13.3333333333333</v>
      </c>
      <c r="D1" s="1">
        <f t="shared" si="0"/>
        <v>0</v>
      </c>
      <c r="E1" s="1">
        <f t="shared" si="0"/>
        <v>0</v>
      </c>
      <c r="F1" s="1">
        <f t="shared" si="0"/>
        <v>0</v>
      </c>
      <c r="G1" s="1">
        <f t="shared" si="0"/>
        <v>0</v>
      </c>
      <c r="H1" s="1">
        <f t="shared" si="0"/>
        <v>0</v>
      </c>
    </row>
    <row r="2" spans="1:8">
      <c r="A2" t="str" cm="1">
        <f ca="1" t="array" ref="A2">_wpsfn.SHEETSNAME(A1)</f>
        <v>20251121</v>
      </c>
      <c r="B2" t="s">
        <v>3682</v>
      </c>
    </row>
    <row r="3" spans="1:8">
      <c r="C3" t="s">
        <v>3683</v>
      </c>
    </row>
    <row r="4" spans="1:8">
      <c r="C4" t="s">
        <v>3684</v>
      </c>
    </row>
    <row r="5" spans="1:8">
      <c r="C5" t="s">
        <v>3685</v>
      </c>
    </row>
    <row r="6" spans="1:8">
      <c r="B6" t="s">
        <v>3686</v>
      </c>
    </row>
    <row r="7" spans="1:8">
      <c r="C7" t="s">
        <v>3687</v>
      </c>
    </row>
    <row r="8" spans="1:8">
      <c r="B8" t="s">
        <v>3688</v>
      </c>
    </row>
    <row r="9" spans="1:8">
      <c r="C9" t="s">
        <v>3689</v>
      </c>
    </row>
    <row r="10" spans="1:8">
      <c r="C10" t="s">
        <v>3690</v>
      </c>
    </row>
    <row r="11" spans="1:8">
      <c r="C11" t="s">
        <v>3691</v>
      </c>
    </row>
    <row r="12" spans="1:8">
      <c r="B12" t="s">
        <v>3692</v>
      </c>
    </row>
    <row r="13" spans="1:8">
      <c r="C13" t="s">
        <v>3693</v>
      </c>
    </row>
    <row r="14" spans="1:8">
      <c r="C14" t="s">
        <v>3694</v>
      </c>
    </row>
    <row r="15" spans="1:8">
      <c r="C15" t="s">
        <v>3695</v>
      </c>
    </row>
    <row r="16" spans="1:8">
      <c r="C16" t="s">
        <v>3696</v>
      </c>
    </row>
    <row r="17" spans="2:3">
      <c r="B17" t="s">
        <v>3697</v>
      </c>
    </row>
    <row r="18" spans="2:3">
      <c r="B18" t="s">
        <v>3698</v>
      </c>
    </row>
    <row r="19" spans="2:3">
      <c r="C19" t="s">
        <v>3699</v>
      </c>
    </row>
    <row r="20" spans="2:3">
      <c r="C20" t="s">
        <v>3700</v>
      </c>
    </row>
    <row r="21" spans="2:3">
      <c r="C21" t="s">
        <v>3701</v>
      </c>
    </row>
    <row r="22" spans="2:3">
      <c r="C22" t="s">
        <v>3702</v>
      </c>
    </row>
    <row r="23" spans="2:3">
      <c r="B23" t="s">
        <v>3703</v>
      </c>
    </row>
    <row r="24" spans="2:3">
      <c r="C24" t="s">
        <v>3704</v>
      </c>
    </row>
    <row r="25" spans="2:3">
      <c r="B25" t="s">
        <v>3705</v>
      </c>
    </row>
    <row r="26" spans="2:3">
      <c r="B26" t="s">
        <v>3706</v>
      </c>
    </row>
    <row r="27" spans="2:3">
      <c r="B27" t="s">
        <v>3707</v>
      </c>
    </row>
    <row r="28" spans="2:3">
      <c r="C28" t="s">
        <v>3708</v>
      </c>
    </row>
    <row r="29" spans="2:3">
      <c r="C29" t="s">
        <v>3709</v>
      </c>
    </row>
    <row r="30" spans="2:3">
      <c r="B30" t="s">
        <v>3710</v>
      </c>
    </row>
    <row r="31" spans="2:3">
      <c r="C31" t="s">
        <v>3711</v>
      </c>
    </row>
    <row r="32" spans="2:3">
      <c r="B32" t="s">
        <v>3712</v>
      </c>
    </row>
    <row r="33" spans="2:3">
      <c r="C33" t="s">
        <v>3713</v>
      </c>
    </row>
    <row r="34" spans="2:3">
      <c r="C34" t="s">
        <v>3714</v>
      </c>
    </row>
    <row r="35" spans="2:3">
      <c r="C35" t="s">
        <v>3715</v>
      </c>
    </row>
    <row r="36" spans="2:3">
      <c r="B36" t="s">
        <v>3716</v>
      </c>
    </row>
    <row r="37" spans="2:3">
      <c r="B37" t="s">
        <v>3717</v>
      </c>
    </row>
    <row r="38" spans="2:3">
      <c r="B38" t="s">
        <v>3718</v>
      </c>
    </row>
    <row r="39" spans="2:3">
      <c r="B39" t="s">
        <v>3719</v>
      </c>
    </row>
    <row r="40" spans="2:3">
      <c r="B40" t="s">
        <v>3720</v>
      </c>
    </row>
    <row r="41" spans="2:3">
      <c r="B41" t="s">
        <v>3721</v>
      </c>
    </row>
    <row r="42" spans="2:3">
      <c r="C42" t="s">
        <v>3722</v>
      </c>
    </row>
    <row r="43" spans="2:3">
      <c r="C43" t="s">
        <v>3723</v>
      </c>
    </row>
    <row r="44" spans="2:3">
      <c r="B44" t="s">
        <v>3724</v>
      </c>
    </row>
    <row r="45" spans="2:3">
      <c r="C45" t="s">
        <v>3725</v>
      </c>
    </row>
    <row r="46" spans="2:3">
      <c r="C46" t="s">
        <v>3726</v>
      </c>
    </row>
    <row r="47" spans="2:3">
      <c r="B47" t="s">
        <v>3727</v>
      </c>
    </row>
    <row r="48" spans="2:3">
      <c r="C48" t="s">
        <v>3728</v>
      </c>
    </row>
    <row r="49" spans="2:3">
      <c r="C49" t="s">
        <v>3729</v>
      </c>
    </row>
    <row r="50" spans="2:3">
      <c r="C50" t="s">
        <v>3730</v>
      </c>
    </row>
    <row r="51" spans="2:3">
      <c r="B51" t="s">
        <v>3731</v>
      </c>
    </row>
    <row r="52" spans="2:3">
      <c r="C52" t="s">
        <v>3732</v>
      </c>
    </row>
    <row r="53" spans="2:3">
      <c r="C53" t="s">
        <v>3733</v>
      </c>
    </row>
    <row r="54" spans="2:3">
      <c r="C54" t="s">
        <v>3734</v>
      </c>
    </row>
    <row r="55" spans="2:3">
      <c r="B55" t="s">
        <v>3735</v>
      </c>
    </row>
    <row r="56" spans="2:3">
      <c r="C56" t="s">
        <v>3736</v>
      </c>
    </row>
    <row r="57" spans="2:3">
      <c r="C57" t="s">
        <v>3737</v>
      </c>
    </row>
    <row r="58" spans="2:3">
      <c r="B58" t="s">
        <v>3738</v>
      </c>
    </row>
    <row r="59" spans="2:3">
      <c r="C59" t="s">
        <v>3739</v>
      </c>
    </row>
    <row r="60" spans="2:3">
      <c r="B60" t="s">
        <v>3740</v>
      </c>
    </row>
    <row r="61" spans="2:3">
      <c r="C61" t="s">
        <v>3741</v>
      </c>
    </row>
    <row r="62" spans="2:3">
      <c r="B62" t="s">
        <v>3742</v>
      </c>
    </row>
    <row r="63" spans="2:3">
      <c r="C63" t="s">
        <v>3743</v>
      </c>
    </row>
    <row r="64" spans="2:3">
      <c r="C64" t="s">
        <v>3744</v>
      </c>
    </row>
    <row r="65" spans="3:3">
      <c r="C65" t="s">
        <v>3745</v>
      </c>
    </row>
    <row r="66" spans="3:3">
      <c r="C66" t="s">
        <v>3746</v>
      </c>
    </row>
  </sheetData>
  <pageMargins left="0.75" right="0.75" top="1" bottom="1" header="0.5" footer="0.5"/>
  <pageSetup paperSize="9" orientation="portrait"/>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tabSelected="1" zoomScale="145" zoomScaleNormal="145" workbookViewId="0">
      <selection activeCell="B2" sqref="B2"/>
    </sheetView>
  </sheetViews>
  <sheetFormatPr defaultColWidth="8.88888888888889" defaultRowHeight="14.4" outlineLevelRow="1" outlineLevelCol="7"/>
  <cols>
    <col min="1" max="1" width="9.66666666666667"/>
  </cols>
  <sheetData>
    <row r="1" spans="1:8">
      <c r="A1" s="1">
        <f>SUM(B1:AZ1)</f>
        <v>0</v>
      </c>
      <c r="B1" s="1">
        <f t="shared" ref="B1:H1" si="0">COUNTA(B2:B2124)/COLUMN()</f>
        <v>0</v>
      </c>
      <c r="C1" s="1">
        <f t="shared" si="0"/>
        <v>0</v>
      </c>
      <c r="D1" s="1">
        <f t="shared" si="0"/>
        <v>0</v>
      </c>
      <c r="E1" s="1">
        <f t="shared" si="0"/>
        <v>0</v>
      </c>
      <c r="F1" s="1">
        <f t="shared" si="0"/>
        <v>0</v>
      </c>
      <c r="G1" s="1">
        <f t="shared" si="0"/>
        <v>0</v>
      </c>
      <c r="H1" s="1">
        <f t="shared" si="0"/>
        <v>0</v>
      </c>
    </row>
    <row r="2" spans="1:8">
      <c r="A2" t="str" cm="1">
        <f ca="1" t="array" ref="A2">_wpsfn.SHEETSNAME(A1)</f>
        <v>20251122</v>
      </c>
    </row>
  </sheetData>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206</vt:i4>
      </vt:variant>
    </vt:vector>
  </HeadingPairs>
  <TitlesOfParts>
    <vt:vector size="206" baseType="lpstr">
      <vt:lpstr>20240225</vt:lpstr>
      <vt:lpstr>20240229</vt:lpstr>
      <vt:lpstr>20240302</vt:lpstr>
      <vt:lpstr>20240303</vt:lpstr>
      <vt:lpstr>20240304</vt:lpstr>
      <vt:lpstr>20240306</vt:lpstr>
      <vt:lpstr>20240307</vt:lpstr>
      <vt:lpstr>20240308</vt:lpstr>
      <vt:lpstr>20240309</vt:lpstr>
      <vt:lpstr>20240310</vt:lpstr>
      <vt:lpstr>20240311</vt:lpstr>
      <vt:lpstr>20240316</vt:lpstr>
      <vt:lpstr>20240317</vt:lpstr>
      <vt:lpstr>20240320</vt:lpstr>
      <vt:lpstr>20240322</vt:lpstr>
      <vt:lpstr>20240323</vt:lpstr>
      <vt:lpstr>20240326</vt:lpstr>
      <vt:lpstr>20240328</vt:lpstr>
      <vt:lpstr>20240401</vt:lpstr>
      <vt:lpstr>20240402</vt:lpstr>
      <vt:lpstr>20240405</vt:lpstr>
      <vt:lpstr>20240406</vt:lpstr>
      <vt:lpstr>20240408</vt:lpstr>
      <vt:lpstr>20240409</vt:lpstr>
      <vt:lpstr>20240410</vt:lpstr>
      <vt:lpstr>20240411</vt:lpstr>
      <vt:lpstr>20240412</vt:lpstr>
      <vt:lpstr>20240413</vt:lpstr>
      <vt:lpstr>20240414</vt:lpstr>
      <vt:lpstr>20240415</vt:lpstr>
      <vt:lpstr>20240416</vt:lpstr>
      <vt:lpstr>20240417</vt:lpstr>
      <vt:lpstr>20240418</vt:lpstr>
      <vt:lpstr>20240420</vt:lpstr>
      <vt:lpstr>20240421</vt:lpstr>
      <vt:lpstr>20240422</vt:lpstr>
      <vt:lpstr>20240423</vt:lpstr>
      <vt:lpstr>20240424</vt:lpstr>
      <vt:lpstr>20240425</vt:lpstr>
      <vt:lpstr>20240426</vt:lpstr>
      <vt:lpstr>20240427</vt:lpstr>
      <vt:lpstr>20240501</vt:lpstr>
      <vt:lpstr>20240503</vt:lpstr>
      <vt:lpstr>20240504</vt:lpstr>
      <vt:lpstr>20240507</vt:lpstr>
      <vt:lpstr>20240511</vt:lpstr>
      <vt:lpstr>20240512</vt:lpstr>
      <vt:lpstr>20240513</vt:lpstr>
      <vt:lpstr>20240515</vt:lpstr>
      <vt:lpstr>20240519</vt:lpstr>
      <vt:lpstr>20240523</vt:lpstr>
      <vt:lpstr>20240525</vt:lpstr>
      <vt:lpstr>20240526</vt:lpstr>
      <vt:lpstr>20240527</vt:lpstr>
      <vt:lpstr>20240529</vt:lpstr>
      <vt:lpstr>20240530</vt:lpstr>
      <vt:lpstr>20240531</vt:lpstr>
      <vt:lpstr>20240601</vt:lpstr>
      <vt:lpstr>20240602</vt:lpstr>
      <vt:lpstr>20240603</vt:lpstr>
      <vt:lpstr>20240720</vt:lpstr>
      <vt:lpstr>20240721</vt:lpstr>
      <vt:lpstr>20240727</vt:lpstr>
      <vt:lpstr>20240804</vt:lpstr>
      <vt:lpstr>20240810</vt:lpstr>
      <vt:lpstr>20240811</vt:lpstr>
      <vt:lpstr>20240831</vt:lpstr>
      <vt:lpstr>20240901</vt:lpstr>
      <vt:lpstr>20240907</vt:lpstr>
      <vt:lpstr>20240908</vt:lpstr>
      <vt:lpstr>20240916</vt:lpstr>
      <vt:lpstr>20240922</vt:lpstr>
      <vt:lpstr>20241001</vt:lpstr>
      <vt:lpstr>20241006</vt:lpstr>
      <vt:lpstr>20241019</vt:lpstr>
      <vt:lpstr>20250202</vt:lpstr>
      <vt:lpstr>20250205</vt:lpstr>
      <vt:lpstr>20250211</vt:lpstr>
      <vt:lpstr>20250214</vt:lpstr>
      <vt:lpstr>20250217</vt:lpstr>
      <vt:lpstr>20250324</vt:lpstr>
      <vt:lpstr>20250325</vt:lpstr>
      <vt:lpstr>20250327</vt:lpstr>
      <vt:lpstr>20250329</vt:lpstr>
      <vt:lpstr>20250330</vt:lpstr>
      <vt:lpstr>20250331</vt:lpstr>
      <vt:lpstr>20250405</vt:lpstr>
      <vt:lpstr>20250408</vt:lpstr>
      <vt:lpstr>20250411</vt:lpstr>
      <vt:lpstr>20250412</vt:lpstr>
      <vt:lpstr>20250416</vt:lpstr>
      <vt:lpstr>20250420</vt:lpstr>
      <vt:lpstr>20250427</vt:lpstr>
      <vt:lpstr>20250502</vt:lpstr>
      <vt:lpstr>20250506</vt:lpstr>
      <vt:lpstr>20250514</vt:lpstr>
      <vt:lpstr>20250517</vt:lpstr>
      <vt:lpstr>20250518</vt:lpstr>
      <vt:lpstr>20250519</vt:lpstr>
      <vt:lpstr>20250520</vt:lpstr>
      <vt:lpstr>20250521</vt:lpstr>
      <vt:lpstr>20250522</vt:lpstr>
      <vt:lpstr>20250523</vt:lpstr>
      <vt:lpstr>20250524</vt:lpstr>
      <vt:lpstr>20250525</vt:lpstr>
      <vt:lpstr>20250526</vt:lpstr>
      <vt:lpstr>20250527</vt:lpstr>
      <vt:lpstr>20250528</vt:lpstr>
      <vt:lpstr>20250529</vt:lpstr>
      <vt:lpstr>20250530</vt:lpstr>
      <vt:lpstr>20250531</vt:lpstr>
      <vt:lpstr>20250601</vt:lpstr>
      <vt:lpstr>20250602</vt:lpstr>
      <vt:lpstr>20250603</vt:lpstr>
      <vt:lpstr>20250604</vt:lpstr>
      <vt:lpstr>20250605</vt:lpstr>
      <vt:lpstr>20250607</vt:lpstr>
      <vt:lpstr>20250608</vt:lpstr>
      <vt:lpstr>20250609</vt:lpstr>
      <vt:lpstr>20250610</vt:lpstr>
      <vt:lpstr>20250611</vt:lpstr>
      <vt:lpstr>20250612</vt:lpstr>
      <vt:lpstr>20250613</vt:lpstr>
      <vt:lpstr>20250614</vt:lpstr>
      <vt:lpstr>20250615</vt:lpstr>
      <vt:lpstr>20250616</vt:lpstr>
      <vt:lpstr>20250617</vt:lpstr>
      <vt:lpstr>20250618</vt:lpstr>
      <vt:lpstr>20250619</vt:lpstr>
      <vt:lpstr>20250620</vt:lpstr>
      <vt:lpstr>20250621</vt:lpstr>
      <vt:lpstr>20250622</vt:lpstr>
      <vt:lpstr>20250623</vt:lpstr>
      <vt:lpstr>20250624</vt:lpstr>
      <vt:lpstr>20250625</vt:lpstr>
      <vt:lpstr>20250626</vt:lpstr>
      <vt:lpstr>20250627</vt:lpstr>
      <vt:lpstr>20250629</vt:lpstr>
      <vt:lpstr>20250630</vt:lpstr>
      <vt:lpstr>20250701</vt:lpstr>
      <vt:lpstr>20250702</vt:lpstr>
      <vt:lpstr>20250703</vt:lpstr>
      <vt:lpstr>20250708</vt:lpstr>
      <vt:lpstr>20250709</vt:lpstr>
      <vt:lpstr>20250710</vt:lpstr>
      <vt:lpstr>20250711</vt:lpstr>
      <vt:lpstr>20250712</vt:lpstr>
      <vt:lpstr>20250713</vt:lpstr>
      <vt:lpstr>20250714</vt:lpstr>
      <vt:lpstr>20250724</vt:lpstr>
      <vt:lpstr>20250725</vt:lpstr>
      <vt:lpstr>20250731</vt:lpstr>
      <vt:lpstr>20250811</vt:lpstr>
      <vt:lpstr>20250813</vt:lpstr>
      <vt:lpstr>20250814</vt:lpstr>
      <vt:lpstr>20250820</vt:lpstr>
      <vt:lpstr>20250821</vt:lpstr>
      <vt:lpstr>20250822</vt:lpstr>
      <vt:lpstr>20250823</vt:lpstr>
      <vt:lpstr>20250824</vt:lpstr>
      <vt:lpstr>20250825</vt:lpstr>
      <vt:lpstr>20250903</vt:lpstr>
      <vt:lpstr>20250904</vt:lpstr>
      <vt:lpstr>20250905</vt:lpstr>
      <vt:lpstr>20250907</vt:lpstr>
      <vt:lpstr>20250908</vt:lpstr>
      <vt:lpstr>20250909</vt:lpstr>
      <vt:lpstr>20250910</vt:lpstr>
      <vt:lpstr>20250911</vt:lpstr>
      <vt:lpstr>20250913</vt:lpstr>
      <vt:lpstr>20250914</vt:lpstr>
      <vt:lpstr>20250916</vt:lpstr>
      <vt:lpstr>20250917</vt:lpstr>
      <vt:lpstr>20250918</vt:lpstr>
      <vt:lpstr>20250919</vt:lpstr>
      <vt:lpstr>20250920</vt:lpstr>
      <vt:lpstr>20250921</vt:lpstr>
      <vt:lpstr>20250922</vt:lpstr>
      <vt:lpstr>20250927</vt:lpstr>
      <vt:lpstr>20251012</vt:lpstr>
      <vt:lpstr>20251021</vt:lpstr>
      <vt:lpstr>20251022</vt:lpstr>
      <vt:lpstr>20251023</vt:lpstr>
      <vt:lpstr>20251027</vt:lpstr>
      <vt:lpstr>20251031</vt:lpstr>
      <vt:lpstr>20251102</vt:lpstr>
      <vt:lpstr>20251103</vt:lpstr>
      <vt:lpstr>20251104</vt:lpstr>
      <vt:lpstr>20251105</vt:lpstr>
      <vt:lpstr>20251106</vt:lpstr>
      <vt:lpstr>20251107</vt:lpstr>
      <vt:lpstr>20251108</vt:lpstr>
      <vt:lpstr>20251109</vt:lpstr>
      <vt:lpstr>20251110</vt:lpstr>
      <vt:lpstr>20251111</vt:lpstr>
      <vt:lpstr>20251112</vt:lpstr>
      <vt:lpstr>20251113</vt:lpstr>
      <vt:lpstr>20251114</vt:lpstr>
      <vt:lpstr>20251115</vt:lpstr>
      <vt:lpstr>20251116</vt:lpstr>
      <vt:lpstr>20251117</vt:lpstr>
      <vt:lpstr>20251118</vt:lpstr>
      <vt:lpstr>20251119</vt:lpstr>
      <vt:lpstr>20251120</vt:lpstr>
      <vt:lpstr>20251121</vt:lpstr>
      <vt:lpstr>20251122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Scrooge</cp:lastModifiedBy>
  <dcterms:created xsi:type="dcterms:W3CDTF">2023-05-12T11:15:00Z</dcterms:created>
  <dcterms:modified xsi:type="dcterms:W3CDTF">2025-11-22T01:03:39Z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82987000EA42413E8193202D95BFB17B_12</vt:lpwstr>
  </property>
</Properties>
</file>