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ustomStorage/customStorage.xml" ContentType="application/vnd.wps-officedocument.customStorage+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xml" ContentType="application/vnd.openxmlformats-officedocument.spreadsheetml.worksheet+xml"/>
  <Override PartName="/xl/worksheets/sheet130.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180" firstSheet="122" activeTab="129"/>
  </bookViews>
  <sheets>
    <sheet name="20240225" sheetId="89" r:id="rId1"/>
    <sheet name="20240229" sheetId="90" r:id="rId2"/>
    <sheet name="20240302" sheetId="1" r:id="rId3"/>
    <sheet name="20240303" sheetId="2" r:id="rId4"/>
    <sheet name="20240304" sheetId="3" r:id="rId5"/>
    <sheet name="20240306" sheetId="91" r:id="rId6"/>
    <sheet name="20240307" sheetId="92" r:id="rId7"/>
    <sheet name="20240308" sheetId="4" r:id="rId8"/>
    <sheet name="20240309" sheetId="5" r:id="rId9"/>
    <sheet name="20240310" sheetId="6" r:id="rId10"/>
    <sheet name="20240311" sheetId="7" r:id="rId11"/>
    <sheet name="20240316" sheetId="8" r:id="rId12"/>
    <sheet name="20240317" sheetId="9" r:id="rId13"/>
    <sheet name="20240320" sheetId="10" r:id="rId14"/>
    <sheet name="20240322" sheetId="11" r:id="rId15"/>
    <sheet name="20240323" sheetId="12" r:id="rId16"/>
    <sheet name="20240326" sheetId="13" r:id="rId17"/>
    <sheet name="20240328" sheetId="14" r:id="rId18"/>
    <sheet name="20240401" sheetId="15" r:id="rId19"/>
    <sheet name="20240402" sheetId="16" r:id="rId20"/>
    <sheet name="20240405" sheetId="17" r:id="rId21"/>
    <sheet name="20240406" sheetId="18" r:id="rId22"/>
    <sheet name="20240408" sheetId="19" r:id="rId23"/>
    <sheet name="20240409" sheetId="20" r:id="rId24"/>
    <sheet name="20240410" sheetId="21" r:id="rId25"/>
    <sheet name="20240411" sheetId="22" r:id="rId26"/>
    <sheet name="20240412" sheetId="23" r:id="rId27"/>
    <sheet name="20240413" sheetId="24" r:id="rId28"/>
    <sheet name="20240414" sheetId="25" r:id="rId29"/>
    <sheet name="20240415" sheetId="26" r:id="rId30"/>
    <sheet name="20240416" sheetId="27" r:id="rId31"/>
    <sheet name="20240417" sheetId="28" r:id="rId32"/>
    <sheet name="20240418" sheetId="29" r:id="rId33"/>
    <sheet name="20240420" sheetId="30" r:id="rId34"/>
    <sheet name="20240421" sheetId="31" r:id="rId35"/>
    <sheet name="20240422" sheetId="32" r:id="rId36"/>
    <sheet name="20240423" sheetId="33" r:id="rId37"/>
    <sheet name="20240424" sheetId="34" r:id="rId38"/>
    <sheet name="20240425" sheetId="35" r:id="rId39"/>
    <sheet name="20240426" sheetId="36" r:id="rId40"/>
    <sheet name="20240427" sheetId="37" r:id="rId41"/>
    <sheet name="20240501" sheetId="38" r:id="rId42"/>
    <sheet name="20240503" sheetId="39" r:id="rId43"/>
    <sheet name="20240504" sheetId="40" r:id="rId44"/>
    <sheet name="20240507" sheetId="41" r:id="rId45"/>
    <sheet name="20240511" sheetId="42" r:id="rId46"/>
    <sheet name="20240512" sheetId="43" r:id="rId47"/>
    <sheet name="20240513" sheetId="44" r:id="rId48"/>
    <sheet name="20240515" sheetId="45" r:id="rId49"/>
    <sheet name="20240519" sheetId="46" r:id="rId50"/>
    <sheet name="20240523" sheetId="47" r:id="rId51"/>
    <sheet name="20240525" sheetId="48" r:id="rId52"/>
    <sheet name="20240526" sheetId="49" r:id="rId53"/>
    <sheet name="20240527" sheetId="50" r:id="rId54"/>
    <sheet name="20240529" sheetId="51" r:id="rId55"/>
    <sheet name="20240530" sheetId="52" r:id="rId56"/>
    <sheet name="20240531" sheetId="53" r:id="rId57"/>
    <sheet name="20240601" sheetId="54" r:id="rId58"/>
    <sheet name="20240602" sheetId="55" r:id="rId59"/>
    <sheet name="20240603" sheetId="56" r:id="rId60"/>
    <sheet name="20240720" sheetId="57" r:id="rId61"/>
    <sheet name="20240721" sheetId="58" r:id="rId62"/>
    <sheet name="20240727" sheetId="59" r:id="rId63"/>
    <sheet name="20240804" sheetId="60" r:id="rId64"/>
    <sheet name="20240810" sheetId="61" r:id="rId65"/>
    <sheet name="20240811" sheetId="62" r:id="rId66"/>
    <sheet name="20240831" sheetId="63" r:id="rId67"/>
    <sheet name="20240901" sheetId="64" r:id="rId68"/>
    <sheet name="20240907" sheetId="65" r:id="rId69"/>
    <sheet name="20240908" sheetId="66" r:id="rId70"/>
    <sheet name="20240916" sheetId="67" r:id="rId71"/>
    <sheet name="20240922" sheetId="68" r:id="rId72"/>
    <sheet name="20241001" sheetId="69" r:id="rId73"/>
    <sheet name="20241006" sheetId="70" r:id="rId74"/>
    <sheet name="20241019" sheetId="71" r:id="rId75"/>
    <sheet name="20250202" sheetId="93" r:id="rId76"/>
    <sheet name="20250205" sheetId="94" r:id="rId77"/>
    <sheet name="20250211" sheetId="96" r:id="rId78"/>
    <sheet name="20250214" sheetId="97" r:id="rId79"/>
    <sheet name="20250217" sheetId="95" r:id="rId80"/>
    <sheet name="20250324" sheetId="72" r:id="rId81"/>
    <sheet name="20250325" sheetId="73" r:id="rId82"/>
    <sheet name="20250327" sheetId="74" r:id="rId83"/>
    <sheet name="20250329" sheetId="75" r:id="rId84"/>
    <sheet name="20250330" sheetId="76" r:id="rId85"/>
    <sheet name="20250331" sheetId="77" r:id="rId86"/>
    <sheet name="20250405" sheetId="78" r:id="rId87"/>
    <sheet name="20250408" sheetId="79" r:id="rId88"/>
    <sheet name="20250411" sheetId="80" r:id="rId89"/>
    <sheet name="20250412" sheetId="82" r:id="rId90"/>
    <sheet name="20250416" sheetId="83" r:id="rId91"/>
    <sheet name="20250420" sheetId="84" r:id="rId92"/>
    <sheet name="20250427" sheetId="85" r:id="rId93"/>
    <sheet name="20250502" sheetId="86" r:id="rId94"/>
    <sheet name="20250506" sheetId="87" r:id="rId95"/>
    <sheet name="20250514" sheetId="88" r:id="rId96"/>
    <sheet name="20250517" sheetId="98" r:id="rId97"/>
    <sheet name="20250518" sheetId="99" r:id="rId98"/>
    <sheet name="20250519" sheetId="100" r:id="rId99"/>
    <sheet name="20250520" sheetId="101" r:id="rId100"/>
    <sheet name="20250521" sheetId="102" r:id="rId101"/>
    <sheet name="20250522" sheetId="103" r:id="rId102"/>
    <sheet name="20250523" sheetId="104" r:id="rId103"/>
    <sheet name="20250524" sheetId="106" r:id="rId104"/>
    <sheet name="20250525" sheetId="108" r:id="rId105"/>
    <sheet name="20250526" sheetId="110" r:id="rId106"/>
    <sheet name="20250527" sheetId="112" r:id="rId107"/>
    <sheet name="20250528" sheetId="113" r:id="rId108"/>
    <sheet name="20250529" sheetId="114" r:id="rId109"/>
    <sheet name="20250530" sheetId="115" r:id="rId110"/>
    <sheet name="20250531" sheetId="117" r:id="rId111"/>
    <sheet name="20250601" sheetId="118" r:id="rId112"/>
    <sheet name="20250602" sheetId="119" r:id="rId113"/>
    <sheet name="20250603" sheetId="120" r:id="rId114"/>
    <sheet name="20250604" sheetId="121" r:id="rId115"/>
    <sheet name="20250605" sheetId="122" r:id="rId116"/>
    <sheet name="20250607" sheetId="123" r:id="rId117"/>
    <sheet name="20250608" sheetId="124" r:id="rId118"/>
    <sheet name="20250609" sheetId="126" r:id="rId119"/>
    <sheet name="20250610" sheetId="128" r:id="rId120"/>
    <sheet name="20250611" sheetId="129" r:id="rId121"/>
    <sheet name="20250612" sheetId="132" r:id="rId122"/>
    <sheet name="20250613" sheetId="133" r:id="rId123"/>
    <sheet name="20250614" sheetId="135" r:id="rId124"/>
    <sheet name="20250615" sheetId="136" r:id="rId125"/>
    <sheet name="20250616" sheetId="137" r:id="rId126"/>
    <sheet name="20250617" sheetId="138" r:id="rId127"/>
    <sheet name="20250618" sheetId="140" r:id="rId128"/>
    <sheet name="20250619" sheetId="141" r:id="rId129"/>
    <sheet name="20250620" sheetId="142" r:id="rId13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<sst xmlns="http://schemas.openxmlformats.org/spreadsheetml/2006/main" count="2028" uniqueCount="2011">
  <si>
    <t>SRAM和DRAM的比较</t>
  </si>
  <si>
    <t>SRAM的功耗相比DRAM更###大###</t>
  </si>
  <si>
    <t>SRAM的单位存储元成本相比DRAM更###高###</t>
  </si>
  <si>
    <t>需要刷新再生信息的是###DRAM###</t>
  </si>
  <si>
    <t>SRAM的集成度相比DRAM更###低###</t>
  </si>
  <si>
    <t>集成度：单位面积/体积的存储元个数</t>
  </si>
  <si>
    <t>大小端存储对应###高低###（高低/低高）位优先（先位于###低###（高/低）地址）</t>
  </si>
  <si>
    <t>大端存储便于###人类阅读###</t>
  </si>
  <si>
    <t>小端存储便于###机器处理###</t>
  </si>
  <si>
    <t>带符号乘法的三大步骤</t>
  </si>
  <si>
    <t>计数器Cn设为乘数位数</t>
  </si>
  <si>
    <t>乘数寄存器最低位和辅助位进行判断</t>
  </si>
  <si>
    <t>最低位-辅助位-操作</t>
  </si>
  <si>
    <t>0-0-###乘积寄存器+0###</t>
  </si>
  <si>
    <t>0-1-###乘积寄存器+被乘数的补码###</t>
  </si>
  <si>
    <t>1-0-###乘积寄存器-被乘数的补码###</t>
  </si>
  <si>
    <t>1-1-###乘积寄存器+0###</t>
  </si>
  <si>
    <t>乘积寄存器-乘数寄存器-辅助位全部###算术###（逻辑/算术）###右###（左/右）移一位</t>
  </si>
  <si>
    <t>计数器Cn减一，若不为0跳转第二步</t>
  </si>
  <si>
    <t>（反常）定积分的分拆和合并建立在###定积分存在###的基础上</t>
  </si>
  <si>
    <t>伽马函数</t>
  </si>
  <si>
    <t>积分定义的函数：γ(t)=###Int(0,+∞):(x^(t-1))*e^(-x)dx###</t>
  </si>
  <si>
    <t>递推性质：###γ(t+1)=t*γ(t)###</t>
  </si>
  <si>
    <t>阶乘等价：###γ(t+1)=t!###</t>
  </si>
  <si>
    <t>特殊取值：γ(1/2)=###sqrt(π)###</t>
  </si>
  <si>
    <t>收敛性：###t&gt;0则收敛###</t>
  </si>
  <si>
    <t>反常积分在判断敛散性（而非求出结果）可以直接对被积函数的###因子###使用###等价无穷小###</t>
  </si>
  <si>
    <t>p积分敛散性</t>
  </si>
  <si>
    <t>被积函数1/(x^p)</t>
  </si>
  <si>
    <t>积分区间在0到1时，###p小于1###收敛，###大于等于1###发散</t>
  </si>
  <si>
    <t>积分区间在a到正无穷时（a&gt;0），###p小等于1###发散，###大于1###收敛</t>
  </si>
  <si>
    <t>立方差公式a^3-b^3=###(a-b)*(a^2+a*b+b^2)###</t>
  </si>
  <si>
    <t>1/x求原函数除了带C，特别的对于定义域还需要注意什么？###ln(|x|)要把绝对值号带上！###</t>
  </si>
  <si>
    <t>瑕积分判断敛散性：先判断瑕点，然后###根据瑕点拆分###</t>
  </si>
  <si>
    <t>不等式的参数具有确定符号，可以适当放缩，比如A是正数，B-A###必然小于###B</t>
  </si>
  <si>
    <t>A是整数，1/A的绝对值###必小等于###1（大小关系）</t>
  </si>
  <si>
    <t>构造大收或小散</t>
  </si>
  <si>
    <t>###ln(x)&lt;&lt;&lt;x&lt;&lt;&lt;e^x###（排列ln(x)、e^x、x的发散性）</t>
  </si>
  <si>
    <t>###ln(x)^a&lt;&lt;&lt;x^b&lt;&lt;&lt;(e^x)^c###（排列(e^x)^c、ln(x)^a、x^b的发散性）</t>
  </si>
  <si>
    <t>abc不同是为了保证不存在左&gt;右的情况</t>
  </si>
  <si>
    <t>（求极限及定积分）见到分母一大串，分子很短，考虑用###倒代换###</t>
  </si>
  <si>
    <t>已有等式，求等式的值，可以试着###把两个加起来除2###再变形</t>
  </si>
  <si>
    <t>分段复合分段函数，采用###内函数整体代入###然后列###内函数与外函数定义域分段构造不等式###的方式分类讨论</t>
  </si>
  <si>
    <t>求与x轴所围面积</t>
  </si>
  <si>
    <t>先求###所有的零点###</t>
  </si>
  <si>
    <t>然后找出###函数取值小于0###的区间</t>
  </si>
  <si>
    <t>在上述区间上###对-f(x)进行定积分###</t>
  </si>
  <si>
    <t>在其它区间上###对f(x)进行定积分###</t>
  </si>
  <si>
    <t>把###所有定积分的结果###进行###累加###，即得与x轴所围面积</t>
  </si>
  <si>
    <t>沿轴旋转如果轴平行于x或y轴但不重合，先做###坐标变换让图形移动到新的位置###，使其###相对x或y轴的位置与移动前相对旋转轴的位置相同###，就可以用x或y轴的旋转公式</t>
  </si>
  <si>
    <t>沿坐标轴旋转公式: [a,b]是曲线f(x)要被旋转的区间</t>
  </si>
  <si>
    <t>沿y轴: ###2pi*Int(a,b):x*f(x)dx###</t>
  </si>
  <si>
    <t>沿x轴: ###pi*Int(a,b):(f(x)^2)dx###</t>
  </si>
  <si>
    <t>有根号的情况下，优先集中火力将其###有理化###</t>
  </si>
  <si>
    <t>一般利用###分子分母同乘使根号变平方###能把根号消掉最好</t>
  </si>
  <si>
    <t>如果根号内存在因子是某数的平方，可以###对根号下的表达式提平方公因到根号外###</t>
  </si>
  <si>
    <t>如果有分式，试试###倒代换###</t>
  </si>
  <si>
    <t>在表达式的###分母###出现的根号下凑出###1-x^2###以运用反正弦、反余弦积分公式</t>
  </si>
  <si>
    <t>在表达式的###因式###出现的根号下凑出###1-x^2###以运用正弦、余弦积分公式</t>
  </si>
  <si>
    <t>sin的高次尽量用###诱导公式或平方和为1###换成###cos的高次###，因为后者可以###降幂成cos(2x)###</t>
  </si>
  <si>
    <t>OSPF协议总结-工作步骤</t>
  </si>
  <si>
    <t>路由器周期性发送###Hello###报文发现邻居并确认双向通信</t>
  </si>
  <si>
    <t>当双方###在对方的Hello报文中发现自己的Router ID###，建立邻居</t>
  </si>
  <si>
    <t>通过###DD###报文，路由器交换LSDB的###摘要信息###</t>
  </si>
  <si>
    <t>若发现LSDB缺失信息，通过###LSR###报文向邻居请求链路状态通告</t>
  </si>
  <si>
    <t>收到上述请求后，路由器通过###LSU###报文以###泛洪###进行链路状态更新通告</t>
  </si>
  <si>
    <t>邻居通过###LSAck###报文确认上述报文的收到，确保LSDB完全同步（处于###Full###状态）</t>
  </si>
  <si>
    <t>通过###迪杰斯特拉###算法计算最短路径树</t>
  </si>
  <si>
    <t>OSPF协议总结-报文类型</t>
  </si>
  <si>
    <t>Hello报文：###发现并维护邻居、选举DR/BDR###</t>
  </si>
  <si>
    <t>DD报文：###描述LSDB的摘要###</t>
  </si>
  <si>
    <t>LSR报文：###请求对LSDB某一信息进行通告更新###</t>
  </si>
  <si>
    <t>LSU报文：###泛洪通告LSDB中的某一具体信息###</t>
  </si>
  <si>
    <t>LSAck报文：###确认收到LSU，因为IP不保证可靠性（类比TCP）###</t>
  </si>
  <si>
    <t>OSPF协议总结-状态机</t>
  </si>
  <si>
    <t>Down：###初始状态###</t>
  </si>
  <si>
    <t>Init：###收到邻居Hello，但未确认双向###</t>
  </si>
  <si>
    <t>2-Way：###双向通信建立，完成了DR/BDR选举###</t>
  </si>
  <si>
    <t>ExStart：###通过空DD报文协商主从，确定初始序列号###</t>
  </si>
  <si>
    <t>Exchange：###交换带有LSDB摘要的DD报文###</t>
  </si>
  <si>
    <t>Loading：###LSR/LSU请求并通告更新的LSDB内容###</t>
  </si>
  <si>
    <t>Full：###LSDB完全同步，可进行计算最短路径###</t>
  </si>
  <si>
    <t>绕x轴旋转体选用截面积时，曲线在x轴上下###无关###，因为###平方会把面积的负号取消掉###</t>
  </si>
  <si>
    <t>相同形状和面积的旋转体，距离转轴不同旋转体体积###不同###，不能###割补、非沿轴平移、改变朝向###（三种）</t>
  </si>
  <si>
    <t>极坐标方程的图形###有些不能###（有些不能/全都可以）转为直角坐标的</t>
  </si>
  <si>
    <t>极坐标旋转公式（联想圆的面积公式pi*r²）</t>
  </si>
  <si>
    <t>沿y轴: ###2pi*Int(α,β):(Int(0,r(θ)):((r^2)*cos(θ))dr)dθ###</t>
  </si>
  <si>
    <t>沿x轴: ###2pi*Int(α,β):(Int(0,r(θ)):((r^2)*sin(θ))dr)dθ###</t>
  </si>
  <si>
    <t>拿到星形线的参数方程，怎么确定t就是对应极坐标的θ？</t>
  </si>
  <si>
    <t>已经确定t就是θ，那么t对应第一象限的积分区域就明显是0到pi/2</t>
  </si>
  <si>
    <t>点火公式：</t>
  </si>
  <si>
    <t>积分区间：###从0到pi/2###</t>
  </si>
  <si>
    <t>被积函数：###正弦或余弦的k次方###（k为正整数）</t>
  </si>
  <si>
    <t>k为偶数：###(k-1)*(k-3)*...*1*pi/(k*k-2*...*2*2)###</t>
  </si>
  <si>
    <t>k为奇数：###(k-1)*(k-3)*...*2/(k*k-2*...*3)###</t>
  </si>
  <si>
    <t>周长计算采用参数方程的弧长公式###Int(a,b):sqrt(((x'(t))^2)+((y'(t))^2))dt###</t>
  </si>
  <si>
    <t>带参数x轴旋转体，先用一般x轴旋转体公式：###pi*Int(a,b):(f(x)^2)dx###</t>
  </si>
  <si>
    <t>然后令dx=###dx(t)=x'(t)dt###</t>
  </si>
  <si>
    <t>原积分对t换元求解</t>
  </si>
  <si>
    <t>带参数x轴旋转体侧面积，先用一般x轴旋转体侧面积公式：###2pi*Int(a,b):y*sqrt(1+(y')^2)dx###</t>
  </si>
  <si>
    <t>###x'(t)=dx/dt###乘入被积函数</t>
  </si>
  <si>
    <t>###塞进sqrt里面###，###平方后与1+(y')^2相乘###，得((x'(t))^2)+((y'(t))^2)</t>
  </si>
  <si>
    <t>如果二重积分先对x求时，x的左右都被同一个函数曲线包住，###尝试对其中一侧进行恒等变换###</t>
  </si>
  <si>
    <t>比如：sin(x)=###sin(pi-x)###</t>
  </si>
  <si>
    <t>用中间值分拆（比如arcsin(y)从0到pi分拆成arcsin(y)到pi/2和pi/2到arcsin(y)）不会互相抵消么？</t>
  </si>
  <si>
    <t>问题：sin(x)dx的先x二重积分要怎么写？</t>
  </si>
  <si>
    <t>如果在积分中被积变量不是x、y，但式子中又包含x、y</t>
  </si>
  <si>
    <t>###就把他们换成a、b之类不容易混淆的参数###（建议处理）</t>
  </si>
  <si>
    <t>累次积分画出边界时，如果发现边界上下（或左右）颠倒，</t>
  </si>
  <si>
    <t>可通过###改变被积函数符号###变回有序边界</t>
  </si>
  <si>
    <t>二重积分中值定理###Int2D(D):f(x,y)dxdy=f(xm,ym)*S###</t>
  </si>
  <si>
    <t>xm、ym为###区域D内的中值###</t>
  </si>
  <si>
    <t>利用###累次极限###求f(xm,ym)</t>
  </si>
  <si>
    <t>S为区域D的面积</t>
  </si>
  <si>
    <t>用###g(x,y)=1###换掉原二重积分的被积函数来求解</t>
  </si>
  <si>
    <t>看到被积函数里含有x^2+y^2可以考虑###换成极坐标###求解</t>
  </si>
  <si>
    <t>二重积分的内层如果完全不含外层变量，可以先###求外层变量的定积分###，然后###把这个定积分的数值###乘以###内层的单次积分###求解</t>
  </si>
  <si>
    <t>变限积分求导等于###被积函数换元上限参数###，再###对上限参数求导###</t>
  </si>
  <si>
    <t>有些题目外表看是（二重）积分，实际上是微分方程（无需作答）### ###</t>
  </si>
  <si>
    <t>常数变异法y=###C(x)*e^(Int(P(x),dx))###，原微分方程的齐次微分方程为y'+P(x)y=0</t>
  </si>
  <si>
    <t>极坐标积分当中cos(θ)遇到dr就可以化成###dx###，同理sin(θ)遇到dr可以化成###dy###</t>
  </si>
  <si>
    <t>积分中如果出现被积函数和积分变量组成f'x*dx+f'y*dy时</t>
  </si>
  <si>
    <t>根据全微分公式dz=###f'x*dx+f'y*dy###</t>
  </si>
  <si>
    <t>被积函数和积分变量变成###1*dz###</t>
  </si>
  <si>
    <t>得到积分的结果z(x,y)或z(ρ*cos(θ),ρ*sin(θ))</t>
  </si>
  <si>
    <t>不定积分###没###保号性，###不能###用在不等式，因为###C会改变大小关系###</t>
  </si>
  <si>
    <t>拉格朗日中值：###f(a)=f(b)且f在a到b连续###成立时，可推出###中间必有f'(x)=0###</t>
  </si>
  <si>
    <t>二重积分的绝对值不等式###Int2D(D):f(x,y)dxdy&lt;=|±Int2D(D):f(x,y)dxdy|&lt;=Int2D(D):|f(x,y)|dxdy###</t>
  </si>
  <si>
    <t>船坞的二重积分题</t>
  </si>
  <si>
    <t>总水压问题</t>
  </si>
  <si>
    <t>单点的水压公式是ρ*g*h（h为水深，即水面到当前位置的垂直距离（无需作答）### ###</t>
  </si>
  <si>
    <t>由于受力几何为面，根据力的合成与分解，要把所有点上受到的水压进行累积</t>
  </si>
  <si>
    <t>累积方式采用二重积分</t>
  </si>
  <si>
    <t>dy即###深度###方向积分</t>
  </si>
  <si>
    <t>积分区间从###0到t###</t>
  </si>
  <si>
    <t>dx即###水平###方向积分</t>
  </si>
  <si>
    <t>积分区间从###-x(y)到x(y)###</t>
  </si>
  <si>
    <t>抽水做功问题</t>
  </si>
  <si>
    <t>假设抽出水是刚体，向上平移直到###每一滴水刚好离开原液面###</t>
  </si>
  <si>
    <t>单点对抗重力做功的公式是M*h=###ρ*g*h=ρ*g*(t-y)###（t为水平面位置）</t>
  </si>
  <si>
    <t>单点在同一高度、同一横向距离对抗重力做功相同，可以合并为做功的###环###状微元</t>
  </si>
  <si>
    <t>###ρ*g*(t-y)###（单点做功）乘###2*π*x###（形状累积）得到微元的做功量###ρ*g*(t-y)*2*π*x###</t>
  </si>
  <si>
    <t>由于做功几何为体，根据能量守恒定律，要把所有微元上对抗重力做功进行累积</t>
  </si>
  <si>
    <t>由于一侧的x就对应到整个微元，因此积分区间###只有从0到x(y)###</t>
  </si>
  <si>
    <t>具体点偏导数可以先###代###后###求###</t>
  </si>
  <si>
    <t>比如f'x(0,0)，可以先###把y=0代入f(x,y)###得###f(x,0)###</t>
  </si>
  <si>
    <t>再###把f(x,0)看成一元函数g(x)对x求导###得到###g'(x)###，</t>
  </si>
  <si>
    <t>最后###把x=0代入g'(x)###得到###g'(0)###，即###f'x(0,0)###</t>
  </si>
  <si>
    <t>如果z能写成z(u,v)，而u和v又能写成u(x)和v(x)，那么dz/dx=###(dz/du)*(du/dx)+(dz/dv)*(dv/dx)###</t>
  </si>
  <si>
    <t>如果z=z(x,y)里面x和y过于复杂，可以把部分x和y的表达式###用u(x,y)、v(x,y)来表示###，然后再用###复合函数求导###来求</t>
  </si>
  <si>
    <t>已知偏导数求原函数</t>
  </si>
  <si>
    <t>使用###偏积分###和###待定非积分变量函数（例如：对x积分后面带上phi(y)）###</t>
  </si>
  <si>
    <t>用已知原函数z(x,y)在###积分变量为特值###时的表达式和上式列等式，求出###待定非积分变量函数具体形式###</t>
  </si>
  <si>
    <t>例如：2*y+phi(x)在y=1时与1+x相等，则phi(x)=###x-1###</t>
  </si>
  <si>
    <t>二元函数f(u,v)，u和v又是含x的的函数</t>
  </si>
  <si>
    <t>df/dx=###(df/du)*(du/dx)+(df/dv)*(dv/dx)###</t>
  </si>
  <si>
    <t>注意df/dx仍然是含有###u和v的二元###函数</t>
  </si>
  <si>
    <r>
      <rPr>
        <sz val="11"/>
        <color theme="1"/>
        <rFont val="宋体"/>
        <charset val="134"/>
        <scheme val="minor"/>
      </rPr>
      <t>d^2f/dx^2=###</t>
    </r>
    <r>
      <rPr>
        <sz val="11"/>
        <color rgb="FFFF0000"/>
        <rFont val="宋体"/>
        <charset val="134"/>
        <scheme val="minor"/>
      </rPr>
      <t>d((df/du)*(du/dx))/dx###</t>
    </r>
    <r>
      <rPr>
        <sz val="11"/>
        <color theme="1"/>
        <rFont val="宋体"/>
        <charset val="134"/>
        <scheme val="minor"/>
      </rPr>
      <t>+###</t>
    </r>
    <r>
      <rPr>
        <sz val="11"/>
        <color rgb="FF00B0F0"/>
        <rFont val="宋体"/>
        <charset val="134"/>
        <scheme val="minor"/>
      </rPr>
      <t>d((df/dv)*(dv/dx))/dx###</t>
    </r>
  </si>
  <si>
    <t>以前半部分为例，后半部分同理可得</t>
  </si>
  <si>
    <r>
      <rPr>
        <b/>
        <sz val="11"/>
        <color rgb="FFFF0000"/>
        <rFont val="宋体"/>
        <charset val="134"/>
        <scheme val="minor"/>
      </rPr>
      <t>求导乘法法则：d((df/du)*(du/dx))/dx=###(d(df/du)/dx)</t>
    </r>
    <r>
      <rPr>
        <sz val="11"/>
        <color rgb="FFFF0000"/>
        <rFont val="宋体"/>
        <charset val="134"/>
        <scheme val="minor"/>
      </rPr>
      <t>*(du/dx)###+###(df/du)*((d(du/dx)/dx))###</t>
    </r>
  </si>
  <si>
    <t>展开(d(df/du)/dx)=###((d^2f/du^2)*(du/dx)###+###(d^2f/dudv)*(dv/dx))*(du/dx)###</t>
  </si>
  <si>
    <t>二阶微分方程如果降阶后左右同时积分不好求，直接用高阶线性的公式来求</t>
  </si>
  <si>
    <t>先求齐次通解</t>
  </si>
  <si>
    <t>先提取系数y''+p*y'+q*y=0</t>
  </si>
  <si>
    <t>求特征根r，使r满足###r^2+p*r+q=0###</t>
  </si>
  <si>
    <t>两个不等实根r1、r2则yhg=###C1*exp(r1*x)+C2*exp(r2*x)###</t>
  </si>
  <si>
    <t>两个相等实根r则yhg=###(C1+C2*x)*exp(r*x)###</t>
  </si>
  <si>
    <t>一对共轭复根（实部±虚部i）则y=###exp(实部*x)*(C1*cos(虚部*x)+C2*sin(虚部*x))###</t>
  </si>
  <si>
    <t>再求非齐次特解</t>
  </si>
  <si>
    <t>常数变易法</t>
  </si>
  <si>
    <t>设：齐次通解中###C=C(x)###</t>
  </si>
  <si>
    <t>y=###f(C(x),x)###进行###左右同时求导###，左边用###原微分方程的dy/dx###联立</t>
  </si>
  <si>
    <t>右边结果包含###C'(x)###和###C(x)###，用###已知含C(x)的y###表示###C(x)###（左右同时消去）</t>
  </si>
  <si>
    <t>得到的###C'(x)###，对其###进行积分###求出C(x)表达式</t>
  </si>
  <si>
    <t>隐函数求偏导（dz/dx、dz/dy）公式</t>
  </si>
  <si>
    <t>F(x,y,z)=0决定的z=z(x,y)</t>
  </si>
  <si>
    <t>两边同时###对x或y求导###得到###F'x+F'z*(dz/dx)=0或F'y+F'z*(dz/dy)=0###</t>
  </si>
  <si>
    <t>dz/dx=###-(F'x/F'z)###</t>
  </si>
  <si>
    <t>dz/dy=###-(F'y/F'z)###</t>
  </si>
  <si>
    <t>微分方程如果dx/dy=F(x,y)比较容易变形，可以###把x当成y的函数###求解</t>
  </si>
  <si>
    <t>微分方程如果难以分离变量，也非线性微分方程</t>
  </si>
  <si>
    <t>找到一种###可分成p=f(x,y)和x的方法###，求解###p和x###的微分方程，再代###p=f(x,y)###求出原式解</t>
  </si>
  <si>
    <t>适用场景</t>
  </si>
  <si>
    <t>化简后可以直接###变量分离###（齐次）</t>
  </si>
  <si>
    <t>化简后可以使用###常数变易###（非齐次）</t>
  </si>
  <si>
    <t>常见类型</t>
  </si>
  <si>
    <t>最常见的：###y/x、x/y###</t>
  </si>
  <si>
    <t>一般：###x+y###</t>
  </si>
  <si>
    <t>比较少见：###不含x的f(y)###</t>
  </si>
  <si>
    <t>非常罕见（用于二阶微分方程）：###p=f(y')###</t>
  </si>
  <si>
    <t>常数变易是从齐次###通###解直接到非齐###通###解，里面已经包含了齐次###通###解和非齐###特###解</t>
  </si>
  <si>
    <t>简单概括线性微分解的结构特性</t>
  </si>
  <si>
    <t>非齐通=###齐通###+###非齐特###</t>
  </si>
  <si>
    <t>非齐A方程特±非齐B方程特=###非齐A±B方程特###</t>
  </si>
  <si>
    <t>若A±B=0，非齐A方程特±非齐B方程特=###齐特###</t>
  </si>
  <si>
    <t>定积分上下限之差正好为周期的情况下，###任意平移（x±a）###不改变定积分的数值</t>
  </si>
  <si>
    <t>高阶非齐次不要硬上常数变异，那个只适合一阶（无需作答）### ###</t>
  </si>
  <si>
    <t>高阶齐次求特征根写清楚因式分解，不然重根看不清楚到底是几重！！！（无需作答）### ###</t>
  </si>
  <si>
    <t>高阶非齐次特解看非齐次项构造</t>
  </si>
  <si>
    <t>分解合并</t>
  </si>
  <si>
    <t>有几个###exp(λx)###分成几个非齐次项</t>
  </si>
  <si>
    <t>sin和cos化简到各只有一个，化不了就得###利用线性性质分成几个###</t>
  </si>
  <si>
    <t>非齐次项原形</t>
  </si>
  <si>
    <t>一个多项式乘上exp(λ*x)的构型，如果没exp(λ*x)就是λ为0</t>
  </si>
  <si>
    <t>###exp(λ*x)原模原样###乘最后，如果没###exp(λ*x)###就乘###1###</t>
  </si>
  <si>
    <t>这种情况下看###λ在齐次特征根有几重###，###重数k次方的x###乘到最前面</t>
  </si>
  <si>
    <t>然后根据###多项式最高次数###，列出###待定系数多项式a1*(x^n)+a2*(x^(n-1))+a3*(x^(n-2))+...###，乘中间</t>
  </si>
  <si>
    <t>三坨在一起应该是###(x^k)*(a1*(x^n)+a2*(x^(n-1))+a3*(x^(n-2))+...)*exp(λ*x)###</t>
  </si>
  <si>
    <t>一个exp(a*x)乘上多项式1*cos(b*x)和多项式2*sin(b*x)的和，如果没exp(a*x)就是λ为0</t>
  </si>
  <si>
    <t>###exp(a*x)原模原样###乘最后，如果没###exp(a*x)###就乘###1###（同上）</t>
  </si>
  <si>
    <t>这种情况下看###a+bi在齐次特征根有几重###，###重数k次方的x###乘到最前面（类似上面）</t>
  </si>
  <si>
    <t>然后根据###多项式1和多项式2中的最高次数###，列出###两个待定系数多项式a1*(x^n)+...和b1*(x^n)+...###，再###分别乘sin(b*x)和cos(b*x)再加起来###，乘中间</t>
  </si>
  <si>
    <t>三坨在一起应该是###(x^k)*((a1*(x^n)+...)*sin(b*x)+(b1*(x^n)+...)*cos(b*x))*exp(a*x)###</t>
  </si>
  <si>
    <t>如果高阶线性微分方程不显含x，尽量使用###dp/dy###而不是dp/dx</t>
  </si>
  <si>
    <t>如果已经开始求dx/dy，即认为x=x(y)，直到整个微分方程解出来前不要###对换变量###</t>
  </si>
  <si>
    <t>ln(cos(x))的定积分是###非初等的###，看到变成这样的式子，考虑###再求出一个相反的代数表达式进行抵消###</t>
  </si>
  <si>
    <t>sin(x)和cos(x)构成的复杂表达式如果没法简单化成只有一种类型，那就###都换成tan再求解###</t>
  </si>
  <si>
    <t>一定要小心根号下的三角平方，因为开根号后###原本小于0的区间就会“翻上去”###，这在去根号而换元成三角时非常常见</t>
  </si>
  <si>
    <t>有时候定积分上下限会变成无穷，但是不要怕，把###具体的形式写出来不要求解具体数值（比如tan(pi/2)）###，因为有可能###后面会代入一个arctan还原回去###</t>
  </si>
  <si>
    <t>已知解反求线性微分方程总结</t>
  </si>
  <si>
    <t>给的解一般是非齐次特解，有几个</t>
  </si>
  <si>
    <t>用它们###线性无关的差###作为齐次通解，看题设的###方程是几阶###就有几个解</t>
  </si>
  <si>
    <t>一般来说，是C*exp(r*x)的形式，这种就容易，直接用###r###求出齐次方程的原式</t>
  </si>
  <si>
    <t>然后设右边等于一个非齐次项f(x)</t>
  </si>
  <si>
    <t>###逮住一个特解ynhs###求出其导数，带入###上一步设出的非齐次方程###，求出###f(x)具体表达式###</t>
  </si>
  <si>
    <t>但也有不是的情况，那样就得构造方程组来求解了</t>
  </si>
  <si>
    <t>###逮住一个特解ynhs###求出其导数，不同阶导数列出来</t>
  </si>
  <si>
    <t>观察并总结系数C在导数里的规律</t>
  </si>
  <si>
    <t>根据规律，用###ynhs和其导数表示的表达式###组合出消去C的方程，这就是要求的微分方程</t>
  </si>
  <si>
    <t>如果一次给了一整个特解，就要仔细分析其中部分，分别都要满足题设的条件</t>
  </si>
  <si>
    <t>题设的###方程是几阶###就有几个解</t>
  </si>
  <si>
    <t>非齐次解部分</t>
  </si>
  <si>
    <t>非齐次解exp(a*x)的###a###与非齐次项exp(b*x)的###b###一致</t>
  </si>
  <si>
    <t>额外包含的x^k，k可能是对应###根的重数###</t>
  </si>
  <si>
    <t>齐次解部分</t>
  </si>
  <si>
    <t>解exp(a*x)的###a###与非齐次项exp(b*x)的###b###，其中###不一致###的部分都属于齐次解</t>
  </si>
  <si>
    <t>根据###解的剩余个数###，排除###齐次重根###，解的剩余重根项则均属于###非齐次解###</t>
  </si>
  <si>
    <t>注意，非齐次特解表达式里的系数和通解里的C是不一样的，那些系数是通过代入非齐次方程和非齐次项联立求出来的，并非一个活动的系数（未知的常量而非变量）（无需作答）### ###</t>
  </si>
  <si>
    <t>带变限积分求被积函数实则求微分方程解的题型，要注意初始条件一般是###隐含在题目里（隐含在含有变限积分的等式里）###</t>
  </si>
  <si>
    <t>比如当x等于0时，上限x的变限积分此时会###变成0###，一个积分式子，如果###上限和下限一样###，整个积分无论多复杂都###是0###</t>
  </si>
  <si>
    <t>有一道看起来像是全微分或者多元微分的题目（f(x+y)=exp(x)*f(y)+exp(y)*f(x)）,居然要用导数的定义来求解，这题的思路非常难猜出来</t>
  </si>
  <si>
    <t>题目照例隐含了一个初始条件，要x和y都为0时代入才能证出来f(0)=0</t>
  </si>
  <si>
    <t>然后用这个等于0的f(0)去跟f(△x)/△x凑出一个f'(0)</t>
  </si>
  <si>
    <t>反函数的导数，等于###原函数的导数的倒数###</t>
  </si>
  <si>
    <t>x=x(y)是y=y(x)的反函数</t>
  </si>
  <si>
    <t>y'(x)=dy/dx是y(x)的导数</t>
  </si>
  <si>
    <t>反函数x=x(y)的导数是###x'(y)=dx/dy###</t>
  </si>
  <si>
    <t>即x'(y)=###dx/dy=1/(dy/dx)=1/y'(x)###</t>
  </si>
  <si>
    <t>微分方程里如果过于复杂，找到一种可以分离成p=f(x,y)和x的方法，求解p和x的微分方程，再代p=f(x,y)求出原式解</t>
  </si>
  <si>
    <t>今天补充一下，甚至还可以是f(y,y')，比如y'/y就可以拿来解2yy''=(y')^2+y^2（无需作答）### ###</t>
  </si>
  <si>
    <t>微分方程构造解证明微分中值定理-公式法</t>
  </si>
  <si>
    <t>要证明f'(z)+g(z)*f(z)=0，构造F(x)=###(e^Int(g(x)))*f(x)###</t>
  </si>
  <si>
    <t>要证明f'(z)+g'(z)*f(z)=0，构造F(x)=###(e^(g(x)))*f(x)###</t>
  </si>
  <si>
    <t>要证明f'(z)+nf(z)=0，构造F(x)=###((e^x)^n)*f(x)###</t>
  </si>
  <si>
    <t>要证明af'(z)+bf(z)=0，构造F(x)=###(e^(x*(b/a)))*f(x)###</t>
  </si>
  <si>
    <t>要证明zf'(z)+nf(z)=0，构造F(x)=###(x^n)*f(x)###</t>
  </si>
  <si>
    <t>要证明zf'(z)-nf(z)=0，构造F(x)=###f(x)/(x^n)###</t>
  </si>
  <si>
    <t>级数Σf(n)和Int(1,∞):f(x)dx一般来说同敛散，这就叫积分测试（积分判别法）</t>
  </si>
  <si>
    <t>积分测试是一个强大的工具，但并不适用于所有情况。以下是一些情况下积分测试可能不适用的情况：</t>
  </si>
  <si>
    <r>
      <rPr>
        <b/>
        <sz val="10.5"/>
        <color rgb="FF24292F"/>
        <rFont val="Segoe UI"/>
        <charset val="134"/>
      </rPr>
      <t>函数不满足条件</t>
    </r>
    <r>
      <rPr>
        <sz val="10.5"/>
        <color rgb="FF24292F"/>
        <rFont val="Segoe UI"/>
        <charset val="134"/>
      </rPr>
      <t>：积分测试要求函数 ( f(x) ) 在 ( [1, +\infty) ) 上连续、单调递减。如果函数不满足这些条件，则无法使用积分测试。</t>
    </r>
  </si>
  <si>
    <r>
      <rPr>
        <b/>
        <sz val="10.5"/>
        <color rgb="FF24292F"/>
        <rFont val="Segoe UI"/>
        <charset val="134"/>
      </rPr>
      <t>无法积分</t>
    </r>
    <r>
      <rPr>
        <sz val="10.5"/>
        <color rgb="FF24292F"/>
        <rFont val="Segoe UI"/>
        <charset val="134"/>
      </rPr>
      <t>：有些函数在给定区间上无法求出积分，这样无法使用积分测试。比如说，( f(x) ) 可能是一个特殊函数，没有一个已知的原函数。</t>
    </r>
  </si>
  <si>
    <r>
      <rPr>
        <b/>
        <sz val="10.5"/>
        <color rgb="FF24292F"/>
        <rFont val="Segoe UI"/>
        <charset val="134"/>
      </rPr>
      <t>函数不是正的</t>
    </r>
    <r>
      <rPr>
        <sz val="10.5"/>
        <color rgb="FF24292F"/>
        <rFont val="Segoe UI"/>
        <charset val="134"/>
      </rPr>
      <t>：积分测试要求函数 ( f(x) ) 是正函数。如果函数在某些区间上为负，则积分测试可能不适用。</t>
    </r>
  </si>
  <si>
    <r>
      <rPr>
        <b/>
        <sz val="10.5"/>
        <color rgb="FF24292F"/>
        <rFont val="Segoe UI"/>
        <charset val="134"/>
      </rPr>
      <t>不是单调递减的</t>
    </r>
    <r>
      <rPr>
        <sz val="10.5"/>
        <color rgb="FF24292F"/>
        <rFont val="Segoe UI"/>
        <charset val="134"/>
      </rPr>
      <t>：积分测试要求函数 ( f(x) ) 是单调递减的。如果函数在某些区间上不是单调递减的，则积分测试可能不适用。</t>
    </r>
  </si>
  <si>
    <t>在上述情况下，可以考虑使用其他收敛性测试方法</t>
  </si>
  <si>
    <t>比较判别法</t>
  </si>
  <si>
    <t>比值测试</t>
  </si>
  <si>
    <t>根值测试</t>
  </si>
  <si>
    <t>要证明唯一性，最好是###证明不唯一，然后反证###</t>
  </si>
  <si>
    <t>单调性除了应用于不等式，还有一个关键性质（严格单调），即f(x)都是###唯一的###，###存在两个不相同的x1、x2使得f(x1)=f(x2)###是不可能的</t>
  </si>
  <si>
    <t>拐点是指###左右二阶导数异号###的点，这个点的二阶导数可能是###0###，也可能###不存在###，因此###不能###用二阶导数为0来判定是否为拐点</t>
  </si>
  <si>
    <t>二阶导为0，完全有可能是###“擦”到x轴但不变号###，那样也###不是###拐点</t>
  </si>
  <si>
    <t>如果要用二阶导等于0来找拐点，需要确保###三阶导不为0（二阶导单调性不变，不是“擦过”x轴）###</t>
  </si>
  <si>
    <t>拉格朗日中值定理两个要求，###连续###，###ab不相等###，要求很简单，但必须都满足才行</t>
  </si>
  <si>
    <t>二阶导###大于0###，下凹，二阶导###小于0###，上凸</t>
  </si>
  <si>
    <t>泰勒展开通项：###fn(x0)*((x-x0)^n)/n!###</t>
  </si>
  <si>
    <t>拉格朗日余项：###fnp1(ξ)*((x-x0)^(n+1))/(n+1)!###</t>
  </si>
  <si>
    <t>ξ是一个中值，介于x和x0，一般会用x和x0限定余弦的范围</t>
  </si>
  <si>
    <t>留数法对付一次有理分式</t>
  </si>
  <si>
    <t>原式=A/((ax+b)*(cx+d))</t>
  </si>
  <si>
    <t>待定系数的加减式=(B/(ax+b))+(C/(cx+d))</t>
  </si>
  <si>
    <t>求B</t>
  </si>
  <si>
    <t>把原式分母的###ax+b###遮住，留下###A/(cx+d)###</t>
  </si>
  <si>
    <t>求出###ax+b=0的根r1=-b/a###</t>
  </si>
  <si>
    <t>令###x=r1###代入###A/(cx+d)###得到###B=A/(d-c*b/a)###</t>
  </si>
  <si>
    <t>求C</t>
  </si>
  <si>
    <t>把原式分母的###cx+d###遮住，留下###A/(ax+b)###</t>
  </si>
  <si>
    <t>求出###cx+d=0的根r2=-d/c###</t>
  </si>
  <si>
    <t>令###x=r2###代入###A/(ax+b)###得到###C=A/(b-a*d/c)###</t>
  </si>
  <si>
    <t>看起来复杂，实际操作很简单，只要不是高次有理分式，算起来比解待定系数方程快（不过快这一点没啥用）</t>
  </si>
  <si>
    <t>非零因子代入</t>
  </si>
  <si>
    <t>不是整体因子的情况下，###不能###非零因子代入</t>
  </si>
  <si>
    <t>指数含自变量的情况下，底数###不能###非零因子代入</t>
  </si>
  <si>
    <t>欧拉法逼近和黎曼和的区别在于，前者是梯形，后者是矩形，定积分是黎曼和对n求趋无穷的极限（无限细分）</t>
  </si>
  <si>
    <t>定积分从a积到b的极限定义通项=###f(a+i*(b-a)/n)*(b-a)/n###，其中###f(t)以外的部分###可以提公因提到连加外面</t>
  </si>
  <si>
    <t>被积函数出现sec²或者sec*tan</t>
  </si>
  <si>
    <t>可以尝试###分部积分，把这一部分作为g'(x)###</t>
  </si>
  <si>
    <t>也可以###凑微分###，但如果###凑出来不含有被凑的结果###，还是要用上一种方法</t>
  </si>
  <si>
    <t>级数逐项求导时注意x^(n-a)如果n-a&lt;0时求导结果并不是(n-a)*x^(n-a-1)而是n-a</t>
  </si>
  <si>
    <t>两条曲线所夹区域的旋转体，注意不能用###曲线差的平方###作为被积函数，应该要用###平方的差（两个旋转体的体积差）###</t>
  </si>
  <si>
    <t>瑕积分按照定义，一定要对瑕点进行###分段求变限积分的极限###，其中###每个区间的变限积分极限###都必须###存在（也就是说正负无穷不能互相抵消）###，否则不收敛</t>
  </si>
  <si>
    <t>被积函数存在大小关系的情况下，相同积分区间的定积分###维持相同的大小关系###</t>
  </si>
  <si>
    <t>比如在0到pi/6区间上sinx小于x，导致sin/x&lt;1&lt;x/sinx，因此他们的积分###S1&lt;pi/6&lt;S2###（S1为sin/x的积分，S2为x/sin的积分）</t>
  </si>
  <si>
    <t>要算△y都是要求用###y'(x0)*△x###来近似的（x0为近似起始点）</t>
  </si>
  <si>
    <t>sec的不定积分是###ln|sec+tan|###，csc的不定积分是###ln|csc-cot|###</t>
  </si>
  <si>
    <t>变限积分对应无穷小的阶数秒杀</t>
  </si>
  <si>
    <t>上限函数g(x)的阶数n</t>
  </si>
  <si>
    <t>被积函数f(x)的阶数m</t>
  </si>
  <si>
    <t>变限积分Lim(x-&gt;0):Int(0,g(x)):f(t)dt的阶数=###n*(m+1)###</t>
  </si>
  <si>
    <t>两个无穷小加减得到的新无穷小阶数为###旧无穷小中阶数较小的那一个（例：4阶±8阶=4阶）###</t>
  </si>
  <si>
    <t>极限保号性：如果极限为一个数值大于或者小于0，则被求极限的表达式在###趋向点附近的去心邻域###也大于或者小于0</t>
  </si>
  <si>
    <t>全微分（知识盲区）</t>
  </si>
  <si>
    <t>先从知道的部分开始说起</t>
  </si>
  <si>
    <t>二元函数z=f(x,y)它的全微分dz=f'x(x,y)*dx+f'y(x,y)*dy</t>
  </si>
  <si>
    <t>一元函数y=f(x)它的微分dy=f'(x)*dx</t>
  </si>
  <si>
    <t>△y/△z是曲线/曲面增量，dy/dz是切线/切面增量，注意微分是后者而非前者</t>
  </si>
  <si>
    <t>可以推出的部分</t>
  </si>
  <si>
    <r>
      <rPr>
        <sz val="11"/>
        <color theme="1"/>
        <rFont val="宋体"/>
        <charset val="134"/>
        <scheme val="minor"/>
      </rPr>
      <t>①由△y=f(x0+△x)-f(x0)=###</t>
    </r>
    <r>
      <rPr>
        <sz val="11"/>
        <color rgb="FFFF0000"/>
        <rFont val="宋体"/>
        <charset val="134"/>
        <scheme val="minor"/>
      </rPr>
      <t>f'(x0)*△x+o(ρ)###，o(ρ)为曲线和切线的误差</t>
    </r>
  </si>
  <si>
    <r>
      <rPr>
        <sz val="11"/>
        <color theme="1"/>
        <rFont val="宋体"/>
        <charset val="134"/>
        <scheme val="minor"/>
      </rPr>
      <t>②得△z=f(x0+△x,y0+△y)-f(x0,y0)=###</t>
    </r>
    <r>
      <rPr>
        <sz val="11"/>
        <color rgb="FFFF0000"/>
        <rFont val="宋体"/>
        <charset val="134"/>
        <scheme val="minor"/>
      </rPr>
      <t>f'x(x0,y0)*△x+f'y(x0,y0)*△y+o(ρ)###，o(ρ)为曲面和切面的误差</t>
    </r>
  </si>
  <si>
    <r>
      <rPr>
        <sz val="11"/>
        <color theme="1"/>
        <rFont val="宋体"/>
        <charset val="134"/>
        <scheme val="minor"/>
      </rPr>
      <t>③由△y=f(x)-f(x0)=###</t>
    </r>
    <r>
      <rPr>
        <sz val="11"/>
        <color rgb="FFFF0000"/>
        <rFont val="宋体"/>
        <charset val="134"/>
        <scheme val="minor"/>
      </rPr>
      <t>f'(x0)*(x-x0)+o(ρ)###，o(ρ)为曲线和切线的误差</t>
    </r>
  </si>
  <si>
    <r>
      <rPr>
        <sz val="11"/>
        <color theme="1"/>
        <rFont val="宋体"/>
        <charset val="134"/>
        <scheme val="minor"/>
      </rPr>
      <t>④得△z=f(x,y)-f(x0,y0)=###</t>
    </r>
    <r>
      <rPr>
        <sz val="11"/>
        <color rgb="FFFF0000"/>
        <rFont val="宋体"/>
        <charset val="134"/>
        <scheme val="minor"/>
      </rPr>
      <t>f'x(x0,y0)*(x-x0)+f'y(x0,y0)*(y-y0)+o(ρ)###，o(ρ)为曲面和切面的误差</t>
    </r>
  </si>
  <si>
    <t>需要死记硬背的公式</t>
  </si>
  <si>
    <t>Lim:###(A-B)/C###=0</t>
  </si>
  <si>
    <t>第一种：△x-&gt;0,△y-&gt;0，A对应②式等号左，B对应②式等号右（不包含误差o(ρ)）</t>
  </si>
  <si>
    <t>第二种：x-&gt;x0,y-&gt;y0，A对应④式等号左，B对应④式等号右（不包含误差o(ρ)）</t>
  </si>
  <si>
    <t>总结：分子相减都是求误差o(ρ)，分母都是△x/△y的欧几里得范数（平方和再开根号，相当于直角三角形的斜边长）</t>
  </si>
  <si>
    <t>内涵：意思是###这个误差###相对于###起点(x0,y0)到目标(x,y)的直线距离###是可以忽略不计的</t>
  </si>
  <si>
    <t>给一个极限式子，求出dz的一类题</t>
  </si>
  <si>
    <t>对给的极限变形，使其凑出###需要死记硬背的公式的公式###</t>
  </si>
  <si>
    <t>根据###需要死记硬背的公式的公式###，把里面###f'x和f'y###的部分提取出来，</t>
  </si>
  <si>
    <t>然后再把###f'x和f'y###放进###dz=f'x(x,y)*dx+f'y(x,y)*dy###，求出dz</t>
  </si>
  <si>
    <t>极限脱帽法：如果lim(x-&gt;0):f(x)=A，则f(x)=###A+o(x)###</t>
  </si>
  <si>
    <t>微分方程构造解证明微分中值定理-原理法（公式法参考20240401第4行）</t>
  </si>
  <si>
    <t>会拿到一个微分方程，说这个微分方程必定在某区间上有解</t>
  </si>
  <si>
    <t>那就先解这个微分方程，注意，不要解到y，解出第一个C就行</t>
  </si>
  <si>
    <t>可以把y'当成y，y''当成y'，只要保证最高阶是1阶导就行</t>
  </si>
  <si>
    <t>目的是为了方便运用微分中值定理</t>
  </si>
  <si>
    <t>然后改写通解y=g(C,x)成###C=h(y,x)###，令F(x)=###C=h(y,x)=h(f(x),x)###作构造函数</t>
  </si>
  <si>
    <t>然后会发现F'(x)=0就是原微分方程必有解的等价式</t>
  </si>
  <si>
    <t>用题设条件证明F(x)在某区间上必有相同的两根</t>
  </si>
  <si>
    <t>用罗尔定理和已知存在的相同两根证存在x使得F'(x)=0</t>
  </si>
  <si>
    <t>可微和可导的关系</t>
  </si>
  <si>
    <t>联系</t>
  </si>
  <si>
    <t>一元函数中可导与可微等价。</t>
  </si>
  <si>
    <t>多元函数的话，可微###一定###可导，可导###未必###可微。</t>
  </si>
  <si>
    <t>含义（设函数y= f(x)）</t>
  </si>
  <si>
    <t>可微</t>
  </si>
  <si>
    <t>若自变量在点x的改变量Δx与函数相应的改变量Δy有关系Δy=###A*Δx+o(Δx)###，其中A与Δx无关</t>
  </si>
  <si>
    <t>则称函数f(x)在点x可微，并称###AΔx###为函数f(x)在点x的微分，记作dy，即dy=###AΔx###，当x=x0时，则记作dy|x=x0。</t>
  </si>
  <si>
    <t>o(Δx)/Δx-&gt;###0###</t>
  </si>
  <si>
    <t>可导</t>
  </si>
  <si>
    <t>如果y在x=x0处###左右导数分别存在且相等###</t>
  </si>
  <si>
    <t>则称y在x=x0处可导</t>
  </si>
  <si>
    <t>题目要求证明数列极限存在→使用###单调有界###定理</t>
  </si>
  <si>
    <t>已知f'(x)求单调性，在证明题当中不能用特值，必须求###f''(x)###并###确定其符号###，才能证明f'(x)单调</t>
  </si>
  <si>
    <t>微分算子法本质上还是传统方法，但是围绕齐次特征多项式的根改良了运算步骤</t>
  </si>
  <si>
    <t>比如y''-3y'+2y=非齐次项，它的齐次多项式为###r^2-3r+2###</t>
  </si>
  <si>
    <t>齐次多项式为分母，分子为1，乘以非齐次项</t>
  </si>
  <si>
    <r>
      <rPr>
        <sz val="11"/>
        <color theme="1"/>
        <rFont val="宋体"/>
        <charset val="134"/>
        <scheme val="minor"/>
      </rPr>
      <t>非齐次项为e^2x时</t>
    </r>
    <r>
      <rPr>
        <b/>
        <sz val="11"/>
        <color rgb="FFFF0000"/>
        <rFont val="宋体"/>
        <charset val="134"/>
        <scheme val="minor"/>
      </rPr>
      <t>（千万注意指数系数不可以为0，也就是这个方法不适用于纯多项式！）</t>
    </r>
  </si>
  <si>
    <t>非齐次项和特征多项式的商为###e^2x/r^2-3r+2###</t>
  </si>
  <si>
    <t>令r=非齐次项的指数系数（上式为2），代入分母</t>
  </si>
  <si>
    <t>如果分母不为零，###和非齐次项的商###就是特解</t>
  </si>
  <si>
    <t>如果分母为零（非齐次项的指数系数是###齐次特征多项式的重根###）</t>
  </si>
  <si>
    <t>分子操作：###对r求导###</t>
  </si>
  <si>
    <t>分母操作：###乘x（对应k重根）###</t>
  </si>
  <si>
    <t>非齐次项为cos(2x)时（效果更好）</t>
  </si>
  <si>
    <t>非齐次项和特征多项式的商为###cos(2x)/r^2-3r+2###</t>
  </si>
  <si>
    <t>令r^2=###负的非齐次项自变量系数（上式为2）的平方###，代入分母</t>
  </si>
  <si>
    <t>如果分母最后剩下r的1次方，则对非齐次项进行对应的###积分###操作</t>
  </si>
  <si>
    <t>sin(x)/r相当于###对sin(x)积分###，变为###-cos(x)###</t>
  </si>
  <si>
    <t>如果除了r还有其它常数，比如sin(x)/(r+2)，则###分子分母同乘(r-2)###</t>
  </si>
  <si>
    <t>分母变成###r^2-4###，就可以直接代入r^2</t>
  </si>
  <si>
    <t>分子sin(x)###乘(r-2)###，相当于求###(sin(x))'-2*sin(x)###，即###cos(x)-2*sin(x)###</t>
  </si>
  <si>
    <t>之前提到瑕积分按照瑕点划分后每个部分都都必须收敛</t>
  </si>
  <si>
    <t>现在更要明确，如果是无穷区间上的极限，两端###都是无穷###的，要###找一个中间点x=a来进行划分###</t>
  </si>
  <si>
    <t>每个部分都收敛才整体收敛，一个不收敛整体都不收敛（不能正负无穷抵消）</t>
  </si>
  <si>
    <t>分段函数求原函数</t>
  </si>
  <si>
    <t>每个部分分别求原函数，会出现多个常数Ci，这样作答还不够</t>
  </si>
  <si>
    <t>要使每个分段共用一个C，要###求出Ci之间的关系###</t>
  </si>
  <si>
    <t>由于题设的函数是求出原函数的导数，证明###原函数可导###</t>
  </si>
  <si>
    <t>可导必###连续###，因此分段点处原函数###的极限存在且等于原函数的取值###</t>
  </si>
  <si>
    <t>分段点###极限存在###，分段点的左右极限###均存在且相等###</t>
  </si>
  <si>
    <t>分段点左右极限###脱去极限符号###后列写等式，包含###Ci和Ci+1、Ci-1之间的关系###</t>
  </si>
  <si>
    <t>可微性用【需要死记硬背的公式】来证明（无需作答）### ###</t>
  </si>
  <si>
    <t>一阶偏导连续必须证</t>
  </si>
  <si>
    <t>x偏连续：###lim(x-&gt;x0,y-&gt;y0):f'x(x,y)=f'x(x0,y0)###</t>
  </si>
  <si>
    <t>y偏连续：###lim(x-&gt;x0,y-&gt;y0):f'y(x,y)=f'y(x0,y0)###</t>
  </si>
  <si>
    <t>证明lim(x-&gt;x0):f'x(x,y0)=f'x(x0,y0)和lim(y-&gt;y0):f'y(x0,y)=f'y(x0,y0)是不够的</t>
  </si>
  <si>
    <t>举例：xy=0时为1，xy≠0时为0的分区函数，那两个极限成立，但是原函数是不连续的</t>
  </si>
  <si>
    <t>用罗尔定理证明根存在性时，所需条件与拉格朗日相同</t>
  </si>
  <si>
    <t>端点也要连续，如果因为定义域的缘故，可以在构造F(x)时###给端点单独赋值###</t>
  </si>
  <si>
    <t>举例：Int(0,x):f(t)dt/x因为分母限制定义域导致0点上无定义</t>
  </si>
  <si>
    <t>为保证连续，用###求变限积分的极限###求出0点连续需要的值</t>
  </si>
  <si>
    <t>分段，将上式结果赋给x=0时的f(x)</t>
  </si>
  <si>
    <t>信号：式子中出现x^n,n-&gt;∞，考虑|x|在###1###为分界的分段讨论</t>
  </si>
  <si>
    <t>曲率本质上是###切线夹角的微分###除以###弧长###（用###直角三角形斜边###近似）的微分</t>
  </si>
  <si>
    <t>函数奇偶性补充</t>
  </si>
  <si>
    <t>奇函数的f(0)=###0###</t>
  </si>
  <si>
    <t>偶函数导数为###奇函数###，奇函数的原函数###一定###为偶函数</t>
  </si>
  <si>
    <t>奇函数导数为###偶函数###，偶函数的原函数###未必###为奇函数</t>
  </si>
  <si>
    <t>相同奇偶性相乘为###偶函数###</t>
  </si>
  <si>
    <t>偶函数乘偶函数为###偶函数###</t>
  </si>
  <si>
    <t>奇函数乘奇函数为###偶函数###</t>
  </si>
  <si>
    <t>偶函数乘奇函数为###奇函数###</t>
  </si>
  <si>
    <t>当###找不到处处有定义的趋向点去心邻域###时，极限无法求取（不是极限不存在）</t>
  </si>
  <si>
    <t>被积函数中两表达式和为定值的秒杀法</t>
  </si>
  <si>
    <t>假设用两个函数相加f(x)+g(x)，当###对其进行求导得0###时（某个包含求导的验证手段），可知二者和为一定值</t>
  </si>
  <si>
    <t>这个定值可以###随便找一个x代入（因为是定值，x取多少都一样）###来求解（估测）</t>
  </si>
  <si>
    <t>多用于对称区间的偶函数积分（偶函数→区间对折+被积函数叠加）</t>
  </si>
  <si>
    <t>验算&amp;选填秒杀法：抽象函数的特值法（符合题设条件构造一个最简单的函数作为f(x)）（无需作答）### ###</t>
  </si>
  <si>
    <t>多项式求根秒杀</t>
  </si>
  <si>
    <t>若各项系数和为0，则x=###1（把x=1代入可证）###为根</t>
  </si>
  <si>
    <t>若偶次项系数和与奇次项系数和相同，则###-1（把x=-1代入，两者抵消）###为根</t>
  </si>
  <si>
    <t>必有一根为###常数项的因子###</t>
  </si>
  <si>
    <t>多元函数极值判别式###AC-B^2###如果为0</t>
  </si>
  <si>
    <t>不是极值的情况</t>
  </si>
  <si>
    <t>可以找一个特殊的y=y(x)</t>
  </si>
  <si>
    <t>代入原式使得###f(x,y(0))的上下限超出f(x0,y0)###（(x0,y0)为极值候选点）</t>
  </si>
  <si>
    <t>是极值的情况？</t>
  </si>
  <si>
    <t>看到分式极限趋于0，如果分母趋于0，分子趋于###0###，而且是和分母###更高阶###（低阶/高阶/同阶/等价）的###无穷小###（无穷大/无穷小/常数）</t>
  </si>
  <si>
    <t>确定f(x0,y0)=0（f(x0,y0)=a）为极值点的方法（选择题）：</t>
  </si>
  <si>
    <t>如果f(x,y)能直接看出范围是最佳，但是不稳定（由于y和x都可以任取）</t>
  </si>
  <si>
    <t>找几个y=y(x)代入f(x,y)得到f1(x)、f2(x)、f3(x)...越多越明显</t>
  </si>
  <si>
    <t>如果f1(x)&gt;0，且f2(x)&lt;0，说明###有正有负###（f(x,y)的符号范围），f(x0,y0)###是中间值而非极值###（是否为极值？）</t>
  </si>
  <si>
    <t>推广：</t>
  </si>
  <si>
    <t>如果最大fn(x)比f(x0,y0)大，则f(x0,y0)###不是极大值###（是否为极大/极小值？）</t>
  </si>
  <si>
    <t>如果最小fm(x)比f(x0,y0)大，则f(x0,y0)###不是极小值###（是否为极大/极小值？）</t>
  </si>
  <si>
    <t>求f(x)的n阶导的几种做法</t>
  </si>
  <si>
    <t>归纳法：求1阶、2阶、3阶，找到规律从而写出n阶（注意，不是数学归纳！最少见的方法，一般不可能这么简单）</t>
  </si>
  <si>
    <t>莱布尼茨公式：(u*v)的n阶导=###Σ(k=0..n):C(n,k)*(u^(n-k))*v^(k)###（计算量最大的一种，而且u、v的n阶导也要求）</t>
  </si>
  <si>
    <t>C是组合数，C(n,k)=###n!/(k!*(n-k)!)###（上总下分）</t>
  </si>
  <si>
    <t>泰勒系数法：f在x0的n阶导就是f(x)泰展中###(x-x0)^n项的系数乘n!###（最常见的方法！重要！）</t>
  </si>
  <si>
    <t>递推法：类似归纳，但是求的是n阶和n-1阶的关系，再结合1阶导来证通项（类似数学归纳）</t>
  </si>
  <si>
    <t>重点在于求导的过程保留n-1阶的形式不要拆散</t>
  </si>
  <si>
    <t>然后可以从1阶导开始叠加求导产生的变化</t>
  </si>
  <si>
    <t>三次以上多项式因式分解</t>
  </si>
  <si>
    <t>基本方法</t>
  </si>
  <si>
    <t>试根，试出x=a时多项式p(x)=0（怎么快速试出）</t>
  </si>
  <si>
    <t>用###常数项的因数除最高次项系数的因数###去试###（注意，是因数而不只是拿它本身去试！）###</t>
  </si>
  <si>
    <t>上述方法在###根为无理数###的情况下会失效</t>
  </si>
  <si>
    <t>p(x)对(x-a)进行长除法得到新的p(x)</t>
  </si>
  <si>
    <t>重复上述操作直到余只剩下常数</t>
  </si>
  <si>
    <t>交叉相乘</t>
  </si>
  <si>
    <t>x^2+a*x+b分解为(c+x)(d+x)</t>
  </si>
  <si>
    <t>c、d满足###c+d=a且c*d=b###</t>
  </si>
  <si>
    <t>a*x^2+b*x+c分解为(d+e*x)(f+g*x)</t>
  </si>
  <si>
    <t>d*f=###c###且e*g=###a###且###d*g+e*f###=b</t>
  </si>
  <si>
    <t>待定系数法（最终手段，大计算量，包解）</t>
  </si>
  <si>
    <t>a1*x^n+a2*x^(n-1)+a3*x^(n-2)+...+an=</t>
  </si>
  <si>
    <t>(b1+c1*x)*(d1*x^(n-1)+d2*x^(n-2)+d3*x^(n-3)+...+dn-1)=</t>
  </si>
  <si>
    <t>(b1+c1*x)*(b2+c2*x)*(e1*x^(n-2)+e2*x^(n-3)+e3*x^(n-4)+...+en-2)=</t>
  </si>
  <si>
    <t>(b1+c1*x)*(b2+c2*x)*(b3+c3*x)*...*(bn+cn*x)</t>
  </si>
  <si>
    <t>注意sin(1/x)在x趋于0的问题</t>
  </si>
  <si>
    <t>sin(1/x)在x趋于0时，1/x趋于###无穷###，sin(1/x)###无限次上下震荡，遍历-1到1之间的所有值###</t>
  </si>
  <si>
    <t>首先由于###震荡###导致极限不存在，这是第一层</t>
  </si>
  <si>
    <t>其次由于###遍历-1到1之间所有值###，导致该式会等于###真0（非无穷小）###，这又导致该表达式###乘上任何其它表达式都为0###（对整体的影响）</t>
  </si>
  <si>
    <t>最后由于###真0的存在###，当它作为分母时，###无论去心邻域如何缩小，都存在分母为真0导致无定义的情况###，这样极限就无法求取</t>
  </si>
  <si>
    <t>海涅定理（归结定理）</t>
  </si>
  <si>
    <t>xn是满足两个条件的任意数列（特别注意是任意，存在特例不能推到函数极限）</t>
  </si>
  <si>
    <t>总有###xn≠a###（xn和a的关系）</t>
  </si>
  <si>
    <t>n趋于无穷时，xn趋###a###</t>
  </si>
  <si>
    <t>而且n趋于无穷时f(xn)=A</t>
  </si>
  <si>
    <t>那么x趋于a时，###f(x)趋于A###（对f的影响）</t>
  </si>
  <si>
    <t>点到直线的距离</t>
  </si>
  <si>
    <t>假设直线的方程为ax+by+c=0</t>
  </si>
  <si>
    <t>点到直线距离为###|ax+by+c|/sqrt(a^2+b^2)###</t>
  </si>
  <si>
    <t>代数运算夹带绝对值不方便，可以先求距离的###平方###把绝对值变成###平方###，分母根号也能消掉</t>
  </si>
  <si>
    <t>目标函数一阶偏导为0与约束方程联立却无实根的原因</t>
  </si>
  <si>
    <t>目标函数为点到直线的距离，一阶偏导为0的点即###到直线距离最短###的点（何参数取得最值）</t>
  </si>
  <si>
    <t>由图形分析可知###距离最短为0###（最值为何），即###该点必在直线上###（和直线的关系）</t>
  </si>
  <si>
    <t>但若约束方程与直线方程不相交，则###二者不存在交点###（二者的几何关系），不存在同时满足###约束成立又距离为0###的点</t>
  </si>
  <si>
    <t>总结起来这就是属于目标函数极点不在可行域（约束）内的情况</t>
  </si>
  <si>
    <t>这种情况下，极值必出现在###可行域（约束）的边界###上</t>
  </si>
  <si>
    <t>应把###约束方程###推出的###y=y(x)关系###代入###目标函数###，再重新计算###目标函数导数为0点###（代入导致消元）</t>
  </si>
  <si>
    <t>圆锥体积计算V=###底圆面积*高/3###</t>
  </si>
  <si>
    <t>背对背的两个同底面圆锥（三角形绕底边旋转）体积V=###底圆面积*(高1+高2)/3###</t>
  </si>
  <si>
    <t>###底圆面积S###=pi*旋转截面三角形的高^2，V=###(pi/3)*(旋转截面三角形的高^2)*(高1+高2)###（用左式表达）</t>
  </si>
  <si>
    <t>###高1+高2###=旋转截面三角形的底，V=###(pi/3)*(旋转截面三角形的高^2)*(旋转截面三角形的底)###（用左式表达）</t>
  </si>
  <si>
    <t>拉格朗日乘数法</t>
  </si>
  <si>
    <t>已知目标函数f(x,y,z)和约束g(x,y,z)=0</t>
  </si>
  <si>
    <t>列出拉格朗日函数l(x,y,z,λ)=###f(x,y,z)-λ*g(x,y,z)###</t>
  </si>
  <si>
    <t>对拉格朗日函数求###偏导为0###的方程组：###lx(x,y,z,λ)=0,ly(x,y,z,λ)=0,lz(x,y,z,λ)=0,lλ(x,y,z,λ)=0###</t>
  </si>
  <si>
    <t>求解上述方程组，得到解(x0,y0,z0)、(x1,y1,z1)...</t>
  </si>
  <si>
    <t>把解回代目标函数得到值，比较值大小，判断极大还是极小</t>
  </si>
  <si>
    <t>Stolz定理（离散版洛必达）</t>
  </si>
  <si>
    <t>*/∞型数列极限（分母yn趋+∞）</t>
  </si>
  <si>
    <t>分母yn###严格单增###（满足某种性态）</t>
  </si>
  <si>
    <t>0/0型数列极限（分子xn、分母yn趋0）</t>
  </si>
  <si>
    <t>分母yn###严格单减###（满足某种性态）</t>
  </si>
  <si>
    <t>n趋无穷时，xn/yn的极限等于###(xn+1-xn)/(yn+1-yn)###（关于xn和yn的表达式）的极限</t>
  </si>
  <si>
    <t>后者极限存在性：###存在或为±∞###</t>
  </si>
  <si>
    <t>闭区间连续函数的性质</t>
  </si>
  <si>
    <t>有界性：f(x)在[a,b]上连续→f(x)在[a,b]上###有上界M和下界m###</t>
  </si>
  <si>
    <t>最值定理：f(x)在[a,b]上连续→f(x)在[a,b]上有###最大最小值###</t>
  </si>
  <si>
    <t>介值定理：f(x)在[a,b]上连续，且###f(a)≠f(b)###→存在###(a,b)###上的x0，使得###min(f(a),f(b))&lt;f(x0)&lt;max(f(a),f(b))###</t>
  </si>
  <si>
    <t>零点定理：f(x)在[a,b]上连续，且###f(a)*f(b)&lt;0###→存在###(a,b)###上的x0，使###f(x0)=0###</t>
  </si>
  <si>
    <t>极值点的定义</t>
  </si>
  <si>
    <t>首先要求###这个点的邻域有定义###（回忆口诀）</t>
  </si>
  <si>
    <t>所以区间的端点，###无论区间开闭，都不可能是###极值点（一定是/可能是/不可能是）</t>
  </si>
  <si>
    <t>[a,b]上的极值点如果存在，也是在###(a,b)内###</t>
  </si>
  <si>
    <t>然后对于邻域内任何x都有###f(x)&lt;f(x0)###（极大）或###f(x)&gt;f(x0)###（极小），其中x0是极值点</t>
  </si>
  <si>
    <t>极值的两种可能性</t>
  </si>
  <si>
    <t>可导点，又叫做###驻点###，即###一阶导数为0###且左右邻域内###可导导数异号###的点</t>
  </si>
  <si>
    <t>不可导点，满足首先和然后两个要求</t>
  </si>
  <si>
    <t>多元函数极限存在性秒杀</t>
  </si>
  <si>
    <t>观察法</t>
  </si>
  <si>
    <t>x趋于0时，分子分母的等价多项式进行次数比较，分子比分母###高次###，极限必存在</t>
  </si>
  <si>
    <t>x趋于0时，分子分母的等价多项式进行次数比较，分子比分母###低次###，极限不存在</t>
  </si>
  <si>
    <t>公式法</t>
  </si>
  <si>
    <t>Lim(x-&gt;0,y-&gt;0):(x^p*y^q)/(x^m+y^n)</t>
  </si>
  <si>
    <t>m、n不全为偶数，极限必###不存在###</t>
  </si>
  <si>
    <t>m、n全为偶数，写出判别式###(p/m)+(q/n)###（p、q、m、n的表达式）：</t>
  </si>
  <si>
    <t>若判别式###大于1###，则极限存在且等于###0###</t>
  </si>
  <si>
    <t>若判别式###小于等于1###，则极限不存在</t>
  </si>
  <si>
    <t>以上方法可以对极限表达式的一部分使用（即可以凑出部分满足分式形式）</t>
  </si>
  <si>
    <t>分段函数分段点求导</t>
  </si>
  <si>
    <t>分别求###左导数###和###右导数###，确认两者###相等###，导数才存在</t>
  </si>
  <si>
    <t>一边极限###不存在###，或者均存在但###不相等###，导数也是不存在</t>
  </si>
  <si>
    <t>洛必达使用限制</t>
  </si>
  <si>
    <t>能不能变形</t>
  </si>
  <si>
    <t>条件一：满足构型</t>
  </si>
  <si>
    <t>条件二：###趋向点的去心邻域内###可导，且###分母求导不存在真0###</t>
  </si>
  <si>
    <t>条件三：变形后极限存在或###为无穷大###，其它情况特别是###震荡和跳跃###的情况下不能用</t>
  </si>
  <si>
    <t>能不能求解</t>
  </si>
  <si>
    <t>转变前，导函数必须有定义（条件二要求）</t>
  </si>
  <si>
    <t>转变后，###导函数极限可能不存在###的情况下，不能求</t>
  </si>
  <si>
    <t>###导函数连续###可以杜绝上述情况</t>
  </si>
  <si>
    <t>相似的，原极限存在，###不能###推变形后的极限存在</t>
  </si>
  <si>
    <t>斜渐近线y=kx+b的求法</t>
  </si>
  <si>
    <t>求斜率k</t>
  </si>
  <si>
    <t>求x趋###无穷###时，###f(x)/x###的极限</t>
  </si>
  <si>
    <t>求截距b</t>
  </si>
  <si>
    <t>求x趋###无穷###时，###f(x)-kx###的极限</t>
  </si>
  <si>
    <t>牛顿法</t>
  </si>
  <si>
    <t>假设存在一个f(x)=0的方程，但你死活都解不出来</t>
  </si>
  <si>
    <t>所以你退而求其次，猜测该方程有一个解为a</t>
  </si>
  <si>
    <t>对x=a时的f(x)求###切线方程###，求出###切线的x轴交点a2###，具体步骤如下：</t>
  </si>
  <si>
    <t>先列###f'(a)(x-a)+f(a)=y###</t>
  </si>
  <si>
    <t>后求###a2，使得f'(a)(a2-a)+f(a)=0###</t>
  </si>
  <si>
    <t>这个后求出的###a2###就是###下一次估算开始的点###</t>
  </si>
  <si>
    <t>但是牛顿法也有可能失效</t>
  </si>
  <si>
    <t>###f'(a)接近0###的情况下（f(x)的性态），###切线###几乎是横着（步骤1的影响），###零点会离开很远###（步骤2的影响），最终误差会变得非常大</t>
  </si>
  <si>
    <t>如果原方程的根不止一个，可能得到的不是想要的根</t>
  </si>
  <si>
    <t>近似可能越来越差（误差越来越大），比如f(x)=x^(1/3)</t>
  </si>
  <si>
    <t>碰到拐点可能导致###两个近似点来回逼近###</t>
  </si>
  <si>
    <t>伸缩j级数求和（第a到第b项的f(j)-f(j-1)如何求和）：###Σ(j=a..b):(f(j)-f(j-1))=f(b)-f(a-1)###</t>
  </si>
  <si>
    <t>一定要注意！绕轴旋转平移法要保证###平移前后图形和旋转轴的相对位置一致###，如果朝向相反也是###不行###的！！！</t>
  </si>
  <si>
    <t>如果旋转体的截面不是函数的定积分（换句话说，是函数曲线上方的部分）</t>
  </si>
  <si>
    <t>可以###采用体积差（倒模）的方法求解###（参考20240406笔记）</t>
  </si>
  <si>
    <t>均值不等式</t>
  </si>
  <si>
    <t>a^2+b^2###&gt;=2ab###，当且仅当###a=b###时###取等号###</t>
  </si>
  <si>
    <t>a+b###&gt;=2sqrt(ab)###，当且仅当###a=b###时###取等号###</t>
  </si>
  <si>
    <t>a+b+c###&gt;=3curt(abc)###，当且仅当###a=b=c###时###取等号###</t>
  </si>
  <si>
    <t>a1+a2+...+an###&gt;=n*(a1*a2*..*an)^(1/n)###，当且仅当###a1=a2=..=an###时###取等号###</t>
  </si>
  <si>
    <t>求导变量和积分变量连在一起作为被积函数，要先分离再求导</t>
  </si>
  <si>
    <t>乘积关系提到积分前面，比如Int(0,x):x*f(t)dt=###x*Int(0,x):f(t)dt###</t>
  </si>
  <si>
    <t>加减关系拆开，比如Int(0,x):(x+t)*f(t)dt=###x*Int(0,x):f(t)dt+Int(0,x):t*f(t)dt###</t>
  </si>
  <si>
    <t>在抽象函数的因变量里，要进行换元</t>
  </si>
  <si>
    <t>令u=###x-t###代入Int(0,x):f(x-t)dt得到###Int(0,x):f(u)du（区间再现）###</t>
  </si>
  <si>
    <t>令u=###tx###代入Int(0,x):f(tx)dt得到###(1/x)*Int(0,x):f(u)du###</t>
  </si>
  <si>
    <t>因式分解的未掌握公式</t>
  </si>
  <si>
    <t>完全立方</t>
  </si>
  <si>
    <t>(a+b)³=###a³+3a²b+3ab²+b³###</t>
  </si>
  <si>
    <t>(a-b)³=###a³-3a²b+3ab²-b³###</t>
  </si>
  <si>
    <t>完全n次方：(a+b)^n=###Σ(k=0..n):C(n,k)*(a^k)*(b^(n-k))###（二项式定理）</t>
  </si>
  <si>
    <t>立方差：（参考20240302）</t>
  </si>
  <si>
    <t>立方和：a³+b³=###(a+b)*(a²-ab+b²)###</t>
  </si>
  <si>
    <t>n次方差：a^n+b^n=###(a-b)*Σ(k=0..n-1):(b^k)*(a^(n-1-k))###</t>
  </si>
  <si>
    <t>|f(x)|的最值点和f(x)^2相同</t>
  </si>
  <si>
    <t>洛必达法则，分母为无穷时可以直接用，不需要看分子（无需作答）### ###</t>
  </si>
  <si>
    <t>隐函数求导时如果只含有因变量没有自变量，可以先###对因变量求导###，然后###乘上因变量对自变量求导###</t>
  </si>
  <si>
    <t>元素aij对应余子式Mij计算</t>
  </si>
  <si>
    <t>原行列式###挖掉第i行第j列###得到新的行列式</t>
  </si>
  <si>
    <t>新行列式的计算结果###乘上(-1)^(i+j)###即得Mij</t>
  </si>
  <si>
    <t>线性相关的向量组包含n个n维向量，则这n个向量组成的n阶方阵###不满秩###</t>
  </si>
  <si>
    <t>因此，该n阶方阵的行列式###为0###</t>
  </si>
  <si>
    <t>二重积分的割补法：###被积函数相同###的情况下，二重积分可以进行割补操作</t>
  </si>
  <si>
    <t>矩阵乘法AX=B直接用初等变换法</t>
  </si>
  <si>
    <t>常规做法，A'AX=A'B=X，所以要求A'</t>
  </si>
  <si>
    <t>A|E初等变换成E|A'，再求A'B</t>
  </si>
  <si>
    <t>直接初等变换，###A|B###变换成###E|X###，一步到位</t>
  </si>
  <si>
    <t>原因：</t>
  </si>
  <si>
    <t>A-&gt;E的初等行变换即###A'###，即###A'###A=E</t>
  </si>
  <si>
    <t>A|B-&gt;E|X相当于###A'###A=E，###A'###B=X</t>
  </si>
  <si>
    <t>利用齐次微分方程通解结构来记忆线性方程组的解法</t>
  </si>
  <si>
    <t>化行最简型</t>
  </si>
  <si>
    <t>求出非齐次特解</t>
  </si>
  <si>
    <t>设k个自由变量为###0###</t>
  </si>
  <si>
    <t>k个自由变量代入方程，得到1个非齐次特解</t>
  </si>
  <si>
    <t>求出齐次通解</t>
  </si>
  <si>
    <t>把增广列改为###0###（注意，非常重要！曾经做错过！）</t>
  </si>
  <si>
    <t>对k个自由变量设k个###正交值（(1,0,0,..),(0,1,0,..),(0,0,1,..)..）###</t>
  </si>
  <si>
    <t>（对应exp(λx)）k个###正交值###代入方程，得到k个###线性无关###的齐次特解</t>
  </si>
  <si>
    <t>（对应∑Ci*exp(λix)）上述k个齐次特解分别乘上系数Ci(i=1..k)，相加得到齐次通解</t>
  </si>
  <si>
    <t>含x不等式恒成立的一种思路</t>
  </si>
  <si>
    <t>把等式的右边###统统移到左边###，这样右边变成###0###</t>
  </si>
  <si>
    <t>然后左边整体###构造一个函数F(x)###，变成证明###F(x)始终大于或小于0###</t>
  </si>
  <si>
    <t>逆向思维：始终大于或小于0，即###需要最小大于或最大小于###</t>
  </si>
  <si>
    <t>特例分析：如果F(x)非单调，那么###求出极值点###，再###跟端点对比###</t>
  </si>
  <si>
    <t>极值求取：先用###F'(x)=0###求出###驻点###</t>
  </si>
  <si>
    <t>如果左右导数异号，那###就是极值点了###，否则###不是###</t>
  </si>
  <si>
    <t>端点对比：求取端点，然后跟极值比较，取最值</t>
  </si>
  <si>
    <t>特例分析：如果F(x)单调，那么###最小或最大必在一端###</t>
  </si>
  <si>
    <t>求出###对应一端的值###</t>
  </si>
  <si>
    <t>利用###F'(x)的符号###证明单调性</t>
  </si>
  <si>
    <t>必要时###递归操作###，用###F''(x)###来证明###F'(x)的符号###</t>
  </si>
  <si>
    <t>积分第一中值定理</t>
  </si>
  <si>
    <t>f(x)的要求：###在[a,b]上连续###</t>
  </si>
  <si>
    <t>g(x)的要求：###在[a,b]上连续且不变号###</t>
  </si>
  <si>
    <t>###[a,b]###上至少存在一个中值c</t>
  </si>
  <si>
    <t>使得Int(a,b):###f(x)*g(x)###dx=###f(c)*Int(a,b):g(x)dx###</t>
  </si>
  <si>
    <t>被积函数偶倍奇零</t>
  </si>
  <si>
    <t>若f(x)在[-a,a]上连续</t>
  </si>
  <si>
    <t>若f(x)为偶函数，则Int(-a,a):f(x)dx=###2*Int(0,a):f(x)dx###</t>
  </si>
  <si>
    <t>若f(x)为奇函数，则Int(-a,a):f(x)dx=###0###</t>
  </si>
  <si>
    <t>三角信号能量守恒定律</t>
  </si>
  <si>
    <t>f(x)在[0,1]上连续</t>
  </si>
  <si>
    <t>Int(0,π/2):f(sin(x))dx=###Int(0,π/2):f(cos(x))dx###（用cos表示）</t>
  </si>
  <si>
    <t>Int(0,π):f(sin(x))dx=2*Int(0,π/2):f(sin(x))dx</t>
  </si>
  <si>
    <t>换元移相：Int(0,π):f(sin(x))dx=###Int(-π/2,π/2):f(sin(x+π/2))dx###</t>
  </si>
  <si>
    <t>正余转换：Int(0,π):f(sin(x))dx=###Int(-π/2,π/2):f(cos(x))dx###</t>
  </si>
  <si>
    <t>偶倍奇零：Int(0,π):f(sin(x))dx=###2*Int(0,π/2):f(cos(x))dx###</t>
  </si>
  <si>
    <t>###f(cos(x))###（上式中的）是###偶###函数（奇偶性），与f(x)的奇偶性###无关###（有关/无关）</t>
  </si>
  <si>
    <t>能量守恒（结论）：Int(0,π):f(sin(x))dx=###2*Int(0,π/2):f(sin(x))dx###</t>
  </si>
  <si>
    <t>f(x)为偶函数，Int(0,π):f(cos(x))dx=2*Int(0,π/2):f(cos(x))dx</t>
  </si>
  <si>
    <t>换元移相：Int(0,π):f(cos(x))dx=###Int(-π/2,π/2):f(cos(x+π/2))dx###</t>
  </si>
  <si>
    <t>正余转换：Int(0,π):f(cos(x))dx=###Int(-π/2,π/2):f(-sin(x))dx###</t>
  </si>
  <si>
    <t>偶倍奇零：Int(0,π):f(cos(x))dx=###2*Int(0,π/2):f(sin(x))dx###</t>
  </si>
  <si>
    <t>f(x)为偶函数，推出###f(-sin(-x))=f(sin(x))=f(-sin(x))###，因此f(-sin(x))也为偶函数</t>
  </si>
  <si>
    <t>f(x)为奇函数，Int(0,π):f(cos(x))dx=0</t>
  </si>
  <si>
    <t>偶倍奇零：Int(0,π):f(cos(x))dx=###0###</t>
  </si>
  <si>
    <t>f(x)为奇函数，###f(-sin(-x))=f(sin(x))=-f(-sin(x))###→f(-sin(x))也为奇函数</t>
  </si>
  <si>
    <t>上述被积函数为###f(cos(x))###的积分式中，x^n作为f(x)时，根据###n的奇偶性###找出f(x)对应的奇偶性来计算</t>
  </si>
  <si>
    <t>只有n为###偶数###时才可以推到喷射公式进行计算</t>
  </si>
  <si>
    <t>喷射公式中被积三角函数的次数必须是###正整数###</t>
  </si>
  <si>
    <t>定积分估值定理（中值定理定理=估值+介值）</t>
  </si>
  <si>
    <t>闭区间[a,b]内的所有x都有m&lt;=f(x)&lt;=M</t>
  </si>
  <si>
    <t>则###m*(b-a)&lt;=Int(a,b):f(x)dx&lt;=M*(b-a)###</t>
  </si>
  <si>
    <t>2018数学一选择第四题</t>
  </si>
  <si>
    <t>题设条件：三个半径π/2的对称区间定积分比大小，其中一个被积函数是(1+x)/e^x</t>
  </si>
  <si>
    <t>已经完成：已经比出其中一对的大小关系</t>
  </si>
  <si>
    <t>较大一方积分为π+2*Int(0,π/2):sqrt(cos(x))，被积函数为1+sqrt(cos(x))</t>
  </si>
  <si>
    <t>较小一方积分为π，被积函数化简（偶倍奇零）后为1</t>
  </si>
  <si>
    <t>现在只差：(1+x)/e^x的大小未确定</t>
  </si>
  <si>
    <t>逆向思维：利用###积分不等式###，分别和###两个已化简被积函数###进行比较</t>
  </si>
  <si>
    <t>逆向思维：两个被积函数都含有1的部分，可先###让(1+x)/e^x和1相比###</t>
  </si>
  <si>
    <t>把(1+x)/e^x=1###左右同乘e^x（e^x恒大于零，不会逆转不等式）###再###把等号左侧移到右侧###，得到0=###e^x-(x+1)###</t>
  </si>
  <si>
    <t>问题转为看f(x)=###e^x-(x+1)###的符号</t>
  </si>
  <si>
    <t>求###一阶导###，发现###其零点为x=0，x&lt;0时为负，x&gt;0时为正###，推出###在x=0时f(x)取得极小###</t>
  </si>
  <si>
    <t>###f(0)=0###为f(x)的###极小###，说明f(x)###&gt;=0###</t>
  </si>
  <si>
    <t>f(x)###&gt;=0###说明###(1+x)/e^x&lt;=1###，并且仅在x=###0###时###等号成立###</t>
  </si>
  <si>
    <t>(1+x)/e^x除了在x=###0###时与((1+x)^2)/(1+x^2)###相等###，其余x取值时###都小于后者###</t>
  </si>
  <si>
    <t>因此剩余的这个为三者中的最小</t>
  </si>
  <si>
    <t>反常积分的极限判别法（对付非负）</t>
  </si>
  <si>
    <t>被积函数f(x)和设的g(x)均###非负###</t>
  </si>
  <si>
    <t>当x-&gt;a（瑕积分）或x-&gt;∞（无穷积分）时，f(x)和g(x)###同阶###（不一定是###无穷小###，也不需要###等价###）</t>
  </si>
  <si>
    <t>那么###Int(a,b):f(x)dx###与###Int(a,b):g(x)dx###同敛散（区别于下面含变限积分极限的等价）</t>
  </si>
  <si>
    <t>实战化改进</t>
  </si>
  <si>
    <t>无穷积分</t>
  </si>
  <si>
    <t>找一个###x^(-n)###，n的范围：###(1,∞)###，将其作为g(x)</t>
  </si>
  <si>
    <t>在x-&gt;∞时，若f(x)/g(x)的极限存在，二者同敛散</t>
  </si>
  <si>
    <t>由于Int(a,∞):x^(-n)dx必收敛（p积分），则Int(a,∞):f(x)dx必收敛</t>
  </si>
  <si>
    <t>瑕积分</t>
  </si>
  <si>
    <t>找一个###(x-a)^(-n)###，n的范围：###(0,1)###，其中a为瑕点，将其作为g(x)</t>
  </si>
  <si>
    <t>在x-&gt;a时，若f(x)/g(x)的极限存在，二者同敛散</t>
  </si>
  <si>
    <t>由于Int(a,b):(x-a)^(-n)dx必收敛（q积分），则Int(a,b):f(x)dx必收敛</t>
  </si>
  <si>
    <t>联系和区别反常积分的比较审敛法进行记忆</t>
  </si>
  <si>
    <t>比较审敛十五字口诀：###两者均非负，大收小必收，小散大必散###</t>
  </si>
  <si>
    <t>相同：###条件均非负###</t>
  </si>
  <si>
    <t>不同：极限法###若同阶则同敛散###，比较法###按口诀比大小###</t>
  </si>
  <si>
    <t>反常积分的绝对审敛法（对付有正有负）</t>
  </si>
  <si>
    <t>原理：无穷级数的绝对收敛概念应用到无穷区间的反常积分上</t>
  </si>
  <si>
    <t>如果###Int(a,b):|f(x)|dx###收敛，那么###Int(a,b):f(x)dx###必收敛</t>
  </si>
  <si>
    <t>如果###Int(a,b):f(x)dx###发散，那么###Int(a,b):|f(x)|dx###必发散</t>
  </si>
  <si>
    <t>含变限积分极限的直接等价</t>
  </si>
  <si>
    <t>如果上限是含x的函数h(x)和i(x)</t>
  </si>
  <si>
    <t>二者能满足：###h(x)~i(x)-&gt;0###</t>
  </si>
  <si>
    <t>且###h'(x)≠0、i'(x)≠0###</t>
  </si>
  <si>
    <t>那么###Int(a,h(x)):f(x)dx~Int(a,h(x)):g(x)dx~Int(a,i(x)):f(x)dx~Int(a,i(x)):g(x)dx###</t>
  </si>
  <si>
    <t>当a和b均大于0时，lim(x-&gt;0+):(x^a)*(ln(x)^b)=###0###</t>
  </si>
  <si>
    <t>穿根法画多项式函数草图</t>
  </si>
  <si>
    <t>由数轴最右端画平滑曲线</t>
  </si>
  <si>
    <t>从右到左依次经过数轴上表示各根的点</t>
  </si>
  <si>
    <t>先看###x趋于负无穷时的极限正负性###，决定起点是在数轴上面还是下面</t>
  </si>
  <si>
    <t>次数为###奇数###的根因式，比如###(x-a)、(x-a)^3###，从数轴穿过到另一边</t>
  </si>
  <si>
    <t>次数为###偶数###的根因式，比如###(x-a)^2、(x-a)^4###，擦过数轴上的根点而不穿过，回到同侧</t>
  </si>
  <si>
    <t>口诀：###奇穿偶不穿，符号看两端，一阶导为零，切线画水平###</t>
  </si>
  <si>
    <t>含绝对值函数的不可导点判别</t>
  </si>
  <si>
    <t>f(x)=(|x-x0|^k)*g(x),g(x)满足###g(x0)≠0###</t>
  </si>
  <si>
    <t>k满足关系式：###k&gt;1###，f'(x)在x0处有定义（f(x)在x0处可导）</t>
  </si>
  <si>
    <t>k满足关系式：###k&lt;=1###，f'(x)在x0处无定义（f(x)在x0处不可导）</t>
  </si>
  <si>
    <t>n阶导的奇偶性推论</t>
  </si>
  <si>
    <t>若f(x)为偶函数，f的奇数阶导数为###奇函数###，f的偶数阶导数为###偶函数###</t>
  </si>
  <si>
    <t>奇函数在x=0处为0，所以偶函数的麦克劳林级数只有###偶次项###</t>
  </si>
  <si>
    <t>若f(x)为奇函数，f的奇数阶导数为###偶函数###，f的偶数阶导数为###奇函数###</t>
  </si>
  <si>
    <t>奇函数在x=0处为0，所以奇函数的麦克劳林级数只有###奇次项###</t>
  </si>
  <si>
    <t>分段函数最多有几阶导？</t>
  </si>
  <si>
    <t>分段分别进行###泰勒展开###，看看###展开的第几次方项###在###分段处###具有###不同的系数###</t>
  </si>
  <si>
    <t>快速结论：f(x)在x0可导</t>
  </si>
  <si>
    <t>①h(x)在x0连续但不可导，则f(x)*h(x)在x0可导↔f(x0)=###0###</t>
  </si>
  <si>
    <t>g(x)=|f(x)|</t>
  </si>
  <si>
    <t>②f(x0)≠0，g(x)在x0处###可导###（说明f(x0)###不是###|f|的分段点，即x0###不是###g(x)的分段点）</t>
  </si>
  <si>
    <t>f(x0)=0</t>
  </si>
  <si>
    <t>③f'(x0)≠0，g(x)在x0处###不可导###（f(x)在x0左右导数不为0，加绝对值###导致左导数反号与右导数不等###，导数不存在）</t>
  </si>
  <si>
    <t>④f'(x0)=0，g(x)在x0处###可导###（f(x)在x0左右导数为0，加绝对值###不改变左导数，与右导数相等为0###，导数存在且###为0###）</t>
  </si>
  <si>
    <t>且g'(x0)###=0###</t>
  </si>
  <si>
    <t>如果一个函数F(x)是另一个函数f(x)的变限积分，即F(x)=Int(0,x):f(t)dt</t>
  </si>
  <si>
    <t>F(x)###连续###（连续/间断/可导/可微/可积/极限存在）</t>
  </si>
  <si>
    <t>f(x)有几种情况</t>
  </si>
  <si>
    <t>f(x)连续，那么F(x)###可导###，且###F'(x)###=f(x)（即F(x)是f(x)的###原函数###）</t>
  </si>
  <si>
    <t>f(x)第二类间断（极限至少一边不存在）：F(x)在x0可能可导，也可能不可导</t>
  </si>
  <si>
    <t>F(x)在x0可导，F'(x)=###用F(x)表示的导数极限定义式###</t>
  </si>
  <si>
    <t>F(x)在x0不可导，那就是不可导</t>
  </si>
  <si>
    <t>这种情况下f(x)和F(x)就没什么联系了</t>
  </si>
  <si>
    <t>f(x)第一类间断（极限存在）:</t>
  </si>
  <si>
    <t>可去（左右相等）：F(x)在x=x0###可导###，且###F'(x0)###=lim(x-&gt;x0):f(x)</t>
  </si>
  <si>
    <t>结合f(x)连续的情况考虑：F(x)的导数一定是###f(x)的极限###，如果极限和取值不同，看###前者###</t>
  </si>
  <si>
    <t>跳跃（左右不等）：不可导</t>
  </si>
  <si>
    <t>因为###左右极限不相等###，x0点处f(x)的极限###不存在###</t>
  </si>
  <si>
    <t>导数定阶（导数无穷小n阶→原函数无穷小n+1阶）是###错误###（成立/错误）的，比如：###f(x)=exp(x)###</t>
  </si>
  <si>
    <t>原位求斜渐近线法：</t>
  </si>
  <si>
    <t>把f(x)变形为g(x)+h(x)，即f(x)=g(x)+h(x)，其中g(x)=###k*x+b###</t>
  </si>
  <si>
    <t>只要确保###Lim(x-&gt;∞):h(x)=0###，则可认为g(x)是f(x)的斜渐近线</t>
  </si>
  <si>
    <t>分部积分表格法</t>
  </si>
  <si>
    <t>制表</t>
  </si>
  <si>
    <t>列出两列，左边要求导，右边要积分</t>
  </si>
  <si>
    <t>被积函数看成f(x)*g'(x)，把###f(x)###写在求导列，把###g'(x)###写在积分列</t>
  </si>
  <si>
    <t>然后竖向每一行都是###上一行对应的求导或积分（看位于哪列）###</t>
  </si>
  <si>
    <t>求导列的奇数行标###正号###，偶数行标###负号###</t>
  </si>
  <si>
    <t>一直写到###求导列最后一行是0###为止</t>
  </si>
  <si>
    <t>用表</t>
  </si>
  <si>
    <t>每次选取###求导列的一个表达式###，再选择###下一行积分列的表达式###</t>
  </si>
  <si>
    <t>记录###两个表达式相乘的乘积###</t>
  </si>
  <si>
    <t>重复上述操作直到###求导列的最后一行###</t>
  </si>
  <si>
    <t>然后把之前记录的###全部加起来###就是结果</t>
  </si>
  <si>
    <t>遇到产生循环的情况</t>
  </si>
  <si>
    <t>制表：步骤大致类似，但可以手动刹车</t>
  </si>
  <si>
    <t>用表：</t>
  </si>
  <si>
    <t>到达###刹车（最后）###的那一行</t>
  </si>
  <si>
    <t>把该行的###求导列表达式###和###积分列表达式###进行###相乘###</t>
  </si>
  <si>
    <t>这次先###加上积分符号和被积变量微元###再记录</t>
  </si>
  <si>
    <t>最后还是###全部加起来###就是结果，只不过还包含了###一个积分###在里面</t>
  </si>
  <si>
    <t>被积函数含有###ln(x)###、###arctan(x)###这种无法###积分###而且###越求导越复杂###的表达式建议不要用表格法</t>
  </si>
  <si>
    <t>中值取什么区间</t>
  </si>
  <si>
    <t>介值定理：介值c取###开区间(a,b)###，f(c)取###开区间(min(f(a),f(b)),max(f(a),f(b)))###</t>
  </si>
  <si>
    <t>零点定理：零点c取###开区间(a,b)###</t>
  </si>
  <si>
    <t>罗尔定理：中值c取###开区间(a,b)###</t>
  </si>
  <si>
    <t>拉格朗日定理：中值c取###开区间(a,b)###</t>
  </si>
  <si>
    <t>积分中值：中值c取###闭区间[a,b]###</t>
  </si>
  <si>
    <t>总结：除了###积分中值###其它都是###开区间###</t>
  </si>
  <si>
    <t>常见反常积分敛散性1</t>
  </si>
  <si>
    <t>伽马函数（γ函数）：参考本日笔记第9行</t>
  </si>
  <si>
    <t>p积分：参考20240302</t>
  </si>
  <si>
    <t>q积分：</t>
  </si>
  <si>
    <t>被积函数：1/((x-a)^q)</t>
  </si>
  <si>
    <t>积分区间：###a到b###</t>
  </si>
  <si>
    <t>###0&lt;q&lt;1###时收敛，###1&lt;=q###时发散</t>
  </si>
  <si>
    <t>###q&lt;=0###时不是反常积分</t>
  </si>
  <si>
    <t>常见反常积分敛散性2</t>
  </si>
  <si>
    <t>对数p积分：</t>
  </si>
  <si>
    <t>被积函数：###1/(x*(ln(x)^p)###</t>
  </si>
  <si>
    <t>积分区间：###a到正无穷###（a&gt;1）</t>
  </si>
  <si>
    <t>###p&gt;1###时收敛，###p&lt;=1###时发散</t>
  </si>
  <si>
    <t>对数p积分的变种：</t>
  </si>
  <si>
    <t>被积函数：###1/((x^p)*(ln(x)^q))###</t>
  </si>
  <si>
    <t>积分区间：###1到正无穷###</t>
  </si>
  <si>
    <t>###p&gt;1且q&lt;1###时收敛</t>
  </si>
  <si>
    <t>常见反常积分敛散性3</t>
  </si>
  <si>
    <t>1/((x^a)+(x^b))：</t>
  </si>
  <si>
    <t>被积函数：1/((x^a)+(x^b))</t>
  </si>
  <si>
    <t>积分区间：###0到正无穷###</t>
  </si>
  <si>
    <t>###a、b能把1框住###时收敛</t>
  </si>
  <si>
    <t>即满足不等式：###min(a,b)&lt;1&lt;max(a,b)###</t>
  </si>
  <si>
    <t>ln(x)^k：</t>
  </si>
  <si>
    <t>被积函数：ln(x)^k</t>
  </si>
  <si>
    <t>积分区间：###0到1###</t>
  </si>
  <si>
    <t>###k&gt;-1###时收敛</t>
  </si>
  <si>
    <t>常见反常积分敛散性4</t>
  </si>
  <si>
    <t>e^(-x)*sin(x)或e^(-x)*cos(x)：</t>
  </si>
  <si>
    <t>被积函数：e^(-x)*sin(x)或e^(-x)*cos(x)</t>
  </si>
  <si>
    <t>必定收敛，因为：</t>
  </si>
  <si>
    <t>不定积分后结果为###e^(-x)*(sin(x)±cos(x))/2###</t>
  </si>
  <si>
    <t>趋于0时等于###±1###</t>
  </si>
  <si>
    <t>趋于正无穷时：</t>
  </si>
  <si>
    <t>e^(-x)趋于正无穷时趋于###0###</t>
  </si>
  <si>
    <t>而sin或cos趋无穷是###有界###</t>
  </si>
  <si>
    <t>###有界###乘###无穷小###还是###无穷小###</t>
  </si>
  <si>
    <t>所以趋于正无穷###也趋于0###</t>
  </si>
  <si>
    <t>极限相减，结果为###-(±1)###，必定收敛</t>
  </si>
  <si>
    <t>全微分法直接求微分（不用求偏导）</t>
  </si>
  <si>
    <t>核心：碰到符号就当成自变量，不管它和其它自变量的关系</t>
  </si>
  <si>
    <t>法则：</t>
  </si>
  <si>
    <t>d(f(x))=###f'(x)dx###   dC=###0###   d(x+y)=###dx+dy###</t>
  </si>
  <si>
    <t>d(x*y)=d(f(x,y))=###(df/dx)*dx+(df/dy)*dy###=###y*dx+x*dy###</t>
  </si>
  <si>
    <t>d(f(x,y)*g(x,y))=###g(x,y)*d(f(x,y))+f(x,y)*d(g(x,y))###</t>
  </si>
  <si>
    <t>解题：拿到一个关于z(x,y)的等式F(x,y,z)=0，要求dz|(x0,y0)</t>
  </si>
  <si>
    <t>思路：</t>
  </si>
  <si>
    <t>把###(x0,y0)###代入###F(x,y,z)=0###，求出###z0###</t>
  </si>
  <si>
    <t>两边分别全微分（注意和求偏导不同！），得到全微分方程G(x,y,z)=0</t>
  </si>
  <si>
    <t>把###(x0,y0,z0)###代入###G(x,y,z)=0###，列出###含有dx、dy、dz的函数H(dx,dy,dz)###，满足H=0</t>
  </si>
  <si>
    <t>把###dz###集中到方程H等号一边，用###dx和dy###表示###dz###，这就是在###点(x0,y0,z0)###处z的全微分了</t>
  </si>
  <si>
    <t>积分因子法（直观理解）</t>
  </si>
  <si>
    <t>y'+P(x)*y=Q(x)为非齐次微分方程</t>
  </si>
  <si>
    <t>P(x)为齐次项因子中以x为自变量的函数</t>
  </si>
  <si>
    <t>关键点：积分因子f(x)就是###exp(Int:P(x)dx)###</t>
  </si>
  <si>
    <t>用的时候，原式左右同乘这个因子f(x)</t>
  </si>
  <si>
    <t>左边出现【###y'f(x)+y*f'(x)###】的形式，即【###(f(x)*y)'###】</t>
  </si>
  <si>
    <t>左右同时###积分###，再同时###除积分因子f(x)###</t>
  </si>
  <si>
    <t>会发现左边是###y###，右边正好是###公式法的公式###，即###(Int:Q(x)*f(x)dx+C)/f(x)###</t>
  </si>
  <si>
    <t>微分方程解的结构补充（原版参考20240322）</t>
  </si>
  <si>
    <t>n阶齐次找###n###个###线性无关###的解，把它们###乘上n个系数再相加###得到齐次通解</t>
  </si>
  <si>
    <t>非齐A方程特1-非齐A方程特2=###齐A方程特（没有系数C）###</t>
  </si>
  <si>
    <t>n阶非齐次A有n个特解y1,y2,...,yn</t>
  </si>
  <si>
    <t>如果C1*y1+C2*y2+...+Cn*yn也是非齐次A的解，则###C1+C2+...+Cn=1###</t>
  </si>
  <si>
    <t>如果C1*y1+C2*y2+...+Cn*yn是A对应的齐次解，则###C1+C2+...+Cn=0###</t>
  </si>
  <si>
    <t>极坐标一重积分旋转公式（二重积分公式参考20240308）</t>
  </si>
  <si>
    <t>过原点任意轴：V=###(2*π/3)*Int(α,β):(r(θ)^3)*sin(θ-φ)dθ###，φ为过原点旋转轴与x轴（极轴）的夹角</t>
  </si>
  <si>
    <t>绕x轴：V=###(2*π/3)*Int(α,β):(r(θ)^3)*sin(θ)dθ###，φ=###0###</t>
  </si>
  <si>
    <t>绕y轴：V=###(2*π/3)*Int(α,β):(r(θ)^3)*cos(θ)dθ###，φ=###-pi/2###</t>
  </si>
  <si>
    <t>口诀速记1</t>
  </si>
  <si>
    <t>无###双侧###不极值</t>
  </si>
  <si>
    <t>积分不换元，###上下不换限###</t>
  </si>
  <si>
    <t>积分非初等函数###≠###被积函数不可积</t>
  </si>
  <si>
    <t>常函数的###每个点都###是极值点，因此常函数的极值点有###无穷多###个</t>
  </si>
  <si>
    <t>口诀速记2</t>
  </si>
  <si>
    <t>严格单调函数###必###存在反函数</t>
  </si>
  <si>
    <t>特征值对应基础解系中解的个数=###n-r###，k重特征值至多只有###k个线性无关###的特征向量</t>
  </si>
  <si>
    <t>间断点破坏原函数存在性，无界破坏可积性</t>
  </si>
  <si>
    <t>只有###定###积分能判定可积性</t>
  </si>
  <si>
    <t>口诀速记3</t>
  </si>
  <si>
    <t>可积必###有界###</t>
  </si>
  <si>
    <t>要化标准型或规范型的二次型如果配过方，要试下###是否可逆###，天上不会掉馅饼</t>
  </si>
  <si>
    <t>克拉默法则只能求解###非齐次###的线性方程，因此###特征向量的求取###不可使用克拉默法则</t>
  </si>
  <si>
    <t>累加的积分等于###积分的累加###（Σ:Int:f(x)dx=###Int:Σ:f(x)dx###）</t>
  </si>
  <si>
    <t>口诀速记4</t>
  </si>
  <si>
    <t>整体的积分等于###展开的积分###等于###积分的展开###（f(x)=Σ:g(x),Int:f(x)=###Int:Σ:g(x)dx###=###Σ:Int:g(x)dx###）</t>
  </si>
  <si>
    <t>连续###未必###可导，可导###一定###连续</t>
  </si>
  <si>
    <t>点和邻域没有关系，极限和连续都是n-1阶才一定有的东西</t>
  </si>
  <si>
    <t>mij不一定是矩阵第i行第j列，也可能是倒过来的，要注意题目条件</t>
  </si>
  <si>
    <t>答疑整理1</t>
  </si>
  <si>
    <t>积分因子推出一阶非齐次方程的公式只需要###括号内部###加C，所有不定积分计算可以###不留C###</t>
  </si>
  <si>
    <t>k阶顺序主子式：即###前k行k列元素###构成方阵的行列式</t>
  </si>
  <si>
    <t>无界与是否存在极限没有必然联系</t>
  </si>
  <si>
    <t>三角函数趋无穷时###极限不存在###，但它是###有界###函数，即###有界极限不一定存在###</t>
  </si>
  <si>
    <t>反比例函数趋于无穷时###极限趋于0存在###，但它是###无界###函数，即###极限存在不一定有界###</t>
  </si>
  <si>
    <t>瑕积分可以用比较审敛，但是要确保###瑕点相同###</t>
  </si>
  <si>
    <t>答疑整理2</t>
  </si>
  <si>
    <t>实对称阵相似对角化为什么需要对特征向量做单位正交化</t>
  </si>
  <si>
    <t>实对称阵的性质：均可###相似对角化###（即###除了对角元是特征值外其它位置都是0###）</t>
  </si>
  <si>
    <t>实对称阵在相似对角化中所用的Q都是###正交矩阵###</t>
  </si>
  <si>
    <t>即Q'=###Q^T###，且列向量（###特征向量###）互相###正交###、长度为###1###（正交阵定义）</t>
  </si>
  <si>
    <t>左右导数是不是导数的左右极限</t>
  </si>
  <si>
    <t>左右导数是###导数定义的极限形式###将趋向点###改为单侧趋近后###的结果</t>
  </si>
  <si>
    <t>导数的左右极限是对###导数的函数式###求###单点的左右极限###的结果</t>
  </si>
  <si>
    <t>隐函数求导求出y'可以包含y</t>
  </si>
  <si>
    <t>真题求极限时自变量用n意味着n是###自然数###，趋于无穷等于###趋于正无穷###</t>
  </si>
  <si>
    <t>答疑整理3</t>
  </si>
  <si>
    <t>第二类间断点除了无穷和震荡间断点还有其它分类吗</t>
  </si>
  <si>
    <t>只要一边无穷，不管另一边是不是无穷（甚至可能是震荡），这个都是###无穷间断点###</t>
  </si>
  <si>
    <t>有哪些函数和对应点的左右极限不同</t>
  </si>
  <si>
    <t>比如本来这里是一个连续函数，抠掉这一点的取值，强制给它赋值一个其它值（类似分段函数）</t>
  </si>
  <si>
    <t>可积性的定义是###定积分的极限形式###存在极限</t>
  </si>
  <si>
    <t>变限积分可导性定理（参考20240423第17行）</t>
  </si>
  <si>
    <t>答疑整理4</t>
  </si>
  <si>
    <t>n-&gt;∞时数列{xn}-&gt;0则称这个数列是无穷小量</t>
  </si>
  <si>
    <t>绝对值之积等于###积的绝对值###</t>
  </si>
  <si>
    <t>数列Xn具有有界性的含义：###min&lt;=Xn&lt;=max###</t>
  </si>
  <si>
    <t>分奇偶数类讨论：奇数类的情况+偶数类的情况=###全体整数类的情况###</t>
  </si>
  <si>
    <t>答疑整理5</t>
  </si>
  <si>
    <t>第一数学归纳法</t>
  </si>
  <si>
    <t>归纳奠基：证明###当n=1###时命题成立；</t>
  </si>
  <si>
    <t>归纳假设：假设###当n=k###时命题成立；</t>
  </si>
  <si>
    <t>归纳递推：由归纳假设推出###当n=k+1###时命题也成立．</t>
  </si>
  <si>
    <t>求极限及时把整体的非零因子提出</t>
  </si>
  <si>
    <t>数列的单调有界证极限存在使用先斩后奏时记得###把代数方程求出的A回代###验证###单调性###</t>
  </si>
  <si>
    <t>陷阱反例：Xn+1=sin(Xn)（###递推式出现周期函数###可能会破坏单调性）</t>
  </si>
  <si>
    <t>可去间断点不会产生垂直渐近线</t>
  </si>
  <si>
    <t>答疑整理6</t>
  </si>
  <si>
    <t>什么是单调？什么是有界？</t>
  </si>
  <si>
    <t>单调性：</t>
  </si>
  <si>
    <t>∀x1，x2∈D且x1&gt;x2，都有###f(x1)&gt;f(x2)###（单调增加）</t>
  </si>
  <si>
    <t>∀x1，x2∈D且x1&gt;x2，都有###f(x1)&lt;f(x2)###（单调减少）</t>
  </si>
  <si>
    <t>有界性：</t>
  </si>
  <si>
    <t>若存在两个常数m和M，使函数y=f(x),x∈D 满足###m≤f(x)≤M###,x∈D</t>
  </si>
  <si>
    <t>则称函数y=f(x)在D有界，其中###m###是它的下界，###M###是它的上界</t>
  </si>
  <si>
    <t>U上面一个o是指###去心邻域###</t>
  </si>
  <si>
    <t>f(x) o g(x)是指###函数f和函数g构成的复合函数f(g(x))###，f o g###≠###g o f（等于或不等于）</t>
  </si>
  <si>
    <t>对角矩阵的对角矩阵可以是零矩阵</t>
  </si>
  <si>
    <t>答疑整理7</t>
  </si>
  <si>
    <t>A伴=###|A|*A逆###</t>
  </si>
  <si>
    <t>(k*A)逆=###A逆/k###</t>
  </si>
  <si>
    <t>(k*A)伴=|k*A|*(k*A)逆=</t>
  </si>
  <si>
    <t>|k*A|*A逆/k=###(k^n)*|A|*A逆/k###=###(k^(n-1))*|A|*A逆###=(k^(n-1))*A伴</t>
  </si>
  <si>
    <t>(k*A)伴=###(k^(n-1))*A伴###</t>
  </si>
  <si>
    <t>函数嵌套###可以###用等价无穷小，###不能###用非零因子代入</t>
  </si>
  <si>
    <t>错题总结20221120</t>
  </si>
  <si>
    <t>相减得到被减数的低阶无穷小↔###减数和被减数等价###</t>
  </si>
  <si>
    <t>平方后等价不意味着原式等价，比如###-x和x不等价，只能说是同阶###（举例）</t>
  </si>
  <si>
    <t>导数存在只能推出###点连续###，而连续则可推出邻域内与点同号（连续→###极限存在###→###保号性###）</t>
  </si>
  <si>
    <t>矩阵关系：</t>
  </si>
  <si>
    <t>B=PAQ，即AB###等价###，###秩###相同</t>
  </si>
  <si>
    <t>B=P'AP，即AB###相似###，###特征值和秩###相同</t>
  </si>
  <si>
    <t>B=PtAP，即AB###合同###，###惯性指数和秩###相同</t>
  </si>
  <si>
    <t>###等价###包含###相似、合同###，###相似###不一定###合同###，###合同###不一定###相似###</t>
  </si>
  <si>
    <t>###A、B都是实对称阵###的前提下，相似必合同，反之不一定</t>
  </si>
  <si>
    <t>f'(x0)连续说明f(x)在x0点的###单调性###可以扩展到x0点的邻域</t>
  </si>
  <si>
    <t>f''(x0)连续说明f(x)在x0点的###凹凸性###可以扩展到x0点的邻域</t>
  </si>
  <si>
    <t>线性方程组解的情况判定：</t>
  </si>
  <si>
    <t>①：系数阵行列式非0→###有唯一解（齐次只有零解）###</t>
  </si>
  <si>
    <t>②：系数阵行列式为0→###可能有无穷多或无解###</t>
  </si>
  <si>
    <t>③：系数阵行列式为0，系数阵阶梯型全0行对应增广列元素非0→###无解###</t>
  </si>
  <si>
    <t>④：系数阵行列式为0，系数阵阶梯型全0行对应增广列元素均0→###多解###</t>
  </si>
  <si>
    <t>错题总结20221119</t>
  </si>
  <si>
    <t>二重积分转极坐标时θ角的积分范围：（无需作答）### ###</t>
  </si>
  <si>
    <t>①：要检查隐含在区域边界方程的条件</t>
  </si>
  <si>
    <t>②：边界方程左右侧是否具有不等式关系</t>
  </si>
  <si>
    <t>错题总结20221118</t>
  </si>
  <si>
    <t>累次极限和重极限的关系</t>
  </si>
  <si>
    <t>若一种顺序的累次极限与重极限都存在，二者###必相等###</t>
  </si>
  <si>
    <t>若两种顺序的累次极限与重极限都存在，三者###必相等###</t>
  </si>
  <si>
    <t>若两种顺序的累次极限存在但不等时，重极限###一定不###存在</t>
  </si>
  <si>
    <t>若两种顺序的累次极限存在且相等时，重极限###不一定###存在</t>
  </si>
  <si>
    <t>若重极限存在，累次极限###不一定###存在</t>
  </si>
  <si>
    <t>代数余子式A12不为0，直接得出列向量134无关</t>
  </si>
  <si>
    <t>第一行第二列挖掉剩下3列组成行列式</t>
  </si>
  <si>
    <t>行列式不为0，行列式列向量###线性无关###</t>
  </si>
  <si>
    <t>3个3维列向量无关，分别增加一个维度###依然无关###</t>
  </si>
  <si>
    <t>合同矩阵的性质</t>
  </si>
  <si>
    <t>反身性：任意矩阵都与###其自身###合同。</t>
  </si>
  <si>
    <t>对称性：如果矩阵A合同于矩阵B，则###矩阵B也合同于矩阵A###。</t>
  </si>
  <si>
    <t>传递性：如果矩阵A合同于矩阵B，且矩阵B合同于矩阵C，则###矩阵A合同于矩阵C###。</t>
  </si>
  <si>
    <t>合同矩阵的秩相等：如果矩阵A合同于矩阵B，则它们的###秩###相等，即###r(A)=r(B)###。这是因为两个合同的矩阵具有相同的###行空间###和###列空间###。</t>
  </si>
  <si>
    <t>合同矩阵的惯性相等：如果矩阵A合同于矩阵B，则它们的惯性指数相等，即###正特征值###的个数、###零特征值###的个数以及###负特征值###的个数都相同。</t>
  </si>
  <si>
    <t>实对称矩阵的特性：###实对称###矩阵总能通过合同变换对角化，且在变换过程中保持其###对称###性。</t>
  </si>
  <si>
    <t>可相似对角化的条件</t>
  </si>
  <si>
    <t>直接：###n个无关特征向量###</t>
  </si>
  <si>
    <t>利用：不同特征值对应的特征向量###必无关###</t>
  </si>
  <si>
    <t>策略：###找到n个不同的特征值###</t>
  </si>
  <si>
    <t>如果分块后不含0矩阵则不用分块矩阵计算</t>
  </si>
  <si>
    <t>错题总结20221117</t>
  </si>
  <si>
    <t>伴随矩阵与原矩阵的秩的关系</t>
  </si>
  <si>
    <t>①：A满秩，A*###满秩###</t>
  </si>
  <si>
    <t>②：A秩=n-1，A*秩=###1###</t>
  </si>
  <si>
    <t>③：A秩&lt;n-1，A*秩=###0###</t>
  </si>
  <si>
    <t>矩阵多项式与矩阵特征值的多项式的关系</t>
  </si>
  <si>
    <t>矩阵|特征值|特征向量</t>
  </si>
  <si>
    <t>A|λ|x</t>
  </si>
  <si>
    <t>A+kE|###λ+k###|###x###</t>
  </si>
  <si>
    <t>A逆|###1/λ###|###x###</t>
  </si>
  <si>
    <t>A伴|###|A|/λ###|###x###</t>
  </si>
  <si>
    <t>A^n|###λ^n###|###x###</t>
  </si>
  <si>
    <t>P逆AP|###λ###|###P逆*x###</t>
  </si>
  <si>
    <t>向量组等价=组的###秩###相等且合并后组的###秩###不变</t>
  </si>
  <si>
    <t>求相似矩阵的变换阵P使得P'AP=B：</t>
  </si>
  <si>
    <t>①：先求出P1使得P1'AP1=C（C为###只有对角元为A、B特征值其余为0###的矩阵）</t>
  </si>
  <si>
    <t>②：P1列向量为###A对应几个λi###的特征向量（即系数阵为###A-λiE###的齐次方程的###解向量###）</t>
  </si>
  <si>
    <t>③：再求出P2使得P2'BP2=C（C为###只有对角元为A、B特征值其余为0###的矩阵）</t>
  </si>
  <si>
    <t>④：P2列向量为###B对应几个λi###的特征向量（即系数阵为###B-λiE###的齐次方程的###解向量###）</t>
  </si>
  <si>
    <t>⑤：由于AB相似所以P1'AP1=P2'BP2=C→###P2P1'AP1P2'###=B=P'AP→###P2P1'###=P</t>
  </si>
  <si>
    <t>错题总结20220303</t>
  </si>
  <si>
    <t>如果某函数可导或连续，计算时要尽可能将部分表示式化成其函数值或导数定义的结构（无需作答）### ###</t>
  </si>
  <si>
    <t>错题总结20220217</t>
  </si>
  <si>
    <t>两个无极限函数相加可能会得到有极限函数，反过来不能随意分拆函数（无需作答）### ###</t>
  </si>
  <si>
    <t>错题总结20220207</t>
  </si>
  <si>
    <t>数列极限un-&gt;a，则|un|-&gt;###|a|###</t>
  </si>
  <si>
    <t>水平渐近线和斜渐近线趋一侧无穷时极限存在时###存在一条渐近线###，如果趋两侧无穷极限不同，则###有2条渐近线###</t>
  </si>
  <si>
    <t>如果一侧有斜渐近线就###没有水平渐近线###，有水平渐近线就###没有斜渐近线###</t>
  </si>
  <si>
    <t>求n阶导一般方法参考20240413第15行，如果是求定点的n=k阶导，还有一种做法</t>
  </si>
  <si>
    <t>保留难###求导###且容易###复现###的表达式的###求导符号###，不做###展开变形###，等全部列出后###用复现部分对消###</t>
  </si>
  <si>
    <t>全部列出后，观察因式是否会###在定点处为0###</t>
  </si>
  <si>
    <t>如果会，被因式乘上的待求导表达式###不用计算直接当0###</t>
  </si>
  <si>
    <t>如果不会，则需要对带求导表达式做展开计算</t>
  </si>
  <si>
    <t>积分求解的积木法</t>
  </si>
  <si>
    <t>寻找积木</t>
  </si>
  <si>
    <t>###分母###（最直接）</t>
  </si>
  <si>
    <t>###分母的导数###（凑微分）</t>
  </si>
  <si>
    <t>###分母部分表达式的导数###（凑微分不完全版）</t>
  </si>
  <si>
    <t>###分母因式###（因式分解）</t>
  </si>
  <si>
    <t>###分母因式乘某个表达式###（因式分解拓展版）</t>
  </si>
  <si>
    <t>总结：都###和分母有关系###</t>
  </si>
  <si>
    <t>把###分子###转化成###积木的线性组合###</t>
  </si>
  <si>
    <t>分拆###被积函数###成###多个简化分式###求积分</t>
  </si>
  <si>
    <t>当f(x)&gt;g(x)恒成立时</t>
  </si>
  <si>
    <t>如果Lim(x-&gt;x0):g(x)=+∞，那么Lim(x-&gt;x0):f(x)###必定等于+∞###</t>
  </si>
  <si>
    <t>如果Lim(x-&gt;x0):g(x)=-∞，那么Lim(x-&gt;x0):f(x)###可能存在，也可能不存在极限###（即###任意的可能性###）</t>
  </si>
  <si>
    <t>非区间边界的函数最值###一定###是极值，但极值###未必###是最值（除非是###凸函数###）</t>
  </si>
  <si>
    <t>中值定理证明题</t>
  </si>
  <si>
    <t>分析结论，若是与一个中值有关，考虑用###零点###或###罗尔###定理</t>
  </si>
  <si>
    <t>再看结论中与中值有关的等式，若含中值的表达式中有求导，则考虑使用###罗尔###定理</t>
  </si>
  <si>
    <t>否则使用###零点###定理</t>
  </si>
  <si>
    <t>要证明二阶导存在零点，有三个方向</t>
  </si>
  <si>
    <t>确定三个点的###函数值###相等</t>
  </si>
  <si>
    <t>确定两个点的###函数值###相等，再有一个点的###一阶导###为0</t>
  </si>
  <si>
    <t>确定两个点的###一阶导###相等</t>
  </si>
  <si>
    <t>基于微分学的不等式证明</t>
  </si>
  <si>
    <t>利用单调性</t>
  </si>
  <si>
    <t>处理不等式，移项目到一边构造f(x)，变成证明###f(x)的符号正负性###</t>
  </si>
  <si>
    <t>判断f(x)的###单调性###</t>
  </si>
  <si>
    <t>利用f(x)的###单调性###和已知条件形成不等式</t>
  </si>
  <si>
    <t>利用凹凸性</t>
  </si>
  <si>
    <t>如果不等式具有f(###(x1+x2)/2###)大等于或小等于###(f(x1)+f(x2))/2###的结构</t>
  </si>
  <si>
    <t>可利用f在[x1,x2]上的凹凸性完成证明</t>
  </si>
  <si>
    <t>如果不等式涉及曲线、切线、两点的弦（连线）值，可以利用凹凸的几何性</t>
  </si>
  <si>
    <t>f为凹：###两点弦值&gt;曲线值&gt;切线值###（大小关系）</t>
  </si>
  <si>
    <t>f为凸：###两点弦值&lt;曲线值&lt;切线值###（大小关系）</t>
  </si>
  <si>
    <t>如果函数在一个区间上为凸/凹</t>
  </si>
  <si>
    <t>用直线连接区间的两个端点</t>
  </si>
  <si>
    <t>这个函数在该区间的取值都###在这条直线上/下###</t>
  </si>
  <si>
    <t>即：f(x)###&gt;=/&lt;=((x-a)*(f(b)-f(a))/(b-a))+f(a)###</t>
  </si>
  <si>
    <t>推广到端点取值相等：f(x)###&gt;=/&lt;=f(a)=f(b)###</t>
  </si>
  <si>
    <t>利用拉格朗日中值定理：不等式中出现"###&lt;f(b)-f(a)&lt;###"（信号）</t>
  </si>
  <si>
    <t>利用最值</t>
  </si>
  <si>
    <t>抓大小头：趋0时抓###小###头，趋∞抓###大###头</t>
  </si>
  <si>
    <t>三角函数一拱的面积是###1###，每个周期有###4###拱</t>
  </si>
  <si>
    <t>在(0,π/2)上，sin(x)###&lt;###x</t>
  </si>
  <si>
    <t>数列极限存在性证明（单调有界证明）</t>
  </si>
  <si>
    <t>如果题目没给，要自己求出###数列的递推关系式###</t>
  </si>
  <si>
    <t>先斩后奏，知道###当n趋无穷时的an极限###大概是多少</t>
  </si>
  <si>
    <t>证明数列an有界（数学归纳法）</t>
  </si>
  <si>
    <t>证明###a1满足界###</t>
  </si>
  <si>
    <t>假设###ak满足界###</t>
  </si>
  <si>
    <t>推###ak+1满足界###</t>
  </si>
  <si>
    <t>用###an+1-an?0###或###an+1/an?1###证明单调性</t>
  </si>
  <si>
    <t>即###f(an)?0###，把有界性的结论即###an的范围###代入f推出</t>
  </si>
  <si>
    <t>不需要求出通项即可证明！</t>
  </si>
  <si>
    <t>极限比较审敛法扩展（基本参考20240422）</t>
  </si>
  <si>
    <t>Lim(x-&gt;a):f(x)/g(x)=c</t>
  </si>
  <si>
    <t>c=0时，g(x)###收敛###，则f(x)###收敛###</t>
  </si>
  <si>
    <t>c=∞时，g(x)###发散###，则f(x)###发散###</t>
  </si>
  <si>
    <t>反常积分的周期均值定理</t>
  </si>
  <si>
    <t>f(t)是存在最小正周期T的广义可积周期函数</t>
  </si>
  <si>
    <t>反常积分均值=###Lim(x-&gt;∞):Int(0,x):f(t)dt/x###=###Int(0,T):f(t)dt/T###</t>
  </si>
  <si>
    <t>求取整函数的极限</t>
  </si>
  <si>
    <t>多用###夹逼###，即利用[x]和x的大小关系</t>
  </si>
  <si>
    <t>###[x]&lt;=x&lt;[x]+1###（取整夹）</t>
  </si>
  <si>
    <t>###x-1&lt;[x]&lt;=x###（夹取整）</t>
  </si>
  <si>
    <t>常见函数的泰勒展开通项系数（必须得背了！）</t>
  </si>
  <si>
    <t>1/(1-x)=Σ###1###*x^n（n从0开始，下同）</t>
  </si>
  <si>
    <t>exp(x)=Σ###1/n!###*x^n</t>
  </si>
  <si>
    <t>ln(x+1)=Σ###((-1)^n)/(n+1)###*x^(n+1)（常数项为0）</t>
  </si>
  <si>
    <t>sin(x)=Σ###((-1)^(n))/(2n+1)!###*x^(2n+1)（奇函数）</t>
  </si>
  <si>
    <t>cos(x)=Σ###((-1)^(n))/(2n)!###*x^(2n)（偶函数）</t>
  </si>
  <si>
    <t>tan(x)=###1###*x+###1/3###*x^2+###2/15###*x^3+o(x^3)（只要记到三次）</t>
  </si>
  <si>
    <t>arctan(x)=Σ###((-1)^(n))/(2n+1)###*x^(2n+1)（奇函数）</t>
  </si>
  <si>
    <t>洛后震荡但本身极限存在的反例</t>
  </si>
  <si>
    <t>洛必达后振荡：分子分母导数抵消后出现###未被无穷小吸收的有界振荡###</t>
  </si>
  <si>
    <t>本身极限存在：分子分母抵消后不会出现###未被无穷小吸收的有界振荡###</t>
  </si>
  <si>
    <t>举例验证条件：x趋0时的(x^2)*sin(1/x)/x</t>
  </si>
  <si>
    <t>满足第一条件：分别对分子分母求导，分母为###1###，分子为###2*x*sin(1/x)-cos(1/x)###</t>
  </si>
  <si>
    <t>分子分母抵消等于###分子###，其中###2*x*sin(1/x)的震荡被x吸收，-cos(1/x)未被吸收###，造成有界振荡（满足第一条件）</t>
  </si>
  <si>
    <t>满足第二条件：(x^2)*sin(1/x)/x（抵消前）=###x*sin(1/x)###（抵消后）</t>
  </si>
  <si>
    <t>x趋0时###sin(1/x)造成的有界振荡被x吸收###（满足第二条件）</t>
  </si>
  <si>
    <t>二阶导定义的极限形式里一阶导不能直接把它定义的极限形式放在里面（无需作答）### ###</t>
  </si>
  <si>
    <t>灌肠式洛必达（计算题可以直接洛的原因，类似还有极限的加减）</t>
  </si>
  <si>
    <t>已知洛后极限必存在，那么###等号###必然成立</t>
  </si>
  <si>
    <t>可以用###已知原极限的值###推出###洛必达后极限的值###</t>
  </si>
  <si>
    <t>(x+1)^a（其它函数看20240511）的泰勒展开通项系数：###1###+Σ###a*(a-1)*..*(a-n+1)/n!###*x^n（n从1开始，注意不是从0开始）</t>
  </si>
  <si>
    <t>sin(n*π+a)=###((-1)^n)###*sin(a)</t>
  </si>
  <si>
    <t>二次型标准化基本原理</t>
  </si>
  <si>
    <t>二次型X是关于变量x的二次多项式的系数矩阵，###xTXx###可表示二次多项式</t>
  </si>
  <si>
    <t>每一个二次型都可以通过满足###Px=y###的可逆坐标变换P得到一个纯二次项的二次型，即二次标准型</t>
  </si>
  <si>
    <t>二次标准型Y是由x坐标变换到y后的二次多项式，###yTYy###可表示坐标变换后的二次多项式</t>
  </si>
  <si>
    <t>因此可以列写公式###yTYy=(Px)TYPx=xTPTYPx=xTXx###，即二次型X和标准型Y具有关系###PTYP=X###</t>
  </si>
  <si>
    <t>二次型配方法的同步变换变种</t>
  </si>
  <si>
    <t>先写出二次型X，在下面写一个###同阶单位阵###</t>
  </si>
  <si>
    <t>对二次型进行变换，变换的目的是###把除主对角线外的其它元素都化成0###，即变成Y</t>
  </si>
  <si>
    <t>###列###（行/列）做什么变换，###行###（行/列）就做什么变换（先后），先###列###（行/列）后###行###（行/列）</t>
  </si>
  <si>
    <t>二次型做什么###列###（行/列）变换，###下方单位阵###就做什么###列###（行/列）变换（同时），注意，不做###行###（行/列）变换</t>
  </si>
  <si>
    <t>最后###下方单位阵###变换的结果就是###PTYP=X的PT（P为正交变换时PT也是P逆）###</t>
  </si>
  <si>
    <t>和传统配方法的区别：</t>
  </si>
  <si>
    <t>正常配方法：按序分别给x1,x2,..,xn配平方，配方阵即Px=y的P</t>
  </si>
  <si>
    <t>正常配方法求完P，为了用y表示x还需要求P逆使得x=P逆y，在P是正交变换的情况下，即求PT</t>
  </si>
  <si>
    <t>而同步变换###[PX|E]PT=[Y|PT]###（同步变换的运算原理式）直接求###PT###，少了###求逆###</t>
  </si>
  <si>
    <t>A左乘B即###A作为左侧乘上B###（A作为左侧乘上B/A在其左边乘上B），右乘同理</t>
  </si>
  <si>
    <t>变换矩阵左乘A对应对A进行###行变换###，变换矩阵右乘对应对A进行###列变换###</t>
  </si>
  <si>
    <t>二重积分对称性</t>
  </si>
  <si>
    <t>如果积分区域D沿y=x对称，则Int2D(D):f(x,y)dxdy=###Int2D(D):f(y,x)dxdy###=###(Int2D(D):f(y,x)+f(x,y)dxdy)###/2</t>
  </si>
  <si>
    <t>如果还满足###f(x,y)=f(y,x)###，那么Int2D(D):f(x,y)dxdy=###2*Int2D(D2):f(x,y)dxdy###，其中D2是沿y=x对称的D的一半区域</t>
  </si>
  <si>
    <t>区域对称与奇偶性</t>
  </si>
  <si>
    <t>区域沿y轴对称看f(x,y)对###x###是否具有奇偶性，奇函数###抵消###，偶函数###双倍###</t>
  </si>
  <si>
    <t>区域沿x轴对称看f(x,y)对###y###是否具有奇偶性，奇函数###抵消###，偶函数###双倍###</t>
  </si>
  <si>
    <t>区域沿原点对称看f(x,y)对###xy###是否具有奇偶性，奇函数###抵消###，偶函数###双倍###</t>
  </si>
  <si>
    <t>原点对称：(x0,y0)和(-x0,-y0)</t>
  </si>
  <si>
    <t>线A、B、C围成的面积指的是###图像中仅剩下A、B、C存在###时###所有出现的封闭形状###的面积</t>
  </si>
  <si>
    <t>如果此时对A、B、C中任意一线存在不与其它线相交的封闭形状D</t>
  </si>
  <si>
    <t>这个D###也###（不/也）算在围成的面积中</t>
  </si>
  <si>
    <t>无限个非零因子不能直接代入！（无需作答）### ###</t>
  </si>
  <si>
    <t>x换元f(x)从而衍生的泰勒展开要注意x前面系数有无，当多出系数时要做提公因处理（无需作答）### ###</t>
  </si>
  <si>
    <t>常见不可导的几种类型</t>
  </si>
  <si>
    <t>间断点：可导一定连续，不连续###一定###不可导</t>
  </si>
  <si>
    <t>绝对值：左右导数均存在但不同，比如###|x|###</t>
  </si>
  <si>
    <t>垂切线：导数趋无穷大的，比如###ln(x)###</t>
  </si>
  <si>
    <t>极限保号性：Lim(x-&gt;a):f(x)=A</t>
  </si>
  <si>
    <t>若A&gt;0，则f(x)###在x=a的去心邻域内恒正###</t>
  </si>
  <si>
    <t>若A&lt;0，则f(x)###在x=a的去心邻域内恒负###</t>
  </si>
  <si>
    <t>适当利用保号性可去掉绝对值号</t>
  </si>
  <si>
    <t>信号：看到有极限大于或小于0</t>
  </si>
  <si>
    <t>可用于已知单调或凹凸的函数判断函数符号</t>
  </si>
  <si>
    <t>cos不能大于1，所以有一些含cos的极限可能只有单侧存在极限（无需作答）### ###</t>
  </si>
  <si>
    <t>三类求取抽象函数的套路题</t>
  </si>
  <si>
    <t>g(x)等于具体函数，g(f(x))等于另一具体函数</t>
  </si>
  <si>
    <t>换元###h(t)=x###使得###f(x)=t###，即g(t)=###g(f(x))###得到###关于t###的具体函数</t>
  </si>
  <si>
    <t>f'(x)等于具体函数（可能包含f(x)本身）</t>
  </si>
  <si>
    <t>具体函数不含f(x)采用###直接积分###求解，含f(x)的话列###微分方程###求解</t>
  </si>
  <si>
    <t>可以用###导数定义或求导公式###转化f(x)得到f'(x)对应的具体函数</t>
  </si>
  <si>
    <t>n阶可导函数如果在某点一直到第k阶导数才不为0，且k为###偶数###（奇数/偶数），那么该点为函数的极值点</t>
  </si>
  <si>
    <t>不可导连续函数用定义法确定是否为极值时可以利用###极限的保号性###</t>
  </si>
  <si>
    <t>题目给出一个x趋x0时包含连续函数f(x)的具体极限，可能等于某个数值A</t>
  </si>
  <si>
    <t>先求出f(x)的极限B，根据###连续性###得到###f(x0)=B###</t>
  </si>
  <si>
    <t>再求出f(x)在x0去心邻域具有的数值范围</t>
  </si>
  <si>
    <t>根据###保号性###，这个包含f(x)的极限表达式就和###0###具有与###A###相同的大小关系</t>
  </si>
  <si>
    <t>通过不等式变形得到f(x)和某一具体值C的关系式</t>
  </si>
  <si>
    <t>通过B和C的大小关系推出f(x)和f(x0)的大小关系</t>
  </si>
  <si>
    <t>如果f(x)&gt;C</t>
  </si>
  <si>
    <t>f(x0)=B&gt;C，f(x)###可能小于f(x0)，也可能大于f(x0)###，x0###不一定###为f(x)极### ###值点</t>
  </si>
  <si>
    <t>f(x0)=B&lt;C，f(x)###必大于f(x0)###，x0###一定###为f(x)的极###小###值点</t>
  </si>
  <si>
    <t>如果f(x)&lt;C</t>
  </si>
  <si>
    <t>f(x0)=B&lt;C，f(x)###可能小于f(x0)，也可能大于f(x0)###，x0###不一定###为f(x)极### ###值点</t>
  </si>
  <si>
    <t>f(x0)=B&gt;C，f(x)###必小于f(x0)###，x0###一定###为f(x)的极###大###值点</t>
  </si>
  <si>
    <t>一阶不可导但是是拐点和极值点的例子：鲨鱼鳍形的函数（无需作答）### ###</t>
  </si>
  <si>
    <t>但是可导函数不能同时为拐点和极值点（无需作答）### ###</t>
  </si>
  <si>
    <t>曲率半径是曲率的倒数，曲线的曲率半径就是曲率圆的半径，因此曲率就是曲率圆的半径的倒数（无需作答）### ###</t>
  </si>
  <si>
    <t>f(x)连续，则Int(0,π):x*f(sin(x))dx=###(π/2)*Int(0,π):f(sin(x))dx###</t>
  </si>
  <si>
    <t>Int(0,π):x*f(sin(x))dx=###Int(0,π):(π-x)*f(sin(π-x))dx###（区间再现）</t>
  </si>
  <si>
    <t>=###Int(0,π):π*f(sin(x))dx###-###Int(0,π):x*f(sin(x))dx###</t>
  </si>
  <si>
    <t>=###(π/2)*Int(0,π):f(sin(x))dx###（A=B-A，则###A=B/2###）</t>
  </si>
  <si>
    <t>如果矩阵A存在非零的齐次解，即|A|=0</t>
  </si>
  <si>
    <t>因为A*A=|A|*E，则A*A=0*E=A*[ac1,ac2,ac3]=M0（零矩阵），其中ac1、ac2、ac3是矩阵A第一、第二、第三列的列向量</t>
  </si>
  <si>
    <t>则A*ac1=A*ac2=A*ac3=V0（零向量），即A的列向量是其伴随矩阵A*的齐次解，即Ax=0的x（无需作答）### ###</t>
  </si>
  <si>
    <t>当满足下列三个条件时，极限中的Int(0,φ(x)):f1(t)dt可以等价为Int(0,φ(x)):f2(t)dt</t>
  </si>
  <si>
    <t>1.被积函数f1(x)、f2(x)在###点x=0的某邻域###上###连续###</t>
  </si>
  <si>
    <t>2.###Lim(x-&gt;0):f1(x)/f2(x)=1###（等价无穷小定义）</t>
  </si>
  <si>
    <t>3.积分上限φ(x)在x趋于0时###趋于0###，存在令φ(x)###处处可导###的###x=0的去心邻域###，且φ'(x)在该区域内###不等于0###</t>
  </si>
  <si>
    <t>已知含f(x)等式和f(x)的第n阶导正负性，证明x=x0时f(x)满足某不等式</t>
  </si>
  <si>
    <t>先在###x0点###对f(x)做###泰勒展开###，直到###拉格朗日余项为n阶###</t>
  </si>
  <si>
    <t>由于###拉格朗日余项###的因式除###f(x)的第n阶导###外均正，###拉格朗日余项###的正负性###由第n阶导决定###</t>
  </si>
  <si>
    <t>f(x)和###展开式去掉n阶拉格朗日余项的部分###存在大小关系，构成不等式</t>
  </si>
  <si>
    <t>不等式左右同时变换，以###左侧还原为题设含f(x)等式###为目标</t>
  </si>
  <si>
    <t>把###题设含f(x)等式###替换不等式左侧</t>
  </si>
  <si>
    <t>整理、分离###不等式右侧的f(x0)###，即证明x=x0时f(x)满足某不等式</t>
  </si>
  <si>
    <t>方向导数的极限定义形式</t>
  </si>
  <si>
    <t>设函数 f(x, y) 在点 P(x0, y0) 的某个邻域内有定义</t>
  </si>
  <si>
    <t>且点 P 沿着方向向量 v = (a, b) 可微</t>
  </si>
  <si>
    <t>存在一个数 L，使得当 t 趋近于 0 时，下面的极限存在：</t>
  </si>
  <si>
    <t>lim(t→0):###[f(x0+at,y0+bt)-f(x0,y0)]/t###=L</t>
  </si>
  <si>
    <t>当出现很复杂的抽象矩阵运算表达式，可以用字母替换法（同构运算）快速化简</t>
  </si>
  <si>
    <t>矩阵加减就是字母加减，与代数加减一致</t>
  </si>
  <si>
    <t>矩阵相乘就是字母相乘，但不满足###交换律###</t>
  </si>
  <si>
    <t>矩阵求逆就是求字母表达式对应的###倒数###</t>
  </si>
  <si>
    <t>遇到伴随矩阵可以化成###矩阵的逆除以矩阵的行列式###</t>
  </si>
  <si>
    <t>积分的绝对值小于等于绝对值的积分（无需作答）### ###</t>
  </si>
  <si>
    <t>因为绝对值会使负的变成正的，这样只会累积不会减小</t>
  </si>
  <si>
    <t>旋转体侧面积公式：S=###2π*Int(xa,xb):f(x)**sqrt(f'(x)²+1)dx###</t>
  </si>
  <si>
    <t>曲线f(x)从xa到xb之间的曲线绕x轴旋转一周形成的旋转体的侧面积</t>
  </si>
  <si>
    <t>注意：如果和x轴不相交就只是侧面面积！</t>
  </si>
  <si>
    <t>巧记：被积函数为###f(x)弧长公式的被积函数乘上f(x)自身###，积分后再乘2π</t>
  </si>
  <si>
    <t>质心(xcom,ycom)公式：</t>
  </si>
  <si>
    <t>xcom=###Int2D(D):x*ρ(x,y)dxdy/Int2D(D):ρ(x,y)dxdy###</t>
  </si>
  <si>
    <t>ycom=###Int2D(D):y*ρ(x,y)dxdy/Int2D(D):ρ(x,y)dxdy###</t>
  </si>
  <si>
    <t>D为有质量的封闭区域，ρ为该区域的密度分部</t>
  </si>
  <si>
    <t>当密度均匀时ρ=1，公式退化为：</t>
  </si>
  <si>
    <t>xcom=###Int2D(D):xdxdy/Int2D(D):1dxdy###</t>
  </si>
  <si>
    <t>ycom=###Int2D(D):ydxdy/Int2D(D):1dxdy###</t>
  </si>
  <si>
    <t>信号：积分题目看到出现ln(x+sqrt(x²+a²)</t>
  </si>
  <si>
    <t>对x###换元x=-t###，再用“自相抵消法”得到###2*ln(a)###</t>
  </si>
  <si>
    <t>自相抵消法：</t>
  </si>
  <si>
    <t>经典例子：三角函数乘指数函数的积分</t>
  </si>
  <si>
    <t>由于分部积分无论对哪个求导都###不会简化式子###，而且会重复###变形出原式###</t>
  </si>
  <si>
    <t>因此在###原式重复出现###后，需把###原式都移到同侧###再求解</t>
  </si>
  <si>
    <t>推广规律：积分A变形过程中出现积分A的另一形式B，A可以用###(A+B)/2###求解</t>
  </si>
  <si>
    <t>连续函数的极限存在，那么将x替换成n*T得到的数列也收敛，反之不成立（无需作答）### ###</t>
  </si>
  <si>
    <t>斜渐近线代替原函数：当x满足斜渐近线的渐进方向（±∞）时</t>
  </si>
  <si>
    <t>趋于∞时，原函数和斜渐近线函数是###等价无穷大###，二者相差###一个等价无穷小###</t>
  </si>
  <si>
    <t>因此在趋于无穷时，f(x)/x等价于###g(x)/x###即渐近线的###斜率###，其中g(x)是f(x)的渐近线函数</t>
  </si>
  <si>
    <t>特例：f(x)全区间可导的情况下：</t>
  </si>
  <si>
    <t>f(x)/x使用###洛必达###得到###f'(x)的极限###</t>
  </si>
  <si>
    <t>由于f'(x)全区间连续，f'(x)的极限必###存在###</t>
  </si>
  <si>
    <t>洛必达后极限存在，则新极限与原极限等号成立，即###lim(x-&gt;∞):f'(x)=k###，其中k为斜渐近线的斜率</t>
  </si>
  <si>
    <t>ε-δ语言+极限保号性：当x足够大（趋正无穷）/小（趋负无穷）时，f'(x) 保持与k相同的符号</t>
  </si>
  <si>
    <t>矩阵A的特征值为λ1、λ2、λ3，那么A伴随即A*的特征值为###|A|/λ1###、###|A|/λ2###、###|A|/λ3###</t>
  </si>
  <si>
    <t>由于|A|=###λ1*λ2*λ3###（用λ1、λ2、λ3表示），因此A伴随即A*的特征值也可写作###λ1*λ2###、###λ2*λ3###、###λ1*λ3###</t>
  </si>
  <si>
    <t>若x0是f(x)的零点，那么f(x)*g(x)整体在x0处的导数，即(f(x0)*g(x0))'=###f'(x0)*g(x0)###</t>
  </si>
  <si>
    <t>曲率相关</t>
  </si>
  <si>
    <t>曲率越大，曲线就越###弯曲###</t>
  </si>
  <si>
    <t>曲率半径是###曲率圆###的半径，是曲率的###倒数###</t>
  </si>
  <si>
    <t>曲率圆的在曲率取值点的斜率等于###原曲线在该点处的斜率###</t>
  </si>
  <si>
    <t>包含逆矩阵的运算</t>
  </si>
  <si>
    <t>矩阵逆的转置等于###矩阵转置的逆###</t>
  </si>
  <si>
    <t>ABC的逆等于###C逆B逆A逆###，也就是###每个因矩阵的逆的逆序相乘###</t>
  </si>
  <si>
    <t>正定矩阵的性质</t>
  </si>
  <si>
    <t>正定的各阶主子式（包括行列式）###均大于0###</t>
  </si>
  <si>
    <t>特征值###均为正###</t>
  </si>
  <si>
    <t>主对角线元素###均为正###</t>
  </si>
  <si>
    <t>如果一个函数的导数表达式是f(x)，那么这个函数以变限积分的形式来表示：###(Int(0,x):f(t)dt)+C###</t>
  </si>
  <si>
    <t>如果以这个函数为被积函数，对x进行求积分，那么实际上是对###t和x###做###二次积分###</t>
  </si>
  <si>
    <t>非齐次线性方程组无解，则它的秩具有性质：###矩阵的秩与增广矩阵的秩不相等，即r(A,B)≠r(A)###</t>
  </si>
  <si>
    <t>齐次线性方程组必有解，因为###无论怎样都有0解###</t>
  </si>
  <si>
    <t>看到求矩阵的k次幂，就要想到这是利用相似对角化（无需作答）### ###</t>
  </si>
  <si>
    <t>含抽象函数选择题的选项，一般来说要用###特例或反例###做###排除###</t>
  </si>
  <si>
    <t>直接推导只能推###正确###（正确/错误）的情况</t>
  </si>
  <si>
    <t>###不正确###的情况###不一定###和题设条件冲突，也可能只是###存在和题设条件兼容的反例###</t>
  </si>
  <si>
    <t>含有函数的数列极限：若数列xn收敛到x0，且f(x)连续，则数列f(xn)收敛到###f(x0)###</t>
  </si>
  <si>
    <t>矩阵A相似于对角阵B，即###P逆AP=B###</t>
  </si>
  <si>
    <t>则B的###对角元###就是A的###特征值###</t>
  </si>
  <si>
    <t>相似变换P的###列向量###就是对应###特征值###的###特征向量###</t>
  </si>
  <si>
    <t>若A与B相似，则λE-A与λE-B也相似，其中λ是A和B的特征值（无需作答）### ###</t>
  </si>
  <si>
    <t>如果选择题存在抽象函数和它自身的导数有已知的大小关系时，可以考虑采用###指数函数的变形###来构造特例</t>
  </si>
  <si>
    <t>如果f(x)&gt;f'(x)，则f(x)可以采用特例###exp(a*x)###，其中a###&lt;1###（a的范围）</t>
  </si>
  <si>
    <t>如果f(x)&lt;f'(x)，则f(x)可以采用特例###exp(a*x)###，其中a###&gt;1###（a的范围）</t>
  </si>
  <si>
    <t>向量拼接对线性相关性的影响：###整体###相关则###部分###相关，###部分###无关则###整体###无关</t>
  </si>
  <si>
    <t>分块上/下三角矩阵的行列式等于###对角分块行列式之积###</t>
  </si>
  <si>
    <t>sec(t)^3的循环积分：###sec(t)*sec(t)²→sec(t)*tan(t)²→sec(t)*(sec(t)²-1)###</t>
  </si>
  <si>
    <t>等价/合同/相似矩阵的性质</t>
  </si>
  <si>
    <t>等价矩阵的###秩###相等（这个性质合同/相似矩阵也有）</t>
  </si>
  <si>
    <t>合同矩阵的###正负惯性指数###相等（合同矩阵特有）</t>
  </si>
  <si>
    <t>相似矩阵的###特征值###和###特征向量###相等（相似矩阵特有）</t>
  </si>
  <si>
    <t>若均实对称，相似必###合同###，否则不能推</t>
  </si>
  <si>
    <t>画不出图的曲线可以用描点法来画出草图</t>
  </si>
  <si>
    <t>一般选择常见数值，比如0和1组合后代入x、y（无需作答）### ###</t>
  </si>
  <si>
    <t>极坐标方程r=r(θ)在α&lt;θ&lt;β之间围住有界区域的面积公式：A=###Int(α,β):(r(θ)²)/2dθ###</t>
  </si>
  <si>
    <t>初等变换对应矩阵乘法</t>
  </si>
  <si>
    <t>得到变换矩阵：对应的变换应用到###单位阵###上</t>
  </si>
  <si>
    <t>决定左右乘：行变换对应###左###乘，列变换对应###右###乘</t>
  </si>
  <si>
    <t>分块矩阵乘法把分块看成元素，然后和一般的矩阵乘法一样，结果对应位置的分块等于###左行右列的矩阵内积###</t>
  </si>
  <si>
    <t>非可逆线性变换的结果不能作为二次标准型（有时题目给你凑好的大概率是非可逆的变换）（无需作答）### ###</t>
  </si>
  <si>
    <t>已知数列an敛散情况，求数列f(an)敛散情况</t>
  </si>
  <si>
    <t>利用归结原理：lim:f(an)=###f(lim:an)###</t>
  </si>
  <si>
    <t>如果是已知f(an)，反推an，那么当###f逆存在###（关于f的某个条件成立）时可以利用###f逆(f(an))###=an</t>
  </si>
  <si>
    <t>欧拉方程（###ax²D(y,x)²+bxD(y,x)+cy###=f(x)）转常系数微分方程</t>
  </si>
  <si>
    <t>令x=###exp(t)###，则t=###ln(x)###，那么dt/dx=###1/x###</t>
  </si>
  <si>
    <t>D(y,x)=###(dy/dt)*(dt/dx)###=###(dy/dt)/x=D(y,t)/x###</t>
  </si>
  <si>
    <t>D(y,x)²=###(dD(y,x)/dt)*(dt/dx)###=###(d((dy/dt)/x)/dt)/x=((D(y,t)²*x-D(y,t)*x)/x³=((D(y,t)²-D(y,t))/x²###</t>
  </si>
  <si>
    <t>原方程变为：###a(D(y,t)²-D(y,t))+b(D(y,t))+cy###=f(exp(t))</t>
  </si>
  <si>
    <t>可以凑导数定义的题型（无需作答）### ###</t>
  </si>
  <si>
    <t>△y/△x</t>
  </si>
  <si>
    <t>f(x+y)=f(x)+f(y)</t>
  </si>
  <si>
    <t>f(x+y)=f(x)*f(y)</t>
  </si>
  <si>
    <t>f(xy)=f(x)+f(y)</t>
  </si>
  <si>
    <t>f(xy)=f(x)*f(y)</t>
  </si>
  <si>
    <t>数列极限存在的完备性</t>
  </si>
  <si>
    <t>最常见的情况，奇偶完备：###lim(n→∞):a[n]=a↔lim(n→∞):a[2*n-1]=lim(n→∞):a[2*n]=a###</t>
  </si>
  <si>
    <t>推广的情况，模m同余：###lim(n→∞):a[n]=a↔lim(n→∞):a[m*n-(m-1)]=lim(n→∞):a[m*n-(m-2)]=...=lim(n→∞):a[m*n]=a###</t>
  </si>
  <si>
    <t>递推函数法确定数列单调性</t>
  </si>
  <si>
    <t>已知递推关系a[n+1]=f(a[n])</t>
  </si>
  <si>
    <t>若f'(x)&gt;=0，则数列###单调###</t>
  </si>
  <si>
    <t>若a1&gt;=a2，则数列###单调递减###</t>
  </si>
  <si>
    <t>若a1&lt;=a2，则数列###单调递增###</t>
  </si>
  <si>
    <t>若f'(x)&lt;0，则数列###一增一减（奇数列和偶数列单调且单调性相反）###</t>
  </si>
  <si>
    <t>常见不等式</t>
  </si>
  <si>
    <t>||x|-|y||###&lt;=###|x±y|, |x|+|y|###&gt;=###|x±y|</t>
  </si>
  <si>
    <t>a²+b²###&gt;=###2ab, a+b###&gt;=###2*sqrt(ab)</t>
  </si>
  <si>
    <t>对数不等式：x/(1+x)###&lt;=###ln(1+x), x###&gt;=###ln(1+x), x###&gt;###-1（定义域）</t>
  </si>
  <si>
    <t>以下不等式在x=###0###时取等号</t>
  </si>
  <si>
    <t>|sin(x)|###&lt;=###|x|</t>
  </si>
  <si>
    <t>|tan(x)|###&gt;=###|x|, x###∈(-π/2,π/2)###（定义域）</t>
  </si>
  <si>
    <t>exp(x)-1###&gt;=###x</t>
  </si>
  <si>
    <t>函数无界↔存在趋于无穷的子数列（无需作答）### ###</t>
  </si>
  <si>
    <t>非零因子代入也可以逆用来凑包含趋向变量的表达式（无需作答）### ###</t>
  </si>
  <si>
    <t>周期函数的导数###一定###是周期函数</t>
  </si>
  <si>
    <t>快（速页）表里存放的是###内存块号###（内存块/内存块号）</t>
  </si>
  <si>
    <t>内存块号也就是###页框号###（页号/页框号）</t>
  </si>
  <si>
    <t>六大排序的稳定性</t>
  </si>
  <si>
    <t>时间复杂度O(n²):###选择排序###、###插入排序###、###冒泡排序###</t>
  </si>
  <si>
    <t>时间复杂度O(n*log(k,n)):###快速排序###、###归并排序###、###堆排序###</t>
  </si>
  <si>
    <t>用了分治思想，几分k就是几</t>
  </si>
  <si>
    <t>非齐次线性方程组的求解要点</t>
  </si>
  <si>
    <t>自由变量全部设为###0###来求解非齐次特解，###不带###（带/不带）系数k</t>
  </si>
  <si>
    <t>自由变量各设为###1###来求解齐次基础解系，###带###（带/不带）系数k</t>
  </si>
  <si>
    <t>矩阵A的特征向量α###一定###（一定/未必/绝不）是A*的特征向量</t>
  </si>
  <si>
    <t>Aα=λα,α=###λA逆α###</t>
  </si>
  <si>
    <t>|A|α=###λA*α###</t>
  </si>
  <si>
    <t>###(|A|/λ)###α=A*α</t>
  </si>
  <si>
    <t>矩阵方程与特征值的关系</t>
  </si>
  <si>
    <t>如果有一个矩阵方程形如F(A)=0这样的</t>
  </si>
  <si>
    <t>把A换成λ，把E换成1，就能得到一个特征值方程F(λ)=0</t>
  </si>
  <si>
    <t>F(λ)=0的根和特征多项式的根的关系是###前者是后者的子集###</t>
  </si>
  <si>
    <t>如果F(λ)=0存在非实根怎么办</t>
  </si>
  <si>
    <t>实对称阵仅有实特征值，因此###只选取实根###</t>
  </si>
  <si>
    <t>A是n阶矩阵，根的重数=###n-r(A−λE)###（与阶数和秩的关系）</t>
  </si>
  <si>
    <t>如果原矩阵是二次型，那么特征值就是###标准型二次项的系数###</t>
  </si>
  <si>
    <t>矩阵的迹等于###对角线元素之和###（定义）</t>
  </si>
  <si>
    <t>矩阵的迹等于###特征值之和###（和特征值的关系）</t>
  </si>
  <si>
    <t>矩阵的秩为r，那么###零特征值###（什么类型的特征值）与其存在关系</t>
  </si>
  <si>
    <t>矩阵维度为n，那么上述特征值的###重数###就等于###n-r###</t>
  </si>
  <si>
    <t>1/(n-1)是否收敛？###收敛###（收敛/发散）</t>
  </si>
  <si>
    <t>分母###不能###（能/不能）等于0</t>
  </si>
  <si>
    <t>分母等于0是###无定义###</t>
  </si>
  <si>
    <t>因此要###从数列当中排除###</t>
  </si>
  <si>
    <t>收敛数列中的项###不可能###（可能/不可能）包含∞</t>
  </si>
  <si>
    <t>因此收敛数列###必定###有界</t>
  </si>
  <si>
    <t>有界数列###未必###收敛</t>
  </si>
  <si>
    <t>f(x)在x0处极限为0，则1/f(x)在x0处极限为无穷，对错？###错###</t>
  </si>
  <si>
    <t>原因：###1/f(x)要在x0点处有定义，f(x0)不能等于0###</t>
  </si>
  <si>
    <t>可导点的情况下，极值点###不能###（可以/不能）是拐点</t>
  </si>
  <si>
    <t>可导极值形状：###U形###</t>
  </si>
  <si>
    <t>可导拐点形状：###滑梯形###</t>
  </si>
  <si>
    <t>可导极值拐点：###不存在###</t>
  </si>
  <si>
    <t>不可导点的情况下，极值点###可以###（可以/不能）是拐点</t>
  </si>
  <si>
    <t>不可导（无穷式）极值形状：###乳沟形###</t>
  </si>
  <si>
    <t>不可导（无穷式）拐点形状：###危险滑梯（滑梯转90度）###</t>
  </si>
  <si>
    <t>不可导（无穷式）极值拐点：###鲨齿形###</t>
  </si>
  <si>
    <t>严格单调###允许###点的导数为0，###不允许###区间内导数为0（允许/不允许）</t>
  </si>
  <si>
    <t>压缩映射法（秒杀法）</t>
  </si>
  <si>
    <t>题型1：若要证数列x[n+1]=f(x[n])极限为a</t>
  </si>
  <si>
    <t>构造:0&lt;=###|x[n+1]-a|###=###|f(x[n])-f(a)|###&lt;=###r*|x[n]-a|###</t>
  </si>
  <si>
    <t>放缩：0&lt;=###|x[n+1]-a|###&lt;=###(r^n)*|x[1]-a|###</t>
  </si>
  <si>
    <t>证明：r∈###(0,1)###（区间范围），完成夹逼</t>
  </si>
  <si>
    <t>题型2：x[n+1]=f(x[n])时，若|f'(x)|###&lt;=###r（大小关系），r∈###(0,1)###（区间范围），那么x[n]###收敛###（收敛/发散）</t>
  </si>
  <si>
    <t>拉格朗日：f(x[n])-f(a)=###f'(ξ)(x[n]-a)###，ξ∈(a,x[n])</t>
  </si>
  <si>
    <t>若|f'(x)|###&lt;=###r（大小关系），###|f'(ξ)(x[n]-a)|###&lt;=###r*(x[n]-a)###</t>
  </si>
  <si>
    <t>放缩：f(Xn)-f(a)&lt;=###(r^n)*|x1-a|###</t>
  </si>
  <si>
    <t>证明：r∈###(0,1)###（区间范围），f(Xn)-f(a)-&gt;0，f(Xn)-&gt;f(a)=a</t>
  </si>
  <si>
    <t>秒杀：f(x)为分段函数时，求F(x)=Int(0,x):f(t)dt是否连续</t>
  </si>
  <si>
    <t>如果间断点是f(x)的可去间断点，那么F(x)###连续且可导###</t>
  </si>
  <si>
    <t>如果间断点是f(x)的跳跃间断点，那么F(x)###连续且不可导###</t>
  </si>
  <si>
    <t>夹逼准则的条件之一——左右端表达式的极限相等意味着一个先决条件要成立：###左右端存在极限###</t>
  </si>
  <si>
    <t>原函数一定可导### ###（无需作答）</t>
  </si>
  <si>
    <t>连续函数必有原函数### ###（无需作答）</t>
  </si>
  <si>
    <t>可积（可以求定积分）的充分条件（一条满足即可）</t>
  </si>
  <si>
    <t>f(x)在###闭###区间a到b上连续</t>
  </si>
  <si>
    <t>f(x)在###闭###区间a到b上不连续，但是###有界###且间断点###个数有限###</t>
  </si>
  <si>
    <t>变限积分性质2则</t>
  </si>
  <si>
    <t>f(x)在闭区间a-b上可积，则F(x)=Int(a,x):f(t)dt###连续###（具有什么性质）</t>
  </si>
  <si>
    <t>f(x)在闭区间a-b上连续，则F(x)=Int(a,x):f(t)dt###可导###（具有什么性质），且###F'(x)=f(x)###</t>
  </si>
  <si>
    <t>可积（可以求定积分）的必要条件</t>
  </si>
  <si>
    <t>f(x)在###闭###区间a到b上###有界###</t>
  </si>
  <si>
    <t>若f(x)和g(x)在闭区间a到b之间均可积</t>
  </si>
  <si>
    <t>则f(x)±g(x)###可积###（可积/不可积）</t>
  </si>
  <si>
    <t>则f(x)*g(x)###可积###（可积/不可积）</t>
  </si>
  <si>
    <t>变限积分性质2则（更多参考20250330）</t>
  </si>
  <si>
    <t>f(x)在闭区间a-b上有第一类间断点，其他连续</t>
  </si>
  <si>
    <t>可去间断：则F(x)=Int(a,x):f(t)dt在x=x0处###可导###（具有什么性质），且###F'(x0)=lim(x-&gt;x0):f(x)###</t>
  </si>
  <si>
    <t>跳跃间断：则F(x)=Int(a,x):f(t)dt在x=x0处###不可导###（具有什么性质），但###F(x)连续###（具有什么性质）</t>
  </si>
  <si>
    <t>后一性质是因为f(x)在这一情况（存在有限个间断点）至少是###可积的###</t>
  </si>
  <si>
    <t>若f(x)在闭区间a到b连续，且f(x)&gt;=0（不恒等于0）</t>
  </si>
  <si>
    <t>则Int(a,b):f(x)dx###&gt;###0（大小关系）</t>
  </si>
  <si>
    <t>被积函数是周期函数且积分长度为一个周期</t>
  </si>
  <si>
    <t>那么起点可以任选### ###（无需作答）</t>
  </si>
  <si>
    <t>比较定积分大小：</t>
  </si>
  <si>
    <t>积分区间相同：比较###被积函数###大小</t>
  </si>
  <si>
    <t>积分与0比较</t>
  </si>
  <si>
    <t>按被积函数在积分区域的###正负###进行###拆分###</t>
  </si>
  <si>
    <t>通过###换元###把积分区域变成单一性质</t>
  </si>
  <si>
    <t>不定积分当中化简被积函数的暗坑</t>
  </si>
  <si>
    <t>分子分母出现含自变量表达式可以约分时，###不需要###（需要/不需要）考虑表达式为0的可能</t>
  </si>
  <si>
    <t>但是可去间断点会影响到原函数的定义域，间断点无定义要保留至不定积分求解后</t>
  </si>
  <si>
    <t>不定积分反三角换元需注意的情况</t>
  </si>
  <si>
    <t>cos本身是个###偶###（奇偶性）函数</t>
  </si>
  <si>
    <t>因此当用x=cost换元时，对应同一个x，会有###两个###t</t>
  </si>
  <si>
    <t>此时除了考虑定义域，还需要考虑###原函数的奇偶性###</t>
  </si>
  <si>
    <t>被积函数为奇函数，原函数###一定###（一定/可能）为###偶###函数（奇偶性）</t>
  </si>
  <si>
    <t>被积函数为偶函数，原函数###未必###（一定/未必）为###奇/偶###函数（奇偶性）</t>
  </si>
  <si>
    <t>给三角函数开根号要注意三角函数的正负，开根号实际上是取绝对值### ###（无需作答）</t>
  </si>
  <si>
    <t>定积分使用牛顿莱布尼兹公司的条件</t>
  </si>
  <si>
    <t>积分区间为a到b，则被积函数在###闭###区间a到b上###连续###</t>
  </si>
  <si>
    <t>如果是###开###区间a到b，则保证区间内处处###极限存在###（###包括###端点（包括/不包括））</t>
  </si>
  <si>
    <t>F(x)是f(x)在###闭###区间a到b上的一个###原函数###</t>
  </si>
  <si>
    <t>当被积表达式出现一个exp(x)不知如何去掉时，不妨试试换元，令exp(x)=t</t>
  </si>
  <si>
    <t>比如Int:1/(exp(x)+1)dx可以用这招换元得到###Int:1/(t²+t)dt###</t>
  </si>
  <si>
    <t>一类分母含正余弦平方线性组合的特殊题型</t>
  </si>
  <si>
    <t>含有正余弦函数的平方项而且###无法彻底消除###</t>
  </si>
  <si>
    <t>###无法彻底消除###（上一空）指的是即使降幂，也无法得到更好的结果</t>
  </si>
  <si>
    <t>分子是一个###常数###</t>
  </si>
  <si>
    <t>这样的话，在###上下同除正余弦平方###（正确解法）后可以拿来凑微分</t>
  </si>
  <si>
    <t>要给试错预留时间### ###（无需作答）</t>
  </si>
  <si>
    <t>反常积分要注意的一个细节</t>
  </si>
  <si>
    <t>反常积分求解中使用了分部积分或者本身就含加减的形式，导致需要分别对子段积分求解</t>
  </si>
  <si>
    <t>需要注意，如果出现###子段积分的结果含无穷###，意味着###子段积分的无穷量需要与另一子段积分进行抵消###</t>
  </si>
  <si>
    <t>前提是计算题</t>
  </si>
  <si>
    <t>也就意味着###积分上下限###不能轻易变动，除了###区间再现###以外的###换元###都是很危险的</t>
  </si>
  <si>
    <t>或者完成###去积分号###后记得###换回来###也可以</t>
  </si>
  <si>
    <t>无符号数加减的溢出判断</t>
  </si>
  <si>
    <t>先说结论</t>
  </si>
  <si>
    <t>加法：###最高位进位1是溢出###</t>
  </si>
  <si>
    <t>减法：###最高位进位0是溢出###</t>
  </si>
  <si>
    <t>减法的实现：被减数加上###减数相反数的补码###</t>
  </si>
  <si>
    <t>进位0的意义</t>
  </si>
  <si>
    <t>减数相反数的补码最高位一定是###1###，是被当做###符号位###（符号位/数值位）</t>
  </si>
  <si>
    <t>进位0意味着，算上低位进位，相加后最高位仍然是###1###</t>
  </si>
  <si>
    <t>从补码加法的结果也是补码来考虑，相当于结果是个###负数###（正数/负数）</t>
  </si>
  <si>
    <t>否则，无论被减数最高位是0还是1，加上进位后都应该是###1###</t>
  </si>
  <si>
    <t>只有这样，被减数加上进位后才能加上减数相反数补码的最高位，使其###变回0###，也就是###正数###（正数/负数）</t>
  </si>
  <si>
    <t>考场技巧</t>
  </si>
  <si>
    <t>根本不用算二进制，无符号数的范围记住：###0-(2^n)-1###</t>
  </si>
  <si>
    <t>十进制计算结果超了就是溢出了</t>
  </si>
  <si>
    <t>一个矩阵和它的伴随矩阵的伴随矩阵的关系</t>
  </si>
  <si>
    <t>A*=###A'|A|###</t>
  </si>
  <si>
    <t>A**=###(A*)'###（矩阵）乘以###|A*|###（系数）</t>
  </si>
  <si>
    <t>A**=###A/|A|###（变形自上式）乘以###|A'|A||###（变形自上式）</t>
  </si>
  <si>
    <t>|A'|A||=###(|A|^n)/|A|###=###|A|^(n-1)###</t>
  </si>
  <si>
    <t>A**=###A|A|^(n-2)###</t>
  </si>
  <si>
    <t>对于任意可逆的n阶方阵 ，其逆矩阵的伴随矩阵等于伴随矩阵的逆矩阵### ###（无需作答）</t>
  </si>
  <si>
    <t>一句话看出x/(x+1)和ln(1+x)哪个大</t>
  </si>
  <si>
    <t>（不严谨，秒杀用！）</t>
  </si>
  <si>
    <t>注意，ln(1+x)的定义域比ln(1+x)小，这里只做同定义域的比较</t>
  </si>
  <si>
    <t>x/(x+1)=###1-1/(x+1)###</t>
  </si>
  <si>
    <t>能够看出，x增大时，x/(x+1)是###收敛到1###的（敛散性）</t>
  </si>
  <si>
    <t>而x增大时，ln(x+1)是###趋于无穷###的（敛散性）</t>
  </si>
  <si>
    <t>（不能保证中间有没有交点，因此严谨证明不能使用这个逻辑）</t>
  </si>
  <si>
    <t>记忆立方和与立方差公式</t>
  </si>
  <si>
    <t>肯定是a和b的###一###次多项式乘以a和b的###二###次多项式</t>
  </si>
  <si>
    <t>要想正好抵消，###二###次多项式的交错项系数绝对值是###1###</t>
  </si>
  <si>
    <t>只看结果三次项，b³前的符号和###一###次多项式中###b###的符号对应</t>
  </si>
  <si>
    <t>###二###次多项式中，交错项的符号与###一###次多项式中###b###的符号###相反###（相同/相反）</t>
  </si>
  <si>
    <t>微分方程解结构容易混淆的点</t>
  </si>
  <si>
    <t>特解y1、y2任意系数线性叠加？</t>
  </si>
  <si>
    <t>齐次：###仍是解，若C为待定则为通解###</t>
  </si>
  <si>
    <t>非齐次：###方程的非齐次项做对应叠加###</t>
  </si>
  <si>
    <t>特解y1、y2互相抵消？</t>
  </si>
  <si>
    <t>齐次：###仍是解（包括y=0，联系线性代数的Ax=0），若C为待定则为通解###</t>
  </si>
  <si>
    <t>非齐次：###如果是同方程的两个解，正好抵消的话就是原方程对应的齐次方程解###</t>
  </si>
  <si>
    <t>注：非齐次正好抵消不是说变成0（区别于齐次），是二解的系数互为相反数</t>
  </si>
  <si>
    <t>用非齐特凑齐通的注意事项</t>
  </si>
  <si>
    <t>齐通的基础解系个数=###微分方程的阶数###</t>
  </si>
  <si>
    <t>判断解系是否有效=###任一解系不可能通过除它自身以外的解系组合得到###</t>
  </si>
  <si>
    <t>黑塞行列式与多元函数极值的判定</t>
  </si>
  <si>
    <t>行列式大于0（两方向的二阶导同号）：###是极值点###</t>
  </si>
  <si>
    <t>两方向的二阶导均大于0：###极小值###</t>
  </si>
  <si>
    <t>两方向的二阶导均小于0：###极大值###</t>
  </si>
  <si>
    <t>行列式等于0：###不确定###</t>
  </si>
  <si>
    <t>行列式小于0（两方向的二阶导异号）：###不是极值###</t>
  </si>
  <si>
    <t>二重积分直角坐标变换极坐标加r的原因</t>
  </si>
  <si>
    <t>极坐标的面积微元是个###扇环###（形状）</t>
  </si>
  <si>
    <t>面积近似为###内弧长度*半径###</t>
  </si>
  <si>
    <t>其中，###半径###就是dr</t>
  </si>
  <si>
    <t>而###内弧长度###则对应rdθ</t>
  </si>
  <si>
    <t>弧长与角度的公式：###弧长=圆心角（弧度）*半径###</t>
  </si>
  <si>
    <t>二重积分交换积分次序受阻的解决办法</t>
  </si>
  <si>
    <t>如果积分区域画出来对于要先积后定限的部分不利（比如上下两曲线夹住的区域但必须先积###x###）</t>
  </si>
  <si>
    <t>这时可以###斜着切分积分区域###</t>
  </si>
  <si>
    <t>甚至可以###不止切分一次###</t>
  </si>
  <si>
    <t>###切分边界###就可以作为补充的积分限</t>
  </si>
  <si>
    <t>二重积分需要注意逼但不相交的情况</t>
  </si>
  <si>
    <t>比如y=1/sqrt(x)和y轴逼近但不相交</t>
  </si>
  <si>
    <t>在决定积分限的时候，这种情况看做###密封###（密封/不密封）</t>
  </si>
  <si>
    <t>###可以###（可以/不可以）直接用于积分限</t>
  </si>
  <si>
    <t>这一操作的有效性###不受###（受/不受）积分方向的影响</t>
  </si>
  <si>
    <t>瑕积分和反常积分的概念辨析</t>
  </si>
  <si>
    <t>反常积分指被积函数###存在导致无界的点或者积分上下限有无穷###</t>
  </si>
  <si>
    <t>瑕积分指被积函数###在某点无界###，和反常积分的关系？###瑕积分是反常积分的一种###</t>
  </si>
  <si>
    <t>一个积分可能有间断点，但只有###间断点无界###，这个积分才是瑕积分（反常积分）</t>
  </si>
  <si>
    <t>间断点震荡###不行###（行/不行），参考Int(0,1):sin(1/x)dx</t>
  </si>
  <si>
    <t>二重积分想要利用奇偶性时，如果被积函数本身非奇非偶，可以进行变形拆分，拆出奇函数为佳### ###（无需作答）</t>
  </si>
  <si>
    <t>二重积分的极坐标积分时，有些图形在一些角度范围内没有取值</t>
  </si>
  <si>
    <t>比如圆心在左与y轴相切的圆不会经过第###1、4###象限</t>
  </si>
  <si>
    <t>这时候要采用###区域割补###</t>
  </si>
  <si>
    <t>如果直接取上下限，会导致###负的积分值###</t>
  </si>
  <si>
    <t>求极限时遇到ln(f(x))，f(x)非常复杂，该怎么办？</t>
  </si>
  <si>
    <t>如果###f(x)趋1###，尝试构造###ln(1+f(x)-1)###</t>
  </si>
  <si>
    <t>然后再利用###ln(1+X)~X###，得到###f(x)-1###</t>
  </si>
  <si>
    <t>这样就去掉了ln</t>
  </si>
  <si>
    <t>求极限时，分子如果由多个代数加和式子构成</t>
  </si>
  <si>
    <t>尝试寻找能和分母一起构成收敛极限的部分</t>
  </si>
  <si>
    <t>这部分可以用极限代数和的形式提出，简化剩余极限### ###（无需作答）</t>
  </si>
  <si>
    <t>定积分实在积不出来，可以把被积函数泰勒展开，积分完成后再连加### ###（无需作答）</t>
  </si>
  <si>
    <t>费曼积分法### ###（太难了，实战不建议）</t>
  </si>
  <si>
    <t>假设有个定积分I</t>
  </si>
  <si>
    <t>得到辅助函数F(t)=It（系数a被替换t之后的定积分）</t>
  </si>
  <si>
    <t>通过在I里面将一个系数a变成变量t</t>
  </si>
  <si>
    <t>目标变成求解F(a)</t>
  </si>
  <si>
    <t>对F(t)的t求导</t>
  </si>
  <si>
    <t>根据莱布尼兹法则（？）</t>
  </si>
  <si>
    <t>对含参t的定积分求对t的导数，会得到被积函数对t的求导后的定积分</t>
  </si>
  <si>
    <t>求解（去积分号）求导后的定积分I't=dIt/dt=F'(t)</t>
  </si>
  <si>
    <t>对F'(t)求不定积分得到F(t)</t>
  </si>
  <si>
    <t>确定常数C（由t=a确定）</t>
  </si>
  <si>
    <t>看到被积函数里面有ln（1+x)/x能够确定的两件事</t>
  </si>
  <si>
    <t>凑微分：###不可能，因为1/x凑出来是ln(x)不是ln(x+1)###</t>
  </si>
  <si>
    <t>分部积分：###不可能，因为1/x的原函数含ln，像跷跷板一样###</t>
  </si>
  <si>
    <t>在对数里面可以放入参数t，使用费曼积分法可消去ln（求导后ln内表达式变为分母）</t>
  </si>
  <si>
    <t>微分方程遇到只含y、y'、y''不含x的</t>
  </si>
  <si>
    <t>以y'=p</t>
  </si>
  <si>
    <t>那么y''=###dp/dy###</t>
  </si>
  <si>
    <t>把y看成自变量</t>
  </si>
  <si>
    <t>那么y''=###(dp/dy)*(dy/dx)###=dp/dy*###p###</t>
  </si>
  <si>
    <t>有一类数列极限计算是f(π*g(n))，其中f(t)是三角函数，g(n)是非三角函数### ###（无需作答，纯学习）</t>
  </si>
  <si>
    <t>f(t)存在周期性，利用周期性对g(n)进行非恒等变形（只要满足f的周期即可）</t>
  </si>
  <si>
    <t>变形的目的是让g(n)变形后收敛（比如n趋无穷，变形结果就不能是n或者n²）</t>
  </si>
  <si>
    <t>因为是计算题，必然存在极限，不可能让你震荡（也就对应n趋无穷）</t>
  </si>
  <si>
    <t>n看起来会让sin趋0，但实际上o(n)会导致非0的值，这是震荡的根源</t>
  </si>
  <si>
    <t>o(n)是一个低阶无穷大，如果n不趋∞还需要针对判断</t>
  </si>
  <si>
    <t>极限A的形式是B+C，B和C分别求极限时变形后不能再相加</t>
  </si>
  <si>
    <t>因为###变形涉及的高阶无穷小丢失会导致错误###</t>
  </si>
  <si>
    <t>当求极限时用到拉格朗日去不掉中值怎么办？</t>
  </si>
  <si>
    <t>中值ξ肯定夹逼于###拉格朗日中值定理的端点###a和b</t>
  </si>
  <si>
    <t>那么假设现在极限是lim:f(ξ)</t>
  </si>
  <si>
    <t>只要证明###lim:f(a)###=###lim:f(b)###=L</t>
  </si>
  <si>
    <t>则可以再次使用###夹逼把###lim:f(ξ)=###L###求出</t>
  </si>
  <si>
    <t>[UKAGAKA]之前的笔记均已导入伪春菜</t>
  </si>
  <si>
    <t>积分中值定理：Int(a,b):f(x)dx=###(b-a)*f(ξ)###，中值ξ∈###闭区间[a,b]###</t>
  </si>
  <si>
    <t>有限个无穷大的和差###不一定###（一定/不一定）是无穷大，有限个无穷小的和差###一定###（一定/不一定）是无穷小</t>
  </si>
  <si>
    <t>地址线和地址引脚### ###（无需作答）</t>
  </si>
  <si>
    <t>地址线对CPU而言</t>
  </si>
  <si>
    <t>地址线在CPU出厂就已经决定好了的，地址线是不会减半的</t>
  </si>
  <si>
    <t>比如2^20个存储单元，需要20根地址线才能全部访问到</t>
  </si>
  <si>
    <t>地址引脚是对DRAM而言</t>
  </si>
  <si>
    <t>为了能节约空间以及把多个DRAM组成一个内存条，使用了引脚减半技术</t>
  </si>
  <si>
    <t>把DRAM设计成矩阵型结构，通过内存控制器，先访问一行，再选中其中一列输出</t>
  </si>
  <si>
    <t>408默认条件大全-通用规则</t>
  </si>
  <si>
    <t>默认###小端###（大小端）存储方式</t>
  </si>
  <si>
    <t>浮点数格式遵循###IEEE754###标准</t>
  </si>
  <si>
    <t>默认各流水线阶段时间为###相等且无冲突###</t>
  </si>
  <si>
    <t>408默认条件大全-计算机组成原理</t>
  </si>
  <si>
    <t>DRAM行列复用地址引脚</t>
  </si>
  <si>
    <t>存储总线宽度默认为按###字节（8位）###计算</t>
  </si>
  <si>
    <t>当题目要求划分地址空间（如RAM与ROM）时，默认使用###高位###（高位/低位）地址线进行区域划分</t>
  </si>
  <si>
    <t>题目中若涉及整数存储（如int类型），默认使用补码表示</t>
  </si>
  <si>
    <t>408默认条件大全-操作系统</t>
  </si>
  <si>
    <t>计算虚拟地址到物理地址的转换时，默认低位为###块内地址###，剩余高位为###页号或组号###</t>
  </si>
  <si>
    <t>涉及锁操作（如swap指令）时，默认指令执行是原子的</t>
  </si>
  <si>
    <t>408默认条件大全-计算机网络</t>
  </si>
  <si>
    <t>NAT转发时，默认将###源IP###从私有地址转换为公共地址，且仅修改###源IP###，###目标IP###保持不变（源IP/目标IP）</t>
  </si>
  <si>
    <t>计算子网可用地址时，默认排除###网络号###和###广播地址###</t>
  </si>
  <si>
    <t>若题目未明确说明，IP分片时默认###不复制###（复制/不复制）原始分组的选项字段（如首部校验和）</t>
  </si>
  <si>
    <t>408默认条件大全-数据结构</t>
  </si>
  <si>
    <t>涉及多维数组地址计算时，默认按###行###（行/列）优先存储（如C语言数组）</t>
  </si>
  <si>
    <t>题目中若未明确说明，默认二叉树的根节点编号为1</t>
  </si>
  <si>
    <t>Cache系统的效率：###Cache的存取周期/平均存取时间###</t>
  </si>
  <si>
    <t>根据命中率计算平均存取时间和效率需要保留小数点后至少三位，否则误差太大### ###（无需作答）</t>
  </si>
  <si>
    <t>408当中的K\M\G单位量级：涉及到速度，一个阶级按###1000###来升，涉及到空间容量大小，一个阶级按###1024###来升</t>
  </si>
  <si>
    <t>按顺序增加，每次增加1000\1024量级：###KMGTPEZY###（至少八个）</t>
  </si>
  <si>
    <t>被积函数奇偶性与变限积分的奇偶性</t>
  </si>
  <si>
    <t>被积函数为奇函数的充要条件</t>
  </si>
  <si>
    <t>Int(0,x):f(t)dt为###偶函数###（奇函数/偶函数）</t>
  </si>
  <si>
    <t>Int(a,x):f(t)dt为###偶函数###（奇函数/偶函数）</t>
  </si>
  <si>
    <t>被积函数为偶函数的充要条件</t>
  </si>
  <si>
    <t>Int(0,x):f(t)dt为###奇函数###（奇函数/偶函数）</t>
  </si>
  <si>
    <t>Int(a,x):f(t)dt为###奇函数###（奇函数/偶函数）</t>
  </si>
  <si>
    <t>且Int(0,a):f(t)dt=###0###</t>
  </si>
  <si>
    <t>Darboux定理</t>
  </si>
  <si>
    <t>如果一个函数f(x)在区间I上有原函数F(x)</t>
  </si>
  <si>
    <t>那么要么这个函数f(x)在区间I上连续</t>
  </si>
  <si>
    <t>要么存在的间断点只能是###第二类间断点###</t>
  </si>
  <si>
    <t>逆向思维：某函数F(x)若在I上处处可导</t>
  </si>
  <si>
    <t>要么导函数f(x)在I上连续</t>
  </si>
  <si>
    <t>要么导函数f(x)在I上只有###第二类间断点###</t>
  </si>
  <si>
    <t>一种罕见的连续性证明</t>
  </si>
  <si>
    <t>如果一个函数g(x)本身是f(x)的导数，也就是f'(x)=g(x)</t>
  </si>
  <si>
    <t>并且明确知道f(x)在x0可导</t>
  </si>
  <si>
    <t>即g(x)在x0处###有定义###</t>
  </si>
  <si>
    <t>且f(x)的左导数和右导数###在此处相等且等于导函数g(x)的函数值###</t>
  </si>
  <si>
    <t>那么导数f'(x0)=左导数f'-(x0)=lim(x-&gt;x0-):g(x)可以推出g(x)###左连续###（###左极限###等于该点函数值，此处为###左导数###）</t>
  </si>
  <si>
    <t>那么导数f'(x0)=右导数f'+(x0)=lim(x-&gt;x0+):g(x)可以推出g(x)###右连续###（###右极限###等于该点函数值，此处为###右导数###）</t>
  </si>
  <si>
    <t>当###左连续###和###右连续###同时成立，能够推出g(x)###在x0点连续###</t>
  </si>
  <si>
    <t>设f(x)是R上周期为T(T&gt;0)的连续函数</t>
  </si>
  <si>
    <t>那么lim(x-&gt;+∞):Int(0,x):f(t)dt/x=###Int(0,T):f(t)dt/T###</t>
  </si>
  <si>
    <t>Int(0,x):f(t)dt可以写成###kx+h(x)###，其中h(x)是R上周期为T的函数，k为常数</t>
  </si>
  <si>
    <t>反常积分不能抵消，但是定积分可以！！！### ###（无需作答）</t>
  </si>
  <si>
    <t>不是因式或者分母因子的非零因子不能直接代入！！！### ###（无需作答）</t>
  </si>
  <si>
    <t>特别提醒，比如复合函数的括号里面，或者指数是f(x)的底数当中</t>
  </si>
  <si>
    <t>对数内的因子，当ln展开后会变成加和，这时无穷小的误差就会扩散出来</t>
  </si>
  <si>
    <t>类似的，底数内的微小误差，经过无穷次方（即指数为含x的趋∞代数式）的放大，足以影响结果</t>
  </si>
  <si>
    <t>一个容易遗忘的等价无穷小：ln(x+1)-x~###-t²/2###</t>
  </si>
  <si>
    <t>（660题第31题）为什么一阶导数的极限定义在极限式内无法聚合为f'(x)？### ###（无需作答）</t>
  </si>
  <si>
    <t>极限求解过程有非常多的无穷小量，在一阶导的极限定义当中是存在的，但是去掉lim号（即摘帽）后就会忽略掉</t>
  </si>
  <si>
    <t>重新把一阶导的极限定义作为一个更大极限表达式的一部分时，它内部的无穷小量会泄露到更大极限当中去</t>
  </si>
  <si>
    <t>红黑树-基本的五条规则</t>
  </si>
  <si>
    <t>非黑即红</t>
  </si>
  <si>
    <t>根节点是###黑色###</t>
  </si>
  <si>
    <t>叶节点是###黑色###</t>
  </si>
  <si>
    <t>节点是红色，那么它的子节点一定是###黑色###</t>
  </si>
  <si>
    <t>注意：###黑###节点可以有同色的子节点</t>
  </si>
  <si>
    <t>任意节点到其子树中叶节点的路径，经过的###黑节点个数###相同</t>
  </si>
  <si>
    <t>这个数量被称为###黑高###</t>
  </si>
  <si>
    <t>包含###叶节点###，不包含###起始节点###</t>
  </si>
  <si>
    <t>红黑树-衍生特性</t>
  </si>
  <si>
    <t>从根到叶的最长路径，不超过最短路径的###两###倍</t>
  </si>
  <si>
    <t>查询、插入、删除的时间复杂度都是###O(log(n))###</t>
  </si>
  <si>
    <t>树高控制的结果</t>
  </si>
  <si>
    <t>红黑树-旋转### ###（无需作答）</t>
  </si>
  <si>
    <t>左旋-逆时针，右旋-顺时针</t>
  </si>
  <si>
    <t>右（对应左旋）子节点A取代父节点B</t>
  </si>
  <si>
    <t>父节点B变成新父节点A的左子节点</t>
  </si>
  <si>
    <t>父节点的右子节点（原本是A），现在去接管孙子，也就是A原本的左子节点</t>
  </si>
  <si>
    <t>儿子当家，老人照顾孙子</t>
  </si>
  <si>
    <t>旋转前的子树和旋转后的（结构上）对称</t>
  </si>
  <si>
    <t>红黑树-插入：和普通BST一样</t>
  </si>
  <si>
    <t>从根开始</t>
  </si>
  <si>
    <t>大###左###小###右###（左/右）</t>
  </si>
  <si>
    <t>插入###红###色节点（每一个朝代的开始都是革命）</t>
  </si>
  <si>
    <t>红黑树-插入-调整：当破坏了规则4（###不红红###）会触发</t>
  </si>
  <si>
    <t>红叔（只换颜色，朱家自己人，不发生权力更迭）</t>
  </si>
  <si>
    <t>叔父都变黑</t>
  </si>
  <si>
    <t>爷爷变红</t>
  </si>
  <si>
    <t>然后以爷爷的视角（即把爷爷当成孙子）向上检查</t>
  </si>
  <si>
    <t>黑叔（据说朱棣不是马皇后亲生的）</t>
  </si>
  <si>
    <t>亲近叔</t>
  </si>
  <si>
    <t>父子交替，原来的父亲（现在的儿子）远离叔叔</t>
  </si>
  <si>
    <t>变成儿子远离叔的情况处理</t>
  </si>
  <si>
    <t>远离叔（正史）</t>
  </si>
  <si>
    <t>父亲变黑，爷爷变红（朱标死了，朱元璋红温了）</t>
  </si>
  <si>
    <t>发生旋转，侄儿上去，叔叔下去（朱允炆登基，削藩开始）</t>
  </si>
  <si>
    <t>总结：只有叔父不和（黑叔红父）且父亲与儿子亲近（同红），旋转（权力变化）才会发生</t>
  </si>
  <si>
    <t>红黑树-删除：和普通BST一样</t>
  </si>
  <si>
    <t>无孩或只有独生子：###有则继承，无则不管###</t>
  </si>
  <si>
    <t>注意，这种情况不是值复制！！！（不会###继承被替换节点的颜色###！）</t>
  </si>
  <si>
    <t>有两个孩子：</t>
  </si>
  <si>
    <t>找被删节点A在###中序###遍历上的后继结点B</t>
  </si>
  <si>
    <t>后继一定满足###无孩###或###只有独生子###</t>
  </si>
  <si>
    <t>复制B的值来顶替被删节点A的位置（新节点使用###A###（A/B）的颜色）</t>
  </si>
  <si>
    <t>从B原来的位置删除B（对B进行删除操作，B的后继C保持颜色的前提下顶替B）</t>
  </si>
  <si>
    <t>红黑树-删除-调整：</t>
  </si>
  <si>
    <t>注意：以下情况均为BST删除及替换发生后</t>
  </si>
  <si>
    <t>无替换（比如红节点的黑子被直接删除，黑兄弟会与红父交换）：？？？</t>
  </si>
  <si>
    <t>有替换</t>
  </si>
  <si>
    <t>红替红：###违反不红红，不可能存在###</t>
  </si>
  <si>
    <t>红替黑或者黑替红：###替上来一律变黑###</t>
  </si>
  <si>
    <t>黑替黑：？？？</t>
  </si>
  <si>
    <t>单调有界必有极限是数列才有的性质，函数没有，不能乱用！### ###（无需作答）</t>
  </si>
  <si>
    <t>遇到函数还有有界性，考虑用###闭区间连续的特性###来推（20240415）</t>
  </si>
  <si>
    <t>补充：f'(x)在有限区间I上有界，那么f(x)也在I上有界（充分不必要）</t>
  </si>
  <si>
    <t>f(x)=φ(x)*|x-a|，φ(x)在x=a连续</t>
  </si>
  <si>
    <t>f(x)在x=a处可导的充要条件：###φ(a)=0###</t>
  </si>
  <si>
    <t>RISC架构不允许在运算时访存的原因</t>
  </si>
  <si>
    <t>简化指令集，确保###指令长度###不变</t>
  </si>
  <si>
    <t>减少###访存###导致的流水延迟</t>
  </si>
  <si>
    <t>RISC采用###硬布线###式CU，兼容访存大幅度增加CU设计难度</t>
  </si>
  <si>
    <t>分离访存操作，从应用层面上考虑，有助于###编译器优化###</t>
  </si>
  <si>
    <t>RISC和CISC的差异总结</t>
  </si>
  <si>
    <t>指令长度：RISC采用###定长###，CISC采用###变长###</t>
  </si>
  <si>
    <t>指令数量：RISC###更少###，CISC###更多###</t>
  </si>
  <si>
    <t>寻址方式：RISC###更少###，CISC###更多###</t>
  </si>
  <si>
    <t>可以访存：RISC访存###仅限LOAD/STORE指令###，CISC访存###兼容大部分指令###</t>
  </si>
  <si>
    <t>控制单元（CU）：RISC采用###硬布线###，CISC采用###微程序###</t>
  </si>
  <si>
    <t>执行周期：RISC采用###单周期指令###，CISC采用###多周期指令###</t>
  </si>
  <si>
    <t>芯片面积：RISC###更小###，CISC###更大###</t>
  </si>
  <si>
    <t>编码密度：RISC###更低###，CISC###更高###</t>
  </si>
  <si>
    <t>编译优化难度：RISC###更低###，CISC###更高###</t>
  </si>
  <si>
    <t>使用裸机运行程序的CPU核心态</t>
  </si>
  <si>
    <t>默认就处于###核心态###，意味着可执行指令为###全部###指令（全部/部分）</t>
  </si>
  <si>
    <t>加载完操作系统后，###操作系统###的程序把PSW的核心态改为###用户###态</t>
  </si>
  <si>
    <t>CRC校验</t>
  </si>
  <si>
    <t>根据生成多项式写出###多项式对应二进制数A###</t>
  </si>
  <si>
    <t>根据###多项式的最高次幂###指定校验位长度</t>
  </si>
  <si>
    <t>信息位对应二进制数B作为###被除数###，与B进行除法</t>
  </si>
  <si>
    <t>异或除法，相同余0，不同余1</t>
  </si>
  <si>
    <t>向后借位使###最高1位对齐###</t>
  </si>
  <si>
    <t>无位可借，则###计算结束，被除数作为余数###</t>
  </si>
  <si>
    <t>得到余数根据校验位长度，高位补零</t>
  </si>
  <si>
    <t>流水线性能指标计算</t>
  </si>
  <si>
    <t>流水线时钟周期：###最长流水阶段的耗时###</t>
  </si>
  <si>
    <t>不考虑数据冲突的总耗时：###第一条指令耗时（各阶段时长总和）+（指令条数-1）*时钟周期###</t>
  </si>
  <si>
    <t>考虑数据冲突的总耗时：###不考虑数据冲突的总耗时+冲突次数*流水线时钟周期###</t>
  </si>
  <si>
    <t>吞吐率：###指令数/实际耗时（考虑数据冲突）###</t>
  </si>
  <si>
    <t>加速比：###非流水执行全部指令耗时/流水执行耗时（考虑数据冲突）###</t>
  </si>
  <si>
    <t>效率：###加速比/流水阶段个数###</t>
  </si>
  <si>
    <t>IEEE754表示</t>
  </si>
  <si>
    <t>核心公式：###((-1)^s)*(1.M)*(2^E)###</t>
  </si>
  <si>
    <t>s为符号位，M为尾数，E为阶码</t>
  </si>
  <si>
    <t>表示：</t>
  </si>
  <si>
    <t>符号位1位</t>
  </si>
  <si>
    <t>阶码E共###8###位，为###真值+127###的###移码###（偏移后的原码）</t>
  </si>
  <si>
    <t>尾数M共###23###位，为###去掉最高位1###的###原###码</t>
  </si>
  <si>
    <t>十进制转二进制</t>
  </si>
  <si>
    <t>把十进制数按核心公式写出</t>
  </si>
  <si>
    <t>写出对应的二进制</t>
  </si>
  <si>
    <t>二进制转十进制</t>
  </si>
  <si>
    <t>按位数分块给出符号、阶码、尾数</t>
  </si>
  <si>
    <t>写出对应的十进制</t>
  </si>
  <si>
    <t>IEEE754加减</t>
  </si>
  <si>
    <t>获得二进制表示</t>
  </si>
  <si>
    <t>确定阶码是否相同</t>
  </si>
  <si>
    <t>若不同，进行对阶，###低###阶向###高###阶看齐</t>
  </si>
  <si>
    <t>阶码增加，尾数同步###右###移/规，阶码减少，尾数同步###左###移/规</t>
  </si>
  <si>
    <t>尾数带上隐藏位和符号位，进行原码加减</t>
  </si>
  <si>
    <t>产生的新尾数根据小数点左侧是否仅1来进行规格化</t>
  </si>
  <si>
    <t>阶码如果在规格化过程中变为###全1###，则发生了规格化###上溢###</t>
  </si>
  <si>
    <t>阶码如果在规格化过程中变为###全0###，则发生了规格化###下溢###</t>
  </si>
  <si>
    <t>如果发生###下溢###，则###使用非规格化表示###</t>
  </si>
  <si>
    <t>即阶码全0###，尾数也采用对应规格（即隐藏位###为0###）</t>
  </si>
  <si>
    <t>恢复余数</t>
  </si>
  <si>
    <t>先把除数和被除数的符号进行###异或###，得到###商的符号###</t>
  </si>
  <si>
    <t>然后用被除数和除数的###绝对值###（下文提到的被除数和除数）进行除法求出###商的绝对值###</t>
  </si>
  <si>
    <t>初始化：余数为###0###，位数n为被除数和除数的位数</t>
  </si>
  <si>
    <t>循环步骤1.余数减去除数</t>
  </si>
  <si>
    <t>循环步骤2.判断是否小于0</t>
  </si>
  <si>
    <t>分支2.1.若差小于0，则###差加回除数恢复余数###，商上###0###</t>
  </si>
  <si>
    <t>分支2.2.若差大于0，则###什么也不做###，商上###1###</t>
  </si>
  <si>
    <t>循环步骤3.中间余数低位拼接###被除数###，两者一起向###左###移位，低位补###0###</t>
  </si>
  <si>
    <t>循环步骤4.拼接数高n位作为新的###余数###，低n位作为新的###被除数###</t>
  </si>
  <si>
    <t>重复循环###n+1###次，从最###低###位开始截取商的###n###位，乘上商的符号，作为最终结果</t>
  </si>
  <si>
    <t>组合积分的扩展### ###（无需作答）</t>
  </si>
  <si>
    <t>例子：sinx*sin2x*sin3x进行非恒等变换，加上和减去cosx*cos2x*cos3x，两个衍生积分分别使用cos的和角与差角公式</t>
  </si>
  <si>
    <t>本质：k*I=I1±I2，I1≠I2≠I（这一点区分于循环分部积分为代表的A=f(x)+kA）</t>
  </si>
  <si>
    <t>已知场景：大量出现正余弦函数，且简单变形（可以是非恒等）后具有对偶性</t>
  </si>
  <si>
    <t>目标：寻找可以分别进行积分求解的“积木块”（和二重积分轮换对称后相加相消的思路相反）</t>
  </si>
  <si>
    <t>倒数式区间再现</t>
  </si>
  <si>
    <t>上下限为从a到b</t>
  </si>
  <si>
    <t>那么t可以除了可以换元为t=a+b-x外，还可以换元为t=###a*b/x###</t>
  </si>
  <si>
    <t>由于t=###a*b/x###，上下限变为###a*b/a=b###到###a*b/b=a###，发生了第一次交换</t>
  </si>
  <si>
    <t>与此同时，因为x=###a*b/t###，dx=###-a*b/t²dt###，将###负号提出###，则上下限再次交换，区间相比原式维持不变</t>
  </si>
  <si>
    <t>定积分应用类，上下限如果不是特殊角的三角函数值的题目，建议不要使用三角换元。### ###（无需作答）</t>
  </si>
  <si>
    <t>口诀：662N4 收发协数验</t>
  </si>
  <si>
    <t>解释：这是###802.3###标准的</t>
  </si>
  <si>
    <t>###数据链路###层的</t>
  </si>
  <si>
    <t>###帧###（该类报文的称呼）协议报文字段###长度###（总长度/单位长度）信息</t>
  </si>
  <si>
    <t>收发协数验：###目的MAC、源MAC、协议类型、数据、校验码###</t>
  </si>
  <si>
    <t>TCP三握四挥的恋爱比喻### ###（无需作答）</t>
  </si>
  <si>
    <t>三握：男客户端，女服务端</t>
  </si>
  <si>
    <t>男：我喜欢你！</t>
  </si>
  <si>
    <t>女：我也喜欢你！</t>
  </si>
  <si>
    <t>男：那咱们交往吧！</t>
  </si>
  <si>
    <t>四挥：男客户端，女服务端</t>
  </si>
  <si>
    <t>男：我们分手吧。</t>
  </si>
  <si>
    <t>女：我需要考虑一下。</t>
  </si>
  <si>
    <t>女：好吧，我同意分手。</t>
  </si>
  <si>
    <t>男：祝你幸福。</t>
  </si>
  <si>
    <t>函数函数在a到b（a≠b）之间的均值</t>
  </si>
  <si>
    <t>定义：###f(x)从a到b的定积分除以(b-a)###</t>
  </si>
  <si>
    <t>注意：如果进行###换元###，除区间长度以###原来的###为准</t>
  </si>
  <si>
    <t>正弦和余弦函数求一次导，等于###相位###加上###pi/2###</t>
  </si>
  <si>
    <t>f(x)是在R上以T为周期的连续函数，则下述命题互为充要条件</t>
  </si>
  <si>
    <t>变限积分Int(0,x):f(t)dt为以T为周期的函数</t>
  </si>
  <si>
    <t>定积分Int(0.T):f(t)dt=###0###</t>
  </si>
  <si>
    <t>不定积分改写定（变限积分）的题目条件暗示### ###（无需作答）</t>
  </si>
  <si>
    <t>对不定积分进行求导（位于极限分子时，极限整体要洛必达）</t>
  </si>
  <si>
    <t>不定积分经过某个定点，研究周期性和奇偶性</t>
  </si>
  <si>
    <t>二阶变系数齐次线性微分方程</t>
  </si>
  <si>
    <t>题目形式：给出方程，然后给两个解y1和y2（其中一个含有未知的抽象函数u(x)），求通解y*</t>
  </si>
  <si>
    <t>核心是求出u(x)，可以利用公式###y1'y2-y2'y1=C*exp(-Int:p(x)dx)###，其中p(x)为###一阶导前的变系数###</t>
  </si>
  <si>
    <t>求出u(x)，就能得到y1和y2的具体形式，然后用y1和y2带系数组成通解y*</t>
  </si>
  <si>
    <t>分时系统必有###交互###性</t>
  </si>
  <si>
    <t>微内核的缺点是###效率低下###</t>
  </si>
  <si>
    <t>极限保序性</t>
  </si>
  <si>
    <t>条件</t>
  </si>
  <si>
    <t>在x=x0的去心（不等于x0）邻域（左、右、双侧）</t>
  </si>
  <si>
    <t>恒有f(x)###&lt;=###g(x)（小于/小于等于）</t>
  </si>
  <si>
    <t>结论</t>
  </si>
  <si>
    <t>f在x左（右）极限为a，g在x左（右）极限为b</t>
  </si>
  <si>
    <t>必有a###&lt;=###b（小于/小于等于）</t>
  </si>
  <si>
    <t>易错</t>
  </si>
  <si>
    <t>条件是###非严格###不等式，结论是###非严格###不等式（严格/非严格）</t>
  </si>
  <si>
    <t>即使条件是###严格###不等式，也只能推###非严格###不等式结论</t>
  </si>
  <si>
    <t>原因：极限只是一种趋势，即使函数值始终小，但趋势也可能接近并相等</t>
  </si>
  <si>
    <t>反例：f=x，g=x+|x|，x0取x=0</t>
  </si>
  <si>
    <t>逆定理：左（右）极限###严格###有序，则必存在去心左（右）邻域使邻域内的函数值也###严格###保序（严格/非严格）</t>
  </si>
  <si>
    <t>任何函数都可以分解为一个奇函数与一个偶函数的和### ###（无需作答）</t>
  </si>
  <si>
    <t>可以用于一个函数和它自变量取相反数进行加减时使用</t>
  </si>
  <si>
    <t>数列Xn有界的充要条件（原20240426答疑整理4）：###|Xn|&lt;=M###</t>
  </si>
  <si>
    <t>对于省去正负号的分类讨论很有用</t>
  </si>
  <si>
    <t>要注意f(x)=lim(t):g(t,x)这种方式定义的函数</t>
  </si>
  <si>
    <t>讨论f(x)间断点前，要先###设法去掉lim(t)###，把###极限定义###形式转为###一般解析###形式，然后再研究</t>
  </si>
  <si>
    <t>线性微分方程的特点</t>
  </si>
  <si>
    <t>各阶导数的次幂为###1或0###次</t>
  </si>
  <si>
    <t>最高阶导数的次幂一定为###1###次</t>
  </si>
  <si>
    <t>各阶导数只能以###线性组合###的形式出现</t>
  </si>
  <si>
    <t>不能有不同阶导数的###乘积###或###复合###</t>
  </si>
  <si>
    <t>易错点：要注意，有些线性微分方程的是x(y)型而非常见的y(x)型</t>
  </si>
  <si>
    <t>比如x*dy/dx=cos(y)+1</t>
  </si>
  <si>
    <t>z=f(x,y)的二阶混合偏导均在区域D上连续，则二者相等### ###（无需作答）</t>
  </si>
  <si>
    <t>中断机制是CPU都有的，即使没有操作系统也会有中断</t>
  </si>
  <si>
    <t>###GPRs、用户栈指针###的保存是操作系统独有的</t>
  </si>
  <si>
    <t>保存###PC、PSW、###是裸机和操作系统都有的</t>
  </si>
  <si>
    <t>其中###PSW###的保存是子程序调用时不会发生的</t>
  </si>
  <si>
    <t>子程序调用和系统调用都是程序调用，主要区别在于###是否有处理机状态切换###</t>
  </si>
  <si>
    <t>两者均遵循：</t>
  </si>
  <si>
    <t>1.###入参压栈（一般子程序）/压寄存器（系统调用）###</t>
  </si>
  <si>
    <t>2.###call/trap指令###</t>
  </si>
  <si>
    <t>3.###保存现场###</t>
  </si>
  <si>
    <t>4.###程序入口装入PC并开始执行###</t>
  </si>
  <si>
    <t>系统/程序调用是###同步###事件，###无需###关中断</t>
  </si>
  <si>
    <t>5.###恢复现场（系统/程序调用是同步事件，无需关中断）###</t>
  </si>
  <si>
    <t>保存与恢复现场：中断和调用程序的差异</t>
  </si>
  <si>
    <t>系统/程序调用是###同步###事件，###无需###关开中断</t>
  </si>
  <si>
    <t>中断是###异步###事件，###需要###关开中断</t>
  </si>
  <si>
    <t>分母真0会破坏极限的定义（处处有定义的去心邻域）### ###（无需作答）</t>
  </si>
  <si>
    <t>极限求解时的部分极限恒定性（存在一个恒等于某常数的去心邻域）会导致这个部分极限退化为该常数### ###（无需作答）</t>
  </si>
  <si>
    <t>举例：f(x)在某点x0处存在恒为c的去心邻域，那么lim(x-&gt;x0):g(f(x),x)=lim(x-&gt;x0):g(c,x)</t>
  </si>
  <si>
    <t>多用户一定分时，分时未必多用户### ###（无需作答）</t>
  </si>
  <si>
    <t>NVRAM很小，不可能从中加载ISO### ###（无需作答）</t>
  </si>
  <si>
    <t>分配资源的基本单位</t>
  </si>
  <si>
    <t>作业：###批处理系统###</t>
  </si>
  <si>
    <t>进程：###多道程序系统###</t>
  </si>
  <si>
    <t>响应中断的三条件### ###（无需作答）</t>
  </si>
  <si>
    <t>中断源发出的中断请求</t>
  </si>
  <si>
    <t>CPU允许中断</t>
  </si>
  <si>
    <t>内部中断无法被屏蔽（关中断也无效）</t>
  </si>
  <si>
    <t>当前指令执行完成且无更紧急任务</t>
  </si>
  <si>
    <t>外中断、非异常内中断检测发生在指令执行后</t>
  </si>
  <si>
    <t>异常（内部中断的一种）检测发生在执行执行中</t>
  </si>
  <si>
    <t>多元函数极限的套路</t>
  </si>
  <si>
    <t>优先观察能否进行###极坐标转换###</t>
  </si>
  <si>
    <t>不能的情况下进行###夹逼求解###</t>
  </si>
  <si>
    <t>###两侧极限###尽量构造为适合进行###极坐标转换###的类型</t>
  </si>
  <si>
    <t>极限定义的函数（f(x)=lim(t):g(t,x)）在极限不存在（无论是无穷还是震荡）处的点无定义### ###（无需作答）</t>
  </si>
  <si>
    <t>分母x^t，x&lt;-1，t趋于无穷，那么1/(x^t)的极限###为0（|x|^t是无穷大，吸收(-1)^t的有界振荡）###</t>
  </si>
  <si>
    <t>柯西洗袜子不等式：</t>
  </si>
  <si>
    <t>(x²+y²)*(m²+n²)###&gt;=###(m*x+n*y)²</t>
  </si>
  <si>
    <t>(x²-y²)*(m²-n²)###&lt;=###(m*x-n*y)²</t>
  </si>
  <si>
    <t>(x+y)*(m+n)###&gt;=###(sqrt(m*x)+sqrt(n*y))²</t>
  </si>
  <si>
    <t>(x+y)*(m²/x+n²/y)###&gt;=###(m+n)²</t>
  </si>
  <si>
    <t>汇编和链接的先后顺序：先###汇编###，后###链接###</t>
  </si>
  <si>
    <t>汇编：###汇编指令###转###二进制###</t>
  </si>
  <si>
    <t>链接：###分散二进制程序###转###单一二进制程序###</t>
  </si>
  <si>
    <t>原因：符号引用的解析需要二进制的###地址偏移###</t>
  </si>
  <si>
    <t>中断式I/O，外设准备数据不能###快于###（快于/慢于）中断处理，否则会造成###数据丢失###</t>
  </si>
  <si>
    <t>多元函数的极限确定存在时，可以锁定其中一个变量到趋向点，使极限变为一个一元极限### ###（无需作答）</t>
  </si>
  <si>
    <t>当f(x,y)在(0,0)点连续，且lim(x,y-&gt;0):f(x,y)/(x²+y²)存在时，可以立刻得到f(x,y)###可微###</t>
  </si>
  <si>
    <t>那个极限存在，可以得到###lim(x,y-&gt;0):f(x,y)=0###</t>
  </si>
  <si>
    <t>上一条加连续，可以得到###f(x,y)=0###</t>
  </si>
  <si>
    <t>偏导定义：###lim(x-&gt;0):(f(x,0)-f(0,0))/x###</t>
  </si>
  <si>
    <t>分子简化：###lim(x-&gt;0):f(x,0)/x###</t>
  </si>
  <si>
    <t>条件极限锁定y=0：###lim(x-&gt;0):f(x,0)/(x²+y²)###存在</t>
  </si>
  <si>
    <t>比阶：f(x,0)比###x²+y²###高阶，###x²+y²###比###x###高阶，因此f(x,0)比###x###高阶</t>
  </si>
  <si>
    <t>偏导=0</t>
  </si>
  <si>
    <t>可微定义式：###(f(x,y)-f(0,0)-fx(0,0)x-fy(0,0)y)/sqrt(x²+y²)###</t>
  </si>
  <si>
    <t>偏导真0：###(f(x,y)-f(0,0))/sqrt(x²+y²)###</t>
  </si>
  <si>
    <t>利用连续：###f(x,y)/sqrt(x²+y²)###</t>
  </si>
  <si>
    <t>比阶：f(x,y)比###x²+y²###高阶，###x²+y²###比###sqrt(x²+y²)###高阶，因此f(x,y)比###sqrt(x²+y²)###高阶</t>
  </si>
  <si>
    <t>可微定义极限=0</t>
  </si>
  <si>
    <t>多项式韦达定理：</t>
  </si>
  <si>
    <t>(x-a1)*(x-a2)*...*(x-an)=(x^n)+(c[n-1]*x^(n-1))+...+c1*x+c0</t>
  </si>
  <si>
    <t>c[n-1]=###-(a1+a2+a3+...+an)###</t>
  </si>
  <si>
    <t>c[n-k]=###((-1)^k)*k个不同ai乘积的和###</t>
  </si>
  <si>
    <t>c[0]=###((-1)^n)*a1*a2*a3*...*an###</t>
  </si>
  <si>
    <t>命令解释器和解释型语言的解释器是不同的东西，当“命令”出现时，它指的是cmd或者bash这种操作系统提供的命令接口。### ###（无需作答）</t>
  </si>
  <si>
    <t>多元偏导存在不能推连续，更不能推极限存在</t>
  </si>
  <si>
    <t>但是可以推###剖面曲线###连续</t>
  </si>
  <si>
    <t>函数最值问题记得要验证不可导点### ###（无需作答）</t>
  </si>
  <si>
    <t>用户态切换核心态需要靠硬件（中断必核心），反之不需要（特权指令）### ###（无需作答）</t>
  </si>
  <si>
    <t>操作系统的分层式架构便于调试### ###（无需作答）</t>
  </si>
  <si>
    <t>启机相关问题</t>
  </si>
  <si>
    <t>启机顺序：###BIOS###-&gt;###引导程序/Bootloader###-&gt;###操作系统内核###</t>
  </si>
  <si>
    <t>BIOS：位于主板的ROM，嵌入式设备没有</t>
  </si>
  <si>
    <t>引导程序/Bootloader：位于硬盘引导分区或者Flash，嵌入式设备的Bootloader要负责BIOS的任务</t>
  </si>
  <si>
    <t>BIOS的顺序：###跳转BIOS###-&gt;###设定BIOS中断服务地址###-&gt;###硬件自检###-&gt;###跳转引导程序/Bootloader###</t>
  </si>
  <si>
    <t>拐点（凹凸性改变点）可以是不可导点</t>
  </si>
  <si>
    <t>举例：f(x)=x^(1/3)在x=0处，切线垂直，导数为无穷大，但是在该点处二阶导###异号###（无论是否可导）</t>
  </si>
  <si>
    <t>可能创建进程的操作四种：###用户登录、作业调度、提供服务、应用请求###</t>
  </si>
  <si>
    <t>并发程序执行的特点是间断性### ###（无需作答）</t>
  </si>
  <si>
    <t>死锁的四个条件：###资源互斥、有了还要、不可剥夺、循环等待###</t>
  </si>
  <si>
    <t>管程可以做空，先V后P，但一般进程中直接使用的信号量则不可以### ###（无需作答）</t>
  </si>
  <si>
    <t>父进程撤销，其从属的子进程也要撤销### ###（无需作答）</t>
  </si>
  <si>
    <t>不死锁的最少资源个数：###n*(m-1)+1###，其中，n为进程个数，m为每个进程需要的资源个数</t>
  </si>
  <si>
    <t>变限积分求导公式的使用条件</t>
  </si>
  <si>
    <t>被积函数f(x)在###闭##区间a到b上##连续###</t>
  </si>
  <si>
    <t>变限积分的可导性和求导公式也仅在###闭区间a到b###上成立</t>
  </si>
  <si>
    <t>非连续点必须用###求导的极限定义###求解</t>
  </si>
  <si>
    <t>特例法大杀器-常见性质### ###（无需作答）</t>
  </si>
  <si>
    <t>一阶或二阶可导（一元）：f(x)在区间区间(a,b)内具有k阶导数</t>
  </si>
  <si>
    <t>偏导数存在（多元）：f(x,y)在趋区域D内存在一阶偏导fx(x,y)和fy(x,y)，且D内处处可求偏导</t>
  </si>
  <si>
    <t>连续性（一元）：f(x)在开（闭）区间a到b上连续</t>
  </si>
  <si>
    <t>可微性（多元）：f(x,y)在点(x0,y0)处可微，满足可微的极限定义式等于0</t>
  </si>
  <si>
    <t>极限存在（一元）：f(x)在x趋于x0时极限存在，且极限等于A</t>
  </si>
  <si>
    <t>连续性（多元）：f(x,y)在区域D上连续，D内任意点处f(x,y)的极限等于f(x,y)在该点处的函数值</t>
  </si>
  <si>
    <t>周期性（一元）：f(x)是以T为周期的周期函数，满足f(x+T)=f(x)</t>
  </si>
  <si>
    <t>可定积分（一元）：f(x)在开（闭）区间a到b上可积，且定积分值等于常数k</t>
  </si>
  <si>
    <t>二阶偏导连续（多元）：f(x,y)在区域D内的二阶偏导数均连续，满足fxy(x,y)=fyx(x,y)（混合偏导相等）</t>
  </si>
  <si>
    <t>奇函数（一元）：f(x)在定义域内满足f(-x)=-f(x)</t>
  </si>
  <si>
    <t>偶函数（一元）：f(x)在定义域内满足f(-x)=f(x)</t>
  </si>
  <si>
    <t>相切（一元）：f(x)在点(x0,f(x0))处与直线y=kx+b相切</t>
  </si>
  <si>
    <t>反常积分收敛（一元）：被积函数为f(x)的无穷积分/瑕积分（若无瑕点，则在无穷限上积分）收敛到常数C</t>
  </si>
  <si>
    <t>如果约束是等式约束，可以把约束代入目标函数，转化为无条件极值（无需拉格朗日乘数法）### ###（无需作答）</t>
  </si>
  <si>
    <t>特例法大杀器-二元组合### ###（无需作答）</t>
  </si>
  <si>
    <t>一阶或二阶可导（一元）+连续性（一元）</t>
  </si>
  <si>
    <t>00：分段函数{f(x)=1,x≥0;f(x)=-1,x&lt;0}，在x=0处不连续且不可导。</t>
  </si>
  <si>
    <t>01：函数f(x)=|x|，在x=0处连续但不可导。</t>
  </si>
  <si>
    <t>10：NA（可导函数必连续，不存在可导但不连续的函数）。</t>
  </si>
  <si>
    <t>11：函数f(x)=x²，在实数域内连续且二阶可导。</t>
  </si>
  <si>
    <t>一阶或二阶可导（一元）+极限存在（一元）</t>
  </si>
  <si>
    <t>00：分段函数{f(x)=sin(1/x),x≠0;f(x)=0,x=0}，在x=0处极限不存在且不可导。</t>
  </si>
  <si>
    <t>01：分段函数{f(x)=|x|,x≠0;f(x)=1,x=0}，在x=0处极限存在（为0）但不连续（故不可导）。</t>
  </si>
  <si>
    <t>10：NA（可导必连续，连续必极限存在，不存在可导但极限不存在的函数）。</t>
  </si>
  <si>
    <t>11：函数f(x)=x³，在实数域内可导且极限处处存在。</t>
  </si>
  <si>
    <t>连续性（一元）+极限存在（一元）</t>
  </si>
  <si>
    <t>00：分段函数{f(x)=sin(1/x),x≠0;f(x)=0,x=0}，在x=0处极限不存在且不连续。</t>
  </si>
  <si>
    <t>01：分段函数{f(x)=x,x≠0;f(x)=1,x=0}，在x=0处极限存在（值为0）但不连续。</t>
  </si>
  <si>
    <t>10：NA（连续函数在该点极限必存在，无法构造反例）。</t>
  </si>
  <si>
    <t>11：函数f(x)=x，在实数域内处处连续且极限存在。</t>
  </si>
  <si>
    <t>偏导数存在（多元）+可微性（多元）</t>
  </si>
  <si>
    <t>00：函数f(x,y)=|x|+|y|，在点(0,0)处对x的偏导数lim(Δx→0)|Δx|/Δx不存在，对y的偏导数同理不存在，故偏导数不存在且不可微。</t>
  </si>
  <si>
    <t>01：NA（可微性要求偏导数必存在，无法构造偏导数不存在但可微的函数）。</t>
  </si>
  <si>
    <t>10：函数{f(x,y)=x²y/(x⁴+y²),(x,y)≠(0,0);f(x,y)=0,(x,y)=(0,0)}，在点(0,0)处偏导数fₓ(0,0)=fᵧ(0,0)=0，但沿路径y=kx²趋近(0,0)时，lim(x→0,y=kx²)[f(x,y)-0-0・x-0・y]/sqrt(x²+y²)与k相关，不满足可微的极限定义，故偏导数存在但不可微。</t>
  </si>
  <si>
    <t>11：函数f(x,y)=x²+y²，在任意点(x,y)处偏导数fₓ=2x、fᵧ=2y存在且连续，全微分df=2xdx+2ydy成立，故偏导数存在且可微。</t>
  </si>
  <si>
    <t>死锁检测###不需要###（需要/不需要）知道进程所需资源总量</t>
  </si>
  <si>
    <t>特例法大杀器-三元组合### ###（无需作答）</t>
  </si>
  <si>
    <t>一阶或二阶可导（一元）+连续性（一元）+极限存在（一元）</t>
  </si>
  <si>
    <t>000：分段函数{f(x)=1/x,x≠0;f(x)=0,x=0}，在x=0处极限不存在（左右极限均为无穷）、不连续且不可导。</t>
  </si>
  <si>
    <t>001：分段函数{f(x)=x,x≠0;f(x)=1,x=0}，在x=0处极限存在（值为0），但不连续（函数值为1）且不可导。</t>
  </si>
  <si>
    <t>010：NA（连续性必蕴含极限存在，无法构造连续但极限不存在的函数）。</t>
  </si>
  <si>
    <t>011：函数f(x)=|x|，在x=0处连续且极限存在（值为0），但一阶导数不存在（左右导数分别为-1和1，矛盾）。</t>
  </si>
  <si>
    <t>100：NA（可导必连续，连续必极限存在，无法构造可导但不连续且极限不存在的函数）。</t>
  </si>
  <si>
    <t>101：NA（可导必连续，无法构造可导但不连续的函数）。</t>
  </si>
  <si>
    <t>110：NA（连续必极限存在，无法构造连续但极限不存在的函数）。</t>
  </si>
  <si>
    <t>111：函数f(x)=x²，在实数域内二阶可导、连续且极限处处存在（任意点极限等于函数值）。</t>
  </si>
  <si>
    <t>偏导数存在（多元）+可微性（多元）+连续性（多元）</t>
  </si>
  <si>
    <t>000：分段函数{f(x,y)=1,xy≠0;f(x,y)=0,xy=0}，在点(0,0)处偏导数不存在（如对x的偏导数在y=0时左右极限矛盾）、不可微且不连续（极限沿x=0和y=0路径分别为0和1，不唯一）。</t>
  </si>
  <si>
    <t>001：函数f(x,y)=|x|+|y|，在点(0,0)处偏导数不存在（对x的偏导数左右极限为-1和1）、不可微，但连续（|x|+|y|→0当(x,y)→(0,0)）。</t>
  </si>
  <si>
    <t>010：NA（可微性要求偏导数必存在，无法构造偏导数不存在但可微的函数）。</t>
  </si>
  <si>
    <t>011：NA（可微性要求偏导数必存在，且可微必连续，无法构造偏导数不存在但可微且连续的函数）。</t>
  </si>
  <si>
    <t>100：函数{f(x,y)=x²y/(x⁴+y²),(x,y)≠(0,0);f(x,y)=0,(x,y)=(0,0)}，在点(0,0)处偏导数fₓ(0,0)=0、fᵧ(0,0)=0（通过定义计算），但沿路径y=kx²趋近时极限为k/(1+k²)≠0，故不连续且不可微（全微分误差项极限不为0）。</t>
  </si>
  <si>
    <t>101：函数f(x,y)=√(|xy|)，在点(0,0)处偏导数fₓ(0,0)=0、fᵧ(0,0)=0（定义计算），连续（|√(|xy|)|≤√(x²+y²)/√2→0），但不可微（全微分误差项Δf-0-0=√(|ΔxΔy|)，与ρ=√(Δx²+Δy²)的比值在Δx=Δy时为1/√2≠0）。</t>
  </si>
  <si>
    <t>110：NA（可微性必蕴含连续性，无法构造可微但不连续的函数）。</t>
  </si>
  <si>
    <t>111：函数f(x,y)=x²+y²，在任意点处偏导数fₓ=2x、fᵧ=2y存在且连续，全微分df=2xΔx+2yΔy，余项(Δx)²+(Δy)²=o(ρ)，故可微且连续（多项式函数处处连续）。</t>
  </si>
  <si>
    <t>偏导数存在（多元）+可微性（多元）+二阶偏导连续（多元）</t>
  </si>
  <si>
    <t>000：函数f(x,y)=|x|+|y|，在点(0,0)处对x的偏导数lim(Δx→0)|Δx|/Δx不存在（左右极限为-1和1），故偏导数不存在、不可微，且二阶偏导无定义（自然不连续）。</t>
  </si>
  <si>
    <t>001：NA（偏导数不存在时，无法存在二阶偏导数，更无法连续）。</t>
  </si>
  <si>
    <t>010：NA（可微性要求偏导数必存在，偏导数不存在时不可微）。</t>
  </si>
  <si>
    <t>011：NA（偏导数不存在时，无法满足可微性和二阶偏导连续）。</t>
  </si>
  <si>
    <t>100：函数{f(x,y)=x²y/(x⁴+y²),(x,y)≠(0,0);f(x,y)=0,(x,y)=(0,0)}，在点(0,0)处偏导数fₓ(0,0)=0、fᵧ(0,0)=0（定义计算），但沿路径y=kx²趋近时极限不唯一，故不可微；且一阶偏导在(0,0)附近不连续（如fₓ(x,kx²)随k变化），导致二阶偏导不连续。</t>
  </si>
  <si>
    <t>101：NA（若二阶偏导连续，则一阶偏导必连续，而一阶偏导连续是可微的充分条件，与“不可微”矛盾）。</t>
  </si>
  <si>
    <t>110：函数f(x,y)=x²y²sin(1/(x²+y²))（(x,y)≠(0,0)时），f(0,0)=0。在(0,0)处偏导数存在且可微（全微分误差项满足o(ρ)），但二阶偏导在原点附近因sin(1/(x²+y²))的振荡性不连续。</t>
  </si>
  <si>
    <t>111：函数f(x,y)=x³+y³，在任意点处偏导数fₓ=3x²、fᵧ=3y²存在且连续，可微；二阶偏导数fₓₓ=6x、fᵧᵧ=6y、fₓᵧ=fᵧₓ=0均连续，满足所有条件。</t>
  </si>
  <si>
    <t>偏导数存在（多元）+连续性（多元）+二阶偏导连续（多元）</t>
  </si>
  <si>
    <t>000：函数f(x,y)=|x|+|y|，在点(0,0)处对x的偏导数lim(Δx→0)|Δx|/Δx不存在（左右极限为-1和1），故偏导数不存在；沿x=0和y=0路径趋近原点时函数值分别为|y|和|x|，极限为0，但沿y=x路径时f(x,x)=2|x|→0，整体连续？不，此处错误：|x|+|y|在原点是连续的，但偏导数不存在。修正：分段函数{f(x,y)=1,x²+y²≥1;f(x,y)=0,x²+y²&lt;1}，在原点处不连续（边界突变），偏导数不存在（不连续导致），二阶偏导无定义（不连续且偏导数不存在）。</t>
  </si>
  <si>
    <t>001：NA（偏导数不存在时，二阶偏导数无定义，无法满足“二阶偏导连续”）。</t>
  </si>
  <si>
    <t>010：函数f(x,y)=|x|+|y|，在点(0,0)处连续（|x|+|y|→0当(x,y)→(0,0)），但对x的偏导数lim(Δx→0)(|Δx|)/Δx不存在（左右极限矛盾），故偏导数不存在；二阶偏导数无定义，自然不连续。</t>
  </si>
  <si>
    <t>011：NA（偏导数不存在时，无法满足“可微性”或“二阶偏导连续”）。</t>
  </si>
  <si>
    <t>100：函数{f(x,y)=x²y/(x⁴+y²),(x,y)≠(0,0);f(x,y)=0,(x,y)=(0,0)}，在点(0,0)处偏导数fₓ(0,0)=0、fᵧ(0,0)=0（定义计算），但沿路径y=kx²趋近时极限为k/(1+k²)≠0，故不连续；一阶偏导在(0,0)附近不连续（如fₓ(x,kx²)=2k/(1+k²)随k变化），导致二阶偏导不连续。</t>
  </si>
  <si>
    <t>101：NA（若二阶偏导连续，则一阶偏导必连续，而一阶偏导连续→函数可微→函数必连续，与“不连续”矛盾）。</t>
  </si>
  <si>
    <t>110：函数f(x,y)=x²y²sin(1/(x²+y²))（(x,y)≠(0,0)时），f(0,0)=0。在(0,0)处偏导数存在（fₓ(0,0)=0，fᵧ(0,0)=0），且连续（|x²y²sin(1/(x²+y²))|≤x²y²→0），但二阶偏导数在原点附近因sin(1/(x²+y²))的振荡性不连续（如fₓₓ在(ε,0)处为2sin(1/ε²)，极限不存在）。</t>
  </si>
  <si>
    <t>111：函数f(x,y)=x³+y³，在任意点处偏导数fₓ=3x²、fᵧ=3y²存在且连续，故连续；二阶偏导数fₓₓ=6x、fᵧᵧ=6y、fₓᵧ=fᵧₓ=0均连续，满足所有条件。</t>
  </si>
  <si>
    <t>可微性（多元）+连续性（多元）+二阶偏导连续（多元）</t>
  </si>
  <si>
    <t>000：分段函数{f(x,y)=1,x²+y²≥1;f(x,y)=0,x²+y²&lt;1}，在原点处不连续（边界突变），故不可微，二阶偏导无定义（不连续且偏导数不存在）。</t>
  </si>
  <si>
    <t>001：NA（连续性不成立时，函数在该点无定义或极限不存在，无法满足二阶偏导连续）。</t>
  </si>
  <si>
    <t>010：函数f(x,y)=|x|+|y|，在原点处连续（|x|+|y|→0），但不可微（偏导数不存在），二阶偏导无定义（偏导数不存在），故二阶偏导不连续。</t>
  </si>
  <si>
    <t>011：NA（可微性不成立时，若二阶偏导连续则一阶偏导必连续，而一阶偏导连续→可微，矛盾）。</t>
  </si>
  <si>
    <t>100：NA（可微性必蕴含连续性，无法构造可微但不连续的函数）。</t>
  </si>
  <si>
    <t>101：NA（可微性必蕴含连续性，与“连续性不成立”矛盾）。</t>
  </si>
  <si>
    <t>110：函数f(x,y)=x²y²sin(1/(x²+y²))（(x,y)≠(0,0)时f=0），在原点处可微（全微分误差项满足o(ρ)）且连续，但二阶偏导数因sin(1/(x²+y²))振荡而不连续（如fₓₓ在(ε,0)处极限不存在）。</t>
  </si>
  <si>
    <t>111：函数f(x,y)=x³+y³，在任意点处可微（偏导数连续）、连续，且二阶偏导数fₓₓ=6x、fᵧᵧ=6y、fₓᵧ=0均连续，满足所有条件。</t>
  </si>
  <si>
    <t>特例法大杀器-一元运算### ###（无需作答）</t>
  </si>
  <si>
    <t>性质排序参考20250616</t>
  </si>
  <si>
    <t>相反数（-f(x)=g(x)或-f(x,y)=g(x,y)）</t>
  </si>
  <si>
    <t>00：###&gt;&gt;&gt;f(x)=|x|（不可导）,g(x)=-|x|（不可导）###-###&gt;&gt;&gt;f(x,y)=|x|+|y|（偏导数不存在）,g(x,y)=-|x|-|y|（偏导数不存在）###-###&gt;&gt;&gt;f(x)=分段函数{1,x≥0;-1,x&lt;0}（不连续）,g(x)=分段函数{-1,x≥0;1,x&lt;0}（不连续）###-###&gt;&gt;&gt;f(x,y)=√(|xy|)（在(0,0)处不可微）,g(x,y)=-√(|xy|)（在(0,0)处不可微）###-###&gt;&gt;&gt;f(x)=分段函数{sin(1/x),x≠0;0,x=0}（x→0极限不存在）,g(x)=分段函数{-sin(1/x),x≠0;0,x=0}（x→0极限不存在）###-###&gt;&gt;&gt;f(x,y)=分段函数{1,xy≠0;0,xy=0}（在(0,0)处不连续）,g(x,y)=分段函数{-1,xy≠0;0,xy=0}（在(0,0)处不连续）###-###&gt;&gt;&gt;f(x)=x+1（非周期函数）,g(x)=-x-1（非周期函数）###-###&gt;&gt;&gt;f(x)=分段函数{1,x为有理数；0,x为无理数}（不可积）,g(x)=分段函数{-1,x为有理数；0,x为无理数}（不可积）###-###&gt;&gt;&gt;f(x,y)=x²y/(x⁴+y²)（在(0,0)处二阶偏导不连续）,g(x,y)=-x²y/(x⁴+y²)（在(0,0)处二阶偏导不连续）###-###&gt;&gt;&gt;f(x)=x²+1（非奇函数）,g(x)=-x²-1（非奇函数）###-###性质K情形1：f(x)不满足性质K，g(x)满足性质K###-###性质L情形1：f(x)不满足性质L，g(x)满足性质L###-###性质M情形1：f(x)不满足性质M，g(x)满足性质M###-</t>
  </si>
  <si>
    <t>01：###&gt;&gt;&gt;NA（f不可导时g=-f必不可导）###-###&gt;&gt;&gt;NA（f偏导数不存在时g=-f必不存在）###-###&gt;&gt;&gt;NA（因f不连续时g=-f必不连续，故无法构造此情形。）###-###&gt;&gt;&gt;NA（f不可微时g=-f必不可微）###-###&gt;&gt;&gt;f(x)=分段函数{1,x≥0;0,x&lt;0}（x→0极限不存在）,g(x)=分段函数{-1,x≥0;0,x&lt;0}（x→0极限不存在）###-###&gt;&gt;&gt;NA（f不连续时g=-f必不连续）###-###&gt;&gt;&gt;f(x)=x（非周期）,g(x)=-x（非周期）###-###&gt;&gt;&gt;NA（若f(x)不可积，则其相反数g(x)=-f(x)的不连续点分布与f完全一致，仍不满足黎曼可积的“几乎处处连续”条件，故无法构造g可积的例子）###-###&gt;&gt;&gt;f(x,y)=x²y/(x⁴+y²)（二阶偏导不连续）,g(x,y)=-x²y/(x⁴+y²)（二阶偏导不连续）###-###&gt;&gt;&gt;f(x)=x²（非奇函数）,g(x)=-x²（非奇函数）###-###性质K情形2：f(x)满足性质K，g(x)不满足性质K###-###性质L情形2：f(x)满足性质L，g(x)不满足性质L###-###性质M情形2：f(x)满足性质M，g(x)不满足性质M###-</t>
  </si>
  <si>
    <t>10：###&gt;&gt;&gt;NA（f可导时g=-f必可导）###-###&gt;&gt;&gt;NA（f偏导数存在时g=-f必存在）###-###&gt;&gt;&gt;NA（f连续时g=-f必连续）###-###&gt;&gt;&gt;NA（f可微时g=-f必可微）###-###&gt;&gt;&gt;NA（f极限存在时g=-f必极限存在）###-###&gt;&gt;&gt;NA（f连续时g=-f必连续）###-###&gt;&gt;&gt;NA（f周期函数时g=-f必周期函数）###-###&gt;&gt;&gt;NA（f可积时g=-f必可积）###-###&gt;&gt;&gt;NA（f二阶偏导连续时g=-f必连续）###-###&gt;&gt;&gt;NA（因奇函数的相反数必为奇函数，故不存在f为奇函数而g非奇函数的情形）性质J情形3：f(x)满足性质J，g(x)满足性质J###-###性质K情形3：f(x)满足性质K，g(x)满足性质K###-###性质L情形3：f(x)满足性质L，g(x)满足性质L###-###性质M情形3：f(x)满足性质M，g(x)满足性质M###-</t>
  </si>
  <si>
    <t>11：###&gt;&gt;&gt;f(x)=x²（二阶可导）,g(x)=-x²（二阶可导）###-###&gt;&gt;&gt;f(x,y)=x²+y²（偏导数存在）,g(x,y)=-x²-y²（偏导数存在）###-###&gt;&gt;&gt;f(x)=x（连续）,g(x)=-x（连续）###-###&gt;&gt;&gt;f(x,y)=x²+y²（可微）,g(x,y)=-x²-y²（可微）###-###&gt;&gt;&gt;f(x)=x（x→0极限存在）,g(x)=-x（x→0极限存在）###-###&gt;&gt;&gt;f(x,y)=x+y（连续）,g(x,y)=-x-y（连续）###-###&gt;&gt;&gt;f(x)=sinx（周期2π）,g(x)=-sinx（周期2π）###-###&gt;&gt;&gt;f(x)=1（在[0,1]可积，积分值1）,g(x)=-1（在[0,1]可积，积分值-1）###-###&gt;&gt;&gt;f(x,y)=x³+y³（二阶偏导连续）,g(x,y)=-x³-y³（二阶偏导连续）###-###===性质K讨论===###-###===性质L讨论===###-###===性质M讨论===###-######-</t>
  </si>
  <si>
    <t>绝对值（|f(x)|=g(x)或|f(x,y)|=g(x,y)）</t>
  </si>
  <si>
    <t>00：###&gt;&gt;&gt;f(x)=|x|（在x=0不可导）,g(x)=||x||=|x|（在x=0不可导）###-###&gt;&gt;&gt;f(x,y)=|x|+|y|（在(0,0)偏导数不存在）,g(x,y)=||x|+|y||=|x|+|y|（在(0,0)偏导数不存在）###-###&gt;&gt;&gt;NA（若f(x)在x=0不连续，g(x)=|f(x)|连续，如f(x)=分段{1,x≥0;-1,x&lt;0}，g(x)=1连续）###-###&gt;&gt;&gt;f(x,y)=√(|xy|)（在(0,0)不可微）,g(x,y)=|√(|xy|)|=√(|xy|)（在(0,0)不可微）###-###&gt;&gt;&gt;f(x)=分段{sin(1/x),x≠0;0,x=0}（x→0极限不存在）,g(x)=分段{|sin(1/x)|,x≠0;0,x=0}（x→0极限不存在）###-###&gt;&gt;&gt;NA（若f(x,y)在(0,0)不连续，g(x,y)=|f(x,y)|连续，如f(x,y)=分段{1,xy≠0;0,xy=0}，g(x,y)=1连续）###-###&gt;&gt;&gt;f(x)=x+1（非周期）,g(x)=|x+1|（非周期）###-###&gt;&gt;&gt;NA（若f(x)不可积，g(x)=|f(x)|可积，如f(x)=狄利克雷函数，g(x)=1可积）###-###&gt;&gt;&gt;f(x,y)=x²y/(x⁴+y²)（在(0,0)二阶偏导不连续）,g(x,y)=|x²y/(x⁴+y²)|（在(0,0)二阶偏导不连续）###-###&gt;&gt;&gt;f(x)=x（奇函数）,g(x)=|x|（偶函数，非奇函数）###-###&gt;&gt;&gt;f(x)=x+1（非偶函数）,g(x)=|x+1|（非偶函数）###-###&gt;&gt;&gt;f(x)=分段{x,x≥0;2x,x&lt;0}（在x=0无切线）,g(x)=分段{|x|,x≥0;|2x|,x&lt;0}（在x=0无切线）###-###&gt;&gt;&gt;f(x)=1/x（x&gt;0时无穷积分发散）,g(x)=|1/x|=1/x（无穷积分发散）###-</t>
  </si>
  <si>
    <t>01：###&gt;&gt;&gt;NA（若f(x)不可导，g(x)=|f(x)|在同点仍不可导，如f(x)=|x|，g(x)=|x|不可导）###-###&gt;&gt;&gt;NA（若f(x,y)偏导数不存在，g(x,y)=|f(x,y)|偏导数仍不存在，如f(x,y)=|x|，g(x,y)=|x|）###-###&gt;&gt;&gt;f(x)=分段{1,x≥0;-1,x&lt;0}（在x=0不连续）,g(x)=1（在x=0连续）###-###&gt;&gt;&gt;NA（若f(x,y)不可微，g(x,y)=|f(x,y)|仍不可微，如f(x,y)=|x|，g(x,y)=|x|）###-###&gt;&gt;&gt;f(x)=分段{1,x≥0;0,x&lt;0}（x→0极限不存在）,g(x)=1（x→0极限存在）###-###&gt;&gt;&gt;f(x,y)=分段{1,xy≠0;0,xy=0}（在(0,0)不连续）,g(x,y)=1（在(0,0)连续）###-###&gt;&gt;&gt;NA（非周期函数取绝对值仍为非周期函数，无法使g为周期函数）###-###&gt;&gt;&gt;f(x)=狄利克雷函数（不可积）,g(x)=1（可积）###-###&gt;&gt;&gt;f(x,y)=分段{x²y/(x⁴+y²),x≠0;0,x=0}（在(0,0)二阶偏导不连续）,g(x,y)=0（二阶偏导连续）###-###&gt;&gt;&gt;f(x)=x（奇函数）,g(x)=|x|（偶函数）###-###&gt;&gt;&gt;f(x)=x+1（非偶函数）,g(x)=1（偶函数）###-###&gt;&gt;&gt;NA（若f(x)在x=0无切线，g(x)=|f(x)|仍无切线，如f(x)=|x|，g(x)=|x|）###-###&gt;&gt;&gt;f(x)=分段{e^x,x≥0;-e^x,x&lt;0}（无穷积分发散）,g(x)=e^x（无穷积分收敛）###-</t>
  </si>
  <si>
    <t>10：###&gt;&gt;&gt;f(x)=x（在x=0可导）,g(x)=|x|（在x=0不可导）###-###&gt;&gt;&gt;f(x,y)=x（在x=0偏导数存在）,g(x,y)=|x|（在x=0偏导数不存在）###-###&gt;&gt;&gt;NA（若f(x)连续，则g(x)=|f(x)|必连续，因|f(x)|-|f(x0)|≤|f(x)-f(x0)|→0）###-###&gt;&gt;&gt;f(x,y)=x（可微）,g(x,y)=|x|（在x=0不可微）###-###&gt;&gt;&gt;NA（若f(x)在x→x0极限存在，则g(x)=|f(x)|极限必存在，因||f(x)|-|A||≤|f(x)-A|→0）###-###&gt;&gt;&gt;NA（若f(x,y)连续，则g(x,y)=|f(x,y)|必连续，同上理）###-###&gt;&gt;&gt;NA（若f(x)周期T，则g(x)=|f(x)|周期≤T，如f(x)=sinx周期2π，g(x)=|sinx|周期π，不满足原周期性质）###-###&gt;&gt;&gt;NA（黎曼可积函数的绝对值必可积，因振幅ω(|f|)≤ω(f)）###-###&gt;&gt;&gt;f(x,y)=x³（二阶偏导连续）,g(x,y)=|x³|（在x=0二阶偏导不连续，因f''(x)=6|x|在x=0左导-6，右导6，不连续）###-###&gt;&gt;&gt;f(x)=0（既是奇函数又是偶函数）,g(x)=0（偶函数，非严格奇函数，因奇函数要求f(-x)=-f(x)，0满足但通常视为特殊情况，此处g(x)=0是偶函数，故f具奇函数性质而g不具）###-###&gt;&gt;&gt;NA（若f(x)是偶函数，则g(x)=|f(x)|必为偶函数，因|f(-x)|=|f(x)|）###-###&gt;&gt;&gt;f(x)=x（在x=0切线为y=x）,g(x)=|x|（在x=0无切线，左右导数不等）###-###&gt;&gt;&gt;f(x)=sinx/x（无穷积分收敛）,g(x)=|sinx/x|（无穷积分发散，因∫|sinx/x|dx≥∫sin²x/xdx，后者发散）###-</t>
  </si>
  <si>
    <t>11：###&gt;&gt;&gt;f(x)=x²（二阶可导）,g(x)=x²（二阶可导）###-###&gt;&gt;&gt;f(x,y)=x²+y²（偏导数存在）,g(x,y)=x²+y²（偏导数存在）###-###&gt;&gt;&gt;f(x)=x（连续）,g(x)=|x|（连续）###-###&gt;&gt;&gt;f(x,y)=x²+y²（可微）,g(x,y)=x²+y²（可微）###-###&gt;&gt;&gt;f(x)=x（x→0极限存在）,g(x)=|x|（x→0极限存在）###-###&gt;&gt;&gt;f(x,y)=x+y（连续）,g(x,y)=|x+y|（连续）###-###&gt;&gt;&gt;NA（若f(x)周期T，g(x)=|f(x)|周期改变，如f(x)=cosx周期2π，g(x)=|cosx|周期π，不满足原周期定义）###-###&gt;&gt;&gt;f(x)=1（在[0,1]可积）,g(x)=1（在[0,1]可积）###-###&gt;&gt;&gt;f(x,y)=x⁴+y⁴（二阶偏导连续）,g(x,y)=x⁴+y⁴（二阶偏导连续）###-###&gt;&gt;&gt;f(x)=0（奇函数）,g(x)=0（奇函数，因0=-0）###-###&gt;&gt;&gt;f(x)=x²（偶函数）,g(x)=x²（偶函数）###-###&gt;&gt;&gt;f(x)=x²（在x=0切线为y=0）,g(x)=x²（在x=0切线为y=0）###-###&gt;&gt;&gt;f(x)=e^(-x²)（无穷积分收敛）,g(x)=e^(-x²)（无穷积分收敛）###-</t>
  </si>
  <si>
    <t>取倒数（1/f(x)=g(x)或1/f(x,y)=g(x,y)）</t>
  </si>
  <si>
    <t>00：###&gt;&gt;&gt;f(x)=|x|（在x=0不可导）,g(x)=1/|x|（在x=0不可导，导数为无穷大）###-###&gt;&gt;&gt;f(x,y)=|x|+|y|（在(0,0)偏导数不存在）,g(x,y)=1/(|x|+|y|)（在(0,0)偏导数不存在）###-###&gt;&gt;&gt;f(x)=分段{1,x≥0;0,x&lt;0}（在x=0不连续）,g(x)=分段{1,x≥0;无定义，x&lt;0}（在x=0不连续且无定义）###-###&gt;&gt;&gt;f(x,y)=分段{x²+y²,(x,y)≠(0,0);0,(x,y)=(0,0)}（在(0,0)不可微）,g(x,y)=分段{1/(x²+y²),(x,y)≠(0,0);无定义，(x,y)=(0,0)}（在(0,0)不可微）###-###&gt;&gt;&gt;f(x)=分段{sin(1/x),x≠0;0,x=0}（x→0极限不存在）,g(x)=分段{1/sin(1/x),x≠0;无定义，x=0}（x→0极限不存在）###-###&gt;&gt;&gt;f(x,y)=分段{1,xy≠0;0,xy=0}（在(0,0)不连续）,g(x,y)=分段{1,xy≠0;无定义，xy=0}（在(0,0)不连续）###-###&gt;&gt;&gt;f(x)=x+1（非周期函数）,g(x)=1/(x+1)（非周期函数）###-###&gt;&gt;&gt;f(x)=狄利克雷函数（不可积）,g(x)=分段{1,x∈Q;无定义，x∉Q}（不可积）###-###&gt;&gt;&gt;f(x,y)=x²y/(x⁴+y²)（在(0,0)二阶偏导不连续）,g(x,y)=(x⁴+y²)/(x²y)（在(0,0)二阶偏导不连续）###-###&gt;&gt;&gt;f(x)=x²+1（非奇函数）,g(x)=1/(x²+1)（非奇函数）###-###&gt;&gt;&gt;f(x)=x+1（非偶函数）,g(x)=1/(x+1)（非偶函数）###-###&gt;&gt;&gt;f(x)=|x|（在x=0无切线）,g(x)=1/|x|（在x=0无定义，无切线）###-###&gt;&gt;&gt;f(x)=1/x（无穷积分∫1/xdx从1到∞发散）,g(x)=x（无穷积分∫xdx从1到∞发散）###-</t>
  </si>
  <si>
    <t>01：###&gt;&gt;&gt;NA（若f(x)在x0不可导且f(x0)≠0，则g(x)=1/f(x)在x0必不可导，因导数公式含f²分母）###-###&gt;&gt;&gt;NA（若f(x,y)在某点偏导数不存在且f≠0，则g=1/f偏导数必不存在，偏导公式依赖f的导数）###-###&gt;&gt;&gt;NA（若f(x)在x0不连续且f(x0)≠0，则g=1/f在x0必不连续，因极限不存在）###-###&gt;&gt;&gt;NA（若f(x,y)在某点不可微且f≠0，则g=1/f不可微，因可微性要求偏导存在）###-###&gt;&gt;&gt;NA（若f(x)在x→x0极限不存在且f≠0，则g=1/f极限必不存在，极限运算不保持）###-###&gt;&gt;&gt;NA（若f(x,y)在某点不连续且f≠0，则g=1/f必不连续，连续性依赖f的连续性）###-###&gt;&gt;&gt;NA（非周期函数取倒数仍为非周期函数，无法构造g为周期函数）###-###&gt;&gt;&gt;NA（若f(x)不可积且f≠0，则g=1/f可能仍不可积，如狄利克雷函数）###-###&gt;&gt;&gt;NA（若f(x,y)二阶偏导不连续且f≠0，则g=1/f的二阶偏导必不连续，依赖f的导数连续性）###-###&gt;&gt;&gt;NA（若f(x)非奇函数且f≠0，g=1/f必非奇函数，因1/f(-x)≠-1/f(x)）###-###&gt;&gt;&gt;NA（若f(x)非偶函数且f≠0，g=1/f必非偶函数，因1/f(-x)≠1/f(x)）###-###&gt;&gt;&gt;NA（若f(x)在x0无切线且f(x0)≠0，则g=1/f在x0无定义或导数不存在，无切线）###-###&gt;&gt;&gt;f(x)=e^(-x²)（无穷积分∫e^(-x²)dx收敛）,g(x)=e^(x²)（无穷积分∫e^(x²)dx发散，因被积函数指数增长）###-</t>
  </si>
  <si>
    <t>10：###&gt;&gt;&gt;f(x)=x（在x0=0可导）,g(x)=1/x（在x0=0不可导，分母为0）###-###&gt;&gt;&gt;f(x,y)=x（偏导数存在）,g(x,y)=1/x（在x=0偏导数不存在，分母为0）###-###&gt;&gt;&gt;NA（若f(x)在区间连续且f≠0，则g=1/f必连续，连续函数倒数在非零点连续）###-###&gt;&gt;&gt;f(x,y)=x²+y²+1（可微）,g(x,y)=1/(x²+y²+1)（可微）###-###&gt;&gt;&gt;NA（若f(x)在x→x0极限存在且f≠0，则g=1/f极限必存在，为1/limf(x)）###-###&gt;&gt;&gt;NA（若f(x,y)连续且f≠0，则g=1/f必连续，连续性定理）###-###&gt;&gt;&gt;NA（若f(x)周期T，则g=1/f必周期T，因f(x+T)=f(x)⇒g(x+T)=g(x)）###-###&gt;&gt;&gt;NA（若f(x)可积且f≠0，则g=1/f可能不可积，如f(x)=x在[-1,1]可积，g=1/x不可积）###-###&gt;&gt;&gt;f(x,y)=x²+y²+1（二阶偏导连续）,g(x,y)=1/(x²+y²+1)（二阶偏导连续）###-###&gt;&gt;&gt;NA（若f(x)是奇函数且f≠0，则g=1/f必为奇函数，因1/f(-x)=-1/f(x)）###-###&gt;&gt;&gt;NA（若f(x)是偶函数且f≠0，则g=1/f必为偶函数，因1/f(-x)=1/f(x)）###-###&gt;&gt;&gt;f(x)=x+1（在x=0切线存在）,g(x)=1/(x+1)（在x=0切线存在，导数为-1）###-###&gt;&gt;&gt;f(x)=1/x²（无穷积分∫1/x²dx收敛）,g(x)=x²（无穷积分∫x²dx发散，因被积函数趋于无穷）###-</t>
  </si>
  <si>
    <t>11：###&gt;&gt;&gt;NA（若f(x)可导且f≠0，则g=1/f必可导，导数为-f’/f²，故无法构造f可导但g不可导的11情况）###-###&gt;&gt;&gt;NA（若f(x,y)偏导数存在且f≠0，则g=1/f偏导数必存在，偏导公式保证）###-###&gt;&gt;&gt;NA（若f(x)连续且f≠0，则g=1/f必连续，连续函数倒数性质）###-###&gt;&gt;&gt;NA（若f(x,y)可微且f≠0，则g=1/f必可微，复合函数可微性）###-###&gt;&gt;&gt;NA（若f(x)极限存在且f≠0，则g=1/f极限必存在，极限运算性质）###-###&gt;&gt;&gt;NA（若f(x,y)连续且f≠0，则g=1/f必连续，同连续性逻辑）###-###&gt;&gt;&gt;NA（若f(x)周期T，则g=1/f必周期T，周期函数性质）###-###&gt;&gt;&gt;NA（若f(x)可积且f≠0，则g=1/f可能不可积，如f(x)=x在[-1,1]可积，g=1/x不可积）###-###&gt;&gt;&gt;NA（若f(x,y)二阶偏导连续且f≠0，则g=1/f二阶偏导必连续，导数连续性传递）###-###&gt;&gt;&gt;NA（若f(x)是奇函数且f≠0，则g=1/f必为奇函数，奇偶性保持）###-###&gt;&gt;&gt;NA（若f(x)是偶函数且f≠0，则g=1/f必为偶函数，奇偶性保持）###-###&gt;&gt;&gt;NA（若f(x)在x0切线存在且f≠0，则g=1/f在x0切线存在，导数公式保证）###-###&gt;&gt;&gt;NA（若f(x)反常积分收敛且f≠0，则g=1/f反常积分必发散，因f→0时1/f→∞或f→c≠0时1/f不趋于0）###-</t>
  </si>
  <si>
    <t>平方（f(x)²=g(x)或f(x,y)²=g(x,y)）</t>
  </si>
  <si>
    <t>00：###&gt;&gt;&gt;f(x)=分段{x,x≠0;1,x=0}（在x=0不可导）,g(x)=分段{x²,x≠0;1,x=0}（在x=0不可导）###-###&gt;&gt;&gt;f(x,y)=|x|+|y|（在(0,0)偏导数不存在）,g(x,y)=(|x|+|y|)²（在(0,0)偏导数不存在）###-###&gt;&gt;&gt;f(x)=分段{1,x≥0;0,x&lt;0}（在x=0不连续）,g(x)=分段{1,x≥0;0,x&lt;0}（在x=0不连续）###-###&gt;&gt;&gt;f(x,y)=分段{1,x≥0;0,x&lt;0}（在x=0不可微）,g(x,y)=分段{1,x≥0;0,x&lt;0}（在x=0不可微）###-###&gt;&gt;&gt;f(x)=分段{sin(1/x),x≠0;0,x=0}（x→0极限不存在）,g(x)=分段{sin²(1/x),x≠0;0,x=0}（x→0极限不存在）###-###&gt;&gt;&gt;f(x,y)=分段{1,xy≠0;0,xy=0}（在(0,0)不连续）,g(x,y)=分段{1,xy≠0;0,xy=0}（在(0,0)不连续）###-###&gt;&gt;&gt;f(x)=x+1（非周期函数）,g(x)=(x+1)²（非周期函数）###-###&gt;&gt;&gt;f(x)=狄利克雷函数（不可积）,g(x)=分段{1,x∈Q;0,x∉Q}（不可积）###-###&gt;&gt;&gt;f(x,y)=x²y/(x⁴+y²)（在(0,0)二阶偏导不连续）,g(x,y)=[x²y/(x⁴+y²)]²（在(0,0)二阶偏导不连续）###-###&gt;&gt;&gt;f(x)=x+1（非奇函数）,g(x)=(x+1)²（非奇函数）###-###&gt;&gt;&gt;f(x)=x+1（非偶函数）,g(x)=(x+1)²（非偶函数）###-###&gt;&gt;&gt;f(x)=分段{x,x≥0;2x,x&lt;0}（在x=0无切线）,g(x)=分段{x²,x≥0;4x²,x&lt;0}（在x=0无切线）###-###&gt;&gt;&gt;f(x)=1/x（无穷积分∫1/xdx从1到∞发散）,g(x)=1/x²（无穷积分∫1/x²dx从1到∞收敛）###-</t>
  </si>
  <si>
    <t>01：###&gt;&gt;&gt;NA（若f(x)在x0处不可导且不连续，则g(x)=f(x)²在x0处因函数值跳跃而不连续，必然不可导，故无法构造此情形）###-###&gt;&gt;&gt;f(x,y)=|x|（在(0,0)处对x的偏导数不存在）,g(x,y)=|x|²=x²（在(0,0)处对x的偏导数存在，为0）###-###&gt;&gt;&gt;NA（若f(x)在x0处不连续，则g(x)=f(x)²在x0处的左右极限必为f(x)左右极限的平方，若f(x)左右极限不等或与函数值不等，g(x)必不连续，故无法构造f不连续但g连续的情形）###-###&gt;&gt;&gt;f(x,y)=|x|（在(0,0)处不可微，因对x的偏导数不存在）,g(x,y)=|x|²=x²（在(0,0)处可微，因偏导数存在且满足全微分条件）###-###&gt;&gt;&gt;f(x)=分段{1,x&gt;0;-1,x&lt;0;0,x=0}（x→0时左极限为-1，右极限为1，极限不存在，不满足性质E）,g(x)=f(x)²=分段{1,x≠0;0,x=0}（x→0时左右极限均为1，极限存在，满足性质E）###-###&gt;&gt;&gt;f(x,y)=分段{2,xy≠0;0,xy=0}（在(0,0)处不连续，不满足性质F），g(x,y)=4（在(0,0)处连续，满足性质F）###-###&gt;&gt;&gt;f(x)=|sin(x)|,g(x)=sin(x)²###-###&gt;&gt;&gt;f(x)=分段{1,x∈Q;-1,x∉Q}（不可积）,g(x)=分段{1,x∈Q;1,x∉Q}（可积，因g几乎处处为1，满足黎曼可积的“几乎处处连续”条件）###-###&gt;&gt;&gt;NA（f(x,y)在(0,0)处二阶偏导不连续，其平方后g(x,y)=[x²y/(x⁴+y²)]²在该点附近沿不同路径（如y=kx²）极限值随k变化而不同，导致g(x,y)在(0,0)处不连续，进而二阶偏导必不连续，无法满足性质I）###-###&gt;&gt;&gt;NA（若f(x)非奇函数，g(x)=f²(x)可能为偶函数，如f(x)=x+1非奇函数，g(x)=(x+1)²非奇函数，无法使g为奇函数）###-###&gt;&gt;&gt;f(x)=x（非偶函数，不满足性质K），g(x)=x²（偶函数，满足性质K）###-###&gt;&gt;&gt;f(x)=|x|（在x=0处无切线，不满足性质L），g(x)=x²（在x=0处切线为y=0，满足性质L）###-###&gt;&gt;&gt;f(x)=1/x（无穷积分∫1/xdx从1到∞发散）,g(x)=1/x²（无穷积分∫1/x²dx从1到∞收敛）###-</t>
  </si>
  <si>
    <t>10：###&gt;&gt;&gt;f(x)=x（在x=0可导）,g(x)=x²（在x=0可导）###-###&gt;&gt;&gt;f(x,y)=x（偏导数存在）,g(x,y)=x²（偏导数存在）###-###&gt;&gt;&gt;NA（若f(x)连续，则g(x)=f²(x)必连续）###-###&gt;&gt;&gt;f(x,y)=x（可微）,g(x,y)=x²（可微）###-###&gt;&gt;&gt;NA（若f(x)在x→x0极限存在，则g(x)=f²(x)极限必存在）###-###&gt;&gt;&gt;NA（若f(x,y)连续，则g(x,y)=f²(x,y)必连续）###-###&gt;&gt;&gt;NA（若f(x)周期T，则g(x)=f²(x)周期≤T，如f(x)=sinx周期2π，g(x)=sin²x也有周期2π）###-###&gt;&gt;&gt;NA（若f(x)可积，则g(x)=f²(x)必可积）###-###&gt;&gt;&gt;f(x,y)=x³（二阶偏导连续）,g(x,y)=x⁶（二阶偏导连续）###-###&gt;&gt;&gt;f(x)=x（奇函数）,g(x)=x²（偶函数）###-###&gt;&gt;&gt;f(x)=x²（偶函数）,g(x)=x⁴（偶函数）###-###&gt;&gt;&gt;f(x)=x（在x=0切线存在）,g(x)=x²（在x=0切线存在）###-###&gt;&gt;&gt;f(x)=1/x²（无穷积分∫1/x²dx从1到∞收敛）,g(x)=1/x⁴（无穷积分∫1/x⁴dx从1到∞收敛）###-</t>
  </si>
  <si>
    <t>11：###&gt;&gt;&gt;f(x)=x²（二阶可导）,g(x)=x⁴（二阶可导）###-###&gt;&gt;&gt;f(x,y)=x²+y²（偏导数存在）,g(x,y)=(x²+y²)²（偏导数存在）###-###&gt;&gt;&gt;f(x)=x（连续）,g(x)=x²（连续）###-###&gt;&gt;&gt;f(x,y)=x（可微）,g(x,y)=x²（可微）###-###&gt;&gt;&gt;f(x)=x（极限存在）,g(x)=x²（极限存在）###-###&gt;&gt;&gt;f(x,y)=x+y（连续）,g(x,y)=(x+y)²（连续）###-###&gt;&gt;&gt;f(x)=sinx周期2π，g(x)=sin²x也有周期2π###-###&gt;&gt;&gt;f(x)=1（可积）,g(x)=1（可积）###-###&gt;&gt;&gt;f(x,y)=x⁴+y⁴（二阶偏导连续）,g(x,y)=(x⁴+y⁴)²（二阶偏导连续）###-###&gt;&gt;&gt;f(x)=x（奇函数）,g(x)=x²（偶函数）###-###&gt;&gt;&gt;f(x)=x²（偶函数）,g(x)=x⁴（偶函数）###-###&gt;&gt;&gt;f(x)=x（在x=0切线存在）,g(x)=x²（在x=0切线存在）###-###&gt;&gt;&gt;f(x)=e^(-x)（无穷积分∫e^(-x)dx从0到∞收敛）,g(x)=e^(-2x)（无穷积分∫e^(-2x)dx从0到∞收敛）###-</t>
  </si>
  <si>
    <t>立方（f(x)³=g(x)或f(x,y)³=g(x,y)）</t>
  </si>
  <si>
    <t>00：###&gt;&gt;&gt;f(x)=|x|（在x=0不可导）,g(x)=|x|³（在x=0不可导，因左右导数均为0但f'''(0)不存在）###-###&gt;&gt;&gt;f(x,y)=|x|+|y|（在(0,0)偏导数不存在）,g(x,y)=(|x|+|y|)³（在(0,0)偏导数不存在）###-###&gt;&gt;&gt;f(x)=分段{1,x≥0;0,x&lt;0}（在x=0不连续）,g(x)=分段{1,x≥0;0,x&lt;0}（在x=0不连续）###-###&gt;&gt;&gt;f(x,y)=分段{1,x≥0;0,x&lt;0}（在x=0不可微）,g(x,y)=分段{1,x≥0;0,x&lt;0}（在x=0不可微）###-###&gt;&gt;&gt;f(x)=分段{sin(1/x),x≠0;0,x=0}（x→0极限不存在）,g(x)=分段{sin³(1/x),x≠0;0,x=0}（x→0极限不存在）###-###&gt;&gt;&gt;f(x,y)=分段{1,xy≠0;0,xy=0}（在(0,0)不连续）,g(x,y)=分段{1,xy≠0;0,xy=0}（在(0,0)不连续）###-###&gt;&gt;&gt;f(x)=x+1（非周期函数）,g(x)=(x+1)³（非周期函数）###-###&gt;&gt;&gt;f(x)=狄利克雷函数（不可积）,g(x)=分段{1,x∈Q;0,x∉Q}（不可积）###-###&gt;&gt;&gt;f(x,y)=x²y/(x⁴+y²)（在(0,0)二阶偏导不连续）,g(x,y)=[x²y/(x⁴+y²)]³（在(0,0)二阶偏导不连续）###-###&gt;&gt;&gt;f(x)=x+1（非奇函数）,g(x)=(x+1)³（非奇函数）###-###&gt;&gt;&gt;f(x)=x+1（非偶函数）,g(x)=(x+1)³（非偶函数）###-###&gt;&gt;&gt;f(x)=分段{x,x≥0;2x,x&lt;0}（在x=0无切线）,g(x)=分段{x³,x≥0;8x³,x&lt;0}（在x=0无切线）###-###&gt;&gt;&gt;f(x)=1/x（无穷积分∫1/xdx从1到∞发散）,g(x)=1/x³（无穷积分∫1/x³dx从1到∞收敛）###-</t>
  </si>
  <si>
    <t>01：###&gt;&gt;&gt;NA（若f(x)在x0不可导，则g(x)=f³(x)在x0仍不可导，如f(x)=|x|，g(x)=|x|³不可导）###-###&gt;&gt;&gt;NA（若f(x,y)在某点偏导数不存在，则g(x)=f³(x,y)偏导数仍不存在，如f(x,y)=|x|+|y|）###-###&gt;&gt;&gt;NA（若f(x)在x0不连续，则g(x)=f³(x)在x0必不连续，因连续性要求极限等于函数值）###-###&gt;&gt;&gt;NA（若f(x,y)在某点不可微，则g(x)=f³(x,y)不可微，因可微性要求偏导存在且满足全微分条件）###-###&gt;&gt;&gt;NA（若f(x)在x→x0极限不存在，则g(x)=f³(x)极限必不存在，因极限运算性质）###-###&gt;&gt;&gt;NA（若f(x,y)在某点不连续，则g(x)=f³(x,y)必不连续，同连续性逻辑）###-###&gt;&gt;&gt;NA（非周期函数立方仍为非周期函数，无法使g为周期函数）###-###&gt;&gt;&gt;NA（若f(x)不可积，则g(x)=f³(x)仍不可积，如狄利克雷函数）###-###&gt;&gt;&gt;NA（若f(x,y)二阶偏导不连续，则g(x)=f³(x,y)的二阶偏导依赖f的导数连续性，必不连续）###-###&gt;&gt;&gt;NA（若f(x)非奇函数，则g(x)=f³(x)仍非奇函数，如f(x)=x+1）###-###&gt;&gt;&gt;NA（若f(x)非偶函数，则g(x)=f³(x)仍非偶函数，如f(x)=x+1）###-###&gt;&gt;&gt;NA（若f(x)在x0无切线，则g(x)=f³(x)在x0无定义或导数不存在，无切线）###-###&gt;&gt;&gt;f(x)=1/x（无穷积分∫1/xdx从1到∞发散）,g(x)=1/x³（无穷积分∫1/x³dx从1到∞收敛）###-</t>
  </si>
  <si>
    <t>10：###&gt;&gt;&gt;f(x)=x（在x=0可导）,g(x)=x³（在x=0可导）###-###&gt;&gt;&gt;f(x,y)=x（偏导数存在）,g(x,y)=x³（偏导数存在）###-###&gt;&gt;&gt;NA（若f(x)在区间连续，则g(x)=f³(x)必连续，因连续函数的立方仍连续）###-###&gt;&gt;&gt;f(x,y)=x（可微）,g(x,y)=x³（可微）###-###&gt;&gt;&gt;NA（若f(x)在x→x0极限存在，则g(x)=f³(x)极限必存在，为[limf(x)]³）###-###&gt;&gt;&gt;NA（若f(x,y)连续，则g(x)=f³(x,y)必连续，同连续性定理）###-###&gt;&gt;&gt;NA（若f(x)周期T，则g(x)=f³(x)必周期T，因f(x+T)=f(x)⇒g(x+T)=g(x)）###-###&gt;&gt;&gt;NA（若f(x)可积，则g(x)=f³(x)必可积，因可积函数的立方仍可积）###-###&gt;&gt;&gt;f(x,y)=x³（二阶偏导连续）,g(x,y)=x⁹（二阶偏导连续）###-###&gt;&gt;&gt;f(x)=x（奇函数）,g(x)=x³（奇函数）###-###&gt;&gt;&gt;f(x)=x²（偶函数）,g(x)=x⁶（偶函数）###-###&gt;&gt;&gt;f(x)=x（在x=0切线存在）,g(x)=x³（在x=0切线存在）###-###&gt;&gt;&gt;f(x)=1/x²（无穷积分∫1/x²dx从1到∞收敛）,g(x)=1/x⁶（无穷积分∫1/x⁶dx从1到∞收敛）###-</t>
  </si>
  <si>
    <t>11：###&gt;&gt;&gt;f(x)=x²（二阶可导）,g(x)=x⁶（二阶可导）###-###&gt;&gt;&gt;f(x,y)=x²+y²（偏导数存在）,g(x,y)=(x²+y²)³（偏导数存在）###-###&gt;&gt;&gt;f(x)=x（连续）,g(x)=x³（连续）###-###&gt;&gt;&gt;f(x,y)=x（可微）,g(x,y)=x³（可微）###-###&gt;&gt;&gt;f(x)=x（极限存在）,g(x)=x³（极限存在）###-###&gt;&gt;&gt;f(x,y)=x+y（连续）,g(x,y)=(x+y)³（连续）###-###&gt;&gt;&gt;NA（若f(x)周期T，则g(x)=f³(x)周期T，但g(x)=sin³x周期2π与f(x)=sinx周期2π相同，符合原周期定义）###-###&gt;&gt;&gt;f(x)=1（可积）,g(x)=1（可积）###-###&gt;&gt;&gt;f(x,y)=x⁴+y⁴（二阶偏导连续）,g(x,y)=(x⁴+y⁴)³（二阶偏导连续）###-###&gt;&gt;&gt;f(x)=x（奇函数）,g(x)=x³（奇函数）###-###&gt;&gt;&gt;f(x)=x²（偶函数）,g(x)=x⁶（偶函数）###-###&gt;&gt;&gt;f(x)=x（在x=0切线存在）,g(x)=x³（在x=0切线存在）###-###&gt;&gt;&gt;f(x)=e^(-x)（无穷积分∫e^(-x)dx从0到∞收敛）,g(x)=e^(-3x)（无穷积分∫e^(-3x)dx从0到∞收敛）###-</t>
  </si>
  <si>
    <t>平方根（sqrt(f(x))=g(x)或sqrt(f(x,y))=g(x,y)）</t>
  </si>
  <si>
    <t>00：###&gt;&gt;&gt;f(x)=|x|（在x=0不可导）,g(x)=sqrt(|x|)（在x=0不可导，导数为无穷大）###-###&gt;&gt;&gt;f(x,y)=|x|+|y|（在(0,0)偏导数不存在）,g(x,y)=sqrt(|x|+|y|)（在(0,0)偏导数不存在）###-###&gt;&gt;&gt;f(x)=分段{1,x≥0;0,x&lt;0}（在x=0不连续）,g(x)=分段{1,x≥0;0,x&lt;0}（在x=0不连续）###-###&gt;&gt;&gt;f(x,y)=分段{1,x≥0;0,x&lt;0}（在x=0不可微）,g(x,y)=分段{1,x≥0;0,x&lt;0}（在x=0不可微）###-###&gt;&gt;&gt;f(x)=分段{sin²(1/x),x≠0;0,x=0}（x→0极限不存在）,g(x)=分段{|sin(1/x)|,x≠0;0,x=0}（x→0极限不存在）###-###&gt;&gt;&gt;f(x,y)=分段{1,xy≠0;0,xy=0}（在(0,0)不连续）,g(x,y)=分段{1,xy≠0;0,xy=0}（在(0,0)不连续）###-###&gt;&gt;&gt;f(x)=x²+1（非周期函数）,g(x)=sqrt(x²+1)（非周期函数）###-###&gt;&gt;&gt;f(x)=狄利克雷函数（不可积）,g(x)=分段{1,x∈Q;0,x∉Q}（不可积）###-###&gt;&gt;&gt;f(x,y)=x²y²/(x⁴+y⁴)（在(0,0)二阶偏导不连续）,g(x,y)=|xy|/sqrt(x⁴+y⁴)（在(0,0)二阶偏导不连续）###-###&gt;&gt;&gt;f(x)=x²（偶函数）,g(x)=|x|（偶函数）###-###&gt;&gt;&gt;f(x)=x²+1（非奇函数）,g(x)=sqrt(x²+1)（非奇函数）###-###&gt;&gt;&gt;f(x)=分段{x²,x≥0;2x²,x&lt;0}（在x=0无切线）,g(x)=分段{|x|,x≥0;|x|sqrt(2),x&lt;0}（在x=0无切线）###-###&gt;&gt;&gt;f(x)=1/x⁴（无穷积分∫1/x⁴dx从1到∞收敛）,g(x)=1/x²（无穷积分∫1/x²dx从1到∞收敛）###-</t>
  </si>
  <si>
    <t>01：###&gt;&gt;&gt;NA（若f(x)在x0不可导且f(x0)&gt;0，则g(x)=sqrt(f(x))在x0可能仍不可导，如f(x)=|x|，g(x)=sqrt(|x|)不可导）###-###&gt;&gt;&gt;NA（若f(x,y)在某点偏导数不存在且f&gt;0，则g=sqrt(f)偏导数仍不存在，如f(x,y)=|x|+|y|）###-###&gt;&gt;&gt;NA（若f(x)在x0不连续且f(x0)≥0，则g=sqrt(f)在x0必不连续，因连续性要求极限等于函数值）###-###&gt;&gt;&gt;NA（若f(x,y)在某点不可微且f&gt;0，则g=sqrt(f)不可微，因可微性要求偏导存在且满足全微分条件）###-###&gt;&gt;&gt;NA（若f(x)在x→x0极限不存在且f(x)≥0，则g=sqrt(f)极限必不存在，因极限运算性质）###-###&gt;&gt;&gt;NA（若f(x,y)在某点不连续且f≥0，则g=sqrt(f)必不连续，同连续性逻辑）###-###&gt;&gt;&gt;NA（非周期函数的平方根仍为非周期函数，无法使g为周期函数）###-###&gt;&gt;&gt;NA（若f(x)不可积且f(x)≥0，则g=sqrt(f)可能仍不可积，如狄利克雷函数）###-###&gt;&gt;&gt;NA（若f(x,y)二阶偏导不连续且f&gt;0，则g=sqrt(f)的二阶偏导依赖f的导数连续性，必不连续）###-###&gt;&gt;&gt;NA（若f(x)非偶函数且f(x)≥0，则g=sqrt(f)可能仍非偶函数，如f(x)=x²+1）###-###&gt;&gt;&gt;NA（若f(x)非奇函数且f(x)≥0，则g=sqrt(f)可能仍非奇函数，如f(x)=x²+1）###-###&gt;&gt;&gt;NA（若f(x)在x0无切线且f(x0)&gt;0，则g=sqrt(f)在x0无定义或导数不存在，无切线）###-###&gt;&gt;&gt;f(x)=1/x⁴（无穷积分∫1/x⁴dx从1到∞收敛）,g(x)=1/x²（无穷积分∫1/x²dx从1到∞收敛）###-</t>
  </si>
  <si>
    <t>10：###&gt;&gt;&gt;f(x)=x²（在x=0可导）,g(x)=|x|（在x=0不可导）###-###&gt;&gt;&gt;f(x,y)=x²+y²（偏导数存在）,g(x)=sqrt(x²+y²)（在(0,0)偏导数不存在）###-###&gt;&gt;&gt;NA（若f(x)在区间连续且f(x)≥0，则g=sqrt(f)必连续，因连续函数的平方根仍连续）###-###&gt;&gt;&gt;f(x,y)=x²+y²（可微）,g(x)=sqrt(x²+y²)（在(0,0)不可微）###-###&gt;&gt;&gt;NA（若f(x)在x→x0极限存在且f(x)≥0，则g=sqrt(f)极限必存在，为sqrt(limf(x))）###-###&gt;&gt;&gt;NA（若f(x,y)连续且f(x,y)≥0，则g=sqrt(f)必连续，同连续性定理）###-###&gt;&gt;&gt;NA（若f(x)周期T，则g=sqrt(f)周期≤T，如f(x)=sin²x周期π，g(x)=|sinx|周期π）###-###&gt;&gt;&gt;NA（若f(x)可积且f(x)≥0，则g=sqrt(f)必可积，因可积函数的平方根仍可积）###-###&gt;&gt;&gt;f(x,y)=x⁴+y⁴（二阶偏导连续）,g(x)=sqrt(x⁴+y⁴)（在(0,0)二阶偏导不连续）###-###&gt;&gt;&gt;f(x)=x²（偶函数）,g(x)=|x|（偶函数）###-###&gt;&gt;&gt;f(x)=x²（偶函数）,g(x)=|x|（偶函数）###-###&gt;&gt;&gt;f(x)=x²（在x=0切线存在）,g(x)=|x|（在x=0无切线）###-###&gt;&gt;&gt;f(x)=1/x⁴（无穷积分∫1/x⁴dx从1到∞收敛）,g(x)=1/x²（无穷积分∫1/x²dx从1到∞收敛）###-</t>
  </si>
  <si>
    <t>11：###&gt;&gt;&gt;NA（若f(x)在x0二阶可导且f(x0)&gt;0，则g=sqrt(f)在x0的二阶导数可能不存在，如f(x)=x²，g=|x|二阶导数不存在）###-###&gt;&gt;&gt;NA（若f(x,y)在某点偏导数存在且f&gt;0，则g=sqrt(f)偏导数可能不存在，如f(x,y)=x²+y²）###-###&gt;&gt;&gt;NA（若f(x)在区间连续且f(x)≥0，则g=sqrt(f)必连续，因连续函数的平方根仍连续）###-###&gt;&gt;&gt;NA（若f(x,y)在某点可微且f&gt;0，则g=sqrt(f)可能不可微，如f(x,y)=x²+y²）###-###&gt;&gt;&gt;NA（若f(x)在x→x0极限存在且f(x)≥0，则g=sqrt(f)极限必存在，为sqrt(limf(x))）###-###&gt;&gt;&gt;NA（若f(x,y)连续且f(x,y)≥0，则g=sqrt(f)必连续，同连续性定理）###-###&gt;&gt;&gt;NA（若f(x)周期T，则g=sqrt(f)周期≤T，如f(x)=sin²x周期π，g(x)=|sinx|周期π）###-###&gt;&gt;&gt;NA（若f(x)可积且f(x)≥0，则g=sqrt(f)必可积，因可积函数的平方根仍可积）###-###&gt;&gt;&gt;NA（若f(x,y)二阶偏导连续且f&gt;0，则g=sqrt(f)的二阶偏导可能不连续，如f(x,y)=x⁴+y⁴）###-###&gt;&gt;&gt;NA（若f(x)是偶函数且f(x)≥0，则g=sqrt(f)必为偶函数，因sqrt(f(-x))=sqrt(f(x))）###-###&gt;&gt;&gt;NA（若f(x)是偶函数且f(x)≥0，则g=sqrt(f)必为偶函数，同上）###-###&gt;&gt;&gt;NA（若f(x)在x0切线存在且f(x0)&gt;0，则g=sqrt(f)在x0可能无切线，如f(x)=x²）###-###&gt;&gt;&gt;NA（若f(x)为反常积分收敛且f(x)≥0，则g=sqrt(f)的反常积分可能发散，如f(x)=1/x⁴收敛，g=1/x²发散）###-</t>
  </si>
  <si>
    <t>立方根（curt(f(x))=g(x)或curt(f(x,y))=g(x,y)）</t>
  </si>
  <si>
    <t>00：###&gt;&gt;&gt;f(x)=|x|（在x=0不可导）,g(x)=curt(|x|)（在x=0导数为无穷大，不可导）###-###&gt;&gt;&gt;f(x,y)=|x|+|y|（在(0,0)偏导数不存在）,g(x,y)=curt(|x|+|y|)（在(0,0)偏导数不存在）###-###&gt;&gt;&gt;f(x)=分段{1,x≥0;0,x&lt;0}（在x=0不连续）,g(x)=分段{curt(1),x≥0;curt(0),x&lt;0}={1,x≥0;0,x&lt;0}（在x=0不连续）###-###&gt;&gt;&gt;f(x,y)=分段{1,x≥0;0,x&lt;0}（在x=0不可微）,g(x,y)=分段{1,x≥0;0,x&lt;0}（在x=0不可微）###-###&gt;&gt;&gt;f(x)=分段{sin(1/x),x≠0;0,x=0}（x→0极限不存在）,g(x)=分段{curt(sin(1/x)),x≠0;0,x=0}（x→0极限不存在）###-###&gt;&gt;&gt;f(x,y)=分段{1,xy≠0;0,xy=0}（在(0,0)不连续）,g(x,y)=分段{1,xy≠0;0,xy=0}（在(0,0)不连续）###-###&gt;&gt;&gt;f(x)=x+1（非周期函数）,g(x)=curt(x+1)（非周期函数）###-###&gt;&gt;&gt;f(x)=狄利克雷函数（不可积）,g(x)=分段{1,x∈Q;0,x∉Q}（不可积）###-###&gt;&gt;&gt;f(x,y)=x²y/(x⁴+y²)（在(0,0)二阶偏导不连续）,g(x,y)=curt(x²y/(x⁴+y²))（在(0,0)二阶偏导不连续）###-###&gt;&gt;&gt;f(x)=x²+1（非奇函数）,g(x)=curt(x²+1)（非奇函数）###-###&gt;&gt;&gt;f(x)=x+1（非偶函数）,g(x)=curt(x+1)（非偶函数）###-###&gt;&gt;&gt;f(x)=|x|（在x=0无切线）,g(x)=curt(|x|)（在x=0无切线，导数无穷大）###-###&gt;&gt;&gt;f(x)=1/x（无穷积分∫1/xdx从1到∞发散）,g(x)=1/x^(1/3)（无穷积分∫1/x^(1/3)dx从1到∞发散）###-</t>
  </si>
  <si>
    <t>01：###&gt;&gt;&gt;NA（若f(x)在x0不可导且f(x0)≠0，g(x)=curt(f(x))在x0可能仍不可导，如f(x)=|x|，g(x)不可导）###-###&gt;&gt;&gt;NA（若f(x,y)在某点偏导数不存在且f≠0，g=curt(f)偏导数仍不存在，如f(x,y)=|x|+|y|）###-###&gt;&gt;&gt;NA（若f(x)在x0不连续，则g=curt(f)在x0必不连续，因f极限不存在则g极限也不存在）###-###&gt;&gt;&gt;NA（若f(x,y)在某点不可微且f≠0，则g=curt(f)不可微，因偏导不存在）###-###&gt;&gt;&gt;NA（若f(x)在x→x0极限不存在，则g=curt(f)极限必不存在，因立方根保持极限不存在性）###-###&gt;&gt;&gt;NA（若f(x,y)在某点不连续，则g=curt(f)必不连续，同极限逻辑）###-###&gt;&gt;&gt;NA（非周期函数的立方根仍为非周期函数，无法使g为周期函数）###-###&gt;&gt;&gt;NA（若f(x)不可积且f(x)为有界函数，则g=curt(f)可能仍不可积，如狄利克雷函数）###-###&gt;&gt;&gt;NA（若f(x,y)二阶偏导不连续且f≠0，则g=curt(f)的二阶偏导依赖f的导数连续性，必不连续）###-###&gt;&gt;&gt;NA（若f(x)非奇函数且f(x)≠-f(-x)，则g=curt(f)可能仍非奇函数，如f(x)=x²+1）###-###&gt;&gt;&gt;NA（若f(x)非偶函数且f(x)≠f(-x)，则g=curt(f)可能仍非偶函数，如f(x)=x+1）###-###&gt;&gt;&gt;NA（若f(x)在x0无切线且f(x0)≠0，则g=curt(f)在x0无定义或导数不存在，无切线）###-###&gt;&gt;&gt;f(x)=1/x³（无穷积分∫1/x³dx从1到∞收敛）,g(x)=1/x（无穷积分∫1/xdx从1到∞发散）###-</t>
  </si>
  <si>
    <t>10：###&gt;&gt;&gt;f(x)=x²（在x=0可导）,g(x)=curt(x²)=|x|^(2/3)（在x=0导数不存在）###-###&gt;&gt;&gt;f(x,y)=x²+y²（偏导数存在）,g(x,y)=curt(x²+y²)（在(0,0)偏导数存在但二阶偏导不连续）###-###&gt;&gt;&gt;NA（若f(x)连续，则g=curt(f)必连续，因立方根函数连续）###-###&gt;&gt;&gt;f(x,y)=x³（可微）,g(x,y)=x（可微）###-###&gt;&gt;&gt;NA（若f(x)在x→x0极限存在，则g=curt(f)极限必存在，为curt(limf(x))）###-###&gt;&gt;&gt;NA（若f(x,y)连续，则g=curt(f)必连续，同连续性定理）###-###&gt;&gt;&gt;NA（若f(x)周期T，则g=curt(f)必周期T，因f(x+T)=f(x)⇒g(x+T)=g(x)）###-###&gt;&gt;&gt;NA（若f(x)可积，则g=curt(f)必可积，因可积函数的立方根仍可积（有界时））###-###&gt;&gt;&gt;f(x,y)=x⁶+y⁶（二阶偏导连续）,g(x,y)=x²+y²（二阶偏导连续）###-###&gt;&gt;&gt;f(x)=x³（奇函数）,g(x)=x（奇函数）###-###&gt;&gt;&gt;f(x)=x⁶（偶函数）,g(x)=x²（偶函数）###-###&gt;&gt;&gt;f(x)=x³（在x=0切线存在）,g(x)=x（在x=0切线存在）###-###&gt;&gt;&gt;f(x)=1/x⁶（无穷积分∫1/x⁶dx从1到∞收敛）,g(x)=1/x²（无穷积分∫1/x²dx从1到∞收敛）###-</t>
  </si>
  <si>
    <t>11：###&gt;&gt;&gt;f(x)=x³（二阶可导）,g(x)=x（二阶可导）###-###&gt;&gt;&gt;f(x,y)=x³+y³（偏导数存在）,g(x,y)=x+y（偏导数存在）###-###&gt;&gt;&gt;f(x)=x（连续）,g(x)=curt(x)（连续）###-###&gt;&gt;&gt;f(x,y)=x³+y³（可微）,g(x,y)=x+y（可微）###-###&gt;&gt;&gt;f(x)=x（极限存在）,g(x)=curt(x)（极限存在）###-###&gt;&gt;&gt;f(x,y)=x+y（连续）,g(x,y)=curt(x+y)（连续）###-###&gt;&gt;&gt;f(x)=sinx（周期2π）,g(x)=curt(sinx)（周期2π）###-###&gt;&gt;&gt;f(x)=1（可积）,g(x)=1（可积）###-###&gt;&gt;&gt;f(x,y)=x⁶+y⁶（二阶偏导连续）,g(x,y)=x²+y²（二阶偏导连续）###-###&gt;&gt;&gt;f(x)=x³（奇函数）,g(x)=x（奇函数）###-###&gt;&gt;&gt;f(x)=x⁶（偶函数）,g(x)=x²（偶函数）###-###&gt;&gt;&gt;f(x)=x³（在x=0切线存在）,g(x)=x（在x=0切线存在）###-###&gt;&gt;&gt;f(x)=e^(-3x)（无穷积分∫e^(-3x)dx从0到∞收敛）,g(x)=e^(-x)（无穷积分∫e^(-x)dx从0到∞收敛）###-</t>
  </si>
  <si>
    <t>向上取整（ceil(f(x))=g(x)或ceil(f(x,y))=g(x,y)）</t>
  </si>
  <si>
    <t>00：###&gt;&gt;&gt;f(x)=|x|（在x=0不可导）,g(x)=ceil(|x|)（在x=0不可导，因ceil(0)=0，ceil(|x|)在x→0+时为1，跳跃间断）###-###&gt;&gt;&gt;f(x,y)=|x|+|y|（在(0,0)偏导数不存在）,g(x,y)=ceil(|x|+|y|)（在(0,0)偏导数不存在，因(x,y)→(0,0)时g→1，跳跃）###-###&gt;&gt;&gt;f(x)=分段{0.5,x≥0;-0.5,x&lt;0}（在x=0处不连续，不满足性质C），g(x)=ceil(f(x))=分段{1,x≥0;0,x&lt;0}（在x=0处不连续，不满足性质C）###-###&gt;&gt;&gt;f(x,y)=分段{0.5,xy&lt;0;1.5,xy≥0}（在(0,0)不可微）,g(x,y)=分段{1,xy&lt;0;2,xy≥0}（在(0,0)不可微，跳跃）###-###&gt;&gt;&gt;f(x)=分段{sin(1/x),x≠0;0,x=0}（x→0极限不存在）,g(x)=分段{ceil(sin(1/x)),x≠0;0,x=0}（x→0极限不存在，因sin(1/x)在-1到1间震荡，ceil后在0到1间震荡）###-###&gt;&gt;&gt;f(x,y)=分段{1-|xy|,xy≠0;0,xy=0}（在(0,0)不连续）,g(x,y)=分段{1,xy≠0;0,xy=0}（在(0,0)不连续）###-###&gt;&gt;&gt;f(x)=x+sinx（非周期函数）,g(x)=ceil(x+sinx)（非周期函数，因x递增时g无重复周期）###-###&gt;&gt;&gt;f(x)=分段{1.5,x∈Q;1,x∉Q}（不可积，不满足性质H），g(x)=ceil(f(x))=分段{2,x∈Q;1,x∉Q}（不可积，不满足性质H）###-###&gt;&gt;&gt;f(x,y)=x²y/(x⁴+y²)+1（在(0,0)处二阶偏导不连续，不满足性质I），g(x,y)=ceil(x²y/(x⁴+y²)+1)（在(0,0)处因沿y=kx²路径时f(x,y)趋近于1+k/(1+k²)，其值在(1,2)内波动，导致g(x,y)在1和2之间跳跃，二阶偏导不连续，不满足性质I）###-###&gt;&gt;&gt;f(x)=x（奇函数）,g(x)=ceil(x)（非奇函数，如ceil(1)=1，ceil(-1)=-1，但ceil(0.5)=1，ceil(-0.5)=0，不满足f(-x)=-f(x)）###-###&gt;&gt;&gt;f(x)=x²（偶函数）,g(x)=ceil(x²)（偶函数，因ceil(x²)=ceil((-x)²)）###-###&gt;&gt;&gt;f(x)=x（在x=0切线存在）,g(x)=ceil(x)（在x=0无切线，因x=0处左右导数不存在，跳跃）###-###&gt;&gt;&gt;f(x)=1/x（无穷积分∫1/xdx发散）,g(x)=ceil(1/x)（x≥1时1/x∈(0,1]，ceil(1/x)=1，无穷积分∫1dx发散）###-</t>
  </si>
  <si>
    <t>01：###&gt;&gt;&gt;f(x)=|x|（在x=0不可导）,g(x)=ceil(|x|+0.5)（在x=0可导，因|x|+0.5∈(0.5,1.5)，ceil后为1，常数函数）###-###&gt;&gt;&gt;f(x,y)=|x|（在x=0偏导数不存在）,g(x,y)=ceil(|x|+0.5)（在x=0偏导数存在，因|x|+0.5∈(0.5,1.5)，ceil后为1，偏导为0）###-###&gt;&gt;&gt;f(x)=分段{2.2,x&lt;0;2.8,x≥0}（在x=0处不连续，不满足性质C），g(x)=ceil(f(x))=2（在x=0处连续，满足性质C）###-###&gt;&gt;&gt;f(x,y)=|x|（在x=0不可微）,g(x,y)=ceil(|x|+0.5)（在x=0可微，常数函数）###-###&gt;&gt;&gt;f(x)=分段{0.5,x&lt;0;1.5,x≥0}（x→0极限不存在）,g(x)=分段{1,x&lt;0;2,x≥0}（x→0极限不存在，NA）###-###&gt;&gt;&gt;f(x,y)=分段{0.5,xy&lt;0;1.5,xy≥0}（在(0,0)不连续）,g(x,y)=分段{1,xy&lt;0;2,xy≥0}（在(0,0)不连续，NA）###-###&gt;&gt;&gt;f(x)=|0.5*sin(x)|+0.5,g(x)=1###-###&gt;&gt;&gt;f(x)=狄利克雷函数（不可积）,g(x)=1（可积，因几乎处处为1）###-###&gt;&gt;&gt;f(x,y)=x²y²/(x⁴+y⁴)（在(0,0)处二阶偏导不连续，不满足性质I），g(x,y)=ceil(x²y²/(x⁴+y⁴))=0（在全平面二阶偏导连续，满足性质I，因x²y²/(x⁴+y⁴)≤0.5恒成立，向上取整后为0）###-###&gt;&gt;&gt;f(x)=x+1（非奇函数）,g(x)=ceil(x+1)（非奇函数，如ceil(1+1)=2，ceil(-1+1)=0）###-###&gt;&gt;&gt;f(x)=x+1（非偶函数）,g(x)=ceil(x+1)（非偶函数，如ceil(1+1)=2，ceil(-1+1)=0）###-###&gt;&gt;&gt;f(x)=|x|（在x=0无切线）,g(x)=ceil(|x|+0.5)（在x=0有切线，常数函数导数为0）###-###&gt;&gt;&gt;f(x)=1/x+1（x≥1时1/x+1∈(1,2]，无穷积分∫(1/x+1)dx发散）,g(x)=2（无穷积分∫2dx发散）###-</t>
  </si>
  <si>
    <t>10：###&gt;&gt;&gt;f(x)=x（在x=0可导）,g(x)=ceil(x)（在x=0不可导，因ceil(0)=0，ceil(x)在x→0+时为1，跳跃）###-###&gt;&gt;&gt;f(x,y)=x（偏导数存在）,g(x,y)=ceil(x)（在x=0偏导数不存在，跳跃）###-###&gt;&gt;&gt;NA（若f(x)连续，则g(x)=ceil(f(x))在f(x)为整数处可能不连续，如f(x)=x在x=1连续，g(1)=1，g(1-ε)=1，g(1+ε)=2，不连续）###-###&gt;&gt;&gt;f(x,y)=x（可微）,g(x,y)=ceil(x)（在x=0不可微，跳跃）###-###&gt;&gt;&gt;NA（若f(x)在x→x0极限存在，则g(x)=ceil(f(x))在f(x0)为整数时可能极限不存在，如f(x)=x→1，g(x)→2（x→1+）和1（x→1-））###-###&gt;&gt;&gt;NA（若f(x,y)连续，则g(x,y)=ceil(f(x,y))在f=整数处不连续，如f(x,y)=x+y在(0,1)连续，g(0,1)=1，g(0,1+ε)=2）###-###&gt;&gt;&gt;NA（若f(x)周期T，g(x)=ceil(f(x))周期必为T，因f(x+T)=f(x)⇒g(x+T)=g(x)，但g在整数点间断，仍为周期函数）###-###&gt;&gt;&gt;NA（若f(x)可积，g(x)=ceil(f(x))在f(x)值域不含整数时可积，如f(x)=x+0.5在[0,1]可积，g(x)=1可积，无法构造g不可积的例子）###-###&gt;&gt;&gt;f(x,y)=x³（二阶偏导连续）,g(x,y)=ceil(x³)（在x=0二阶偏导不存在，跳跃）###-###&gt;&gt;&gt;f(x)=x（奇函数）,g(x)=ceil(x)（非奇函数，如ceil(1)=1，ceil(-1)=-1，但ceil(0.5)=1，ceil(-0.5)=0≠-1）###-###&gt;&gt;&gt;f(x)=x²（偶函数）,g(x)=ceil(x²)（偶函数，因x²=(-x)²）###-###&gt;&gt;&gt;f(x)=x（在x=0切线存在）,g(x)=ceil(x)（在x=0无切线，跳跃）###-###&gt;&gt;&gt;f(x)=e^(-x)（无穷积分收敛）,g(x)=ceil(e^(-x))=1（无穷积分发散）###-</t>
  </si>
  <si>
    <t>11：###&gt;&gt;&gt;NA（若f(x)可导，则g(x)=ceil(f(x))在f(x)为整数处不可导，因跳跃，故无法构造f可导且g可导的11情况）###-###&gt;&gt;&gt;NA（若f(x,y)偏导数存在，则g(x,y)=ceil(f(x,y))在f为整数处偏导数不存在，跳跃）###-###&gt;&gt;&gt;NA（若f(x)连续，则g(x)=ceil(f(x))在f(x)为整数处不连续，无法同时连续）###-###&gt;&gt;&gt;NA（若f(x,y)可微，则g(x,y)=ceil(f(x,y))在f为整数处不可微，跳跃）###-###&gt;&gt;&gt;NA（若f(x)在x→x0极限存在，则g(x)=ceil(f(x))在f(x0)为整数时左右极限不同，极限不存在）###-###&gt;&gt;&gt;NA（若f(x,y)连续，则g(x,y)=ceil(f(x,y))在f为整数处不连续，无法同时连续）###-###&gt;&gt;&gt;f(x)=sinx（周期2π，满足性质G），g(x)=ceil(sinx)（周期2π，满足性质G）###-###&gt;&gt;&gt;NA（若f(x)可积，则g(x)=ceil(f(x))可能可积（如f(x)值域不含整数），但需f和g都可积，如f(x)=x+0.5在[0,1]可积，g(x)=1可积）###-###&gt;&gt;&gt;NA（若f(x,y)二阶偏导连续，则g(x,y)=ceil(f(x,y))在f为整数处二阶偏导不存在，跳跃）###-###&gt;&gt;&gt;NA（若f(x)是奇函数且g(x)=ceil(f(x))，则g(-x)=ceil(-f(x))≠-ceil(f(x))，如f(x)=x，g(-x)=ceil(-x)≠-ceil(x)）###-###&gt;&gt;&gt;NA（若f(x)是偶函数，则g(x)=ceil(f(x))是偶函数，因f(-x)=f(x)⇒g(-x)=g(x)，但需f和g都为偶函数，如f(x)=x²，g(x)=ceil(x²)）###-###&gt;&gt;&gt;NA（若f(x)在x0切线存在，则g(x)=ceil(f(x))在x0无切线，因跳跃）###-###&gt;&gt;&gt;NA（若f(x)反常积分收敛，则g(x)=ceil(f(x))因f(x)→0时ceil(f(x))在0附近为0或1，积分可能发散，如f(x)=e^(-x)收敛，g(x)=1（x≥0）发散）###-</t>
  </si>
  <si>
    <t>向下取整（floor(f(x))=g(x)或floor(f(x,y))=g(x,y)）</t>
  </si>
  <si>
    <t>00：###&gt;&gt;&gt;f(x)=|x|（在x=0不可导）,g(x)=floor(|x|)（在x=0不可导，跳跃间断）###-###&gt;&gt;&gt;f(x,y)=|x|+|y|（在(0,0)偏导数不存在）,g(x,y)=floor(|x|+|y|)（在(0,0)偏导数不存在，跳跃）###-###&gt;&gt;&gt;f(x)=分段{0.5,x&lt;0;1.5,x≥0}（在x=0不连续）,g(x)=分段{0,x&lt;0;1,x≥0}（在x=0不连续）###-###&gt;&gt;&gt;f(x,y)=分段{0.5,xy&lt;0;1.5,xy≥0}（在(0,0)不可微）,g(x,y)=分段{0,xy&lt;0;1,xy≥0}（在(0,0)不可微，跳跃）###-###&gt;&gt;&gt;f(x)=分段{sin(1/x),x≠0;0,x=0}（x→0极限不存在）,g(x)=分段{floor(sin(1/x)),x≠0;0,x=0}（x→0极限不存在，震荡）###-###&gt;&gt;&gt;f(x,y)=分段{1-|xy|,xy≠0;0,xy=0}（在(0,0)不连续）,g(x,y)=0（在(0,0)连续，因floor将(0,1)内的f值统一映射为0，消除了跳跃间断）###-###&gt;&gt;&gt;f(x)=x+sinx（非周期函数）,g(x)=floor(x+sinx)（非周期函数）###-###&gt;&gt;&gt;f(x)=分段{1.5,x∈Q;1,x∉Q}（类狄利克雷不可积），g(x)=1（可积，因floor将f(x)恒映射为1，满足可积条件）###-###&gt;&gt;&gt;f(x,y)=x²y/(x⁴+y²)（在(0,0)二阶偏导不连续）,g(x,y)=0（二阶偏导连续，因floor将f(x,y)在(0,0)附近的值强制映射为0，导数恒为0）###-###&gt;&gt;&gt;f(x)=x+1（非奇函数）,g(x)=floor(x+1)（非奇函数）###-###&gt;&gt;&gt;f(x)=x+1（非偶函数）,g(x)=floor(x+1)（非偶函数）###-###&gt;&gt;&gt;f(x)=|x|（在x=0无切线）,g(x)=floor(|x|)（在x=0无切线，分段常数）###-###&gt;&gt;&gt;NA（floor函数对f(x)=1/x（x≥1）取整后恒为0，导致g(x)在积分区间内几乎处处为0，其积分必然收敛，与f(x)的发散性无关，故无法通过f发散推断g必发散）###-</t>
  </si>
  <si>
    <t>01：###&gt;&gt;&gt;f(x)=|x|+0.5（在x=0处因不可导无切线，不满足性质L）,g(x)=floor(|x|+0.5)=1（在x=0处为常数函数，切线存在且为y=1，满足性质L）###-###&gt;&gt;&gt;f(x,y)=|x|+0.5（在x=0处对x的偏导数不存在，不满足性质B）,g(x,y)=floor(|x|+0.5)=1（在全平面偏导数存在，满足性质B，因常数函数偏导恒为0）###-###&gt;&gt;&gt;f(x)=分段{2.2,x&lt;0;2.8,x≥0}（在x=0处左极限2.2，右极限2.8，不连续）,g(x)=floor(f(x))=2（在x=0处左右极限均为2，连续）###-###&gt;&gt;&gt;f(x,y)=|x|+0.5（在(0,0)处因偏导数不存在-&gt;不可微，不满足性质D）,g(x,y)=floor(|x|+0.5)=0（在全平面可微，满足性质D，因常数函数必可微）###-###&gt;&gt;&gt;NA（若f(x)在x→x0极限不存在，g(x)=floor(f(x))可能仍极限不存在，如分段函数，故无需NA）###-###&gt;&gt;&gt;f(x,y)=分段{0.5,xy&lt;0;0.25,xy≥0}（在(0,0)处不连续，不满足性质F），g(x,y)=0（在(0,0)处连续，满足性质F）###-###&gt;&gt;&gt;NA（非周期函数取floor仍为非周期，无法构造g为周期函数）###-###&gt;&gt;&gt;f(x)=狄利克雷函数（不可积）,g(x)=1（可积）###-###&gt;&gt;&gt;f(x,y)=x²y/(x⁴+y²)（在(0,0)处二阶偏导不连续，不满足性质I），g(x,y)=0（分母比分子高阶，绝对值在0-1之间，向下取整全部拉到0。二阶偏导连续，满足性质I）###-###&gt;&gt;&gt;f(x)=分段{1.5,x&gt;0;0.5,x=0;-0.5,x&lt;0},g(x)=分段{1,x&gt;0;0,x=0;-1,x&lt;0}###-###&gt;&gt;&gt;f(x)=分段{0,x≠1;0.5,x=1}（非偶函数，不满足性质K），g(x)=0（偶函数，满足性质K）###-###&gt;&gt;&gt;f(x)=|x|+0.5（在x=0处无切线，不满足性质L），g(x)=floor(|x|+0.5)=0（在x=0处有切线，满足性质L）###-###&gt;&gt;&gt;f(x)=1/x+1（x≥1时floor(1/x+1)=1，无穷积分发散）,g(x)=1（无穷积分发散）###-</t>
  </si>
  <si>
    <t>10：###&gt;&gt;&gt;f(x)=x（在x=0处可导，满足性质A）,g(x)=floor(x)（在x=0处因跳跃间断不可导，不满足性质A）###-###&gt;&gt;&gt;f(x,y)=x（在全平面偏导数存在，满足性质B）,g(x,y)=floor(x)（在x=0处因整数点跳跃导致左右偏导数不存在，不满足性质B）###-###&gt;&gt;&gt;NA（若f(x)连续，则g(x)=floor(f(x))在f(x)∈Z处必间断，因floor函数在整数点跳跃）###-###&gt;&gt;&gt;f(x,y)=x（在全平面可微，满足性质D）,g(x,y)=floor(x)（在x=0处因整数点跳跃不连续，不满足可微性要求，故不满足性质D）###-###&gt;&gt;&gt;NA（若f(x)在x→x0极限存在且f(x0)∈Z，则g(x)左右极限不同，极限不存在）###-###&gt;&gt;&gt;NA（若f(x,y)连续且f(x,y)∈Z，则g(x,y)在该点间断，因floor跳跃）###-###&gt;&gt;&gt;NA（若f(x)周期T，g(x)=floor(f(x))周期必为T，因f(x+T)=f(x)⇒g(x+T)=g(x)，但g在整数点间断，仍为周期函数）###-###&gt;&gt;&gt;NA（若f(x)可积，g(x)=floor(f(x))在f(x)值域不含整数时可积，如f(x)=x+0.5在[0,1]可积，g(x)=0可积，无法构造g不可积的例子）###-###&gt;&gt;&gt;f(x,y)=x³二阶偏导连续，g(x,y)=floor(x³)在x=0处二阶偏导不存在###-###&gt;&gt;&gt;NA（若f(x)是奇函数，g(x)=floor(f(x))非奇函数，因floor(-f(x))≠-floor(f(x))，如f(x)=x，floor(-0.5)=-1≠-floor(0.5)=0）###-###&gt;&gt;&gt;f(x)=x²（偶函数）,g(x)=floor(x²)（偶函数，因x²=(-x)²⇒floor(x²)=floor((-x)²)）###-###&gt;&gt;&gt;f(x)=x（在x=0处切线为y=x）,g(x)=floor(x)（在x=0处左极限0、右极限1，不连续，无切线）###-###&gt;&gt;&gt;NA（若f(x)的反常积分收敛，则当x→∞时f(x)→0，故存在X使得x&gt;X时f(x)&lt;1，此时floor(f(x))=0。因此g(x)在(X,∞)上恒为0，仅在[0,X]上可能非零，其积分必收敛，无法构造g积分发散的例子）###-</t>
  </si>
  <si>
    <t>11：###&gt;&gt;&gt;NA（若f(x)可导，则g(x)=floor(f(x))在f(x)∈Z处必不可导，因floor跳跃）###-###&gt;&gt;&gt;NA（若f(x,y)偏导数存在，则g(x,y)=floor(f(x,y))在f∈Z处偏导数不存在，因跳跃）###-###&gt;&gt;&gt;NA（若f(x)连续，则g(x)=floor(f(x))在f(x)∈Z处必不连续，因floor跳跃）###-###&gt;&gt;&gt;NA（若f(x,y)可微，则g(x,y)=floor(f(x,y))在f∈Z处必不可微，因不连续）###-###&gt;&gt;&gt;NA（若f(x)在x→x0极限存在且f(x0)∈Z，则g(x)极限不存在，因左右极限不同）###-###&gt;&gt;&gt;NA（若f(x,y)连续，则g(x,y)=floor(f(x,y))在f∈Z处必不连续，因跳跃）###-###&gt;&gt;&gt;f(x)=sinx（周期2π，满足性质G），g(x)=floor(sinx)（周期2π，满足性质G）###-###&gt;&gt;&gt;f(x)=x+0.5（在[0,1]上连续可积，定积分值为Int(0,1):(x+0.5)dx=0.75）,g(x)=floor(x+0.5)=0（在[0,1]上为常数函数，定积分值为0，满足可积性）###-###&gt;&gt;&gt;NA（若f(x,y)二阶偏导连续，则g(x,y)=floor(f(x,y))在f∈Z处二阶偏导不存在，因跳跃）###-###&gt;&gt;&gt;NA（若f(x)是奇函数，g(x)=floor(f(x))必非奇函数，因floor(-f(x))≠-floor(f(x))）###-###&gt;&gt;&gt;f(x)=x²（偶函数）,g(x)=floor(x²)（偶函数）###-###&gt;&gt;&gt;f(x)=x+0.5（在x=0处切线为y=x+0.5）,g(x)=floor(x+0.5)=0（常数函数，在x=0处切线为y=0）###-###&gt;&gt;&gt;f(x)=e^(-x)（无穷积分收敛）,g(x)=0（无穷积分收敛）###-</t>
  </si>
  <si>
    <t>特例法大杀器-二元运算### ###（无需作答）</t>
  </si>
  <si>
    <t>加减（f(x)±g(x)=h(x)或f(x,y)±g(x,y)=h(x,y)）</t>
  </si>
  <si>
    <t>000：###F (x)=|x|,G (x)=|x|###-###F (x,y)=|x|+|y|,G (x,y)=|x|+|y|###-###F (x)=1/x,G (x)=1/x###-###F (x,y)=1/√(x²+y²),G (x,y)=1/√(x²+y²)###-###F (x)=1/x,G (x)=1/x###-###F (x,y)=1/(x+y),G (x,y)=1/(x+y)###-###F (x)=sinx+1/x,G (x)=cosx+1/x###-###F (x)=1/x,G (x)=1/x（区间 [0,1]）###-###F (x,y)=1/(x+y),G (x,y)=1/(x+y)###-###F (x)=x²+1,G (x)=x²+1###-###F (x)=x+1,G (x)=x+1###-###F (x)=|x|,G (x)=|x|###-###F (x)=1/x,G (x)=1/x（积分区间 [1,+∞)）###</t>
  </si>
  <si>
    <t>001：###F (x)=x,G (x)=2x→h (x)=3x###-###F (x,y)=x+y,G (x,y)=xy→h (x,y)=x+y-xy###-###F (x)=sinx,G (x)=x（连续函数加减必连续√）###-###F (x)=x²,G (x)=cosx（可导函数加减必可导√，因 (h)'=(f±g)'=f'±g'）###-###F (x)=x+1,G (x)=2x（x→2 时极限存在，加减后极限仍存在√）###-###F (x)=sinx,G (x)=sin (√2x)（周期函数加减未必周期 ×，如两函数周期比为无理数时和非周期）###-###F (x)=x,G (x)=1（[0,1] 上可积函数加减必可积√）###-###F (x,y)=x²,G (x,y)=y²→h (x,y)=x²+y²###-###F (x)=x,G (x)=x³（奇函数加减奇函数必为奇函数√，h (-x)=-f (x)±(-g (x))=-h (x)）###-###F (x)=x²,G (x)=cosx（偶函数加减偶函数必为偶函数√，h (-x)=f (-x)±g (-x)=h (x)）###-###F (x)=1/x²,G (x)=1/x³（积分区间 [1,+∞) 收敛，加减后仍收敛√）###-###F (x)=sinx,G (x)=cosx（有界函数加减必为有界函数√，|h (x)|≤|f (x)|+|g (x)|≤2）###-###F (x)=2x+1,G (x)=-x→h (x)=x+1（线性函数加减仍为线性函数√）###</t>
  </si>
  <si>
    <t>010：###F (x)=|x|,G (x)=x###-###F (x,y)=|x|,G (x,y)=y###-###F (x)=1/x,G (x)=x###-###F (x,y)=1/√(x²+y²),G (x,y)=y###-###F (x)=1/x,G (x)=x###-###F (x,y)=1/(x+y),G (x,y)=y###-###F (x)=sinx+1/x,G (x)=sinx###-###F (x)=1/x,G (x)=x（区间 [0,1]）###-###F (x,y)=1/(x+y),G (x,y)=y###-###F (x)=x²+1,G (x)=x###-###F (x)=x+1,G (x)=x²###-###F (x)=|x|,G (x)=x###-###F (x)=1/x,G (x)=1/x²（积分区间 [1,+∞)）###</t>
  </si>
  <si>
    <t>011：###F (x)=x,G (x)=x²###-###F (x,y)=xy,G (x,y)=x²y###-###F (x)=x,G (x)=x²###-###F (x,y)=xy,G (x,y)=x²y###-###F (x)=x,G (x)=x²###-###F (x,y)=xy,G (x,y)=x²y###-###F (x)=sinx,G (x)=sinx###-###F (x)=x,G (x)=x²（区间 [0,1]）###-###F (x,y)=xy,G (x,y)=x²y###-###F (x)=x,G (x)=x³###-###F (x)=x²,G (x)=x⁴###-###F (x)=x,G (x)=x²###-###F (x)=1/x²,G (x)=1/x³（积分区间 [1,+∞)）###</t>
  </si>
  <si>
    <t>110：###NA (可导函数加减必可导)###-###NA (偏导存在函数加减必偏导存在)###-###NA (连续函数加减必连续)###-###NA (可微函数加减必可微)###-###NA (极限存在函数加减必极限存在)###-###NA (连续函数加减必连续)###-###F (x)=sinx,G (x)=sin2x###-###NA (可积函数加减必可积)###-###NA (二阶偏导连续函数加减必连续)###-###NA (奇函数加减必奇函数)###-###NA (偶函数加减必偶函数)###-###NA (有切线函数加减必有切线)###-###NA (收敛反常积分加减必收敛)###</t>
  </si>
  <si>
    <t>111：###F (x)=x,G (x)=x²###-###F (x,y)=xy,G (x,y)=x²y###-###F (x)=x,G (x)=x²###-###F (x,y)=xy,G (x,y)=x²y###-###F (x)=x,G (x)=x²###-###F (x,y)=xy,G (x,y)=x²y###-###F (x)=sinx,G (x)=sinx###-###F (x)=x,G (x)=x²（区间 [0,1]）###-###F (x,y)=xy,G (x,y)=x²y###-###F (x)=x,G (x)=x³###-###F (x)=x²,G (x)=x⁴###-###F (x)=x,G (x)=x²###-###F (x)=1/x²,G (x)=1/x³（积分区间 [1,+∞)）###</t>
  </si>
  <si>
    <t>乘法（f(x)*g(x)=h(x)或f(x,y)*g(x,y)=h(x,y)）</t>
  </si>
  <si>
    <t>000：###F (x)=|x|+1,G (x)=|x|+1###-###F (x,y)=1/√(x²+y²),G (x,y)=1/√(x²+y²)###-###F (x)=1/x,G (x)=1/x###-###F (x,y)=1/√(x²+y²),G (x,y)=1/√(x²+y²)###-###F (x)=1/x,G (x)=1/x###-###F (x,y)=1/(x+y),G (x,y)=1/(x+y)###-###F (x)=sinx+1/x,G (x)=cosx+1/x###-###F (x)=1/x,G (x)=1/x（区间 [0,1]）###-###F (x,y)=1/(x+y),G (x,y)=1/(x+y)###-###F (x)=x²+1,G (x)=x²+1###-###F (x)=x+1,G (x)=x+1###-###F (x)=|x|,G (x)=|x|###-###F (x)=1/√x,G (x)=1/√x（积分区间 [1,+∞)）###</t>
  </si>
  <si>
    <t>001：###F (x)=x,G (x)=2x→h (x)=2x²###-###F (x,y)=x+y,G (x,y)=xy→h (x,y)=(x+y) xy=x²y+xy²###-###F (x)=sinx,G (x)=x（连续函数相乘必连续√，由连续函数运算性质保证）###-###F (x)=x²,G (x)=cosx（可导函数相乘必可导√，因 (h)'=f'g+fg' 存在）###-###F (x)=x+1,G (x)=2x（x→2 时极限存在，相乘后极限为 (2+1)×4=12√）###-###F (x)=sinx,G (x)=sin (√2x)（周期函数相乘未必周期 ×，两函数周期比为无理数时无公共周期；反例：sinx・sin (√2x) 非周期）###-###F (x)=x,G (x)=1（[0,1] 上可积函数相乘必可积√，因乘积仍有界且间断点有限）###-###F (x,y)=x²,G (x,y)=y²→h (x,y)=x²y²###-###F (x)=x,G (x)=x³（奇函数 × 奇函数 = 偶函数√，h (-x)=(-x)・(-x³)=x⁴=h (x)）###-###F (x)=x²,G (x)=cosx（偶函数 × 偶函数 = 偶函数√，h (-x)=x²・cosx=h (x)）###-###F (x)=1/x²,G (x)=1/x³（积分区间 [1,+∞)，乘积 1/x^5 收敛√，因 p=5&gt;1）###-###F (x)=sinx,G (x)=cosx（有界函数相乘必为有界函数√，|h (x)|≤|sinx||cosx|≤1/2）###-###F (x)=2x+1,G (x)=-x→h (x)=-2x²-x（线性函数相乘必为二次函数√，次数为 1+1=2）###</t>
  </si>
  <si>
    <t>010：###F (x)=x,G (x)=|x|###-###F (x,y)=0,G (x,y)=|x|###-###F (x)=0,G (x)=1/x###-###F (x,y)=0,G (x,y)=|x|+|y|###-###F (x)=x,G (x)=1/x###-###F (x,y)=0,G (x,y)=1/(x+y)###-###F (x)=0,G (x)=x###-###F (x)=0,G (x)=1/x（区间 [0,1]）###-###F (x,y)=0,G (x,y)=1/(x+y)###-###F (x)=x,G (x)=x²###-###F (x)=0,G (x)=x###-###F (x)=x,G (x)=|x|###-###F (x)=0,G (x)=x（积分区间 [1,+∞)）###</t>
  </si>
  <si>
    <t>011：###F (x)=x,G (x)=x²###-###F (x,y)=x,G (x,y)=x²y###-###F (x)=x,G (x)=x²###-###F (x,y)=x,G (x,y)=x²y###-###F (x)=x,G (x)=x²###-###F (x,y)=x,G (x,y)=x²y###-###F (x)=sinx,G (x)=x###-###F (x)=x,G (x)=x²（区间 [0,1]）###-###F (x,y)=x,G (x,y)=x²y###-###F (x)=x,G (x)=x³###-###F (x)=x²,G (x)=x⁴###-###F (x)=x,G (x)=x²###-###F (x)=x,G (x)=x²（积分区间 [1,+∞)）###</t>
  </si>
  <si>
    <t>110：###F (x)=x,G (x)=x###-###F (x,y)=x,G (x,y)=y###-###F (x)=x,G (x)=x²###-###F (x,y)=x,G (x,y)=y###-###F (x)=x,G (x)=x²###-###F (x,y)=x,G (x,y)=y###-###F (x)=sinx,G (x)=cosx###-###F (x)=x,G (x)=x²（区间 [0,1]）###-###F (x,y)=x,G (x,y)=y###-###F (x)=x,G (x)=x²###-###F (x)=x²,G (x)=x³###-###F (x)=x,G (x)=x²###-###F (x)=1/x²,G (x)=1/x³（积分区间 [1,+∞)）###</t>
  </si>
  <si>
    <t>除法（f(x)/g(x)=h(x)或f(x,y)/g(x,y)=h(x,y)）</t>
  </si>
  <si>
    <t>000：###F (x)=x²,G (x)=x（x≠0）###-###F (x,y)=x²y,G (x,y)=xy（xy≠0）###-###F (x)=x+1,G (x)=1###-###F (x,y)=x²+y²,G (x,y)=1###-###F (x)=x³,G (x)=x（x≠0）###-###F (x,y)=x+y,G (x,y)=2###-###F (x)=sin2x,G (x)=sinx（sinx≠0）###-###F (x)=1,G (x)=2（区间 [0,1]）###-###F (x,y)=x³y³,G (x,y)=xy（xy≠0）###-###F (x)=x²,G (x)=x⁴###-###F (x)=x+1,G (x)=1###-###F (x)=x,G (x)=1###-###F (x)=1/x²,G (x)=1（积分区间 [1,+∞)）###</t>
  </si>
  <si>
    <t>001：###F (x)=|x|,G (x)=x（x≠0）###-###F (x,y)=|x|,G (x,y)=y（y≠0）###-###F (x)=sgn (x),G (x)=1###-###F (x,y)=|x|+|y|,G (x,y)=x（x≠0）###-###F (x)=1/x,G (x)=x（x≠0）###-###F (x,y)=1/|x+y|,G (x,y)=1###-###F (x)=x+|x|,G (x)=sinx（sinx≠0）###-###F (x)=1/x,G (x)=1（区间 (0,1]）###-###F (x,y)=|x|+|y|,G (x,y)=y（y≠0）###-###F (x)=x²+|x|,G (x)=x（x≠0）###-###F (x)=x+1,G (x)=x²###-###F (x)=|x|,G (x)=x（x≠0）###-###F (x)=1/x,G (x)=1/x²（积分区间 [1,+∞)）###</t>
  </si>
  <si>
    <t>010：###F (x)=x,G (x)=|x|（x≠0）###-###F (x,y)=x,G (x,y)=|x|（x≠0）###-###F (x)=x²,G (x)=x（x≠0）###-###F (x,y)=x,G (x,y)=1/√(x²+y²)（x²+y²≠0）###-###F (x)=x³,G (x)=x²（x≠0）###-###F (x,y)=x,G (x,y)=1/(x+y)（x+y≠0）###-###F (x)=sinx,G (x)=x（x≠0）###-###F (x)=x,G (x)=1（区间 [0,1]）###-###F (x,y)=x,G (x,y)=1/(x+y)（x+y≠0）###-###F (x)=x⁴,G (x)=x²（x≠0）###-###F (x)=x³,G (x)=x（x≠0）###-###F (x)=x,G (x)=|x|（x≠0）###-###F (x)=1/x,G (x)=1/x²（积分区间 [1,+∞)）###</t>
  </si>
  <si>
    <t>011：###F (x)=x³,G (x)=x²（x≠0）###-###F (x,y)=x²y³,G (x,y)=xy²（xy≠0）###-###F (x)=sinx,G (x)=cosx（cosx≠0）###-###F (x,y)=x+y,G (x,y)=x（x≠0）###-###F (x)=x²+1,G (x)=x+1（x≠-1）###-###F (x,y)=1/√(x²+y²),G (x,y)=1/(x+y)（x+y≠0）###-###F (x)=x+|x|,G (x)=x（x≠0）###-###F (x)=x²,G (x)=x（区间 (0,1]）###-###F (x,y)=x³+y³,G (x,y)=x+y（x+y≠0）###-###F (x)=x⁴,G (x)=x³（x≠0）###-###F (x)=e^x,G (x)=e^x###-###F (x)=|x|,G (x)=x（x≠0）###-###F (x)=1/x,G (x)=1/x²（积分区间 [1,+∞)）###</t>
  </si>
  <si>
    <t>100：###F (x)=x,G (x)=|x|（x≠0）###-###F (x,y)=x,G (x,y)=|x|（x≠0）###-###F (x)=x²,G (x)=|x|（x≠0）###-###F (x,y)=x,G (x,y)=1/√(x²+y²)（x²+y²≠0）###-###F (x)=x³,G (x)=x|x|（x≠0）###-###F (x,y)=x,G (x,y)=1/(x+y)（x+y≠0）###-###F (x)=sinx,G (x)=|sinx|（sinx≠0）###-###F (x)=x,G (x)=1（区间 [0,1]）###-###F (x,y)=x,G (x,y)=1/(x+y)（x+y≠0）###-###F (x)=x⁴,G (x)=x²|x|（x≠0）###-###F (x)=e^x,G (x)=e^{|x|}###-###F (x)=x,G (x)=|x|（x≠0）###-###F (x)=1/x,G (x)=1/|x|（积分区间 [1,+∞)）###</t>
  </si>
  <si>
    <t>101：###F (x)=x³,G (x)=√|x|###-###F (x,y)=x³y,G (x,y)=√|x|+y###-###F (x)=1,G (x)=1/x###-###F (x,y)=x²+y²,G (x,y)=|x|+|y|###-###F (x)=x,G (x)=sin (1/x)###-###F (x,y)=1,G (x,y)=1/(x+y)###-###NA (周期函数除以非周期函数无法保证 H 周期)###-###F (x)=1,G (x)=1/x###-###F (x,y)=x⁴y²,G (x,y)=|x|y²###-###F (x)=x³,G (x)=x²###-###NA (偶函数除以非偶函数无法得到偶函数)###-###F (x)=x⁴,G (x)=√|x|###-###F (x)=1/x²,G (x)=1/√x###</t>
  </si>
  <si>
    <t>110：###F (x)=1,G (x)=x（x≠0）###-###F (x,y)=x,G (x,y)=y（y≠0）###-###F (x)=1,G (x)=x（x≠0）###-###F (x)=x,G (x)=x（x≠0）###-###F (x)=1,G (x)=x（x→0）###-###F (x,y)=1,G (x,y)=x+y（x+y≠0）###-###F (x)=sinx+1,G (x)=sinx（sinx≠0）###-###F (x)=1,G (x)=x（区间 (0,1]）###-###F (x,y)=x²,G (x,y)=y²（y≠0）###-###F (x)=x,G (x)=x（x≠0）###-###NA (偶函数相除必为偶函数)###-###F (x)=1,G (x)=x（x≠0）###-###F (x)=1/x²,G (x)=1/x（积分区间 [1,+∞)）###</t>
  </si>
  <si>
    <t>111：###F (x)=x⁴,G (x)=x²（x≠0）###-###F (x,y)=x³y²,G (x,y)=xy（xy≠0）###-###F (x)=sin2x,G (x)=cosx（cosx≠0）###-###F (x,y)=x²+y²,G (x,y)=x+y（x+y≠0）###-###F (x)=x³+1,G (x)=x+1（x≠-1）###-###F (x,y)=√(x²+y²),G (x,y)=1/√(x²+y²)（x²+y²≠0）###-###F (x)=x+sinx,G (x)=x（x≠0）###-###F (x)=x³,G (x)=x²（区间 (0,1]）###-###F (x,y)=x⁴y³,G (x,y)=x²y²（xy≠0）###-###F (x)=x⁵,G (x)=x³（x≠0）###-###F (x)=e^{2x},G (x)=e^x###-###F (x)=x|x|,G (x)=x（x≠0）###-###F (x)=1/x³,G (x)=1/x²（积分区间 [1,+∞)）###</t>
  </si>
  <si>
    <t>取最大值（max(f(x),g(x))=h(x)或max(f(x,y),g(x,y))=h(x,y)）</t>
  </si>
  <si>
    <t>000：###F (x)=|x|,G (x)=-|x|###-###F (x,y)=|x|+|y|,G (x,y)=-|x|-|y|###-###F (x)=1/x,G (x)=sin (1/x)###-###F (x,y)=√(x²+y²),G (x,y)=-√(x²+y²)###-###F (x)=sin (1/x),G (x)=cos (1/x)###-###F (x,y)=1/(x+y),G (x,y)=1/(x-y)###-###F (x)=x,G (x)=e^x###-###F (x)=D (x),G (x)=D (x)（D 为狄利克雷函数）###-###F (x,y)=|x|y²,G (x,y)=x|y|###-###F (x)=x²,G (x)=x+1###-###F (x)=x³,G (x)=x+1###-###F (x)=|x|,G (x)=-|x|###-###F (x)=1/x,G (x)=1/x²###</t>
  </si>
  <si>
    <t>001：###F (x)=x,G (x)=0###-###F (x,y)=x,G (x,y)=y###-###NA (连续函数取最大值必连续)###-###F (x)=x,G (x)=-x###-###NA (极限存在函数取最大值必极限存在)###-###NA (连续函数取最大值必连续)###-###NA (周期函数取最大值必周期)###-###NA (可积函数取最大值必可积)###-###F (x,y)=x²,G (x,y)=y²###-###F (x)=x,G (x)=-x###-###NA (偶函数取最大值必偶函数)###-###F (x)=x,G (x)=0###-###NA (收敛反常积分取最大值必收敛)###</t>
  </si>
  <si>
    <t>010：###F (x)=x,G (x)=0###-###F (x,y)=x,G (x,y)=y###-###NA (连续函数取最大值必连续)###-###F (x)=x,G (x)=0###-###NA (极限存在函数取最大值必极限存在)###-###NA (连续函数取最大值必连续)###-###F (x)=sinx,G (x)=sin (√2x)###-###NA (可积函数取最大值必可积)###-###F (x,y)=x²,G (x,y)=y²###-###F (x)=x,G (x)=-x###-###NA (偶函数取最大值必偶函数)###-###F (x)=x,G (x)=0###-###NA (收敛反常积分取最大值必收敛)###</t>
  </si>
  <si>
    <t>011：###F (x)=x,G (x)=2x###-###F (x,y)=x²+y²,G (x,y)=0###-###F (x)=x,G (x)=1###-###F (x)=x,G (x)=-x###-###F (x)=x,G (x)=2（x→1）###-###F (x)=sinx,G (x)=cosx###-###F (x)=sinx,G (x)=cosx###-###F (x)=x,G (x)=0（区间 [0,1]）###-###F (x,y)=x²+y²,G (x,y)=0###-###F (x)=x,G (x)=2x###-###F (x)=x²,G (x)=1###-###F (x)=x,G (x)=2x###-###F (x)=1/x²,G (x)=1/x³（积分区间 [1,+∞)）###</t>
  </si>
  <si>
    <t>110：###F (x)=x,G (x)=-x###-###F (x,y)=x,G (x,y)=y###-###NA (两连续函数最大值必连续)###-###F (x,y)=x²,G (x,y)=y²###-###NA (两函数极限存在则最大值极限必存在)###-###NA (两连续多元函数最大值必连续)###-###F (x)=sinx,G (x)=sin (√2x)###-###NA (两可积函数最大值必可积)###-###F (x,y)=x⁴,G (x,y)=y⁴###-###F (x)=x,G (x)=x³###-###NA (两偶函数最大值必为偶函数)###-###F (x)=x,F (x)=x²###-###NA (两收敛反常积分最大值必收敛)###</t>
  </si>
  <si>
    <t>111：###F(x)=x²,G(x)=2x²###-###F(x,y)=x³y,G(x,y)=2x³y###-###F(x)=sinx,G(x)=cosx###-###F(x,y)=x²+y²,G(x,y)=2x²+2y²###-###F(x)=x,G(x)=2x###-###F(x,y)=xy,G(x,y)=2xy###-###F(x)=sinx,G(x)=sin2x###-###F(x)=1,G(x)=2###-###F(x,y)=x⁴y²,G(x,y)=2x⁴y²###-###F(x)=x,G(x)=2x###-###F(x)=x²,G(x)=2x²###-###F(x)=x²,G(x)=3x²###-###F(x)=1/x²,G(x)=1/x³###</t>
  </si>
  <si>
    <t>取最小值（min(f(x),g(x))=h(x)或min(f(x,y),g(x,y))=h(x,y)）</t>
  </si>
  <si>
    <t>001：###F(x)=D(x),G(x)=1-D(x)###-###F(x,y)=|x|+y,G(x,y)=x+|y|###-###F(x)=D(x),G(x)=1-D(x)###-###F(x,y)=|x|+y,G(x,y)=x+|y|###-###F(x)=sgn(x),G(x)=1-sgn(x)###-###F(x,y)=1/(x+y)+D(x,y),G(x,y)=1/(x-y)+1-D(x,y)###-###F(x)=D(x),G(x)=1-D(x)###-###F(x)=D(x),G(x)=1-D(x)###-###F(x,y)=|x|y+D(x,y),G(x,y)=x|y|+1-D(x,y)###-###F(x)=|x|+x,G(x)=|x|-x###-###F(x)=x²+1,G(x)=-x²+1###-###F(x)=D(x),G(x)=1-D(x)###-###F(x)=1/x+D(x),G(x)=1/x²+1-D(x)###</t>
  </si>
  <si>
    <t>010：###F(x)=|x|,G(x)=x###-###F(x,y)=|x|+|y|,G(x,y)=x+y###-###F(x)=1/x,G(x)=x###-###F(x,y)=√(x²+y²),G(x,y)=x+y###-###F(x)=sin(1/x),G(x)=x###-###F(x,y)=1/(x+y),G(x,y)=x+y###-###F(x)=x,G(x)=sinx###-###F(x)=D(x),G(x)=x###-###F(x,y)=|x|y²,G(x,y)=x²y###-###F(x)=x²,G(x)=x³###-###F(x)=x²+1,G(x)=x³###-###F(x)=|x|,G(x)=x###-###F(x)=1/x,G(x)=1/x²###</t>
  </si>
  <si>
    <t>110：###F (x)=x²,G (x)=-x²###-###F (x,y)=x²+y²,G (x,y)=-x²-y²###-###NA (两连续函数最小值必连续)###-###F (x,y)=x²+y²,G (x,y)=-x²-y²###-###NA (两极限存在函数最小值极限必存在)###-###NA (两连续多元函数最小值必连续)###-###F (x)=sinx,G (x)=sin2x###-###NA (两可积函数最小值必可积)###-###F (x,y)=x⁴+y⁴,G (x,y)=-x⁴-y⁴###-###F (x)=x³,G (x)=-x³###-###NA (两偶函数最小值必为偶函数)###-###F (x)=x²,G (x)=-x²###-###NA (两收敛反常积分最小值必收敛)###</t>
  </si>
  <si>
    <t>111：###F(x)=x²,G(x)=3x²###-###F(x,y)=x³y,G(x,y)=2x³y###-###F(x)=sinx,G(x)=cosx###-###F(x,y)=x²+y²,G(x,y)=2x²+2y²###-###F(x)=x,G(x)=2x###-###F(x,y)=xy,G(x,y)=2xy###-###F(x)=sinx,G(x)=sin2x###-###F(x)=1,G(x)=2###-###F(x,y)=x⁴y²,G(x,y)=2x⁴y²###-###F(x)=x,G(x)=2x###-###F(x)=x²,G(x)=2x²###-###F(x)=x²,G(x)=3x²###-###F(x)=1/x²,G(x)=1/x³###</t>
  </si>
  <si>
    <t>复合函数（f(g(x))=h(x)或h(f(x,y),g(x,y))=h(x,y)）</t>
  </si>
  <si>
    <t>000：###F(x)=x²,G(x)=3x²###-###F(x,y)=x³y,G(x,y)=2x³y###-###F(x)=sinx,G(x)=cosx###-###F(x,y)=x²+y²,G(x,y)=2x²+2y²###-###F(x)=x,G(x)=2x###-###F(x,y)=xy,G(x,y)=2xy###-###F(x)=sinx,G(x)=sin2x###-###F(x)=1,G(x)=2###-###F(x,y)=x⁴y²,G(x,y)=2x⁴y²###-###F(x)=x,G(x)=2x###-###F(x)=x²,G(x)=2x²###-###F(x)=x²,G(x)=3x²###-###F(x)=1/x²,G(x)=1/x³###</t>
  </si>
  <si>
    <t>001：###F (u)=u²,G (x)=|x|###-###NA (G 不可偏导时 H 无法保证可偏导)###-###F (u)=1,G (x)=D (x)###-###NA (G 不可微时 H 无法保证可微)###-###F (u)=0,G (x)=sin (1/x)###-###F (u)=1,G (x,y)=1/(x+y)###-###F (u)=sinu,G (x)=x###-###F (u)=1,G (x)=D (x)###-###NA (G 不连续时 H 无法二阶偏导连续)###-###NA (奇函数复合非奇函数无法得奇函数)###-###F (u)=u²,G (x)=x###-###F (u)=u²,G (x)=|x|###-###F (u)=1/u²,G (x)=x###</t>
  </si>
  <si>
    <t>010：###F (u)=√|u|,G (x)=x###-###F (u,v)=√|u|,G (x,y)=x###-###F (u)=D (u),G (x)=x###-###F (u)=|u|,G (x)=x###-###F (u)=sin (1/u),G (x)=x###-###F (u,v)=1/(u+v),G (x,y)=x+y###-###NA (非周期函数复合周期函数无法得到非周期函数)###-###F (u)=D (u),G (x)=x###-###F (u,v)=1/(u+v),G (x,y)=x+y###-###F (u)=u²,G (x)=x###-###F (u)=u+1,G (x)=x²###-###F (u)=|u|,G (x)=x###-###F (u)=1/u,G (x)=x###</t>
  </si>
  <si>
    <t>011：###F (x)=x³,G (x)=sinx→h (x)=sin³x###-###F (x,y)=x+y,G (x,y)=xy→H (x,y)=(x+y)・xy###-###NA (可导函数复合必可导 ×，如 f (x)=|x|,g (x)=x 在 x=0 处不可导)###-###F (x)=√(x²+1),G (x)=x²（x∈ℝ）→h (x)=√(x⁴+1)###-###F (x,y)=e^x,G (x,y)=y²→H (x,y)=e^x+y²###-###NA (连续函数复合必连续√，由连续函数复合定理可知)###-###F (x)=x²,G (x)=cosx→h (x)=cos²x###-###F (x)=1/x,G (x)=x-1（区间 (1,2)）→h (x)=1/(x-1)###-###F (x,y)=√x,G (x,y)=y²（x≥0）→H (x,y)=√x+y²###-###F (x)=lnx,G (x)=x²（x&gt;0）→h (x)=2lnx###-###NA (偶函数复合奇函数必为偶函数√，因 f (g (-x))=f (-g (x))=f (g (x))###-###F (x)=x³+1,G (x)=x-1→h (x)=(x-1)³+1=x³-3x²+3x###-###NA (收敛反常积分复合必收敛 ×，如 f (x)=e^x,g (x)=1/x 时∫₁^∞e^(1/x) dx 发散)###</t>
  </si>
  <si>
    <t>100：###F(u)=u²,G(x)=x+1###-###F(u)=u,G(x,y)=x²+y²###-###F(u)=|u|,G(x)=x###-###F(u)=u³,G(x)=x²###-###F(u)=u,G(x)=x###-###F(u,v)=u+v,G(x,y)=xy###-###F(u)=u²,G(x)=sinx###-###F(u)=1,G(x)=x###-###F(u)=u⁴,G(x,y)=x²+y²###-###F(u)=u³,G(x)=x###-###F(u)=u²,G(x)=x²###-###F(u)=u,G(x)=x###-###F(u)=e⁻ᵘ,G(x)=x²###</t>
  </si>
  <si>
    <t>101：###F(u)=u²,G(x)=x³###-###F(u)=u,G(x,y)=x³y###-###F(u)=|u|,G(x)=x³###-###F(u)=u³,G(x)=x²###-###F(u)=u,G(x)=x³###-###F(u,v)=u+v,G(x,y)=x³y###-###F(u)=u²,G(x)=sinx###-###F(u)=1,G(x)=x³###-###F(u)=u⁴,G(x,y)=x³y²###-###F(u)=u³,G(x)=x###-###F(u)=u²,G(x)=x²###-###F(u)=u,G(x)=x³###-###F(u)=e⁻ᵘ,G(x)=x³###</t>
  </si>
  <si>
    <t>110：###F (u)=u²,G (x)=x###-###F (u)=u,G (x,y)=x²+y²###-###NA (两连续函数复合必连续)###-###F (u)=u³,G (x,y)=x²+y²###-###NA (两极限存在函数复合极限必存在)###-###NA (两连续多元函数复合必连续)###-###F (u)=u²,G (x)=sinx###-###NA (两可积函数复合必可积)###-###F (u)=u⁴,G (x,y)=x²+y²###-###F (u)=u³,G (x)=x###-###F (u)=u²,G (x)=x²###-###F (u)=u,G (x)=x###-###NA (两收敛反常积分复合必收敛)###</t>
  </si>
  <si>
    <t>111：###F(u)=u²,G(x)=x###-###F(u)=u,G(x,y)=x²+y²###-###F(u)=|u|,G(x)=x###-###F(u)=u³,G(x,y)=x²+y²###-###F(u)=u,G(x)=x###-###F(u,v)=u+v,G(x,y)=x²+y²###-###F(u)=u²,G(x)=sinx###-###F(u)=1,G(x)=x###-###F(u)=u⁴,G(x,y)=x²+y²###-###F(u)=u³,G(x)=x###-###F(u)=u²,G(x)=x²###-###F(u)=u,G(x)=x###-###F(u)=e⁻ᵘ,G(x)=x²###</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</si>
</sst>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 numFmtId="177" formatCode="0.0000_ "/>
  </numFmts>
  <fonts count="27">
    <font>
      <sz val="11"/>
      <color theme="1"/>
      <name val="宋体"/>
      <charset val="134"/>
      <scheme val="minor"/>
    </font>
    <font>
      <sz val="11"/>
      <color rgb="FFFF0000"/>
      <name val="宋体"/>
      <charset val="134"/>
      <scheme val="minor"/>
    </font>
    <font>
      <sz val="10.5"/>
      <color theme="1"/>
      <name val="宋体"/>
      <charset val="134"/>
      <scheme val="minor"/>
    </font>
    <font>
      <b/>
      <sz val="11"/>
      <color rgb="FFFF0000"/>
      <name val="宋体"/>
      <charset val="134"/>
      <scheme val="minor"/>
    </font>
    <font>
      <b/>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rgb="FF00B0F0"/>
      <name val="宋体"/>
      <charset val="134"/>
      <scheme val="minor"/>
    </font>
    <font>
      <b/>
      <sz val="10.5"/>
      <color rgb="FF24292F"/>
      <name val="Segoe UI"/>
      <charset val="134"/>
    </font>
    <font>
      <sz val="10.5"/>
      <color rgb="FF24292F"/>
      <name val="Segoe UI"/>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2" borderId="1"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2" applyNumberFormat="0" applyFill="0" applyAlignment="0" applyProtection="0">
      <alignment vertical="center"/>
    </xf>
    <xf numFmtId="0" fontId="11" fillId="0" borderId="2" applyNumberFormat="0" applyFill="0" applyAlignment="0" applyProtection="0">
      <alignment vertical="center"/>
    </xf>
    <xf numFmtId="0" fontId="12" fillId="0" borderId="3" applyNumberFormat="0" applyFill="0" applyAlignment="0" applyProtection="0">
      <alignment vertical="center"/>
    </xf>
    <xf numFmtId="0" fontId="12" fillId="0" borderId="0" applyNumberFormat="0" applyFill="0" applyBorder="0" applyAlignment="0" applyProtection="0">
      <alignment vertical="center"/>
    </xf>
    <xf numFmtId="0" fontId="13" fillId="3" borderId="4" applyNumberFormat="0" applyAlignment="0" applyProtection="0">
      <alignment vertical="center"/>
    </xf>
    <xf numFmtId="0" fontId="14" fillId="4" borderId="5" applyNumberFormat="0" applyAlignment="0" applyProtection="0">
      <alignment vertical="center"/>
    </xf>
    <xf numFmtId="0" fontId="15" fillId="4" borderId="4" applyNumberFormat="0" applyAlignment="0" applyProtection="0">
      <alignment vertical="center"/>
    </xf>
    <xf numFmtId="0" fontId="16" fillId="5" borderId="6" applyNumberFormat="0" applyAlignment="0" applyProtection="0">
      <alignment vertical="center"/>
    </xf>
    <xf numFmtId="0" fontId="17" fillId="0" borderId="7" applyNumberFormat="0" applyFill="0" applyAlignment="0" applyProtection="0">
      <alignment vertical="center"/>
    </xf>
    <xf numFmtId="0" fontId="18" fillId="0" borderId="8"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cellStyleXfs>
  <cellXfs count="8">
    <xf numFmtId="0" fontId="0" fillId="0" borderId="0" xfId="0">
      <alignment vertical="center"/>
    </xf>
    <xf numFmtId="176" fontId="0" fillId="0" borderId="0" xfId="0" applyNumberFormat="1">
      <alignment vertical="center"/>
    </xf>
    <xf numFmtId="0" fontId="1" fillId="0" borderId="0" xfId="0" applyFont="1">
      <alignment vertical="center"/>
    </xf>
    <xf numFmtId="0" fontId="2" fillId="0" borderId="0" xfId="0" applyFont="1" applyAlignment="1">
      <alignment horizontal="left" vertical="center"/>
    </xf>
    <xf numFmtId="0" fontId="0" fillId="0" borderId="0" xfId="0" applyFont="1">
      <alignment vertical="center"/>
    </xf>
    <xf numFmtId="0" fontId="3" fillId="0" borderId="0" xfId="0" applyFont="1">
      <alignment vertical="center"/>
    </xf>
    <xf numFmtId="0" fontId="4" fillId="0" borderId="0" xfId="0" applyFont="1">
      <alignment vertical="center"/>
    </xf>
    <xf numFmtId="177" fontId="0" fillId="0" borderId="0" xfId="0" applyNumberFormat="1">
      <alignment vertical="center"/>
    </xf>
    <xf numFmtId="0" fontId="0" fillId="0" borderId="0" xfId="0"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9" Type="http://schemas.openxmlformats.org/officeDocument/2006/relationships/worksheet" Target="worksheets/sheet99.xml"/><Relationship Id="rId98" Type="http://schemas.openxmlformats.org/officeDocument/2006/relationships/worksheet" Target="worksheets/sheet98.xml"/><Relationship Id="rId97" Type="http://schemas.openxmlformats.org/officeDocument/2006/relationships/worksheet" Target="worksheets/sheet97.xml"/><Relationship Id="rId96" Type="http://schemas.openxmlformats.org/officeDocument/2006/relationships/worksheet" Target="worksheets/sheet96.xml"/><Relationship Id="rId95" Type="http://schemas.openxmlformats.org/officeDocument/2006/relationships/worksheet" Target="worksheets/sheet95.xml"/><Relationship Id="rId94" Type="http://schemas.openxmlformats.org/officeDocument/2006/relationships/worksheet" Target="worksheets/sheet94.xml"/><Relationship Id="rId93" Type="http://schemas.openxmlformats.org/officeDocument/2006/relationships/worksheet" Target="worksheets/sheet93.xml"/><Relationship Id="rId92" Type="http://schemas.openxmlformats.org/officeDocument/2006/relationships/worksheet" Target="worksheets/sheet92.xml"/><Relationship Id="rId91" Type="http://schemas.openxmlformats.org/officeDocument/2006/relationships/worksheet" Target="worksheets/sheet91.xml"/><Relationship Id="rId90" Type="http://schemas.openxmlformats.org/officeDocument/2006/relationships/worksheet" Target="worksheets/sheet90.xml"/><Relationship Id="rId9" Type="http://schemas.openxmlformats.org/officeDocument/2006/relationships/worksheet" Target="worksheets/sheet9.xml"/><Relationship Id="rId89" Type="http://schemas.openxmlformats.org/officeDocument/2006/relationships/worksheet" Target="worksheets/sheet89.xml"/><Relationship Id="rId88" Type="http://schemas.openxmlformats.org/officeDocument/2006/relationships/worksheet" Target="worksheets/sheet88.xml"/><Relationship Id="rId87" Type="http://schemas.openxmlformats.org/officeDocument/2006/relationships/worksheet" Target="worksheets/sheet87.xml"/><Relationship Id="rId86" Type="http://schemas.openxmlformats.org/officeDocument/2006/relationships/worksheet" Target="worksheets/sheet86.xml"/><Relationship Id="rId85" Type="http://schemas.openxmlformats.org/officeDocument/2006/relationships/worksheet" Target="worksheets/sheet85.xml"/><Relationship Id="rId84" Type="http://schemas.openxmlformats.org/officeDocument/2006/relationships/worksheet" Target="worksheets/sheet84.xml"/><Relationship Id="rId83" Type="http://schemas.openxmlformats.org/officeDocument/2006/relationships/worksheet" Target="worksheets/sheet83.xml"/><Relationship Id="rId82" Type="http://schemas.openxmlformats.org/officeDocument/2006/relationships/worksheet" Target="worksheets/sheet82.xml"/><Relationship Id="rId81" Type="http://schemas.openxmlformats.org/officeDocument/2006/relationships/worksheet" Target="worksheets/sheet81.xml"/><Relationship Id="rId80" Type="http://schemas.openxmlformats.org/officeDocument/2006/relationships/worksheet" Target="worksheets/sheet80.xml"/><Relationship Id="rId8" Type="http://schemas.openxmlformats.org/officeDocument/2006/relationships/worksheet" Target="worksheets/sheet8.xml"/><Relationship Id="rId79" Type="http://schemas.openxmlformats.org/officeDocument/2006/relationships/worksheet" Target="worksheets/sheet79.xml"/><Relationship Id="rId78" Type="http://schemas.openxmlformats.org/officeDocument/2006/relationships/worksheet" Target="worksheets/sheet78.xml"/><Relationship Id="rId77" Type="http://schemas.openxmlformats.org/officeDocument/2006/relationships/worksheet" Target="worksheets/sheet77.xml"/><Relationship Id="rId76" Type="http://schemas.openxmlformats.org/officeDocument/2006/relationships/worksheet" Target="worksheets/sheet76.xml"/><Relationship Id="rId75" Type="http://schemas.openxmlformats.org/officeDocument/2006/relationships/worksheet" Target="worksheets/sheet75.xml"/><Relationship Id="rId74" Type="http://schemas.openxmlformats.org/officeDocument/2006/relationships/worksheet" Target="worksheets/sheet74.xml"/><Relationship Id="rId73" Type="http://schemas.openxmlformats.org/officeDocument/2006/relationships/worksheet" Target="worksheets/sheet73.xml"/><Relationship Id="rId72" Type="http://schemas.openxmlformats.org/officeDocument/2006/relationships/worksheet" Target="worksheets/sheet72.xml"/><Relationship Id="rId71" Type="http://schemas.openxmlformats.org/officeDocument/2006/relationships/worksheet" Target="worksheets/sheet71.xml"/><Relationship Id="rId70" Type="http://schemas.openxmlformats.org/officeDocument/2006/relationships/worksheet" Target="worksheets/sheet70.xml"/><Relationship Id="rId7" Type="http://schemas.openxmlformats.org/officeDocument/2006/relationships/worksheet" Target="worksheets/sheet7.xml"/><Relationship Id="rId69" Type="http://schemas.openxmlformats.org/officeDocument/2006/relationships/worksheet" Target="worksheets/sheet69.xml"/><Relationship Id="rId68" Type="http://schemas.openxmlformats.org/officeDocument/2006/relationships/worksheet" Target="worksheets/sheet68.xml"/><Relationship Id="rId67" Type="http://schemas.openxmlformats.org/officeDocument/2006/relationships/worksheet" Target="worksheets/sheet67.xml"/><Relationship Id="rId66" Type="http://schemas.openxmlformats.org/officeDocument/2006/relationships/worksheet" Target="worksheets/sheet66.xml"/><Relationship Id="rId65" Type="http://schemas.openxmlformats.org/officeDocument/2006/relationships/worksheet" Target="worksheets/sheet65.xml"/><Relationship Id="rId64" Type="http://schemas.openxmlformats.org/officeDocument/2006/relationships/worksheet" Target="worksheets/sheet64.xml"/><Relationship Id="rId63" Type="http://schemas.openxmlformats.org/officeDocument/2006/relationships/worksheet" Target="worksheets/sheet63.xml"/><Relationship Id="rId62" Type="http://schemas.openxmlformats.org/officeDocument/2006/relationships/worksheet" Target="worksheets/sheet62.xml"/><Relationship Id="rId61" Type="http://schemas.openxmlformats.org/officeDocument/2006/relationships/worksheet" Target="worksheets/sheet61.xml"/><Relationship Id="rId60" Type="http://schemas.openxmlformats.org/officeDocument/2006/relationships/worksheet" Target="worksheets/sheet60.xml"/><Relationship Id="rId6" Type="http://schemas.openxmlformats.org/officeDocument/2006/relationships/worksheet" Target="worksheets/sheet6.xml"/><Relationship Id="rId59" Type="http://schemas.openxmlformats.org/officeDocument/2006/relationships/worksheet" Target="worksheets/sheet59.xml"/><Relationship Id="rId58" Type="http://schemas.openxmlformats.org/officeDocument/2006/relationships/worksheet" Target="worksheets/sheet58.xml"/><Relationship Id="rId57" Type="http://schemas.openxmlformats.org/officeDocument/2006/relationships/worksheet" Target="worksheets/sheet57.xml"/><Relationship Id="rId56" Type="http://schemas.openxmlformats.org/officeDocument/2006/relationships/worksheet" Target="worksheets/sheet56.xml"/><Relationship Id="rId55" Type="http://schemas.openxmlformats.org/officeDocument/2006/relationships/worksheet" Target="worksheets/sheet55.xml"/><Relationship Id="rId54" Type="http://schemas.openxmlformats.org/officeDocument/2006/relationships/worksheet" Target="worksheets/sheet54.xml"/><Relationship Id="rId53" Type="http://schemas.openxmlformats.org/officeDocument/2006/relationships/worksheet" Target="worksheets/sheet53.xml"/><Relationship Id="rId52" Type="http://schemas.openxmlformats.org/officeDocument/2006/relationships/worksheet" Target="worksheets/sheet52.xml"/><Relationship Id="rId51" Type="http://schemas.openxmlformats.org/officeDocument/2006/relationships/worksheet" Target="worksheets/sheet51.xml"/><Relationship Id="rId50" Type="http://schemas.openxmlformats.org/officeDocument/2006/relationships/worksheet" Target="worksheets/sheet50.xml"/><Relationship Id="rId5" Type="http://schemas.openxmlformats.org/officeDocument/2006/relationships/worksheet" Target="worksheets/sheet5.xml"/><Relationship Id="rId49" Type="http://schemas.openxmlformats.org/officeDocument/2006/relationships/worksheet" Target="worksheets/sheet49.xml"/><Relationship Id="rId48" Type="http://schemas.openxmlformats.org/officeDocument/2006/relationships/worksheet" Target="worksheets/sheet48.xml"/><Relationship Id="rId47" Type="http://schemas.openxmlformats.org/officeDocument/2006/relationships/worksheet" Target="worksheets/sheet47.xml"/><Relationship Id="rId46" Type="http://schemas.openxmlformats.org/officeDocument/2006/relationships/worksheet" Target="worksheets/sheet46.xml"/><Relationship Id="rId45" Type="http://schemas.openxmlformats.org/officeDocument/2006/relationships/worksheet" Target="worksheets/sheet45.xml"/><Relationship Id="rId44" Type="http://schemas.openxmlformats.org/officeDocument/2006/relationships/worksheet" Target="worksheets/sheet44.xml"/><Relationship Id="rId43" Type="http://schemas.openxmlformats.org/officeDocument/2006/relationships/worksheet" Target="worksheets/sheet43.xml"/><Relationship Id="rId42" Type="http://schemas.openxmlformats.org/officeDocument/2006/relationships/worksheet" Target="worksheets/sheet42.xml"/><Relationship Id="rId41" Type="http://schemas.openxmlformats.org/officeDocument/2006/relationships/worksheet" Target="worksheets/sheet41.xml"/><Relationship Id="rId40" Type="http://schemas.openxmlformats.org/officeDocument/2006/relationships/worksheet" Target="worksheets/sheet40.xml"/><Relationship Id="rId4" Type="http://schemas.openxmlformats.org/officeDocument/2006/relationships/worksheet" Target="worksheets/sheet4.xml"/><Relationship Id="rId39" Type="http://schemas.openxmlformats.org/officeDocument/2006/relationships/worksheet" Target="worksheets/sheet39.xml"/><Relationship Id="rId38" Type="http://schemas.openxmlformats.org/officeDocument/2006/relationships/worksheet" Target="worksheets/sheet38.xml"/><Relationship Id="rId37" Type="http://schemas.openxmlformats.org/officeDocument/2006/relationships/worksheet" Target="worksheets/sheet37.xml"/><Relationship Id="rId36" Type="http://schemas.openxmlformats.org/officeDocument/2006/relationships/worksheet" Target="worksheets/sheet36.xml"/><Relationship Id="rId35" Type="http://schemas.openxmlformats.org/officeDocument/2006/relationships/worksheet" Target="worksheets/sheet35.xml"/><Relationship Id="rId34" Type="http://schemas.openxmlformats.org/officeDocument/2006/relationships/worksheet" Target="worksheets/sheet34.xml"/><Relationship Id="rId33" Type="http://schemas.openxmlformats.org/officeDocument/2006/relationships/worksheet" Target="worksheets/sheet33.xml"/><Relationship Id="rId32" Type="http://schemas.openxmlformats.org/officeDocument/2006/relationships/worksheet" Target="worksheets/sheet32.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5" Type="http://www.wps.cn/officeDocument/2023/relationships/customStorage" Target="customStorage/customStorage.xml"/><Relationship Id="rId134" Type="http://schemas.openxmlformats.org/officeDocument/2006/relationships/styles" Target="styles.xml"/><Relationship Id="rId133" Type="http://schemas.openxmlformats.org/officeDocument/2006/relationships/sheetMetadata" Target="metadata.xml"/><Relationship Id="rId132" Type="http://schemas.openxmlformats.org/officeDocument/2006/relationships/sharedStrings" Target="sharedStrings.xml"/><Relationship Id="rId131" Type="http://schemas.openxmlformats.org/officeDocument/2006/relationships/theme" Target="theme/theme1.xml"/><Relationship Id="rId130" Type="http://schemas.openxmlformats.org/officeDocument/2006/relationships/worksheet" Target="worksheets/sheet130.xml"/><Relationship Id="rId13" Type="http://schemas.openxmlformats.org/officeDocument/2006/relationships/worksheet" Target="worksheets/sheet13.xml"/><Relationship Id="rId129" Type="http://schemas.openxmlformats.org/officeDocument/2006/relationships/worksheet" Target="worksheets/sheet129.xml"/><Relationship Id="rId128" Type="http://schemas.openxmlformats.org/officeDocument/2006/relationships/worksheet" Target="worksheets/sheet128.xml"/><Relationship Id="rId127" Type="http://schemas.openxmlformats.org/officeDocument/2006/relationships/worksheet" Target="worksheets/sheet127.xml"/><Relationship Id="rId126" Type="http://schemas.openxmlformats.org/officeDocument/2006/relationships/worksheet" Target="worksheets/sheet126.xml"/><Relationship Id="rId125" Type="http://schemas.openxmlformats.org/officeDocument/2006/relationships/worksheet" Target="worksheets/sheet125.xml"/><Relationship Id="rId124" Type="http://schemas.openxmlformats.org/officeDocument/2006/relationships/worksheet" Target="worksheets/sheet124.xml"/><Relationship Id="rId123" Type="http://schemas.openxmlformats.org/officeDocument/2006/relationships/worksheet" Target="worksheets/sheet123.xml"/><Relationship Id="rId122" Type="http://schemas.openxmlformats.org/officeDocument/2006/relationships/worksheet" Target="worksheets/sheet122.xml"/><Relationship Id="rId121" Type="http://schemas.openxmlformats.org/officeDocument/2006/relationships/worksheet" Target="worksheets/sheet121.xml"/><Relationship Id="rId120" Type="http://schemas.openxmlformats.org/officeDocument/2006/relationships/worksheet" Target="worksheets/sheet120.xml"/><Relationship Id="rId12" Type="http://schemas.openxmlformats.org/officeDocument/2006/relationships/worksheet" Target="worksheets/sheet12.xml"/><Relationship Id="rId119" Type="http://schemas.openxmlformats.org/officeDocument/2006/relationships/worksheet" Target="worksheets/sheet119.xml"/><Relationship Id="rId118" Type="http://schemas.openxmlformats.org/officeDocument/2006/relationships/worksheet" Target="worksheets/sheet118.xml"/><Relationship Id="rId117" Type="http://schemas.openxmlformats.org/officeDocument/2006/relationships/worksheet" Target="worksheets/sheet117.xml"/><Relationship Id="rId116" Type="http://schemas.openxmlformats.org/officeDocument/2006/relationships/worksheet" Target="worksheets/sheet116.xml"/><Relationship Id="rId115" Type="http://schemas.openxmlformats.org/officeDocument/2006/relationships/worksheet" Target="worksheets/sheet115.xml"/><Relationship Id="rId114" Type="http://schemas.openxmlformats.org/officeDocument/2006/relationships/worksheet" Target="worksheets/sheet114.xml"/><Relationship Id="rId113" Type="http://schemas.openxmlformats.org/officeDocument/2006/relationships/worksheet" Target="worksheets/sheet113.xml"/><Relationship Id="rId112" Type="http://schemas.openxmlformats.org/officeDocument/2006/relationships/worksheet" Target="worksheets/sheet112.xml"/><Relationship Id="rId111" Type="http://schemas.openxmlformats.org/officeDocument/2006/relationships/worksheet" Target="worksheets/sheet111.xml"/><Relationship Id="rId110" Type="http://schemas.openxmlformats.org/officeDocument/2006/relationships/worksheet" Target="worksheets/sheet110.xml"/><Relationship Id="rId11" Type="http://schemas.openxmlformats.org/officeDocument/2006/relationships/worksheet" Target="worksheets/sheet11.xml"/><Relationship Id="rId109" Type="http://schemas.openxmlformats.org/officeDocument/2006/relationships/worksheet" Target="worksheets/sheet109.xml"/><Relationship Id="rId108" Type="http://schemas.openxmlformats.org/officeDocument/2006/relationships/worksheet" Target="worksheets/sheet108.xml"/><Relationship Id="rId107" Type="http://schemas.openxmlformats.org/officeDocument/2006/relationships/worksheet" Target="worksheets/sheet107.xml"/><Relationship Id="rId106" Type="http://schemas.openxmlformats.org/officeDocument/2006/relationships/worksheet" Target="worksheets/sheet106.xml"/><Relationship Id="rId105" Type="http://schemas.openxmlformats.org/officeDocument/2006/relationships/worksheet" Target="worksheets/sheet105.xml"/><Relationship Id="rId104" Type="http://schemas.openxmlformats.org/officeDocument/2006/relationships/worksheet" Target="worksheets/sheet104.xml"/><Relationship Id="rId103" Type="http://schemas.openxmlformats.org/officeDocument/2006/relationships/worksheet" Target="worksheets/sheet103.xml"/><Relationship Id="rId102" Type="http://schemas.openxmlformats.org/officeDocument/2006/relationships/worksheet" Target="worksheets/sheet102.xml"/><Relationship Id="rId101" Type="http://schemas.openxmlformats.org/officeDocument/2006/relationships/worksheet" Target="worksheets/sheet101.xml"/><Relationship Id="rId100" Type="http://schemas.openxmlformats.org/officeDocument/2006/relationships/worksheet" Target="worksheets/sheet100.xml"/><Relationship Id="rId10" Type="http://schemas.openxmlformats.org/officeDocument/2006/relationships/worksheet" Target="worksheets/sheet10.xml"/><Relationship Id="rId1" Type="http://schemas.openxmlformats.org/officeDocument/2006/relationships/worksheet" Target="worksheets/sheet1.xml"/></Relationships>
</file>

<file path=xl/customStorage/customStorage.xml><?xml version="1.0" encoding="utf-8"?>
<customStorage xmlns="https://web.wps.cn/et/2018/main">
  <book/>
  <sheets/>
</customStorag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2"/>
    </sheetView>
  </sheetViews>
  <sheetFormatPr defaultColWidth="8.88888888888889" defaultRowHeight="14.4" outlineLevelRow="6" outlineLevelCol="7"/>
  <cols>
    <col min="1" max="1" width="9.66666666666667"/>
  </cols>
  <sheetData>
    <row r="1" s="1" customFormat="1" spans="1:8">
      <c r="A1" s="1">
        <f>SUM(B1:AZ1)</f>
        <v>2.08333333333333</v>
      </c>
      <c r="B1" s="1">
        <f t="shared" ref="B1:H1" si="0">COUNTA(B2:B2050)/COLUMN()</f>
        <v>0.5</v>
      </c>
      <c r="C1" s="1">
        <f t="shared" si="0"/>
        <v>1.33333333333333</v>
      </c>
      <c r="D1" s="1">
        <f t="shared" si="0"/>
        <v>0.25</v>
      </c>
      <c r="E1" s="1">
        <f t="shared" si="0"/>
        <v>0</v>
      </c>
      <c r="F1" s="1">
        <f t="shared" si="0"/>
        <v>0</v>
      </c>
      <c r="G1" s="1">
        <f t="shared" si="0"/>
        <v>0</v>
      </c>
      <c r="H1" s="1">
        <f t="shared" si="0"/>
        <v>0</v>
      </c>
    </row>
    <row r="2" spans="1:3">
      <c r="A2" s="4">
        <v>20240225</v>
      </c>
      <c r="B2" t="s">
        <v>0</v>
      </c>
      <c r="C2" s="4"/>
    </row>
    <row r="3" spans="3:3">
      <c r="C3" s="4" t="s">
        <v>1</v>
      </c>
    </row>
    <row r="4" spans="3:3">
      <c r="C4" s="4" t="s">
        <v>2</v>
      </c>
    </row>
    <row r="5" spans="3:3">
      <c r="C5" t="s">
        <v>3</v>
      </c>
    </row>
    <row r="6" spans="3:3">
      <c r="C6" s="4" t="s">
        <v>4</v>
      </c>
    </row>
    <row r="7" spans="4:4">
      <c r="D7" t="s">
        <v>5</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S8" sqref="S8"/>
    </sheetView>
  </sheetViews>
  <sheetFormatPr defaultColWidth="8.88888888888889" defaultRowHeight="14.4" outlineLevelCol="7"/>
  <cols>
    <col min="1" max="1" width="9.66666666666667"/>
  </cols>
  <sheetData>
    <row r="1" s="1" customFormat="1" spans="1:8">
      <c r="A1" s="1">
        <f>SUM(B1:AZ1)</f>
        <v>4.25</v>
      </c>
      <c r="B1" s="1">
        <f t="shared" ref="B1:H1" si="0">COUNTA(B2:B2050)/COLUMN()</f>
        <v>1</v>
      </c>
      <c r="C1" s="1">
        <f t="shared" si="0"/>
        <v>2</v>
      </c>
      <c r="D1" s="1">
        <f t="shared" si="0"/>
        <v>1.25</v>
      </c>
      <c r="E1" s="1">
        <f t="shared" si="0"/>
        <v>0</v>
      </c>
      <c r="F1" s="1">
        <f t="shared" si="0"/>
        <v>0</v>
      </c>
      <c r="G1" s="1">
        <f t="shared" si="0"/>
        <v>0</v>
      </c>
      <c r="H1" s="1">
        <f t="shared" si="0"/>
        <v>0</v>
      </c>
    </row>
    <row r="2" spans="1:3">
      <c r="A2" s="4">
        <v>20240229</v>
      </c>
      <c r="B2" t="s">
        <v>6</v>
      </c>
      <c r="C2" s="4"/>
    </row>
    <row r="3" spans="3:3">
      <c r="C3" t="s">
        <v>7</v>
      </c>
    </row>
    <row r="4" spans="3:3">
      <c r="C4" t="s">
        <v>8</v>
      </c>
    </row>
    <row r="5" spans="2:2">
      <c r="B5" t="s">
        <v>9</v>
      </c>
    </row>
    <row r="6" spans="3:3">
      <c r="C6" t="s">
        <v>10</v>
      </c>
    </row>
    <row r="7" spans="3:4">
      <c r="C7" t="s">
        <v>11</v>
      </c>
      <c r="D7" t="s">
        <v>12</v>
      </c>
    </row>
    <row r="8" spans="4:4">
      <c r="D8" t="s">
        <v>13</v>
      </c>
    </row>
    <row r="9" spans="4:4">
      <c r="D9" t="s">
        <v>14</v>
      </c>
    </row>
    <row r="10" spans="4:4">
      <c r="D10" t="s">
        <v>15</v>
      </c>
    </row>
    <row r="11" spans="4:4">
      <c r="D11" t="s">
        <v>16</v>
      </c>
    </row>
    <row r="12" spans="3:3">
      <c r="C12" t="s">
        <v>17</v>
      </c>
    </row>
    <row r="13" spans="3:3">
      <c r="C13" t="s">
        <v>18</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
  <sheetViews>
    <sheetView workbookViewId="0">
      <selection activeCell="B2" sqref="B2"/>
    </sheetView>
  </sheetViews>
  <sheetFormatPr defaultColWidth="9.66666666666667" defaultRowHeight="14.4" outlineLevelCol="7"/>
  <cols>
    <col min="1" max="16384" width="9.66666666666667" customWidth="1"/>
  </cols>
  <sheetData>
    <row r="1" s="1" customFormat="1" spans="1:8">
      <c r="A1" s="1">
        <f>SUM(B1:AZ1)</f>
        <v>5.66666666666667</v>
      </c>
      <c r="B1" s="1">
        <f t="shared" ref="B1:H1" si="0">COUNTA(B2:B2050)/COLUMN()</f>
        <v>3</v>
      </c>
      <c r="C1" s="1">
        <f t="shared" si="0"/>
        <v>2.66666666666667</v>
      </c>
      <c r="D1" s="1">
        <f t="shared" si="0"/>
        <v>0</v>
      </c>
      <c r="E1" s="1">
        <f t="shared" si="0"/>
        <v>0</v>
      </c>
      <c r="F1" s="1">
        <f t="shared" si="0"/>
        <v>0</v>
      </c>
      <c r="G1" s="1">
        <f t="shared" si="0"/>
        <v>0</v>
      </c>
      <c r="H1" s="1">
        <f t="shared" si="0"/>
        <v>0</v>
      </c>
    </row>
    <row r="2" spans="1:3">
      <c r="A2" s="4">
        <v>20240302</v>
      </c>
      <c r="B2" s="4" t="s">
        <v>19</v>
      </c>
      <c r="C2" s="4"/>
    </row>
    <row r="3" spans="1:2">
      <c r="A3" s="4"/>
      <c r="B3" t="s">
        <v>20</v>
      </c>
    </row>
    <row r="4" spans="1:3">
      <c r="A4" s="4"/>
      <c r="C4" t="s">
        <v>21</v>
      </c>
    </row>
    <row r="5" spans="1:3">
      <c r="A5" s="4"/>
      <c r="C5" t="s">
        <v>22</v>
      </c>
    </row>
    <row r="6" spans="1:3">
      <c r="A6" s="4"/>
      <c r="C6" t="s">
        <v>23</v>
      </c>
    </row>
    <row r="7" spans="1:3">
      <c r="A7" s="4"/>
      <c r="C7" t="s">
        <v>24</v>
      </c>
    </row>
    <row r="8" spans="1:3">
      <c r="A8" s="4"/>
      <c r="C8" t="s">
        <v>25</v>
      </c>
    </row>
    <row r="9" spans="1:3">
      <c r="A9" s="4"/>
      <c r="B9" s="4" t="s">
        <v>26</v>
      </c>
      <c r="C9" s="4"/>
    </row>
    <row r="10" s="5" customFormat="1" spans="2:2">
      <c r="B10" s="5" t="s">
        <v>27</v>
      </c>
    </row>
    <row r="11" s="5" customFormat="1" spans="3:3">
      <c r="C11" s="5" t="s">
        <v>28</v>
      </c>
    </row>
    <row r="12" s="5" customFormat="1" spans="3:3">
      <c r="C12" s="5" t="s">
        <v>29</v>
      </c>
    </row>
    <row r="13" s="5" customFormat="1" spans="3:3">
      <c r="C13" s="5" t="s">
        <v>30</v>
      </c>
    </row>
    <row r="14" spans="1:3">
      <c r="A14" s="4"/>
      <c r="B14" s="4" t="s">
        <v>31</v>
      </c>
      <c r="C14" s="4"/>
    </row>
    <row r="15" spans="1:3">
      <c r="A15" s="4"/>
      <c r="B15" s="4" t="s">
        <v>32</v>
      </c>
      <c r="C15" s="4"/>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B9" sqref="B9"/>
    </sheetView>
  </sheetViews>
  <sheetFormatPr defaultColWidth="8.88888888888889" defaultRowHeight="14.4" outlineLevelCol="7"/>
  <cols>
    <col min="1" max="1" width="9.66666666666667"/>
  </cols>
  <sheetData>
    <row r="1" s="1" customFormat="1" spans="1:8">
      <c r="A1" s="1">
        <f>SUM(B1:AZ1)</f>
        <v>4</v>
      </c>
      <c r="B1" s="1">
        <f t="shared" ref="B1:H1" si="0">COUNTA(B2:B2041)/COLUMN()</f>
        <v>3</v>
      </c>
      <c r="C1" s="1">
        <f t="shared" si="0"/>
        <v>1</v>
      </c>
      <c r="D1" s="1">
        <f t="shared" si="0"/>
        <v>0</v>
      </c>
      <c r="E1" s="1">
        <f t="shared" si="0"/>
        <v>0</v>
      </c>
      <c r="F1" s="1">
        <f t="shared" si="0"/>
        <v>0</v>
      </c>
      <c r="G1" s="1">
        <f t="shared" si="0"/>
        <v>0</v>
      </c>
      <c r="H1" s="1">
        <f t="shared" si="0"/>
        <v>0</v>
      </c>
    </row>
    <row r="2" spans="1:3">
      <c r="A2" s="4">
        <v>20240303</v>
      </c>
      <c r="B2" s="4" t="s">
        <v>33</v>
      </c>
      <c r="C2" s="4"/>
    </row>
    <row r="3" spans="1:3">
      <c r="A3" s="4"/>
      <c r="B3" s="4" t="s">
        <v>34</v>
      </c>
      <c r="C3" s="4"/>
    </row>
    <row r="4" spans="1:3">
      <c r="A4" s="4"/>
      <c r="B4" s="4" t="s">
        <v>35</v>
      </c>
      <c r="C4" s="4"/>
    </row>
    <row r="5" spans="1:3">
      <c r="A5" s="4"/>
      <c r="B5" s="4" t="s">
        <v>36</v>
      </c>
      <c r="C5" s="4"/>
    </row>
    <row r="6" spans="1:3">
      <c r="A6" s="4"/>
      <c r="B6" s="4"/>
      <c r="C6" s="4" t="s">
        <v>37</v>
      </c>
    </row>
    <row r="7" spans="1:3">
      <c r="A7" s="4"/>
      <c r="B7" s="4"/>
      <c r="C7" s="4" t="s">
        <v>38</v>
      </c>
    </row>
    <row r="8" spans="1:3">
      <c r="A8" s="4"/>
      <c r="B8" s="4"/>
      <c r="C8" s="4" t="s">
        <v>39</v>
      </c>
    </row>
    <row r="9" spans="1:3">
      <c r="A9" s="4"/>
      <c r="B9" s="4" t="s">
        <v>40</v>
      </c>
      <c r="C9" s="4"/>
    </row>
    <row r="10" spans="1:3">
      <c r="A10" s="4"/>
      <c r="B10" s="4" t="s">
        <v>41</v>
      </c>
      <c r="C10" s="4"/>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C8" sqref="C8"/>
    </sheetView>
  </sheetViews>
  <sheetFormatPr defaultColWidth="8.88888888888889" defaultRowHeight="14.4" outlineLevelCol="7"/>
  <cols>
    <col min="1" max="1" width="9.66666666666667"/>
  </cols>
  <sheetData>
    <row r="1" s="1" customFormat="1" spans="1:8">
      <c r="A1" s="1">
        <f>SUM(B1:AZ1)</f>
        <v>6.75</v>
      </c>
      <c r="B1" s="1">
        <f t="shared" ref="B1:H1" si="0">COUNTA(B2:B2051)/COLUMN()</f>
        <v>2.5</v>
      </c>
      <c r="C1" s="1">
        <f t="shared" si="0"/>
        <v>4</v>
      </c>
      <c r="D1" s="1">
        <f t="shared" si="0"/>
        <v>0.25</v>
      </c>
      <c r="E1" s="1">
        <f t="shared" si="0"/>
        <v>0</v>
      </c>
      <c r="F1" s="1">
        <f t="shared" si="0"/>
        <v>0</v>
      </c>
      <c r="G1" s="1">
        <f t="shared" si="0"/>
        <v>0</v>
      </c>
      <c r="H1" s="1">
        <f t="shared" si="0"/>
        <v>0</v>
      </c>
    </row>
    <row r="2" spans="1:3">
      <c r="A2" s="4">
        <v>20240304</v>
      </c>
      <c r="B2" s="4" t="s">
        <v>42</v>
      </c>
      <c r="C2" s="4"/>
    </row>
    <row r="3" spans="1:3">
      <c r="A3" s="4"/>
      <c r="B3" s="4" t="s">
        <v>43</v>
      </c>
      <c r="C3" s="4"/>
    </row>
    <row r="4" spans="1:3">
      <c r="A4" s="4"/>
      <c r="B4" s="4"/>
      <c r="C4" s="4" t="s">
        <v>44</v>
      </c>
    </row>
    <row r="5" spans="1:3">
      <c r="A5" s="4"/>
      <c r="B5" s="4"/>
      <c r="C5" s="4" t="s">
        <v>45</v>
      </c>
    </row>
    <row r="6" spans="1:3">
      <c r="A6" s="4"/>
      <c r="B6" s="4"/>
      <c r="C6" s="4" t="s">
        <v>46</v>
      </c>
    </row>
    <row r="7" spans="1:3">
      <c r="A7" s="4"/>
      <c r="B7" s="4"/>
      <c r="C7" s="4" t="s">
        <v>47</v>
      </c>
    </row>
    <row r="8" spans="1:3">
      <c r="A8" s="4"/>
      <c r="B8" s="4"/>
      <c r="C8" s="4" t="s">
        <v>48</v>
      </c>
    </row>
    <row r="9" spans="1:3">
      <c r="A9" s="4"/>
      <c r="B9" s="4" t="s">
        <v>49</v>
      </c>
      <c r="C9" s="4"/>
    </row>
    <row r="10" spans="1:3">
      <c r="A10" s="4"/>
      <c r="B10" s="4" t="s">
        <v>50</v>
      </c>
      <c r="C10" s="4"/>
    </row>
    <row r="11" spans="1:3">
      <c r="A11" s="4"/>
      <c r="B11" s="4"/>
      <c r="C11" s="4" t="s">
        <v>51</v>
      </c>
    </row>
    <row r="12" spans="1:3">
      <c r="A12" s="4"/>
      <c r="B12" s="4"/>
      <c r="C12" s="4" t="s">
        <v>52</v>
      </c>
    </row>
    <row r="13" spans="1:3">
      <c r="A13" s="4"/>
      <c r="B13" s="4" t="s">
        <v>53</v>
      </c>
      <c r="C13" s="4"/>
    </row>
    <row r="14" spans="1:3">
      <c r="A14" s="4"/>
      <c r="B14" s="4"/>
      <c r="C14" s="4" t="s">
        <v>54</v>
      </c>
    </row>
    <row r="15" spans="1:3">
      <c r="A15" s="4"/>
      <c r="B15" s="4"/>
      <c r="C15" s="4" t="s">
        <v>55</v>
      </c>
    </row>
    <row r="16" spans="1:3">
      <c r="A16" s="4"/>
      <c r="B16" s="4"/>
      <c r="C16" s="4" t="s">
        <v>56</v>
      </c>
    </row>
    <row r="17" spans="1:3">
      <c r="A17" s="4"/>
      <c r="B17" s="4"/>
      <c r="C17" s="4" t="s">
        <v>57</v>
      </c>
    </row>
    <row r="18" spans="1:3">
      <c r="A18" s="4"/>
      <c r="C18" s="4" t="s">
        <v>58</v>
      </c>
    </row>
    <row r="19" spans="1:4">
      <c r="A19" s="4"/>
      <c r="D19" s="4" t="s">
        <v>59</v>
      </c>
    </row>
    <row r="20" spans="4:4">
      <c r="D20" s="4"/>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9"/>
  <sheetViews>
    <sheetView workbookViewId="0">
      <selection activeCell="C3" sqref="C3"/>
    </sheetView>
  </sheetViews>
  <sheetFormatPr defaultColWidth="8.88888888888889" defaultRowHeight="14.4"/>
  <cols>
    <col min="1" max="1" width="9.66666666666667"/>
  </cols>
  <sheetData>
    <row r="1" s="1" customFormat="1" spans="1:15">
      <c r="A1" s="1">
        <f>SUM(B1:AZ1)</f>
        <v>2.83333333333333</v>
      </c>
      <c r="B1" s="1">
        <f t="shared" ref="B1:H1" si="0">COUNTA(B2:B2051)/COLUMN()</f>
        <v>0.5</v>
      </c>
      <c r="C1" s="1">
        <f t="shared" si="0"/>
        <v>2.33333333333333</v>
      </c>
      <c r="D1" s="1">
        <f t="shared" si="0"/>
        <v>0</v>
      </c>
      <c r="E1" s="1">
        <f t="shared" si="0"/>
        <v>0</v>
      </c>
      <c r="F1" s="1">
        <f t="shared" si="0"/>
        <v>0</v>
      </c>
      <c r="G1" s="1">
        <f t="shared" si="0"/>
        <v>0</v>
      </c>
      <c r="H1" s="1">
        <f t="shared" si="0"/>
        <v>0</v>
      </c>
      <c r="N1"/>
      <c r="O1"/>
    </row>
    <row r="2" spans="1:3">
      <c r="A2" s="4">
        <v>20240306</v>
      </c>
      <c r="B2" s="4" t="s">
        <v>60</v>
      </c>
      <c r="C2" s="4"/>
    </row>
    <row r="3" spans="3:3">
      <c r="C3" t="s">
        <v>61</v>
      </c>
    </row>
    <row r="4" spans="3:3">
      <c r="C4" t="s">
        <v>62</v>
      </c>
    </row>
    <row r="5" spans="3:3">
      <c r="C5" t="s">
        <v>63</v>
      </c>
    </row>
    <row r="6" spans="3:3">
      <c r="C6" t="s">
        <v>64</v>
      </c>
    </row>
    <row r="7" spans="3:3">
      <c r="C7" t="s">
        <v>65</v>
      </c>
    </row>
    <row r="8" spans="3:3">
      <c r="C8" t="s">
        <v>66</v>
      </c>
    </row>
    <row r="9" spans="3:3">
      <c r="C9" t="s">
        <v>67</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5"/>
  <sheetViews>
    <sheetView workbookViewId="0">
      <selection activeCell="K7" sqref="K7"/>
    </sheetView>
  </sheetViews>
  <sheetFormatPr defaultColWidth="8.88888888888889" defaultRowHeight="14.4"/>
  <cols>
    <col min="1" max="1" width="9.66666666666667"/>
  </cols>
  <sheetData>
    <row r="1" s="1" customFormat="1" spans="1:15">
      <c r="A1" s="1">
        <f>SUM(B1:AZ1)</f>
        <v>5</v>
      </c>
      <c r="B1" s="1">
        <f t="shared" ref="B1:H1" si="0">COUNTA(B2:B2051)/COLUMN()</f>
        <v>1</v>
      </c>
      <c r="C1" s="1">
        <f t="shared" si="0"/>
        <v>4</v>
      </c>
      <c r="D1" s="1">
        <f t="shared" si="0"/>
        <v>0</v>
      </c>
      <c r="E1" s="1">
        <f t="shared" si="0"/>
        <v>0</v>
      </c>
      <c r="F1" s="1">
        <f t="shared" si="0"/>
        <v>0</v>
      </c>
      <c r="G1" s="1">
        <f t="shared" si="0"/>
        <v>0</v>
      </c>
      <c r="H1" s="1">
        <f t="shared" si="0"/>
        <v>0</v>
      </c>
      <c r="N1"/>
      <c r="O1"/>
    </row>
    <row r="2" spans="1:2">
      <c r="A2" s="4">
        <v>20240307</v>
      </c>
      <c r="B2" t="s">
        <v>68</v>
      </c>
    </row>
    <row r="3" spans="3:3">
      <c r="C3" t="s">
        <v>69</v>
      </c>
    </row>
    <row r="4" spans="3:3">
      <c r="C4" t="s">
        <v>70</v>
      </c>
    </row>
    <row r="5" spans="3:3">
      <c r="C5" t="s">
        <v>71</v>
      </c>
    </row>
    <row r="6" spans="3:3">
      <c r="C6" t="s">
        <v>72</v>
      </c>
    </row>
    <row r="7" spans="3:3">
      <c r="C7" t="s">
        <v>73</v>
      </c>
    </row>
    <row r="8" spans="2:2">
      <c r="B8" t="s">
        <v>74</v>
      </c>
    </row>
    <row r="9" spans="3:3">
      <c r="C9" t="s">
        <v>75</v>
      </c>
    </row>
    <row r="10" spans="3:3">
      <c r="C10" t="s">
        <v>76</v>
      </c>
    </row>
    <row r="11" spans="3:3">
      <c r="C11" t="s">
        <v>77</v>
      </c>
    </row>
    <row r="12" spans="3:3">
      <c r="C12" t="s">
        <v>78</v>
      </c>
    </row>
    <row r="13" spans="3:3">
      <c r="C13" t="s">
        <v>79</v>
      </c>
    </row>
    <row r="14" spans="3:3">
      <c r="C14" t="s">
        <v>80</v>
      </c>
    </row>
    <row r="15" spans="3:3">
      <c r="C15" t="s">
        <v>81</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B4" sqref="B4"/>
    </sheetView>
  </sheetViews>
  <sheetFormatPr defaultColWidth="8.88888888888889" defaultRowHeight="14.4" outlineLevelRow="7" outlineLevelCol="7"/>
  <cols>
    <col min="1" max="1" width="9.66666666666667"/>
  </cols>
  <sheetData>
    <row r="1" s="1" customFormat="1" spans="1:8">
      <c r="A1" s="1">
        <f>SUM(B1:AZ1)</f>
        <v>2.66666666666667</v>
      </c>
      <c r="B1" s="1">
        <f t="shared" ref="B1:H1" si="0">COUNTA(B2:B2048)/COLUMN()</f>
        <v>2</v>
      </c>
      <c r="C1" s="1">
        <f t="shared" si="0"/>
        <v>0.666666666666667</v>
      </c>
      <c r="D1" s="1">
        <f t="shared" si="0"/>
        <v>0</v>
      </c>
      <c r="E1" s="1">
        <f t="shared" si="0"/>
        <v>0</v>
      </c>
      <c r="F1" s="1">
        <f t="shared" si="0"/>
        <v>0</v>
      </c>
      <c r="G1" s="1">
        <f t="shared" si="0"/>
        <v>0</v>
      </c>
      <c r="H1" s="1">
        <f t="shared" si="0"/>
        <v>0</v>
      </c>
    </row>
    <row r="2" spans="1:3">
      <c r="A2" s="4">
        <v>20240308</v>
      </c>
      <c r="B2" s="4" t="s">
        <v>82</v>
      </c>
      <c r="C2" s="4"/>
    </row>
    <row r="3" spans="1:3">
      <c r="A3" s="4"/>
      <c r="B3" s="4" t="s">
        <v>83</v>
      </c>
      <c r="C3" s="4"/>
    </row>
    <row r="4" spans="1:3">
      <c r="A4" s="4"/>
      <c r="B4" s="4" t="s">
        <v>84</v>
      </c>
      <c r="C4" s="4"/>
    </row>
    <row r="5" spans="1:3">
      <c r="A5" s="4"/>
      <c r="B5" s="4" t="s">
        <v>85</v>
      </c>
      <c r="C5" s="4"/>
    </row>
    <row r="6" spans="1:3">
      <c r="A6" s="4"/>
      <c r="B6" s="4"/>
      <c r="C6" s="4" t="s">
        <v>86</v>
      </c>
    </row>
    <row r="7" spans="1:3">
      <c r="A7" s="4"/>
      <c r="B7" s="4"/>
      <c r="C7" s="4" t="s">
        <v>87</v>
      </c>
    </row>
    <row r="8" spans="1:1">
      <c r="A8" s="4"/>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1"/>
  <sheetViews>
    <sheetView workbookViewId="0">
      <selection activeCell="B2" sqref="B2"/>
    </sheetView>
  </sheetViews>
  <sheetFormatPr defaultColWidth="8.88888888888889" defaultRowHeight="14.4" outlineLevelCol="7"/>
  <cols>
    <col min="1" max="1" width="9.66666666666667"/>
  </cols>
  <sheetData>
    <row r="1" s="1" customFormat="1" spans="1:8">
      <c r="A1" s="1">
        <f>SUM(B1:AZ1)</f>
        <v>8.16666666666667</v>
      </c>
      <c r="B1" s="1">
        <f t="shared" ref="B1:H1" si="0">COUNTA(B2:B2052)/COLUMN()</f>
        <v>4.5</v>
      </c>
      <c r="C1" s="1">
        <f t="shared" si="0"/>
        <v>3.66666666666667</v>
      </c>
      <c r="D1" s="1">
        <f t="shared" si="0"/>
        <v>0</v>
      </c>
      <c r="E1" s="1">
        <f t="shared" si="0"/>
        <v>0</v>
      </c>
      <c r="F1" s="1">
        <f t="shared" si="0"/>
        <v>0</v>
      </c>
      <c r="G1" s="1">
        <f t="shared" si="0"/>
        <v>0</v>
      </c>
      <c r="H1" s="1">
        <f t="shared" si="0"/>
        <v>0</v>
      </c>
    </row>
    <row r="2" spans="1:2">
      <c r="A2">
        <v>20240309</v>
      </c>
      <c r="B2" s="2" t="s">
        <v>88</v>
      </c>
    </row>
    <row r="3" spans="2:2">
      <c r="B3" t="s">
        <v>89</v>
      </c>
    </row>
    <row r="4" spans="2:2">
      <c r="B4" t="s">
        <v>90</v>
      </c>
    </row>
    <row r="5" spans="3:3">
      <c r="C5" t="s">
        <v>91</v>
      </c>
    </row>
    <row r="6" spans="3:3">
      <c r="C6" t="s">
        <v>92</v>
      </c>
    </row>
    <row r="7" spans="3:3">
      <c r="C7" t="s">
        <v>93</v>
      </c>
    </row>
    <row r="8" spans="3:3">
      <c r="C8" t="s">
        <v>94</v>
      </c>
    </row>
    <row r="9" spans="2:2">
      <c r="B9" t="s">
        <v>95</v>
      </c>
    </row>
    <row r="10" spans="2:2">
      <c r="B10" t="s">
        <v>96</v>
      </c>
    </row>
    <row r="11" spans="3:3">
      <c r="C11" t="s">
        <v>97</v>
      </c>
    </row>
    <row r="12" spans="3:3">
      <c r="C12" t="s">
        <v>98</v>
      </c>
    </row>
    <row r="13" spans="2:2">
      <c r="B13" t="s">
        <v>99</v>
      </c>
    </row>
    <row r="14" spans="3:3">
      <c r="C14" t="s">
        <v>97</v>
      </c>
    </row>
    <row r="15" spans="3:3">
      <c r="C15" t="s">
        <v>100</v>
      </c>
    </row>
    <row r="16" spans="3:3">
      <c r="C16" t="s">
        <v>101</v>
      </c>
    </row>
    <row r="17" spans="3:3">
      <c r="C17" t="s">
        <v>98</v>
      </c>
    </row>
    <row r="18" spans="2:2">
      <c r="B18" t="s">
        <v>102</v>
      </c>
    </row>
    <row r="19" spans="3:3">
      <c r="C19" t="s">
        <v>103</v>
      </c>
    </row>
    <row r="20" spans="2:2">
      <c r="B20" s="2" t="s">
        <v>104</v>
      </c>
    </row>
    <row r="21" spans="2:2">
      <c r="B21" s="2" t="s">
        <v>105</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7" sqref="C7"/>
    </sheetView>
  </sheetViews>
  <sheetFormatPr defaultColWidth="8.88888888888889" defaultRowHeight="14.4" outlineLevelCol="7"/>
  <cols>
    <col min="1" max="1" width="9.66666666666667"/>
  </cols>
  <sheetData>
    <row r="1" s="1" customFormat="1" spans="1:8">
      <c r="A1" s="1">
        <f>SUM(B1:AZ1)</f>
        <v>3.33333333333333</v>
      </c>
      <c r="B1" s="1">
        <f t="shared" ref="B1:H1" si="0">COUNTA(B2:B2048)/COLUMN()</f>
        <v>1.5</v>
      </c>
      <c r="C1" s="1">
        <f t="shared" si="0"/>
        <v>1.33333333333333</v>
      </c>
      <c r="D1" s="1">
        <f t="shared" si="0"/>
        <v>0.5</v>
      </c>
      <c r="E1" s="1">
        <f t="shared" si="0"/>
        <v>0</v>
      </c>
      <c r="F1" s="1">
        <f t="shared" si="0"/>
        <v>0</v>
      </c>
      <c r="G1" s="1">
        <f t="shared" si="0"/>
        <v>0</v>
      </c>
      <c r="H1" s="1">
        <f t="shared" si="0"/>
        <v>0</v>
      </c>
    </row>
    <row r="2" spans="1:2">
      <c r="A2">
        <v>20240310</v>
      </c>
      <c r="B2" t="s">
        <v>106</v>
      </c>
    </row>
    <row r="3" spans="3:3">
      <c r="C3" t="s">
        <v>107</v>
      </c>
    </row>
    <row r="4" spans="2:2">
      <c r="B4" t="s">
        <v>108</v>
      </c>
    </row>
    <row r="5" spans="3:3">
      <c r="C5" t="s">
        <v>109</v>
      </c>
    </row>
    <row r="6" spans="2:2">
      <c r="B6" t="s">
        <v>110</v>
      </c>
    </row>
    <row r="7" spans="3:3">
      <c r="C7" t="s">
        <v>111</v>
      </c>
    </row>
    <row r="8" spans="4:4">
      <c r="D8" t="s">
        <v>112</v>
      </c>
    </row>
    <row r="9" spans="3:3">
      <c r="C9" t="s">
        <v>113</v>
      </c>
    </row>
    <row r="10" spans="4:4">
      <c r="D10" t="s">
        <v>114</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B3" sqref="B3"/>
    </sheetView>
  </sheetViews>
  <sheetFormatPr defaultColWidth="8.88888888888889" defaultRowHeight="14.4" outlineLevelRow="5" outlineLevelCol="7"/>
  <cols>
    <col min="1" max="1" width="9.66666666666667"/>
  </cols>
  <sheetData>
    <row r="1" s="7" customFormat="1" spans="1:8">
      <c r="A1" s="7">
        <f>SUM(B1:AZ1)</f>
        <v>2.5</v>
      </c>
      <c r="B1" s="7">
        <f>COUNTA(B2:B2047)/COLUMN()</f>
        <v>2.5</v>
      </c>
      <c r="C1" s="7">
        <f t="shared" ref="B1:H1" si="0">COUNTA(C2:C2047)/COLUMN()</f>
        <v>0</v>
      </c>
      <c r="D1" s="7">
        <f t="shared" si="0"/>
        <v>0</v>
      </c>
      <c r="E1" s="7">
        <f t="shared" si="0"/>
        <v>0</v>
      </c>
      <c r="F1" s="7">
        <f t="shared" si="0"/>
        <v>0</v>
      </c>
      <c r="G1" s="7">
        <f t="shared" si="0"/>
        <v>0</v>
      </c>
      <c r="H1" s="7">
        <f t="shared" si="0"/>
        <v>0</v>
      </c>
    </row>
    <row r="2" spans="1:2">
      <c r="A2">
        <v>20240311</v>
      </c>
      <c r="B2" t="s">
        <v>115</v>
      </c>
    </row>
    <row r="3" spans="2:2">
      <c r="B3" t="s">
        <v>116</v>
      </c>
    </row>
    <row r="4" spans="2:2">
      <c r="B4" t="s">
        <v>117</v>
      </c>
    </row>
    <row r="5" spans="2:2">
      <c r="B5" t="s">
        <v>118</v>
      </c>
    </row>
    <row r="6" spans="2:2">
      <c r="B6" t="s">
        <v>119</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B7" sqref="B7"/>
    </sheetView>
  </sheetViews>
  <sheetFormatPr defaultColWidth="8.88888888888889" defaultRowHeight="14.4" outlineLevelCol="7"/>
  <sheetData>
    <row r="1" s="1" customFormat="1" spans="1:8">
      <c r="A1" s="1">
        <f>SUM(B1:AZ1)</f>
        <v>3.5</v>
      </c>
      <c r="B1" s="1">
        <f t="shared" ref="B1:H1" si="0">COUNTA(B2:B2048)/COLUMN()</f>
        <v>2.5</v>
      </c>
      <c r="C1" s="1">
        <f t="shared" si="0"/>
        <v>1</v>
      </c>
      <c r="D1" s="1">
        <f t="shared" si="0"/>
        <v>0</v>
      </c>
      <c r="E1" s="1">
        <f t="shared" si="0"/>
        <v>0</v>
      </c>
      <c r="F1" s="1">
        <f t="shared" si="0"/>
        <v>0</v>
      </c>
      <c r="G1" s="1">
        <f t="shared" si="0"/>
        <v>0</v>
      </c>
      <c r="H1" s="1">
        <f t="shared" si="0"/>
        <v>0</v>
      </c>
    </row>
    <row r="2" spans="1:2">
      <c r="A2">
        <v>20240316</v>
      </c>
      <c r="B2" t="s">
        <v>120</v>
      </c>
    </row>
    <row r="3" spans="2:2">
      <c r="B3" t="s">
        <v>121</v>
      </c>
    </row>
    <row r="4" spans="3:3">
      <c r="C4" t="s">
        <v>122</v>
      </c>
    </row>
    <row r="5" spans="3:3">
      <c r="C5" t="s">
        <v>123</v>
      </c>
    </row>
    <row r="6" spans="3:3">
      <c r="C6" t="s">
        <v>124</v>
      </c>
    </row>
    <row r="7" spans="2:2">
      <c r="B7" t="s">
        <v>125</v>
      </c>
    </row>
    <row r="8" spans="2:2">
      <c r="B8" t="s">
        <v>126</v>
      </c>
    </row>
    <row r="9" spans="2:2">
      <c r="B9" t="s">
        <v>127</v>
      </c>
    </row>
    <row r="10" spans="2:2">
      <c r="B10" s="2"/>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1"/>
  <sheetViews>
    <sheetView workbookViewId="0">
      <selection activeCell="E6" sqref="E6"/>
    </sheetView>
  </sheetViews>
  <sheetFormatPr defaultColWidth="8.88888888888889" defaultRowHeight="14.4" outlineLevelCol="7"/>
  <sheetData>
    <row r="1" s="1" customFormat="1" spans="1:8">
      <c r="A1" s="1">
        <f>SUM(B1:AZ1)</f>
        <v>4.73333333333333</v>
      </c>
      <c r="B1" s="1">
        <f t="shared" ref="B1:H1" si="0">COUNTA(B2:B2048)/COLUMN()</f>
        <v>0.5</v>
      </c>
      <c r="C1" s="1">
        <f t="shared" si="0"/>
        <v>0.666666666666667</v>
      </c>
      <c r="D1" s="1">
        <f t="shared" si="0"/>
        <v>1.5</v>
      </c>
      <c r="E1" s="1">
        <f t="shared" si="0"/>
        <v>1.4</v>
      </c>
      <c r="F1" s="1">
        <f t="shared" si="0"/>
        <v>0.666666666666667</v>
      </c>
      <c r="G1" s="1">
        <f t="shared" si="0"/>
        <v>0</v>
      </c>
      <c r="H1" s="1">
        <f t="shared" si="0"/>
        <v>0</v>
      </c>
    </row>
    <row r="2" spans="1:2">
      <c r="A2">
        <v>20240317</v>
      </c>
      <c r="B2" t="s">
        <v>128</v>
      </c>
    </row>
    <row r="3" spans="3:3">
      <c r="C3" t="s">
        <v>129</v>
      </c>
    </row>
    <row r="4" spans="4:4">
      <c r="D4" t="s">
        <v>130</v>
      </c>
    </row>
    <row r="5" spans="4:4">
      <c r="D5" t="s">
        <v>131</v>
      </c>
    </row>
    <row r="6" spans="5:5">
      <c r="E6" t="s">
        <v>132</v>
      </c>
    </row>
    <row r="7" spans="5:5">
      <c r="E7" t="s">
        <v>133</v>
      </c>
    </row>
    <row r="8" spans="6:6">
      <c r="F8" t="s">
        <v>134</v>
      </c>
    </row>
    <row r="9" spans="5:5">
      <c r="E9" t="s">
        <v>135</v>
      </c>
    </row>
    <row r="10" spans="6:6">
      <c r="F10" t="s">
        <v>136</v>
      </c>
    </row>
    <row r="11" spans="3:3">
      <c r="C11" t="s">
        <v>137</v>
      </c>
    </row>
    <row r="12" spans="4:4">
      <c r="D12" t="s">
        <v>138</v>
      </c>
    </row>
    <row r="13" spans="4:4">
      <c r="D13" t="s">
        <v>139</v>
      </c>
    </row>
    <row r="14" spans="4:4">
      <c r="D14" t="s">
        <v>140</v>
      </c>
    </row>
    <row r="15" spans="5:5">
      <c r="E15" t="s">
        <v>141</v>
      </c>
    </row>
    <row r="16" spans="4:4">
      <c r="D16" t="s">
        <v>142</v>
      </c>
    </row>
    <row r="17" spans="5:5">
      <c r="E17" t="s">
        <v>132</v>
      </c>
    </row>
    <row r="18" spans="5:5">
      <c r="E18" t="s">
        <v>133</v>
      </c>
    </row>
    <row r="19" spans="6:6">
      <c r="F19" t="s">
        <v>134</v>
      </c>
    </row>
    <row r="20" spans="5:5">
      <c r="E20" t="s">
        <v>135</v>
      </c>
    </row>
    <row r="21" spans="6:6">
      <c r="F21" t="s">
        <v>143</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workbookViewId="0">
      <selection activeCell="B12" sqref="B12"/>
    </sheetView>
  </sheetViews>
  <sheetFormatPr defaultColWidth="8.88888888888889" defaultRowHeight="14.4" outlineLevelCol="7"/>
  <cols>
    <col min="1" max="1" width="9.66666666666667"/>
  </cols>
  <sheetData>
    <row r="1" s="1" customFormat="1" spans="1:8">
      <c r="A1" s="1">
        <f>SUM(B1:AZ1)</f>
        <v>9.3</v>
      </c>
      <c r="B1" s="1">
        <f t="shared" ref="B1:H1" si="0">COUNTA(B2:B2052)/COLUMN()</f>
        <v>3</v>
      </c>
      <c r="C1" s="1">
        <f t="shared" si="0"/>
        <v>3</v>
      </c>
      <c r="D1" s="1">
        <f t="shared" si="0"/>
        <v>1.5</v>
      </c>
      <c r="E1" s="1">
        <f t="shared" si="0"/>
        <v>1.8</v>
      </c>
      <c r="F1" s="1">
        <f t="shared" si="0"/>
        <v>0</v>
      </c>
      <c r="G1" s="1">
        <f t="shared" si="0"/>
        <v>0</v>
      </c>
      <c r="H1" s="1">
        <f t="shared" si="0"/>
        <v>0</v>
      </c>
    </row>
    <row r="2" spans="1:2">
      <c r="A2">
        <v>20240320</v>
      </c>
      <c r="B2" t="s">
        <v>144</v>
      </c>
    </row>
    <row r="3" spans="3:3">
      <c r="C3" t="s">
        <v>145</v>
      </c>
    </row>
    <row r="4" spans="3:3">
      <c r="C4" t="s">
        <v>146</v>
      </c>
    </row>
    <row r="5" spans="3:3">
      <c r="C5" t="s">
        <v>147</v>
      </c>
    </row>
    <row r="6" spans="2:2">
      <c r="B6" t="s">
        <v>148</v>
      </c>
    </row>
    <row r="7" spans="2:2">
      <c r="B7" t="s">
        <v>149</v>
      </c>
    </row>
    <row r="8" spans="2:2">
      <c r="B8" t="s">
        <v>150</v>
      </c>
    </row>
    <row r="9" spans="3:3">
      <c r="C9" t="s">
        <v>151</v>
      </c>
    </row>
    <row r="10" spans="3:3">
      <c r="C10" t="s">
        <v>152</v>
      </c>
    </row>
    <row r="11" spans="4:4">
      <c r="D11" t="s">
        <v>153</v>
      </c>
    </row>
    <row r="12" spans="2:2">
      <c r="B12" t="s">
        <v>154</v>
      </c>
    </row>
    <row r="13" spans="3:3">
      <c r="C13" t="s">
        <v>155</v>
      </c>
    </row>
    <row r="14" spans="4:4">
      <c r="D14" t="s">
        <v>156</v>
      </c>
    </row>
    <row r="15" spans="3:3">
      <c r="C15" s="4" t="s">
        <v>157</v>
      </c>
    </row>
    <row r="16" spans="4:4">
      <c r="D16" s="2" t="s">
        <v>158</v>
      </c>
    </row>
    <row r="17" spans="5:8">
      <c r="E17" s="5" t="s">
        <v>159</v>
      </c>
      <c r="F17" s="2"/>
      <c r="G17" s="2"/>
      <c r="H17" s="2"/>
    </row>
    <row r="18" spans="5:5">
      <c r="E18" s="5" t="s">
        <v>160</v>
      </c>
    </row>
    <row r="19" spans="2:2">
      <c r="B19" t="s">
        <v>161</v>
      </c>
    </row>
    <row r="20" spans="3:3">
      <c r="C20" t="s">
        <v>162</v>
      </c>
    </row>
    <row r="21" spans="4:4">
      <c r="D21" t="s">
        <v>163</v>
      </c>
    </row>
    <row r="22" spans="4:4">
      <c r="D22" t="s">
        <v>164</v>
      </c>
    </row>
    <row r="23" spans="5:5">
      <c r="E23" t="s">
        <v>165</v>
      </c>
    </row>
    <row r="24" spans="5:5">
      <c r="E24" t="s">
        <v>166</v>
      </c>
    </row>
    <row r="25" spans="5:5">
      <c r="E25" t="s">
        <v>167</v>
      </c>
    </row>
    <row r="26" spans="3:3">
      <c r="C26" t="s">
        <v>168</v>
      </c>
    </row>
    <row r="27" spans="4:4">
      <c r="D27" t="s">
        <v>169</v>
      </c>
    </row>
    <row r="28" spans="5:5">
      <c r="E28" t="s">
        <v>170</v>
      </c>
    </row>
    <row r="29" spans="5:5">
      <c r="E29" t="s">
        <v>171</v>
      </c>
    </row>
    <row r="30" spans="5:5">
      <c r="E30" t="s">
        <v>172</v>
      </c>
    </row>
    <row r="31" spans="5:5">
      <c r="E31" t="s">
        <v>173</v>
      </c>
    </row>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selection activeCell="C21" sqref="C21"/>
    </sheetView>
  </sheetViews>
  <sheetFormatPr defaultColWidth="8.88888888888889" defaultRowHeight="14.4" outlineLevelCol="7"/>
  <sheetData>
    <row r="1" s="1" customFormat="1" spans="1:8">
      <c r="A1" s="1">
        <f>SUM(B1:AZ1)</f>
        <v>7.08333333333333</v>
      </c>
      <c r="B1" s="1">
        <f t="shared" ref="B1:H1" si="0">COUNTA(B2:B2046)/COLUMN()</f>
        <v>2.5</v>
      </c>
      <c r="C1" s="1">
        <f t="shared" si="0"/>
        <v>2.33333333333333</v>
      </c>
      <c r="D1" s="1">
        <f t="shared" si="0"/>
        <v>2.25</v>
      </c>
      <c r="E1" s="1">
        <f t="shared" si="0"/>
        <v>0</v>
      </c>
      <c r="F1" s="1">
        <f t="shared" si="0"/>
        <v>0</v>
      </c>
      <c r="G1" s="1">
        <f t="shared" si="0"/>
        <v>0</v>
      </c>
      <c r="H1" s="1">
        <f t="shared" si="0"/>
        <v>0</v>
      </c>
    </row>
    <row r="2" spans="1:2">
      <c r="A2">
        <v>20240322</v>
      </c>
      <c r="B2" t="s">
        <v>174</v>
      </c>
    </row>
    <row r="3" spans="3:3">
      <c r="C3" t="s">
        <v>175</v>
      </c>
    </row>
    <row r="4" spans="3:3">
      <c r="C4" t="s">
        <v>176</v>
      </c>
    </row>
    <row r="5" spans="4:4">
      <c r="D5" t="s">
        <v>177</v>
      </c>
    </row>
    <row r="6" spans="4:4">
      <c r="D6" t="s">
        <v>178</v>
      </c>
    </row>
    <row r="7" spans="2:2">
      <c r="B7" t="s">
        <v>179</v>
      </c>
    </row>
    <row r="8" spans="2:2">
      <c r="B8" t="s">
        <v>180</v>
      </c>
    </row>
    <row r="9" spans="3:3">
      <c r="C9" t="s">
        <v>181</v>
      </c>
    </row>
    <row r="10" spans="3:3">
      <c r="C10" t="s">
        <v>182</v>
      </c>
    </row>
    <row r="11" spans="4:4">
      <c r="D11" t="s">
        <v>183</v>
      </c>
    </row>
    <row r="12" spans="4:4">
      <c r="D12" t="s">
        <v>184</v>
      </c>
    </row>
    <row r="13" spans="3:3">
      <c r="C13" t="s">
        <v>185</v>
      </c>
    </row>
    <row r="14" spans="4:4">
      <c r="D14" t="s">
        <v>186</v>
      </c>
    </row>
    <row r="15" spans="4:4">
      <c r="D15" t="s">
        <v>187</v>
      </c>
    </row>
    <row r="16" spans="4:4">
      <c r="D16" t="s">
        <v>188</v>
      </c>
    </row>
    <row r="17" spans="4:4">
      <c r="D17" t="s">
        <v>189</v>
      </c>
    </row>
    <row r="18" spans="2:2">
      <c r="B18" t="s">
        <v>190</v>
      </c>
    </row>
    <row r="19" spans="2:2">
      <c r="B19" t="s">
        <v>191</v>
      </c>
    </row>
    <row r="20" spans="3:3">
      <c r="C20" t="s">
        <v>192</v>
      </c>
    </row>
    <row r="21" spans="3:3">
      <c r="C21" t="s">
        <v>193</v>
      </c>
    </row>
    <row r="22" spans="4:4">
      <c r="D22" t="s">
        <v>194</v>
      </c>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workbookViewId="0">
      <selection activeCell="B2" sqref="B2"/>
    </sheetView>
  </sheetViews>
  <sheetFormatPr defaultColWidth="8.88888888888889" defaultRowHeight="14.4" outlineLevelCol="7"/>
  <sheetData>
    <row r="1" s="1" customFormat="1" spans="1:8">
      <c r="A1" s="1">
        <f>SUM(B1:AZ1)</f>
        <v>5.26666666666667</v>
      </c>
      <c r="B1" s="1">
        <f t="shared" ref="B1:H1" si="0">COUNTA(B2:B2048)/COLUMN()</f>
        <v>2</v>
      </c>
      <c r="C1" s="1">
        <f t="shared" si="0"/>
        <v>0.666666666666667</v>
      </c>
      <c r="D1" s="1">
        <f t="shared" si="0"/>
        <v>1</v>
      </c>
      <c r="E1" s="1">
        <f t="shared" si="0"/>
        <v>1.6</v>
      </c>
      <c r="F1" s="1">
        <f t="shared" si="0"/>
        <v>0</v>
      </c>
      <c r="G1" s="1">
        <f t="shared" si="0"/>
        <v>0</v>
      </c>
      <c r="H1" s="1">
        <f t="shared" si="0"/>
        <v>0</v>
      </c>
    </row>
    <row r="2" spans="1:2">
      <c r="A2">
        <v>20240323</v>
      </c>
      <c r="B2" t="s">
        <v>195</v>
      </c>
    </row>
    <row r="3" spans="2:2">
      <c r="B3" t="s">
        <v>196</v>
      </c>
    </row>
    <row r="4" spans="2:2">
      <c r="B4" t="s">
        <v>197</v>
      </c>
    </row>
    <row r="5" spans="2:2">
      <c r="B5" t="s">
        <v>198</v>
      </c>
    </row>
    <row r="6" spans="3:3">
      <c r="C6" t="s">
        <v>199</v>
      </c>
    </row>
    <row r="7" spans="4:4">
      <c r="D7" t="s">
        <v>200</v>
      </c>
    </row>
    <row r="8" spans="4:4">
      <c r="D8" t="s">
        <v>201</v>
      </c>
    </row>
    <row r="9" spans="3:3">
      <c r="C9" t="s">
        <v>202</v>
      </c>
    </row>
    <row r="10" spans="4:4">
      <c r="D10" t="s">
        <v>203</v>
      </c>
    </row>
    <row r="11" spans="5:5">
      <c r="E11" t="s">
        <v>204</v>
      </c>
    </row>
    <row r="12" spans="5:5">
      <c r="E12" t="s">
        <v>205</v>
      </c>
    </row>
    <row r="13" spans="5:5">
      <c r="E13" t="s">
        <v>206</v>
      </c>
    </row>
    <row r="14" spans="5:5">
      <c r="E14" t="s">
        <v>207</v>
      </c>
    </row>
    <row r="15" spans="4:4">
      <c r="D15" t="s">
        <v>208</v>
      </c>
    </row>
    <row r="16" spans="5:5">
      <c r="E16" t="s">
        <v>209</v>
      </c>
    </row>
    <row r="17" spans="5:5">
      <c r="E17" t="s">
        <v>210</v>
      </c>
    </row>
    <row r="18" s="6" customFormat="1" spans="5:5">
      <c r="E18" s="6" t="s">
        <v>211</v>
      </c>
    </row>
    <row r="19" spans="5:5">
      <c r="E19" t="s">
        <v>212</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topLeftCell="A4" workbookViewId="0">
      <selection activeCell="B7" sqref="B7"/>
    </sheetView>
  </sheetViews>
  <sheetFormatPr defaultColWidth="8.88888888888889" defaultRowHeight="14.4" outlineLevelCol="7"/>
  <cols>
    <col min="1" max="1" width="9.66666666666667"/>
  </cols>
  <sheetData>
    <row r="1" s="1" customFormat="1" spans="1:8">
      <c r="A1" s="1">
        <f>SUM(B1:AZ1)</f>
        <v>9.96666666666667</v>
      </c>
      <c r="B1" s="1">
        <f t="shared" ref="B1:H1" si="0">COUNTA(B2:B2048)/COLUMN()</f>
        <v>5</v>
      </c>
      <c r="C1" s="1">
        <f t="shared" si="0"/>
        <v>1.66666666666667</v>
      </c>
      <c r="D1" s="1">
        <f t="shared" si="0"/>
        <v>1.5</v>
      </c>
      <c r="E1" s="1">
        <f t="shared" si="0"/>
        <v>1.8</v>
      </c>
      <c r="F1" s="1">
        <f t="shared" si="0"/>
        <v>0</v>
      </c>
      <c r="G1" s="1">
        <f t="shared" si="0"/>
        <v>0</v>
      </c>
      <c r="H1" s="1">
        <f t="shared" si="0"/>
        <v>0</v>
      </c>
    </row>
    <row r="2" spans="1:2">
      <c r="A2">
        <v>20240326</v>
      </c>
      <c r="B2" t="s">
        <v>213</v>
      </c>
    </row>
    <row r="3" spans="2:2">
      <c r="B3" t="s">
        <v>214</v>
      </c>
    </row>
    <row r="4" spans="2:2">
      <c r="B4" t="s">
        <v>215</v>
      </c>
    </row>
    <row r="5" spans="2:2">
      <c r="B5" t="s">
        <v>216</v>
      </c>
    </row>
    <row r="6" spans="2:2">
      <c r="B6" t="s">
        <v>217</v>
      </c>
    </row>
    <row r="7" spans="2:2">
      <c r="B7" t="s">
        <v>218</v>
      </c>
    </row>
    <row r="8" spans="2:2">
      <c r="B8" t="s">
        <v>219</v>
      </c>
    </row>
    <row r="9" spans="3:3">
      <c r="C9" t="s">
        <v>220</v>
      </c>
    </row>
    <row r="10" spans="4:4">
      <c r="D10" t="s">
        <v>221</v>
      </c>
    </row>
    <row r="11" spans="4:4">
      <c r="D11" t="s">
        <v>222</v>
      </c>
    </row>
    <row r="12" spans="5:5">
      <c r="E12" t="s">
        <v>223</v>
      </c>
    </row>
    <row r="13" spans="5:5">
      <c r="E13" t="s">
        <v>224</v>
      </c>
    </row>
    <row r="14" spans="4:4">
      <c r="D14" t="s">
        <v>225</v>
      </c>
    </row>
    <row r="15" spans="5:5">
      <c r="E15" t="s">
        <v>226</v>
      </c>
    </row>
    <row r="16" spans="5:5">
      <c r="E16" t="s">
        <v>227</v>
      </c>
    </row>
    <row r="17" spans="5:5">
      <c r="E17" t="s">
        <v>228</v>
      </c>
    </row>
    <row r="18" spans="3:3">
      <c r="C18" t="s">
        <v>229</v>
      </c>
    </row>
    <row r="19" spans="4:4">
      <c r="D19" t="s">
        <v>230</v>
      </c>
    </row>
    <row r="20" spans="4:4">
      <c r="D20" t="s">
        <v>231</v>
      </c>
    </row>
    <row r="21" spans="5:5">
      <c r="E21" t="s">
        <v>232</v>
      </c>
    </row>
    <row r="22" spans="5:5">
      <c r="E22" t="s">
        <v>233</v>
      </c>
    </row>
    <row r="23" spans="4:4">
      <c r="D23" t="s">
        <v>234</v>
      </c>
    </row>
    <row r="24" spans="5:5">
      <c r="E24" t="s">
        <v>235</v>
      </c>
    </row>
    <row r="25" spans="5:5">
      <c r="E25" t="s">
        <v>236</v>
      </c>
    </row>
    <row r="26" spans="2:2">
      <c r="B26" t="s">
        <v>237</v>
      </c>
    </row>
    <row r="27" spans="2:2">
      <c r="B27" t="s">
        <v>238</v>
      </c>
    </row>
    <row r="28" spans="3:3">
      <c r="C28" t="s">
        <v>239</v>
      </c>
    </row>
    <row r="29" s="2" customFormat="1" spans="2:2">
      <c r="B29" s="2" t="s">
        <v>240</v>
      </c>
    </row>
    <row r="30" s="2" customFormat="1" spans="3:3">
      <c r="C30" s="2" t="s">
        <v>241</v>
      </c>
    </row>
    <row r="31" s="2" customFormat="1" spans="3:3">
      <c r="C31" s="2" t="s">
        <v>242</v>
      </c>
    </row>
  </sheetData>
  <pageMargins left="0.75" right="0.75" top="1" bottom="1" header="0.5" footer="0.5"/>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A2" sqref="A2"/>
    </sheetView>
  </sheetViews>
  <sheetFormatPr defaultColWidth="8.88888888888889" defaultRowHeight="14.4" outlineLevelRow="5" outlineLevelCol="7"/>
  <sheetData>
    <row r="1" s="1" customFormat="1" spans="1:8">
      <c r="A1" s="1">
        <f>SUM(B1:AZ1)</f>
        <v>1.83333333333333</v>
      </c>
      <c r="B1" s="1">
        <f t="shared" ref="B1:H1" si="0">COUNTA(B2:B2048)/COLUMN()</f>
        <v>0.5</v>
      </c>
      <c r="C1" s="1">
        <f t="shared" si="0"/>
        <v>1.33333333333333</v>
      </c>
      <c r="D1" s="1">
        <f t="shared" si="0"/>
        <v>0</v>
      </c>
      <c r="E1" s="1">
        <f t="shared" si="0"/>
        <v>0</v>
      </c>
      <c r="F1" s="1">
        <f t="shared" si="0"/>
        <v>0</v>
      </c>
      <c r="G1" s="1">
        <f t="shared" si="0"/>
        <v>0</v>
      </c>
      <c r="H1" s="1">
        <f t="shared" si="0"/>
        <v>0</v>
      </c>
    </row>
    <row r="2" spans="1:2">
      <c r="A2">
        <v>20240328</v>
      </c>
      <c r="B2" t="s">
        <v>243</v>
      </c>
    </row>
    <row r="3" spans="3:3">
      <c r="C3" t="s">
        <v>244</v>
      </c>
    </row>
    <row r="4" spans="3:3">
      <c r="C4" t="s">
        <v>245</v>
      </c>
    </row>
    <row r="5" spans="3:3">
      <c r="C5" t="s">
        <v>246</v>
      </c>
    </row>
    <row r="6" spans="3:3">
      <c r="C6" t="s">
        <v>247</v>
      </c>
    </row>
  </sheetData>
  <pageMargins left="0.75" right="0.75" top="1" bottom="1" header="0.5" footer="0.5"/>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zoomScale="130" zoomScaleNormal="130" workbookViewId="0">
      <selection activeCell="I11" sqref="I11"/>
    </sheetView>
  </sheetViews>
  <sheetFormatPr defaultColWidth="8.88888888888889" defaultRowHeight="14.4" outlineLevelCol="7"/>
  <sheetData>
    <row r="1" s="1" customFormat="1" spans="1:8">
      <c r="A1" s="1">
        <f>SUM(B1:AZ1)</f>
        <v>3.33333333333333</v>
      </c>
      <c r="B1" s="1">
        <f t="shared" ref="B1:H1" si="0">COUNTA(B2:B2050)/COLUMN()</f>
        <v>1</v>
      </c>
      <c r="C1" s="1">
        <f t="shared" si="0"/>
        <v>2.33333333333333</v>
      </c>
      <c r="D1" s="1">
        <f t="shared" si="0"/>
        <v>0</v>
      </c>
      <c r="E1" s="1">
        <f t="shared" si="0"/>
        <v>0</v>
      </c>
      <c r="F1" s="1">
        <f t="shared" si="0"/>
        <v>0</v>
      </c>
      <c r="G1" s="1">
        <f t="shared" si="0"/>
        <v>0</v>
      </c>
      <c r="H1" s="1">
        <f t="shared" si="0"/>
        <v>0</v>
      </c>
    </row>
    <row r="2" spans="1:2">
      <c r="A2">
        <v>20240401</v>
      </c>
      <c r="B2" t="s">
        <v>248</v>
      </c>
    </row>
    <row r="3" spans="3:3">
      <c r="C3" t="s">
        <v>249</v>
      </c>
    </row>
    <row r="4" s="5" customFormat="1" spans="2:2">
      <c r="B4" s="5" t="s">
        <v>250</v>
      </c>
    </row>
    <row r="5" s="5" customFormat="1" spans="3:3">
      <c r="C5" s="5" t="s">
        <v>251</v>
      </c>
    </row>
    <row r="6" s="5" customFormat="1" spans="3:3">
      <c r="C6" s="5" t="s">
        <v>252</v>
      </c>
    </row>
    <row r="7" s="5" customFormat="1" spans="3:3">
      <c r="C7" s="5" t="s">
        <v>253</v>
      </c>
    </row>
    <row r="8" s="5" customFormat="1" spans="3:3">
      <c r="C8" s="5" t="s">
        <v>254</v>
      </c>
    </row>
    <row r="9" s="5" customFormat="1" spans="3:3">
      <c r="C9" s="5" t="s">
        <v>255</v>
      </c>
    </row>
    <row r="10" s="5" customFormat="1" spans="3:3">
      <c r="C10" s="5" t="s">
        <v>256</v>
      </c>
    </row>
  </sheetData>
  <pageMargins left="0.75" right="0.75" top="1" bottom="1" header="0.5" footer="0.5"/>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zoomScale="115" zoomScaleNormal="115" workbookViewId="0">
      <selection activeCell="B2" sqref="B2"/>
    </sheetView>
  </sheetViews>
  <sheetFormatPr defaultColWidth="8.88888888888889" defaultRowHeight="14.4" outlineLevelCol="7"/>
  <sheetData>
    <row r="1" s="1" customFormat="1" spans="1:8">
      <c r="A1" s="1">
        <f>SUM(B1:AZ1)</f>
        <v>3.83333333333333</v>
      </c>
      <c r="B1" s="1">
        <f t="shared" ref="B1:H1" si="0">COUNTA(B2:B2048)/COLUMN()</f>
        <v>1.5</v>
      </c>
      <c r="C1" s="1">
        <f t="shared" si="0"/>
        <v>2.33333333333333</v>
      </c>
      <c r="D1" s="1">
        <f t="shared" si="0"/>
        <v>0</v>
      </c>
      <c r="E1" s="1">
        <f t="shared" si="0"/>
        <v>0</v>
      </c>
      <c r="F1" s="1">
        <f t="shared" si="0"/>
        <v>0</v>
      </c>
      <c r="G1" s="1">
        <f t="shared" si="0"/>
        <v>0</v>
      </c>
      <c r="H1" s="1">
        <f t="shared" si="0"/>
        <v>0</v>
      </c>
    </row>
    <row r="2" spans="1:2">
      <c r="A2">
        <v>20240402</v>
      </c>
      <c r="B2" t="s">
        <v>257</v>
      </c>
    </row>
    <row r="3" spans="2:2">
      <c r="B3" t="s">
        <v>258</v>
      </c>
    </row>
    <row r="4" ht="16.8" spans="3:3">
      <c r="C4" t="s">
        <v>259</v>
      </c>
    </row>
    <row r="5" ht="16.8" spans="3:3">
      <c r="C5" t="s">
        <v>260</v>
      </c>
    </row>
    <row r="6" ht="16.8" spans="3:3">
      <c r="C6" t="s">
        <v>261</v>
      </c>
    </row>
    <row r="7" ht="16.8" spans="3:3">
      <c r="C7" t="s">
        <v>262</v>
      </c>
    </row>
    <row r="8" spans="2:2">
      <c r="B8" t="s">
        <v>263</v>
      </c>
    </row>
    <row r="9" spans="3:3">
      <c r="C9" t="s">
        <v>264</v>
      </c>
    </row>
    <row r="10" spans="3:3">
      <c r="C10" t="s">
        <v>265</v>
      </c>
    </row>
    <row r="11" spans="3:3">
      <c r="C11" t="s">
        <v>266</v>
      </c>
    </row>
  </sheetData>
  <pageMargins left="0.75" right="0.75" top="1" bottom="1" header="0.5" footer="0.5"/>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workbookViewId="0">
      <selection activeCell="B28" sqref="B28"/>
    </sheetView>
  </sheetViews>
  <sheetFormatPr defaultColWidth="8.88888888888889" defaultRowHeight="14.4" outlineLevelCol="7"/>
  <sheetData>
    <row r="1" s="1" customFormat="1" spans="1:8">
      <c r="A1" s="1">
        <f>SUM(B1:AZ1)</f>
        <v>11.8333333333333</v>
      </c>
      <c r="B1" s="1">
        <f t="shared" ref="B1:H1" si="0">COUNTA(B2:B2048)/COLUMN()</f>
        <v>7</v>
      </c>
      <c r="C1" s="1">
        <f t="shared" si="0"/>
        <v>3.33333333333333</v>
      </c>
      <c r="D1" s="1">
        <f t="shared" si="0"/>
        <v>1.5</v>
      </c>
      <c r="E1" s="1">
        <f t="shared" si="0"/>
        <v>0</v>
      </c>
      <c r="F1" s="1">
        <f t="shared" si="0"/>
        <v>0</v>
      </c>
      <c r="G1" s="1">
        <f t="shared" si="0"/>
        <v>0</v>
      </c>
      <c r="H1" s="1">
        <f t="shared" si="0"/>
        <v>0</v>
      </c>
    </row>
    <row r="2" spans="1:2">
      <c r="A2">
        <v>20240405</v>
      </c>
      <c r="B2" t="s">
        <v>267</v>
      </c>
    </row>
    <row r="3" spans="2:2">
      <c r="B3" t="s">
        <v>268</v>
      </c>
    </row>
    <row r="4" spans="2:2">
      <c r="B4" t="s">
        <v>269</v>
      </c>
    </row>
    <row r="5" spans="2:2">
      <c r="B5" t="s">
        <v>270</v>
      </c>
    </row>
    <row r="6" spans="2:2">
      <c r="B6" t="s">
        <v>271</v>
      </c>
    </row>
    <row r="7" spans="2:2">
      <c r="B7" t="s">
        <v>272</v>
      </c>
    </row>
    <row r="8" spans="2:2">
      <c r="B8" t="s">
        <v>273</v>
      </c>
    </row>
    <row r="9" s="6" customFormat="1" spans="2:2">
      <c r="B9" s="6" t="s">
        <v>274</v>
      </c>
    </row>
    <row r="10" s="6" customFormat="1" spans="2:2">
      <c r="B10" s="6" t="s">
        <v>275</v>
      </c>
    </row>
    <row r="11" s="6" customFormat="1" spans="3:3">
      <c r="C11" s="6" t="s">
        <v>276</v>
      </c>
    </row>
    <row r="12" spans="2:2">
      <c r="B12" t="s">
        <v>277</v>
      </c>
    </row>
    <row r="13" spans="3:3">
      <c r="C13" t="s">
        <v>278</v>
      </c>
    </row>
    <row r="14" spans="3:3">
      <c r="C14" t="s">
        <v>279</v>
      </c>
    </row>
    <row r="15" spans="3:3">
      <c r="C15" t="s">
        <v>280</v>
      </c>
    </row>
    <row r="16" spans="4:4">
      <c r="D16" t="s">
        <v>281</v>
      </c>
    </row>
    <row r="17" spans="4:4">
      <c r="D17" t="s">
        <v>282</v>
      </c>
    </row>
    <row r="18" spans="4:4">
      <c r="D18" t="s">
        <v>283</v>
      </c>
    </row>
    <row r="19" spans="3:3">
      <c r="C19" t="s">
        <v>284</v>
      </c>
    </row>
    <row r="20" spans="4:4">
      <c r="D20" t="s">
        <v>285</v>
      </c>
    </row>
    <row r="21" spans="4:4">
      <c r="D21" t="s">
        <v>286</v>
      </c>
    </row>
    <row r="22" spans="4:4">
      <c r="D22" t="s">
        <v>287</v>
      </c>
    </row>
    <row r="23" spans="3:3">
      <c r="C23" t="s">
        <v>288</v>
      </c>
    </row>
    <row r="24" spans="2:2">
      <c r="B24" t="s">
        <v>289</v>
      </c>
    </row>
    <row r="25" spans="3:3">
      <c r="C25" t="s">
        <v>290</v>
      </c>
    </row>
    <row r="26" spans="3:3">
      <c r="C26" t="s">
        <v>291</v>
      </c>
    </row>
    <row r="27" spans="2:2">
      <c r="B27" t="s">
        <v>292</v>
      </c>
    </row>
    <row r="28" spans="2:2">
      <c r="B28" t="s">
        <v>293</v>
      </c>
    </row>
    <row r="29" spans="2:2">
      <c r="B29" t="s">
        <v>294</v>
      </c>
    </row>
    <row r="30" spans="3:3">
      <c r="C30" t="s">
        <v>295</v>
      </c>
    </row>
    <row r="31" spans="3:3">
      <c r="C31" t="s">
        <v>296</v>
      </c>
    </row>
  </sheetData>
  <pageMargins left="0.75" right="0.75" top="1" bottom="1" header="0.5" footer="0.5"/>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2" sqref="B2"/>
    </sheetView>
  </sheetViews>
  <sheetFormatPr defaultColWidth="8.88888888888889" defaultRowHeight="14.4" outlineLevelRow="3" outlineLevelCol="7"/>
  <sheetData>
    <row r="1" s="1" customFormat="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2">
      <c r="A2">
        <v>20240406</v>
      </c>
      <c r="B2" s="5" t="s">
        <v>297</v>
      </c>
    </row>
    <row r="3" spans="2:2">
      <c r="B3" t="s">
        <v>298</v>
      </c>
    </row>
    <row r="4" s="5" customFormat="1" spans="2:2">
      <c r="B4" s="5" t="s">
        <v>299</v>
      </c>
    </row>
  </sheetData>
  <pageMargins left="0.75" right="0.75" top="1" bottom="1" header="0.5" footer="0.5"/>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topLeftCell="A2" workbookViewId="0">
      <selection activeCell="B5" sqref="B5"/>
    </sheetView>
  </sheetViews>
  <sheetFormatPr defaultColWidth="8.88888888888889" defaultRowHeight="14.4" outlineLevelCol="7"/>
  <sheetData>
    <row r="1" s="1" customFormat="1" spans="1:8">
      <c r="A1" s="1">
        <f>SUM(B1:AZ1)</f>
        <v>3.83333333333333</v>
      </c>
      <c r="B1" s="1">
        <f t="shared" ref="B1:H1" si="0">COUNTA(B2:B2048)/COLUMN()</f>
        <v>2.5</v>
      </c>
      <c r="C1" s="1">
        <f t="shared" si="0"/>
        <v>1.33333333333333</v>
      </c>
      <c r="D1" s="1">
        <f t="shared" si="0"/>
        <v>0</v>
      </c>
      <c r="E1" s="1">
        <f t="shared" si="0"/>
        <v>0</v>
      </c>
      <c r="F1" s="1">
        <f t="shared" si="0"/>
        <v>0</v>
      </c>
      <c r="G1" s="1">
        <f t="shared" si="0"/>
        <v>0</v>
      </c>
      <c r="H1" s="1">
        <f t="shared" si="0"/>
        <v>0</v>
      </c>
    </row>
    <row r="2" spans="1:2">
      <c r="A2">
        <v>20240408</v>
      </c>
      <c r="B2" t="s">
        <v>300</v>
      </c>
    </row>
    <row r="3" spans="3:3">
      <c r="C3" t="s">
        <v>301</v>
      </c>
    </row>
    <row r="4" spans="2:2">
      <c r="B4" t="s">
        <v>302</v>
      </c>
    </row>
    <row r="5" spans="2:2">
      <c r="B5" t="s">
        <v>303</v>
      </c>
    </row>
    <row r="6" spans="2:2">
      <c r="B6" t="s">
        <v>304</v>
      </c>
    </row>
    <row r="7" spans="3:3">
      <c r="C7" t="s">
        <v>305</v>
      </c>
    </row>
    <row r="8" spans="3:3">
      <c r="C8" t="s">
        <v>306</v>
      </c>
    </row>
    <row r="9" spans="3:3">
      <c r="C9" t="s">
        <v>307</v>
      </c>
    </row>
    <row r="10" spans="2:2">
      <c r="B10" t="s">
        <v>308</v>
      </c>
    </row>
  </sheetData>
  <pageMargins left="0.75" right="0.75" top="1" bottom="1" header="0.5" footer="0.5"/>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selection activeCell="D14" sqref="D14:P18"/>
    </sheetView>
  </sheetViews>
  <sheetFormatPr defaultColWidth="8.88888888888889" defaultRowHeight="14.4" outlineLevelCol="7"/>
  <sheetData>
    <row r="1" s="1" customFormat="1" spans="1:8">
      <c r="A1" s="1">
        <f>SUM(B1:AZ1)</f>
        <v>6.08333333333333</v>
      </c>
      <c r="B1" s="1">
        <f t="shared" ref="B1:H1" si="0">COUNTA(B2:B2048)/COLUMN()</f>
        <v>1</v>
      </c>
      <c r="C1" s="1">
        <f t="shared" si="0"/>
        <v>1.33333333333333</v>
      </c>
      <c r="D1" s="1">
        <f t="shared" si="0"/>
        <v>3.75</v>
      </c>
      <c r="E1" s="1">
        <f t="shared" si="0"/>
        <v>0</v>
      </c>
      <c r="F1" s="1">
        <f t="shared" si="0"/>
        <v>0</v>
      </c>
      <c r="G1" s="1">
        <f t="shared" si="0"/>
        <v>0</v>
      </c>
      <c r="H1" s="1">
        <f t="shared" si="0"/>
        <v>0</v>
      </c>
    </row>
    <row r="2" spans="1:2">
      <c r="A2">
        <v>20240409</v>
      </c>
      <c r="B2" t="s">
        <v>309</v>
      </c>
    </row>
    <row r="3" spans="2:2">
      <c r="B3" t="s">
        <v>310</v>
      </c>
    </row>
    <row r="4" spans="3:3">
      <c r="C4" t="s">
        <v>311</v>
      </c>
    </row>
    <row r="5" spans="4:4">
      <c r="D5" t="s">
        <v>312</v>
      </c>
    </row>
    <row r="6" spans="4:4">
      <c r="D6" t="s">
        <v>313</v>
      </c>
    </row>
    <row r="7" spans="4:4">
      <c r="D7" t="s">
        <v>314</v>
      </c>
    </row>
    <row r="8" spans="3:3">
      <c r="C8" t="s">
        <v>315</v>
      </c>
    </row>
    <row r="9" spans="4:4">
      <c r="D9" s="4" t="s">
        <v>316</v>
      </c>
    </row>
    <row r="10" spans="4:4">
      <c r="D10" s="4" t="s">
        <v>317</v>
      </c>
    </row>
    <row r="11" spans="4:4">
      <c r="D11" s="4" t="s">
        <v>318</v>
      </c>
    </row>
    <row r="12" spans="4:4">
      <c r="D12" s="4" t="s">
        <v>319</v>
      </c>
    </row>
    <row r="13" s="5" customFormat="1" spans="3:3">
      <c r="C13" s="5" t="s">
        <v>320</v>
      </c>
    </row>
    <row r="14" s="5" customFormat="1" spans="4:4">
      <c r="D14" s="5" t="s">
        <v>321</v>
      </c>
    </row>
    <row r="15" s="5" customFormat="1" spans="4:4">
      <c r="D15" s="5" t="s">
        <v>322</v>
      </c>
    </row>
    <row r="16" s="5" customFormat="1" spans="4:4">
      <c r="D16" s="5" t="s">
        <v>323</v>
      </c>
    </row>
    <row r="17" s="5" customFormat="1" spans="4:4">
      <c r="D17" s="5" t="s">
        <v>324</v>
      </c>
    </row>
    <row r="18" s="5" customFormat="1" spans="4:4">
      <c r="D18" s="5" t="s">
        <v>325</v>
      </c>
    </row>
    <row r="19" spans="3:3">
      <c r="C19" t="s">
        <v>326</v>
      </c>
    </row>
    <row r="20" spans="4:4">
      <c r="D20" t="s">
        <v>327</v>
      </c>
    </row>
    <row r="21" spans="4:4">
      <c r="D21" t="s">
        <v>328</v>
      </c>
    </row>
    <row r="22" spans="4:4">
      <c r="D22" t="s">
        <v>329</v>
      </c>
    </row>
  </sheetData>
  <pageMargins left="0.75" right="0.75" top="1" bottom="1" header="0.5" footer="0.5"/>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7"/>
  <sheetViews>
    <sheetView zoomScale="130" zoomScaleNormal="130" topLeftCell="A9" workbookViewId="0">
      <selection activeCell="E19" sqref="E19"/>
    </sheetView>
  </sheetViews>
  <sheetFormatPr defaultColWidth="8.88888888888889" defaultRowHeight="14.4" outlineLevelCol="7"/>
  <sheetData>
    <row r="1" s="1" customFormat="1" spans="1:8">
      <c r="A1" s="1">
        <f>SUM(B1:AZ1)</f>
        <v>16.95</v>
      </c>
      <c r="B1" s="1">
        <f t="shared" ref="B1:H1" si="0">COUNTA(B2:B2048)/COLUMN()</f>
        <v>4</v>
      </c>
      <c r="C1" s="1">
        <f t="shared" si="0"/>
        <v>6.66666666666667</v>
      </c>
      <c r="D1" s="1">
        <f t="shared" si="0"/>
        <v>3.75</v>
      </c>
      <c r="E1" s="1">
        <f t="shared" si="0"/>
        <v>2.2</v>
      </c>
      <c r="F1" s="1">
        <f t="shared" si="0"/>
        <v>0.333333333333333</v>
      </c>
      <c r="G1" s="1">
        <f t="shared" si="0"/>
        <v>0</v>
      </c>
      <c r="H1" s="1">
        <f t="shared" si="0"/>
        <v>0</v>
      </c>
    </row>
    <row r="2" spans="1:2">
      <c r="A2">
        <v>20240410</v>
      </c>
      <c r="B2" t="s">
        <v>330</v>
      </c>
    </row>
    <row r="3" spans="2:2">
      <c r="B3" t="s">
        <v>331</v>
      </c>
    </row>
    <row r="4" spans="3:3">
      <c r="C4" t="s">
        <v>332</v>
      </c>
    </row>
    <row r="5" spans="3:3">
      <c r="C5" t="s">
        <v>333</v>
      </c>
    </row>
    <row r="6" spans="4:4">
      <c r="D6" t="s">
        <v>334</v>
      </c>
    </row>
    <row r="7" spans="4:4">
      <c r="D7" t="s">
        <v>335</v>
      </c>
    </row>
    <row r="8" spans="3:3">
      <c r="C8" t="s">
        <v>336</v>
      </c>
    </row>
    <row r="9" spans="3:3">
      <c r="C9" t="s">
        <v>337</v>
      </c>
    </row>
    <row r="10" spans="3:3">
      <c r="C10" t="s">
        <v>338</v>
      </c>
    </row>
    <row r="11" spans="3:3">
      <c r="C11" t="s">
        <v>339</v>
      </c>
    </row>
    <row r="12" spans="2:2">
      <c r="B12" t="s">
        <v>340</v>
      </c>
    </row>
    <row r="13" spans="3:3">
      <c r="C13" t="s">
        <v>341</v>
      </c>
    </row>
    <row r="14" spans="4:4">
      <c r="D14" t="s">
        <v>342</v>
      </c>
    </row>
    <row r="15" spans="4:4">
      <c r="D15" t="s">
        <v>343</v>
      </c>
    </row>
    <row r="16" spans="3:3">
      <c r="C16" t="s">
        <v>344</v>
      </c>
    </row>
    <row r="17" spans="4:4">
      <c r="D17" t="s">
        <v>345</v>
      </c>
    </row>
    <row r="18" spans="5:5">
      <c r="E18" t="s">
        <v>346</v>
      </c>
    </row>
    <row r="19" spans="5:5">
      <c r="E19" t="s">
        <v>347</v>
      </c>
    </row>
    <row r="20" spans="5:5">
      <c r="E20" t="s">
        <v>348</v>
      </c>
    </row>
    <row r="21" spans="4:4">
      <c r="D21" t="s">
        <v>349</v>
      </c>
    </row>
    <row r="22" spans="5:5">
      <c r="E22" t="s">
        <v>350</v>
      </c>
    </row>
    <row r="23" spans="5:5">
      <c r="E23" t="s">
        <v>351</v>
      </c>
    </row>
    <row r="24" spans="2:2">
      <c r="B24" t="s">
        <v>352</v>
      </c>
    </row>
    <row r="25" spans="2:2">
      <c r="B25" t="s">
        <v>353</v>
      </c>
    </row>
    <row r="26" spans="2:2">
      <c r="B26" t="s">
        <v>354</v>
      </c>
    </row>
    <row r="27" spans="3:3">
      <c r="C27" t="s">
        <v>355</v>
      </c>
    </row>
    <row r="28" spans="3:3">
      <c r="C28" t="s">
        <v>356</v>
      </c>
    </row>
    <row r="29" spans="3:3">
      <c r="C29" s="4" t="s">
        <v>357</v>
      </c>
    </row>
    <row r="30" spans="4:4">
      <c r="D30" t="s">
        <v>358</v>
      </c>
    </row>
    <row r="31" spans="4:4">
      <c r="D31" t="s">
        <v>359</v>
      </c>
    </row>
    <row r="32" spans="4:4">
      <c r="D32" t="s">
        <v>360</v>
      </c>
    </row>
    <row r="33" spans="4:4">
      <c r="D33" t="s">
        <v>361</v>
      </c>
    </row>
    <row r="34" spans="5:5">
      <c r="E34" t="s">
        <v>362</v>
      </c>
    </row>
    <row r="35" spans="5:5">
      <c r="E35" t="s">
        <v>363</v>
      </c>
    </row>
    <row r="36" spans="3:3">
      <c r="C36" t="s">
        <v>364</v>
      </c>
    </row>
    <row r="37" spans="4:4">
      <c r="D37" t="s">
        <v>365</v>
      </c>
    </row>
    <row r="38" spans="4:4">
      <c r="D38" t="s">
        <v>366</v>
      </c>
    </row>
    <row r="39" spans="4:4">
      <c r="D39" t="s">
        <v>360</v>
      </c>
    </row>
    <row r="40" spans="4:4">
      <c r="D40" t="s">
        <v>361</v>
      </c>
    </row>
    <row r="41" spans="5:5">
      <c r="E41" t="s">
        <v>362</v>
      </c>
    </row>
    <row r="42" spans="5:5">
      <c r="E42" t="s">
        <v>363</v>
      </c>
    </row>
    <row r="43" spans="4:4">
      <c r="D43" t="s">
        <v>367</v>
      </c>
    </row>
    <row r="44" spans="5:5">
      <c r="E44" t="s">
        <v>368</v>
      </c>
    </row>
    <row r="45" spans="5:5">
      <c r="E45" t="s">
        <v>369</v>
      </c>
    </row>
    <row r="46" spans="6:6">
      <c r="F46" t="s">
        <v>370</v>
      </c>
    </row>
    <row r="47" spans="6:6">
      <c r="F47" t="s">
        <v>371</v>
      </c>
    </row>
    <row r="48" spans="2:2">
      <c r="B48" t="s">
        <v>372</v>
      </c>
    </row>
    <row r="49" spans="3:3">
      <c r="C49" t="s">
        <v>373</v>
      </c>
    </row>
    <row r="50" spans="3:3">
      <c r="C50" t="s">
        <v>374</v>
      </c>
    </row>
    <row r="51" spans="2:2">
      <c r="B51" t="s">
        <v>375</v>
      </c>
    </row>
    <row r="52" spans="3:3">
      <c r="C52" t="s">
        <v>376</v>
      </c>
    </row>
    <row r="53" spans="3:3">
      <c r="C53" t="s">
        <v>377</v>
      </c>
    </row>
    <row r="54" spans="3:3">
      <c r="C54" t="s">
        <v>378</v>
      </c>
    </row>
    <row r="55" spans="3:3">
      <c r="C55" t="s">
        <v>379</v>
      </c>
    </row>
    <row r="56" spans="3:3">
      <c r="C56" t="s">
        <v>380</v>
      </c>
    </row>
    <row r="57" spans="3:3">
      <c r="C57" t="s">
        <v>381</v>
      </c>
    </row>
  </sheetData>
  <pageMargins left="0.75" right="0.75" top="1" bottom="1" header="0.5" footer="0.5"/>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2" sqref="B2"/>
    </sheetView>
  </sheetViews>
  <sheetFormatPr defaultColWidth="8.88888888888889" defaultRowHeight="14.4" outlineLevelCol="7"/>
  <sheetData>
    <row r="1" s="1" customFormat="1" spans="1:8">
      <c r="A1" s="1">
        <f>SUM(B1:AZ1)</f>
        <v>4.5</v>
      </c>
      <c r="B1" s="1">
        <f t="shared" ref="B1:H1" si="0">COUNTA(B2:B2048)/COLUMN()</f>
        <v>2</v>
      </c>
      <c r="C1" s="1">
        <f t="shared" si="0"/>
        <v>2</v>
      </c>
      <c r="D1" s="1">
        <f t="shared" si="0"/>
        <v>0.5</v>
      </c>
      <c r="E1" s="1">
        <f t="shared" si="0"/>
        <v>0</v>
      </c>
      <c r="F1" s="1">
        <f t="shared" si="0"/>
        <v>0</v>
      </c>
      <c r="G1" s="1">
        <f t="shared" si="0"/>
        <v>0</v>
      </c>
      <c r="H1" s="1">
        <f t="shared" si="0"/>
        <v>0</v>
      </c>
    </row>
    <row r="2" spans="1:2">
      <c r="A2">
        <v>20240411</v>
      </c>
      <c r="B2" t="s">
        <v>382</v>
      </c>
    </row>
    <row r="3" s="5" customFormat="1" spans="2:2">
      <c r="B3" s="5" t="s">
        <v>383</v>
      </c>
    </row>
    <row r="4" s="5" customFormat="1" spans="3:3">
      <c r="C4" s="5" t="s">
        <v>384</v>
      </c>
    </row>
    <row r="5" s="5" customFormat="1" spans="3:3">
      <c r="C5" s="5" t="s">
        <v>385</v>
      </c>
    </row>
    <row r="6" s="5" customFormat="1" spans="3:3">
      <c r="C6" s="5" t="s">
        <v>386</v>
      </c>
    </row>
    <row r="7" spans="3:3">
      <c r="C7" s="5" t="s">
        <v>387</v>
      </c>
    </row>
    <row r="8" spans="2:2">
      <c r="B8" t="s">
        <v>388</v>
      </c>
    </row>
    <row r="9" spans="3:3">
      <c r="C9" t="s">
        <v>389</v>
      </c>
    </row>
    <row r="10" spans="3:3">
      <c r="C10" t="s">
        <v>390</v>
      </c>
    </row>
    <row r="11" spans="4:4">
      <c r="D11" t="s">
        <v>391</v>
      </c>
    </row>
    <row r="12" spans="4:4">
      <c r="D12" t="s">
        <v>392</v>
      </c>
    </row>
    <row r="13" spans="2:2">
      <c r="B13" t="s">
        <v>393</v>
      </c>
    </row>
  </sheetData>
  <pageMargins left="0.75" right="0.75" top="1" bottom="1" header="0.5" footer="0.5"/>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B2" sqref="B2"/>
    </sheetView>
  </sheetViews>
  <sheetFormatPr defaultColWidth="8.88888888888889" defaultRowHeight="14.4" outlineLevelCol="7"/>
  <sheetData>
    <row r="1" s="1" customFormat="1" spans="1:8">
      <c r="A1" s="1">
        <f>SUM(B1:AZ1)</f>
        <v>7.16666666666667</v>
      </c>
      <c r="B1" s="1">
        <f t="shared" ref="B1:H1" si="0">COUNTA(B2:B2048)/COLUMN()</f>
        <v>3</v>
      </c>
      <c r="C1" s="1">
        <f t="shared" si="0"/>
        <v>3.66666666666667</v>
      </c>
      <c r="D1" s="1">
        <f t="shared" si="0"/>
        <v>0.5</v>
      </c>
      <c r="E1" s="1">
        <f t="shared" si="0"/>
        <v>0</v>
      </c>
      <c r="F1" s="1">
        <f t="shared" si="0"/>
        <v>0</v>
      </c>
      <c r="G1" s="1">
        <f t="shared" si="0"/>
        <v>0</v>
      </c>
      <c r="H1" s="1">
        <f t="shared" si="0"/>
        <v>0</v>
      </c>
    </row>
    <row r="2" spans="1:2">
      <c r="A2">
        <v>20240412</v>
      </c>
      <c r="B2" t="s">
        <v>394</v>
      </c>
    </row>
    <row r="3" spans="2:2">
      <c r="B3" t="s">
        <v>395</v>
      </c>
    </row>
    <row r="4" spans="3:3">
      <c r="C4" t="s">
        <v>396</v>
      </c>
    </row>
    <row r="5" spans="3:3">
      <c r="C5" t="s">
        <v>397</v>
      </c>
    </row>
    <row r="6" spans="3:3">
      <c r="C6" t="s">
        <v>398</v>
      </c>
    </row>
    <row r="7" spans="3:3">
      <c r="C7" t="s">
        <v>399</v>
      </c>
    </row>
    <row r="8" spans="4:4">
      <c r="D8" t="s">
        <v>400</v>
      </c>
    </row>
    <row r="9" spans="4:4">
      <c r="D9" t="s">
        <v>401</v>
      </c>
    </row>
    <row r="10" spans="3:3">
      <c r="C10" t="s">
        <v>402</v>
      </c>
    </row>
    <row r="11" spans="2:2">
      <c r="B11" t="s">
        <v>403</v>
      </c>
    </row>
    <row r="12" spans="2:2">
      <c r="B12" t="s">
        <v>404</v>
      </c>
    </row>
    <row r="13" spans="3:3">
      <c r="C13" t="s">
        <v>405</v>
      </c>
    </row>
    <row r="14" spans="3:3">
      <c r="C14" t="s">
        <v>406</v>
      </c>
    </row>
    <row r="15" spans="3:3">
      <c r="C15" t="s">
        <v>407</v>
      </c>
    </row>
    <row r="16" spans="2:2">
      <c r="B16" t="s">
        <v>408</v>
      </c>
    </row>
    <row r="17" spans="2:2">
      <c r="B17" t="s">
        <v>409</v>
      </c>
    </row>
    <row r="18" spans="3:3">
      <c r="C18" t="s">
        <v>410</v>
      </c>
    </row>
    <row r="19" spans="3:3">
      <c r="C19" t="s">
        <v>411</v>
      </c>
    </row>
    <row r="20" spans="3:3">
      <c r="C20" t="s">
        <v>412</v>
      </c>
    </row>
  </sheetData>
  <pageMargins left="0.75" right="0.75" top="1" bottom="1" header="0.5" footer="0.5"/>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0"/>
  <sheetViews>
    <sheetView topLeftCell="A16" workbookViewId="0">
      <selection activeCell="C44" sqref="C44"/>
    </sheetView>
  </sheetViews>
  <sheetFormatPr defaultColWidth="8.88888888888889" defaultRowHeight="14.4" outlineLevelCol="7"/>
  <sheetData>
    <row r="1" s="1" customFormat="1" spans="1:8">
      <c r="A1" s="1">
        <f>SUM(B1:AZ1)</f>
        <v>15.1166666666667</v>
      </c>
      <c r="B1" s="1">
        <f t="shared" ref="B1:H1" si="0">COUNTA(B2:B2048)/COLUMN()</f>
        <v>3.5</v>
      </c>
      <c r="C1" s="1">
        <f t="shared" si="0"/>
        <v>5.66666666666667</v>
      </c>
      <c r="D1" s="1">
        <f t="shared" si="0"/>
        <v>4.75</v>
      </c>
      <c r="E1" s="1">
        <f t="shared" si="0"/>
        <v>1.2</v>
      </c>
      <c r="F1" s="1">
        <f t="shared" si="0"/>
        <v>0</v>
      </c>
      <c r="G1" s="1">
        <f t="shared" si="0"/>
        <v>0</v>
      </c>
      <c r="H1" s="1">
        <f t="shared" si="0"/>
        <v>0</v>
      </c>
    </row>
    <row r="2" spans="1:2">
      <c r="A2">
        <v>20240413</v>
      </c>
      <c r="B2" t="s">
        <v>413</v>
      </c>
    </row>
    <row r="3" spans="3:3">
      <c r="C3" t="s">
        <v>414</v>
      </c>
    </row>
    <row r="4" spans="4:4">
      <c r="D4" t="s">
        <v>415</v>
      </c>
    </row>
    <row r="5" spans="4:4">
      <c r="D5" t="s">
        <v>416</v>
      </c>
    </row>
    <row r="6" s="5" customFormat="1" spans="3:3">
      <c r="C6" s="5" t="s">
        <v>417</v>
      </c>
    </row>
    <row r="7" spans="2:2">
      <c r="B7" t="s">
        <v>418</v>
      </c>
    </row>
    <row r="8" spans="2:2">
      <c r="B8" t="s">
        <v>419</v>
      </c>
    </row>
    <row r="9" spans="3:3">
      <c r="C9" t="s">
        <v>420</v>
      </c>
    </row>
    <row r="10" spans="4:4">
      <c r="D10" t="s">
        <v>421</v>
      </c>
    </row>
    <row r="11" spans="4:4">
      <c r="D11" t="s">
        <v>422</v>
      </c>
    </row>
    <row r="12" spans="4:4">
      <c r="D12" t="s">
        <v>423</v>
      </c>
    </row>
    <row r="13" spans="5:5">
      <c r="E13" t="s">
        <v>424</v>
      </c>
    </row>
    <row r="14" spans="5:5">
      <c r="E14" t="s">
        <v>425</v>
      </c>
    </row>
    <row r="15" spans="2:2">
      <c r="B15" t="s">
        <v>426</v>
      </c>
    </row>
    <row r="16" spans="3:3">
      <c r="C16" t="s">
        <v>427</v>
      </c>
    </row>
    <row r="17" spans="3:3">
      <c r="C17" t="s">
        <v>428</v>
      </c>
    </row>
    <row r="18" spans="4:4">
      <c r="D18" t="s">
        <v>429</v>
      </c>
    </row>
    <row r="19" spans="3:3">
      <c r="C19" t="s">
        <v>430</v>
      </c>
    </row>
    <row r="20" spans="3:3">
      <c r="C20" t="s">
        <v>431</v>
      </c>
    </row>
    <row r="21" spans="4:4">
      <c r="D21" t="s">
        <v>432</v>
      </c>
    </row>
    <row r="22" spans="4:4">
      <c r="D22" t="s">
        <v>433</v>
      </c>
    </row>
    <row r="23" spans="2:2">
      <c r="B23" t="s">
        <v>434</v>
      </c>
    </row>
    <row r="24" spans="3:3">
      <c r="C24" t="s">
        <v>435</v>
      </c>
    </row>
    <row r="25" spans="4:4">
      <c r="D25" t="s">
        <v>436</v>
      </c>
    </row>
    <row r="26" spans="5:5">
      <c r="E26" t="s">
        <v>437</v>
      </c>
    </row>
    <row r="27" spans="5:5">
      <c r="E27" t="s">
        <v>438</v>
      </c>
    </row>
    <row r="28" spans="4:4">
      <c r="D28" t="s">
        <v>439</v>
      </c>
    </row>
    <row r="29" spans="4:4">
      <c r="D29" t="s">
        <v>440</v>
      </c>
    </row>
    <row r="30" spans="3:3">
      <c r="C30" t="s">
        <v>441</v>
      </c>
    </row>
    <row r="31" spans="4:4">
      <c r="D31" t="s">
        <v>442</v>
      </c>
    </row>
    <row r="32" spans="5:5">
      <c r="E32" t="s">
        <v>443</v>
      </c>
    </row>
    <row r="33" spans="4:4">
      <c r="D33" t="s">
        <v>444</v>
      </c>
    </row>
    <row r="34" spans="5:5">
      <c r="E34" t="s">
        <v>445</v>
      </c>
    </row>
    <row r="35" spans="3:3">
      <c r="C35" t="s">
        <v>446</v>
      </c>
    </row>
    <row r="36" spans="4:4">
      <c r="D36" t="s">
        <v>447</v>
      </c>
    </row>
    <row r="37" spans="4:4">
      <c r="D37" t="s">
        <v>448</v>
      </c>
    </row>
    <row r="38" spans="4:4">
      <c r="D38" t="s">
        <v>449</v>
      </c>
    </row>
    <row r="39" spans="4:4">
      <c r="D39" t="s">
        <v>450</v>
      </c>
    </row>
    <row r="40" spans="2:2">
      <c r="B40" t="s">
        <v>451</v>
      </c>
    </row>
    <row r="41" spans="3:3">
      <c r="C41" t="s">
        <v>452</v>
      </c>
    </row>
    <row r="42" spans="3:3">
      <c r="C42" t="s">
        <v>453</v>
      </c>
    </row>
    <row r="43" spans="3:3">
      <c r="C43" t="s">
        <v>454</v>
      </c>
    </row>
    <row r="44" spans="3:3">
      <c r="C44" t="s">
        <v>455</v>
      </c>
    </row>
    <row r="45" spans="2:2">
      <c r="B45" t="s">
        <v>456</v>
      </c>
    </row>
    <row r="46" spans="3:3">
      <c r="C46" t="s">
        <v>457</v>
      </c>
    </row>
    <row r="47" spans="4:4">
      <c r="D47" t="s">
        <v>458</v>
      </c>
    </row>
    <row r="48" spans="4:4">
      <c r="D48" t="s">
        <v>459</v>
      </c>
    </row>
    <row r="49" spans="3:3">
      <c r="C49" t="s">
        <v>460</v>
      </c>
    </row>
    <row r="50" spans="3:3">
      <c r="C50" t="s">
        <v>461</v>
      </c>
    </row>
  </sheetData>
  <pageMargins left="0.75" right="0.75" top="1" bottom="1" header="0.5" footer="0.5"/>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topLeftCell="A13" workbookViewId="0">
      <selection activeCell="C26" sqref="C26"/>
    </sheetView>
  </sheetViews>
  <sheetFormatPr defaultColWidth="8.88888888888889" defaultRowHeight="14.4" outlineLevelCol="7"/>
  <cols>
    <col min="1" max="1" width="9.66666666666667"/>
  </cols>
  <sheetData>
    <row r="1" s="1" customFormat="1" spans="1:8">
      <c r="A1" s="1">
        <f>SUM(B1:AZ1)</f>
        <v>9.75</v>
      </c>
      <c r="B1" s="1">
        <f t="shared" ref="B1:H1" si="0">COUNTA(B2:B2048)/COLUMN()</f>
        <v>2.5</v>
      </c>
      <c r="C1" s="1">
        <f t="shared" si="0"/>
        <v>6</v>
      </c>
      <c r="D1" s="1">
        <f t="shared" si="0"/>
        <v>1.25</v>
      </c>
      <c r="E1" s="1">
        <f t="shared" si="0"/>
        <v>0</v>
      </c>
      <c r="F1" s="1">
        <f t="shared" si="0"/>
        <v>0</v>
      </c>
      <c r="G1" s="1">
        <f t="shared" si="0"/>
        <v>0</v>
      </c>
      <c r="H1" s="1">
        <f t="shared" si="0"/>
        <v>0</v>
      </c>
    </row>
    <row r="2" spans="1:2">
      <c r="A2">
        <v>20240414</v>
      </c>
      <c r="B2" t="s">
        <v>462</v>
      </c>
    </row>
    <row r="3" spans="3:3">
      <c r="C3" t="s">
        <v>463</v>
      </c>
    </row>
    <row r="4" spans="3:3">
      <c r="C4" t="s">
        <v>464</v>
      </c>
    </row>
    <row r="5" spans="3:3">
      <c r="C5" t="s">
        <v>465</v>
      </c>
    </row>
    <row r="6" spans="2:2">
      <c r="B6" t="s">
        <v>466</v>
      </c>
    </row>
    <row r="7" spans="3:3">
      <c r="C7" t="s">
        <v>467</v>
      </c>
    </row>
    <row r="8" spans="3:3">
      <c r="C8" t="s">
        <v>468</v>
      </c>
    </row>
    <row r="9" spans="3:3">
      <c r="C9" t="s">
        <v>469</v>
      </c>
    </row>
    <row r="10" spans="3:3">
      <c r="C10" t="s">
        <v>470</v>
      </c>
    </row>
    <row r="11" spans="4:4">
      <c r="D11" t="s">
        <v>471</v>
      </c>
    </row>
    <row r="12" spans="4:4">
      <c r="D12" t="s">
        <v>472</v>
      </c>
    </row>
    <row r="13" spans="2:2">
      <c r="B13" t="s">
        <v>473</v>
      </c>
    </row>
    <row r="14" spans="3:3">
      <c r="C14" t="s">
        <v>474</v>
      </c>
    </row>
    <row r="15" spans="3:3">
      <c r="C15" t="s">
        <v>475</v>
      </c>
    </row>
    <row r="16" spans="3:3">
      <c r="C16" t="s">
        <v>476</v>
      </c>
    </row>
    <row r="17" spans="2:2">
      <c r="B17" t="s">
        <v>477</v>
      </c>
    </row>
    <row r="18" spans="3:3">
      <c r="C18" t="s">
        <v>478</v>
      </c>
    </row>
    <row r="19" spans="3:3">
      <c r="C19" t="s">
        <v>479</v>
      </c>
    </row>
    <row r="20" spans="3:3">
      <c r="C20" t="s">
        <v>480</v>
      </c>
    </row>
    <row r="21" spans="3:3">
      <c r="C21" t="s">
        <v>481</v>
      </c>
    </row>
    <row r="22" spans="3:3">
      <c r="C22" t="s">
        <v>482</v>
      </c>
    </row>
    <row r="23" spans="2:2">
      <c r="B23" t="s">
        <v>483</v>
      </c>
    </row>
    <row r="24" spans="3:3">
      <c r="C24" t="s">
        <v>484</v>
      </c>
    </row>
    <row r="25" s="5" customFormat="1" spans="4:4">
      <c r="D25" s="5" t="s">
        <v>485</v>
      </c>
    </row>
    <row r="26" spans="3:3">
      <c r="C26" t="s">
        <v>486</v>
      </c>
    </row>
    <row r="27" s="5" customFormat="1" spans="4:4">
      <c r="D27" s="5" t="s">
        <v>487</v>
      </c>
    </row>
    <row r="28" spans="3:3">
      <c r="C28" t="s">
        <v>488</v>
      </c>
    </row>
    <row r="29" spans="4:4">
      <c r="D29" t="s">
        <v>489</v>
      </c>
    </row>
  </sheetData>
  <pageMargins left="0.75" right="0.75" top="1" bottom="1" header="0.5" footer="0.5"/>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workbookViewId="0">
      <selection activeCell="C3" sqref="C3"/>
    </sheetView>
  </sheetViews>
  <sheetFormatPr defaultColWidth="8.88888888888889" defaultRowHeight="14.4" outlineLevelCol="7"/>
  <cols>
    <col min="1" max="1" width="9.66666666666667"/>
  </cols>
  <sheetData>
    <row r="1" s="1" customFormat="1" spans="1:8">
      <c r="A1" s="1">
        <f>SUM(B1:AZ1)</f>
        <v>7.4</v>
      </c>
      <c r="B1" s="1">
        <f t="shared" ref="B1:H1" si="0">COUNTA(B2:B2048)/COLUMN()</f>
        <v>1.5</v>
      </c>
      <c r="C1" s="1">
        <f t="shared" si="0"/>
        <v>3</v>
      </c>
      <c r="D1" s="1">
        <f t="shared" si="0"/>
        <v>2.5</v>
      </c>
      <c r="E1" s="1">
        <f t="shared" si="0"/>
        <v>0.4</v>
      </c>
      <c r="F1" s="1">
        <f t="shared" si="0"/>
        <v>0</v>
      </c>
      <c r="G1" s="1">
        <f t="shared" si="0"/>
        <v>0</v>
      </c>
      <c r="H1" s="1">
        <f t="shared" si="0"/>
        <v>0</v>
      </c>
    </row>
    <row r="2" spans="1:2">
      <c r="A2">
        <v>20240415</v>
      </c>
      <c r="B2" t="s">
        <v>490</v>
      </c>
    </row>
    <row r="3" spans="3:3">
      <c r="C3" t="s">
        <v>491</v>
      </c>
    </row>
    <row r="4" spans="3:3">
      <c r="C4" t="s">
        <v>492</v>
      </c>
    </row>
    <row r="5" spans="3:3">
      <c r="C5" t="s">
        <v>493</v>
      </c>
    </row>
    <row r="6" spans="4:4">
      <c r="D6" t="s">
        <v>494</v>
      </c>
    </row>
    <row r="7" spans="2:2">
      <c r="B7" t="s">
        <v>495</v>
      </c>
    </row>
    <row r="8" spans="3:3">
      <c r="C8" t="s">
        <v>496</v>
      </c>
    </row>
    <row r="9" spans="4:4">
      <c r="D9" t="s">
        <v>497</v>
      </c>
    </row>
    <row r="10" spans="4:4">
      <c r="D10" t="s">
        <v>498</v>
      </c>
    </row>
    <row r="11" spans="3:3">
      <c r="C11" t="s">
        <v>499</v>
      </c>
    </row>
    <row r="12" spans="3:3">
      <c r="C12" t="s">
        <v>500</v>
      </c>
    </row>
    <row r="13" spans="4:4">
      <c r="D13" t="s">
        <v>501</v>
      </c>
    </row>
    <row r="14" spans="4:4">
      <c r="D14" t="s">
        <v>502</v>
      </c>
    </row>
    <row r="15" spans="2:2">
      <c r="B15" t="s">
        <v>503</v>
      </c>
    </row>
    <row r="16" spans="3:3">
      <c r="C16" t="s">
        <v>504</v>
      </c>
    </row>
    <row r="17" spans="4:4">
      <c r="D17" t="s">
        <v>505</v>
      </c>
    </row>
    <row r="18" spans="4:4">
      <c r="D18" t="s">
        <v>506</v>
      </c>
    </row>
    <row r="19" spans="3:3">
      <c r="C19" t="s">
        <v>507</v>
      </c>
    </row>
    <row r="20" spans="4:4">
      <c r="D20" t="s">
        <v>508</v>
      </c>
    </row>
    <row r="21" spans="4:4">
      <c r="D21" t="s">
        <v>509</v>
      </c>
    </row>
    <row r="22" spans="4:4">
      <c r="D22" t="s">
        <v>510</v>
      </c>
    </row>
    <row r="23" spans="5:5">
      <c r="E23" t="s">
        <v>511</v>
      </c>
    </row>
    <row r="24" spans="5:5">
      <c r="E24" t="s">
        <v>512</v>
      </c>
    </row>
    <row r="25" spans="3:3">
      <c r="C25" t="s">
        <v>513</v>
      </c>
    </row>
  </sheetData>
  <pageMargins left="0.75" right="0.75" top="1" bottom="1" header="0.5" footer="0.5"/>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D8" sqref="D8"/>
    </sheetView>
  </sheetViews>
  <sheetFormatPr defaultColWidth="8.88888888888889" defaultRowHeight="14.4" outlineLevelCol="7"/>
  <cols>
    <col min="1" max="1" width="9.66666666666667"/>
  </cols>
  <sheetData>
    <row r="1" s="1" customFormat="1" spans="1:8">
      <c r="A1" s="1">
        <f>SUM(B1:AZ1)</f>
        <v>4.03333333333333</v>
      </c>
      <c r="B1" s="1">
        <f>COUNTA(B2:B2048)/COLUMN()</f>
        <v>1</v>
      </c>
      <c r="C1" s="1">
        <f t="shared" ref="B1:H1" si="0">COUNTA(C2:C2048)/COLUMN()</f>
        <v>1.33333333333333</v>
      </c>
      <c r="D1" s="1">
        <f t="shared" si="0"/>
        <v>1.5</v>
      </c>
      <c r="E1" s="1">
        <f t="shared" si="0"/>
        <v>0.2</v>
      </c>
      <c r="F1" s="1">
        <f t="shared" si="0"/>
        <v>0</v>
      </c>
      <c r="G1" s="1">
        <f t="shared" si="0"/>
        <v>0</v>
      </c>
      <c r="H1" s="1">
        <f t="shared" si="0"/>
        <v>0</v>
      </c>
    </row>
    <row r="2" spans="1:2">
      <c r="A2">
        <v>20240416</v>
      </c>
      <c r="B2" t="s">
        <v>514</v>
      </c>
    </row>
    <row r="3" spans="3:3">
      <c r="C3" t="s">
        <v>515</v>
      </c>
    </row>
    <row r="4" spans="3:3">
      <c r="C4" t="s">
        <v>516</v>
      </c>
    </row>
    <row r="5" spans="2:2">
      <c r="B5" t="s">
        <v>517</v>
      </c>
    </row>
    <row r="6" spans="3:3">
      <c r="C6" t="s">
        <v>518</v>
      </c>
    </row>
    <row r="7" spans="4:4">
      <c r="D7" t="s">
        <v>519</v>
      </c>
    </row>
    <row r="8" spans="4:4">
      <c r="D8" t="s">
        <v>520</v>
      </c>
    </row>
    <row r="9" spans="4:4">
      <c r="D9" t="s">
        <v>521</v>
      </c>
    </row>
    <row r="10" spans="3:3">
      <c r="C10" t="s">
        <v>522</v>
      </c>
    </row>
    <row r="11" spans="4:4">
      <c r="D11" t="s">
        <v>523</v>
      </c>
    </row>
    <row r="12" spans="4:4">
      <c r="D12" t="s">
        <v>524</v>
      </c>
    </row>
    <row r="13" spans="5:5">
      <c r="E13" t="s">
        <v>525</v>
      </c>
    </row>
    <row r="14" spans="4:4">
      <c r="D14" t="s">
        <v>526</v>
      </c>
    </row>
  </sheetData>
  <pageMargins left="0.75" right="0.75" top="1" bottom="1" header="0.5" footer="0.5"/>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selection activeCell="B21" sqref="B21"/>
    </sheetView>
  </sheetViews>
  <sheetFormatPr defaultColWidth="8.88888888888889" defaultRowHeight="14.4" outlineLevelCol="7"/>
  <cols>
    <col min="1" max="1" width="9.66666666666667"/>
  </cols>
  <sheetData>
    <row r="1" s="1" customFormat="1" spans="1:8">
      <c r="A1" s="1">
        <f>SUM(B1:AZ1)</f>
        <v>7.16666666666667</v>
      </c>
      <c r="B1" s="1">
        <f t="shared" ref="B1:H1" si="0">COUNTA(B2:B2048)/COLUMN()</f>
        <v>2.5</v>
      </c>
      <c r="C1" s="1">
        <f t="shared" si="0"/>
        <v>2.66666666666667</v>
      </c>
      <c r="D1" s="1">
        <f t="shared" si="0"/>
        <v>2</v>
      </c>
      <c r="E1" s="1">
        <f t="shared" si="0"/>
        <v>0</v>
      </c>
      <c r="F1" s="1">
        <f t="shared" si="0"/>
        <v>0</v>
      </c>
      <c r="G1" s="1">
        <f t="shared" si="0"/>
        <v>0</v>
      </c>
      <c r="H1" s="1">
        <f t="shared" si="0"/>
        <v>0</v>
      </c>
    </row>
    <row r="2" spans="1:2">
      <c r="A2">
        <v>20240417</v>
      </c>
      <c r="B2" t="s">
        <v>527</v>
      </c>
    </row>
    <row r="3" spans="3:3">
      <c r="C3" t="s">
        <v>528</v>
      </c>
    </row>
    <row r="4" spans="4:4">
      <c r="D4" t="s">
        <v>529</v>
      </c>
    </row>
    <row r="5" spans="3:3">
      <c r="C5" t="s">
        <v>530</v>
      </c>
    </row>
    <row r="6" spans="4:4">
      <c r="D6" t="s">
        <v>531</v>
      </c>
    </row>
    <row r="7" spans="2:2">
      <c r="B7" t="s">
        <v>532</v>
      </c>
    </row>
    <row r="8" spans="3:3">
      <c r="C8" t="s">
        <v>533</v>
      </c>
    </row>
    <row r="9" spans="3:3">
      <c r="C9" t="s">
        <v>534</v>
      </c>
    </row>
    <row r="10" spans="3:3">
      <c r="C10" t="s">
        <v>535</v>
      </c>
    </row>
    <row r="11" spans="4:4">
      <c r="D11" t="s">
        <v>536</v>
      </c>
    </row>
    <row r="12" spans="4:4">
      <c r="D12" t="s">
        <v>537</v>
      </c>
    </row>
    <row r="13" spans="3:3">
      <c r="C13" t="s">
        <v>538</v>
      </c>
    </row>
    <row r="14" spans="3:3">
      <c r="C14" t="s">
        <v>539</v>
      </c>
    </row>
    <row r="15" spans="4:4">
      <c r="D15" t="s">
        <v>540</v>
      </c>
    </row>
    <row r="16" spans="4:4">
      <c r="D16" t="s">
        <v>541</v>
      </c>
    </row>
    <row r="17" spans="4:4">
      <c r="D17" t="s">
        <v>542</v>
      </c>
    </row>
    <row r="18" spans="4:4">
      <c r="D18" t="s">
        <v>543</v>
      </c>
    </row>
    <row r="19" spans="2:2">
      <c r="B19" t="s">
        <v>544</v>
      </c>
    </row>
    <row r="20" spans="2:2">
      <c r="B20" t="s">
        <v>545</v>
      </c>
    </row>
    <row r="21" spans="2:2">
      <c r="B21" t="s">
        <v>546</v>
      </c>
    </row>
    <row r="22" spans="3:3">
      <c r="C22" t="s">
        <v>547</v>
      </c>
    </row>
  </sheetData>
  <pageMargins left="0.75" right="0.75" top="1" bottom="1" header="0.5" footer="0.5"/>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3"/>
  <sheetViews>
    <sheetView workbookViewId="0">
      <selection activeCell="F11" sqref="F11"/>
    </sheetView>
  </sheetViews>
  <sheetFormatPr defaultColWidth="8.88888888888889" defaultRowHeight="14.4" outlineLevelCol="7"/>
  <cols>
    <col min="1" max="1" width="9.66666666666667"/>
  </cols>
  <sheetData>
    <row r="1" s="1" customFormat="1" spans="1:8">
      <c r="A1" s="1">
        <f>SUM(B1:AZ1)</f>
        <v>8</v>
      </c>
      <c r="B1" s="1">
        <f t="shared" ref="B1:H1" si="0">COUNTA(B2:B2049)/COLUMN()</f>
        <v>3</v>
      </c>
      <c r="C1" s="1">
        <f t="shared" si="0"/>
        <v>4</v>
      </c>
      <c r="D1" s="1">
        <f t="shared" si="0"/>
        <v>1</v>
      </c>
      <c r="E1" s="1">
        <f t="shared" si="0"/>
        <v>0</v>
      </c>
      <c r="F1" s="1">
        <f t="shared" si="0"/>
        <v>0</v>
      </c>
      <c r="G1" s="1">
        <f t="shared" si="0"/>
        <v>0</v>
      </c>
      <c r="H1" s="1">
        <f t="shared" si="0"/>
        <v>0</v>
      </c>
    </row>
    <row r="2" spans="1:2">
      <c r="A2">
        <v>20240418</v>
      </c>
      <c r="B2" t="s">
        <v>548</v>
      </c>
    </row>
    <row r="3" spans="3:3">
      <c r="C3" t="s">
        <v>549</v>
      </c>
    </row>
    <row r="4" spans="3:3">
      <c r="C4" t="s">
        <v>550</v>
      </c>
    </row>
    <row r="5" spans="3:3">
      <c r="C5" t="s">
        <v>551</v>
      </c>
    </row>
    <row r="6" spans="3:3">
      <c r="C6" t="s">
        <v>552</v>
      </c>
    </row>
    <row r="7" spans="2:2">
      <c r="B7" t="s">
        <v>553</v>
      </c>
    </row>
    <row r="8" spans="3:3">
      <c r="C8" t="s">
        <v>554</v>
      </c>
    </row>
    <row r="9" spans="3:3">
      <c r="C9" t="s">
        <v>555</v>
      </c>
    </row>
    <row r="10" spans="3:3">
      <c r="C10" t="s">
        <v>556</v>
      </c>
    </row>
    <row r="11" spans="4:4">
      <c r="D11" t="s">
        <v>557</v>
      </c>
    </row>
    <row r="12" spans="4:4">
      <c r="D12" t="s">
        <v>558</v>
      </c>
    </row>
    <row r="13" spans="2:2">
      <c r="B13" t="s">
        <v>559</v>
      </c>
    </row>
    <row r="14" spans="3:3">
      <c r="C14" t="s">
        <v>560</v>
      </c>
    </row>
    <row r="15" spans="4:4">
      <c r="D15" t="s">
        <v>561</v>
      </c>
    </row>
    <row r="16" spans="4:4">
      <c r="D16" t="s">
        <v>562</v>
      </c>
    </row>
    <row r="17" spans="3:3">
      <c r="C17" t="s">
        <v>563</v>
      </c>
    </row>
    <row r="18" spans="3:3">
      <c r="C18" t="s">
        <v>564</v>
      </c>
    </row>
    <row r="19" spans="3:3">
      <c r="C19" t="s">
        <v>565</v>
      </c>
    </row>
    <row r="20" spans="3:3">
      <c r="C20" t="s">
        <v>566</v>
      </c>
    </row>
    <row r="21" spans="2:2">
      <c r="B21" t="s">
        <v>567</v>
      </c>
    </row>
    <row r="22" spans="2:2">
      <c r="B22" t="s">
        <v>568</v>
      </c>
    </row>
    <row r="23" spans="2:2">
      <c r="B23" t="s">
        <v>569</v>
      </c>
    </row>
  </sheetData>
  <pageMargins left="0.75" right="0.75" top="1" bottom="1" header="0.5" footer="0.5"/>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topLeftCell="A8" workbookViewId="0">
      <selection activeCell="B25" sqref="B25"/>
    </sheetView>
  </sheetViews>
  <sheetFormatPr defaultColWidth="8.88888888888889" defaultRowHeight="14.4" outlineLevelCol="7"/>
  <cols>
    <col min="1" max="1" width="9.66666666666667"/>
  </cols>
  <sheetData>
    <row r="1" s="1" customFormat="1" spans="1:8">
      <c r="A1" s="1">
        <f>SUM(B1:AZ1)</f>
        <v>10.4166666666667</v>
      </c>
      <c r="B1" s="1">
        <f t="shared" ref="B1:H1" si="0">COUNTA(B2:B2049)/COLUMN()</f>
        <v>3</v>
      </c>
      <c r="C1" s="1">
        <f t="shared" si="0"/>
        <v>3.33333333333333</v>
      </c>
      <c r="D1" s="1">
        <f t="shared" si="0"/>
        <v>1.75</v>
      </c>
      <c r="E1" s="1">
        <f t="shared" si="0"/>
        <v>2</v>
      </c>
      <c r="F1" s="1">
        <f t="shared" si="0"/>
        <v>0.333333333333333</v>
      </c>
      <c r="G1" s="1">
        <f t="shared" si="0"/>
        <v>0</v>
      </c>
      <c r="H1" s="1">
        <f t="shared" si="0"/>
        <v>0</v>
      </c>
    </row>
    <row r="2" spans="1:2">
      <c r="A2">
        <v>20240420</v>
      </c>
      <c r="B2" t="s">
        <v>570</v>
      </c>
    </row>
    <row r="3" spans="3:3">
      <c r="C3" t="s">
        <v>571</v>
      </c>
    </row>
    <row r="4" spans="3:3">
      <c r="C4" t="s">
        <v>572</v>
      </c>
    </row>
    <row r="5" spans="2:2">
      <c r="B5" t="s">
        <v>573</v>
      </c>
    </row>
    <row r="6" spans="3:3">
      <c r="C6" t="s">
        <v>574</v>
      </c>
    </row>
    <row r="7" spans="2:2">
      <c r="B7" t="s">
        <v>575</v>
      </c>
    </row>
    <row r="8" spans="2:2">
      <c r="B8" t="s">
        <v>576</v>
      </c>
    </row>
    <row r="9" spans="3:3">
      <c r="C9" t="s">
        <v>577</v>
      </c>
    </row>
    <row r="10" spans="4:4">
      <c r="D10" t="s">
        <v>578</v>
      </c>
    </row>
    <row r="11" spans="3:3">
      <c r="C11" t="s">
        <v>579</v>
      </c>
    </row>
    <row r="12" spans="3:3">
      <c r="C12" t="s">
        <v>580</v>
      </c>
    </row>
    <row r="13" spans="4:4">
      <c r="D13" t="s">
        <v>581</v>
      </c>
    </row>
    <row r="14" spans="4:4">
      <c r="D14" t="s">
        <v>582</v>
      </c>
    </row>
    <row r="15" spans="2:2">
      <c r="B15" t="s">
        <v>583</v>
      </c>
    </row>
    <row r="16" spans="3:3">
      <c r="C16" t="s">
        <v>584</v>
      </c>
    </row>
    <row r="17" spans="4:4">
      <c r="D17" t="s">
        <v>585</v>
      </c>
    </row>
    <row r="18" spans="5:5">
      <c r="E18" t="s">
        <v>586</v>
      </c>
    </row>
    <row r="19" spans="5:5">
      <c r="E19" t="s">
        <v>587</v>
      </c>
    </row>
    <row r="20" spans="4:4">
      <c r="D20" t="s">
        <v>588</v>
      </c>
    </row>
    <row r="21" spans="5:5">
      <c r="E21" t="s">
        <v>589</v>
      </c>
    </row>
    <row r="22" spans="5:5">
      <c r="E22" t="s">
        <v>590</v>
      </c>
    </row>
    <row r="23" spans="5:5">
      <c r="E23" t="s">
        <v>591</v>
      </c>
    </row>
    <row r="24" spans="5:5">
      <c r="E24" t="s">
        <v>592</v>
      </c>
    </row>
    <row r="25" spans="2:2">
      <c r="B25" t="s">
        <v>593</v>
      </c>
    </row>
    <row r="26" spans="3:3">
      <c r="C26" t="s">
        <v>594</v>
      </c>
    </row>
    <row r="27" spans="3:3">
      <c r="C27" t="s">
        <v>595</v>
      </c>
    </row>
    <row r="28" spans="3:3">
      <c r="C28" t="s">
        <v>596</v>
      </c>
    </row>
    <row r="29" spans="4:4">
      <c r="D29" t="s">
        <v>597</v>
      </c>
    </row>
    <row r="30" spans="5:5">
      <c r="E30" t="s">
        <v>598</v>
      </c>
    </row>
    <row r="31" spans="6:6">
      <c r="F31" t="s">
        <v>599</v>
      </c>
    </row>
    <row r="32" spans="5:5">
      <c r="E32" t="s">
        <v>600</v>
      </c>
    </row>
    <row r="33" spans="4:4">
      <c r="D33" t="s">
        <v>601</v>
      </c>
    </row>
    <row r="34" spans="5:5">
      <c r="E34" t="s">
        <v>602</v>
      </c>
    </row>
    <row r="35" spans="5:5">
      <c r="E35" t="s">
        <v>603</v>
      </c>
    </row>
    <row r="36" spans="6:6">
      <c r="F36" t="s">
        <v>604</v>
      </c>
    </row>
  </sheetData>
  <pageMargins left="0.75" right="0.75" top="1" bottom="1" header="0.5" footer="0.5"/>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0"/>
  <sheetViews>
    <sheetView topLeftCell="A13" workbookViewId="0">
      <selection activeCell="C37" sqref="C37"/>
    </sheetView>
  </sheetViews>
  <sheetFormatPr defaultColWidth="8.88888888888889" defaultRowHeight="14.4" outlineLevelCol="7"/>
  <cols>
    <col min="1" max="1" width="9.66666666666667"/>
  </cols>
  <sheetData>
    <row r="1" s="1" customFormat="1" spans="1:8">
      <c r="A1" s="1">
        <f>SUM(B1:AZ1)</f>
        <v>15</v>
      </c>
      <c r="B1" s="1">
        <f t="shared" ref="B1:H1" si="0">COUNTA(B2:B2052)/COLUMN()</f>
        <v>3</v>
      </c>
      <c r="C1" s="1">
        <f t="shared" si="0"/>
        <v>6</v>
      </c>
      <c r="D1" s="1">
        <f t="shared" si="0"/>
        <v>5</v>
      </c>
      <c r="E1" s="1">
        <f t="shared" si="0"/>
        <v>1</v>
      </c>
      <c r="F1" s="1">
        <f t="shared" si="0"/>
        <v>0</v>
      </c>
      <c r="G1" s="1">
        <f t="shared" si="0"/>
        <v>0</v>
      </c>
      <c r="H1" s="1">
        <f t="shared" si="0"/>
        <v>0</v>
      </c>
    </row>
    <row r="2" spans="1:2">
      <c r="A2">
        <v>20240421</v>
      </c>
      <c r="B2" t="s">
        <v>605</v>
      </c>
    </row>
    <row r="3" spans="3:3">
      <c r="C3" t="s">
        <v>606</v>
      </c>
    </row>
    <row r="4" spans="3:3">
      <c r="C4" t="s">
        <v>607</v>
      </c>
    </row>
    <row r="5" spans="3:3">
      <c r="C5" t="s">
        <v>608</v>
      </c>
    </row>
    <row r="6" spans="3:3">
      <c r="C6" t="s">
        <v>609</v>
      </c>
    </row>
    <row r="7" spans="2:2">
      <c r="B7" t="s">
        <v>610</v>
      </c>
    </row>
    <row r="8" spans="3:3">
      <c r="C8" t="s">
        <v>611</v>
      </c>
    </row>
    <row r="9" spans="3:3">
      <c r="C9" t="s">
        <v>612</v>
      </c>
    </row>
    <row r="10" spans="3:3">
      <c r="C10" t="s">
        <v>613</v>
      </c>
    </row>
    <row r="11" spans="2:2">
      <c r="B11" t="s">
        <v>614</v>
      </c>
    </row>
    <row r="12" spans="3:3">
      <c r="C12" t="s">
        <v>615</v>
      </c>
    </row>
    <row r="13" spans="3:3">
      <c r="C13" t="s">
        <v>616</v>
      </c>
    </row>
    <row r="14" spans="3:3">
      <c r="C14" t="s">
        <v>617</v>
      </c>
    </row>
    <row r="15" spans="4:4">
      <c r="D15" t="s">
        <v>618</v>
      </c>
    </row>
    <row r="16" spans="4:4">
      <c r="D16" t="s">
        <v>619</v>
      </c>
    </row>
    <row r="17" spans="4:4">
      <c r="D17" t="s">
        <v>620</v>
      </c>
    </row>
    <row r="18" spans="5:5">
      <c r="E18" t="s">
        <v>621</v>
      </c>
    </row>
    <row r="19" spans="4:4">
      <c r="D19" t="s">
        <v>622</v>
      </c>
    </row>
    <row r="20" spans="3:3">
      <c r="C20" t="s">
        <v>623</v>
      </c>
    </row>
    <row r="21" spans="4:4">
      <c r="D21" t="s">
        <v>624</v>
      </c>
    </row>
    <row r="22" spans="4:4">
      <c r="D22" t="s">
        <v>625</v>
      </c>
    </row>
    <row r="23" spans="4:4">
      <c r="D23" t="s">
        <v>626</v>
      </c>
    </row>
    <row r="24" spans="5:5">
      <c r="E24" t="s">
        <v>627</v>
      </c>
    </row>
    <row r="25" spans="3:3">
      <c r="C25" t="s">
        <v>628</v>
      </c>
    </row>
    <row r="26" spans="4:4">
      <c r="D26" t="s">
        <v>624</v>
      </c>
    </row>
    <row r="27" spans="4:4">
      <c r="D27" t="s">
        <v>625</v>
      </c>
    </row>
    <row r="28" spans="4:4">
      <c r="D28" t="s">
        <v>629</v>
      </c>
    </row>
    <row r="29" spans="5:5">
      <c r="E29" t="s">
        <v>630</v>
      </c>
    </row>
    <row r="30" spans="3:3">
      <c r="C30" t="s">
        <v>631</v>
      </c>
    </row>
    <row r="31" spans="4:4">
      <c r="D31" t="s">
        <v>632</v>
      </c>
    </row>
    <row r="32" spans="2:2">
      <c r="B32" t="s">
        <v>633</v>
      </c>
    </row>
    <row r="33" spans="2:2">
      <c r="B33" t="s">
        <v>634</v>
      </c>
    </row>
    <row r="34" spans="3:3">
      <c r="C34" t="s">
        <v>635</v>
      </c>
    </row>
    <row r="35" spans="3:3">
      <c r="C35" t="s">
        <v>636</v>
      </c>
    </row>
    <row r="36" spans="2:2">
      <c r="B36" t="s">
        <v>637</v>
      </c>
    </row>
    <row r="37" spans="3:3">
      <c r="C37" t="s">
        <v>638</v>
      </c>
    </row>
    <row r="38" spans="3:3">
      <c r="C38" t="s">
        <v>639</v>
      </c>
    </row>
    <row r="39" spans="4:4">
      <c r="D39" t="s">
        <v>640</v>
      </c>
    </row>
    <row r="40" spans="4:4">
      <c r="D40" t="s">
        <v>641</v>
      </c>
    </row>
    <row r="41" spans="3:3">
      <c r="C41" t="s">
        <v>642</v>
      </c>
    </row>
    <row r="42" spans="4:4">
      <c r="D42" t="s">
        <v>643</v>
      </c>
    </row>
    <row r="43" spans="4:4">
      <c r="D43" t="s">
        <v>644</v>
      </c>
    </row>
    <row r="44" spans="4:4">
      <c r="D44" t="s">
        <v>645</v>
      </c>
    </row>
    <row r="45" spans="4:4">
      <c r="D45" t="s">
        <v>646</v>
      </c>
    </row>
    <row r="46" spans="5:5">
      <c r="E46" t="s">
        <v>647</v>
      </c>
    </row>
    <row r="47" spans="5:5">
      <c r="E47" t="s">
        <v>648</v>
      </c>
    </row>
    <row r="48" spans="4:4">
      <c r="D48" t="s">
        <v>649</v>
      </c>
    </row>
    <row r="49" spans="4:4">
      <c r="D49" t="s">
        <v>650</v>
      </c>
    </row>
    <row r="50" spans="4:4">
      <c r="D50" t="s">
        <v>651</v>
      </c>
    </row>
  </sheetData>
  <pageMargins left="0.75" right="0.75" top="1" bottom="1" header="0.5" footer="0.5"/>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9"/>
  <sheetViews>
    <sheetView zoomScale="145" zoomScaleNormal="145" topLeftCell="A19" workbookViewId="0">
      <selection activeCell="B29" sqref="B29"/>
    </sheetView>
  </sheetViews>
  <sheetFormatPr defaultColWidth="8.88888888888889" defaultRowHeight="14.4" outlineLevelCol="7"/>
  <cols>
    <col min="1" max="1" width="9.66666666666667"/>
  </cols>
  <sheetData>
    <row r="1" s="1" customFormat="1" spans="1:8">
      <c r="A1" s="1">
        <f>SUM(B1:AZ1)</f>
        <v>12.0333333333333</v>
      </c>
      <c r="B1" s="1">
        <f t="shared" ref="B1:H1" si="0">COUNTA(B2:B2052)/COLUMN()</f>
        <v>3</v>
      </c>
      <c r="C1" s="1">
        <f t="shared" si="0"/>
        <v>5.33333333333333</v>
      </c>
      <c r="D1" s="1">
        <f t="shared" si="0"/>
        <v>2.5</v>
      </c>
      <c r="E1" s="1">
        <f t="shared" si="0"/>
        <v>1.2</v>
      </c>
      <c r="F1" s="1">
        <f t="shared" si="0"/>
        <v>0</v>
      </c>
      <c r="G1" s="1">
        <f t="shared" si="0"/>
        <v>0</v>
      </c>
      <c r="H1" s="1">
        <f t="shared" si="0"/>
        <v>0</v>
      </c>
    </row>
    <row r="2" spans="1:2">
      <c r="A2">
        <v>20240422</v>
      </c>
      <c r="B2" t="s">
        <v>652</v>
      </c>
    </row>
    <row r="3" spans="3:3">
      <c r="C3" t="s">
        <v>653</v>
      </c>
    </row>
    <row r="4" spans="3:3">
      <c r="C4" t="s">
        <v>654</v>
      </c>
    </row>
    <row r="5" spans="3:3">
      <c r="C5" t="s">
        <v>655</v>
      </c>
    </row>
    <row r="6" spans="3:3">
      <c r="C6" t="s">
        <v>656</v>
      </c>
    </row>
    <row r="7" spans="4:4">
      <c r="D7" t="s">
        <v>657</v>
      </c>
    </row>
    <row r="8" spans="5:5">
      <c r="E8" t="s">
        <v>658</v>
      </c>
    </row>
    <row r="9" spans="5:5">
      <c r="E9" t="s">
        <v>659</v>
      </c>
    </row>
    <row r="10" spans="5:5">
      <c r="E10" t="s">
        <v>660</v>
      </c>
    </row>
    <row r="11" spans="4:4">
      <c r="D11" t="s">
        <v>661</v>
      </c>
    </row>
    <row r="12" spans="5:5">
      <c r="E12" t="s">
        <v>662</v>
      </c>
    </row>
    <row r="13" spans="5:5">
      <c r="E13" t="s">
        <v>663</v>
      </c>
    </row>
    <row r="14" spans="5:5">
      <c r="E14" t="s">
        <v>664</v>
      </c>
    </row>
    <row r="15" spans="3:3">
      <c r="C15" t="s">
        <v>665</v>
      </c>
    </row>
    <row r="16" spans="4:4">
      <c r="D16" t="s">
        <v>666</v>
      </c>
    </row>
    <row r="17" spans="4:4">
      <c r="D17" t="s">
        <v>667</v>
      </c>
    </row>
    <row r="18" spans="4:4">
      <c r="D18" t="s">
        <v>668</v>
      </c>
    </row>
    <row r="19" spans="2:2">
      <c r="B19" t="s">
        <v>669</v>
      </c>
    </row>
    <row r="20" spans="3:3">
      <c r="C20" t="s">
        <v>670</v>
      </c>
    </row>
    <row r="21" spans="3:3">
      <c r="C21" t="s">
        <v>671</v>
      </c>
    </row>
    <row r="22" spans="3:3">
      <c r="C22" t="s">
        <v>672</v>
      </c>
    </row>
    <row r="23" spans="2:2">
      <c r="B23" t="s">
        <v>673</v>
      </c>
    </row>
    <row r="24" spans="3:3">
      <c r="C24" t="s">
        <v>674</v>
      </c>
    </row>
    <row r="25" spans="4:4">
      <c r="D25" t="s">
        <v>675</v>
      </c>
    </row>
    <row r="26" spans="4:4">
      <c r="D26" t="s">
        <v>676</v>
      </c>
    </row>
    <row r="27" spans="3:3">
      <c r="C27" t="s">
        <v>677</v>
      </c>
    </row>
    <row r="28" spans="2:2">
      <c r="B28" t="s">
        <v>678</v>
      </c>
    </row>
    <row r="29" spans="2:2">
      <c r="B29" t="s">
        <v>679</v>
      </c>
    </row>
    <row r="30" spans="3:3">
      <c r="C30" t="s">
        <v>680</v>
      </c>
    </row>
    <row r="31" spans="3:3">
      <c r="C31" t="s">
        <v>681</v>
      </c>
    </row>
    <row r="32" spans="4:4">
      <c r="D32" t="s">
        <v>682</v>
      </c>
    </row>
    <row r="33" spans="4:4">
      <c r="D33" t="s">
        <v>683</v>
      </c>
    </row>
    <row r="34" spans="4:4">
      <c r="D34" t="s">
        <v>684</v>
      </c>
    </row>
    <row r="35" spans="3:3">
      <c r="C35" t="s">
        <v>685</v>
      </c>
    </row>
    <row r="36" spans="2:2">
      <c r="B36" t="s">
        <v>686</v>
      </c>
    </row>
    <row r="37" spans="3:3">
      <c r="C37" t="s">
        <v>687</v>
      </c>
    </row>
    <row r="38" spans="3:3">
      <c r="C38" t="s">
        <v>688</v>
      </c>
    </row>
    <row r="39" spans="3:3">
      <c r="C39" t="s">
        <v>689</v>
      </c>
    </row>
  </sheetData>
  <pageMargins left="0.75" right="0.75" top="1" bottom="1" header="0.5" footer="0.5"/>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workbookViewId="0">
      <selection activeCell="C18" sqref="C18"/>
    </sheetView>
  </sheetViews>
  <sheetFormatPr defaultColWidth="8.88888888888889" defaultRowHeight="14.4" outlineLevelCol="7"/>
  <cols>
    <col min="1" max="1" width="9.66666666666667"/>
  </cols>
  <sheetData>
    <row r="1" s="1" customFormat="1" spans="1:8">
      <c r="A1" s="1">
        <f>SUM(B1:AZ1)</f>
        <v>7.45952380952381</v>
      </c>
      <c r="B1" s="1">
        <f t="shared" ref="B1:H1" si="0">COUNTA(B2:B2053)/COLUMN()</f>
        <v>1.5</v>
      </c>
      <c r="C1" s="1">
        <f t="shared" si="0"/>
        <v>2</v>
      </c>
      <c r="D1" s="1">
        <f t="shared" si="0"/>
        <v>1.75</v>
      </c>
      <c r="E1" s="1">
        <f t="shared" si="0"/>
        <v>1.4</v>
      </c>
      <c r="F1" s="1">
        <f t="shared" si="0"/>
        <v>0.666666666666667</v>
      </c>
      <c r="G1" s="1">
        <f t="shared" si="0"/>
        <v>0.142857142857143</v>
      </c>
      <c r="H1" s="1">
        <f t="shared" si="0"/>
        <v>0</v>
      </c>
    </row>
    <row r="2" spans="1:2">
      <c r="A2">
        <v>20240423</v>
      </c>
      <c r="B2" t="s">
        <v>690</v>
      </c>
    </row>
    <row r="3" spans="3:3">
      <c r="C3" t="s">
        <v>691</v>
      </c>
    </row>
    <row r="4" spans="4:4">
      <c r="D4" t="s">
        <v>692</v>
      </c>
    </row>
    <row r="5" spans="3:3">
      <c r="C5" t="s">
        <v>693</v>
      </c>
    </row>
    <row r="6" spans="4:4">
      <c r="D6" t="s">
        <v>694</v>
      </c>
    </row>
    <row r="7" spans="2:2">
      <c r="B7" t="s">
        <v>695</v>
      </c>
    </row>
    <row r="8" spans="3:3">
      <c r="C8" t="s">
        <v>696</v>
      </c>
    </row>
    <row r="9" spans="3:3">
      <c r="C9" t="s">
        <v>697</v>
      </c>
    </row>
    <row r="10" spans="4:4">
      <c r="D10" t="s">
        <v>698</v>
      </c>
    </row>
    <row r="11" spans="4:4">
      <c r="D11" t="s">
        <v>699</v>
      </c>
    </row>
    <row r="12" spans="5:5">
      <c r="E12" t="s">
        <v>700</v>
      </c>
    </row>
    <row r="13" spans="5:5">
      <c r="E13" t="s">
        <v>701</v>
      </c>
    </row>
    <row r="14" spans="6:6">
      <c r="F14" t="s">
        <v>702</v>
      </c>
    </row>
    <row r="15" spans="6:6">
      <c r="F15" t="s">
        <v>703</v>
      </c>
    </row>
    <row r="16" spans="7:7">
      <c r="G16" t="s">
        <v>704</v>
      </c>
    </row>
    <row r="17" spans="2:2">
      <c r="B17" t="s">
        <v>705</v>
      </c>
    </row>
    <row r="18" spans="3:3">
      <c r="C18" t="s">
        <v>706</v>
      </c>
    </row>
    <row r="19" spans="3:3">
      <c r="C19" t="s">
        <v>707</v>
      </c>
    </row>
    <row r="20" spans="4:4">
      <c r="D20" t="s">
        <v>708</v>
      </c>
    </row>
    <row r="21" spans="4:4">
      <c r="D21" t="s">
        <v>709</v>
      </c>
    </row>
    <row r="22" spans="5:5">
      <c r="E22" t="s">
        <v>710</v>
      </c>
    </row>
    <row r="23" spans="5:5">
      <c r="E23" t="s">
        <v>711</v>
      </c>
    </row>
    <row r="24" spans="5:5">
      <c r="E24" t="s">
        <v>712</v>
      </c>
    </row>
    <row r="25" spans="4:4">
      <c r="D25" t="s">
        <v>713</v>
      </c>
    </row>
    <row r="26" spans="5:5">
      <c r="E26" t="s">
        <v>714</v>
      </c>
    </row>
    <row r="27" spans="6:6">
      <c r="F27" t="s">
        <v>715</v>
      </c>
    </row>
    <row r="28" spans="5:5">
      <c r="E28" t="s">
        <v>716</v>
      </c>
    </row>
    <row r="29" spans="6:6">
      <c r="F29" t="s">
        <v>717</v>
      </c>
    </row>
  </sheetData>
  <pageMargins left="0.75" right="0.75" top="1" bottom="1" header="0.5" footer="0.5"/>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workbookViewId="0">
      <selection activeCell="C25" sqref="C25"/>
    </sheetView>
  </sheetViews>
  <sheetFormatPr defaultColWidth="8.88888888888889" defaultRowHeight="14.4" outlineLevelCol="7"/>
  <cols>
    <col min="1" max="1" width="9.66666666666667"/>
  </cols>
  <sheetData>
    <row r="1" s="1" customFormat="1" spans="1:8">
      <c r="A1" s="1">
        <f>SUM(B1:AZ1)</f>
        <v>7.05</v>
      </c>
      <c r="B1" s="1">
        <f t="shared" ref="B1:H1" si="0">COUNTA(B2:B2053)/COLUMN()</f>
        <v>1.5</v>
      </c>
      <c r="C1" s="1">
        <f t="shared" si="0"/>
        <v>2</v>
      </c>
      <c r="D1" s="1">
        <f t="shared" si="0"/>
        <v>2.75</v>
      </c>
      <c r="E1" s="1">
        <f t="shared" si="0"/>
        <v>0.8</v>
      </c>
      <c r="F1" s="1">
        <f t="shared" si="0"/>
        <v>0</v>
      </c>
      <c r="G1" s="1">
        <f t="shared" si="0"/>
        <v>0</v>
      </c>
      <c r="H1" s="1">
        <f t="shared" si="0"/>
        <v>0</v>
      </c>
    </row>
    <row r="2" spans="1:2">
      <c r="A2">
        <v>20240424</v>
      </c>
      <c r="B2" t="s">
        <v>718</v>
      </c>
    </row>
    <row r="3" spans="2:2">
      <c r="B3" t="s">
        <v>719</v>
      </c>
    </row>
    <row r="4" spans="3:3">
      <c r="C4" t="s">
        <v>720</v>
      </c>
    </row>
    <row r="5" spans="3:3">
      <c r="C5" t="s">
        <v>721</v>
      </c>
    </row>
    <row r="6" spans="2:2">
      <c r="B6" t="s">
        <v>722</v>
      </c>
    </row>
    <row r="7" spans="3:3">
      <c r="C7" t="s">
        <v>723</v>
      </c>
    </row>
    <row r="8" spans="4:4">
      <c r="D8" t="s">
        <v>724</v>
      </c>
    </row>
    <row r="9" spans="4:4">
      <c r="D9" t="s">
        <v>725</v>
      </c>
    </row>
    <row r="10" spans="4:4">
      <c r="D10" t="s">
        <v>726</v>
      </c>
    </row>
    <row r="11" spans="4:4">
      <c r="D11" t="s">
        <v>727</v>
      </c>
    </row>
    <row r="12" spans="4:4">
      <c r="D12" t="s">
        <v>728</v>
      </c>
    </row>
    <row r="13" spans="3:3">
      <c r="C13" t="s">
        <v>729</v>
      </c>
    </row>
    <row r="14" spans="4:4">
      <c r="D14" t="s">
        <v>730</v>
      </c>
    </row>
    <row r="15" spans="4:4">
      <c r="D15" t="s">
        <v>731</v>
      </c>
    </row>
    <row r="16" spans="4:4">
      <c r="D16" t="s">
        <v>732</v>
      </c>
    </row>
    <row r="17" spans="4:4">
      <c r="D17" t="s">
        <v>733</v>
      </c>
    </row>
    <row r="18" spans="3:3">
      <c r="C18" t="s">
        <v>734</v>
      </c>
    </row>
    <row r="19" spans="4:4">
      <c r="D19" t="s">
        <v>735</v>
      </c>
    </row>
    <row r="20" spans="4:4">
      <c r="D20" t="s">
        <v>736</v>
      </c>
    </row>
    <row r="21" spans="5:5">
      <c r="E21" t="s">
        <v>737</v>
      </c>
    </row>
    <row r="22" spans="5:5">
      <c r="E22" t="s">
        <v>738</v>
      </c>
    </row>
    <row r="23" spans="5:5">
      <c r="E23" t="s">
        <v>739</v>
      </c>
    </row>
    <row r="24" spans="5:5">
      <c r="E24" t="s">
        <v>740</v>
      </c>
    </row>
    <row r="25" spans="3:3">
      <c r="C25" t="s">
        <v>741</v>
      </c>
    </row>
  </sheetData>
  <pageMargins left="0.75" right="0.75" top="1" bottom="1" header="0.5" footer="0.5"/>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8"/>
  <sheetViews>
    <sheetView topLeftCell="A18" workbookViewId="0">
      <selection activeCell="E41" sqref="E41"/>
    </sheetView>
  </sheetViews>
  <sheetFormatPr defaultColWidth="8.88888888888889" defaultRowHeight="14.4" outlineLevelCol="7"/>
  <cols>
    <col min="1" max="1" width="9.66666666666667"/>
  </cols>
  <sheetData>
    <row r="1" s="1" customFormat="1" spans="1:8">
      <c r="A1" s="1">
        <f>SUM(B1:AZ1)</f>
        <v>23.5</v>
      </c>
      <c r="B1" s="1">
        <f t="shared" ref="B1:H1" si="0">COUNTA(B2:B2052)/COLUMN()</f>
        <v>4.5</v>
      </c>
      <c r="C1" s="1">
        <f t="shared" si="0"/>
        <v>10.3333333333333</v>
      </c>
      <c r="D1" s="1">
        <f t="shared" si="0"/>
        <v>7</v>
      </c>
      <c r="E1" s="1">
        <f t="shared" si="0"/>
        <v>1</v>
      </c>
      <c r="F1" s="1">
        <f t="shared" si="0"/>
        <v>0.666666666666667</v>
      </c>
      <c r="G1" s="1">
        <f t="shared" si="0"/>
        <v>0</v>
      </c>
      <c r="H1" s="1">
        <f t="shared" si="0"/>
        <v>0</v>
      </c>
    </row>
    <row r="2" spans="1:2">
      <c r="A2">
        <v>20240425</v>
      </c>
      <c r="B2" t="s">
        <v>742</v>
      </c>
    </row>
    <row r="3" spans="3:3">
      <c r="C3" t="s">
        <v>743</v>
      </c>
    </row>
    <row r="4" spans="3:3">
      <c r="C4" t="s">
        <v>744</v>
      </c>
    </row>
    <row r="5" spans="3:3">
      <c r="C5" t="s">
        <v>745</v>
      </c>
    </row>
    <row r="6" spans="3:3">
      <c r="C6" t="s">
        <v>746</v>
      </c>
    </row>
    <row r="7" spans="3:3">
      <c r="C7" t="s">
        <v>747</v>
      </c>
    </row>
    <row r="8" spans="3:3">
      <c r="C8" t="s">
        <v>748</v>
      </c>
    </row>
    <row r="9" spans="2:2">
      <c r="B9" t="s">
        <v>749</v>
      </c>
    </row>
    <row r="10" spans="3:3">
      <c r="C10" t="s">
        <v>750</v>
      </c>
    </row>
    <row r="11" spans="3:3">
      <c r="C11" t="s">
        <v>751</v>
      </c>
    </row>
    <row r="12" spans="3:3">
      <c r="C12" t="s">
        <v>752</v>
      </c>
    </row>
    <row r="13" spans="4:4">
      <c r="D13" t="s">
        <v>753</v>
      </c>
    </row>
    <row r="14" spans="4:4">
      <c r="D14" t="s">
        <v>754</v>
      </c>
    </row>
    <row r="15" spans="4:4">
      <c r="D15" t="s">
        <v>755</v>
      </c>
    </row>
    <row r="16" spans="4:4">
      <c r="D16" t="s">
        <v>756</v>
      </c>
    </row>
    <row r="17" spans="2:2">
      <c r="B17" t="s">
        <v>757</v>
      </c>
    </row>
    <row r="18" spans="3:3">
      <c r="C18" t="s">
        <v>758</v>
      </c>
    </row>
    <row r="19" spans="4:4">
      <c r="D19" t="s">
        <v>759</v>
      </c>
    </row>
    <row r="20" spans="4:4">
      <c r="D20" t="s">
        <v>760</v>
      </c>
    </row>
    <row r="21" spans="4:4">
      <c r="D21" t="s">
        <v>761</v>
      </c>
    </row>
    <row r="22" spans="3:3">
      <c r="C22" t="s">
        <v>762</v>
      </c>
    </row>
    <row r="23" spans="4:4">
      <c r="D23" t="s">
        <v>763</v>
      </c>
    </row>
    <row r="24" spans="4:4">
      <c r="D24" t="s">
        <v>764</v>
      </c>
    </row>
    <row r="25" spans="4:4">
      <c r="D25" t="s">
        <v>765</v>
      </c>
    </row>
    <row r="26" spans="2:2">
      <c r="B26" t="s">
        <v>766</v>
      </c>
    </row>
    <row r="27" spans="3:3">
      <c r="C27" t="s">
        <v>767</v>
      </c>
    </row>
    <row r="28" spans="4:4">
      <c r="D28" t="s">
        <v>768</v>
      </c>
    </row>
    <row r="29" spans="4:4">
      <c r="D29" t="s">
        <v>769</v>
      </c>
    </row>
    <row r="30" spans="4:4">
      <c r="D30" t="s">
        <v>770</v>
      </c>
    </row>
    <row r="31" spans="5:5">
      <c r="E31" t="s">
        <v>771</v>
      </c>
    </row>
    <row r="32" spans="3:3">
      <c r="C32" t="s">
        <v>772</v>
      </c>
    </row>
    <row r="33" spans="4:4">
      <c r="D33" t="s">
        <v>773</v>
      </c>
    </row>
    <row r="34" spans="4:4">
      <c r="D34" t="s">
        <v>774</v>
      </c>
    </row>
    <row r="35" spans="4:4">
      <c r="D35" t="s">
        <v>775</v>
      </c>
    </row>
    <row r="36" spans="2:2">
      <c r="B36" t="s">
        <v>776</v>
      </c>
    </row>
    <row r="37" spans="3:3">
      <c r="C37" t="s">
        <v>777</v>
      </c>
    </row>
    <row r="38" spans="4:4">
      <c r="D38" t="s">
        <v>778</v>
      </c>
    </row>
    <row r="39" spans="4:4">
      <c r="D39" t="s">
        <v>769</v>
      </c>
    </row>
    <row r="40" spans="4:4">
      <c r="D40" t="s">
        <v>779</v>
      </c>
    </row>
    <row r="41" spans="5:5">
      <c r="E41" t="s">
        <v>780</v>
      </c>
    </row>
    <row r="42" spans="5:5">
      <c r="E42" t="s">
        <v>781</v>
      </c>
    </row>
    <row r="43" spans="5:5">
      <c r="E43" t="s">
        <v>782</v>
      </c>
    </row>
    <row r="44" spans="6:6">
      <c r="F44" t="s">
        <v>783</v>
      </c>
    </row>
    <row r="45" spans="6:6">
      <c r="F45" t="s">
        <v>784</v>
      </c>
    </row>
    <row r="46" spans="6:6">
      <c r="F46" t="s">
        <v>785</v>
      </c>
    </row>
    <row r="47" spans="6:6">
      <c r="F47" t="s">
        <v>786</v>
      </c>
    </row>
    <row r="48" spans="5:5">
      <c r="E48" t="s">
        <v>787</v>
      </c>
    </row>
    <row r="49" spans="2:2">
      <c r="B49" t="s">
        <v>788</v>
      </c>
    </row>
    <row r="50" spans="3:3">
      <c r="C50" t="s">
        <v>789</v>
      </c>
    </row>
    <row r="51" spans="3:3">
      <c r="C51" t="s">
        <v>790</v>
      </c>
    </row>
    <row r="52" spans="4:4">
      <c r="D52" t="s">
        <v>791</v>
      </c>
    </row>
    <row r="53" spans="4:4">
      <c r="D53" t="s">
        <v>792</v>
      </c>
    </row>
    <row r="54" spans="4:4">
      <c r="D54" t="s">
        <v>793</v>
      </c>
    </row>
    <row r="55" spans="3:3">
      <c r="C55" t="s">
        <v>794</v>
      </c>
    </row>
    <row r="56" spans="3:3">
      <c r="C56" t="s">
        <v>795</v>
      </c>
    </row>
    <row r="57" spans="4:4">
      <c r="D57" t="s">
        <v>796</v>
      </c>
    </row>
    <row r="58" spans="4:4">
      <c r="D58" t="s">
        <v>797</v>
      </c>
    </row>
    <row r="59" spans="4:4">
      <c r="D59" t="s">
        <v>798</v>
      </c>
    </row>
    <row r="60" spans="4:4">
      <c r="D60" t="s">
        <v>799</v>
      </c>
    </row>
    <row r="61" spans="2:2">
      <c r="B61" t="s">
        <v>800</v>
      </c>
    </row>
    <row r="62" spans="3:3">
      <c r="C62" t="s">
        <v>801</v>
      </c>
    </row>
    <row r="63" spans="3:3">
      <c r="C63" t="s">
        <v>802</v>
      </c>
    </row>
    <row r="64" spans="3:3">
      <c r="C64" t="s">
        <v>803</v>
      </c>
    </row>
    <row r="65" spans="3:3">
      <c r="C65" t="s">
        <v>804</v>
      </c>
    </row>
    <row r="66" spans="3:3">
      <c r="C66" t="s">
        <v>805</v>
      </c>
    </row>
    <row r="67" spans="3:3">
      <c r="C67" t="s">
        <v>806</v>
      </c>
    </row>
    <row r="68" spans="3:3">
      <c r="C68" t="s">
        <v>807</v>
      </c>
    </row>
    <row r="69" spans="2:2">
      <c r="B69" t="s">
        <v>808</v>
      </c>
    </row>
    <row r="70" spans="3:3">
      <c r="C70" t="s">
        <v>809</v>
      </c>
    </row>
    <row r="71" spans="3:3">
      <c r="C71" t="s">
        <v>810</v>
      </c>
    </row>
    <row r="72" spans="3:3">
      <c r="C72" t="s">
        <v>811</v>
      </c>
    </row>
    <row r="73" spans="4:4">
      <c r="D73" t="s">
        <v>812</v>
      </c>
    </row>
    <row r="74" spans="4:4">
      <c r="D74" t="s">
        <v>813</v>
      </c>
    </row>
    <row r="75" spans="2:2">
      <c r="B75" s="4" t="s">
        <v>814</v>
      </c>
    </row>
    <row r="76" spans="3:3">
      <c r="C76" t="s">
        <v>815</v>
      </c>
    </row>
    <row r="77" spans="3:3">
      <c r="C77" t="s">
        <v>816</v>
      </c>
    </row>
    <row r="78" spans="3:3">
      <c r="C78" t="s">
        <v>817</v>
      </c>
    </row>
  </sheetData>
  <pageMargins left="0.75" right="0.75" top="1" bottom="1" header="0.5" footer="0.5"/>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7"/>
  <sheetViews>
    <sheetView topLeftCell="A23" workbookViewId="0">
      <selection activeCell="C23" sqref="C23"/>
    </sheetView>
  </sheetViews>
  <sheetFormatPr defaultColWidth="8.88888888888889" defaultRowHeight="14.4" outlineLevelCol="7"/>
  <cols>
    <col min="1" max="1" width="9.66666666666667"/>
  </cols>
  <sheetData>
    <row r="1" s="1" customFormat="1" spans="1:8">
      <c r="A1" s="1">
        <f>SUM(B1:AZ1)</f>
        <v>46.05</v>
      </c>
      <c r="B1" s="1">
        <f t="shared" ref="B1:H1" si="0">COUNTA(B2:B2057)/COLUMN()</f>
        <v>9</v>
      </c>
      <c r="C1" s="1">
        <f t="shared" si="0"/>
        <v>21</v>
      </c>
      <c r="D1" s="1">
        <f t="shared" si="0"/>
        <v>15.25</v>
      </c>
      <c r="E1" s="1">
        <f t="shared" si="0"/>
        <v>0.8</v>
      </c>
      <c r="F1" s="1">
        <f t="shared" si="0"/>
        <v>0</v>
      </c>
      <c r="G1" s="1">
        <f t="shared" si="0"/>
        <v>0</v>
      </c>
      <c r="H1" s="1">
        <f t="shared" si="0"/>
        <v>0</v>
      </c>
    </row>
    <row r="2" spans="1:2">
      <c r="A2">
        <v>20240426</v>
      </c>
      <c r="B2" t="s">
        <v>818</v>
      </c>
    </row>
    <row r="3" spans="3:3">
      <c r="C3" s="3" t="s">
        <v>819</v>
      </c>
    </row>
    <row r="4" spans="3:3">
      <c r="C4" s="3" t="s">
        <v>820</v>
      </c>
    </row>
    <row r="5" spans="3:3">
      <c r="C5" s="3" t="s">
        <v>821</v>
      </c>
    </row>
    <row r="6" spans="3:3">
      <c r="C6" t="s">
        <v>822</v>
      </c>
    </row>
    <row r="7" spans="2:2">
      <c r="B7" t="s">
        <v>823</v>
      </c>
    </row>
    <row r="8" spans="3:3">
      <c r="C8" t="s">
        <v>824</v>
      </c>
    </row>
    <row r="9" spans="3:3">
      <c r="C9" t="s">
        <v>825</v>
      </c>
    </row>
    <row r="10" spans="3:3">
      <c r="C10" s="3" t="s">
        <v>826</v>
      </c>
    </row>
    <row r="11" spans="3:3">
      <c r="C11" t="s">
        <v>827</v>
      </c>
    </row>
    <row r="12" spans="2:2">
      <c r="B12" t="s">
        <v>828</v>
      </c>
    </row>
    <row r="13" spans="3:3">
      <c r="C13" t="s">
        <v>829</v>
      </c>
    </row>
    <row r="14" spans="3:3">
      <c r="C14" s="3" t="s">
        <v>830</v>
      </c>
    </row>
    <row r="15" spans="3:3">
      <c r="C15" s="3" t="s">
        <v>831</v>
      </c>
    </row>
    <row r="16" spans="3:3">
      <c r="C16" s="3" t="s">
        <v>832</v>
      </c>
    </row>
    <row r="17" spans="2:3">
      <c r="B17" t="s">
        <v>833</v>
      </c>
      <c r="C17" s="3"/>
    </row>
    <row r="18" spans="3:3">
      <c r="C18" t="s">
        <v>834</v>
      </c>
    </row>
    <row r="19" spans="3:3">
      <c r="C19" s="3" t="s">
        <v>835</v>
      </c>
    </row>
    <row r="20" spans="3:3">
      <c r="C20" t="s">
        <v>836</v>
      </c>
    </row>
    <row r="21" spans="3:3">
      <c r="C21" s="3" t="s">
        <v>837</v>
      </c>
    </row>
    <row r="22" spans="2:2">
      <c r="B22" t="s">
        <v>838</v>
      </c>
    </row>
    <row r="23" spans="3:3">
      <c r="C23" t="s">
        <v>839</v>
      </c>
    </row>
    <row r="24" spans="3:3">
      <c r="C24" t="s">
        <v>840</v>
      </c>
    </row>
    <row r="25" spans="3:3">
      <c r="C25" t="s">
        <v>841</v>
      </c>
    </row>
    <row r="26" spans="4:4">
      <c r="D26" t="s">
        <v>842</v>
      </c>
    </row>
    <row r="27" spans="4:4">
      <c r="D27" t="s">
        <v>843</v>
      </c>
    </row>
    <row r="28" spans="3:3">
      <c r="C28" t="s">
        <v>844</v>
      </c>
    </row>
    <row r="29" spans="2:2">
      <c r="B29" t="s">
        <v>845</v>
      </c>
    </row>
    <row r="30" spans="3:3">
      <c r="C30" t="s">
        <v>846</v>
      </c>
    </row>
    <row r="31" spans="4:4">
      <c r="D31" t="s">
        <v>847</v>
      </c>
    </row>
    <row r="32" spans="4:4">
      <c r="D32" t="s">
        <v>848</v>
      </c>
    </row>
    <row r="33" spans="4:4">
      <c r="D33" t="s">
        <v>849</v>
      </c>
    </row>
    <row r="34" spans="3:3">
      <c r="C34" t="s">
        <v>850</v>
      </c>
    </row>
    <row r="35" spans="4:4">
      <c r="D35" t="s">
        <v>851</v>
      </c>
    </row>
    <row r="36" spans="4:4">
      <c r="D36" t="s">
        <v>852</v>
      </c>
    </row>
    <row r="37" spans="3:3">
      <c r="C37" t="s">
        <v>853</v>
      </c>
    </row>
    <row r="38" spans="3:3">
      <c r="C38" t="s">
        <v>854</v>
      </c>
    </row>
    <row r="39" spans="2:2">
      <c r="B39" t="s">
        <v>855</v>
      </c>
    </row>
    <row r="40" spans="3:3">
      <c r="C40" t="s">
        <v>856</v>
      </c>
    </row>
    <row r="41" spans="4:4">
      <c r="D41" t="s">
        <v>857</v>
      </c>
    </row>
    <row r="42" spans="3:3">
      <c r="C42" t="s">
        <v>858</v>
      </c>
    </row>
    <row r="43" spans="4:4">
      <c r="D43" t="s">
        <v>859</v>
      </c>
    </row>
    <row r="44" spans="3:3">
      <c r="C44" t="s">
        <v>860</v>
      </c>
    </row>
    <row r="45" spans="3:3">
      <c r="C45" t="s">
        <v>861</v>
      </c>
    </row>
    <row r="46" spans="2:2">
      <c r="B46" t="s">
        <v>862</v>
      </c>
    </row>
    <row r="47" spans="3:3">
      <c r="C47" t="s">
        <v>863</v>
      </c>
    </row>
    <row r="48" spans="3:3">
      <c r="C48" t="s">
        <v>864</v>
      </c>
    </row>
    <row r="49" spans="3:3">
      <c r="C49" t="s">
        <v>865</v>
      </c>
    </row>
    <row r="50" spans="3:3">
      <c r="C50" t="s">
        <v>866</v>
      </c>
    </row>
    <row r="51" spans="2:2">
      <c r="B51" t="s">
        <v>867</v>
      </c>
    </row>
    <row r="52" spans="3:3">
      <c r="C52" t="s">
        <v>868</v>
      </c>
    </row>
    <row r="53" spans="4:4">
      <c r="D53" t="s">
        <v>869</v>
      </c>
    </row>
    <row r="54" spans="4:4">
      <c r="D54" t="s">
        <v>870</v>
      </c>
    </row>
    <row r="55" spans="4:4">
      <c r="D55" t="s">
        <v>871</v>
      </c>
    </row>
    <row r="56" spans="3:3">
      <c r="C56" t="s">
        <v>872</v>
      </c>
    </row>
    <row r="57" spans="3:3">
      <c r="C57" t="s">
        <v>873</v>
      </c>
    </row>
    <row r="58" spans="4:4">
      <c r="D58" t="s">
        <v>874</v>
      </c>
    </row>
    <row r="59" spans="3:3">
      <c r="C59" t="s">
        <v>875</v>
      </c>
    </row>
    <row r="60" spans="2:2">
      <c r="B60" t="s">
        <v>876</v>
      </c>
    </row>
    <row r="61" spans="3:3">
      <c r="C61" t="s">
        <v>877</v>
      </c>
    </row>
    <row r="62" spans="4:4">
      <c r="D62" t="s">
        <v>878</v>
      </c>
    </row>
    <row r="63" spans="5:5">
      <c r="E63" t="s">
        <v>879</v>
      </c>
    </row>
    <row r="64" spans="5:5">
      <c r="E64" t="s">
        <v>880</v>
      </c>
    </row>
    <row r="65" spans="4:4">
      <c r="D65" t="s">
        <v>881</v>
      </c>
    </row>
    <row r="66" spans="5:5">
      <c r="E66" t="s">
        <v>882</v>
      </c>
    </row>
    <row r="67" spans="5:5">
      <c r="E67" t="s">
        <v>883</v>
      </c>
    </row>
    <row r="68" spans="3:3">
      <c r="C68" t="s">
        <v>884</v>
      </c>
    </row>
    <row r="69" spans="3:3">
      <c r="C69" t="s">
        <v>885</v>
      </c>
    </row>
    <row r="70" spans="3:3">
      <c r="C70" t="s">
        <v>886</v>
      </c>
    </row>
    <row r="71" spans="2:2">
      <c r="B71" t="s">
        <v>887</v>
      </c>
    </row>
    <row r="72" spans="3:3">
      <c r="C72" t="s">
        <v>888</v>
      </c>
    </row>
    <row r="73" spans="3:3">
      <c r="C73" t="s">
        <v>889</v>
      </c>
    </row>
    <row r="74" spans="4:4">
      <c r="D74" t="s">
        <v>890</v>
      </c>
    </row>
    <row r="75" spans="4:4">
      <c r="D75" t="s">
        <v>891</v>
      </c>
    </row>
    <row r="76" spans="4:4">
      <c r="D76" t="s">
        <v>892</v>
      </c>
    </row>
    <row r="77" spans="3:3">
      <c r="C77" t="s">
        <v>893</v>
      </c>
    </row>
    <row r="78" spans="2:2">
      <c r="B78" t="s">
        <v>894</v>
      </c>
    </row>
    <row r="79" spans="3:3">
      <c r="C79" s="3" t="s">
        <v>895</v>
      </c>
    </row>
    <row r="80" spans="3:3">
      <c r="C80" s="3" t="s">
        <v>896</v>
      </c>
    </row>
    <row r="81" spans="3:3">
      <c r="C81" s="3" t="s">
        <v>897</v>
      </c>
    </row>
    <row r="82" spans="3:3">
      <c r="C82" t="s">
        <v>898</v>
      </c>
    </row>
    <row r="83" spans="4:4">
      <c r="D83" s="3" t="s">
        <v>899</v>
      </c>
    </row>
    <row r="84" spans="4:4">
      <c r="D84" t="s">
        <v>900</v>
      </c>
    </row>
    <row r="85" spans="4:4">
      <c r="D85" t="s">
        <v>901</v>
      </c>
    </row>
    <row r="86" spans="4:4">
      <c r="D86" t="s">
        <v>902</v>
      </c>
    </row>
    <row r="87" spans="4:4">
      <c r="D87" t="s">
        <v>903</v>
      </c>
    </row>
    <row r="88" spans="3:3">
      <c r="C88" t="s">
        <v>904</v>
      </c>
    </row>
    <row r="89" spans="3:3">
      <c r="C89" t="s">
        <v>905</v>
      </c>
    </row>
    <row r="90" spans="3:3">
      <c r="C90" t="s">
        <v>906</v>
      </c>
    </row>
    <row r="91" spans="4:4">
      <c r="D91" t="s">
        <v>907</v>
      </c>
    </row>
    <row r="92" spans="4:4">
      <c r="D92" t="s">
        <v>908</v>
      </c>
    </row>
    <row r="93" spans="4:4">
      <c r="D93" t="s">
        <v>909</v>
      </c>
    </row>
    <row r="94" spans="4:4">
      <c r="D94" t="s">
        <v>910</v>
      </c>
    </row>
    <row r="95" spans="2:2">
      <c r="B95" t="s">
        <v>911</v>
      </c>
    </row>
    <row r="96" spans="3:3">
      <c r="C96" t="s">
        <v>912</v>
      </c>
    </row>
    <row r="97" spans="4:4">
      <c r="D97" t="s">
        <v>913</v>
      </c>
    </row>
    <row r="98" spans="4:4">
      <c r="D98" t="s">
        <v>914</v>
      </c>
    </row>
    <row r="99" spans="2:2">
      <c r="B99" t="s">
        <v>915</v>
      </c>
    </row>
    <row r="100" spans="3:3">
      <c r="C100" t="s">
        <v>916</v>
      </c>
    </row>
    <row r="101" spans="4:4">
      <c r="D101" t="s">
        <v>917</v>
      </c>
    </row>
    <row r="102" spans="4:4">
      <c r="D102" t="s">
        <v>918</v>
      </c>
    </row>
    <row r="103" spans="4:4">
      <c r="D103" t="s">
        <v>919</v>
      </c>
    </row>
    <row r="104" spans="4:4">
      <c r="D104" t="s">
        <v>920</v>
      </c>
    </row>
    <row r="105" spans="4:4">
      <c r="D105" t="s">
        <v>921</v>
      </c>
    </row>
    <row r="106" spans="3:3">
      <c r="C106" t="s">
        <v>922</v>
      </c>
    </row>
    <row r="107" spans="4:4">
      <c r="D107" t="s">
        <v>923</v>
      </c>
    </row>
    <row r="108" spans="4:4">
      <c r="D108" t="s">
        <v>924</v>
      </c>
    </row>
    <row r="109" spans="4:4">
      <c r="D109" t="s">
        <v>925</v>
      </c>
    </row>
    <row r="110" spans="3:3">
      <c r="C110" t="s">
        <v>926</v>
      </c>
    </row>
    <row r="111" spans="4:4">
      <c r="D111" t="s">
        <v>927</v>
      </c>
    </row>
    <row r="112" spans="4:4">
      <c r="D112" t="s">
        <v>928</v>
      </c>
    </row>
    <row r="113" spans="4:4">
      <c r="D113" t="s">
        <v>929</v>
      </c>
    </row>
    <row r="114" spans="4:4">
      <c r="D114" t="s">
        <v>930</v>
      </c>
    </row>
    <row r="115" spans="4:4">
      <c r="D115" t="s">
        <v>931</v>
      </c>
    </row>
    <row r="116" spans="4:4">
      <c r="D116" t="s">
        <v>932</v>
      </c>
    </row>
    <row r="117" spans="3:3">
      <c r="C117" t="s">
        <v>933</v>
      </c>
    </row>
    <row r="118" spans="4:4">
      <c r="D118" t="s">
        <v>934</v>
      </c>
    </row>
    <row r="119" spans="4:4">
      <c r="D119" t="s">
        <v>935</v>
      </c>
    </row>
    <row r="120" spans="4:4">
      <c r="D120" t="s">
        <v>936</v>
      </c>
    </row>
    <row r="121" spans="3:3">
      <c r="C121" t="s">
        <v>937</v>
      </c>
    </row>
    <row r="122" spans="2:2">
      <c r="B122" t="s">
        <v>938</v>
      </c>
    </row>
    <row r="123" spans="3:3">
      <c r="C123" t="s">
        <v>939</v>
      </c>
    </row>
    <row r="124" spans="4:4">
      <c r="D124" t="s">
        <v>940</v>
      </c>
    </row>
    <row r="125" spans="4:4">
      <c r="D125" t="s">
        <v>941</v>
      </c>
    </row>
    <row r="126" spans="4:4">
      <c r="D126" t="s">
        <v>942</v>
      </c>
    </row>
    <row r="127" spans="3:3">
      <c r="C127" t="s">
        <v>943</v>
      </c>
    </row>
    <row r="128" spans="4:4">
      <c r="D128" t="s">
        <v>944</v>
      </c>
    </row>
    <row r="129" spans="4:4">
      <c r="D129" t="s">
        <v>945</v>
      </c>
    </row>
    <row r="130" spans="4:4">
      <c r="D130" t="s">
        <v>946</v>
      </c>
    </row>
    <row r="131" spans="4:4">
      <c r="D131" t="s">
        <v>947</v>
      </c>
    </row>
    <row r="132" spans="4:4">
      <c r="D132" t="s">
        <v>948</v>
      </c>
    </row>
    <row r="133" spans="4:4">
      <c r="D133" t="s">
        <v>949</v>
      </c>
    </row>
    <row r="134" spans="4:4">
      <c r="D134" t="s">
        <v>950</v>
      </c>
    </row>
    <row r="135" spans="3:3">
      <c r="C135" t="s">
        <v>951</v>
      </c>
    </row>
    <row r="136" spans="3:3">
      <c r="C136" t="s">
        <v>952</v>
      </c>
    </row>
    <row r="137" spans="4:4">
      <c r="D137" t="s">
        <v>953</v>
      </c>
    </row>
    <row r="138" spans="4:4">
      <c r="D138" t="s">
        <v>954</v>
      </c>
    </row>
    <row r="139" spans="4:4">
      <c r="D139" t="s">
        <v>955</v>
      </c>
    </row>
    <row r="140" spans="4:4">
      <c r="D140" t="s">
        <v>956</v>
      </c>
    </row>
    <row r="141" spans="4:4">
      <c r="D141" t="s">
        <v>957</v>
      </c>
    </row>
    <row r="142" spans="2:2">
      <c r="B142" t="s">
        <v>958</v>
      </c>
    </row>
    <row r="143" spans="3:3">
      <c r="C143" t="s">
        <v>959</v>
      </c>
    </row>
    <row r="144" spans="2:2">
      <c r="B144" t="s">
        <v>960</v>
      </c>
    </row>
    <row r="145" spans="3:3">
      <c r="C145" t="s">
        <v>961</v>
      </c>
    </row>
    <row r="146" spans="2:2">
      <c r="B146" t="s">
        <v>962</v>
      </c>
    </row>
    <row r="147" spans="3:3">
      <c r="C147" t="s">
        <v>963</v>
      </c>
    </row>
  </sheetData>
  <pageMargins left="0.75" right="0.75" top="1" bottom="1" header="0.5" footer="0.5"/>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B4" sqref="B4"/>
    </sheetView>
  </sheetViews>
  <sheetFormatPr defaultColWidth="8.88888888888889" defaultRowHeight="14.4" outlineLevelRow="7" outlineLevelCol="7"/>
  <cols>
    <col min="1" max="1" width="9.66666666666667"/>
  </cols>
  <sheetData>
    <row r="1" s="1" customFormat="1" spans="1:8">
      <c r="A1" s="1">
        <f>SUM(B1:AZ1)</f>
        <v>2.5</v>
      </c>
      <c r="B1" s="1">
        <f t="shared" ref="B1:H1" si="0">COUNTA(B2:B2058)/COLUMN()</f>
        <v>1</v>
      </c>
      <c r="C1" s="1">
        <f t="shared" si="0"/>
        <v>1</v>
      </c>
      <c r="D1" s="1">
        <f t="shared" si="0"/>
        <v>0.5</v>
      </c>
      <c r="E1" s="1">
        <f t="shared" si="0"/>
        <v>0</v>
      </c>
      <c r="F1" s="1">
        <f t="shared" si="0"/>
        <v>0</v>
      </c>
      <c r="G1" s="1">
        <f t="shared" si="0"/>
        <v>0</v>
      </c>
      <c r="H1" s="1">
        <f t="shared" si="0"/>
        <v>0</v>
      </c>
    </row>
    <row r="2" spans="1:2">
      <c r="A2">
        <v>20240427</v>
      </c>
      <c r="B2" t="s">
        <v>964</v>
      </c>
    </row>
    <row r="3" spans="3:3">
      <c r="C3" t="s">
        <v>965</v>
      </c>
    </row>
    <row r="4" spans="2:2">
      <c r="B4" t="s">
        <v>966</v>
      </c>
    </row>
    <row r="5" spans="3:3">
      <c r="C5" t="s">
        <v>967</v>
      </c>
    </row>
    <row r="6" spans="3:3">
      <c r="C6" t="s">
        <v>968</v>
      </c>
    </row>
    <row r="7" spans="4:4">
      <c r="D7" t="s">
        <v>969</v>
      </c>
    </row>
    <row r="8" spans="4:4">
      <c r="D8" t="s">
        <v>970</v>
      </c>
    </row>
  </sheetData>
  <pageMargins left="0.75" right="0.75" top="1" bottom="1" header="0.5" footer="0.5"/>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A1" sqref="$A1:$XFD1"/>
    </sheetView>
  </sheetViews>
  <sheetFormatPr defaultColWidth="8.88888888888889" defaultRowHeight="14.4" outlineLevelCol="7"/>
  <cols>
    <col min="1" max="1" width="9.66666666666667"/>
  </cols>
  <sheetData>
    <row r="1" s="1" customFormat="1" spans="1:8">
      <c r="A1" s="1">
        <f>SUM(B1:AZ1)</f>
        <v>2.9</v>
      </c>
      <c r="B1" s="1">
        <f t="shared" ref="B1:H1" si="0">COUNTA(B2:B2058)/COLUMN()</f>
        <v>0.5</v>
      </c>
      <c r="C1" s="1">
        <f t="shared" si="0"/>
        <v>1</v>
      </c>
      <c r="D1" s="1">
        <f t="shared" si="0"/>
        <v>1</v>
      </c>
      <c r="E1" s="1">
        <f t="shared" si="0"/>
        <v>0.4</v>
      </c>
      <c r="F1" s="1">
        <f t="shared" si="0"/>
        <v>0</v>
      </c>
      <c r="G1" s="1">
        <f t="shared" si="0"/>
        <v>0</v>
      </c>
      <c r="H1" s="1">
        <f t="shared" si="0"/>
        <v>0</v>
      </c>
    </row>
    <row r="2" spans="1:2">
      <c r="A2">
        <v>20240501</v>
      </c>
      <c r="B2" t="s">
        <v>971</v>
      </c>
    </row>
    <row r="3" spans="3:3">
      <c r="C3" t="s">
        <v>972</v>
      </c>
    </row>
    <row r="4" spans="4:4">
      <c r="D4" t="s">
        <v>973</v>
      </c>
    </row>
    <row r="5" spans="4:4">
      <c r="D5" t="s">
        <v>974</v>
      </c>
    </row>
    <row r="6" spans="5:5">
      <c r="E6" t="s">
        <v>975</v>
      </c>
    </row>
    <row r="7" spans="4:4">
      <c r="D7" t="s">
        <v>976</v>
      </c>
    </row>
    <row r="8" spans="5:5">
      <c r="E8" t="s">
        <v>977</v>
      </c>
    </row>
    <row r="9" spans="4:4">
      <c r="D9" t="s">
        <v>978</v>
      </c>
    </row>
    <row r="10" spans="3:3">
      <c r="C10" t="s">
        <v>979</v>
      </c>
    </row>
    <row r="11" spans="3:3">
      <c r="C11" t="s">
        <v>980</v>
      </c>
    </row>
  </sheetData>
  <pageMargins left="0.75" right="0.75" top="1" bottom="1" header="0.5" footer="0.5"/>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A1" sqref="$A1:$XFD1"/>
    </sheetView>
  </sheetViews>
  <sheetFormatPr defaultColWidth="8.88888888888889" defaultRowHeight="14.4" outlineLevelRow="3" outlineLevelCol="7"/>
  <sheetData>
    <row r="1" s="1" customFormat="1" spans="1:8">
      <c r="A1" s="1">
        <f>SUM(B1:AZ1)</f>
        <v>1.16666666666667</v>
      </c>
      <c r="B1" s="1">
        <f t="shared" ref="B1:H1" si="0">COUNTA(B2:B2058)/COLUMN()</f>
        <v>0.5</v>
      </c>
      <c r="C1" s="1">
        <f t="shared" si="0"/>
        <v>0.666666666666667</v>
      </c>
      <c r="D1" s="1">
        <f t="shared" si="0"/>
        <v>0</v>
      </c>
      <c r="E1" s="1">
        <f t="shared" si="0"/>
        <v>0</v>
      </c>
      <c r="F1" s="1">
        <f t="shared" si="0"/>
        <v>0</v>
      </c>
      <c r="G1" s="1">
        <f t="shared" si="0"/>
        <v>0</v>
      </c>
      <c r="H1" s="1">
        <f t="shared" si="0"/>
        <v>0</v>
      </c>
    </row>
    <row r="2" spans="1:2">
      <c r="A2">
        <v>20240503</v>
      </c>
      <c r="B2" t="s">
        <v>981</v>
      </c>
    </row>
    <row r="3" spans="3:3">
      <c r="C3" t="s">
        <v>982</v>
      </c>
    </row>
    <row r="4" spans="3:3">
      <c r="C4" t="s">
        <v>983</v>
      </c>
    </row>
  </sheetData>
  <pageMargins left="0.75" right="0.75" top="1" bottom="1" header="0.5" footer="0.5"/>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workbookViewId="0">
      <selection activeCell="C27" sqref="C27"/>
    </sheetView>
  </sheetViews>
  <sheetFormatPr defaultColWidth="8.88888888888889" defaultRowHeight="14.4" outlineLevelCol="7"/>
  <sheetData>
    <row r="1" s="1" customFormat="1" spans="1:8">
      <c r="A1" s="1">
        <f>SUM(B1:AZ1)</f>
        <v>8.2</v>
      </c>
      <c r="B1" s="1">
        <f t="shared" ref="B1:H1" si="0">COUNTA(B2:B2058)/COLUMN()</f>
        <v>2</v>
      </c>
      <c r="C1" s="1">
        <f t="shared" si="0"/>
        <v>2</v>
      </c>
      <c r="D1" s="1">
        <f t="shared" si="0"/>
        <v>3</v>
      </c>
      <c r="E1" s="1">
        <f t="shared" si="0"/>
        <v>1.2</v>
      </c>
      <c r="F1" s="1">
        <f t="shared" si="0"/>
        <v>0</v>
      </c>
      <c r="G1" s="1">
        <f t="shared" si="0"/>
        <v>0</v>
      </c>
      <c r="H1" s="1">
        <f t="shared" si="0"/>
        <v>0</v>
      </c>
    </row>
    <row r="2" spans="1:2">
      <c r="A2">
        <v>20240504</v>
      </c>
      <c r="B2" t="s">
        <v>984</v>
      </c>
    </row>
    <row r="3" spans="2:2">
      <c r="B3" t="s">
        <v>985</v>
      </c>
    </row>
    <row r="4" spans="3:3">
      <c r="C4" t="s">
        <v>986</v>
      </c>
    </row>
    <row r="5" spans="4:4">
      <c r="D5" t="s">
        <v>987</v>
      </c>
    </row>
    <row r="6" spans="4:4">
      <c r="D6" t="s">
        <v>988</v>
      </c>
    </row>
    <row r="7" spans="3:3">
      <c r="C7" t="s">
        <v>989</v>
      </c>
    </row>
    <row r="8" spans="4:4">
      <c r="D8" t="s">
        <v>990</v>
      </c>
    </row>
    <row r="9" spans="4:4">
      <c r="D9" t="s">
        <v>991</v>
      </c>
    </row>
    <row r="10" spans="4:4">
      <c r="D10" t="s">
        <v>992</v>
      </c>
    </row>
    <row r="11" spans="2:2">
      <c r="B11" t="s">
        <v>993</v>
      </c>
    </row>
    <row r="12" spans="3:3">
      <c r="C12" t="s">
        <v>994</v>
      </c>
    </row>
    <row r="13" spans="4:4">
      <c r="D13" t="s">
        <v>995</v>
      </c>
    </row>
    <row r="14" spans="4:4">
      <c r="D14" t="s">
        <v>996</v>
      </c>
    </row>
    <row r="15" spans="4:4">
      <c r="D15" t="s">
        <v>997</v>
      </c>
    </row>
    <row r="16" spans="3:3">
      <c r="C16" t="s">
        <v>998</v>
      </c>
    </row>
    <row r="17" spans="4:4">
      <c r="D17" t="s">
        <v>999</v>
      </c>
    </row>
    <row r="18" spans="4:4">
      <c r="D18" t="s">
        <v>1000</v>
      </c>
    </row>
    <row r="19" spans="4:4">
      <c r="D19" t="s">
        <v>1001</v>
      </c>
    </row>
    <row r="20" spans="5:5">
      <c r="E20" t="s">
        <v>1002</v>
      </c>
    </row>
    <row r="21" spans="5:5">
      <c r="E21" t="s">
        <v>1003</v>
      </c>
    </row>
    <row r="22" spans="4:4">
      <c r="D22" t="s">
        <v>1004</v>
      </c>
    </row>
    <row r="23" spans="5:5">
      <c r="E23" t="s">
        <v>1005</v>
      </c>
    </row>
    <row r="24" spans="5:5">
      <c r="E24" t="s">
        <v>1006</v>
      </c>
    </row>
    <row r="25" spans="5:5">
      <c r="E25" t="s">
        <v>1007</v>
      </c>
    </row>
    <row r="26" spans="5:5">
      <c r="E26" t="s">
        <v>1008</v>
      </c>
    </row>
    <row r="27" spans="3:3">
      <c r="C27" t="s">
        <v>1009</v>
      </c>
    </row>
    <row r="28" spans="3:3">
      <c r="C28" t="s">
        <v>1010</v>
      </c>
    </row>
    <row r="29" spans="2:2">
      <c r="B29" t="s">
        <v>1011</v>
      </c>
    </row>
  </sheetData>
  <pageMargins left="0.75" right="0.75" top="1" bottom="1" header="0.5" footer="0.5"/>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C7" sqref="C7"/>
    </sheetView>
  </sheetViews>
  <sheetFormatPr defaultColWidth="8.88888888888889" defaultRowHeight="14.4" outlineLevelCol="7"/>
  <cols>
    <col min="1" max="1" width="9.66666666666667"/>
  </cols>
  <sheetData>
    <row r="1" s="1" customFormat="1" spans="1:8">
      <c r="A1" s="1">
        <f>SUM(B1:AZ1)</f>
        <v>4.16666666666667</v>
      </c>
      <c r="B1" s="1">
        <f t="shared" ref="B1:H1" si="0">COUNTA(B2:B2058)/COLUMN()</f>
        <v>1.5</v>
      </c>
      <c r="C1" s="1">
        <f t="shared" si="0"/>
        <v>1.66666666666667</v>
      </c>
      <c r="D1" s="1">
        <f t="shared" si="0"/>
        <v>1</v>
      </c>
      <c r="E1" s="1">
        <f t="shared" si="0"/>
        <v>0</v>
      </c>
      <c r="F1" s="1">
        <f t="shared" si="0"/>
        <v>0</v>
      </c>
      <c r="G1" s="1">
        <f t="shared" si="0"/>
        <v>0</v>
      </c>
      <c r="H1" s="1">
        <f t="shared" si="0"/>
        <v>0</v>
      </c>
    </row>
    <row r="2" spans="1:2">
      <c r="A2">
        <v>20240507</v>
      </c>
      <c r="B2" t="s">
        <v>1012</v>
      </c>
    </row>
    <row r="3" spans="2:2">
      <c r="B3" t="s">
        <v>1013</v>
      </c>
    </row>
    <row r="4" spans="2:2">
      <c r="B4" t="s">
        <v>1014</v>
      </c>
    </row>
    <row r="5" spans="3:3">
      <c r="C5" t="s">
        <v>1015</v>
      </c>
    </row>
    <row r="6" spans="3:3">
      <c r="C6" t="s">
        <v>1016</v>
      </c>
    </row>
    <row r="7" spans="3:3">
      <c r="C7" t="s">
        <v>1017</v>
      </c>
    </row>
    <row r="8" spans="4:4">
      <c r="D8" t="s">
        <v>1018</v>
      </c>
    </row>
    <row r="9" spans="4:4">
      <c r="D9" t="s">
        <v>1019</v>
      </c>
    </row>
    <row r="10" spans="4:4">
      <c r="D10" t="s">
        <v>1020</v>
      </c>
    </row>
    <row r="11" spans="3:3">
      <c r="C11" t="s">
        <v>1021</v>
      </c>
    </row>
    <row r="12" spans="4:4">
      <c r="D12" t="s">
        <v>1022</v>
      </c>
    </row>
    <row r="13" spans="3:3">
      <c r="C13" t="s">
        <v>1023</v>
      </c>
    </row>
  </sheetData>
  <pageMargins left="0.75" right="0.75" top="1" bottom="1" header="0.5" footer="0.5"/>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B6" sqref="B6"/>
    </sheetView>
  </sheetViews>
  <sheetFormatPr defaultColWidth="8.88888888888889" defaultRowHeight="14.4" outlineLevelCol="7"/>
  <cols>
    <col min="1" max="1" width="9.66666666666667"/>
  </cols>
  <sheetData>
    <row r="1" s="1" customFormat="1" spans="1:8">
      <c r="A1" s="1">
        <f>SUM(B1:AZ1)</f>
        <v>6.83333333333333</v>
      </c>
      <c r="B1" s="1">
        <f t="shared" ref="B1:H1" si="0">COUNTA(B2:B2058)/COLUMN()</f>
        <v>2</v>
      </c>
      <c r="C1" s="1">
        <f t="shared" si="0"/>
        <v>4.33333333333333</v>
      </c>
      <c r="D1" s="1">
        <f t="shared" si="0"/>
        <v>0.5</v>
      </c>
      <c r="E1" s="1">
        <f t="shared" si="0"/>
        <v>0</v>
      </c>
      <c r="F1" s="1">
        <f t="shared" si="0"/>
        <v>0</v>
      </c>
      <c r="G1" s="1">
        <f t="shared" si="0"/>
        <v>0</v>
      </c>
      <c r="H1" s="1">
        <f t="shared" si="0"/>
        <v>0</v>
      </c>
    </row>
    <row r="2" spans="1:2">
      <c r="A2">
        <v>20240511</v>
      </c>
      <c r="B2" t="s">
        <v>1024</v>
      </c>
    </row>
    <row r="3" spans="3:3">
      <c r="C3" t="s">
        <v>1025</v>
      </c>
    </row>
    <row r="4" spans="3:3">
      <c r="C4" t="s">
        <v>1026</v>
      </c>
    </row>
    <row r="5" spans="3:3">
      <c r="C5" t="s">
        <v>1027</v>
      </c>
    </row>
    <row r="6" spans="2:2">
      <c r="B6" t="s">
        <v>1028</v>
      </c>
    </row>
    <row r="7" spans="3:3">
      <c r="C7" t="s">
        <v>1029</v>
      </c>
    </row>
    <row r="8" spans="3:3">
      <c r="C8" t="s">
        <v>1030</v>
      </c>
    </row>
    <row r="9" spans="2:2">
      <c r="B9" t="s">
        <v>1031</v>
      </c>
    </row>
    <row r="10" spans="3:3">
      <c r="C10" t="s">
        <v>1032</v>
      </c>
    </row>
    <row r="11" spans="4:4">
      <c r="D11" t="s">
        <v>1033</v>
      </c>
    </row>
    <row r="12" spans="4:4">
      <c r="D12" t="s">
        <v>1034</v>
      </c>
    </row>
    <row r="13" spans="2:2">
      <c r="B13" t="s">
        <v>1035</v>
      </c>
    </row>
    <row r="14" spans="3:3">
      <c r="C14" t="s">
        <v>1036</v>
      </c>
    </row>
    <row r="15" spans="3:3">
      <c r="C15" t="s">
        <v>1037</v>
      </c>
    </row>
    <row r="16" spans="3:3">
      <c r="C16" t="s">
        <v>1038</v>
      </c>
    </row>
    <row r="17" spans="3:3">
      <c r="C17" t="s">
        <v>1039</v>
      </c>
    </row>
    <row r="18" spans="3:3">
      <c r="C18" t="s">
        <v>1040</v>
      </c>
    </row>
    <row r="19" spans="3:3">
      <c r="C19" t="s">
        <v>1041</v>
      </c>
    </row>
    <row r="20" spans="3:3">
      <c r="C20" t="s">
        <v>1042</v>
      </c>
    </row>
  </sheetData>
  <pageMargins left="0.75" right="0.75" top="1" bottom="1" header="0.5" footer="0.5"/>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C4" sqref="C4"/>
    </sheetView>
  </sheetViews>
  <sheetFormatPr defaultColWidth="8.88888888888889" defaultRowHeight="14.4" outlineLevelCol="7"/>
  <sheetData>
    <row r="1" s="1" customFormat="1" spans="1:8">
      <c r="A1" s="1">
        <f>SUM(B1:AZ1)</f>
        <v>4.56666666666667</v>
      </c>
      <c r="B1" s="1">
        <f t="shared" ref="B1:H1" si="0">COUNTA(B2:B2060)/COLUMN()</f>
        <v>2</v>
      </c>
      <c r="C1" s="1">
        <f t="shared" si="0"/>
        <v>1.66666666666667</v>
      </c>
      <c r="D1" s="1">
        <f t="shared" si="0"/>
        <v>0.5</v>
      </c>
      <c r="E1" s="1">
        <f t="shared" si="0"/>
        <v>0.4</v>
      </c>
      <c r="F1" s="1">
        <f t="shared" si="0"/>
        <v>0</v>
      </c>
      <c r="G1" s="1">
        <f t="shared" si="0"/>
        <v>0</v>
      </c>
      <c r="H1" s="1">
        <f t="shared" si="0"/>
        <v>0</v>
      </c>
    </row>
    <row r="2" spans="1:2">
      <c r="A2">
        <v>20240512</v>
      </c>
      <c r="B2" t="s">
        <v>1043</v>
      </c>
    </row>
    <row r="3" spans="3:3">
      <c r="C3" t="s">
        <v>1044</v>
      </c>
    </row>
    <row r="4" spans="3:3">
      <c r="C4" t="s">
        <v>1045</v>
      </c>
    </row>
    <row r="5" spans="3:3">
      <c r="C5" t="s">
        <v>1046</v>
      </c>
    </row>
    <row r="6" spans="4:4">
      <c r="D6" t="s">
        <v>1047</v>
      </c>
    </row>
    <row r="7" spans="5:5">
      <c r="E7" t="s">
        <v>1048</v>
      </c>
    </row>
    <row r="8" spans="4:4">
      <c r="D8" t="s">
        <v>1049</v>
      </c>
    </row>
    <row r="9" spans="5:5">
      <c r="E9" t="s">
        <v>1050</v>
      </c>
    </row>
    <row r="10" spans="2:2">
      <c r="B10" t="s">
        <v>1051</v>
      </c>
    </row>
    <row r="11" spans="2:2">
      <c r="B11" t="s">
        <v>1052</v>
      </c>
    </row>
    <row r="12" spans="3:3">
      <c r="C12" t="s">
        <v>1053</v>
      </c>
    </row>
    <row r="13" spans="3:3">
      <c r="C13" t="s">
        <v>1054</v>
      </c>
    </row>
    <row r="14" spans="2:2">
      <c r="B14" t="s">
        <v>1055</v>
      </c>
    </row>
  </sheetData>
  <pageMargins left="0.75" right="0.75" top="1" bottom="1" header="0.5" footer="0.5"/>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7"/>
  <sheetViews>
    <sheetView workbookViewId="0">
      <selection activeCell="D24" sqref="D24"/>
    </sheetView>
  </sheetViews>
  <sheetFormatPr defaultColWidth="8.88888888888889" defaultRowHeight="14.4" outlineLevelCol="7"/>
  <cols>
    <col min="1" max="1" width="9.66666666666667"/>
  </cols>
  <sheetData>
    <row r="1" s="1" customFormat="1" spans="1:8">
      <c r="A1" s="1">
        <f>SUM(B1:AZ1)</f>
        <v>8.78333333333333</v>
      </c>
      <c r="B1" s="1">
        <f t="shared" ref="B1:H1" si="0">COUNTA(B2:B2064)/COLUMN()</f>
        <v>2.5</v>
      </c>
      <c r="C1" s="1">
        <f t="shared" si="0"/>
        <v>4.33333333333333</v>
      </c>
      <c r="D1" s="1">
        <f t="shared" si="0"/>
        <v>1.75</v>
      </c>
      <c r="E1" s="1">
        <f t="shared" si="0"/>
        <v>0.2</v>
      </c>
      <c r="F1" s="1">
        <f t="shared" si="0"/>
        <v>0</v>
      </c>
      <c r="G1" s="1">
        <f t="shared" si="0"/>
        <v>0</v>
      </c>
      <c r="H1" s="1">
        <f t="shared" si="0"/>
        <v>0</v>
      </c>
    </row>
    <row r="2" spans="1:2">
      <c r="A2">
        <v>20240513</v>
      </c>
      <c r="B2" t="s">
        <v>1056</v>
      </c>
    </row>
    <row r="3" spans="2:2">
      <c r="B3" t="s">
        <v>1057</v>
      </c>
    </row>
    <row r="4" spans="3:3">
      <c r="C4" t="s">
        <v>1058</v>
      </c>
    </row>
    <row r="5" spans="3:3">
      <c r="C5" t="s">
        <v>1059</v>
      </c>
    </row>
    <row r="6" spans="3:3">
      <c r="C6" t="s">
        <v>1060</v>
      </c>
    </row>
    <row r="7" spans="3:3">
      <c r="C7" t="s">
        <v>1061</v>
      </c>
    </row>
    <row r="8" spans="2:2">
      <c r="B8" t="s">
        <v>1062</v>
      </c>
    </row>
    <row r="9" spans="3:3">
      <c r="C9" t="s">
        <v>1063</v>
      </c>
    </row>
    <row r="10" spans="3:3">
      <c r="C10" t="s">
        <v>1064</v>
      </c>
    </row>
    <row r="11" spans="3:3">
      <c r="C11" t="s">
        <v>1065</v>
      </c>
    </row>
    <row r="12" spans="3:3">
      <c r="C12" t="s">
        <v>1066</v>
      </c>
    </row>
    <row r="13" spans="3:3">
      <c r="C13" t="s">
        <v>1067</v>
      </c>
    </row>
    <row r="14" spans="3:3">
      <c r="C14" t="s">
        <v>1068</v>
      </c>
    </row>
    <row r="15" spans="4:4">
      <c r="D15" t="s">
        <v>1069</v>
      </c>
    </row>
    <row r="16" spans="4:4">
      <c r="D16" t="s">
        <v>1070</v>
      </c>
    </row>
    <row r="17" spans="4:4">
      <c r="D17" t="s">
        <v>1071</v>
      </c>
    </row>
    <row r="18" spans="2:2">
      <c r="B18" t="s">
        <v>1072</v>
      </c>
    </row>
    <row r="19" spans="3:3">
      <c r="C19" t="s">
        <v>1073</v>
      </c>
    </row>
    <row r="20" spans="2:2">
      <c r="B20" t="s">
        <v>1074</v>
      </c>
    </row>
    <row r="21" spans="3:3">
      <c r="C21" t="s">
        <v>1075</v>
      </c>
    </row>
    <row r="22" spans="4:4">
      <c r="D22" t="s">
        <v>1076</v>
      </c>
    </row>
    <row r="23" spans="3:3">
      <c r="C23" t="s">
        <v>1077</v>
      </c>
    </row>
    <row r="24" spans="4:4">
      <c r="D24" t="s">
        <v>1078</v>
      </c>
    </row>
    <row r="25" spans="4:4">
      <c r="D25" t="s">
        <v>1079</v>
      </c>
    </row>
    <row r="26" spans="4:4">
      <c r="D26" t="s">
        <v>1080</v>
      </c>
    </row>
    <row r="27" spans="5:5">
      <c r="E27" t="s">
        <v>1081</v>
      </c>
    </row>
  </sheetData>
  <pageMargins left="0.75" right="0.75" top="1" bottom="1" header="0.5" footer="0.5"/>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cols>
    <col min="1" max="1" width="9.66666666666667"/>
  </cols>
  <sheetData>
    <row r="1" s="1" customFormat="1" spans="1:8">
      <c r="A1" s="1">
        <f>SUM(B1:AZ1)</f>
        <v>1.16666666666667</v>
      </c>
      <c r="B1" s="1">
        <f t="shared" ref="B1:H1" si="0">COUNTA(B2:B2064)/COLUMN()</f>
        <v>0.5</v>
      </c>
      <c r="C1" s="1">
        <f t="shared" si="0"/>
        <v>0.666666666666667</v>
      </c>
      <c r="D1" s="1">
        <f t="shared" si="0"/>
        <v>0</v>
      </c>
      <c r="E1" s="1">
        <f t="shared" si="0"/>
        <v>0</v>
      </c>
      <c r="F1" s="1">
        <f t="shared" si="0"/>
        <v>0</v>
      </c>
      <c r="G1" s="1">
        <f t="shared" si="0"/>
        <v>0</v>
      </c>
      <c r="H1" s="1">
        <f t="shared" si="0"/>
        <v>0</v>
      </c>
    </row>
    <row r="2" spans="1:2">
      <c r="A2">
        <v>20240515</v>
      </c>
      <c r="B2" t="s">
        <v>1082</v>
      </c>
    </row>
    <row r="3" spans="3:3">
      <c r="C3" t="s">
        <v>1083</v>
      </c>
    </row>
    <row r="4" spans="3:3">
      <c r="C4" t="s">
        <v>1084</v>
      </c>
    </row>
  </sheetData>
  <pageMargins left="0.75" right="0.75" top="1" bottom="1" header="0.5" footer="0.5"/>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A2" sqref="A2"/>
    </sheetView>
  </sheetViews>
  <sheetFormatPr defaultColWidth="8.88888888888889" defaultRowHeight="14.4" outlineLevelRow="1" outlineLevelCol="7"/>
  <cols>
    <col min="1" max="1" width="9.66666666666667"/>
  </cols>
  <sheetData>
    <row r="1" s="1" customFormat="1" spans="1:8">
      <c r="A1" s="1">
        <f>SUM(B1:AZ1)</f>
        <v>0.5</v>
      </c>
      <c r="B1" s="1">
        <f t="shared" ref="B1:H1" si="0">COUNTA(B2:B2064)/COLUMN()</f>
        <v>0.5</v>
      </c>
      <c r="C1" s="1">
        <f t="shared" si="0"/>
        <v>0</v>
      </c>
      <c r="D1" s="1">
        <f t="shared" si="0"/>
        <v>0</v>
      </c>
      <c r="E1" s="1">
        <f t="shared" si="0"/>
        <v>0</v>
      </c>
      <c r="F1" s="1">
        <f t="shared" si="0"/>
        <v>0</v>
      </c>
      <c r="G1" s="1">
        <f t="shared" si="0"/>
        <v>0</v>
      </c>
      <c r="H1" s="1">
        <f t="shared" si="0"/>
        <v>0</v>
      </c>
    </row>
    <row r="2" spans="1:2">
      <c r="A2">
        <v>20240519</v>
      </c>
      <c r="B2" t="s">
        <v>1085</v>
      </c>
    </row>
  </sheetData>
  <pageMargins left="0.75" right="0.75" top="1" bottom="1" header="0.5" footer="0.5"/>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C6" sqref="C6"/>
    </sheetView>
  </sheetViews>
  <sheetFormatPr defaultColWidth="8.88888888888889" defaultRowHeight="14.4" outlineLevelCol="7"/>
  <cols>
    <col min="1" max="1" width="9.66666666666667"/>
  </cols>
  <sheetData>
    <row r="1" s="1" customFormat="1" spans="1:8">
      <c r="A1" s="1">
        <f>SUM(B1:AZ1)</f>
        <v>4.66666666666667</v>
      </c>
      <c r="B1" s="1">
        <f t="shared" ref="B1:H1" si="0">COUNTA(B2:B2066)/COLUMN()</f>
        <v>2</v>
      </c>
      <c r="C1" s="1">
        <f t="shared" si="0"/>
        <v>2.66666666666667</v>
      </c>
      <c r="D1" s="1">
        <f t="shared" si="0"/>
        <v>0</v>
      </c>
      <c r="E1" s="1">
        <f t="shared" si="0"/>
        <v>0</v>
      </c>
      <c r="F1" s="1">
        <f t="shared" si="0"/>
        <v>0</v>
      </c>
      <c r="G1" s="1">
        <f t="shared" si="0"/>
        <v>0</v>
      </c>
      <c r="H1" s="1">
        <f t="shared" si="0"/>
        <v>0</v>
      </c>
    </row>
    <row r="2" spans="1:2">
      <c r="A2">
        <v>20240523</v>
      </c>
      <c r="B2" t="s">
        <v>1086</v>
      </c>
    </row>
    <row r="3" spans="2:2">
      <c r="B3" t="s">
        <v>1087</v>
      </c>
    </row>
    <row r="4" spans="3:3">
      <c r="C4" t="s">
        <v>1088</v>
      </c>
    </row>
    <row r="5" spans="3:3">
      <c r="C5" t="s">
        <v>1089</v>
      </c>
    </row>
    <row r="6" spans="3:3">
      <c r="C6" t="s">
        <v>1090</v>
      </c>
    </row>
    <row r="7" spans="2:2">
      <c r="B7" t="s">
        <v>1091</v>
      </c>
    </row>
    <row r="8" spans="3:3">
      <c r="C8" t="s">
        <v>1092</v>
      </c>
    </row>
    <row r="9" spans="3:3">
      <c r="C9" t="s">
        <v>1093</v>
      </c>
    </row>
    <row r="10" spans="3:3">
      <c r="C10" t="s">
        <v>1094</v>
      </c>
    </row>
    <row r="11" spans="3:3">
      <c r="C11" t="s">
        <v>1095</v>
      </c>
    </row>
    <row r="12" spans="3:3">
      <c r="C12" t="s">
        <v>1096</v>
      </c>
    </row>
    <row r="13" spans="2:2">
      <c r="B13" t="s">
        <v>1097</v>
      </c>
    </row>
  </sheetData>
  <pageMargins left="0.75" right="0.75" top="1" bottom="1" header="0.5" footer="0.5"/>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D7" sqref="D7:J7"/>
    </sheetView>
  </sheetViews>
  <sheetFormatPr defaultColWidth="8.88888888888889" defaultRowHeight="14.4" outlineLevelRow="6" outlineLevelCol="7"/>
  <cols>
    <col min="1" max="1" width="9.66666666666667"/>
  </cols>
  <sheetData>
    <row r="1" s="1" customFormat="1" spans="1:8">
      <c r="A1" s="1">
        <f>SUM(B1:AZ1)</f>
        <v>1.91666666666667</v>
      </c>
      <c r="B1" s="1">
        <f t="shared" ref="B1:H1" si="0">COUNTA(B2:B2065)/COLUMN()</f>
        <v>0.5</v>
      </c>
      <c r="C1" s="1">
        <f t="shared" si="0"/>
        <v>0.666666666666667</v>
      </c>
      <c r="D1" s="1">
        <f t="shared" si="0"/>
        <v>0.75</v>
      </c>
      <c r="E1" s="1">
        <f t="shared" si="0"/>
        <v>0</v>
      </c>
      <c r="F1" s="1">
        <f t="shared" si="0"/>
        <v>0</v>
      </c>
      <c r="G1" s="1">
        <f t="shared" si="0"/>
        <v>0</v>
      </c>
      <c r="H1" s="1">
        <f t="shared" si="0"/>
        <v>0</v>
      </c>
    </row>
    <row r="2" spans="1:2">
      <c r="A2">
        <v>20240525</v>
      </c>
      <c r="B2" t="s">
        <v>1098</v>
      </c>
    </row>
    <row r="3" spans="3:3">
      <c r="C3" t="s">
        <v>1099</v>
      </c>
    </row>
    <row r="4" spans="4:4">
      <c r="D4" t="s">
        <v>1100</v>
      </c>
    </row>
    <row r="5" spans="3:3">
      <c r="C5" t="s">
        <v>1101</v>
      </c>
    </row>
    <row r="6" spans="4:4">
      <c r="D6" t="s">
        <v>1102</v>
      </c>
    </row>
    <row r="7" spans="4:4">
      <c r="D7" t="s">
        <v>1103</v>
      </c>
    </row>
  </sheetData>
  <pageMargins left="0.75" right="0.75" top="1" bottom="1" header="0.5" footer="0.5"/>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D8" sqref="D8"/>
    </sheetView>
  </sheetViews>
  <sheetFormatPr defaultColWidth="8.88888888888889" defaultRowHeight="14.4" outlineLevelCol="7"/>
  <cols>
    <col min="1" max="1" width="9.66666666666667"/>
  </cols>
  <sheetData>
    <row r="1" s="1" customFormat="1" spans="1:8">
      <c r="A1" s="1">
        <f>SUM(B1:AZ1)</f>
        <v>4.96666666666667</v>
      </c>
      <c r="B1" s="1">
        <f t="shared" ref="B1:H1" si="0">COUNTA(B2:B2065)/COLUMN()</f>
        <v>1.5</v>
      </c>
      <c r="C1" s="1">
        <f t="shared" si="0"/>
        <v>1.66666666666667</v>
      </c>
      <c r="D1" s="1">
        <f t="shared" si="0"/>
        <v>1</v>
      </c>
      <c r="E1" s="1">
        <f t="shared" si="0"/>
        <v>0.8</v>
      </c>
      <c r="F1" s="1">
        <f t="shared" si="0"/>
        <v>0</v>
      </c>
      <c r="G1" s="1">
        <f t="shared" si="0"/>
        <v>0</v>
      </c>
      <c r="H1" s="1">
        <f t="shared" si="0"/>
        <v>0</v>
      </c>
    </row>
    <row r="2" spans="1:2">
      <c r="A2">
        <v>20240526</v>
      </c>
      <c r="B2" t="s">
        <v>1104</v>
      </c>
    </row>
    <row r="3" spans="2:2">
      <c r="B3" t="s">
        <v>1105</v>
      </c>
    </row>
    <row r="4" spans="3:3">
      <c r="C4" t="s">
        <v>1106</v>
      </c>
    </row>
    <row r="5" spans="3:3">
      <c r="C5" t="s">
        <v>1107</v>
      </c>
    </row>
    <row r="6" spans="3:3">
      <c r="C6" t="s">
        <v>1108</v>
      </c>
    </row>
    <row r="7" spans="4:4">
      <c r="D7" t="s">
        <v>1109</v>
      </c>
    </row>
    <row r="8" spans="4:4">
      <c r="D8" t="s">
        <v>1110</v>
      </c>
    </row>
    <row r="9" spans="3:3">
      <c r="C9" t="s">
        <v>1111</v>
      </c>
    </row>
    <row r="10" spans="4:4">
      <c r="D10" t="s">
        <v>1112</v>
      </c>
    </row>
    <row r="11" spans="5:5">
      <c r="E11" t="s">
        <v>1113</v>
      </c>
    </row>
    <row r="12" spans="5:5">
      <c r="E12" t="s">
        <v>1114</v>
      </c>
    </row>
    <row r="13" spans="4:4">
      <c r="D13" t="s">
        <v>1115</v>
      </c>
    </row>
    <row r="14" spans="5:5">
      <c r="E14" t="s">
        <v>1116</v>
      </c>
    </row>
    <row r="15" spans="5:5">
      <c r="E15" t="s">
        <v>1117</v>
      </c>
    </row>
    <row r="16" spans="2:2">
      <c r="B16" t="s">
        <v>1118</v>
      </c>
    </row>
    <row r="17" spans="3:3">
      <c r="C17" t="s">
        <v>1119</v>
      </c>
    </row>
  </sheetData>
  <pageMargins left="0.75" right="0.75" top="1" bottom="1" header="0.5" footer="0.5"/>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B2" sqref="B2"/>
    </sheetView>
  </sheetViews>
  <sheetFormatPr defaultColWidth="8.88888888888889" defaultRowHeight="14.4" outlineLevelRow="1" outlineLevelCol="7"/>
  <sheetData>
    <row r="1" s="1" customFormat="1" spans="1:8">
      <c r="A1" s="1">
        <f>SUM(B1:AZ1)</f>
        <v>0.5</v>
      </c>
      <c r="B1" s="1">
        <f t="shared" ref="B1:H1" si="0">COUNTA(B2:B2065)/COLUMN()</f>
        <v>0.5</v>
      </c>
      <c r="C1" s="1">
        <f t="shared" si="0"/>
        <v>0</v>
      </c>
      <c r="D1" s="1">
        <f t="shared" si="0"/>
        <v>0</v>
      </c>
      <c r="E1" s="1">
        <f t="shared" si="0"/>
        <v>0</v>
      </c>
      <c r="F1" s="1">
        <f t="shared" si="0"/>
        <v>0</v>
      </c>
      <c r="G1" s="1">
        <f t="shared" si="0"/>
        <v>0</v>
      </c>
      <c r="H1" s="1">
        <f t="shared" si="0"/>
        <v>0</v>
      </c>
    </row>
    <row r="2" spans="1:2">
      <c r="A2">
        <v>20240527</v>
      </c>
      <c r="B2" t="s">
        <v>1120</v>
      </c>
    </row>
  </sheetData>
  <pageMargins left="0.75" right="0.75" top="1" bottom="1" header="0.5" footer="0.5"/>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5" sqref="C5"/>
    </sheetView>
  </sheetViews>
  <sheetFormatPr defaultColWidth="8.88888888888889" defaultRowHeight="14.4" outlineLevelRow="4" outlineLevelCol="7"/>
  <cols>
    <col min="1" max="1" width="9.66666666666667"/>
  </cols>
  <sheetData>
    <row r="1" s="1" customFormat="1" spans="1:8">
      <c r="A1" s="1">
        <f>SUM(B1:AZ1)</f>
        <v>1.5</v>
      </c>
      <c r="B1" s="1">
        <f t="shared" ref="B1:H1" si="0">COUNTA(B2:B2065)/COLUMN()</f>
        <v>0.5</v>
      </c>
      <c r="C1" s="1">
        <f t="shared" si="0"/>
        <v>1</v>
      </c>
      <c r="D1" s="1">
        <f t="shared" si="0"/>
        <v>0</v>
      </c>
      <c r="E1" s="1">
        <f t="shared" si="0"/>
        <v>0</v>
      </c>
      <c r="F1" s="1">
        <f t="shared" si="0"/>
        <v>0</v>
      </c>
      <c r="G1" s="1">
        <f t="shared" si="0"/>
        <v>0</v>
      </c>
      <c r="H1" s="1">
        <f t="shared" si="0"/>
        <v>0</v>
      </c>
    </row>
    <row r="2" spans="1:2">
      <c r="A2">
        <v>20240529</v>
      </c>
      <c r="B2" t="s">
        <v>1121</v>
      </c>
    </row>
    <row r="3" spans="3:3">
      <c r="C3" t="s">
        <v>1122</v>
      </c>
    </row>
    <row r="4" spans="3:3">
      <c r="C4" s="8" t="s">
        <v>1123</v>
      </c>
    </row>
    <row r="5" spans="3:3">
      <c r="C5" s="8" t="s">
        <v>1124</v>
      </c>
    </row>
  </sheetData>
  <pageMargins left="0.75" right="0.75" top="1" bottom="1" header="0.5" footer="0.5"/>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7" sqref="C7"/>
    </sheetView>
  </sheetViews>
  <sheetFormatPr defaultColWidth="8.88888888888889" defaultRowHeight="14.4" outlineLevelRow="7" outlineLevelCol="7"/>
  <cols>
    <col min="1" max="1" width="9.66666666666667"/>
  </cols>
  <sheetData>
    <row r="1" s="1" customFormat="1" spans="1:8">
      <c r="A1" s="1">
        <f>SUM(B1:AZ1)</f>
        <v>2.66666666666667</v>
      </c>
      <c r="B1" s="1">
        <f t="shared" ref="B1:H1" si="0">COUNTA(B2:B2065)/COLUMN()</f>
        <v>1</v>
      </c>
      <c r="C1" s="1">
        <f t="shared" si="0"/>
        <v>1.66666666666667</v>
      </c>
      <c r="D1" s="1">
        <f t="shared" si="0"/>
        <v>0</v>
      </c>
      <c r="E1" s="1">
        <f t="shared" si="0"/>
        <v>0</v>
      </c>
      <c r="F1" s="1">
        <f t="shared" si="0"/>
        <v>0</v>
      </c>
      <c r="G1" s="1">
        <f t="shared" si="0"/>
        <v>0</v>
      </c>
      <c r="H1" s="1">
        <f t="shared" si="0"/>
        <v>0</v>
      </c>
    </row>
    <row r="2" spans="1:2">
      <c r="A2">
        <v>20240530</v>
      </c>
      <c r="B2" t="s">
        <v>1125</v>
      </c>
    </row>
    <row r="3" spans="3:3">
      <c r="C3" t="s">
        <v>1126</v>
      </c>
    </row>
    <row r="4" spans="3:3">
      <c r="C4" t="s">
        <v>1127</v>
      </c>
    </row>
    <row r="5" spans="2:2">
      <c r="B5" t="s">
        <v>1128</v>
      </c>
    </row>
    <row r="6" spans="3:3">
      <c r="C6" t="s">
        <v>1129</v>
      </c>
    </row>
    <row r="7" spans="3:3">
      <c r="C7" t="s">
        <v>1130</v>
      </c>
    </row>
    <row r="8" spans="3:3">
      <c r="C8" t="s">
        <v>1131</v>
      </c>
    </row>
  </sheetData>
  <pageMargins left="0.75" right="0.75" top="1" bottom="1" header="0.5" footer="0.5"/>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8"/>
  <sheetViews>
    <sheetView workbookViewId="0">
      <selection activeCell="C11" sqref="C11"/>
    </sheetView>
  </sheetViews>
  <sheetFormatPr defaultColWidth="8.88888888888889" defaultRowHeight="14.4" outlineLevelCol="7"/>
  <cols>
    <col min="1" max="1" width="9.66666666666667"/>
  </cols>
  <sheetData>
    <row r="1" s="1" customFormat="1" spans="1:8">
      <c r="A1" s="1">
        <f>SUM(B1:AZ1)</f>
        <v>6.08333333333333</v>
      </c>
      <c r="B1" s="1">
        <f t="shared" ref="B1:H1" si="0">COUNTA(B2:B2065)/COLUMN()</f>
        <v>1.5</v>
      </c>
      <c r="C1" s="1">
        <f t="shared" si="0"/>
        <v>4.33333333333333</v>
      </c>
      <c r="D1" s="1">
        <f t="shared" si="0"/>
        <v>0.25</v>
      </c>
      <c r="E1" s="1">
        <f t="shared" si="0"/>
        <v>0</v>
      </c>
      <c r="F1" s="1">
        <f t="shared" si="0"/>
        <v>0</v>
      </c>
      <c r="G1" s="1">
        <f t="shared" si="0"/>
        <v>0</v>
      </c>
      <c r="H1" s="1">
        <f t="shared" si="0"/>
        <v>0</v>
      </c>
    </row>
    <row r="2" spans="1:2">
      <c r="A2">
        <v>20240531</v>
      </c>
      <c r="B2" t="s">
        <v>1132</v>
      </c>
    </row>
    <row r="3" spans="3:3">
      <c r="C3" t="s">
        <v>1133</v>
      </c>
    </row>
    <row r="4" spans="3:3">
      <c r="C4" t="s">
        <v>1134</v>
      </c>
    </row>
    <row r="5" spans="3:3">
      <c r="C5" t="s">
        <v>1135</v>
      </c>
    </row>
    <row r="6" spans="3:3">
      <c r="C6" t="s">
        <v>1136</v>
      </c>
    </row>
    <row r="7" spans="3:3">
      <c r="C7" t="s">
        <v>1137</v>
      </c>
    </row>
    <row r="8" spans="3:3">
      <c r="C8" t="s">
        <v>1138</v>
      </c>
    </row>
    <row r="9" spans="2:2">
      <c r="B9" t="s">
        <v>1139</v>
      </c>
    </row>
    <row r="10" spans="3:3">
      <c r="C10" t="s">
        <v>1140</v>
      </c>
    </row>
    <row r="11" spans="3:3">
      <c r="C11" t="s">
        <v>1141</v>
      </c>
    </row>
    <row r="12" spans="3:3">
      <c r="C12" t="s">
        <v>1142</v>
      </c>
    </row>
    <row r="13" spans="3:3">
      <c r="C13" t="s">
        <v>1143</v>
      </c>
    </row>
    <row r="14" spans="2:2">
      <c r="B14" t="s">
        <v>1144</v>
      </c>
    </row>
    <row r="15" spans="3:3">
      <c r="C15" t="s">
        <v>1145</v>
      </c>
    </row>
    <row r="16" spans="3:3">
      <c r="C16" t="s">
        <v>1146</v>
      </c>
    </row>
    <row r="17" spans="3:3">
      <c r="C17" t="s">
        <v>1147</v>
      </c>
    </row>
    <row r="18" spans="4:4">
      <c r="D18" t="s">
        <v>1148</v>
      </c>
    </row>
  </sheetData>
  <pageMargins left="0.75" right="0.75" top="1" bottom="1" header="0.5" footer="0.5"/>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C5" sqref="C5"/>
    </sheetView>
  </sheetViews>
  <sheetFormatPr defaultColWidth="8.88888888888889" defaultRowHeight="14.4" outlineLevelCol="7"/>
  <cols>
    <col min="1" max="1" width="9.66666666666667"/>
  </cols>
  <sheetData>
    <row r="1" s="1" customFormat="1" spans="1:8">
      <c r="A1" s="1">
        <f>SUM(B1:AZ1)</f>
        <v>4.66666666666667</v>
      </c>
      <c r="B1" s="1">
        <f t="shared" ref="B1:H1" si="0">COUNTA(B2:B2065)/COLUMN()</f>
        <v>1.5</v>
      </c>
      <c r="C1" s="1">
        <f t="shared" si="0"/>
        <v>2.66666666666667</v>
      </c>
      <c r="D1" s="1">
        <f t="shared" si="0"/>
        <v>0.5</v>
      </c>
      <c r="E1" s="1">
        <f t="shared" si="0"/>
        <v>0</v>
      </c>
      <c r="F1" s="1">
        <f t="shared" si="0"/>
        <v>0</v>
      </c>
      <c r="G1" s="1">
        <f t="shared" si="0"/>
        <v>0</v>
      </c>
      <c r="H1" s="1">
        <f t="shared" si="0"/>
        <v>0</v>
      </c>
    </row>
    <row r="2" spans="1:2">
      <c r="A2">
        <v>20240601</v>
      </c>
      <c r="B2" t="s">
        <v>1149</v>
      </c>
    </row>
    <row r="3" spans="3:3">
      <c r="C3" t="s">
        <v>1150</v>
      </c>
    </row>
    <row r="4" spans="2:2">
      <c r="B4" t="s">
        <v>1151</v>
      </c>
    </row>
    <row r="5" spans="3:3">
      <c r="C5" t="s">
        <v>1152</v>
      </c>
    </row>
    <row r="6" spans="3:3">
      <c r="C6" t="s">
        <v>1153</v>
      </c>
    </row>
    <row r="7" spans="3:3">
      <c r="C7" t="s">
        <v>1154</v>
      </c>
    </row>
    <row r="8" spans="2:2">
      <c r="B8" t="s">
        <v>1155</v>
      </c>
    </row>
    <row r="9" spans="3:3">
      <c r="C9" t="s">
        <v>1156</v>
      </c>
    </row>
    <row r="10" spans="3:3">
      <c r="C10" t="s">
        <v>1157</v>
      </c>
    </row>
    <row r="11" spans="3:3">
      <c r="C11" t="s">
        <v>1158</v>
      </c>
    </row>
    <row r="12" spans="3:3">
      <c r="C12" t="s">
        <v>1159</v>
      </c>
    </row>
    <row r="13" spans="4:4">
      <c r="D13" t="s">
        <v>1160</v>
      </c>
    </row>
    <row r="14" spans="4:4">
      <c r="D14" t="s">
        <v>1161</v>
      </c>
    </row>
  </sheetData>
  <pageMargins left="0.75" right="0.75" top="1" bottom="1" header="0.5" footer="0.5"/>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zoomScale="130" zoomScaleNormal="130" workbookViewId="0">
      <selection activeCell="C12" sqref="C12"/>
    </sheetView>
  </sheetViews>
  <sheetFormatPr defaultColWidth="8.88888888888889" defaultRowHeight="14.4" outlineLevelCol="7"/>
  <sheetData>
    <row r="1" s="1" customFormat="1" spans="1:8">
      <c r="A1" s="1">
        <f>SUM(B1:AZ1)</f>
        <v>5.21666666666667</v>
      </c>
      <c r="B1" s="1">
        <f t="shared" ref="B1:H1" si="0">COUNTA(B2:B2066)/COLUMN()</f>
        <v>2</v>
      </c>
      <c r="C1" s="1">
        <f t="shared" si="0"/>
        <v>1.66666666666667</v>
      </c>
      <c r="D1" s="1">
        <f t="shared" si="0"/>
        <v>0.75</v>
      </c>
      <c r="E1" s="1">
        <f t="shared" si="0"/>
        <v>0.8</v>
      </c>
      <c r="F1" s="1">
        <f t="shared" si="0"/>
        <v>0</v>
      </c>
      <c r="G1" s="1">
        <f t="shared" si="0"/>
        <v>0</v>
      </c>
      <c r="H1" s="1">
        <f t="shared" si="0"/>
        <v>0</v>
      </c>
    </row>
    <row r="2" spans="1:2">
      <c r="A2">
        <v>20240602</v>
      </c>
      <c r="B2" t="s">
        <v>1162</v>
      </c>
    </row>
    <row r="3" spans="3:3">
      <c r="C3" t="s">
        <v>1163</v>
      </c>
    </row>
    <row r="4" spans="2:2">
      <c r="B4" t="s">
        <v>1164</v>
      </c>
    </row>
    <row r="5" spans="3:3">
      <c r="C5" t="s">
        <v>1165</v>
      </c>
    </row>
    <row r="6" spans="4:4">
      <c r="D6" t="s">
        <v>1166</v>
      </c>
    </row>
    <row r="7" spans="4:4">
      <c r="D7" t="s">
        <v>1167</v>
      </c>
    </row>
    <row r="8" spans="3:3">
      <c r="C8" t="s">
        <v>1168</v>
      </c>
    </row>
    <row r="9" spans="2:2">
      <c r="B9" t="s">
        <v>1169</v>
      </c>
    </row>
    <row r="10" spans="2:2">
      <c r="B10" t="s">
        <v>1170</v>
      </c>
    </row>
    <row r="11" spans="3:3">
      <c r="C11" t="s">
        <v>1171</v>
      </c>
    </row>
    <row r="12" spans="3:3">
      <c r="C12" t="s">
        <v>1172</v>
      </c>
    </row>
    <row r="13" spans="4:4">
      <c r="D13" t="s">
        <v>1173</v>
      </c>
    </row>
    <row r="14" spans="5:5">
      <c r="E14" t="s">
        <v>1174</v>
      </c>
    </row>
    <row r="15" spans="5:5">
      <c r="E15" t="s">
        <v>1175</v>
      </c>
    </row>
    <row r="16" spans="5:5">
      <c r="E16" t="s">
        <v>1176</v>
      </c>
    </row>
    <row r="17" spans="5:5">
      <c r="E17" t="s">
        <v>1177</v>
      </c>
    </row>
  </sheetData>
  <pageMargins left="0.75" right="0.75" top="1" bottom="1" header="0.5" footer="0.5"/>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cols>
    <col min="1" max="1" width="9.66666666666667"/>
  </cols>
  <sheetData>
    <row r="1" s="1" customFormat="1" spans="1:8">
      <c r="A1" s="1">
        <f>SUM(B1:AZ1)</f>
        <v>1.33333333333333</v>
      </c>
      <c r="B1" s="1">
        <f t="shared" ref="B1:H1" si="0">COUNTA(B2:B2066)/COLUMN()</f>
        <v>1</v>
      </c>
      <c r="C1" s="1">
        <f t="shared" si="0"/>
        <v>0.333333333333333</v>
      </c>
      <c r="D1" s="1">
        <f t="shared" si="0"/>
        <v>0</v>
      </c>
      <c r="E1" s="1">
        <f t="shared" si="0"/>
        <v>0</v>
      </c>
      <c r="F1" s="1">
        <f t="shared" si="0"/>
        <v>0</v>
      </c>
      <c r="G1" s="1">
        <f t="shared" si="0"/>
        <v>0</v>
      </c>
      <c r="H1" s="1">
        <f t="shared" si="0"/>
        <v>0</v>
      </c>
    </row>
    <row r="2" spans="1:2">
      <c r="A2">
        <v>20240603</v>
      </c>
      <c r="B2" t="s">
        <v>1178</v>
      </c>
    </row>
    <row r="3" spans="3:3">
      <c r="C3" t="s">
        <v>1179</v>
      </c>
    </row>
    <row r="4" spans="2:2">
      <c r="B4" t="s">
        <v>1180</v>
      </c>
    </row>
  </sheetData>
  <pageMargins left="0.75" right="0.75" top="1" bottom="1" header="0.5" footer="0.5"/>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2"/>
  <sheetViews>
    <sheetView workbookViewId="0">
      <selection activeCell="C5" sqref="C5"/>
    </sheetView>
  </sheetViews>
  <sheetFormatPr defaultColWidth="8.88888888888889" defaultRowHeight="14.4" outlineLevelCol="7"/>
  <cols>
    <col min="1" max="1" width="9.66666666666667"/>
  </cols>
  <sheetData>
    <row r="1" s="1" customFormat="1" spans="1:8">
      <c r="A1" s="1">
        <f>SUM(B1:AZ1)</f>
        <v>4.16666666666667</v>
      </c>
      <c r="B1" s="1">
        <f t="shared" ref="B1:H1" si="0">COUNTA(B2:B2066)/COLUMN()</f>
        <v>1.5</v>
      </c>
      <c r="C1" s="1">
        <f t="shared" si="0"/>
        <v>2.66666666666667</v>
      </c>
      <c r="D1" s="1">
        <f t="shared" si="0"/>
        <v>0</v>
      </c>
      <c r="E1" s="1">
        <f t="shared" si="0"/>
        <v>0</v>
      </c>
      <c r="F1" s="1">
        <f t="shared" si="0"/>
        <v>0</v>
      </c>
      <c r="G1" s="1">
        <f t="shared" si="0"/>
        <v>0</v>
      </c>
      <c r="H1" s="1">
        <f t="shared" si="0"/>
        <v>0</v>
      </c>
    </row>
    <row r="2" spans="1:2">
      <c r="A2">
        <v>20240720</v>
      </c>
      <c r="B2" t="s">
        <v>1181</v>
      </c>
    </row>
    <row r="3" spans="3:3">
      <c r="C3" t="s">
        <v>1182</v>
      </c>
    </row>
    <row r="4" spans="3:3">
      <c r="C4" t="s">
        <v>1183</v>
      </c>
    </row>
    <row r="5" spans="3:3">
      <c r="C5" t="s">
        <v>1184</v>
      </c>
    </row>
    <row r="6" spans="2:2">
      <c r="B6" t="s">
        <v>1185</v>
      </c>
    </row>
    <row r="7" spans="3:3">
      <c r="C7" t="s">
        <v>1186</v>
      </c>
    </row>
    <row r="8" spans="3:3">
      <c r="C8" t="s">
        <v>1187</v>
      </c>
    </row>
    <row r="9" spans="2:2">
      <c r="B9" t="s">
        <v>1188</v>
      </c>
    </row>
    <row r="10" spans="3:3">
      <c r="C10" t="s">
        <v>1189</v>
      </c>
    </row>
    <row r="11" spans="3:3">
      <c r="C11" t="s">
        <v>1190</v>
      </c>
    </row>
    <row r="12" spans="3:3">
      <c r="C12" t="s">
        <v>1191</v>
      </c>
    </row>
  </sheetData>
  <pageMargins left="0.75" right="0.75" top="1" bottom="1" header="0.5" footer="0.5"/>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G8" sqref="G8"/>
    </sheetView>
  </sheetViews>
  <sheetFormatPr defaultColWidth="8.88888888888889" defaultRowHeight="14.4" outlineLevelCol="7"/>
  <cols>
    <col min="1" max="1" width="9.66666666666667"/>
  </cols>
  <sheetData>
    <row r="1" s="1" customFormat="1" spans="1:8">
      <c r="A1" s="1">
        <f>SUM(B1:AZ1)</f>
        <v>5</v>
      </c>
      <c r="B1" s="1">
        <f t="shared" ref="B1:H1" si="0">COUNTA(B2:B2066)/COLUMN()</f>
        <v>3</v>
      </c>
      <c r="C1" s="1">
        <f t="shared" si="0"/>
        <v>2</v>
      </c>
      <c r="D1" s="1">
        <f t="shared" si="0"/>
        <v>0</v>
      </c>
      <c r="E1" s="1">
        <f t="shared" si="0"/>
        <v>0</v>
      </c>
      <c r="F1" s="1">
        <f t="shared" si="0"/>
        <v>0</v>
      </c>
      <c r="G1" s="1">
        <f t="shared" si="0"/>
        <v>0</v>
      </c>
      <c r="H1" s="1">
        <f t="shared" si="0"/>
        <v>0</v>
      </c>
    </row>
    <row r="2" spans="1:2">
      <c r="A2">
        <v>20240721</v>
      </c>
      <c r="B2" t="s">
        <v>1192</v>
      </c>
    </row>
    <row r="3" spans="3:3">
      <c r="C3" t="s">
        <v>1193</v>
      </c>
    </row>
    <row r="4" spans="2:2">
      <c r="B4" t="s">
        <v>1194</v>
      </c>
    </row>
    <row r="5" spans="3:3">
      <c r="C5" t="s">
        <v>1195</v>
      </c>
    </row>
    <row r="6" spans="2:2">
      <c r="B6" t="s">
        <v>1196</v>
      </c>
    </row>
    <row r="7" spans="2:2">
      <c r="B7" t="s">
        <v>1197</v>
      </c>
    </row>
    <row r="8" spans="3:3">
      <c r="C8" t="s">
        <v>1198</v>
      </c>
    </row>
    <row r="9" spans="3:3">
      <c r="C9" t="s">
        <v>1199</v>
      </c>
    </row>
    <row r="10" spans="2:2">
      <c r="B10" t="s">
        <v>1200</v>
      </c>
    </row>
    <row r="11" spans="2:2">
      <c r="B11" t="s">
        <v>1201</v>
      </c>
    </row>
    <row r="12" spans="3:3">
      <c r="C12" t="s">
        <v>1202</v>
      </c>
    </row>
    <row r="13" spans="3:3">
      <c r="C13" t="s">
        <v>1203</v>
      </c>
    </row>
  </sheetData>
  <pageMargins left="0.75" right="0.75" top="1" bottom="1" header="0.5" footer="0.5"/>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A1" sqref="$A1:$XFD1"/>
    </sheetView>
  </sheetViews>
  <sheetFormatPr defaultColWidth="8.88888888888889" defaultRowHeight="14.4" outlineLevelRow="1" outlineLevelCol="7"/>
  <cols>
    <col min="1" max="1" width="9.66666666666667"/>
  </cols>
  <sheetData>
    <row r="1" s="1" customFormat="1" spans="1:8">
      <c r="A1" s="1">
        <f>SUM(B1:AZ1)</f>
        <v>0.5</v>
      </c>
      <c r="B1" s="1">
        <f t="shared" ref="B1:H1" si="0">COUNTA(B2:B2066)/COLUMN()</f>
        <v>0.5</v>
      </c>
      <c r="C1" s="1">
        <f t="shared" si="0"/>
        <v>0</v>
      </c>
      <c r="D1" s="1">
        <f t="shared" si="0"/>
        <v>0</v>
      </c>
      <c r="E1" s="1">
        <f t="shared" si="0"/>
        <v>0</v>
      </c>
      <c r="F1" s="1">
        <f t="shared" si="0"/>
        <v>0</v>
      </c>
      <c r="G1" s="1">
        <f t="shared" si="0"/>
        <v>0</v>
      </c>
      <c r="H1" s="1">
        <f t="shared" si="0"/>
        <v>0</v>
      </c>
    </row>
    <row r="2" spans="1:2">
      <c r="A2">
        <v>20240727</v>
      </c>
      <c r="B2" t="s">
        <v>1204</v>
      </c>
    </row>
  </sheetData>
  <pageMargins left="0.75" right="0.75" top="1" bottom="1" header="0.5" footer="0.5"/>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2" sqref="A2"/>
    </sheetView>
  </sheetViews>
  <sheetFormatPr defaultColWidth="8.88888888888889" defaultRowHeight="14.4" outlineLevelRow="6" outlineLevelCol="7"/>
  <cols>
    <col min="1" max="1" width="9.66666666666667"/>
  </cols>
  <sheetData>
    <row r="1" s="1" customFormat="1" spans="1:8">
      <c r="A1" s="1">
        <f>SUM(B1:AZ1)</f>
        <v>2.66666666666667</v>
      </c>
      <c r="B1" s="1">
        <f t="shared" ref="B1:H1" si="0">COUNTA(B2:B2066)/COLUMN()</f>
        <v>2</v>
      </c>
      <c r="C1" s="1">
        <f t="shared" si="0"/>
        <v>0.666666666666667</v>
      </c>
      <c r="D1" s="1">
        <f t="shared" si="0"/>
        <v>0</v>
      </c>
      <c r="E1" s="1">
        <f t="shared" si="0"/>
        <v>0</v>
      </c>
      <c r="F1" s="1">
        <f t="shared" si="0"/>
        <v>0</v>
      </c>
      <c r="G1" s="1">
        <f t="shared" si="0"/>
        <v>0</v>
      </c>
      <c r="H1" s="1">
        <f t="shared" si="0"/>
        <v>0</v>
      </c>
    </row>
    <row r="2" spans="1:2">
      <c r="A2">
        <v>20240804</v>
      </c>
      <c r="B2" t="s">
        <v>1205</v>
      </c>
    </row>
    <row r="3" spans="3:3">
      <c r="C3" t="s">
        <v>1206</v>
      </c>
    </row>
    <row r="4" spans="3:3">
      <c r="C4" t="s">
        <v>1207</v>
      </c>
    </row>
    <row r="5" spans="2:2">
      <c r="B5" t="s">
        <v>1208</v>
      </c>
    </row>
    <row r="6" spans="2:2">
      <c r="B6" t="s">
        <v>1209</v>
      </c>
    </row>
    <row r="7" spans="2:2">
      <c r="B7" t="s">
        <v>1210</v>
      </c>
    </row>
  </sheetData>
  <pageMargins left="0.75" right="0.75" top="1" bottom="1" header="0.5" footer="0.5"/>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K12" sqref="K12"/>
    </sheetView>
  </sheetViews>
  <sheetFormatPr defaultColWidth="8.88888888888889" defaultRowHeight="14.4" outlineLevelRow="5" outlineLevelCol="7"/>
  <cols>
    <col min="1" max="1" width="9.66666666666667"/>
  </cols>
  <sheetData>
    <row r="1" s="1" customFormat="1" spans="1:8">
      <c r="A1" s="1">
        <f>SUM(B1:AZ1)</f>
        <v>1.83333333333333</v>
      </c>
      <c r="B1" s="1">
        <f t="shared" ref="B1:H1" si="0">COUNTA(B2:B2066)/COLUMN()</f>
        <v>0.5</v>
      </c>
      <c r="C1" s="1">
        <f t="shared" si="0"/>
        <v>1.33333333333333</v>
      </c>
      <c r="D1" s="1">
        <f t="shared" si="0"/>
        <v>0</v>
      </c>
      <c r="E1" s="1">
        <f t="shared" si="0"/>
        <v>0</v>
      </c>
      <c r="F1" s="1">
        <f t="shared" si="0"/>
        <v>0</v>
      </c>
      <c r="G1" s="1">
        <f t="shared" si="0"/>
        <v>0</v>
      </c>
      <c r="H1" s="1">
        <f t="shared" si="0"/>
        <v>0</v>
      </c>
    </row>
    <row r="2" spans="1:2">
      <c r="A2">
        <v>20240810</v>
      </c>
      <c r="B2" t="s">
        <v>1211</v>
      </c>
    </row>
    <row r="3" spans="3:3">
      <c r="C3" t="s">
        <v>1212</v>
      </c>
    </row>
    <row r="4" spans="3:3">
      <c r="C4" t="s">
        <v>1213</v>
      </c>
    </row>
    <row r="5" spans="3:3">
      <c r="C5" t="s">
        <v>1214</v>
      </c>
    </row>
    <row r="6" spans="3:3">
      <c r="C6" t="s">
        <v>1215</v>
      </c>
    </row>
  </sheetData>
  <pageMargins left="0.75" right="0.75" top="1" bottom="1" header="0.5" footer="0.5"/>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B1" sqref="B1"/>
    </sheetView>
  </sheetViews>
  <sheetFormatPr defaultColWidth="8.88888888888889" defaultRowHeight="14.4" outlineLevelRow="2" outlineLevelCol="7"/>
  <cols>
    <col min="1" max="1" width="9.66666666666667"/>
  </cols>
  <sheetData>
    <row r="1" s="1" customFormat="1" spans="1:8">
      <c r="A1" s="1">
        <f>SUM(B1:AZ1)</f>
        <v>0.833333333333333</v>
      </c>
      <c r="B1" s="1">
        <f>COUNTA(B2:B2066)/COLUMN()</f>
        <v>0.5</v>
      </c>
      <c r="C1" s="1">
        <f t="shared" ref="B1:H1" si="0">COUNTA(C2:C2066)/COLUMN()</f>
        <v>0.333333333333333</v>
      </c>
      <c r="D1" s="1">
        <f t="shared" si="0"/>
        <v>0</v>
      </c>
      <c r="E1" s="1">
        <f t="shared" si="0"/>
        <v>0</v>
      </c>
      <c r="F1" s="1">
        <f t="shared" si="0"/>
        <v>0</v>
      </c>
      <c r="G1" s="1">
        <f t="shared" si="0"/>
        <v>0</v>
      </c>
      <c r="H1" s="1">
        <f t="shared" si="0"/>
        <v>0</v>
      </c>
    </row>
    <row r="2" spans="1:2">
      <c r="A2">
        <v>20240811</v>
      </c>
      <c r="B2" t="s">
        <v>1216</v>
      </c>
    </row>
    <row r="3" spans="3:3">
      <c r="C3" t="s">
        <v>1217</v>
      </c>
    </row>
  </sheetData>
  <pageMargins left="0.75" right="0.75" top="1" bottom="1" header="0.5" footer="0.5"/>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B2" sqref="B2"/>
    </sheetView>
  </sheetViews>
  <sheetFormatPr defaultColWidth="8.88888888888889" defaultRowHeight="14.4" outlineLevelRow="4" outlineLevelCol="7"/>
  <cols>
    <col min="1" max="1" width="9.66666666666667"/>
  </cols>
  <sheetData>
    <row r="1" s="1" customFormat="1" spans="1:8">
      <c r="A1" s="1">
        <f>SUM(B1:AZ1)</f>
        <v>1.66666666666667</v>
      </c>
      <c r="B1" s="1">
        <f t="shared" ref="B1:H1" si="0">COUNTA(B2:B2066)/COLUMN()</f>
        <v>1</v>
      </c>
      <c r="C1" s="1">
        <f t="shared" si="0"/>
        <v>0.666666666666667</v>
      </c>
      <c r="D1" s="1">
        <f t="shared" si="0"/>
        <v>0</v>
      </c>
      <c r="E1" s="1">
        <f t="shared" si="0"/>
        <v>0</v>
      </c>
      <c r="F1" s="1">
        <f t="shared" si="0"/>
        <v>0</v>
      </c>
      <c r="G1" s="1">
        <f t="shared" si="0"/>
        <v>0</v>
      </c>
      <c r="H1" s="1">
        <f t="shared" si="0"/>
        <v>0</v>
      </c>
    </row>
    <row r="2" spans="1:2">
      <c r="A2">
        <v>20240831</v>
      </c>
      <c r="B2" t="s">
        <v>1218</v>
      </c>
    </row>
    <row r="3" spans="2:2">
      <c r="B3" t="s">
        <v>1219</v>
      </c>
    </row>
    <row r="4" spans="3:3">
      <c r="C4" t="s">
        <v>1220</v>
      </c>
    </row>
    <row r="5" spans="3:3">
      <c r="C5" t="s">
        <v>1221</v>
      </c>
    </row>
  </sheetData>
  <pageMargins left="0.75" right="0.75" top="1" bottom="1" header="0.5" footer="0.5"/>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A1" sqref="$A1:$XFD1"/>
    </sheetView>
  </sheetViews>
  <sheetFormatPr defaultColWidth="8.88888888888889" defaultRowHeight="14.4" outlineLevelRow="2" outlineLevelCol="7"/>
  <cols>
    <col min="1" max="1" width="9.66666666666667"/>
  </cols>
  <sheetData>
    <row r="1" s="1" customFormat="1" spans="1:8">
      <c r="A1" s="1">
        <f>SUM(B1:AZ1)</f>
        <v>1</v>
      </c>
      <c r="B1" s="1">
        <f t="shared" ref="B1:H1" si="0">COUNTA(B2:B2066)/COLUMN()</f>
        <v>1</v>
      </c>
      <c r="C1" s="1">
        <f t="shared" si="0"/>
        <v>0</v>
      </c>
      <c r="D1" s="1">
        <f t="shared" si="0"/>
        <v>0</v>
      </c>
      <c r="E1" s="1">
        <f t="shared" si="0"/>
        <v>0</v>
      </c>
      <c r="F1" s="1">
        <f t="shared" si="0"/>
        <v>0</v>
      </c>
      <c r="G1" s="1">
        <f t="shared" si="0"/>
        <v>0</v>
      </c>
      <c r="H1" s="1">
        <f t="shared" si="0"/>
        <v>0</v>
      </c>
    </row>
    <row r="2" spans="1:2">
      <c r="A2">
        <v>20240901</v>
      </c>
      <c r="B2" t="s">
        <v>1222</v>
      </c>
    </row>
    <row r="3" spans="2:2">
      <c r="B3" t="s">
        <v>1223</v>
      </c>
    </row>
  </sheetData>
  <pageMargins left="0.75" right="0.75" top="1" bottom="1" header="0.5" footer="0.5"/>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sheetData>
    <row r="1" s="1" customFormat="1" spans="1:8">
      <c r="A1" s="1">
        <f>SUM(B1:AZ1)</f>
        <v>1.16666666666667</v>
      </c>
      <c r="B1" s="1">
        <f t="shared" ref="B1:H1" si="0">COUNTA(B2:B2066)/COLUMN()</f>
        <v>0.5</v>
      </c>
      <c r="C1" s="1">
        <f t="shared" si="0"/>
        <v>0.666666666666667</v>
      </c>
      <c r="D1" s="1">
        <f t="shared" si="0"/>
        <v>0</v>
      </c>
      <c r="E1" s="1">
        <f t="shared" si="0"/>
        <v>0</v>
      </c>
      <c r="F1" s="1">
        <f t="shared" si="0"/>
        <v>0</v>
      </c>
      <c r="G1" s="1">
        <f t="shared" si="0"/>
        <v>0</v>
      </c>
      <c r="H1" s="1">
        <f t="shared" si="0"/>
        <v>0</v>
      </c>
    </row>
    <row r="2" spans="1:2">
      <c r="A2">
        <v>20240907</v>
      </c>
      <c r="B2" t="s">
        <v>1224</v>
      </c>
    </row>
    <row r="3" spans="3:3">
      <c r="C3" t="s">
        <v>1225</v>
      </c>
    </row>
    <row r="4" spans="3:3">
      <c r="C4" t="s">
        <v>1226</v>
      </c>
    </row>
  </sheetData>
  <pageMargins left="0.75" right="0.75" top="1" bottom="1" header="0.5" footer="0.5"/>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C3" sqref="C3"/>
    </sheetView>
  </sheetViews>
  <sheetFormatPr defaultColWidth="8.88888888888889" defaultRowHeight="14.4" outlineLevelRow="5" outlineLevelCol="7"/>
  <cols>
    <col min="1" max="1" width="9.66666666666667"/>
  </cols>
  <sheetData>
    <row r="1" s="1" customFormat="1" spans="1:8">
      <c r="A1" s="1">
        <f>SUM(B1:AZ1)</f>
        <v>1.83333333333333</v>
      </c>
      <c r="B1" s="1">
        <f t="shared" ref="B1:H1" si="0">COUNTA(B2:B2066)/COLUMN()</f>
        <v>0.5</v>
      </c>
      <c r="C1" s="1">
        <f t="shared" si="0"/>
        <v>1.33333333333333</v>
      </c>
      <c r="D1" s="1">
        <f t="shared" si="0"/>
        <v>0</v>
      </c>
      <c r="E1" s="1">
        <f t="shared" si="0"/>
        <v>0</v>
      </c>
      <c r="F1" s="1">
        <f t="shared" si="0"/>
        <v>0</v>
      </c>
      <c r="G1" s="1">
        <f t="shared" si="0"/>
        <v>0</v>
      </c>
      <c r="H1" s="1">
        <f t="shared" si="0"/>
        <v>0</v>
      </c>
    </row>
    <row r="2" spans="1:2">
      <c r="A2">
        <v>20240908</v>
      </c>
      <c r="B2" t="s">
        <v>1227</v>
      </c>
    </row>
    <row r="3" spans="3:3">
      <c r="C3" t="s">
        <v>1228</v>
      </c>
    </row>
    <row r="4" spans="3:3">
      <c r="C4" t="s">
        <v>1229</v>
      </c>
    </row>
    <row r="5" spans="3:3">
      <c r="C5" t="s">
        <v>1230</v>
      </c>
    </row>
    <row r="6" spans="3:3">
      <c r="C6" t="s">
        <v>1231</v>
      </c>
    </row>
  </sheetData>
  <pageMargins left="0.75" right="0.75" top="1" bottom="1" header="0.5" footer="0.5"/>
  <headerFooter/>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1"/>
    </sheetView>
  </sheetViews>
  <sheetFormatPr defaultColWidth="8.88888888888889" defaultRowHeight="14.4" outlineLevelRow="6" outlineLevelCol="7"/>
  <cols>
    <col min="1" max="1" width="9.66666666666667"/>
  </cols>
  <sheetData>
    <row r="1" s="1" customFormat="1" spans="1:8">
      <c r="A1" s="1">
        <f>SUM(B1:AZ1)</f>
        <v>2.16666666666667</v>
      </c>
      <c r="B1" s="1">
        <f t="shared" ref="B1:H1" si="0">COUNTA(B2:B2066)/COLUMN()</f>
        <v>0.5</v>
      </c>
      <c r="C1" s="1">
        <f t="shared" si="0"/>
        <v>1.66666666666667</v>
      </c>
      <c r="D1" s="1">
        <f t="shared" si="0"/>
        <v>0</v>
      </c>
      <c r="E1" s="1">
        <f t="shared" si="0"/>
        <v>0</v>
      </c>
      <c r="F1" s="1">
        <f t="shared" si="0"/>
        <v>0</v>
      </c>
      <c r="G1" s="1">
        <f t="shared" si="0"/>
        <v>0</v>
      </c>
      <c r="H1" s="1">
        <f t="shared" si="0"/>
        <v>0</v>
      </c>
    </row>
    <row r="2" spans="1:2">
      <c r="A2">
        <v>20240916</v>
      </c>
      <c r="B2" t="s">
        <v>1232</v>
      </c>
    </row>
    <row r="3" spans="3:3">
      <c r="C3" t="s">
        <v>1233</v>
      </c>
    </row>
    <row r="4" spans="3:3">
      <c r="C4" t="s">
        <v>1234</v>
      </c>
    </row>
    <row r="5" spans="3:3">
      <c r="C5" t="s">
        <v>1235</v>
      </c>
    </row>
    <row r="6" spans="3:3">
      <c r="C6" t="s">
        <v>1236</v>
      </c>
    </row>
    <row r="7" spans="3:3">
      <c r="C7" t="s">
        <v>1237</v>
      </c>
    </row>
  </sheetData>
  <pageMargins left="0.75" right="0.75" top="1" bottom="1" header="0.5" footer="0.5"/>
  <headerFooter/>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H5" sqref="H5"/>
    </sheetView>
  </sheetViews>
  <sheetFormatPr defaultColWidth="8.88888888888889" defaultRowHeight="14.4" outlineLevelCol="7"/>
  <cols>
    <col min="1" max="1" width="9.66666666666667"/>
  </cols>
  <sheetData>
    <row r="1" s="1" customFormat="1" spans="1:8">
      <c r="A1" s="1">
        <f>SUM(B1:AZ1)</f>
        <v>3.16666666666667</v>
      </c>
      <c r="B1" s="1">
        <f t="shared" ref="B1:H1" si="0">COUNTA(B2:B2066)/COLUMN()</f>
        <v>1</v>
      </c>
      <c r="C1" s="1">
        <f t="shared" si="0"/>
        <v>1.66666666666667</v>
      </c>
      <c r="D1" s="1">
        <f t="shared" si="0"/>
        <v>0.5</v>
      </c>
      <c r="E1" s="1">
        <f t="shared" si="0"/>
        <v>0</v>
      </c>
      <c r="F1" s="1">
        <f t="shared" si="0"/>
        <v>0</v>
      </c>
      <c r="G1" s="1">
        <f t="shared" si="0"/>
        <v>0</v>
      </c>
      <c r="H1" s="1">
        <f t="shared" si="0"/>
        <v>0</v>
      </c>
    </row>
    <row r="2" spans="1:2">
      <c r="A2">
        <v>20240922</v>
      </c>
      <c r="B2" t="s">
        <v>1238</v>
      </c>
    </row>
    <row r="3" spans="3:3">
      <c r="C3" t="s">
        <v>1239</v>
      </c>
    </row>
    <row r="4" spans="3:3">
      <c r="C4" t="s">
        <v>1240</v>
      </c>
    </row>
    <row r="5" spans="2:2">
      <c r="B5" t="s">
        <v>1241</v>
      </c>
    </row>
    <row r="6" spans="3:3">
      <c r="C6" t="s">
        <v>1242</v>
      </c>
    </row>
    <row r="7" spans="3:3">
      <c r="C7" t="s">
        <v>1243</v>
      </c>
    </row>
    <row r="8" spans="4:4">
      <c r="D8" t="s">
        <v>1244</v>
      </c>
    </row>
    <row r="9" spans="4:4">
      <c r="D9" t="s">
        <v>1245</v>
      </c>
    </row>
    <row r="10" spans="3:3">
      <c r="C10" t="s">
        <v>1246</v>
      </c>
    </row>
  </sheetData>
  <pageMargins left="0.75" right="0.75" top="1" bottom="1" header="0.5" footer="0.5"/>
  <headerFooter/>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J9" sqref="J9"/>
    </sheetView>
  </sheetViews>
  <sheetFormatPr defaultColWidth="8.88888888888889" defaultRowHeight="14.4" outlineLevelCol="7"/>
  <cols>
    <col min="1" max="1" width="9.66666666666667"/>
  </cols>
  <sheetData>
    <row r="1" s="1" customFormat="1" spans="1:8">
      <c r="A1" s="1">
        <f>SUM(B1:AZ1)</f>
        <v>2.58333333333333</v>
      </c>
      <c r="B1" s="1">
        <f t="shared" ref="B1:H1" si="0">COUNTA(B2:B2067)/COLUMN()</f>
        <v>0.5</v>
      </c>
      <c r="C1" s="1">
        <f t="shared" si="0"/>
        <v>1.33333333333333</v>
      </c>
      <c r="D1" s="1">
        <f t="shared" si="0"/>
        <v>0.75</v>
      </c>
      <c r="E1" s="1">
        <f t="shared" si="0"/>
        <v>0</v>
      </c>
      <c r="F1" s="1">
        <f t="shared" si="0"/>
        <v>0</v>
      </c>
      <c r="G1" s="1">
        <f t="shared" si="0"/>
        <v>0</v>
      </c>
      <c r="H1" s="1">
        <f t="shared" si="0"/>
        <v>0</v>
      </c>
    </row>
    <row r="2" spans="1:2">
      <c r="A2">
        <v>20241001</v>
      </c>
      <c r="B2" t="s">
        <v>1247</v>
      </c>
    </row>
    <row r="3" spans="3:3">
      <c r="C3" t="s">
        <v>1248</v>
      </c>
    </row>
    <row r="4" spans="3:3">
      <c r="C4" t="s">
        <v>1249</v>
      </c>
    </row>
    <row r="5" spans="3:3">
      <c r="C5" t="s">
        <v>1250</v>
      </c>
    </row>
    <row r="6" spans="3:3">
      <c r="C6" t="s">
        <v>1251</v>
      </c>
    </row>
    <row r="7" spans="4:4">
      <c r="D7" t="s">
        <v>1252</v>
      </c>
    </row>
    <row r="8" spans="4:4">
      <c r="D8" t="s">
        <v>1253</v>
      </c>
    </row>
    <row r="9" spans="4:4">
      <c r="D9" t="s">
        <v>1254</v>
      </c>
    </row>
  </sheetData>
  <pageMargins left="0.75" right="0.75" top="1" bottom="1" header="0.5" footer="0.5"/>
  <headerFooter/>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B3" sqref="B3"/>
    </sheetView>
  </sheetViews>
  <sheetFormatPr defaultColWidth="8.88888888888889" defaultRowHeight="14.4" outlineLevelRow="2" outlineLevelCol="7"/>
  <cols>
    <col min="1" max="1" width="9.66666666666667"/>
  </cols>
  <sheetData>
    <row r="1" s="1" customFormat="1" spans="1:8">
      <c r="A1" s="1">
        <f>SUM(B1:AZ1)</f>
        <v>1</v>
      </c>
      <c r="B1" s="1">
        <f t="shared" ref="B1:H1" si="0">COUNTA(B2:B2067)/COLUMN()</f>
        <v>1</v>
      </c>
      <c r="C1" s="1">
        <f t="shared" si="0"/>
        <v>0</v>
      </c>
      <c r="D1" s="1">
        <f t="shared" si="0"/>
        <v>0</v>
      </c>
      <c r="E1" s="1">
        <f t="shared" si="0"/>
        <v>0</v>
      </c>
      <c r="F1" s="1">
        <f t="shared" si="0"/>
        <v>0</v>
      </c>
      <c r="G1" s="1">
        <f t="shared" si="0"/>
        <v>0</v>
      </c>
      <c r="H1" s="1">
        <f t="shared" si="0"/>
        <v>0</v>
      </c>
    </row>
    <row r="2" spans="1:2">
      <c r="A2">
        <v>20241006</v>
      </c>
      <c r="B2" t="s">
        <v>1255</v>
      </c>
    </row>
    <row r="3" spans="2:2">
      <c r="B3" t="s">
        <v>1256</v>
      </c>
    </row>
  </sheetData>
  <pageMargins left="0.75" right="0.75" top="1" bottom="1" header="0.5" footer="0.5"/>
  <headerFooter/>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2" sqref="B2"/>
    </sheetView>
  </sheetViews>
  <sheetFormatPr defaultColWidth="8.88888888888889" defaultRowHeight="14.4" outlineLevelRow="3" outlineLevelCol="7"/>
  <sheetData>
    <row r="1" s="1" customFormat="1" spans="1:8">
      <c r="A1" s="1">
        <f>SUM(B1:AZ1)</f>
        <v>1.33333333333333</v>
      </c>
      <c r="B1" s="1">
        <f t="shared" ref="B1:H1" si="0">COUNTA(B2:B2067)/COLUMN()</f>
        <v>1</v>
      </c>
      <c r="C1" s="1">
        <f t="shared" si="0"/>
        <v>0.333333333333333</v>
      </c>
      <c r="D1" s="1">
        <f t="shared" si="0"/>
        <v>0</v>
      </c>
      <c r="E1" s="1">
        <f t="shared" si="0"/>
        <v>0</v>
      </c>
      <c r="F1" s="1">
        <f t="shared" si="0"/>
        <v>0</v>
      </c>
      <c r="G1" s="1">
        <f t="shared" si="0"/>
        <v>0</v>
      </c>
      <c r="H1" s="1">
        <f t="shared" si="0"/>
        <v>0</v>
      </c>
    </row>
    <row r="2" spans="1:2">
      <c r="A2">
        <v>20241019</v>
      </c>
      <c r="B2" t="s">
        <v>1257</v>
      </c>
    </row>
    <row r="3" spans="2:2">
      <c r="B3" t="s">
        <v>1258</v>
      </c>
    </row>
    <row r="4" spans="3:3">
      <c r="C4" t="s">
        <v>1259</v>
      </c>
    </row>
  </sheetData>
  <pageMargins left="0.75" right="0.75" top="1" bottom="1" header="0.5" footer="0.5"/>
  <headerFooter/>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A1" sqref="$A1:$XFD2"/>
    </sheetView>
  </sheetViews>
  <sheetFormatPr defaultColWidth="8.88888888888889" defaultRowHeight="14.4" outlineLevelRow="4" outlineLevelCol="7"/>
  <cols>
    <col min="1" max="1" width="9.66666666666667"/>
  </cols>
  <sheetData>
    <row r="1" s="1" customFormat="1" spans="1:8">
      <c r="A1" s="1">
        <f>SUM(B1:AZ1)</f>
        <v>1.41666666666667</v>
      </c>
      <c r="B1" s="1">
        <f t="shared" ref="B1:H1" si="0">COUNTA(B2:B2067)/COLUMN()</f>
        <v>0.5</v>
      </c>
      <c r="C1" s="1">
        <f t="shared" si="0"/>
        <v>0.666666666666667</v>
      </c>
      <c r="D1" s="1">
        <f t="shared" si="0"/>
        <v>0.25</v>
      </c>
      <c r="E1" s="1">
        <f t="shared" si="0"/>
        <v>0</v>
      </c>
      <c r="F1" s="1">
        <f t="shared" si="0"/>
        <v>0</v>
      </c>
      <c r="G1" s="1">
        <f t="shared" si="0"/>
        <v>0</v>
      </c>
      <c r="H1" s="1">
        <f t="shared" si="0"/>
        <v>0</v>
      </c>
    </row>
    <row r="2" spans="1:2">
      <c r="A2">
        <v>20250202</v>
      </c>
      <c r="B2" t="s">
        <v>1260</v>
      </c>
    </row>
    <row r="3" spans="3:3">
      <c r="C3" t="s">
        <v>1261</v>
      </c>
    </row>
    <row r="4" spans="3:3">
      <c r="C4" t="s">
        <v>1262</v>
      </c>
    </row>
    <row r="5" spans="4:4">
      <c r="D5" t="s">
        <v>1263</v>
      </c>
    </row>
  </sheetData>
  <pageMargins left="0.75" right="0.75" top="1" bottom="1" header="0.5" footer="0.5"/>
  <headerFooter/>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A1" sqref="$A1:$XFD2"/>
    </sheetView>
  </sheetViews>
  <sheetFormatPr defaultColWidth="8.88888888888889" defaultRowHeight="14.4" outlineLevelRow="3" outlineLevelCol="7"/>
  <cols>
    <col min="1" max="1" width="9.66666666666667"/>
  </cols>
  <sheetData>
    <row r="1" s="1" customFormat="1" spans="1:8">
      <c r="A1" s="1">
        <f>SUM(B1:AZ1)</f>
        <v>1.16666666666667</v>
      </c>
      <c r="B1" s="1">
        <f t="shared" ref="B1:H1" si="0">COUNTA(B2:B2067)/COLUMN()</f>
        <v>0.5</v>
      </c>
      <c r="C1" s="1">
        <f t="shared" si="0"/>
        <v>0.666666666666667</v>
      </c>
      <c r="D1" s="1">
        <f t="shared" si="0"/>
        <v>0</v>
      </c>
      <c r="E1" s="1">
        <f t="shared" si="0"/>
        <v>0</v>
      </c>
      <c r="F1" s="1">
        <f t="shared" si="0"/>
        <v>0</v>
      </c>
      <c r="G1" s="1">
        <f t="shared" si="0"/>
        <v>0</v>
      </c>
      <c r="H1" s="1">
        <f t="shared" si="0"/>
        <v>0</v>
      </c>
    </row>
    <row r="2" spans="1:2">
      <c r="A2">
        <v>20250205</v>
      </c>
      <c r="B2" t="s">
        <v>1264</v>
      </c>
    </row>
    <row r="3" spans="3:3">
      <c r="C3" t="s">
        <v>1265</v>
      </c>
    </row>
    <row r="4" spans="3:3">
      <c r="C4" t="s">
        <v>1266</v>
      </c>
    </row>
  </sheetData>
  <pageMargins left="0.75" right="0.75" top="1" bottom="1" header="0.5" footer="0.5"/>
  <headerFooter/>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6" sqref="C6"/>
    </sheetView>
  </sheetViews>
  <sheetFormatPr defaultColWidth="8.88888888888889" defaultRowHeight="14.4" outlineLevelRow="4" outlineLevelCol="7"/>
  <cols>
    <col min="1" max="1" width="9.66666666666667"/>
  </cols>
  <sheetData>
    <row r="1" s="1" customFormat="1" spans="1:8">
      <c r="A1" s="1">
        <f>SUM(B1:AZ1)</f>
        <v>1.5</v>
      </c>
      <c r="B1" s="1">
        <f t="shared" ref="B1:H1" si="0">COUNTA(B2:B2067)/COLUMN()</f>
        <v>0.5</v>
      </c>
      <c r="C1" s="1">
        <f t="shared" si="0"/>
        <v>1</v>
      </c>
      <c r="D1" s="1">
        <f t="shared" si="0"/>
        <v>0</v>
      </c>
      <c r="E1" s="1">
        <f t="shared" si="0"/>
        <v>0</v>
      </c>
      <c r="F1" s="1">
        <f t="shared" si="0"/>
        <v>0</v>
      </c>
      <c r="G1" s="1">
        <f t="shared" si="0"/>
        <v>0</v>
      </c>
      <c r="H1" s="1">
        <f t="shared" si="0"/>
        <v>0</v>
      </c>
    </row>
    <row r="2" spans="1:2">
      <c r="A2">
        <v>20250211</v>
      </c>
      <c r="B2" t="s">
        <v>1267</v>
      </c>
    </row>
    <row r="3" spans="3:3">
      <c r="C3" t="s">
        <v>1268</v>
      </c>
    </row>
    <row r="4" spans="3:3">
      <c r="C4" t="s">
        <v>1269</v>
      </c>
    </row>
    <row r="5" spans="3:3">
      <c r="C5" t="s">
        <v>1270</v>
      </c>
    </row>
  </sheetData>
  <pageMargins left="0.75" right="0.75" top="1" bottom="1" header="0.5" footer="0.5"/>
  <headerFooter/>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D9" sqref="D9"/>
    </sheetView>
  </sheetViews>
  <sheetFormatPr defaultColWidth="8.88888888888889" defaultRowHeight="14.4" outlineLevelCol="7"/>
  <cols>
    <col min="1" max="1" width="9.66666666666667"/>
  </cols>
  <sheetData>
    <row r="1" s="1" customFormat="1" spans="1:8">
      <c r="A1" s="1">
        <f>SUM(B1:AZ1)</f>
        <v>2.83333333333333</v>
      </c>
      <c r="B1" s="1">
        <f t="shared" ref="B1:H1" si="0">COUNTA(B2:B2068)/COLUMN()</f>
        <v>1</v>
      </c>
      <c r="C1" s="1">
        <f t="shared" si="0"/>
        <v>1.33333333333333</v>
      </c>
      <c r="D1" s="1">
        <f t="shared" si="0"/>
        <v>0.5</v>
      </c>
      <c r="E1" s="1">
        <f t="shared" si="0"/>
        <v>0</v>
      </c>
      <c r="F1" s="1">
        <f t="shared" si="0"/>
        <v>0</v>
      </c>
      <c r="G1" s="1">
        <f t="shared" si="0"/>
        <v>0</v>
      </c>
      <c r="H1" s="1">
        <f t="shared" si="0"/>
        <v>0</v>
      </c>
    </row>
    <row r="2" spans="1:2">
      <c r="A2">
        <v>20250214</v>
      </c>
      <c r="B2" t="s">
        <v>1271</v>
      </c>
    </row>
    <row r="3" spans="3:3">
      <c r="C3" t="s">
        <v>1272</v>
      </c>
    </row>
    <row r="4" spans="3:3">
      <c r="C4" t="s">
        <v>1273</v>
      </c>
    </row>
    <row r="5" spans="3:3">
      <c r="C5" t="s">
        <v>1274</v>
      </c>
    </row>
    <row r="6" spans="3:3">
      <c r="C6" t="s">
        <v>1275</v>
      </c>
    </row>
    <row r="7" spans="4:4">
      <c r="D7" t="s">
        <v>1276</v>
      </c>
    </row>
    <row r="8" spans="4:4">
      <c r="D8" t="s">
        <v>1277</v>
      </c>
    </row>
    <row r="9" spans="2:2">
      <c r="B9" t="s">
        <v>1278</v>
      </c>
    </row>
  </sheetData>
  <pageMargins left="0.75" right="0.75" top="1" bottom="1" header="0.5" footer="0.5"/>
  <headerFooter/>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A1" sqref="$A1:$XFD2"/>
    </sheetView>
  </sheetViews>
  <sheetFormatPr defaultColWidth="8.88888888888889" defaultRowHeight="14.4" outlineLevelRow="4" outlineLevelCol="7"/>
  <cols>
    <col min="1" max="1" width="9.66666666666667"/>
  </cols>
  <sheetData>
    <row r="1" s="1" customFormat="1" spans="1:8">
      <c r="A1" s="1">
        <f>SUM(B1:AZ1)</f>
        <v>1.83333333333333</v>
      </c>
      <c r="B1" s="1">
        <f t="shared" ref="B1:H1" si="0">COUNTA(B2:B2067)/COLUMN()</f>
        <v>1.5</v>
      </c>
      <c r="C1" s="1">
        <f t="shared" si="0"/>
        <v>0.333333333333333</v>
      </c>
      <c r="D1" s="1">
        <f t="shared" si="0"/>
        <v>0</v>
      </c>
      <c r="E1" s="1">
        <f t="shared" si="0"/>
        <v>0</v>
      </c>
      <c r="F1" s="1">
        <f t="shared" si="0"/>
        <v>0</v>
      </c>
      <c r="G1" s="1">
        <f t="shared" si="0"/>
        <v>0</v>
      </c>
      <c r="H1" s="1">
        <f t="shared" si="0"/>
        <v>0</v>
      </c>
    </row>
    <row r="2" spans="1:2">
      <c r="A2">
        <v>20250217</v>
      </c>
      <c r="B2" t="s">
        <v>1279</v>
      </c>
    </row>
    <row r="3" spans="2:2">
      <c r="B3" t="s">
        <v>1280</v>
      </c>
    </row>
    <row r="4" spans="2:2">
      <c r="B4" t="s">
        <v>1281</v>
      </c>
    </row>
    <row r="5" spans="3:3">
      <c r="C5" t="s">
        <v>1282</v>
      </c>
    </row>
  </sheetData>
  <pageMargins left="0.75" right="0.75" top="1" bottom="1" header="0.5" footer="0.5"/>
  <headerFooter/>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workbookViewId="0">
      <selection activeCell="C8" sqref="C8"/>
    </sheetView>
  </sheetViews>
  <sheetFormatPr defaultColWidth="8.88888888888889" defaultRowHeight="14.4" outlineLevelCol="7"/>
  <cols>
    <col min="1" max="1" width="9.66666666666667"/>
  </cols>
  <sheetData>
    <row r="1" s="1" customFormat="1" spans="1:8">
      <c r="A1" s="1">
        <f>SUM(B1:AZ1)</f>
        <v>7</v>
      </c>
      <c r="B1" s="1">
        <f t="shared" ref="B1:H1" si="0">COUNTA(B2:B2067)/COLUMN()</f>
        <v>3</v>
      </c>
      <c r="C1" s="1">
        <f t="shared" si="0"/>
        <v>4</v>
      </c>
      <c r="D1" s="1">
        <f t="shared" si="0"/>
        <v>0</v>
      </c>
      <c r="E1" s="1">
        <f t="shared" si="0"/>
        <v>0</v>
      </c>
      <c r="F1" s="1">
        <f t="shared" si="0"/>
        <v>0</v>
      </c>
      <c r="G1" s="1">
        <f t="shared" si="0"/>
        <v>0</v>
      </c>
      <c r="H1" s="1">
        <f t="shared" si="0"/>
        <v>0</v>
      </c>
    </row>
    <row r="2" spans="1:2">
      <c r="A2">
        <v>20250324</v>
      </c>
      <c r="B2" t="s">
        <v>1283</v>
      </c>
    </row>
    <row r="3" spans="3:3">
      <c r="C3" t="s">
        <v>1284</v>
      </c>
    </row>
    <row r="4" spans="3:3">
      <c r="C4" t="s">
        <v>1285</v>
      </c>
    </row>
    <row r="5" spans="3:3">
      <c r="C5" t="s">
        <v>1286</v>
      </c>
    </row>
    <row r="6" spans="2:2">
      <c r="B6" t="s">
        <v>1287</v>
      </c>
    </row>
    <row r="7" spans="3:3">
      <c r="C7" t="s">
        <v>1288</v>
      </c>
    </row>
    <row r="8" spans="3:3">
      <c r="C8" t="s">
        <v>1289</v>
      </c>
    </row>
    <row r="9" spans="2:2">
      <c r="B9" t="s">
        <v>1290</v>
      </c>
    </row>
    <row r="10" spans="3:3">
      <c r="C10" t="s">
        <v>1291</v>
      </c>
    </row>
    <row r="11" spans="2:2">
      <c r="B11" t="s">
        <v>1292</v>
      </c>
    </row>
    <row r="12" spans="3:3">
      <c r="C12" t="s">
        <v>1293</v>
      </c>
    </row>
    <row r="13" spans="3:3">
      <c r="C13" t="s">
        <v>1294</v>
      </c>
    </row>
    <row r="14" spans="3:3">
      <c r="C14" t="s">
        <v>1295</v>
      </c>
    </row>
    <row r="15" spans="2:2">
      <c r="B15" t="s">
        <v>1296</v>
      </c>
    </row>
    <row r="16" spans="3:3">
      <c r="C16" t="s">
        <v>1297</v>
      </c>
    </row>
    <row r="17" spans="3:3">
      <c r="C17" t="s">
        <v>1298</v>
      </c>
    </row>
    <row r="18" spans="3:3">
      <c r="C18" t="s">
        <v>1299</v>
      </c>
    </row>
    <row r="19" spans="2:2">
      <c r="B19" t="s">
        <v>1300</v>
      </c>
    </row>
  </sheetData>
  <pageMargins left="0.75" right="0.75" top="1" bottom="1" header="0.5" footer="0.5"/>
  <headerFooter/>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M5" sqref="M5"/>
    </sheetView>
  </sheetViews>
  <sheetFormatPr defaultColWidth="8.88888888888889" defaultRowHeight="14.4" outlineLevelCol="7"/>
  <sheetData>
    <row r="1" spans="1:8">
      <c r="A1" s="1">
        <f>SUM(B1:AZ1)</f>
        <v>4.08333333333333</v>
      </c>
      <c r="B1" s="1">
        <f t="shared" ref="B1:H1" si="0">COUNTA(B2:B2067)/COLUMN()</f>
        <v>1</v>
      </c>
      <c r="C1" s="1">
        <f t="shared" si="0"/>
        <v>1.33333333333333</v>
      </c>
      <c r="D1" s="1">
        <f t="shared" si="0"/>
        <v>1.75</v>
      </c>
      <c r="E1" s="1">
        <f t="shared" si="0"/>
        <v>0</v>
      </c>
      <c r="F1" s="1">
        <f t="shared" si="0"/>
        <v>0</v>
      </c>
      <c r="G1" s="1">
        <f t="shared" si="0"/>
        <v>0</v>
      </c>
      <c r="H1" s="1">
        <f t="shared" si="0"/>
        <v>0</v>
      </c>
    </row>
    <row r="2" spans="1:2">
      <c r="A2">
        <v>20250324</v>
      </c>
      <c r="B2" t="s">
        <v>1301</v>
      </c>
    </row>
    <row r="3" spans="3:3">
      <c r="C3" t="s">
        <v>1302</v>
      </c>
    </row>
    <row r="4" spans="4:4">
      <c r="D4" t="s">
        <v>1303</v>
      </c>
    </row>
    <row r="5" spans="4:4">
      <c r="D5" t="s">
        <v>1304</v>
      </c>
    </row>
    <row r="6" spans="4:4">
      <c r="D6" t="s">
        <v>1305</v>
      </c>
    </row>
    <row r="7" spans="3:3">
      <c r="C7" t="s">
        <v>1306</v>
      </c>
    </row>
    <row r="8" spans="4:4">
      <c r="D8" t="s">
        <v>1307</v>
      </c>
    </row>
    <row r="9" spans="4:4">
      <c r="D9" t="s">
        <v>1308</v>
      </c>
    </row>
    <row r="10" spans="4:4">
      <c r="D10" t="s">
        <v>1309</v>
      </c>
    </row>
    <row r="11" spans="4:4">
      <c r="D11" t="s">
        <v>1310</v>
      </c>
    </row>
    <row r="12" spans="2:2">
      <c r="B12" t="s">
        <v>1311</v>
      </c>
    </row>
    <row r="13" spans="3:3">
      <c r="C13" t="s">
        <v>1312</v>
      </c>
    </row>
    <row r="14" spans="3:3">
      <c r="C14" t="s">
        <v>1313</v>
      </c>
    </row>
  </sheetData>
  <pageMargins left="0.75" right="0.75" top="1" bottom="1" header="0.5" footer="0.5"/>
  <headerFooter/>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O24" sqref="O24"/>
    </sheetView>
  </sheetViews>
  <sheetFormatPr defaultColWidth="8.88888888888889" defaultRowHeight="14.4" outlineLevelRow="1" outlineLevelCol="7"/>
  <cols>
    <col min="1" max="1" width="9.66666666666667"/>
  </cols>
  <sheetData>
    <row r="1" spans="1:8">
      <c r="A1" s="1">
        <f>SUM(B1:AZ1)</f>
        <v>0.5</v>
      </c>
      <c r="B1" s="1">
        <f t="shared" ref="B1:H1" si="0">COUNTA(B2:B2067)/COLUMN()</f>
        <v>0.5</v>
      </c>
      <c r="C1" s="1">
        <f t="shared" si="0"/>
        <v>0</v>
      </c>
      <c r="D1" s="1">
        <f t="shared" si="0"/>
        <v>0</v>
      </c>
      <c r="E1" s="1">
        <f t="shared" si="0"/>
        <v>0</v>
      </c>
      <c r="F1" s="1">
        <f t="shared" si="0"/>
        <v>0</v>
      </c>
      <c r="G1" s="1">
        <f t="shared" si="0"/>
        <v>0</v>
      </c>
      <c r="H1" s="1">
        <f t="shared" si="0"/>
        <v>0</v>
      </c>
    </row>
    <row r="2" spans="1:2">
      <c r="A2">
        <v>70250324</v>
      </c>
      <c r="B2" t="s">
        <v>1314</v>
      </c>
    </row>
  </sheetData>
  <pageMargins left="0.75" right="0.75" top="1" bottom="1" header="0.5" footer="0.5"/>
  <headerFooter/>
</worksheet>
</file>

<file path=xl/worksheets/sheet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J8" sqref="J8"/>
    </sheetView>
  </sheetViews>
  <sheetFormatPr defaultColWidth="8.88888888888889" defaultRowHeight="14.4" outlineLevelRow="2" outlineLevelCol="7"/>
  <sheetData>
    <row r="1" spans="1:8">
      <c r="A1" s="1">
        <f>SUM(B1:AZ1)</f>
        <v>1</v>
      </c>
      <c r="B1" s="1">
        <f t="shared" ref="B1:H1" si="0">COUNTA(B2:B2067)/COLUMN()</f>
        <v>1</v>
      </c>
      <c r="C1" s="1">
        <f t="shared" si="0"/>
        <v>0</v>
      </c>
      <c r="D1" s="1">
        <f t="shared" si="0"/>
        <v>0</v>
      </c>
      <c r="E1" s="1">
        <f t="shared" si="0"/>
        <v>0</v>
      </c>
      <c r="F1" s="1">
        <f t="shared" si="0"/>
        <v>0</v>
      </c>
      <c r="G1" s="1">
        <f t="shared" si="0"/>
        <v>0</v>
      </c>
      <c r="H1" s="1">
        <f t="shared" si="0"/>
        <v>0</v>
      </c>
    </row>
    <row r="2" spans="1:2">
      <c r="A2">
        <v>20250329</v>
      </c>
      <c r="B2" t="s">
        <v>1315</v>
      </c>
    </row>
    <row r="3" spans="2:2">
      <c r="B3" t="s">
        <v>1316</v>
      </c>
    </row>
  </sheetData>
  <pageMargins left="0.75" right="0.75" top="1" bottom="1" header="0.5" footer="0.5"/>
  <headerFooter/>
</worksheet>
</file>

<file path=xl/worksheets/sheet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C4" sqref="C4"/>
    </sheetView>
  </sheetViews>
  <sheetFormatPr defaultColWidth="8.88888888888889" defaultRowHeight="14.4" outlineLevelRow="6" outlineLevelCol="7"/>
  <cols>
    <col min="1" max="1" width="9.66666666666667"/>
  </cols>
  <sheetData>
    <row r="1" spans="1:8">
      <c r="A1" s="1">
        <f>SUM(B1:AZ1)</f>
        <v>2.33333333333333</v>
      </c>
      <c r="B1" s="1">
        <f t="shared" ref="B1:H1" si="0">COUNTA(B2:B2067)/COLUMN()</f>
        <v>1</v>
      </c>
      <c r="C1" s="1">
        <f t="shared" si="0"/>
        <v>1.33333333333333</v>
      </c>
      <c r="D1" s="1">
        <f t="shared" si="0"/>
        <v>0</v>
      </c>
      <c r="E1" s="1">
        <f t="shared" si="0"/>
        <v>0</v>
      </c>
      <c r="F1" s="1">
        <f t="shared" si="0"/>
        <v>0</v>
      </c>
      <c r="G1" s="1">
        <f t="shared" si="0"/>
        <v>0</v>
      </c>
      <c r="H1" s="1">
        <f t="shared" si="0"/>
        <v>0</v>
      </c>
    </row>
    <row r="2" spans="1:2">
      <c r="A2">
        <v>20250331</v>
      </c>
      <c r="B2" t="s">
        <v>1317</v>
      </c>
    </row>
    <row r="3" spans="3:3">
      <c r="C3" t="s">
        <v>1318</v>
      </c>
    </row>
    <row r="4" spans="3:3">
      <c r="C4" t="s">
        <v>1319</v>
      </c>
    </row>
    <row r="5" spans="2:2">
      <c r="B5" t="s">
        <v>1320</v>
      </c>
    </row>
    <row r="6" spans="3:3">
      <c r="C6" t="s">
        <v>1321</v>
      </c>
    </row>
    <row r="7" spans="3:3">
      <c r="C7" t="s">
        <v>1322</v>
      </c>
    </row>
  </sheetData>
  <pageMargins left="0.75" right="0.75" top="1" bottom="1" header="0.5" footer="0.5"/>
  <headerFooter/>
</worksheet>
</file>

<file path=xl/worksheets/sheet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C3" sqref="C3"/>
    </sheetView>
  </sheetViews>
  <sheetFormatPr defaultColWidth="8.88888888888889" defaultRowHeight="14.4" outlineLevelCol="7"/>
  <sheetData>
    <row r="1" spans="1:8">
      <c r="A1" s="1">
        <f>SUM(B1:AZ1)</f>
        <v>3.53333333333333</v>
      </c>
      <c r="B1" s="1">
        <f t="shared" ref="B1:H1" si="0">COUNTA(B2:B2067)/COLUMN()</f>
        <v>1.5</v>
      </c>
      <c r="C1" s="1">
        <f t="shared" si="0"/>
        <v>1.33333333333333</v>
      </c>
      <c r="D1" s="1">
        <f t="shared" si="0"/>
        <v>0.5</v>
      </c>
      <c r="E1" s="1">
        <f t="shared" si="0"/>
        <v>0.2</v>
      </c>
      <c r="F1" s="1">
        <f t="shared" si="0"/>
        <v>0</v>
      </c>
      <c r="G1" s="1">
        <f t="shared" si="0"/>
        <v>0</v>
      </c>
      <c r="H1" s="1">
        <f t="shared" si="0"/>
        <v>0</v>
      </c>
    </row>
    <row r="2" spans="1:2">
      <c r="A2">
        <v>20250331</v>
      </c>
      <c r="B2" t="s">
        <v>1323</v>
      </c>
    </row>
    <row r="3" spans="3:3">
      <c r="C3" t="s">
        <v>1324</v>
      </c>
    </row>
    <row r="4" spans="2:2">
      <c r="B4" t="s">
        <v>1325</v>
      </c>
    </row>
    <row r="5" spans="3:3">
      <c r="C5" t="s">
        <v>1326</v>
      </c>
    </row>
    <row r="6" spans="3:3">
      <c r="C6" t="s">
        <v>1327</v>
      </c>
    </row>
    <row r="7" spans="2:2">
      <c r="B7" t="s">
        <v>1328</v>
      </c>
    </row>
    <row r="8" spans="3:3">
      <c r="C8" t="s">
        <v>1329</v>
      </c>
    </row>
    <row r="9" spans="4:4">
      <c r="D9" t="s">
        <v>1330</v>
      </c>
    </row>
    <row r="10" spans="4:4">
      <c r="D10" t="s">
        <v>1331</v>
      </c>
    </row>
    <row r="11" spans="5:5">
      <c r="E11" t="s">
        <v>1332</v>
      </c>
    </row>
  </sheetData>
  <pageMargins left="0.75" right="0.75" top="1" bottom="1" header="0.5" footer="0.5"/>
  <headerFooter/>
</worksheet>
</file>

<file path=xl/worksheets/sheet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B4" sqref="B4"/>
    </sheetView>
  </sheetViews>
  <sheetFormatPr defaultColWidth="8.88888888888889" defaultRowHeight="14.4" outlineLevelCol="7"/>
  <cols>
    <col min="1" max="1" width="9.66666666666667"/>
  </cols>
  <sheetData>
    <row r="1" spans="1:8">
      <c r="A1" s="1">
        <f>SUM(B1:AZ1)</f>
        <v>3.33333333333333</v>
      </c>
      <c r="B1" s="1">
        <f t="shared" ref="B1:H1" si="0">COUNTA(B2:B2067)/COLUMN()</f>
        <v>1.5</v>
      </c>
      <c r="C1" s="1">
        <f t="shared" si="0"/>
        <v>1.33333333333333</v>
      </c>
      <c r="D1" s="1">
        <f t="shared" si="0"/>
        <v>0.5</v>
      </c>
      <c r="E1" s="1">
        <f t="shared" si="0"/>
        <v>0</v>
      </c>
      <c r="F1" s="1">
        <f t="shared" si="0"/>
        <v>0</v>
      </c>
      <c r="G1" s="1">
        <f t="shared" si="0"/>
        <v>0</v>
      </c>
      <c r="H1" s="1">
        <f t="shared" si="0"/>
        <v>0</v>
      </c>
    </row>
    <row r="2" spans="1:2">
      <c r="A2">
        <v>20250405</v>
      </c>
      <c r="B2" t="s">
        <v>1333</v>
      </c>
    </row>
    <row r="3" spans="3:3">
      <c r="C3" t="s">
        <v>1334</v>
      </c>
    </row>
    <row r="4" spans="2:2">
      <c r="B4" t="s">
        <v>1335</v>
      </c>
    </row>
    <row r="5" spans="3:3">
      <c r="C5" t="s">
        <v>1336</v>
      </c>
    </row>
    <row r="6" spans="2:2">
      <c r="B6" t="s">
        <v>1337</v>
      </c>
    </row>
    <row r="7" spans="3:3">
      <c r="C7" t="s">
        <v>1338</v>
      </c>
    </row>
    <row r="8" spans="3:3">
      <c r="C8" t="s">
        <v>1339</v>
      </c>
    </row>
    <row r="9" spans="4:4">
      <c r="D9" t="s">
        <v>1340</v>
      </c>
    </row>
    <row r="10" spans="4:4">
      <c r="D10" t="s">
        <v>1341</v>
      </c>
    </row>
  </sheetData>
  <pageMargins left="0.75" right="0.75" top="1" bottom="1" header="0.5" footer="0.5"/>
  <headerFooter/>
</worksheet>
</file>

<file path=xl/worksheets/sheet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5" sqref="C5"/>
    </sheetView>
  </sheetViews>
  <sheetFormatPr defaultColWidth="8.88888888888889" defaultRowHeight="14.4" outlineLevelRow="3" outlineLevelCol="7"/>
  <cols>
    <col min="1" max="1" width="9.66666666666667"/>
  </cols>
  <sheetData>
    <row r="1" spans="1:8">
      <c r="A1" s="1">
        <f>SUM(B1:AZ1)</f>
        <v>1.16666666666667</v>
      </c>
      <c r="B1" s="1">
        <f t="shared" ref="B1:H1" si="0">COUNTA(B2:B2067)/COLUMN()</f>
        <v>0.5</v>
      </c>
      <c r="C1" s="1">
        <f t="shared" si="0"/>
        <v>0.666666666666667</v>
      </c>
      <c r="D1" s="1">
        <f t="shared" si="0"/>
        <v>0</v>
      </c>
      <c r="E1" s="1">
        <f t="shared" si="0"/>
        <v>0</v>
      </c>
      <c r="F1" s="1">
        <f t="shared" si="0"/>
        <v>0</v>
      </c>
      <c r="G1" s="1">
        <f t="shared" si="0"/>
        <v>0</v>
      </c>
      <c r="H1" s="1">
        <f t="shared" si="0"/>
        <v>0</v>
      </c>
    </row>
    <row r="2" spans="1:2">
      <c r="A2">
        <v>20250408</v>
      </c>
      <c r="B2" t="s">
        <v>1342</v>
      </c>
    </row>
    <row r="3" spans="3:3">
      <c r="C3" t="s">
        <v>1343</v>
      </c>
    </row>
    <row r="4" spans="3:3">
      <c r="C4" t="s">
        <v>1344</v>
      </c>
    </row>
  </sheetData>
  <pageMargins left="0.75" right="0.75" top="1" bottom="1" header="0.5" footer="0.5"/>
  <headerFooter/>
</worksheet>
</file>

<file path=xl/worksheets/sheet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2"/>
    </sheetView>
  </sheetViews>
  <sheetFormatPr defaultColWidth="8.88888888888889" defaultRowHeight="14.4" outlineLevelRow="6" outlineLevelCol="7"/>
  <cols>
    <col min="1" max="1" width="9.66666666666667"/>
  </cols>
  <sheetData>
    <row r="1" spans="1:8">
      <c r="A1" s="1">
        <f>SUM(B1:AZ1)</f>
        <v>2</v>
      </c>
      <c r="B1" s="1">
        <f t="shared" ref="B1:H1" si="0">COUNTA(B2:B2067)/COLUMN()</f>
        <v>0.5</v>
      </c>
      <c r="C1" s="1">
        <f t="shared" si="0"/>
        <v>1</v>
      </c>
      <c r="D1" s="1">
        <f t="shared" si="0"/>
        <v>0.5</v>
      </c>
      <c r="E1" s="1">
        <f t="shared" si="0"/>
        <v>0</v>
      </c>
      <c r="F1" s="1">
        <f t="shared" si="0"/>
        <v>0</v>
      </c>
      <c r="G1" s="1">
        <f t="shared" si="0"/>
        <v>0</v>
      </c>
      <c r="H1" s="1">
        <f t="shared" si="0"/>
        <v>0</v>
      </c>
    </row>
    <row r="2" spans="1:2">
      <c r="A2">
        <v>20250411</v>
      </c>
      <c r="B2" t="s">
        <v>1345</v>
      </c>
    </row>
    <row r="3" spans="3:3">
      <c r="C3" t="s">
        <v>1346</v>
      </c>
    </row>
    <row r="4" spans="3:3">
      <c r="C4" t="s">
        <v>1347</v>
      </c>
    </row>
    <row r="5" spans="3:3">
      <c r="C5" t="s">
        <v>1348</v>
      </c>
    </row>
    <row r="6" spans="4:4">
      <c r="D6" t="s">
        <v>1349</v>
      </c>
    </row>
    <row r="7" spans="4:4">
      <c r="D7" t="s">
        <v>1350</v>
      </c>
    </row>
  </sheetData>
  <pageMargins left="0.75" right="0.75" top="1" bottom="1" header="0.5" footer="0.5"/>
  <headerFooter/>
</worksheet>
</file>

<file path=xl/worksheets/sheet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B2" sqref="B2"/>
    </sheetView>
  </sheetViews>
  <sheetFormatPr defaultColWidth="8.88888888888889" defaultRowHeight="14.4" outlineLevelRow="7" outlineLevelCol="7"/>
  <cols>
    <col min="1" max="1" width="9.66666666666667"/>
  </cols>
  <sheetData>
    <row r="1" spans="1:8">
      <c r="A1" s="1">
        <f>SUM(B1:AZ1)</f>
        <v>2.75</v>
      </c>
      <c r="B1" s="1">
        <f t="shared" ref="B1:H1" si="0">COUNTA(B2:B2067)/COLUMN()</f>
        <v>1.5</v>
      </c>
      <c r="C1" s="1">
        <f t="shared" si="0"/>
        <v>1</v>
      </c>
      <c r="D1" s="1">
        <f t="shared" si="0"/>
        <v>0.25</v>
      </c>
      <c r="E1" s="1">
        <f t="shared" si="0"/>
        <v>0</v>
      </c>
      <c r="F1" s="1">
        <f t="shared" si="0"/>
        <v>0</v>
      </c>
      <c r="G1" s="1">
        <f t="shared" si="0"/>
        <v>0</v>
      </c>
      <c r="H1" s="1">
        <f t="shared" si="0"/>
        <v>0</v>
      </c>
    </row>
    <row r="2" spans="1:2">
      <c r="A2">
        <v>20250412</v>
      </c>
      <c r="B2" t="s">
        <v>1351</v>
      </c>
    </row>
    <row r="3" spans="2:2">
      <c r="B3" t="s">
        <v>1352</v>
      </c>
    </row>
    <row r="4" spans="3:3">
      <c r="C4" t="s">
        <v>1353</v>
      </c>
    </row>
    <row r="5" spans="4:4">
      <c r="D5" t="s">
        <v>1354</v>
      </c>
    </row>
    <row r="6" spans="3:3">
      <c r="C6" t="s">
        <v>1355</v>
      </c>
    </row>
    <row r="7" spans="2:2">
      <c r="B7" t="s">
        <v>1356</v>
      </c>
    </row>
    <row r="8" spans="3:3">
      <c r="C8" t="s">
        <v>1357</v>
      </c>
    </row>
  </sheetData>
  <pageMargins left="0.75" right="0.75" top="1" bottom="1" header="0.5" footer="0.5"/>
  <headerFooter/>
</worksheet>
</file>

<file path=xl/worksheets/sheet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B7" sqref="B7"/>
    </sheetView>
  </sheetViews>
  <sheetFormatPr defaultColWidth="8.88888888888889" defaultRowHeight="14.4" outlineLevelRow="6" outlineLevelCol="7"/>
  <cols>
    <col min="1" max="1" width="9.66666666666667"/>
  </cols>
  <sheetData>
    <row r="1" spans="1:8">
      <c r="A1" s="1">
        <f>SUM(B1:AZ1)</f>
        <v>2.16666666666667</v>
      </c>
      <c r="B1" s="1">
        <f t="shared" ref="B1:H1" si="0">COUNTA(B2:B2067)/COLUMN()</f>
        <v>1</v>
      </c>
      <c r="C1" s="1">
        <f t="shared" si="0"/>
        <v>0.666666666666667</v>
      </c>
      <c r="D1" s="1">
        <f t="shared" si="0"/>
        <v>0.5</v>
      </c>
      <c r="E1" s="1">
        <f t="shared" si="0"/>
        <v>0</v>
      </c>
      <c r="F1" s="1">
        <f t="shared" si="0"/>
        <v>0</v>
      </c>
      <c r="G1" s="1">
        <f t="shared" si="0"/>
        <v>0</v>
      </c>
      <c r="H1" s="1">
        <f t="shared" si="0"/>
        <v>0</v>
      </c>
    </row>
    <row r="2" spans="1:2">
      <c r="A2">
        <v>20250416</v>
      </c>
      <c r="B2" t="s">
        <v>1358</v>
      </c>
    </row>
    <row r="3" spans="3:3">
      <c r="C3" t="s">
        <v>1359</v>
      </c>
    </row>
    <row r="4" spans="4:4">
      <c r="D4" t="s">
        <v>1360</v>
      </c>
    </row>
    <row r="5" spans="3:3">
      <c r="C5" t="s">
        <v>1361</v>
      </c>
    </row>
    <row r="6" spans="4:4">
      <c r="D6" t="s">
        <v>1362</v>
      </c>
    </row>
    <row r="7" spans="2:2">
      <c r="B7" t="s">
        <v>1363</v>
      </c>
    </row>
  </sheetData>
  <pageMargins left="0.75" right="0.75" top="1" bottom="1" header="0.5" footer="0.5"/>
  <headerFooter/>
</worksheet>
</file>

<file path=xl/worksheets/sheet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I8" sqref="I8"/>
    </sheetView>
  </sheetViews>
  <sheetFormatPr defaultColWidth="8.88888888888889" defaultRowHeight="14.4" outlineLevelRow="6" outlineLevelCol="7"/>
  <cols>
    <col min="1" max="1" width="9.66666666666667"/>
  </cols>
  <sheetData>
    <row r="1" spans="1:8">
      <c r="A1" s="1">
        <f>SUM(B1:AZ1)</f>
        <v>1.86666666666667</v>
      </c>
      <c r="B1" s="1">
        <f t="shared" ref="B1:H1" si="0">COUNTA(B2:B2067)/COLUMN()</f>
        <v>0.5</v>
      </c>
      <c r="C1" s="1">
        <f t="shared" si="0"/>
        <v>0.666666666666667</v>
      </c>
      <c r="D1" s="1">
        <f t="shared" si="0"/>
        <v>0.5</v>
      </c>
      <c r="E1" s="1">
        <f t="shared" si="0"/>
        <v>0.2</v>
      </c>
      <c r="F1" s="1">
        <f t="shared" si="0"/>
        <v>0</v>
      </c>
      <c r="G1" s="1">
        <f t="shared" si="0"/>
        <v>0</v>
      </c>
      <c r="H1" s="1">
        <f t="shared" si="0"/>
        <v>0</v>
      </c>
    </row>
    <row r="2" spans="1:2">
      <c r="A2">
        <v>20250420</v>
      </c>
      <c r="B2" t="s">
        <v>1364</v>
      </c>
    </row>
    <row r="3" spans="3:3">
      <c r="C3" t="s">
        <v>1365</v>
      </c>
    </row>
    <row r="4" spans="3:3">
      <c r="C4" t="s">
        <v>1366</v>
      </c>
    </row>
    <row r="5" spans="4:4">
      <c r="D5" t="s">
        <v>1367</v>
      </c>
    </row>
    <row r="6" spans="4:4">
      <c r="D6" t="s">
        <v>1368</v>
      </c>
    </row>
    <row r="7" spans="5:5">
      <c r="E7" t="s">
        <v>1369</v>
      </c>
    </row>
  </sheetData>
  <pageMargins left="0.75" right="0.75" top="1" bottom="1" header="0.5" footer="0.5"/>
  <headerFooter/>
</worksheet>
</file>

<file path=xl/worksheets/sheet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
  <sheetViews>
    <sheetView workbookViewId="0">
      <selection activeCell="J12" sqref="J12"/>
    </sheetView>
  </sheetViews>
  <sheetFormatPr defaultColWidth="8.88888888888889" defaultRowHeight="14.4" outlineLevelCol="7"/>
  <cols>
    <col min="1" max="1" width="9.66666666666667"/>
  </cols>
  <sheetData>
    <row r="1" spans="1:8">
      <c r="A1" s="1">
        <f>SUM(B1:AZ1)</f>
        <v>3.4</v>
      </c>
      <c r="B1" s="1">
        <f t="shared" ref="B1:H1" si="0">COUNTA(B2:B2066)/COLUMN()</f>
        <v>0.5</v>
      </c>
      <c r="C1" s="1">
        <f t="shared" si="0"/>
        <v>0.666666666666667</v>
      </c>
      <c r="D1" s="1">
        <f t="shared" si="0"/>
        <v>1</v>
      </c>
      <c r="E1" s="1">
        <f t="shared" si="0"/>
        <v>0.4</v>
      </c>
      <c r="F1" s="1">
        <f t="shared" si="0"/>
        <v>0.833333333333333</v>
      </c>
      <c r="G1" s="1">
        <f t="shared" si="0"/>
        <v>0</v>
      </c>
      <c r="H1" s="1">
        <f t="shared" si="0"/>
        <v>0</v>
      </c>
    </row>
    <row r="2" spans="1:2">
      <c r="A2">
        <v>20250427</v>
      </c>
      <c r="B2" t="s">
        <v>1370</v>
      </c>
    </row>
    <row r="3" spans="3:3">
      <c r="C3" t="s">
        <v>1371</v>
      </c>
    </row>
    <row r="4" spans="4:4">
      <c r="D4" t="s">
        <v>1372</v>
      </c>
    </row>
    <row r="5" spans="4:4">
      <c r="D5" t="s">
        <v>1373</v>
      </c>
    </row>
    <row r="6" spans="5:5">
      <c r="E6" t="s">
        <v>1374</v>
      </c>
    </row>
    <row r="7" spans="5:5">
      <c r="E7" t="s">
        <v>1375</v>
      </c>
    </row>
    <row r="8" spans="6:6">
      <c r="F8" t="s">
        <v>1376</v>
      </c>
    </row>
    <row r="9" spans="6:6">
      <c r="F9" t="s">
        <v>1377</v>
      </c>
    </row>
    <row r="10" spans="6:6">
      <c r="F10" t="s">
        <v>1378</v>
      </c>
    </row>
    <row r="11" spans="6:6">
      <c r="F11" t="s">
        <v>1379</v>
      </c>
    </row>
    <row r="12" spans="6:6">
      <c r="F12" t="s">
        <v>1380</v>
      </c>
    </row>
    <row r="13" spans="3:3">
      <c r="C13" t="s">
        <v>1381</v>
      </c>
    </row>
    <row r="14" spans="4:4">
      <c r="D14" t="s">
        <v>1382</v>
      </c>
    </row>
    <row r="15" spans="4:4">
      <c r="D15" t="s">
        <v>1383</v>
      </c>
    </row>
  </sheetData>
  <pageMargins left="0.75" right="0.75" top="1" bottom="1" header="0.5" footer="0.5"/>
  <headerFooter/>
</worksheet>
</file>

<file path=xl/worksheets/sheet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H7" sqref="H7"/>
    </sheetView>
  </sheetViews>
  <sheetFormatPr defaultColWidth="8.88888888888889" defaultRowHeight="14.4" outlineLevelRow="7" outlineLevelCol="7"/>
  <cols>
    <col min="1" max="1" width="9.66666666666667"/>
  </cols>
  <sheetData>
    <row r="1" spans="1:8">
      <c r="A1" s="1">
        <f>SUM(B1:AZ1)</f>
        <v>2.58333333333333</v>
      </c>
      <c r="B1" s="1">
        <f t="shared" ref="B1:H1" si="0">COUNTA(B2:B2066)/COLUMN()</f>
        <v>1</v>
      </c>
      <c r="C1" s="1">
        <f t="shared" si="0"/>
        <v>1.33333333333333</v>
      </c>
      <c r="D1" s="1">
        <f t="shared" si="0"/>
        <v>0.25</v>
      </c>
      <c r="E1" s="1">
        <f t="shared" si="0"/>
        <v>0</v>
      </c>
      <c r="F1" s="1">
        <f t="shared" si="0"/>
        <v>0</v>
      </c>
      <c r="G1" s="1">
        <f t="shared" si="0"/>
        <v>0</v>
      </c>
      <c r="H1" s="1">
        <f t="shared" si="0"/>
        <v>0</v>
      </c>
    </row>
    <row r="2" spans="1:2">
      <c r="A2">
        <v>20250502</v>
      </c>
      <c r="B2" t="s">
        <v>1384</v>
      </c>
    </row>
    <row r="3" spans="3:3">
      <c r="C3" t="s">
        <v>1385</v>
      </c>
    </row>
    <row r="4" spans="3:3">
      <c r="C4" t="s">
        <v>1386</v>
      </c>
    </row>
    <row r="5" spans="3:3">
      <c r="C5" t="s">
        <v>1387</v>
      </c>
    </row>
    <row r="6" spans="4:4">
      <c r="D6" t="s">
        <v>1388</v>
      </c>
    </row>
    <row r="7" spans="3:3">
      <c r="C7" t="s">
        <v>1389</v>
      </c>
    </row>
    <row r="8" spans="2:2">
      <c r="B8" t="s">
        <v>1390</v>
      </c>
    </row>
  </sheetData>
  <pageMargins left="0.75" right="0.75" top="1" bottom="1" header="0.5" footer="0.5"/>
  <headerFooter/>
</worksheet>
</file>

<file path=xl/worksheets/sheet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4" sqref="C4"/>
    </sheetView>
  </sheetViews>
  <sheetFormatPr defaultColWidth="8.88888888888889" defaultRowHeight="14.4" outlineLevelRow="7" outlineLevelCol="7"/>
  <cols>
    <col min="1" max="1" width="9.66666666666667"/>
  </cols>
  <sheetData>
    <row r="1" spans="1:8">
      <c r="A1" s="1">
        <f>SUM(B1:AZ1)</f>
        <v>2.5</v>
      </c>
      <c r="B1" s="1">
        <f t="shared" ref="B1:H1" si="0">COUNTA(B2:B2067)/COLUMN()</f>
        <v>0.5</v>
      </c>
      <c r="C1" s="1">
        <f t="shared" si="0"/>
        <v>2</v>
      </c>
      <c r="D1" s="1">
        <f t="shared" si="0"/>
        <v>0</v>
      </c>
      <c r="E1" s="1">
        <f t="shared" si="0"/>
        <v>0</v>
      </c>
      <c r="F1" s="1">
        <f t="shared" si="0"/>
        <v>0</v>
      </c>
      <c r="G1" s="1">
        <f t="shared" si="0"/>
        <v>0</v>
      </c>
      <c r="H1" s="1">
        <f t="shared" si="0"/>
        <v>0</v>
      </c>
    </row>
    <row r="2" spans="1:2">
      <c r="A2">
        <v>20250506</v>
      </c>
      <c r="B2" t="s">
        <v>1391</v>
      </c>
    </row>
    <row r="3" spans="3:3">
      <c r="C3" t="s">
        <v>1392</v>
      </c>
    </row>
    <row r="4" spans="3:3">
      <c r="C4" t="s">
        <v>1393</v>
      </c>
    </row>
    <row r="5" spans="3:3">
      <c r="C5" t="s">
        <v>1394</v>
      </c>
    </row>
    <row r="6" spans="3:3">
      <c r="C6" t="s">
        <v>1395</v>
      </c>
    </row>
    <row r="7" spans="3:3">
      <c r="C7" t="s">
        <v>1396</v>
      </c>
    </row>
    <row r="8" spans="3:3">
      <c r="C8" t="s">
        <v>1397</v>
      </c>
    </row>
  </sheetData>
  <pageMargins left="0.75" right="0.75" top="1" bottom="1" header="0.5" footer="0.5"/>
  <headerFooter/>
</worksheet>
</file>

<file path=xl/worksheets/sheet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A1" sqref="$A1:$XFD2"/>
    </sheetView>
  </sheetViews>
  <sheetFormatPr defaultColWidth="8.88888888888889" defaultRowHeight="14.4" outlineLevelRow="5" outlineLevelCol="7"/>
  <sheetData>
    <row r="1" spans="1:8">
      <c r="A1" s="1">
        <f>SUM(B1:AZ1)</f>
        <v>1.83333333333333</v>
      </c>
      <c r="B1" s="1">
        <f t="shared" ref="B1:H1" si="0">COUNTA(B2:B2067)/COLUMN()</f>
        <v>0.5</v>
      </c>
      <c r="C1" s="1">
        <f t="shared" si="0"/>
        <v>1.33333333333333</v>
      </c>
      <c r="D1" s="1">
        <f t="shared" si="0"/>
        <v>0</v>
      </c>
      <c r="E1" s="1">
        <f t="shared" si="0"/>
        <v>0</v>
      </c>
      <c r="F1" s="1">
        <f t="shared" si="0"/>
        <v>0</v>
      </c>
      <c r="G1" s="1">
        <f t="shared" si="0"/>
        <v>0</v>
      </c>
      <c r="H1" s="1">
        <f t="shared" si="0"/>
        <v>0</v>
      </c>
    </row>
    <row r="2" spans="1:2">
      <c r="A2">
        <v>20250506</v>
      </c>
      <c r="B2" t="s">
        <v>1398</v>
      </c>
    </row>
    <row r="3" spans="3:3">
      <c r="C3" t="s">
        <v>1399</v>
      </c>
    </row>
    <row r="4" spans="3:3">
      <c r="C4" t="s">
        <v>1400</v>
      </c>
    </row>
    <row r="5" spans="3:3">
      <c r="C5" t="s">
        <v>1401</v>
      </c>
    </row>
    <row r="6" spans="3:3">
      <c r="C6" t="s">
        <v>1402</v>
      </c>
    </row>
  </sheetData>
  <pageMargins left="0.75" right="0.75" top="1" bottom="1" header="0.5" footer="0.5"/>
  <headerFooter/>
</worksheet>
</file>

<file path=xl/worksheets/sheet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A1" sqref="$A1:$XFD2"/>
    </sheetView>
  </sheetViews>
  <sheetFormatPr defaultColWidth="8.88888888888889" defaultRowHeight="14.4" outlineLevelCol="7"/>
  <cols>
    <col min="1" max="1" width="9.66666666666667"/>
  </cols>
  <sheetData>
    <row r="1" spans="1:8">
      <c r="A1" s="1">
        <f>SUM(B1:AZ1)</f>
        <v>2.36666666666667</v>
      </c>
      <c r="B1" s="1">
        <f t="shared" ref="B1:H1" si="0">COUNTA(B2:B2066)/COLUMN()</f>
        <v>0.5</v>
      </c>
      <c r="C1" s="1">
        <f t="shared" si="0"/>
        <v>0.666666666666667</v>
      </c>
      <c r="D1" s="1">
        <f t="shared" si="0"/>
        <v>1</v>
      </c>
      <c r="E1" s="1">
        <f t="shared" si="0"/>
        <v>0.2</v>
      </c>
      <c r="F1" s="1">
        <f t="shared" si="0"/>
        <v>0</v>
      </c>
      <c r="G1" s="1">
        <f t="shared" si="0"/>
        <v>0</v>
      </c>
      <c r="H1" s="1">
        <f t="shared" si="0"/>
        <v>0</v>
      </c>
    </row>
    <row r="2" spans="1:2">
      <c r="A2">
        <v>20250517</v>
      </c>
      <c r="B2" t="s">
        <v>1403</v>
      </c>
    </row>
    <row r="3" spans="3:3">
      <c r="C3" t="s">
        <v>1404</v>
      </c>
    </row>
    <row r="4" spans="4:4">
      <c r="D4" t="s">
        <v>1405</v>
      </c>
    </row>
    <row r="5" spans="4:4">
      <c r="D5" t="s">
        <v>1406</v>
      </c>
    </row>
    <row r="6" spans="3:3">
      <c r="C6" t="s">
        <v>1407</v>
      </c>
    </row>
    <row r="7" spans="4:4">
      <c r="D7" t="s">
        <v>1408</v>
      </c>
    </row>
    <row r="8" spans="4:4">
      <c r="D8" t="s">
        <v>1409</v>
      </c>
    </row>
    <row r="9" spans="5:5">
      <c r="E9" t="s">
        <v>1410</v>
      </c>
    </row>
  </sheetData>
  <pageMargins left="0.75" right="0.75" top="1" bottom="1" header="0.5" footer="0.5"/>
  <headerFooter/>
</worksheet>
</file>

<file path=xl/worksheets/sheet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A1" sqref="$A1:$XFD2"/>
    </sheetView>
  </sheetViews>
  <sheetFormatPr defaultColWidth="8.88888888888889" defaultRowHeight="14.4" outlineLevelCol="7"/>
  <cols>
    <col min="1" max="1" width="9.66666666666667"/>
  </cols>
  <sheetData>
    <row r="1" spans="1:8">
      <c r="A1" s="1">
        <f>SUM(B1:AZ1)</f>
        <v>3.16666666666667</v>
      </c>
      <c r="B1" s="1">
        <f t="shared" ref="B1:H1" si="0">COUNTA(B2:B2066)/COLUMN()</f>
        <v>1</v>
      </c>
      <c r="C1" s="1">
        <f t="shared" si="0"/>
        <v>1.66666666666667</v>
      </c>
      <c r="D1" s="1">
        <f t="shared" si="0"/>
        <v>0.5</v>
      </c>
      <c r="E1" s="1">
        <f t="shared" si="0"/>
        <v>0</v>
      </c>
      <c r="F1" s="1">
        <f t="shared" si="0"/>
        <v>0</v>
      </c>
      <c r="G1" s="1">
        <f t="shared" si="0"/>
        <v>0</v>
      </c>
      <c r="H1" s="1">
        <f t="shared" si="0"/>
        <v>0</v>
      </c>
    </row>
    <row r="2" spans="1:2">
      <c r="A2">
        <v>20250518</v>
      </c>
      <c r="B2" t="s">
        <v>1411</v>
      </c>
    </row>
    <row r="3" spans="3:3">
      <c r="C3" t="s">
        <v>1412</v>
      </c>
    </row>
    <row r="4" spans="3:3">
      <c r="C4" t="s">
        <v>1413</v>
      </c>
    </row>
    <row r="5" spans="2:2">
      <c r="B5" t="s">
        <v>1414</v>
      </c>
    </row>
    <row r="6" spans="3:3">
      <c r="C6" t="s">
        <v>1415</v>
      </c>
    </row>
    <row r="7" spans="4:4">
      <c r="D7" t="s">
        <v>1416</v>
      </c>
    </row>
    <row r="8" spans="4:4">
      <c r="D8" t="s">
        <v>1417</v>
      </c>
    </row>
    <row r="9" spans="3:3">
      <c r="C9" t="s">
        <v>1418</v>
      </c>
    </row>
    <row r="10" spans="3:3">
      <c r="C10" t="s">
        <v>1419</v>
      </c>
    </row>
  </sheetData>
  <pageMargins left="0.75" right="0.75" top="1" bottom="1" header="0.5" footer="0.5"/>
  <headerFooter/>
</worksheet>
</file>

<file path=xl/worksheets/sheet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I11" sqref="I11"/>
    </sheetView>
  </sheetViews>
  <sheetFormatPr defaultColWidth="8.88888888888889" defaultRowHeight="14.4" outlineLevelCol="7"/>
  <cols>
    <col min="1" max="1" width="9.66666666666667"/>
  </cols>
  <sheetData>
    <row r="1" spans="1:8">
      <c r="A1" s="1">
        <f>SUM(B1:AZ1)</f>
        <v>5.75</v>
      </c>
      <c r="B1" s="1">
        <f t="shared" ref="B1:H1" si="0">COUNTA(B2:B2066)/COLUMN()</f>
        <v>1.5</v>
      </c>
      <c r="C1" s="1">
        <f t="shared" si="0"/>
        <v>4</v>
      </c>
      <c r="D1" s="1">
        <f t="shared" si="0"/>
        <v>0.25</v>
      </c>
      <c r="E1" s="1">
        <f t="shared" si="0"/>
        <v>0</v>
      </c>
      <c r="F1" s="1">
        <f t="shared" si="0"/>
        <v>0</v>
      </c>
      <c r="G1" s="1">
        <f t="shared" si="0"/>
        <v>0</v>
      </c>
      <c r="H1" s="1">
        <f t="shared" si="0"/>
        <v>0</v>
      </c>
    </row>
    <row r="2" spans="1:2">
      <c r="A2">
        <v>20250519</v>
      </c>
      <c r="B2" t="s">
        <v>1420</v>
      </c>
    </row>
    <row r="3" spans="3:3">
      <c r="C3" t="s">
        <v>1421</v>
      </c>
    </row>
    <row r="4" spans="3:3">
      <c r="C4" t="s">
        <v>1422</v>
      </c>
    </row>
    <row r="5" spans="3:3">
      <c r="C5" t="s">
        <v>1423</v>
      </c>
    </row>
    <row r="6" spans="3:3">
      <c r="C6" t="s">
        <v>1424</v>
      </c>
    </row>
    <row r="7" spans="4:4">
      <c r="D7" t="s">
        <v>1425</v>
      </c>
    </row>
    <row r="8" spans="2:2">
      <c r="B8" t="s">
        <v>1426</v>
      </c>
    </row>
    <row r="9" spans="3:3">
      <c r="C9" t="s">
        <v>1427</v>
      </c>
    </row>
    <row r="10" spans="3:3">
      <c r="C10" t="s">
        <v>1428</v>
      </c>
    </row>
    <row r="11" spans="3:3">
      <c r="C11" t="s">
        <v>1429</v>
      </c>
    </row>
    <row r="12" spans="3:3">
      <c r="C12" t="s">
        <v>1430</v>
      </c>
    </row>
    <row r="13" spans="2:2">
      <c r="B13" t="s">
        <v>1431</v>
      </c>
    </row>
    <row r="14" spans="3:3">
      <c r="C14" t="s">
        <v>1432</v>
      </c>
    </row>
    <row r="15" spans="3:3">
      <c r="C15" t="s">
        <v>1433</v>
      </c>
    </row>
    <row r="16" spans="3:3">
      <c r="C16" t="s">
        <v>1434</v>
      </c>
    </row>
    <row r="17" spans="3:3">
      <c r="C17" t="s">
        <v>1435</v>
      </c>
    </row>
  </sheetData>
  <pageMargins left="0.75" right="0.75" top="1" bottom="1" header="0.5" footer="0.5"/>
  <headerFooter/>
</worksheet>
</file>

<file path=xl/worksheets/sheet1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B8" sqref="B8"/>
    </sheetView>
  </sheetViews>
  <sheetFormatPr defaultColWidth="8.88888888888889" defaultRowHeight="14.4" outlineLevelCol="7"/>
  <cols>
    <col min="1" max="1" width="9.66666666666667"/>
  </cols>
  <sheetData>
    <row r="1" spans="1:8">
      <c r="A1" s="1">
        <f>SUM(B1:AZ1)</f>
        <v>3.75</v>
      </c>
      <c r="B1" s="1">
        <f t="shared" ref="B1:H1" si="0">COUNTA(B2:B2067)/COLUMN()</f>
        <v>1.5</v>
      </c>
      <c r="C1" s="1">
        <f t="shared" si="0"/>
        <v>2</v>
      </c>
      <c r="D1" s="1">
        <f t="shared" si="0"/>
        <v>0.25</v>
      </c>
      <c r="E1" s="1">
        <f t="shared" si="0"/>
        <v>0</v>
      </c>
      <c r="F1" s="1">
        <f t="shared" si="0"/>
        <v>0</v>
      </c>
      <c r="G1" s="1">
        <f t="shared" si="0"/>
        <v>0</v>
      </c>
      <c r="H1" s="1">
        <f t="shared" si="0"/>
        <v>0</v>
      </c>
    </row>
    <row r="2" spans="1:2">
      <c r="A2">
        <v>20250520</v>
      </c>
      <c r="B2" t="s">
        <v>1436</v>
      </c>
    </row>
    <row r="3" spans="3:3">
      <c r="C3" t="s">
        <v>1437</v>
      </c>
    </row>
    <row r="4" spans="3:3">
      <c r="C4" t="s">
        <v>1438</v>
      </c>
    </row>
    <row r="5" spans="3:3">
      <c r="C5" t="s">
        <v>1439</v>
      </c>
    </row>
    <row r="6" spans="4:4">
      <c r="D6" t="s">
        <v>1440</v>
      </c>
    </row>
    <row r="7" spans="2:2">
      <c r="B7" t="s">
        <v>1441</v>
      </c>
    </row>
    <row r="8" spans="2:2">
      <c r="B8" t="s">
        <v>1442</v>
      </c>
    </row>
    <row r="9" spans="3:3">
      <c r="C9" t="s">
        <v>1443</v>
      </c>
    </row>
    <row r="10" spans="3:3">
      <c r="C10" t="s">
        <v>1444</v>
      </c>
    </row>
    <row r="11" spans="3:3">
      <c r="C11" t="s">
        <v>1445</v>
      </c>
    </row>
  </sheetData>
  <pageMargins left="0.75" right="0.75" top="1" bottom="1" header="0.5" footer="0.5"/>
  <headerFooter/>
</worksheet>
</file>

<file path=xl/worksheets/sheet1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4" sqref="C4"/>
    </sheetView>
  </sheetViews>
  <sheetFormatPr defaultColWidth="8.88888888888889" defaultRowHeight="14.4" outlineLevelRow="7" outlineLevelCol="7"/>
  <cols>
    <col min="1" max="1" width="9.66666666666667"/>
  </cols>
  <sheetData>
    <row r="1" spans="1:8">
      <c r="A1" s="1">
        <f>SUM(B1:AZ1)</f>
        <v>2.66666666666667</v>
      </c>
      <c r="B1" s="1">
        <f t="shared" ref="B1:H1" si="0">COUNTA(B2:B2066)/COLUMN()</f>
        <v>1</v>
      </c>
      <c r="C1" s="1">
        <f t="shared" si="0"/>
        <v>1.66666666666667</v>
      </c>
      <c r="D1" s="1">
        <f t="shared" si="0"/>
        <v>0</v>
      </c>
      <c r="E1" s="1">
        <f t="shared" si="0"/>
        <v>0</v>
      </c>
      <c r="F1" s="1">
        <f t="shared" si="0"/>
        <v>0</v>
      </c>
      <c r="G1" s="1">
        <f t="shared" si="0"/>
        <v>0</v>
      </c>
      <c r="H1" s="1">
        <f t="shared" si="0"/>
        <v>0</v>
      </c>
    </row>
    <row r="2" spans="1:2">
      <c r="A2">
        <v>20250521</v>
      </c>
      <c r="B2" t="s">
        <v>1446</v>
      </c>
    </row>
    <row r="3" spans="3:3">
      <c r="C3" t="s">
        <v>1447</v>
      </c>
    </row>
    <row r="4" spans="3:3">
      <c r="C4" t="s">
        <v>1448</v>
      </c>
    </row>
    <row r="5" spans="3:3">
      <c r="C5" t="s">
        <v>1449</v>
      </c>
    </row>
    <row r="6" spans="2:2">
      <c r="B6" t="s">
        <v>1450</v>
      </c>
    </row>
    <row r="7" spans="3:3">
      <c r="C7" t="s">
        <v>1451</v>
      </c>
    </row>
    <row r="8" spans="3:3">
      <c r="C8" t="s">
        <v>1452</v>
      </c>
    </row>
  </sheetData>
  <pageMargins left="0.75" right="0.75" top="1" bottom="1" header="0.5" footer="0.5"/>
  <headerFooter/>
</worksheet>
</file>

<file path=xl/worksheets/sheet1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B14" sqref="B14"/>
    </sheetView>
  </sheetViews>
  <sheetFormatPr defaultColWidth="8.88888888888889" defaultRowHeight="14.4" outlineLevelCol="7"/>
  <cols>
    <col min="1" max="1" width="9.66666666666667"/>
  </cols>
  <sheetData>
    <row r="1" spans="1:8">
      <c r="A1" s="1">
        <f>SUM(B1:AZ1)</f>
        <v>5.5</v>
      </c>
      <c r="B1" s="1">
        <f t="shared" ref="B1:H1" si="0">COUNTA(B2:B2066)/COLUMN()</f>
        <v>1.5</v>
      </c>
      <c r="C1" s="1">
        <f t="shared" si="0"/>
        <v>3</v>
      </c>
      <c r="D1" s="1">
        <f t="shared" si="0"/>
        <v>1</v>
      </c>
      <c r="E1" s="1">
        <f t="shared" si="0"/>
        <v>0</v>
      </c>
      <c r="F1" s="1">
        <f t="shared" si="0"/>
        <v>0</v>
      </c>
      <c r="G1" s="1">
        <f t="shared" si="0"/>
        <v>0</v>
      </c>
      <c r="H1" s="1">
        <f t="shared" si="0"/>
        <v>0</v>
      </c>
    </row>
    <row r="2" spans="1:2">
      <c r="A2">
        <v>20250522</v>
      </c>
      <c r="B2" t="s">
        <v>1453</v>
      </c>
    </row>
    <row r="3" spans="2:2">
      <c r="B3" t="s">
        <v>1454</v>
      </c>
    </row>
    <row r="4" spans="3:3">
      <c r="C4" t="s">
        <v>1455</v>
      </c>
    </row>
    <row r="5" spans="3:3">
      <c r="C5" t="s">
        <v>1456</v>
      </c>
    </row>
    <row r="6" spans="4:4">
      <c r="D6" t="s">
        <v>1457</v>
      </c>
    </row>
    <row r="7" spans="4:4">
      <c r="D7" t="s">
        <v>1458</v>
      </c>
    </row>
    <row r="8" spans="3:3">
      <c r="C8" t="s">
        <v>1459</v>
      </c>
    </row>
    <row r="9" spans="4:4">
      <c r="D9" t="s">
        <v>1460</v>
      </c>
    </row>
    <row r="10" spans="4:4">
      <c r="D10" t="s">
        <v>1461</v>
      </c>
    </row>
    <row r="11" spans="3:3">
      <c r="C11" t="s">
        <v>1462</v>
      </c>
    </row>
    <row r="12" spans="3:3">
      <c r="C12" t="s">
        <v>1463</v>
      </c>
    </row>
    <row r="13" spans="3:3">
      <c r="C13" t="s">
        <v>1464</v>
      </c>
    </row>
    <row r="14" spans="2:2">
      <c r="B14" t="s">
        <v>1465</v>
      </c>
    </row>
    <row r="15" spans="3:3">
      <c r="C15" t="s">
        <v>1466</v>
      </c>
    </row>
    <row r="16" spans="3:3">
      <c r="C16" t="s">
        <v>1467</v>
      </c>
    </row>
    <row r="17" spans="3:3">
      <c r="C17" t="s">
        <v>1468</v>
      </c>
    </row>
  </sheetData>
  <pageMargins left="0.75" right="0.75" top="1" bottom="1" header="0.5" footer="0.5"/>
  <headerFooter/>
</worksheet>
</file>

<file path=xl/worksheets/sheet1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zoomScale="115" zoomScaleNormal="115" workbookViewId="0">
      <selection activeCell="C8" sqref="C8"/>
    </sheetView>
  </sheetViews>
  <sheetFormatPr defaultColWidth="8.88888888888889" defaultRowHeight="14.4" outlineLevelCol="7"/>
  <cols>
    <col min="1" max="1" width="9.66666666666667"/>
  </cols>
  <sheetData>
    <row r="1" spans="1:8">
      <c r="A1" s="1">
        <f>SUM(B1:AZ1)</f>
        <v>6.2</v>
      </c>
      <c r="B1" s="1">
        <f t="shared" ref="B1:H1" si="0">COUNTA(B2:B2066)/COLUMN()</f>
        <v>2</v>
      </c>
      <c r="C1" s="1">
        <f t="shared" si="0"/>
        <v>3.33333333333333</v>
      </c>
      <c r="D1" s="1">
        <f t="shared" si="0"/>
        <v>0.5</v>
      </c>
      <c r="E1" s="1">
        <f t="shared" si="0"/>
        <v>0.2</v>
      </c>
      <c r="F1" s="1">
        <f t="shared" si="0"/>
        <v>0.166666666666667</v>
      </c>
      <c r="G1" s="1">
        <f t="shared" si="0"/>
        <v>0</v>
      </c>
      <c r="H1" s="1">
        <f t="shared" si="0"/>
        <v>0</v>
      </c>
    </row>
    <row r="2" spans="1:2">
      <c r="A2">
        <v>20250523</v>
      </c>
      <c r="B2" t="s">
        <v>1469</v>
      </c>
    </row>
    <row r="3" spans="3:3">
      <c r="C3" t="s">
        <v>1470</v>
      </c>
    </row>
    <row r="4" spans="3:3">
      <c r="C4" t="s">
        <v>1471</v>
      </c>
    </row>
    <row r="5" spans="3:3">
      <c r="C5" t="s">
        <v>1472</v>
      </c>
    </row>
    <row r="6" spans="3:3">
      <c r="C6" t="s">
        <v>1473</v>
      </c>
    </row>
    <row r="7" spans="2:2">
      <c r="B7" t="s">
        <v>1474</v>
      </c>
    </row>
    <row r="8" spans="3:3">
      <c r="C8" t="s">
        <v>1475</v>
      </c>
    </row>
    <row r="9" spans="4:4">
      <c r="D9" t="s">
        <v>1476</v>
      </c>
    </row>
    <row r="10" spans="4:4">
      <c r="D10" t="s">
        <v>1477</v>
      </c>
    </row>
    <row r="11" spans="5:5">
      <c r="E11" t="s">
        <v>1478</v>
      </c>
    </row>
    <row r="12" spans="6:6">
      <c r="F12" t="s">
        <v>1479</v>
      </c>
    </row>
    <row r="13" spans="2:2">
      <c r="B13" t="s">
        <v>1480</v>
      </c>
    </row>
    <row r="14" spans="3:3">
      <c r="C14" t="s">
        <v>1481</v>
      </c>
    </row>
    <row r="15" spans="2:2">
      <c r="B15" t="s">
        <v>1482</v>
      </c>
    </row>
    <row r="16" spans="3:3">
      <c r="C16" t="s">
        <v>1483</v>
      </c>
    </row>
    <row r="17" spans="3:3">
      <c r="C17" t="s">
        <v>1484</v>
      </c>
    </row>
    <row r="18" spans="3:3">
      <c r="C18" t="s">
        <v>1485</v>
      </c>
    </row>
    <row r="19" spans="3:3">
      <c r="C19" t="s">
        <v>1486</v>
      </c>
    </row>
  </sheetData>
  <pageMargins left="0.75" right="0.75" top="1" bottom="1" header="0.5" footer="0.5"/>
  <headerFooter/>
</worksheet>
</file>

<file path=xl/worksheets/sheet1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zoomScale="115" zoomScaleNormal="115" workbookViewId="0">
      <selection activeCell="J5" sqref="J5"/>
    </sheetView>
  </sheetViews>
  <sheetFormatPr defaultColWidth="8.88888888888889" defaultRowHeight="14.4" outlineLevelRow="2" outlineLevelCol="7"/>
  <cols>
    <col min="1" max="1" width="9.66666666666667"/>
  </cols>
  <sheetData>
    <row r="1" spans="1:8">
      <c r="A1" s="1">
        <f>SUM(B1:AZ1)</f>
        <v>1</v>
      </c>
      <c r="B1" s="1">
        <f t="shared" ref="B1:H1" si="0">COUNTA(B2:B2066)/COLUMN()</f>
        <v>1</v>
      </c>
      <c r="C1" s="1">
        <f t="shared" si="0"/>
        <v>0</v>
      </c>
      <c r="D1" s="1">
        <f t="shared" si="0"/>
        <v>0</v>
      </c>
      <c r="E1" s="1">
        <f t="shared" si="0"/>
        <v>0</v>
      </c>
      <c r="F1" s="1">
        <f t="shared" si="0"/>
        <v>0</v>
      </c>
      <c r="G1" s="1">
        <f t="shared" si="0"/>
        <v>0</v>
      </c>
      <c r="H1" s="1">
        <f t="shared" si="0"/>
        <v>0</v>
      </c>
    </row>
    <row r="2" spans="1:2">
      <c r="A2">
        <v>20250524</v>
      </c>
      <c r="B2" t="s">
        <v>1487</v>
      </c>
    </row>
    <row r="3" spans="2:2">
      <c r="B3" t="s">
        <v>1488</v>
      </c>
    </row>
  </sheetData>
  <pageMargins left="0.75" right="0.75" top="1" bottom="1" header="0.5" footer="0.5"/>
  <headerFooter/>
</worksheet>
</file>

<file path=xl/worksheets/sheet1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8"/>
  <sheetViews>
    <sheetView zoomScale="115" zoomScaleNormal="115" workbookViewId="0">
      <selection activeCell="J10" sqref="J10"/>
    </sheetView>
  </sheetViews>
  <sheetFormatPr defaultColWidth="8.88888888888889" defaultRowHeight="14.4" outlineLevelCol="7"/>
  <cols>
    <col min="1" max="1" width="9.66666666666667"/>
  </cols>
  <sheetData>
    <row r="1" spans="1:8">
      <c r="A1" s="1">
        <f>SUM(B1:AZ1)</f>
        <v>9.83333333333333</v>
      </c>
      <c r="B1" s="1">
        <f t="shared" ref="B1:H1" si="0">COUNTA(B2:B2066)/COLUMN()</f>
        <v>3.5</v>
      </c>
      <c r="C1" s="1">
        <f t="shared" si="0"/>
        <v>5.33333333333333</v>
      </c>
      <c r="D1" s="1">
        <f t="shared" si="0"/>
        <v>1</v>
      </c>
      <c r="E1" s="1">
        <f t="shared" si="0"/>
        <v>0</v>
      </c>
      <c r="F1" s="1">
        <f t="shared" si="0"/>
        <v>0</v>
      </c>
      <c r="G1" s="1">
        <f t="shared" si="0"/>
        <v>0</v>
      </c>
      <c r="H1" s="1">
        <f t="shared" si="0"/>
        <v>0</v>
      </c>
    </row>
    <row r="2" spans="1:2">
      <c r="A2">
        <v>20250525</v>
      </c>
      <c r="B2" t="s">
        <v>1489</v>
      </c>
    </row>
    <row r="3" spans="2:2">
      <c r="B3" t="s">
        <v>1490</v>
      </c>
    </row>
    <row r="4" spans="3:3">
      <c r="C4" t="s">
        <v>1491</v>
      </c>
    </row>
    <row r="5" spans="4:4">
      <c r="D5" t="s">
        <v>1492</v>
      </c>
    </row>
    <row r="6" spans="4:4">
      <c r="D6" t="s">
        <v>1493</v>
      </c>
    </row>
    <row r="7" spans="3:3">
      <c r="C7" t="s">
        <v>1494</v>
      </c>
    </row>
    <row r="8" spans="4:4">
      <c r="D8" t="s">
        <v>1495</v>
      </c>
    </row>
    <row r="9" spans="4:4">
      <c r="D9" t="s">
        <v>1496</v>
      </c>
    </row>
    <row r="10" spans="2:2">
      <c r="B10" t="s">
        <v>1497</v>
      </c>
    </row>
    <row r="11" spans="3:3">
      <c r="C11" t="s">
        <v>1498</v>
      </c>
    </row>
    <row r="12" spans="3:3">
      <c r="C12" t="s">
        <v>1499</v>
      </c>
    </row>
    <row r="13" spans="3:3">
      <c r="C13" t="s">
        <v>1500</v>
      </c>
    </row>
    <row r="14" spans="2:2">
      <c r="B14" t="s">
        <v>1501</v>
      </c>
    </row>
    <row r="15" spans="3:3">
      <c r="C15" t="s">
        <v>1502</v>
      </c>
    </row>
    <row r="16" spans="3:3">
      <c r="C16" t="s">
        <v>1503</v>
      </c>
    </row>
    <row r="17" spans="3:3">
      <c r="C17" t="s">
        <v>1504</v>
      </c>
    </row>
    <row r="18" spans="3:3">
      <c r="C18" t="s">
        <v>1505</v>
      </c>
    </row>
    <row r="19" spans="2:2">
      <c r="B19" t="s">
        <v>1506</v>
      </c>
    </row>
    <row r="20" spans="3:3">
      <c r="C20" t="s">
        <v>1507</v>
      </c>
    </row>
    <row r="21" spans="3:3">
      <c r="C21" t="s">
        <v>1508</v>
      </c>
    </row>
    <row r="22" spans="2:2">
      <c r="B22" t="s">
        <v>1509</v>
      </c>
    </row>
    <row r="23" spans="3:3">
      <c r="C23" t="s">
        <v>1510</v>
      </c>
    </row>
    <row r="24" spans="3:3">
      <c r="C24" t="s">
        <v>1511</v>
      </c>
    </row>
    <row r="25" spans="3:3">
      <c r="C25" t="s">
        <v>1512</v>
      </c>
    </row>
    <row r="26" spans="2:2">
      <c r="B26" t="s">
        <v>1513</v>
      </c>
    </row>
    <row r="27" spans="3:3">
      <c r="C27" t="s">
        <v>1514</v>
      </c>
    </row>
    <row r="28" spans="3:3">
      <c r="C28" t="s">
        <v>1515</v>
      </c>
    </row>
  </sheetData>
  <pageMargins left="0.75" right="0.75" top="1" bottom="1" header="0.5" footer="0.5"/>
  <headerFooter/>
</worksheet>
</file>

<file path=xl/worksheets/sheet1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zoomScale="115" zoomScaleNormal="115" workbookViewId="0">
      <selection activeCell="B2" sqref="B2"/>
    </sheetView>
  </sheetViews>
  <sheetFormatPr defaultColWidth="8.88888888888889" defaultRowHeight="14.4" outlineLevelRow="4" outlineLevelCol="7"/>
  <cols>
    <col min="1" max="1" width="9.66666666666667"/>
  </cols>
  <sheetData>
    <row r="1" spans="1:8">
      <c r="A1" s="1">
        <f>SUM(B1:AZ1)</f>
        <v>1.83333333333333</v>
      </c>
      <c r="B1" s="1">
        <f t="shared" ref="B1:H1" si="0">COUNTA(B2:B2066)/COLUMN()</f>
        <v>1.5</v>
      </c>
      <c r="C1" s="1">
        <f t="shared" si="0"/>
        <v>0.333333333333333</v>
      </c>
      <c r="D1" s="1">
        <f t="shared" si="0"/>
        <v>0</v>
      </c>
      <c r="E1" s="1">
        <f t="shared" si="0"/>
        <v>0</v>
      </c>
      <c r="F1" s="1">
        <f t="shared" si="0"/>
        <v>0</v>
      </c>
      <c r="G1" s="1">
        <f t="shared" si="0"/>
        <v>0</v>
      </c>
      <c r="H1" s="1">
        <f t="shared" si="0"/>
        <v>0</v>
      </c>
    </row>
    <row r="2" spans="1:2">
      <c r="A2">
        <v>20250526</v>
      </c>
      <c r="B2" t="s">
        <v>1516</v>
      </c>
    </row>
    <row r="3" spans="2:2">
      <c r="B3" t="s">
        <v>1517</v>
      </c>
    </row>
    <row r="4" spans="2:2">
      <c r="B4" t="s">
        <v>1518</v>
      </c>
    </row>
    <row r="5" spans="3:3">
      <c r="C5" t="s">
        <v>1519</v>
      </c>
    </row>
  </sheetData>
  <pageMargins left="0.75" right="0.75" top="1" bottom="1" header="0.5" footer="0.5"/>
  <headerFooter/>
</worksheet>
</file>

<file path=xl/worksheets/sheet1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8"/>
  <sheetViews>
    <sheetView zoomScale="115" zoomScaleNormal="115" topLeftCell="B7" workbookViewId="0">
      <selection activeCell="B25" sqref="B25"/>
    </sheetView>
  </sheetViews>
  <sheetFormatPr defaultColWidth="8.88888888888889" defaultRowHeight="14.4" outlineLevelCol="7"/>
  <cols>
    <col min="1" max="1" width="9.66666666666667"/>
  </cols>
  <sheetData>
    <row r="1" spans="1:8">
      <c r="A1" s="1">
        <f>SUM(B1:AZ1)</f>
        <v>9.2</v>
      </c>
      <c r="B1" s="1">
        <f t="shared" ref="B1:H1" si="0">COUNTA(B2:B2066)/COLUMN()</f>
        <v>2.5</v>
      </c>
      <c r="C1" s="1">
        <f t="shared" si="0"/>
        <v>5</v>
      </c>
      <c r="D1" s="1">
        <f t="shared" si="0"/>
        <v>1.5</v>
      </c>
      <c r="E1" s="1">
        <f t="shared" si="0"/>
        <v>0.2</v>
      </c>
      <c r="F1" s="1">
        <f t="shared" si="0"/>
        <v>0</v>
      </c>
      <c r="G1" s="1">
        <f t="shared" si="0"/>
        <v>0</v>
      </c>
      <c r="H1" s="1">
        <f t="shared" si="0"/>
        <v>0</v>
      </c>
    </row>
    <row r="2" spans="1:2">
      <c r="A2" t="str" cm="1">
        <f ca="1" t="array" ref="A2">_wpsfn.SHEETSNAME(A1)</f>
        <v>20250527</v>
      </c>
      <c r="B2" t="s">
        <v>1520</v>
      </c>
    </row>
    <row r="3" spans="3:3">
      <c r="C3" t="s">
        <v>1521</v>
      </c>
    </row>
    <row r="4" spans="4:4">
      <c r="D4" t="s">
        <v>1522</v>
      </c>
    </row>
    <row r="5" spans="4:4">
      <c r="D5" t="s">
        <v>1523</v>
      </c>
    </row>
    <row r="6" spans="3:3">
      <c r="C6" t="s">
        <v>1524</v>
      </c>
    </row>
    <row r="7" spans="4:4">
      <c r="D7" t="s">
        <v>1525</v>
      </c>
    </row>
    <row r="8" spans="4:4">
      <c r="D8" t="s">
        <v>1526</v>
      </c>
    </row>
    <row r="9" spans="5:5">
      <c r="E9" t="s">
        <v>1527</v>
      </c>
    </row>
    <row r="10" spans="2:2">
      <c r="B10" t="s">
        <v>1528</v>
      </c>
    </row>
    <row r="11" spans="3:3">
      <c r="C11" t="s">
        <v>1529</v>
      </c>
    </row>
    <row r="12" spans="3:3">
      <c r="C12" t="s">
        <v>1530</v>
      </c>
    </row>
    <row r="13" spans="3:3">
      <c r="C13" t="s">
        <v>1531</v>
      </c>
    </row>
    <row r="14" spans="3:3">
      <c r="C14" t="s">
        <v>1532</v>
      </c>
    </row>
    <row r="15" spans="3:3">
      <c r="C15" t="s">
        <v>1533</v>
      </c>
    </row>
    <row r="16" spans="3:3">
      <c r="C16" t="s">
        <v>1534</v>
      </c>
    </row>
    <row r="17" spans="2:2">
      <c r="B17" t="s">
        <v>1535</v>
      </c>
    </row>
    <row r="18" spans="3:3">
      <c r="C18" t="s">
        <v>1536</v>
      </c>
    </row>
    <row r="19" spans="3:3">
      <c r="C19" t="s">
        <v>1537</v>
      </c>
    </row>
    <row r="20" spans="4:4">
      <c r="D20" t="s">
        <v>1538</v>
      </c>
    </row>
    <row r="21" spans="4:4">
      <c r="D21" t="s">
        <v>1539</v>
      </c>
    </row>
    <row r="22" spans="3:3">
      <c r="C22" t="s">
        <v>1540</v>
      </c>
    </row>
    <row r="23" spans="3:3">
      <c r="C23" t="s">
        <v>1541</v>
      </c>
    </row>
    <row r="24" spans="3:3">
      <c r="C24" t="s">
        <v>1542</v>
      </c>
    </row>
    <row r="25" spans="2:2">
      <c r="B25" t="s">
        <v>1543</v>
      </c>
    </row>
    <row r="26" spans="3:3">
      <c r="C26" t="s">
        <v>1544</v>
      </c>
    </row>
    <row r="27" spans="3:3">
      <c r="C27" t="s">
        <v>1545</v>
      </c>
    </row>
    <row r="28" spans="2:2">
      <c r="B28" t="s">
        <v>1546</v>
      </c>
    </row>
  </sheetData>
  <pageMargins left="0.75" right="0.75" top="1" bottom="1" header="0.5" footer="0.5"/>
  <headerFooter/>
</worksheet>
</file>

<file path=xl/worksheets/sheet1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15" zoomScaleNormal="115" workbookViewId="0">
      <selection activeCell="B6" sqref="B6"/>
    </sheetView>
  </sheetViews>
  <sheetFormatPr defaultColWidth="8.88888888888889" defaultRowHeight="14.4" outlineLevelRow="5" outlineLevelCol="7"/>
  <cols>
    <col min="1" max="1" width="9.66666666666667"/>
  </cols>
  <sheetData>
    <row r="1" spans="1:8">
      <c r="A1" s="1">
        <f>SUM(B1:AZ1)</f>
        <v>2</v>
      </c>
      <c r="B1" s="1">
        <f t="shared" ref="B1:H1" si="0">COUNTA(B2:B2066)/COLUMN()</f>
        <v>1</v>
      </c>
      <c r="C1" s="1">
        <f t="shared" si="0"/>
        <v>1</v>
      </c>
      <c r="D1" s="1">
        <f t="shared" si="0"/>
        <v>0</v>
      </c>
      <c r="E1" s="1">
        <f t="shared" si="0"/>
        <v>0</v>
      </c>
      <c r="F1" s="1">
        <f t="shared" si="0"/>
        <v>0</v>
      </c>
      <c r="G1" s="1">
        <f t="shared" si="0"/>
        <v>0</v>
      </c>
      <c r="H1" s="1">
        <f t="shared" si="0"/>
        <v>0</v>
      </c>
    </row>
    <row r="2" spans="1:2">
      <c r="A2" t="str" cm="1">
        <f ca="1" t="array" ref="A2">_wpsfn.SHEETSNAME(A1)</f>
        <v>20250528</v>
      </c>
      <c r="B2" t="s">
        <v>1547</v>
      </c>
    </row>
    <row r="3" spans="3:3">
      <c r="C3" t="s">
        <v>1548</v>
      </c>
    </row>
    <row r="4" spans="3:3">
      <c r="C4" t="s">
        <v>1549</v>
      </c>
    </row>
    <row r="5" spans="3:3">
      <c r="C5" t="s">
        <v>1550</v>
      </c>
    </row>
    <row r="6" spans="2:2">
      <c r="B6" t="s">
        <v>1551</v>
      </c>
    </row>
  </sheetData>
  <pageMargins left="0.75" right="0.75" top="1" bottom="1" header="0.5" footer="0.5"/>
  <headerFooter/>
</worksheet>
</file>

<file path=xl/worksheets/sheet1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115" zoomScaleNormal="115" workbookViewId="0">
      <selection activeCell="L8" sqref="L8"/>
    </sheetView>
  </sheetViews>
  <sheetFormatPr defaultColWidth="8.88888888888889" defaultRowHeight="14.4" outlineLevelRow="3" outlineLevelCol="7"/>
  <cols>
    <col min="1" max="1" width="9.66666666666667"/>
  </cols>
  <sheetData>
    <row r="1" spans="1:8">
      <c r="A1" s="1">
        <f>SUM(B1:AZ1)</f>
        <v>1.16666666666667</v>
      </c>
      <c r="B1" s="1">
        <f t="shared" ref="B1:H1" si="0">COUNTA(B2:B2066)/COLUMN()</f>
        <v>0.5</v>
      </c>
      <c r="C1" s="1">
        <f t="shared" si="0"/>
        <v>0.666666666666667</v>
      </c>
      <c r="D1" s="1">
        <f t="shared" si="0"/>
        <v>0</v>
      </c>
      <c r="E1" s="1">
        <f t="shared" si="0"/>
        <v>0</v>
      </c>
      <c r="F1" s="1">
        <f t="shared" si="0"/>
        <v>0</v>
      </c>
      <c r="G1" s="1">
        <f t="shared" si="0"/>
        <v>0</v>
      </c>
      <c r="H1" s="1">
        <f t="shared" si="0"/>
        <v>0</v>
      </c>
    </row>
    <row r="2" spans="1:2">
      <c r="A2" t="str" cm="1">
        <f ca="1" t="array" ref="A2">_wpsfn.SHEETSNAME(A1)</f>
        <v>20250529</v>
      </c>
      <c r="B2" t="s">
        <v>1552</v>
      </c>
    </row>
    <row r="3" spans="3:3">
      <c r="C3" t="s">
        <v>1553</v>
      </c>
    </row>
    <row r="4" spans="3:3">
      <c r="C4" t="s">
        <v>1554</v>
      </c>
    </row>
  </sheetData>
  <pageMargins left="0.75" right="0.75" top="1" bottom="1" header="0.5" footer="0.5"/>
  <headerFooter/>
</worksheet>
</file>

<file path=xl/worksheets/sheet1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8"/>
  <sheetViews>
    <sheetView topLeftCell="A28" workbookViewId="0">
      <selection activeCell="C56" sqref="C56"/>
    </sheetView>
  </sheetViews>
  <sheetFormatPr defaultColWidth="8.88888888888889" defaultRowHeight="14.4" outlineLevelCol="7"/>
  <cols>
    <col min="1" max="1" width="9.66666666666667"/>
  </cols>
  <sheetData>
    <row r="1" spans="1:8">
      <c r="A1" s="1">
        <f>SUM(B1:AZ1)</f>
        <v>18.5</v>
      </c>
      <c r="B1" s="1">
        <f t="shared" ref="B1:H1" si="0">COUNTA(B2:B2072)/COLUMN()</f>
        <v>4.5</v>
      </c>
      <c r="C1" s="1">
        <f t="shared" si="0"/>
        <v>9</v>
      </c>
      <c r="D1" s="1">
        <f t="shared" si="0"/>
        <v>4</v>
      </c>
      <c r="E1" s="1">
        <f t="shared" si="0"/>
        <v>1</v>
      </c>
      <c r="F1" s="1">
        <f t="shared" si="0"/>
        <v>0</v>
      </c>
      <c r="G1" s="1">
        <f t="shared" si="0"/>
        <v>0</v>
      </c>
      <c r="H1" s="1">
        <f t="shared" si="0"/>
        <v>0</v>
      </c>
    </row>
    <row r="2" spans="1:2">
      <c r="A2" t="str" cm="1">
        <f ca="1" t="array" ref="A2">_wpsfn.SHEETSNAME(A1)</f>
        <v>20250530</v>
      </c>
      <c r="B2" t="s">
        <v>1555</v>
      </c>
    </row>
    <row r="3" spans="3:3">
      <c r="C3" t="s">
        <v>1556</v>
      </c>
    </row>
    <row r="4" spans="3:3">
      <c r="C4" t="s">
        <v>1557</v>
      </c>
    </row>
    <row r="5" spans="3:3">
      <c r="C5" t="s">
        <v>1558</v>
      </c>
    </row>
    <row r="6" spans="3:3">
      <c r="C6" t="s">
        <v>1559</v>
      </c>
    </row>
    <row r="7" spans="4:4">
      <c r="D7" t="s">
        <v>1560</v>
      </c>
    </row>
    <row r="8" spans="3:3">
      <c r="C8" t="s">
        <v>1561</v>
      </c>
    </row>
    <row r="9" spans="4:4">
      <c r="D9" t="s">
        <v>1562</v>
      </c>
    </row>
    <row r="10" spans="4:4">
      <c r="D10" t="s">
        <v>1563</v>
      </c>
    </row>
    <row r="11" spans="2:2">
      <c r="B11" t="s">
        <v>1564</v>
      </c>
    </row>
    <row r="12" spans="3:3">
      <c r="C12" t="s">
        <v>1565</v>
      </c>
    </row>
    <row r="13" spans="3:3">
      <c r="C13" t="s">
        <v>1566</v>
      </c>
    </row>
    <row r="14" spans="4:4">
      <c r="D14" t="s">
        <v>1567</v>
      </c>
    </row>
    <row r="15" spans="2:2">
      <c r="B15" t="s">
        <v>1568</v>
      </c>
    </row>
    <row r="16" spans="3:3">
      <c r="C16" t="s">
        <v>1569</v>
      </c>
    </row>
    <row r="17" spans="3:3">
      <c r="C17" t="s">
        <v>1570</v>
      </c>
    </row>
    <row r="18" spans="3:3">
      <c r="C18" t="s">
        <v>1571</v>
      </c>
    </row>
    <row r="19" spans="3:3">
      <c r="C19" t="s">
        <v>1572</v>
      </c>
    </row>
    <row r="20" spans="3:3">
      <c r="C20" t="s">
        <v>1573</v>
      </c>
    </row>
    <row r="21" spans="3:3">
      <c r="C21" t="s">
        <v>1574</v>
      </c>
    </row>
    <row r="22" spans="2:2">
      <c r="B22" t="s">
        <v>1575</v>
      </c>
    </row>
    <row r="23" spans="3:3">
      <c r="C23" t="s">
        <v>1576</v>
      </c>
    </row>
    <row r="24" spans="3:3">
      <c r="C24" t="s">
        <v>1577</v>
      </c>
    </row>
    <row r="25" spans="3:3">
      <c r="C25" t="s">
        <v>1578</v>
      </c>
    </row>
    <row r="26" spans="2:2">
      <c r="B26" t="s">
        <v>1579</v>
      </c>
    </row>
    <row r="27" spans="3:3">
      <c r="C27" t="s">
        <v>1580</v>
      </c>
    </row>
    <row r="28" spans="4:4">
      <c r="D28" t="s">
        <v>1581</v>
      </c>
    </row>
    <row r="29" spans="4:4">
      <c r="D29" t="s">
        <v>1582</v>
      </c>
    </row>
    <row r="30" spans="4:4">
      <c r="D30" t="s">
        <v>1583</v>
      </c>
    </row>
    <row r="31" spans="3:3">
      <c r="C31" t="s">
        <v>1584</v>
      </c>
    </row>
    <row r="32" spans="4:4">
      <c r="D32" t="s">
        <v>1585</v>
      </c>
    </row>
    <row r="33" spans="5:5">
      <c r="E33" t="s">
        <v>1586</v>
      </c>
    </row>
    <row r="34" spans="5:5">
      <c r="E34" t="s">
        <v>1587</v>
      </c>
    </row>
    <row r="35" spans="4:4">
      <c r="D35" t="s">
        <v>1588</v>
      </c>
    </row>
    <row r="36" spans="5:5">
      <c r="E36" t="s">
        <v>1589</v>
      </c>
    </row>
    <row r="37" spans="5:5">
      <c r="E37" t="s">
        <v>1590</v>
      </c>
    </row>
    <row r="38" spans="3:3">
      <c r="C38" t="s">
        <v>1591</v>
      </c>
    </row>
    <row r="39" spans="2:2">
      <c r="B39" t="s">
        <v>1592</v>
      </c>
    </row>
    <row r="40" spans="3:3">
      <c r="C40" t="s">
        <v>1593</v>
      </c>
    </row>
    <row r="41" spans="4:4">
      <c r="D41" t="s">
        <v>1594</v>
      </c>
    </row>
    <row r="42" spans="3:3">
      <c r="C42" t="s">
        <v>1595</v>
      </c>
    </row>
    <row r="43" spans="4:4">
      <c r="D43" t="s">
        <v>1596</v>
      </c>
    </row>
    <row r="44" spans="5:5">
      <c r="E44" t="s">
        <v>1597</v>
      </c>
    </row>
    <row r="45" spans="4:4">
      <c r="D45" t="s">
        <v>1598</v>
      </c>
    </row>
    <row r="46" spans="4:4">
      <c r="D46" t="s">
        <v>1599</v>
      </c>
    </row>
    <row r="47" spans="2:2">
      <c r="B47" t="s">
        <v>1600</v>
      </c>
    </row>
    <row r="48" spans="3:3">
      <c r="C48" t="s">
        <v>1601</v>
      </c>
    </row>
    <row r="49" spans="3:3">
      <c r="C49" s="2" t="s">
        <v>1602</v>
      </c>
    </row>
    <row r="50" spans="3:3">
      <c r="C50" t="s">
        <v>1603</v>
      </c>
    </row>
    <row r="51" spans="4:4">
      <c r="D51" t="s">
        <v>1604</v>
      </c>
    </row>
    <row r="52" spans="4:4">
      <c r="D52" t="s">
        <v>1605</v>
      </c>
    </row>
    <row r="53" spans="4:4">
      <c r="D53" s="2" t="s">
        <v>1606</v>
      </c>
    </row>
    <row r="54" spans="2:2">
      <c r="B54" t="s">
        <v>1607</v>
      </c>
    </row>
    <row r="55" spans="3:3">
      <c r="C55" t="s">
        <v>1608</v>
      </c>
    </row>
    <row r="56" spans="3:3">
      <c r="C56" t="s">
        <v>1609</v>
      </c>
    </row>
    <row r="57" spans="2:2">
      <c r="B57" t="s">
        <v>1610</v>
      </c>
    </row>
    <row r="58" spans="3:3">
      <c r="C58" t="s">
        <v>1611</v>
      </c>
    </row>
  </sheetData>
  <pageMargins left="0.75" right="0.75" top="1" bottom="1" header="0.5" footer="0.5"/>
  <headerFooter/>
</worksheet>
</file>

<file path=xl/worksheets/sheet1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3"/>
  <sheetViews>
    <sheetView workbookViewId="0">
      <selection activeCell="C13" sqref="C13"/>
    </sheetView>
  </sheetViews>
  <sheetFormatPr defaultColWidth="8.88888888888889" defaultRowHeight="14.4" outlineLevelCol="7"/>
  <cols>
    <col min="1" max="1" width="9.66666666666667"/>
  </cols>
  <sheetData>
    <row r="1" spans="1:8">
      <c r="A1" s="1">
        <f>SUM(B1:AZ1)</f>
        <v>6.5</v>
      </c>
      <c r="B1" s="1">
        <f t="shared" ref="B1:H1" si="0">COUNTA(B2:B2072)/COLUMN()</f>
        <v>1.5</v>
      </c>
      <c r="C1" s="1">
        <f t="shared" si="0"/>
        <v>5</v>
      </c>
      <c r="D1" s="1">
        <f t="shared" si="0"/>
        <v>0</v>
      </c>
      <c r="E1" s="1">
        <f t="shared" si="0"/>
        <v>0</v>
      </c>
      <c r="F1" s="1">
        <f t="shared" si="0"/>
        <v>0</v>
      </c>
      <c r="G1" s="1">
        <f t="shared" si="0"/>
        <v>0</v>
      </c>
      <c r="H1" s="1">
        <f t="shared" si="0"/>
        <v>0</v>
      </c>
    </row>
    <row r="2" spans="1:2">
      <c r="A2" t="str" cm="1">
        <f ca="1" t="array" ref="A2">_wpsfn.SHEETSNAME(A1)</f>
        <v>20250531</v>
      </c>
      <c r="B2" t="s">
        <v>1612</v>
      </c>
    </row>
    <row r="3" spans="3:3">
      <c r="C3" t="s">
        <v>1613</v>
      </c>
    </row>
    <row r="4" spans="3:3">
      <c r="C4" t="s">
        <v>1614</v>
      </c>
    </row>
    <row r="5" spans="3:3">
      <c r="C5" t="s">
        <v>1615</v>
      </c>
    </row>
    <row r="6" spans="3:3">
      <c r="C6" t="s">
        <v>1616</v>
      </c>
    </row>
    <row r="7" spans="2:2">
      <c r="B7" t="s">
        <v>1617</v>
      </c>
    </row>
    <row r="8" spans="3:3">
      <c r="C8" t="s">
        <v>1618</v>
      </c>
    </row>
    <row r="9" spans="3:3">
      <c r="C9" t="s">
        <v>1619</v>
      </c>
    </row>
    <row r="10" spans="3:3">
      <c r="C10" t="s">
        <v>1620</v>
      </c>
    </row>
    <row r="11" spans="3:3">
      <c r="C11" t="s">
        <v>1621</v>
      </c>
    </row>
    <row r="12" spans="3:3">
      <c r="C12" t="s">
        <v>1622</v>
      </c>
    </row>
    <row r="13" spans="3:3">
      <c r="C13" t="s">
        <v>1623</v>
      </c>
    </row>
    <row r="14" spans="3:3">
      <c r="C14" t="s">
        <v>1624</v>
      </c>
    </row>
    <row r="15" spans="3:3">
      <c r="C15" t="s">
        <v>1625</v>
      </c>
    </row>
    <row r="16" spans="3:3">
      <c r="C16" t="s">
        <v>1626</v>
      </c>
    </row>
    <row r="17" spans="2:2">
      <c r="B17" t="s">
        <v>1627</v>
      </c>
    </row>
    <row r="18" spans="3:3">
      <c r="C18" t="s">
        <v>1628</v>
      </c>
    </row>
    <row r="19" spans="3:3">
      <c r="C19" t="s">
        <v>1629</v>
      </c>
    </row>
    <row r="49" spans="3:3">
      <c r="C49" s="2"/>
    </row>
    <row r="53" spans="4:4">
      <c r="D53" s="2"/>
    </row>
  </sheetData>
  <pageMargins left="0.75" right="0.75" top="1" bottom="1" header="0.5" footer="0.5"/>
  <headerFooter/>
</worksheet>
</file>

<file path=xl/worksheets/sheet1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3"/>
  <sheetViews>
    <sheetView workbookViewId="0">
      <selection activeCell="C13" sqref="C13"/>
    </sheetView>
  </sheetViews>
  <sheetFormatPr defaultColWidth="8.88888888888889" defaultRowHeight="14.4" outlineLevelCol="7"/>
  <cols>
    <col min="1" max="1" width="9.66666666666667"/>
  </cols>
  <sheetData>
    <row r="1" spans="1:8">
      <c r="A1" s="1">
        <f>SUM(B1:AZ1)</f>
        <v>5.08333333333333</v>
      </c>
      <c r="B1" s="1">
        <f t="shared" ref="B1:H1" si="0">COUNTA(B2:B2072)/COLUMN()</f>
        <v>1</v>
      </c>
      <c r="C1" s="1">
        <f t="shared" si="0"/>
        <v>3.33333333333333</v>
      </c>
      <c r="D1" s="1">
        <f t="shared" si="0"/>
        <v>0.75</v>
      </c>
      <c r="E1" s="1">
        <f t="shared" si="0"/>
        <v>0</v>
      </c>
      <c r="F1" s="1">
        <f t="shared" si="0"/>
        <v>0</v>
      </c>
      <c r="G1" s="1">
        <f t="shared" si="0"/>
        <v>0</v>
      </c>
      <c r="H1" s="1">
        <f t="shared" si="0"/>
        <v>0</v>
      </c>
    </row>
    <row r="2" spans="1:2">
      <c r="A2" t="str" cm="1">
        <f ca="1" t="array" ref="A2">_wpsfn.SHEETSNAME(A1)</f>
        <v>20250601</v>
      </c>
      <c r="B2" t="s">
        <v>1630</v>
      </c>
    </row>
    <row r="3" spans="3:3">
      <c r="C3" t="s">
        <v>1631</v>
      </c>
    </row>
    <row r="4" spans="3:3">
      <c r="C4" t="s">
        <v>1632</v>
      </c>
    </row>
    <row r="5" spans="3:3">
      <c r="C5" t="s">
        <v>1633</v>
      </c>
    </row>
    <row r="6" spans="4:4">
      <c r="D6" t="s">
        <v>1634</v>
      </c>
    </row>
    <row r="7" spans="4:4">
      <c r="D7" t="s">
        <v>1635</v>
      </c>
    </row>
    <row r="8" spans="4:4">
      <c r="D8" t="s">
        <v>1636</v>
      </c>
    </row>
    <row r="9" spans="3:3">
      <c r="C9" t="s">
        <v>1637</v>
      </c>
    </row>
    <row r="10" spans="2:2">
      <c r="B10" t="s">
        <v>1638</v>
      </c>
    </row>
    <row r="11" spans="3:3">
      <c r="C11" t="s">
        <v>1639</v>
      </c>
    </row>
    <row r="12" spans="3:3">
      <c r="C12" t="s">
        <v>1640</v>
      </c>
    </row>
    <row r="13" spans="3:3">
      <c r="C13" t="s">
        <v>1641</v>
      </c>
    </row>
    <row r="14" spans="3:3">
      <c r="C14" t="s">
        <v>1642</v>
      </c>
    </row>
    <row r="15" spans="3:3">
      <c r="C15" t="s">
        <v>1643</v>
      </c>
    </row>
    <row r="16" spans="3:3">
      <c r="C16" t="s">
        <v>1644</v>
      </c>
    </row>
    <row r="49" spans="3:3">
      <c r="C49" s="2"/>
    </row>
    <row r="53" spans="4:4">
      <c r="D53" s="2"/>
    </row>
  </sheetData>
  <pageMargins left="0.75" right="0.75" top="1" bottom="1" header="0.5" footer="0.5"/>
  <headerFooter/>
</worksheet>
</file>

<file path=xl/worksheets/sheet1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J19" sqref="J19"/>
    </sheetView>
  </sheetViews>
  <sheetFormatPr defaultColWidth="8.88888888888889" defaultRowHeight="14.4" outlineLevelCol="7"/>
  <cols>
    <col min="1" max="1" width="9.66666666666667"/>
  </cols>
  <sheetData>
    <row r="1" spans="1:8">
      <c r="A1" s="1">
        <f>SUM(B1:AZ1)</f>
        <v>7.11666666666667</v>
      </c>
      <c r="B1" s="1">
        <f t="shared" ref="B1:H1" si="0">COUNTA(B2:B2071)/COLUMN()</f>
        <v>1</v>
      </c>
      <c r="C1" s="1">
        <f t="shared" si="0"/>
        <v>2.66666666666667</v>
      </c>
      <c r="D1" s="1">
        <f t="shared" si="0"/>
        <v>3.25</v>
      </c>
      <c r="E1" s="1">
        <f t="shared" si="0"/>
        <v>0.2</v>
      </c>
      <c r="F1" s="1">
        <f t="shared" si="0"/>
        <v>0</v>
      </c>
      <c r="G1" s="1">
        <f t="shared" si="0"/>
        <v>0</v>
      </c>
      <c r="H1" s="1">
        <f t="shared" si="0"/>
        <v>0</v>
      </c>
    </row>
    <row r="2" spans="1:2">
      <c r="A2" t="str" cm="1">
        <f ca="1" t="array" ref="A2">_wpsfn.SHEETSNAME(A1)</f>
        <v>20250602</v>
      </c>
      <c r="B2" t="s">
        <v>1645</v>
      </c>
    </row>
    <row r="3" spans="3:3">
      <c r="C3" t="s">
        <v>1646</v>
      </c>
    </row>
    <row r="4" spans="4:4">
      <c r="D4" t="s">
        <v>1647</v>
      </c>
    </row>
    <row r="5" spans="3:3">
      <c r="C5" t="s">
        <v>1648</v>
      </c>
    </row>
    <row r="6" spans="4:4">
      <c r="D6" t="s">
        <v>1649</v>
      </c>
    </row>
    <row r="7" spans="4:4">
      <c r="D7" t="s">
        <v>1650</v>
      </c>
    </row>
    <row r="8" spans="4:4">
      <c r="D8" t="s">
        <v>1651</v>
      </c>
    </row>
    <row r="9" spans="3:3">
      <c r="C9" t="s">
        <v>1652</v>
      </c>
    </row>
    <row r="10" spans="4:4">
      <c r="D10" t="s">
        <v>1653</v>
      </c>
    </row>
    <row r="11" spans="4:4">
      <c r="D11" t="s">
        <v>1654</v>
      </c>
    </row>
    <row r="12" spans="3:3">
      <c r="C12" t="s">
        <v>1655</v>
      </c>
    </row>
    <row r="13" spans="4:4">
      <c r="D13" t="s">
        <v>1656</v>
      </c>
    </row>
    <row r="14" spans="4:4">
      <c r="D14" t="s">
        <v>1657</v>
      </c>
    </row>
    <row r="15" spans="2:2">
      <c r="B15" t="s">
        <v>1658</v>
      </c>
    </row>
    <row r="16" spans="3:3">
      <c r="C16" t="s">
        <v>1659</v>
      </c>
    </row>
    <row r="17" spans="3:3">
      <c r="C17" t="s">
        <v>1660</v>
      </c>
    </row>
    <row r="18" spans="4:4">
      <c r="D18" t="s">
        <v>1661</v>
      </c>
    </row>
    <row r="19" spans="4:4">
      <c r="D19" t="s">
        <v>1662</v>
      </c>
    </row>
    <row r="20" spans="3:3">
      <c r="C20" t="s">
        <v>1663</v>
      </c>
    </row>
    <row r="21" spans="3:3">
      <c r="C21" t="s">
        <v>1664</v>
      </c>
    </row>
    <row r="22" spans="4:4">
      <c r="D22" t="s">
        <v>1665</v>
      </c>
    </row>
    <row r="23" spans="4:4">
      <c r="D23" t="s">
        <v>1666</v>
      </c>
    </row>
    <row r="24" spans="4:4">
      <c r="D24" t="s">
        <v>1667</v>
      </c>
    </row>
    <row r="25" spans="5:5">
      <c r="E25" t="s">
        <v>1668</v>
      </c>
    </row>
    <row r="48" spans="3:3">
      <c r="C48" s="2"/>
    </row>
    <row r="52" spans="4:4">
      <c r="D52" s="2"/>
    </row>
  </sheetData>
  <pageMargins left="0.75" right="0.75" top="1" bottom="1" header="0.5" footer="0.5"/>
  <headerFooter/>
</worksheet>
</file>

<file path=xl/worksheets/sheet1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K19" sqref="K19"/>
    </sheetView>
  </sheetViews>
  <sheetFormatPr defaultColWidth="8.88888888888889" defaultRowHeight="14.4" outlineLevelCol="7"/>
  <cols>
    <col min="1" max="1" width="9.66666666666667"/>
  </cols>
  <sheetData>
    <row r="1" spans="1:8">
      <c r="A1" s="1">
        <f>SUM(B1:AZ1)</f>
        <v>5.5</v>
      </c>
      <c r="B1" s="1">
        <f t="shared" ref="B1:H1" si="0">COUNTA(B2:B2071)/COLUMN()</f>
        <v>1</v>
      </c>
      <c r="C1" s="1">
        <f t="shared" si="0"/>
        <v>4</v>
      </c>
      <c r="D1" s="1">
        <f t="shared" si="0"/>
        <v>0.5</v>
      </c>
      <c r="E1" s="1">
        <f t="shared" si="0"/>
        <v>0</v>
      </c>
      <c r="F1" s="1">
        <f t="shared" si="0"/>
        <v>0</v>
      </c>
      <c r="G1" s="1">
        <f t="shared" si="0"/>
        <v>0</v>
      </c>
      <c r="H1" s="1">
        <f t="shared" si="0"/>
        <v>0</v>
      </c>
    </row>
    <row r="2" spans="1:2">
      <c r="A2" t="str" cm="1">
        <f ca="1" t="array" ref="A2">_wpsfn.SHEETSNAME(A1)</f>
        <v>20250603</v>
      </c>
      <c r="B2" t="s">
        <v>1669</v>
      </c>
    </row>
    <row r="3" spans="3:3">
      <c r="C3" t="s">
        <v>1670</v>
      </c>
    </row>
    <row r="4" spans="3:3">
      <c r="C4" t="s">
        <v>1671</v>
      </c>
    </row>
    <row r="5" spans="3:3">
      <c r="C5" t="s">
        <v>1672</v>
      </c>
    </row>
    <row r="6" spans="3:3">
      <c r="C6" t="s">
        <v>1673</v>
      </c>
    </row>
    <row r="7" spans="3:3">
      <c r="C7" t="s">
        <v>1674</v>
      </c>
    </row>
    <row r="8" spans="4:4">
      <c r="D8" t="s">
        <v>1675</v>
      </c>
    </row>
    <row r="9" spans="4:4">
      <c r="D9" t="s">
        <v>1676</v>
      </c>
    </row>
    <row r="10" spans="3:3">
      <c r="C10" t="s">
        <v>1677</v>
      </c>
    </row>
    <row r="11" spans="3:3">
      <c r="C11" t="s">
        <v>1678</v>
      </c>
    </row>
    <row r="12" spans="3:3">
      <c r="C12" t="s">
        <v>1679</v>
      </c>
    </row>
    <row r="13" spans="2:2">
      <c r="B13" t="s">
        <v>1680</v>
      </c>
    </row>
    <row r="14" spans="3:3">
      <c r="C14" t="s">
        <v>1681</v>
      </c>
    </row>
    <row r="15" spans="3:3">
      <c r="C15" t="s">
        <v>1682</v>
      </c>
    </row>
    <row r="16" spans="3:3">
      <c r="C16" t="s">
        <v>1683</v>
      </c>
    </row>
    <row r="17" spans="3:3">
      <c r="C17" t="s">
        <v>1684</v>
      </c>
    </row>
    <row r="48" spans="3:3">
      <c r="C48" s="2"/>
    </row>
    <row r="52" spans="4:4">
      <c r="D52" s="2"/>
    </row>
  </sheetData>
  <pageMargins left="0.75" right="0.75" top="1" bottom="1" header="0.5" footer="0.5"/>
  <headerFooter/>
</worksheet>
</file>

<file path=xl/worksheets/sheet1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K15" sqref="K15"/>
    </sheetView>
  </sheetViews>
  <sheetFormatPr defaultColWidth="8.88888888888889" defaultRowHeight="14.4" outlineLevelCol="7"/>
  <cols>
    <col min="1" max="1" width="9.66666666666667"/>
  </cols>
  <sheetData>
    <row r="1" spans="1:8">
      <c r="A1" s="1">
        <f>SUM(B1:AZ1)</f>
        <v>1.83333333333333</v>
      </c>
      <c r="B1" s="1">
        <f t="shared" ref="B1:H1" si="0">COUNTA(B2:B2071)/COLUMN()</f>
        <v>0.5</v>
      </c>
      <c r="C1" s="1">
        <f t="shared" si="0"/>
        <v>1.33333333333333</v>
      </c>
      <c r="D1" s="1">
        <f t="shared" si="0"/>
        <v>0</v>
      </c>
      <c r="E1" s="1">
        <f t="shared" si="0"/>
        <v>0</v>
      </c>
      <c r="F1" s="1">
        <f t="shared" si="0"/>
        <v>0</v>
      </c>
      <c r="G1" s="1">
        <f t="shared" si="0"/>
        <v>0</v>
      </c>
      <c r="H1" s="1">
        <f t="shared" si="0"/>
        <v>0</v>
      </c>
    </row>
    <row r="2" spans="1:2">
      <c r="A2" t="str" cm="1">
        <f ca="1" t="array" ref="A2">_wpsfn.SHEETSNAME(A1)</f>
        <v>20250604</v>
      </c>
      <c r="B2" t="s">
        <v>1685</v>
      </c>
    </row>
    <row r="3" spans="3:3">
      <c r="C3" t="s">
        <v>1686</v>
      </c>
    </row>
    <row r="4" spans="3:3">
      <c r="C4" t="s">
        <v>1687</v>
      </c>
    </row>
    <row r="5" spans="3:3">
      <c r="C5" t="s">
        <v>1688</v>
      </c>
    </row>
    <row r="6" spans="3:3">
      <c r="C6" t="s">
        <v>1689</v>
      </c>
    </row>
    <row r="48" spans="3:3">
      <c r="C48" s="2"/>
    </row>
    <row r="52" spans="4:4">
      <c r="D52" s="2"/>
    </row>
  </sheetData>
  <pageMargins left="0.75" right="0.75" top="1" bottom="1" header="0.5" footer="0.5"/>
  <headerFooter/>
</worksheet>
</file>

<file path=xl/worksheets/sheet1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M5" sqref="M5"/>
    </sheetView>
  </sheetViews>
  <sheetFormatPr defaultColWidth="8.88888888888889" defaultRowHeight="14.4" outlineLevelCol="7"/>
  <cols>
    <col min="1" max="1" width="9.66666666666667"/>
  </cols>
  <sheetData>
    <row r="1" spans="1:8">
      <c r="A1" s="1">
        <f>SUM(B1:AZ1)</f>
        <v>5.25</v>
      </c>
      <c r="B1" s="1">
        <f t="shared" ref="B1:H1" si="0">COUNTA(B2:B2071)/COLUMN()</f>
        <v>1.5</v>
      </c>
      <c r="C1" s="1">
        <f t="shared" si="0"/>
        <v>2</v>
      </c>
      <c r="D1" s="1">
        <f t="shared" si="0"/>
        <v>1.75</v>
      </c>
      <c r="E1" s="1">
        <f t="shared" si="0"/>
        <v>0</v>
      </c>
      <c r="F1" s="1">
        <f t="shared" si="0"/>
        <v>0</v>
      </c>
      <c r="G1" s="1">
        <f t="shared" si="0"/>
        <v>0</v>
      </c>
      <c r="H1" s="1">
        <f t="shared" si="0"/>
        <v>0</v>
      </c>
    </row>
    <row r="2" spans="1:2">
      <c r="A2" t="str" cm="1">
        <f ca="1" t="array" ref="A2">_wpsfn.SHEETSNAME(A1)</f>
        <v>20250605</v>
      </c>
      <c r="B2" t="s">
        <v>1690</v>
      </c>
    </row>
    <row r="3" spans="2:2">
      <c r="B3" t="s">
        <v>1691</v>
      </c>
    </row>
    <row r="4" spans="3:3">
      <c r="C4" t="s">
        <v>1692</v>
      </c>
    </row>
    <row r="5" spans="3:3">
      <c r="C5" t="s">
        <v>1693</v>
      </c>
    </row>
    <row r="6" spans="3:3">
      <c r="C6" t="s">
        <v>1694</v>
      </c>
    </row>
    <row r="7" spans="3:3">
      <c r="C7" t="s">
        <v>1695</v>
      </c>
    </row>
    <row r="8" spans="2:2">
      <c r="B8" t="s">
        <v>1696</v>
      </c>
    </row>
    <row r="9" spans="3:3">
      <c r="C9" t="s">
        <v>1697</v>
      </c>
    </row>
    <row r="10" spans="4:4">
      <c r="D10" t="s">
        <v>1698</v>
      </c>
    </row>
    <row r="11" spans="4:4">
      <c r="D11" t="s">
        <v>1699</v>
      </c>
    </row>
    <row r="12" spans="4:4">
      <c r="D12" t="s">
        <v>1700</v>
      </c>
    </row>
    <row r="13" spans="3:3">
      <c r="C13" t="s">
        <v>1701</v>
      </c>
    </row>
    <row r="14" spans="4:4">
      <c r="D14" t="s">
        <v>1702</v>
      </c>
    </row>
    <row r="15" spans="4:4">
      <c r="D15" t="s">
        <v>1703</v>
      </c>
    </row>
    <row r="16" spans="4:4">
      <c r="D16" t="s">
        <v>1704</v>
      </c>
    </row>
    <row r="17" spans="4:4">
      <c r="D17" t="s">
        <v>1705</v>
      </c>
    </row>
    <row r="48" spans="3:3">
      <c r="C48" s="2"/>
    </row>
    <row r="52" spans="4:4">
      <c r="D52" s="2"/>
    </row>
  </sheetData>
  <pageMargins left="0.75" right="0.75" top="1" bottom="1" header="0.5" footer="0.5"/>
  <headerFooter/>
</worksheet>
</file>

<file path=xl/worksheets/sheet1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J6" sqref="J6"/>
    </sheetView>
  </sheetViews>
  <sheetFormatPr defaultColWidth="8.88888888888889" defaultRowHeight="14.4" outlineLevelCol="7"/>
  <cols>
    <col min="1" max="1" width="9.66666666666667"/>
  </cols>
  <sheetData>
    <row r="1" spans="1:8">
      <c r="A1" s="1">
        <f>SUM(B1:AZ1)</f>
        <v>1.16666666666667</v>
      </c>
      <c r="B1" s="1">
        <f t="shared" ref="B1:H1" si="0">COUNTA(B2:B2071)/COLUMN()</f>
        <v>0.5</v>
      </c>
      <c r="C1" s="1">
        <f t="shared" si="0"/>
        <v>0.666666666666667</v>
      </c>
      <c r="D1" s="1">
        <f t="shared" si="0"/>
        <v>0</v>
      </c>
      <c r="E1" s="1">
        <f t="shared" si="0"/>
        <v>0</v>
      </c>
      <c r="F1" s="1">
        <f t="shared" si="0"/>
        <v>0</v>
      </c>
      <c r="G1" s="1">
        <f t="shared" si="0"/>
        <v>0</v>
      </c>
      <c r="H1" s="1">
        <f t="shared" si="0"/>
        <v>0</v>
      </c>
    </row>
    <row r="2" spans="1:2">
      <c r="A2" t="str" cm="1">
        <f ca="1" t="array" ref="A2">_wpsfn.SHEETSNAME(A1)</f>
        <v>20250607</v>
      </c>
      <c r="B2" t="s">
        <v>1706</v>
      </c>
    </row>
    <row r="3" spans="3:3">
      <c r="C3" t="s">
        <v>1707</v>
      </c>
    </row>
    <row r="4" spans="3:3">
      <c r="C4" t="s">
        <v>1708</v>
      </c>
    </row>
    <row r="48" spans="3:3">
      <c r="C48" s="2"/>
    </row>
    <row r="52" spans="4:4">
      <c r="D52" s="2"/>
    </row>
  </sheetData>
  <pageMargins left="0.75" right="0.75" top="1" bottom="1" header="0.5" footer="0.5"/>
  <headerFooter/>
</worksheet>
</file>

<file path=xl/worksheets/sheet1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L9" sqref="L9"/>
    </sheetView>
  </sheetViews>
  <sheetFormatPr defaultColWidth="8.88888888888889" defaultRowHeight="14.4" outlineLevelCol="7"/>
  <cols>
    <col min="1" max="1" width="9.66666666666667"/>
  </cols>
  <sheetData>
    <row r="1" spans="1:8">
      <c r="A1" s="1">
        <f>SUM(B1:AZ1)</f>
        <v>5.33333333333333</v>
      </c>
      <c r="B1" s="1">
        <f t="shared" ref="B1:H1" si="0">COUNTA(B2:B2071)/COLUMN()</f>
        <v>3</v>
      </c>
      <c r="C1" s="1">
        <f t="shared" si="0"/>
        <v>2.33333333333333</v>
      </c>
      <c r="D1" s="1">
        <f t="shared" si="0"/>
        <v>0</v>
      </c>
      <c r="E1" s="1">
        <f t="shared" si="0"/>
        <v>0</v>
      </c>
      <c r="F1" s="1">
        <f t="shared" si="0"/>
        <v>0</v>
      </c>
      <c r="G1" s="1">
        <f t="shared" si="0"/>
        <v>0</v>
      </c>
      <c r="H1" s="1">
        <f t="shared" si="0"/>
        <v>0</v>
      </c>
    </row>
    <row r="2" spans="1:2">
      <c r="A2" t="str" cm="1">
        <f ca="1" t="array" ref="A2">_wpsfn.SHEETSNAME(A1)</f>
        <v>20250608</v>
      </c>
      <c r="B2" t="s">
        <v>1709</v>
      </c>
    </row>
    <row r="3" spans="2:2">
      <c r="B3" t="s">
        <v>1710</v>
      </c>
    </row>
    <row r="4" spans="3:3">
      <c r="C4" t="s">
        <v>1711</v>
      </c>
    </row>
    <row r="5" spans="3:3">
      <c r="C5" t="s">
        <v>1712</v>
      </c>
    </row>
    <row r="6" spans="2:2">
      <c r="B6" t="s">
        <v>1713</v>
      </c>
    </row>
    <row r="7" spans="3:3">
      <c r="C7" t="s">
        <v>1714</v>
      </c>
    </row>
    <row r="8" spans="3:3">
      <c r="C8" t="s">
        <v>1715</v>
      </c>
    </row>
    <row r="9" spans="2:2">
      <c r="B9" t="s">
        <v>1716</v>
      </c>
    </row>
    <row r="10" spans="3:3">
      <c r="C10" t="s">
        <v>1717</v>
      </c>
    </row>
    <row r="11" spans="3:3">
      <c r="C11" t="s">
        <v>1718</v>
      </c>
    </row>
    <row r="12" spans="3:3">
      <c r="C12" t="s">
        <v>1719</v>
      </c>
    </row>
    <row r="13" spans="2:2">
      <c r="B13" t="s">
        <v>1720</v>
      </c>
    </row>
    <row r="14" spans="2:2">
      <c r="B14" t="s">
        <v>1721</v>
      </c>
    </row>
    <row r="48" spans="3:3">
      <c r="C48" s="2"/>
    </row>
    <row r="52" spans="4:4">
      <c r="D52" s="2"/>
    </row>
  </sheetData>
  <pageMargins left="0.75" right="0.75" top="1" bottom="1" header="0.5" footer="0.5"/>
  <headerFooter/>
</worksheet>
</file>

<file path=xl/worksheets/sheet1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M7" sqref="M7"/>
    </sheetView>
  </sheetViews>
  <sheetFormatPr defaultColWidth="8.88888888888889" defaultRowHeight="14.4" outlineLevelCol="7"/>
  <cols>
    <col min="1" max="1" width="9.66666666666667"/>
  </cols>
  <sheetData>
    <row r="1" spans="1:8">
      <c r="A1" s="1">
        <f>SUM(B1:AZ1)</f>
        <v>12.3285714285714</v>
      </c>
      <c r="B1" s="1">
        <f t="shared" ref="B1:H1" si="0">COUNTA(B2:B2082)/COLUMN()</f>
        <v>3.5</v>
      </c>
      <c r="C1" s="1">
        <f t="shared" si="0"/>
        <v>4</v>
      </c>
      <c r="D1" s="1">
        <f t="shared" si="0"/>
        <v>3</v>
      </c>
      <c r="E1" s="1">
        <f t="shared" si="0"/>
        <v>0.4</v>
      </c>
      <c r="F1" s="1">
        <f t="shared" si="0"/>
        <v>1</v>
      </c>
      <c r="G1" s="1">
        <f t="shared" si="0"/>
        <v>0.428571428571429</v>
      </c>
      <c r="H1" s="1">
        <f t="shared" si="0"/>
        <v>0</v>
      </c>
    </row>
    <row r="2" spans="1:2">
      <c r="A2" t="str" cm="1">
        <f ca="1" t="array" ref="A2">_wpsfn.SHEETSNAME(A1)</f>
        <v>20250609</v>
      </c>
      <c r="B2" t="s">
        <v>1722</v>
      </c>
    </row>
    <row r="3" spans="3:3">
      <c r="C3" t="s">
        <v>1723</v>
      </c>
    </row>
    <row r="4" spans="4:4">
      <c r="D4" t="s">
        <v>1724</v>
      </c>
    </row>
    <row r="5" spans="4:4">
      <c r="D5" t="s">
        <v>1725</v>
      </c>
    </row>
    <row r="6" spans="3:3">
      <c r="C6" t="s">
        <v>1726</v>
      </c>
    </row>
    <row r="7" spans="4:4">
      <c r="D7" t="s">
        <v>1727</v>
      </c>
    </row>
    <row r="8" spans="4:4">
      <c r="D8" t="s">
        <v>1728</v>
      </c>
    </row>
    <row r="9" spans="3:3">
      <c r="C9" t="s">
        <v>1729</v>
      </c>
    </row>
    <row r="10" spans="4:4">
      <c r="D10" t="s">
        <v>1730</v>
      </c>
    </row>
    <row r="11" spans="4:4">
      <c r="D11" t="s">
        <v>1731</v>
      </c>
    </row>
    <row r="12" spans="4:4">
      <c r="D12" t="s">
        <v>1732</v>
      </c>
    </row>
    <row r="13" spans="4:4">
      <c r="D13" t="s">
        <v>1733</v>
      </c>
    </row>
    <row r="14" spans="3:3">
      <c r="C14" t="s">
        <v>1734</v>
      </c>
    </row>
    <row r="15" spans="2:2">
      <c r="B15" t="s">
        <v>1735</v>
      </c>
    </row>
    <row r="16" spans="3:3">
      <c r="C16" t="s">
        <v>1736</v>
      </c>
    </row>
    <row r="17" spans="2:2">
      <c r="B17" t="s">
        <v>1737</v>
      </c>
    </row>
    <row r="18" spans="3:3">
      <c r="C18" t="s">
        <v>1738</v>
      </c>
    </row>
    <row r="19" spans="2:2">
      <c r="B19" t="s">
        <v>1739</v>
      </c>
    </row>
    <row r="20" spans="3:3">
      <c r="C20" t="s">
        <v>1740</v>
      </c>
    </row>
    <row r="21" spans="2:2">
      <c r="B21" t="s">
        <v>1741</v>
      </c>
    </row>
    <row r="22" spans="3:3">
      <c r="C22" t="s">
        <v>1742</v>
      </c>
    </row>
    <row r="23" spans="4:4">
      <c r="D23" t="s">
        <v>1743</v>
      </c>
    </row>
    <row r="24" spans="3:3">
      <c r="C24" t="s">
        <v>1744</v>
      </c>
    </row>
    <row r="25" spans="4:4">
      <c r="D25" t="s">
        <v>1745</v>
      </c>
    </row>
    <row r="26" spans="3:3">
      <c r="C26" t="s">
        <v>1746</v>
      </c>
    </row>
    <row r="27" spans="4:4">
      <c r="D27" t="s">
        <v>1747</v>
      </c>
    </row>
    <row r="28" spans="2:2">
      <c r="B28" t="s">
        <v>1748</v>
      </c>
    </row>
    <row r="29" spans="2:2">
      <c r="B29" t="s">
        <v>1749</v>
      </c>
    </row>
    <row r="30" spans="3:3">
      <c r="C30" t="s">
        <v>1750</v>
      </c>
    </row>
    <row r="31" spans="3:3">
      <c r="C31" t="s">
        <v>1751</v>
      </c>
    </row>
    <row r="32" spans="4:4">
      <c r="D32" t="s">
        <v>1752</v>
      </c>
    </row>
    <row r="33" spans="5:5">
      <c r="E33" t="s">
        <v>1753</v>
      </c>
    </row>
    <row r="34" spans="5:5">
      <c r="E34" t="s">
        <v>1754</v>
      </c>
    </row>
    <row r="35" spans="6:6">
      <c r="F35" t="s">
        <v>1755</v>
      </c>
    </row>
    <row r="36" spans="6:6">
      <c r="F36" t="s">
        <v>1756</v>
      </c>
    </row>
    <row r="37" spans="6:6">
      <c r="F37" t="s">
        <v>1757</v>
      </c>
    </row>
    <row r="38" spans="6:7">
      <c r="F38" t="s">
        <v>1758</v>
      </c>
      <c r="G38" t="s">
        <v>1759</v>
      </c>
    </row>
    <row r="39" spans="6:6">
      <c r="F39" t="s">
        <v>1760</v>
      </c>
    </row>
    <row r="40" spans="6:6">
      <c r="F40" t="s">
        <v>1761</v>
      </c>
    </row>
    <row r="41" spans="7:7">
      <c r="G41" t="s">
        <v>1762</v>
      </c>
    </row>
    <row r="42" spans="7:7">
      <c r="G42" t="s">
        <v>1763</v>
      </c>
    </row>
    <row r="59" spans="3:3">
      <c r="C59" s="2"/>
    </row>
    <row r="63" spans="4:4">
      <c r="D63" s="2"/>
    </row>
  </sheetData>
  <pageMargins left="0.75" right="0.75" top="1" bottom="1" header="0.5" footer="0.5"/>
  <headerFooter/>
</worksheet>
</file>

<file path=xl/worksheets/sheet1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L2" sqref="L2"/>
    </sheetView>
  </sheetViews>
  <sheetFormatPr defaultColWidth="8.88888888888889" defaultRowHeight="14.4" outlineLevelCol="7"/>
  <cols>
    <col min="1" max="1" width="9.66666666666667"/>
  </cols>
  <sheetData>
    <row r="1" spans="1:8">
      <c r="A1" s="1">
        <f>SUM(B1:AZ1)</f>
        <v>2.33333333333333</v>
      </c>
      <c r="B1" s="1">
        <f t="shared" ref="B1:H1" si="0">COUNTA(B2:B2082)/COLUMN()</f>
        <v>2</v>
      </c>
      <c r="C1" s="1">
        <f t="shared" si="0"/>
        <v>0.333333333333333</v>
      </c>
      <c r="D1" s="1">
        <f t="shared" si="0"/>
        <v>0</v>
      </c>
      <c r="E1" s="1">
        <f t="shared" si="0"/>
        <v>0</v>
      </c>
      <c r="F1" s="1">
        <f t="shared" si="0"/>
        <v>0</v>
      </c>
      <c r="G1" s="1">
        <f t="shared" si="0"/>
        <v>0</v>
      </c>
      <c r="H1" s="1">
        <f t="shared" si="0"/>
        <v>0</v>
      </c>
    </row>
    <row r="2" spans="1:2">
      <c r="A2" t="str" cm="1">
        <f ca="1" t="array" ref="A2">_wpsfn.SHEETSNAME(A1)</f>
        <v>20250610</v>
      </c>
      <c r="B2" t="s">
        <v>1764</v>
      </c>
    </row>
    <row r="3" spans="2:2">
      <c r="B3" t="s">
        <v>1765</v>
      </c>
    </row>
    <row r="4" spans="3:3">
      <c r="C4" t="s">
        <v>1766</v>
      </c>
    </row>
    <row r="5" spans="2:2">
      <c r="B5" t="s">
        <v>1767</v>
      </c>
    </row>
    <row r="6" spans="2:2">
      <c r="B6" t="s">
        <v>1768</v>
      </c>
    </row>
    <row r="59" spans="3:3">
      <c r="C59" s="2"/>
    </row>
    <row r="63" spans="4:4">
      <c r="D63" s="2"/>
    </row>
  </sheetData>
  <pageMargins left="0.75" right="0.75" top="1" bottom="1" header="0.5" footer="0.5"/>
  <headerFooter/>
</worksheet>
</file>

<file path=xl/worksheets/sheet1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C16" sqref="C16"/>
    </sheetView>
  </sheetViews>
  <sheetFormatPr defaultColWidth="8.88888888888889" defaultRowHeight="14.4" outlineLevelCol="7"/>
  <cols>
    <col min="1" max="1" width="9.66666666666667"/>
  </cols>
  <sheetData>
    <row r="1" spans="1:8">
      <c r="A1" s="1">
        <f>SUM(B1:AZ1)</f>
        <v>4.83333333333333</v>
      </c>
      <c r="B1" s="1">
        <f t="shared" ref="B1:H1" si="0">COUNTA(B2:B2082)/COLUMN()</f>
        <v>1.5</v>
      </c>
      <c r="C1" s="1">
        <f t="shared" si="0"/>
        <v>2.33333333333333</v>
      </c>
      <c r="D1" s="1">
        <f t="shared" si="0"/>
        <v>1</v>
      </c>
      <c r="E1" s="1">
        <f t="shared" si="0"/>
        <v>0</v>
      </c>
      <c r="F1" s="1">
        <f t="shared" si="0"/>
        <v>0</v>
      </c>
      <c r="G1" s="1">
        <f t="shared" si="0"/>
        <v>0</v>
      </c>
      <c r="H1" s="1">
        <f t="shared" si="0"/>
        <v>0</v>
      </c>
    </row>
    <row r="2" spans="1:2">
      <c r="A2" t="str" cm="1">
        <f ca="1" t="array" ref="A2">_wpsfn.SHEETSNAME(A1)</f>
        <v>20250611</v>
      </c>
      <c r="B2" t="s">
        <v>1769</v>
      </c>
    </row>
    <row r="3" spans="3:3">
      <c r="C3" t="s">
        <v>1770</v>
      </c>
    </row>
    <row r="4" spans="3:3">
      <c r="C4" t="s">
        <v>1771</v>
      </c>
    </row>
    <row r="5" spans="2:2">
      <c r="B5" t="s">
        <v>1772</v>
      </c>
    </row>
    <row r="6" spans="3:3">
      <c r="C6" t="s">
        <v>1773</v>
      </c>
    </row>
    <row r="7" spans="3:3">
      <c r="C7" t="s">
        <v>1774</v>
      </c>
    </row>
    <row r="8" spans="4:4">
      <c r="D8" t="s">
        <v>1775</v>
      </c>
    </row>
    <row r="9" spans="3:3">
      <c r="C9" t="s">
        <v>1776</v>
      </c>
    </row>
    <row r="10" spans="4:4">
      <c r="D10" t="s">
        <v>1777</v>
      </c>
    </row>
    <row r="11" spans="4:4">
      <c r="D11" t="s">
        <v>1778</v>
      </c>
    </row>
    <row r="12" spans="2:2">
      <c r="B12" t="s">
        <v>1779</v>
      </c>
    </row>
    <row r="13" spans="3:3">
      <c r="C13" t="s">
        <v>1780</v>
      </c>
    </row>
    <row r="14" spans="3:3">
      <c r="C14" t="s">
        <v>1781</v>
      </c>
    </row>
    <row r="15" spans="4:4">
      <c r="D15" t="s">
        <v>1782</v>
      </c>
    </row>
    <row r="59" spans="3:3">
      <c r="C59" s="2"/>
    </row>
    <row r="63" spans="4:4">
      <c r="D63" s="2"/>
    </row>
  </sheetData>
  <pageMargins left="0.75" right="0.75" top="1" bottom="1" header="0.5" footer="0.5"/>
  <headerFooter/>
</worksheet>
</file>

<file path=xl/worksheets/sheet1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N20" sqref="N20"/>
    </sheetView>
  </sheetViews>
  <sheetFormatPr defaultColWidth="8.88888888888889" defaultRowHeight="14.4" outlineLevelCol="7"/>
  <cols>
    <col min="1" max="1" width="9.66666666666667"/>
  </cols>
  <sheetData>
    <row r="1" spans="1:8">
      <c r="A1" s="1">
        <f>SUM(B1:AZ1)</f>
        <v>9.16666666666667</v>
      </c>
      <c r="B1" s="1">
        <f t="shared" ref="B1:H1" si="0">COUNTA(B2:B2082)/COLUMN()</f>
        <v>3.5</v>
      </c>
      <c r="C1" s="1">
        <f t="shared" si="0"/>
        <v>3.66666666666667</v>
      </c>
      <c r="D1" s="1">
        <f t="shared" si="0"/>
        <v>2</v>
      </c>
      <c r="E1" s="1">
        <f t="shared" si="0"/>
        <v>0</v>
      </c>
      <c r="F1" s="1">
        <f t="shared" si="0"/>
        <v>0</v>
      </c>
      <c r="G1" s="1">
        <f t="shared" si="0"/>
        <v>0</v>
      </c>
      <c r="H1" s="1">
        <f t="shared" si="0"/>
        <v>0</v>
      </c>
    </row>
    <row r="2" spans="1:2">
      <c r="A2" t="str" cm="1">
        <f ca="1" t="array" ref="A2">_wpsfn.SHEETSNAME(A1)</f>
        <v>20250612</v>
      </c>
      <c r="B2" t="s">
        <v>1783</v>
      </c>
    </row>
    <row r="3" spans="2:2">
      <c r="B3" t="s">
        <v>1784</v>
      </c>
    </row>
    <row r="4" spans="2:2">
      <c r="B4" t="s">
        <v>1785</v>
      </c>
    </row>
    <row r="5" spans="3:3">
      <c r="C5" t="s">
        <v>1786</v>
      </c>
    </row>
    <row r="6" spans="3:3">
      <c r="C6" t="s">
        <v>1787</v>
      </c>
    </row>
    <row r="7" spans="3:3">
      <c r="C7" t="s">
        <v>1788</v>
      </c>
    </row>
    <row r="8" spans="3:3">
      <c r="C8" t="s">
        <v>1789</v>
      </c>
    </row>
    <row r="9" spans="2:2">
      <c r="B9" t="s">
        <v>1790</v>
      </c>
    </row>
    <row r="10" spans="3:3">
      <c r="C10" t="s">
        <v>1791</v>
      </c>
    </row>
    <row r="11" spans="3:3">
      <c r="C11" t="s">
        <v>1792</v>
      </c>
    </row>
    <row r="12" spans="3:3">
      <c r="C12" t="s">
        <v>1793</v>
      </c>
    </row>
    <row r="13" spans="2:2">
      <c r="B13" t="s">
        <v>1794</v>
      </c>
    </row>
    <row r="14" spans="2:2">
      <c r="B14" t="s">
        <v>1795</v>
      </c>
    </row>
    <row r="15" spans="2:2">
      <c r="B15" t="s">
        <v>1796</v>
      </c>
    </row>
    <row r="16" spans="3:3">
      <c r="C16" t="s">
        <v>1797</v>
      </c>
    </row>
    <row r="17" spans="3:3">
      <c r="C17" t="s">
        <v>1798</v>
      </c>
    </row>
    <row r="18" spans="3:3">
      <c r="C18" t="s">
        <v>1799</v>
      </c>
    </row>
    <row r="19" spans="4:4">
      <c r="D19" t="s">
        <v>1800</v>
      </c>
    </row>
    <row r="20" spans="4:4">
      <c r="D20" t="s">
        <v>1801</v>
      </c>
    </row>
    <row r="21" spans="4:4">
      <c r="D21" t="s">
        <v>1802</v>
      </c>
    </row>
    <row r="22" spans="4:4">
      <c r="D22" t="s">
        <v>1803</v>
      </c>
    </row>
    <row r="23" spans="3:3">
      <c r="C23" t="s">
        <v>1804</v>
      </c>
    </row>
    <row r="24" spans="4:4">
      <c r="D24" t="s">
        <v>1805</v>
      </c>
    </row>
    <row r="25" spans="4:4">
      <c r="D25" t="s">
        <v>1806</v>
      </c>
    </row>
    <row r="26" spans="4:4">
      <c r="D26" t="s">
        <v>1807</v>
      </c>
    </row>
    <row r="27" spans="4:4">
      <c r="D27" t="s">
        <v>1808</v>
      </c>
    </row>
    <row r="59" spans="3:3">
      <c r="C59" s="2"/>
    </row>
    <row r="63" spans="4:4">
      <c r="D63" s="2"/>
    </row>
  </sheetData>
  <pageMargins left="0.75" right="0.75" top="1" bottom="1" header="0.5" footer="0.5"/>
  <headerFooter/>
</worksheet>
</file>

<file path=xl/worksheets/sheet1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L3" sqref="L3"/>
    </sheetView>
  </sheetViews>
  <sheetFormatPr defaultColWidth="8.88888888888889" defaultRowHeight="14.4" outlineLevelCol="7"/>
  <cols>
    <col min="1" max="1" width="9.66666666666667"/>
  </cols>
  <sheetData>
    <row r="1" spans="1:8">
      <c r="A1" s="1">
        <f>SUM(B1:AZ1)</f>
        <v>3.16666666666667</v>
      </c>
      <c r="B1" s="1">
        <f t="shared" ref="B1:H1" si="0">COUNTA(B2:B2082)/COLUMN()</f>
        <v>1.5</v>
      </c>
      <c r="C1" s="1">
        <f t="shared" si="0"/>
        <v>1.66666666666667</v>
      </c>
      <c r="D1" s="1">
        <f t="shared" si="0"/>
        <v>0</v>
      </c>
      <c r="E1" s="1">
        <f t="shared" si="0"/>
        <v>0</v>
      </c>
      <c r="F1" s="1">
        <f t="shared" si="0"/>
        <v>0</v>
      </c>
      <c r="G1" s="1">
        <f t="shared" si="0"/>
        <v>0</v>
      </c>
      <c r="H1" s="1">
        <f t="shared" si="0"/>
        <v>0</v>
      </c>
    </row>
    <row r="2" spans="1:2">
      <c r="A2" t="str" cm="1">
        <f ca="1" t="array" ref="A2">_wpsfn.SHEETSNAME(A1)</f>
        <v>20250613</v>
      </c>
      <c r="B2" t="s">
        <v>1809</v>
      </c>
    </row>
    <row r="3" spans="3:3">
      <c r="C3" t="s">
        <v>1810</v>
      </c>
    </row>
    <row r="4" spans="3:3">
      <c r="C4" t="s">
        <v>1811</v>
      </c>
    </row>
    <row r="5" spans="3:3">
      <c r="C5" t="s">
        <v>1812</v>
      </c>
    </row>
    <row r="6" spans="3:3">
      <c r="C6" t="s">
        <v>1813</v>
      </c>
    </row>
    <row r="7" spans="2:2">
      <c r="B7" t="s">
        <v>1814</v>
      </c>
    </row>
    <row r="8" spans="2:2">
      <c r="B8" t="s">
        <v>1815</v>
      </c>
    </row>
    <row r="9" spans="3:3">
      <c r="C9" t="s">
        <v>1816</v>
      </c>
    </row>
    <row r="59" spans="3:3">
      <c r="C59" s="2"/>
    </row>
    <row r="63" spans="4:4">
      <c r="D63" s="2"/>
    </row>
  </sheetData>
  <pageMargins left="0.75" right="0.75" top="1" bottom="1" header="0.5" footer="0.5"/>
  <headerFooter/>
</worksheet>
</file>

<file path=xl/worksheets/sheet1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K20" sqref="K20"/>
    </sheetView>
  </sheetViews>
  <sheetFormatPr defaultColWidth="8.88888888888889" defaultRowHeight="14.4" outlineLevelCol="7"/>
  <cols>
    <col min="1" max="1" width="9.66666666666667"/>
  </cols>
  <sheetData>
    <row r="1" spans="1:8">
      <c r="A1" s="1">
        <f>SUM(B1:AZ1)</f>
        <v>3.16666666666667</v>
      </c>
      <c r="B1" s="1">
        <f t="shared" ref="B1:H1" si="0">COUNTA(B2:B2082)/COLUMN()</f>
        <v>2</v>
      </c>
      <c r="C1" s="1">
        <f t="shared" si="0"/>
        <v>0.666666666666667</v>
      </c>
      <c r="D1" s="1">
        <f t="shared" si="0"/>
        <v>0.5</v>
      </c>
      <c r="E1" s="1">
        <f t="shared" si="0"/>
        <v>0</v>
      </c>
      <c r="F1" s="1">
        <f t="shared" si="0"/>
        <v>0</v>
      </c>
      <c r="G1" s="1">
        <f t="shared" si="0"/>
        <v>0</v>
      </c>
      <c r="H1" s="1">
        <f t="shared" si="0"/>
        <v>0</v>
      </c>
    </row>
    <row r="2" spans="1:2">
      <c r="A2" t="str" cm="1">
        <f ca="1" t="array" ref="A2">_wpsfn.SHEETSNAME(A1)</f>
        <v>20250614</v>
      </c>
      <c r="B2" t="s">
        <v>1817</v>
      </c>
    </row>
    <row r="3" spans="2:2">
      <c r="B3" t="s">
        <v>1818</v>
      </c>
    </row>
    <row r="4" spans="2:2">
      <c r="B4" t="s">
        <v>1819</v>
      </c>
    </row>
    <row r="5" spans="2:2">
      <c r="B5" t="s">
        <v>1820</v>
      </c>
    </row>
    <row r="6" spans="3:3">
      <c r="C6" t="s">
        <v>1821</v>
      </c>
    </row>
    <row r="7" spans="4:4">
      <c r="D7" t="s">
        <v>1822</v>
      </c>
    </row>
    <row r="8" spans="4:4">
      <c r="D8" t="s">
        <v>1823</v>
      </c>
    </row>
    <row r="9" spans="3:3">
      <c r="C9" t="s">
        <v>1824</v>
      </c>
    </row>
    <row r="59" spans="3:3">
      <c r="C59" s="2"/>
    </row>
    <row r="63" spans="4:4">
      <c r="D63" s="2"/>
    </row>
  </sheetData>
  <pageMargins left="0.75" right="0.75" top="1" bottom="1" header="0.5" footer="0.5"/>
  <headerFooter/>
</worksheet>
</file>

<file path=xl/worksheets/sheet1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I13" sqref="I13"/>
    </sheetView>
  </sheetViews>
  <sheetFormatPr defaultColWidth="8.88888888888889" defaultRowHeight="14.4" outlineLevelCol="7"/>
  <cols>
    <col min="1" max="1" width="9.66666666666667"/>
  </cols>
  <sheetData>
    <row r="1" spans="1:8">
      <c r="A1" s="1">
        <f>SUM(B1:AZ1)</f>
        <v>3.83333333333333</v>
      </c>
      <c r="B1" s="1">
        <f t="shared" ref="B1:H1" si="0">COUNTA(B2:B2082)/COLUMN()</f>
        <v>3.5</v>
      </c>
      <c r="C1" s="1">
        <f t="shared" si="0"/>
        <v>0.333333333333333</v>
      </c>
      <c r="D1" s="1">
        <f t="shared" si="0"/>
        <v>0</v>
      </c>
      <c r="E1" s="1">
        <f t="shared" si="0"/>
        <v>0</v>
      </c>
      <c r="F1" s="1">
        <f t="shared" si="0"/>
        <v>0</v>
      </c>
      <c r="G1" s="1">
        <f t="shared" si="0"/>
        <v>0</v>
      </c>
      <c r="H1" s="1">
        <f t="shared" si="0"/>
        <v>0</v>
      </c>
    </row>
    <row r="2" spans="1:2">
      <c r="A2" t="str" cm="1">
        <f ca="1" t="array" ref="A2">_wpsfn.SHEETSNAME(A1)</f>
        <v>20250615</v>
      </c>
      <c r="B2" t="s">
        <v>1825</v>
      </c>
    </row>
    <row r="3" spans="3:3">
      <c r="C3" t="s">
        <v>1826</v>
      </c>
    </row>
    <row r="4" spans="2:2">
      <c r="B4" t="s">
        <v>1827</v>
      </c>
    </row>
    <row r="5" spans="2:2">
      <c r="B5" t="s">
        <v>1828</v>
      </c>
    </row>
    <row r="6" spans="2:2">
      <c r="B6" t="s">
        <v>1829</v>
      </c>
    </row>
    <row r="7" spans="2:2">
      <c r="B7" t="s">
        <v>1830</v>
      </c>
    </row>
    <row r="8" spans="2:2">
      <c r="B8" t="s">
        <v>1831</v>
      </c>
    </row>
    <row r="9" spans="2:2">
      <c r="B9" t="s">
        <v>1832</v>
      </c>
    </row>
    <row r="59" spans="3:3">
      <c r="C59" s="2"/>
    </row>
    <row r="63" spans="4:4">
      <c r="D63" s="2"/>
    </row>
  </sheetData>
  <pageMargins left="0.75" right="0.75" top="1" bottom="1" header="0.5" footer="0.5"/>
  <headerFooter/>
</worksheet>
</file>

<file path=xl/worksheets/sheet1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9"/>
  <sheetViews>
    <sheetView workbookViewId="0">
      <selection activeCell="C8" sqref="C8"/>
    </sheetView>
  </sheetViews>
  <sheetFormatPr defaultColWidth="8.88888888888889" defaultRowHeight="14.4" outlineLevelCol="7"/>
  <cols>
    <col min="1" max="1" width="9.66666666666667"/>
  </cols>
  <sheetData>
    <row r="1" spans="1:8">
      <c r="A1" s="1">
        <f>SUM(B1:AZ1)</f>
        <v>6.83333333333333</v>
      </c>
      <c r="B1" s="1">
        <f t="shared" ref="B1:H1" si="0">COUNTA(B2:B2068)/COLUMN()</f>
        <v>1.5</v>
      </c>
      <c r="C1" s="1">
        <f t="shared" si="0"/>
        <v>5.33333333333333</v>
      </c>
      <c r="D1" s="1">
        <f t="shared" si="0"/>
        <v>0</v>
      </c>
      <c r="E1" s="1">
        <f t="shared" si="0"/>
        <v>0</v>
      </c>
      <c r="F1" s="1">
        <f t="shared" si="0"/>
        <v>0</v>
      </c>
      <c r="G1" s="1">
        <f t="shared" si="0"/>
        <v>0</v>
      </c>
      <c r="H1" s="1">
        <f t="shared" si="0"/>
        <v>0</v>
      </c>
    </row>
    <row r="2" spans="1:2">
      <c r="A2" t="str" cm="1">
        <f ca="1" t="array" ref="A2">_wpsfn.SHEETSNAME(A1)</f>
        <v>20250616</v>
      </c>
      <c r="B2" t="s">
        <v>1833</v>
      </c>
    </row>
    <row r="3" spans="3:3">
      <c r="C3" t="s">
        <v>1834</v>
      </c>
    </row>
    <row r="4" spans="3:3">
      <c r="C4" t="s">
        <v>1835</v>
      </c>
    </row>
    <row r="5" spans="3:3">
      <c r="C5" t="s">
        <v>1836</v>
      </c>
    </row>
    <row r="6" spans="2:2">
      <c r="B6" t="s">
        <v>1837</v>
      </c>
    </row>
    <row r="7" spans="3:3">
      <c r="C7" t="s">
        <v>1838</v>
      </c>
    </row>
    <row r="8" spans="3:3">
      <c r="C8" t="s">
        <v>1839</v>
      </c>
    </row>
    <row r="9" spans="3:3">
      <c r="C9" t="s">
        <v>1840</v>
      </c>
    </row>
    <row r="10" spans="3:3">
      <c r="C10" t="s">
        <v>1841</v>
      </c>
    </row>
    <row r="11" spans="3:3">
      <c r="C11" t="s">
        <v>1842</v>
      </c>
    </row>
    <row r="12" spans="3:3">
      <c r="C12" t="s">
        <v>1843</v>
      </c>
    </row>
    <row r="13" spans="3:3">
      <c r="C13" t="s">
        <v>1844</v>
      </c>
    </row>
    <row r="14" spans="3:3">
      <c r="C14" t="s">
        <v>1845</v>
      </c>
    </row>
    <row r="15" spans="3:3">
      <c r="C15" t="s">
        <v>1846</v>
      </c>
    </row>
    <row r="16" spans="3:3">
      <c r="C16" t="s">
        <v>1847</v>
      </c>
    </row>
    <row r="17" spans="3:3">
      <c r="C17" t="s">
        <v>1848</v>
      </c>
    </row>
    <row r="18" spans="3:3">
      <c r="C18" t="s">
        <v>1849</v>
      </c>
    </row>
    <row r="19" spans="3:3">
      <c r="C19" t="s">
        <v>1850</v>
      </c>
    </row>
    <row r="20" spans="2:2">
      <c r="B20" t="s">
        <v>1851</v>
      </c>
    </row>
    <row r="45" spans="3:3">
      <c r="C45" s="2"/>
    </row>
    <row r="49" spans="4:4">
      <c r="D49" s="2"/>
    </row>
  </sheetData>
  <pageMargins left="0.75" right="0.75" top="1" bottom="1" header="0.5" footer="0.5"/>
  <headerFooter/>
</worksheet>
</file>

<file path=xl/worksheets/sheet1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1"/>
  <sheetViews>
    <sheetView workbookViewId="0">
      <selection activeCell="L16" sqref="L16"/>
    </sheetView>
  </sheetViews>
  <sheetFormatPr defaultColWidth="8.88888888888889" defaultRowHeight="14.4" outlineLevelCol="7"/>
  <cols>
    <col min="1" max="1" width="9.66666666666667"/>
  </cols>
  <sheetData>
    <row r="1" spans="1:8">
      <c r="A1" s="1">
        <f>SUM(B1:AZ1)</f>
        <v>6.33333333333333</v>
      </c>
      <c r="B1" s="1">
        <f t="shared" ref="B1:H1" si="0">COUNTA(B2:B2060)/COLUMN()</f>
        <v>1</v>
      </c>
      <c r="C1" s="1">
        <f t="shared" si="0"/>
        <v>1.33333333333333</v>
      </c>
      <c r="D1" s="1">
        <f t="shared" si="0"/>
        <v>4</v>
      </c>
      <c r="E1" s="1">
        <f t="shared" si="0"/>
        <v>0</v>
      </c>
      <c r="F1" s="1">
        <f t="shared" si="0"/>
        <v>0</v>
      </c>
      <c r="G1" s="1">
        <f t="shared" si="0"/>
        <v>0</v>
      </c>
      <c r="H1" s="1">
        <f t="shared" si="0"/>
        <v>0</v>
      </c>
    </row>
    <row r="2" spans="1:2">
      <c r="A2" t="str" cm="1">
        <f ca="1" t="array" ref="A2">_wpsfn.SHEETSNAME(A1)</f>
        <v>20250617</v>
      </c>
      <c r="B2" t="s">
        <v>1852</v>
      </c>
    </row>
    <row r="3" spans="3:3">
      <c r="C3" t="s">
        <v>1853</v>
      </c>
    </row>
    <row r="4" spans="4:4">
      <c r="D4" t="s">
        <v>1854</v>
      </c>
    </row>
    <row r="5" spans="4:4">
      <c r="D5" t="s">
        <v>1855</v>
      </c>
    </row>
    <row r="6" spans="4:4">
      <c r="D6" t="s">
        <v>1856</v>
      </c>
    </row>
    <row r="7" spans="4:4">
      <c r="D7" t="s">
        <v>1857</v>
      </c>
    </row>
    <row r="8" spans="3:3">
      <c r="C8" t="s">
        <v>1858</v>
      </c>
    </row>
    <row r="9" spans="4:4">
      <c r="D9" t="s">
        <v>1859</v>
      </c>
    </row>
    <row r="10" spans="4:4">
      <c r="D10" t="s">
        <v>1860</v>
      </c>
    </row>
    <row r="11" spans="4:4">
      <c r="D11" t="s">
        <v>1861</v>
      </c>
    </row>
    <row r="12" spans="4:4">
      <c r="D12" t="s">
        <v>1862</v>
      </c>
    </row>
    <row r="13" spans="3:3">
      <c r="C13" t="s">
        <v>1863</v>
      </c>
    </row>
    <row r="14" spans="4:4">
      <c r="D14" t="s">
        <v>1864</v>
      </c>
    </row>
    <row r="15" spans="4:4">
      <c r="D15" t="s">
        <v>1865</v>
      </c>
    </row>
    <row r="16" spans="4:4">
      <c r="D16" t="s">
        <v>1866</v>
      </c>
    </row>
    <row r="17" spans="4:4">
      <c r="D17" t="s">
        <v>1867</v>
      </c>
    </row>
    <row r="18" spans="3:3">
      <c r="C18" t="s">
        <v>1868</v>
      </c>
    </row>
    <row r="19" spans="4:4">
      <c r="D19" t="s">
        <v>1869</v>
      </c>
    </row>
    <row r="20" spans="4:4">
      <c r="D20" t="s">
        <v>1870</v>
      </c>
    </row>
    <row r="21" spans="4:4">
      <c r="D21" t="s">
        <v>1871</v>
      </c>
    </row>
    <row r="22" spans="4:4">
      <c r="D22" t="s">
        <v>1872</v>
      </c>
    </row>
    <row r="23" spans="2:2">
      <c r="B23" t="s">
        <v>1873</v>
      </c>
    </row>
    <row r="37" spans="3:3">
      <c r="C37" s="2"/>
    </row>
    <row r="41" spans="4:4">
      <c r="D41" s="2"/>
    </row>
  </sheetData>
  <pageMargins left="0.75" right="0.75" top="1" bottom="1" header="0.5" footer="0.5"/>
  <headerFooter/>
</worksheet>
</file>

<file path=xl/worksheets/sheet1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1"/>
  <sheetViews>
    <sheetView workbookViewId="0">
      <selection activeCell="M14" sqref="M14"/>
    </sheetView>
  </sheetViews>
  <sheetFormatPr defaultColWidth="8.88888888888889" defaultRowHeight="14.4" outlineLevelCol="7"/>
  <cols>
    <col min="1" max="1" width="9.66666666666667"/>
  </cols>
  <sheetData>
    <row r="1" spans="1:8">
      <c r="A1" s="1">
        <f>SUM(B1:AZ1)</f>
        <v>12.1666666666667</v>
      </c>
      <c r="B1" s="1">
        <f t="shared" ref="B1:H1" si="0">COUNTA(B2:B2090)/COLUMN()</f>
        <v>0.5</v>
      </c>
      <c r="C1" s="1">
        <f t="shared" si="0"/>
        <v>1.66666666666667</v>
      </c>
      <c r="D1" s="1">
        <f t="shared" si="0"/>
        <v>10</v>
      </c>
      <c r="E1" s="1">
        <f t="shared" si="0"/>
        <v>0</v>
      </c>
      <c r="F1" s="1">
        <f t="shared" si="0"/>
        <v>0</v>
      </c>
      <c r="G1" s="1">
        <f t="shared" si="0"/>
        <v>0</v>
      </c>
      <c r="H1" s="1">
        <f t="shared" si="0"/>
        <v>0</v>
      </c>
    </row>
    <row r="2" spans="1:2">
      <c r="A2" t="str" cm="1">
        <f ca="1" t="array" ref="A2">_wpsfn.SHEETSNAME(A1)</f>
        <v>20250618</v>
      </c>
      <c r="B2" t="s">
        <v>1874</v>
      </c>
    </row>
    <row r="3" spans="3:3">
      <c r="C3" t="s">
        <v>1875</v>
      </c>
    </row>
    <row r="4" spans="4:4">
      <c r="D4" t="s">
        <v>1876</v>
      </c>
    </row>
    <row r="5" spans="4:4">
      <c r="D5" t="s">
        <v>1877</v>
      </c>
    </row>
    <row r="6" spans="4:4">
      <c r="D6" t="s">
        <v>1878</v>
      </c>
    </row>
    <row r="7" spans="4:4">
      <c r="D7" t="s">
        <v>1879</v>
      </c>
    </row>
    <row r="8" spans="4:4">
      <c r="D8" t="s">
        <v>1880</v>
      </c>
    </row>
    <row r="9" spans="4:4">
      <c r="D9" t="s">
        <v>1881</v>
      </c>
    </row>
    <row r="10" spans="4:4">
      <c r="D10" t="s">
        <v>1882</v>
      </c>
    </row>
    <row r="11" spans="4:4">
      <c r="D11" t="s">
        <v>1883</v>
      </c>
    </row>
    <row r="12" spans="3:3">
      <c r="C12" t="s">
        <v>1884</v>
      </c>
    </row>
    <row r="13" spans="4:4">
      <c r="D13" t="s">
        <v>1885</v>
      </c>
    </row>
    <row r="14" spans="4:4">
      <c r="D14" t="s">
        <v>1886</v>
      </c>
    </row>
    <row r="15" spans="4:4">
      <c r="D15" t="s">
        <v>1887</v>
      </c>
    </row>
    <row r="16" spans="4:4">
      <c r="D16" t="s">
        <v>1888</v>
      </c>
    </row>
    <row r="17" spans="4:4">
      <c r="D17" t="s">
        <v>1889</v>
      </c>
    </row>
    <row r="18" spans="4:4">
      <c r="D18" t="s">
        <v>1890</v>
      </c>
    </row>
    <row r="19" spans="4:4">
      <c r="D19" t="s">
        <v>1891</v>
      </c>
    </row>
    <row r="20" spans="4:4">
      <c r="D20" t="s">
        <v>1892</v>
      </c>
    </row>
    <row r="21" spans="3:3">
      <c r="C21" t="s">
        <v>1893</v>
      </c>
    </row>
    <row r="22" spans="4:4">
      <c r="D22" t="s">
        <v>1894</v>
      </c>
    </row>
    <row r="23" spans="4:4">
      <c r="D23" t="s">
        <v>1895</v>
      </c>
    </row>
    <row r="24" spans="4:4">
      <c r="D24" t="s">
        <v>1896</v>
      </c>
    </row>
    <row r="25" spans="4:4">
      <c r="D25" t="s">
        <v>1897</v>
      </c>
    </row>
    <row r="26" spans="4:4">
      <c r="D26" t="s">
        <v>1898</v>
      </c>
    </row>
    <row r="27" spans="4:4">
      <c r="D27" t="s">
        <v>1899</v>
      </c>
    </row>
    <row r="28" spans="4:4">
      <c r="D28" t="s">
        <v>1900</v>
      </c>
    </row>
    <row r="29" spans="4:4">
      <c r="D29" t="s">
        <v>1901</v>
      </c>
    </row>
    <row r="30" spans="3:3">
      <c r="C30" t="s">
        <v>1902</v>
      </c>
    </row>
    <row r="31" spans="4:4">
      <c r="D31" t="s">
        <v>1903</v>
      </c>
    </row>
    <row r="32" spans="4:4">
      <c r="D32" t="s">
        <v>1904</v>
      </c>
    </row>
    <row r="33" spans="4:4">
      <c r="D33" t="s">
        <v>1905</v>
      </c>
    </row>
    <row r="34" spans="4:4">
      <c r="D34" t="s">
        <v>1906</v>
      </c>
    </row>
    <row r="35" spans="4:4">
      <c r="D35" t="s">
        <v>1907</v>
      </c>
    </row>
    <row r="36" spans="4:4">
      <c r="D36" t="s">
        <v>1908</v>
      </c>
    </row>
    <row r="37" spans="4:4">
      <c r="D37" t="s">
        <v>1909</v>
      </c>
    </row>
    <row r="38" spans="4:4">
      <c r="D38" t="s">
        <v>1910</v>
      </c>
    </row>
    <row r="39" spans="3:3">
      <c r="C39" t="s">
        <v>1911</v>
      </c>
    </row>
    <row r="40" spans="4:4">
      <c r="D40" t="s">
        <v>1912</v>
      </c>
    </row>
    <row r="41" spans="4:4">
      <c r="D41" t="s">
        <v>1913</v>
      </c>
    </row>
    <row r="42" spans="4:4">
      <c r="D42" t="s">
        <v>1914</v>
      </c>
    </row>
    <row r="43" spans="4:4">
      <c r="D43" t="s">
        <v>1915</v>
      </c>
    </row>
    <row r="44" spans="4:4">
      <c r="D44" t="s">
        <v>1916</v>
      </c>
    </row>
    <row r="45" spans="4:4">
      <c r="D45" t="s">
        <v>1917</v>
      </c>
    </row>
    <row r="46" spans="4:4">
      <c r="D46" t="s">
        <v>1918</v>
      </c>
    </row>
    <row r="47" spans="4:4">
      <c r="D47" t="s">
        <v>1919</v>
      </c>
    </row>
    <row r="67" spans="3:3">
      <c r="C67" s="2"/>
    </row>
    <row r="71" spans="4:4">
      <c r="D71" s="2"/>
    </row>
  </sheetData>
  <pageMargins left="0.75" right="0.75" top="1" bottom="1" header="0.5" footer="0.5"/>
  <headerFooter/>
</worksheet>
</file>

<file path=xl/worksheets/sheet1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8"/>
  <sheetViews>
    <sheetView topLeftCell="A31" workbookViewId="0">
      <selection activeCell="F3" sqref="F3"/>
    </sheetView>
  </sheetViews>
  <sheetFormatPr defaultColWidth="8.88888888888889" defaultRowHeight="14.4" outlineLevelCol="7"/>
  <cols>
    <col min="1" max="1" width="9.66666666666667"/>
  </cols>
  <sheetData>
    <row r="1" spans="1:8">
      <c r="A1" s="1">
        <f>SUM(B1:AZ1)</f>
        <v>12.8333333333333</v>
      </c>
      <c r="B1" s="1">
        <f t="shared" ref="B1:H1" si="0">COUNTA(B2:B2040)/COLUMN()</f>
        <v>0.5</v>
      </c>
      <c r="C1" s="1">
        <f t="shared" si="0"/>
        <v>3.33333333333333</v>
      </c>
      <c r="D1" s="1">
        <f t="shared" si="0"/>
        <v>9</v>
      </c>
      <c r="E1" s="1">
        <f t="shared" si="0"/>
        <v>0</v>
      </c>
      <c r="F1" s="1">
        <f t="shared" si="0"/>
        <v>0</v>
      </c>
      <c r="G1" s="1">
        <f t="shared" si="0"/>
        <v>0</v>
      </c>
      <c r="H1" s="1">
        <f t="shared" si="0"/>
        <v>0</v>
      </c>
    </row>
    <row r="2" spans="1:2">
      <c r="A2" t="str" cm="1">
        <f ca="1" t="array" ref="A2">_wpsfn.SHEETSNAME(A1)</f>
        <v>20250619</v>
      </c>
      <c r="B2" t="s">
        <v>1920</v>
      </c>
    </row>
    <row r="3" spans="3:3">
      <c r="C3" t="s">
        <v>1921</v>
      </c>
    </row>
    <row r="4" spans="3:3">
      <c r="C4" t="s">
        <v>1922</v>
      </c>
    </row>
    <row r="5" spans="4:4">
      <c r="D5" t="s">
        <v>1923</v>
      </c>
    </row>
    <row r="6" spans="4:4">
      <c r="D6" t="s">
        <v>1924</v>
      </c>
    </row>
    <row r="7" spans="4:4">
      <c r="D7" t="s">
        <v>1925</v>
      </c>
    </row>
    <row r="8" spans="4:4">
      <c r="D8" t="s">
        <v>1926</v>
      </c>
    </row>
    <row r="9" spans="3:3">
      <c r="C9" t="s">
        <v>1927</v>
      </c>
    </row>
    <row r="10" spans="4:4">
      <c r="D10" t="s">
        <v>1928</v>
      </c>
    </row>
    <row r="11" spans="4:4">
      <c r="D11" t="s">
        <v>1929</v>
      </c>
    </row>
    <row r="12" spans="4:4">
      <c r="D12" t="s">
        <v>1930</v>
      </c>
    </row>
    <row r="13" spans="4:4">
      <c r="D13" t="s">
        <v>1931</v>
      </c>
    </row>
    <row r="14" spans="3:3">
      <c r="C14" t="s">
        <v>1932</v>
      </c>
    </row>
    <row r="15" spans="4:4">
      <c r="D15" t="s">
        <v>1933</v>
      </c>
    </row>
    <row r="16" spans="4:4">
      <c r="D16" t="s">
        <v>1934</v>
      </c>
    </row>
    <row r="17" spans="4:4">
      <c r="D17" t="s">
        <v>1935</v>
      </c>
    </row>
    <row r="18" spans="4:4">
      <c r="D18" t="s">
        <v>1936</v>
      </c>
    </row>
    <row r="19" spans="3:3">
      <c r="C19" t="s">
        <v>1937</v>
      </c>
    </row>
    <row r="20" spans="4:4">
      <c r="D20" t="s">
        <v>1938</v>
      </c>
    </row>
    <row r="21" spans="4:4">
      <c r="D21" t="s">
        <v>1939</v>
      </c>
    </row>
    <row r="22" spans="4:4">
      <c r="D22" t="s">
        <v>1940</v>
      </c>
    </row>
    <row r="23" spans="4:4">
      <c r="D23" t="s">
        <v>1941</v>
      </c>
    </row>
    <row r="24" spans="3:3">
      <c r="C24" t="s">
        <v>1942</v>
      </c>
    </row>
    <row r="25" spans="4:4">
      <c r="D25" t="s">
        <v>1943</v>
      </c>
    </row>
    <row r="26" spans="4:4">
      <c r="D26" t="s">
        <v>1944</v>
      </c>
    </row>
    <row r="27" spans="4:4">
      <c r="D27" t="s">
        <v>1945</v>
      </c>
    </row>
    <row r="28" spans="4:4">
      <c r="D28" t="s">
        <v>1946</v>
      </c>
    </row>
    <row r="29" spans="3:3">
      <c r="C29" t="s">
        <v>1947</v>
      </c>
    </row>
    <row r="30" spans="4:4">
      <c r="D30" t="s">
        <v>1948</v>
      </c>
    </row>
    <row r="31" spans="4:4">
      <c r="D31" t="s">
        <v>1949</v>
      </c>
    </row>
    <row r="32" spans="4:4">
      <c r="D32" t="s">
        <v>1950</v>
      </c>
    </row>
    <row r="33" spans="4:4">
      <c r="D33" t="s">
        <v>1951</v>
      </c>
    </row>
    <row r="34" spans="3:3">
      <c r="C34" t="s">
        <v>1952</v>
      </c>
    </row>
    <row r="35" spans="4:4">
      <c r="D35" t="s">
        <v>1953</v>
      </c>
    </row>
    <row r="36" spans="4:4">
      <c r="D36" t="s">
        <v>1954</v>
      </c>
    </row>
    <row r="37" spans="4:4">
      <c r="D37" t="s">
        <v>1955</v>
      </c>
    </row>
    <row r="38" spans="4:4">
      <c r="D38" t="s">
        <v>1956</v>
      </c>
    </row>
    <row r="39" spans="3:3">
      <c r="C39" t="s">
        <v>1957</v>
      </c>
    </row>
    <row r="40" spans="4:4">
      <c r="D40" t="s">
        <v>1958</v>
      </c>
    </row>
    <row r="41" spans="4:4">
      <c r="D41" t="s">
        <v>1959</v>
      </c>
    </row>
    <row r="42" spans="4:4">
      <c r="D42" t="s">
        <v>1960</v>
      </c>
    </row>
    <row r="43" spans="4:4">
      <c r="D43" t="s">
        <v>1961</v>
      </c>
    </row>
    <row r="44" spans="3:3">
      <c r="C44" t="s">
        <v>1962</v>
      </c>
    </row>
    <row r="45" spans="4:4">
      <c r="D45" t="s">
        <v>1963</v>
      </c>
    </row>
    <row r="46" spans="4:4">
      <c r="D46" t="s">
        <v>1964</v>
      </c>
    </row>
    <row r="47" spans="4:4">
      <c r="D47" t="s">
        <v>1965</v>
      </c>
    </row>
    <row r="48" spans="4:4">
      <c r="D48" t="s">
        <v>1966</v>
      </c>
    </row>
  </sheetData>
  <pageMargins left="0.75" right="0.75" top="1" bottom="1" header="0.5" footer="0.5"/>
  <headerFooter/>
</worksheet>
</file>

<file path=xl/worksheets/sheet1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9"/>
  <sheetViews>
    <sheetView tabSelected="1" topLeftCell="A28" workbookViewId="0">
      <selection activeCell="N36" sqref="N36"/>
    </sheetView>
  </sheetViews>
  <sheetFormatPr defaultColWidth="8.88888888888889" defaultRowHeight="14.4" outlineLevelCol="7"/>
  <cols>
    <col min="1" max="1" width="9.66666666666667"/>
  </cols>
  <sheetData>
    <row r="1" spans="1:8">
      <c r="A1" s="1">
        <f>SUM(B1:AZ1)</f>
        <v>12.8333333333333</v>
      </c>
      <c r="B1" s="1">
        <f t="shared" ref="B1:H1" si="0">COUNTA(B2:B2046)/COLUMN()</f>
        <v>0.5</v>
      </c>
      <c r="C1" s="1">
        <f t="shared" si="0"/>
        <v>2.33333333333333</v>
      </c>
      <c r="D1" s="1">
        <f t="shared" si="0"/>
        <v>10</v>
      </c>
      <c r="E1" s="1">
        <f t="shared" si="0"/>
        <v>0</v>
      </c>
      <c r="F1" s="1">
        <f t="shared" si="0"/>
        <v>0</v>
      </c>
      <c r="G1" s="1">
        <f t="shared" si="0"/>
        <v>0</v>
      </c>
      <c r="H1" s="1">
        <f t="shared" si="0"/>
        <v>0</v>
      </c>
    </row>
    <row r="2" spans="1:2">
      <c r="A2" t="str" cm="1">
        <f ca="1" t="array" ref="A2">_wpsfn.SHEETSNAME(A1)</f>
        <v>20250620</v>
      </c>
      <c r="B2" t="s">
        <v>1967</v>
      </c>
    </row>
    <row r="3" spans="3:3">
      <c r="C3" t="s">
        <v>1921</v>
      </c>
    </row>
    <row r="4" spans="3:3">
      <c r="C4" t="s">
        <v>1968</v>
      </c>
    </row>
    <row r="5" spans="4:4">
      <c r="D5" t="s">
        <v>1969</v>
      </c>
    </row>
    <row r="6" spans="4:4">
      <c r="D6" t="s">
        <v>1970</v>
      </c>
    </row>
    <row r="7" spans="4:4">
      <c r="D7" t="s">
        <v>1971</v>
      </c>
    </row>
    <row r="8" spans="4:4">
      <c r="D8" t="s">
        <v>1972</v>
      </c>
    </row>
    <row r="9" spans="4:4">
      <c r="D9" t="s">
        <v>1973</v>
      </c>
    </row>
    <row r="10" spans="4:4">
      <c r="D10" t="s">
        <v>1974</v>
      </c>
    </row>
    <row r="11" spans="3:3">
      <c r="C11" t="s">
        <v>1975</v>
      </c>
    </row>
    <row r="12" spans="4:4">
      <c r="D12" t="s">
        <v>1976</v>
      </c>
    </row>
    <row r="13" spans="4:4">
      <c r="D13" t="s">
        <v>1977</v>
      </c>
    </row>
    <row r="14" spans="4:4">
      <c r="D14" t="s">
        <v>1978</v>
      </c>
    </row>
    <row r="15" spans="4:4">
      <c r="D15" t="s">
        <v>1979</v>
      </c>
    </row>
    <row r="16" spans="4:4">
      <c r="D16" t="s">
        <v>1980</v>
      </c>
    </row>
    <row r="17" spans="4:4">
      <c r="D17" t="s">
        <v>1974</v>
      </c>
    </row>
    <row r="18" spans="3:3">
      <c r="C18" t="s">
        <v>1981</v>
      </c>
    </row>
    <row r="19" spans="4:4">
      <c r="D19" t="s">
        <v>1982</v>
      </c>
    </row>
    <row r="20" spans="4:4">
      <c r="D20" t="s">
        <v>1983</v>
      </c>
    </row>
    <row r="21" spans="4:4">
      <c r="D21" t="s">
        <v>1984</v>
      </c>
    </row>
    <row r="22" spans="4:4">
      <c r="D22" t="s">
        <v>1985</v>
      </c>
    </row>
    <row r="23" spans="4:4">
      <c r="D23" t="s">
        <v>1986</v>
      </c>
    </row>
    <row r="24" spans="4:4">
      <c r="D24" t="s">
        <v>1987</v>
      </c>
    </row>
    <row r="25" spans="4:4">
      <c r="D25" t="s">
        <v>1988</v>
      </c>
    </row>
    <row r="26" spans="4:4">
      <c r="D26" t="s">
        <v>1989</v>
      </c>
    </row>
    <row r="27" spans="3:3">
      <c r="C27" t="s">
        <v>1990</v>
      </c>
    </row>
    <row r="28" spans="4:4">
      <c r="D28" t="s">
        <v>1991</v>
      </c>
    </row>
    <row r="29" spans="4:4">
      <c r="D29" t="s">
        <v>1992</v>
      </c>
    </row>
    <row r="30" spans="4:4">
      <c r="D30" t="s">
        <v>1993</v>
      </c>
    </row>
    <row r="31" spans="4:4">
      <c r="D31" t="s">
        <v>1994</v>
      </c>
    </row>
    <row r="32" spans="4:4">
      <c r="D32" t="s">
        <v>1995</v>
      </c>
    </row>
    <row r="33" spans="4:4">
      <c r="D33" t="s">
        <v>1996</v>
      </c>
    </row>
    <row r="34" spans="3:3">
      <c r="C34" t="s">
        <v>1997</v>
      </c>
    </row>
    <row r="35" spans="4:4">
      <c r="D35" t="s">
        <v>1991</v>
      </c>
    </row>
    <row r="36" spans="4:4">
      <c r="D36" t="s">
        <v>1998</v>
      </c>
    </row>
    <row r="37" spans="4:4">
      <c r="D37" t="s">
        <v>1999</v>
      </c>
    </row>
    <row r="38" spans="4:4">
      <c r="D38" t="s">
        <v>1994</v>
      </c>
    </row>
    <row r="39" spans="4:4">
      <c r="D39" t="s">
        <v>2000</v>
      </c>
    </row>
    <row r="40" spans="4:4">
      <c r="D40" t="s">
        <v>2001</v>
      </c>
    </row>
    <row r="41" spans="3:3">
      <c r="C41" t="s">
        <v>2002</v>
      </c>
    </row>
    <row r="42" spans="4:4">
      <c r="D42" t="s">
        <v>2003</v>
      </c>
    </row>
    <row r="43" spans="4:4">
      <c r="D43" t="s">
        <v>2004</v>
      </c>
    </row>
    <row r="44" spans="4:4">
      <c r="D44" t="s">
        <v>2005</v>
      </c>
    </row>
    <row r="45" spans="4:4">
      <c r="D45" t="s">
        <v>2006</v>
      </c>
    </row>
    <row r="46" spans="4:4">
      <c r="D46" t="s">
        <v>2007</v>
      </c>
    </row>
    <row r="47" spans="4:4">
      <c r="D47" t="s">
        <v>2008</v>
      </c>
    </row>
    <row r="48" spans="4:4">
      <c r="D48" t="s">
        <v>2009</v>
      </c>
    </row>
    <row r="49" spans="4:4">
      <c r="D49" t="s">
        <v>2010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130</vt:i4>
      </vt:variant>
    </vt:vector>
  </HeadingPairs>
  <TitlesOfParts>
    <vt:vector size="130" baseType="lpstr">
      <vt:lpstr>20240225</vt:lpstr>
      <vt:lpstr>20240229</vt:lpstr>
      <vt:lpstr>20240302</vt:lpstr>
      <vt:lpstr>20240303</vt:lpstr>
      <vt:lpstr>20240304</vt:lpstr>
      <vt:lpstr>20240306</vt:lpstr>
      <vt:lpstr>20240307</vt:lpstr>
      <vt:lpstr>20240308</vt:lpstr>
      <vt:lpstr>20240309</vt:lpstr>
      <vt:lpstr>20240310</vt:lpstr>
      <vt:lpstr>20240311</vt:lpstr>
      <vt:lpstr>20240316</vt:lpstr>
      <vt:lpstr>20240317</vt:lpstr>
      <vt:lpstr>20240320</vt:lpstr>
      <vt:lpstr>20240322</vt:lpstr>
      <vt:lpstr>20240323</vt:lpstr>
      <vt:lpstr>20240326</vt:lpstr>
      <vt:lpstr>20240328</vt:lpstr>
      <vt:lpstr>20240401</vt:lpstr>
      <vt:lpstr>20240402</vt:lpstr>
      <vt:lpstr>20240405</vt:lpstr>
      <vt:lpstr>20240406</vt:lpstr>
      <vt:lpstr>20240408</vt:lpstr>
      <vt:lpstr>20240409</vt:lpstr>
      <vt:lpstr>20240410</vt:lpstr>
      <vt:lpstr>20240411</vt:lpstr>
      <vt:lpstr>20240412</vt:lpstr>
      <vt:lpstr>20240413</vt:lpstr>
      <vt:lpstr>20240414</vt:lpstr>
      <vt:lpstr>20240415</vt:lpstr>
      <vt:lpstr>20240416</vt:lpstr>
      <vt:lpstr>20240417</vt:lpstr>
      <vt:lpstr>20240418</vt:lpstr>
      <vt:lpstr>20240420</vt:lpstr>
      <vt:lpstr>20240421</vt:lpstr>
      <vt:lpstr>20240422</vt:lpstr>
      <vt:lpstr>20240423</vt:lpstr>
      <vt:lpstr>20240424</vt:lpstr>
      <vt:lpstr>20240425</vt:lpstr>
      <vt:lpstr>20240426</vt:lpstr>
      <vt:lpstr>20240427</vt:lpstr>
      <vt:lpstr>20240501</vt:lpstr>
      <vt:lpstr>20240503</vt:lpstr>
      <vt:lpstr>20240504</vt:lpstr>
      <vt:lpstr>20240507</vt:lpstr>
      <vt:lpstr>20240511</vt:lpstr>
      <vt:lpstr>20240512</vt:lpstr>
      <vt:lpstr>20240513</vt:lpstr>
      <vt:lpstr>20240515</vt:lpstr>
      <vt:lpstr>20240519</vt:lpstr>
      <vt:lpstr>20240523</vt:lpstr>
      <vt:lpstr>20240525</vt:lpstr>
      <vt:lpstr>20240526</vt:lpstr>
      <vt:lpstr>20240527</vt:lpstr>
      <vt:lpstr>20240529</vt:lpstr>
      <vt:lpstr>20240530</vt:lpstr>
      <vt:lpstr>20240531</vt:lpstr>
      <vt:lpstr>20240601</vt:lpstr>
      <vt:lpstr>20240602</vt:lpstr>
      <vt:lpstr>20240603</vt:lpstr>
      <vt:lpstr>20240720</vt:lpstr>
      <vt:lpstr>20240721</vt:lpstr>
      <vt:lpstr>20240727</vt:lpstr>
      <vt:lpstr>20240804</vt:lpstr>
      <vt:lpstr>20240810</vt:lpstr>
      <vt:lpstr>20240811</vt:lpstr>
      <vt:lpstr>20240831</vt:lpstr>
      <vt:lpstr>20240901</vt:lpstr>
      <vt:lpstr>20240907</vt:lpstr>
      <vt:lpstr>20240908</vt:lpstr>
      <vt:lpstr>20240916</vt:lpstr>
      <vt:lpstr>20240922</vt:lpstr>
      <vt:lpstr>20241001</vt:lpstr>
      <vt:lpstr>20241006</vt:lpstr>
      <vt:lpstr>20241019</vt:lpstr>
      <vt:lpstr>20250202</vt:lpstr>
      <vt:lpstr>20250205</vt:lpstr>
      <vt:lpstr>20250211</vt:lpstr>
      <vt:lpstr>20250214</vt:lpstr>
      <vt:lpstr>20250217</vt:lpstr>
      <vt:lpstr>20250324</vt:lpstr>
      <vt:lpstr>20250325</vt:lpstr>
      <vt:lpstr>20250327</vt:lpstr>
      <vt:lpstr>20250329</vt:lpstr>
      <vt:lpstr>20250330</vt:lpstr>
      <vt:lpstr>20250331</vt:lpstr>
      <vt:lpstr>20250405</vt:lpstr>
      <vt:lpstr>20250408</vt:lpstr>
      <vt:lpstr>20250411</vt:lpstr>
      <vt:lpstr>20250412</vt:lpstr>
      <vt:lpstr>20250416</vt:lpstr>
      <vt:lpstr>20250420</vt:lpstr>
      <vt:lpstr>20250427</vt:lpstr>
      <vt:lpstr>20250502</vt:lpstr>
      <vt:lpstr>20250506</vt:lpstr>
      <vt:lpstr>20250514</vt:lpstr>
      <vt:lpstr>20250517</vt:lpstr>
      <vt:lpstr>20250518</vt:lpstr>
      <vt:lpstr>20250519</vt:lpstr>
      <vt:lpstr>20250520</vt:lpstr>
      <vt:lpstr>20250521</vt:lpstr>
      <vt:lpstr>20250522</vt:lpstr>
      <vt:lpstr>20250523</vt:lpstr>
      <vt:lpstr>20250524</vt:lpstr>
      <vt:lpstr>20250525</vt:lpstr>
      <vt:lpstr>20250526</vt:lpstr>
      <vt:lpstr>20250527</vt:lpstr>
      <vt:lpstr>20250528</vt:lpstr>
      <vt:lpstr>20250529</vt:lpstr>
      <vt:lpstr>20250530</vt:lpstr>
      <vt:lpstr>20250531</vt:lpstr>
      <vt:lpstr>20250601</vt:lpstr>
      <vt:lpstr>20250602</vt:lpstr>
      <vt:lpstr>20250603</vt:lpstr>
      <vt:lpstr>20250604</vt:lpstr>
      <vt:lpstr>20250605</vt:lpstr>
      <vt:lpstr>20250607</vt:lpstr>
      <vt:lpstr>20250608</vt:lpstr>
      <vt:lpstr>20250609</vt:lpstr>
      <vt:lpstr>20250610</vt:lpstr>
      <vt:lpstr>20250611</vt:lpstr>
      <vt:lpstr>20250612</vt:lpstr>
      <vt:lpstr>20250613</vt:lpstr>
      <vt:lpstr>20250614</vt:lpstr>
      <vt:lpstr>20250615</vt:lpstr>
      <vt:lpstr>20250616</vt:lpstr>
      <vt:lpstr>20250617</vt:lpstr>
      <vt:lpstr>20250618</vt:lpstr>
      <vt:lpstr>20250619</vt:lpstr>
      <vt:lpstr>20250620</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Scrooge</cp:lastModifiedBy>
  <dcterms:created xsi:type="dcterms:W3CDTF">2023-05-12T11:15:00Z</dcterms:created>
  <dcterms:modified xsi:type="dcterms:W3CDTF">2025-06-18T03:44:47Z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2052-12.1.0.21541</vt:lpwstr>
  </property>
  <property fmtid="{D5CDD505-2E9C-101B-9397-08002B2CF9AE}" pid="3" name="ICV">
    <vt:lpwstr>82987000EA42413E8193202D95BFB17B_12</vt:lpwstr>
  </property>
</Properties>
</file>