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firstSheet="187" activeTab="193"/>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<sst xmlns="http://schemas.openxmlformats.org/spreadsheetml/2006/main" count="4061" uniqueCount="4037">
  <si>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</si>
  <si>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</si>
  <si>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</si>
  <si>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</si>
  <si>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</si>
  <si>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</si>
  <si>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</si>
  <si>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</si>
  <si>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</si>
  <si>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</si>
  <si>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</si>
  <si>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</si>
  <si>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</si>
  <si>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</si>
  <si>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</si>
  <si>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</si>
  <si>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</si>
  <si>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</si>
  <si>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</si>
  <si>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</si>
  <si>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</si>
  <si>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</si>
  <si>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</si>
  <si>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</si>
  <si>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</si>
  <si>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</si>
  <si>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</si>
  <si>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</si>
  <si>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</si>
  <si>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</si>
  <si>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</si>
  <si>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</si>
  <si>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</si>
  <si>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</si>
  <si>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</si>
  <si>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</si>
  <si>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</si>
  <si>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</si>
  <si>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</si>
  <si>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</si>
  <si>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</si>
  <si>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</si>
  <si>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</si>
  <si>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</si>
  <si>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</si>
  <si>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</si>
  <si>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</si>
  <si>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</si>
  <si>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</si>
  <si>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</si>
  <si>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</si>
  <si>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</si>
  <si>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</si>
  <si>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</si>
  <si>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</si>
  <si>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</si>
  <si>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</si>
  <si>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</si>
  <si>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</si>
  <si>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</si>
  <si>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</si>
  <si>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</si>
  <si>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</si>
  <si>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</si>
  <si>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</si>
  <si>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</si>
  <si>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</si>
  <si>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</si>
  <si>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</si>
  <si>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</si>
  <si>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</si>
  <si>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</si>
  <si>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</si>
  <si>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</si>
  <si>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</si>
  <si>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</si>
  <si>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</si>
  <si>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</si>
  <si>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</si>
  <si>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</si>
  <si>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</si>
  <si>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</si>
  <si>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</si>
  <si>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</si>
  <si>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</si>
  <si>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</si>
  <si>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</si>
  <si>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</si>
  <si>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</si>
  <si>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</si>
  <si>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</si>
  <si>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</si>
  <si>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</si>
  <si>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</si>
  <si>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</si>
  <si>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</si>
  <si>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</si>
  <si>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</si>
  <si>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</si>
  <si>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</si>
  <si>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</si>
  <si>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</si>
  <si>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</si>
  <si>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</si>
  <si>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</si>
  <si>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</si>
  <si>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</si>
  <si>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</si>
  <si>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</si>
  <si>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</si>
  <si>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</si>
  <si>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</si>
  <si>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</si>
  <si>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</si>
  <si>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</si>
  <si>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</si>
  <si>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</si>
  <si>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</si>
  <si>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</si>
  <si>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</si>
  <si>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</si>
  <si>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</si>
  <si>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</si>
  <si>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</si>
  <si>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</si>
  <si>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</si>
  <si>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</si>
  <si>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</si>
  <si>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</si>
  <si>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</si>
  <si>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</si>
  <si>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</si>
  <si>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</si>
  <si>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</si>
  <si>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</si>
  <si>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</si>
  <si>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</si>
  <si>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</si>
  <si>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</si>
  <si>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</si>
  <si>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</si>
  <si>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</si>
  <si>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</si>
  <si>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</si>
  <si>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</si>
  <si>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</si>
  <si>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</si>
  <si>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</si>
  <si>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</si>
  <si>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</si>
  <si>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</si>
  <si>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</si>
  <si>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</si>
  <si>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</si>
  <si>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</si>
  <si>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</si>
  <si>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</si>
  <si>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</si>
  <si>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</si>
  <si>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</si>
  <si>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</si>
  <si>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</si>
  <si>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</si>
  <si>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</si>
  <si>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</si>
  <si>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</si>
  <si>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</si>
  <si>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</si>
  <si>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</si>
  <si>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</si>
  <si>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</si>
  <si>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</si>
  <si>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</si>
  <si>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</si>
  <si>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</si>
  <si>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</si>
  <si>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</si>
  <si>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</si>
  <si>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</si>
  <si>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</si>
  <si>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</si>
  <si>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</si>
  <si>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</si>
  <si>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</si>
  <si>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</si>
  <si>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</si>
  <si>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</si>
  <si>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</si>
  <si>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</si>
  <si>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</si>
  <si>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</si>
  <si>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</si>
  <si>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</si>
  <si>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</si>
  <si>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</si>
  <si>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</si>
  <si>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</si>
  <si>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</si>
  <si>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</si>
  <si>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</si>
  <si>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</si>
  <si>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</si>
  <si>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</si>
  <si>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</si>
  <si>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</si>
  <si>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</si>
  <si>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</si>
  <si>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</si>
  <si>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</si>
  <si>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</si>
  <si>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</si>
  <si>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</si>
  <si>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</si>
  <si>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</si>
  <si>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</si>
  <si>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</si>
  <si>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</si>
  <si>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</si>
  <si>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</si>
  <si>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</si>
  <si>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</si>
  <si>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</si>
  <si>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</si>
  <si>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</si>
  <si>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</si>
  <si>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</si>
  <si>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</si>
  <si>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</si>
  <si>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</si>
  <si>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</si>
  <si>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</si>
  <si>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</si>
  <si>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</si>
  <si>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</si>
  <si>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</si>
  <si>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</si>
  <si>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</si>
  <si>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</si>
  <si>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</si>
  <si>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</si>
  <si>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</si>
  <si>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</si>
  <si>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</si>
  <si>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</si>
  <si>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</si>
  <si>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</si>
  <si>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</si>
  <si>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</si>
  <si>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</si>
  <si>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</si>
  <si>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</si>
  <si>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</si>
  <si>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</si>
  <si>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</si>
  <si>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</si>
  <si>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</si>
  <si>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</si>
  <si>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</si>
  <si>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</si>
  <si>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</si>
  <si>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</si>
  <si>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</si>
  <si>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</si>
  <si>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</si>
  <si>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</si>
  <si>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</si>
  <si>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</si>
  <si>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</si>
  <si>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</si>
  <si>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</si>
  <si>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</si>
  <si>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</si>
  <si>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</si>
  <si>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</si>
  <si>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</si>
  <si>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</si>
  <si>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</si>
  <si>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</si>
  <si>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</si>
  <si>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</si>
  <si>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</si>
  <si>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</si>
  <si>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</si>
  <si>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</si>
  <si>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</si>
  <si>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</si>
  <si>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</si>
  <si>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</si>
  <si>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</si>
  <si>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</si>
  <si>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</si>
  <si>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</si>
  <si>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</si>
  <si>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</si>
  <si>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</si>
  <si>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</si>
  <si>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</si>
  <si>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</si>
  <si>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</si>
  <si>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</si>
  <si>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</si>
  <si>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</si>
  <si>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</si>
  <si>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</si>
  <si>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</si>
  <si>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</si>
  <si>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</si>
  <si>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</si>
  <si>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</si>
  <si>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</si>
  <si>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</si>
  <si>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</si>
  <si>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</si>
  <si>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</si>
  <si>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</si>
  <si>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</si>
  <si>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</si>
  <si>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</si>
  <si>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</si>
  <si>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</si>
  <si>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</si>
  <si>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</si>
  <si>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</si>
  <si>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</si>
  <si>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</si>
  <si>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</si>
  <si>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</si>
  <si>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</si>
  <si>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</si>
  <si>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</si>
  <si>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</si>
  <si>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</si>
  <si>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</si>
  <si>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</si>
  <si>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</si>
  <si>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</si>
  <si>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</si>
  <si>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</si>
  <si>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</si>
  <si>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</si>
  <si>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</si>
  <si>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</si>
  <si>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</si>
  <si>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</si>
  <si>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</si>
  <si>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</si>
  <si>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</si>
  <si>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</si>
  <si>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</si>
  <si>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</si>
  <si>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</si>
  <si>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</si>
  <si>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</si>
  <si>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</si>
  <si>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</si>
  <si>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</si>
  <si>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</si>
  <si>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</si>
  <si>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</si>
  <si>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</si>
  <si>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</si>
  <si>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</si>
  <si>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</si>
  <si>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</si>
  <si>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</si>
  <si>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</si>
  <si>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</si>
  <si>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</si>
  <si>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</si>
  <si>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</si>
  <si>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</si>
  <si>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</si>
  <si>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</si>
  <si>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</si>
  <si>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</si>
  <si>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</si>
  <si>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</si>
  <si>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</si>
  <si>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</si>
  <si>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</si>
  <si>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</si>
  <si>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</si>
  <si>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</si>
  <si>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</si>
  <si>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</si>
  <si>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</si>
  <si>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</si>
  <si>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</si>
  <si>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</si>
  <si>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</si>
  <si>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</si>
  <si>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</si>
  <si>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</si>
  <si>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</si>
  <si>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</si>
  <si>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</si>
  <si>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</si>
  <si>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</si>
  <si>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</si>
  <si>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</si>
  <si>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</si>
  <si>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</si>
  <si>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</si>
  <si>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</si>
  <si>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</si>
  <si>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</si>
  <si>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</si>
  <si>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</si>
  <si>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</si>
  <si>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</si>
  <si>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</si>
  <si>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</si>
  <si>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</si>
  <si>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</si>
  <si>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</si>
  <si>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</si>
  <si>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</si>
  <si>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</si>
  <si>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</si>
  <si>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</si>
  <si>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</si>
  <si>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</si>
  <si>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</si>
  <si>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</si>
  <si>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</si>
  <si>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</si>
  <si>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</si>
  <si>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</si>
  <si>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</si>
  <si>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</si>
  <si>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</si>
  <si>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</si>
  <si>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</si>
  <si>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</si>
  <si>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</si>
  <si>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</si>
  <si>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</si>
  <si>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</si>
  <si>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</si>
  <si>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</si>
  <si>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</si>
  <si>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</si>
  <si>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</si>
  <si>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</si>
  <si>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</si>
  <si>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</si>
  <si>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</si>
  <si>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</si>
  <si>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</si>
  <si>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</si>
  <si>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</si>
  <si>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</si>
  <si>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</si>
  <si>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</si>
  <si>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</si>
  <si>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</si>
  <si>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</si>
  <si>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</si>
  <si>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</si>
  <si>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</si>
  <si>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</si>
  <si>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</si>
  <si>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</si>
  <si>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</si>
  <si>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</si>
  <si>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</si>
  <si>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</si>
  <si>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</si>
  <si>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</si>
  <si>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</si>
  <si>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</si>
  <si>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</si>
  <si>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</si>
  <si>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</si>
  <si>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</si>
  <si>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</si>
  <si>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</si>
  <si>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</si>
  <si>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</si>
  <si>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</si>
  <si>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</si>
  <si>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</si>
  <si>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</si>
  <si>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</si>
  <si>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</si>
  <si>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</si>
  <si>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</si>
  <si>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</si>
  <si>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</si>
  <si>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</si>
  <si>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</si>
  <si>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</si>
  <si>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</si>
  <si>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</si>
  <si>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</si>
  <si>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</si>
  <si>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</si>
  <si>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</si>
  <si>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</si>
  <si>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</si>
  <si>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</si>
  <si>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</si>
  <si>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</si>
  <si>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</si>
  <si>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</si>
  <si>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</si>
  <si>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</si>
  <si>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</si>
  <si>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</si>
  <si>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</si>
  <si>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</si>
  <si>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</si>
  <si>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</si>
  <si>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</si>
  <si>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</si>
  <si>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</si>
  <si>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</si>
  <si>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</si>
  <si>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</si>
  <si>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</si>
  <si>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</si>
  <si>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</si>
  <si>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</si>
  <si>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</si>
  <si>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</si>
  <si>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</si>
  <si>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</si>
  <si>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</si>
  <si>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</si>
  <si>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</si>
  <si>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</si>
  <si>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</si>
  <si>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</si>
  <si>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</si>
  <si>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</si>
  <si>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</si>
  <si>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</si>
  <si>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</si>
  <si>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</si>
  <si>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</si>
  <si>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</si>
  <si>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</si>
  <si>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</si>
  <si>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</si>
  <si>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</si>
  <si>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</si>
  <si>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</si>
  <si>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</si>
  <si>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</si>
  <si>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</si>
  <si>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</si>
  <si>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</si>
  <si>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</si>
  <si>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</si>
  <si>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</si>
  <si>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</si>
  <si>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</si>
  <si>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</si>
  <si>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</si>
  <si>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</si>
  <si>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</si>
  <si>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</si>
  <si>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</si>
  <si>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</si>
  <si>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</si>
  <si>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</si>
  <si>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</si>
  <si>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</si>
  <si>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</si>
  <si>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</si>
  <si>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</si>
  <si>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</si>
  <si>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</si>
  <si>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</si>
  <si>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</si>
  <si>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</si>
  <si>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</si>
  <si>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</si>
  <si>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</si>
  <si>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</si>
  <si>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</si>
  <si>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</si>
  <si>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</si>
  <si>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</si>
  <si>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</si>
  <si>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</si>
  <si>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</si>
  <si>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</si>
  <si>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</si>
  <si>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</si>
  <si>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</si>
  <si>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</si>
  <si>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</si>
  <si>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</si>
  <si>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</si>
  <si>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</si>
  <si>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</si>
  <si>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</si>
  <si>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</si>
  <si>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</si>
  <si>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</si>
  <si>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</si>
  <si>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</si>
  <si>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</si>
  <si>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</si>
  <si>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</si>
  <si>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</si>
  <si>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</si>
  <si>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</si>
  <si>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</si>
  <si>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</si>
  <si>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</si>
  <si>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</si>
  <si>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</si>
  <si>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</si>
  <si>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</si>
  <si>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</si>
  <si>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</si>
  <si>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</si>
  <si>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</si>
  <si>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</si>
  <si>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</si>
  <si>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</si>
  <si>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</si>
  <si>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</si>
  <si>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</si>
  <si>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</si>
  <si>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</si>
  <si>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</si>
  <si>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</si>
  <si>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</si>
  <si>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</si>
  <si>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</si>
  <si>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</si>
  <si>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</si>
  <si>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</si>
  <si>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</si>
  <si>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</si>
  <si>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</si>
  <si>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</si>
  <si>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</si>
  <si>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</si>
  <si>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</si>
  <si>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</si>
  <si>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</si>
  <si>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</si>
  <si>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</si>
  <si>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</si>
  <si>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</si>
  <si>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</si>
  <si>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</si>
  <si>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</si>
  <si>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</si>
  <si>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</si>
  <si>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</si>
  <si>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</si>
  <si>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</si>
  <si>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</si>
  <si>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</si>
  <si>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</si>
  <si>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</si>
  <si>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</si>
  <si>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</si>
  <si>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</si>
  <si>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</si>
  <si>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</si>
  <si>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</si>
  <si>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</si>
  <si>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</si>
  <si>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</si>
  <si>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</si>
  <si>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</si>
  <si>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</si>
  <si>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</si>
  <si>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</si>
  <si>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</si>
  <si>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</si>
  <si>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</si>
  <si>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</si>
  <si>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</si>
  <si>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</si>
  <si>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</si>
  <si>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</si>
  <si>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</si>
  <si>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</si>
  <si>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</si>
  <si>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</si>
  <si>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</si>
  <si>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</si>
  <si>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</si>
  <si>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</si>
  <si>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</si>
  <si>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</si>
  <si>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</si>
  <si>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</si>
  <si>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</si>
  <si>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</si>
  <si>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</si>
  <si>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</si>
  <si>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</si>
  <si>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</si>
  <si>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</si>
  <si>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</si>
  <si>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</si>
  <si>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</si>
  <si>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</si>
  <si>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</si>
  <si>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</si>
  <si>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</si>
  <si>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</si>
  <si>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</si>
  <si>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</si>
  <si>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</si>
  <si>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</si>
  <si>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</si>
  <si>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</si>
  <si>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</si>
  <si>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</si>
  <si>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</si>
  <si>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</si>
  <si>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</si>
  <si>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</si>
  <si>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</si>
  <si>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</si>
  <si>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</si>
  <si>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</si>
  <si>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</si>
  <si>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</si>
  <si>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</si>
  <si>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</si>
  <si>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</si>
  <si>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</si>
  <si>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</si>
  <si>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</si>
  <si>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</si>
  <si>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</si>
  <si>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</si>
  <si>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</si>
  <si>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</si>
  <si>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</si>
  <si>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</si>
  <si>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</si>
  <si>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</si>
  <si>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</si>
  <si>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</si>
  <si>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</si>
  <si>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</si>
  <si>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</si>
  <si>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</si>
  <si>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</si>
  <si>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</si>
  <si>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</si>
  <si>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</si>
  <si>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</si>
  <si>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</si>
  <si>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</si>
  <si>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</si>
  <si>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</si>
  <si>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</si>
  <si>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</si>
  <si>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</si>
  <si>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</si>
  <si>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</si>
  <si>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</si>
  <si>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</si>
  <si>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</si>
  <si>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</si>
  <si>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</si>
  <si>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</si>
  <si>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</si>
  <si>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</si>
  <si>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</si>
  <si>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</si>
  <si>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</si>
  <si>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</si>
  <si>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</si>
  <si>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</si>
  <si>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</si>
  <si>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</si>
  <si>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</si>
  <si>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</si>
  <si>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</si>
  <si>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</si>
  <si>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</si>
  <si>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</si>
  <si>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</si>
  <si>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</si>
  <si>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</si>
  <si>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</si>
  <si>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</si>
  <si>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</si>
  <si>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</si>
  <si>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</si>
  <si>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</si>
  <si>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</si>
  <si>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</si>
  <si>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</si>
  <si>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</si>
  <si>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</si>
  <si>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</si>
  <si>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</si>
  <si>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</si>
  <si>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</si>
  <si>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</si>
  <si>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</si>
  <si>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</si>
  <si>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</si>
  <si>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</si>
  <si>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</si>
  <si>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</si>
  <si>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</si>
  <si>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</si>
  <si>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</si>
  <si>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</si>
  <si>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</si>
  <si>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</si>
  <si>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</si>
  <si>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</si>
  <si>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</si>
  <si>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</si>
  <si>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</si>
  <si>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</si>
  <si>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</si>
  <si>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</si>
  <si>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</si>
  <si>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</si>
  <si>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</si>
  <si>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</si>
  <si>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</si>
  <si>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</si>
  <si>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</si>
  <si>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</si>
  <si>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</si>
  <si>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</si>
  <si>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</si>
  <si>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</si>
  <si>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</si>
  <si>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</si>
  <si>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</si>
  <si>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</si>
  <si>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</si>
  <si>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</si>
  <si>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</si>
  <si>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</si>
  <si>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</si>
  <si>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</si>
  <si>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</si>
  <si>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</si>
  <si>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</si>
  <si>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</si>
  <si>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</si>
  <si>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</si>
  <si>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</si>
  <si>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</si>
  <si>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</si>
  <si>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</si>
  <si>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</si>
  <si>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</si>
  <si>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</si>
  <si>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</si>
  <si>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</si>
  <si>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</si>
  <si>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</si>
  <si>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</si>
  <si>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</si>
  <si>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</si>
  <si>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</si>
  <si>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</si>
  <si>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</si>
  <si>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</si>
  <si>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</si>
  <si>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</si>
  <si>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</si>
  <si>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</si>
  <si>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</si>
  <si>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</si>
  <si>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</si>
  <si>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</si>
  <si>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</si>
  <si>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</si>
  <si>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</si>
  <si>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</si>
  <si>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</si>
  <si>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</si>
  <si>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</si>
  <si>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</si>
  <si>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</si>
  <si>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</si>
  <si>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</si>
  <si>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</si>
  <si>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</si>
  <si>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</si>
  <si>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</si>
  <si>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</si>
  <si>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</si>
  <si>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</si>
  <si>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</si>
  <si>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</si>
  <si>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</si>
  <si>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</si>
  <si>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</si>
  <si>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</si>
  <si>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</si>
  <si>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</si>
  <si>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</si>
  <si>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</si>
  <si>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</si>
  <si>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</si>
  <si>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</si>
  <si>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</si>
  <si>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</si>
  <si>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</si>
  <si>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</si>
  <si>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</si>
  <si>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</si>
  <si>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</si>
  <si>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</si>
  <si>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</si>
  <si>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</si>
  <si>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</si>
  <si>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</si>
  <si>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</si>
  <si>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</si>
  <si>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</si>
  <si>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</si>
  <si>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</si>
  <si>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</si>
  <si>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</si>
  <si>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</si>
  <si>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</si>
  <si>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</si>
  <si>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</si>
  <si>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</si>
  <si>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</si>
  <si>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</si>
  <si>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</si>
  <si>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</si>
  <si>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</si>
  <si>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</si>
  <si>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</si>
  <si>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</si>
  <si>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</si>
  <si>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</si>
  <si>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</si>
  <si>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</si>
  <si>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</si>
  <si>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</si>
  <si>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</si>
  <si>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</si>
  <si>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</si>
  <si>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</si>
  <si>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</si>
  <si>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</si>
  <si>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</si>
  <si>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</si>
  <si>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</si>
  <si>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</si>
  <si>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</si>
  <si>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</si>
  <si>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</si>
  <si>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</si>
  <si>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</si>
  <si>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</si>
  <si>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</si>
  <si>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</si>
  <si>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</si>
  <si>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</si>
  <si>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</si>
  <si>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</si>
  <si>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</si>
  <si>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</si>
  <si>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</si>
  <si>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</si>
  <si>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</si>
  <si>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</si>
  <si>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</si>
  <si>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</si>
  <si>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</si>
  <si>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</si>
  <si>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</si>
  <si>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</si>
  <si>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</si>
  <si>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</si>
  <si>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</si>
  <si>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</si>
  <si>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</si>
  <si>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</si>
  <si>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</si>
  <si>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</si>
  <si>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</si>
  <si>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</si>
  <si>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</si>
  <si>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</si>
  <si>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</si>
  <si>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</si>
  <si>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</si>
  <si>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</si>
  <si>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</si>
  <si>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</si>
  <si>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</si>
  <si>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</si>
  <si>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</si>
  <si>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</si>
  <si>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</si>
  <si>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</si>
  <si>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</si>
  <si>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</si>
  <si>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</si>
  <si>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</si>
  <si>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</si>
  <si>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</si>
  <si>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</si>
  <si>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</si>
  <si>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</si>
  <si>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</si>
  <si>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</si>
  <si>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</si>
  <si>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</si>
  <si>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</si>
  <si>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</si>
  <si>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</si>
  <si>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</si>
  <si>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</si>
  <si>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</si>
  <si>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</si>
  <si>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</si>
  <si>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</si>
  <si>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</si>
  <si>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</si>
  <si>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</si>
  <si>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</si>
  <si>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</si>
  <si>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</si>
  <si>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</si>
  <si>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</si>
  <si>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</si>
  <si>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</si>
  <si>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</si>
  <si>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</si>
  <si>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</si>
  <si>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</si>
  <si>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</si>
  <si>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</si>
  <si>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</si>
  <si>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</si>
  <si>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</si>
  <si>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</si>
  <si>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</si>
  <si>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</si>
  <si>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</si>
  <si>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</si>
  <si>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</si>
  <si>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</si>
  <si>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</si>
  <si>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</si>
  <si>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</si>
  <si>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</si>
  <si>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</si>
  <si>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</si>
  <si>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</si>
  <si>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</si>
  <si>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</si>
  <si>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</si>
  <si>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</si>
  <si>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</si>
  <si>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</si>
  <si>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</si>
  <si>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</si>
  <si>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</si>
  <si>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</si>
  <si>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</si>
  <si>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</si>
  <si>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</si>
  <si>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</si>
  <si>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</si>
  <si>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</si>
  <si>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</si>
  <si>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</si>
  <si>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</si>
  <si>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</si>
  <si>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</si>
  <si>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</si>
  <si>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</si>
  <si>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</si>
  <si>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</si>
  <si>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</si>
  <si>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</si>
  <si>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</si>
  <si>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</si>
  <si>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</si>
  <si>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</si>
  <si>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</si>
  <si>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</si>
  <si>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</si>
  <si>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</si>
  <si>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</si>
  <si>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</si>
  <si>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</si>
  <si>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</si>
  <si>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</si>
  <si>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</si>
  <si>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</si>
  <si>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</si>
  <si>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</si>
  <si>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</si>
  <si>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</si>
  <si>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</si>
  <si>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</si>
  <si>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</si>
  <si>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</si>
  <si>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</si>
  <si>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</si>
  <si>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</si>
  <si>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</si>
  <si>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</si>
  <si>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</si>
  <si>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</si>
  <si>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</si>
  <si>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</si>
  <si>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</si>
  <si>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</si>
  <si>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</si>
  <si>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</si>
  <si>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</si>
  <si>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</si>
  <si>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</si>
  <si>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</si>
  <si>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</si>
  <si>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</si>
  <si>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</si>
  <si>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</si>
  <si>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</si>
  <si>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</si>
  <si>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</si>
  <si>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</si>
  <si>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</si>
  <si>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</si>
  <si>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</si>
  <si>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</si>
  <si>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</si>
  <si>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</si>
  <si>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</si>
  <si>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</si>
  <si>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</si>
  <si>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</si>
  <si>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</si>
  <si>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</si>
  <si>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</si>
  <si>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</si>
  <si>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</si>
  <si>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</si>
  <si>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</si>
  <si>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</si>
  <si>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</si>
  <si>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</si>
  <si>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</si>
  <si>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</si>
  <si>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</si>
  <si>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</si>
  <si>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</si>
  <si>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</si>
  <si>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</si>
  <si>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</si>
  <si>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</si>
  <si>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</si>
  <si>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</si>
  <si>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</si>
  <si>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</si>
  <si>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</si>
  <si>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</si>
  <si>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</si>
  <si>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</si>
  <si>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</si>
  <si>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</si>
  <si>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</si>
  <si>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</si>
  <si>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</si>
  <si>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</si>
  <si>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</si>
  <si>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</si>
  <si>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</si>
  <si>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</si>
  <si>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</si>
  <si>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</si>
  <si>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</si>
  <si>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</si>
  <si>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</si>
  <si>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</si>
  <si>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</si>
  <si>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</si>
  <si>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</si>
  <si>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</si>
  <si>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</si>
  <si>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</si>
  <si>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</si>
  <si>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</si>
  <si>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</si>
  <si>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</si>
  <si>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</si>
  <si>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</si>
  <si>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</si>
  <si>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</si>
  <si>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</si>
  <si>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</si>
  <si>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</si>
  <si>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</si>
  <si>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</si>
  <si>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</si>
  <si>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</si>
  <si>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</si>
  <si>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</si>
  <si>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</si>
  <si>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</si>
  <si>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</si>
  <si>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</si>
  <si>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</si>
  <si>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</si>
  <si>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</si>
  <si>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</si>
  <si>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</si>
  <si>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</si>
  <si>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</si>
  <si>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</si>
  <si>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</si>
  <si>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</si>
  <si>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</si>
  <si>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</si>
  <si>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</si>
  <si>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</si>
  <si>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</si>
  <si>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</si>
  <si>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</si>
  <si>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</si>
  <si>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</si>
  <si>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</si>
  <si>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</si>
  <si>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</si>
  <si>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</si>
  <si>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</si>
  <si>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</si>
  <si>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</si>
  <si>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</si>
  <si>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</si>
  <si>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</si>
  <si>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</si>
  <si>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</si>
  <si>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</si>
  <si>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</si>
  <si>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</si>
  <si>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</si>
  <si>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</si>
  <si>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</si>
  <si>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</si>
  <si>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</si>
  <si>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</si>
  <si>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</si>
  <si>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</si>
  <si>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</si>
  <si>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</si>
  <si>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</si>
  <si>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</si>
  <si>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</si>
  <si>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</si>
  <si>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</si>
  <si>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</si>
  <si>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</si>
  <si>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</si>
  <si>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</si>
  <si>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</si>
  <si>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</si>
  <si>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</si>
  <si>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</si>
  <si>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</si>
  <si>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</si>
  <si>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</si>
  <si>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</si>
  <si>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</si>
  <si>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</si>
  <si>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</si>
  <si>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</si>
  <si>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</si>
  <si>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</si>
  <si>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</si>
  <si>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</si>
  <si>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</si>
  <si>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</si>
  <si>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</si>
  <si>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</si>
  <si>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</si>
  <si>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</si>
  <si>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</si>
  <si>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</si>
  <si>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</si>
  <si>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</si>
  <si>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</si>
  <si>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</si>
  <si>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</si>
  <si>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</si>
  <si>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</si>
  <si>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</si>
  <si>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</si>
  <si>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</si>
  <si>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</si>
  <si>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</si>
  <si>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</si>
  <si>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</si>
  <si>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</si>
  <si>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</si>
  <si>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</si>
  <si>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</si>
  <si>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</si>
  <si>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</si>
  <si>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</si>
  <si>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</si>
  <si>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</si>
  <si>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</si>
  <si>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</si>
  <si>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</si>
  <si>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</si>
  <si>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</si>
  <si>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</si>
  <si>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</si>
  <si>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</si>
  <si>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</si>
  <si>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</si>
  <si>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</si>
  <si>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则f(x)±g(x)###可积###（可积/不可积）</t>
  </si>
  <si>
    <t>则f(x)*g(x)###可积###（可积/不可积）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</si>
  <si>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</si>
  <si>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</si>
  <si>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</si>
  <si>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</si>
  <si>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</si>
  <si>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</si>
  <si>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</si>
  <si>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</si>
  <si>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</si>
  <si>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</si>
  <si>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</si>
  <si>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</si>
  <si>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</si>
  <si>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</si>
  <si>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</si>
  <si>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</si>
  <si>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</si>
  <si>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</si>
  <si>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</si>
  <si>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</si>
  <si>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</si>
  <si>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</si>
  <si>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</si>
  <si>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</si>
  <si>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</si>
  <si>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</si>
  <si>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</si>
  <si>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</si>
  <si>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</si>
  <si>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</si>
  <si>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</si>
  <si>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</si>
  <si>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</si>
  <si>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</si>
  <si>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</si>
  <si>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</si>
  <si>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</si>
  <si>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</si>
  <si>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</si>
  <si>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</si>
  <si>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</si>
  <si>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</si>
  <si>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</si>
  <si>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</si>
  <si>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</si>
  <si>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</si>
  <si>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</si>
  <si>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</si>
  <si>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</si>
  <si>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</si>
  <si>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</si>
  <si>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</si>
  <si>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</si>
  <si>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</si>
  <si>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</si>
  <si>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</si>
  <si>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</si>
  <si>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A*=###A'|A|###</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</si>
  <si>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</si>
  <si>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</si>
  <si>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</si>
  <si>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</si>
  <si>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</si>
  <si>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</si>
  <si>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</si>
  <si>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注意，ln(1+x)的定义域比ln(1+x)小，这里只做同定义域的比较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</si>
  <si>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</si>
  <si>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</si>
  <si>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</si>
  <si>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</si>
  <si>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</si>
  <si>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</si>
  <si>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</si>
  <si>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</si>
  <si>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</si>
  <si>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</si>
  <si>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</si>
  <si>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</si>
  <si>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</si>
  <si>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</si>
  <si>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</si>
  <si>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</si>
  <si>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</si>
  <si>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</si>
  <si>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</si>
  <si>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</si>
  <si>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</si>
  <si>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</si>
  <si>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</si>
  <si>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</si>
  <si>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</si>
  <si>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</si>
  <si>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</si>
  <si>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</si>
  <si>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</si>
  <si>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</si>
  <si>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</si>
  <si>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</si>
  <si>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</si>
  <si>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</si>
  <si>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</si>
  <si>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</si>
  <si>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</si>
  <si>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</si>
  <si>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</si>
  <si>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</si>
  <si>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</si>
  <si>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</si>
  <si>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</si>
  <si>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</si>
  <si>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瑕积分指被积函数###在某点无界###，和反常积分的关系？###瑕积分是反常积分的一种###</t>
  </si>
  <si>
    <t>一个积分可能有间断点，但只有###间断点无界###，这个积分才是瑕积分（反常积分）</t>
  </si>
  <si>
    <t>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</si>
  <si>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</si>
  <si>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</si>
  <si>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</si>
  <si>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</si>
  <si>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</si>
  <si>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</si>
  <si>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</si>
  <si>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</si>
  <si>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</si>
  <si>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</si>
  <si>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</si>
  <si>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</si>
  <si>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</si>
  <si>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</si>
  <si>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</si>
  <si>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</si>
  <si>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</si>
  <si>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</si>
  <si>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</si>
  <si>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</si>
  <si>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</si>
  <si>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</si>
  <si>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</si>
  <si>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</si>
  <si>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</si>
  <si>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</si>
  <si>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</si>
  <si>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</si>
  <si>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</si>
  <si>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</si>
  <si>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那么y''=###dp/dy###</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</si>
  <si>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</si>
  <si>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</si>
  <si>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</si>
  <si>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</si>
  <si>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</si>
  <si>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</si>
  <si>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</si>
  <si>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</si>
  <si>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</si>
  <si>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</si>
  <si>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</si>
  <si>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</si>
  <si>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</si>
  <si>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</si>
  <si>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</si>
  <si>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</si>
  <si>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</si>
  <si>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</si>
  <si>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</si>
  <si>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</si>
  <si>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</si>
  <si>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</si>
  <si>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</si>
  <si>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</si>
  <si>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</si>
  <si>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</si>
  <si>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</si>
  <si>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</si>
  <si>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</si>
  <si>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</si>
  <si>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</si>
  <si>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</si>
  <si>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</si>
  <si>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</si>
  <si>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</si>
  <si>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</si>
  <si>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</si>
  <si>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</si>
  <si>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</si>
  <si>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</si>
  <si>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</si>
  <si>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</si>
  <si>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</si>
  <si>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</si>
  <si>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</si>
  <si>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</si>
  <si>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</si>
  <si>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</si>
  <si>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</si>
  <si>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</si>
  <si>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</si>
  <si>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</si>
  <si>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</si>
  <si>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</si>
  <si>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</si>
  <si>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</si>
  <si>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</si>
  <si>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</si>
  <si>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</si>
  <si>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</si>
  <si>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</si>
  <si>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</si>
  <si>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</si>
  <si>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</si>
  <si>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</si>
  <si>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</si>
  <si>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</si>
  <si>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</si>
  <si>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</si>
  <si>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</si>
  <si>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</si>
  <si>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</si>
  <si>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</si>
  <si>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Int(0,x):f(t)dt可以写成###kx+h(x)###，其中h(x)是R上周期为T的函数，k为常数</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</si>
  <si>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</si>
  <si>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</si>
  <si>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</si>
  <si>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</si>
  <si>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</si>
  <si>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</si>
  <si>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</si>
  <si>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</si>
  <si>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</si>
  <si>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</si>
  <si>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</si>
  <si>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</si>
  <si>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</si>
  <si>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</si>
  <si>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</si>
  <si>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</si>
  <si>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</si>
  <si>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</si>
  <si>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</si>
  <si>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</si>
  <si>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</si>
  <si>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</si>
  <si>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</si>
  <si>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</si>
  <si>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</si>
  <si>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</si>
  <si>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</si>
  <si>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</si>
  <si>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</si>
  <si>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</si>
  <si>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</si>
  <si>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</si>
  <si>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</si>
  <si>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</si>
  <si>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</si>
  <si>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</si>
  <si>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</si>
  <si>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</si>
  <si>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</si>
  <si>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</si>
  <si>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</si>
  <si>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</si>
  <si>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</si>
  <si>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</si>
  <si>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</si>
  <si>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</si>
  <si>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</si>
  <si>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</si>
  <si>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</si>
  <si>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</si>
  <si>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</si>
  <si>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</si>
  <si>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</si>
  <si>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</si>
  <si>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</si>
  <si>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</si>
  <si>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</si>
  <si>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</si>
  <si>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</si>
  <si>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</si>
  <si>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</si>
  <si>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</si>
  <si>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</si>
  <si>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</si>
  <si>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</si>
  <si>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</si>
  <si>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</si>
  <si>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</si>
  <si>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</si>
  <si>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</si>
  <si>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</si>
  <si>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</si>
  <si>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</si>
  <si>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</si>
  <si>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</si>
  <si>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</si>
  <si>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</si>
  <si>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</si>
  <si>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</si>
  <si>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</si>
  <si>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</si>
  <si>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</si>
  <si>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</si>
  <si>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</si>
  <si>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</si>
  <si>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</si>
  <si>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</si>
  <si>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</si>
  <si>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</si>
  <si>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</si>
  <si>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</si>
  <si>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</si>
  <si>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</si>
  <si>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</si>
  <si>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</si>
  <si>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</si>
  <si>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</si>
  <si>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</si>
  <si>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</si>
  <si>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</si>
  <si>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</si>
  <si>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</si>
  <si>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</si>
  <si>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</si>
  <si>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</si>
  <si>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</si>
  <si>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</si>
  <si>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</si>
  <si>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</si>
  <si>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</si>
  <si>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</si>
  <si>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</si>
  <si>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</si>
  <si>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</si>
  <si>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</si>
  <si>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</si>
  <si>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</si>
  <si>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</si>
  <si>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</si>
  <si>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</si>
  <si>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</si>
  <si>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</si>
  <si>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</si>
  <si>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</si>
  <si>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</si>
  <si>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</si>
  <si>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</si>
  <si>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</si>
  <si>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</si>
  <si>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</si>
  <si>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</si>
  <si>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</si>
  <si>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</si>
  <si>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</si>
  <si>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</si>
  <si>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</si>
  <si>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</si>
  <si>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</si>
  <si>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</si>
  <si>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</si>
  <si>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</si>
  <si>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</si>
  <si>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</si>
  <si>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</si>
  <si>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</si>
  <si>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</si>
  <si>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</si>
  <si>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</si>
  <si>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</si>
  <si>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</si>
  <si>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</si>
  <si>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</si>
  <si>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</si>
  <si>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</si>
  <si>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</si>
  <si>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</si>
  <si>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</si>
  <si>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</si>
  <si>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</si>
  <si>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</si>
  <si>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</si>
  <si>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</si>
  <si>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</si>
  <si>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</si>
  <si>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</si>
  <si>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</si>
  <si>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</si>
  <si>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</si>
  <si>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</si>
  <si>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</si>
  <si>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</si>
  <si>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</si>
  <si>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</si>
  <si>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</si>
  <si>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</si>
  <si>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</si>
  <si>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</si>
  <si>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</si>
  <si>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</si>
  <si>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</si>
  <si>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</si>
  <si>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</si>
  <si>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</si>
  <si>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</si>
  <si>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</si>
  <si>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</si>
  <si>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</si>
  <si>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</si>
  <si>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</si>
  <si>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</si>
  <si>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</si>
  <si>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</si>
  <si>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</si>
  <si>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</si>
  <si>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</si>
  <si>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</si>
  <si>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</si>
  <si>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</si>
  <si>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</si>
  <si>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</si>
  <si>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</si>
  <si>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</si>
  <si>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</si>
  <si>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</si>
  <si>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</si>
  <si>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</si>
  <si>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</si>
  <si>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</si>
  <si>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</si>
  <si>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</si>
  <si>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</si>
  <si>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</si>
  <si>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</si>
  <si>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</si>
  <si>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</si>
  <si>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</si>
  <si>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</si>
  <si>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</si>
  <si>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</si>
  <si>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</si>
  <si>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</si>
  <si>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</si>
  <si>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</si>
  <si>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</si>
  <si>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</si>
  <si>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</si>
  <si>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</si>
  <si>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</si>
  <si>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</si>
  <si>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</si>
  <si>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</si>
  <si>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</si>
  <si>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</si>
  <si>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</si>
  <si>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</si>
  <si>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</si>
  <si>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</si>
  <si>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</si>
  <si>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</si>
  <si>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</si>
  <si>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</si>
  <si>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</si>
  <si>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</si>
  <si>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</si>
  <si>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</si>
  <si>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</si>
  <si>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</si>
  <si>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</si>
  <si>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</si>
  <si>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</si>
  <si>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</si>
  <si>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</si>
  <si>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</si>
  <si>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</si>
  <si>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</si>
  <si>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</si>
  <si>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</si>
  <si>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</si>
  <si>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</si>
  <si>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</si>
  <si>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</si>
  <si>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</si>
  <si>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</si>
  <si>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</si>
  <si>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</si>
  <si>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</si>
  <si>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</si>
  <si>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</si>
  <si>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</si>
  <si>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</si>
  <si>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</si>
  <si>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</si>
  <si>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</si>
  <si>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</si>
  <si>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</si>
  <si>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</si>
  <si>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</si>
  <si>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</si>
  <si>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</si>
  <si>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</si>
  <si>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</si>
  <si>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</si>
  <si>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</si>
  <si>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</si>
  <si>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</si>
  <si>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</si>
  <si>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</si>
  <si>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</si>
  <si>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</si>
  <si>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</si>
  <si>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</si>
  <si>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</si>
  <si>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</si>
  <si>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</si>
  <si>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</si>
  <si>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</si>
  <si>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</si>
  <si>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</si>
  <si>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</si>
  <si>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</si>
  <si>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</si>
  <si>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</si>
  <si>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</si>
  <si>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</si>
  <si>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</si>
  <si>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</si>
  <si>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</si>
  <si>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</si>
  <si>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</si>
  <si>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</si>
  <si>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</si>
  <si>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</si>
  <si>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</si>
  <si>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</si>
  <si>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</si>
  <si>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</si>
  <si>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</si>
  <si>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</si>
  <si>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</si>
  <si>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</si>
  <si>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</si>
  <si>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</si>
  <si>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</si>
  <si>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</si>
  <si>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</si>
  <si>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</si>
  <si>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</si>
  <si>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</si>
  <si>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</si>
  <si>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</si>
  <si>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</si>
  <si>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</si>
  <si>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</si>
  <si>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</si>
  <si>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</si>
  <si>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</si>
  <si>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</si>
  <si>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</si>
  <si>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</si>
  <si>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</si>
  <si>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</si>
  <si>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</si>
  <si>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</si>
  <si>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</si>
  <si>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</si>
  <si>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</si>
  <si>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</si>
  <si>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</si>
  <si>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</si>
  <si>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</si>
  <si>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</si>
  <si>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</si>
  <si>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</si>
  <si>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</si>
  <si>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</si>
  <si>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</si>
  <si>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</si>
  <si>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</si>
  <si>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</si>
  <si>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</si>
  <si>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</si>
  <si>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</si>
  <si>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</si>
  <si>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</si>
  <si>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</si>
  <si>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</si>
  <si>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</si>
  <si>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</si>
  <si>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</si>
  <si>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</si>
  <si>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</si>
  <si>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</si>
  <si>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</si>
  <si>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</si>
  <si>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</si>
  <si>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</si>
  <si>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</si>
  <si>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</si>
  <si>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</si>
  <si>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</si>
  <si>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</si>
  <si>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</si>
  <si>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</si>
  <si>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</si>
  <si>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</si>
  <si>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</si>
  <si>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</si>
  <si>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</si>
  <si>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</si>
  <si>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</si>
  <si>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</si>
  <si>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</si>
  <si>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</si>
  <si>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</si>
  <si>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</si>
  <si>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</si>
  <si>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</si>
  <si>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</si>
  <si>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</si>
  <si>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</si>
  <si>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</si>
  <si>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</si>
  <si>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</si>
  <si>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</si>
  <si>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</si>
  <si>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</si>
  <si>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</si>
  <si>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</si>
  <si>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</si>
  <si>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</si>
  <si>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</si>
  <si>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</si>
  <si>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</si>
  <si>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</si>
  <si>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</si>
  <si>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</si>
  <si>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</si>
  <si>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</si>
  <si>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</si>
  <si>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</si>
  <si>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</si>
  <si>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</si>
  <si>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</si>
  <si>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</si>
  <si>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</si>
  <si>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</si>
  <si>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</si>
  <si>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</si>
  <si>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</si>
  <si>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</si>
  <si>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</si>
  <si>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</si>
  <si>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</si>
  <si>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</si>
  <si>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</si>
  <si>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</si>
  <si>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</si>
  <si>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</si>
  <si>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</si>
  <si>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</si>
  <si>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</si>
  <si>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</si>
  <si>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</si>
  <si>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</si>
  <si>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</si>
  <si>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</si>
  <si>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</si>
  <si>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</si>
  <si>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</si>
  <si>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</si>
  <si>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</si>
  <si>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</si>
  <si>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</si>
  <si>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</si>
  <si>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</si>
  <si>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</si>
  <si>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</si>
  <si>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</si>
  <si>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</si>
  <si>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</si>
  <si>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</si>
  <si>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</si>
  <si>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</si>
  <si>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</si>
  <si>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</si>
  <si>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</si>
  <si>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</si>
  <si>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</si>
  <si>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</si>
  <si>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</si>
  <si>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</si>
  <si>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</si>
  <si>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</si>
  <si>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</si>
  <si>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</si>
  <si>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</si>
  <si>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</si>
  <si>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</si>
  <si>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</si>
  <si>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</si>
  <si>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</si>
  <si>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</si>
  <si>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</si>
  <si>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</si>
  <si>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</si>
  <si>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</si>
  <si>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</si>
  <si>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确定###被积函数###的###正负区间（区域）###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</si>
  <si>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</si>
  <si>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</si>
  <si>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</si>
  <si>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</si>
  <si>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</si>
  <si>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</si>
  <si>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</si>
  <si>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</si>
  <si>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</si>
  <si>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</si>
  <si>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</si>
  <si>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</si>
  <si>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</si>
  <si>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</si>
  <si>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</si>
  <si>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</si>
  <si>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</si>
  <si>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</si>
  <si>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</si>
  <si>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</si>
  <si>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</si>
  <si>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</si>
  <si>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</si>
  <si>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</si>
  <si>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</si>
  <si>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</si>
  <si>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</si>
  <si>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</si>
  <si>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</si>
  <si>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</si>
  <si>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</si>
  <si>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</si>
  <si>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</si>
  <si>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</si>
  <si>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</si>
  <si>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</si>
  <si>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</si>
  <si>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</si>
  <si>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</si>
  <si>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</si>
  <si>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</si>
  <si>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</si>
  <si>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</si>
  <si>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</si>
  <si>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</si>
  <si>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</si>
  <si>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</si>
  <si>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</si>
  <si>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</si>
  <si>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</si>
  <si>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</si>
  <si>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</si>
  <si>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</si>
  <si>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</si>
  <si>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</si>
  <si>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</si>
  <si>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</si>
  <si>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</si>
  <si>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</si>
  <si>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</si>
  <si>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</si>
  <si>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</si>
  <si>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</si>
  <si>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</si>
  <si>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</si>
  <si>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</si>
  <si>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</si>
  <si>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</si>
  <si>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</si>
  <si>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</si>
  <si>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</si>
  <si>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</si>
  <si>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</si>
  <si>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</si>
  <si>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</si>
  <si>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</si>
  <si>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</si>
  <si>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</si>
  <si>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</si>
  <si>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</si>
  <si>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</si>
  <si>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</si>
  <si>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</si>
  <si>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</si>
  <si>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</si>
  <si>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</si>
  <si>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</si>
  <si>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</si>
  <si>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</si>
  <si>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</si>
  <si>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</si>
  <si>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</si>
  <si>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</si>
  <si>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</si>
  <si>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</si>
  <si>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</si>
  <si>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</si>
  <si>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</si>
  <si>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</si>
  <si>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</si>
  <si>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</si>
  <si>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</si>
  <si>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</si>
  <si>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</si>
  <si>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</si>
  <si>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</si>
  <si>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</si>
  <si>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</si>
  <si>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</si>
  <si>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</si>
  <si>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</si>
  <si>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</si>
  <si>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</si>
  <si>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</si>
  <si>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</si>
  <si>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</si>
  <si>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</si>
  <si>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</si>
  <si>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</si>
  <si>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</si>
  <si>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</si>
  <si>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</si>
  <si>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</si>
  <si>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</si>
  <si>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</si>
  <si>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</si>
  <si>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</si>
  <si>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</si>
  <si>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</si>
  <si>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</si>
  <si>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</si>
  <si>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</si>
  <si>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</si>
  <si>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</si>
  <si>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</si>
  <si>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</si>
  <si>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</si>
  <si>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</si>
  <si>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</si>
  <si>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</si>
  <si>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</si>
  <si>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</si>
  <si>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</si>
  <si>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</si>
  <si>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</si>
  <si>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</si>
  <si>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</si>
  <si>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</si>
  <si>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</si>
  <si>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</si>
  <si>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</si>
  <si>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</si>
  <si>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</si>
  <si>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</si>
  <si>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</si>
  <si>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</si>
  <si>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</si>
  <si>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</si>
  <si>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</si>
  <si>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</si>
  <si>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</si>
  <si>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</si>
  <si>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</si>
  <si>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</si>
  <si>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</si>
  <si>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</si>
  <si>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</si>
  <si>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</si>
  <si>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</si>
  <si>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</si>
  <si>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</si>
  <si>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</si>
  <si>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</si>
  <si>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</si>
  <si>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</si>
  <si>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</si>
  <si>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</si>
  <si>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</si>
  <si>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</si>
  <si>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</si>
  <si>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</si>
  <si>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</si>
  <si>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</si>
  <si>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</si>
  <si>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</si>
  <si>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</si>
  <si>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</si>
  <si>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</si>
  <si>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</si>
  <si>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</si>
  <si>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</si>
  <si>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</si>
  <si>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</si>
  <si>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</si>
  <si>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</si>
  <si>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</si>
  <si>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</si>
  <si>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</si>
  <si>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</si>
  <si>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</si>
  <si>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</si>
  <si>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</si>
  <si>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</si>
  <si>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</si>
  <si>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</si>
  <si>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</si>
  <si>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</si>
  <si>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</si>
  <si>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</si>
  <si>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</si>
  <si>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</si>
  <si>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</si>
  <si>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</si>
  <si>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</si>
  <si>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</si>
  <si>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</si>
  <si>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</si>
  <si>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</si>
  <si>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</si>
  <si>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</si>
  <si>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</si>
  <si>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</si>
  <si>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</si>
  <si>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</si>
  <si>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</si>
  <si>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</si>
  <si>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</si>
  <si>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</si>
  <si>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</si>
  <si>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</si>
  <si>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</si>
  <si>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</si>
  <si>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</si>
  <si>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</si>
  <si>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</si>
  <si>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</si>
  <si>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</si>
  <si>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</si>
  <si>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</si>
  <si>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</si>
  <si>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</si>
  <si>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</si>
  <si>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</si>
  <si>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</si>
  <si>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</si>
  <si>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</si>
  <si>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</si>
  <si>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</si>
  <si>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</si>
  <si>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</si>
  <si>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</si>
  <si>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</si>
  <si>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</si>
  <si>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</si>
  <si>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</si>
  <si>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</si>
  <si>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</si>
  <si>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</si>
  <si>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</si>
  <si>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</si>
  <si>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</si>
  <si>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</si>
  <si>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</si>
  <si>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</si>
  <si>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</si>
  <si>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</si>
  <si>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</si>
  <si>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</si>
  <si>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</si>
  <si>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</si>
  <si>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</si>
  <si>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</si>
  <si>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</si>
  <si>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</si>
  <si>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</si>
  <si>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</si>
  <si>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</si>
  <si>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</si>
  <si>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</si>
  <si>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</si>
  <si>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</si>
  <si>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</si>
  <si>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</si>
  <si>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</si>
  <si>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</si>
  <si>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</si>
  <si>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</si>
  <si>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</si>
  <si>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</si>
  <si>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</si>
  <si>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</si>
  <si>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</si>
  <si>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</si>
  <si>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</si>
  <si>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</si>
  <si>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</si>
  <si>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</si>
  <si>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</si>
  <si>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</si>
  <si>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</si>
  <si>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</si>
  <si>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</si>
  <si>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</si>
  <si>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</si>
  <si>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</si>
  <si>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</si>
  <si>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</si>
  <si>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</si>
  <si>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</si>
  <si>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</si>
  <si>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</si>
  <si>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</si>
  <si>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</si>
  <si>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</si>
  <si>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</si>
  <si>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</si>
  <si>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</si>
  <si>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</si>
  <si>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</si>
  <si>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</si>
  <si>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</si>
  <si>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</si>
  <si>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</si>
  <si>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</si>
  <si>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</si>
  <si>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</si>
  <si>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</si>
  <si>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</si>
  <si>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</si>
  <si>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</si>
  <si>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</si>
  <si>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</si>
  <si>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</si>
  <si>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</si>
  <si>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</si>
  <si>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</si>
  <si>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</si>
  <si>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</si>
  <si>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</si>
  <si>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</si>
  <si>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</si>
  <si>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</si>
  <si>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</si>
  <si>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</si>
  <si>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</si>
  <si>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</si>
  <si>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</si>
  <si>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</si>
  <si>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</si>
  <si>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</si>
  <si>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</si>
  <si>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</si>
  <si>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</si>
  <si>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</si>
  <si>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</si>
  <si>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</si>
  <si>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</si>
  <si>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</si>
  <si>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</si>
  <si>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</si>
  <si>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</si>
  <si>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</si>
  <si>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</si>
  <si>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</si>
  <si>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</si>
  <si>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</si>
  <si>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</si>
  <si>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</si>
  <si>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</si>
  <si>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</si>
  <si>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</si>
  <si>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</si>
  <si>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</si>
  <si>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</si>
  <si>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</si>
  <si>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</si>
  <si>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</si>
  <si>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</si>
  <si>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</si>
  <si>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</si>
  <si>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</si>
  <si>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</si>
  <si>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</si>
  <si>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</si>
  <si>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</si>
  <si>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</si>
  <si>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</si>
  <si>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</si>
  <si>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</si>
  <si>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</si>
  <si>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</si>
  <si>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</si>
  <si>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</si>
  <si>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</si>
  <si>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</si>
  <si>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</si>
  <si>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</si>
  <si>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</si>
  <si>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</si>
  <si>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</si>
  <si>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</si>
  <si>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</si>
  <si>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</si>
  <si>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</si>
  <si>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</si>
  <si>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</si>
  <si>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</si>
  <si>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</si>
  <si>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</si>
  <si>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</si>
  <si>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</si>
  <si>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</si>
  <si>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</si>
  <si>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</si>
  <si>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</si>
  <si>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</si>
  <si>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</si>
  <si>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</si>
  <si>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</si>
  <si>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</si>
  <si>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</si>
  <si>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</si>
  <si>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</si>
  <si>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</si>
  <si>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</si>
  <si>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</si>
  <si>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</si>
  <si>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</si>
  <si>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</si>
  <si>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</si>
  <si>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</si>
  <si>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</si>
  <si>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</si>
  <si>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</si>
  <si>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</si>
  <si>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</si>
  <si>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</si>
  <si>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</si>
  <si>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</si>
  <si>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</si>
  <si>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</si>
  <si>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</si>
  <si>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</si>
  <si>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</si>
  <si>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</si>
  <si>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</si>
  <si>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</si>
  <si>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</si>
  <si>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</si>
  <si>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</si>
  <si>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</si>
  <si>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</si>
  <si>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</si>
  <si>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</si>
  <si>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</si>
  <si>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</si>
  <si>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</si>
  <si>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</si>
  <si>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</si>
  <si>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</si>
  <si>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</si>
  <si>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</si>
  <si>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</si>
  <si>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</si>
  <si>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</si>
  <si>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</si>
  <si>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</si>
  <si>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</si>
  <si>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</si>
  <si>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</si>
  <si>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</si>
  <si>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</si>
  <si>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</si>
  <si>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</si>
  <si>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</si>
  <si>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</si>
  <si>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</si>
  <si>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</si>
  <si>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</si>
  <si>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</si>
  <si>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</si>
  <si>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</si>
  <si>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</si>
  <si>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</si>
  <si>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</si>
  <si>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</si>
  <si>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</si>
  <si>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</si>
  <si>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</si>
  <si>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</si>
  <si>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</si>
  <si>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</si>
  <si>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</si>
  <si>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</si>
  <si>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</si>
  <si>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</si>
  <si>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</si>
  <si>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</si>
  <si>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</si>
  <si>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</si>
  <si>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</si>
  <si>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</si>
  <si>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</si>
  <si>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</si>
  <si>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</si>
  <si>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</si>
  <si>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</si>
  <si>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</si>
  <si>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</si>
  <si>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</si>
  <si>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</si>
  <si>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</si>
  <si>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</si>
  <si>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</si>
  <si>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</si>
  <si>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</si>
  <si>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</si>
  <si>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</si>
  <si>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</si>
  <si>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</si>
  <si>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</si>
  <si>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</si>
  <si>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</si>
  <si>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</si>
  <si>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</si>
  <si>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</si>
  <si>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</si>
  <si>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</si>
  <si>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</si>
  <si>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</si>
  <si>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</si>
  <si>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</si>
  <si>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</si>
  <si>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</si>
  <si>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</si>
  <si>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</si>
  <si>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</si>
  <si>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</si>
  <si>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</si>
  <si>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</si>
  <si>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</si>
  <si>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</si>
  <si>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</si>
  <si>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</si>
  <si>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</si>
  <si>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</si>
  <si>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</si>
  <si>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</si>
  <si>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</si>
  <si>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</si>
  <si>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</si>
  <si>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</si>
  <si>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</si>
  <si>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</si>
  <si>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</si>
  <si>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</si>
  <si>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</si>
  <si>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</si>
  <si>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</si>
  <si>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</si>
  <si>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</si>
  <si>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</si>
  <si>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</si>
  <si>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</si>
  <si>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</si>
  <si>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</si>
  <si>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</si>
  <si>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</si>
  <si>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</si>
  <si>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</si>
  <si>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</si>
  <si>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</si>
  <si>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</si>
  <si>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</si>
  <si>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</si>
  <si>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</si>
  <si>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</si>
  <si>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</si>
  <si>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</si>
  <si>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</si>
  <si>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</si>
  <si>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</si>
  <si>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</si>
  <si>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</si>
  <si>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</si>
  <si>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</si>
  <si>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</si>
  <si>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</si>
  <si>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</si>
  <si>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</si>
  <si>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</si>
  <si>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</si>
  <si>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</si>
  <si>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</si>
  <si>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</si>
  <si>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</si>
  <si>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</si>
  <si>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</si>
  <si>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</si>
  <si>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</si>
  <si>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</si>
  <si>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</si>
  <si>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</si>
  <si>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</si>
  <si>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</si>
  <si>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</si>
  <si>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</si>
  <si>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</si>
  <si>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</si>
  <si>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</si>
  <si>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</si>
  <si>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</si>
  <si>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</si>
  <si>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</si>
  <si>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</si>
  <si>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</si>
  <si>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</si>
  <si>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</si>
  <si>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</si>
  <si>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</si>
  <si>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</si>
  <si>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</si>
  <si>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</si>
  <si>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</si>
  <si>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</si>
  <si>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</si>
  <si>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</si>
  <si>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</si>
  <si>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</si>
  <si>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</si>
  <si>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</si>
  <si>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</si>
  <si>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</si>
  <si>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</si>
  <si>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</si>
  <si>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</si>
  <si>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</si>
  <si>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</si>
  <si>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</si>
  <si>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</si>
  <si>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</si>
  <si>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</si>
  <si>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</si>
  <si>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</si>
  <si>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</si>
  <si>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</si>
  <si>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</si>
  <si>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</si>
  <si>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</si>
  <si>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</si>
  <si>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</si>
  <si>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</si>
  <si>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</si>
  <si>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</si>
  <si>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</si>
  <si>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</si>
  <si>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</si>
  <si>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</si>
  <si>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</si>
  <si>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</si>
  <si>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</si>
  <si>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</si>
  <si>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</si>
  <si>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</si>
  <si>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</si>
  <si>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</si>
  <si>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</si>
  <si>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</si>
  <si>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</si>
  <si>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</si>
  <si>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</si>
  <si>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</si>
  <si>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</si>
  <si>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</si>
  <si>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</si>
  <si>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</si>
  <si>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</si>
  <si>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</si>
  <si>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</si>
  <si>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</si>
  <si>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</si>
  <si>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</si>
  <si>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</si>
  <si>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</si>
  <si>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</si>
  <si>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</si>
  <si>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</si>
  <si>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</si>
  <si>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</si>
  <si>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</si>
  <si>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</si>
  <si>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</si>
  <si>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</si>
  <si>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</si>
  <si>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</si>
  <si>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</si>
  <si>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</si>
  <si>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</si>
  <si>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</si>
  <si>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</si>
  <si>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</si>
  <si>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</si>
  <si>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</si>
  <si>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</si>
  <si>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</si>
  <si>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</si>
  <si>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</si>
  <si>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</si>
  <si>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</si>
  <si>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</si>
  <si>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</si>
  <si>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</si>
  <si>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</si>
  <si>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</si>
  <si>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</si>
  <si>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</si>
  <si>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</si>
  <si>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</si>
  <si>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</si>
  <si>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</si>
  <si>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</si>
  <si>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</si>
  <si>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</si>
  <si>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</si>
  <si>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</si>
  <si>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</si>
  <si>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</si>
  <si>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</si>
  <si>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</si>
  <si>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</si>
  <si>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</si>
  <si>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ALU的宽度是计算机字长，除此之外，其它的参数都只是参考，可能相等，也可能不相等### ###</t>
  </si>
  <si>
    <t>MDR的宽度是编址长度，数据线可能比这个宽度要小，那种情况下会分批发送### ###</t>
  </si>
  <si>
    <t>不同类指令的操作码在相同位上的，共享编码空间，如果这个位置还有其它类指令有固定编码，还要排除那些固定编码### ###</t>
  </si>
  <si>
    <t>扇区构成了磁盘的分区，一个扇区不可能被多个分区共享### ###</t>
  </si>
  <si>
    <t>DNS递归查询：###帮你查###，DNS迭代查询：###去问别人###</t>
  </si>
  <si>
    <t>协议的功能与封装：</t>
  </si>
  <si>
    <t>ICMP：功能###网络层###，封装###网络层###</t>
  </si>
  <si>
    <t>DHCP：功能###应用层###，封装###传输层###</t>
  </si>
  <si>
    <t>二叉树数组中，下标为i（从0开始）的节点，它的左孩子###2*i+1###，它的右孩子###2*i+2###</t>
  </si>
  <si>
    <t>BST的中序遍历是有序的### ###</t>
  </si>
  <si>
    <t>前k轮得到topk的排序算法：###简单选择排序###、###冒泡排序###、###堆排序###</t>
  </si>
  <si>
    <t>ALU里面，SF（符号标志位）就是运算结果的最高位### ###</t>
  </si>
  <si>
    <t>OF（溢出标志）的逻辑表达式（A+B，A-B用A+(-B)代替）：###(An与Bn与(非Cn))或((非An)与(非Bn)与Cn)###</t>
  </si>
  <si>
    <t>也就是两正加出负（即###(An与Bn与(非Cn))###）和两负加出正（即###((非An)与(非Bn)与Cn)###）的情况</t>
  </si>
  <si>
    <t>操作数A和B，运算结果C</t>
  </si>
  <si>
    <t>A最高位An，B最高位Bn，C最高位Cn</t>
  </si>
  <si>
    <t>###同号###减法不会发生溢出，###异号###加法不会溢出（同号/异号）</t>
  </si>
  <si>
    <t>MUX负责从多个输出选一个输出，DEMUX负责从多个输入选一个输入### ###</t>
  </si>
  <si>
    <t>通用寄存器片选信号一定是来自IR### ###</t>
  </si>
  <si>
    <t>通用寄存器不像内存地址可以有偏移量</t>
  </si>
  <si>
    <t>多个时钟周期构成总线周期的总线通常指###外部###总线，而###内部###总线的速度较快，其读写周期通常与### CPU 时钟###周期一致。</t>
  </si>
  <si>
    <t>如果是多总线结构的###内部###总线，其读写周期甚至可能比### CPU 时钟###周期更快</t>
  </si>
  <si>
    <t>推测1：###外部###总线传输数据量大，面向的设备更慢，因此一个总线周期由多个时钟周期组成</t>
  </si>
  <si>
    <t>推测2：###内部###总线用于CPU的内部，CPU要求高集成度，尺寸小，因此不可能为它另设时钟，而且为了效率，应当让该总线与CPU其它部件同步工作</t>
  </si>
  <si>
    <t>CU的输入有两个，除了IR（或者说ID）还有###ALU的输出FR###</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</si>
  <si>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</si>
  <si>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</si>
  <si>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</si>
  <si>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</si>
  <si>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</si>
  <si>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DMA挪用：让DMA传输稍等一下，不抢占CPU正在使用的总线，而是在CPU不使用总线时才传输### ###</t>
  </si>
  <si>
    <t>高速外设（比如磁盘和网卡）场景下，为了避免数据丢失，一旦数据传送开始就不能停下，即使CPU需要总线，DMA也不会让</t>
  </si>
  <si>
    <t>文件一般来说都有全局唯一的索引节点号，除非是###硬链接###</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</si>
  <si>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</si>
  <si>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</si>
  <si>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</si>
  <si>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t>
  </si>
  <si>
    <t>###间接索引块###里面全是文件的磁盘块号，没有其它信息（如果是索引节点块则不全是磁盘块号）</t>
  </si>
  <si>
    <t>因此在计算地址个数时，###间接索引块###是直接用磁盘块大小除以地址长度来获得的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</si>
  <si>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</si>
  <si>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</si>
  <si>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</si>
  <si>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</si>
  <si>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</si>
  <si>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</si>
  <si>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</si>
  <si>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</si>
  <si>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 ###</t>
  </si>
  <si>
    <t>DHCP发现：谁是DHCP服务器？我需要IP地址</t>
  </si>
  <si>
    <t>自己没IP，也不知道DHCP服务器的IP，因此自己的IP是全0，目的IP是全255（广播）</t>
  </si>
  <si>
    <t>DHCP供应：我是DHCP服务器，这有一个IP，你拿去</t>
  </si>
  <si>
    <t>源地址是DHCP服务器IP，目的IP是全255</t>
  </si>
  <si>
    <t>DHCP请求：好，我要这个（我要续租）</t>
  </si>
  <si>
    <t>源地址是全0（首次申请）或者新的IP（续租），目的地址是全255，依然是广播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</si>
  <si>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</si>
  <si>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</si>
  <si>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</si>
  <si>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</si>
  <si>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</si>
  <si>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</si>
  <si>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802.11三个地址：地址1对应###源MAC###，地址2对应###目的MAC###，地址3对应###AP地址###</t>
  </si>
  <si>
    <t>第三个地址是为了兼容802.11的管理帧，比如信标帧和认证帧</t>
  </si>
  <si>
    <t>有向图的邻接矩阵中，行对应###起点###，列对应###终点###</t>
  </si>
  <si>
    <t>置换选择排序=货车垒货，逐车壮哉，每次最大，下大上小### ###</t>
  </si>
  <si>
    <t>如果能放（工作区有比最顶层小的）就一直放（符合条件最大的），放不了就让新一辆车来拉，因此每个归并段长度不一定相等</t>
  </si>
  <si>
    <t>程序的局部性### ###</t>
  </si>
  <si>
    <t>空间局部性：相邻数据被连续访问</t>
  </si>
  <si>
    <t>时间局部性：同一数据被重复访问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</si>
  <si>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</si>
  <si>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</si>
  <si>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</si>
  <si>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</si>
  <si>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</si>
  <si>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 ###</t>
  </si>
  <si>
    <t>如果是定长指令，还需要确认是否占用多个编址长度（指令地址的增量不为1）</t>
  </si>
  <si>
    <t>寻址方式强化记忆</t>
  </si>
  <si>
    <t>PC+偏移量寻址=###相对寻址###</t>
  </si>
  <si>
    <t>EBX/EBP+偏移量=###基址寻址###</t>
  </si>
  <si>
    <t>ESI/EDI+偏移量=###变址寻址###</t>
  </si>
  <si>
    <t>上述二者的差异：###基址的基础是段和栈的位置，而变址的基础可以是自定义的任意地址###</t>
  </si>
  <si>
    <t>EBX/EBP+ESI/EDI+偏移量=###基址变址寻址###</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</si>
  <si>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</si>
  <si>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</si>
  <si>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</si>
  <si>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</si>
  <si>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</si>
  <si>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</si>
  <si>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</si>
  <si>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</si>
  <si>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</si>
  <si>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</si>
  <si>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</si>
  <si>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</si>
  <si>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</si>
  <si>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</si>
  <si>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</si>
  <si>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</si>
  <si>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</si>
  <si>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</si>
  <si>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</si>
  <si>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</si>
  <si>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</si>
  <si>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</si>
  <si>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</si>
  <si>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</si>
  <si>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</si>
  <si>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</si>
  <si>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</si>
  <si>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</si>
  <si>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</si>
  <si>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</si>
  <si>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</si>
  <si>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</si>
  <si>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</si>
  <si>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</si>
  <si>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</si>
  <si>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</si>
  <si>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</si>
  <si>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</si>
  <si>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</si>
  <si>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</si>
  <si>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</si>
  <si>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</si>
  <si>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</si>
  <si>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</si>
  <si>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</si>
  <si>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</si>
  <si>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RIP协议最多支持15跳，如果一个AS内存在大量超过15个节点的链路，那就不能用RIP，或者需要对AS进行切分### ###</t>
  </si>
  <si>
    <t>跳数初始是16，每经过一个节点减1，达到0时丢弃</t>
  </si>
  <si>
    <t>路径扩散需要注意，0s时完成第一次交换，而直连路由则是建立在第一交换前</t>
  </si>
  <si>
    <t>BGP:### ###</t>
  </si>
  <si>
    <t>如果路由器属于不同的自治系统，它们之间运行 eBGP（External BGP）进行路由通告。</t>
  </si>
  <si>
    <t>如果路由器属于同一个自治系统，它们之间运行 iBGP（Internal BGP）来传播外部学到的 BGP 路由信息。</t>
  </si>
  <si>
    <t>Open报文：###建立邻居关系###</t>
  </si>
  <si>
    <t>Update报文：###传递路由信息###</t>
  </si>
  <si>
    <t>Notification报文：###通知邻居配置错误并断开###</t>
  </si>
  <si>
    <t>KeepAlive报文：###维持邻居关系###</t>
  </si>
  <si>
    <t>Route-Refresh报文：###本地路由策略变更时，请求邻居重发路由信息###</t>
  </si>
  <si>
    <t>路由选择遵循以下决策过程（无策略约束时）：</t>
  </si>
  <si>
    <t>最短 AS 路径优先（首要准则）：BGP 会优先选择 AS 路径最短 的路由。</t>
  </si>
  <si>
    <t>若 AS 路径相同，则选取最小的下一跳路由 ID（RID）或基于其他 BGP 规则。</t>
  </si>
  <si>
    <t>人话：同样AS长度的两个路径，两个下一跳哪个近选哪个</t>
  </si>
  <si>
    <t>关键路径：由关键活动串联关键事件组成的路径### ###</t>
  </si>
  <si>
    <t>关键事件：最早发生和最迟发生时间相等的事件</t>
  </si>
  <si>
    <t>事件：AOE网里面的顶点</t>
  </si>
  <si>
    <t>关键活动：时间余量为0的活动</t>
  </si>
  <si>
    <t>活动：AOE网里面的边</t>
  </si>
  <si>
    <t>时间余量：边终点的最迟发生时间-起点的最早发生时间-活动耗时</t>
  </si>
  <si>
    <t>关键路径是整个工程工期最短的路径</t>
  </si>
  <si>
    <t>关键活动的开始结束时间在关键路径中是唯一确定的</t>
  </si>
  <si>
    <t>工期延误类问题</t>
  </si>
  <si>
    <t>用“路径总长度&lt;=关键路径长度”作为核心约束</t>
  </si>
  <si>
    <t>print也需要驱动和系统调用，不要漏了### ###</t>
  </si>
  <si>
    <t>滑动窗口的信道利用率### ###</t>
  </si>
  <si>
    <t>周期内有收发的时间/周期总时间</t>
  </si>
  <si>
    <t>需要注意的是，周期是从第一帧发送到第一帧的确认被收到，那之后就是下一个周期</t>
  </si>
  <si>
    <t>这里计算中出现的窗口只是发送窗口，不是总窗口（2^n，n为序号位数）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</si>
  <si>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</si>
  <si>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</si>
  <si>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</si>
  <si>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</si>
  <si>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</si>
  <si>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</si>
  <si>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</si>
  <si>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</si>
  <si>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</si>
  <si>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</si>
  <si>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</si>
  <si>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</si>
  <si>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</si>
  <si>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</si>
  <si>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</si>
  <si>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</si>
  <si>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</si>
  <si>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</si>
  <si>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</si>
  <si>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</si>
  <si>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</si>
  <si>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</si>
  <si>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</si>
  <si>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</si>
  <si>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</si>
  <si>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</si>
  <si>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</si>
  <si>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</si>
  <si>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</si>
  <si>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</si>
  <si>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</si>
  <si>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</si>
  <si>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</si>
  <si>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</si>
  <si>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</si>
  <si>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</si>
  <si>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</si>
  <si>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</si>
  <si>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</si>
  <si>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</si>
  <si>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</si>
  <si>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</si>
  <si>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</si>
  <si>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</si>
  <si>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</si>
  <si>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</si>
  <si>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</si>
  <si>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</si>
  <si>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</si>
  <si>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</si>
  <si>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</si>
  <si>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</si>
  <si>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</si>
  <si>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</si>
  <si>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</si>
  <si>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</si>
  <si>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</si>
  <si>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</si>
  <si>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</si>
  <si>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</si>
  <si>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</si>
  <si>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</si>
  <si>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</si>
  <si>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</si>
  <si>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</si>
  <si>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</si>
  <si>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</si>
  <si>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</si>
  <si>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恢复余数法：试减后余为负数，则###恢复余数###，然后左移，再###减除数###</t>
  </si>
  <si>
    <t>加减交替法：试减后余为负数，则###保持余数###，然后左移，再###加除数###</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</si>
  <si>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</si>
  <si>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</si>
  <si>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</si>
  <si>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</si>
  <si>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</si>
  <si>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</si>
  <si>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</si>
  <si>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</si>
  <si>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</si>
  <si>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</si>
  <si>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</si>
  <si>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</si>
  <si>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</si>
  <si>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</si>
  <si>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</si>
  <si>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</si>
  <si>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</si>
  <si>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</si>
  <si>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</si>
  <si>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</si>
  <si>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</si>
  <si>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</si>
  <si>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</si>
  <si>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</si>
  <si>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直接编码：一位对应一个微命令，1为有效，0为无效</t>
  </si>
  <si>
    <t>译码编码：n个一组，那么n位实际对应2^n种，在2^n&gt;n时更划算</t>
  </si>
  <si>
    <t>不会同时出现的微命令（互斥命令）编码在同一组</t>
  </si>
  <si>
    <t>需要保留一个编码（一般是全0）表示什么也没发生</t>
  </si>
  <si>
    <t>间接译码：一个字段还需要其它字段提供信息才能确定实际采用的微命令操作</t>
  </si>
  <si>
    <t>微指令的下地址### ###</t>
  </si>
  <si>
    <t>直接字段给出：断定方式，类比指令的无条件跳转</t>
  </si>
  <si>
    <t>操作码形成：指令的操作码+地址形成部件=微指令地址</t>
  </si>
  <si>
    <t>增量法：当前地址+1，类似PC（CM里的微指令按序执行）</t>
  </si>
  <si>
    <t>分支转移：类比指令的条件跳转</t>
  </si>
  <si>
    <t>测试网络/顺序逻辑：强化版分支转移，一次性给多个测试源进行测试，形成下地址的测试部分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</si>
  <si>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</si>
  <si>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</si>
  <si>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</si>
  <si>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</si>
  <si>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吞吐率：指令数/((流水线阶段数+指令数-1)*时钟周期)</t>
  </si>
  <si>
    <t>加速比：流水线阶段数*指令数/(流水线阶段数+指令数-1)</t>
  </si>
  <si>
    <t>效率：指令数/(流水线阶段数+指令数-1)=加速比/流水线阶段数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</si>
  <si>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</si>
  <si>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</si>
  <si>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</si>
  <si>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分布仲裁：没有统一的仲裁机构，而是每个设备比较仲裁号确定优先级来进行争用，同优先级按FCFS分配总线使用权</t>
  </si>
  <si>
    <t>集中仲裁：</t>
  </si>
  <si>
    <t>链式查询：仲裁机构发出一个总线允许信号，从高优先设备传向低优先设备（回转寿司）</t>
  </si>
  <si>
    <t>计数器定时查询：计数器增加，每增加一次就检查对应计数器当前数值的设备需不需要</t>
  </si>
  <si>
    <t>独立请求：每个设备直连仲裁器，仲裁器决定哪个用（按照优先级）</t>
  </si>
  <si>
    <t>总线周期### ###</t>
  </si>
  <si>
    <t>申请分配：传输请求、总线仲裁</t>
  </si>
  <si>
    <t>寻址阶段</t>
  </si>
  <si>
    <t>传输阶段</t>
  </si>
  <si>
    <t>结束阶段</t>
  </si>
  <si>
    <t>总线定时### ###</t>
  </si>
  <si>
    <t>同步</t>
  </si>
  <si>
    <t>异步（握手机制，灵活但效率低）</t>
  </si>
  <si>
    <t>不互锁：不等待对方任何回应，双方都按固定时间主动撤销自己的信号（REQ/ACK/ 数据）</t>
  </si>
  <si>
    <t>全互锁：双方互相等待 —— 主等从 ACK 有效（发数据）、ACK 撤销（撤 REQ + 数据）；从等主 REQ 有效（发 ACK）、REQ 撤销（撤 ACK），最可靠</t>
  </si>
  <si>
    <t>半互锁：主锁从不锁（仅主等从，从不等主）—— 主等从 ACK 有效（发数据）、ACK 有效（撤 REQ）；从发 ACK 后，不等待主的任何信号（按固定时间撤 ACK），中等可靠</t>
  </si>
  <si>
    <t>半同步（WAIT信号给设备异步准备时间）</t>
  </si>
  <si>
    <t>分离式（异步式升级，请求和传输不连续）</t>
  </si>
  <si>
    <t>资本积累是资本主义扩大再生产的源泉，而资本积累的源泉是剩余价值### ###</t>
  </si>
  <si>
    <t>剩余价值不是资本主义扩大再生产的源泉</t>
  </si>
  <si>
    <t>具体和抽象劳动：### ###</t>
  </si>
  <si>
    <t>具体劳动：用针线布料制作衣服的动作（赋予衣服使用价值）</t>
  </si>
  <si>
    <t>抽象劳动：缝衣服中消耗的脑力和体力（赋予衣服价值）</t>
  </si>
  <si>
    <t>具体劳动转移价值，抽象劳动产生价值</t>
  </si>
  <si>
    <t>中断流程### ###</t>
  </si>
  <si>
    <t>取指、执行</t>
  </si>
  <si>
    <t>中断检测（屏蔽检测+判优）</t>
  </si>
  <si>
    <t>中断周期（中断隐指令，即无编码指令）</t>
  </si>
  <si>
    <t>中断响应</t>
  </si>
  <si>
    <t>PC、PSW压栈</t>
  </si>
  <si>
    <t>关中断</t>
  </si>
  <si>
    <t>中断向量-&gt;PC</t>
  </si>
  <si>
    <t>中断服务</t>
  </si>
  <si>
    <t>IO指令触发后，中断可能不止一次发生，要看传送的数据量和中断服务能够处理的单次数据量### ###</t>
  </si>
  <si>
    <t>中断服务如果太慢，搬运赶不上更新，DBR里面的数据可能被新的覆盖</t>
  </si>
  <si>
    <t>解放思想，实事求是是邓小平理论的精髓### ###</t>
  </si>
  <si>
    <t>毛泽东思想的历史依据是新民主主义革命与社会主义改造的经验教训### ###</t>
  </si>
  <si>
    <t>邓小平理论的历史依据是社会主义建设的经验和教训### ###</t>
  </si>
  <si>
    <t>现实依据是改革开放和现代化建设的实践</t>
  </si>
  <si>
    <t>政治易错点### ###</t>
  </si>
  <si>
    <t>质变有爆发式飞跃（对抗性矛盾解决）和非爆发式飞跃（非对抗性矛盾解决）两种基本形式</t>
  </si>
  <si>
    <t>可能性需区分：</t>
  </si>
  <si>
    <t>可能 vs 不可能（石头变鸡蛋→不可能）</t>
  </si>
  <si>
    <t>现实可能 vs 抽象可能（现在考 90 分→现实可能；立即长翅膀→抽象可能）</t>
  </si>
  <si>
    <t>好可能 vs 坏可能（成功 vs 失败）</t>
  </si>
  <si>
    <t>必然和偶然</t>
  </si>
  <si>
    <t>相互渗透：必然性通过偶然性表现并为自己开辟道路，世界上没有纯粹的必然性</t>
  </si>
  <si>
    <t>相互转化：条件变化时，必然性可转化为偶然性，反之亦然（如生物进化中某些性状由必然变偶然）</t>
  </si>
  <si>
    <t>本质是使事物成为自身并区别于他物的规定性，本质和事物的存在直接同一（本质与事物不可分离）</t>
  </si>
  <si>
    <t>劳动力价值的最低界限是维持劳动者生存和繁衍后代所必需的生活资料价值</t>
  </si>
  <si>
    <t>低于这个界限，劳动力无法正常再生产</t>
  </si>
  <si>
    <t>利润率永远小于剩余价值率</t>
  </si>
  <si>
    <t>利润率 = 剩余价值 / 全部预付资本</t>
  </si>
  <si>
    <t>剩余价值率 = 剩余价值 / 可变资本</t>
  </si>
  <si>
    <t>全部预付资本&gt;可变资本</t>
  </si>
  <si>
    <t>商品的价值等于生产成本+剩余价值</t>
  </si>
  <si>
    <t>剩余价值转化为平均利润</t>
  </si>
  <si>
    <t>由于利润偏差，商品不再按生产成本+剩余价值的价格</t>
  </si>
  <si>
    <t>而是按生产成本+平均利润，也就是生产价格来出售了</t>
  </si>
  <si>
    <t>工资是劳动力价值的货币表现，而非劳动价值</t>
  </si>
  <si>
    <t>劳动不是商品，没有价值</t>
  </si>
  <si>
    <t>工资是劳动力这个特殊商品的价值的货币表现</t>
  </si>
  <si>
    <t>工人出卖的是劳动力而非劳动</t>
  </si>
  <si>
    <t>劳动力能产生劳动（编码技术能产生编码这个劳动）</t>
  </si>
  <si>
    <t>生产力与生产关系的矛盾是社会基本矛盾之一</t>
  </si>
  <si>
    <t>社会主义初级阶段主要矛盾是"人民日益增长的美好生活需要和不平衡不充分的发展之间的矛盾"</t>
  </si>
  <si>
    <t>非公有制经济（比如外资）是社会主义市场经济的重要组成部分，不是社会主义经济的组成部分</t>
  </si>
  <si>
    <t>社会主义经济特指公有制经济</t>
  </si>
  <si>
    <t>改革开放前后两个历史时期是辩证统一的，本质上都是党领导人民进行社会主义建设的实践探索</t>
  </si>
  <si>
    <t>改革开放前的实践探索为改革开放后积累了条件</t>
  </si>
  <si>
    <t>改革开放后是对改革开放前的坚持、改革和发展</t>
  </si>
  <si>
    <t>新民主主义革命不是社会主义性质的革命</t>
  </si>
  <si>
    <t>新民主主义革命是资产阶级民主主义革命性质，它的任务是反帝反封建，不是反对资本主义</t>
  </si>
  <si>
    <t>社会主义革命才是反对资本主义</t>
  </si>
  <si>
    <t>辛亥革命的失败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</si>
  <si>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</si>
  <si>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</si>
  <si>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</si>
  <si>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</si>
  <si>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</si>
  <si>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法律权利与法律义务的关系</t>
  </si>
  <si>
    <t>权利是目的，义务是手段</t>
  </si>
  <si>
    <t>义务的设定是为了保障权利的实现</t>
  </si>
  <si>
    <t>道德的历史性与阶级性</t>
  </si>
  <si>
    <t>道德具有历史性（不同时代有不同道德）</t>
  </si>
  <si>
    <t>道德具有阶级性（不同阶级有不同道德标准）</t>
  </si>
  <si>
    <t>不存在永恒不变的普世道德</t>
  </si>
  <si>
    <t>垄断不能消除竞争</t>
  </si>
  <si>
    <t>垄断是竞争的结果，只会改变竞争形式，不会消除竞争</t>
  </si>
  <si>
    <t>竞争形式：从自由竞争到垄断竞争</t>
  </si>
  <si>
    <t>潜在对手、内部竞争、替代竞争始终存在</t>
  </si>
  <si>
    <t>价格≠价值</t>
  </si>
  <si>
    <t>价格围绕价值波动，受供求关系、货币发行量等影响</t>
  </si>
  <si>
    <t>价格是价值的表现形式，而非价值本身</t>
  </si>
  <si>
    <t>只有抽象劳动才创造价值</t>
  </si>
  <si>
    <t>具体劳动创造使用价值（如面包能吃）</t>
  </si>
  <si>
    <t>抽象劳动（无差别人类劳动）才创造价值</t>
  </si>
  <si>
    <t>单纯的体力 / 脑力付出未必创造价值</t>
  </si>
  <si>
    <t>无效的具体劳动，无法转化为抽象劳动，无法产生价值</t>
  </si>
  <si>
    <t>资本主义新变化没改变其本质</t>
  </si>
  <si>
    <t>资本主义的科技进步、福利制度等新变化，只是缓和了基本矛盾，并未将其消除，本质仍是剥削制度</t>
  </si>
  <si>
    <t>资本主义的基本矛盾：生产社会化 vs 私有制</t>
  </si>
  <si>
    <t>社会主义初级阶段的判断标准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</si>
  <si>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</si>
  <si>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</si>
  <si>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</si>
  <si>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</si>
  <si>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</si>
  <si>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</si>
  <si>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</si>
  <si>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</si>
  <si>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</si>
  <si>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</si>
  <si>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</si>
  <si>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</si>
  <si>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</si>
  <si>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</si>
  <si>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</si>
  <si>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</si>
  <si>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</si>
  <si>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</si>
  <si>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</si>
  <si>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</si>
  <si>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</si>
  <si>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</si>
  <si>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</si>
  <si>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</si>
  <si>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</si>
  <si>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洋务运动是封建地主阶级自救运动</t>
  </si>
  <si>
    <t>目的是维护封建统治，不是发展资本主义</t>
  </si>
  <si>
    <t>其企业仍受封建势力控制，不具备资本主义本质</t>
  </si>
  <si>
    <t>法律是阶级社会的产物，原始社会没有法律（只有习惯），随着阶级和国家产生而产生</t>
  </si>
  <si>
    <t>生产关系越 “先进” 越好是错的</t>
  </si>
  <si>
    <t>生产关系必须适应生产力发展水平，超越生产力的 “先进生产关系” 会阻碍发展</t>
  </si>
  <si>
    <t>如过去的 “人民公社化”</t>
  </si>
  <si>
    <t>有使用价值的东西不一定有价值</t>
  </si>
  <si>
    <t>空气、阳光有用（有使用价值）但不是商品，因此没有价值</t>
  </si>
  <si>
    <t>有价值的东西一定有使用价值</t>
  </si>
  <si>
    <t>资本家的利润本质是剩余价值</t>
  </si>
  <si>
    <t>利润是剩余价值的转化形式</t>
  </si>
  <si>
    <t>是资本家无偿占有工人剩余劳动的结果</t>
  </si>
  <si>
    <t>计划和市场都是资源配置手段</t>
  </si>
  <si>
    <t>五四运动是新民主主义革命的开端</t>
  </si>
  <si>
    <t>五四运动是彻底反帝反封建的革命运动</t>
  </si>
  <si>
    <t>无产阶级自此登上历史舞台</t>
  </si>
  <si>
    <t>政经计算题### ###</t>
  </si>
  <si>
    <t>不变资本C：机器、原料、厂房的钱</t>
  </si>
  <si>
    <t>不创造价值、只转移价值到产品上</t>
  </si>
  <si>
    <t>可变资本V：给工人发的工资（劳动力价值）</t>
  </si>
  <si>
    <t>能创造剩余价值的资本</t>
  </si>
  <si>
    <t>V能生钱，C只是工具</t>
  </si>
  <si>
    <t>商品价值=C+V+m（m即剩余价值）</t>
  </si>
  <si>
    <t>剩余价值m=工人创造的总价值-V（这部分被老板独吞）</t>
  </si>
  <si>
    <t>剩余价值率m'=m/V（老板赚的是工资的几倍）</t>
  </si>
  <si>
    <t>利润p=m（老板把m看成资本的利润，而不是劳动创造的新价值）</t>
  </si>
  <si>
    <t>利润率p'=p/(C+V)</t>
  </si>
  <si>
    <t>平均利润率ap'=社会总利润tap/社会总成本tcv（C+V）</t>
  </si>
  <si>
    <t>社会总利润tap=Σ行业平均利润ap（所有行业的平均利润之和）</t>
  </si>
  <si>
    <t>社会总成本tcv=Σ行业成本cv（所有行业的预付成本之和）</t>
  </si>
  <si>
    <t>行业平均利润ap=平均利润率ap'*行业成本cv</t>
  </si>
  <si>
    <t>生产价格=成本价（C+V）+平均利润ap≠成本价（C+V）+利润p（剩余价值m）</t>
  </si>
  <si>
    <t>发展教育的根本尺度是人民满意### ###</t>
  </si>
  <si>
    <t>教育公平是社会公平的重要基础### ###</t>
  </si>
  <si>
    <t>服务高质量发展是建设教育强国的重要任务### ###</t>
  </si>
  <si>
    <t>解决人民群众最关心最直接最现实的利益问题，是保障和改善民生的重中之重### ###</t>
  </si>
  <si>
    <t>我国已于2021年打赢脱贫攻坚战，这项工作不是未来民生工作的重中之重### ###</t>
  </si>
  <si>
    <t>坚持人人尽责、人人享有，让所有劳动者在推动发展中分享发展成果，是保障和改善民生的重要原则### ###</t>
  </si>
  <si>
    <t>“振兴中华” -&gt;兴中会，1894### ###</t>
  </si>
  <si>
    <t>资产阶级改良派和革命派在论战后划清界限### ###</t>
  </si>
  <si>
    <t>三民主义是同盟会的纲领，二人为伴，三人誓盟### ###</t>
  </si>
  <si>
    <t>宗派主义：跟谁玩？—— 只跟小圈子玩（组织层面）### ###</t>
  </si>
  <si>
    <t>形式主义：怎么做？—— 只做表面样子（工作层面）### ###</t>
  </si>
  <si>
    <t>主观主义：凭啥做？—— 凭自己瞎想（思想层面）### ###</t>
  </si>
  <si>
    <t>理论脱离实际，不考虑中国国情是其中一个典型例子</t>
  </si>
  <si>
    <t>皖南事变后，为避免抗日民族统一战线破裂，采取了措施### ###</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</si>
  <si>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</si>
  <si>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</si>
  <si>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</si>
  <si>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</si>
  <si>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 ###</t>
  </si>
  <si>
    <t>避坑1：法律是政府的职能之一，并非是社会的一部分</t>
  </si>
  <si>
    <t>避坑2：一般来说重点任务和主体工程不可能是某个长期事件，因为长期坚持重要任务（不完成）是没有意义的</t>
  </si>
  <si>
    <t>时间和空间是物质运动的存在形式（而不是观念形式，观念是主观而非客观的）### ###</t>
  </si>
  <si>
    <t>人们可以通过实践创造出自然界原本不存在的现实状态### ###</t>
  </si>
  <si>
    <t>人的实践活动是实践主客体之间的相互作用</t>
  </si>
  <si>
    <t>这种相互作用必须借助于一定的手段和工具</t>
  </si>
  <si>
    <t>这些手段和工具即实践中介</t>
  </si>
  <si>
    <t>影响资本周转快慢有两个关键因素：### ###</t>
  </si>
  <si>
    <t>资本周转时间</t>
  </si>
  <si>
    <t>固定和流动资本的构成</t>
  </si>
  <si>
    <t>垄断资本的国际扩张形式：### ###</t>
  </si>
  <si>
    <t>借贷资本输出</t>
  </si>
  <si>
    <t>商品资本输出</t>
  </si>
  <si>
    <t>生产资本输出</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</si>
  <si>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</si>
  <si>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</si>
  <si>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</si>
  <si>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</si>
  <si>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</si>
  <si>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</si>
  <si>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</si>
  <si>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</si>
  <si>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</si>
  <si>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</si>
  <si>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</si>
  <si>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</si>
  <si>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</si>
  <si>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</si>
  <si>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</si>
  <si>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</si>
  <si>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</si>
  <si>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</si>
  <si>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</si>
  <si>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</si>
  <si>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</si>
  <si>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</si>
  <si>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</si>
  <si>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</si>
  <si>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</si>
  <si>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</si>
  <si>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</si>
  <si>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</si>
  <si>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</si>
  <si>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</si>
  <si>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</si>
  <si>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</si>
  <si>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</si>
  <si>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</si>
  <si>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</si>
  <si>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</si>
  <si>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</si>
  <si>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</si>
  <si>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</si>
  <si>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</si>
  <si>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</si>
  <si>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</si>
  <si>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</si>
  <si>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</si>
  <si>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</si>
  <si>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</si>
  <si>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</si>
  <si>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</si>
  <si>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</si>
  <si>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</si>
  <si>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</si>
  <si>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</si>
  <si>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</si>
  <si>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</si>
  <si>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</si>
  <si>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</si>
  <si>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</si>
  <si>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</si>
  <si>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</si>
  <si>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</si>
  <si>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</si>
  <si>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</si>
  <si>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</si>
  <si>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</si>
  <si>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</si>
  <si>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</si>
  <si>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</si>
  <si>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</si>
  <si>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</si>
  <si>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</si>
  <si>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</si>
  <si>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</si>
  <si>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</si>
  <si>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</si>
  <si>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</si>
  <si>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</si>
  <si>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</si>
  <si>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</si>
  <si>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</si>
  <si>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</si>
  <si>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</si>
  <si>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习近平经济思想的成效###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</si>
  <si>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</si>
  <si>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</si>
  <si>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</si>
  <si>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</si>
  <si>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</si>
  <si>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</si>
  <si>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</si>
  <si>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</si>
  <si>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</si>
  <si>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</si>
  <si>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</si>
  <si>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</si>
  <si>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</si>
  <si>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</si>
  <si>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</si>
  <si>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</si>
  <si>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</si>
  <si>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</si>
  <si>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</si>
  <si>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</si>
  <si>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</si>
  <si>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</si>
  <si>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</si>
  <si>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</si>
  <si>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</si>
  <si>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</si>
  <si>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</si>
  <si>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</si>
  <si>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</si>
  <si>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</si>
  <si>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</si>
  <si>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</si>
  <si>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</si>
  <si>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</si>
  <si>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</si>
  <si>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</si>
  <si>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</si>
  <si>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</si>
  <si>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</si>
  <si>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</si>
  <si>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</si>
  <si>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</si>
  <si>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</si>
  <si>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</si>
  <si>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</si>
  <si>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</si>
  <si>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</si>
  <si>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</si>
  <si>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</si>
  <si>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</si>
  <si>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</si>
  <si>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</si>
  <si>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</si>
  <si>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</si>
  <si>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</si>
  <si>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</si>
  <si>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</si>
  <si>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</si>
  <si>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</si>
  <si>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</si>
  <si>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</si>
  <si>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</si>
  <si>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</si>
  <si>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</si>
  <si>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</si>
  <si>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</si>
  <si>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</si>
  <si>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</si>
  <si>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</si>
  <si>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</si>
  <si>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</si>
  <si>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</si>
  <si>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</si>
  <si>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</si>
  <si>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</si>
  <si>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</si>
  <si>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</si>
  <si>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</si>
  <si>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</si>
  <si>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</si>
  <si>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标志着党在政治上（政治路线）、思想上（毛泽东思想）、组织上（中央领导集体）走向成熟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</si>
  <si>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</si>
  <si>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</si>
  <si>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</si>
  <si>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</si>
  <si>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</si>
  <si>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</si>
  <si>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</si>
  <si>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</si>
  <si>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</si>
  <si>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</si>
  <si>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</si>
  <si>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</si>
  <si>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</si>
  <si>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</si>
  <si>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</si>
  <si>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</si>
  <si>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</si>
  <si>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</si>
  <si>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</si>
  <si>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</si>
  <si>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</si>
  <si>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</si>
  <si>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</si>
  <si>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</si>
  <si>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</si>
  <si>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</si>
  <si>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</si>
  <si>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</si>
  <si>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</si>
  <si>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</si>
  <si>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 ###</t>
  </si>
  <si>
    <t>建成教育强国是事先中国式现代化的先导任务、坚实基础、战略支撑。### ###</t>
  </si>
  <si>
    <t>稀土管制的核心目标：维护国家安全、履行国际防扩散义务### ###</t>
  </si>
  <si>
    <t>以维新运动为起点，资产阶级新文化开始打破封建文化独占文化阵地的局面### ###</t>
  </si>
  <si>
    <t>五卅运动虽然和省港大罢工起因相同，却是不同的事件### ###</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</si>
  <si>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</si>
  <si>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</si>
  <si>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</si>
  <si>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</si>
  <si>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</si>
  <si>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</si>
  <si>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</si>
  <si>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</si>
  <si>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 ###</t>
  </si>
  <si>
    <t>国际调解院面向所有国家，也不是对国际法院的“替代”### ###</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</si>
  <si>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</si>
  <si>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</si>
  <si>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</si>
  <si>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</si>
  <si>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 ###</t>
  </si>
  <si>
    <t>党和国家发展进步的活力源泉是改革开放### ###</t>
  </si>
  <si>
    <t>新时代党的民族工作主线是铸牢中华民族共同体意识### ###</t>
  </si>
  <si>
    <t>民生问题### ###</t>
  </si>
  <si>
    <t>发展是总钥匙</t>
  </si>
  <si>
    <t>社保是基本制度保障</t>
  </si>
  <si>
    <t>党建### ###</t>
  </si>
  <si>
    <t>思想建设是基础</t>
  </si>
  <si>
    <t>政治建设是根本</t>
  </si>
  <si>
    <t>大革命失败后，集中体现中国革命正确方向的是井冈山的斗争### ###</t>
  </si>
  <si>
    <t>是“农村包围城市、武装夺权”正确道路的具体实践</t>
  </si>
  <si>
    <t>论持久战：兵民是胜利之本### ###</t>
  </si>
  <si>
    <t>七届三中全会：中心任务是在三年内争取国家财政经济的基本好转### ###</t>
  </si>
  <si>
    <t>提出了“要掌握斗争的方向，不要四面出击”</t>
  </si>
  <si>
    <t>2025《政府工作报告》：综合整治“内卷式”竞争### ###</t>
  </si>
  <si>
    <t>2025服贸会的主题是数智领航，服贸焕新### ###</t>
  </si>
  <si>
    <t>人类生存发展的决定性因素是物质资料的生产方式### ###</t>
  </si>
  <si>
    <t>规律作用的条件和形式能够被人为改变### ###</t>
  </si>
  <si>
    <t>规律对人的实践活动有重要作用，无论这些规律是否已经被人们所认识### ###</t>
  </si>
  <si>
    <t>经济基础和上层建筑的矛盾是人类社会的另一个基本矛盾### ###</t>
  </si>
  <si>
    <t>人类社会发展的最终决定力量是物质生产力### ###</t>
  </si>
  <si>
    <t>科学社会主义理论与实践中具有首要和基础地位的科学论断是唯物史观### ###</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</si>
  <si>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</si>
  <si>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</si>
  <si>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</si>
  <si>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</si>
  <si>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</si>
  <si>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</si>
  <si>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</si>
  <si>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</si>
  <si>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</si>
  <si>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</si>
  <si>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</si>
  <si>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</si>
  <si>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</si>
  <si>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 ###</t>
  </si>
  <si>
    <t>唯物史观在科学社会主义理论与实践中具有首要和基础的地位</t>
  </si>
  <si>
    <t>因此可以说，两个必然在科学社会主义理论与实践中具有首要和基础的地位</t>
  </si>
  <si>
    <t>共产主义≠共产主义理想信念，后者是对前者的主观感受### ###</t>
  </si>
  <si>
    <t>共产主义理想信念的核心要义是两个必然</t>
  </si>
  <si>
    <t>论十大关系是“以苏为鉴”，反对照搬苏联，也反对闭关自守### ###</t>
  </si>
  <si>
    <t>到了《正确处理内部矛盾》，提出要走一条有别于苏联的工业化道路</t>
  </si>
  <si>
    <t>限邻域是工业化建设</t>
  </si>
  <si>
    <t>程度是从借鉴到有别，也就是更强调不同</t>
  </si>
  <si>
    <t>人才政策包含“坚持党对人才工作的全面领导”### ###</t>
  </si>
  <si>
    <t>新时代我国经济社会发展的鲜明主题是推动高质量发展### ###</t>
  </si>
  <si>
    <t>重大政治问题### ###</t>
  </si>
  <si>
    <t>生态环境关系到党的使命宗旨</t>
  </si>
  <si>
    <t>共同富裕关系党到的执政基础</t>
  </si>
  <si>
    <t>规范和引导资本发展关系到社会主义基本经济制度</t>
  </si>
  <si>
    <t>生态环境的变化直接影响文明的兴衰演替### ###</t>
  </si>
  <si>
    <t>百团大战### ###</t>
  </si>
  <si>
    <t>打击了日军的囚笼政策</t>
  </si>
  <si>
    <t>以破袭敌人交通线为重要目标的进攻战</t>
  </si>
  <si>
    <t>巩固了华北地区的四大抗日根据地</t>
  </si>
  <si>
    <t>平型关大捷是首次胜利，打破了日军不可战神的神话### ###</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</si>
  <si>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</si>
  <si>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</si>
  <si>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</si>
  <si>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</si>
  <si>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</si>
  <si>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 ###</t>
  </si>
  <si>
    <t>改造主观世界的核心是改造世界观### ###</t>
  </si>
  <si>
    <t>社会主义基本矛盾运动是“相适应又相矛盾”### ###</t>
  </si>
  <si>
    <t>中国式现代化区别于西方现代化的显著标志是全体人民共同富裕### ###</t>
  </si>
  <si>
    <t>同时也是中国式现代化的本质特征</t>
  </si>
  <si>
    <t>进一步全面深化改革的出发点和落脚点是促进社会公平正义、增进人民福祉。### ###</t>
  </si>
  <si>
    <t>洋务运动必然失败的原因在于封建地主阶级的局限性### ###</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</si>
  <si>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</si>
  <si>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</si>
  <si>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</si>
  <si>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</si>
  <si>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</si>
  <si>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</si>
  <si>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</si>
  <si>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 ###</t>
  </si>
  <si>
    <t>国共十年内战基本结束</t>
  </si>
  <si>
    <t>抗日民族统一战线初步形成</t>
  </si>
  <si>
    <t>正式形成要等到《国共合作宣言》</t>
  </si>
  <si>
    <t>民主党派应积极参政，共同建设新中国### ###</t>
  </si>
  <si>
    <t>这句话标志着民主党派地位的根本变化</t>
  </si>
  <si>
    <t>从反动政权的在野党变为受CCP领导的参政党</t>
  </si>
  <si>
    <t>法律必须被信仰，否则形同虚设### ###</t>
  </si>
  <si>
    <t>现实就是，这方面还有待加强。。。</t>
  </si>
  <si>
    <t>新时代新疆工作的总目标是社会稳定和长治久安### ###</t>
  </si>
  <si>
    <t>世界不会自动满足的人的需求，人也不会满足于世界的现存形式### ###</t>
  </si>
  <si>
    <t>老天爷不会给我天降一个林妹妹，我也不会满足于就这样当个INCEL</t>
  </si>
  <si>
    <t>劳动价值论是剩余价值论的基础### ###</t>
  </si>
  <si>
    <t>劳动价值论研究商品价值来源，而剩余价值论研究生产关系中的剥削</t>
  </si>
  <si>
    <t>核心观点因研究对象的不同而不同</t>
  </si>
  <si>
    <t>劳动价值论源于古典经济学，而剩余价值论是马克思的独创</t>
  </si>
  <si>
    <t>金融资本是有工业垄断资本和银行垄断资本融合在一起形成的垄断资本，其形成途径包括### ###</t>
  </si>
  <si>
    <t>金融联系：放贷与借贷</t>
  </si>
  <si>
    <t>资本参与：互相投资、持股</t>
  </si>
  <si>
    <t>人事参与：互派代表进入对方决策层</t>
  </si>
  <si>
    <t>无产阶级政党是工人阶级的先锋队，而非全体成员的组织### ###</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</si>
  <si>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</si>
  <si>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</si>
  <si>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</si>
  <si>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</si>
  <si>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</si>
  <si>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</si>
  <si>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</si>
  <si>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</si>
  <si>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</si>
  <si>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</si>
  <si>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</si>
  <si>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</si>
  <si>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</si>
  <si>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</si>
  <si>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</si>
  <si>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</si>
  <si>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</si>
  <si>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</si>
  <si>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</si>
  <si>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</si>
  <si>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</si>
  <si>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</si>
  <si>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</si>
  <si>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</si>
  <si>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</si>
  <si>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</si>
  <si>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</si>
  <si>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</si>
  <si>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</si>
  <si>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</si>
  <si>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 ###</t>
  </si>
  <si>
    <t>尽管北京（李大钊）比上海更早出现马克思主义，但北京只是思想启蒙地，没有成为传播中心</t>
  </si>
  <si>
    <t>上海的工人阶级在最早以独立的政治力量登上历史舞台### ###</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</si>
  <si>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</si>
  <si>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</si>
  <si>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</si>
  <si>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</si>
  <si>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</si>
  <si>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</si>
  <si>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</si>
  <si>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</si>
  <si>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</si>
  <si>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</si>
  <si>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</si>
  <si>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</si>
  <si>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</si>
  <si>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</si>
  <si>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 ###</t>
  </si>
  <si>
    <t>主体和力量源泉是人民</t>
  </si>
  <si>
    <t>推进全面依法治国的根本目的是依法保障人民权益### ###</t>
  </si>
  <si>
    <t>水电站主要是利用水力，而不是改变水资源配置格局### ###</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</si>
  <si>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</si>
  <si>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</si>
  <si>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</si>
  <si>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</si>
  <si>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</si>
  <si>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</si>
  <si>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</si>
  <si>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</si>
  <si>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</si>
  <si>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</si>
  <si>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</si>
  <si>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</si>
  <si>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</si>
  <si>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</si>
  <si>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 ###</t>
  </si>
  <si>
    <t>劳动权存在和发展的基础是休息权### ###</t>
  </si>
  <si>
    <t>我国属于创新国家行列，但不是前列### ###</t>
  </si>
  <si>
    <t>2025欧亚经济论坛的主题是聚合欧耶新动能，共筑可持续发展新格局### ###</t>
  </si>
  <si>
    <t>任何成功的实践都是科学尺度和人本尺度的统一### ###</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</si>
  <si>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</si>
  <si>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</si>
  <si>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</si>
  <si>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</si>
  <si>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</si>
  <si>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</si>
  <si>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</si>
  <si>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</si>
  <si>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</si>
  <si>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</si>
  <si>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</si>
  <si>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</si>
  <si>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</si>
  <si>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</si>
  <si>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</si>
  <si>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</si>
  <si>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</si>
  <si>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</si>
  <si>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</si>
  <si>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 ###</t>
  </si>
  <si>
    <t>孙中山的失败在于，他很厉害，但是他没有建立一个坚强团结的革命政党### ###</t>
  </si>
  <si>
    <t>抗日根据地建设的首要、根本任务是加强政权建设### ###</t>
  </si>
  <si>
    <t>抗战期间，民族斗争高于阶级斗争### ###</t>
  </si>
  <si>
    <t>权利与义务### ###</t>
  </si>
  <si>
    <t>法律权利是由一定社会物质生活条件所制约的行为自由</t>
  </si>
  <si>
    <t>法律义务是由一定社会物质生活条件所制约的社会责任</t>
  </si>
  <si>
    <t>任何历史人物的出现都是必然与偶然的统一### ###</t>
  </si>
  <si>
    <t>《论欧洲联邦口号》### ###</t>
  </si>
  <si>
    <t>经济政治发展的不平衡是资本主义的绝对规律</t>
  </si>
  <si>
    <t>一国社会主义</t>
  </si>
  <si>
    <t>加强教师队伍建设作为建设教育强国最重要的基础工作### ###</t>
  </si>
  <si>
    <t>教育的根本是立德树人</t>
  </si>
  <si>
    <t>推动高质量发展的战略基点是新发展格局### ###</t>
  </si>
  <si>
    <t>以国内大循环为主体</t>
  </si>
  <si>
    <t>国内国际双循环相互促进</t>
  </si>
  <si>
    <t>坚持党对人民军队绝对领导的根本制度和根本实现形式是军委主席负责制### ###</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</si>
  <si>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</si>
  <si>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</si>
  <si>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</si>
  <si>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</si>
  <si>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</si>
  <si>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</si>
  <si>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</si>
  <si>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 ###</t>
  </si>
  <si>
    <t>人类的实践活动必须尊重自然### ###</t>
  </si>
  <si>
    <t>价值不能脱离主体（人）而存在，不只是经验外化于对象而形成### ###</t>
  </si>
  <si>
    <t>水能解渴不是因为人认为水能解渴</t>
  </si>
  <si>
    <t>而是水具有“被饮用后通过生理机制解渴”这一客观属性</t>
  </si>
  <si>
    <t>资本主义基本矛盾包含着现代一切冲突的萌芽### ###</t>
  </si>
  <si>
    <t>万恶的资本主义~</t>
  </si>
  <si>
    <t>经济建设为中心不是党一贯坚持的宝贵经验（特定时期）### ###</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</si>
  <si>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</si>
  <si>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</si>
  <si>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</si>
  <si>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</si>
  <si>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</si>
  <si>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</si>
  <si>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</si>
  <si>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</si>
  <si>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</si>
  <si>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</si>
  <si>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</si>
  <si>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</si>
  <si>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</si>
  <si>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</si>
  <si>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</si>
  <si>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</si>
  <si>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</si>
  <si>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</si>
  <si>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</si>
  <si>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</si>
  <si>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</si>
  <si>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</si>
  <si>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</si>
  <si>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线性微分方程要求为1次且不能是乘积是有限定的### ###</t>
  </si>
  <si>
    <t>针对的对象是解方程y(x)</t>
  </si>
  <si>
    <t>xy、xy'、xy''都是允许的（变系数线性微分方程）</t>
  </si>
  <si>
    <t>y^2、yy'则不是线性微分方程</t>
  </si>
  <si>
    <t>有些极值证明（函数性态）会伪装成微分方程题，应该摆脱计算思维（甚至不需要求解方程）### ###</t>
  </si>
  <si>
    <t>除此之外，还有结合初值与洛必达法则（多次求导，最后一次利用低阶导数的初值得出）的极限题### ###</t>
  </si>
  <si>
    <t>估值定理的重积分推广### ###</t>
  </si>
  <si>
    <t>定积分：被积函数的最值（一元极值）</t>
  </si>
  <si>
    <t>重积分：拉格朗日乘数法+边界最值</t>
  </si>
  <si>
    <t>然后用最值乘欧式测度（一元长度、二元面积）</t>
  </si>
  <si>
    <t>汉明码### ###</t>
  </si>
  <si>
    <t>校验位个数r，2^r&gt;=k+r+1，其中k为数据位个数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</si>
  <si>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</si>
  <si>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</si>
  <si>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</si>
  <si>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 ###</t>
  </si>
  <si>
    <t>不断提出和反复思考的问题### ###</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</si>
  <si>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</si>
  <si>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</si>
  <si>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</si>
  <si>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</si>
  <si>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 ###</t>
  </si>
  <si>
    <t>没有团结的意识，制度再多也是白搭</t>
  </si>
  <si>
    <t>一国两制的最高原则是维护国家主权、安全、发展利益### ###</t>
  </si>
  <si>
    <t>开启党员再塑自身形象的第一行动是中央八项规定### ###</t>
  </si>
  <si>
    <t>袁世凯败亡后军阀割据的原因### ###</t>
  </si>
  <si>
    <t>地方性农业经济而没有形成统一资本主义市场</t>
  </si>
  <si>
    <t>帝国主义在中国采取划分势力范围（军阀和外国势力勾连）的分裂剥削政策</t>
  </si>
  <si>
    <t>第一次人大标志着新中国根本政治制度的正式确立### ###</t>
  </si>
  <si>
    <t>而人民民主专政制度是建国时确立的，不要搞混</t>
  </si>
  <si>
    <t>处理人民内部矛盾问题的论断着眼点是为了### ###</t>
  </si>
  <si>
    <t>调动一切积极因素</t>
  </si>
  <si>
    <t>团结一切可以团结的力量</t>
  </si>
  <si>
    <t>把全党注意力转到社会主义建设上</t>
  </si>
  <si>
    <t>中央城市工作会议强调，当今和今后城市工作的主线是坚持城市内涵式发展### ###</t>
  </si>
  <si>
    <t>真理的发展是相对→绝对，而不是相对→绝对→相对### ###</t>
  </si>
  <si>
    <t>社会意识具有相对独立性，先进的社会意识能够反作用于社会存在### ###</t>
  </si>
  <si>
    <t>劳动者并不与资本家形成人身依附（奴役制），这导致了剥削具有一定隐蔽性### ###</t>
  </si>
  <si>
    <t>垄断操纵价格会抑制价格的自由波动### ###</t>
  </si>
  <si>
    <t>生产力差异是造成社会主义发展道路多样性的决定因素### ###</t>
  </si>
  <si>
    <t>而不是地理环境和人口（地理决定论）</t>
  </si>
  <si>
    <t>某些国家以资源缺乏和人口过剩为借口对其它国家实施侵略</t>
  </si>
  <si>
    <t>跳出历史周期律的答案### ###</t>
  </si>
  <si>
    <t>毛泽东：让人民来监督政府</t>
  </si>
  <si>
    <t>习近平：党的自我革命</t>
  </si>
  <si>
    <t>五统一、一开放之统一政府行为尺度### ###</t>
  </si>
  <si>
    <t>促进要素资源流动</t>
  </si>
  <si>
    <t>破解不同地区间的内卷</t>
  </si>
  <si>
    <t>为经营主体创造公平市场竞争环境</t>
  </si>
  <si>
    <t>巩固和完善农村基本经营制度### ###</t>
  </si>
  <si>
    <t>坚持“大稳定、小调整”，稳定和完善农村土地承包关系</t>
  </si>
  <si>
    <t>不允许城镇居民到农村购买农房、宅基地</t>
  </si>
  <si>
    <t>不允许退休干部到农村占地建房</t>
  </si>
  <si>
    <t>我国经济由高速增长转向高质量发展阶段### ###</t>
  </si>
  <si>
    <t>因此不能说“经济始终保持高速增长”</t>
  </si>
  <si>
    <t>疫情后市场逐渐恢复，必须有重点地建设和发展经济</t>
  </si>
  <si>
    <t>清朝的“边疆危机”发生于19世纪70-80年代（也就是1870-1880）### ###</t>
  </si>
  <si>
    <t>甲午战争是1894年，因此“边疆危机”不是甲午战败的影响</t>
  </si>
  <si>
    <t>正本清源、拨乱反正和改革开放的思想先导是真理标准大讨论，也就是《实践是检验真理的唯一标准》### ###</t>
  </si>
  <si>
    <t>这件事发生在十一届三中全会之前，不要搞混</t>
  </si>
  <si>
    <t>社会主义家庭文明新风尚### ###</t>
  </si>
  <si>
    <t>爱国爱家</t>
  </si>
  <si>
    <t>相亲相爱</t>
  </si>
  <si>
    <t>向上向善</t>
  </si>
  <si>
    <t>共建共享</t>
  </si>
  <si>
    <t>无论是齐次还是非齐次线性方程组，只要系数阵满秩，那么解的情况就是唯一的。### ###</t>
  </si>
  <si>
    <t>自由变量没了，解就被限定住了</t>
  </si>
  <si>
    <t>对齐次来说就只有0解</t>
  </si>
  <si>
    <t>对非齐次来说就失去了齐次通解的部分，只有唯一一个特解</t>
  </si>
  <si>
    <t>自由变量的个数是固定的，但是选取是不固定的### ###</t>
  </si>
  <si>
    <t>系数阵m*n，也就是m行n列，列对应变量，看作实际的维度### ###</t>
  </si>
  <si>
    <t>秩等于n，也就是说，哪怕行m大于n，实际有效的也就只有其中n行</t>
  </si>
  <si>
    <t>秩大于n是不可能的，因为秩小于等于行列数中较小的那一个</t>
  </si>
  <si>
    <t>唯一解方程暗示r(A)=n，克拉默使用条件满足，如果只求解坐标的其中一个分量，那就一定是克拉默### ###</t>
  </si>
  <si>
    <t>当###A和B不是方阵###时，AB也许可逆，但是A和B不可逆</t>
  </si>
  <si>
    <t>乘积矩阵的维度若大于两个矩阵的秩，必非满秩</t>
  </si>
  <si>
    <t>如果高矩阵*宽矩阵，那么必非满秩</t>
  </si>
  <si>
    <t>如果宽矩阵*高矩阵，那么可能满秩</t>
  </si>
  <si>
    <t>幂零矩阵的要求：存在正整数k使得A^k=零矩阵### ###</t>
  </si>
  <si>
    <t>如果次数n小于k，A^n为非零矩阵</t>
  </si>
  <si>
    <t>只有次数n大于k，A^n为零矩阵</t>
  </si>
  <si>
    <t>r(X)+r(Y)&gt;=r(X+Y)### ###</t>
  </si>
  <si>
    <t>商品生产者的劳动的社会性质是社会分工决定的### ###</t>
  </si>
  <si>
    <t>社会主义改造基本完成后的外交策略### ###</t>
  </si>
  <si>
    <t>时间是1950s-1970s</t>
  </si>
  <si>
    <t>50-60年代中期，毛泽东提出两个中间地带战略</t>
  </si>
  <si>
    <t>亚洲、非洲、拉丁美洲广大经济落后的国家</t>
  </si>
  <si>
    <t>欧洲、北美、大洋洲等发达资本主义国家，及部分东欧国家</t>
  </si>
  <si>
    <t>中国不属于这两个，但是依靠第一个，争取第二个</t>
  </si>
  <si>
    <t>70年代前期，毛泽东提出“三个世界”划分</t>
  </si>
  <si>
    <t>美苏</t>
  </si>
  <si>
    <t>美苏间的发达国家，欧洲、日本、加拿大、澳大利亚</t>
  </si>
  <si>
    <t>亚洲（除日本）、非洲、拉丁美洲和其它地区，包括中国</t>
  </si>
  <si>
    <t>中国经济长期稳定发展的强大引擎是### ###</t>
  </si>
  <si>
    <t>超大规模市场</t>
  </si>
  <si>
    <t>创新驱动发展</t>
  </si>
  <si>
    <t>相互促进、良性循环</t>
  </si>
  <si>
    <t>建设高质量教育体系，办好人民满意的教育，根本在于### ###</t>
  </si>
  <si>
    <t>深化教育综合改革</t>
  </si>
  <si>
    <t>洋务派优先集中发展军事工业，官办企业是辅助的### ###</t>
  </si>
  <si>
    <t>为军事工业提供配套支持和资金支持</t>
  </si>
  <si>
    <t>《中共抗日救国十大纲领》、《中共中央关于目前形势与党的任务的决定》### ###</t>
  </si>
  <si>
    <t>洛川会议，1937年8月</t>
  </si>
  <si>
    <t>标志着党的全面抗战路线的正式形成</t>
  </si>
  <si>
    <t>二战胜利成果的集中体现是以联合国为核心的国际体系### ###</t>
  </si>
  <si>
    <t>认识发展的动力### ###</t>
  </si>
  <si>
    <t>根本动力：实践</t>
  </si>
  <si>
    <t>强大动力：认识工具</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</si>
  <si>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</si>
  <si>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</si>
  <si>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</si>
  <si>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</si>
  <si>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t>
  </si>
  <si>
    <t>经营管理采用委托代理制</t>
  </si>
  <si>
    <t>根本目的：维护资本主义制度和垄断资本利益</t>
  </si>
  <si>
    <t>主要存在于经济命脉、公共利益或战略利益的领域</t>
  </si>
  <si>
    <t>不赚钱但是必须有人做的事</t>
  </si>
  <si>
    <t>不是资本主义所有制的主体</t>
  </si>
  <si>
    <t>主体是法人资本所有制</t>
  </si>
  <si>
    <t>稳定经济、保障公共利益、支持战略产业</t>
  </si>
  <si>
    <t>维护垄断、加重财政负担、无法解决根本矛盾</t>
  </si>
  <si>
    <t>体现总资本家剥削雇佣劳动者的关系</t>
  </si>
  <si>
    <t>科学社会主义的理论基石的是唯物史观和剩余价值学说### ###</t>
  </si>
  <si>
    <t>古田会议### ###</t>
  </si>
  <si>
    <t>确立党对军队绝对领导</t>
  </si>
  <si>
    <t>纠正红军错误思想</t>
  </si>
  <si>
    <t>制定红军建设的各项纲领</t>
  </si>
  <si>
    <t>确立思想建党、政治建军原则</t>
  </si>
  <si>
    <t>规定红军是一个执行革命的政治任务的武装集团</t>
  </si>
  <si>
    <t>加强党的思想建设的极端重要性### ###</t>
  </si>
  <si>
    <t>出自六届六中全会的《论新阶段》</t>
  </si>
  <si>
    <t>构建新发展格局加快推动高质量发展### ###</t>
  </si>
  <si>
    <t>扩大内需</t>
  </si>
  <si>
    <t>高水平开放</t>
  </si>
  <si>
    <t>安全保障</t>
  </si>
  <si>
    <t>内卷为何削弱行业整体竞争力### ###</t>
  </si>
  <si>
    <t>资源错配（资源向低价倾销倾斜，质量降低）</t>
  </si>
  <si>
    <t>创新动力枯竭（创新的风险性太大）</t>
  </si>
  <si>
    <t>利润空间压缩（加重企业经济负担，缺乏资金，就无法提供优质的产品）</t>
  </si>
  <si>
    <t>行业生态恶化（透支消费者信任，A家造假，也怕B家）</t>
  </si>
  <si>
    <t>中国特色社会主义文化建设的根本方向是### ###</t>
  </si>
  <si>
    <t>坚持马克思主义指导</t>
  </si>
  <si>
    <t>坚持为人民服务、为社会主义服务</t>
  </si>
  <si>
    <t>抗战胜利是中华民族从近代以来陷入深重危机走向伟大复兴的历史转折点### ###</t>
  </si>
  <si>
    <t>新民主主义社会：1949-1956### ###</t>
  </si>
  <si>
    <t>三大改造完成前</t>
  </si>
  <si>
    <t>长征的胜利是中国革命转危为安的关键### ###</t>
  </si>
  <si>
    <t>没有信念的理想不叫作理想，而叫作空想（可行）或幻想（不可行）### ###</t>
  </si>
  <si>
    <t>即使盲信，不具备可行性的想法不是理想，而是“有信念的幻想”</t>
  </si>
  <si>
    <t>因此，理想和信念总是相互依存</t>
  </si>
  <si>
    <t>信仰和信念的区别：前者具体，后者抽象，前者细微，后者宏大，前者零散，后者系统### ###</t>
  </si>
  <si>
    <t>坚持依法治国和以德治国相结合，需要### ###</t>
  </si>
  <si>
    <t>运用法治手段解决道德领域突出问题</t>
  </si>
  <si>
    <t>强化道德对法治的支撑作用</t>
  </si>
  <si>
    <t>在立法、执法、司法中都体现社会主义道德要求</t>
  </si>
  <si>
    <t>二十届四中### ###</t>
  </si>
  <si>
    <t>最重要的成果：审议通过了《中共中央关于制定国民经济和社会发展第十五个五年规划的建议》</t>
  </si>
  <si>
    <t>也就是十五五</t>
  </si>
  <si>
    <t>主题是推动高质量发展</t>
  </si>
  <si>
    <t>五个坚持</t>
  </si>
  <si>
    <t>首要原则是坚持党的全面领导</t>
  </si>
  <si>
    <t>坚持以人民为中心</t>
  </si>
  <si>
    <t>坚持新发展理念</t>
  </si>
  <si>
    <t>坚持深化改革开放</t>
  </si>
  <si>
    <t>坚持系统观念</t>
  </si>
  <si>
    <t>战略任务</t>
  </si>
  <si>
    <t>第一条：建设现代化产业体系，巩固壮大实体经济根基</t>
  </si>
  <si>
    <t>产业体系的基本盘是传统产业</t>
  </si>
  <si>
    <t>加快高水平科技自立自强，引领发展新质生产力</t>
  </si>
  <si>
    <t>构建新发展格局，增强国内大循环内生动力和可靠性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</si>
  <si>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</si>
  <si>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</si>
  <si>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</si>
  <si>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</si>
  <si>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</si>
  <si>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</si>
  <si>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</si>
  <si>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</si>
  <si>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 ###</t>
  </si>
  <si>
    <t>五统一</t>
  </si>
  <si>
    <t>市场基础制度：市场平等竞争的基础</t>
  </si>
  <si>
    <t>市场基础设施</t>
  </si>
  <si>
    <t>政府行为尺度</t>
  </si>
  <si>
    <t>市场监管执法</t>
  </si>
  <si>
    <t>要素资源市场</t>
  </si>
  <si>
    <t>扩大对内对外开放</t>
  </si>
  <si>
    <t>城市工作会议### ###</t>
  </si>
  <si>
    <t>核心主线：坚持城市内涵式发展</t>
  </si>
  <si>
    <t>转变城市发展理念，更加注重以人为本</t>
  </si>
  <si>
    <t>转变城市发展方式，更加注重集约高效</t>
  </si>
  <si>
    <t>这个是提高城市发展质量和水平的关键</t>
  </si>
  <si>
    <t>转变城市发展动力，更加注重特色发展</t>
  </si>
  <si>
    <t>转变城市工作重心，更加注重治理投入</t>
  </si>
  <si>
    <t>转变城市工作方法，更加注重统筹协调</t>
  </si>
  <si>
    <t>七大任务</t>
  </si>
  <si>
    <t>（首要任务）优化现代化城市体系</t>
  </si>
  <si>
    <t>（6内涵之一）建设富有活力的创新城市</t>
  </si>
  <si>
    <t>（6内涵之一）建设舒适便利的宜居城市</t>
  </si>
  <si>
    <t>（6内涵之一）建设绿色低碳的美丽城市</t>
  </si>
  <si>
    <t>（6内涵之一）建设安全可靠的韧性城市</t>
  </si>
  <si>
    <t>（6内涵之一）建设崇德向善的文明城市</t>
  </si>
  <si>
    <t>（6内涵之一）建设便捷高效的智慧城市</t>
  </si>
  <si>
    <t>十四五计划在2025的九大任务### ###</t>
  </si>
  <si>
    <t>（第一位）大力提振消费、提高投资效益，全方位扩大国内需求</t>
  </si>
  <si>
    <t>以科技创新引领新质生产力发展，建设现代化产业体系</t>
  </si>
  <si>
    <t>发挥经济体制改革牵引作用，推动标志性改革举措落地见效</t>
  </si>
  <si>
    <t>扩大高水平对外开放，稳外贸、稳外资</t>
  </si>
  <si>
    <t>有效防范化解重点领域风险，牢牢守住不发生系统性风险底线</t>
  </si>
  <si>
    <t>统筹推进新型城镇化和乡村全面振兴，促进城乡融合发展</t>
  </si>
  <si>
    <t>加大区域战略实施力度，增强区域发展活力</t>
  </si>
  <si>
    <t>协同推进降碳减污扩绿增长，加紧经济社会发展全面绿色转型</t>
  </si>
  <si>
    <t>加大保障和改善民生力度，增强人民群众获得感、幸福感、安全感</t>
  </si>
  <si>
    <t>做好经济工作的根本保证是党中央集中统一领导### ###</t>
  </si>
  <si>
    <t>统筹好五个关系</t>
  </si>
  <si>
    <t>（首要）有效市场和有为政府</t>
  </si>
  <si>
    <t>总供给和总需求</t>
  </si>
  <si>
    <t>培育新动能和更新旧动能</t>
  </si>
  <si>
    <t>做优增量和盘活存量</t>
  </si>
  <si>
    <t>提升质量和做大总量</t>
  </si>
  <si>
    <t>负面清单管理模式### ###</t>
  </si>
  <si>
    <t>法无禁止即可为</t>
  </si>
  <si>
    <t>最核心的要求是“非禁即入”</t>
  </si>
  <si>
    <t>企业发展第一位的是内生动力### ###</t>
  </si>
  <si>
    <t>内生动力：不依赖外部政策红利和市场风口、资本注入，持续驱动发展的内在活力</t>
  </si>
  <si>
    <t>促进民营经济发展的工作重点是扎扎实实落实促进民营经济发展的政策措施（废话）### ###</t>
  </si>
  <si>
    <t>中国扩大开放的重点是降低市场准入门槛### ###</t>
  </si>
  <si>
    <t>九三阅兵的主体是纪念抗战伟大胜利、弘扬抗战伟大精神### ###</t>
  </si>
  <si>
    <t>只有实对称矩阵，其不同特征值对应的特征向量才是正交，否则只是线性无关### ###</t>
  </si>
  <si>
    <t>相似矩阵的特征值相同，但是特征向量可能是不一样的### ###</t>
  </si>
  <si>
    <t>B=PAP逆，Ax=λx=P逆BPx，λPx=BPx</t>
  </si>
  <si>
    <t>慢启动切换拥塞避免时，RTT结束才会切换### ###</t>
  </si>
  <si>
    <t>比如ssthresh是100，某个RTT前是80</t>
  </si>
  <si>
    <t>不会在收到10个ack就立刻切换，而是等到这个rtt结束</t>
  </si>
  <si>
    <t>此时cwnd达到160，拥塞避免开始，线性增长从160开始</t>
  </si>
  <si>
    <t>IP分片的最后一个分片，数据部分不需要满足8的整数倍要求### ###</t>
  </si>
  <si>
    <t>2025中央一号文件（乡村全面振兴）### ###</t>
  </si>
  <si>
    <t>第一位：持续增强粮食等重要农产品供给保障能力</t>
  </si>
  <si>
    <t>三农工作### ###</t>
  </si>
  <si>
    <t>战略总纲是：加快建设农业强国</t>
  </si>
  <si>
    <t>中心任务是：增加农民收入</t>
  </si>
  <si>
    <t>科技创新和产业创新是发展新质生产力的基本路径### ###</t>
  </si>
  <si>
    <t>实现科技自主创新和人才自主培养良性互动，教育要进一步发挥先导性、基础支撑作用### ###</t>
  </si>
  <si>
    <t>中国特色现代企业制度的重点是完善公司治理### ###</t>
  </si>
  <si>
    <t>新时代党的治疆方略的核心要义### ###</t>
  </si>
  <si>
    <t>（首要，战略引领）坚持从战略上绅士和谋划新疆工作</t>
  </si>
  <si>
    <t>（总目标）坚持把社会稳定和长治久安作为工作总目标</t>
  </si>
  <si>
    <t>（工作重点）坚持以凝聚人心为根本</t>
  </si>
  <si>
    <t>（工作重点）坚持铸牢中华民族共同体意识</t>
  </si>
  <si>
    <t>新时代民族工作的主线</t>
  </si>
  <si>
    <t>（工作重点）坚持我国宗教中国化方向</t>
  </si>
  <si>
    <t>（工作重点）坚持弘扬和培育社会主义核心价值观</t>
  </si>
  <si>
    <t>（工作重点）坚持紧贴民生推动高质量发展</t>
  </si>
  <si>
    <t>（根本保证）坚持加强党对新疆工作的领导</t>
  </si>
  <si>
    <t>新时代党的治疆方略的原则要求### ###</t>
  </si>
  <si>
    <t>（首位）依法治疆</t>
  </si>
  <si>
    <t>团结稳疆</t>
  </si>
  <si>
    <t>文化润疆</t>
  </si>
  <si>
    <t>富民兴疆</t>
  </si>
  <si>
    <t>长期建疆</t>
  </si>
  <si>
    <t>《保障和改善民生，解决急难愁盼》### ###</t>
  </si>
  <si>
    <t>公平（首位）</t>
  </si>
  <si>
    <t>均衡</t>
  </si>
  <si>
    <t>普惠</t>
  </si>
  <si>
    <t>可及</t>
  </si>
  <si>
    <t>解决水资源短缺的根本出路是节水（不是引水？反直觉了）### ###</t>
  </si>
  <si>
    <t>防范化解各类风险是平安中国建设的一项重要任务，要把捍卫国家政治安全摆在首位### ###</t>
  </si>
  <si>
    <t>快速判断一个配好方的二次型是否是标准型### ###</t>
  </si>
  <si>
    <t>如果每个配方部分独一无二，不可被其它部分表示，则是标准型</t>
  </si>
  <si>
    <t>反之则不是</t>
  </si>
  <si>
    <t>IP分片计算首部当中的总长度字段时，单位为1字节### ###</t>
  </si>
  <si>
    <t>总长度=首部长度+数据部分长度（按照实际长度来，最后一个分片一般不会最大，其它都是按最大）</t>
  </si>
  <si>
    <t>数据部分长度（最大）=floor((MTU长度-首部长度)/8)*8</t>
  </si>
  <si>
    <t>最后一个分片的数据部分完全保持原样，这意味着</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</si>
  <si>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</si>
  <si>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</si>
  <si>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</si>
  <si>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 ###</t>
  </si>
  <si>
    <t>408的访存默认是串行访存（和刷题器逻辑一致）### ###</t>
  </si>
  <si>
    <t>串行访存时，如果缺失，触发补块，之后还要再访问缓存一次</t>
  </si>
  <si>
    <t>并行访存的话，一开始就会同时读主存，之后缺失时搬运一下，但是不会再访问（搬运发生在访问后）</t>
  </si>
  <si>
    <t>一般来说，408不考并行访存</t>
  </si>
  <si>
    <t>对于非方阵的矩阵### ###</t>
  </si>
  <si>
    <t>行满秩（秩=行数）的矩阵对其它矩阵做列变换，新矩阵的列向量与原矩阵列向量等价</t>
  </si>
  <si>
    <t>列满秩（秩=列数）的矩阵对其它矩阵做行变换，新矩阵的行向量与原矩阵行向量等价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</si>
  <si>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</si>
  <si>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</si>
  <si>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</si>
  <si>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 ###</t>
  </si>
  <si>
    <t>深化文化体制的中心环节是激发创新创造活力### ###</t>
  </si>
  <si>
    <t>十五五的发展目标### ###</t>
  </si>
  <si>
    <t>推动经济实现质的有效提升和量的合理增长</t>
  </si>
  <si>
    <t>人的全面发展、全体人民共同富裕迈出坚实步伐</t>
  </si>
  <si>
    <t>建设现代化产业体系，巩固壮大实体经济根基的重点任务### ###</t>
  </si>
  <si>
    <t>优化提升传统产业</t>
  </si>
  <si>
    <t>培育壮大新兴产业和未来产业</t>
  </si>
  <si>
    <t>促进服务业优质高效发展</t>
  </si>
  <si>
    <t>构建现代化基础设施体系</t>
  </si>
  <si>
    <t>协同保障措施</t>
  </si>
  <si>
    <t>建设强大国内市场，坚持扩大内需的重点任务### ###</t>
  </si>
  <si>
    <t>拓展增量</t>
  </si>
  <si>
    <t>提升效益</t>
  </si>
  <si>
    <t>畅通循环</t>
  </si>
  <si>
    <t>优化区域经济布局，促进区域协调发展的重点任务### ###</t>
  </si>
  <si>
    <t>注重优化布局</t>
  </si>
  <si>
    <t>注重新型城镇化</t>
  </si>
  <si>
    <t>注重陆海统筹</t>
  </si>
  <si>
    <t>加快建设健康中国的重点部署### ###</t>
  </si>
  <si>
    <t>实施健康优先发展战略</t>
  </si>
  <si>
    <t>统筹发展与安全</t>
  </si>
  <si>
    <t>为群众提供公平可及、系统连续、优质高效的健康服务</t>
  </si>
  <si>
    <t>促进人口高质量发展的重点部署### ###</t>
  </si>
  <si>
    <t>推动老有所养</t>
  </si>
  <si>
    <t>推动老有所为</t>
  </si>
  <si>
    <t>建设生育友好型社会</t>
  </si>
  <si>
    <t>新时代中国特色社会主义文化要具有：### ###</t>
  </si>
  <si>
    <t>强大思想引领力</t>
  </si>
  <si>
    <t>强大精神凝聚力</t>
  </si>
  <si>
    <t>强大价值感召力</t>
  </si>
  <si>
    <t>强大国际影响力</t>
  </si>
  <si>
    <t>九三阅兵的主要特点### ###</t>
  </si>
  <si>
    <t>既注重历史传承，又富含时代特色</t>
  </si>
  <si>
    <t>既体现军兵种特色，又展现一体化联合</t>
  </si>
  <si>
    <t>既有传统主战力量展示，又有新域新质力量参阅</t>
  </si>
  <si>
    <t>阅兵注重抗战元素、历史元素融入设计的体现### ###</t>
  </si>
  <si>
    <t>传承抗战血脉</t>
  </si>
  <si>
    <t>崇尚功勋荣誉</t>
  </si>
  <si>
    <t>重温历史经典</t>
  </si>
  <si>
    <t>抗日战争的伟大胜利宣告了世界反法西斯战争的完全胜利### ###</t>
  </si>
  <si>
    <t>抗日战争率先解开了世界反法西斯战争的序幕### ###</t>
  </si>
  <si>
    <t>1937年，比德国1939闪击波兰还要早</t>
  </si>
  <si>
    <t>深圳是中国特色社会主义先行示范区### ###</t>
  </si>
  <si>
    <t>浦东新区是社会主义现代化建设引领区### ###</t>
  </si>
  <si>
    <t>要讲自由贸易试验区建设成为### ###</t>
  </si>
  <si>
    <t>畅通国内国际双循环的重要枢纽</t>
  </si>
  <si>
    <t>推动高质量发展的强劲引擎</t>
  </si>
  <si>
    <t>注意区分中国经济长期稳定发展的强大引擎（20251122）</t>
  </si>
  <si>
    <t>自贸区不是应对制裁、贸易反制的手段### ###</t>
  </si>
  <si>
    <t>海南自贸区的三区战略定位</t>
  </si>
  <si>
    <t>国家生态文明试验区</t>
  </si>
  <si>
    <t>国家重大战略服务保障区</t>
  </si>
  <si>
    <t>全面深化改革开放试验区</t>
  </si>
  <si>
    <t>自贸区与内地没有物理隔离设施</t>
  </si>
  <si>
    <t>还不是全球最高水平的开放区域</t>
  </si>
  <si>
    <t>制度型开放包括### ###</t>
  </si>
  <si>
    <t>规制（原则）开放</t>
  </si>
  <si>
    <t>规则（具体措施）开放</t>
  </si>
  <si>
    <t>管理开放</t>
  </si>
  <si>
    <t>标准开放</t>
  </si>
  <si>
    <t>市场准入负面清单的核心要求如何体现### ###</t>
  </si>
  <si>
    <t>核心要求：清单之外皆可依法平等进入市场</t>
  </si>
  <si>
    <t>体现1：全国统一（平等）</t>
  </si>
  <si>
    <t>体现2：事权法定（依法）</t>
  </si>
  <si>
    <t>体现3：公开透明（平等）</t>
  </si>
  <si>
    <t>体现4：非禁即入（清单之外皆可）</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</si>
</sst>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9">
    <xf numFmtId="0" fontId="0" fillId="0" borderId="0" xfId="0">
      <alignment vertical="center"/>
    </xf>
    <xf numFmtId="176" fontId="0" fillId="0" borderId="0" xfId="0" applyNumberFormat="1">
      <alignment vertical="center"/>
    </xf>
    <xf numFmtId="0" fontId="0" fillId="0" borderId="0" xfId="0" applyAlignmen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3" Type="http://schemas.openxmlformats.org/officeDocument/2006/relationships/styles" Target="styles.xml"/><Relationship Id="rId212" Type="http://schemas.openxmlformats.org/officeDocument/2006/relationships/sheetMetadata" Target="metadata.xml"/><Relationship Id="rId211" Type="http://schemas.openxmlformats.org/officeDocument/2006/relationships/sharedStrings" Target="sharedStrings.xml"/><Relationship Id="rId210" Type="http://schemas.openxmlformats.org/officeDocument/2006/relationships/theme" Target="theme/theme1.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5">
        <v>20240225</v>
      </c>
      <c r="B2" t="s">
        <v>0</v>
      </c>
      <c r="C2" s="5"/>
    </row>
    <row r="3" spans="1:8">
      <c r="C3" s="5" t="s">
        <v>1</v>
      </c>
    </row>
    <row r="4" spans="1:8">
      <c r="C4" s="5" t="s">
        <v>2</v>
      </c>
    </row>
    <row r="5" spans="1:8">
      <c r="C5" t="s">
        <v>3</v>
      </c>
    </row>
    <row r="6" spans="1:8">
      <c r="C6" s="5"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5">
        <v>20240229</v>
      </c>
      <c r="B2" t="s">
        <v>6</v>
      </c>
      <c r="C2" s="5"/>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5">
        <v>20240302</v>
      </c>
      <c r="B2" s="5" t="s">
        <v>19</v>
      </c>
      <c r="C2" s="5"/>
    </row>
    <row r="3" spans="1:8">
      <c r="A3" s="5"/>
      <c r="B3" t="s">
        <v>20</v>
      </c>
    </row>
    <row r="4" spans="1:8">
      <c r="A4" s="5"/>
      <c r="C4" t="s">
        <v>21</v>
      </c>
    </row>
    <row r="5" spans="1:8">
      <c r="A5" s="5"/>
      <c r="C5" t="s">
        <v>22</v>
      </c>
    </row>
    <row r="6" spans="1:8">
      <c r="A6" s="5"/>
      <c r="C6" t="s">
        <v>23</v>
      </c>
    </row>
    <row r="7" spans="1:8">
      <c r="A7" s="5"/>
      <c r="C7" t="s">
        <v>24</v>
      </c>
    </row>
    <row r="8" spans="1:8">
      <c r="A8" s="5"/>
      <c r="C8" t="s">
        <v>25</v>
      </c>
    </row>
    <row r="9" spans="1:8">
      <c r="A9" s="5"/>
      <c r="B9" s="5" t="s">
        <v>26</v>
      </c>
      <c r="C9" s="5"/>
    </row>
    <row r="10" s="6" customFormat="1" spans="1:8">
      <c r="B10" s="6" t="s">
        <v>27</v>
      </c>
    </row>
    <row r="11" s="6" customFormat="1" spans="1:8">
      <c r="C11" s="6" t="s">
        <v>28</v>
      </c>
    </row>
    <row r="12" s="6" customFormat="1" spans="1:8">
      <c r="C12" s="6" t="s">
        <v>29</v>
      </c>
    </row>
    <row r="13" s="6" customFormat="1" spans="1:8">
      <c r="C13" s="6" t="s">
        <v>30</v>
      </c>
    </row>
    <row r="14" spans="1:8">
      <c r="A14" s="5"/>
      <c r="B14" s="5" t="s">
        <v>31</v>
      </c>
      <c r="C14" s="5"/>
    </row>
    <row r="15" spans="1:8">
      <c r="A15" s="5"/>
      <c r="B15" s="5" t="s">
        <v>32</v>
      </c>
      <c r="C15" s="5"/>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5">
        <v>20240303</v>
      </c>
      <c r="B2" s="5" t="s">
        <v>33</v>
      </c>
      <c r="C2" s="5"/>
    </row>
    <row r="3" spans="1:8">
      <c r="A3" s="5"/>
      <c r="B3" s="5" t="s">
        <v>34</v>
      </c>
      <c r="C3" s="5"/>
    </row>
    <row r="4" spans="1:8">
      <c r="A4" s="5"/>
      <c r="B4" s="5" t="s">
        <v>35</v>
      </c>
      <c r="C4" s="5"/>
    </row>
    <row r="5" spans="1:8">
      <c r="A5" s="5"/>
      <c r="B5" s="5" t="s">
        <v>36</v>
      </c>
      <c r="C5" s="5"/>
    </row>
    <row r="6" spans="1:8">
      <c r="A6" s="5"/>
      <c r="B6" s="5"/>
      <c r="C6" s="5" t="s">
        <v>37</v>
      </c>
    </row>
    <row r="7" spans="1:8">
      <c r="A7" s="5"/>
      <c r="B7" s="5"/>
      <c r="C7" s="5" t="s">
        <v>38</v>
      </c>
    </row>
    <row r="8" spans="1:8">
      <c r="A8" s="5"/>
      <c r="B8" s="5"/>
      <c r="C8" s="5" t="s">
        <v>39</v>
      </c>
    </row>
    <row r="9" spans="1:8">
      <c r="A9" s="5"/>
      <c r="B9" s="5" t="s">
        <v>40</v>
      </c>
      <c r="C9" s="5"/>
    </row>
    <row r="10" spans="1:8">
      <c r="A10" s="5"/>
      <c r="B10" s="5" t="s">
        <v>41</v>
      </c>
      <c r="C10" s="5"/>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D19" sqref="D19"/>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5">
        <v>20240304</v>
      </c>
      <c r="B2" s="5" t="s">
        <v>42</v>
      </c>
      <c r="C2" s="5"/>
    </row>
    <row r="3" spans="1:8">
      <c r="A3" s="5"/>
      <c r="B3" s="5" t="s">
        <v>43</v>
      </c>
      <c r="C3" s="5"/>
    </row>
    <row r="4" spans="1:8">
      <c r="A4" s="5"/>
      <c r="B4" s="5"/>
      <c r="C4" s="5" t="s">
        <v>44</v>
      </c>
    </row>
    <row r="5" spans="1:8">
      <c r="A5" s="5"/>
      <c r="B5" s="5"/>
      <c r="C5" s="5" t="s">
        <v>45</v>
      </c>
    </row>
    <row r="6" spans="1:8">
      <c r="A6" s="5"/>
      <c r="B6" s="5"/>
      <c r="C6" s="5" t="s">
        <v>46</v>
      </c>
    </row>
    <row r="7" spans="1:8">
      <c r="A7" s="5"/>
      <c r="B7" s="5"/>
      <c r="C7" s="5" t="s">
        <v>47</v>
      </c>
    </row>
    <row r="8" spans="1:8">
      <c r="A8" s="5"/>
      <c r="B8" s="5"/>
      <c r="C8" s="5" t="s">
        <v>48</v>
      </c>
    </row>
    <row r="9" spans="1:8">
      <c r="A9" s="5"/>
      <c r="B9" s="5" t="s">
        <v>49</v>
      </c>
      <c r="C9" s="5"/>
    </row>
    <row r="10" spans="1:8">
      <c r="A10" s="5"/>
      <c r="B10" s="5" t="s">
        <v>50</v>
      </c>
      <c r="C10" s="5"/>
    </row>
    <row r="11" spans="1:8">
      <c r="A11" s="5"/>
      <c r="B11" s="5"/>
      <c r="C11" s="5" t="s">
        <v>51</v>
      </c>
    </row>
    <row r="12" spans="1:8">
      <c r="A12" s="5"/>
      <c r="B12" s="5"/>
      <c r="C12" s="5" t="s">
        <v>52</v>
      </c>
    </row>
    <row r="13" spans="1:8">
      <c r="A13" s="5"/>
      <c r="B13" s="5" t="s">
        <v>53</v>
      </c>
      <c r="C13" s="5"/>
    </row>
    <row r="14" spans="1:8">
      <c r="A14" s="5"/>
      <c r="B14" s="5"/>
      <c r="C14" s="5" t="s">
        <v>54</v>
      </c>
    </row>
    <row r="15" spans="1:8">
      <c r="A15" s="5"/>
      <c r="B15" s="5"/>
      <c r="C15" s="5" t="s">
        <v>55</v>
      </c>
    </row>
    <row r="16" spans="1:8">
      <c r="A16" s="5"/>
      <c r="B16" s="5"/>
      <c r="C16" s="5" t="s">
        <v>56</v>
      </c>
    </row>
    <row r="17" spans="1:4">
      <c r="A17" s="5"/>
      <c r="B17" s="5"/>
      <c r="C17" s="5" t="s">
        <v>57</v>
      </c>
    </row>
    <row r="18" spans="1:4">
      <c r="A18" s="5"/>
      <c r="C18" s="5" t="s">
        <v>58</v>
      </c>
    </row>
    <row r="19" spans="1:4">
      <c r="A19" s="5"/>
      <c r="D19" s="5" t="s">
        <v>59</v>
      </c>
    </row>
    <row r="20" spans="1:4">
      <c r="D20" s="5"/>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5">
        <v>20240306</v>
      </c>
      <c r="B2" s="5" t="s">
        <v>60</v>
      </c>
      <c r="C2" s="5"/>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5">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5">
        <v>20240308</v>
      </c>
      <c r="B2" s="5" t="s">
        <v>82</v>
      </c>
      <c r="C2" s="5"/>
    </row>
    <row r="3" spans="1:8">
      <c r="A3" s="5"/>
      <c r="B3" s="5" t="s">
        <v>83</v>
      </c>
      <c r="C3" s="5"/>
    </row>
    <row r="4" spans="1:8">
      <c r="A4" s="5"/>
      <c r="B4" s="5" t="s">
        <v>84</v>
      </c>
      <c r="C4" s="5"/>
    </row>
    <row r="5" spans="1:8">
      <c r="A5" s="5"/>
      <c r="B5" s="5" t="s">
        <v>85</v>
      </c>
      <c r="C5" s="5"/>
    </row>
    <row r="6" spans="1:8">
      <c r="A6" s="5"/>
      <c r="B6" s="5"/>
      <c r="C6" s="5" t="s">
        <v>86</v>
      </c>
    </row>
    <row r="7" spans="1:8">
      <c r="A7" s="5"/>
      <c r="B7" s="5"/>
      <c r="C7" s="5" t="s">
        <v>87</v>
      </c>
    </row>
    <row r="8" spans="1:8">
      <c r="A8" s="5"/>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3"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3" t="s">
        <v>104</v>
      </c>
    </row>
    <row r="21" spans="2:3">
      <c r="B21" s="3"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8" customFormat="1" spans="1:8">
      <c r="A1" s="8">
        <f>SUM(B1:AZ1)</f>
        <v>2.5</v>
      </c>
      <c r="B1" s="8">
        <f>COUNTA(B2:B2047)/COLUMN()</f>
        <v>2.5</v>
      </c>
      <c r="C1" s="8">
        <f t="shared" ref="B1:H1" si="0">COUNTA(C2:C2047)/COLUMN()</f>
        <v>0</v>
      </c>
      <c r="D1" s="8">
        <f t="shared" si="0"/>
        <v>0</v>
      </c>
      <c r="E1" s="8">
        <f t="shared" si="0"/>
        <v>0</v>
      </c>
      <c r="F1" s="8">
        <f t="shared" si="0"/>
        <v>0</v>
      </c>
      <c r="G1" s="8">
        <f t="shared" si="0"/>
        <v>0</v>
      </c>
      <c r="H1" s="8">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6" sqref="C6"/>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3"/>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E25" sqref="E25"/>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5" t="s">
        <v>157</v>
      </c>
    </row>
    <row r="16" spans="1:8">
      <c r="D16" s="3" t="s">
        <v>158</v>
      </c>
    </row>
    <row r="17" spans="2:8">
      <c r="E17" s="6" t="s">
        <v>159</v>
      </c>
      <c r="F17" s="3"/>
      <c r="G17" s="3"/>
      <c r="H17" s="3"/>
    </row>
    <row r="18" spans="2:8">
      <c r="E18" s="6"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7" customFormat="1" spans="5:5">
      <c r="E18" s="7"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3" customFormat="1" spans="2:5">
      <c r="B29" s="3" t="s">
        <v>240</v>
      </c>
    </row>
    <row r="30" s="3" customFormat="1" spans="2:5">
      <c r="C30" s="3" t="s">
        <v>241</v>
      </c>
    </row>
    <row r="31" s="3" customFormat="1" spans="2:5">
      <c r="C31" s="3"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6" customFormat="1" spans="1:8">
      <c r="B4" s="6" t="s">
        <v>250</v>
      </c>
    </row>
    <row r="5" s="6" customFormat="1" spans="1:8">
      <c r="C5" s="6" t="s">
        <v>251</v>
      </c>
    </row>
    <row r="6" s="6" customFormat="1" spans="1:8">
      <c r="C6" s="6" t="s">
        <v>252</v>
      </c>
    </row>
    <row r="7" s="6" customFormat="1" spans="1:8">
      <c r="C7" s="6" t="s">
        <v>253</v>
      </c>
    </row>
    <row r="8" s="6" customFormat="1" spans="1:8">
      <c r="C8" s="6" t="s">
        <v>254</v>
      </c>
    </row>
    <row r="9" s="6" customFormat="1" spans="1:8">
      <c r="C9" s="6" t="s">
        <v>255</v>
      </c>
    </row>
    <row r="10" s="6" customFormat="1" spans="1:8">
      <c r="C10" s="6"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C23" sqref="C23"/>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7" customFormat="1" spans="1:8">
      <c r="B9" s="7" t="s">
        <v>274</v>
      </c>
    </row>
    <row r="10" s="7" customFormat="1" spans="1:8">
      <c r="B10" s="7" t="s">
        <v>275</v>
      </c>
    </row>
    <row r="11" s="7" customFormat="1" spans="1:8">
      <c r="C11" s="7"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6" t="s">
        <v>297</v>
      </c>
    </row>
    <row r="3" spans="1:8">
      <c r="B3" t="s">
        <v>298</v>
      </c>
    </row>
    <row r="4" s="6" customFormat="1" spans="1:8">
      <c r="B4" s="6"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4" sqref="D14:P18"/>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5" t="s">
        <v>316</v>
      </c>
    </row>
    <row r="10" spans="1:8">
      <c r="D10" s="5" t="s">
        <v>317</v>
      </c>
    </row>
    <row r="11" spans="1:8">
      <c r="D11" s="5" t="s">
        <v>318</v>
      </c>
    </row>
    <row r="12" spans="1:8">
      <c r="D12" s="5" t="s">
        <v>319</v>
      </c>
    </row>
    <row r="13" s="6" customFormat="1" spans="1:8">
      <c r="C13" s="6" t="s">
        <v>320</v>
      </c>
    </row>
    <row r="14" s="6" customFormat="1" spans="1:8">
      <c r="D14" s="6" t="s">
        <v>321</v>
      </c>
    </row>
    <row r="15" s="6" customFormat="1" spans="1:8">
      <c r="D15" s="6" t="s">
        <v>322</v>
      </c>
    </row>
    <row r="16" s="6" customFormat="1" spans="1:8">
      <c r="D16" s="6" t="s">
        <v>323</v>
      </c>
    </row>
    <row r="17" s="6" customFormat="1" spans="3:4">
      <c r="D17" s="6" t="s">
        <v>324</v>
      </c>
    </row>
    <row r="18" s="6" customFormat="1" spans="3:4">
      <c r="D18" s="6"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6" workbookViewId="0">
      <selection activeCell="D6" sqref="D6"/>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5"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6" customFormat="1" spans="1:8">
      <c r="B3" s="6" t="s">
        <v>383</v>
      </c>
    </row>
    <row r="4" s="6" customFormat="1" spans="1:8">
      <c r="C4" s="6" t="s">
        <v>384</v>
      </c>
    </row>
    <row r="5" s="6" customFormat="1" spans="1:8">
      <c r="C5" s="6" t="s">
        <v>385</v>
      </c>
    </row>
    <row r="6" s="6" customFormat="1" spans="1:8">
      <c r="C6" s="6" t="s">
        <v>386</v>
      </c>
    </row>
    <row r="7" spans="1:8">
      <c r="C7" s="6"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6" customFormat="1" spans="1:8">
      <c r="C6" s="6"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1" workbookViewId="0">
      <selection activeCell="D11" sqref="D11"/>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6" customFormat="1" spans="2:4">
      <c r="D25" s="6" t="s">
        <v>485</v>
      </c>
    </row>
    <row r="26" spans="2:4">
      <c r="C26" t="s">
        <v>486</v>
      </c>
    </row>
    <row r="27" s="6" customFormat="1" spans="2:4">
      <c r="D27" s="6"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E22" sqref="E22"/>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49" workbookViewId="0">
      <selection activeCell="C77" sqref="C7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5"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9" workbookViewId="0">
      <selection activeCell="C9" sqref="C9"/>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4" t="s">
        <v>819</v>
      </c>
    </row>
    <row r="4" spans="1:8">
      <c r="C4" s="4" t="s">
        <v>820</v>
      </c>
    </row>
    <row r="5" spans="1:8">
      <c r="C5" s="4" t="s">
        <v>821</v>
      </c>
    </row>
    <row r="6" spans="1:8">
      <c r="C6" t="s">
        <v>822</v>
      </c>
    </row>
    <row r="7" spans="1:8">
      <c r="B7" t="s">
        <v>823</v>
      </c>
    </row>
    <row r="8" spans="1:8">
      <c r="C8" t="s">
        <v>824</v>
      </c>
    </row>
    <row r="9" spans="1:8">
      <c r="C9" t="s">
        <v>825</v>
      </c>
    </row>
    <row r="10" spans="1:8">
      <c r="C10" s="4" t="s">
        <v>826</v>
      </c>
    </row>
    <row r="11" spans="1:8">
      <c r="C11" t="s">
        <v>827</v>
      </c>
    </row>
    <row r="12" spans="1:8">
      <c r="B12" t="s">
        <v>828</v>
      </c>
    </row>
    <row r="13" spans="1:8">
      <c r="C13" t="s">
        <v>829</v>
      </c>
    </row>
    <row r="14" spans="1:8">
      <c r="C14" s="4" t="s">
        <v>830</v>
      </c>
    </row>
    <row r="15" spans="1:8">
      <c r="C15" s="4" t="s">
        <v>831</v>
      </c>
    </row>
    <row r="16" spans="1:8">
      <c r="C16" s="4" t="s">
        <v>832</v>
      </c>
    </row>
    <row r="17" spans="2:4">
      <c r="B17" t="s">
        <v>833</v>
      </c>
      <c r="C17" s="4"/>
    </row>
    <row r="18" spans="2:4">
      <c r="C18" t="s">
        <v>834</v>
      </c>
    </row>
    <row r="19" spans="2:4">
      <c r="C19" s="4" t="s">
        <v>835</v>
      </c>
    </row>
    <row r="20" spans="2:4">
      <c r="C20" t="s">
        <v>836</v>
      </c>
    </row>
    <row r="21" spans="2:4">
      <c r="C21" s="4"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4" t="s">
        <v>895</v>
      </c>
    </row>
    <row r="80" spans="2:5">
      <c r="C80" s="4" t="s">
        <v>896</v>
      </c>
    </row>
    <row r="81" spans="2:4">
      <c r="C81" s="4" t="s">
        <v>897</v>
      </c>
    </row>
    <row r="82" spans="2:4">
      <c r="C82" t="s">
        <v>898</v>
      </c>
    </row>
    <row r="83" spans="2:4">
      <c r="D83" s="4"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B2" sqref="B2"/>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9" t="s">
        <v>1123</v>
      </c>
    </row>
    <row r="5" spans="1:8">
      <c r="C5" s="9"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C3" sqref="C3"/>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6" sqref="C6"/>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C3" sqref="C3"/>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I8" sqref="I8"/>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J12" sqref="J12"/>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8" sqref="B8"/>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8" sqref="C8"/>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I11" sqref="I11"/>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D6" sqref="D6"/>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8" sqref="C8"/>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B7" workbookViewId="0">
      <selection activeCell="B25" sqref="B25"/>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3" t="s">
        <v>1602</v>
      </c>
    </row>
    <row r="50" spans="2:4">
      <c r="C50" t="s">
        <v>1603</v>
      </c>
    </row>
    <row r="51" spans="2:4">
      <c r="D51" t="s">
        <v>1604</v>
      </c>
    </row>
    <row r="52" spans="2:4">
      <c r="D52" t="s">
        <v>1605</v>
      </c>
    </row>
    <row r="53" spans="2:4">
      <c r="D53" s="3"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3"/>
    </row>
    <row r="53" spans="3:4">
      <c r="D53" s="3"/>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A23" workbookViewId="0">
      <selection activeCell="B17" sqref="B17"/>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3"/>
    </row>
    <row r="53" spans="3:4">
      <c r="D53" s="3"/>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3"/>
    </row>
    <row r="52" spans="4:4">
      <c r="D52" s="3"/>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3"/>
    </row>
    <row r="52" spans="4:4">
      <c r="D52" s="3"/>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3"/>
    </row>
    <row r="52" spans="4:4">
      <c r="D52" s="3"/>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3"/>
    </row>
    <row r="52" spans="4:4">
      <c r="D52" s="3"/>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3"/>
    </row>
    <row r="52" spans="4:4">
      <c r="D52" s="3"/>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B9" sqref="B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3"/>
    </row>
    <row r="52" spans="4:4">
      <c r="D52" s="3"/>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3"/>
    </row>
    <row r="63" spans="3:4">
      <c r="D63" s="3"/>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3"/>
    </row>
    <row r="63" spans="3:4">
      <c r="D63" s="3"/>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4" sqref="C4"/>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3"/>
    </row>
    <row r="63" spans="3:4">
      <c r="D63" s="3"/>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3"/>
    </row>
    <row r="63" spans="3:4">
      <c r="D63" s="3"/>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3"/>
    </row>
    <row r="63" spans="3:4">
      <c r="D63" s="3"/>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3"/>
    </row>
    <row r="63" spans="3:4">
      <c r="D63" s="3"/>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10" sqref="B10"/>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3"/>
    </row>
    <row r="64" spans="3:4">
      <c r="D64" s="3"/>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3"/>
    </row>
    <row r="49" spans="4:4">
      <c r="D49" s="3"/>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B23" sqref="B23"/>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3"/>
    </row>
    <row r="41" spans="3:4">
      <c r="D41" s="3"/>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46" workbookViewId="0">
      <selection activeCell="B1" sqref="B1"/>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3"/>
    </row>
    <row r="71" spans="3:4">
      <c r="D71" s="3"/>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18" workbookViewId="0">
      <selection activeCell="D18" sqref="D18"/>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topLeftCell="A13" workbookViewId="0">
      <selection activeCell="D13" sqref="D13"/>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B11" sqref="B11"/>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130" zoomScaleNormal="130"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3" sqref="C3"/>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5" sqref="B5"/>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K7" sqref="K7"/>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F25" sqref="F25"/>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F10" sqref="F10"/>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A21" workbookViewId="0">
      <selection activeCell="C33" sqref="C3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workbookViewId="0">
      <selection activeCell="C15" sqref="C1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workbookViewId="0">
      <selection activeCell="I76" sqref="I76"/>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workbookViewId="0">
      <selection activeCell="K17" sqref="K17"/>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H7" sqref="H7"/>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tabSelected="1" zoomScale="130" zoomScaleNormal="130" workbookViewId="0">
      <selection activeCell="G19" sqref="G19"/>
    </sheetView>
  </sheetViews>
  <sheetFormatPr defaultColWidth="8.88888888888889" defaultRowHeight="14.4" outlineLevelCol="7"/>
  <cols>
    <col min="1" max="1" width="9.66666666666667"/>
  </cols>
  <sheetData>
    <row r="1" spans="1:8">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20251110</v>
      </c>
      <c r="B2" t="s">
        <v>2765</v>
      </c>
    </row>
    <row r="3" spans="1:8">
      <c r="B3" t="s">
        <v>2766</v>
      </c>
    </row>
    <row r="4" spans="1:8">
      <c r="B4" t="s">
        <v>2767</v>
      </c>
    </row>
    <row r="5" spans="1:8">
      <c r="B5" t="s">
        <v>2768</v>
      </c>
    </row>
    <row r="6" spans="1:8">
      <c r="B6" t="s">
        <v>2769</v>
      </c>
    </row>
    <row r="7" spans="1:8">
      <c r="B7" t="s">
        <v>2770</v>
      </c>
    </row>
    <row r="8" spans="1:8">
      <c r="C8" t="s">
        <v>2771</v>
      </c>
    </row>
    <row r="9" spans="1:8">
      <c r="C9" t="s">
        <v>2772</v>
      </c>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5"/>
  <sheetViews>
    <sheetView zoomScale="115" zoomScaleNormal="115" workbookViewId="0">
      <selection activeCell="A1" sqref="A1"/>
    </sheetView>
  </sheetViews>
  <sheetFormatPr defaultColWidth="8.88888888888889" defaultRowHeight="14.4" outlineLevelCol="7"/>
  <cols>
    <col min="1" max="1" width="9.66666666666667"/>
  </cols>
  <sheetData>
    <row r="1" spans="1:8">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8">
      <c r="A2" t="str" cm="1">
        <f ca="1" t="array" ref="A2">_wpsfn.SHEETSNAME(A1)</f>
        <v>20251111</v>
      </c>
      <c r="B2" t="s">
        <v>2773</v>
      </c>
    </row>
    <row r="3" spans="1:8">
      <c r="B3" t="s">
        <v>2774</v>
      </c>
    </row>
    <row r="4" spans="1:8">
      <c r="B4" t="s">
        <v>2775</v>
      </c>
    </row>
    <row r="5" spans="1:8">
      <c r="B5" t="s">
        <v>2776</v>
      </c>
    </row>
    <row r="6" spans="1:8">
      <c r="B6" t="s">
        <v>2777</v>
      </c>
    </row>
    <row r="7" spans="1:8">
      <c r="C7" t="s">
        <v>2778</v>
      </c>
    </row>
    <row r="8" spans="1:8">
      <c r="C8" t="s">
        <v>2779</v>
      </c>
    </row>
    <row r="9" spans="1:8">
      <c r="C9" t="s">
        <v>2780</v>
      </c>
    </row>
    <row r="10" spans="1:8">
      <c r="C10" t="s">
        <v>2781</v>
      </c>
    </row>
    <row r="11" spans="1:8">
      <c r="B11" t="s">
        <v>2782</v>
      </c>
    </row>
    <row r="12" spans="1:8">
      <c r="B12" t="s">
        <v>2783</v>
      </c>
    </row>
    <row r="13" spans="1:8">
      <c r="C13" t="s">
        <v>2784</v>
      </c>
    </row>
    <row r="14" spans="1:8">
      <c r="B14" t="s">
        <v>2785</v>
      </c>
    </row>
    <row r="15" spans="1:8">
      <c r="C15" t="s">
        <v>2786</v>
      </c>
    </row>
    <row r="16" spans="1:8">
      <c r="C16" t="s">
        <v>2787</v>
      </c>
    </row>
    <row r="17" spans="2:4">
      <c r="C17" t="s">
        <v>2788</v>
      </c>
    </row>
    <row r="18" spans="2:4">
      <c r="B18" t="s">
        <v>2789</v>
      </c>
    </row>
    <row r="19" spans="2:4">
      <c r="B19" t="s">
        <v>2790</v>
      </c>
    </row>
    <row r="20" spans="2:4">
      <c r="C20" t="s">
        <v>2791</v>
      </c>
    </row>
    <row r="21" spans="2:4">
      <c r="C21" t="s">
        <v>2792</v>
      </c>
    </row>
    <row r="22" spans="2:4">
      <c r="D22" t="s">
        <v>2793</v>
      </c>
    </row>
    <row r="23" spans="2:4">
      <c r="D23" t="s">
        <v>2794</v>
      </c>
    </row>
    <row r="24" spans="2:4">
      <c r="B24" t="s">
        <v>2795</v>
      </c>
    </row>
    <row r="25" spans="2:4">
      <c r="C25" t="s">
        <v>2796</v>
      </c>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4"/>
  <sheetViews>
    <sheetView zoomScale="115" zoomScaleNormal="115" workbookViewId="0">
      <selection activeCell="G39" sqref="G39"/>
    </sheetView>
  </sheetViews>
  <sheetFormatPr defaultColWidth="8.88888888888889" defaultRowHeight="14.4" outlineLevelCol="7"/>
  <cols>
    <col min="1" max="1" width="9.66666666666667"/>
  </cols>
  <sheetData>
    <row r="1" spans="1:8">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8">
      <c r="A2" t="str" cm="1">
        <f ca="1" t="array" ref="A2">_wpsfn.SHEETSNAME(A1)</f>
        <v>20251112</v>
      </c>
      <c r="B2" t="s">
        <v>2797</v>
      </c>
    </row>
    <row r="3" spans="1:8">
      <c r="B3" t="s">
        <v>2798</v>
      </c>
    </row>
    <row r="4" spans="1:8">
      <c r="C4" t="s">
        <v>2799</v>
      </c>
    </row>
    <row r="5" spans="1:8">
      <c r="D5" t="s">
        <v>2800</v>
      </c>
    </row>
    <row r="6" spans="1:8">
      <c r="B6" t="s">
        <v>2801</v>
      </c>
    </row>
    <row r="7" spans="1:8">
      <c r="C7" t="s">
        <v>2802</v>
      </c>
    </row>
    <row r="8" spans="1:8">
      <c r="D8" t="s">
        <v>2803</v>
      </c>
    </row>
    <row r="9" spans="1:8">
      <c r="C9" t="s">
        <v>2804</v>
      </c>
    </row>
    <row r="10" spans="1:8">
      <c r="D10" t="s">
        <v>2805</v>
      </c>
    </row>
    <row r="11" spans="1:8">
      <c r="D11" t="s">
        <v>2806</v>
      </c>
    </row>
    <row r="12" spans="1:8">
      <c r="D12" t="s">
        <v>2807</v>
      </c>
    </row>
    <row r="13" spans="1:8">
      <c r="B13" t="s">
        <v>2808</v>
      </c>
    </row>
    <row r="14" spans="1:8">
      <c r="C14" t="s">
        <v>2809</v>
      </c>
    </row>
    <row r="15" spans="1:8">
      <c r="C15" t="s">
        <v>2810</v>
      </c>
    </row>
    <row r="16" spans="1:8">
      <c r="C16" t="s">
        <v>2811</v>
      </c>
    </row>
    <row r="17" spans="2:4">
      <c r="B17" t="s">
        <v>2812</v>
      </c>
    </row>
    <row r="18" spans="2:4">
      <c r="C18" t="s">
        <v>2813</v>
      </c>
    </row>
    <row r="19" spans="2:4">
      <c r="D19" t="s">
        <v>2814</v>
      </c>
    </row>
    <row r="20" spans="2:4">
      <c r="C20" t="s">
        <v>2815</v>
      </c>
    </row>
    <row r="21" spans="2:4">
      <c r="D21" t="s">
        <v>2816</v>
      </c>
    </row>
    <row r="22" spans="2:4">
      <c r="C22" t="s">
        <v>2817</v>
      </c>
    </row>
    <row r="23" spans="2:4">
      <c r="D23" t="s">
        <v>2818</v>
      </c>
    </row>
    <row r="24" spans="2:4">
      <c r="D24" t="s">
        <v>2819</v>
      </c>
    </row>
    <row r="25" spans="2:4">
      <c r="D25" t="s">
        <v>2820</v>
      </c>
    </row>
    <row r="26" spans="2:4">
      <c r="B26" t="s">
        <v>2821</v>
      </c>
    </row>
    <row r="27" spans="2:4">
      <c r="C27" t="s">
        <v>2822</v>
      </c>
    </row>
    <row r="28" spans="2:4">
      <c r="C28" t="s">
        <v>2823</v>
      </c>
    </row>
    <row r="29" spans="2:4">
      <c r="C29" t="s">
        <v>2824</v>
      </c>
    </row>
    <row r="30" spans="2:4">
      <c r="B30" t="s">
        <v>2825</v>
      </c>
    </row>
    <row r="31" spans="2:4">
      <c r="C31" t="s">
        <v>2826</v>
      </c>
    </row>
    <row r="32" spans="2:4">
      <c r="B32" t="s">
        <v>2827</v>
      </c>
    </row>
    <row r="33" spans="2:4">
      <c r="B33" t="s">
        <v>2828</v>
      </c>
    </row>
    <row r="34" spans="2:4">
      <c r="C34" t="s">
        <v>2829</v>
      </c>
    </row>
    <row r="35" spans="2:4">
      <c r="B35" t="s">
        <v>2830</v>
      </c>
    </row>
    <row r="36" spans="2:4">
      <c r="C36" t="s">
        <v>2831</v>
      </c>
    </row>
    <row r="37" spans="2:4">
      <c r="C37" t="s">
        <v>2832</v>
      </c>
    </row>
    <row r="38" spans="2:4">
      <c r="B38" t="s">
        <v>2833</v>
      </c>
    </row>
    <row r="39" spans="2:4">
      <c r="C39" t="s">
        <v>2834</v>
      </c>
    </row>
    <row r="40" spans="2:4">
      <c r="C40" t="s">
        <v>2835</v>
      </c>
    </row>
    <row r="41" spans="2:4">
      <c r="D41" t="s">
        <v>2836</v>
      </c>
    </row>
    <row r="42" spans="2:4">
      <c r="C42" t="s">
        <v>2837</v>
      </c>
    </row>
    <row r="43" spans="2:4">
      <c r="B43" t="s">
        <v>2838</v>
      </c>
    </row>
    <row r="44" spans="2:4">
      <c r="C44" t="s">
        <v>2839</v>
      </c>
    </row>
    <row r="45" spans="2:4">
      <c r="B45" t="s">
        <v>2840</v>
      </c>
    </row>
    <row r="46" spans="2:4">
      <c r="C46" t="s">
        <v>2841</v>
      </c>
    </row>
    <row r="47" spans="2:4">
      <c r="C47" t="s">
        <v>2842</v>
      </c>
    </row>
    <row r="48" spans="2:4">
      <c r="C48" t="s">
        <v>2843</v>
      </c>
    </row>
    <row r="49" spans="3:4">
      <c r="D49" t="s">
        <v>2844</v>
      </c>
    </row>
    <row r="50" spans="3:4">
      <c r="C50" t="s">
        <v>2845</v>
      </c>
    </row>
    <row r="51" spans="3:4">
      <c r="D51" t="s">
        <v>2846</v>
      </c>
    </row>
    <row r="52" spans="3:4">
      <c r="C52" t="s">
        <v>2847</v>
      </c>
    </row>
    <row r="53" spans="3:4">
      <c r="D53" t="s">
        <v>2848</v>
      </c>
    </row>
    <row r="54" spans="3:4">
      <c r="D54" t="s">
        <v>2849</v>
      </c>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5" workbookViewId="0">
      <selection activeCell="C10" sqref="C10"/>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1"/>
  <sheetViews>
    <sheetView zoomScale="115" zoomScaleNormal="115" workbookViewId="0">
      <selection activeCell="I15" sqref="I15"/>
    </sheetView>
  </sheetViews>
  <sheetFormatPr defaultColWidth="8.88888888888889" defaultRowHeight="14.4" outlineLevelCol="7"/>
  <cols>
    <col min="1" max="1" width="9.66666666666667"/>
  </cols>
  <sheetData>
    <row r="1" spans="1:8">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8">
      <c r="A2" t="str" cm="1">
        <f ca="1" t="array" ref="A2">_wpsfn.SHEETSNAME(A1)</f>
        <v>20251114</v>
      </c>
      <c r="B2" t="s">
        <v>2892</v>
      </c>
    </row>
    <row r="3" spans="1:8">
      <c r="C3" t="s">
        <v>2893</v>
      </c>
    </row>
    <row r="4" spans="1:8">
      <c r="C4" t="s">
        <v>2894</v>
      </c>
    </row>
    <row r="5" spans="1:8">
      <c r="B5" t="s">
        <v>2895</v>
      </c>
    </row>
    <row r="6" spans="1:8">
      <c r="C6" t="s">
        <v>2896</v>
      </c>
    </row>
    <row r="7" spans="1:8">
      <c r="C7" t="s">
        <v>2897</v>
      </c>
    </row>
    <row r="8" spans="1:8">
      <c r="C8" t="s">
        <v>2898</v>
      </c>
    </row>
    <row r="9" spans="1:8">
      <c r="C9" t="s">
        <v>2899</v>
      </c>
    </row>
    <row r="10" spans="1:8">
      <c r="C10" t="s">
        <v>2900</v>
      </c>
    </row>
    <row r="11" spans="1:8">
      <c r="C11" t="s">
        <v>2901</v>
      </c>
    </row>
    <row r="12" spans="1:8">
      <c r="C12" t="s">
        <v>2902</v>
      </c>
    </row>
    <row r="13" spans="1:8">
      <c r="C13" t="s">
        <v>2903</v>
      </c>
    </row>
    <row r="14" spans="1:8">
      <c r="D14" t="s">
        <v>2904</v>
      </c>
    </row>
    <row r="15" spans="1:8">
      <c r="D15" t="s">
        <v>2905</v>
      </c>
    </row>
    <row r="16" spans="1:8">
      <c r="E16" t="s">
        <v>2906</v>
      </c>
    </row>
    <row r="17" spans="2:4">
      <c r="B17" t="s">
        <v>2907</v>
      </c>
    </row>
    <row r="18" spans="2:4">
      <c r="C18" t="s">
        <v>2908</v>
      </c>
    </row>
    <row r="19" spans="2:4">
      <c r="D19" t="s">
        <v>2909</v>
      </c>
    </row>
    <row r="20" spans="2:4">
      <c r="C20" t="s">
        <v>2910</v>
      </c>
    </row>
    <row r="21" spans="2:4">
      <c r="D21" t="s">
        <v>2911</v>
      </c>
    </row>
    <row r="22" spans="2:4">
      <c r="D22" t="s">
        <v>2912</v>
      </c>
    </row>
    <row r="23" spans="2:4">
      <c r="C23" t="s">
        <v>2913</v>
      </c>
    </row>
    <row r="24" spans="2:4">
      <c r="D24" t="s">
        <v>2914</v>
      </c>
    </row>
    <row r="25" spans="2:4">
      <c r="C25" t="s">
        <v>2915</v>
      </c>
    </row>
    <row r="26" spans="2:4">
      <c r="D26" t="s">
        <v>2916</v>
      </c>
    </row>
    <row r="27" spans="2:4">
      <c r="B27" t="s">
        <v>2917</v>
      </c>
    </row>
    <row r="28" spans="2:4">
      <c r="B28" t="s">
        <v>2918</v>
      </c>
    </row>
    <row r="29" spans="2:4">
      <c r="C29" t="s">
        <v>2919</v>
      </c>
    </row>
    <row r="30" spans="2:4">
      <c r="C30" t="s">
        <v>2920</v>
      </c>
    </row>
    <row r="31" spans="2:4">
      <c r="C31" t="s">
        <v>2921</v>
      </c>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D1" sqref="D1"/>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workbookViewId="0">
      <selection activeCell="C17" sqref="C17"/>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7"/>
  <sheetViews>
    <sheetView zoomScale="115" zoomScaleNormal="115" topLeftCell="A15" workbookViewId="0">
      <selection activeCell="E11" sqref="E11"/>
    </sheetView>
  </sheetViews>
  <sheetFormatPr defaultColWidth="8.88888888888889" defaultRowHeight="14.4" outlineLevelCol="7"/>
  <cols>
    <col min="1" max="1" width="9.66666666666667"/>
  </cols>
  <sheetData>
    <row r="1" spans="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8">
      <c r="A2" t="str" cm="1">
        <f ca="1" t="array" ref="A2">_wpsfn.SHEETSNAME(A1)</f>
        <v>20251117</v>
      </c>
      <c r="B2" t="s">
        <v>2989</v>
      </c>
    </row>
    <row r="3" spans="1:8">
      <c r="C3" t="s">
        <v>2990</v>
      </c>
    </row>
    <row r="4" spans="1:8">
      <c r="C4" t="s">
        <v>2991</v>
      </c>
    </row>
    <row r="5" spans="1:8">
      <c r="D5" t="s">
        <v>2992</v>
      </c>
    </row>
    <row r="6" spans="1:8">
      <c r="D6" t="s">
        <v>2993</v>
      </c>
    </row>
    <row r="7" spans="1:8">
      <c r="B7" t="s">
        <v>2994</v>
      </c>
    </row>
    <row r="8" spans="1:8">
      <c r="C8" t="s">
        <v>2995</v>
      </c>
    </row>
    <row r="9" spans="1:8">
      <c r="C9" t="s">
        <v>2996</v>
      </c>
    </row>
    <row r="10" spans="1:8">
      <c r="C10" t="s">
        <v>2997</v>
      </c>
    </row>
    <row r="11" spans="1:8">
      <c r="D11" t="s">
        <v>2998</v>
      </c>
    </row>
    <row r="12" spans="1:8">
      <c r="E12" t="s">
        <v>2999</v>
      </c>
    </row>
    <row r="13" spans="1:8">
      <c r="E13" t="s">
        <v>3000</v>
      </c>
    </row>
    <row r="14" spans="1:8">
      <c r="F14" t="s">
        <v>3001</v>
      </c>
    </row>
    <row r="15" spans="1:8">
      <c r="F15" t="s">
        <v>3002</v>
      </c>
    </row>
    <row r="16" spans="1:8">
      <c r="F16" t="s">
        <v>3003</v>
      </c>
    </row>
    <row r="17" spans="2:5">
      <c r="C17" t="s">
        <v>3004</v>
      </c>
    </row>
    <row r="18" spans="2:5">
      <c r="D18" t="s">
        <v>3005</v>
      </c>
    </row>
    <row r="19" spans="2:5">
      <c r="D19" t="s">
        <v>3006</v>
      </c>
    </row>
    <row r="20" spans="2:5">
      <c r="D20" t="s">
        <v>3007</v>
      </c>
    </row>
    <row r="21" spans="2:5">
      <c r="E21" t="s">
        <v>3008</v>
      </c>
    </row>
    <row r="22" spans="2:5">
      <c r="E22" t="s">
        <v>3009</v>
      </c>
    </row>
    <row r="23" spans="2:5">
      <c r="E23" t="s">
        <v>3010</v>
      </c>
    </row>
    <row r="24" spans="2:5">
      <c r="C24" t="s">
        <v>3011</v>
      </c>
    </row>
    <row r="25" spans="2:5">
      <c r="C25" t="s">
        <v>3012</v>
      </c>
    </row>
    <row r="26" spans="2:5">
      <c r="D26" t="s">
        <v>3013</v>
      </c>
    </row>
    <row r="27" spans="2:5">
      <c r="B27" t="s">
        <v>3014</v>
      </c>
    </row>
    <row r="28" spans="2:5">
      <c r="B28" t="s">
        <v>3015</v>
      </c>
    </row>
    <row r="29" spans="2:5">
      <c r="C29" t="s">
        <v>3016</v>
      </c>
    </row>
    <row r="30" spans="2:5">
      <c r="C30" t="s">
        <v>3017</v>
      </c>
    </row>
    <row r="31" spans="2:5">
      <c r="D31" t="s">
        <v>3018</v>
      </c>
    </row>
    <row r="32" spans="2:5">
      <c r="D32" t="s">
        <v>3019</v>
      </c>
    </row>
    <row r="33" spans="2:4">
      <c r="C33" t="s">
        <v>3020</v>
      </c>
    </row>
    <row r="34" spans="2:4">
      <c r="B34" t="s">
        <v>3021</v>
      </c>
    </row>
    <row r="35" spans="2:4">
      <c r="C35" t="s">
        <v>3022</v>
      </c>
    </row>
    <row r="36" spans="2:4">
      <c r="C36" t="s">
        <v>3023</v>
      </c>
    </row>
    <row r="37" spans="2:4">
      <c r="C37" t="s">
        <v>3024</v>
      </c>
    </row>
    <row r="38" spans="2:4">
      <c r="C38" t="s">
        <v>3025</v>
      </c>
    </row>
    <row r="39" spans="2:4">
      <c r="C39" t="s">
        <v>3026</v>
      </c>
    </row>
    <row r="40" spans="2:4">
      <c r="C40" t="s">
        <v>3027</v>
      </c>
    </row>
    <row r="41" spans="2:4">
      <c r="B41" t="s">
        <v>3028</v>
      </c>
    </row>
    <row r="42" spans="2:4">
      <c r="C42" t="s">
        <v>3029</v>
      </c>
    </row>
    <row r="43" spans="2:4">
      <c r="D43" t="s">
        <v>3030</v>
      </c>
    </row>
    <row r="44" spans="2:4">
      <c r="C44" t="s">
        <v>3031</v>
      </c>
    </row>
    <row r="45" spans="2:4">
      <c r="C45" t="s">
        <v>3032</v>
      </c>
    </row>
    <row r="46" spans="2:4">
      <c r="C46" t="s">
        <v>3033</v>
      </c>
    </row>
    <row r="47" spans="2:4">
      <c r="B47" t="s">
        <v>3034</v>
      </c>
    </row>
    <row r="48" spans="2:4">
      <c r="C48" t="s">
        <v>3035</v>
      </c>
    </row>
    <row r="49" spans="2:4">
      <c r="B49" t="s">
        <v>3036</v>
      </c>
    </row>
    <row r="50" spans="2:4">
      <c r="C50" t="s">
        <v>3037</v>
      </c>
    </row>
    <row r="51" spans="2:4">
      <c r="C51" t="s">
        <v>3038</v>
      </c>
    </row>
    <row r="52" spans="2:4">
      <c r="D52" t="s">
        <v>3039</v>
      </c>
    </row>
    <row r="53" spans="2:4">
      <c r="D53" t="s">
        <v>3040</v>
      </c>
    </row>
    <row r="54" spans="2:4">
      <c r="D54" t="s">
        <v>3041</v>
      </c>
    </row>
    <row r="55" spans="2:4">
      <c r="B55" t="s">
        <v>3042</v>
      </c>
    </row>
    <row r="56" spans="2:4">
      <c r="C56" t="s">
        <v>3043</v>
      </c>
    </row>
    <row r="57" spans="2:4">
      <c r="C57" t="s">
        <v>3044</v>
      </c>
    </row>
    <row r="58" spans="2:4">
      <c r="C58" t="s">
        <v>3045</v>
      </c>
    </row>
    <row r="59" spans="2:4">
      <c r="C59" t="s">
        <v>3046</v>
      </c>
    </row>
    <row r="60" spans="2:4">
      <c r="B60" t="s">
        <v>3047</v>
      </c>
    </row>
    <row r="61" spans="2:4">
      <c r="C61" t="s">
        <v>3048</v>
      </c>
    </row>
    <row r="62" spans="2:4">
      <c r="C62" t="s">
        <v>3049</v>
      </c>
    </row>
    <row r="63" spans="2:4">
      <c r="D63" t="s">
        <v>3050</v>
      </c>
    </row>
    <row r="64" spans="2:4">
      <c r="D64" t="s">
        <v>3051</v>
      </c>
    </row>
    <row r="65" spans="3:4">
      <c r="D65" t="s">
        <v>3052</v>
      </c>
    </row>
    <row r="66" spans="3:4">
      <c r="C66" t="s">
        <v>3053</v>
      </c>
    </row>
    <row r="67" spans="3:4">
      <c r="C67" t="s">
        <v>3054</v>
      </c>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7"/>
  <sheetViews>
    <sheetView zoomScale="115" zoomScaleNormal="115" workbookViewId="0">
      <selection activeCell="I120" sqref="I120"/>
    </sheetView>
  </sheetViews>
  <sheetFormatPr defaultColWidth="8.88888888888889" defaultRowHeight="14.4" outlineLevelCol="7"/>
  <cols>
    <col min="1" max="1" width="9.66666666666667"/>
  </cols>
  <sheetData>
    <row r="1" spans="1:8">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8">
      <c r="A2" t="str" cm="1">
        <f ca="1" t="array" ref="A2">_wpsfn.SHEETSNAME(A1)</f>
        <v>20251118</v>
      </c>
      <c r="B2" t="s">
        <v>3055</v>
      </c>
    </row>
    <row r="3" spans="1:8">
      <c r="C3" t="s">
        <v>3056</v>
      </c>
    </row>
    <row r="4" spans="1:8">
      <c r="B4" t="s">
        <v>3057</v>
      </c>
    </row>
    <row r="5" spans="1:8">
      <c r="C5" t="s">
        <v>3058</v>
      </c>
    </row>
    <row r="6" spans="1:8">
      <c r="C6" t="s">
        <v>3059</v>
      </c>
    </row>
    <row r="7" spans="1:8">
      <c r="C7" t="s">
        <v>3060</v>
      </c>
    </row>
    <row r="8" spans="1:8">
      <c r="B8" t="s">
        <v>3061</v>
      </c>
    </row>
    <row r="9" spans="1:8">
      <c r="C9" t="s">
        <v>3062</v>
      </c>
    </row>
    <row r="10" spans="1:8">
      <c r="C10" t="s">
        <v>3063</v>
      </c>
    </row>
    <row r="11" spans="1:8">
      <c r="C11" t="s">
        <v>3064</v>
      </c>
    </row>
    <row r="12" spans="1:8">
      <c r="D12" t="s">
        <v>3065</v>
      </c>
    </row>
    <row r="13" spans="1:8">
      <c r="D13" t="s">
        <v>3066</v>
      </c>
    </row>
    <row r="14" spans="1:8">
      <c r="D14" t="s">
        <v>3067</v>
      </c>
    </row>
    <row r="15" spans="1:8">
      <c r="D15" t="s">
        <v>3068</v>
      </c>
    </row>
    <row r="16" spans="1:8">
      <c r="C16" t="s">
        <v>3069</v>
      </c>
    </row>
    <row r="17" spans="2:4">
      <c r="B17" t="s">
        <v>3070</v>
      </c>
    </row>
    <row r="18" spans="2:4">
      <c r="C18" t="s">
        <v>3071</v>
      </c>
    </row>
    <row r="19" spans="2:4">
      <c r="B19" t="s">
        <v>3072</v>
      </c>
    </row>
    <row r="20" spans="2:4">
      <c r="B20" t="s">
        <v>3073</v>
      </c>
    </row>
    <row r="21" spans="2:4">
      <c r="B21" t="s">
        <v>3074</v>
      </c>
    </row>
    <row r="22" spans="2:4">
      <c r="C22" t="s">
        <v>3075</v>
      </c>
    </row>
    <row r="23" spans="2:4">
      <c r="B23" t="s">
        <v>3076</v>
      </c>
    </row>
    <row r="24" spans="2:4">
      <c r="C24" t="s">
        <v>3077</v>
      </c>
    </row>
    <row r="25" spans="2:4">
      <c r="C25" t="s">
        <v>3078</v>
      </c>
    </row>
    <row r="26" spans="2:4">
      <c r="D26" t="s">
        <v>3079</v>
      </c>
    </row>
    <row r="27" spans="2:4">
      <c r="D27" t="s">
        <v>3080</v>
      </c>
    </row>
    <row r="28" spans="2:4">
      <c r="D28" t="s">
        <v>3081</v>
      </c>
    </row>
    <row r="29" spans="2:4">
      <c r="C29" t="s">
        <v>3082</v>
      </c>
    </row>
    <row r="30" spans="2:4">
      <c r="D30" t="s">
        <v>3083</v>
      </c>
    </row>
    <row r="31" spans="2:4">
      <c r="D31" t="s">
        <v>3084</v>
      </c>
    </row>
    <row r="32" spans="2:4">
      <c r="C32" t="s">
        <v>3085</v>
      </c>
    </row>
    <row r="33" spans="3:4">
      <c r="C33" t="s">
        <v>3086</v>
      </c>
    </row>
    <row r="34" spans="3:4">
      <c r="D34" t="s">
        <v>3087</v>
      </c>
    </row>
    <row r="35" spans="3:4">
      <c r="C35" t="s">
        <v>3088</v>
      </c>
    </row>
    <row r="36" spans="3:4">
      <c r="D36" t="s">
        <v>3089</v>
      </c>
    </row>
    <row r="37" spans="3:4">
      <c r="D37" t="s">
        <v>3090</v>
      </c>
    </row>
    <row r="38" spans="3:4">
      <c r="D38" t="s">
        <v>3091</v>
      </c>
    </row>
    <row r="39" spans="3:4">
      <c r="C39" t="s">
        <v>3092</v>
      </c>
    </row>
    <row r="40" spans="3:4">
      <c r="D40" t="s">
        <v>3093</v>
      </c>
    </row>
    <row r="41" spans="3:4">
      <c r="D41" t="s">
        <v>3094</v>
      </c>
    </row>
    <row r="42" spans="3:4">
      <c r="D42" t="s">
        <v>3095</v>
      </c>
    </row>
    <row r="43" spans="3:4">
      <c r="C43" t="s">
        <v>3096</v>
      </c>
    </row>
    <row r="44" spans="3:4">
      <c r="D44" t="s">
        <v>3097</v>
      </c>
    </row>
    <row r="45" spans="3:4">
      <c r="D45" t="s">
        <v>3098</v>
      </c>
    </row>
    <row r="46" spans="3:4">
      <c r="D46" t="s">
        <v>3099</v>
      </c>
    </row>
    <row r="47" spans="3:4">
      <c r="D47" t="s">
        <v>3100</v>
      </c>
    </row>
    <row r="48" spans="3:4">
      <c r="C48" t="s">
        <v>3101</v>
      </c>
    </row>
    <row r="49" spans="3:4">
      <c r="D49" t="s">
        <v>3102</v>
      </c>
    </row>
    <row r="50" spans="3:4">
      <c r="C50" t="s">
        <v>3103</v>
      </c>
    </row>
    <row r="51" spans="3:4">
      <c r="D51" t="s">
        <v>3104</v>
      </c>
    </row>
    <row r="52" spans="3:4">
      <c r="C52" t="s">
        <v>3105</v>
      </c>
    </row>
    <row r="53" spans="3:4">
      <c r="D53" t="s">
        <v>3106</v>
      </c>
    </row>
    <row r="54" spans="3:4">
      <c r="D54" t="s">
        <v>3107</v>
      </c>
    </row>
    <row r="55" spans="3:4">
      <c r="C55" t="s">
        <v>3108</v>
      </c>
    </row>
    <row r="56" spans="3:4">
      <c r="D56" t="s">
        <v>3109</v>
      </c>
    </row>
    <row r="57" spans="3:4">
      <c r="D57" t="s">
        <v>3110</v>
      </c>
    </row>
    <row r="58" spans="3:4">
      <c r="C58" t="s">
        <v>3111</v>
      </c>
    </row>
    <row r="59" spans="3:4">
      <c r="D59" t="s">
        <v>3112</v>
      </c>
    </row>
    <row r="60" spans="3:4">
      <c r="D60" t="s">
        <v>3113</v>
      </c>
    </row>
    <row r="61" spans="3:4">
      <c r="D61" t="s">
        <v>3114</v>
      </c>
    </row>
    <row r="62" spans="3:4">
      <c r="D62" t="s">
        <v>3115</v>
      </c>
    </row>
    <row r="63" spans="3:4">
      <c r="D63" t="s">
        <v>3116</v>
      </c>
    </row>
    <row r="64" spans="3:4">
      <c r="C64" t="s">
        <v>3117</v>
      </c>
    </row>
    <row r="65" spans="3:4">
      <c r="D65" t="s">
        <v>3118</v>
      </c>
    </row>
    <row r="66" spans="3:4">
      <c r="D66" t="s">
        <v>3119</v>
      </c>
    </row>
    <row r="67" spans="3:4">
      <c r="C67" t="s">
        <v>3120</v>
      </c>
    </row>
    <row r="68" spans="3:4">
      <c r="D68" t="s">
        <v>3121</v>
      </c>
    </row>
    <row r="69" spans="3:4">
      <c r="D69" t="s">
        <v>3122</v>
      </c>
    </row>
    <row r="70" spans="3:4">
      <c r="D70" t="s">
        <v>3123</v>
      </c>
    </row>
    <row r="71" spans="3:4">
      <c r="C71" t="s">
        <v>3124</v>
      </c>
    </row>
    <row r="72" spans="3:4">
      <c r="D72" t="s">
        <v>3125</v>
      </c>
    </row>
    <row r="73" spans="3:4">
      <c r="D73" t="s">
        <v>3126</v>
      </c>
    </row>
    <row r="74" spans="3:4">
      <c r="D74" t="s">
        <v>3127</v>
      </c>
    </row>
    <row r="75" spans="3:4">
      <c r="C75" t="s">
        <v>3128</v>
      </c>
    </row>
    <row r="76" spans="3:4">
      <c r="D76" t="s">
        <v>3129</v>
      </c>
    </row>
    <row r="77" spans="3:4">
      <c r="D77" t="s">
        <v>3130</v>
      </c>
    </row>
    <row r="78" spans="3:4">
      <c r="C78" t="s">
        <v>3131</v>
      </c>
    </row>
    <row r="79" spans="3:4">
      <c r="D79" t="s">
        <v>3132</v>
      </c>
    </row>
    <row r="80" spans="3:4">
      <c r="D80" t="s">
        <v>3133</v>
      </c>
    </row>
    <row r="81" spans="3:6">
      <c r="D81" t="s">
        <v>3134</v>
      </c>
    </row>
    <row r="82" spans="3:6">
      <c r="E82" t="s">
        <v>3135</v>
      </c>
    </row>
    <row r="83" spans="3:6">
      <c r="C83" t="s">
        <v>3136</v>
      </c>
    </row>
    <row r="84" spans="3:6">
      <c r="D84" t="s">
        <v>3137</v>
      </c>
    </row>
    <row r="85" spans="3:6">
      <c r="E85" t="s">
        <v>3138</v>
      </c>
    </row>
    <row r="86" spans="3:6">
      <c r="C86" t="s">
        <v>3139</v>
      </c>
    </row>
    <row r="87" spans="3:6">
      <c r="D87" t="s">
        <v>3140</v>
      </c>
    </row>
    <row r="88" spans="3:6">
      <c r="E88" t="s">
        <v>3141</v>
      </c>
    </row>
    <row r="89" spans="3:6">
      <c r="F89" t="s">
        <v>3142</v>
      </c>
    </row>
    <row r="90" spans="3:6">
      <c r="F90" t="s">
        <v>3143</v>
      </c>
    </row>
    <row r="91" spans="3:6">
      <c r="F91" t="s">
        <v>3144</v>
      </c>
    </row>
    <row r="92" spans="3:6">
      <c r="E92" t="s">
        <v>3145</v>
      </c>
    </row>
    <row r="93" spans="3:6">
      <c r="F93" t="s">
        <v>3146</v>
      </c>
    </row>
    <row r="94" spans="3:6">
      <c r="F94" t="s">
        <v>3147</v>
      </c>
    </row>
    <row r="95" spans="3:6">
      <c r="F95" t="s">
        <v>3148</v>
      </c>
    </row>
    <row r="96" spans="3:6">
      <c r="E96" t="s">
        <v>3149</v>
      </c>
    </row>
    <row r="97" spans="3:6">
      <c r="F97" t="s">
        <v>3150</v>
      </c>
    </row>
    <row r="98" spans="3:6">
      <c r="F98" t="s">
        <v>3151</v>
      </c>
    </row>
    <row r="99" spans="3:6">
      <c r="D99" t="s">
        <v>3152</v>
      </c>
    </row>
    <row r="100" spans="3:6">
      <c r="E100" t="s">
        <v>3153</v>
      </c>
    </row>
    <row r="101" spans="3:6">
      <c r="F101" t="s">
        <v>3154</v>
      </c>
    </row>
    <row r="102" spans="3:6">
      <c r="F102" t="s">
        <v>3155</v>
      </c>
    </row>
    <row r="103" spans="3:6">
      <c r="F103" t="s">
        <v>3156</v>
      </c>
    </row>
    <row r="104" spans="3:6">
      <c r="E104" t="s">
        <v>3157</v>
      </c>
    </row>
    <row r="105" spans="3:6">
      <c r="F105" t="s">
        <v>3158</v>
      </c>
    </row>
    <row r="106" spans="3:6">
      <c r="F106" t="s">
        <v>3159</v>
      </c>
    </row>
    <row r="107" spans="3:6">
      <c r="F107" t="s">
        <v>3160</v>
      </c>
    </row>
    <row r="108" spans="3:6">
      <c r="E108" t="s">
        <v>3161</v>
      </c>
    </row>
    <row r="109" spans="3:6">
      <c r="F109" t="s">
        <v>3162</v>
      </c>
    </row>
    <row r="110" spans="3:6">
      <c r="F110" t="s">
        <v>3163</v>
      </c>
    </row>
    <row r="111" spans="3:6">
      <c r="D111" t="s">
        <v>3164</v>
      </c>
    </row>
    <row r="112" spans="3:6">
      <c r="C112" t="s">
        <v>3165</v>
      </c>
    </row>
    <row r="113" spans="3:5">
      <c r="D113" t="s">
        <v>3166</v>
      </c>
    </row>
    <row r="114" spans="3:5">
      <c r="D114" t="s">
        <v>3167</v>
      </c>
    </row>
    <row r="115" spans="3:5">
      <c r="C115" t="s">
        <v>3168</v>
      </c>
    </row>
    <row r="116" spans="3:5">
      <c r="C116" t="s">
        <v>3169</v>
      </c>
    </row>
    <row r="117" spans="3:5">
      <c r="D117" t="s">
        <v>3170</v>
      </c>
    </row>
    <row r="118" spans="3:5">
      <c r="E118" t="s">
        <v>3171</v>
      </c>
    </row>
    <row r="119" spans="3:5">
      <c r="C119" t="s">
        <v>3172</v>
      </c>
    </row>
    <row r="120" spans="3:5">
      <c r="D120" t="s">
        <v>3173</v>
      </c>
    </row>
    <row r="121" spans="3:5">
      <c r="D121" t="s">
        <v>3174</v>
      </c>
    </row>
    <row r="122" spans="3:5">
      <c r="C122" t="s">
        <v>3175</v>
      </c>
    </row>
    <row r="123" spans="3:5">
      <c r="D123" t="s">
        <v>3176</v>
      </c>
    </row>
    <row r="124" spans="3:5">
      <c r="D124" t="s">
        <v>3177</v>
      </c>
    </row>
    <row r="125" spans="3:5">
      <c r="C125" t="s">
        <v>3178</v>
      </c>
    </row>
    <row r="126" spans="3:5">
      <c r="C126" t="s">
        <v>3179</v>
      </c>
    </row>
    <row r="127" spans="3:5">
      <c r="D127" t="s">
        <v>3180</v>
      </c>
    </row>
    <row r="128" spans="3:5">
      <c r="D128" t="s">
        <v>3181</v>
      </c>
    </row>
    <row r="129" spans="2:4">
      <c r="B129" t="s">
        <v>3182</v>
      </c>
    </row>
    <row r="130" spans="2:4">
      <c r="C130" t="s">
        <v>3183</v>
      </c>
    </row>
    <row r="131" spans="2:4">
      <c r="D131" t="s">
        <v>3184</v>
      </c>
    </row>
    <row r="132" spans="2:4">
      <c r="C132" t="s">
        <v>3185</v>
      </c>
    </row>
    <row r="133" spans="2:4">
      <c r="D133" t="s">
        <v>3186</v>
      </c>
    </row>
    <row r="134" spans="2:4">
      <c r="D134" t="s">
        <v>3187</v>
      </c>
    </row>
    <row r="135" spans="2:4">
      <c r="C135" t="s">
        <v>3188</v>
      </c>
    </row>
    <row r="136" spans="2:4">
      <c r="C136" t="s">
        <v>3189</v>
      </c>
    </row>
    <row r="137" spans="2:4">
      <c r="C137" t="s">
        <v>3190</v>
      </c>
    </row>
    <row r="138" spans="2:4">
      <c r="C138" t="s">
        <v>3191</v>
      </c>
    </row>
    <row r="139" spans="2:4">
      <c r="C139" t="s">
        <v>3192</v>
      </c>
    </row>
    <row r="140" spans="2:4">
      <c r="C140" t="s">
        <v>3193</v>
      </c>
    </row>
    <row r="141" spans="2:4">
      <c r="D141" t="s">
        <v>3194</v>
      </c>
    </row>
    <row r="142" spans="2:4">
      <c r="D142" t="s">
        <v>3195</v>
      </c>
    </row>
    <row r="143" spans="2:4">
      <c r="D143" t="s">
        <v>3196</v>
      </c>
    </row>
    <row r="144" spans="2:4">
      <c r="C144" t="s">
        <v>3197</v>
      </c>
    </row>
    <row r="145" spans="2:3">
      <c r="B145" t="s">
        <v>3198</v>
      </c>
    </row>
    <row r="146" spans="2:3">
      <c r="B146" t="s">
        <v>3199</v>
      </c>
    </row>
    <row r="147" spans="2:3">
      <c r="B147" t="s">
        <v>3200</v>
      </c>
    </row>
    <row r="148" spans="2:3">
      <c r="B148" t="s">
        <v>3201</v>
      </c>
    </row>
    <row r="149" spans="2:3">
      <c r="B149" t="s">
        <v>3202</v>
      </c>
    </row>
    <row r="150" spans="2:3">
      <c r="B150" t="s">
        <v>3203</v>
      </c>
    </row>
    <row r="151" spans="2:3">
      <c r="B151" t="s">
        <v>3204</v>
      </c>
    </row>
    <row r="152" spans="2:3">
      <c r="B152" t="s">
        <v>3205</v>
      </c>
    </row>
    <row r="153" spans="2:3">
      <c r="B153" t="s">
        <v>3206</v>
      </c>
    </row>
    <row r="154" spans="2:3">
      <c r="B154" t="s">
        <v>3207</v>
      </c>
    </row>
    <row r="155" spans="2:3">
      <c r="B155" t="s">
        <v>3208</v>
      </c>
    </row>
    <row r="156" spans="2:3">
      <c r="B156" t="s">
        <v>3209</v>
      </c>
    </row>
    <row r="157" spans="2:3">
      <c r="C157" t="s">
        <v>3210</v>
      </c>
    </row>
    <row r="158" spans="2:3">
      <c r="B158" t="s">
        <v>3211</v>
      </c>
    </row>
    <row r="159" spans="2:3">
      <c r="C159" t="s">
        <v>3212</v>
      </c>
    </row>
    <row r="160" spans="2:3">
      <c r="C160" t="s">
        <v>3213</v>
      </c>
    </row>
    <row r="161" spans="2:4">
      <c r="C161" t="s">
        <v>3214</v>
      </c>
    </row>
    <row r="162" spans="2:4">
      <c r="C162" t="s">
        <v>3215</v>
      </c>
    </row>
    <row r="163" spans="2:4">
      <c r="B163" t="s">
        <v>3216</v>
      </c>
    </row>
    <row r="164" spans="2:4">
      <c r="C164" t="s">
        <v>3217</v>
      </c>
    </row>
    <row r="165" spans="2:4">
      <c r="C165" t="s">
        <v>3218</v>
      </c>
    </row>
    <row r="166" spans="2:4">
      <c r="B166" t="s">
        <v>3219</v>
      </c>
    </row>
    <row r="167" spans="2:4">
      <c r="B167" t="s">
        <v>3220</v>
      </c>
    </row>
    <row r="168" spans="2:4">
      <c r="C168" t="s">
        <v>3221</v>
      </c>
    </row>
    <row r="169" spans="2:4">
      <c r="C169" t="s">
        <v>3222</v>
      </c>
    </row>
    <row r="170" spans="2:4">
      <c r="D170" t="s">
        <v>3223</v>
      </c>
    </row>
    <row r="171" spans="2:4">
      <c r="B171" t="s">
        <v>3224</v>
      </c>
    </row>
    <row r="172" spans="2:4">
      <c r="C172" t="s">
        <v>3225</v>
      </c>
    </row>
    <row r="173" spans="2:4">
      <c r="C173" t="s">
        <v>3226</v>
      </c>
    </row>
    <row r="174" spans="2:4">
      <c r="B174" t="s">
        <v>3227</v>
      </c>
    </row>
    <row r="175" spans="2:4">
      <c r="C175" t="s">
        <v>3228</v>
      </c>
    </row>
    <row r="176" spans="2:4">
      <c r="C176" t="s">
        <v>3229</v>
      </c>
    </row>
    <row r="177" spans="3:3">
      <c r="C177" t="s">
        <v>3230</v>
      </c>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workbookViewId="0">
      <selection activeCell="H18" sqref="H18"/>
    </sheetView>
  </sheetViews>
  <sheetFormatPr defaultColWidth="8.88888888888889" defaultRowHeight="14.4" outlineLevelCol="7"/>
  <cols>
    <col min="1" max="1" width="9.66666666666667"/>
  </cols>
  <sheetData>
    <row r="1" spans="1:8">
      <c r="A1" s="1">
        <f>SUM(B1:AZ1)</f>
        <v>69.65</v>
      </c>
      <c r="B1" s="1">
        <f>COUNTA(B2:B2124)/COLUMN()</f>
        <v>30</v>
      </c>
      <c r="C1" s="1">
        <f>COUNTA(C2:C2124)/COLUMN()</f>
        <v>31</v>
      </c>
      <c r="D1" s="1">
        <f>COUNTA(D2:D2124)/COLUMN()</f>
        <v>8.25</v>
      </c>
      <c r="E1" s="1">
        <f>COUNTA(E2:E2124)/COLUMN()</f>
        <v>0.4</v>
      </c>
      <c r="F1" s="1">
        <f>COUNTA(F2:F2124)/COLUMN()</f>
        <v>0</v>
      </c>
      <c r="G1" s="1">
        <f>COUNTA(G2:G2124)/COLUMN()</f>
        <v>0</v>
      </c>
      <c r="H1" s="1">
        <f>COUNTA(H2:H2124)/COLUMN()</f>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65"/>
  <sheetViews>
    <sheetView zoomScale="70" zoomScaleNormal="70" topLeftCell="A37" workbookViewId="0">
      <selection activeCell="B37" sqref="B37"/>
    </sheetView>
  </sheetViews>
  <sheetFormatPr defaultColWidth="8.88888888888889" defaultRowHeight="14.4" outlineLevelCol="7"/>
  <cols>
    <col min="1" max="1" width="9.66666666666667"/>
  </cols>
  <sheetData>
    <row r="1" spans="1:8">
      <c r="A1" s="1">
        <f>SUM(B1:AZ1)</f>
        <v>99.35</v>
      </c>
      <c r="B1" s="1">
        <f>COUNTA(B2:B2134)/COLUMN()</f>
        <v>47</v>
      </c>
      <c r="C1" s="1">
        <f>COUNTA(C2:C2134)/COLUMN()</f>
        <v>40</v>
      </c>
      <c r="D1" s="1">
        <f>COUNTA(D2:D2134)/COLUMN()</f>
        <v>11.75</v>
      </c>
      <c r="E1" s="1">
        <f>COUNTA(E2:E2134)/COLUMN()</f>
        <v>0.6</v>
      </c>
      <c r="F1" s="1">
        <f>COUNTA(F2:F2134)/COLUMN()</f>
        <v>0</v>
      </c>
      <c r="G1" s="1">
        <f>COUNTA(G2:G2134)/COLUMN()</f>
        <v>0</v>
      </c>
      <c r="H1" s="1">
        <f>COUNTA(H2:H2134)/COLUMN()</f>
        <v>0</v>
      </c>
    </row>
    <row r="2" spans="1:8">
      <c r="A2" t="str" cm="1">
        <f ca="1" t="array" ref="A2">_wpsfn.SHEETSNAME(A1)</f>
        <v>20251120</v>
      </c>
      <c r="B2" t="s">
        <v>3419</v>
      </c>
    </row>
    <row r="3" spans="1:8">
      <c r="C3" t="s">
        <v>3420</v>
      </c>
    </row>
    <row r="4" spans="1:8">
      <c r="C4" t="s">
        <v>3421</v>
      </c>
    </row>
    <row r="5" spans="1:8">
      <c r="C5" t="s">
        <v>3422</v>
      </c>
    </row>
    <row r="6" spans="1:8">
      <c r="C6" t="s">
        <v>3423</v>
      </c>
    </row>
    <row r="7" spans="1:8">
      <c r="B7" t="s">
        <v>3424</v>
      </c>
    </row>
    <row r="8" spans="1:8">
      <c r="B8" t="s">
        <v>3425</v>
      </c>
    </row>
    <row r="9" spans="1:8">
      <c r="B9" t="s">
        <v>3426</v>
      </c>
    </row>
    <row r="10" spans="1:8">
      <c r="B10" t="s">
        <v>3427</v>
      </c>
    </row>
    <row r="11" spans="1:8">
      <c r="B11" t="s">
        <v>3428</v>
      </c>
    </row>
    <row r="12" spans="1:8">
      <c r="C12" t="s">
        <v>3429</v>
      </c>
    </row>
    <row r="13" spans="1:8">
      <c r="C13" t="s">
        <v>3430</v>
      </c>
    </row>
    <row r="14" spans="1:8">
      <c r="D14" t="s">
        <v>3431</v>
      </c>
    </row>
    <row r="15" spans="1:8">
      <c r="D15" t="s">
        <v>3432</v>
      </c>
    </row>
    <row r="16" spans="1:8">
      <c r="B16" t="s">
        <v>3433</v>
      </c>
    </row>
    <row r="17" spans="2:4">
      <c r="C17" t="s">
        <v>3434</v>
      </c>
    </row>
    <row r="18" spans="2:4">
      <c r="C18" t="s">
        <v>3435</v>
      </c>
    </row>
    <row r="19" spans="2:4">
      <c r="C19" t="s">
        <v>3436</v>
      </c>
    </row>
    <row r="20" spans="2:4">
      <c r="B20" t="s">
        <v>3437</v>
      </c>
    </row>
    <row r="21" spans="2:4">
      <c r="B21" t="s">
        <v>3438</v>
      </c>
    </row>
    <row r="22" spans="2:4">
      <c r="B22" t="s">
        <v>3439</v>
      </c>
    </row>
    <row r="23" spans="2:4">
      <c r="C23" t="s">
        <v>3440</v>
      </c>
    </row>
    <row r="24" spans="2:4">
      <c r="C24" t="s">
        <v>3441</v>
      </c>
    </row>
    <row r="25" spans="2:4">
      <c r="D25" t="s">
        <v>3442</v>
      </c>
    </row>
    <row r="26" spans="2:4">
      <c r="B26" t="s">
        <v>3443</v>
      </c>
    </row>
    <row r="27" spans="2:4">
      <c r="B27" t="s">
        <v>3444</v>
      </c>
    </row>
    <row r="28" spans="2:4">
      <c r="B28" t="s">
        <v>3445</v>
      </c>
    </row>
    <row r="29" spans="2:4">
      <c r="B29" t="s">
        <v>3446</v>
      </c>
    </row>
    <row r="30" spans="2:4">
      <c r="C30" t="s">
        <v>3447</v>
      </c>
    </row>
    <row r="31" spans="2:4">
      <c r="C31" t="s">
        <v>3448</v>
      </c>
    </row>
    <row r="32" spans="2:4">
      <c r="B32" t="s">
        <v>3449</v>
      </c>
    </row>
    <row r="33" spans="2:3">
      <c r="C33" t="s">
        <v>3450</v>
      </c>
    </row>
    <row r="34" spans="2:3">
      <c r="C34" t="s">
        <v>3451</v>
      </c>
    </row>
    <row r="35" spans="2:3">
      <c r="B35" t="s">
        <v>3452</v>
      </c>
    </row>
    <row r="36" spans="2:3">
      <c r="C36" t="s">
        <v>3453</v>
      </c>
    </row>
    <row r="37" spans="2:3">
      <c r="B37" t="s">
        <v>3454</v>
      </c>
    </row>
    <row r="38" spans="2:3">
      <c r="B38" t="s">
        <v>3455</v>
      </c>
    </row>
    <row r="39" spans="2:3">
      <c r="C39" t="s">
        <v>3456</v>
      </c>
    </row>
    <row r="40" spans="2:3">
      <c r="B40" t="s">
        <v>3457</v>
      </c>
    </row>
    <row r="41" spans="2:3">
      <c r="B41" t="s">
        <v>3458</v>
      </c>
    </row>
    <row r="42" spans="2:3">
      <c r="B42" t="s">
        <v>3459</v>
      </c>
    </row>
    <row r="43" spans="2:3">
      <c r="B43" t="s">
        <v>3460</v>
      </c>
    </row>
    <row r="44" spans="2:3">
      <c r="B44" t="s">
        <v>3461</v>
      </c>
    </row>
    <row r="45" spans="2:3">
      <c r="B45" t="s">
        <v>3462</v>
      </c>
    </row>
    <row r="46" spans="2:3">
      <c r="B46" t="s">
        <v>3463</v>
      </c>
    </row>
    <row r="47" spans="2:3">
      <c r="B47" t="s">
        <v>3464</v>
      </c>
    </row>
    <row r="48" spans="2:3">
      <c r="B48" t="s">
        <v>3465</v>
      </c>
    </row>
    <row r="49" spans="2:5">
      <c r="C49" t="s">
        <v>3466</v>
      </c>
    </row>
    <row r="50" spans="2:5">
      <c r="D50" t="s">
        <v>3467</v>
      </c>
    </row>
    <row r="51" spans="2:5">
      <c r="C51" t="s">
        <v>3468</v>
      </c>
    </row>
    <row r="52" spans="2:5">
      <c r="D52" t="s">
        <v>3469</v>
      </c>
    </row>
    <row r="53" spans="2:5">
      <c r="D53" t="s">
        <v>3470</v>
      </c>
    </row>
    <row r="54" spans="2:5">
      <c r="D54" t="s">
        <v>3471</v>
      </c>
    </row>
    <row r="55" spans="2:5">
      <c r="D55" t="s">
        <v>3472</v>
      </c>
    </row>
    <row r="56" spans="2:5">
      <c r="B56" t="s">
        <v>3473</v>
      </c>
    </row>
    <row r="57" spans="2:5">
      <c r="C57" t="s">
        <v>3474</v>
      </c>
    </row>
    <row r="58" spans="2:5">
      <c r="D58" t="s">
        <v>3475</v>
      </c>
    </row>
    <row r="59" spans="2:5">
      <c r="E59" t="s">
        <v>3476</v>
      </c>
    </row>
    <row r="60" spans="2:5">
      <c r="C60" t="s">
        <v>3477</v>
      </c>
    </row>
    <row r="61" spans="2:5">
      <c r="B61" t="s">
        <v>3478</v>
      </c>
    </row>
    <row r="62" spans="2:5">
      <c r="C62" t="s">
        <v>3479</v>
      </c>
    </row>
    <row r="63" spans="2:5">
      <c r="C63" t="s">
        <v>3480</v>
      </c>
    </row>
    <row r="64" spans="2:5">
      <c r="B64" t="s">
        <v>3481</v>
      </c>
    </row>
    <row r="65" spans="2:3">
      <c r="C65" t="s">
        <v>3482</v>
      </c>
    </row>
    <row r="66" spans="2:3">
      <c r="B66" t="s">
        <v>3483</v>
      </c>
    </row>
    <row r="67" spans="2:3">
      <c r="C67" t="s">
        <v>3484</v>
      </c>
    </row>
    <row r="68" spans="2:3">
      <c r="C68" t="s">
        <v>3485</v>
      </c>
    </row>
    <row r="69" spans="2:3">
      <c r="C69" t="s">
        <v>3486</v>
      </c>
    </row>
    <row r="70" spans="2:3">
      <c r="B70" t="s">
        <v>3487</v>
      </c>
    </row>
    <row r="71" spans="2:3">
      <c r="B71" t="s">
        <v>3488</v>
      </c>
    </row>
    <row r="72" spans="2:3">
      <c r="B72" t="s">
        <v>3489</v>
      </c>
    </row>
    <row r="73" spans="2:3">
      <c r="C73" t="s">
        <v>3490</v>
      </c>
    </row>
    <row r="74" spans="2:3">
      <c r="C74" t="s">
        <v>3491</v>
      </c>
    </row>
    <row r="75" spans="2:3">
      <c r="C75" t="s">
        <v>3492</v>
      </c>
    </row>
    <row r="76" spans="2:3">
      <c r="B76" t="s">
        <v>3493</v>
      </c>
    </row>
    <row r="77" spans="2:3">
      <c r="B77" t="s">
        <v>3494</v>
      </c>
    </row>
    <row r="78" spans="2:3">
      <c r="C78" t="s">
        <v>3495</v>
      </c>
    </row>
    <row r="79" spans="2:3">
      <c r="C79" t="s">
        <v>3496</v>
      </c>
    </row>
    <row r="80" spans="2:3">
      <c r="C80" t="s">
        <v>3497</v>
      </c>
    </row>
    <row r="81" spans="2:4">
      <c r="B81" t="s">
        <v>3498</v>
      </c>
    </row>
    <row r="82" spans="2:4">
      <c r="C82" t="s">
        <v>3499</v>
      </c>
    </row>
    <row r="83" spans="2:4">
      <c r="B83" t="s">
        <v>3500</v>
      </c>
    </row>
    <row r="84" spans="2:4">
      <c r="C84" t="s">
        <v>3501</v>
      </c>
    </row>
    <row r="85" spans="2:4">
      <c r="C85" t="s">
        <v>3502</v>
      </c>
    </row>
    <row r="86" spans="2:4">
      <c r="C86" t="s">
        <v>3503</v>
      </c>
    </row>
    <row r="87" spans="2:4">
      <c r="B87" t="s">
        <v>3504</v>
      </c>
    </row>
    <row r="88" spans="2:4">
      <c r="B88" t="s">
        <v>3505</v>
      </c>
    </row>
    <row r="89" spans="2:4">
      <c r="B89" t="s">
        <v>3506</v>
      </c>
    </row>
    <row r="90" spans="2:4">
      <c r="B90" t="s">
        <v>3507</v>
      </c>
    </row>
    <row r="91" spans="2:4">
      <c r="C91" t="s">
        <v>3508</v>
      </c>
    </row>
    <row r="92" spans="2:4">
      <c r="B92" t="s">
        <v>3509</v>
      </c>
    </row>
    <row r="93" spans="2:4">
      <c r="B93" t="s">
        <v>3510</v>
      </c>
    </row>
    <row r="94" spans="2:4">
      <c r="B94" t="s">
        <v>3511</v>
      </c>
    </row>
    <row r="95" spans="2:4">
      <c r="C95" t="s">
        <v>3512</v>
      </c>
    </row>
    <row r="96" spans="2:4">
      <c r="D96" t="s">
        <v>3513</v>
      </c>
    </row>
    <row r="97" spans="2:4">
      <c r="D97" t="s">
        <v>3514</v>
      </c>
    </row>
    <row r="98" spans="2:4">
      <c r="C98" t="s">
        <v>3515</v>
      </c>
    </row>
    <row r="99" spans="2:4">
      <c r="D99" t="s">
        <v>3516</v>
      </c>
    </row>
    <row r="100" spans="2:4">
      <c r="D100" t="s">
        <v>3517</v>
      </c>
    </row>
    <row r="101" spans="2:4">
      <c r="B101" t="s">
        <v>3518</v>
      </c>
    </row>
    <row r="102" spans="2:4">
      <c r="C102" t="s">
        <v>3519</v>
      </c>
    </row>
    <row r="103" spans="2:4">
      <c r="C103" t="s">
        <v>3520</v>
      </c>
    </row>
    <row r="104" spans="2:4">
      <c r="D104" t="s">
        <v>3521</v>
      </c>
    </row>
    <row r="105" spans="2:4">
      <c r="B105" t="s">
        <v>3522</v>
      </c>
    </row>
    <row r="106" spans="2:4">
      <c r="C106" t="s">
        <v>3523</v>
      </c>
    </row>
    <row r="107" spans="2:4">
      <c r="C107" t="s">
        <v>3524</v>
      </c>
    </row>
    <row r="108" spans="2:4">
      <c r="B108" t="s">
        <v>3525</v>
      </c>
    </row>
    <row r="109" spans="2:4">
      <c r="C109" t="s">
        <v>3526</v>
      </c>
    </row>
    <row r="110" spans="2:4">
      <c r="B110" t="s">
        <v>3527</v>
      </c>
    </row>
    <row r="111" spans="2:4">
      <c r="B111" t="s">
        <v>3528</v>
      </c>
    </row>
    <row r="112" spans="2:4">
      <c r="C112" t="s">
        <v>3529</v>
      </c>
    </row>
    <row r="113" spans="2:4">
      <c r="B113" t="s">
        <v>3530</v>
      </c>
    </row>
    <row r="114" spans="2:4">
      <c r="C114" t="s">
        <v>3531</v>
      </c>
    </row>
    <row r="115" spans="2:4">
      <c r="C115" t="s">
        <v>3532</v>
      </c>
    </row>
    <row r="116" spans="2:4">
      <c r="C116" t="s">
        <v>3533</v>
      </c>
    </row>
    <row r="117" spans="2:4">
      <c r="B117" t="s">
        <v>3534</v>
      </c>
    </row>
    <row r="118" spans="2:4">
      <c r="C118" t="s">
        <v>3535</v>
      </c>
    </row>
    <row r="119" spans="2:4">
      <c r="C119" t="s">
        <v>3536</v>
      </c>
    </row>
    <row r="120" spans="2:4">
      <c r="C120" t="s">
        <v>3537</v>
      </c>
    </row>
    <row r="121" spans="2:4">
      <c r="B121" t="s">
        <v>3538</v>
      </c>
    </row>
    <row r="122" spans="2:4">
      <c r="C122" t="s">
        <v>3539</v>
      </c>
    </row>
    <row r="123" spans="2:4">
      <c r="C123" t="s">
        <v>3540</v>
      </c>
    </row>
    <row r="124" spans="2:4">
      <c r="C124" t="s">
        <v>3541</v>
      </c>
    </row>
    <row r="125" spans="2:4">
      <c r="B125" t="s">
        <v>3542</v>
      </c>
    </row>
    <row r="126" spans="2:4">
      <c r="C126" t="s">
        <v>3543</v>
      </c>
    </row>
    <row r="127" spans="2:4">
      <c r="C127" t="s">
        <v>3544</v>
      </c>
    </row>
    <row r="128" spans="2:4">
      <c r="D128" t="s">
        <v>3545</v>
      </c>
    </row>
    <row r="129" spans="2:4">
      <c r="D129" t="s">
        <v>3546</v>
      </c>
    </row>
    <row r="130" spans="2:4">
      <c r="B130" t="s">
        <v>3547</v>
      </c>
    </row>
    <row r="131" spans="2:4">
      <c r="C131" t="s">
        <v>3548</v>
      </c>
    </row>
    <row r="132" spans="2:4">
      <c r="D132" t="s">
        <v>3549</v>
      </c>
    </row>
    <row r="133" spans="2:4">
      <c r="D133" t="s">
        <v>3550</v>
      </c>
    </row>
    <row r="134" spans="2:4">
      <c r="D134" t="s">
        <v>3551</v>
      </c>
    </row>
    <row r="135" spans="2:4">
      <c r="D135" t="s">
        <v>3552</v>
      </c>
    </row>
    <row r="136" spans="2:4">
      <c r="D136" t="s">
        <v>3553</v>
      </c>
    </row>
    <row r="137" spans="2:4">
      <c r="C137" t="s">
        <v>3554</v>
      </c>
    </row>
    <row r="138" spans="2:4">
      <c r="D138" t="s">
        <v>3555</v>
      </c>
    </row>
    <row r="139" spans="2:4">
      <c r="D139" t="s">
        <v>3556</v>
      </c>
    </row>
    <row r="140" spans="2:4">
      <c r="D140" t="s">
        <v>3557</v>
      </c>
    </row>
    <row r="141" spans="2:4">
      <c r="D141" t="s">
        <v>3558</v>
      </c>
    </row>
    <row r="142" spans="2:4">
      <c r="C142" t="s">
        <v>3559</v>
      </c>
    </row>
    <row r="143" spans="2:4">
      <c r="D143" t="s">
        <v>3560</v>
      </c>
    </row>
    <row r="144" spans="2:4">
      <c r="D144" t="s">
        <v>3561</v>
      </c>
    </row>
    <row r="145" spans="2:5">
      <c r="E145" t="s">
        <v>3562</v>
      </c>
    </row>
    <row r="146" spans="2:5">
      <c r="E146" t="s">
        <v>3563</v>
      </c>
    </row>
    <row r="147" spans="2:5">
      <c r="D147" t="s">
        <v>3564</v>
      </c>
    </row>
    <row r="148" spans="2:5">
      <c r="D148" t="s">
        <v>3565</v>
      </c>
    </row>
    <row r="149" spans="2:5">
      <c r="C149" t="s">
        <v>3566</v>
      </c>
    </row>
    <row r="150" spans="2:5">
      <c r="C150" t="s">
        <v>3567</v>
      </c>
    </row>
    <row r="151" spans="2:5">
      <c r="D151" t="s">
        <v>3568</v>
      </c>
    </row>
    <row r="152" spans="2:5">
      <c r="B152" t="s">
        <v>3569</v>
      </c>
    </row>
    <row r="153" spans="2:5">
      <c r="C153" t="s">
        <v>3570</v>
      </c>
    </row>
    <row r="154" spans="2:5">
      <c r="B154" t="s">
        <v>3571</v>
      </c>
    </row>
    <row r="155" spans="2:5">
      <c r="C155" t="s">
        <v>3572</v>
      </c>
    </row>
    <row r="156" spans="2:5">
      <c r="C156" t="s">
        <v>3573</v>
      </c>
    </row>
    <row r="157" spans="2:5">
      <c r="C157" t="s">
        <v>3574</v>
      </c>
    </row>
    <row r="158" spans="2:5">
      <c r="B158" t="s">
        <v>3575</v>
      </c>
    </row>
    <row r="159" spans="2:5">
      <c r="C159" t="s">
        <v>3576</v>
      </c>
    </row>
    <row r="160" spans="2:5">
      <c r="D160" t="s">
        <v>3577</v>
      </c>
    </row>
    <row r="161" spans="2:4">
      <c r="C161" t="s">
        <v>3578</v>
      </c>
    </row>
    <row r="162" spans="2:4">
      <c r="C162" t="s">
        <v>3579</v>
      </c>
    </row>
    <row r="163" spans="2:4">
      <c r="D163" t="s">
        <v>3580</v>
      </c>
    </row>
    <row r="164" spans="2:4">
      <c r="D164" t="s">
        <v>3581</v>
      </c>
    </row>
    <row r="165" spans="2:4">
      <c r="C165" t="s">
        <v>3582</v>
      </c>
    </row>
    <row r="166" spans="2:4">
      <c r="D166" t="s">
        <v>3583</v>
      </c>
    </row>
    <row r="167" spans="2:4">
      <c r="B167" t="s">
        <v>3584</v>
      </c>
    </row>
    <row r="168" spans="2:4">
      <c r="C168" t="s">
        <v>3585</v>
      </c>
    </row>
    <row r="169" spans="2:4">
      <c r="B169" t="s">
        <v>3586</v>
      </c>
    </row>
    <row r="170" spans="2:4">
      <c r="C170" t="s">
        <v>3587</v>
      </c>
    </row>
    <row r="171" spans="2:4">
      <c r="B171" t="s">
        <v>3588</v>
      </c>
    </row>
    <row r="172" spans="2:4">
      <c r="B172" t="s">
        <v>3589</v>
      </c>
    </row>
    <row r="173" spans="2:4">
      <c r="B173" t="s">
        <v>3590</v>
      </c>
    </row>
    <row r="174" spans="2:4">
      <c r="C174" t="s">
        <v>3591</v>
      </c>
    </row>
    <row r="175" spans="2:4">
      <c r="C175" t="s">
        <v>3592</v>
      </c>
    </row>
    <row r="176" spans="2:4">
      <c r="C176" t="s">
        <v>3593</v>
      </c>
    </row>
    <row r="177" spans="2:3">
      <c r="B177" t="s">
        <v>3594</v>
      </c>
    </row>
    <row r="178" spans="2:3">
      <c r="C178" t="s">
        <v>3595</v>
      </c>
    </row>
    <row r="179" spans="2:3">
      <c r="C179" t="s">
        <v>3596</v>
      </c>
    </row>
    <row r="180" spans="2:3">
      <c r="C180" t="s">
        <v>3597</v>
      </c>
    </row>
    <row r="181" spans="2:3">
      <c r="C181" t="s">
        <v>3598</v>
      </c>
    </row>
    <row r="182" spans="2:3">
      <c r="B182" t="s">
        <v>3599</v>
      </c>
    </row>
    <row r="183" spans="2:3">
      <c r="C183" t="s">
        <v>3600</v>
      </c>
    </row>
    <row r="184" spans="2:3">
      <c r="B184" t="s">
        <v>3601</v>
      </c>
    </row>
    <row r="185" spans="2:3">
      <c r="C185" t="s">
        <v>3602</v>
      </c>
    </row>
    <row r="186" spans="2:3">
      <c r="C186" t="s">
        <v>3603</v>
      </c>
    </row>
    <row r="187" spans="2:3">
      <c r="B187" t="s">
        <v>3604</v>
      </c>
    </row>
    <row r="188" spans="2:3">
      <c r="B188" t="s">
        <v>3605</v>
      </c>
    </row>
    <row r="189" spans="2:3">
      <c r="B189" t="s">
        <v>3606</v>
      </c>
    </row>
    <row r="190" spans="2:3">
      <c r="B190" t="s">
        <v>3607</v>
      </c>
    </row>
    <row r="191" spans="2:3">
      <c r="B191" t="s">
        <v>3608</v>
      </c>
    </row>
    <row r="192" spans="2:3">
      <c r="B192" t="s">
        <v>3609</v>
      </c>
    </row>
    <row r="193" spans="2:4">
      <c r="C193" t="s">
        <v>3610</v>
      </c>
    </row>
    <row r="194" spans="2:4">
      <c r="D194" t="s">
        <v>3611</v>
      </c>
    </row>
    <row r="195" spans="2:4">
      <c r="D195" t="s">
        <v>3612</v>
      </c>
    </row>
    <row r="196" spans="2:4">
      <c r="C196" t="s">
        <v>3613</v>
      </c>
    </row>
    <row r="197" spans="2:4">
      <c r="C197" t="s">
        <v>3614</v>
      </c>
    </row>
    <row r="198" spans="2:4">
      <c r="C198" t="s">
        <v>3615</v>
      </c>
    </row>
    <row r="199" spans="2:4">
      <c r="D199" t="s">
        <v>3616</v>
      </c>
    </row>
    <row r="200" spans="2:4">
      <c r="D200" t="s">
        <v>3617</v>
      </c>
    </row>
    <row r="201" spans="2:4">
      <c r="C201" t="s">
        <v>3618</v>
      </c>
    </row>
    <row r="202" spans="2:4">
      <c r="D202" t="s">
        <v>3619</v>
      </c>
    </row>
    <row r="203" spans="2:4">
      <c r="D203" t="s">
        <v>3620</v>
      </c>
    </row>
    <row r="204" spans="2:4">
      <c r="D204" t="s">
        <v>3621</v>
      </c>
    </row>
    <row r="205" spans="2:4">
      <c r="C205" t="s">
        <v>3622</v>
      </c>
    </row>
    <row r="206" spans="2:4">
      <c r="B206" t="s">
        <v>3623</v>
      </c>
    </row>
    <row r="207" spans="2:4">
      <c r="C207" t="s">
        <v>3624</v>
      </c>
    </row>
    <row r="208" spans="2:4">
      <c r="D208" t="s">
        <v>3625</v>
      </c>
    </row>
    <row r="209" spans="2:4">
      <c r="D209" t="s">
        <v>3626</v>
      </c>
    </row>
    <row r="210" spans="2:4">
      <c r="C210" t="s">
        <v>3627</v>
      </c>
    </row>
    <row r="211" spans="2:4">
      <c r="B211" t="s">
        <v>3628</v>
      </c>
    </row>
    <row r="212" spans="2:4">
      <c r="B212" t="s">
        <v>3629</v>
      </c>
    </row>
    <row r="213" spans="2:4">
      <c r="B213" t="s">
        <v>3630</v>
      </c>
    </row>
    <row r="214" spans="2:4">
      <c r="B214" t="s">
        <v>3631</v>
      </c>
    </row>
    <row r="215" spans="2:4">
      <c r="B215" t="s">
        <v>3632</v>
      </c>
    </row>
    <row r="216" spans="2:4">
      <c r="C216" t="s">
        <v>3633</v>
      </c>
    </row>
    <row r="217" spans="2:4">
      <c r="C217" t="s">
        <v>3634</v>
      </c>
    </row>
    <row r="218" spans="2:4">
      <c r="B218" t="s">
        <v>3635</v>
      </c>
    </row>
    <row r="219" spans="2:4">
      <c r="B219" t="s">
        <v>3636</v>
      </c>
    </row>
    <row r="220" spans="2:4">
      <c r="C220" t="s">
        <v>3637</v>
      </c>
    </row>
    <row r="221" spans="2:4">
      <c r="C221" t="s">
        <v>3638</v>
      </c>
    </row>
    <row r="222" spans="2:4">
      <c r="B222" t="s">
        <v>3639</v>
      </c>
    </row>
    <row r="223" spans="2:4">
      <c r="C223" t="s">
        <v>3640</v>
      </c>
    </row>
    <row r="224" spans="2:4">
      <c r="B224" t="s">
        <v>3641</v>
      </c>
    </row>
    <row r="225" spans="2:3">
      <c r="C225" t="s">
        <v>3642</v>
      </c>
    </row>
    <row r="226" spans="2:3">
      <c r="C226" t="s">
        <v>3643</v>
      </c>
    </row>
    <row r="227" spans="2:3">
      <c r="B227" t="s">
        <v>3644</v>
      </c>
    </row>
    <row r="228" spans="2:3">
      <c r="B228" t="s">
        <v>3645</v>
      </c>
    </row>
    <row r="229" spans="2:3">
      <c r="C229" t="s">
        <v>3646</v>
      </c>
    </row>
    <row r="230" spans="2:3">
      <c r="C230" t="s">
        <v>3647</v>
      </c>
    </row>
    <row r="231" spans="2:3">
      <c r="B231" t="s">
        <v>3648</v>
      </c>
    </row>
    <row r="232" spans="2:3">
      <c r="C232" t="s">
        <v>3649</v>
      </c>
    </row>
    <row r="233" spans="2:3">
      <c r="C233" t="s">
        <v>3650</v>
      </c>
    </row>
    <row r="234" spans="2:3">
      <c r="C234" t="s">
        <v>3651</v>
      </c>
    </row>
    <row r="235" spans="2:3">
      <c r="B235" t="s">
        <v>3652</v>
      </c>
    </row>
    <row r="236" spans="2:3">
      <c r="B236" t="s">
        <v>3653</v>
      </c>
    </row>
    <row r="237" spans="2:3">
      <c r="B237" t="s">
        <v>3654</v>
      </c>
    </row>
    <row r="238" spans="2:3">
      <c r="C238" t="s">
        <v>3655</v>
      </c>
    </row>
    <row r="239" spans="2:3">
      <c r="C239" t="s">
        <v>3656</v>
      </c>
    </row>
    <row r="240" spans="2:3">
      <c r="B240" t="s">
        <v>3657</v>
      </c>
    </row>
    <row r="241" spans="2:4">
      <c r="C241" t="s">
        <v>3658</v>
      </c>
    </row>
    <row r="242" spans="2:4">
      <c r="B242" t="s">
        <v>3659</v>
      </c>
    </row>
    <row r="243" spans="2:4">
      <c r="B243" t="s">
        <v>3660</v>
      </c>
    </row>
    <row r="244" spans="2:4">
      <c r="C244" t="s">
        <v>3661</v>
      </c>
    </row>
    <row r="245" spans="2:4">
      <c r="C245" t="s">
        <v>3662</v>
      </c>
    </row>
    <row r="246" spans="2:4">
      <c r="C246" t="s">
        <v>3663</v>
      </c>
    </row>
    <row r="247" spans="2:4">
      <c r="B247" t="s">
        <v>3664</v>
      </c>
    </row>
    <row r="248" spans="2:4">
      <c r="C248" t="s">
        <v>3665</v>
      </c>
    </row>
    <row r="249" spans="2:4">
      <c r="C249" t="s">
        <v>3666</v>
      </c>
    </row>
    <row r="250" spans="2:4">
      <c r="C250" t="s">
        <v>3667</v>
      </c>
    </row>
    <row r="251" spans="2:4">
      <c r="B251" t="s">
        <v>3668</v>
      </c>
    </row>
    <row r="252" spans="2:4">
      <c r="C252" t="s">
        <v>3669</v>
      </c>
    </row>
    <row r="253" spans="2:4">
      <c r="C253" t="s">
        <v>3670</v>
      </c>
    </row>
    <row r="254" spans="2:4">
      <c r="C254" t="s">
        <v>3671</v>
      </c>
    </row>
    <row r="255" spans="2:4">
      <c r="C255" t="s">
        <v>3672</v>
      </c>
    </row>
    <row r="256" spans="2:4">
      <c r="D256" t="s">
        <v>3673</v>
      </c>
    </row>
    <row r="257" spans="2:4">
      <c r="D257" t="s">
        <v>3674</v>
      </c>
    </row>
    <row r="258" spans="2:4">
      <c r="D258" t="s">
        <v>3675</v>
      </c>
    </row>
    <row r="259" spans="2:4">
      <c r="D259" t="s">
        <v>3676</v>
      </c>
    </row>
    <row r="260" spans="2:4">
      <c r="B260" t="s">
        <v>3677</v>
      </c>
    </row>
    <row r="261" spans="2:4">
      <c r="C261" t="s">
        <v>3678</v>
      </c>
    </row>
    <row r="262" spans="2:4">
      <c r="C262" t="s">
        <v>3679</v>
      </c>
    </row>
    <row r="263" spans="2:4">
      <c r="C263" t="s">
        <v>3680</v>
      </c>
    </row>
    <row r="264" spans="2:4">
      <c r="C264" t="s">
        <v>3681</v>
      </c>
    </row>
    <row r="265" spans="2:4">
      <c r="C265" t="s">
        <v>3682</v>
      </c>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6"/>
  <sheetViews>
    <sheetView zoomScale="70" zoomScaleNormal="70" topLeftCell="A29" workbookViewId="0">
      <selection activeCell="B47" sqref="B47"/>
    </sheetView>
  </sheetViews>
  <sheetFormatPr defaultColWidth="8.88888888888889" defaultRowHeight="14.4" outlineLevelCol="7"/>
  <cols>
    <col min="1" max="1" width="9.66666666666667"/>
  </cols>
  <sheetData>
    <row r="1" spans="1:8">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8">
      <c r="A2" t="str" cm="1">
        <f ca="1" t="array" ref="A2">_wpsfn.SHEETSNAME(A1)</f>
        <v>20251121</v>
      </c>
      <c r="B2" t="s">
        <v>3683</v>
      </c>
    </row>
    <row r="3" spans="1:8">
      <c r="C3" t="s">
        <v>3684</v>
      </c>
    </row>
    <row r="4" spans="1:8">
      <c r="C4" t="s">
        <v>3685</v>
      </c>
    </row>
    <row r="5" spans="1:8">
      <c r="C5" t="s">
        <v>3686</v>
      </c>
    </row>
    <row r="6" spans="1:8">
      <c r="B6" t="s">
        <v>3687</v>
      </c>
    </row>
    <row r="7" spans="1:8">
      <c r="C7" t="s">
        <v>3688</v>
      </c>
    </row>
    <row r="8" spans="1:8">
      <c r="B8" t="s">
        <v>3689</v>
      </c>
    </row>
    <row r="9" spans="1:8">
      <c r="C9" t="s">
        <v>3690</v>
      </c>
    </row>
    <row r="10" spans="1:8">
      <c r="C10" t="s">
        <v>3691</v>
      </c>
    </row>
    <row r="11" spans="1:8">
      <c r="C11" t="s">
        <v>3692</v>
      </c>
    </row>
    <row r="12" spans="1:8">
      <c r="B12" t="s">
        <v>3693</v>
      </c>
    </row>
    <row r="13" spans="1:8">
      <c r="C13" t="s">
        <v>3694</v>
      </c>
    </row>
    <row r="14" spans="1:8">
      <c r="C14" t="s">
        <v>3695</v>
      </c>
    </row>
    <row r="15" spans="1:8">
      <c r="C15" t="s">
        <v>3696</v>
      </c>
    </row>
    <row r="16" spans="1:8">
      <c r="C16" t="s">
        <v>3697</v>
      </c>
    </row>
    <row r="17" spans="2:3">
      <c r="B17" t="s">
        <v>3698</v>
      </c>
    </row>
    <row r="18" spans="2:3">
      <c r="B18" t="s">
        <v>3699</v>
      </c>
    </row>
    <row r="19" spans="2:3">
      <c r="C19" t="s">
        <v>3700</v>
      </c>
    </row>
    <row r="20" spans="2:3">
      <c r="C20" t="s">
        <v>3701</v>
      </c>
    </row>
    <row r="21" spans="2:3">
      <c r="C21" t="s">
        <v>3702</v>
      </c>
    </row>
    <row r="22" spans="2:3">
      <c r="C22" t="s">
        <v>3703</v>
      </c>
    </row>
    <row r="23" spans="2:3">
      <c r="B23" t="s">
        <v>3704</v>
      </c>
    </row>
    <row r="24" spans="2:3">
      <c r="C24" t="s">
        <v>3705</v>
      </c>
    </row>
    <row r="25" spans="2:3">
      <c r="B25" t="s">
        <v>3706</v>
      </c>
    </row>
    <row r="26" spans="2:3">
      <c r="B26" t="s">
        <v>3707</v>
      </c>
    </row>
    <row r="27" spans="2:3">
      <c r="B27" t="s">
        <v>3708</v>
      </c>
    </row>
    <row r="28" spans="2:3">
      <c r="C28" t="s">
        <v>3709</v>
      </c>
    </row>
    <row r="29" spans="2:3">
      <c r="C29" t="s">
        <v>3710</v>
      </c>
    </row>
    <row r="30" spans="2:3">
      <c r="B30" t="s">
        <v>3711</v>
      </c>
    </row>
    <row r="31" spans="2:3">
      <c r="C31" t="s">
        <v>3712</v>
      </c>
    </row>
    <row r="32" spans="2:3">
      <c r="B32" t="s">
        <v>3713</v>
      </c>
    </row>
    <row r="33" spans="2:3">
      <c r="C33" t="s">
        <v>3714</v>
      </c>
    </row>
    <row r="34" spans="2:3">
      <c r="C34" t="s">
        <v>3715</v>
      </c>
    </row>
    <row r="35" spans="2:3">
      <c r="C35" t="s">
        <v>3716</v>
      </c>
    </row>
    <row r="36" spans="2:3">
      <c r="B36" t="s">
        <v>3717</v>
      </c>
    </row>
    <row r="37" spans="2:3">
      <c r="B37" t="s">
        <v>3718</v>
      </c>
    </row>
    <row r="38" spans="2:3">
      <c r="B38" t="s">
        <v>3719</v>
      </c>
    </row>
    <row r="39" spans="2:3">
      <c r="B39" t="s">
        <v>3720</v>
      </c>
    </row>
    <row r="40" spans="2:3">
      <c r="B40" t="s">
        <v>3721</v>
      </c>
    </row>
    <row r="41" spans="2:3">
      <c r="B41" t="s">
        <v>3722</v>
      </c>
    </row>
    <row r="42" spans="2:3">
      <c r="C42" t="s">
        <v>3723</v>
      </c>
    </row>
    <row r="43" spans="2:3">
      <c r="C43" t="s">
        <v>3724</v>
      </c>
    </row>
    <row r="44" spans="2:3">
      <c r="B44" t="s">
        <v>3725</v>
      </c>
    </row>
    <row r="45" spans="2:3">
      <c r="C45" t="s">
        <v>3726</v>
      </c>
    </row>
    <row r="46" spans="2:3">
      <c r="C46" t="s">
        <v>3727</v>
      </c>
    </row>
    <row r="47" spans="2:3">
      <c r="B47" t="s">
        <v>3728</v>
      </c>
    </row>
    <row r="48" spans="2:3">
      <c r="C48" t="s">
        <v>3729</v>
      </c>
    </row>
    <row r="49" spans="2:3">
      <c r="C49" t="s">
        <v>3730</v>
      </c>
    </row>
    <row r="50" spans="2:3">
      <c r="C50" t="s">
        <v>3731</v>
      </c>
    </row>
    <row r="51" spans="2:3">
      <c r="B51" t="s">
        <v>3732</v>
      </c>
    </row>
    <row r="52" spans="2:3">
      <c r="C52" t="s">
        <v>3733</v>
      </c>
    </row>
    <row r="53" spans="2:3">
      <c r="C53" t="s">
        <v>3734</v>
      </c>
    </row>
    <row r="54" spans="2:3">
      <c r="C54" t="s">
        <v>3735</v>
      </c>
    </row>
    <row r="55" spans="2:3">
      <c r="B55" t="s">
        <v>3736</v>
      </c>
    </row>
    <row r="56" spans="2:3">
      <c r="C56" t="s">
        <v>3737</v>
      </c>
    </row>
    <row r="57" spans="2:3">
      <c r="C57" t="s">
        <v>3738</v>
      </c>
    </row>
    <row r="58" spans="2:3">
      <c r="B58" t="s">
        <v>3739</v>
      </c>
    </row>
    <row r="59" spans="2:3">
      <c r="C59" t="s">
        <v>3740</v>
      </c>
    </row>
    <row r="60" spans="2:3">
      <c r="B60" t="s">
        <v>3741</v>
      </c>
    </row>
    <row r="61" spans="2:3">
      <c r="C61" t="s">
        <v>3742</v>
      </c>
    </row>
    <row r="62" spans="2:3">
      <c r="B62" t="s">
        <v>3743</v>
      </c>
    </row>
    <row r="63" spans="2:3">
      <c r="C63" t="s">
        <v>3744</v>
      </c>
    </row>
    <row r="64" spans="2:3">
      <c r="C64" t="s">
        <v>3745</v>
      </c>
    </row>
    <row r="65" spans="3:3">
      <c r="C65" t="s">
        <v>3746</v>
      </c>
    </row>
    <row r="66" spans="3:3">
      <c r="C66" t="s">
        <v>3747</v>
      </c>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2"/>
  <sheetViews>
    <sheetView zoomScale="70" zoomScaleNormal="70" topLeftCell="A75" workbookViewId="0">
      <selection activeCell="B30" sqref="B30"/>
    </sheetView>
  </sheetViews>
  <sheetFormatPr defaultColWidth="8.88888888888889" defaultRowHeight="14.4" outlineLevelCol="7"/>
  <cols>
    <col min="1" max="1" width="9.66666666666667"/>
  </cols>
  <sheetData>
    <row r="1" spans="1:8">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8">
      <c r="A2" t="str" cm="1">
        <f ca="1" t="array" ref="A2">_wpsfn.SHEETSNAME(A1)</f>
        <v>20251122</v>
      </c>
      <c r="B2" t="s">
        <v>3748</v>
      </c>
    </row>
    <row r="3" spans="1:8">
      <c r="C3" t="s">
        <v>3749</v>
      </c>
    </row>
    <row r="4" spans="1:8">
      <c r="C4" t="s">
        <v>3750</v>
      </c>
    </row>
    <row r="5" spans="1:8">
      <c r="C5" t="s">
        <v>3751</v>
      </c>
    </row>
    <row r="6" spans="1:8">
      <c r="B6" t="s">
        <v>3752</v>
      </c>
    </row>
    <row r="7" spans="1:8">
      <c r="B7" t="s">
        <v>3753</v>
      </c>
    </row>
    <row r="8" spans="1:8">
      <c r="C8" t="s">
        <v>3754</v>
      </c>
    </row>
    <row r="9" spans="1:8">
      <c r="C9" t="s">
        <v>3755</v>
      </c>
    </row>
    <row r="10" spans="1:8">
      <c r="B10" t="s">
        <v>3756</v>
      </c>
    </row>
    <row r="11" spans="1:8">
      <c r="B11" t="s">
        <v>3757</v>
      </c>
    </row>
    <row r="12" spans="1:8">
      <c r="C12" t="s">
        <v>3758</v>
      </c>
    </row>
    <row r="13" spans="1:8">
      <c r="D13" t="s">
        <v>3759</v>
      </c>
    </row>
    <row r="14" spans="1:8">
      <c r="D14" t="s">
        <v>3760</v>
      </c>
    </row>
    <row r="15" spans="1:8">
      <c r="B15" t="s">
        <v>3761</v>
      </c>
    </row>
    <row r="16" spans="1:8">
      <c r="C16" t="s">
        <v>3762</v>
      </c>
    </row>
    <row r="17" spans="2:4">
      <c r="C17" t="s">
        <v>3763</v>
      </c>
    </row>
    <row r="18" spans="2:4">
      <c r="B18" t="s">
        <v>3764</v>
      </c>
    </row>
    <row r="19" spans="2:4">
      <c r="B19" t="s">
        <v>3765</v>
      </c>
    </row>
    <row r="20" spans="2:4">
      <c r="B20" t="s">
        <v>3766</v>
      </c>
    </row>
    <row r="21" spans="2:4">
      <c r="C21" t="s">
        <v>3767</v>
      </c>
    </row>
    <row r="22" spans="2:4">
      <c r="C22" t="s">
        <v>3768</v>
      </c>
    </row>
    <row r="23" spans="2:4">
      <c r="D23" t="s">
        <v>3769</v>
      </c>
    </row>
    <row r="24" spans="2:4">
      <c r="D24" t="s">
        <v>3770</v>
      </c>
    </row>
    <row r="25" spans="2:4">
      <c r="D25" t="s">
        <v>3771</v>
      </c>
    </row>
    <row r="26" spans="2:4">
      <c r="C26" t="s">
        <v>3772</v>
      </c>
    </row>
    <row r="27" spans="2:4">
      <c r="D27" t="s">
        <v>3773</v>
      </c>
    </row>
    <row r="28" spans="2:4">
      <c r="D28" t="s">
        <v>3774</v>
      </c>
    </row>
    <row r="29" spans="2:4">
      <c r="D29" t="s">
        <v>3775</v>
      </c>
    </row>
    <row r="30" spans="2:4">
      <c r="B30" t="s">
        <v>3776</v>
      </c>
    </row>
    <row r="31" spans="2:4">
      <c r="C31" t="s">
        <v>3777</v>
      </c>
    </row>
    <row r="32" spans="2:4">
      <c r="C32" t="s">
        <v>3778</v>
      </c>
    </row>
    <row r="33" spans="2:3">
      <c r="C33" t="s">
        <v>3779</v>
      </c>
    </row>
    <row r="34" spans="2:3">
      <c r="B34" t="s">
        <v>3780</v>
      </c>
    </row>
    <row r="35" spans="2:3">
      <c r="C35" t="s">
        <v>3781</v>
      </c>
    </row>
    <row r="36" spans="2:3">
      <c r="B36" t="s">
        <v>3782</v>
      </c>
    </row>
    <row r="37" spans="2:3">
      <c r="C37" t="s">
        <v>3783</v>
      </c>
    </row>
    <row r="38" spans="2:3">
      <c r="B38" t="s">
        <v>3784</v>
      </c>
    </row>
    <row r="39" spans="2:3">
      <c r="C39" t="s">
        <v>3785</v>
      </c>
    </row>
    <row r="40" spans="2:3">
      <c r="C40" t="s">
        <v>3786</v>
      </c>
    </row>
    <row r="41" spans="2:3">
      <c r="B41" t="s">
        <v>3787</v>
      </c>
    </row>
    <row r="42" spans="2:3">
      <c r="B42" t="s">
        <v>3788</v>
      </c>
    </row>
    <row r="43" spans="2:3">
      <c r="C43" t="s">
        <v>3789</v>
      </c>
    </row>
    <row r="44" spans="2:3">
      <c r="C44" t="s">
        <v>3790</v>
      </c>
    </row>
    <row r="45" spans="2:3">
      <c r="B45" t="s">
        <v>3791</v>
      </c>
    </row>
    <row r="46" spans="2:3">
      <c r="B46" t="s">
        <v>3792</v>
      </c>
    </row>
    <row r="47" spans="2:3">
      <c r="C47" t="s">
        <v>3793</v>
      </c>
    </row>
    <row r="48" spans="2:3">
      <c r="B48" t="s">
        <v>3794</v>
      </c>
    </row>
    <row r="49" spans="2:4">
      <c r="C49" t="s">
        <v>3795</v>
      </c>
    </row>
    <row r="50" spans="2:4">
      <c r="C50" t="s">
        <v>3796</v>
      </c>
    </row>
    <row r="51" spans="2:4">
      <c r="C51" t="s">
        <v>3797</v>
      </c>
    </row>
    <row r="52" spans="2:4">
      <c r="C52" t="s">
        <v>3798</v>
      </c>
    </row>
    <row r="53" spans="2:4">
      <c r="D53" t="s">
        <v>3799</v>
      </c>
    </row>
    <row r="54" spans="2:4">
      <c r="C54" t="s">
        <v>3800</v>
      </c>
    </row>
    <row r="55" spans="2:4">
      <c r="D55" t="s">
        <v>3801</v>
      </c>
    </row>
    <row r="56" spans="2:4">
      <c r="C56" t="s">
        <v>3802</v>
      </c>
    </row>
    <row r="57" spans="2:4">
      <c r="C57" t="s">
        <v>3803</v>
      </c>
    </row>
    <row r="58" spans="2:4">
      <c r="C58" t="s">
        <v>3804</v>
      </c>
    </row>
    <row r="59" spans="2:4">
      <c r="B59" t="s">
        <v>3805</v>
      </c>
    </row>
    <row r="60" spans="2:4">
      <c r="B60" t="s">
        <v>3806</v>
      </c>
    </row>
    <row r="61" spans="2:4">
      <c r="C61" t="s">
        <v>3807</v>
      </c>
    </row>
    <row r="62" spans="2:4">
      <c r="C62" t="s">
        <v>3808</v>
      </c>
    </row>
    <row r="63" spans="2:4">
      <c r="C63" t="s">
        <v>3809</v>
      </c>
    </row>
    <row r="64" spans="2:4">
      <c r="C64" t="s">
        <v>3810</v>
      </c>
    </row>
    <row r="65" spans="2:3">
      <c r="C65" t="s">
        <v>3811</v>
      </c>
    </row>
    <row r="66" spans="2:3">
      <c r="B66" t="s">
        <v>3812</v>
      </c>
    </row>
    <row r="67" spans="2:3">
      <c r="C67" t="s">
        <v>3813</v>
      </c>
    </row>
    <row r="68" spans="2:3">
      <c r="B68" t="s">
        <v>3814</v>
      </c>
    </row>
    <row r="69" spans="2:3">
      <c r="C69" t="s">
        <v>3815</v>
      </c>
    </row>
    <row r="70" spans="2:3">
      <c r="C70" t="s">
        <v>3778</v>
      </c>
    </row>
    <row r="71" spans="2:3">
      <c r="C71" t="s">
        <v>3816</v>
      </c>
    </row>
    <row r="72" spans="2:3">
      <c r="C72" t="s">
        <v>3817</v>
      </c>
    </row>
    <row r="73" spans="2:3">
      <c r="B73" t="s">
        <v>3818</v>
      </c>
    </row>
    <row r="74" spans="2:3">
      <c r="C74" t="s">
        <v>3819</v>
      </c>
    </row>
    <row r="75" spans="2:3">
      <c r="C75" t="s">
        <v>3820</v>
      </c>
    </row>
    <row r="76" spans="2:3">
      <c r="C76" t="s">
        <v>3821</v>
      </c>
    </row>
    <row r="77" spans="2:3">
      <c r="C77" t="s">
        <v>3822</v>
      </c>
    </row>
    <row r="78" spans="2:3">
      <c r="B78" t="s">
        <v>3823</v>
      </c>
    </row>
    <row r="79" spans="2:3">
      <c r="C79" t="s">
        <v>3824</v>
      </c>
    </row>
    <row r="80" spans="2:3">
      <c r="C80" t="s">
        <v>3825</v>
      </c>
    </row>
    <row r="81" spans="2:3">
      <c r="B81" t="s">
        <v>3826</v>
      </c>
    </row>
    <row r="82" spans="2:3">
      <c r="B82" t="s">
        <v>3827</v>
      </c>
    </row>
    <row r="83" spans="2:3">
      <c r="C83" t="s">
        <v>3828</v>
      </c>
    </row>
    <row r="84" spans="2:3">
      <c r="B84" t="s">
        <v>3829</v>
      </c>
    </row>
    <row r="85" spans="2:3">
      <c r="B85" t="s">
        <v>3830</v>
      </c>
    </row>
    <row r="86" spans="2:3">
      <c r="C86" t="s">
        <v>3831</v>
      </c>
    </row>
    <row r="87" spans="2:3">
      <c r="C87" t="s">
        <v>3832</v>
      </c>
    </row>
    <row r="88" spans="2:3">
      <c r="B88" t="s">
        <v>3833</v>
      </c>
    </row>
    <row r="89" spans="2:3">
      <c r="B89" t="s">
        <v>3834</v>
      </c>
    </row>
    <row r="90" spans="2:3">
      <c r="C90" t="s">
        <v>3835</v>
      </c>
    </row>
    <row r="91" spans="2:3">
      <c r="C91" t="s">
        <v>3836</v>
      </c>
    </row>
    <row r="92" spans="2:3">
      <c r="C92" t="s">
        <v>3837</v>
      </c>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3"/>
  <sheetViews>
    <sheetView topLeftCell="A58" workbookViewId="0">
      <selection activeCell="C58" sqref="C58"/>
    </sheetView>
  </sheetViews>
  <sheetFormatPr defaultColWidth="8.88888888888889" defaultRowHeight="14.4" outlineLevelCol="7"/>
  <cols>
    <col min="1" max="1" width="9.66666666666667"/>
  </cols>
  <sheetData>
    <row r="1" spans="1:8">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8">
      <c r="A2" t="str" cm="1">
        <f ca="1" t="array" ref="A2">_wpsfn.SHEETSNAME(A1)</f>
        <v>20251123</v>
      </c>
      <c r="B2" t="s">
        <v>3838</v>
      </c>
    </row>
    <row r="3" spans="1:8">
      <c r="C3" t="s">
        <v>3839</v>
      </c>
    </row>
    <row r="4" spans="1:8">
      <c r="D4" t="s">
        <v>3840</v>
      </c>
    </row>
    <row r="5" spans="1:8">
      <c r="E5" t="s">
        <v>3841</v>
      </c>
    </row>
    <row r="6" spans="1:8">
      <c r="E6" t="s">
        <v>3842</v>
      </c>
    </row>
    <row r="7" spans="1:8">
      <c r="F7" t="s">
        <v>3843</v>
      </c>
    </row>
    <row r="8" spans="1:8">
      <c r="F8" t="s">
        <v>3844</v>
      </c>
    </row>
    <row r="9" spans="1:8">
      <c r="F9" t="s">
        <v>3845</v>
      </c>
    </row>
    <row r="10" spans="1:8">
      <c r="F10" t="s">
        <v>3846</v>
      </c>
    </row>
    <row r="11" spans="1:8">
      <c r="F11" t="s">
        <v>3847</v>
      </c>
    </row>
    <row r="12" spans="1:8">
      <c r="E12" t="s">
        <v>3848</v>
      </c>
    </row>
    <row r="13" spans="1:8">
      <c r="F13" t="s">
        <v>3849</v>
      </c>
    </row>
    <row r="14" spans="1:8">
      <c r="G14" t="s">
        <v>3850</v>
      </c>
    </row>
    <row r="15" spans="1:8">
      <c r="F15" t="s">
        <v>3851</v>
      </c>
    </row>
    <row r="16" spans="1:8">
      <c r="F16" t="s">
        <v>3852</v>
      </c>
    </row>
    <row r="17" spans="2:6">
      <c r="F17" t="s">
        <v>3853</v>
      </c>
    </row>
    <row r="18" spans="2:6">
      <c r="F18" t="s">
        <v>3854</v>
      </c>
    </row>
    <row r="19" spans="2:6">
      <c r="F19" t="s">
        <v>3855</v>
      </c>
    </row>
    <row r="20" spans="2:6">
      <c r="F20" t="s">
        <v>3856</v>
      </c>
    </row>
    <row r="21" spans="2:6">
      <c r="F21" t="s">
        <v>3857</v>
      </c>
    </row>
    <row r="22" spans="2:6">
      <c r="F22" t="s">
        <v>3858</v>
      </c>
    </row>
    <row r="23" spans="2:6">
      <c r="F23" t="s">
        <v>3859</v>
      </c>
    </row>
    <row r="24" spans="2:6">
      <c r="F24" t="s">
        <v>3553</v>
      </c>
    </row>
    <row r="25" spans="2:6">
      <c r="F25" t="s">
        <v>3860</v>
      </c>
    </row>
    <row r="26" spans="2:6">
      <c r="B26" t="s">
        <v>3861</v>
      </c>
    </row>
    <row r="27" spans="2:6">
      <c r="C27" t="s">
        <v>3862</v>
      </c>
    </row>
    <row r="28" spans="2:6">
      <c r="D28" t="s">
        <v>3863</v>
      </c>
    </row>
    <row r="29" spans="2:6">
      <c r="D29" t="s">
        <v>3864</v>
      </c>
    </row>
    <row r="30" spans="2:6">
      <c r="D30" t="s">
        <v>3865</v>
      </c>
    </row>
    <row r="31" spans="2:6">
      <c r="D31" t="s">
        <v>3866</v>
      </c>
    </row>
    <row r="32" spans="2:6">
      <c r="D32" t="s">
        <v>3867</v>
      </c>
    </row>
    <row r="33" spans="2:5">
      <c r="C33" t="s">
        <v>3868</v>
      </c>
    </row>
    <row r="34" spans="2:5">
      <c r="B34" t="s">
        <v>3869</v>
      </c>
    </row>
    <row r="35" spans="2:5">
      <c r="C35" t="s">
        <v>3870</v>
      </c>
    </row>
    <row r="36" spans="2:5">
      <c r="D36" t="s">
        <v>3871</v>
      </c>
    </row>
    <row r="37" spans="2:5">
      <c r="D37" t="s">
        <v>3872</v>
      </c>
    </row>
    <row r="38" spans="2:5">
      <c r="E38" t="s">
        <v>3873</v>
      </c>
    </row>
    <row r="39" spans="2:5">
      <c r="D39" t="s">
        <v>3874</v>
      </c>
    </row>
    <row r="40" spans="2:5">
      <c r="D40" t="s">
        <v>3875</v>
      </c>
    </row>
    <row r="41" spans="2:5">
      <c r="D41" t="s">
        <v>3876</v>
      </c>
    </row>
    <row r="42" spans="2:5">
      <c r="C42" t="s">
        <v>3877</v>
      </c>
    </row>
    <row r="43" spans="2:5">
      <c r="D43" t="s">
        <v>3878</v>
      </c>
    </row>
    <row r="44" spans="2:5">
      <c r="D44" t="s">
        <v>3879</v>
      </c>
    </row>
    <row r="45" spans="2:5">
      <c r="D45" t="s">
        <v>3880</v>
      </c>
    </row>
    <row r="46" spans="2:5">
      <c r="D46" t="s">
        <v>3881</v>
      </c>
    </row>
    <row r="47" spans="2:5">
      <c r="D47" t="s">
        <v>3882</v>
      </c>
    </row>
    <row r="48" spans="2:5">
      <c r="D48" t="s">
        <v>3883</v>
      </c>
    </row>
    <row r="49" spans="2:4">
      <c r="D49" t="s">
        <v>3884</v>
      </c>
    </row>
    <row r="50" spans="2:4">
      <c r="B50" t="s">
        <v>3885</v>
      </c>
    </row>
    <row r="51" spans="2:4">
      <c r="C51" t="s">
        <v>3886</v>
      </c>
    </row>
    <row r="52" spans="2:4">
      <c r="C52" t="s">
        <v>3887</v>
      </c>
    </row>
    <row r="53" spans="2:4">
      <c r="C53" t="s">
        <v>3888</v>
      </c>
    </row>
    <row r="54" spans="2:4">
      <c r="C54" t="s">
        <v>3889</v>
      </c>
    </row>
    <row r="55" spans="2:4">
      <c r="C55" t="s">
        <v>3890</v>
      </c>
    </row>
    <row r="56" spans="2:4">
      <c r="C56" t="s">
        <v>3891</v>
      </c>
    </row>
    <row r="57" spans="2:4">
      <c r="C57" t="s">
        <v>3892</v>
      </c>
    </row>
    <row r="58" spans="2:4">
      <c r="C58" t="s">
        <v>3893</v>
      </c>
    </row>
    <row r="59" spans="2:4">
      <c r="C59" t="s">
        <v>3894</v>
      </c>
    </row>
    <row r="60" spans="2:4">
      <c r="B60" t="s">
        <v>3895</v>
      </c>
    </row>
    <row r="61" spans="2:4">
      <c r="C61" t="s">
        <v>3896</v>
      </c>
    </row>
    <row r="62" spans="2:4">
      <c r="D62" t="s">
        <v>3897</v>
      </c>
    </row>
    <row r="63" spans="2:4">
      <c r="D63" t="s">
        <v>3898</v>
      </c>
    </row>
    <row r="64" spans="2:4">
      <c r="D64" t="s">
        <v>3899</v>
      </c>
    </row>
    <row r="65" spans="2:4">
      <c r="D65" t="s">
        <v>3900</v>
      </c>
    </row>
    <row r="66" spans="2:4">
      <c r="D66" t="s">
        <v>3901</v>
      </c>
    </row>
    <row r="67" spans="2:4">
      <c r="B67" t="s">
        <v>3902</v>
      </c>
    </row>
    <row r="68" spans="2:4">
      <c r="C68" t="s">
        <v>3903</v>
      </c>
    </row>
    <row r="69" spans="2:4">
      <c r="C69" t="s">
        <v>3904</v>
      </c>
    </row>
    <row r="70" spans="2:4">
      <c r="B70" t="s">
        <v>3905</v>
      </c>
    </row>
    <row r="71" spans="2:4">
      <c r="C71" t="s">
        <v>3906</v>
      </c>
    </row>
    <row r="72" spans="2:4">
      <c r="B72" t="s">
        <v>3907</v>
      </c>
    </row>
    <row r="73" spans="2:4">
      <c r="B73" t="s">
        <v>3908</v>
      </c>
    </row>
    <row r="74" spans="2:4">
      <c r="B74" t="s">
        <v>3909</v>
      </c>
    </row>
    <row r="75" spans="2:4">
      <c r="B75" t="s">
        <v>3910</v>
      </c>
    </row>
    <row r="76" spans="2:4">
      <c r="B76" t="s">
        <v>3911</v>
      </c>
    </row>
    <row r="77" spans="2:4">
      <c r="C77" t="s">
        <v>3912</v>
      </c>
    </row>
    <row r="78" spans="2:4">
      <c r="B78" t="s">
        <v>3913</v>
      </c>
    </row>
    <row r="79" spans="2:4">
      <c r="C79" t="s">
        <v>3914</v>
      </c>
    </row>
    <row r="80" spans="2:4">
      <c r="D80" t="s">
        <v>3915</v>
      </c>
    </row>
    <row r="81" spans="2:4">
      <c r="D81" t="s">
        <v>3916</v>
      </c>
    </row>
    <row r="82" spans="2:4">
      <c r="B82" t="s">
        <v>3917</v>
      </c>
    </row>
    <row r="83" spans="2:4">
      <c r="B83" t="s">
        <v>3918</v>
      </c>
    </row>
    <row r="84" spans="2:4">
      <c r="C84" t="s">
        <v>3919</v>
      </c>
    </row>
    <row r="85" spans="2:4">
      <c r="B85" t="s">
        <v>3920</v>
      </c>
    </row>
    <row r="86" spans="2:4">
      <c r="C86" t="s">
        <v>3921</v>
      </c>
    </row>
    <row r="87" spans="2:4">
      <c r="C87" t="s">
        <v>3922</v>
      </c>
    </row>
    <row r="88" spans="2:4">
      <c r="B88" t="s">
        <v>3923</v>
      </c>
    </row>
    <row r="89" spans="2:4">
      <c r="B89" t="s">
        <v>3924</v>
      </c>
    </row>
    <row r="90" spans="2:4">
      <c r="B90" t="s">
        <v>3925</v>
      </c>
    </row>
    <row r="91" spans="2:4">
      <c r="B91" t="s">
        <v>3926</v>
      </c>
    </row>
    <row r="92" spans="2:4">
      <c r="C92" t="s">
        <v>3927</v>
      </c>
    </row>
    <row r="93" spans="2:4">
      <c r="C93" t="s">
        <v>3928</v>
      </c>
    </row>
    <row r="94" spans="2:4">
      <c r="C94" t="s">
        <v>3929</v>
      </c>
    </row>
    <row r="95" spans="2:4">
      <c r="C95" t="s">
        <v>3930</v>
      </c>
    </row>
    <row r="96" spans="2:4">
      <c r="D96" t="s">
        <v>3931</v>
      </c>
    </row>
    <row r="97" spans="2:3">
      <c r="C97" t="s">
        <v>3932</v>
      </c>
    </row>
    <row r="98" spans="2:3">
      <c r="C98" t="s">
        <v>3933</v>
      </c>
    </row>
    <row r="99" spans="2:3">
      <c r="C99" t="s">
        <v>3934</v>
      </c>
    </row>
    <row r="100" spans="2:3">
      <c r="C100" t="s">
        <v>3935</v>
      </c>
    </row>
    <row r="101" spans="2:3">
      <c r="B101" t="s">
        <v>3936</v>
      </c>
    </row>
    <row r="102" spans="2:3">
      <c r="C102" t="s">
        <v>3937</v>
      </c>
    </row>
    <row r="103" spans="2:3">
      <c r="C103" t="s">
        <v>3938</v>
      </c>
    </row>
    <row r="104" spans="2:3">
      <c r="C104" t="s">
        <v>3939</v>
      </c>
    </row>
    <row r="105" spans="2:3">
      <c r="C105" t="s">
        <v>3940</v>
      </c>
    </row>
    <row r="106" spans="2:3">
      <c r="C106" t="s">
        <v>3941</v>
      </c>
    </row>
    <row r="107" spans="2:3">
      <c r="B107" t="s">
        <v>3942</v>
      </c>
    </row>
    <row r="108" spans="2:3">
      <c r="C108" t="s">
        <v>3943</v>
      </c>
    </row>
    <row r="109" spans="2:3">
      <c r="C109" t="s">
        <v>3944</v>
      </c>
    </row>
    <row r="110" spans="2:3">
      <c r="C110" t="s">
        <v>3945</v>
      </c>
    </row>
    <row r="111" spans="2:3">
      <c r="C111" t="s">
        <v>3946</v>
      </c>
    </row>
    <row r="112" spans="2:3">
      <c r="B112" t="s">
        <v>3947</v>
      </c>
    </row>
    <row r="113" spans="2:2">
      <c r="B113" t="s">
        <v>3948</v>
      </c>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5"/>
  <sheetViews>
    <sheetView topLeftCell="A31" workbookViewId="0">
      <selection activeCell="K61" sqref="K61"/>
    </sheetView>
  </sheetViews>
  <sheetFormatPr defaultColWidth="8.88888888888889" defaultRowHeight="14.4" outlineLevelCol="7"/>
  <cols>
    <col min="1" max="1" width="9.66666666666667"/>
  </cols>
  <sheetData>
    <row r="1" spans="1:8">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8">
      <c r="A2" t="str" cm="1">
        <f ca="1" t="array" ref="A2">_wpsfn.SHEETSNAME(A1)</f>
        <v>20251124</v>
      </c>
      <c r="B2" t="s">
        <v>3949</v>
      </c>
    </row>
    <row r="3" spans="1:8">
      <c r="C3" t="s">
        <v>3950</v>
      </c>
    </row>
    <row r="4" spans="1:8">
      <c r="C4" t="s">
        <v>3951</v>
      </c>
    </row>
    <row r="5" spans="1:8">
      <c r="B5" t="s">
        <v>3952</v>
      </c>
    </row>
    <row r="6" spans="1:8">
      <c r="C6" t="s">
        <v>3953</v>
      </c>
    </row>
    <row r="7" spans="1:8">
      <c r="C7" t="s">
        <v>3954</v>
      </c>
    </row>
    <row r="8" spans="1:8">
      <c r="C8" t="s">
        <v>3955</v>
      </c>
    </row>
    <row r="9" spans="1:8">
      <c r="D9" t="s">
        <v>3956</v>
      </c>
    </row>
    <row r="10" spans="1:8">
      <c r="D10" t="s">
        <v>3957</v>
      </c>
    </row>
    <row r="11" spans="1:8">
      <c r="D11" t="s">
        <v>3958</v>
      </c>
    </row>
    <row r="12" spans="1:8">
      <c r="B12" t="s">
        <v>3959</v>
      </c>
    </row>
    <row r="13" spans="1:8">
      <c r="B13" t="s">
        <v>3960</v>
      </c>
    </row>
    <row r="14" spans="1:8">
      <c r="C14" t="s">
        <v>3961</v>
      </c>
    </row>
    <row r="15" spans="1:8">
      <c r="C15" t="s">
        <v>3962</v>
      </c>
    </row>
    <row r="16" spans="1:8">
      <c r="C16" t="s">
        <v>3963</v>
      </c>
    </row>
    <row r="17" spans="2:4">
      <c r="B17" t="s">
        <v>3964</v>
      </c>
    </row>
    <row r="18" spans="2:4">
      <c r="C18" t="s">
        <v>3965</v>
      </c>
    </row>
    <row r="19" spans="2:4">
      <c r="C19" t="s">
        <v>3966</v>
      </c>
    </row>
    <row r="20" spans="2:4">
      <c r="C20" t="s">
        <v>3967</v>
      </c>
    </row>
    <row r="21" spans="2:4">
      <c r="D21" t="s">
        <v>3968</v>
      </c>
    </row>
    <row r="22" spans="2:4">
      <c r="D22" t="s">
        <v>3969</v>
      </c>
    </row>
    <row r="23" spans="2:4">
      <c r="B23" t="s">
        <v>3970</v>
      </c>
    </row>
    <row r="24" spans="2:4">
      <c r="B24" t="s">
        <v>3971</v>
      </c>
    </row>
    <row r="25" spans="2:4">
      <c r="B25" t="s">
        <v>3972</v>
      </c>
    </row>
    <row r="26" spans="2:4">
      <c r="C26" t="s">
        <v>3973</v>
      </c>
    </row>
    <row r="27" spans="2:4">
      <c r="C27" t="s">
        <v>3974</v>
      </c>
    </row>
    <row r="28" spans="2:4">
      <c r="B28" t="s">
        <v>3975</v>
      </c>
    </row>
    <row r="29" spans="2:4">
      <c r="C29" t="s">
        <v>3976</v>
      </c>
    </row>
    <row r="30" spans="2:4">
      <c r="C30" t="s">
        <v>3977</v>
      </c>
    </row>
    <row r="31" spans="2:4">
      <c r="C31" t="s">
        <v>3978</v>
      </c>
    </row>
    <row r="32" spans="2:4">
      <c r="C32" t="s">
        <v>3979</v>
      </c>
    </row>
    <row r="33" spans="2:3">
      <c r="C33" t="s">
        <v>3980</v>
      </c>
    </row>
    <row r="34" spans="2:3">
      <c r="B34" t="s">
        <v>3981</v>
      </c>
    </row>
    <row r="35" spans="2:3">
      <c r="C35" t="s">
        <v>3982</v>
      </c>
    </row>
    <row r="36" spans="2:3">
      <c r="C36" t="s">
        <v>3983</v>
      </c>
    </row>
    <row r="37" spans="2:3">
      <c r="C37" t="s">
        <v>3984</v>
      </c>
    </row>
    <row r="38" spans="2:3">
      <c r="B38" t="s">
        <v>3985</v>
      </c>
    </row>
    <row r="39" spans="2:3">
      <c r="C39" t="s">
        <v>3986</v>
      </c>
    </row>
    <row r="40" spans="2:3">
      <c r="C40" t="s">
        <v>3987</v>
      </c>
    </row>
    <row r="41" spans="2:3">
      <c r="C41" t="s">
        <v>3988</v>
      </c>
    </row>
    <row r="42" spans="2:3">
      <c r="B42" t="s">
        <v>3989</v>
      </c>
    </row>
    <row r="43" spans="2:3">
      <c r="C43" t="s">
        <v>3990</v>
      </c>
    </row>
    <row r="44" spans="2:3">
      <c r="C44" t="s">
        <v>3991</v>
      </c>
    </row>
    <row r="45" spans="2:3">
      <c r="C45" t="s">
        <v>3992</v>
      </c>
    </row>
    <row r="46" spans="2:3">
      <c r="B46" t="s">
        <v>3993</v>
      </c>
    </row>
    <row r="47" spans="2:3">
      <c r="C47" t="s">
        <v>3994</v>
      </c>
    </row>
    <row r="48" spans="2:3">
      <c r="C48" t="s">
        <v>3995</v>
      </c>
    </row>
    <row r="49" spans="2:3">
      <c r="C49" t="s">
        <v>3996</v>
      </c>
    </row>
    <row r="50" spans="2:3">
      <c r="B50" t="s">
        <v>3997</v>
      </c>
    </row>
    <row r="51" spans="2:3">
      <c r="C51" t="s">
        <v>3998</v>
      </c>
    </row>
    <row r="52" spans="2:3">
      <c r="C52" t="s">
        <v>3999</v>
      </c>
    </row>
    <row r="53" spans="2:3">
      <c r="C53" t="s">
        <v>4000</v>
      </c>
    </row>
    <row r="54" spans="2:3">
      <c r="C54" t="s">
        <v>4001</v>
      </c>
    </row>
    <row r="55" spans="2:3">
      <c r="B55" t="s">
        <v>4002</v>
      </c>
    </row>
    <row r="56" spans="2:3">
      <c r="C56" t="s">
        <v>4003</v>
      </c>
    </row>
    <row r="57" spans="2:3">
      <c r="C57" t="s">
        <v>4004</v>
      </c>
    </row>
    <row r="58" spans="2:3">
      <c r="C58" t="s">
        <v>4005</v>
      </c>
    </row>
    <row r="59" spans="2:3">
      <c r="B59" t="s">
        <v>4006</v>
      </c>
    </row>
    <row r="60" spans="2:3">
      <c r="C60" t="s">
        <v>4007</v>
      </c>
    </row>
    <row r="61" spans="2:3">
      <c r="C61" t="s">
        <v>4008</v>
      </c>
    </row>
    <row r="62" spans="2:3">
      <c r="C62" t="s">
        <v>4009</v>
      </c>
    </row>
    <row r="63" spans="2:3">
      <c r="B63" t="s">
        <v>4010</v>
      </c>
    </row>
    <row r="64" spans="2:3">
      <c r="B64" t="s">
        <v>4011</v>
      </c>
    </row>
    <row r="65" spans="3:3">
      <c r="C65" t="s">
        <v>4012</v>
      </c>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5"/>
  <sheetViews>
    <sheetView workbookViewId="0">
      <selection activeCell="D19" sqref="D19"/>
    </sheetView>
  </sheetViews>
  <sheetFormatPr defaultColWidth="8.88888888888889" defaultRowHeight="14.4" outlineLevelCol="7"/>
  <cols>
    <col min="1" max="1" width="9.66666666666667"/>
  </cols>
  <sheetData>
    <row r="1" spans="1:8">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8">
      <c r="A2" t="str" cm="1">
        <f ca="1" t="array" ref="A2">_wpsfn.SHEETSNAME(A1)</f>
        <v>20251125</v>
      </c>
      <c r="B2" t="s">
        <v>4013</v>
      </c>
    </row>
    <row r="3" spans="1:8">
      <c r="B3" t="s">
        <v>4014</v>
      </c>
    </row>
    <row r="4" spans="1:8">
      <c r="B4" t="s">
        <v>4015</v>
      </c>
    </row>
    <row r="5" spans="1:8">
      <c r="C5" t="s">
        <v>4016</v>
      </c>
    </row>
    <row r="6" spans="1:8">
      <c r="C6" t="s">
        <v>4017</v>
      </c>
    </row>
    <row r="7" spans="1:8">
      <c r="D7" t="s">
        <v>4018</v>
      </c>
    </row>
    <row r="8" spans="1:8">
      <c r="B8" t="s">
        <v>4019</v>
      </c>
    </row>
    <row r="9" spans="1:8">
      <c r="C9" t="s">
        <v>4020</v>
      </c>
    </row>
    <row r="10" spans="1:8">
      <c r="D10" t="s">
        <v>4021</v>
      </c>
    </row>
    <row r="11" spans="1:8">
      <c r="D11" t="s">
        <v>4022</v>
      </c>
    </row>
    <row r="12" spans="1:8">
      <c r="D12" t="s">
        <v>4023</v>
      </c>
    </row>
    <row r="13" spans="1:8">
      <c r="C13" t="s">
        <v>4024</v>
      </c>
    </row>
    <row r="14" spans="1:8">
      <c r="C14" t="s">
        <v>4025</v>
      </c>
    </row>
    <row r="15" spans="1:8">
      <c r="B15" t="s">
        <v>4026</v>
      </c>
    </row>
    <row r="16" spans="1:8">
      <c r="C16" t="s">
        <v>4027</v>
      </c>
    </row>
    <row r="17" spans="2:3">
      <c r="C17" t="s">
        <v>4028</v>
      </c>
    </row>
    <row r="18" spans="2:3">
      <c r="C18" t="s">
        <v>4029</v>
      </c>
    </row>
    <row r="19" spans="2:3">
      <c r="C19" t="s">
        <v>4030</v>
      </c>
    </row>
    <row r="20" spans="2:3">
      <c r="B20" t="s">
        <v>4031</v>
      </c>
    </row>
    <row r="21" spans="2:3">
      <c r="C21" t="s">
        <v>4032</v>
      </c>
    </row>
    <row r="22" spans="2:3">
      <c r="C22" t="s">
        <v>4033</v>
      </c>
    </row>
    <row r="23" spans="2:3">
      <c r="C23" t="s">
        <v>4034</v>
      </c>
    </row>
    <row r="24" spans="2:3">
      <c r="C24" t="s">
        <v>4035</v>
      </c>
    </row>
    <row r="25" spans="2:3">
      <c r="C25" t="s">
        <v>4036</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209</vt:i4>
      </vt:variant>
    </vt:vector>
  </HeadingPairs>
  <TitlesOfParts>
    <vt:vector size="209"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2025-11-25T16:23:23Z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