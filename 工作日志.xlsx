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80" firstSheet="224" activeTab="227"/>
  </bookViews>
  <sheets>
    <sheet name="20240225" sheetId="89" r:id="rId1"/>
    <sheet name="20240229" sheetId="90" r:id="rId2"/>
    <sheet name="20240302" sheetId="1" r:id="rId3"/>
    <sheet name="20240303" sheetId="2" r:id="rId4"/>
    <sheet name="20240304" sheetId="3" r:id="rId5"/>
    <sheet name="20240306" sheetId="91" r:id="rId6"/>
    <sheet name="20240307" sheetId="92" r:id="rId7"/>
    <sheet name="20240308" sheetId="4" r:id="rId8"/>
    <sheet name="20240309" sheetId="5" r:id="rId9"/>
    <sheet name="20240310" sheetId="6" r:id="rId10"/>
    <sheet name="20240311" sheetId="7" r:id="rId11"/>
    <sheet name="20240316" sheetId="8" r:id="rId12"/>
    <sheet name="20240317" sheetId="9" r:id="rId13"/>
    <sheet name="20240320" sheetId="10" r:id="rId14"/>
    <sheet name="20240322" sheetId="11" r:id="rId15"/>
    <sheet name="20240323" sheetId="12" r:id="rId16"/>
    <sheet name="20240326" sheetId="13" r:id="rId17"/>
    <sheet name="20240328" sheetId="14" r:id="rId18"/>
    <sheet name="20240401" sheetId="15" r:id="rId19"/>
    <sheet name="20240402" sheetId="16" r:id="rId20"/>
    <sheet name="20240405" sheetId="17" r:id="rId21"/>
    <sheet name="20240406" sheetId="18" r:id="rId22"/>
    <sheet name="20240408" sheetId="19" r:id="rId23"/>
    <sheet name="20240409" sheetId="20" r:id="rId24"/>
    <sheet name="20240410" sheetId="21" r:id="rId25"/>
    <sheet name="20240411" sheetId="22" r:id="rId26"/>
    <sheet name="20240412" sheetId="23" r:id="rId27"/>
    <sheet name="20240413" sheetId="24" r:id="rId28"/>
    <sheet name="20240414" sheetId="25" r:id="rId29"/>
    <sheet name="20240415" sheetId="26" r:id="rId30"/>
    <sheet name="20240416" sheetId="27" r:id="rId31"/>
    <sheet name="20240417" sheetId="28" r:id="rId32"/>
    <sheet name="20240418" sheetId="29" r:id="rId33"/>
    <sheet name="20240420" sheetId="30" r:id="rId34"/>
    <sheet name="20240421" sheetId="31" r:id="rId35"/>
    <sheet name="20240422" sheetId="32" r:id="rId36"/>
    <sheet name="20240423" sheetId="33" r:id="rId37"/>
    <sheet name="20240424" sheetId="34" r:id="rId38"/>
    <sheet name="20240425" sheetId="35" r:id="rId39"/>
    <sheet name="20240426" sheetId="36" r:id="rId40"/>
    <sheet name="20240427" sheetId="37" r:id="rId41"/>
    <sheet name="20240501" sheetId="38" r:id="rId42"/>
    <sheet name="20240503" sheetId="39" r:id="rId43"/>
    <sheet name="20240504" sheetId="40" r:id="rId44"/>
    <sheet name="20240507" sheetId="41" r:id="rId45"/>
    <sheet name="20240511" sheetId="42" r:id="rId46"/>
    <sheet name="20240512" sheetId="43" r:id="rId47"/>
    <sheet name="20240513" sheetId="44" r:id="rId48"/>
    <sheet name="20240515" sheetId="45" r:id="rId49"/>
    <sheet name="20240519" sheetId="46" r:id="rId50"/>
    <sheet name="20240523" sheetId="47" r:id="rId51"/>
    <sheet name="20240525" sheetId="48" r:id="rId52"/>
    <sheet name="20240526" sheetId="49" r:id="rId53"/>
    <sheet name="20240527" sheetId="50" r:id="rId54"/>
    <sheet name="20240529" sheetId="51" r:id="rId55"/>
    <sheet name="20240530" sheetId="52" r:id="rId56"/>
    <sheet name="20240531" sheetId="53" r:id="rId57"/>
    <sheet name="20240601" sheetId="54" r:id="rId58"/>
    <sheet name="20240602" sheetId="55" r:id="rId59"/>
    <sheet name="20240603" sheetId="56" r:id="rId60"/>
    <sheet name="20240720" sheetId="57" r:id="rId61"/>
    <sheet name="20240721" sheetId="58" r:id="rId62"/>
    <sheet name="20240727" sheetId="59" r:id="rId63"/>
    <sheet name="20240804" sheetId="60" r:id="rId64"/>
    <sheet name="20240810" sheetId="61" r:id="rId65"/>
    <sheet name="20240811" sheetId="62" r:id="rId66"/>
    <sheet name="20240831" sheetId="63" r:id="rId67"/>
    <sheet name="20240901" sheetId="64" r:id="rId68"/>
    <sheet name="20240907" sheetId="65" r:id="rId69"/>
    <sheet name="20240908" sheetId="66" r:id="rId70"/>
    <sheet name="20240916" sheetId="67" r:id="rId71"/>
    <sheet name="20240922" sheetId="68" r:id="rId72"/>
    <sheet name="20241001" sheetId="69" r:id="rId73"/>
    <sheet name="20241006" sheetId="70" r:id="rId74"/>
    <sheet name="20241019" sheetId="71" r:id="rId75"/>
    <sheet name="20250202" sheetId="93" r:id="rId76"/>
    <sheet name="20250205" sheetId="94" r:id="rId77"/>
    <sheet name="20250211" sheetId="96" r:id="rId78"/>
    <sheet name="20250214" sheetId="97" r:id="rId79"/>
    <sheet name="20250217" sheetId="95" r:id="rId80"/>
    <sheet name="20250324" sheetId="72" r:id="rId81"/>
    <sheet name="20250325" sheetId="73" r:id="rId82"/>
    <sheet name="20250327" sheetId="74" r:id="rId83"/>
    <sheet name="20250329" sheetId="75" r:id="rId84"/>
    <sheet name="20250330" sheetId="76" r:id="rId85"/>
    <sheet name="20250331" sheetId="77" r:id="rId86"/>
    <sheet name="20250405" sheetId="78" r:id="rId87"/>
    <sheet name="20250408" sheetId="79" r:id="rId88"/>
    <sheet name="20250411" sheetId="80" r:id="rId89"/>
    <sheet name="20250412" sheetId="82" r:id="rId90"/>
    <sheet name="20250416" sheetId="83" r:id="rId91"/>
    <sheet name="20250420" sheetId="84" r:id="rId92"/>
    <sheet name="20250427" sheetId="85" r:id="rId93"/>
    <sheet name="20250502" sheetId="86" r:id="rId94"/>
    <sheet name="20250506" sheetId="87" r:id="rId95"/>
    <sheet name="20250514" sheetId="88" r:id="rId96"/>
    <sheet name="20250517" sheetId="98" r:id="rId97"/>
    <sheet name="20250518" sheetId="99" r:id="rId98"/>
    <sheet name="20250519" sheetId="100" r:id="rId99"/>
    <sheet name="20250520" sheetId="101" r:id="rId100"/>
    <sheet name="20250521" sheetId="102" r:id="rId101"/>
    <sheet name="20250522" sheetId="103" r:id="rId102"/>
    <sheet name="20250523" sheetId="104" r:id="rId103"/>
    <sheet name="20250524" sheetId="106" r:id="rId104"/>
    <sheet name="20250525" sheetId="108" r:id="rId105"/>
    <sheet name="20250526" sheetId="110" r:id="rId106"/>
    <sheet name="20250527" sheetId="112" r:id="rId107"/>
    <sheet name="20250528" sheetId="113" r:id="rId108"/>
    <sheet name="20250529" sheetId="114" r:id="rId109"/>
    <sheet name="20250530" sheetId="115" r:id="rId110"/>
    <sheet name="20250531" sheetId="117" r:id="rId111"/>
    <sheet name="20250601" sheetId="118" r:id="rId112"/>
    <sheet name="20250602" sheetId="119" r:id="rId113"/>
    <sheet name="20250603" sheetId="120" r:id="rId114"/>
    <sheet name="20250604" sheetId="121" r:id="rId115"/>
    <sheet name="20250605" sheetId="122" r:id="rId116"/>
    <sheet name="20250607" sheetId="123" r:id="rId117"/>
    <sheet name="20250608" sheetId="124" r:id="rId118"/>
    <sheet name="20250609" sheetId="126" r:id="rId119"/>
    <sheet name="20250610" sheetId="128" r:id="rId120"/>
    <sheet name="20250611" sheetId="129" r:id="rId121"/>
    <sheet name="20250612" sheetId="132" r:id="rId122"/>
    <sheet name="20250613" sheetId="133" r:id="rId123"/>
    <sheet name="20250614" sheetId="135" r:id="rId124"/>
    <sheet name="20250615" sheetId="136" r:id="rId125"/>
    <sheet name="20250616" sheetId="137" r:id="rId126"/>
    <sheet name="20250617" sheetId="138" r:id="rId127"/>
    <sheet name="20250618" sheetId="140" r:id="rId128"/>
    <sheet name="20250619" sheetId="141" r:id="rId129"/>
    <sheet name="20250620" sheetId="142" r:id="rId130"/>
    <sheet name="20250621" sheetId="144" r:id="rId131"/>
    <sheet name="20250622" sheetId="143" r:id="rId132"/>
    <sheet name="20250623" sheetId="146" r:id="rId133"/>
    <sheet name="20250624" sheetId="147" r:id="rId134"/>
    <sheet name="20250625" sheetId="149" r:id="rId135"/>
    <sheet name="20250626" sheetId="150" r:id="rId136"/>
    <sheet name="20250627" sheetId="151" r:id="rId137"/>
    <sheet name="20250629" sheetId="152" r:id="rId138"/>
    <sheet name="20250630" sheetId="153" r:id="rId139"/>
    <sheet name="20250701" sheetId="154" r:id="rId140"/>
    <sheet name="20250702" sheetId="155" r:id="rId141"/>
    <sheet name="20250703" sheetId="156" r:id="rId142"/>
    <sheet name="20250708" sheetId="158" r:id="rId143"/>
    <sheet name="20250709" sheetId="159" r:id="rId144"/>
    <sheet name="20250710" sheetId="160" r:id="rId145"/>
    <sheet name="20250711" sheetId="161" r:id="rId146"/>
    <sheet name="20250712" sheetId="162" r:id="rId147"/>
    <sheet name="20250713" sheetId="163" r:id="rId148"/>
    <sheet name="20250714" sheetId="164" r:id="rId149"/>
    <sheet name="20250724" sheetId="165" r:id="rId150"/>
    <sheet name="20250725" sheetId="166" r:id="rId151"/>
    <sheet name="20250731" sheetId="168" r:id="rId152"/>
    <sheet name="20250811" sheetId="169" r:id="rId153"/>
    <sheet name="20250813" sheetId="170" r:id="rId154"/>
    <sheet name="20250814" sheetId="171" r:id="rId155"/>
    <sheet name="20250820" sheetId="172" r:id="rId156"/>
    <sheet name="20250821" sheetId="173" r:id="rId157"/>
    <sheet name="20250822" sheetId="174" r:id="rId158"/>
    <sheet name="20250823" sheetId="175" r:id="rId159"/>
    <sheet name="20250824" sheetId="176" r:id="rId160"/>
    <sheet name="20250825" sheetId="177" r:id="rId161"/>
    <sheet name="20250903" sheetId="178" r:id="rId162"/>
    <sheet name="20250904" sheetId="179" r:id="rId163"/>
    <sheet name="20250905" sheetId="180" r:id="rId164"/>
    <sheet name="20250907" sheetId="181" r:id="rId165"/>
    <sheet name="20250908" sheetId="182" r:id="rId166"/>
    <sheet name="20250909" sheetId="183" r:id="rId167"/>
    <sheet name="20250910" sheetId="184" r:id="rId168"/>
    <sheet name="20250911" sheetId="185" r:id="rId169"/>
    <sheet name="20250913" sheetId="186" r:id="rId170"/>
    <sheet name="20250914" sheetId="187" r:id="rId171"/>
    <sheet name="20250916" sheetId="188" r:id="rId172"/>
    <sheet name="20250917" sheetId="189" r:id="rId173"/>
    <sheet name="20250918" sheetId="190" r:id="rId174"/>
    <sheet name="20250919" sheetId="191" r:id="rId175"/>
    <sheet name="20250920" sheetId="192" r:id="rId176"/>
    <sheet name="20250921" sheetId="193" r:id="rId177"/>
    <sheet name="20250922" sheetId="194" r:id="rId178"/>
    <sheet name="20250927" sheetId="195" r:id="rId179"/>
    <sheet name="20251012" sheetId="196" r:id="rId180"/>
    <sheet name="20251021" sheetId="197" r:id="rId181"/>
    <sheet name="20251022" sheetId="198" r:id="rId182"/>
    <sheet name="20251023" sheetId="199" r:id="rId183"/>
    <sheet name="20251027" sheetId="200" r:id="rId184"/>
    <sheet name="20251031" sheetId="201" r:id="rId185"/>
    <sheet name="20251102" sheetId="202" r:id="rId186"/>
    <sheet name="20251103" sheetId="203" r:id="rId187"/>
    <sheet name="20251104" sheetId="204" r:id="rId188"/>
    <sheet name="20251105" sheetId="205" r:id="rId189"/>
    <sheet name="20251106" sheetId="206" r:id="rId190"/>
    <sheet name="20251107" sheetId="207" r:id="rId191"/>
    <sheet name="20251108" sheetId="208" r:id="rId192"/>
    <sheet name="20251109" sheetId="209" r:id="rId193"/>
    <sheet name="20251110" sheetId="210" r:id="rId194"/>
    <sheet name="20251111" sheetId="211" r:id="rId195"/>
    <sheet name="20251112" sheetId="212" r:id="rId196"/>
    <sheet name="20251113" sheetId="213" r:id="rId197"/>
    <sheet name="20251114" sheetId="214" r:id="rId198"/>
    <sheet name="20251115" sheetId="215" r:id="rId199"/>
    <sheet name="20251116" sheetId="216" r:id="rId200"/>
    <sheet name="20251117" sheetId="217" r:id="rId201"/>
    <sheet name="20251118" sheetId="218" r:id="rId202"/>
    <sheet name="20251119" sheetId="219" r:id="rId203"/>
    <sheet name="20251120" sheetId="220" r:id="rId204"/>
    <sheet name="20251121" sheetId="221" r:id="rId205"/>
    <sheet name="20251122" sheetId="222" r:id="rId206"/>
    <sheet name="20251123" sheetId="223" r:id="rId207"/>
    <sheet name="20251124" sheetId="224" r:id="rId208"/>
    <sheet name="20251125" sheetId="225" r:id="rId209"/>
    <sheet name="20251126" sheetId="226" r:id="rId210"/>
    <sheet name="20251127" sheetId="227" r:id="rId211"/>
    <sheet name="20251128" sheetId="228" r:id="rId212"/>
    <sheet name="20251129" sheetId="229" r:id="rId213"/>
    <sheet name="20251130" sheetId="230" r:id="rId214"/>
    <sheet name="20251201" sheetId="232" r:id="rId215"/>
    <sheet name="20251202" sheetId="233" r:id="rId216"/>
    <sheet name="20251203" sheetId="234" r:id="rId217"/>
    <sheet name="20251204" sheetId="235" r:id="rId218"/>
    <sheet name="20251205" sheetId="236" r:id="rId219"/>
    <sheet name="20251206" sheetId="237" r:id="rId220"/>
    <sheet name="20251207" sheetId="238" r:id="rId221"/>
    <sheet name="20251208" sheetId="239" r:id="rId222"/>
    <sheet name="20251209" sheetId="240" r:id="rId223"/>
    <sheet name="20251210" sheetId="241" r:id="rId224"/>
    <sheet name="20251211" sheetId="242" r:id="rId225"/>
    <sheet name="20251212" sheetId="243" r:id="rId226"/>
    <sheet name="20251213" sheetId="244" r:id="rId227"/>
    <sheet name="20251214" sheetId="245" r:id="rId228"/>
    <sheet name="20251215" sheetId="246" r:id="rId229"/>
    <sheet name="20251216" sheetId="247" r:id="rId230"/>
    <sheet name="20251217" sheetId="248" r:id="rId231"/>
    <sheet name="20251218" sheetId="249" r:id="rId232"/>
    <sheet name="20251219" sheetId="250" r:id="rId23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<sst xmlns="http://schemas.openxmlformats.org/spreadsheetml/2006/main" count="7232" uniqueCount="7198">
  <si>
    <t>SRAM和DRAM的比较</t>
  </si>
  <si>
    <t>SRAM的功耗相比DRAM更###大###</t>
  </si>
  <si>
    <t>SRAM的单位存储元成本相比DRAM更###高###</t>
  </si>
  <si>
    <t>需要刷新再生信息的是###DRAM###</t>
  </si>
  <si>
    <t>SRAM的集成度相比DRAM更###低###</t>
  </si>
  <si>
    <t>集成度：单位面积/体积的存储元个数</t>
  </si>
  <si>
    <t>大小端存储对应###高低###（高低/低高）位优先（先位于###低###（高/低）地址）</t>
  </si>
  <si>
    <t>大端存储便于###人类阅读###</t>
  </si>
  <si>
    <t>小端存储便于###机器处理###</t>
  </si>
  <si>
    <t>带符号乘法的三大步骤</t>
  </si>
  <si>
    <t>计数器Cn设为乘数位数</t>
  </si>
  <si>
    <t>乘数寄存器最低位和辅助位进行判断</t>
  </si>
  <si>
    <t>最低位-辅助位-操作</t>
  </si>
  <si>
    <t>0-0-###乘积寄存器+0###</t>
  </si>
  <si>
    <t>0-1-###乘积寄存器+被乘数的补码###</t>
  </si>
  <si>
    <t>1-0-###乘积寄存器-被乘数的补码###</t>
  </si>
  <si>
    <t>1-1-###乘积寄存器+0###</t>
  </si>
  <si>
    <t>乘积寄存器-乘数寄存器-辅助位全部###算术###（逻辑/算术）###右###（左/右）移一位</t>
  </si>
  <si>
    <t>计数器Cn减一，若不为0跳转第二步</t>
  </si>
  <si>
    <t>（反常）定积分的分拆和合并建立在###定积分存在###的基础上</t>
  </si>
  <si>
    <t>伽马函数</t>
  </si>
  <si>
    <t>积分定义的函数：γ(t)=###Int(0,+∞):(x^(t-1))*e^(-x)dx###</t>
  </si>
  <si>
    <t>递推性质：###γ(t+1)=t*γ(t)###</t>
  </si>
  <si>
    <t>阶乘等价：###γ(t+1)=t!###</t>
  </si>
  <si>
    <t>特殊取值：γ(1/2)=###sqrt(π)###</t>
  </si>
  <si>
    <t>收敛性：###t&gt;0则收敛###</t>
  </si>
  <si>
    <t>反常积分在判断敛散性（而非求出结果）可以直接对被积函数的###因子###使用###等价无穷小###</t>
  </si>
  <si>
    <t>p积分敛散性</t>
  </si>
  <si>
    <t>被积函数1/(x^p)</t>
  </si>
  <si>
    <t>积分区间在0到1时，###p小于1###收敛，###大于等于1###发散</t>
  </si>
  <si>
    <t>积分区间在a到正无穷时（a&gt;0），###p小等于1###发散，###大于1###收敛</t>
  </si>
  <si>
    <t>立方差公式a^3-b^3=###(a-b)*(a^2+a*b+b^2)###</t>
  </si>
  <si>
    <t>1/x求原函数除了带C，特别的对于定义域还需要注意什么？###ln(|x|)要把绝对值号带上！###</t>
  </si>
  <si>
    <t>瑕积分判断敛散性：先判断瑕点，然后###根据瑕点拆分###</t>
  </si>
  <si>
    <t>不等式的参数具有确定符号，可以适当放缩，比如A是正数，B-A###必然小于###B</t>
  </si>
  <si>
    <t>A是整数，1/A的绝对值###必小等于###1（大小关系）</t>
  </si>
  <si>
    <t>构造大收或小散</t>
  </si>
  <si>
    <t>###ln(x)&lt;&lt;&lt;x&lt;&lt;&lt;e^x###（排列ln(x)、e^x、x的发散性）</t>
  </si>
  <si>
    <t>###ln(x)^a&lt;&lt;&lt;x^b&lt;&lt;&lt;(e^x)^c###（排列(e^x)^c、ln(x)^a、x^b的发散性）</t>
  </si>
  <si>
    <t>abc不同是为了保证不存在左&gt;右的情况</t>
  </si>
  <si>
    <t>（求极限及定积分）见到分母一大串，分子很短，考虑用###倒代换###</t>
  </si>
  <si>
    <t>已有等式，求等式的值，可以试着###把两个加起来除2###再变形</t>
  </si>
  <si>
    <t>分段复合分段函数，采用###内函数整体代入###然后列###内函数与外函数定义域分段构造不等式###的方式分类讨论</t>
  </si>
  <si>
    <t>求与x轴所围面积</t>
  </si>
  <si>
    <t>先求###所有的零点###</t>
  </si>
  <si>
    <t>然后找出###函数取值小于0###的区间</t>
  </si>
  <si>
    <t>在上述区间上###对-f(x)进行定积分###</t>
  </si>
  <si>
    <t>在其它区间上###对f(x)进行定积分###</t>
  </si>
  <si>
    <t>把###所有定积分的结果###进行###累加###，即得与x轴所围面积</t>
  </si>
  <si>
    <t>沿轴旋转如果轴平行于x或y轴但不重合，先做###坐标变换让图形移动到新的位置###，使其###相对x或y轴的位置与移动前相对旋转轴的位置相同###，就可以用x或y轴的旋转公式</t>
  </si>
  <si>
    <t>沿坐标轴旋转公式: [a,b]是曲线f(x)要被旋转的区间</t>
  </si>
  <si>
    <t>沿y轴: ###2pi*Int(a,b):x*f(x)dx###</t>
  </si>
  <si>
    <t>沿x轴: ###pi*Int(a,b):(f(x)^2)dx###</t>
  </si>
  <si>
    <t>有根号的情况下，优先集中火力将其###有理化###</t>
  </si>
  <si>
    <t>一般利用###分子分母同乘使根号变平方###能把根号消掉最好</t>
  </si>
  <si>
    <t>如果根号内存在因子是某数的平方，可以###对根号下的表达式提平方公因到根号外###</t>
  </si>
  <si>
    <t>如果有分式，试试###倒代换###</t>
  </si>
  <si>
    <t>在表达式的###分母###出现的根号下凑出###1-x^2###以运用反正弦、反余弦积分公式</t>
  </si>
  <si>
    <t>在表达式的###因式###出现的根号下凑出###1-x^2###以运用正弦、余弦积分公式</t>
  </si>
  <si>
    <t>sin的高次尽量用###诱导公式或平方和为1###换成###cos的高次###，因为后者可以###降幂成cos(2x)###</t>
  </si>
  <si>
    <t>OSPF协议总结-工作步骤</t>
  </si>
  <si>
    <t>路由器周期性发送###Hello###报文发现邻居并确认双向通信</t>
  </si>
  <si>
    <t>当双方###在对方的Hello报文中发现自己的Router ID###，建立邻居</t>
  </si>
  <si>
    <t>通过###DD###报文，路由器交换LSDB的###摘要信息###</t>
  </si>
  <si>
    <t>若发现LSDB缺失信息，通过###LSR###报文向邻居请求链路状态通告</t>
  </si>
  <si>
    <t>收到上述请求后，路由器通过###LSU###报文以###泛洪###进行链路状态更新通告</t>
  </si>
  <si>
    <t>邻居通过###LSAck###报文确认上述报文的收到，确保LSDB完全同步（处于###Full###状态）</t>
  </si>
  <si>
    <t>通过###迪杰斯特拉###算法计算最短路径树</t>
  </si>
  <si>
    <t>OSPF协议总结-报文类型</t>
  </si>
  <si>
    <t>Hello报文：###发现并维护邻居、选举DR/BDR###</t>
  </si>
  <si>
    <t>DD报文：###描述LSDB的摘要###</t>
  </si>
  <si>
    <t>LSR报文：###请求对LSDB某一信息进行通告更新###</t>
  </si>
  <si>
    <t>LSU报文：###泛洪通告LSDB中的某一具体信息###</t>
  </si>
  <si>
    <t>LSAck报文：###确认收到LSU，因为IP不保证可靠性（类比TCP）###</t>
  </si>
  <si>
    <t>OSPF协议总结-状态机</t>
  </si>
  <si>
    <t>Down：###初始状态###</t>
  </si>
  <si>
    <t>Init：###收到邻居Hello，但未确认双向###</t>
  </si>
  <si>
    <t>2-Way：###双向通信建立，完成了DR/BDR选举###</t>
  </si>
  <si>
    <t>ExStart：###通过空DD报文协商主从，确定初始序列号###</t>
  </si>
  <si>
    <t>Exchange：###交换带有LSDB摘要的DD报文###</t>
  </si>
  <si>
    <t>Loading：###LSR/LSU请求并通告更新的LSDB内容###</t>
  </si>
  <si>
    <t>Full：###LSDB完全同步，可进行计算最短路径###</t>
  </si>
  <si>
    <t>绕x轴旋转体选用截面积时，曲线在x轴上下###无关###，因为###平方会把面积的负号取消掉###</t>
  </si>
  <si>
    <t>相同形状和面积的旋转体，距离转轴不同旋转体体积###不同###，不能###割补、非沿轴平移、改变朝向###（三种）</t>
  </si>
  <si>
    <t>极坐标方程的图形###有些不能###（有些不能/全都可以）转为直角坐标的</t>
  </si>
  <si>
    <t>极坐标旋转公式（联想圆的面积公式pi*r²）</t>
  </si>
  <si>
    <t>沿y轴: ###2pi*Int(α,β):(Int(0,r(θ)):((r^2)*cos(θ))dr)dθ###</t>
  </si>
  <si>
    <t>沿x轴: ###2pi*Int(α,β):(Int(0,r(θ)):((r^2)*sin(θ))dr)dθ###</t>
  </si>
  <si>
    <t>拿到星形线的参数方程，怎么确定t就是对应极坐标的θ？</t>
  </si>
  <si>
    <t>已经确定t就是θ，那么t对应第一象限的积分区域就明显是0到pi/2</t>
  </si>
  <si>
    <t>点火公式：</t>
  </si>
  <si>
    <t>积分区间：###从0到pi/2###</t>
  </si>
  <si>
    <t>被积函数：###正弦或余弦的k次方###（k为正整数）</t>
  </si>
  <si>
    <t>k为偶数：###(k-1)*(k-3)*...*1*pi/(k*k-2*...*2*2)###</t>
  </si>
  <si>
    <t>k为奇数：###(k-1)*(k-3)*...*2/(k*k-2*...*3)###</t>
  </si>
  <si>
    <t>周长计算采用参数方程的弧长公式###Int(a,b):sqrt(((x'(t))^2)+((y'(t))^2))dt###</t>
  </si>
  <si>
    <t>带参数x轴旋转体，先用一般x轴旋转体公式：###pi*Int(a,b):(f(x)^2)dx###</t>
  </si>
  <si>
    <t>然后令dx=###dx(t)=x'(t)dt###</t>
  </si>
  <si>
    <t>原积分对t换元求解</t>
  </si>
  <si>
    <t>带参数x轴旋转体侧面积，先用一般x轴旋转体侧面积公式：###2pi*Int(a,b):y*sqrt(1+(y')^2)dx###</t>
  </si>
  <si>
    <t>###x'(t)=dx/dt###乘入被积函数</t>
  </si>
  <si>
    <t>###塞进sqrt里面###，###平方后与1+(y')^2相乘###，得((x'(t))^2)+((y'(t))^2)</t>
  </si>
  <si>
    <t>如果二重积分先对x求时，x的左右都被同一个函数曲线包住，###尝试对其中一侧进行恒等变换###</t>
  </si>
  <si>
    <t>比如：sin(x)=###sin(pi-x)###</t>
  </si>
  <si>
    <t>用中间值分拆（比如arcsin(y)从0到pi分拆成arcsin(y)到pi/2和pi/2到arcsin(y)）不会互相抵消么？</t>
  </si>
  <si>
    <t>问题：sin(x)dx的先x二重积分要怎么写？</t>
  </si>
  <si>
    <t>如果在积分中被积变量不是x、y，但式子中又包含x、y</t>
  </si>
  <si>
    <t>###就把他们换成a、b之类不容易混淆的参数###（建议处理）</t>
  </si>
  <si>
    <t>累次积分画出边界时，如果发现边界上下（或左右）颠倒，</t>
  </si>
  <si>
    <t>可通过###改变被积函数符号###变回有序边界</t>
  </si>
  <si>
    <t>二重积分中值定理###Int2D(D):f(x,y)dxdy=f(xm,ym)*S###</t>
  </si>
  <si>
    <t>xm、ym为###区域D内的中值###</t>
  </si>
  <si>
    <t>利用###累次极限###求f(xm,ym)</t>
  </si>
  <si>
    <t>S为区域D的面积</t>
  </si>
  <si>
    <t>用###g(x,y)=1###换掉原二重积分的被积函数来求解</t>
  </si>
  <si>
    <t>看到被积函数里含有x^2+y^2可以考虑###换成极坐标###求解</t>
  </si>
  <si>
    <t>二重积分的内层如果完全不含外层变量，可以先###求外层变量的定积分###，然后###把这个定积分的数值###乘以###内层的单次积分###求解</t>
  </si>
  <si>
    <t>变限积分求导等于###被积函数换元上限参数###，再###对上限参数求导###</t>
  </si>
  <si>
    <t>有些题目外表看是（二重）积分，实际上是微分方程（无需作答）### ###</t>
  </si>
  <si>
    <t>常数变异法y=###C(x)*e^(Int(P(x),dx))###，原微分方程的齐次微分方程为y'+P(x)y=0</t>
  </si>
  <si>
    <t>极坐标积分当中cos(θ)遇到dr就可以化成###dx###，同理sin(θ)遇到dr可以化成###dy###</t>
  </si>
  <si>
    <t>积分中如果出现被积函数和积分变量组成f'x*dx+f'y*dy时</t>
  </si>
  <si>
    <t>根据全微分公式dz=###f'x*dx+f'y*dy###</t>
  </si>
  <si>
    <t>被积函数和积分变量变成###1*dz###</t>
  </si>
  <si>
    <t>得到积分的结果z(x,y)或z(ρ*cos(θ),ρ*sin(θ))</t>
  </si>
  <si>
    <t>不定积分###没###保号性，###不能###用在不等式，因为###C会改变大小关系###</t>
  </si>
  <si>
    <t>拉格朗日中值：###f(a)=f(b)且f在a到b连续###成立时，可推出###中间必有f'(x)=0###</t>
  </si>
  <si>
    <t>二重积分的绝对值不等式###Int2D(D):f(x,y)dxdy&lt;=|±Int2D(D):f(x,y)dxdy|&lt;=Int2D(D):|f(x,y)|dxdy###</t>
  </si>
  <si>
    <t>船坞的二重积分题</t>
  </si>
  <si>
    <t>总水压问题</t>
  </si>
  <si>
    <t>单点的水压公式是ρ*g*h（h为水深，即水面到当前位置的垂直距离（无需作答）### ###</t>
  </si>
  <si>
    <t>由于受力几何为面，根据力的合成与分解，要把所有点上受到的水压进行累积</t>
  </si>
  <si>
    <t>累积方式采用二重积分</t>
  </si>
  <si>
    <t>dy即###深度###方向积分</t>
  </si>
  <si>
    <t>积分区间从###0到t###</t>
  </si>
  <si>
    <t>dx即###水平###方向积分</t>
  </si>
  <si>
    <t>积分区间从###-x(y)到x(y)###</t>
  </si>
  <si>
    <t>抽水做功问题</t>
  </si>
  <si>
    <t>假设抽出水是刚体，向上平移直到###每一滴水刚好离开原液面###</t>
  </si>
  <si>
    <t>单点对抗重力做功的公式是M*h=###ρ*g*h=ρ*g*(t-y)###（t为水平面位置）</t>
  </si>
  <si>
    <t>单点在同一高度、同一横向距离对抗重力做功相同，可以合并为做功的###环###状微元</t>
  </si>
  <si>
    <t>###ρ*g*(t-y)###（单点做功）乘###2*π*x###（形状累积）得到微元的做功量###ρ*g*(t-y)*2*π*x###</t>
  </si>
  <si>
    <t>由于做功几何为体，根据能量守恒定律，要把所有微元上对抗重力做功进行累积</t>
  </si>
  <si>
    <t>由于一侧的x就对应到整个微元，因此积分区间###只有从0到x(y)###</t>
  </si>
  <si>
    <t>具体点偏导数可以先###代###后###求###</t>
  </si>
  <si>
    <t>比如f'x(0,0)，可以先###把y=0代入f(x,y)###得###f(x,0)###</t>
  </si>
  <si>
    <t>再###把f(x,0)看成一元函数g(x)对x求导###得到###g'(x)###，</t>
  </si>
  <si>
    <t>最后###把x=0代入g'(x)###得到###g'(0)###，即###f'x(0,0)###</t>
  </si>
  <si>
    <t>如果z能写成z(u,v)，而u和v又能写成u(x)和v(x)，那么dz/dx=###(dz/du)*(du/dx)+(dz/dv)*(dv/dx)###</t>
  </si>
  <si>
    <t>如果z=z(x,y)里面x和y过于复杂，可以把部分x和y的表达式###用u(x,y)、v(x,y)来表示###，然后再用###复合函数求导###来求</t>
  </si>
  <si>
    <t>已知偏导数求原函数</t>
  </si>
  <si>
    <t>使用###偏积分###和###待定非积分变量函数（例如：对x积分后面带上phi(y)）###</t>
  </si>
  <si>
    <t>用已知原函数z(x,y)在###积分变量为特值###时的表达式和上式列等式，求出###待定非积分变量函数具体形式###</t>
  </si>
  <si>
    <t>例如：2*y+phi(x)在y=1时与1+x相等，则phi(x)=###x-1###</t>
  </si>
  <si>
    <t>二元函数f(u,v)，u和v又是含x的的函数</t>
  </si>
  <si>
    <t>df/dx=###(df/du)*(du/dx)+(df/dv)*(dv/dx)###</t>
  </si>
  <si>
    <t>注意df/dx仍然是含有###u和v的二元###函数</t>
  </si>
  <si>
    <r>
      <rPr>
        <sz val="11"/>
        <color theme="1"/>
        <rFont val="宋体"/>
        <charset val="134"/>
        <scheme val="minor"/>
      </rPr>
      <t>d^2f/dx^2=###</t>
    </r>
    <r>
      <rPr>
        <sz val="11"/>
        <color rgb="FFFF0000"/>
        <rFont val="宋体"/>
        <charset val="134"/>
        <scheme val="minor"/>
      </rPr>
      <t>d((df/du)*(du/dx))/dx###</t>
    </r>
    <r>
      <rPr>
        <sz val="11"/>
        <color theme="1"/>
        <rFont val="宋体"/>
        <charset val="134"/>
        <scheme val="minor"/>
      </rPr>
      <t>+###</t>
    </r>
    <r>
      <rPr>
        <sz val="11"/>
        <color rgb="FF00B0F0"/>
        <rFont val="宋体"/>
        <charset val="134"/>
        <scheme val="minor"/>
      </rPr>
      <t>d((df/dv)*(dv/dx))/dx###</t>
    </r>
  </si>
  <si>
    <t>以前半部分为例，后半部分同理可得</t>
  </si>
  <si>
    <r>
      <rPr>
        <b/>
        <sz val="11"/>
        <color rgb="FFFF0000"/>
        <rFont val="宋体"/>
        <charset val="134"/>
        <scheme val="minor"/>
      </rPr>
      <t>求导乘法法则：d((df/du)*(du/dx))/dx=###(d(df/du)/dx)</t>
    </r>
    <r>
      <rPr>
        <sz val="11"/>
        <color rgb="FFFF0000"/>
        <rFont val="宋体"/>
        <charset val="134"/>
        <scheme val="minor"/>
      </rPr>
      <t>*(du/dx)###+###(df/du)*((d(du/dx)/dx))###</t>
    </r>
  </si>
  <si>
    <t>展开(d(df/du)/dx)=###((d^2f/du^2)*(du/dx)###+###(d^2f/dudv)*(dv/dx))*(du/dx)###</t>
  </si>
  <si>
    <t>二阶微分方程如果降阶后左右同时积分不好求，直接用高阶线性的公式来求</t>
  </si>
  <si>
    <t>先求齐次通解</t>
  </si>
  <si>
    <t>先提取系数y''+p*y'+q*y=0</t>
  </si>
  <si>
    <t>求特征根r，使r满足###r^2+p*r+q=0###</t>
  </si>
  <si>
    <t>两个不等实根r1、r2则yhg=###C1*exp(r1*x)+C2*exp(r2*x)###</t>
  </si>
  <si>
    <t>两个相等实根r则yhg=###(C1+C2*x)*exp(r*x)###</t>
  </si>
  <si>
    <t>一对共轭复根（实部±虚部i）则y=###exp(实部*x)*(C1*cos(虚部*x)+C2*sin(虚部*x))###</t>
  </si>
  <si>
    <t>再求非齐次特解</t>
  </si>
  <si>
    <t>常数变易法</t>
  </si>
  <si>
    <t>设：齐次通解中###C=C(x)###</t>
  </si>
  <si>
    <t>y=###f(C(x),x)###进行###左右同时求导###，左边用###原微分方程的dy/dx###联立</t>
  </si>
  <si>
    <t>右边结果包含###C'(x)###和###C(x)###，用###已知含C(x)的y###表示###C(x)###（左右同时消去）</t>
  </si>
  <si>
    <t>得到的###C'(x)###，对其###进行积分###求出C(x)表达式</t>
  </si>
  <si>
    <t>隐函数求偏导（dz/dx、dz/dy）公式</t>
  </si>
  <si>
    <t>F(x,y,z)=0决定的z=z(x,y)</t>
  </si>
  <si>
    <t>两边同时###对x或y求导###得到###F'x+F'z*(dz/dx)=0或F'y+F'z*(dz/dy)=0###</t>
  </si>
  <si>
    <t>dz/dx=###-(F'x/F'z)###</t>
  </si>
  <si>
    <t>dz/dy=###-(F'y/F'z)###</t>
  </si>
  <si>
    <t>微分方程如果dx/dy=F(x,y)比较容易变形，可以###把x当成y的函数###求解</t>
  </si>
  <si>
    <t>微分方程如果难以分离变量，也非线性微分方程</t>
  </si>
  <si>
    <t>找到一种###可分成p=f(x,y)和x的方法###，求解###p和x###的微分方程，再代###p=f(x,y)###求出原式解</t>
  </si>
  <si>
    <t>适用场景</t>
  </si>
  <si>
    <t>化简后可以直接###变量分离###（齐次）</t>
  </si>
  <si>
    <t>化简后可以使用###常数变易###（非齐次）</t>
  </si>
  <si>
    <t>常见类型</t>
  </si>
  <si>
    <t>最常见的：###y/x、x/y###</t>
  </si>
  <si>
    <t>一般：###x+y###</t>
  </si>
  <si>
    <t>比较少见：###不含x的f(y)###</t>
  </si>
  <si>
    <t>非常罕见（用于二阶微分方程）：###p=f(y')###</t>
  </si>
  <si>
    <t>常数变易是从齐次###通###解直接到非齐###通###解，里面已经包含了齐次###通###解和非齐###特###解</t>
  </si>
  <si>
    <t>简单概括线性微分解的结构特性</t>
  </si>
  <si>
    <t>非齐通=###齐通###+###非齐特###</t>
  </si>
  <si>
    <t>非齐A方程特±非齐B方程特=###非齐A±B方程特###</t>
  </si>
  <si>
    <t>若A±B=0，非齐A方程特±非齐B方程特=###齐特###</t>
  </si>
  <si>
    <t>定积分上下限之差正好为周期的情况下，###任意平移（x±a）###不改变定积分的数值</t>
  </si>
  <si>
    <t>高阶非齐次不要硬上常数变异，那个只适合一阶（无需作答）### ###</t>
  </si>
  <si>
    <t>高阶齐次求特征根写清楚因式分解，不然重根看不清楚到底是几重！！！（无需作答）### ###</t>
  </si>
  <si>
    <t>高阶非齐次特解看非齐次项构造</t>
  </si>
  <si>
    <t>分解合并</t>
  </si>
  <si>
    <t>有几个###exp(λx)###分成几个非齐次项</t>
  </si>
  <si>
    <t>sin和cos化简到各只有一个，化不了就得###利用线性性质分成几个###</t>
  </si>
  <si>
    <t>非齐次项原形</t>
  </si>
  <si>
    <t>一个多项式乘上exp(λ*x)的构型，如果没exp(λ*x)就是λ为0</t>
  </si>
  <si>
    <t>###exp(λ*x)原模原样###乘最后，如果没###exp(λ*x)###就乘###1###</t>
  </si>
  <si>
    <t>这种情况下看###λ在齐次特征根有几重###，###重数k次方的x###乘到最前面</t>
  </si>
  <si>
    <t>然后根据###多项式最高次数###，列出###待定系数多项式a1*(x^n)+a2*(x^(n-1))+a3*(x^(n-2))+...###，乘中间</t>
  </si>
  <si>
    <t>三坨在一起应该是###(x^k)*(a1*(x^n)+a2*(x^(n-1))+a3*(x^(n-2))+...)*exp(λ*x)###</t>
  </si>
  <si>
    <t>一个exp(a*x)乘上多项式1*cos(b*x)和多项式2*sin(b*x)的和，如果没exp(a*x)就是λ为0</t>
  </si>
  <si>
    <t>###exp(a*x)原模原样###乘最后，如果没###exp(a*x)###就乘###1###（同上）</t>
  </si>
  <si>
    <t>这种情况下看###a+bi在齐次特征根有几重###，###重数k次方的x###乘到最前面（类似上面）</t>
  </si>
  <si>
    <t>然后根据###多项式1和多项式2中的最高次数###，列出###两个待定系数多项式a1*(x^n)+...和b1*(x^n)+...###，再###分别乘sin(b*x)和cos(b*x)再加起来###，乘中间</t>
  </si>
  <si>
    <t>三坨在一起应该是###(x^k)*((a1*(x^n)+...)*sin(b*x)+(b1*(x^n)+...)*cos(b*x))*exp(a*x)###</t>
  </si>
  <si>
    <t>如果高阶线性微分方程不显含x，尽量使用###dp/dy###而不是dp/dx</t>
  </si>
  <si>
    <t>如果已经开始求dx/dy，即认为x=x(y)，直到整个微分方程解出来前不要###对换变量###</t>
  </si>
  <si>
    <t>ln(cos(x))的定积分是###非初等的###，看到变成这样的式子，考虑###再求出一个相反的代数表达式进行抵消###</t>
  </si>
  <si>
    <t>sin(x)和cos(x)构成的复杂表达式如果没法简单化成只有一种类型，那就###都换成tan再求解###</t>
  </si>
  <si>
    <t>一定要小心根号下的三角平方，因为开根号后###原本小于0的区间就会“翻上去”###，这在去根号而换元成三角时非常常见</t>
  </si>
  <si>
    <t>有时候定积分上下限会变成无穷，但是不要怕，把###具体的形式写出来不要求解具体数值（比如tan(pi/2)）###，因为有可能###后面会代入一个arctan还原回去###</t>
  </si>
  <si>
    <t>已知解反求线性微分方程总结</t>
  </si>
  <si>
    <t>给的解一般是非齐次特解，有几个</t>
  </si>
  <si>
    <t>用它们###线性无关的差###作为齐次通解，看题设的###方程是几阶###就有几个解</t>
  </si>
  <si>
    <t>一般来说，是C*exp(r*x)的形式，这种就容易，直接用###r###求出齐次方程的原式</t>
  </si>
  <si>
    <t>然后设右边等于一个非齐次项f(x)</t>
  </si>
  <si>
    <t>###逮住一个特解ynhs###求出其导数，带入###上一步设出的非齐次方程###，求出###f(x)具体表达式###</t>
  </si>
  <si>
    <t>但也有不是的情况，那样就得构造方程组来求解了</t>
  </si>
  <si>
    <t>###逮住一个特解ynhs###求出其导数，不同阶导数列出来</t>
  </si>
  <si>
    <t>观察并总结系数C在导数里的规律</t>
  </si>
  <si>
    <t>根据规律，用###ynhs和其导数表示的表达式###组合出消去C的方程，这就是要求的微分方程</t>
  </si>
  <si>
    <t>如果一次给了一整个特解，就要仔细分析其中部分，分别都要满足题设的条件</t>
  </si>
  <si>
    <t>题设的###方程是几阶###就有几个解</t>
  </si>
  <si>
    <t>非齐次解部分</t>
  </si>
  <si>
    <t>非齐次解exp(a*x)的###a###与非齐次项exp(b*x)的###b###一致</t>
  </si>
  <si>
    <t>额外包含的x^k，k可能是对应###根的重数###</t>
  </si>
  <si>
    <t>齐次解部分</t>
  </si>
  <si>
    <t>解exp(a*x)的###a###与非齐次项exp(b*x)的###b###，其中###不一致###的部分都属于齐次解</t>
  </si>
  <si>
    <t>根据###解的剩余个数###，排除###齐次重根###，解的剩余重根项则均属于###非齐次解###</t>
  </si>
  <si>
    <t>注意，非齐次特解表达式里的系数和通解里的C是不一样的，那些系数是通过代入非齐次方程和非齐次项联立求出来的，并非一个活动的系数（未知的常量而非变量）（无需作答）### ###</t>
  </si>
  <si>
    <t>带变限积分求被积函数实则求微分方程解的题型，要注意初始条件一般是###隐含在题目里（隐含在含有变限积分的等式里）###</t>
  </si>
  <si>
    <t>比如当x等于0时，上限x的变限积分此时会###变成0###，一个积分式子，如果###上限和下限一样###，整个积分无论多复杂都###是0###</t>
  </si>
  <si>
    <t>有一道看起来像是全微分或者多元微分的题目（f(x+y)=exp(x)*f(y)+exp(y)*f(x)）,居然要用导数的定义来求解，这题的思路非常难猜出来</t>
  </si>
  <si>
    <t>题目照例隐含了一个初始条件，要x和y都为0时代入才能证出来f(0)=0</t>
  </si>
  <si>
    <t>然后用这个等于0的f(0)去跟f(△x)/△x凑出一个f'(0)</t>
  </si>
  <si>
    <t>反函数的导数，等于###原函数的导数的倒数###</t>
  </si>
  <si>
    <t>x=x(y)是y=y(x)的反函数</t>
  </si>
  <si>
    <t>y'(x)=dy/dx是y(x)的导数</t>
  </si>
  <si>
    <t>反函数x=x(y)的导数是###x'(y)=dx/dy###</t>
  </si>
  <si>
    <t>即x'(y)=###dx/dy=1/(dy/dx)=1/y'(x)###</t>
  </si>
  <si>
    <t>微分方程里如果过于复杂，找到一种可以分离成p=f(x,y)和x的方法，求解p和x的微分方程，再代p=f(x,y)求出原式解</t>
  </si>
  <si>
    <t>今天补充一下，甚至还可以是f(y,y')，比如y'/y就可以拿来解2yy''=(y')^2+y^2（无需作答）### ###</t>
  </si>
  <si>
    <t>微分方程构造解证明微分中值定理-公式法</t>
  </si>
  <si>
    <t>要证明f'(z)+g(z)*f(z)=0，构造F(x)=###(e^Int(g(x)))*f(x)###</t>
  </si>
  <si>
    <t>要证明f'(z)+g'(z)*f(z)=0，构造F(x)=###(e^(g(x)))*f(x)###</t>
  </si>
  <si>
    <t>要证明f'(z)+nf(z)=0，构造F(x)=###((e^x)^n)*f(x)###</t>
  </si>
  <si>
    <t>要证明af'(z)+bf(z)=0，构造F(x)=###(e^(x*(b/a)))*f(x)###</t>
  </si>
  <si>
    <t>要证明zf'(z)+nf(z)=0，构造F(x)=###(x^n)*f(x)###</t>
  </si>
  <si>
    <t>要证明zf'(z)-nf(z)=0，构造F(x)=###f(x)/(x^n)###</t>
  </si>
  <si>
    <t>级数Σf(n)和Int(1,∞):f(x)dx一般来说同敛散，这就叫积分测试（积分判别法）</t>
  </si>
  <si>
    <t>积分测试是一个强大的工具，但并不适用于所有情况。以下是一些情况下积分测试可能不适用的情况：</t>
  </si>
  <si>
    <r>
      <rPr>
        <b/>
        <sz val="10.5"/>
        <color rgb="FF24292F"/>
        <rFont val="Segoe UI"/>
        <charset val="134"/>
      </rPr>
      <t>函数不满足条件</t>
    </r>
    <r>
      <rPr>
        <sz val="10.5"/>
        <color rgb="FF24292F"/>
        <rFont val="Segoe UI"/>
        <charset val="134"/>
      </rPr>
      <t>：积分测试要求函数 ( f(x) ) 在 ( [1, +\infty) ) 上连续、单调递减。如果函数不满足这些条件，则无法使用积分测试。</t>
    </r>
  </si>
  <si>
    <r>
      <rPr>
        <b/>
        <sz val="10.5"/>
        <color rgb="FF24292F"/>
        <rFont val="Segoe UI"/>
        <charset val="134"/>
      </rPr>
      <t>无法积分</t>
    </r>
    <r>
      <rPr>
        <sz val="10.5"/>
        <color rgb="FF24292F"/>
        <rFont val="Segoe UI"/>
        <charset val="134"/>
      </rPr>
      <t>：有些函数在给定区间上无法求出积分，这样无法使用积分测试。比如说，( f(x) ) 可能是一个特殊函数，没有一个已知的原函数。</t>
    </r>
  </si>
  <si>
    <r>
      <rPr>
        <b/>
        <sz val="10.5"/>
        <color rgb="FF24292F"/>
        <rFont val="Segoe UI"/>
        <charset val="134"/>
      </rPr>
      <t>函数不是正的</t>
    </r>
    <r>
      <rPr>
        <sz val="10.5"/>
        <color rgb="FF24292F"/>
        <rFont val="Segoe UI"/>
        <charset val="134"/>
      </rPr>
      <t>：积分测试要求函数 ( f(x) ) 是正函数。如果函数在某些区间上为负，则积分测试可能不适用。</t>
    </r>
  </si>
  <si>
    <r>
      <rPr>
        <b/>
        <sz val="10.5"/>
        <color rgb="FF24292F"/>
        <rFont val="Segoe UI"/>
        <charset val="134"/>
      </rPr>
      <t>不是单调递减的</t>
    </r>
    <r>
      <rPr>
        <sz val="10.5"/>
        <color rgb="FF24292F"/>
        <rFont val="Segoe UI"/>
        <charset val="134"/>
      </rPr>
      <t>：积分测试要求函数 ( f(x) ) 是单调递减的。如果函数在某些区间上不是单调递减的，则积分测试可能不适用。</t>
    </r>
  </si>
  <si>
    <t>在上述情况下，可以考虑使用其他收敛性测试方法</t>
  </si>
  <si>
    <t>比较判别法</t>
  </si>
  <si>
    <t>比值测试</t>
  </si>
  <si>
    <t>根值测试</t>
  </si>
  <si>
    <t>要证明唯一性，最好是###证明不唯一，然后反证###</t>
  </si>
  <si>
    <t>单调性除了应用于不等式，还有一个关键性质（严格单调），即f(x)都是###唯一的###，###存在两个不相同的x1、x2使得f(x1)=f(x2)###是不可能的</t>
  </si>
  <si>
    <t>拐点是指###左右二阶导数异号###的点，这个点的二阶导数可能是###0###，也可能###不存在###，因此###不能###用二阶导数为0来判定是否为拐点</t>
  </si>
  <si>
    <t>二阶导为0，完全有可能是###“擦”到x轴但不变号###，那样也###不是###拐点</t>
  </si>
  <si>
    <t>如果要用二阶导等于0来找拐点，需要确保###三阶导不为0（二阶导单调性不变，不是“擦过”x轴）###</t>
  </si>
  <si>
    <t>拉格朗日中值定理两个要求，###连续###，###ab不相等###，要求很简单，但必须都满足才行</t>
  </si>
  <si>
    <t>二阶导###大于0###，下凹，二阶导###小于0###，上凸</t>
  </si>
  <si>
    <t>泰勒展开通项：###fn(x0)*((x-x0)^n)/n!###</t>
  </si>
  <si>
    <t>拉格朗日余项：###fnp1(ξ)*((x-x0)^(n+1))/(n+1)!###</t>
  </si>
  <si>
    <t>ξ是一个中值，介于x和x0，一般会用x和x0限定余弦的范围</t>
  </si>
  <si>
    <t>留数法对付一次有理分式</t>
  </si>
  <si>
    <t>原式=A/((ax+b)*(cx+d))</t>
  </si>
  <si>
    <t>待定系数的加减式=(B/(ax+b))+(C/(cx+d))</t>
  </si>
  <si>
    <t>求B</t>
  </si>
  <si>
    <t>把原式分母的###ax+b###遮住，留下###A/(cx+d)###</t>
  </si>
  <si>
    <t>求出###ax+b=0的根r1=-b/a###</t>
  </si>
  <si>
    <t>令###x=r1###代入###A/(cx+d)###得到###B=A/(d-c*b/a)###</t>
  </si>
  <si>
    <t>求C</t>
  </si>
  <si>
    <t>把原式分母的###cx+d###遮住，留下###A/(ax+b)###</t>
  </si>
  <si>
    <t>求出###cx+d=0的根r2=-d/c###</t>
  </si>
  <si>
    <t>令###x=r2###代入###A/(ax+b)###得到###C=A/(b-a*d/c)###</t>
  </si>
  <si>
    <t>看起来复杂，实际操作很简单，只要不是高次有理分式，算起来比解待定系数方程快（不过快这一点没啥用）</t>
  </si>
  <si>
    <t>非零因子代入</t>
  </si>
  <si>
    <t>不是整体因子的情况下，###不能###非零因子代入</t>
  </si>
  <si>
    <t>指数含自变量的情况下，底数###不能###非零因子代入</t>
  </si>
  <si>
    <t>欧拉法逼近和黎曼和的区别在于，前者是梯形，后者是矩形，定积分是黎曼和对n求趋无穷的极限（无限细分）</t>
  </si>
  <si>
    <t>定积分从a积到b的极限定义通项=###f(a+i*(b-a)/n)*(b-a)/n###，其中###f(t)以外的部分###可以提公因提到连加外面</t>
  </si>
  <si>
    <t>被积函数出现sec²或者sec*tan</t>
  </si>
  <si>
    <t>可以尝试###分部积分，把这一部分作为g'(x)###</t>
  </si>
  <si>
    <t>也可以###凑微分###，但如果###凑出来不含有被凑的结果###，还是要用上一种方法</t>
  </si>
  <si>
    <t>级数逐项求导时注意x^(n-a)如果n-a&lt;0时求导结果并不是(n-a)*x^(n-a-1)而是n-a</t>
  </si>
  <si>
    <t>两条曲线所夹区域的旋转体，注意不能用###曲线差的平方###作为被积函数，应该要用###平方的差（两个旋转体的体积差）###</t>
  </si>
  <si>
    <t>瑕积分按照定义，一定要对瑕点进行###分段求变限积分的极限###，其中###每个区间的变限积分极限###都必须###存在（也就是说正负无穷不能互相抵消）###，否则不收敛</t>
  </si>
  <si>
    <t>被积函数存在大小关系的情况下，相同积分区间的定积分###维持相同的大小关系###</t>
  </si>
  <si>
    <t>比如在0到pi/6区间上sinx小于x，导致sin/x&lt;1&lt;x/sinx，因此他们的积分###S1&lt;pi/6&lt;S2###（S1为sin/x的积分，S2为x/sin的积分）</t>
  </si>
  <si>
    <t>要算△y都是要求用###y'(x0)*△x###来近似的（x0为近似起始点）</t>
  </si>
  <si>
    <t>sec的不定积分是###ln|sec+tan|###，csc的不定积分是###ln|csc-cot|###</t>
  </si>
  <si>
    <t>变限积分对应无穷小的阶数秒杀</t>
  </si>
  <si>
    <t>上限函数g(x)的阶数n</t>
  </si>
  <si>
    <t>被积函数f(x)的阶数m</t>
  </si>
  <si>
    <t>变限积分Lim(x-&gt;0):Int(0,g(x)):f(t)dt的阶数=###n*(m+1)###</t>
  </si>
  <si>
    <t>两个无穷小加减得到的新无穷小阶数为###旧无穷小中阶数较小的那一个（例：4阶±8阶=4阶）###</t>
  </si>
  <si>
    <t>极限保号性：如果极限为一个数值大于或者小于0，则被求极限的表达式在###趋向点附近的去心邻域###也大于或者小于0</t>
  </si>
  <si>
    <t>全微分（知识盲区）</t>
  </si>
  <si>
    <t>先从知道的部分开始说起</t>
  </si>
  <si>
    <t>二元函数z=f(x,y)它的全微分dz=f'x(x,y)*dx+f'y(x,y)*dy</t>
  </si>
  <si>
    <t>一元函数y=f(x)它的微分dy=f'(x)*dx</t>
  </si>
  <si>
    <t>△y/△z是曲线/曲面增量，dy/dz是切线/切面增量，注意微分是后者而非前者</t>
  </si>
  <si>
    <t>可以推出的部分</t>
  </si>
  <si>
    <r>
      <rPr>
        <sz val="11"/>
        <color theme="1"/>
        <rFont val="宋体"/>
        <charset val="134"/>
        <scheme val="minor"/>
      </rPr>
      <t>①由△y=f(x0+△x)-f(x0)=###</t>
    </r>
    <r>
      <rPr>
        <sz val="11"/>
        <color rgb="FFFF0000"/>
        <rFont val="宋体"/>
        <charset val="134"/>
        <scheme val="minor"/>
      </rPr>
      <t>f'(x0)*△x+o(ρ)###，o(ρ)为曲线和切线的误差</t>
    </r>
  </si>
  <si>
    <r>
      <rPr>
        <sz val="11"/>
        <color theme="1"/>
        <rFont val="宋体"/>
        <charset val="134"/>
        <scheme val="minor"/>
      </rPr>
      <t>②得△z=f(x0+△x,y0+△y)-f(x0,y0)=###</t>
    </r>
    <r>
      <rPr>
        <sz val="11"/>
        <color rgb="FFFF0000"/>
        <rFont val="宋体"/>
        <charset val="134"/>
        <scheme val="minor"/>
      </rPr>
      <t>f'x(x0,y0)*△x+f'y(x0,y0)*△y+o(ρ)###，o(ρ)为曲面和切面的误差</t>
    </r>
  </si>
  <si>
    <r>
      <rPr>
        <sz val="11"/>
        <color theme="1"/>
        <rFont val="宋体"/>
        <charset val="134"/>
        <scheme val="minor"/>
      </rPr>
      <t>③由△y=f(x)-f(x0)=###</t>
    </r>
    <r>
      <rPr>
        <sz val="11"/>
        <color rgb="FFFF0000"/>
        <rFont val="宋体"/>
        <charset val="134"/>
        <scheme val="minor"/>
      </rPr>
      <t>f'(x0)*(x-x0)+o(ρ)###，o(ρ)为曲线和切线的误差</t>
    </r>
  </si>
  <si>
    <r>
      <rPr>
        <sz val="11"/>
        <color theme="1"/>
        <rFont val="宋体"/>
        <charset val="134"/>
        <scheme val="minor"/>
      </rPr>
      <t>④得△z=f(x,y)-f(x0,y0)=###</t>
    </r>
    <r>
      <rPr>
        <sz val="11"/>
        <color rgb="FFFF0000"/>
        <rFont val="宋体"/>
        <charset val="134"/>
        <scheme val="minor"/>
      </rPr>
      <t>f'x(x0,y0)*(x-x0)+f'y(x0,y0)*(y-y0)+o(ρ)###，o(ρ)为曲面和切面的误差</t>
    </r>
  </si>
  <si>
    <t>需要死记硬背的公式</t>
  </si>
  <si>
    <t>Lim:###(A-B)/C###=0</t>
  </si>
  <si>
    <t>第一种：△x-&gt;0,△y-&gt;0，A对应②式等号左，B对应②式等号右（不包含误差o(ρ)）</t>
  </si>
  <si>
    <t>第二种：x-&gt;x0,y-&gt;y0，A对应④式等号左，B对应④式等号右（不包含误差o(ρ)）</t>
  </si>
  <si>
    <t>总结：分子相减都是求误差o(ρ)，分母都是△x/△y的欧几里得范数（平方和再开根号，相当于直角三角形的斜边长）</t>
  </si>
  <si>
    <t>内涵：意思是###这个误差###相对于###起点(x0,y0)到目标(x,y)的直线距离###是可以忽略不计的</t>
  </si>
  <si>
    <t>给一个极限式子，求出dz的一类题</t>
  </si>
  <si>
    <t>对给的极限变形，使其凑出###需要死记硬背的公式的公式###</t>
  </si>
  <si>
    <t>根据###需要死记硬背的公式的公式###，把里面###f'x和f'y###的部分提取出来，</t>
  </si>
  <si>
    <t>然后再把###f'x和f'y###放进###dz=f'x(x,y)*dx+f'y(x,y)*dy###，求出dz</t>
  </si>
  <si>
    <t>极限脱帽法：如果lim(x-&gt;0):f(x)=A，则f(x)=###A+o(x)###</t>
  </si>
  <si>
    <t>微分方程构造解证明微分中值定理-原理法（公式法参考20240401第4行）</t>
  </si>
  <si>
    <t>会拿到一个微分方程，说这个微分方程必定在某区间上有解</t>
  </si>
  <si>
    <t>那就先解这个微分方程，注意，不要解到y，解出第一个C就行</t>
  </si>
  <si>
    <t>可以把y'当成y，y''当成y'，只要保证最高阶是1阶导就行</t>
  </si>
  <si>
    <t>目的是为了方便运用微分中值定理</t>
  </si>
  <si>
    <t>然后改写通解y=g(C,x)成###C=h(y,x)###，令F(x)=###C=h(y,x)=h(f(x),x)###作构造函数</t>
  </si>
  <si>
    <t>然后会发现F'(x)=0就是原微分方程必有解的等价式</t>
  </si>
  <si>
    <t>用题设条件证明F(x)在某区间上必有相同的两根</t>
  </si>
  <si>
    <t>用罗尔定理和已知存在的相同两根证存在x使得F'(x)=0</t>
  </si>
  <si>
    <t>可微和可导的关系</t>
  </si>
  <si>
    <t>联系</t>
  </si>
  <si>
    <t>一元函数中可导与可微等价。</t>
  </si>
  <si>
    <t>多元函数的话，可微###一定###可导，可导###未必###可微。</t>
  </si>
  <si>
    <t>含义（设函数y= f(x)）</t>
  </si>
  <si>
    <t>可微</t>
  </si>
  <si>
    <t>若自变量在点x的改变量Δx与函数相应的改变量Δy有关系Δy=###A*Δx+o(Δx)###，其中A与Δx无关</t>
  </si>
  <si>
    <t>则称函数f(x)在点x可微，并称###AΔx###为函数f(x)在点x的微分，记作dy，即dy=###AΔx###，当x=x0时，则记作dy|x=x0。</t>
  </si>
  <si>
    <t>o(Δx)/Δx-&gt;###0###</t>
  </si>
  <si>
    <t>可导</t>
  </si>
  <si>
    <t>如果y在x=x0处###左右导数分别存在且相等###</t>
  </si>
  <si>
    <t>则称y在x=x0处可导</t>
  </si>
  <si>
    <t>题目要求证明数列极限存在→使用###单调有界###定理</t>
  </si>
  <si>
    <t>已知f'(x)求单调性，在证明题当中不能用特值，必须求###f''(x)###并###确定其符号###，才能证明f'(x)单调</t>
  </si>
  <si>
    <t>微分算子法本质上还是传统方法，但是围绕齐次特征多项式的根改良了运算步骤</t>
  </si>
  <si>
    <t>比如y''-3y'+2y=非齐次项，它的齐次多项式为###r^2-3r+2###</t>
  </si>
  <si>
    <t>齐次多项式为分母，分子为1，乘以非齐次项</t>
  </si>
  <si>
    <r>
      <rPr>
        <sz val="11"/>
        <color theme="1"/>
        <rFont val="宋体"/>
        <charset val="134"/>
        <scheme val="minor"/>
      </rPr>
      <t>非齐次项为e^2x时</t>
    </r>
    <r>
      <rPr>
        <b/>
        <sz val="11"/>
        <color rgb="FFFF0000"/>
        <rFont val="宋体"/>
        <charset val="134"/>
        <scheme val="minor"/>
      </rPr>
      <t>（千万注意指数系数不可以为0，也就是这个方法不适用于纯多项式！）</t>
    </r>
  </si>
  <si>
    <t>非齐次项和特征多项式的商为###e^2x/r^2-3r+2###</t>
  </si>
  <si>
    <t>令r=非齐次项的指数系数（上式为2），代入分母</t>
  </si>
  <si>
    <t>如果分母不为零，###和非齐次项的商###就是特解</t>
  </si>
  <si>
    <t>如果分母为零（非齐次项的指数系数是###齐次特征多项式的重根###）</t>
  </si>
  <si>
    <t>分子操作：###对r求导###</t>
  </si>
  <si>
    <t>分母操作：###乘x（对应k重根）###</t>
  </si>
  <si>
    <t>非齐次项为cos(2x)时（效果更好）</t>
  </si>
  <si>
    <t>非齐次项和特征多项式的商为###cos(2x)/r^2-3r+2###</t>
  </si>
  <si>
    <t>令r^2=###负的非齐次项自变量系数（上式为2）的平方###，代入分母</t>
  </si>
  <si>
    <t>如果分母最后剩下r的1次方，则对非齐次项进行对应的###积分###操作</t>
  </si>
  <si>
    <t>sin(x)/r相当于###对sin(x)积分###，变为###-cos(x)###</t>
  </si>
  <si>
    <t>如果除了r还有其它常数，比如sin(x)/(r+2)，则###分子分母同乘(r-2)###</t>
  </si>
  <si>
    <t>分母变成###r^2-4###，就可以直接代入r^2</t>
  </si>
  <si>
    <t>分子sin(x)###乘(r-2)###，相当于求###(sin(x))'-2*sin(x)###，即###cos(x)-2*sin(x)###</t>
  </si>
  <si>
    <t>之前提到瑕积分按照瑕点划分后每个部分都都必须收敛</t>
  </si>
  <si>
    <t>现在更要明确，如果是无穷区间上的极限，两端###都是无穷###的，要###找一个中间点x=a来进行划分###</t>
  </si>
  <si>
    <t>每个部分都收敛才整体收敛，一个不收敛整体都不收敛（不能正负无穷抵消）</t>
  </si>
  <si>
    <t>分段函数求原函数</t>
  </si>
  <si>
    <t>每个部分分别求原函数，会出现多个常数Ci，这样作答还不够</t>
  </si>
  <si>
    <t>要使每个分段共用一个C，要###求出Ci之间的关系###</t>
  </si>
  <si>
    <t>由于题设的函数是求出原函数的导数，证明###原函数可导###</t>
  </si>
  <si>
    <t>可导必###连续###，因此分段点处原函数###的极限存在且等于原函数的取值###</t>
  </si>
  <si>
    <t>分段点###极限存在###，分段点的左右极限###均存在且相等###</t>
  </si>
  <si>
    <t>分段点左右极限###脱去极限符号###后列写等式，包含###Ci和Ci+1、Ci-1之间的关系###</t>
  </si>
  <si>
    <t>可微性用【需要死记硬背的公式】来证明（无需作答）### ###</t>
  </si>
  <si>
    <t>一阶偏导连续必须证</t>
  </si>
  <si>
    <t>x偏连续：###lim(x-&gt;x0,y-&gt;y0):f'x(x,y)=f'x(x0,y0)###</t>
  </si>
  <si>
    <t>y偏连续：###lim(x-&gt;x0,y-&gt;y0):f'y(x,y)=f'y(x0,y0)###</t>
  </si>
  <si>
    <t>证明lim(x-&gt;x0):f'x(x,y0)=f'x(x0,y0)和lim(y-&gt;y0):f'y(x0,y)=f'y(x0,y0)是不够的</t>
  </si>
  <si>
    <t>举例：xy=0时为1，xy≠0时为0的分区函数，那两个极限成立，但是原函数是不连续的</t>
  </si>
  <si>
    <t>用罗尔定理证明根存在性时，所需条件与拉格朗日相同</t>
  </si>
  <si>
    <t>端点也要连续，如果因为定义域的缘故，可以在构造F(x)时###给端点单独赋值###</t>
  </si>
  <si>
    <t>举例：Int(0,x):f(t)dt/x因为分母限制定义域导致0点上无定义</t>
  </si>
  <si>
    <t>为保证连续，用###求变限积分的极限###求出0点连续需要的值</t>
  </si>
  <si>
    <t>分段，将上式结果赋给x=0时的f(x)</t>
  </si>
  <si>
    <t>信号：式子中出现x^n,n-&gt;∞，考虑|x|在###1###为分界的分段讨论</t>
  </si>
  <si>
    <t>曲率本质上是###切线夹角的微分###除以###弧长###（用###直角三角形斜边###近似）的微分</t>
  </si>
  <si>
    <t>函数奇偶性补充</t>
  </si>
  <si>
    <t>奇函数的f(0)=###0###</t>
  </si>
  <si>
    <t>偶函数导数为###奇函数###，奇函数的原函数###一定###为偶函数</t>
  </si>
  <si>
    <t>奇函数导数为###偶函数###，偶函数的原函数###未必###为奇函数</t>
  </si>
  <si>
    <t>相同奇偶性相乘为###偶函数###</t>
  </si>
  <si>
    <t>偶函数乘偶函数为###偶函数###</t>
  </si>
  <si>
    <t>奇函数乘奇函数为###偶函数###</t>
  </si>
  <si>
    <t>偶函数乘奇函数为###奇函数###</t>
  </si>
  <si>
    <t>当###找不到处处有定义的趋向点去心邻域###时，极限无法求取（不是极限不存在）</t>
  </si>
  <si>
    <t>被积函数中两表达式和为定值的秒杀法</t>
  </si>
  <si>
    <t>假设用两个函数相加f(x)+g(x)，当###对其进行求导得0###时（某个包含求导的验证手段），可知二者和为一定值</t>
  </si>
  <si>
    <t>这个定值可以###随便找一个x代入（因为是定值，x取多少都一样）###来求解（估测）</t>
  </si>
  <si>
    <t>多用于对称区间的偶函数积分（偶函数→区间对折+被积函数叠加）</t>
  </si>
  <si>
    <t>验算&amp;选填秒杀法：抽象函数的特值法（符合题设条件构造一个最简单的函数作为f(x)）（无需作答）### ###</t>
  </si>
  <si>
    <t>多项式求根秒杀</t>
  </si>
  <si>
    <t>若各项系数和为0，则x=###1（把x=1代入可证）###为根</t>
  </si>
  <si>
    <t>若偶次项系数和与奇次项系数和相同，则###-1（把x=-1代入，两者抵消）###为根</t>
  </si>
  <si>
    <t>必有一根为###常数项的因子###</t>
  </si>
  <si>
    <t>多元函数极值判别式###AC-B^2###如果为0</t>
  </si>
  <si>
    <t>不是极值的情况</t>
  </si>
  <si>
    <t>可以找一个特殊的y=y(x)</t>
  </si>
  <si>
    <t>代入原式使得###f(x,y(0))的上下限超出f(x0,y0)###（(x0,y0)为极值候选点）</t>
  </si>
  <si>
    <t>是极值的情况？</t>
  </si>
  <si>
    <t>看到分式极限趋于0，如果分母趋于0，分子趋于###0###，而且是和分母###更高阶###（低阶/高阶/同阶/等价）的###无穷小###（无穷大/无穷小/常数）</t>
  </si>
  <si>
    <t>确定f(x0,y0)=0（f(x0,y0)=a）为极值点的方法（选择题，定义法证明点非极值）：</t>
  </si>
  <si>
    <t>如果f(x,y)能直接看出范围是最佳，但是不稳定（由于y和x都可以任取）</t>
  </si>
  <si>
    <t>找几个y=y(x)代入f(x,y)得到f1(x)、f2(x)、f3(x)...越多越明显</t>
  </si>
  <si>
    <t>如果f1(x)&gt;0，且f2(x)&lt;0，说明###有正有负###（f(x,y)的符号范围），f(x0,y0)###是中间值而非极值###（是否为极值？）</t>
  </si>
  <si>
    <t>推广：</t>
  </si>
  <si>
    <t>如果最大fn(x)比f(x0,y0)大，则f(x0,y0)###不是极大值###（是否为极大/极小值？）</t>
  </si>
  <si>
    <t>如果最小fm(x)比f(x0,y0)大，则f(x0,y0)###不是极小值###（是否为极大/极小值？）</t>
  </si>
  <si>
    <t>求f(x)的n阶导的几种做法</t>
  </si>
  <si>
    <t>归纳法：求1阶、2阶、3阶，找到规律从而写出n阶（注意，不是数学归纳！最少见的方法，一般不可能这么简单）</t>
  </si>
  <si>
    <t>莱布尼茨公式：(u*v)的n阶导=###Σ(k=0..n):C(n,k)*(u^(n-k))*v^(k)###（计算量最大的一种，而且u、v的n阶导也要求）</t>
  </si>
  <si>
    <t>C是组合数，C(n,k)=###n!/(k!*(n-k)!)###（上总下分）</t>
  </si>
  <si>
    <t>泰勒系数法：f在x0的n阶导就是f(x)泰展中###(x-x0)^n项的系数乘n!###（最常见的方法！重要！）</t>
  </si>
  <si>
    <t>递推法：类似归纳，但是求的是n阶和n-1阶的关系，再结合1阶导来证通项（类似数学归纳）</t>
  </si>
  <si>
    <t>重点在于求导的过程保留n-1阶的形式不要拆散</t>
  </si>
  <si>
    <t>然后可以从1阶导开始叠加求导产生的变化</t>
  </si>
  <si>
    <t>三次以上多项式因式分解</t>
  </si>
  <si>
    <t>基本方法</t>
  </si>
  <si>
    <t>试根，试出x=a时多项式p(x)=0（怎么快速试出）</t>
  </si>
  <si>
    <t>用###常数项的因数除最高次项系数的因数###去试###（注意，是因数而不只是拿它本身去试！）###</t>
  </si>
  <si>
    <t>上述方法在###根为无理数###的情况下会失效</t>
  </si>
  <si>
    <t>p(x)对(x-a)进行长除法得到新的p(x)</t>
  </si>
  <si>
    <t>重复上述操作直到余只剩下常数</t>
  </si>
  <si>
    <t>交叉相乘</t>
  </si>
  <si>
    <t>x^2+a*x+b分解为(c+x)(d+x)</t>
  </si>
  <si>
    <t>c、d满足###c+d=a且c*d=b###</t>
  </si>
  <si>
    <t>a*x^2+b*x+c分解为(d+e*x)(f+g*x)</t>
  </si>
  <si>
    <t>d*f=###c###且e*g=###a###且###d*g+e*f###=b</t>
  </si>
  <si>
    <t>待定系数法（最终手段，大计算量，包解）</t>
  </si>
  <si>
    <t>a1*x^n+a2*x^(n-1)+a3*x^(n-2)+...+an=</t>
  </si>
  <si>
    <t>(b1+c1*x)*(d1*x^(n-1)+d2*x^(n-2)+d3*x^(n-3)+...+dn-1)=</t>
  </si>
  <si>
    <t>(b1+c1*x)*(b2+c2*x)*(e1*x^(n-2)+e2*x^(n-3)+e3*x^(n-4)+...+en-2)=</t>
  </si>
  <si>
    <t>(b1+c1*x)*(b2+c2*x)*(b3+c3*x)*...*(bn+cn*x)</t>
  </si>
  <si>
    <t>注意sin(1/x)在x趋于0的问题</t>
  </si>
  <si>
    <t>sin(1/x)在x趋于0时，1/x趋于###无穷###，sin(1/x)###无限次上下震荡，遍历-1到1之间的所有值###</t>
  </si>
  <si>
    <t>首先由于###震荡###导致极限不存在，这是第一层</t>
  </si>
  <si>
    <t>其次由于###遍历-1到1之间所有值###，导致该式会等于###真0（非无穷小）###，这又导致该表达式###乘上任何其它表达式都为0###（对整体的影响）</t>
  </si>
  <si>
    <t>最后由于###真0的存在###，当它作为分母时，###无论去心邻域如何缩小，都存在分母为真0导致无定义的情况###，这样极限就无法求取</t>
  </si>
  <si>
    <t>海涅定理（归结定理）</t>
  </si>
  <si>
    <t>xn是满足两个条件的任意数列（特别注意是任意，存在特例不能推到函数极限）</t>
  </si>
  <si>
    <t>总有###xn≠a###（xn和a的关系）</t>
  </si>
  <si>
    <t>n趋于无穷时，xn趋###a###</t>
  </si>
  <si>
    <t>而且n趋于无穷时f(xn)=A</t>
  </si>
  <si>
    <t>那么x趋于a时，###f(x)趋于A###（对f的影响）</t>
  </si>
  <si>
    <t>点到直线的距离</t>
  </si>
  <si>
    <t>假设直线的方程为ax+by+c=0</t>
  </si>
  <si>
    <t>点到直线距离为###|ax+by+c|/sqrt(a^2+b^2)###</t>
  </si>
  <si>
    <t>代数运算夹带绝对值不方便，可以先求距离的###平方###把绝对值变成###平方###，分母根号也能消掉</t>
  </si>
  <si>
    <t>目标函数一阶偏导为0与约束方程联立却无实根的原因</t>
  </si>
  <si>
    <t>目标函数为点到直线的距离，一阶偏导为0的点即###到直线距离最短###的点（何参数取得最值）</t>
  </si>
  <si>
    <t>由图形分析可知###距离最短为0###（最值为何），即###该点必在直线上###（和直线的关系）</t>
  </si>
  <si>
    <t>但若约束方程与直线方程不相交，则###二者不存在交点###（二者的几何关系），不存在同时满足###约束成立又距离为0###的点</t>
  </si>
  <si>
    <t>总结起来这就是属于目标函数极点不在可行域（约束）内的情况</t>
  </si>
  <si>
    <t>这种情况下，极值必出现在###可行域（约束）的边界###上</t>
  </si>
  <si>
    <t>应把###约束方程###推出的###y=y(x)关系###代入###目标函数###，再重新计算###目标函数导数为0点###（代入导致消元）</t>
  </si>
  <si>
    <t>圆锥体积计算V=###底圆面积*高/3###</t>
  </si>
  <si>
    <t>背对背的两个同底面圆锥（三角形绕底边旋转）体积V=###底圆面积*(高1+高2)/3###</t>
  </si>
  <si>
    <t>###底圆面积S###=pi*旋转截面三角形的高^2，V=###(pi/3)*(旋转截面三角形的高^2)*(高1+高2)###（用左式表达）</t>
  </si>
  <si>
    <t>###高1+高2###=旋转截面三角形的底，V=###(pi/3)*(旋转截面三角形的高^2)*(旋转截面三角形的底)###（用左式表达）</t>
  </si>
  <si>
    <t>拉格朗日乘数法</t>
  </si>
  <si>
    <t>已知目标函数f(x,y,z)和约束g(x,y,z)=0</t>
  </si>
  <si>
    <t>列出拉格朗日函数l(x,y,z,λ)=###f(x,y,z)-λ*g(x,y,z)###</t>
  </si>
  <si>
    <t>对拉格朗日函数求###偏导为0###的方程组：###lx(x,y,z,λ)=0,ly(x,y,z,λ)=0,lz(x,y,z,λ)=0,lλ(x,y,z,λ)=0###</t>
  </si>
  <si>
    <t>求解上述方程组，得到解(x0,y0,z0)、(x1,y1,z1)...</t>
  </si>
  <si>
    <t>把解回代目标函数得到值，比较值大小，判断极大还是极小</t>
  </si>
  <si>
    <t>Stolz定理（离散版洛必达）</t>
  </si>
  <si>
    <t>*/∞型数列极限（分母yn趋+∞）</t>
  </si>
  <si>
    <t>分母yn###严格单增###（满足某种性态）</t>
  </si>
  <si>
    <t>0/0型数列极限（分子xn、分母yn趋0）</t>
  </si>
  <si>
    <t>分母yn###严格单减###（满足某种性态）</t>
  </si>
  <si>
    <t>n趋无穷时，xn/yn的极限等于###(xn+1-xn)/(yn+1-yn)###（关于xn和yn的表达式）的极限</t>
  </si>
  <si>
    <t>后者极限存在性：###存在或为±∞###</t>
  </si>
  <si>
    <t>闭区间连续函数的性质</t>
  </si>
  <si>
    <t>有界性：f(x)在[a,b]上连续→f(x)在[a,b]上###有上界M和下界m###</t>
  </si>
  <si>
    <t>最值定理：f(x)在[a,b]上连续→f(x)在[a,b]上有###最大最小值###</t>
  </si>
  <si>
    <t>介值定理：f(x)在[a,b]上连续，且###f(a)≠f(b)###→存在###(a,b)###上的x0，使得###min(f(a),f(b))&lt;f(x0)&lt;max(f(a),f(b))###</t>
  </si>
  <si>
    <t>零点定理：f(x)在[a,b]上连续，且###f(a)*f(b)&lt;0###→存在###(a,b)###上的x0，使###f(x0)=0###</t>
  </si>
  <si>
    <t>极值点的定义</t>
  </si>
  <si>
    <t>首先要求###这个点的邻域有定义###（回忆口诀）</t>
  </si>
  <si>
    <t>所以区间的端点，###无论区间开闭，都不可能是###极值点（一定是/可能是/不可能是）</t>
  </si>
  <si>
    <t>[a,b]上的极值点如果存在，也是在###(a,b)内###</t>
  </si>
  <si>
    <t>然后对于邻域内任何x都有###f(x)&lt;f(x0)###（极大）或###f(x)&gt;f(x0)###（极小），其中x0是极值点</t>
  </si>
  <si>
    <t>极值的两种可能性</t>
  </si>
  <si>
    <t>可导点，又叫做###驻点###，即###一阶导数为0###且左右邻域内###可导导数异号###的点</t>
  </si>
  <si>
    <t>不可导点，满足首先和然后两个要求</t>
  </si>
  <si>
    <t>多元函数极限存在性秒杀</t>
  </si>
  <si>
    <t>观察法</t>
  </si>
  <si>
    <t>x趋于0时，分子分母的等价多项式进行次数比较，分子比分母###高次###，极限必存在</t>
  </si>
  <si>
    <t>x趋于0时，分子分母的等价多项式进行次数比较，分子比分母###低次###，极限不存在</t>
  </si>
  <si>
    <t>公式法</t>
  </si>
  <si>
    <t>Lim(x-&gt;0,y-&gt;0):(x^p*y^q)/(x^m+y^n)</t>
  </si>
  <si>
    <t>m、n不全为偶数，极限必###不存在###</t>
  </si>
  <si>
    <t>m、n全为偶数，写出判别式###(p/m)+(q/n)###（p、q、m、n的表达式）：</t>
  </si>
  <si>
    <t>若判别式###大于1###，则极限存在且等于###0###</t>
  </si>
  <si>
    <t>若判别式###小于等于1###，则极限不存在</t>
  </si>
  <si>
    <t>以上方法可以对极限表达式的一部分使用（即可以凑出部分满足分式形式）</t>
  </si>
  <si>
    <t>分段函数分段点求导</t>
  </si>
  <si>
    <t>分别求###左导数###和###右导数###，确认两者###相等###，导数才存在</t>
  </si>
  <si>
    <t>一边极限###不存在###，或者均存在但###不相等###，导数也是不存在</t>
  </si>
  <si>
    <t>洛必达使用限制</t>
  </si>
  <si>
    <t>能不能变形</t>
  </si>
  <si>
    <t>条件一：满足构型</t>
  </si>
  <si>
    <t>条件二：###趋向点的去心邻域内###可导，且###分母求导不存在真0###</t>
  </si>
  <si>
    <t>条件三：变形后极限存在或###为无穷大###，其它情况特别是###震荡和跳跃###的情况下不能用</t>
  </si>
  <si>
    <t>能不能求解</t>
  </si>
  <si>
    <t>转变前，导函数必须有定义（条件二要求）</t>
  </si>
  <si>
    <t>转变后，###导函数极限可能不存在###的情况下，不能求</t>
  </si>
  <si>
    <t>###导函数连续###可以杜绝上述情况</t>
  </si>
  <si>
    <t>相似的，原极限存在，###不能###推变形后的极限存在</t>
  </si>
  <si>
    <t>斜渐近线y=kx+b的求法</t>
  </si>
  <si>
    <t>求斜率k</t>
  </si>
  <si>
    <t>求x趋###无穷###时，###f(x)/x###的极限</t>
  </si>
  <si>
    <t>求截距b</t>
  </si>
  <si>
    <t>求x趋###无穷###时，###f(x)-kx###的极限</t>
  </si>
  <si>
    <t>牛顿法</t>
  </si>
  <si>
    <t>假设存在一个f(x)=0的方程，但你死活都解不出来</t>
  </si>
  <si>
    <t>所以你退而求其次，猜测该方程有一个解为a</t>
  </si>
  <si>
    <t>对x=a时的f(x)求###切线方程###，求出###切线的x轴交点a2###，具体步骤如下：</t>
  </si>
  <si>
    <t>先列###f'(a)(x-a)+f(a)=y###</t>
  </si>
  <si>
    <t>后求###a2，使得f'(a)(a2-a)+f(a)=0###</t>
  </si>
  <si>
    <t>这个后求出的###a2###就是###下一次估算开始的点###</t>
  </si>
  <si>
    <t>但是牛顿法也有可能失效</t>
  </si>
  <si>
    <t>###f'(a)接近0###的情况下（f(x)的性态），###切线###几乎是横着（步骤1的影响），###零点会离开很远###（步骤2的影响），最终误差会变得非常大</t>
  </si>
  <si>
    <t>如果原方程的根不止一个，可能得到的不是想要的根</t>
  </si>
  <si>
    <t>近似可能越来越差（误差越来越大），比如f(x)=x^(1/3)</t>
  </si>
  <si>
    <t>碰到拐点可能导致###两个近似点来回逼近###</t>
  </si>
  <si>
    <t>伸缩j级数求和（第a到第b项的f(j)-f(j-1)如何求和）：###Σ(j=a..b):(f(j)-f(j-1))=f(b)-f(a-1)###</t>
  </si>
  <si>
    <t>一定要注意！绕轴旋转平移法要保证###平移前后图形和旋转轴的相对位置一致###，如果朝向相反也是###不行###的！！！</t>
  </si>
  <si>
    <t>如果旋转体的截面不是函数的定积分（换句话说，是函数曲线上方的部分）</t>
  </si>
  <si>
    <t>可以###采用体积差（倒模）的方法求解###（参考20240406笔记）</t>
  </si>
  <si>
    <t>均值不等式</t>
  </si>
  <si>
    <t>a^2+b^2###&gt;=2ab###，当且仅当###a=b###时###取等号###</t>
  </si>
  <si>
    <t>a+b###&gt;=2sqrt(ab)###，当且仅当###a=b###时###取等号###</t>
  </si>
  <si>
    <t>a+b+c###&gt;=3curt(abc)###，当且仅当###a=b=c###时###取等号###</t>
  </si>
  <si>
    <t>a1+a2+...+an###&gt;=n*(a1*a2*..*an)^(1/n)###，当且仅当###a1=a2=..=an###时###取等号###</t>
  </si>
  <si>
    <t>求导变量和积分变量连在一起作为被积函数，要先分离再求导</t>
  </si>
  <si>
    <t>乘积关系提到积分前面，比如Int(0,x):x*f(t)dt=###x*Int(0,x):f(t)dt###</t>
  </si>
  <si>
    <t>加减关系拆开，比如Int(0,x):(x+t)*f(t)dt=###x*Int(0,x):f(t)dt+Int(0,x):t*f(t)dt###</t>
  </si>
  <si>
    <t>在抽象函数的因变量里，要进行换元</t>
  </si>
  <si>
    <t>令u=###x-t###代入Int(0,x):f(x-t)dt得到###Int(0,x):f(u)du（区间再现）###</t>
  </si>
  <si>
    <t>令u=###tx###代入Int(0,x):f(tx)dt得到###(1/x)*Int(0,x):f(u)du###</t>
  </si>
  <si>
    <t>因式分解的未掌握公式</t>
  </si>
  <si>
    <t>完全立方</t>
  </si>
  <si>
    <t>(a+b)³=###a³+3a²b+3ab²+b³###</t>
  </si>
  <si>
    <t>(a-b)³=###a³-3a²b+3ab²-b³###</t>
  </si>
  <si>
    <t>完全n次方：(a+b)^n=###Σ(k=0..n):C(n,k)*(a^k)*(b^(n-k))###（二项式定理）</t>
  </si>
  <si>
    <t>立方差：（参考20240302）</t>
  </si>
  <si>
    <t>立方和：a³+b³=###(a+b)*(a²-ab+b²)###</t>
  </si>
  <si>
    <t>n次方差：a^n+b^n=###(a-b)*Σ(k=0..n-1):(b^k)*(a^(n-1-k))###</t>
  </si>
  <si>
    <t>|f(x)|的最值点和f(x)^2相同</t>
  </si>
  <si>
    <t>洛必达法则，分母为无穷时可以直接用，不需要看分子（无需作答）### ###</t>
  </si>
  <si>
    <t>隐函数求导时如果只含有因变量没有自变量，可以先###对因变量求导###，然后###乘上因变量对自变量求导###</t>
  </si>
  <si>
    <t>元素aij对应余子式Mij计算</t>
  </si>
  <si>
    <t>原行列式###挖掉第i行第j列###得到新的行列式</t>
  </si>
  <si>
    <t>新行列式的计算结果###乘上(-1)^(i+j)###即得Mij</t>
  </si>
  <si>
    <t>线性相关的向量组包含n个n维向量，则这n个向量组成的n阶方阵###不满秩###</t>
  </si>
  <si>
    <t>因此，该n阶方阵的行列式###为0###</t>
  </si>
  <si>
    <t>二重积分的割补法：###被积函数相同###的情况下，二重积分可以进行割补操作</t>
  </si>
  <si>
    <t>矩阵乘法AX=B直接用初等变换法</t>
  </si>
  <si>
    <t>常规做法，A'AX=A'B=X，所以要求A'</t>
  </si>
  <si>
    <t>A|E初等变换成E|A'，再求A'B</t>
  </si>
  <si>
    <t>直接初等变换，###A|B###变换成###E|X###，一步到位</t>
  </si>
  <si>
    <t>原因：</t>
  </si>
  <si>
    <t>A-&gt;E的初等行变换即###A'###，即###A'###A=E</t>
  </si>
  <si>
    <t>A|B-&gt;E|X相当于###A'###A=E，###A'###B=X</t>
  </si>
  <si>
    <t>利用齐次微分方程通解结构来记忆线性方程组的解法</t>
  </si>
  <si>
    <t>化行最简型</t>
  </si>
  <si>
    <t>求出非齐次特解</t>
  </si>
  <si>
    <t>设k个自由变量为###0###</t>
  </si>
  <si>
    <t>k个自由变量代入方程，得到1个非齐次特解</t>
  </si>
  <si>
    <t>求出齐次通解</t>
  </si>
  <si>
    <t>把增广列改为###0###（注意，非常重要！曾经做错过！）</t>
  </si>
  <si>
    <t>对k个自由变量设k个###正交值（(1,0,0,..),(0,1,0,..),(0,0,1,..)..）###</t>
  </si>
  <si>
    <t>（对应exp(λx)）k个###正交值###代入方程，得到k个###线性无关###的齐次特解</t>
  </si>
  <si>
    <t>（对应∑Ci*exp(λix)）上述k个齐次特解分别乘上系数Ci(i=1..k)，相加得到齐次通解</t>
  </si>
  <si>
    <t>含x不等式恒成立的一种思路</t>
  </si>
  <si>
    <t>把等式的右边###统统移到左边###，这样右边变成###0###</t>
  </si>
  <si>
    <t>然后左边整体###构造一个函数F(x)###，变成证明###F(x)始终大于或小于0###</t>
  </si>
  <si>
    <t>逆向思维：始终大于或小于0，即###需要最小大于或最大小于###</t>
  </si>
  <si>
    <t>特例分析：如果F(x)非单调，那么###求出极值点###，再###跟端点对比###</t>
  </si>
  <si>
    <t>极值求取：先用###F'(x)=0###求出###驻点###</t>
  </si>
  <si>
    <t>如果左右导数异号，那###就是极值点了###，否则###不是###</t>
  </si>
  <si>
    <t>端点对比：求取端点，然后跟极值比较，取最值</t>
  </si>
  <si>
    <t>特例分析：如果F(x)单调，那么###最小或最大必在一端###</t>
  </si>
  <si>
    <t>求出###对应一端的值###</t>
  </si>
  <si>
    <t>利用###F'(x)的符号###证明单调性</t>
  </si>
  <si>
    <t>必要时###递归操作###，用###F''(x)###来证明###F'(x)的符号###</t>
  </si>
  <si>
    <t>积分第一中值定理</t>
  </si>
  <si>
    <t>f(x)的要求：###在[a,b]上连续###</t>
  </si>
  <si>
    <t>g(x)的要求：###在[a,b]上连续且不变号###</t>
  </si>
  <si>
    <t>###[a,b]###上至少存在一个中值c</t>
  </si>
  <si>
    <t>使得Int(a,b):###f(x)*g(x)###dx=###f(c)*Int(a,b):g(x)dx###</t>
  </si>
  <si>
    <t>被积函数偶倍奇零</t>
  </si>
  <si>
    <t>若f(x)在[-a,a]上连续</t>
  </si>
  <si>
    <t>若f(x)为偶函数，则Int(-a,a):f(x)dx=###2*Int(0,a):f(x)dx###</t>
  </si>
  <si>
    <t>若f(x)为奇函数，则Int(-a,a):f(x)dx=###0###</t>
  </si>
  <si>
    <t>三角信号能量守恒定律</t>
  </si>
  <si>
    <t>f(x)在[0,1]上连续</t>
  </si>
  <si>
    <t>Int(0,π/2):f(sin(x))dx=###Int(0,π/2):f(cos(x))dx###（用cos表示）</t>
  </si>
  <si>
    <t>Int(0,π):f(sin(x))dx=2*Int(0,π/2):f(sin(x))dx</t>
  </si>
  <si>
    <t>换元移相：Int(0,π):f(sin(x))dx=###Int(-π/2,π/2):f(sin(x+π/2))dx###</t>
  </si>
  <si>
    <t>正余转换：Int(0,π):f(sin(x))dx=###Int(-π/2,π/2):f(cos(x))dx###</t>
  </si>
  <si>
    <t>偶倍奇零：Int(0,π):f(sin(x))dx=###2*Int(0,π/2):f(cos(x))dx###</t>
  </si>
  <si>
    <t>###f(cos(x))###（上式中的）是###偶###函数（奇偶性），与f(x)的奇偶性###无关###（有关/无关）</t>
  </si>
  <si>
    <t>能量守恒（结论）：Int(0,π):f(sin(x))dx=###2*Int(0,π/2):f(sin(x))dx###</t>
  </si>
  <si>
    <t>f(x)为偶函数，Int(0,π):f(cos(x))dx=2*Int(0,π/2):f(cos(x))dx</t>
  </si>
  <si>
    <t>换元移相：Int(0,π):f(cos(x))dx=###Int(-π/2,π/2):f(cos(x+π/2))dx###</t>
  </si>
  <si>
    <t>正余转换：Int(0,π):f(cos(x))dx=###Int(-π/2,π/2):f(-sin(x))dx###</t>
  </si>
  <si>
    <t>偶倍奇零：Int(0,π):f(cos(x))dx=###2*Int(0,π/2):f(sin(x))dx###</t>
  </si>
  <si>
    <t>f(x)为偶函数，推出###f(-sin(-x))=f(sin(x))=f(-sin(x))###，因此f(-sin(x))也为偶函数</t>
  </si>
  <si>
    <t>f(x)为奇函数，Int(0,π):f(cos(x))dx=0</t>
  </si>
  <si>
    <t>偶倍奇零：Int(0,π):f(cos(x))dx=###0###</t>
  </si>
  <si>
    <t>f(x)为奇函数，###f(-sin(-x))=f(sin(x))=-f(-sin(x))###→f(-sin(x))也为奇函数</t>
  </si>
  <si>
    <t>上述被积函数为###f(cos(x))###的积分式中，x^n作为f(x)时，根据###n的奇偶性###找出f(x)对应的奇偶性来计算</t>
  </si>
  <si>
    <t>只有n为###偶数###时才可以推到喷射公式进行计算</t>
  </si>
  <si>
    <t>喷射公式中被积三角函数的次数必须是###正整数###</t>
  </si>
  <si>
    <t>定积分估值定理（中值定理定理=估值+介值）</t>
  </si>
  <si>
    <t>闭区间[a,b]内的所有x都有m&lt;=f(x)&lt;=M</t>
  </si>
  <si>
    <t>则###m*(b-a)&lt;=Int(a,b):f(x)dx&lt;=M*(b-a)###</t>
  </si>
  <si>
    <t>2018数学一选择第四题</t>
  </si>
  <si>
    <t>题设条件：三个半径π/2的对称区间定积分比大小，其中一个被积函数是(1+x)/e^x</t>
  </si>
  <si>
    <t>已经完成：已经比出其中一对的大小关系</t>
  </si>
  <si>
    <t>较大一方积分为π+2*Int(0,π/2):sqrt(cos(x))，被积函数为1+sqrt(cos(x))</t>
  </si>
  <si>
    <t>较小一方积分为π，被积函数化简（偶倍奇零）后为1</t>
  </si>
  <si>
    <t>现在只差：(1+x)/e^x的大小未确定</t>
  </si>
  <si>
    <t>逆向思维：利用###积分不等式###，分别和###两个已化简被积函数###进行比较</t>
  </si>
  <si>
    <t>逆向思维：两个被积函数都含有1的部分，可先###让(1+x)/e^x和1相比###</t>
  </si>
  <si>
    <t>把(1+x)/e^x=1###左右同乘e^x（e^x恒大于零，不会逆转不等式）###再###把等号左侧移到右侧###，得到0=###e^x-(x+1)###</t>
  </si>
  <si>
    <t>问题转为看f(x)=###e^x-(x+1)###的符号</t>
  </si>
  <si>
    <t>求###一阶导###，发现###其零点为x=0，x&lt;0时为负，x&gt;0时为正###，推出###在x=0时f(x)取得极小###</t>
  </si>
  <si>
    <t>###f(0)=0###为f(x)的###极小###，说明f(x)###&gt;=0###</t>
  </si>
  <si>
    <t>f(x)###&gt;=0###说明###(1+x)/e^x&lt;=1###，并且仅在x=###0###时###等号成立###</t>
  </si>
  <si>
    <t>(1+x)/e^x除了在x=###0###时与((1+x)^2)/(1+x^2)###相等###，其余x取值时###都小于后者###</t>
  </si>
  <si>
    <t>因此剩余的这个为三者中的最小</t>
  </si>
  <si>
    <t>反常积分的极限判别法（对付非负）</t>
  </si>
  <si>
    <t>被积函数f(x)和设的g(x)均###非负###</t>
  </si>
  <si>
    <t>当x-&gt;a（瑕积分）或x-&gt;∞（无穷积分）时，f(x)和g(x)###同阶###（不一定是###无穷小###，也不需要###等价###）</t>
  </si>
  <si>
    <t>那么###Int(a,b):f(x)dx###与###Int(a,b):g(x)dx###同敛散（区别于下面含变限积分极限的等价）</t>
  </si>
  <si>
    <t>实战化改进</t>
  </si>
  <si>
    <t>无穷积分</t>
  </si>
  <si>
    <t>找一个###x^(-n)###，n的范围：###(1,∞)###，将其作为g(x)</t>
  </si>
  <si>
    <t>在x-&gt;∞时，若f(x)/g(x)的极限存在，二者同敛散</t>
  </si>
  <si>
    <t>由于Int(a,∞):x^(-n)dx必收敛（p积分），则Int(a,∞):f(x)dx必收敛</t>
  </si>
  <si>
    <t>瑕积分</t>
  </si>
  <si>
    <t>找一个###(x-a)^(-n)###，n的范围：###(0,1)###，其中a为瑕点，将其作为g(x)</t>
  </si>
  <si>
    <t>在x-&gt;a时，若f(x)/g(x)的极限存在，二者同敛散</t>
  </si>
  <si>
    <t>由于Int(a,b):(x-a)^(-n)dx必收敛（q积分），则Int(a,b):f(x)dx必收敛</t>
  </si>
  <si>
    <t>联系和区别反常积分的比较审敛法进行记忆</t>
  </si>
  <si>
    <t>比较审敛十五字口诀：###两者均非负，大收小必收，小散大必散###</t>
  </si>
  <si>
    <t>相同：###条件均非负###</t>
  </si>
  <si>
    <t>不同：极限法###若同阶则同敛散###，比较法###按口诀比大小###</t>
  </si>
  <si>
    <t>反常积分的绝对审敛法（对付有正有负）</t>
  </si>
  <si>
    <t>原理：无穷级数的绝对收敛概念应用到无穷区间的反常积分上</t>
  </si>
  <si>
    <t>如果###Int(a,b):|f(x)|dx###收敛，那么###Int(a,b):f(x)dx###必收敛</t>
  </si>
  <si>
    <t>如果###Int(a,b):f(x)dx###发散，那么###Int(a,b):|f(x)|dx###必发散</t>
  </si>
  <si>
    <t>含变限积分极限的直接等价</t>
  </si>
  <si>
    <t>如果上限是含x的函数h(x)和i(x)</t>
  </si>
  <si>
    <t>二者能满足：###h(x)~i(x)-&gt;0###</t>
  </si>
  <si>
    <t>且###h'(x)≠0、i'(x)≠0###</t>
  </si>
  <si>
    <t>那么###Int(a,h(x)):f(x)dx~Int(a,h(x)):g(x)dx~Int(a,i(x)):f(x)dx~Int(a,i(x)):g(x)dx###</t>
  </si>
  <si>
    <t>当a和b均大于0时，lim(x-&gt;0+):(x^a)*(ln(x)^b)=###0###</t>
  </si>
  <si>
    <t>穿根法画多项式函数草图</t>
  </si>
  <si>
    <t>由数轴最右端画平滑曲线</t>
  </si>
  <si>
    <t>从右到左依次经过数轴上表示各根的点</t>
  </si>
  <si>
    <t>先看###x趋于负无穷时的极限正负性###，决定起点是在数轴上面还是下面</t>
  </si>
  <si>
    <t>次数为###奇数###的根因式，比如###(x-a)、(x-a)^3###，从数轴穿过到另一边</t>
  </si>
  <si>
    <t>次数为###偶数###的根因式，比如###(x-a)^2、(x-a)^4###，擦过数轴上的根点而不穿过，回到同侧</t>
  </si>
  <si>
    <t>口诀：###奇穿偶不穿，符号看两端，一阶导为零，切线画水平###</t>
  </si>
  <si>
    <t>含绝对值函数的不可导点判别</t>
  </si>
  <si>
    <t>f(x)=(|x-x0|^k)*g(x),g(x)满足###g(x0)≠0###</t>
  </si>
  <si>
    <t>k满足关系式：###k&gt;1###，f'(x)在x0处有定义（f(x)在x0处可导）</t>
  </si>
  <si>
    <t>k满足关系式：###k&lt;=1###，f'(x)在x0处无定义（f(x)在x0处不可导）</t>
  </si>
  <si>
    <t>n阶导的奇偶性推论</t>
  </si>
  <si>
    <t>若f(x)为偶函数，f的奇数阶导数为###奇函数###，f的偶数阶导数为###偶函数###</t>
  </si>
  <si>
    <t>奇函数在x=0处为0，所以偶函数的麦克劳林级数只有###偶次项###</t>
  </si>
  <si>
    <t>若f(x)为奇函数，f的奇数阶导数为###偶函数###，f的偶数阶导数为###奇函数###</t>
  </si>
  <si>
    <t>奇函数在x=0处为0，所以奇函数的麦克劳林级数只有###奇次项###</t>
  </si>
  <si>
    <t>分段函数最多有几阶导？</t>
  </si>
  <si>
    <t>分段分别进行###泰勒展开###，看看###展开的第几次方项###在###分段处###具有###不同的系数###</t>
  </si>
  <si>
    <t>快速结论：f(x)在x0可导</t>
  </si>
  <si>
    <t>①h(x)在x0连续但不可导，则f(x)*h(x)在x0可导↔f(x0)=###0###</t>
  </si>
  <si>
    <t>g(x)=|f(x)|</t>
  </si>
  <si>
    <t>②f(x0)≠0，g(x)在x0处###可导###（说明f(x0)###不是###|f|的分段点，即x0###不是###g(x)的分段点）</t>
  </si>
  <si>
    <t>f(x0)=0</t>
  </si>
  <si>
    <t>③f'(x0)≠0，g(x)在x0处###不可导###（f(x)在x0左右导数不为0，加绝对值###导致左导数反号与右导数不等###，导数不存在）</t>
  </si>
  <si>
    <t>④f'(x0)=0，g(x)在x0处###可导###（f(x)在x0左右导数为0，加绝对值###不改变左导数，与右导数相等为0###，导数存在且###为0###）</t>
  </si>
  <si>
    <t>且g'(x0)###=0###</t>
  </si>
  <si>
    <t>如果一个函数F(x)是另一个函数f(x)的变限积分，即F(x)=Int(0,x):f(t)dt</t>
  </si>
  <si>
    <t>F(x)###连续###（连续/间断/可导/可微/可积/极限存在）</t>
  </si>
  <si>
    <t>f(x)有几种情况</t>
  </si>
  <si>
    <t>f(x)连续，那么F(x)###可导###，且###F'(x)###=f(x)（即F(x)是f(x)的###原函数###）</t>
  </si>
  <si>
    <t>f(x)第二类间断（极限至少一边不存在）：F(x)在x0可能可导，也可能不可导</t>
  </si>
  <si>
    <t>F(x)在x0可导，F'(x)=###用F(x)表示的导数极限定义式###</t>
  </si>
  <si>
    <t>F(x)在x0不可导，那就是不可导</t>
  </si>
  <si>
    <t>这种情况下f(x)和F(x)就没什么联系了</t>
  </si>
  <si>
    <t>f(x)第一类间断（极限存在）:</t>
  </si>
  <si>
    <t>可去（左右相等）：F(x)在x=x0###可导###，且###F'(x0)###=lim(x-&gt;x0):f(x)</t>
  </si>
  <si>
    <t>结合f(x)连续的情况考虑：F(x)的导数一定是###f(x)的极限###，如果极限和取值不同，看###前者###</t>
  </si>
  <si>
    <t>跳跃（左右不等）：不可导</t>
  </si>
  <si>
    <t>因为###左右极限不相等###，x0点处f(x)的极限###不存在###</t>
  </si>
  <si>
    <t>导数定阶（导数无穷小n阶→原函数无穷小n+1阶）是###错误###（成立/错误）的，比如：###f(x)=exp(x)###</t>
  </si>
  <si>
    <t>原位求斜渐近线法：</t>
  </si>
  <si>
    <t>把f(x)变形为g(x)+h(x)，即f(x)=g(x)+h(x)，其中g(x)=###k*x+b###</t>
  </si>
  <si>
    <t>只要确保###Lim(x-&gt;∞):h(x)=0###，则可认为g(x)是f(x)的斜渐近线</t>
  </si>
  <si>
    <t>分部积分表格法</t>
  </si>
  <si>
    <t>制表</t>
  </si>
  <si>
    <t>列出两列，左边要求导，右边要积分</t>
  </si>
  <si>
    <t>被积函数看成f(x)*g'(x)，把###f(x)###写在求导列，把###g'(x)###写在积分列</t>
  </si>
  <si>
    <t>然后竖向每一行都是###上一行对应的求导或积分（看位于哪列）###</t>
  </si>
  <si>
    <t>求导列的奇数行标###正号###，偶数行标###负号###</t>
  </si>
  <si>
    <t>一直写到###求导列最后一行是0###为止</t>
  </si>
  <si>
    <t>用表</t>
  </si>
  <si>
    <t>每次选取###求导列的一个表达式###，再选择###下一行积分列的表达式###</t>
  </si>
  <si>
    <t>记录###两个表达式相乘的乘积###</t>
  </si>
  <si>
    <t>重复上述操作直到###求导列的最后一行###</t>
  </si>
  <si>
    <t>然后把之前记录的###全部加起来###就是结果</t>
  </si>
  <si>
    <t>遇到产生循环的情况</t>
  </si>
  <si>
    <t>制表：步骤大致类似，但可以手动刹车</t>
  </si>
  <si>
    <t>用表：</t>
  </si>
  <si>
    <t>到达###刹车（最后）###的那一行</t>
  </si>
  <si>
    <t>把该行的###求导列表达式###和###积分列表达式###进行###相乘###</t>
  </si>
  <si>
    <t>这次先###加上积分符号和被积变量微元###再记录</t>
  </si>
  <si>
    <t>最后还是###全部加起来###就是结果，只不过还包含了###一个积分###在里面</t>
  </si>
  <si>
    <t>被积函数含有###ln(x)###、###arctan(x)###这种无法###积分###而且###越求导越复杂###的表达式建议不要用表格法</t>
  </si>
  <si>
    <t>中值取什么区间</t>
  </si>
  <si>
    <t>介值定理：介值c取###开区间(a,b)###，f(c)取###开区间(min(f(a),f(b)),max(f(a),f(b)))###</t>
  </si>
  <si>
    <t>零点定理：零点c取###开区间(a,b)###</t>
  </si>
  <si>
    <t>罗尔定理：中值c取###开区间(a,b)###</t>
  </si>
  <si>
    <t>拉格朗日定理：中值c取###开区间(a,b)###</t>
  </si>
  <si>
    <t>积分中值：中值c取###闭区间[a,b]###</t>
  </si>
  <si>
    <t>总结：除了###积分中值###其它都是###开区间###</t>
  </si>
  <si>
    <t>常见反常积分敛散性1</t>
  </si>
  <si>
    <t>伽马函数（γ函数）：参考本日笔记第9行</t>
  </si>
  <si>
    <t>p积分：参考20240302</t>
  </si>
  <si>
    <t>q积分：</t>
  </si>
  <si>
    <t>被积函数：1/((x-a)^q)</t>
  </si>
  <si>
    <t>积分区间：###a到b###</t>
  </si>
  <si>
    <t>###0&lt;q&lt;1###时收敛，###1&lt;=q###时发散</t>
  </si>
  <si>
    <t>###q&lt;=0###时不是反常积分</t>
  </si>
  <si>
    <t>常见反常积分敛散性2</t>
  </si>
  <si>
    <t>对数p积分：</t>
  </si>
  <si>
    <t>被积函数：###1/(x*(ln(x)^p)###</t>
  </si>
  <si>
    <t>积分区间：###a到正无穷###（a&gt;1）</t>
  </si>
  <si>
    <t>###p&gt;1###时收敛，###p&lt;=1###时发散</t>
  </si>
  <si>
    <t>对数p积分的变种：</t>
  </si>
  <si>
    <t>被积函数：###1/((x^p)*(ln(x)^q))###</t>
  </si>
  <si>
    <t>积分区间：###1到正无穷###</t>
  </si>
  <si>
    <t>###p&gt;1且q&lt;1###时收敛</t>
  </si>
  <si>
    <t>常见反常积分敛散性3</t>
  </si>
  <si>
    <t>1/((x^a)+(x^b))：</t>
  </si>
  <si>
    <t>被积函数：1/((x^a)+(x^b))</t>
  </si>
  <si>
    <t>积分区间：###0到正无穷###</t>
  </si>
  <si>
    <t>###a、b能把1框住###时收敛</t>
  </si>
  <si>
    <t>即满足不等式：###min(a,b)&lt;1&lt;max(a,b)###</t>
  </si>
  <si>
    <t>ln(x)^k：</t>
  </si>
  <si>
    <t>被积函数：ln(x)^k</t>
  </si>
  <si>
    <t>积分区间：###0到1###</t>
  </si>
  <si>
    <t>###k&gt;-1###时收敛</t>
  </si>
  <si>
    <t>常见反常积分敛散性4</t>
  </si>
  <si>
    <t>e^(-x)*sin(x)或e^(-x)*cos(x)：</t>
  </si>
  <si>
    <t>被积函数：e^(-x)*sin(x)或e^(-x)*cos(x)</t>
  </si>
  <si>
    <t>必定收敛，因为：</t>
  </si>
  <si>
    <t>不定积分后结果为###e^(-x)*(sin(x)±cos(x))/2###</t>
  </si>
  <si>
    <t>趋于0时等于###±1###</t>
  </si>
  <si>
    <t>趋于正无穷时：</t>
  </si>
  <si>
    <t>e^(-x)趋于正无穷时趋于###0###</t>
  </si>
  <si>
    <t>而sin或cos趋无穷是###有界###</t>
  </si>
  <si>
    <t>###有界###乘###无穷小###还是###无穷小###</t>
  </si>
  <si>
    <t>所以趋于正无穷###也趋于0###</t>
  </si>
  <si>
    <t>极限相减，结果为###-(±1)###，必定收敛</t>
  </si>
  <si>
    <t>全微分法直接求微分（不用求偏导）</t>
  </si>
  <si>
    <t>核心：碰到符号就当成自变量，不管它和其它自变量的关系</t>
  </si>
  <si>
    <t>法则：</t>
  </si>
  <si>
    <t>d(f(x))=###f'(x)dx###   dC=###0###   d(x+y)=###dx+dy###</t>
  </si>
  <si>
    <t>d(x*y)=d(f(x,y))=###(df/dx)*dx+(df/dy)*dy###=###y*dx+x*dy###</t>
  </si>
  <si>
    <t>d(f(x,y)*g(x,y))=###g(x,y)*d(f(x,y))+f(x,y)*d(g(x,y))###</t>
  </si>
  <si>
    <t>解题：拿到一个关于z(x,y)的等式F(x,y,z)=0，要求dz|(x0,y0)</t>
  </si>
  <si>
    <t>思路：</t>
  </si>
  <si>
    <t>把###(x0,y0)###代入###F(x,y,z)=0###，求出###z0###</t>
  </si>
  <si>
    <t>两边分别全微分（注意和求偏导不同！），得到全微分方程G(x,y,z)=0</t>
  </si>
  <si>
    <t>把###(x0,y0,z0)###代入###G(x,y,z)=0###，列出###含有dx、dy、dz的函数H(dx,dy,dz)###，满足H=0</t>
  </si>
  <si>
    <t>把###dz###集中到方程H等号一边，用###dx和dy###表示###dz###，这就是在###点(x0,y0,z0)###处z的全微分了</t>
  </si>
  <si>
    <t>积分因子法（直观理解）</t>
  </si>
  <si>
    <t>y'+P(x)*y=Q(x)为非齐次微分方程</t>
  </si>
  <si>
    <t>P(x)为齐次项因子中以x为自变量的函数</t>
  </si>
  <si>
    <t>关键点：积分因子f(x)就是###exp(Int:P(x)dx)###</t>
  </si>
  <si>
    <t>用的时候，原式左右同乘这个因子f(x)</t>
  </si>
  <si>
    <t>左边出现【###y'f(x)+y*f'(x)###】的形式，即【###(f(x)*y)'###】</t>
  </si>
  <si>
    <t>左右同时###积分###，再同时###除积分因子f(x)###</t>
  </si>
  <si>
    <t>会发现左边是###y###，右边正好是###公式法的公式###，即###(Int:Q(x)*f(x)dx+C)/f(x)###</t>
  </si>
  <si>
    <t>微分方程解的结构补充（原版参考20240322）</t>
  </si>
  <si>
    <t>n阶齐次找###n###个###线性无关###的解，把它们###乘上n个系数再相加###得到齐次通解</t>
  </si>
  <si>
    <t>非齐A方程特1-非齐A方程特2=###齐A方程特（没有系数C）###</t>
  </si>
  <si>
    <t>n阶非齐次A有n个特解y1,y2,...,yn</t>
  </si>
  <si>
    <t>如果C1*y1+C2*y2+...+Cn*yn也是非齐次A的解，则###C1+C2+...+Cn=1###</t>
  </si>
  <si>
    <t>如果C1*y1+C2*y2+...+Cn*yn是A对应的齐次解，则###C1+C2+...+Cn=0###</t>
  </si>
  <si>
    <t>极坐标一重积分旋转公式（二重积分公式参考20240308）</t>
  </si>
  <si>
    <t>过原点任意轴：V=###(2*π/3)*Int(α,β):(r(θ)^3)*sin(θ-φ)dθ###，φ为过原点旋转轴与x轴（极轴）的夹角</t>
  </si>
  <si>
    <t>绕x轴：V=###(2*π/3)*Int(α,β):(r(θ)^3)*sin(θ)dθ###，φ=###0###</t>
  </si>
  <si>
    <t>绕y轴：V=###(2*π/3)*Int(α,β):(r(θ)^3)*cos(θ)dθ###，φ=###-pi/2###</t>
  </si>
  <si>
    <t>口诀速记1</t>
  </si>
  <si>
    <t>无###双侧###不极值</t>
  </si>
  <si>
    <t>积分不换元，###上下不换限###</t>
  </si>
  <si>
    <t>积分非初等函数###≠###被积函数不可积</t>
  </si>
  <si>
    <t>常函数的###每个点都###是极值点，因此常函数的极值点有###无穷多###个</t>
  </si>
  <si>
    <t>口诀速记2</t>
  </si>
  <si>
    <t>严格单调函数###必###存在反函数</t>
  </si>
  <si>
    <t>特征值对应基础解系中解的个数=###n-r###，k重特征值至多只有###k个线性无关###的特征向量</t>
  </si>
  <si>
    <t>间断点破坏原函数存在性，无界破坏可积性</t>
  </si>
  <si>
    <t>只有###定###积分能判定可积性</t>
  </si>
  <si>
    <t>口诀速记3</t>
  </si>
  <si>
    <t>可积必###有界###</t>
  </si>
  <si>
    <t>要化标准型或规范型的二次型如果配过方，要试下###是否可逆###，天上不会掉馅饼</t>
  </si>
  <si>
    <t>克拉默法则只能求解###非齐次###的线性方程，因此###特征向量的求取###不可使用克拉默法则</t>
  </si>
  <si>
    <t>累加的积分等于###积分的累加###（Σ:Int:f(x)dx=###Int:Σ:f(x)dx###）</t>
  </si>
  <si>
    <t>口诀速记4</t>
  </si>
  <si>
    <t>整体的积分等于###展开的积分###等于###积分的展开###（f(x)=Σ:g(x),Int:f(x)=###Int:Σ:g(x)dx###=###Σ:Int:g(x)dx###）</t>
  </si>
  <si>
    <t>连续###未必###可导，可导###一定###连续</t>
  </si>
  <si>
    <t>点和邻域没有关系，极限和连续都是n-1阶才一定有的东西</t>
  </si>
  <si>
    <t>mij不一定是矩阵第i行第j列，也可能是倒过来的，要注意题目条件</t>
  </si>
  <si>
    <t>答疑整理1</t>
  </si>
  <si>
    <t>积分因子推出一阶非齐次方程的公式只需要###括号内部###加C，所有不定积分计算可以###不留C###</t>
  </si>
  <si>
    <t>k阶顺序主子式：即###前k行k列元素###构成方阵的行列式</t>
  </si>
  <si>
    <t>无界与是否存在极限没有必然联系</t>
  </si>
  <si>
    <t>三角函数趋无穷时###极限不存在###，但它是###有界###函数，即###有界极限不一定存在###</t>
  </si>
  <si>
    <t>反比例函数趋于无穷时###极限趋于0存在###，但它是###无界###函数，即###极限存在不一定有界###</t>
  </si>
  <si>
    <t>瑕积分可以用比较审敛，但是要确保###瑕点相同###</t>
  </si>
  <si>
    <t>答疑整理2</t>
  </si>
  <si>
    <t>实对称阵相似对角化为什么需要对特征向量做单位正交化</t>
  </si>
  <si>
    <t>实对称阵的性质：均可###相似对角化###（即###除了对角元是特征值外其它位置都是0###）</t>
  </si>
  <si>
    <t>实对称阵在相似对角化中所用的Q都是###正交矩阵###</t>
  </si>
  <si>
    <t>即Q'=###Q^T###，且列向量（###特征向量###）互相###正交###、长度为###1###（正交阵定义）</t>
  </si>
  <si>
    <t>左右导数是不是导数的左右极限</t>
  </si>
  <si>
    <t>左右导数是###导数定义的极限形式###将趋向点###改为单侧趋近后###的结果</t>
  </si>
  <si>
    <t>导数的左右极限是对###导数的函数式###求###单点的左右极限###的结果</t>
  </si>
  <si>
    <t>隐函数求导求出y'可以包含y</t>
  </si>
  <si>
    <t>真题求极限时自变量用n意味着n是###自然数###，趋于无穷等于###趋于正无穷###</t>
  </si>
  <si>
    <t>答疑整理3</t>
  </si>
  <si>
    <t>第二类间断点除了无穷和震荡间断点还有其它分类吗</t>
  </si>
  <si>
    <t>只要一边无穷，不管另一边是不是无穷（甚至可能是震荡），这个都是###无穷间断点###</t>
  </si>
  <si>
    <t>有哪些函数和对应点的左右极限不同</t>
  </si>
  <si>
    <t>比如本来这里是一个连续函数，抠掉这一点的取值，强制给它赋值一个其它值（类似分段函数）</t>
  </si>
  <si>
    <t>可积性的定义是###定积分的极限形式###存在极限</t>
  </si>
  <si>
    <t>变限积分可导性定理（参考20240423第17行）</t>
  </si>
  <si>
    <t>答疑整理4</t>
  </si>
  <si>
    <t>n-&gt;∞时数列{xn}-&gt;0则称这个数列是无穷小量</t>
  </si>
  <si>
    <t>绝对值之积等于###积的绝对值###</t>
  </si>
  <si>
    <t>数列Xn具有有界性的含义：###min&lt;=Xn&lt;=max###</t>
  </si>
  <si>
    <t>分奇偶数类讨论：奇数类的情况+偶数类的情况=###全体整数类的情况###</t>
  </si>
  <si>
    <t>答疑整理5</t>
  </si>
  <si>
    <t>第一数学归纳法</t>
  </si>
  <si>
    <t>归纳奠基：证明###当n=1###时命题成立；</t>
  </si>
  <si>
    <t>归纳假设：假设###当n=k###时命题成立；</t>
  </si>
  <si>
    <t>归纳递推：由归纳假设推出###当n=k+1###时命题也成立．</t>
  </si>
  <si>
    <t>求极限及时把整体的非零因子提出</t>
  </si>
  <si>
    <t>数列的单调有界证极限存在使用先斩后奏时记得###把代数方程求出的A回代###验证###单调性###</t>
  </si>
  <si>
    <t>陷阱反例：Xn+1=sin(Xn)（###递推式出现周期函数###可能会破坏单调性）</t>
  </si>
  <si>
    <t>可去间断点不会产生垂直渐近线</t>
  </si>
  <si>
    <t>答疑整理6</t>
  </si>
  <si>
    <t>什么是单调？什么是有界？</t>
  </si>
  <si>
    <t>单调性：</t>
  </si>
  <si>
    <t>∀x1，x2∈D且x1&gt;x2，都有###f(x1)&gt;f(x2)###（单调增加）</t>
  </si>
  <si>
    <t>∀x1，x2∈D且x1&gt;x2，都有###f(x1)&lt;f(x2)###（单调减少）</t>
  </si>
  <si>
    <t>有界性：</t>
  </si>
  <si>
    <t>若存在两个常数m和M，使函数y=f(x),x∈D 满足###m≤f(x)≤M###,x∈D</t>
  </si>
  <si>
    <t>则称函数y=f(x)在D有界，其中###m###是它的下界，###M###是它的上界</t>
  </si>
  <si>
    <t>U上面一个o是指###去心邻域###</t>
  </si>
  <si>
    <t>f(x) o g(x)是指###函数f和函数g构成的复合函数f(g(x))###，f o g###≠###g o f（等于或不等于）</t>
  </si>
  <si>
    <t>对角矩阵的对角矩阵可以是零矩阵</t>
  </si>
  <si>
    <t>答疑整理7</t>
  </si>
  <si>
    <t>A伴=###|A|*A逆###</t>
  </si>
  <si>
    <t>(k*A)逆=###A逆/k###</t>
  </si>
  <si>
    <t>(k*A)伴=|k*A|*(k*A)逆=</t>
  </si>
  <si>
    <t>|k*A|*A逆/k=###(k^n)*|A|*A逆/k###=###(k^(n-1))*|A|*A逆###=(k^(n-1))*A伴</t>
  </si>
  <si>
    <t>(k*A)伴=###(k^(n-1))*A伴###</t>
  </si>
  <si>
    <t>函数嵌套###可以###用等价无穷小，###不能###用非零因子代入</t>
  </si>
  <si>
    <t>错题总结20221120</t>
  </si>
  <si>
    <t>相减得到被减数的低阶无穷小↔###减数和被减数等价###</t>
  </si>
  <si>
    <t>平方后等价不意味着原式等价，比如###-x和x不等价，只能说是同阶###（举例）</t>
  </si>
  <si>
    <t>导数存在只能推出###点连续###，而连续则可推出邻域内与点同号（连续→###极限存在###→###保号性###）</t>
  </si>
  <si>
    <t>矩阵关系：</t>
  </si>
  <si>
    <t>B=PAQ，即AB###等价###，###秩###相同</t>
  </si>
  <si>
    <t>B=P'AP，即AB###相似###，###特征值和秩###相同</t>
  </si>
  <si>
    <t>B=PtAP，即AB###合同###，###惯性指数和秩###相同</t>
  </si>
  <si>
    <t>###等价###包含###相似、合同###，###相似###不一定###合同###，###合同###不一定###相似###</t>
  </si>
  <si>
    <t>###A、B都是实对称阵###的前提下，相似必合同，反之不一定</t>
  </si>
  <si>
    <t>f'(x0)连续说明f(x)在x0点的###单调性###可以扩展到x0点的邻域</t>
  </si>
  <si>
    <t>f''(x0)连续说明f(x)在x0点的###凹凸性###可以扩展到x0点的邻域</t>
  </si>
  <si>
    <t>线性方程组解的情况判定：</t>
  </si>
  <si>
    <t>①：系数阵行列式非0→###有唯一解（齐次只有零解）###</t>
  </si>
  <si>
    <t>②：系数阵行列式为0→###可能有无穷多或无解###</t>
  </si>
  <si>
    <t>③：系数阵行列式为0，系数阵阶梯型全0行对应增广列元素非0→###无解###</t>
  </si>
  <si>
    <t>④：系数阵行列式为0，系数阵阶梯型全0行对应增广列元素均0→###多解###</t>
  </si>
  <si>
    <t>错题总结20221119</t>
  </si>
  <si>
    <t>二重积分转极坐标时θ角的积分范围：（无需作答）### ###</t>
  </si>
  <si>
    <t>①：要检查隐含在区域边界方程的条件</t>
  </si>
  <si>
    <t>②：边界方程左右侧是否具有不等式关系</t>
  </si>
  <si>
    <t>错题总结20221118</t>
  </si>
  <si>
    <t>累次极限和重极限的关系</t>
  </si>
  <si>
    <t>若一种顺序的累次极限与重极限都存在，二者###必相等###</t>
  </si>
  <si>
    <t>若两种顺序的累次极限与重极限都存在，三者###必相等###</t>
  </si>
  <si>
    <t>若两种顺序的累次极限存在但不等时，重极限###一定不###存在</t>
  </si>
  <si>
    <t>若两种顺序的累次极限存在且相等时，重极限###不一定###存在</t>
  </si>
  <si>
    <t>若重极限存在，累次极限###不一定###存在</t>
  </si>
  <si>
    <t>代数余子式A12不为0，直接得出列向量134无关</t>
  </si>
  <si>
    <t>第一行第二列挖掉剩下3列组成行列式</t>
  </si>
  <si>
    <t>行列式不为0，行列式列向量###线性无关###</t>
  </si>
  <si>
    <t>3个3维列向量无关，分别增加一个维度###依然无关###</t>
  </si>
  <si>
    <t>合同矩阵的性质</t>
  </si>
  <si>
    <t>反身性：任意矩阵都与###其自身###合同。</t>
  </si>
  <si>
    <t>对称性：如果矩阵A合同于矩阵B，则###矩阵B也合同于矩阵A###。</t>
  </si>
  <si>
    <t>传递性：如果矩阵A合同于矩阵B，且矩阵B合同于矩阵C，则###矩阵A合同于矩阵C###。</t>
  </si>
  <si>
    <t>合同矩阵的秩相等：如果矩阵A合同于矩阵B，则它们的###秩###相等，即###r(A)=r(B)###。这是因为两个合同的矩阵具有相同的###行空间###和###列空间###。</t>
  </si>
  <si>
    <t>合同矩阵的惯性相等：如果矩阵A合同于矩阵B，则它们的惯性指数相等，即###正特征值###的个数、###零特征值###的个数以及###负特征值###的个数都相同。</t>
  </si>
  <si>
    <t>实对称矩阵的特性：###实对称###矩阵总能通过合同变换对角化，且在变换过程中保持其###对称###性。</t>
  </si>
  <si>
    <t>可相似对角化的条件</t>
  </si>
  <si>
    <t>直接：###n个无关特征向量###</t>
  </si>
  <si>
    <t>利用：不同特征值对应的特征向量###必无关###</t>
  </si>
  <si>
    <t>策略：###找到n个不同的特征值###</t>
  </si>
  <si>
    <t>如果分块后不含0矩阵则不用分块矩阵计算</t>
  </si>
  <si>
    <t>错题总结20221117</t>
  </si>
  <si>
    <t>伴随矩阵与原矩阵的秩的关系</t>
  </si>
  <si>
    <t>①：A满秩，A*###满秩###</t>
  </si>
  <si>
    <t>②：A秩=n-1，A*秩=###1###</t>
  </si>
  <si>
    <t>③：A秩&lt;n-1，A*秩=###0###</t>
  </si>
  <si>
    <t>矩阵多项式与矩阵特征值的多项式的关系</t>
  </si>
  <si>
    <t>矩阵|特征值|特征向量</t>
  </si>
  <si>
    <t>A|λ|x</t>
  </si>
  <si>
    <t>A+kE|###λ+k###|###x###</t>
  </si>
  <si>
    <t>A逆|###1/λ###|###x###</t>
  </si>
  <si>
    <t>A伴|###|A|/λ###|###x###</t>
  </si>
  <si>
    <t>A^n|###λ^n###|###x###</t>
  </si>
  <si>
    <t>P逆AP|###λ###|###P逆*x###</t>
  </si>
  <si>
    <t>向量组等价=组的###秩###相等且合并后组的###秩###不变</t>
  </si>
  <si>
    <t>求相似矩阵的变换阵P使得P'AP=B：</t>
  </si>
  <si>
    <t>①：先求出P1使得P1'AP1=C（C为###只有对角元为A、B特征值其余为0###的矩阵）</t>
  </si>
  <si>
    <t>②：P1列向量为###A对应几个λi###的特征向量（即系数阵为###A-λiE###的齐次方程的###解向量###）</t>
  </si>
  <si>
    <t>③：再求出P2使得P2'BP2=C（C为###只有对角元为A、B特征值其余为0###的矩阵）</t>
  </si>
  <si>
    <t>④：P2列向量为###B对应几个λi###的特征向量（即系数阵为###B-λiE###的齐次方程的###解向量###）</t>
  </si>
  <si>
    <t>⑤：由于AB相似所以P1'AP1=P2'BP2=C→###P2P1'AP1P2'###=B=P'AP→###P2P1'###=P</t>
  </si>
  <si>
    <t>错题总结20220303</t>
  </si>
  <si>
    <t>如果某函数可导或连续，计算时要尽可能将部分表示式化成其函数值或导数定义的结构（无需作答）### ###</t>
  </si>
  <si>
    <t>错题总结20220217</t>
  </si>
  <si>
    <t>两个无极限函数相加可能会得到有极限函数，反过来不能随意分拆函数（无需作答）### ###</t>
  </si>
  <si>
    <t>错题总结20220207</t>
  </si>
  <si>
    <t>数列极限un-&gt;a，则|un|-&gt;###|a|###</t>
  </si>
  <si>
    <t>水平渐近线和斜渐近线趋一侧无穷时极限存在时###存在一条渐近线###，如果趋两侧无穷极限不同，则###有2条渐近线###</t>
  </si>
  <si>
    <t>如果一侧有斜渐近线就###没有水平渐近线###，有水平渐近线就###没有斜渐近线###</t>
  </si>
  <si>
    <t>求n阶导一般方法参考20240413第15行，如果是求定点的n=k阶导，还有一种做法</t>
  </si>
  <si>
    <t>保留难###求导###且容易###复现###的表达式的###求导符号###，不做###展开变形###，等全部列出后###用复现部分对消###</t>
  </si>
  <si>
    <t>全部列出后，观察因式是否会###在定点处为0###</t>
  </si>
  <si>
    <t>如果会，被因式乘上的待求导表达式###不用计算直接当0###</t>
  </si>
  <si>
    <t>如果不会，则需要对带求导表达式做展开计算</t>
  </si>
  <si>
    <t>积分求解的积木法</t>
  </si>
  <si>
    <t>寻找积木</t>
  </si>
  <si>
    <t>###分母###（最直接）</t>
  </si>
  <si>
    <t>###分母的导数###（凑微分）</t>
  </si>
  <si>
    <t>###分母部分表达式的导数###（凑微分不完全版）</t>
  </si>
  <si>
    <t>###分母因式###（因式分解）</t>
  </si>
  <si>
    <t>###分母因式乘某个表达式###（因式分解拓展版）</t>
  </si>
  <si>
    <t>总结：都###和分母有关系###</t>
  </si>
  <si>
    <t>把###分子###转化成###积木的线性组合###</t>
  </si>
  <si>
    <t>分拆###被积函数###成###多个简化分式###求积分</t>
  </si>
  <si>
    <t>当f(x)&gt;g(x)恒成立时</t>
  </si>
  <si>
    <t>如果Lim(x-&gt;x0):g(x)=+∞，那么Lim(x-&gt;x0):f(x)###必定等于+∞###</t>
  </si>
  <si>
    <t>如果Lim(x-&gt;x0):g(x)=-∞，那么Lim(x-&gt;x0):f(x)###可能存在，也可能不存在极限###（即###任意的可能性###）</t>
  </si>
  <si>
    <t>非区间边界的函数最值###一定###是极值，但极值###未必###是最值（除非是###凸函数###）</t>
  </si>
  <si>
    <t>中值定理证明题</t>
  </si>
  <si>
    <t>分析结论，若是与一个中值有关，考虑用###零点###或###罗尔###定理</t>
  </si>
  <si>
    <t>再看结论中与中值有关的等式，若含中值的表达式中有求导，则考虑使用###罗尔###定理</t>
  </si>
  <si>
    <t>否则使用###零点###定理</t>
  </si>
  <si>
    <t>要证明二阶导存在零点，有三个方向</t>
  </si>
  <si>
    <t>确定三个点的###函数值###相等</t>
  </si>
  <si>
    <t>确定两个点的###函数值###相等，再有一个点的###一阶导###为0</t>
  </si>
  <si>
    <t>确定两个点的###一阶导###相等</t>
  </si>
  <si>
    <t>基于微分学的不等式证明</t>
  </si>
  <si>
    <t>利用单调性</t>
  </si>
  <si>
    <t>处理不等式，移项目到一边构造f(x)，变成证明###f(x)的符号正负性###</t>
  </si>
  <si>
    <t>判断f(x)的###单调性###</t>
  </si>
  <si>
    <t>利用f(x)的###单调性###和已知条件形成不等式</t>
  </si>
  <si>
    <t>利用凹凸性</t>
  </si>
  <si>
    <t>如果不等式具有f(###(x1+x2)/2###)大等于或小等于###(f(x1)+f(x2))/2###的结构</t>
  </si>
  <si>
    <t>可利用f在[x1,x2]上的凹凸性完成证明</t>
  </si>
  <si>
    <t>如果不等式涉及曲线、切线、两点的弦（连线）值，可以利用凹凸的几何性</t>
  </si>
  <si>
    <t>f为凹：###两点弦值&gt;曲线值&gt;切线值###（大小关系）</t>
  </si>
  <si>
    <t>f为凸：###两点弦值&lt;曲线值&lt;切线值###（大小关系）</t>
  </si>
  <si>
    <t>如果函数在一个区间上为凸/凹</t>
  </si>
  <si>
    <t>用直线连接区间的两个端点</t>
  </si>
  <si>
    <t>这个函数在该区间的取值都###在这条直线上/下###</t>
  </si>
  <si>
    <t>即：f(x)###&gt;=/&lt;=((x-a)*(f(b)-f(a))/(b-a))+f(a)###</t>
  </si>
  <si>
    <t>推广到端点取值相等：f(x)###&gt;=/&lt;=f(a)=f(b)###</t>
  </si>
  <si>
    <t>利用拉格朗日中值定理：不等式中出现"###&lt;f(b)-f(a)&lt;###"（信号）</t>
  </si>
  <si>
    <t>利用最值</t>
  </si>
  <si>
    <t>抓大小头：趋0时抓###小###头，趋∞抓###大###头</t>
  </si>
  <si>
    <t>三角函数一拱的面积是###1###，每个周期有###4###拱</t>
  </si>
  <si>
    <t>在(0,π/2)上，sin(x)###&lt;###x</t>
  </si>
  <si>
    <t>数列极限存在性证明（单调有界证明）</t>
  </si>
  <si>
    <t>如果题目没给，要自己求出###数列的递推关系式###</t>
  </si>
  <si>
    <t>先斩后奏，知道###当n趋无穷时的an极限###大概是多少</t>
  </si>
  <si>
    <t>证明数列an有界（数学归纳法）</t>
  </si>
  <si>
    <t>证明###a1满足界###</t>
  </si>
  <si>
    <t>假设###ak满足界###</t>
  </si>
  <si>
    <t>推###ak+1满足界###</t>
  </si>
  <si>
    <t>用###an+1-an?0###或###an+1/an?1###证明单调性</t>
  </si>
  <si>
    <t>即###f(an)?0###，把有界性的结论即###an的范围###代入f推出</t>
  </si>
  <si>
    <t>不需要求出通项即可证明！</t>
  </si>
  <si>
    <t>极限比较审敛法扩展（基本参考20240422）</t>
  </si>
  <si>
    <t>Lim(x-&gt;a):f(x)/g(x)=c</t>
  </si>
  <si>
    <t>c=0时，g(x)###收敛###，则f(x)###收敛###</t>
  </si>
  <si>
    <t>c=∞时，g(x)###发散###，则f(x)###发散###</t>
  </si>
  <si>
    <t>反常积分的周期均值定理</t>
  </si>
  <si>
    <t>f(t)是存在最小正周期T的广义可积周期函数</t>
  </si>
  <si>
    <t>反常积分均值=###Lim(x-&gt;∞):Int(0,x):f(t)dt/x###=###Int(0,T):f(t)dt/T###</t>
  </si>
  <si>
    <t>求取整函数的极限</t>
  </si>
  <si>
    <t>多用###夹逼###，即利用[x]和x的大小关系</t>
  </si>
  <si>
    <t>###[x]&lt;=x&lt;[x]+1###（取整夹）</t>
  </si>
  <si>
    <t>###x-1&lt;[x]&lt;=x###（夹取整）</t>
  </si>
  <si>
    <t>常见函数的泰勒展开通项系数（必须得背了！）</t>
  </si>
  <si>
    <t>1/(1-x)=Σ###1###*x^n（n从0开始，下同）</t>
  </si>
  <si>
    <t>exp(x)=Σ###1/n!###*x^n</t>
  </si>
  <si>
    <t>ln(x+1)=Σ###((-1)^n)/(n+1)###*x^(n+1)（常数项为0）</t>
  </si>
  <si>
    <t>sin(x)=Σ###((-1)^(n))/(2n+1)!###*x^(2n+1)（奇函数）</t>
  </si>
  <si>
    <t>cos(x)=Σ###((-1)^(n))/(2n)!###*x^(2n)（偶函数）</t>
  </si>
  <si>
    <t>tan(x)=###1###*x+###1/3###*x^2+###2/15###*x^3+o(x^3)（只要记到三次）</t>
  </si>
  <si>
    <t>arctan(x)=Σ###((-1)^(n))/(2n+1)###*x^(2n+1)（奇函数）</t>
  </si>
  <si>
    <t>洛后震荡但本身极限存在的反例</t>
  </si>
  <si>
    <t>洛必达后振荡：分子分母导数抵消后出现###未被无穷小吸收的有界振荡###</t>
  </si>
  <si>
    <t>本身极限存在：分子分母抵消后不会出现###未被无穷小吸收的有界振荡###</t>
  </si>
  <si>
    <t>举例验证条件：x趋0时的(x^2)*sin(1/x)/x</t>
  </si>
  <si>
    <t>满足第一条件：分别对分子分母求导，分母为###1###，分子为###2*x*sin(1/x)-cos(1/x)###</t>
  </si>
  <si>
    <t>分子分母抵消等于###分子###，其中###2*x*sin(1/x)的震荡被x吸收，-cos(1/x)未被吸收###，造成有界振荡（满足第一条件）</t>
  </si>
  <si>
    <t>满足第二条件：(x^2)*sin(1/x)/x（抵消前）=###x*sin(1/x)###（抵消后）</t>
  </si>
  <si>
    <t>x趋0时###sin(1/x)造成的有界振荡被x吸收###（满足第二条件）</t>
  </si>
  <si>
    <t>二阶导定义的极限形式里一阶导不能直接把它定义的极限形式放在里面（无需作答）### ###</t>
  </si>
  <si>
    <t>灌肠式洛必达（计算题可以直接洛的原因，类似还有极限的加减）</t>
  </si>
  <si>
    <t>已知洛后极限必存在，那么###等号###必然成立</t>
  </si>
  <si>
    <t>可以用###已知原极限的值###推出###洛必达后极限的值###</t>
  </si>
  <si>
    <t>(x+1)^a（其它函数看20240511）的泰勒展开通项系数：###1###+Σ###a*(a-1)*..*(a-n+1)/n!###*x^n（n从1开始，注意不是从0开始）</t>
  </si>
  <si>
    <t>sin(n*π+a)=###((-1)^n)###*sin(a)</t>
  </si>
  <si>
    <t>二次型标准化基本原理</t>
  </si>
  <si>
    <t>二次型X是关于变量x的二次多项式的系数矩阵，###xTXx###可表示二次多项式</t>
  </si>
  <si>
    <t>每一个二次型都可以通过满足###Px=y###的可逆坐标变换P得到一个纯二次项的二次型，即二次标准型</t>
  </si>
  <si>
    <t>二次标准型Y是由x坐标变换到y后的二次多项式，###yTYy###可表示坐标变换后的二次多项式</t>
  </si>
  <si>
    <t>因此可以列写公式###yTYy=(Px)TYPx=xTPTYPx=xTXx###，即二次型X和标准型Y具有关系###PTYP=X###</t>
  </si>
  <si>
    <t>二次型配方法的同步变换变种</t>
  </si>
  <si>
    <t>先写出二次型X，在下面写一个###同阶单位阵###</t>
  </si>
  <si>
    <t>对二次型进行变换，变换的目的是###把除主对角线外的其它元素都化成0###，即变成Y</t>
  </si>
  <si>
    <t>###列###（行/列）做什么变换，###行###（行/列）就做什么变换（先后），先###列###（行/列）后###行###（行/列）</t>
  </si>
  <si>
    <t>二次型做什么###列###（行/列）变换，###下方单位阵###就做什么###列###（行/列）变换（同时），注意，不做###行###（行/列）变换</t>
  </si>
  <si>
    <t>最后###下方单位阵###变换的结果就是###PTYP=X的PT（P为正交变换时PT也是P逆）###</t>
  </si>
  <si>
    <t>和传统配方法的区别：</t>
  </si>
  <si>
    <t>正常配方法：按序分别给x1,x2,..,xn配平方，配方阵即Px=y的P</t>
  </si>
  <si>
    <t>正常配方法求完P，为了用y表示x还需要求P逆使得x=P逆y，在P是正交变换的情况下，即求PT</t>
  </si>
  <si>
    <t>而同步变换###[PX|E]PT=[Y|PT]###（同步变换的运算原理式）直接求###PT###，少了###求逆###</t>
  </si>
  <si>
    <t>A左乘B即###A作为左侧乘上B###（A作为左侧乘上B/A在其左边乘上B），右乘同理</t>
  </si>
  <si>
    <t>变换矩阵左乘A对应对A进行###行变换###，变换矩阵右乘对应对A进行###列变换###</t>
  </si>
  <si>
    <t>二重积分对称性</t>
  </si>
  <si>
    <t>如果积分区域D沿y=x对称，则Int2D(D):f(x,y)dxdy=###Int2D(D):f(y,x)dxdy###=###(Int2D(D):f(y,x)+f(x,y)dxdy)###/2</t>
  </si>
  <si>
    <t>如果还满足###f(x,y)=f(y,x)###，那么Int2D(D):f(x,y)dxdy=###2*Int2D(D2):f(x,y)dxdy###，其中D2是沿y=x对称的D的一半区域</t>
  </si>
  <si>
    <t>区域对称与奇偶性</t>
  </si>
  <si>
    <t>区域沿y轴对称看f(x,y)对###x###是否具有奇偶性，奇函数###抵消###，偶函数###双倍###</t>
  </si>
  <si>
    <t>区域沿x轴对称看f(x,y)对###y###是否具有奇偶性，奇函数###抵消###，偶函数###双倍###</t>
  </si>
  <si>
    <t>区域沿原点对称看f(x,y)对###xy###是否具有奇偶性，奇函数###抵消###，偶函数###双倍###</t>
  </si>
  <si>
    <t>原点对称：(x0,y0)和(-x0,-y0)</t>
  </si>
  <si>
    <t>线A、B、C围成的面积指的是###图像中仅剩下A、B、C存在###时###所有出现的封闭形状###的面积</t>
  </si>
  <si>
    <t>如果此时对A、B、C中任意一线存在不与其它线相交的封闭形状D</t>
  </si>
  <si>
    <t>这个D###也###（不/也）算在围成的面积中</t>
  </si>
  <si>
    <t>无限个非零因子不能直接代入！（无需作答）### ###</t>
  </si>
  <si>
    <t>x换元f(x)从而衍生的泰勒展开要注意x前面系数有无，当多出系数时要做提公因处理（无需作答）### ###</t>
  </si>
  <si>
    <t>常见不可导的几种类型</t>
  </si>
  <si>
    <t>间断点：可导一定连续，不连续###一定###不可导</t>
  </si>
  <si>
    <t>绝对值：左右导数均存在但不同，比如###|x|###</t>
  </si>
  <si>
    <t>垂切线：导数趋无穷大的，比如###ln(x)###</t>
  </si>
  <si>
    <t>极限保号性：Lim(x-&gt;a):f(x)=A</t>
  </si>
  <si>
    <t>若A&gt;0，则f(x)###在x=a的去心邻域内恒正###</t>
  </si>
  <si>
    <t>若A&lt;0，则f(x)###在x=a的去心邻域内恒负###</t>
  </si>
  <si>
    <t>适当利用保号性可去掉绝对值号</t>
  </si>
  <si>
    <t>信号：看到有极限大于或小于0</t>
  </si>
  <si>
    <t>可用于已知单调或凹凸的函数判断函数符号</t>
  </si>
  <si>
    <t>cos不能大于1，所以有一些含cos的极限可能只有单侧存在极限（无需作答）### ###</t>
  </si>
  <si>
    <t>三类求取抽象函数的套路题</t>
  </si>
  <si>
    <t>g(x)等于具体函数，g(f(x))等于另一具体函数</t>
  </si>
  <si>
    <t>换元###h(t)=x###使得###f(x)=t###，即g(t)=###g(f(x))###得到###关于t###的具体函数</t>
  </si>
  <si>
    <t>f'(x)等于具体函数（可能包含f(x)本身）</t>
  </si>
  <si>
    <t>具体函数不含f(x)采用###直接积分###求解，含f(x)的话列###微分方程###求解</t>
  </si>
  <si>
    <t>可以用###导数定义或求导公式###转化f(x)得到f'(x)对应的具体函数</t>
  </si>
  <si>
    <t>n阶可导函数如果在某点一直到第k阶导数才不为0，且k为###偶数###（奇数/偶数），那么该点为函数的极值点</t>
  </si>
  <si>
    <t>不可导连续函数用定义法确定是否为极值时可以利用###极限的保号性###</t>
  </si>
  <si>
    <t>题目给出一个x趋x0时包含连续函数f(x)的具体极限，可能等于某个数值A</t>
  </si>
  <si>
    <t>先求出f(x)的极限B，根据###连续性###得到###f(x0)=B###</t>
  </si>
  <si>
    <t>再求出f(x)在x0去心邻域具有的数值范围</t>
  </si>
  <si>
    <t>根据###保号性###，这个包含f(x)的极限表达式就和###0###具有与###A###相同的大小关系</t>
  </si>
  <si>
    <t>通过不等式变形得到f(x)和某一具体值C的关系式</t>
  </si>
  <si>
    <t>通过B和C的大小关系推出f(x)和f(x0)的大小关系</t>
  </si>
  <si>
    <t>如果f(x)&gt;C</t>
  </si>
  <si>
    <t>f(x0)=B&gt;C，f(x)###可能小于f(x0)，也可能大于f(x0)###，x0###不一定###为f(x)极### ###值点</t>
  </si>
  <si>
    <t>f(x0)=B&lt;C，f(x)###必大于f(x0)###，x0###一定###为f(x)的极###小###值点</t>
  </si>
  <si>
    <t>如果f(x)&lt;C</t>
  </si>
  <si>
    <t>f(x0)=B&lt;C，f(x)###可能小于f(x0)，也可能大于f(x0)###，x0###不一定###为f(x)极### ###值点</t>
  </si>
  <si>
    <t>f(x0)=B&gt;C，f(x)###必小于f(x0)###，x0###一定###为f(x)的极###大###值点</t>
  </si>
  <si>
    <t>一阶不可导但是是拐点和极值点的例子：鲨鱼鳍形的函数（无需作答）### ###</t>
  </si>
  <si>
    <t>但是可导函数不能同时为拐点和极值点（无需作答）### ###</t>
  </si>
  <si>
    <t>曲率半径是曲率的倒数，曲线的曲率半径就是曲率圆的半径，因此曲率就是曲率圆的半径的倒数（无需作答）### ###</t>
  </si>
  <si>
    <t>f(x)连续，则Int(0,π):x*f(sin(x))dx=###(π/2)*Int(0,π):f(sin(x))dx###</t>
  </si>
  <si>
    <t>Int(0,π):x*f(sin(x))dx=###Int(0,π):(π-x)*f(sin(π-x))dx###（区间再现）</t>
  </si>
  <si>
    <t>=###Int(0,π):π*f(sin(x))dx###-###Int(0,π):x*f(sin(x))dx###</t>
  </si>
  <si>
    <t>=###(π/2)*Int(0,π):f(sin(x))dx###（A=B-A，则###A=B/2###）</t>
  </si>
  <si>
    <t>如果矩阵A存在非零的齐次解，即|A|=0</t>
  </si>
  <si>
    <t>因为A*A=|A|*E，则A*A=0*E=A*[ac1,ac2,ac3]=M0（零矩阵），其中ac1、ac2、ac3是矩阵A第一、第二、第三列的列向量</t>
  </si>
  <si>
    <t>则A*ac1=A*ac2=A*ac3=V0（零向量），即A的列向量是其伴随矩阵A*的齐次解，即Ax=0的x（无需作答）### ###</t>
  </si>
  <si>
    <t>当满足下列三个条件时，极限中的Int(0,φ(x)):f1(t)dt可以等价为Int(0,φ(x)):f2(t)dt</t>
  </si>
  <si>
    <t>1.被积函数f1(x)、f2(x)在###点x=0的某邻域###上###连续###</t>
  </si>
  <si>
    <t>2.###Lim(x-&gt;0):f1(x)/f2(x)=1###（等价无穷小定义）</t>
  </si>
  <si>
    <t>3.积分上限φ(x)在x趋于0时###趋于0###，存在令φ(x)###处处可导###的###x=0的去心邻域###，且φ'(x)在该区域内###不等于0###</t>
  </si>
  <si>
    <t>已知含f(x)等式和f(x)的第n阶导正负性，证明x=x0时f(x)满足某不等式</t>
  </si>
  <si>
    <t>先在###x0点###对f(x)做###泰勒展开###，直到###拉格朗日余项为n阶###</t>
  </si>
  <si>
    <t>由于###拉格朗日余项###的因式除###f(x)的第n阶导###外均正，###拉格朗日余项###的正负性###由第n阶导决定###</t>
  </si>
  <si>
    <t>f(x)和###展开式去掉n阶拉格朗日余项的部分###存在大小关系，构成不等式</t>
  </si>
  <si>
    <t>不等式左右同时变换，以###左侧还原为题设含f(x)等式###为目标</t>
  </si>
  <si>
    <t>把###题设含f(x)等式###替换不等式左侧</t>
  </si>
  <si>
    <t>整理、分离###不等式右侧的f(x0)###，即证明x=x0时f(x)满足某不等式</t>
  </si>
  <si>
    <t>方向导数的极限定义形式</t>
  </si>
  <si>
    <t>设函数 f(x, y) 在点 P(x0, y0) 的某个邻域内有定义</t>
  </si>
  <si>
    <t>且点 P 沿着方向向量 v = (a, b) 可微</t>
  </si>
  <si>
    <t>存在一个数 L，使得当 t 趋近于 0 时，下面的极限存在：</t>
  </si>
  <si>
    <t>lim(t→0):###[f(x0+at,y0+bt)-f(x0,y0)]/t###=L</t>
  </si>
  <si>
    <t>当出现很复杂的抽象矩阵运算表达式，可以用字母替换法（同构运算）快速化简</t>
  </si>
  <si>
    <t>矩阵加减就是字母加减，与代数加减一致</t>
  </si>
  <si>
    <t>矩阵相乘就是字母相乘，但不满足###交换律###</t>
  </si>
  <si>
    <t>矩阵求逆就是求字母表达式对应的###倒数###</t>
  </si>
  <si>
    <t>遇到伴随矩阵可以化成###矩阵的逆除以矩阵的行列式###</t>
  </si>
  <si>
    <t>积分的绝对值小于等于绝对值的积分（无需作答）### ###</t>
  </si>
  <si>
    <t>因为绝对值会使负的变成正的，这样只会累积不会减小</t>
  </si>
  <si>
    <t>旋转体侧面积公式：S=###2π*Int(xa,xb):f(x)**sqrt(f'(x)²+1)dx###</t>
  </si>
  <si>
    <t>曲线f(x)从xa到xb之间的曲线绕x轴旋转一周形成的旋转体的侧面积</t>
  </si>
  <si>
    <t>注意：如果和x轴不相交就只是侧面面积！</t>
  </si>
  <si>
    <t>巧记：被积函数为###f(x)弧长公式的被积函数乘上f(x)自身###，积分后再乘2π</t>
  </si>
  <si>
    <t>质心(xcom,ycom)公式：</t>
  </si>
  <si>
    <t>xcom=###Int2D(D):x*ρ(x,y)dxdy/Int2D(D):ρ(x,y)dxdy###</t>
  </si>
  <si>
    <t>ycom=###Int2D(D):y*ρ(x,y)dxdy/Int2D(D):ρ(x,y)dxdy###</t>
  </si>
  <si>
    <t>D为有质量的封闭区域，ρ为该区域的密度分部</t>
  </si>
  <si>
    <t>当密度均匀时ρ=1，公式退化为：</t>
  </si>
  <si>
    <t>xcom=###Int2D(D):xdxdy/Int2D(D):1dxdy###</t>
  </si>
  <si>
    <t>ycom=###Int2D(D):ydxdy/Int2D(D):1dxdy###</t>
  </si>
  <si>
    <t>信号：积分题目看到出现ln(x+sqrt(x²+a²)</t>
  </si>
  <si>
    <t>对x###换元x=-t###，再用“自相抵消法”得到###2*ln(a)###</t>
  </si>
  <si>
    <t>自相抵消法：</t>
  </si>
  <si>
    <t>经典例子：三角函数乘指数函数的积分</t>
  </si>
  <si>
    <t>由于分部积分无论对哪个求导都###不会简化式子###，而且会重复###变形出原式###</t>
  </si>
  <si>
    <t>因此在###原式重复出现###后，需把###原式都移到同侧###再求解</t>
  </si>
  <si>
    <t>推广规律：积分A变形过程中出现积分A的另一形式B，A可以用###(A+B)/2###求解</t>
  </si>
  <si>
    <t>连续函数的极限存在，那么将x替换成n*T得到的数列也收敛，反之不成立（无需作答）### ###</t>
  </si>
  <si>
    <t>斜渐近线代替原函数：当x满足斜渐近线的渐进方向（±∞）时</t>
  </si>
  <si>
    <t>趋于∞时，原函数和斜渐近线函数是###等价无穷大###，二者相差###一个等价无穷小###</t>
  </si>
  <si>
    <t>因此在趋于无穷时，f(x)/x等价于###g(x)/x###即渐近线的###斜率###，其中g(x)是f(x)的渐近线函数</t>
  </si>
  <si>
    <t>特例：f(x)全区间可导的情况下：</t>
  </si>
  <si>
    <t>f(x)/x使用###洛必达###得到###f'(x)的极限###</t>
  </si>
  <si>
    <t>由于f'(x)全区间连续，f'(x)的极限必###存在###</t>
  </si>
  <si>
    <t>洛必达后极限存在，则新极限与原极限等号成立，即###lim(x-&gt;∞):f'(x)=k###，其中k为斜渐近线的斜率</t>
  </si>
  <si>
    <t>ε-δ语言+极限保号性：当x足够大（趋正无穷）/小（趋负无穷）时，f'(x) 保持与k相同的符号</t>
  </si>
  <si>
    <t>矩阵A的特征值为λ1、λ2、λ3，那么A伴随即A*的特征值为###|A|/λ1###、###|A|/λ2###、###|A|/λ3###</t>
  </si>
  <si>
    <t>由于|A|=###λ1*λ2*λ3###（用λ1、λ2、λ3表示），因此A伴随即A*的特征值也可写作###λ1*λ2###、###λ2*λ3###、###λ1*λ3###</t>
  </si>
  <si>
    <t>若x0是f(x)的零点，那么f(x)*g(x)整体在x0处的导数，即(f(x0)*g(x0))'=###f'(x0)*g(x0)###</t>
  </si>
  <si>
    <t>曲率相关</t>
  </si>
  <si>
    <t>曲率越大，曲线就越###弯曲###</t>
  </si>
  <si>
    <t>曲率半径是###曲率圆###的半径，是曲率的###倒数###</t>
  </si>
  <si>
    <t>曲率圆的在曲率取值点的斜率等于###原曲线在该点处的斜率###</t>
  </si>
  <si>
    <t>包含逆矩阵的运算</t>
  </si>
  <si>
    <t>矩阵逆的转置等于###矩阵转置的逆###</t>
  </si>
  <si>
    <t>ABC的逆等于###C逆B逆A逆###，也就是###每个因矩阵的逆的逆序相乘###</t>
  </si>
  <si>
    <t>正定矩阵的性质</t>
  </si>
  <si>
    <t>正定的各阶主子式（包括行列式）###均大于0###</t>
  </si>
  <si>
    <t>特征值###均为正###</t>
  </si>
  <si>
    <t>主对角线元素###均为正###</t>
  </si>
  <si>
    <t>如果一个函数的导数表达式是f(x)，那么这个函数以变限积分的形式来表示：###(Int(0,x):f(t)dt)+C###</t>
  </si>
  <si>
    <t>如果以这个函数为被积函数，对x进行求积分，那么实际上是对###t和x###做###二次积分###</t>
  </si>
  <si>
    <t>非齐次线性方程组无解，则它的秩具有性质：###矩阵的秩与增广矩阵的秩不相等，即r(A,B)≠r(A)###</t>
  </si>
  <si>
    <t>齐次线性方程组必有解，因为###无论怎样都有0解###</t>
  </si>
  <si>
    <t>看到求矩阵的k次幂，就要想到这是利用相似对角化（无需作答）### ###</t>
  </si>
  <si>
    <t>含抽象函数选择题的选项，一般来说要用###特例或反例###做###排除###</t>
  </si>
  <si>
    <t>直接推导只能推###正确###（正确/错误）的情况</t>
  </si>
  <si>
    <t>###不正确###的情况###不一定###和题设条件冲突，也可能只是###存在和题设条件兼容的反例###</t>
  </si>
  <si>
    <t>含有函数的数列极限：若数列xn收敛到x0，且f(x)连续，则数列f(xn)收敛到###f(x0)###</t>
  </si>
  <si>
    <t>矩阵A相似于对角阵B，即###P逆AP=B###</t>
  </si>
  <si>
    <t>则B的###对角元###就是A的###特征值###</t>
  </si>
  <si>
    <t>相似变换P的###列向量###就是对应###特征值###的###特征向量###</t>
  </si>
  <si>
    <t>若A与B相似，则λE-A与λE-B也相似，其中λ是A和B的特征值（无需作答）### ###</t>
  </si>
  <si>
    <t>如果选择题存在抽象函数和它自身的导数有已知的大小关系时，可以考虑采用###指数函数的变形###来构造特例</t>
  </si>
  <si>
    <t>如果f(x)&gt;f'(x)，则f(x)可以采用特例###exp(a*x)###，其中a###&lt;1###（a的范围）</t>
  </si>
  <si>
    <t>如果f(x)&lt;f'(x)，则f(x)可以采用特例###exp(a*x)###，其中a###&gt;1###（a的范围）</t>
  </si>
  <si>
    <t>向量拼接对线性相关性的影响：###整体###相关则###部分###相关，###部分###无关则###整体###无关</t>
  </si>
  <si>
    <t>分块上/下三角矩阵的行列式等于###对角分块行列式之积###</t>
  </si>
  <si>
    <t>sec(t)^3的循环积分：###sec(t)*sec(t)²→sec(t)*tan(t)²→sec(t)*(sec(t)²-1)###</t>
  </si>
  <si>
    <t>等价/合同/相似矩阵的性质</t>
  </si>
  <si>
    <t>等价矩阵的###秩###相等（这个性质合同/相似矩阵也有）</t>
  </si>
  <si>
    <t>合同矩阵的###正负惯性指数###相等（合同矩阵特有）</t>
  </si>
  <si>
    <t>相似矩阵的###特征值###和###特征向量###相等（相似矩阵特有）</t>
  </si>
  <si>
    <t>若均实对称，相似必###合同###，否则不能推</t>
  </si>
  <si>
    <t>画不出图的曲线可以用描点法来画出草图</t>
  </si>
  <si>
    <t>一般选择常见数值，比如0和1组合后代入x、y（无需作答）### ###</t>
  </si>
  <si>
    <t>极坐标方程r=r(θ)在α&lt;θ&lt;β之间围住有界区域的面积公式：A=###Int(α,β):(r(θ)²)/2dθ###</t>
  </si>
  <si>
    <t>初等变换对应矩阵乘法</t>
  </si>
  <si>
    <t>得到变换矩阵：对应的变换应用到###单位阵###上</t>
  </si>
  <si>
    <t>决定左右乘：行变换对应###左###乘，列变换对应###右###乘</t>
  </si>
  <si>
    <t>分块矩阵乘法把分块看成元素，然后和一般的矩阵乘法一样，结果对应位置的分块等于###左行右列的矩阵内积###</t>
  </si>
  <si>
    <t>非可逆线性变换的结果不能作为二次标准型（有时题目给你凑好的大概率是非可逆的变换）（无需作答）### ###</t>
  </si>
  <si>
    <t>已知数列an敛散情况，求数列f(an)敛散情况</t>
  </si>
  <si>
    <t>利用归结原理：lim:f(an)=###f(lim:an)###</t>
  </si>
  <si>
    <t>如果是已知f(an)，反推an，那么当###f逆存在###（关于f的某个条件成立）时可以利用###f逆(f(an))###=an</t>
  </si>
  <si>
    <t>欧拉方程（###ax²D(y,x)²+bxD(y,x)+cy###=f(x)）转常系数微分方程</t>
  </si>
  <si>
    <t>令x=###exp(t)###，则t=###ln(x)###，那么dt/dx=###1/x###</t>
  </si>
  <si>
    <t>D(y,x)=###(dy/dt)*(dt/dx)###=###(dy/dt)/x=D(y,t)/x###</t>
  </si>
  <si>
    <t>D(y,x)²=###(dD(y,x)/dt)*(dt/dx)###=###(d((dy/dt)/x)/dt)/x=((D(y,t)²*x-D(y,t)*x)/x³=((D(y,t)²-D(y,t))/x²###</t>
  </si>
  <si>
    <t>原方程变为：###a(D(y,t)²-D(y,t))+b(D(y,t))+cy###=f(exp(t))</t>
  </si>
  <si>
    <t>可以凑导数定义的题型（无需作答）### ###</t>
  </si>
  <si>
    <t>△y/△x</t>
  </si>
  <si>
    <t>f(x+y)=f(x)+f(y)</t>
  </si>
  <si>
    <t>f(x+y)=f(x)*f(y)</t>
  </si>
  <si>
    <t>f(xy)=f(x)+f(y)</t>
  </si>
  <si>
    <t>f(xy)=f(x)*f(y)</t>
  </si>
  <si>
    <t>数列极限存在的完备性</t>
  </si>
  <si>
    <t>最常见的情况，奇偶完备：###lim(n→∞):a[n]=a↔lim(n→∞):a[2*n-1]=lim(n→∞):a[2*n]=a###</t>
  </si>
  <si>
    <t>推广的情况，模m同余：###lim(n→∞):a[n]=a↔lim(n→∞):a[m*n-(m-1)]=lim(n→∞):a[m*n-(m-2)]=...=lim(n→∞):a[m*n]=a###</t>
  </si>
  <si>
    <t>递推函数法确定数列单调性</t>
  </si>
  <si>
    <t>已知递推关系a[n+1]=f(a[n])</t>
  </si>
  <si>
    <t>若f'(x)&gt;=0，则数列###单调###</t>
  </si>
  <si>
    <t>若a1&gt;=a2，则数列###单调递减###</t>
  </si>
  <si>
    <t>若a1&lt;=a2，则数列###单调递增###</t>
  </si>
  <si>
    <t>若f'(x)&lt;0，则数列###一增一减（奇数列和偶数列单调且单调性相反）###</t>
  </si>
  <si>
    <t>常见不等式</t>
  </si>
  <si>
    <t>||x|-|y||###&lt;=###|x±y|, |x|+|y|###&gt;=###|x±y|</t>
  </si>
  <si>
    <t>a²+b²###&gt;=###2ab, a+b###&gt;=###2*sqrt(ab)</t>
  </si>
  <si>
    <t>对数不等式：x/(1+x)###&lt;=###ln(1+x), x###&gt;=###ln(1+x), x###&gt;###-1（定义域）</t>
  </si>
  <si>
    <t>以下不等式在x=###0###时取等号</t>
  </si>
  <si>
    <t>|sin(x)|###&lt;=###|x|</t>
  </si>
  <si>
    <t>|tan(x)|###&gt;=###|x|, x###∈(-π/2,π/2)###（定义域）</t>
  </si>
  <si>
    <t>exp(x)-1###&gt;=###x</t>
  </si>
  <si>
    <t>函数无界↔存在趋于无穷的子数列（无需作答）### ###</t>
  </si>
  <si>
    <t>非零因子代入也可以逆用来凑包含趋向变量的表达式（无需作答）### ###</t>
  </si>
  <si>
    <t>周期函数的导数###一定###是周期函数</t>
  </si>
  <si>
    <t>快（速页）表里存放的是###内存块号###（内存块/内存块号）</t>
  </si>
  <si>
    <t>内存块号也就是###页框号###（页号/页框号）</t>
  </si>
  <si>
    <t>六大排序的稳定性</t>
  </si>
  <si>
    <t>时间复杂度O(n²):###选择排序###、###插入排序###、###冒泡排序###</t>
  </si>
  <si>
    <t>时间复杂度O(n*log(k,n)):###快速排序###、###归并排序###、###堆排序###</t>
  </si>
  <si>
    <t>用了分治思想，几分k就是几</t>
  </si>
  <si>
    <t>非齐次线性方程组的求解要点</t>
  </si>
  <si>
    <t>自由变量全部设为###0###来求解非齐次特解，###不带###（带/不带）系数k</t>
  </si>
  <si>
    <t>自由变量各设为###1###来求解齐次基础解系，###带###（带/不带）系数k</t>
  </si>
  <si>
    <t>矩阵A的特征向量α###一定###（一定/未必/绝不）是A*的特征向量</t>
  </si>
  <si>
    <t>Aα=λα,α=###λA逆α###</t>
  </si>
  <si>
    <t>|A|α=###λA*α###</t>
  </si>
  <si>
    <t>###(|A|/λ)###α=A*α</t>
  </si>
  <si>
    <t>矩阵方程与特征值的关系</t>
  </si>
  <si>
    <t>如果有一个矩阵方程形如F(A)=0这样的</t>
  </si>
  <si>
    <t>把A换成λ，把E换成1，就能得到一个特征值方程F(λ)=0</t>
  </si>
  <si>
    <t>F(λ)=0的根和特征多项式的根的关系是###前者是后者的子集###</t>
  </si>
  <si>
    <t>如果F(λ)=0存在非实根怎么办</t>
  </si>
  <si>
    <t>实对称阵仅有实特征值，因此###只选取实根###</t>
  </si>
  <si>
    <t>A是n阶矩阵，根的重数=###n-r(A−λE)###（与阶数和秩的关系）</t>
  </si>
  <si>
    <t>如果原矩阵是二次型，那么特征值就是###标准型二次项的系数###</t>
  </si>
  <si>
    <t>矩阵的迹等于###对角线元素之和###（定义）</t>
  </si>
  <si>
    <t>矩阵的迹等于###特征值之和###（和特征值的关系）</t>
  </si>
  <si>
    <t>矩阵的秩为r，那么###零特征值###（什么类型的特征值）与其存在关系</t>
  </si>
  <si>
    <t>矩阵维度为n，那么上述特征值的###代数重数###就等于###n-r###</t>
  </si>
  <si>
    <t>1/(n-1)是否收敛？###收敛###（收敛/发散）</t>
  </si>
  <si>
    <t>分母###不能###（能/不能）等于0</t>
  </si>
  <si>
    <t>分母等于0是###无定义###</t>
  </si>
  <si>
    <t>因此要###从数列当中排除###</t>
  </si>
  <si>
    <t>收敛数列中的项###不可能###（可能/不可能）包含∞</t>
  </si>
  <si>
    <t>因此收敛数列###必定###有界</t>
  </si>
  <si>
    <t>有界数列###未必###收敛</t>
  </si>
  <si>
    <t>f(x)在x0处极限为0，则1/f(x)在x0处极限为无穷，对错？###错###</t>
  </si>
  <si>
    <t>原因：###1/f(x)要在x0点处有定义，f(x0)不能等于0###</t>
  </si>
  <si>
    <t>可导点的情况下，极值点###不能###（可以/不能）是拐点</t>
  </si>
  <si>
    <t>可导极值形状：###U形###</t>
  </si>
  <si>
    <t>可导拐点形状：###滑梯形###</t>
  </si>
  <si>
    <t>可导极值拐点：###不存在###</t>
  </si>
  <si>
    <t>不可导点的情况下，极值点###可以###（可以/不能）是拐点</t>
  </si>
  <si>
    <t>不可导（无穷式）极值形状：###乳沟形###</t>
  </si>
  <si>
    <t>不可导（无穷式）拐点形状：###危险滑梯（滑梯转90度）###</t>
  </si>
  <si>
    <t>不可导（无穷式）极值拐点：###鲨齿形###</t>
  </si>
  <si>
    <t>严格单调###允许###点的导数为0，###不允许###区间内导数为0（允许/不允许）</t>
  </si>
  <si>
    <t>压缩映射法（秒杀法）</t>
  </si>
  <si>
    <t>题型1：若要证数列x[n+1]=f(x[n])极限为a</t>
  </si>
  <si>
    <t>构造:0&lt;=###|x[n+1]-a|###=###|f(x[n])-f(a)|###&lt;=###r*|x[n]-a|###</t>
  </si>
  <si>
    <t>放缩：0&lt;=###|x[n+1]-a|###&lt;=###(r^n)*|x[1]-a|###</t>
  </si>
  <si>
    <t>证明：r∈###(0,1)###（区间范围），完成夹逼</t>
  </si>
  <si>
    <t>题型2：x[n+1]=f(x[n])时，若|f'(x)|###&lt;=###r（大小关系），r∈###(0,1)###（区间范围），那么x[n]###收敛###（收敛/发散）</t>
  </si>
  <si>
    <t>拉格朗日：f(x[n])-f(a)=###f'(ξ)(x[n]-a)###，ξ∈(a,x[n])</t>
  </si>
  <si>
    <t>若|f'(x)|###&lt;=###r（大小关系），###|f'(ξ)(x[n]-a)|###&lt;=###r*(x[n]-a)###</t>
  </si>
  <si>
    <t>放缩：f(Xn)-f(a)&lt;=###(r^n)*|x1-a|###</t>
  </si>
  <si>
    <t>证明：r∈###(0,1)###（区间范围），f(Xn)-f(a)-&gt;0，f(Xn)-&gt;f(a)=a</t>
  </si>
  <si>
    <t>秒杀：f(x)为分段函数时，求F(x)=Int(0,x):f(t)dt是否连续</t>
  </si>
  <si>
    <t>如果间断点是f(x)的可去间断点，那么F(x)###连续且可导###</t>
  </si>
  <si>
    <t>如果间断点是f(x)的跳跃间断点，那么F(x)###连续且不可导###</t>
  </si>
  <si>
    <t>夹逼准则的条件之一——左右端表达式的极限相等意味着一个先决条件要成立：###左右端存在极限###</t>
  </si>
  <si>
    <t>原函数一定可导### ###（无需作答）</t>
  </si>
  <si>
    <t>连续函数必有原函数### ###（无需作答）</t>
  </si>
  <si>
    <t>可积（可以求定积分）的充分条件（一条满足即可）</t>
  </si>
  <si>
    <t>f(x)在###闭###区间a到b上连续</t>
  </si>
  <si>
    <t>f(x)在###闭###区间a到b上不连续，但是###有界###且间断点###个数有限###</t>
  </si>
  <si>
    <t>变限积分性质2则</t>
  </si>
  <si>
    <t>f(x)在闭区间a-b上可积，则F(x)=Int(a,x):f(t)dt###连续###（具有什么性质）</t>
  </si>
  <si>
    <t>f(x)在闭区间a-b上连续，则F(x)=Int(a,x):f(t)dt###可导###（具有什么性质），且###F'(x)=f(x)###</t>
  </si>
  <si>
    <t>可积（可以求定积分）的必要条件</t>
  </si>
  <si>
    <t>f(x)在###闭###区间a到b上###有界###</t>
  </si>
  <si>
    <t>若f(x)和g(x)在闭区间a到b之间均可积</t>
  </si>
  <si>
    <t>则f(x)±g(x)###必定可积###（必定可积/未必可积）</t>
  </si>
  <si>
    <t>则f(x)*g(x)###必定可积###（必定可积/未必可积）</t>
  </si>
  <si>
    <t>变限积分性质2则（更多参考20250330）</t>
  </si>
  <si>
    <t>f(x)在闭区间a-b上有第一类间断点，其他连续</t>
  </si>
  <si>
    <t>可去间断：则F(x)=Int(a,x):f(t)dt在x=x0处###可导###（具有什么性质），且###F'(x0)=lim(x-&gt;x0):f(x)###</t>
  </si>
  <si>
    <t>跳跃间断：则F(x)=Int(a,x):f(t)dt在x=x0处###不可导###（具有什么性质），但###F(x)连续###（具有什么性质）</t>
  </si>
  <si>
    <t>后一性质是因为f(x)在这一情况（存在有限个间断点）至少是###可积的###</t>
  </si>
  <si>
    <t>若f(x)在闭区间a到b连续，且f(x)&gt;=0（不恒等于0）</t>
  </si>
  <si>
    <t>则Int(a,b):f(x)dx###&gt;###0（大小关系）</t>
  </si>
  <si>
    <t>被积函数是周期函数且积分长度为一个周期</t>
  </si>
  <si>
    <t>那么起点可以任选### ###（无需作答）</t>
  </si>
  <si>
    <t>比较定积分大小：</t>
  </si>
  <si>
    <t>积分区间相同：比较###被积函数###大小</t>
  </si>
  <si>
    <t>积分与0比较</t>
  </si>
  <si>
    <t>按被积函数在积分区域的###正负###进行###拆分###</t>
  </si>
  <si>
    <t>通过###换元###把积分区域变成单一性质</t>
  </si>
  <si>
    <t>不定积分当中化简被积函数的暗坑</t>
  </si>
  <si>
    <t>分子分母出现含自变量表达式可以约分时，###不需要###（需要/不需要）考虑表达式为0的可能</t>
  </si>
  <si>
    <t>但是可去间断点会影响到原函数的定义域，间断点无定义要保留至不定积分求解后</t>
  </si>
  <si>
    <t>不定积分反三角换元需注意的情况</t>
  </si>
  <si>
    <t>cos本身是个###偶###（奇偶性）函数</t>
  </si>
  <si>
    <t>因此当用x=cost换元时，对应同一个x，会有###两个###t</t>
  </si>
  <si>
    <t>此时除了考虑定义域，还需要考虑###原函数的奇偶性###</t>
  </si>
  <si>
    <t>被积函数为奇函数，原函数###一定###（一定/可能）为###偶###函数（奇偶性）</t>
  </si>
  <si>
    <t>被积函数为偶函数，原函数###未必###（一定/未必）为###奇/偶###函数（奇偶性）</t>
  </si>
  <si>
    <t>给三角函数开根号要注意三角函数的正负，开根号实际上是取绝对值### ###（无需作答）</t>
  </si>
  <si>
    <t>定积分使用牛顿莱布尼兹公司的条件</t>
  </si>
  <si>
    <t>积分区间为a到b，则被积函数在###闭###区间a到b上###连续###</t>
  </si>
  <si>
    <t>如果是###开###区间a到b，则保证区间内处处###极限存在###（###包括###端点（包括/不包括））</t>
  </si>
  <si>
    <t>F(x)是f(x)在###闭###区间a到b上的一个###原函数###</t>
  </si>
  <si>
    <t>当被积表达式出现一个exp(x)不知如何去掉时，不妨试试换元，令exp(x)=t</t>
  </si>
  <si>
    <t>比如Int:1/(exp(x)+1)dx可以用这招换元得到###Int:1/(t²+t)dt###</t>
  </si>
  <si>
    <t>一类分母含正余弦平方线性组合的特殊题型</t>
  </si>
  <si>
    <t>含有正余弦函数的平方项而且###无法彻底消除###</t>
  </si>
  <si>
    <t>###无法彻底消除###（上一空）指的是即使降幂，也无法得到更好的结果</t>
  </si>
  <si>
    <t>分子是一个###常数###</t>
  </si>
  <si>
    <t>这样的话，在###上下同除正余弦平方###（正确解法）后可以拿来凑微分</t>
  </si>
  <si>
    <t>要给试错预留时间### ###（无需作答）</t>
  </si>
  <si>
    <t>反常积分要注意的一个细节</t>
  </si>
  <si>
    <t>反常积分求解中使用了分部积分或者本身就含加减的形式，导致需要分别对子段积分求解</t>
  </si>
  <si>
    <t>需要注意，如果出现子段积分的结果含无穷，意味着###子段积分的无穷量需要与另一子段积分进行抵消###</t>
  </si>
  <si>
    <t>前提是计算题</t>
  </si>
  <si>
    <t>也就意味着###积分上下限###不能轻易变动，除了###区间再现###以外的###换元###都是很危险的</t>
  </si>
  <si>
    <t>或者完成###去积分号###后记得###换回来###也可以</t>
  </si>
  <si>
    <t>无符号数加减的溢出判断</t>
  </si>
  <si>
    <t>先说结论</t>
  </si>
  <si>
    <t>加法：###最高位进位1是溢出###</t>
  </si>
  <si>
    <t>减法：###最高位进位0是溢出###</t>
  </si>
  <si>
    <t>减法的实现：被减数加上###减数相反数的补码###</t>
  </si>
  <si>
    <t>进位0的意义</t>
  </si>
  <si>
    <t>减数相反数的补码最高位一定是###1###，是被当做###符号位###（符号位/数值位）</t>
  </si>
  <si>
    <t>进位0意味着，算上低位进位，相加后最高位仍然是###1###</t>
  </si>
  <si>
    <t>从补码加法的结果也是补码来考虑，相当于结果是个###负数###（正数/负数）</t>
  </si>
  <si>
    <t>否则，无论被减数原始最高位是0还是1，加上进位后都应该是###1###</t>
  </si>
  <si>
    <t>只有这样，被减数加上进位后才能加上减数相反数补码的最高位，使其###变回0###，也就是###正数###（正数/负数）</t>
  </si>
  <si>
    <t>考场技巧</t>
  </si>
  <si>
    <t>根本不用算二进制，无符号数的范围记住：###0-(2^n)-1###</t>
  </si>
  <si>
    <t>十进制计算结果超了就是溢出了</t>
  </si>
  <si>
    <t>一个矩阵和它的伴随矩阵的伴随矩阵的关系</t>
  </si>
  <si>
    <t>A*=###A逆|A|###（A是可逆矩阵的话）</t>
  </si>
  <si>
    <t>A**=###(A*)'###（矩阵）乘以###|A*|###（系数）</t>
  </si>
  <si>
    <t>A**=###A/|A|###（变形自上式）乘以###|A'|A||###（变形自上式）</t>
  </si>
  <si>
    <t>|A'|A||=###(|A|^n)/|A|###=###|A|^(n-1)###</t>
  </si>
  <si>
    <t>A**=###A|A|^(n-2)###</t>
  </si>
  <si>
    <t>对于任意可逆的n阶方阵 ，其逆矩阵的伴随矩阵等于伴随矩阵的逆矩阵### ###（无需作答）</t>
  </si>
  <si>
    <t>一句话看出x/(x+1)和ln(1+x)哪个大</t>
  </si>
  <si>
    <t>（不严谨，秒杀用！）</t>
  </si>
  <si>
    <t>注意，ln(1+x)的定义域比x/(x+1)小，这里只做同定义域的比较</t>
  </si>
  <si>
    <t>x/(x+1)=###1-1/(x+1)###</t>
  </si>
  <si>
    <t>能够看出，x增大时，x/(x+1)是###收敛到1###的（敛散性）</t>
  </si>
  <si>
    <t>而x增大时，ln(x+1)是###趋于无穷###的（敛散性）</t>
  </si>
  <si>
    <t>（不能保证中间有没有交点，因此严谨证明不能使用这个逻辑）</t>
  </si>
  <si>
    <t>记忆立方和与立方差公式</t>
  </si>
  <si>
    <t>肯定是a和b的###一###次多项式乘以a和b的###二###次多项式</t>
  </si>
  <si>
    <t>要想正好抵消，###二###次多项式的交错项系数绝对值是###1###</t>
  </si>
  <si>
    <t>只看结果三次项，b³前的符号和###一###次多项式中###b###的符号对应</t>
  </si>
  <si>
    <t>###二###次多项式中，交错项的符号与###一###次多项式中###b###的符号###相反###（相同/相反）</t>
  </si>
  <si>
    <t>微分方程解结构容易混淆的点</t>
  </si>
  <si>
    <t>特解y1、y2任意系数线性叠加？</t>
  </si>
  <si>
    <t>齐次：###仍是解，若C为待定则为通解###</t>
  </si>
  <si>
    <t>非齐次：###方程的非齐次项做对应叠加###</t>
  </si>
  <si>
    <t>特解y1、y2互相抵消？</t>
  </si>
  <si>
    <t>齐次：###仍是解（包括y=0，联系线性代数的Ax=0），若C为待定则为通解###</t>
  </si>
  <si>
    <t>非齐次：###如果是同方程的两个解，正好抵消的话就是原方程对应的齐次方程解###</t>
  </si>
  <si>
    <t>注：非齐次正好抵消不是说变成0（区别于齐次），是二解的系数互为相反数</t>
  </si>
  <si>
    <t>用非齐特凑齐通的注意事项</t>
  </si>
  <si>
    <t>齐通的基础解系个数=###微分方程的阶数###</t>
  </si>
  <si>
    <t>判断解系是否有效=###任一解系不可能通过除它自身以外的解系组合得到###</t>
  </si>
  <si>
    <t>黑塞行列式与多元函数极值的判定</t>
  </si>
  <si>
    <t>行列式大于0（两方向的二阶导同号）：###是极值点###</t>
  </si>
  <si>
    <t>两方向的二阶导均大于0：###极小值###</t>
  </si>
  <si>
    <t>两方向的二阶导均小于0：###极大值###</t>
  </si>
  <si>
    <t>行列式等于0：###不确定###</t>
  </si>
  <si>
    <t>行列式小于0（两方向的二阶导异号）：###不是极值###</t>
  </si>
  <si>
    <t>二重积分直角坐标变换极坐标加r的原因</t>
  </si>
  <si>
    <t>极坐标的面积微元是个###扇环###（形状）</t>
  </si>
  <si>
    <t>面积近似为###内弧长度*半径差值###（公式）</t>
  </si>
  <si>
    <t>其中，###半径###就是dr</t>
  </si>
  <si>
    <t>而###内弧长度###则对应rdθ</t>
  </si>
  <si>
    <t>弧长与角度的公式：###弧长=圆心角（弧度）*半径###</t>
  </si>
  <si>
    <t>二重积分交换积分次序受阻的解决办法</t>
  </si>
  <si>
    <t>如果积分区域画出来对于要先积后定限的部分不利（比如上下两曲线夹住的区域但必须先积###x###）</t>
  </si>
  <si>
    <t>这时可以###斜着切分积分区域###</t>
  </si>
  <si>
    <t>甚至可以###不止切分一次###</t>
  </si>
  <si>
    <t>###切分边界###就可以作为补充的积分限</t>
  </si>
  <si>
    <t>二重积分需要注意逼但不相交的情况</t>
  </si>
  <si>
    <t>比如y=1/sqrt(x)和y轴逼近但不相交</t>
  </si>
  <si>
    <t>在决定积分限的时候，这种情况看做###密封###（密封/不密封）</t>
  </si>
  <si>
    <t>###可以###（可以/不可以）直接用于积分限</t>
  </si>
  <si>
    <t>这一操作的有效性###不受###（受/不受）积分方向的影响</t>
  </si>
  <si>
    <t>瑕积分和反常积分的概念辨析</t>
  </si>
  <si>
    <t>反常积分指被积函数###存在导致无界的点###或者积分上下限###有无穷###</t>
  </si>
  <si>
    <t>瑕积分指被积函数###在积分区间上某点无界###，和反常积分的关系？###瑕积分是反常积分的一种###</t>
  </si>
  <si>
    <t>一个积分可能有间断点，但只有###间断点无界###，这个积分才是瑕积分（反常积分）</t>
  </si>
  <si>
    <t>有界间断点震荡###不行###（行/不行），参考Int(0,1):sin(1/x)dx</t>
  </si>
  <si>
    <t>二重积分想要利用奇偶性时，如果被积函数本身非奇非偶，可以进行变形拆分，拆出奇函数为佳### ###（无需作答）</t>
  </si>
  <si>
    <t>二重积分的极坐标积分时，有些图形在一些角度范围内没有取值</t>
  </si>
  <si>
    <t>比如圆心在左与y轴相切的圆不会经过第###1、4###象限</t>
  </si>
  <si>
    <t>这时候要采用###区域割补###</t>
  </si>
  <si>
    <t>如果直接取上下限，会导致###负的积分值###</t>
  </si>
  <si>
    <t>求极限时遇到ln(f(x))，f(x)非常复杂，该怎么办？</t>
  </si>
  <si>
    <t>如果###f(x)趋1###，尝试构造###ln(1+f(x)-1)###</t>
  </si>
  <si>
    <t>然后再利用###ln(1+X)~X###，得到###f(x)-1###</t>
  </si>
  <si>
    <t>这样就去掉了ln</t>
  </si>
  <si>
    <t>求极限时，分子如果由多个代数加和式子构成</t>
  </si>
  <si>
    <t>尝试寻找能和分母一起构成收敛极限的部分</t>
  </si>
  <si>
    <t>这部分可以用极限代数和的形式提出，简化剩余极限### ###（无需作答）</t>
  </si>
  <si>
    <t>定积分实在积不出来，可以把被积函数泰勒展开，积分完成后再连加### ###（无需作答）</t>
  </si>
  <si>
    <t>费曼积分法### ###（太难了，实战不建议）</t>
  </si>
  <si>
    <t>假设有个定积分I</t>
  </si>
  <si>
    <t>得到辅助函数F(t)=It（系数a被替换t之后的定积分）</t>
  </si>
  <si>
    <t>通过在I里面将一个系数a变成变量t</t>
  </si>
  <si>
    <t>目标变成求解F(a)</t>
  </si>
  <si>
    <t>对F(t)的t求导</t>
  </si>
  <si>
    <t>根据莱布尼兹法则（？）</t>
  </si>
  <si>
    <t>对含参t的定积分求对t的导数，会得到被积函数对t的求导后的定积分</t>
  </si>
  <si>
    <t>求解（去积分号）求导后的定积分I't=dIt/dt=F'(t)</t>
  </si>
  <si>
    <t>对F'(t)求不定积分得到F(t)</t>
  </si>
  <si>
    <t>确定常数C（由t=a确定）</t>
  </si>
  <si>
    <t>看到被积函数里面有ln（1+x)/x能够确定的两件事</t>
  </si>
  <si>
    <t>凑微分：###不可能，因为1/x凑出来是ln(x)不是ln(x+1)###</t>
  </si>
  <si>
    <t>分部积分：###不可能，因为1/x的原函数含ln，像跷跷板一样###</t>
  </si>
  <si>
    <t>在对数里面可以放入参数t，使用费曼积分法可消去ln（求导后ln内表达式变为分母）</t>
  </si>
  <si>
    <t>微分方程遇到只含y、y'、y''不含x的</t>
  </si>
  <si>
    <t>以y'=p</t>
  </si>
  <si>
    <t>那么y''=###dp/dx###</t>
  </si>
  <si>
    <t>把y看成自变量</t>
  </si>
  <si>
    <t>那么y''=###(dp/dy)*(dy/dx)###=dp/dy*###p###</t>
  </si>
  <si>
    <t>有一类数列极限计算是f(π*g(n))，其中f(t)是三角函数，g(n)是非三角函数### ###（无需作答，纯学习）</t>
  </si>
  <si>
    <t>f(t)存在周期性，利用周期性对g(n)进行非恒等变形（只要满足f的周期即可）</t>
  </si>
  <si>
    <t>变形的目的是让g(n)变形后收敛（比如n趋无穷，变形结果就不能是n或者n²）</t>
  </si>
  <si>
    <t>因为是计算题，必然存在极限，不可能让你震荡（也就对应n趋无穷）</t>
  </si>
  <si>
    <t>n看起来会让sin趋0，但实际上o(n)会导致非0的值，这是震荡的根源</t>
  </si>
  <si>
    <t>o(n)是一个低阶无穷大，如果n不趋∞还需要针对判断</t>
  </si>
  <si>
    <t>极限A的形式是B+C，B和C分别求极限时变形后不能再相加</t>
  </si>
  <si>
    <t>因为###变形涉及的高阶无穷小丢失会导致错误###</t>
  </si>
  <si>
    <t>当求极限时用到拉格朗日去不掉中值怎么办？</t>
  </si>
  <si>
    <t>中值ξ肯定夹逼于###拉格朗日中值定理的端点###a和b</t>
  </si>
  <si>
    <t>那么假设现在极限是lim:f(ξ)</t>
  </si>
  <si>
    <t>只要证明###lim:f(a)###=###lim:f(b)###=L</t>
  </si>
  <si>
    <t>则可以再次使用###夹逼把###lim:f(ξ)=###L###求出</t>
  </si>
  <si>
    <t>[UKAGAKA]之前的笔记均已导入伪春菜</t>
  </si>
  <si>
    <t>积分中值定理：Int(a,b):f(x)dx=###(b-a)*f(ξ)###，中值ξ∈###闭区间[a,b]###</t>
  </si>
  <si>
    <t>有限个无穷大的和差###不一定###（一定/不一定）是无穷大，有限个无穷小的和差###一定###（一定/不一定）是无穷小</t>
  </si>
  <si>
    <t>地址线和地址引脚### ###（无需作答）</t>
  </si>
  <si>
    <t>地址线对CPU而言</t>
  </si>
  <si>
    <t>地址线在CPU出厂就已经决定好了的，地址线是不会减半的</t>
  </si>
  <si>
    <t>比如2^20个存储单元，需要20根地址线才能全部访问到</t>
  </si>
  <si>
    <t>地址引脚是对DRAM而言</t>
  </si>
  <si>
    <t>为了能节约空间以及把多个DRAM组成一个内存条，使用了引脚减半技术</t>
  </si>
  <si>
    <t>把DRAM设计成矩阵型结构，通过内存控制器，先访问一行，再选中其中一列输出</t>
  </si>
  <si>
    <t>408默认条件大全-通用规则</t>
  </si>
  <si>
    <t>默认###小端###（大小端）存储方式</t>
  </si>
  <si>
    <t>浮点数格式遵循###IEEE754###标准</t>
  </si>
  <si>
    <t>默认各流水线阶段时间为###相等且无冲突###</t>
  </si>
  <si>
    <t>408默认条件大全-计算机组成原理</t>
  </si>
  <si>
    <t>DRAM行列复用地址引脚</t>
  </si>
  <si>
    <t>存储总线宽度默认为按###字节（8位）###计算</t>
  </si>
  <si>
    <t>当题目要求划分地址空间（如RAM与ROM）时，默认使用###高位###（高位/低位）地址线进行区域划分</t>
  </si>
  <si>
    <t>题目中若涉及整数存储（如int类型），默认使用补码表示</t>
  </si>
  <si>
    <t>408默认条件大全-操作系统</t>
  </si>
  <si>
    <t>计算虚拟地址到物理地址的转换时，默认低位为###块内地址###，剩余高位为###页号或组号###</t>
  </si>
  <si>
    <t>涉及锁操作（如swap指令）时，默认指令执行是原子的</t>
  </si>
  <si>
    <t>408默认条件大全-计算机网络</t>
  </si>
  <si>
    <t>NAT转发时，默认将###源IP###从私有地址转换为公共地址，且仅修改###源IP###，###目标IP###保持不变（源IP/目标IP）</t>
  </si>
  <si>
    <t>计算子网可用地址时，默认排除###网络号###和###广播地址###</t>
  </si>
  <si>
    <t>若题目未明确说明，IP分片时默认###不复制###（复制/不复制）原始分组的选项字段（如首部校验和）</t>
  </si>
  <si>
    <t>408默认条件大全-数据结构</t>
  </si>
  <si>
    <t>涉及多维数组地址计算时，默认按###行###（行/列）优先存储（如C语言数组）</t>
  </si>
  <si>
    <t>题目中若未明确说明，默认二叉树的根节点编号为1</t>
  </si>
  <si>
    <t>Cache系统的效率：###Cache的存取周期/平均存取时间###</t>
  </si>
  <si>
    <t>根据命中率计算平均存取时间和效率需要保留小数点后至少三位，否则误差太大### ###（无需作答）</t>
  </si>
  <si>
    <t>408当中的K\M\G单位量级：涉及到速度，一个阶级按###1000###来升，涉及到空间容量大小，一个阶级按###1024###来升</t>
  </si>
  <si>
    <t>按顺序增加，每次增加1000\1024量级：###KMGTPEZY###（至少八个）</t>
  </si>
  <si>
    <t>被积函数奇偶性与变限积分的奇偶性</t>
  </si>
  <si>
    <t>被积函数为奇函数的充要条件</t>
  </si>
  <si>
    <t>Int(0,x):f(t)dt为###偶函数###（奇函数/偶函数）</t>
  </si>
  <si>
    <t>Int(a,x):f(t)dt为###偶函数###（奇函数/偶函数）</t>
  </si>
  <si>
    <t>被积函数为偶函数的充要条件</t>
  </si>
  <si>
    <t>Int(0,x):f(t)dt为###奇函数###（奇函数/偶函数）</t>
  </si>
  <si>
    <t>Int(a,x):f(t)dt为###奇函数###（奇函数/偶函数）</t>
  </si>
  <si>
    <t>且Int(0,a):f(t)dt=###0###</t>
  </si>
  <si>
    <t>Darboux定理</t>
  </si>
  <si>
    <t>如果一个函数f(x)在区间I上有原函数F(x)</t>
  </si>
  <si>
    <t>那么要么这个函数f(x)在区间I上连续</t>
  </si>
  <si>
    <t>要么存在的间断点只能是###第二类间断点###</t>
  </si>
  <si>
    <t>逆向思维：某函数F(x)若在I上处处可导</t>
  </si>
  <si>
    <t>要么导函数f(x)在I上连续</t>
  </si>
  <si>
    <t>要么导函数f(x)在I上只有###第二类间断点###</t>
  </si>
  <si>
    <t>一种罕见的连续性证明</t>
  </si>
  <si>
    <t>如果一个函数g(x)本身是f(x)的导数，也就是f'(x)=g(x)</t>
  </si>
  <si>
    <t>并且明确知道f(x)在x0可导</t>
  </si>
  <si>
    <t>即g(x)在x0处###有定义###</t>
  </si>
  <si>
    <t>且f(x)的左导数和右导数###在此处相等且等于导函数g(x)的函数值###</t>
  </si>
  <si>
    <t>那么导数f'(x0)=左导数f'-(x0)=lim(x-&gt;x0-):g(x)可以推出g(x)###左连续###（###左极限###等于该点函数值，此处为###左导数###）</t>
  </si>
  <si>
    <t>那么导数f'(x0)=右导数f'+(x0)=lim(x-&gt;x0+):g(x)可以推出g(x)###右连续###（###右极限###等于该点函数值，此处为###右导数###）</t>
  </si>
  <si>
    <t>当###左连续###和###右连续###同时成立，能够推出g(x)###在x0点连续###</t>
  </si>
  <si>
    <t>设f(x)是R上周期为T(T&gt;0)的连续函数</t>
  </si>
  <si>
    <t>那么lim(x-&gt;+∞):Int(0,x):f(t)dt/x=###Int(0,T):f(t)dt/T###</t>
  </si>
  <si>
    <t>Int(0,x):f(t)dt可以写成###kx+h(x)###，其中h(x)是R上周期为T的函数，k为f(t)在周期T内的平均值</t>
  </si>
  <si>
    <t>反常积分不能抵消，但是定积分可以！！！### ###（无需作答）</t>
  </si>
  <si>
    <t>不是因式或者分母因子的非零因子不能直接代入！！！### ###（无需作答）</t>
  </si>
  <si>
    <t>特别提醒，比如复合函数的括号里面，或者指数是f(x)的底数当中</t>
  </si>
  <si>
    <t>对数内的因子，当ln展开后会变成加和，这时无穷小的误差就会扩散出来</t>
  </si>
  <si>
    <t>类似的，底数内的微小误差，经过无穷次方（即指数为含x的趋∞代数式）的放大，足以影响结果</t>
  </si>
  <si>
    <t>一个容易遗忘的等价无穷小：ln(x+1)-x~###-t²/2###</t>
  </si>
  <si>
    <t>（660题第31题）为什么一阶导数的极限定义在极限式内无法聚合为f'(x)？### ###（无需作答）</t>
  </si>
  <si>
    <t>极限求解过程有非常多的无穷小量，在一阶导的极限定义当中是存在的，但是去掉lim号（即摘帽）后就会忽略掉</t>
  </si>
  <si>
    <t>重新把一阶导的极限定义作为一个更大极限表达式的一部分时，它内部的无穷小量会泄露到更大极限当中去</t>
  </si>
  <si>
    <t>红黑树-基本的五条规则</t>
  </si>
  <si>
    <t>非黑即红</t>
  </si>
  <si>
    <t>根节点是###黑色###</t>
  </si>
  <si>
    <t>叶节点是###黑色###</t>
  </si>
  <si>
    <t>节点是红色，那么它的子节点一定是###黑色###</t>
  </si>
  <si>
    <t>注意：###黑###节点可以有同色的子节点</t>
  </si>
  <si>
    <t>任意节点到其子树中叶节点的路径，经过的###黑节点个数###相同</t>
  </si>
  <si>
    <t>这个数量被称为###黑高###</t>
  </si>
  <si>
    <t>包含###叶节点###，不包含###起始节点###</t>
  </si>
  <si>
    <t>红黑树-衍生特性</t>
  </si>
  <si>
    <t>从根到叶的最长路径，不超过最短路径的###两###倍</t>
  </si>
  <si>
    <t>查询、插入、删除的时间复杂度都是###O(log(n))###</t>
  </si>
  <si>
    <t>树高控制的结果</t>
  </si>
  <si>
    <t>红黑树-旋转### ###（无需作答）</t>
  </si>
  <si>
    <t>左旋-逆时针，右旋-顺时针</t>
  </si>
  <si>
    <t>右（对应左旋）子节点A取代父节点B</t>
  </si>
  <si>
    <t>父节点B变成新父节点A的左子节点</t>
  </si>
  <si>
    <t>父节点的右子节点（原本是A），现在去接管孙子，也就是A原本的左子节点</t>
  </si>
  <si>
    <t>儿子当家，老人照顾孙子</t>
  </si>
  <si>
    <t>旋转前的子树和旋转后的（结构上）对称</t>
  </si>
  <si>
    <t>红黑树-插入：和普通BST一样</t>
  </si>
  <si>
    <t>从根开始</t>
  </si>
  <si>
    <t>大###左###小###右###（左/右）</t>
  </si>
  <si>
    <t>插入###红###色节点（每一个朝代的开始都是革命）</t>
  </si>
  <si>
    <t>红黑树-插入-调整：当破坏了规则4（###不红红###）会触发</t>
  </si>
  <si>
    <t>红叔（只换颜色，朱家自己人，不发生权力更迭）</t>
  </si>
  <si>
    <t>叔父都变黑</t>
  </si>
  <si>
    <t>爷爷变红</t>
  </si>
  <si>
    <t>然后以爷爷的视角（即把爷爷当成孙子）向上检查</t>
  </si>
  <si>
    <t>黑叔（据说朱棣不是马皇后亲生的）</t>
  </si>
  <si>
    <t>亲近叔</t>
  </si>
  <si>
    <t>父子交替，原来的父亲（现在的儿子）远离叔叔</t>
  </si>
  <si>
    <t>变成儿子远离叔的情况处理</t>
  </si>
  <si>
    <t>远离叔（正史）</t>
  </si>
  <si>
    <t>父亲变黑，爷爷变红（朱标死了，朱元璋红温了）</t>
  </si>
  <si>
    <t>发生旋转，侄儿上去，叔叔下去（朱允炆登基，削藩开始）</t>
  </si>
  <si>
    <t>总结：只有叔父不和（黑叔红父）且父亲与儿子亲近（同红），旋转（权力变化）才会发生</t>
  </si>
  <si>
    <t>红黑树-删除：和普通BST一样</t>
  </si>
  <si>
    <t>无孩或只有独生子：###有则继承，无则不管###</t>
  </si>
  <si>
    <t>注意，这种情况不是值复制！！！（不会###继承被替换节点的颜色###！）</t>
  </si>
  <si>
    <t>有两个孩子：</t>
  </si>
  <si>
    <t>找被删节点A在###中序###遍历上的后继结点B</t>
  </si>
  <si>
    <t>后继一定满足###无孩###或###只有独生子###</t>
  </si>
  <si>
    <t>复制B的值来顶替被删节点A的位置（新节点使用###A###（A/B）的颜色）</t>
  </si>
  <si>
    <t>从B原来的位置删除B（对B进行删除操作，B的后继C保持颜色的前提下顶替B）</t>
  </si>
  <si>
    <t>红黑树-删除-调整：</t>
  </si>
  <si>
    <t>注意：以下情况均为BST删除及替换发生后</t>
  </si>
  <si>
    <t>无替换（比如红节点的黑子被直接删除，黑兄弟会与红父交换）：？？？</t>
  </si>
  <si>
    <t>有替换</t>
  </si>
  <si>
    <t>红替红：###违反不红红，不可能存在###</t>
  </si>
  <si>
    <t>红替黑或者黑替红：###替上来一律变黑###</t>
  </si>
  <si>
    <t>黑替黑：？？？</t>
  </si>
  <si>
    <t>单调有界必有极限是数列才有的性质，函数没有，不能乱用！### ###（无需作答）</t>
  </si>
  <si>
    <t>遇到函数还有有界性，考虑用###闭区间连续的特性###来推（20240415）</t>
  </si>
  <si>
    <t>补充：f'(x)在有限区间I上有界，那么f(x)也在I上有界（充分不必要）</t>
  </si>
  <si>
    <t>f(x)=φ(x)*|x-a|，φ(x)在x=a连续</t>
  </si>
  <si>
    <t>f(x)在x=a处可导的充要条件：###φ(a)=0###</t>
  </si>
  <si>
    <t>RISC架构不允许在运算时访存的原因</t>
  </si>
  <si>
    <t>简化指令集，确保###指令长度###不变</t>
  </si>
  <si>
    <t>减少###访存###导致的流水延迟</t>
  </si>
  <si>
    <t>RISC采用###硬布线###式CU，兼容访存大幅度增加CU设计难度</t>
  </si>
  <si>
    <t>分离访存操作，从应用层面上考虑，有助于###编译器优化###</t>
  </si>
  <si>
    <t>RISC和CISC的差异总结</t>
  </si>
  <si>
    <t>指令长度：RISC采用###定长###，CISC采用###变长###</t>
  </si>
  <si>
    <t>指令数量：RISC###更少###，CISC###更多###</t>
  </si>
  <si>
    <t>寻址方式：RISC###更少###，CISC###更多###</t>
  </si>
  <si>
    <t>可以访存：RISC访存###仅限LOAD/STORE指令###，CISC访存###兼容大部分指令###</t>
  </si>
  <si>
    <t>控制单元（CU）：RISC采用###硬布线###，CISC采用###微程序###</t>
  </si>
  <si>
    <t>执行周期：RISC采用###单周期指令###，CISC采用###多周期指令###</t>
  </si>
  <si>
    <t>芯片面积：RISC###更小###，CISC###更大###</t>
  </si>
  <si>
    <t>编码密度：RISC###更低###，CISC###更高###</t>
  </si>
  <si>
    <t>编译优化难度：RISC###更低###，CISC###更高###</t>
  </si>
  <si>
    <t>使用裸机运行程序的CPU核心态</t>
  </si>
  <si>
    <t>默认就处于###核心态###，意味着可执行指令为###全部###指令（全部/部分）</t>
  </si>
  <si>
    <t>加载完操作系统后，###操作系统###的程序把PSW的核心态改为###用户###态</t>
  </si>
  <si>
    <t>CRC校验</t>
  </si>
  <si>
    <t>根据生成多项式写出###多项式对应二进制数A###</t>
  </si>
  <si>
    <t>根据###多项式的最高次幂###指定校验位长度</t>
  </si>
  <si>
    <t>信息位对应二进制数B作为###被除数###，与B进行除法</t>
  </si>
  <si>
    <t>异或除法，相同余0，不同余1</t>
  </si>
  <si>
    <t>向后借位使###最高1###位对齐</t>
  </si>
  <si>
    <t>无位可借，则###计算结束，被除数作为余数###</t>
  </si>
  <si>
    <t>得到余数根据校验位长度，高位补零</t>
  </si>
  <si>
    <t>流水线性能指标计算</t>
  </si>
  <si>
    <t>流水线时钟周期：###最长流水阶段的耗时###</t>
  </si>
  <si>
    <t>不考虑数据冲突的总耗时：###第一条指令耗时（各阶段时长总和）+（指令条数-1）*时钟周期###</t>
  </si>
  <si>
    <t>考虑数据冲突的总耗时：###不考虑数据冲突的总耗时+冲突次数*流水线时钟周期###</t>
  </si>
  <si>
    <t>吞吐率：###指令数/实际耗时（考虑数据冲突）###</t>
  </si>
  <si>
    <t>加速比：###非流水执行全部指令耗时/流水执行耗时（考虑数据冲突）###</t>
  </si>
  <si>
    <t>效率：###加速比/流水阶段个数###</t>
  </si>
  <si>
    <t>IEEE754表示</t>
  </si>
  <si>
    <t>核心公式：###((-1)^s)*(1.M)*(2^E)###</t>
  </si>
  <si>
    <t>s为符号位，M为尾数，E为阶码</t>
  </si>
  <si>
    <t>表示：</t>
  </si>
  <si>
    <t>符号位1位</t>
  </si>
  <si>
    <t>阶码E共###8###位，为###真值+127###的###移码###（偏移后的原码）</t>
  </si>
  <si>
    <t>尾数M共###23###位，为###去掉最高位1###的###原###码</t>
  </si>
  <si>
    <t>十进制转二进制</t>
  </si>
  <si>
    <t>把十进制数按核心公式写出</t>
  </si>
  <si>
    <t>写出对应的二进制</t>
  </si>
  <si>
    <t>二进制转十进制</t>
  </si>
  <si>
    <t>按位数分块给出符号、阶码、尾数</t>
  </si>
  <si>
    <t>写出对应的十进制</t>
  </si>
  <si>
    <t>IEEE754加减</t>
  </si>
  <si>
    <t>获得二进制表示</t>
  </si>
  <si>
    <t>确定阶码是否相同</t>
  </si>
  <si>
    <t>若不同，进行对阶，###低###阶向###高###阶看齐</t>
  </si>
  <si>
    <t>阶码增加，尾数同步###右###移/规，阶码减少，尾数同步###左###移/规</t>
  </si>
  <si>
    <t>尾数带上隐藏位和符号位，进行原码加减</t>
  </si>
  <si>
    <t>产生的新尾数根据小数点左侧是否仅1来进行规格化</t>
  </si>
  <si>
    <t>阶码如果在规格化过程中变为###全1###，则发生了规格化###上溢###</t>
  </si>
  <si>
    <t>阶码如果在规格化过程中变为###全0###，则发生了规格化###下溢###</t>
  </si>
  <si>
    <t>如果发生###下溢###，则###使用非规格化表示###</t>
  </si>
  <si>
    <t>即阶码全0###，尾数也采用对应规格（即隐藏位###为0###）</t>
  </si>
  <si>
    <t>恢复余数</t>
  </si>
  <si>
    <t>先把除数和被除数的符号进行###异或###，得到###商的符号###</t>
  </si>
  <si>
    <t>然后用被除数和除数的###绝对值###（下文提到的被除数和除数）进行除法求出###商的绝对值###</t>
  </si>
  <si>
    <t>初始化：余数为###0###，位数n为被除数和除数的位数</t>
  </si>
  <si>
    <t>循环步骤1.余数减去除数</t>
  </si>
  <si>
    <t>循环步骤2.判断是否小于0</t>
  </si>
  <si>
    <t>分支2.1.若差小于0，则###差加回除数恢复余数###，商上###0###</t>
  </si>
  <si>
    <t>分支2.2.若差大于0，则###什么也不做###，商上###1###</t>
  </si>
  <si>
    <t>循环步骤3.中间余数低位拼接###被除数###，两者一起向###左###移位，低位补###0###</t>
  </si>
  <si>
    <t>循环步骤4.拼接数高n位作为新的###余数###，低n位作为新的###被除数###</t>
  </si>
  <si>
    <t>重复循环###n+1###次，从最###低###位开始截取商的###n###位，乘上商的符号，作为最终结果</t>
  </si>
  <si>
    <t>组合积分的扩展### ###（无需作答）</t>
  </si>
  <si>
    <t>例子：sinx*sin2x*sin3x进行非恒等变换，加上和减去cosx*cos2x*cos3x，两个衍生积分分别使用cos的和角与差角公式</t>
  </si>
  <si>
    <t>本质：k*I=I1±I2，I1≠I2≠I（这一点区分于循环分部积分为代表的A=f(x)+kA）</t>
  </si>
  <si>
    <t>已知场景：大量出现正余弦函数，且简单变形（可以是非恒等）后具有对偶性</t>
  </si>
  <si>
    <t>目标：寻找可以分别进行积分求解的“积木块”（和二重积分轮换对称后相加相消的思路相反）</t>
  </si>
  <si>
    <t>倒数式区间再现</t>
  </si>
  <si>
    <t>上下限为从a到b</t>
  </si>
  <si>
    <t>那么t可以除了可以换元为t=a+b-x外，还可以换元为t=###a*b/x###</t>
  </si>
  <si>
    <t>由于t=###a*b/x###，上下限变为###a*b/a=b###到###a*b/b=a###，发生了第一次交换</t>
  </si>
  <si>
    <t>与此同时，因为x=###a*b/t###，dx=###-a*b/t²dt###，将###负号提出###，则上下限再次交换，区间相比原式维持不变</t>
  </si>
  <si>
    <t>定积分应用类，上下限如果不是特殊角的三角函数值的题目，建议不要使用三角换元。### ###（无需作答）</t>
  </si>
  <si>
    <t>口诀：662N4 收发协数验</t>
  </si>
  <si>
    <t>解释：这是###802.3###标准的</t>
  </si>
  <si>
    <t>###数据链路###层的</t>
  </si>
  <si>
    <t>###帧###（该类报文的称呼）协议报文字段###长度###（总长度/单位长度）信息</t>
  </si>
  <si>
    <t>收发协数验：###目的MAC、源MAC、协议类型、数据、校验码###</t>
  </si>
  <si>
    <t>TCP三握四挥的恋爱比喻### ###（无需作答）</t>
  </si>
  <si>
    <t>三握：男客户端，女服务端</t>
  </si>
  <si>
    <t>男：我喜欢你！</t>
  </si>
  <si>
    <t>女：我也喜欢你！</t>
  </si>
  <si>
    <t>男：那咱们交往吧！</t>
  </si>
  <si>
    <t>四挥：男客户端，女服务端</t>
  </si>
  <si>
    <t>男：我们分手吧。</t>
  </si>
  <si>
    <t>女：我需要考虑一下。</t>
  </si>
  <si>
    <t>女：好吧，我同意分手。</t>
  </si>
  <si>
    <t>男：祝你幸福。</t>
  </si>
  <si>
    <t>函数函数在a到b（a≠b）之间的均值</t>
  </si>
  <si>
    <t>定义：###f(x)从a到b的定积分除以(b-a)###</t>
  </si>
  <si>
    <t>注意：如果进行###换元###，除区间长度以###原来的###为准</t>
  </si>
  <si>
    <t>正弦和余弦函数求一次导，等于###相位###加上###pi/2###</t>
  </si>
  <si>
    <t>f(x)是在R上以T为周期的连续函数，则下述命题互为充要条件</t>
  </si>
  <si>
    <t>变限积分Int(0,x):f(t)dt为以T为周期的函数</t>
  </si>
  <si>
    <t>定积分Int(0.T):f(t)dt=###0###</t>
  </si>
  <si>
    <t>不定积分改写定（变限积分）的题目条件暗示### ###（无需作答）</t>
  </si>
  <si>
    <t>对不定积分进行求导（位于极限分子时，极限整体要洛必达）</t>
  </si>
  <si>
    <t>不定积分经过某个定点，研究周期性和奇偶性</t>
  </si>
  <si>
    <t>二阶变系数齐次线性微分方程</t>
  </si>
  <si>
    <t>题目形式：给出方程，然后给两个解y1和y2（其中一个含有未知的抽象函数u(x)），求通解y*</t>
  </si>
  <si>
    <t>核心是求出u(x)，可以利用公式###y1'y2-y2'y1=C*exp(-Int:p(x)dx)###，其中p(x)为###一阶导前的变系数###</t>
  </si>
  <si>
    <t>求出u(x)，就能得到y1和y2的具体形式，然后用y1和y2带系数组成通解y*</t>
  </si>
  <si>
    <t>分时系统###必定###（一定/未必）有交互性</t>
  </si>
  <si>
    <t>微内核的缺点是###效率低下###</t>
  </si>
  <si>
    <t>极限保序性</t>
  </si>
  <si>
    <t>条件</t>
  </si>
  <si>
    <t>在x=x0的去心（不等于x0）邻域（左、右、双侧）</t>
  </si>
  <si>
    <t>恒有f(x)###&lt;=###g(x)（小于/小于等于）</t>
  </si>
  <si>
    <t>结论</t>
  </si>
  <si>
    <t>f在x左（右）极限为a，g在x左（右）极限为b</t>
  </si>
  <si>
    <t>必有a###&lt;=###b（小于/小于等于）</t>
  </si>
  <si>
    <t>易错</t>
  </si>
  <si>
    <t>条件是###非严格###不等式，结论是###非严格###不等式（严格/非严格）</t>
  </si>
  <si>
    <t>即使条件是###严格###不等式，也只能推###非严格###不等式结论</t>
  </si>
  <si>
    <t>原因：极限只是一种趋势，即使函数值始终小，但趋势也可能接近并相等</t>
  </si>
  <si>
    <t>反例：f=x，g=x+|x|，x0取x=0</t>
  </si>
  <si>
    <t>逆定理：左（右）极限###严格###有序，则必存在去心左（右）邻域使邻域内的函数值也###严格###保序（严格/非严格）</t>
  </si>
  <si>
    <t>任何函数都可以分解为一个奇函数与一个偶函数的和### ###（无需作答）</t>
  </si>
  <si>
    <t>可以用于一个函数和它自变量取相反数进行加减时使用</t>
  </si>
  <si>
    <t>数列Xn有界的充要条件（原20240426答疑整理4）：###|Xn|&lt;=M###</t>
  </si>
  <si>
    <t>对于省去正负号的分类讨论很有用</t>
  </si>
  <si>
    <t>要注意f(x)=lim(t):g(t,x)这种方式定义的函数</t>
  </si>
  <si>
    <t>讨论f(x)间断点前，要先###设法去掉lim(t)###，把###极限定义###形式转为###一般解析###形式，然后再研究</t>
  </si>
  <si>
    <t>线性微分方程的特点</t>
  </si>
  <si>
    <t>各阶导数的次幂为###1或0###次</t>
  </si>
  <si>
    <t>最高阶导数的次幂一定为###1###次</t>
  </si>
  <si>
    <t>各阶导数只能以###线性组合###的形式出现</t>
  </si>
  <si>
    <t>不能有不同阶导数的###乘积###或###复合###</t>
  </si>
  <si>
    <t>易错点：要注意，有些线性微分方程的是x(y)型而非常见的y(x)型</t>
  </si>
  <si>
    <t>比如x*dy/dx=cos(y)+1</t>
  </si>
  <si>
    <t>z=f(x,y)的二阶混合偏导均在区域D上连续，则二者相等### ###（无需作答）</t>
  </si>
  <si>
    <t>中断机制是CPU都有的，即使没有操作系统也会有中断</t>
  </si>
  <si>
    <t>###GPRs、用户栈指针###的保存是操作系统独有的</t>
  </si>
  <si>
    <t>保存###PC、PSW、###是裸机和操作系统都有的</t>
  </si>
  <si>
    <t>其中###PSW###的保存是子程序调用时不会发生的</t>
  </si>
  <si>
    <t>子程序调用和系统调用都是程序调用，主要区别在于###是否有处理机状态切换###</t>
  </si>
  <si>
    <t>两者均遵循：</t>
  </si>
  <si>
    <t>1.###入参压栈（一般子程序）/压寄存器（系统调用）###</t>
  </si>
  <si>
    <t>2.###call/trap指令###</t>
  </si>
  <si>
    <t>3.###保存现场###</t>
  </si>
  <si>
    <t>4.###程序入口装入PC并开始执行###</t>
  </si>
  <si>
    <t>系统/程序调用是###同步###事件，###无需###关中断</t>
  </si>
  <si>
    <t>5.###恢复现场（系统/程序调用是同步事件，无需关中断）###</t>
  </si>
  <si>
    <t>保存与恢复现场：中断和调用程序的差异</t>
  </si>
  <si>
    <t>系统/程序调用是###同步###事件，###无需###关开中断</t>
  </si>
  <si>
    <t>中断是###异步###事件，###需要###关开中断</t>
  </si>
  <si>
    <t>分母真0会破坏极限的定义（处处有定义的去心邻域）### ###（无需作答）</t>
  </si>
  <si>
    <t>极限求解时的部分极限恒定性（存在一个恒等于某常数的去心邻域）会导致这个部分极限退化为该常数### ###（无需作答）</t>
  </si>
  <si>
    <t>举例：f(x)在某点x0处存在恒为c的去心邻域，那么lim(x-&gt;x0):g(f(x),x)=lim(x-&gt;x0):g(c,x)</t>
  </si>
  <si>
    <t>多用户一定分时，分时未必多用户### ###（无需作答）</t>
  </si>
  <si>
    <t>NVRAM很小，不可能从中加载ISO### ###（无需作答）</t>
  </si>
  <si>
    <t>分配资源的基本单位</t>
  </si>
  <si>
    <t>作业：###批处理系统###</t>
  </si>
  <si>
    <t>进程：###多道程序系统###</t>
  </si>
  <si>
    <t>响应中断的三条件### ###（无需作答）</t>
  </si>
  <si>
    <t>中断源发出的中断请求</t>
  </si>
  <si>
    <t>CPU允许中断</t>
  </si>
  <si>
    <t>内部中断无法被屏蔽（关中断也无效）</t>
  </si>
  <si>
    <t>当前指令执行完成且无更紧急任务</t>
  </si>
  <si>
    <t>外中断、非异常内中断检测发生在指令执行后</t>
  </si>
  <si>
    <t>异常（内部中断的一种）检测发生在执行执行中</t>
  </si>
  <si>
    <t>多元函数极限的套路</t>
  </si>
  <si>
    <t>优先观察能否进行###极坐标转换###</t>
  </si>
  <si>
    <t>不能的情况下进行###夹逼求解###</t>
  </si>
  <si>
    <t>###两侧极限###尽量构造为适合进行###极坐标转换###的类型</t>
  </si>
  <si>
    <t>极限定义的函数（f(x)=lim(t):g(t,x)）在极限不存在（无论是无穷还是震荡）处的点无定义### ###（无需作答）</t>
  </si>
  <si>
    <t>分母x^t，x&lt;-1，t趋于无穷，那么1/(x^t)的极限###为0（|x|^t是无穷大，吸收(-1)^t的有界振荡）###</t>
  </si>
  <si>
    <t>柯西洗袜子不等式：</t>
  </si>
  <si>
    <t>(x²+y²)*(m²+n²)###&gt;=###(m*x+n*y)²</t>
  </si>
  <si>
    <t>(x²-y²)*(m²-n²)###&lt;=###(m*x-n*y)²</t>
  </si>
  <si>
    <t>(x+y)*(m+n)###&gt;=###(sqrt(m*x)+sqrt(n*y))²</t>
  </si>
  <si>
    <t>(x+y)*(m²/x+n²/y)###&gt;=###(m+n)²</t>
  </si>
  <si>
    <t>汇编和链接的先后顺序：先###汇编###，后###链接###</t>
  </si>
  <si>
    <t>汇编：###汇编指令###转###二进制###</t>
  </si>
  <si>
    <t>链接：###分散二进制程序###转###单一二进制程序###</t>
  </si>
  <si>
    <t>原因：符号引用的解析需要二进制的###地址偏移###</t>
  </si>
  <si>
    <t>中断式I/O，外设准备数据不能###快于###（快于/慢于）中断处理，否则会造成###数据丢失###</t>
  </si>
  <si>
    <t>多元函数的极限确定存在时，可以锁定其中一个变量到趋向点，使极限变为一个一元极限### ###（无需作答）</t>
  </si>
  <si>
    <t>当f(x,y)在(0,0)点连续，且lim(x,y-&gt;0):f(x,y)/(x²+y²)存在时，可以立刻得到f(x,y)###可微###</t>
  </si>
  <si>
    <t>那个极限存在，可以得到###lim(x,y-&gt;0):f(x,y)=0###</t>
  </si>
  <si>
    <t>上一条加连续，可以得到###f(x,y)=0###</t>
  </si>
  <si>
    <t>偏导定义：###lim(x-&gt;0):(f(x,0)-f(0,0))/x###</t>
  </si>
  <si>
    <t>分子简化：###lim(x-&gt;0):f(x,0)/x###</t>
  </si>
  <si>
    <t>条件极限锁定y=0：###lim(x-&gt;0):f(x,0)/(x²+y²)###存在</t>
  </si>
  <si>
    <t>比阶：f(x,0)比###x²+y²###高阶，###x²+y²###比###x###高阶，因此f(x,0)比###x###高阶</t>
  </si>
  <si>
    <t>偏导=0</t>
  </si>
  <si>
    <t>可微定义式：###(f(x,y)-f(0,0)-fx(0,0)x-fy(0,0)y)/sqrt(x²+y²)###</t>
  </si>
  <si>
    <t>偏导真0：###(f(x,y)-f(0,0))/sqrt(x²+y²)###</t>
  </si>
  <si>
    <t>利用连续：###f(x,y)/sqrt(x²+y²)###</t>
  </si>
  <si>
    <t>比阶：f(x,y)比###x²+y²###高阶，###x²+y²###比###sqrt(x²+y²)###高阶，因此f(x,y)比###sqrt(x²+y²)###高阶</t>
  </si>
  <si>
    <t>可微定义极限=0</t>
  </si>
  <si>
    <t>多项式韦达定理：</t>
  </si>
  <si>
    <t>(x-a1)*(x-a2)*...*(x-an)=(x^n)+(c[n-1]*x^(n-1))+...+c1*x+c0</t>
  </si>
  <si>
    <t>c[n-1]=###-(a1+a2+a3+...+an)###</t>
  </si>
  <si>
    <t>c[n-k]=###((-1)^k)*k个不同ai乘积的和###</t>
  </si>
  <si>
    <t>c[0]=###((-1)^n)*a1*a2*a3*...*an###</t>
  </si>
  <si>
    <t>命令解释器和解释型语言的解释器是不同的东西，当“命令”出现时，它指的是cmd或者bash这种操作系统提供的命令接口。### ###（无需作答）</t>
  </si>
  <si>
    <t>多元偏导存在不能推连续，更不能推极限存在</t>
  </si>
  <si>
    <t>但是可以推###剖面曲线###连续</t>
  </si>
  <si>
    <t>函数最值问题记得要验证不可导点### ###（无需作答）</t>
  </si>
  <si>
    <t>用户态切换核心态需要靠硬件（中断必核心），反之不需要（特权指令）### ###（无需作答）</t>
  </si>
  <si>
    <t>操作系统的分层式架构便于调试### ###（无需作答）</t>
  </si>
  <si>
    <t>启机相关问题</t>
  </si>
  <si>
    <t>启机顺序：###BIOS###-&gt;###引导程序/Bootloader###-&gt;###操作系统内核###</t>
  </si>
  <si>
    <t>BIOS：位于主板的ROM，嵌入式设备没有</t>
  </si>
  <si>
    <t>引导程序/Bootloader：位于MBR的第一个扇区或者Flash，嵌入式设备的Bootloader要负责BIOS的任务</t>
  </si>
  <si>
    <t>BIOS的顺序：###跳转BIOS###-&gt;###设定BIOS中断服务地址###-&gt;###硬件自检###-&gt;###跳转引导程序/Bootloader###</t>
  </si>
  <si>
    <t>拐点（凹凸性改变点）可以是不可导点</t>
  </si>
  <si>
    <t>举例：f(x)=x^(1/3)在x=0处，切线垂直，导数为无穷大，但是在该点处二阶导###异号###（无论是否可导）</t>
  </si>
  <si>
    <t>可能创建进程的操作四种：###用户登录、作业调度、提供服务、应用请求###</t>
  </si>
  <si>
    <t>并发程序执行的特点是间断性### ###（无需作答）</t>
  </si>
  <si>
    <t>死锁的四个条件：###资源互斥、有了还要、不可剥夺、循环等待###</t>
  </si>
  <si>
    <t>管程可以做空，先V后P，但一般进程中直接使用的信号量则不可以### ###（无需作答）</t>
  </si>
  <si>
    <t>父进程撤销，其从属的子进程不一定会撤销### ###（无需作答）</t>
  </si>
  <si>
    <t>可能会成为孤儿进程，变成爷爷奶奶进程的子进程（最高为init进程的子进程）</t>
  </si>
  <si>
    <t>不死锁的最少资源个数：###n*(m-1)+1###，其中，n为进程个数，m为每个进程需要的资源个数</t>
  </si>
  <si>
    <t>变限积分求导公式的使用条件</t>
  </si>
  <si>
    <t>被积函数f(x)在###闭##区间a到b上##连续###</t>
  </si>
  <si>
    <t>变限积分的可导性和求导公式也仅在###闭区间a到b###上成立</t>
  </si>
  <si>
    <t>非连续点必须用###求导的极限定义###求解</t>
  </si>
  <si>
    <t>特例法大杀器-常见性质### ###（无需作答）</t>
  </si>
  <si>
    <t>一阶或二阶可导（一元）：f(x)在区间区间(a,b)内具有k阶导数</t>
  </si>
  <si>
    <t>偏导数存在（多元）：f(x,y)在趋区域D内存在一阶偏导fx(x,y)和fy(x,y)，且D内处处可求偏导</t>
  </si>
  <si>
    <t>连续性（一元）：f(x)在开（闭）区间a到b上连续</t>
  </si>
  <si>
    <t>可微性（多元）：f(x,y)在点(x0,y0)处可微，满足可微的极限定义式等于0</t>
  </si>
  <si>
    <t>极限存在（一元）：f(x)在x趋于x0时极限存在，且极限等于A</t>
  </si>
  <si>
    <t>连续性（多元）：f(x,y)在区域D上连续，D内任意点处f(x,y)的极限等于f(x,y)在该点处的函数值</t>
  </si>
  <si>
    <t>周期性（一元）：f(x)是以T为周期的周期函数，满足f(x+T)=f(x)</t>
  </si>
  <si>
    <t>可定积分（一元）：f(x)在开（闭）区间a到b上可积，且定积分值等于常数k</t>
  </si>
  <si>
    <t>二阶偏导连续（多元）：f(x,y)在区域D内的二阶偏导数均连续，满足fxy(x,y)=fyx(x,y)（混合偏导相等）</t>
  </si>
  <si>
    <t>奇函数（一元）：f(x)在定义域内满足f(-x)=-f(x)</t>
  </si>
  <si>
    <t>偶函数（一元）：f(x)在定义域内满足f(-x)=f(x)</t>
  </si>
  <si>
    <t>相切（一元）：f(x)在点(x0,f(x0))处与直线y=kx+b相切</t>
  </si>
  <si>
    <t>反常积分收敛（一元）：被积函数为f(x)的无穷积分/瑕积分（若无瑕点，则在无穷限上积分）收敛到常数C</t>
  </si>
  <si>
    <t>如果约束是等式约束，可以把约束代入目标函数，转化为无条件极值（无需拉格朗日乘数法）### ###（无需作答）</t>
  </si>
  <si>
    <t>特例法大杀器-二元组合### ###（无需作答）</t>
  </si>
  <si>
    <t>一阶或二阶可导（一元）+连续性（一元）</t>
  </si>
  <si>
    <t>00：分段函数{f(x)=1,x≥0;f(x)=-1,x&lt;0}，在x=0处不连续且不可导。</t>
  </si>
  <si>
    <t>01：函数f(x)=|x|，在x=0处连续但不可导。</t>
  </si>
  <si>
    <t>10：NA（可导函数必连续，不存在可导但不连续的函数）。</t>
  </si>
  <si>
    <t>11：函数f(x)=x²，在实数域内连续且二阶可导。</t>
  </si>
  <si>
    <t>一阶或二阶可导（一元）+极限存在（一元）</t>
  </si>
  <si>
    <t>00：分段函数{f(x)=sin(1/x),x≠0;f(x)=0,x=0}，在x=0处极限不存在且不可导。</t>
  </si>
  <si>
    <t>01：分段函数{f(x)=|x|,x≠0;f(x)=1,x=0}，在x=0处极限存在（为0）但不连续（故不可导）。</t>
  </si>
  <si>
    <t>10：NA（可导必连续，连续必极限存在，不存在可导但极限不存在的函数）。</t>
  </si>
  <si>
    <t>11：函数f(x)=x³，在实数域内可导且极限处处存在。</t>
  </si>
  <si>
    <t>连续性（一元）+极限存在（一元）</t>
  </si>
  <si>
    <t>00：分段函数{f(x)=sin(1/x),x≠0;f(x)=0,x=0}，在x=0处极限不存在且不连续。</t>
  </si>
  <si>
    <t>01：分段函数{f(x)=x,x≠0;f(x)=1,x=0}，在x=0处极限存在（值为0）但不连续。</t>
  </si>
  <si>
    <t>10：NA（连续函数在该点极限必存在，无法构造反例）。</t>
  </si>
  <si>
    <t>11：函数f(x)=x，在实数域内处处连续且极限存在。</t>
  </si>
  <si>
    <t>偏导数存在（多元）+可微性（多元）</t>
  </si>
  <si>
    <t>00：函数f(x,y)=|x|+|y|，在点(0,0)处对x的偏导数lim(Δx→0)|Δx|/Δx不存在，对y的偏导数同理不存在，故偏导数不存在且不可微。</t>
  </si>
  <si>
    <t>01：NA（可微性要求偏导数必存在，无法构造偏导数不存在但可微的函数）。</t>
  </si>
  <si>
    <t>10：函数{f(x,y)=x²y/(x⁴+y²),(x,y)≠(0,0);f(x,y)=0,(x,y)=(0,0)}，在点(0,0)处偏导数fₓ(0,0)=fᵧ(0,0)=0，但沿路径y=kx²趋近(0,0)时，lim(x→0,y=kx²)[f(x,y)-0-0・x-0・y]/sqrt(x²+y²)与k相关，不满足可微的极限定义，故偏导数存在但不可微。</t>
  </si>
  <si>
    <t>11：函数f(x,y)=x²+y²，在任意点(x,y)处偏导数fₓ=2x、fᵧ=2y存在且连续，全微分df=2xdx+2ydy成立，故偏导数存在且可微。</t>
  </si>
  <si>
    <t>死锁检测###不需要###（需要/不需要）知道进程所需资源总量</t>
  </si>
  <si>
    <t>特例法大杀器-三元组合### ###（无需作答）</t>
  </si>
  <si>
    <t>一阶或二阶可导（一元）+连续性（一元）+极限存在（一元）</t>
  </si>
  <si>
    <t>000：分段函数{f(x)=1/x,x≠0;f(x)=0,x=0}，在x=0处极限不存在（左右极限均为无穷）、不连续且不可导。</t>
  </si>
  <si>
    <t>001：分段函数{f(x)=x,x≠0;f(x)=1,x=0}，在x=0处极限存在（值为0），但不连续（函数值为1）且不可导。</t>
  </si>
  <si>
    <t>010：NA（连续性必蕴含极限存在，无法构造连续但极限不存在的函数）。</t>
  </si>
  <si>
    <t>011：函数f(x)=|x|，在x=0处连续且极限存在（值为0），但一阶导数不存在（左右导数分别为-1和1，矛盾）。</t>
  </si>
  <si>
    <t>100：NA（可导必连续，连续必极限存在，无法构造可导但不连续且极限不存在的函数）。</t>
  </si>
  <si>
    <t>101：NA（可导必连续，无法构造可导但不连续的函数）。</t>
  </si>
  <si>
    <t>110：NA（连续必极限存在，无法构造连续但极限不存在的函数）。</t>
  </si>
  <si>
    <t>111：函数f(x)=x²，在实数域内二阶可导、连续且极限处处存在（任意点极限等于函数值）。</t>
  </si>
  <si>
    <t>偏导数存在（多元）+可微性（多元）+连续性（多元）</t>
  </si>
  <si>
    <t>000：分段函数{f(x,y)=1,xy≠0;f(x,y)=0,xy=0}，在点(0,0)处偏导数不存在（如对x的偏导数在y=0时左右极限矛盾）、不可微且不连续（极限沿x=0和y=0路径分别为0和1，不唯一）。</t>
  </si>
  <si>
    <t>001：函数f(x,y)=|x|+|y|，在点(0,0)处偏导数不存在（对x的偏导数左右极限为-1和1）、不可微，但连续（|x|+|y|→0当(x,y)→(0,0)）。</t>
  </si>
  <si>
    <t>010：NA（可微性要求偏导数必存在，无法构造偏导数不存在但可微的函数）。</t>
  </si>
  <si>
    <t>011：NA（可微性要求偏导数必存在，且可微必连续，无法构造偏导数不存在但可微且连续的函数）。</t>
  </si>
  <si>
    <t>100：函数{f(x,y)=x²y/(x⁴+y²),(x,y)≠(0,0);f(x,y)=0,(x,y)=(0,0)}，在点(0,0)处偏导数fₓ(0,0)=0、fᵧ(0,0)=0（通过定义计算），但沿路径y=kx²趋近时极限为k/(1+k²)≠0，故不连续且不可微（全微分误差项极限不为0）。</t>
  </si>
  <si>
    <t>101：函数f(x,y)=√(|xy|)，在点(0,0)处偏导数fₓ(0,0)=0、fᵧ(0,0)=0（定义计算），连续（|√(|xy|)|≤√(x²+y²)/√2→0），但不可微（全微分误差项Δf-0-0=√(|ΔxΔy|)，与ρ=√(Δx²+Δy²)的比值在Δx=Δy时为1/√2≠0）。</t>
  </si>
  <si>
    <t>110：NA（可微性必蕴含连续性，无法构造可微但不连续的函数）。</t>
  </si>
  <si>
    <t>111：函数f(x,y)=x²+y²，在任意点处偏导数fₓ=2x、fᵧ=2y存在且连续，全微分df=2xΔx+2yΔy，余项(Δx)²+(Δy)²=o(ρ)，故可微且连续（多项式函数处处连续）。</t>
  </si>
  <si>
    <t>偏导数存在（多元）+可微性（多元）+二阶偏导连续（多元）</t>
  </si>
  <si>
    <t>000：函数f(x,y)=|x|+|y|，在点(0,0)处对x的偏导数lim(Δx→0)|Δx|/Δx不存在（左右极限为-1和1），故偏导数不存在、不可微，且二阶偏导无定义（自然不连续）。</t>
  </si>
  <si>
    <t>001：NA（偏导数不存在时，无法存在二阶偏导数，更无法连续）。</t>
  </si>
  <si>
    <t>010：NA（可微性要求偏导数必存在，偏导数不存在时不可微）。</t>
  </si>
  <si>
    <t>011：NA（偏导数不存在时，无法满足可微性和二阶偏导连续）。</t>
  </si>
  <si>
    <t>100：函数{f(x,y)=x²y/(x⁴+y²),(x,y)≠(0,0);f(x,y)=0,(x,y)=(0,0)}，在点(0,0)处偏导数fₓ(0,0)=0、fᵧ(0,0)=0（定义计算），但沿路径y=kx²趋近时极限不唯一，故不可微；且一阶偏导在(0,0)附近不连续（如fₓ(x,kx²)随k变化），导致二阶偏导不连续。</t>
  </si>
  <si>
    <t>101：NA（若二阶偏导连续，则一阶偏导必连续，而一阶偏导连续是可微的充分条件，与“不可微”矛盾）。</t>
  </si>
  <si>
    <t>110：函数f(x,y)=x²y²sin(1/(x²+y²))（(x,y)≠(0,0)时），f(0,0)=0。在(0,0)处偏导数存在且可微（全微分误差项满足o(ρ)），但二阶偏导在原点附近因sin(1/(x²+y²))的振荡性不连续。</t>
  </si>
  <si>
    <t>111：函数f(x,y)=x³+y³，在任意点处偏导数fₓ=3x²、fᵧ=3y²存在且连续，可微；二阶偏导数fₓₓ=6x、fᵧᵧ=6y、fₓᵧ=fᵧₓ=0均连续，满足所有条件。</t>
  </si>
  <si>
    <t>偏导数存在（多元）+连续性（多元）+二阶偏导连续（多元）</t>
  </si>
  <si>
    <t>000：函数f(x,y)=|x|+|y|，在点(0,0)处对x的偏导数lim(Δx→0)|Δx|/Δx不存在（左右极限为-1和1），故偏导数不存在；沿x=0和y=0路径趋近原点时函数值分别为|y|和|x|，极限为0，但沿y=x路径时f(x,x)=2|x|→0，整体连续？不，此处错误：|x|+|y|在原点是连续的，但偏导数不存在。修正：分段函数{f(x,y)=1,x²+y²≥1;f(x,y)=0,x²+y²&lt;1}，在原点处不连续（边界突变），偏导数不存在（不连续导致），二阶偏导无定义（不连续且偏导数不存在）。</t>
  </si>
  <si>
    <t>001：NA（偏导数不存在时，二阶偏导数无定义，无法满足“二阶偏导连续”）。</t>
  </si>
  <si>
    <t>010：函数f(x,y)=|x|+|y|，在点(0,0)处连续（|x|+|y|→0当(x,y)→(0,0)），但对x的偏导数lim(Δx→0)(|Δx|)/Δx不存在（左右极限矛盾），故偏导数不存在；二阶偏导数无定义，自然不连续。</t>
  </si>
  <si>
    <t>011：NA（偏导数不存在时，无法满足“可微性”或“二阶偏导连续”）。</t>
  </si>
  <si>
    <t>100：函数{f(x,y)=x²y/(x⁴+y²),(x,y)≠(0,0);f(x,y)=0,(x,y)=(0,0)}，在点(0,0)处偏导数fₓ(0,0)=0、fᵧ(0,0)=0（定义计算），但沿路径y=kx²趋近时极限为k/(1+k²)≠0，故不连续；一阶偏导在(0,0)附近不连续（如fₓ(x,kx²)=2k/(1+k²)随k变化），导致二阶偏导不连续。</t>
  </si>
  <si>
    <t>101：NA（若二阶偏导连续，则一阶偏导必连续，而一阶偏导连续→函数可微→函数必连续，与“不连续”矛盾）。</t>
  </si>
  <si>
    <t>110：函数f(x,y)=x²y²sin(1/(x²+y²))（(x,y)≠(0,0)时），f(0,0)=0。在(0,0)处偏导数存在（fₓ(0,0)=0，fᵧ(0,0)=0），且连续（|x²y²sin(1/(x²+y²))|≤x²y²→0），但二阶偏导数在原点附近因sin(1/(x²+y²))的振荡性不连续（如fₓₓ在(ε,0)处为2sin(1/ε²)，极限不存在）。</t>
  </si>
  <si>
    <t>111：函数f(x,y)=x³+y³，在任意点处偏导数fₓ=3x²、fᵧ=3y²存在且连续，故连续；二阶偏导数fₓₓ=6x、fᵧᵧ=6y、fₓᵧ=fᵧₓ=0均连续，满足所有条件。</t>
  </si>
  <si>
    <t>可微性（多元）+连续性（多元）+二阶偏导连续（多元）</t>
  </si>
  <si>
    <t>000：分段函数{f(x,y)=1,x²+y²≥1;f(x,y)=0,x²+y²&lt;1}，在原点处不连续（边界突变），故不可微，二阶偏导无定义（不连续且偏导数不存在）。</t>
  </si>
  <si>
    <t>001：NA（连续性不成立时，函数在该点无定义或极限不存在，无法满足二阶偏导连续）。</t>
  </si>
  <si>
    <t>010：函数f(x,y)=|x|+|y|，在原点处连续（|x|+|y|→0），但不可微（偏导数不存在），二阶偏导无定义（偏导数不存在），故二阶偏导不连续。</t>
  </si>
  <si>
    <t>011：NA（可微性不成立时，若二阶偏导连续则一阶偏导必连续，而一阶偏导连续→可微，矛盾）。</t>
  </si>
  <si>
    <t>100：NA（可微性必蕴含连续性，无法构造可微但不连续的函数）。</t>
  </si>
  <si>
    <t>101：NA（可微性必蕴含连续性，与“连续性不成立”矛盾）。</t>
  </si>
  <si>
    <t>110：函数f(x,y)=x²y²sin(1/(x²+y²))（(x,y)≠(0,0)时f=0），在原点处可微（全微分误差项满足o(ρ)）且连续，但二阶偏导数因sin(1/(x²+y²))振荡而不连续（如fₓₓ在(ε,0)处极限不存在）。</t>
  </si>
  <si>
    <t>111：函数f(x,y)=x³+y³，在任意点处可微（偏导数连续）、连续，且二阶偏导数fₓₓ=6x、fᵧᵧ=6y、fₓᵧ=0均连续，满足所有条件。</t>
  </si>
  <si>
    <t>特例法大杀器-一元运算### ###（无需作答）</t>
  </si>
  <si>
    <t>性质排序参考20250616</t>
  </si>
  <si>
    <t>相反数（-f(x)=g(x)或-f(x,y)=g(x,y)）</t>
  </si>
  <si>
    <t>00：###&gt;&gt;&gt;f(x)=|x|（不可导）,g(x)=-|x|（不可导）###-###&gt;&gt;&gt;f(x,y)=|x|+|y|（偏导数不存在）,g(x,y)=-|x|-|y|（偏导数不存在）###-###&gt;&gt;&gt;f(x)=分段函数{1,x≥0;-1,x&lt;0}（不连续）,g(x)=分段函数{-1,x≥0;1,x&lt;0}（不连续）###-###&gt;&gt;&gt;f(x,y)=√(|xy|)（在(0,0)处不可微）,g(x,y)=-√(|xy|)（在(0,0)处不可微）###-###&gt;&gt;&gt;f(x)=分段函数{sin(1/x),x≠0;0,x=0}（x→0极限不存在）,g(x)=分段函数{-sin(1/x),x≠0;0,x=0}（x→0极限不存在）###-###&gt;&gt;&gt;f(x,y)=分段函数{1,xy≠0;0,xy=0}（在(0,0)处不连续）,g(x,y)=分段函数{-1,xy≠0;0,xy=0}（在(0,0)处不连续）###-###&gt;&gt;&gt;f(x)=x+1（非周期函数）,g(x)=-x-1（非周期函数）###-###&gt;&gt;&gt;f(x)=分段函数{1,x为有理数；0,x为无理数}（不可积）,g(x)=分段函数{-1,x为有理数；0,x为无理数}（不可积）###-###&gt;&gt;&gt;f(x,y)=x²y/(x⁴+y²)（在(0,0)处二阶偏导不连续）,g(x,y)=-x²y/(x⁴+y²)（在(0,0)处二阶偏导不连续）###-###&gt;&gt;&gt;f(x)=x²+1（非奇函数）,g(x)=-x²-1（非奇函数）###-###&gt;&gt;&gt;f(x)=x³+x+1（非偶函数）,g(x)=-x³-x-1（非偶函数）###-###&gt;&gt;&gt;f(x)=|x|+1（在x=0处不可导，无切线）,g(x)=-|x|-1（在x=0处不可导，无切线）###-###&gt;&gt;&gt;f(x)=1/x（无穷积分∫1/xdx发散）,g(x)=-1/x（无穷积分∫-1/xdx发散）###-</t>
  </si>
  <si>
    <t>01：###&gt;&gt;&gt;NA（f不可导时g=-f必不可导）###-###&gt;&gt;&gt;NA（f偏导数不存在时g=-f必不存在）###-###&gt;&gt;&gt;NA（因f不连续时g=-f必不连续，故无法构造此情形。）###-###&gt;&gt;&gt;NA（f不可微时g=-f必不可微）###-###&gt;&gt;&gt;f(x)=分段函数{1,x≥0;0,x&lt;0}（x→0极限不存在）,g(x)=分段函数{-1,x≥0;0,x&lt;0}（x→0极限不存在）###-###&gt;&gt;&gt;NA（f不连续时g=-f必不连续）###-###&gt;&gt;&gt;f(x)=x（非周期）,g(x)=-x（非周期）###-###&gt;&gt;&gt;NA（若f(x)不可积，则其相反数g(x)=-f(x)的不连续点分布与f完全一致，仍不满足黎曼可积的“几乎处处连续”条件，故无法构造g可积的例子）###-###&gt;&gt;&gt;f(x,y)=x²y/(x⁴+y²)（二阶偏导不连续）,g(x,y)=-x²y/(x⁴+y²)（二阶偏导不连续）###-###&gt;&gt;&gt;f(x)=x²（非奇函数）,g(x)=-x²（非奇函数）###-###&gt;&gt;&gt;f(x)=x+1（非偶函数）,g(x)=-x-1（非偶函数）###-###&gt;&gt;&gt;f(x)=|x|（无切线）,g(x)=-|x|（无切线）###-###&gt;&gt;&gt;f(x)=e^x（无穷积分收敛？∫e^xdx发散，g=-e^x积分也发散）###-</t>
  </si>
  <si>
    <t>10：###&gt;&gt;&gt;NA（f可导时g=-f必可导）###-###&gt;&gt;&gt;NA（f偏导数存在时g=-f必存在）###-###&gt;&gt;&gt;NA（f连续时g=-f必连续）###-###&gt;&gt;&gt;NA（f可微时g=-f必可微）###-###&gt;&gt;&gt;NA（f极限存在时g=-f必极限存在）###-###&gt;&gt;&gt;NA（f连续时g=-f必连续）###-###&gt;&gt;&gt;NA（f周期函数时g=-f必周期函数）###-###&gt;&gt;&gt;NA（f可积时g=-f必可积）###-###&gt;&gt;&gt;NA（f二阶偏导连续时g=-f必连续）###-###&gt;&gt;&gt;NA（因奇函数的相反数必为奇函数，故不存在f为奇函数而g非奇函数的情形）###-###&gt;&gt;&gt;NA（因偶函数的相反数必为偶函数，故不存在f为偶函数而g非偶函数的情形）###-###&gt;&gt;&gt;NA（因f在x0处切线存在时，g=-f在x0处切线必存在，故无法构造g无切线的情形）###-###&gt;&gt;&gt;NA（若f(x)的反常积分收敛，则其相反数g(x)=-f(x)的积分必为原积分的相反数，收敛性不变，故无法构造g积分发散的例子）###-</t>
  </si>
  <si>
    <t>11：###&gt;&gt;&gt;f(x)=x²（二阶可导）,g(x)=-x²（二阶可导）###-###&gt;&gt;&gt;f(x,y)=x²+y²（偏导数存在）,g(x,y)=-x²-y²（偏导数存在）###-###&gt;&gt;&gt;f(x)=x（连续）,g(x)=-x（连续）###-###&gt;&gt;&gt;f(x,y)=x²+y²（可微）,g(x,y)=-x²-y²（可微）###-###&gt;&gt;&gt;f(x)=x（x→0极限存在）,g(x)=-x（x→0极限存在）###-###&gt;&gt;&gt;f(x,y)=x+y（连续）,g(x,y)=-x-y（连续）###-###&gt;&gt;&gt;f(x)=sinx（周期2π）,g(x)=-sinx（周期2π）###-###&gt;&gt;&gt;f(x)=1（在[0,1]可积，积分值1）,g(x)=-1（在[0,1]可积，积分值-1）###-###&gt;&gt;&gt;f(x,y)=x³+y³（二阶偏导连续）,g(x,y)=-x³-y³（二阶偏导连续）###-###&gt;&gt;&gt;f(x)=x（奇函数）,g(x)=-x（奇函数）###-###&gt;&gt;&gt;f(x)=x²（偶函数）,g(x)=-x²（偶函数）###-###&gt;&gt;&gt;f(x)=x（在x=0处切线y=x）,g(x)=-x（在x=0处切线y=-x）###-###&gt;&gt;&gt;f(x)=1/x²（无穷积分∫1/x²dx从1到∞收敛）,g(x)=-1/x²（无穷积分收敛）###-</t>
  </si>
  <si>
    <t>绝对值（|f(x)|=g(x)或|f(x,y)|=g(x,y)）</t>
  </si>
  <si>
    <t>00：###&gt;&gt;&gt;f(x)=|x|（在x=0不可导）,g(x)=||x||=|x|（在x=0不可导）###-###&gt;&gt;&gt;f(x,y)=|x|+|y|（在(0,0)偏导数不存在）,g(x,y)=||x|+|y||=|x|+|y|（在(0,0)偏导数不存在）###-###&gt;&gt;&gt;NA（若f(x)在x=0不连续，g(x)=|f(x)|连续，如f(x)=分段{1,x≥0;-1,x&lt;0}，g(x)=1连续）###-###&gt;&gt;&gt;f(x,y)=√(|xy|)（在(0,0)不可微）,g(x,y)=|√(|xy|)|=√(|xy|)（在(0,0)不可微）###-###&gt;&gt;&gt;f(x)=分段{sin(1/x),x≠0;0,x=0}（x→0极限不存在）,g(x)=分段{|sin(1/x)|,x≠0;0,x=0}（x→0极限不存在）###-###&gt;&gt;&gt;NA（若f(x,y)在(0,0)不连续，g(x,y)=|f(x,y)|连续，如f(x,y)=分段{1,xy≠0;0,xy=0}，g(x,y)=1连续）###-###&gt;&gt;&gt;f(x)=x+1（非周期）,g(x)=|x+1|（非周期）###-###&gt;&gt;&gt;NA（若f(x)不可积，g(x)=|f(x)|可积，如f(x)=狄利克雷函数，g(x)=1可积）###-###&gt;&gt;&gt;f(x,y)=x²y/(x⁴+y²)（在(0,0)二阶偏导不连续）,g(x,y)=|x²y/(x⁴+y²)|（在(0,0)二阶偏导不连续）###-###&gt;&gt;&gt;f(x)=x（奇函数）,g(x)=|x|（偶函数，非奇函数）###-###&gt;&gt;&gt;f(x)=x+1（非偶函数）,g(x)=|x+1|（非偶函数）###-###&gt;&gt;&gt;f(x)=分段{x,x≥0;2x,x&lt;0}（在x=0无切线）,g(x)=分段{|x|,x≥0;|2x|,x&lt;0}（在x=0无切线）###-###&gt;&gt;&gt;f(x)=1/x（x&gt;0时无穷积分发散）,g(x)=|1/x|=1/x（无穷积分发散）###-</t>
  </si>
  <si>
    <t>01：###&gt;&gt;&gt;NA（若f(x)不可导，g(x)=|f(x)|在同点仍不可导，如f(x)=|x|，g(x)=|x|不可导）###-###&gt;&gt;&gt;NA（若f(x,y)偏导数不存在，g(x,y)=|f(x,y)|偏导数仍不存在，如f(x,y)=|x|，g(x,y)=|x|）###-###&gt;&gt;&gt;f(x)=分段{1,x≥0;-1,x&lt;0}（在x=0不连续）,g(x)=1（在x=0连续）###-###&gt;&gt;&gt;NA（若f(x,y)不可微，g(x,y)=|f(x,y)|仍不可微，如f(x,y)=|x|，g(x,y)=|x|）###-###&gt;&gt;&gt;f(x)=分段{1,x≥0;0,x&lt;0}（x→0极限不存在）,g(x)=1（x→0极限存在）###-###&gt;&gt;&gt;f(x,y)=分段{1,xy≠0;0,xy=0}（在(0,0)不连续）,g(x,y)=1（在(0,0)连续）###-###&gt;&gt;&gt;NA（非周期函数取绝对值仍为非周期函数，无法使g为周期函数）###-###&gt;&gt;&gt;f(x)=狄利克雷函数（不可积）,g(x)=1（可积）###-###&gt;&gt;&gt;f(x,y)=分段{x²y/(x⁴+y²),x≠0;0,x=0}（在(0,0)二阶偏导不连续）,g(x,y)=0（二阶偏导连续）###-###&gt;&gt;&gt;f(x)=x（奇函数）,g(x)=|x|（偶函数）###-###&gt;&gt;&gt;f(x)=x+1（非偶函数）,g(x)=1（偶函数）###-###&gt;&gt;&gt;NA（若f(x)在x=0无切线，g(x)=|f(x)|仍无切线，如f(x)=|x|，g(x)=|x|）###-###&gt;&gt;&gt;f(x)=分段{e^x,x≥0;-e^x,x&lt;0}（无穷积分发散）,g(x)=e^x（无穷积分收敛）###-</t>
  </si>
  <si>
    <t>10：###&gt;&gt;&gt;f(x)=x（在x=0可导）,g(x)=|x|（在x=0不可导）###-###&gt;&gt;&gt;f(x,y)=x（在x=0偏导数存在）,g(x,y)=|x|（在x=0偏导数不存在）###-###&gt;&gt;&gt;NA（若f(x)连续，则g(x)=|f(x)|必连续，因|f(x)|-|f(x0)|≤|f(x)-f(x0)|→0）###-###&gt;&gt;&gt;f(x,y)=x（可微）,g(x,y)=|x|（在x=0不可微）###-###&gt;&gt;&gt;NA（若f(x)在x→x0极限存在，则g(x)=|f(x)|极限必存在，因||f(x)|-|A||≤|f(x)-A|→0）###-###&gt;&gt;&gt;NA（若f(x,y)连续，则g(x,y)=|f(x,y)|必连续，同上理）###-###&gt;&gt;&gt;NA（若f(x)周期T，则g(x)=|f(x)|周期≤T，如f(x)=sinx周期2π，g(x)=|sinx|周期π，不满足原周期性质）###-###&gt;&gt;&gt;NA（黎曼可积函数的绝对值必可积，因振幅ω(|f|)≤ω(f)）###-###&gt;&gt;&gt;f(x,y)=x³（二阶偏导连续）,g(x,y)=|x³|（在x=0二阶偏导不连续，因f''(x)=6|x|在x=0左导-6，右导6，不连续）###-###&gt;&gt;&gt;f(x)=0（既是奇函数又是偶函数）,g(x)=0（偶函数，非严格奇函数，因奇函数要求f(-x)=-f(x)，0满足但通常视为特殊情况，此处g(x)=0是偶函数，故f具奇函数性质而g不具）###-###&gt;&gt;&gt;NA（若f(x)是偶函数，则g(x)=|f(x)|必为偶函数，因|f(-x)|=|f(x)|）###-###&gt;&gt;&gt;f(x)=x（在x=0切线为y=x）,g(x)=|x|（在x=0无切线，左右导数不等）###-###&gt;&gt;&gt;f(x)=sinx/x（无穷积分收敛）,g(x)=|sinx/x|（无穷积分发散，因∫|sinx/x|dx≥∫sin²x/xdx，后者发散）###-</t>
  </si>
  <si>
    <t>11：###&gt;&gt;&gt;f(x)=x²（二阶可导）,g(x)=x²（二阶可导）###-###&gt;&gt;&gt;f(x,y)=x²+y²（偏导数存在）,g(x,y)=x²+y²（偏导数存在）###-###&gt;&gt;&gt;f(x)=x（连续）,g(x)=|x|（连续）###-###&gt;&gt;&gt;f(x,y)=x²+y²（可微）,g(x,y)=x²+y²（可微）###-###&gt;&gt;&gt;f(x)=x（x→0极限存在）,g(x)=|x|（x→0极限存在）###-###&gt;&gt;&gt;f(x,y)=x+y（连续）,g(x,y)=|x+y|（连续）###-###&gt;&gt;&gt;NA（若f(x)周期T，g(x)=|f(x)|周期改变，如f(x)=cosx周期2π，g(x)=|cosx|周期π，不满足原周期定义）###-###&gt;&gt;&gt;f(x)=1（在[0,1]可积）,g(x)=1（在[0,1]可积）###-###&gt;&gt;&gt;f(x,y)=x⁴+y⁴（二阶偏导连续）,g(x,y)=x⁴+y⁴（二阶偏导连续）###-###&gt;&gt;&gt;f(x)=0（奇函数）,g(x)=0（奇函数，因0=-0）###-###&gt;&gt;&gt;f(x)=x²（偶函数）,g(x)=x²（偶函数）###-###&gt;&gt;&gt;f(x)=x²（在x=0切线为y=0）,g(x)=x²（在x=0切线为y=0）###-###&gt;&gt;&gt;f(x)=e^(-x²)（无穷积分收敛）,g(x)=e^(-x²)（无穷积分收敛）###-</t>
  </si>
  <si>
    <t>取倒数（1/f(x)=g(x)或1/f(x,y)=g(x,y)）</t>
  </si>
  <si>
    <t>00：###&gt;&gt;&gt;f(x)=|x|（在x=0不可导）,g(x)=1/|x|（在x=0不可导，导数为无穷大）###-###&gt;&gt;&gt;f(x,y)=|x|+|y|（在(0,0)偏导数不存在）,g(x,y)=1/(|x|+|y|)（在(0,0)偏导数不存在）###-###&gt;&gt;&gt;f(x)=分段{1,x≥0;0,x&lt;0}（在x=0不连续）,g(x)=分段{1,x≥0;无定义，x&lt;0}（在x=0不连续且无定义）###-###&gt;&gt;&gt;f(x,y)=分段{x²+y²,(x,y)≠(0,0);0,(x,y)=(0,0)}（在(0,0)不可微）,g(x,y)=分段{1/(x²+y²),(x,y)≠(0,0);无定义，(x,y)=(0,0)}（在(0,0)不可微）###-###&gt;&gt;&gt;f(x)=分段{sin(1/x),x≠0;0,x=0}（x→0极限不存在）,g(x)=分段{1/sin(1/x),x≠0;无定义，x=0}（x→0极限不存在）###-###&gt;&gt;&gt;f(x,y)=分段{1,xy≠0;0,xy=0}（在(0,0)不连续）,g(x,y)=分段{1,xy≠0;无定义，xy=0}（在(0,0)不连续）###-###&gt;&gt;&gt;f(x)=x+1（非周期函数）,g(x)=1/(x+1)（非周期函数）###-###&gt;&gt;&gt;f(x)=狄利克雷函数（不可积）,g(x)=分段{1,x∈Q;无定义，x∉Q}（不可积）###-###&gt;&gt;&gt;f(x,y)=x²y/(x⁴+y²)（在(0,0)二阶偏导不连续）,g(x,y)=(x⁴+y²)/(x²y)（在(0,0)二阶偏导不连续）###-###&gt;&gt;&gt;f(x)=x²+1（非奇函数）,g(x)=1/(x²+1)（非奇函数）###-###&gt;&gt;&gt;f(x)=x+1（非偶函数）,g(x)=1/(x+1)（非偶函数）###-###&gt;&gt;&gt;f(x)=|x|（在x=0无切线）,g(x)=1/|x|（在x=0无定义，无切线）###-###&gt;&gt;&gt;f(x)=1/x（无穷积分∫1/xdx从1到∞发散）,g(x)=x（无穷积分∫xdx从1到∞发散）###-</t>
  </si>
  <si>
    <t>01：###&gt;&gt;&gt;NA（若f(x)在x0不可导且f(x0)≠0，则g(x)=1/f(x)在x0必不可导，因导数公式含f²分母）###-###&gt;&gt;&gt;NA（若f(x,y)在某点偏导数不存在且f≠0，则g=1/f偏导数必不存在，偏导公式依赖f的导数）###-###&gt;&gt;&gt;NA（若f(x)在x0不连续且f(x0)≠0，则g=1/f在x0必不连续，因极限不存在）###-###&gt;&gt;&gt;NA（若f(x,y)在某点不可微且f≠0，则g=1/f不可微，因可微性要求偏导存在）###-###&gt;&gt;&gt;NA（若f(x)在x→x0极限不存在且f≠0，则g=1/f极限必不存在，极限运算不保持）###-###&gt;&gt;&gt;NA（若f(x,y)在某点不连续且f≠0，则g=1/f必不连续，连续性依赖f的连续性）###-###&gt;&gt;&gt;NA（非周期函数取倒数仍为非周期函数，无法构造g为周期函数）###-###&gt;&gt;&gt;NA（若f(x)不可积且f≠0，则g=1/f可能仍不可积，如狄利克雷函数）###-###&gt;&gt;&gt;NA（若f(x,y)二阶偏导不连续且f≠0，则g=1/f的二阶偏导必不连续，依赖f的导数连续性）###-###&gt;&gt;&gt;NA（若f(x)非奇函数且f≠0，g=1/f必非奇函数，因1/f(-x)≠-1/f(x)）###-###&gt;&gt;&gt;NA（若f(x)非偶函数且f≠0，g=1/f必非偶函数，因1/f(-x)≠1/f(x)）###-###&gt;&gt;&gt;NA（若f(x)在x0无切线且f(x0)≠0，则g=1/f在x0无定义或导数不存在，无切线）###-###&gt;&gt;&gt;f(x)=e^(-x²)（无穷积分∫e^(-x²)dx收敛）,g(x)=e^(x²)（无穷积分∫e^(x²)dx发散，因被积函数指数增长）###-</t>
  </si>
  <si>
    <t>10：###&gt;&gt;&gt;f(x)=x（在x0=0可导）,g(x)=1/x（在x0=0不可导，分母为0）###-###&gt;&gt;&gt;f(x,y)=x（偏导数存在）,g(x,y)=1/x（在x=0偏导数不存在，分母为0）###-###&gt;&gt;&gt;NA（若f(x)在区间连续且f≠0，则g=1/f必连续，连续函数倒数在非零点连续）###-###&gt;&gt;&gt;f(x,y)=x²+y²+1（可微）,g(x,y)=1/(x²+y²+1)（可微）###-###&gt;&gt;&gt;NA（若f(x)在x→x0极限存在且f≠0，则g=1/f极限必存在，为1/limf(x)）###-###&gt;&gt;&gt;NA（若f(x,y)连续且f≠0，则g=1/f必连续，连续性定理）###-###&gt;&gt;&gt;NA（若f(x)周期T，则g=1/f必周期T，因f(x+T)=f(x)⇒g(x+T)=g(x)）###-###&gt;&gt;&gt;NA（若f(x)可积且f≠0，则g=1/f可能不可积，如f(x)=x在[-1,1]可积，g=1/x不可积）###-###&gt;&gt;&gt;f(x,y)=x²+y²+1（二阶偏导连续）,g(x,y)=1/(x²+y²+1)（二阶偏导连续）###-###&gt;&gt;&gt;NA（若f(x)是奇函数且f≠0，则g=1/f必为奇函数，因1/f(-x)=-1/f(x)）###-###&gt;&gt;&gt;NA（若f(x)是偶函数且f≠0，则g=1/f必为偶函数，因1/f(-x)=1/f(x)）###-###&gt;&gt;&gt;f(x)=x+1（在x=0切线存在）,g(x)=1/(x+1)（在x=0切线存在，导数为-1）###-###&gt;&gt;&gt;f(x)=1/x²（无穷积分∫1/x²dx收敛）,g(x)=x²（无穷积分∫x²dx发散，因被积函数趋于无穷）###-</t>
  </si>
  <si>
    <t>11：###&gt;&gt;&gt;NA（若f(x)可导且f≠0，则g=1/f必可导，导数为-f’/f²，故无法构造f可导但g不可导的11情况）###-###&gt;&gt;&gt;NA（若f(x,y)偏导数存在且f≠0，则g=1/f偏导数必存在，偏导公式保证）###-###&gt;&gt;&gt;NA（若f(x)连续且f≠0，则g=1/f必连续，连续函数倒数性质）###-###&gt;&gt;&gt;NA（若f(x,y)可微且f≠0，则g=1/f必可微，复合函数可微性）###-###&gt;&gt;&gt;NA（若f(x)极限存在且f≠0，则g=1/f极限必存在，极限运算性质）###-###&gt;&gt;&gt;NA（若f(x,y)连续且f≠0，则g=1/f必连续，同连续性逻辑）###-###&gt;&gt;&gt;NA（若f(x)周期T，则g=1/f必周期T，周期函数性质）###-###&gt;&gt;&gt;NA（若f(x)可积且f≠0，则g=1/f可能不可积，如f(x)=x在[-1,1]可积，g=1/x不可积）###-###&gt;&gt;&gt;NA（若f(x,y)二阶偏导连续且f≠0，则g=1/f二阶偏导必连续，导数连续性传递）###-###&gt;&gt;&gt;NA（若f(x)是奇函数且f≠0，则g=1/f必为奇函数，奇偶性保持）###-###&gt;&gt;&gt;NA（若f(x)是偶函数且f≠0，则g=1/f必为偶函数，奇偶性保持）###-###&gt;&gt;&gt;NA（若f(x)在x0切线存在且f≠0，则g=1/f在x0切线存在，导数公式保证）###-###&gt;&gt;&gt;NA（若f(x)反常积分收敛且f≠0，则g=1/f反常积分必发散，因f→0时1/f→∞或f→c≠0时1/f不趋于0）###-</t>
  </si>
  <si>
    <t>平方（f(x)²=g(x)或f(x,y)²=g(x,y)）</t>
  </si>
  <si>
    <t>00：###&gt;&gt;&gt;f(x)=分段{x,x≠0;1,x=0}（在x=0不可导）,g(x)=分段{x²,x≠0;1,x=0}（在x=0不可导）###-###&gt;&gt;&gt;f(x,y)=|x|+|y|（在(0,0)偏导数不存在）,g(x,y)=(|x|+|y|)²（在(0,0)偏导数不存在）###-###&gt;&gt;&gt;f(x)=分段{1,x≥0;0,x&lt;0}（在x=0不连续）,g(x)=分段{1,x≥0;0,x&lt;0}（在x=0不连续）###-###&gt;&gt;&gt;f(x,y)=分段{1,x≥0;0,x&lt;0}（在x=0不可微）,g(x,y)=分段{1,x≥0;0,x&lt;0}（在x=0不可微）###-###&gt;&gt;&gt;f(x)=分段{sin(1/x),x≠0;0,x=0}（x→0极限不存在）,g(x)=分段{sin²(1/x),x≠0;0,x=0}（x→0极限不存在）###-###&gt;&gt;&gt;f(x,y)=分段{1,xy≠0;0,xy=0}（在(0,0)不连续）,g(x,y)=分段{1,xy≠0;0,xy=0}（在(0,0)不连续）###-###&gt;&gt;&gt;f(x)=x+1（非周期函数）,g(x)=(x+1)²（非周期函数）###-###&gt;&gt;&gt;f(x)=狄利克雷函数（不可积）,g(x)=分段{1,x∈Q;0,x∉Q}（不可积）###-###&gt;&gt;&gt;f(x,y)=x²y/(x⁴+y²)（在(0,0)二阶偏导不连续）,g(x,y)=[x²y/(x⁴+y²)]²（在(0,0)二阶偏导不连续）###-###&gt;&gt;&gt;f(x)=x+1（非奇函数）,g(x)=(x+1)²（非奇函数）###-###&gt;&gt;&gt;f(x)=x+1（非偶函数）,g(x)=(x+1)²（非偶函数）###-###&gt;&gt;&gt;f(x)=分段{x,x≥0;2x,x&lt;0}（在x=0无切线）,g(x)=分段{x²,x≥0;4x²,x&lt;0}（在x=0无切线）###-###&gt;&gt;&gt;f(x)=1/x（无穷积分∫1/xdx从1到∞发散）,g(x)=1/x²（无穷积分∫1/x²dx从1到∞收敛）###-</t>
  </si>
  <si>
    <t>01：###&gt;&gt;&gt;NA（若f(x)在x0处不可导且不连续，则g(x)=f(x)²在x0处因函数值跳跃而不连续，必然不可导，故无法构造此情形）###-###&gt;&gt;&gt;f(x,y)=|x|（在(0,0)处对x的偏导数不存在）,g(x,y)=|x|²=x²（在(0,0)处对x的偏导数存在，为0）###-###&gt;&gt;&gt;NA（若f(x)在x0处不连续，则g(x)=f(x)²在x0处的左右极限必为f(x)左右极限的平方，若f(x)左右极限不等或与函数值不等，g(x)必不连续，故无法构造f不连续但g连续的情形）###-###&gt;&gt;&gt;f(x,y)=|x|（在(0,0)处不可微，因对x的偏导数不存在）,g(x,y)=|x|²=x²（在(0,0)处可微，因偏导数存在且满足全微分条件）###-###&gt;&gt;&gt;f(x)=分段{1,x&gt;0;-1,x&lt;0;0,x=0}（x→0时左极限为-1，右极限为1，极限不存在，不满足性质E）,g(x)=f(x)²=分段{1,x≠0;0,x=0}（x→0时左右极限均为1，极限存在，满足性质E）###-###&gt;&gt;&gt;f(x,y)=分段{2,xy≠0;0,xy=0}（在(0,0)处不连续，不满足性质F），g(x,y)=4（在(0,0)处连续，满足性质F）###-###&gt;&gt;&gt;f(x)=|sin(x)|,g(x)=sin(x)²###-###&gt;&gt;&gt;f(x)=分段{1,x∈Q;-1,x∉Q}（不可积）,g(x)=分段{1,x∈Q;1,x∉Q}（可积，因g几乎处处为1，满足黎曼可积的“几乎处处连续”条件）###-###&gt;&gt;&gt;NA（f(x,y)在(0,0)处二阶偏导不连续，其平方后g(x,y)=[x²y/(x⁴+y²)]²在该点附近沿不同路径（如y=kx²）极限值随k变化而不同，导致g(x,y)在(0,0)处不连续，进而二阶偏导必不连续，无法满足性质I）###-###&gt;&gt;&gt;NA（若f(x)非奇函数，g(x)=f²(x)可能为偶函数，如f(x)=x+1非奇函数，g(x)=(x+1)²非奇函数，无法使g为奇函数）###-###&gt;&gt;&gt;f(x)=x（非偶函数，不满足性质K），g(x)=x²（偶函数，满足性质K）###-###&gt;&gt;&gt;f(x)=|x|（在x=0处无切线，不满足性质L），g(x)=x²（在x=0处切线为y=0，满足性质L）###-###&gt;&gt;&gt;f(x)=1/x（无穷积分∫1/xdx从1到∞发散）,g(x)=1/x²（无穷积分∫1/x²dx从1到∞收敛）###-</t>
  </si>
  <si>
    <t>10：###&gt;&gt;&gt;f(x)=x（在x=0可导）,g(x)=x²（在x=0可导）###-###&gt;&gt;&gt;f(x,y)=x（偏导数存在）,g(x,y)=x²（偏导数存在）###-###&gt;&gt;&gt;NA（若f(x)连续，则g(x)=f²(x)必连续）###-###&gt;&gt;&gt;f(x,y)=x（可微）,g(x,y)=x²（可微）###-###&gt;&gt;&gt;NA（若f(x)在x→x0极限存在，则g(x)=f²(x)极限必存在）###-###&gt;&gt;&gt;NA（若f(x,y)连续，则g(x,y)=f²(x,y)必连续）###-###&gt;&gt;&gt;NA（若f(x)周期T，则g(x)=f²(x)周期≤T，如f(x)=sinx周期2π，g(x)=sin²x也有周期2π）###-###&gt;&gt;&gt;NA（若f(x)可积，则g(x)=f²(x)必可积）###-###&gt;&gt;&gt;f(x,y)=x³（二阶偏导连续）,g(x,y)=x⁶（二阶偏导连续）###-###&gt;&gt;&gt;f(x)=x（奇函数）,g(x)=x²（偶函数）###-###&gt;&gt;&gt;f(x)=x²（偶函数）,g(x)=x⁴（偶函数）###-###&gt;&gt;&gt;f(x)=x（在x=0切线存在）,g(x)=x²（在x=0切线存在）###-###&gt;&gt;&gt;f(x)=1/x²（无穷积分∫1/x²dx从1到∞收敛）,g(x)=1/x⁴（无穷积分∫1/x⁴dx从1到∞收敛）###-</t>
  </si>
  <si>
    <t>11：###&gt;&gt;&gt;f(x)=x²（二阶可导）,g(x)=x⁴（二阶可导）###-###&gt;&gt;&gt;f(x,y)=x²+y²（偏导数存在）,g(x,y)=(x²+y²)²（偏导数存在）###-###&gt;&gt;&gt;f(x)=x（连续）,g(x)=x²（连续）###-###&gt;&gt;&gt;f(x,y)=x（可微）,g(x,y)=x²（可微）###-###&gt;&gt;&gt;f(x)=x（极限存在）,g(x)=x²（极限存在）###-###&gt;&gt;&gt;f(x,y)=x+y（连续）,g(x,y)=(x+y)²（连续）###-###&gt;&gt;&gt;f(x)=sinx周期2π，g(x)=sin²x也有周期2π###-###&gt;&gt;&gt;f(x)=1（可积）,g(x)=1（可积）###-###&gt;&gt;&gt;f(x,y)=x⁴+y⁴（二阶偏导连续）,g(x,y)=(x⁴+y⁴)²（二阶偏导连续）###-###&gt;&gt;&gt;f(x)=x（奇函数）,g(x)=x²（偶函数）###-###&gt;&gt;&gt;f(x)=x²（偶函数）,g(x)=x⁴（偶函数）###-###&gt;&gt;&gt;f(x)=x（在x=0切线存在）,g(x)=x²（在x=0切线存在）###-###&gt;&gt;&gt;f(x)=e^(-x)（无穷积分∫e^(-x)dx从0到∞收敛）,g(x)=e^(-2x)（无穷积分∫e^(-2x)dx从0到∞收敛）###-</t>
  </si>
  <si>
    <t>立方（f(x)³=g(x)或f(x,y)³=g(x,y)）</t>
  </si>
  <si>
    <t>00：###&gt;&gt;&gt;f(x)=|x|（在x=0不可导）,g(x)=|x|³（在x=0不可导，因左右导数均为0但f'''(0)不存在）###-###&gt;&gt;&gt;f(x,y)=|x|+|y|（在(0,0)偏导数不存在）,g(x,y)=(|x|+|y|)³（在(0,0)偏导数不存在）###-###&gt;&gt;&gt;f(x)=分段{1,x≥0;0,x&lt;0}（在x=0不连续）,g(x)=分段{1,x≥0;0,x&lt;0}（在x=0不连续）###-###&gt;&gt;&gt;f(x,y)=分段{1,x≥0;0,x&lt;0}（在x=0不可微）,g(x,y)=分段{1,x≥0;0,x&lt;0}（在x=0不可微）###-###&gt;&gt;&gt;f(x)=分段{sin(1/x),x≠0;0,x=0}（x→0极限不存在）,g(x)=分段{sin³(1/x),x≠0;0,x=0}（x→0极限不存在）###-###&gt;&gt;&gt;f(x,y)=分段{1,xy≠0;0,xy=0}（在(0,0)不连续）,g(x,y)=分段{1,xy≠0;0,xy=0}（在(0,0)不连续）###-###&gt;&gt;&gt;f(x)=x+1（非周期函数）,g(x)=(x+1)³（非周期函数）###-###&gt;&gt;&gt;f(x)=狄利克雷函数（不可积）,g(x)=分段{1,x∈Q;0,x∉Q}（不可积）###-###&gt;&gt;&gt;f(x,y)=x²y/(x⁴+y²)（在(0,0)二阶偏导不连续）,g(x,y)=[x²y/(x⁴+y²)]³（在(0,0)二阶偏导不连续）###-###&gt;&gt;&gt;f(x)=x+1（非奇函数）,g(x)=(x+1)³（非奇函数）###-###&gt;&gt;&gt;f(x)=x+1（非偶函数）,g(x)=(x+1)³（非偶函数）###-###&gt;&gt;&gt;f(x)=分段{x,x≥0;2x,x&lt;0}（在x=0无切线）,g(x)=分段{x³,x≥0;8x³,x&lt;0}（在x=0无切线）###-###&gt;&gt;&gt;f(x)=1/x（无穷积分∫1/xdx从1到∞发散）,g(x)=1/x³（无穷积分∫1/x³dx从1到∞收敛）###-</t>
  </si>
  <si>
    <t>01：###&gt;&gt;&gt;NA（若f(x)在x0不可导，则g(x)=f³(x)在x0仍不可导，如f(x)=|x|，g(x)=|x|³不可导）###-###&gt;&gt;&gt;NA（若f(x,y)在某点偏导数不存在，则g(x)=f³(x,y)偏导数仍不存在，如f(x,y)=|x|+|y|）###-###&gt;&gt;&gt;NA（若f(x)在x0不连续，则g(x)=f³(x)在x0必不连续，因连续性要求极限等于函数值）###-###&gt;&gt;&gt;NA（若f(x,y)在某点不可微，则g(x)=f³(x,y)不可微，因可微性要求偏导存在且满足全微分条件）###-###&gt;&gt;&gt;NA（若f(x)在x→x0极限不存在，则g(x)=f³(x)极限必不存在，因极限运算性质）###-###&gt;&gt;&gt;NA（若f(x,y)在某点不连续，则g(x)=f³(x,y)必不连续，同连续性逻辑）###-###&gt;&gt;&gt;NA（非周期函数立方仍为非周期函数，无法使g为周期函数）###-###&gt;&gt;&gt;NA（若f(x)不可积，则g(x)=f³(x)仍不可积，如狄利克雷函数）###-###&gt;&gt;&gt;NA（若f(x,y)二阶偏导不连续，则g(x)=f³(x,y)的二阶偏导依赖f的导数连续性，必不连续）###-###&gt;&gt;&gt;NA（若f(x)非奇函数，则g(x)=f³(x)仍非奇函数，如f(x)=x+1）###-###&gt;&gt;&gt;NA（若f(x)非偶函数，则g(x)=f³(x)仍非偶函数，如f(x)=x+1）###-###&gt;&gt;&gt;NA（若f(x)在x0无切线，则g(x)=f³(x)在x0无定义或导数不存在，无切线）###-###&gt;&gt;&gt;f(x)=1/x（无穷积分∫1/xdx从1到∞发散）,g(x)=1/x³（无穷积分∫1/x³dx从1到∞收敛）###-</t>
  </si>
  <si>
    <t>10：###&gt;&gt;&gt;f(x)=x（在x=0可导）,g(x)=x³（在x=0可导）###-###&gt;&gt;&gt;f(x,y)=x（偏导数存在）,g(x,y)=x³（偏导数存在）###-###&gt;&gt;&gt;NA（若f(x)在区间连续，则g(x)=f³(x)必连续，因连续函数的立方仍连续）###-###&gt;&gt;&gt;f(x,y)=x（可微）,g(x,y)=x³（可微）###-###&gt;&gt;&gt;NA（若f(x)在x→x0极限存在，则g(x)=f³(x)极限必存在，为[limf(x)]³）###-###&gt;&gt;&gt;NA（若f(x,y)连续，则g(x)=f³(x,y)必连续，同连续性定理）###-###&gt;&gt;&gt;NA（若f(x)周期T，则g(x)=f³(x)必周期T，因f(x+T)=f(x)⇒g(x+T)=g(x)）###-###&gt;&gt;&gt;NA（若f(x)可积，则g(x)=f³(x)必可积，因可积函数的立方仍可积）###-###&gt;&gt;&gt;f(x,y)=x³（二阶偏导连续）,g(x,y)=x⁹（二阶偏导连续）###-###&gt;&gt;&gt;f(x)=x（奇函数）,g(x)=x³（奇函数）###-###&gt;&gt;&gt;f(x)=x²（偶函数）,g(x)=x⁶（偶函数）###-###&gt;&gt;&gt;f(x)=x（在x=0切线存在）,g(x)=x³（在x=0切线存在）###-###&gt;&gt;&gt;f(x)=1/x²（无穷积分∫1/x²dx从1到∞收敛）,g(x)=1/x⁶（无穷积分∫1/x⁶dx从1到∞收敛）###-</t>
  </si>
  <si>
    <t>11：###&gt;&gt;&gt;f(x)=x²（二阶可导）,g(x)=x⁶（二阶可导）###-###&gt;&gt;&gt;f(x,y)=x²+y²（偏导数存在）,g(x,y)=(x²+y²)³（偏导数存在）###-###&gt;&gt;&gt;f(x)=x（连续）,g(x)=x³（连续）###-###&gt;&gt;&gt;f(x,y)=x（可微）,g(x,y)=x³（可微）###-###&gt;&gt;&gt;f(x)=x（极限存在）,g(x)=x³（极限存在）###-###&gt;&gt;&gt;f(x,y)=x+y（连续）,g(x,y)=(x+y)³（连续）###-###&gt;&gt;&gt;NA（若f(x)周期T，则g(x)=f³(x)周期T，但g(x)=sin³x周期2π与f(x)=sinx周期2π相同，符合原周期定义）###-###&gt;&gt;&gt;f(x)=1（可积）,g(x)=1（可积）###-###&gt;&gt;&gt;f(x,y)=x⁴+y⁴（二阶偏导连续）,g(x,y)=(x⁴+y⁴)³（二阶偏导连续）###-###&gt;&gt;&gt;f(x)=x（奇函数）,g(x)=x³（奇函数）###-###&gt;&gt;&gt;f(x)=x²（偶函数）,g(x)=x⁶（偶函数）###-###&gt;&gt;&gt;f(x)=x（在x=0切线存在）,g(x)=x³（在x=0切线存在）###-###&gt;&gt;&gt;f(x)=e^(-x)（无穷积分∫e^(-x)dx从0到∞收敛）,g(x)=e^(-3x)（无穷积分∫e^(-3x)dx从0到∞收敛）###-</t>
  </si>
  <si>
    <t>平方根（sqrt(f(x))=g(x)或sqrt(f(x,y))=g(x,y)）</t>
  </si>
  <si>
    <t>00：###&gt;&gt;&gt;f(x)=|x|（在x=0不可导）,g(x)=sqrt(|x|)（在x=0不可导，导数为无穷大）###-###&gt;&gt;&gt;f(x,y)=|x|+|y|（在(0,0)偏导数不存在）,g(x,y)=sqrt(|x|+|y|)（在(0,0)偏导数不存在）###-###&gt;&gt;&gt;f(x)=分段{1,x≥0;0,x&lt;0}（在x=0不连续）,g(x)=分段{1,x≥0;0,x&lt;0}（在x=0不连续）###-###&gt;&gt;&gt;f(x,y)=分段{1,x≥0;0,x&lt;0}（在x=0不可微）,g(x,y)=分段{1,x≥0;0,x&lt;0}（在x=0不可微）###-###&gt;&gt;&gt;f(x)=分段{sin²(1/x),x≠0;0,x=0}（x→0极限不存在）,g(x)=分段{|sin(1/x)|,x≠0;0,x=0}（x→0极限不存在）###-###&gt;&gt;&gt;f(x,y)=分段{1,xy≠0;0,xy=0}（在(0,0)不连续）,g(x,y)=分段{1,xy≠0;0,xy=0}（在(0,0)不连续）###-###&gt;&gt;&gt;f(x)=x²+1（非周期函数）,g(x)=sqrt(x²+1)（非周期函数）###-###&gt;&gt;&gt;f(x)=狄利克雷函数（不可积）,g(x)=分段{1,x∈Q;0,x∉Q}（不可积）###-###&gt;&gt;&gt;f(x,y)=x²y²/(x⁴+y⁴)（在(0,0)二阶偏导不连续）,g(x,y)=|xy|/sqrt(x⁴+y⁴)（在(0,0)二阶偏导不连续）###-###&gt;&gt;&gt;f(x)=x²（偶函数）,g(x)=|x|（偶函数）###-###&gt;&gt;&gt;f(x)=x²+1（非奇函数）,g(x)=sqrt(x²+1)（非奇函数）###-###&gt;&gt;&gt;f(x)=分段{x²,x≥0;2x²,x&lt;0}（在x=0无切线）,g(x)=分段{|x|,x≥0;|x|sqrt(2),x&lt;0}（在x=0无切线）###-###&gt;&gt;&gt;f(x)=1/x⁴（无穷积分∫1/x⁴dx从1到∞收敛）,g(x)=1/x²（无穷积分∫1/x²dx从1到∞收敛）###-</t>
  </si>
  <si>
    <t>01：###&gt;&gt;&gt;NA（若f(x)在x0不可导且f(x0)&gt;0，则g(x)=sqrt(f(x))在x0可能仍不可导，如f(x)=|x|，g(x)=sqrt(|x|)不可导）###-###&gt;&gt;&gt;NA（若f(x,y)在某点偏导数不存在且f&gt;0，则g=sqrt(f)偏导数仍不存在，如f(x,y)=|x|+|y|）###-###&gt;&gt;&gt;NA（若f(x)在x0不连续且f(x0)≥0，则g=sqrt(f)在x0必不连续，因连续性要求极限等于函数值）###-###&gt;&gt;&gt;NA（若f(x,y)在某点不可微且f&gt;0，则g=sqrt(f)不可微，因可微性要求偏导存在且满足全微分条件）###-###&gt;&gt;&gt;NA（若f(x)在x→x0极限不存在且f(x)≥0，则g=sqrt(f)极限必不存在，因极限运算性质）###-###&gt;&gt;&gt;NA（若f(x,y)在某点不连续且f≥0，则g=sqrt(f)必不连续，同连续性逻辑）###-###&gt;&gt;&gt;NA（非周期函数的平方根仍为非周期函数，无法使g为周期函数）###-###&gt;&gt;&gt;NA（若f(x)不可积且f(x)≥0，则g=sqrt(f)可能仍不可积，如狄利克雷函数）###-###&gt;&gt;&gt;NA（若f(x,y)二阶偏导不连续且f&gt;0，则g=sqrt(f)的二阶偏导依赖f的导数连续性，必不连续）###-###&gt;&gt;&gt;NA（若f(x)非偶函数且f(x)≥0，则g=sqrt(f)可能仍非偶函数，如f(x)=x²+1）###-###&gt;&gt;&gt;NA（若f(x)非奇函数且f(x)≥0，则g=sqrt(f)可能仍非奇函数，如f(x)=x²+1）###-###&gt;&gt;&gt;NA（若f(x)在x0无切线且f(x0)&gt;0，则g=sqrt(f)在x0无定义或导数不存在，无切线）###-###&gt;&gt;&gt;f(x)=1/x⁴（无穷积分∫1/x⁴dx从1到∞收敛）,g(x)=1/x²（无穷积分∫1/x²dx从1到∞收敛）###-</t>
  </si>
  <si>
    <t>10：###&gt;&gt;&gt;f(x)=x²（在x=0可导）,g(x)=|x|（在x=0不可导）###-###&gt;&gt;&gt;f(x,y)=x²+y²（偏导数存在）,g(x)=sqrt(x²+y²)（在(0,0)偏导数不存在）###-###&gt;&gt;&gt;NA（若f(x)在区间连续且f(x)≥0，则g=sqrt(f)必连续，因连续函数的平方根仍连续）###-###&gt;&gt;&gt;f(x,y)=x²+y²（可微）,g(x)=sqrt(x²+y²)（在(0,0)不可微）###-###&gt;&gt;&gt;NA（若f(x)在x→x0极限存在且f(x)≥0，则g=sqrt(f)极限必存在，为sqrt(limf(x))）###-###&gt;&gt;&gt;NA（若f(x,y)连续且f(x,y)≥0，则g=sqrt(f)必连续，同连续性定理）###-###&gt;&gt;&gt;NA（若f(x)周期T，则g=sqrt(f)周期≤T，如f(x)=sin²x周期π，g(x)=|sinx|周期π）###-###&gt;&gt;&gt;NA（若f(x)可积且f(x)≥0，则g=sqrt(f)必可积，因可积函数的平方根仍可积）###-###&gt;&gt;&gt;f(x,y)=x⁴+y⁴（二阶偏导连续）,g(x)=sqrt(x⁴+y⁴)（在(0,0)二阶偏导不连续）###-###&gt;&gt;&gt;f(x)=x²（偶函数）,g(x)=|x|（偶函数）###-###&gt;&gt;&gt;f(x)=x²（偶函数）,g(x)=|x|（偶函数）###-###&gt;&gt;&gt;f(x)=x²（在x=0切线存在）,g(x)=|x|（在x=0无切线）###-###&gt;&gt;&gt;f(x)=1/x⁴（无穷积分∫1/x⁴dx从1到∞收敛）,g(x)=1/x²（无穷积分∫1/x²dx从1到∞收敛）###-</t>
  </si>
  <si>
    <t>11：###&gt;&gt;&gt;NA（若f(x)在x0二阶可导且f(x0)&gt;0，则g=sqrt(f)在x0的二阶导数可能不存在，如f(x)=x²，g=|x|二阶导数不存在）###-###&gt;&gt;&gt;NA（若f(x,y)在某点偏导数存在且f&gt;0，则g=sqrt(f)偏导数可能不存在，如f(x,y)=x²+y²）###-###&gt;&gt;&gt;NA（若f(x)在区间连续且f(x)≥0，则g=sqrt(f)必连续，因连续函数的平方根仍连续）###-###&gt;&gt;&gt;NA（若f(x,y)在某点可微且f&gt;0，则g=sqrt(f)可能不可微，如f(x,y)=x²+y²）###-###&gt;&gt;&gt;NA（若f(x)在x→x0极限存在且f(x)≥0，则g=sqrt(f)极限必存在，为sqrt(limf(x))）###-###&gt;&gt;&gt;NA（若f(x,y)连续且f(x,y)≥0，则g=sqrt(f)必连续，同连续性定理）###-###&gt;&gt;&gt;NA（若f(x)周期T，则g=sqrt(f)周期≤T，如f(x)=sin²x周期π，g(x)=|sinx|周期π）###-###&gt;&gt;&gt;NA（若f(x)可积且f(x)≥0，则g=sqrt(f)必可积，因可积函数的平方根仍可积）###-###&gt;&gt;&gt;NA（若f(x,y)二阶偏导连续且f&gt;0，则g=sqrt(f)的二阶偏导可能不连续，如f(x,y)=x⁴+y⁴）###-###&gt;&gt;&gt;NA（若f(x)是偶函数且f(x)≥0，则g=sqrt(f)必为偶函数，因sqrt(f(-x))=sqrt(f(x))）###-###&gt;&gt;&gt;NA（若f(x)是偶函数且f(x)≥0，则g=sqrt(f)必为偶函数，同上）###-###&gt;&gt;&gt;NA（若f(x)在x0切线存在且f(x0)&gt;0，则g=sqrt(f)在x0可能无切线，如f(x)=x²）###-###&gt;&gt;&gt;NA（若f(x)为反常积分收敛且f(x)≥0，则g=sqrt(f)的反常积分可能发散，如f(x)=1/x⁴收敛，g=1/x²发散）###-</t>
  </si>
  <si>
    <t>立方根（curt(f(x))=g(x)或curt(f(x,y))=g(x,y)）</t>
  </si>
  <si>
    <t>00：###&gt;&gt;&gt;f(x)=|x|（在x=0不可导）,g(x)=curt(|x|)（在x=0导数为无穷大，不可导）###-###&gt;&gt;&gt;f(x,y)=|x|+|y|（在(0,0)偏导数不存在）,g(x,y)=curt(|x|+|y|)（在(0,0)偏导数不存在）###-###&gt;&gt;&gt;f(x)=分段{1,x≥0;0,x&lt;0}（在x=0不连续）,g(x)=分段{curt(1),x≥0;curt(0),x&lt;0}={1,x≥0;0,x&lt;0}（在x=0不连续）###-###&gt;&gt;&gt;f(x,y)=分段{1,x≥0;0,x&lt;0}（在x=0不可微）,g(x,y)=分段{1,x≥0;0,x&lt;0}（在x=0不可微）###-###&gt;&gt;&gt;f(x)=分段{sin(1/x),x≠0;0,x=0}（x→0极限不存在）,g(x)=分段{curt(sin(1/x)),x≠0;0,x=0}（x→0极限不存在）###-###&gt;&gt;&gt;f(x,y)=分段{1,xy≠0;0,xy=0}（在(0,0)不连续）,g(x,y)=分段{1,xy≠0;0,xy=0}（在(0,0)不连续）###-###&gt;&gt;&gt;f(x)=x+1（非周期函数）,g(x)=curt(x+1)（非周期函数）###-###&gt;&gt;&gt;f(x)=狄利克雷函数（不可积）,g(x)=分段{1,x∈Q;0,x∉Q}（不可积）###-###&gt;&gt;&gt;f(x,y)=x²y/(x⁴+y²)（在(0,0)二阶偏导不连续）,g(x,y)=curt(x²y/(x⁴+y²))（在(0,0)二阶偏导不连续）###-###&gt;&gt;&gt;f(x)=x²+1（非奇函数）,g(x)=curt(x²+1)（非奇函数）###-###&gt;&gt;&gt;f(x)=x+1（非偶函数）,g(x)=curt(x+1)（非偶函数）###-###&gt;&gt;&gt;f(x)=|x|（在x=0无切线）,g(x)=curt(|x|)（在x=0无切线，导数无穷大）###-###&gt;&gt;&gt;f(x)=1/x（无穷积分∫1/xdx从1到∞发散）,g(x)=1/x^(1/3)（无穷积分∫1/x^(1/3)dx从1到∞发散）###-</t>
  </si>
  <si>
    <t>01：###&gt;&gt;&gt;NA（若f(x)在x0不可导且f(x0)≠0，g(x)=curt(f(x))在x0可能仍不可导，如f(x)=|x|，g(x)不可导）###-###&gt;&gt;&gt;NA（若f(x,y)在某点偏导数不存在且f≠0，g=curt(f)偏导数仍不存在，如f(x,y)=|x|+|y|）###-###&gt;&gt;&gt;NA（若f(x)在x0不连续，则g=curt(f)在x0必不连续，因f极限不存在则g极限也不存在）###-###&gt;&gt;&gt;NA（若f(x,y)在某点不可微且f≠0，则g=curt(f)不可微，因偏导不存在）###-###&gt;&gt;&gt;NA（若f(x)在x→x0极限不存在，则g=curt(f)极限必不存在，因立方根保持极限不存在性）###-###&gt;&gt;&gt;NA（若f(x,y)在某点不连续，则g=curt(f)必不连续，同极限逻辑）###-###&gt;&gt;&gt;NA（非周期函数的立方根仍为非周期函数，无法使g为周期函数）###-###&gt;&gt;&gt;NA（若f(x)不可积且f(x)为有界函数，则g=curt(f)可能仍不可积，如狄利克雷函数）###-###&gt;&gt;&gt;NA（若f(x,y)二阶偏导不连续且f≠0，则g=curt(f)的二阶偏导依赖f的导数连续性，必不连续）###-###&gt;&gt;&gt;NA（若f(x)非奇函数且f(x)≠-f(-x)，则g=curt(f)可能仍非奇函数，如f(x)=x²+1）###-###&gt;&gt;&gt;NA（若f(x)非偶函数且f(x)≠f(-x)，则g=curt(f)可能仍非偶函数，如f(x)=x+1）###-###&gt;&gt;&gt;NA（若f(x)在x0无切线且f(x0)≠0，则g=curt(f)在x0无定义或导数不存在，无切线）###-###&gt;&gt;&gt;f(x)=1/x³（无穷积分∫1/x³dx从1到∞收敛）,g(x)=1/x（无穷积分∫1/xdx从1到∞发散）###-</t>
  </si>
  <si>
    <t>10：###&gt;&gt;&gt;f(x)=x²（在x=0可导）,g(x)=curt(x²)=|x|^(2/3)（在x=0导数不存在）###-###&gt;&gt;&gt;f(x,y)=x²+y²（偏导数存在）,g(x,y)=curt(x²+y²)（在(0,0)偏导数存在但二阶偏导不连续）###-###&gt;&gt;&gt;NA（若f(x)连续，则g=curt(f)必连续，因立方根函数连续）###-###&gt;&gt;&gt;f(x,y)=x³（可微）,g(x,y)=x（可微）###-###&gt;&gt;&gt;NA（若f(x)在x→x0极限存在，则g=curt(f)极限必存在，为curt(limf(x))）###-###&gt;&gt;&gt;NA（若f(x,y)连续，则g=curt(f)必连续，同连续性定理）###-###&gt;&gt;&gt;NA（若f(x)周期T，则g=curt(f)必周期T，因f(x+T)=f(x)⇒g(x+T)=g(x)）###-###&gt;&gt;&gt;NA（若f(x)可积，则g=curt(f)必可积，因可积函数的立方根仍可积（有界时））###-###&gt;&gt;&gt;f(x,y)=x⁶+y⁶（二阶偏导连续）,g(x,y)=x²+y²（二阶偏导连续）###-###&gt;&gt;&gt;f(x)=x³（奇函数）,g(x)=x（奇函数）###-###&gt;&gt;&gt;f(x)=x⁶（偶函数）,g(x)=x²（偶函数）###-###&gt;&gt;&gt;f(x)=x³（在x=0切线存在）,g(x)=x（在x=0切线存在）###-###&gt;&gt;&gt;f(x)=1/x⁶（无穷积分∫1/x⁶dx从1到∞收敛）,g(x)=1/x²（无穷积分∫1/x²dx从1到∞收敛）###-</t>
  </si>
  <si>
    <t>11：###&gt;&gt;&gt;f(x)=x³（二阶可导）,g(x)=x（二阶可导）###-###&gt;&gt;&gt;f(x,y)=x³+y³（偏导数存在）,g(x,y)=x+y（偏导数存在）###-###&gt;&gt;&gt;f(x)=x（连续）,g(x)=curt(x)（连续）###-###&gt;&gt;&gt;f(x,y)=x³+y³（可微）,g(x,y)=x+y（可微）###-###&gt;&gt;&gt;f(x)=x（极限存在）,g(x)=curt(x)（极限存在）###-###&gt;&gt;&gt;f(x,y)=x+y（连续）,g(x,y)=curt(x+y)（连续）###-###&gt;&gt;&gt;f(x)=sinx（周期2π）,g(x)=curt(sinx)（周期2π）###-###&gt;&gt;&gt;f(x)=1（可积）,g(x)=1（可积）###-###&gt;&gt;&gt;f(x,y)=x⁶+y⁶（二阶偏导连续）,g(x,y)=x²+y²（二阶偏导连续）###-###&gt;&gt;&gt;f(x)=x³（奇函数）,g(x)=x（奇函数）###-###&gt;&gt;&gt;f(x)=x⁶（偶函数）,g(x)=x²（偶函数）###-###&gt;&gt;&gt;f(x)=x³（在x=0切线存在）,g(x)=x（在x=0切线存在）###-###&gt;&gt;&gt;f(x)=e^(-3x)（无穷积分∫e^(-3x)dx从0到∞收敛）,g(x)=e^(-x)（无穷积分∫e^(-x)dx从0到∞收敛）###-</t>
  </si>
  <si>
    <t>向上取整（ceil(f(x))=g(x)或ceil(f(x,y))=g(x,y)）</t>
  </si>
  <si>
    <t>00：###&gt;&gt;&gt;f(x)=|x|（在x=0不可导）,g(x)=ceil(|x|)（在x=0不可导，因ceil(0)=0，ceil(|x|)在x→0+时为1，跳跃间断）###-###&gt;&gt;&gt;f(x,y)=|x|+|y|（在(0,0)偏导数不存在）,g(x,y)=ceil(|x|+|y|)（在(0,0)偏导数不存在，因(x,y)→(0,0)时g→1，跳跃）###-###&gt;&gt;&gt;f(x)=分段{0.5,x≥0;-0.5,x&lt;0}（在x=0处不连续，不满足性质C），g(x)=ceil(f(x))=分段{1,x≥0;0,x&lt;0}（在x=0处不连续，不满足性质C）###-###&gt;&gt;&gt;f(x,y)=分段{0.5,xy&lt;0;1.5,xy≥0}（在(0,0)不可微）,g(x,y)=分段{1,xy&lt;0;2,xy≥0}（在(0,0)不可微，跳跃）###-###&gt;&gt;&gt;f(x)=分段{sin(1/x),x≠0;0,x=0}（x→0极限不存在）,g(x)=分段{ceil(sin(1/x)),x≠0;0,x=0}（x→0极限不存在，因sin(1/x)在-1到1间震荡，ceil后在0到1间震荡）###-###&gt;&gt;&gt;f(x,y)=分段{1-|xy|,xy≠0;0,xy=0}（在(0,0)不连续）,g(x,y)=分段{1,xy≠0;0,xy=0}（在(0,0)不连续）###-###&gt;&gt;&gt;f(x)=x+sinx（非周期函数）,g(x)=ceil(x+sinx)（非周期函数，因x递增时g无重复周期）###-###&gt;&gt;&gt;f(x)=分段{1.5,x∈Q;1,x∉Q}（不可积，不满足性质H），g(x)=ceil(f(x))=分段{2,x∈Q;1,x∉Q}（不可积，不满足性质H）###-###&gt;&gt;&gt;f(x,y)=x²y/(x⁴+y²)+1（在(0,0)处二阶偏导不连续，不满足性质I），g(x,y)=ceil(x²y/(x⁴+y²)+1)（在(0,0)处因沿y=kx²路径时f(x,y)趋近于1+k/(1+k²)，其值在(1,2)内波动，导致g(x,y)在1和2之间跳跃，二阶偏导不连续，不满足性质I）###-###&gt;&gt;&gt;f(x)=x（奇函数）,g(x)=ceil(x)（非奇函数，如ceil(1)=1，ceil(-1)=-1，但ceil(0.5)=1，ceil(-0.5)=0，不满足f(-x)=-f(x)）###-###&gt;&gt;&gt;f(x)=x²（偶函数）,g(x)=ceil(x²)（偶函数，因ceil(x²)=ceil((-x)²)）###-###&gt;&gt;&gt;f(x)=x（在x=0切线存在）,g(x)=ceil(x)（在x=0无切线，因x=0处左右导数不存在，跳跃）###-###&gt;&gt;&gt;f(x)=1/x（无穷积分∫1/xdx发散）,g(x)=ceil(1/x)（x≥1时1/x∈(0,1]，ceil(1/x)=1，无穷积分∫1dx发散）###-</t>
  </si>
  <si>
    <t>01：###&gt;&gt;&gt;f(x)=|x|（在x=0不可导）,g(x)=ceil(|x|+0.5)（在x=0可导，因|x|+0.5∈(0.5,1.5)，ceil后为1，常数函数）###-###&gt;&gt;&gt;f(x,y)=|x|（在x=0偏导数不存在）,g(x,y)=ceil(|x|+0.5)（在x=0偏导数存在，因|x|+0.5∈(0.5,1.5)，ceil后为1，偏导为0）###-###&gt;&gt;&gt;f(x)=分段{2.2,x&lt;0;2.8,x≥0}（在x=0处不连续，不满足性质C），g(x)=ceil(f(x))=2（在x=0处连续，满足性质C）###-###&gt;&gt;&gt;f(x,y)=|x|（在x=0不可微）,g(x,y)=ceil(|x|+0.5)（在x=0可微，常数函数）###-###&gt;&gt;&gt;f(x)=分段{0.5,x&lt;0;1.5,x≥0}（x→0极限不存在）,g(x)=分段{1,x&lt;0;2,x≥0}（x→0极限不存在，NA）###-###&gt;&gt;&gt;f(x,y)=分段{0.5,xy&lt;0;1.5,xy≥0}（在(0,0)不连续）,g(x,y)=分段{1,xy&lt;0;2,xy≥0}（在(0,0)不连续，NA）###-###&gt;&gt;&gt;f(x)=|0.5*sin(x)|+0.5,g(x)=1###-###&gt;&gt;&gt;f(x)=狄利克雷函数（不可积）,g(x)=1（可积，因几乎处处为1）###-###&gt;&gt;&gt;f(x,y)=x²y²/(x⁴+y⁴)（在(0,0)处二阶偏导不连续，不满足性质I），g(x,y)=ceil(x²y²/(x⁴+y⁴))=0（在全平面二阶偏导连续，满足性质I，因x²y²/(x⁴+y⁴)≤0.5恒成立，向上取整后为0）###-###&gt;&gt;&gt;f(x)=x+1（非奇函数）,g(x)=ceil(x+1)（非奇函数，如ceil(1+1)=2，ceil(-1+1)=0）###-###&gt;&gt;&gt;f(x)=x+1（非偶函数）,g(x)=ceil(x+1)（非偶函数，如ceil(1+1)=2，ceil(-1+1)=0）###-###&gt;&gt;&gt;f(x)=|x|（在x=0无切线）,g(x)=ceil(|x|+0.5)（在x=0有切线，常数函数导数为0）###-###&gt;&gt;&gt;f(x)=1/x+1（x≥1时1/x+1∈(1,2]，无穷积分∫(1/x+1)dx发散）,g(x)=2（无穷积分∫2dx发散）###-</t>
  </si>
  <si>
    <t>10：###&gt;&gt;&gt;f(x)=x（在x=0可导）,g(x)=ceil(x)（在x=0不可导，因ceil(0)=0，ceil(x)在x→0+时为1，跳跃）###-###&gt;&gt;&gt;f(x,y)=x（偏导数存在）,g(x,y)=ceil(x)（在x=0偏导数不存在，跳跃）###-###&gt;&gt;&gt;NA（若f(x)连续，则g(x)=ceil(f(x))在f(x)为整数处可能不连续，如f(x)=x在x=1连续，g(1)=1，g(1-ε)=1，g(1+ε)=2，不连续）###-###&gt;&gt;&gt;f(x,y)=x（可微）,g(x,y)=ceil(x)（在x=0不可微，跳跃）###-###&gt;&gt;&gt;NA（若f(x)在x→x0极限存在，则g(x)=ceil(f(x))在f(x0)为整数时可能极限不存在，如f(x)=x→1，g(x)→2（x→1+）和1（x→1-））###-###&gt;&gt;&gt;NA（若f(x,y)连续，则g(x,y)=ceil(f(x,y))在f=整数处不连续，如f(x,y)=x+y在(0,1)连续，g(0,1)=1，g(0,1+ε)=2）###-###&gt;&gt;&gt;NA（若f(x)周期T，g(x)=ceil(f(x))周期必为T，因f(x+T)=f(x)⇒g(x+T)=g(x)，但g在整数点间断，仍为周期函数）###-###&gt;&gt;&gt;NA（若f(x)可积，g(x)=ceil(f(x))在f(x)值域不含整数时可积，如f(x)=x+0.5在[0,1]可积，g(x)=1可积，无法构造g不可积的例子）###-###&gt;&gt;&gt;f(x,y)=x³（二阶偏导连续）,g(x,y)=ceil(x³)（在x=0二阶偏导不存在，跳跃）###-###&gt;&gt;&gt;f(x)=x（奇函数）,g(x)=ceil(x)（非奇函数，如ceil(1)=1，ceil(-1)=-1，但ceil(0.5)=1，ceil(-0.5)=0≠-1）###-###&gt;&gt;&gt;f(x)=x²（偶函数）,g(x)=ceil(x²)（偶函数，因x²=(-x)²）###-###&gt;&gt;&gt;f(x)=x（在x=0切线存在）,g(x)=ceil(x)（在x=0无切线，跳跃）###-###&gt;&gt;&gt;f(x)=e^(-x)（无穷积分收敛）,g(x)=ceil(e^(-x))=1（无穷积分发散）###-</t>
  </si>
  <si>
    <t>11：###&gt;&gt;&gt;NA（若f(x)可导，则g(x)=ceil(f(x))在f(x)为整数处不可导，因跳跃，故无法构造f可导且g可导的11情况）###-###&gt;&gt;&gt;NA（若f(x,y)偏导数存在，则g(x,y)=ceil(f(x,y))在f为整数处偏导数不存在，跳跃）###-###&gt;&gt;&gt;NA（若f(x)连续，则g(x)=ceil(f(x))在f(x)为整数处不连续，无法同时连续）###-###&gt;&gt;&gt;NA（若f(x,y)可微，则g(x,y)=ceil(f(x,y))在f为整数处不可微，跳跃）###-###&gt;&gt;&gt;NA（若f(x)在x→x0极限存在，则g(x)=ceil(f(x))在f(x0)为整数时左右极限不同，极限不存在）###-###&gt;&gt;&gt;NA（若f(x,y)连续，则g(x,y)=ceil(f(x,y))在f为整数处不连续，无法同时连续）###-###&gt;&gt;&gt;f(x)=sinx（周期2π，满足性质G），g(x)=ceil(sinx)（周期2π，满足性质G）###-###&gt;&gt;&gt;NA（若f(x)可积，则g(x)=ceil(f(x))可能可积（如f(x)值域不含整数），但需f和g都可积，如f(x)=x+0.5在[0,1]可积，g(x)=1可积）###-###&gt;&gt;&gt;NA（若f(x,y)二阶偏导连续，则g(x,y)=ceil(f(x,y))在f为整数处二阶偏导不存在，跳跃）###-###&gt;&gt;&gt;NA（若f(x)是奇函数且g(x)=ceil(f(x))，则g(-x)=ceil(-f(x))≠-ceil(f(x))，如f(x)=x，g(-x)=ceil(-x)≠-ceil(x)）###-###&gt;&gt;&gt;NA（若f(x)是偶函数，则g(x)=ceil(f(x))是偶函数，因f(-x)=f(x)⇒g(-x)=g(x)，但需f和g都为偶函数，如f(x)=x²，g(x)=ceil(x²)）###-###&gt;&gt;&gt;NA（若f(x)在x0切线存在，则g(x)=ceil(f(x))在x0无切线，因跳跃）###-###&gt;&gt;&gt;NA（若f(x)反常积分收敛，则g(x)=ceil(f(x))因f(x)→0时ceil(f(x))在0附近为0或1，积分可能发散，如f(x)=e^(-x)收敛，g(x)=1（x≥0）发散）###-</t>
  </si>
  <si>
    <t>向下取整（floor(f(x))=g(x)或floor(f(x,y))=g(x,y)）</t>
  </si>
  <si>
    <t>00：###&gt;&gt;&gt;f(x)=|x|（在x=0不可导）,g(x)=floor(|x|)（在x=0不可导，跳跃间断）###-###&gt;&gt;&gt;f(x,y)=|x|+|y|（在(0,0)偏导数不存在）,g(x,y)=floor(|x|+|y|)（在(0,0)偏导数不存在，跳跃）###-###&gt;&gt;&gt;f(x)=分段{0.5,x&lt;0;1.5,x≥0}（在x=0不连续）,g(x)=分段{0,x&lt;0;1,x≥0}（在x=0不连续）###-###&gt;&gt;&gt;f(x,y)=分段{0.5,xy&lt;0;1.5,xy≥0}（在(0,0)不可微）,g(x,y)=分段{0,xy&lt;0;1,xy≥0}（在(0,0)不可微，跳跃）###-###&gt;&gt;&gt;f(x)=分段{sin(1/x),x≠0;0,x=0}（x→0极限不存在）,g(x)=分段{floor(sin(1/x)),x≠0;0,x=0}（x→0极限不存在，震荡）###-###&gt;&gt;&gt;f(x,y)=分段{1-|xy|,xy≠0;0,xy=0}（在(0,0)不连续）,g(x,y)=0（在(0,0)连续，因floor将(0,1)内的f值统一映射为0，消除了跳跃间断）###-###&gt;&gt;&gt;f(x)=x+sinx（非周期函数）,g(x)=floor(x+sinx)（非周期函数）###-###&gt;&gt;&gt;f(x)=分段{1.5,x∈Q;1,x∉Q}（类狄利克雷不可积），g(x)=1（可积，因floor将f(x)恒映射为1，满足可积条件）###-###&gt;&gt;&gt;f(x,y)=x²y/(x⁴+y²)（在(0,0)二阶偏导不连续）,g(x,y)=0（二阶偏导连续，因floor将f(x,y)在(0,0)附近的值强制映射为0，导数恒为0）###-###&gt;&gt;&gt;f(x)=x+1（非奇函数）,g(x)=floor(x+1)（非奇函数）###-###&gt;&gt;&gt;f(x)=x+1（非偶函数）,g(x)=floor(x+1)（非偶函数）###-###&gt;&gt;&gt;f(x)=|x|（在x=0无切线）,g(x)=floor(|x|)（在x=0无切线，分段常数）###-###&gt;&gt;&gt;NA（floor函数对f(x)=1/x（x≥1）取整后恒为0，导致g(x)在积分区间内几乎处处为0，其积分必然收敛，与f(x)的发散性无关，故无法通过f发散推断g必发散）###-</t>
  </si>
  <si>
    <t>01：###&gt;&gt;&gt;f(x)=|x|+0.5（在x=0处因不可导无切线，不满足性质L）,g(x)=floor(|x|+0.5)=1（在x=0处为常数函数，切线存在且为y=1，满足性质L）###-###&gt;&gt;&gt;f(x,y)=|x|+0.5（在x=0处对x的偏导数不存在，不满足性质B）,g(x,y)=floor(|x|+0.5)=1（在全平面偏导数存在，满足性质B，因常数函数偏导恒为0）###-###&gt;&gt;&gt;f(x)=分段{2.2,x&lt;0;2.8,x≥0}（在x=0处左极限2.2，右极限2.8，不连续）,g(x)=floor(f(x))=2（在x=0处左右极限均为2，连续）###-###&gt;&gt;&gt;f(x,y)=|x|+0.5（在(0,0)处因偏导数不存在-&gt;不可微，不满足性质D）,g(x,y)=floor(|x|+0.5)=0（在全平面可微，满足性质D，因常数函数必可微）###-###&gt;&gt;&gt;NA（若f(x)在x→x0极限不存在，g(x)=floor(f(x))可能仍极限不存在，如分段函数，故无需NA）###-###&gt;&gt;&gt;f(x,y)=分段{0.5,xy&lt;0;0.25,xy≥0}（在(0,0)处不连续，不满足性质F），g(x,y)=0（在(0,0)处连续，满足性质F）###-###&gt;&gt;&gt;NA（非周期函数取floor仍为非周期，无法构造g为周期函数）###-###&gt;&gt;&gt;f(x)=狄利克雷函数（不可积）,g(x)=1（可积）###-###&gt;&gt;&gt;f(x,y)=x²y/(x⁴+y²)（在(0,0)处二阶偏导不连续，不满足性质I），g(x,y)=0（分母比分子高阶，绝对值在0-1之间，向下取整全部拉到0。二阶偏导连续，满足性质I）###-###&gt;&gt;&gt;f(x)=分段{1.5,x&gt;0;0.5,x=0;-0.5,x&lt;0},g(x)=分段{1,x&gt;0;0,x=0;-1,x&lt;0}###-###&gt;&gt;&gt;f(x)=分段{0,x≠1;0.5,x=1}（非偶函数，不满足性质K），g(x)=0（偶函数，满足性质K）###-###&gt;&gt;&gt;f(x)=|x|+0.5（在x=0处无切线，不满足性质L），g(x)=floor(|x|+0.5)=0（在x=0处有切线，满足性质L）###-###&gt;&gt;&gt;f(x)=1/x+1（x≥1时floor(1/x+1)=1，无穷积分发散）,g(x)=1（无穷积分发散）###-</t>
  </si>
  <si>
    <t>10：###&gt;&gt;&gt;f(x)=x（在x=0处可导，满足性质A）,g(x)=floor(x)（在x=0处因跳跃间断不可导，不满足性质A）###-###&gt;&gt;&gt;f(x,y)=x（在全平面偏导数存在，满足性质B）,g(x,y)=floor(x)（在x=0处因整数点跳跃导致左右偏导数不存在，不满足性质B）###-###&gt;&gt;&gt;NA（若f(x)连续，则g(x)=floor(f(x))在f(x)∈Z处必间断，因floor函数在整数点跳跃）###-###&gt;&gt;&gt;f(x,y)=x（在全平面可微，满足性质D）,g(x,y)=floor(x)（在x=0处因整数点跳跃不连续，不满足可微性要求，故不满足性质D）###-###&gt;&gt;&gt;NA（若f(x)在x→x0极限存在且f(x0)∈Z，则g(x)左右极限不同，极限不存在）###-###&gt;&gt;&gt;NA（若f(x,y)连续且f(x,y)∈Z，则g(x,y)在该点间断，因floor跳跃）###-###&gt;&gt;&gt;NA（若f(x)周期T，g(x)=floor(f(x))周期必为T，因f(x+T)=f(x)⇒g(x+T)=g(x)，但g在整数点间断，仍为周期函数）###-###&gt;&gt;&gt;NA（若f(x)可积，g(x)=floor(f(x))在f(x)值域不含整数时可积，如f(x)=x+0.5在[0,1]可积，g(x)=0可积，无法构造g不可积的例子）###-###&gt;&gt;&gt;f(x,y)=x³二阶偏导连续，g(x,y)=floor(x³)在x=0处二阶偏导不存在###-###&gt;&gt;&gt;NA（若f(x)是奇函数，g(x)=floor(f(x))非奇函数，因floor(-f(x))≠-floor(f(x))，如f(x)=x，floor(-0.5)=-1≠-floor(0.5)=0）###-###&gt;&gt;&gt;f(x)=x²（偶函数）,g(x)=floor(x²)（偶函数，因x²=(-x)²⇒floor(x²)=floor((-x)²)）###-###&gt;&gt;&gt;f(x)=x（在x=0处切线为y=x）,g(x)=floor(x)（在x=0处左极限0、右极限1，不连续，无切线）###-###&gt;&gt;&gt;NA（若f(x)的反常积分收敛，则当x→∞时f(x)→0，故存在X使得x&gt;X时f(x)&lt;1，此时floor(f(x))=0。因此g(x)在(X,∞)上恒为0，仅在[0,X]上可能非零，其积分必收敛，无法构造g积分发散的例子）###-</t>
  </si>
  <si>
    <t>11：###&gt;&gt;&gt;NA（若f(x)可导，则g(x)=floor(f(x))在f(x)∈Z处必不可导，因floor跳跃）###-###&gt;&gt;&gt;NA（若f(x,y)偏导数存在，则g(x,y)=floor(f(x,y))在f∈Z处偏导数不存在，因跳跃）###-###&gt;&gt;&gt;NA（若f(x)连续，则g(x)=floor(f(x))在f(x)∈Z处必不连续，因floor跳跃）###-###&gt;&gt;&gt;NA（若f(x,y)可微，则g(x,y)=floor(f(x,y))在f∈Z处必不可微，因不连续）###-###&gt;&gt;&gt;NA（若f(x)在x→x0极限存在且f(x0)∈Z，则g(x)极限不存在，因左右极限不同）###-###&gt;&gt;&gt;NA（若f(x,y)连续，则g(x,y)=floor(f(x,y))在f∈Z处必不连续，因跳跃）###-###&gt;&gt;&gt;f(x)=sinx（周期2π，满足性质G），g(x)=floor(sinx)（周期2π，满足性质G）###-###&gt;&gt;&gt;f(x)=x+0.5（在[0,1]上连续可积，定积分值为Int(0,1):(x+0.5)dx=0.75）,g(x)=floor(x+0.5)=0（在[0,1]上为常数函数，定积分值为0，满足可积性）###-###&gt;&gt;&gt;NA（若f(x,y)二阶偏导连续，则g(x,y)=floor(f(x,y))在f∈Z处二阶偏导不存在，因跳跃）###-###&gt;&gt;&gt;NA（若f(x)是奇函数，g(x)=floor(f(x))必非奇函数，因floor(-f(x))≠-floor(f(x))）###-###&gt;&gt;&gt;f(x)=x²（偶函数）,g(x)=floor(x²)（偶函数）###-###&gt;&gt;&gt;f(x)=x+0.5（在x=0处切线为y=x+0.5）,g(x)=floor(x+0.5)=0（常数函数，在x=0处切线为y=0）###-###&gt;&gt;&gt;f(x)=e^(-x)（无穷积分收敛）,g(x)=0（无穷积分收敛）###-</t>
  </si>
  <si>
    <t>定积分换元时要注意###间断点###和###区间压扁###</t>
  </si>
  <si>
    <t>考察t(x)本身</t>
  </si>
  <si>
    <t>考察t(x)换入被积函数后</t>
  </si>
  <si>
    <t>考察积分区间是否会被压缩（比如±a上的积分，换元x²）</t>
  </si>
  <si>
    <t>IO密集型的进程应该优先执行，因为提前让慢的IO先开始可以同时利用CPU并行提效。### ###（无需作答）</t>
  </si>
  <si>
    <t>驻留集大小不是驻留集窗口的大小，驻留集窗口之外的页号，也会被从页框释放掉。### ###（无需作答）</t>
  </si>
  <si>
    <t>fork产生子进程的逻辑### ###（无需作答）</t>
  </si>
  <si>
    <t>父进程执行fork后，子进程相当于从父进程的fork返回位置开始执行，只是fork返回的pid不同而已。</t>
  </si>
  <si>
    <t>特例法大杀器-二元运算### ###（无需作答）</t>
  </si>
  <si>
    <t>加减（f(x)±g(x)=h(x)或f(x,y)±g(x,y)=h(x,y)）</t>
  </si>
  <si>
    <t>000：###F (x)=|x|,G (x)=|x|###-###F (x,y)=|x|+|y|,G (x,y)=|x|+|y|###-###F (x)=1/x,G (x)=1/x###-###F (x,y)=1/√(x²+y²),G (x,y)=1/√(x²+y²)###-###F (x)=1/x,G (x)=1/x###-###F (x,y)=1/(x+y),G (x,y)=1/(x+y)###-###F (x)=sinx+1/x,G (x)=cosx+1/x###-###F (x)=1/x,G (x)=1/x（区间 [0,1]）###-###F (x,y)=1/(x+y),G (x,y)=1/(x+y)###-###F (x)=x²+1,G (x)=x²+1###-###F (x)=x+1,G (x)=x+1###-###F (x)=|x|,G (x)=|x|###-###F (x)=1/x,G (x)=1/x（积分区间 [1,+∞)）###</t>
  </si>
  <si>
    <t>001：###F (x)=x,G (x)=2x→h (x)=3x###-###F (x,y)=x+y,G (x,y)=xy→h (x,y)=x+y-xy###-###F (x)=sinx,G (x)=x（连续函数加减必连续√）###-###F (x)=x²,G (x)=cosx（可导函数加减必可导√，因 (h)'=(f±g)'=f'±g'）###-###F (x)=x+1,G (x)=2x（x→2 时极限存在，加减后极限仍存在√）###-###F (x)=sinx,G (x)=sin (√2x)（周期函数加减未必周期 ×，如两函数周期比为无理数时和非周期）###-###F (x)=x,G (x)=1（[0,1] 上可积函数加减必可积√）###-###F (x,y)=x²,G (x,y)=y²→h (x,y)=x²+y²###-###F (x)=x,G (x)=x³（奇函数加减奇函数必为奇函数√，h (-x)=-f (x)±(-g (x))=-h (x)）###-###F (x)=x²,G (x)=cosx（偶函数加减偶函数必为偶函数√，h (-x)=f (-x)±g (-x)=h (x)）###-###F (x)=1/x²,G (x)=1/x³（积分区间 [1,+∞) 收敛，加减后仍收敛√）###-###F (x)=sinx,G (x)=cosx（有界函数加减必为有界函数√，|h (x)|≤|f (x)|+|g (x)|≤2）###-###F (x)=2x+1,G (x)=-x→h (x)=x+1（线性函数加减仍为线性函数√）###</t>
  </si>
  <si>
    <t>010：###F (x)=|x|,G (x)=x###-###F (x,y)=|x|,G (x,y)=y###-###F (x)=1/x,G (x)=x###-###F (x,y)=1/√(x²+y²),G (x,y)=y###-###F (x)=1/x,G (x)=x###-###F (x,y)=1/(x+y),G (x,y)=y###-###F (x)=sinx+1/x,G (x)=sinx###-###F (x)=1/x,G (x)=x（区间 [0,1]）###-###F (x,y)=1/(x+y),G (x,y)=y###-###F (x)=x²+1,G (x)=x###-###F (x)=x+1,G (x)=x²###-###F (x)=|x|,G (x)=x###-###F (x)=1/x,G (x)=1/x²（积分区间 [1,+∞)）###</t>
  </si>
  <si>
    <t>011：###F (x)=x,G (x)=x²###-###F (x,y)=xy,G (x,y)=x²y###-###F (x)=x,G (x)=x²###-###F (x,y)=xy,G (x,y)=x²y###-###F (x)=x,G (x)=x²###-###F (x,y)=xy,G (x,y)=x²y###-###F (x)=sinx,G (x)=sinx###-###F (x)=x,G (x)=x²（区间 [0,1]）###-###F (x,y)=xy,G (x,y)=x²y###-###F (x)=x,G (x)=x³###-###F (x)=x²,G (x)=x⁴###-###F (x)=x,G (x)=x²###-###F (x)=1/x²,G (x)=1/x³（积分区间 [1,+∞)）###</t>
  </si>
  <si>
    <t>110：###NA (可导函数加减必可导)###-###NA (偏导存在函数加减必偏导存在)###-###NA (连续函数加减必连续)###-###NA (可微函数加减必可微)###-###NA (极限存在函数加减必极限存在)###-###NA (连续函数加减必连续)###-###F (x)=sinx,G (x)=sin2x###-###NA (可积函数加减必可积)###-###NA (二阶偏导连续函数加减必连续)###-###NA (奇函数加减必奇函数)###-###NA (偶函数加减必偶函数)###-###NA (有切线函数加减必有切线)###-###NA (收敛反常积分加减必收敛)###</t>
  </si>
  <si>
    <t>111：###F (x)=x,G (x)=x²###-###F (x,y)=xy,G (x,y)=x²y###-###F (x)=x,G (x)=x²###-###F (x,y)=xy,G (x,y)=x²y###-###F (x)=x,G (x)=x²###-###F (x,y)=xy,G (x,y)=x²y###-###F (x)=sinx,G (x)=sinx###-###F (x)=x,G (x)=x²（区间 [0,1]）###-###F (x,y)=xy,G (x,y)=x²y###-###F (x)=x,G (x)=x³###-###F (x)=x²,G (x)=x⁴###-###F (x)=x,G (x)=x²###-###F (x)=1/x²,G (x)=1/x³（积分区间 [1,+∞)）###</t>
  </si>
  <si>
    <t>乘法（f(x)*g(x)=h(x)或f(x,y)*g(x,y)=h(x,y)）</t>
  </si>
  <si>
    <t>000：###F (x)=|x|+1,G (x)=|x|+1###-###F (x,y)=1/√(x²+y²),G (x,y)=1/√(x²+y²)###-###F (x)=1/x,G (x)=1/x###-###F (x,y)=1/√(x²+y²),G (x,y)=1/√(x²+y²)###-###F (x)=1/x,G (x)=1/x###-###F (x,y)=1/(x+y),G (x,y)=1/(x+y)###-###F (x)=sinx+1/x,G (x)=cosx+1/x###-###F (x)=1/x,G (x)=1/x（区间 [0,1]）###-###F (x,y)=1/(x+y),G (x,y)=1/(x+y)###-###F (x)=x²+1,G (x)=x²+1###-###F (x)=x+1,G (x)=x+1###-###F (x)=|x|,G (x)=|x|###-###F (x)=1/√x,G (x)=1/√x（积分区间 [1,+∞)）###</t>
  </si>
  <si>
    <t>001：###F (x)=x,G (x)=2x→h (x)=2x²###-###F (x,y)=x+y,G (x,y)=xy→h (x,y)=(x+y) xy=x²y+xy²###-###F (x)=sinx,G (x)=x（连续函数相乘必连续√，由连续函数运算性质保证）###-###F (x)=x²,G (x)=cosx（可导函数相乘必可导√，因 (h)'=f'g+fg' 存在）###-###F (x)=x+1,G (x)=2x（x→2 时极限存在，相乘后极限为 (2+1)×4=12√）###-###F (x)=sinx,G (x)=sin (√2x)（周期函数相乘未必周期 ×，两函数周期比为无理数时无公共周期；反例：sinx・sin (√2x) 非周期）###-###F (x)=x,G (x)=1（[0,1] 上可积函数相乘必可积√，因乘积仍有界且间断点有限）###-###F (x,y)=x²,G (x,y)=y²→h (x,y)=x²y²###-###F (x)=x,G (x)=x³（奇函数 × 奇函数 = 偶函数√，h (-x)=(-x)・(-x³)=x⁴=h (x)）###-###F (x)=x²,G (x)=cosx（偶函数 × 偶函数 = 偶函数√，h (-x)=x²・cosx=h (x)）###-###F (x)=1/x²,G (x)=1/x³（积分区间 [1,+∞)，乘积 1/x^5 收敛√，因 p=5&gt;1）###-###F (x)=sinx,G (x)=cosx（有界函数相乘必为有界函数√，|h (x)|≤|sinx||cosx|≤1/2）###-###F (x)=2x+1,G (x)=-x→h (x)=-2x²-x（线性函数相乘必为二次函数√，次数为 1+1=2）###</t>
  </si>
  <si>
    <t>010：###F (x)=x,G (x)=|x|###-###F (x,y)=0,G (x,y)=|x|###-###F (x)=0,G (x)=1/x###-###F (x,y)=0,G (x,y)=|x|+|y|###-###F (x)=x,G (x)=1/x###-###F (x,y)=0,G (x,y)=1/(x+y)###-###F (x)=0,G (x)=x###-###F (x)=0,G (x)=1/x（区间 [0,1]）###-###F (x,y)=0,G (x,y)=1/(x+y)###-###F (x)=x,G (x)=x²###-###F (x)=0,G (x)=x###-###F (x)=x,G (x)=|x|###-###F (x)=0,G (x)=x（积分区间 [1,+∞)）###</t>
  </si>
  <si>
    <t>011：###F (x)=x,G (x)=x²###-###F (x,y)=x,G (x,y)=x²y###-###F (x)=x,G (x)=x²###-###F (x,y)=x,G (x,y)=x²y###-###F (x)=x,G (x)=x²###-###F (x,y)=x,G (x,y)=x²y###-###F (x)=sinx,G (x)=x###-###F (x)=x,G (x)=x²（区间 [0,1]）###-###F (x,y)=x,G (x,y)=x²y###-###F (x)=x,G (x)=x³###-###F (x)=x²,G (x)=x⁴###-###F (x)=x,G (x)=x²###-###F (x)=x,G (x)=x²（积分区间 [1,+∞)）###</t>
  </si>
  <si>
    <t>110：###F (x)=x,G (x)=x###-###F (x,y)=x,G (x,y)=y###-###F (x)=x,G (x)=x²###-###F (x,y)=x,G (x,y)=y###-###F (x)=x,G (x)=x²###-###F (x,y)=x,G (x,y)=y###-###F (x)=sinx,G (x)=cosx###-###F (x)=x,G (x)=x²（区间 [0,1]）###-###F (x,y)=x,G (x,y)=y###-###F (x)=x,G (x)=x²###-###F (x)=x²,G (x)=x³###-###F (x)=x,G (x)=x²###-###F (x)=1/x²,G (x)=1/x³（积分区间 [1,+∞)）###</t>
  </si>
  <si>
    <t>除法（f(x)/g(x)=h(x)或f(x,y)/g(x,y)=h(x,y)）</t>
  </si>
  <si>
    <t>000：###F (x)=x²,G (x)=x（x≠0）###-###F (x,y)=x²y,G (x,y)=xy（xy≠0）###-###F (x)=x+1,G (x)=1###-###F (x,y)=x²+y²,G (x,y)=1###-###F (x)=x³,G (x)=x（x≠0）###-###F (x,y)=x+y,G (x,y)=2###-###F (x)=sin2x,G (x)=sinx（sinx≠0）###-###F (x)=1,G (x)=2（区间 [0,1]）###-###F (x,y)=x³y³,G (x,y)=xy（xy≠0）###-###F (x)=x²,G (x)=x⁴###-###F (x)=x+1,G (x)=1###-###F (x)=x,G (x)=1###-###F (x)=1/x²,G (x)=1（积分区间 [1,+∞)）###</t>
  </si>
  <si>
    <t>001：###F (x)=|x|,G (x)=x（x≠0）###-###F (x,y)=|x|,G (x,y)=y（y≠0）###-###F (x)=sgn (x),G (x)=1###-###F (x,y)=|x|+|y|,G (x,y)=x（x≠0）###-###F (x)=1/x,G (x)=x（x≠0）###-###F (x,y)=1/|x+y|,G (x,y)=1###-###F (x)=x+|x|,G (x)=sinx（sinx≠0）###-###F (x)=1/x,G (x)=1（区间 (0,1]）###-###F (x,y)=|x|+|y|,G (x,y)=y（y≠0）###-###F (x)=x²+|x|,G (x)=x（x≠0）###-###F (x)=x+1,G (x)=x²###-###F (x)=|x|,G (x)=x（x≠0）###-###F (x)=1/x,G (x)=1/x²（积分区间 [1,+∞)）###</t>
  </si>
  <si>
    <t>010：###F (x)=x,G (x)=|x|（x≠0）###-###F (x,y)=x,G (x,y)=|x|（x≠0）###-###F (x)=x²,G (x)=x（x≠0）###-###F (x,y)=x,G (x,y)=1/√(x²+y²)（x²+y²≠0）###-###F (x)=x³,G (x)=x²（x≠0）###-###F (x,y)=x,G (x,y)=1/(x+y)（x+y≠0）###-###F (x)=sinx,G (x)=x（x≠0）###-###F (x)=x,G (x)=1（区间 [0,1]）###-###F (x,y)=x,G (x,y)=1/(x+y)（x+y≠0）###-###F (x)=x⁴,G (x)=x²（x≠0）###-###F (x)=x³,G (x)=x（x≠0）###-###F (x)=x,G (x)=|x|（x≠0）###-###F (x)=1/x,G (x)=1/x²（积分区间 [1,+∞)）###</t>
  </si>
  <si>
    <t>011：###F (x)=x³,G (x)=x²（x≠0）###-###F (x,y)=x²y³,G (x,y)=xy²（xy≠0）###-###F (x)=sinx,G (x)=cosx（cosx≠0）###-###F (x,y)=x+y,G (x,y)=x（x≠0）###-###F (x)=x²+1,G (x)=x+1（x≠-1）###-###F (x,y)=1/√(x²+y²),G (x,y)=1/(x+y)（x+y≠0）###-###F (x)=x+|x|,G (x)=x（x≠0）###-###F (x)=x²,G (x)=x（区间 (0,1]）###-###F (x,y)=x³+y³,G (x,y)=x+y（x+y≠0）###-###F (x)=x⁴,G (x)=x³（x≠0）###-###F (x)=e^x,G (x)=e^x###-###F (x)=|x|,G (x)=x（x≠0）###-###F (x)=1/x,G (x)=1/x²（积分区间 [1,+∞)）###</t>
  </si>
  <si>
    <t>100：###F (x)=x,G (x)=|x|（x≠0）###-###F (x,y)=x,G (x,y)=|x|（x≠0）###-###F (x)=x²,G (x)=|x|（x≠0）###-###F (x,y)=x,G (x,y)=1/√(x²+y²)（x²+y²≠0）###-###F (x)=x³,G (x)=x|x|（x≠0）###-###F (x,y)=x,G (x,y)=1/(x+y)（x+y≠0）###-###F (x)=sinx,G (x)=|sinx|（sinx≠0）###-###F (x)=x,G (x)=1（区间 [0,1]）###-###F (x,y)=x,G (x,y)=1/(x+y)（x+y≠0）###-###F (x)=x⁴,G (x)=x²|x|（x≠0）###-###F (x)=e^x,G (x)=e^{|x|}###-###F (x)=x,G (x)=|x|（x≠0）###-###F (x)=1/x,G (x)=1/|x|（积分区间 [1,+∞)）###</t>
  </si>
  <si>
    <t>101：###F (x)=x³,G (x)=√|x|###-###F (x,y)=x³y,G (x,y)=√|x|+y###-###F (x)=1,G (x)=1/x###-###F (x,y)=x²+y²,G (x,y)=|x|+|y|###-###F (x)=x,G (x)=sin (1/x)###-###F (x,y)=1,G (x,y)=1/(x+y)###-###NA (周期函数除以非周期函数无法保证 H 周期)###-###F (x)=1,G (x)=1/x###-###F (x,y)=x⁴y²,G (x,y)=|x|y²###-###F (x)=x³,G (x)=x²###-###NA (偶函数除以非偶函数无法得到偶函数)###-###F (x)=x⁴,G (x)=√|x|###-###F (x)=1/x²,G (x)=1/√x###</t>
  </si>
  <si>
    <t>110：###F (x)=1,G (x)=x（x≠0）###-###F (x,y)=x,G (x,y)=y（y≠0）###-###F (x)=1,G (x)=x（x≠0）###-###F (x)=x,G (x)=x（x≠0）###-###F (x)=1,G (x)=x（x→0）###-###F (x,y)=1,G (x,y)=x+y（x+y≠0）###-###F (x)=sinx+1,G (x)=sinx（sinx≠0）###-###F (x)=1,G (x)=x（区间 (0,1]）###-###F (x,y)=x²,G (x,y)=y²（y≠0）###-###F (x)=x,G (x)=x（x≠0）###-###NA (偶函数相除必为偶函数)###-###F (x)=1,G (x)=x（x≠0）###-###F (x)=1/x²,G (x)=1/x（积分区间 [1,+∞)）###</t>
  </si>
  <si>
    <t>111：###F (x)=x⁴,G (x)=x²（x≠0）###-###F (x,y)=x³y²,G (x,y)=xy（xy≠0）###-###F (x)=sin2x,G (x)=cosx（cosx≠0）###-###F (x,y)=x²+y²,G (x,y)=x+y（x+y≠0）###-###F (x)=x³+1,G (x)=x+1（x≠-1）###-###F (x,y)=√(x²+y²),G (x,y)=1/√(x²+y²)（x²+y²≠0）###-###F (x)=x+sinx,G (x)=x（x≠0）###-###F (x)=x³,G (x)=x²（区间 (0,1]）###-###F (x,y)=x⁴y³,G (x,y)=x²y²（xy≠0）###-###F (x)=x⁵,G (x)=x³（x≠0）###-###F (x)=e^{2x},G (x)=e^x###-###F (x)=x|x|,G (x)=x（x≠0）###-###F (x)=1/x³,G (x)=1/x²（积分区间 [1,+∞)）###</t>
  </si>
  <si>
    <t>取最大值（max(f(x),g(x))=h(x)或max(f(x,y),g(x,y))=h(x,y)）</t>
  </si>
  <si>
    <t>000：###F (x)=|x|,G (x)=-|x|###-###F (x,y)=|x|+|y|,G (x,y)=-|x|-|y|###-###F (x)=1/x,G (x)=sin (1/x)###-###F (x,y)=√(x²+y²),G (x,y)=-√(x²+y²)###-###F (x)=sin (1/x),G (x)=cos (1/x)###-###F (x,y)=1/(x+y),G (x,y)=1/(x-y)###-###F (x)=x,G (x)=e^x###-###F (x)=D (x),G (x)=D (x)（D 为狄利克雷函数）###-###F (x,y)=|x|y²,G (x,y)=x|y|###-###F (x)=x²,G (x)=x+1###-###F (x)=x³,G (x)=x+1###-###F (x)=|x|,G (x)=-|x|###-###F (x)=1/x,G (x)=1/x²###</t>
  </si>
  <si>
    <t>001：###F (x)=x,G (x)=0###-###F (x,y)=x,G (x,y)=y###-###NA (连续函数取最大值必连续)###-###F (x)=x,G (x)=-x###-###NA (极限存在函数取最大值必极限存在)###-###NA (连续函数取最大值必连续)###-###NA (周期函数取最大值必周期)###-###NA (可积函数取最大值必可积)###-###F (x,y)=x²,G (x,y)=y²###-###F (x)=x,G (x)=-x###-###NA (偶函数取最大值必偶函数)###-###F (x)=x,G (x)=0###-###NA (收敛反常积分取最大值必收敛)###</t>
  </si>
  <si>
    <t>010：###F (x)=x,G (x)=0###-###F (x,y)=x,G (x,y)=y###-###NA (连续函数取最大值必连续)###-###F (x)=x,G (x)=0###-###NA (极限存在函数取最大值必极限存在)###-###NA (连续函数取最大值必连续)###-###F (x)=sinx,G (x)=sin (√2x)###-###NA (可积函数取最大值必可积)###-###F (x,y)=x²,G (x,y)=y²###-###F (x)=x,G (x)=-x###-###NA (偶函数取最大值必偶函数)###-###F (x)=x,G (x)=0###-###NA (收敛反常积分取最大值必收敛)###</t>
  </si>
  <si>
    <t>011：###F (x)=x,G (x)=2x###-###F (x,y)=x²+y²,G (x,y)=0###-###F (x)=x,G (x)=1###-###F (x)=x,G (x)=-x###-###F (x)=x,G (x)=2（x→1）###-###F (x)=sinx,G (x)=cosx###-###F (x)=sinx,G (x)=cosx###-###F (x)=x,G (x)=0（区间 [0,1]）###-###F (x,y)=x²+y²,G (x,y)=0###-###F (x)=x,G (x)=2x###-###F (x)=x²,G (x)=1###-###F (x)=x,G (x)=2x###-###F (x)=1/x²,G (x)=1/x³（积分区间 [1,+∞)）###</t>
  </si>
  <si>
    <t>110：###F (x)=x,G (x)=-x###-###F (x,y)=x,G (x,y)=y###-###NA (两连续函数最大值必连续)###-###F (x,y)=x²,G (x,y)=y²###-###NA (两函数极限存在则最大值极限必存在)###-###NA (两连续多元函数最大值必连续)###-###F (x)=sinx,G (x)=sin (√2x)###-###NA (两可积函数最大值必可积)###-###F (x,y)=x⁴,G (x,y)=y⁴###-###F (x)=x,G (x)=x³###-###NA (两偶函数最大值必为偶函数)###-###F (x)=x,F (x)=x²###-###NA (两收敛反常积分最大值必收敛)###</t>
  </si>
  <si>
    <t>111：###F(x)=x²,G(x)=2x²###-###F(x,y)=x³y,G(x,y)=2x³y###-###F(x)=sinx,G(x)=cosx###-###F(x,y)=x²+y²,G(x,y)=2x²+2y²###-###F(x)=x,G(x)=2x###-###F(x,y)=xy,G(x,y)=2xy###-###F(x)=sinx,G(x)=sin2x###-###F(x)=1,G(x)=2###-###F(x,y)=x⁴y²,G(x,y)=2x⁴y²###-###F(x)=x,G(x)=2x###-###F(x)=x²,G(x)=2x²###-###F(x)=x²,G(x)=3x²###-###F(x)=1/x²,G(x)=1/x³###</t>
  </si>
  <si>
    <t>取最小值（min(f(x),g(x))=h(x)或min(f(x,y),g(x,y))=h(x,y)）</t>
  </si>
  <si>
    <t>001：###F(x)=D(x),G(x)=1-D(x)###-###F(x,y)=|x|+y,G(x,y)=x+|y|###-###F(x)=D(x),G(x)=1-D(x)###-###F(x,y)=|x|+y,G(x,y)=x+|y|###-###F(x)=sgn(x),G(x)=1-sgn(x)###-###F(x,y)=1/(x+y)+D(x,y),G(x,y)=1/(x-y)+1-D(x,y)###-###F(x)=D(x),G(x)=1-D(x)###-###F(x)=D(x),G(x)=1-D(x)###-###F(x,y)=|x|y+D(x,y),G(x,y)=x|y|+1-D(x,y)###-###F(x)=|x|+x,G(x)=|x|-x###-###F(x)=x²+1,G(x)=-x²+1###-###F(x)=D(x),G(x)=1-D(x)###-###F(x)=1/x+D(x),G(x)=1/x²+1-D(x)###</t>
  </si>
  <si>
    <t>010：###F(x)=|x|,G(x)=x###-###F(x,y)=|x|+|y|,G(x,y)=x+y###-###F(x)=1/x,G(x)=x###-###F(x,y)=√(x²+y²),G(x,y)=x+y###-###F(x)=sin(1/x),G(x)=x###-###F(x,y)=1/(x+y),G(x,y)=x+y###-###F(x)=x,G(x)=sinx###-###F(x)=D(x),G(x)=x###-###F(x,y)=|x|y²,G(x,y)=x²y###-###F(x)=x²,G(x)=x³###-###F(x)=x²+1,G(x)=x³###-###F(x)=|x|,G(x)=x###-###F(x)=1/x,G(x)=1/x²###</t>
  </si>
  <si>
    <t>110：###F (x)=x²,G (x)=-x²###-###F (x,y)=x²+y²,G (x,y)=-x²-y²###-###NA (两连续函数最小值必连续)###-###F (x,y)=x²+y²,G (x,y)=-x²-y²###-###NA (两极限存在函数最小值极限必存在)###-###NA (两连续多元函数最小值必连续)###-###F (x)=sinx,G (x)=sin2x###-###NA (两可积函数最小值必可积)###-###F (x,y)=x⁴+y⁴,G (x,y)=-x⁴-y⁴###-###F (x)=x³,G (x)=-x³###-###NA (两偶函数最小值必为偶函数)###-###F (x)=x²,G (x)=-x²###-###NA (两收敛反常积分最小值必收敛)###</t>
  </si>
  <si>
    <t>111：###F(x)=x²,G(x)=3x²###-###F(x,y)=x³y,G(x,y)=2x³y###-###F(x)=sinx,G(x)=cosx###-###F(x,y)=x²+y²,G(x,y)=2x²+2y²###-###F(x)=x,G(x)=2x###-###F(x,y)=xy,G(x,y)=2xy###-###F(x)=sinx,G(x)=sin2x###-###F(x)=1,G(x)=2###-###F(x,y)=x⁴y²,G(x,y)=2x⁴y²###-###F(x)=x,G(x)=2x###-###F(x)=x²,G(x)=2x²###-###F(x)=x²,G(x)=3x²###-###F(x)=1/x²,G(x)=1/x³###</t>
  </si>
  <si>
    <t>复合函数（f(g(x))=h(x)或h(f(x,y),g(x,y))=h(x,y)）</t>
  </si>
  <si>
    <t>000：###F(x)=x²,G(x)=3x²###-###F(x,y)=x³y,G(x,y)=2x³y###-###F(x)=sinx,G(x)=cosx###-###F(x,y)=x²+y²,G(x,y)=2x²+2y²###-###F(x)=x,G(x)=2x###-###F(x,y)=xy,G(x,y)=2xy###-###F(x)=sinx,G(x)=sin2x###-###F(x)=1,G(x)=2###-###F(x,y)=x⁴y²,G(x,y)=2x⁴y²###-###F(x)=x,G(x)=2x###-###F(x)=x²,G(x)=2x²###-###F(x)=x²,G(x)=3x²###-###F(x)=1/x²,G(x)=1/x³###</t>
  </si>
  <si>
    <t>001：###F (u)=u²,G (x)=|x|###-###NA (G 不可偏导时 H 无法保证可偏导)###-###F (u)=1,G (x)=D (x)###-###NA (G 不可微时 H 无法保证可微)###-###F (u)=0,G (x)=sin (1/x)###-###F (u)=1,G (x,y)=1/(x+y)###-###F (u)=sinu,G (x)=x###-###F (u)=1,G (x)=D (x)###-###NA (G 不连续时 H 无法二阶偏导连续)###-###NA (奇函数复合非奇函数无法得奇函数)###-###F (u)=u²,G (x)=x###-###F (u)=u²,G (x)=|x|###-###F (u)=1/u²,G (x)=x###</t>
  </si>
  <si>
    <t>010：###F (u)=√|u|,G (x)=x###-###F (u,v)=√|u|,G (x,y)=x###-###F (u)=D (u),G (x)=x###-###F (u)=|u|,G (x)=x###-###F (u)=sin (1/u),G (x)=x###-###F (u,v)=1/(u+v),G (x,y)=x+y###-###NA (非周期函数复合周期函数无法得到非周期函数)###-###F (u)=D (u),G (x)=x###-###F (u,v)=1/(u+v),G (x,y)=x+y###-###F (u)=u²,G (x)=x###-###F (u)=u+1,G (x)=x²###-###F (u)=|u|,G (x)=x###-###F (u)=1/u,G (x)=x###</t>
  </si>
  <si>
    <t>011：###F (x)=x³,G (x)=sinx→h (x)=sin³x###-###F (x,y)=x+y,G (x,y)=xy→H (x,y)=(x+y)・xy###-###NA (可导函数复合必可导 ×，如 f (x)=|x|,g (x)=x 在 x=0 处不可导)###-###F (x)=√(x²+1),G (x)=x²（x∈ℝ）→h (x)=√(x⁴+1)###-###F (x,y)=e^x,G (x,y)=y²→H (x,y)=e^x+y²###-###NA (连续函数复合必连续√，由连续函数复合定理可知)###-###F (x)=x²,G (x)=cosx→h (x)=cos²x###-###F (x)=1/x,G (x)=x-1（区间 (1,2)）→h (x)=1/(x-1)###-###F (x,y)=√x,G (x,y)=y²（x≥0）→H (x,y)=√x+y²###-###F (x)=lnx,G (x)=x²（x&gt;0）→h (x)=2lnx###-###NA (偶函数复合奇函数必为偶函数√，因 f (g (-x))=f (-g (x))=f (g (x))###-###F (x)=x³+1,G (x)=x-1→h (x)=(x-1)³+1=x³-3x²+3x###-###NA (收敛反常积分复合必收敛 ×，如 f (x)=e^x,g (x)=1/x 时∫₁^∞e^(1/x) dx 发散)###</t>
  </si>
  <si>
    <t>100：###F(u)=u²,G(x)=x+1###-###F(u)=u,G(x,y)=x²+y²###-###F(u)=|u|,G(x)=x###-###F(u)=u³,G(x)=x²###-###F(u)=u,G(x)=x###-###F(u,v)=u+v,G(x,y)=xy###-###F(u)=u²,G(x)=sinx###-###F(u)=1,G(x)=x###-###F(u)=u⁴,G(x,y)=x²+y²###-###F(u)=u³,G(x)=x###-###F(u)=u²,G(x)=x²###-###F(u)=u,G(x)=x###-###F(u)=e⁻ᵘ,G(x)=x²###</t>
  </si>
  <si>
    <t>101：###F(u)=u²,G(x)=x³###-###F(u)=u,G(x,y)=x³y###-###F(u)=|u|,G(x)=x³###-###F(u)=u³,G(x)=x²###-###F(u)=u,G(x)=x³###-###F(u,v)=u+v,G(x,y)=x³y###-###F(u)=u²,G(x)=sinx###-###F(u)=1,G(x)=x³###-###F(u)=u⁴,G(x,y)=x³y²###-###F(u)=u³,G(x)=x###-###F(u)=u²,G(x)=x²###-###F(u)=u,G(x)=x³###-###F(u)=e⁻ᵘ,G(x)=x³###</t>
  </si>
  <si>
    <t>110：###F (u)=u²,G (x)=x###-###F (u)=u,G (x,y)=x²+y²###-###NA (两连续函数复合必连续)###-###F (u)=u³,G (x,y)=x²+y²###-###NA (两极限存在函数复合极限必存在)###-###NA (两连续多元函数复合必连续)###-###F (u)=u²,G (x)=sinx###-###NA (两可积函数复合必可积)###-###F (u)=u⁴,G (x,y)=x²+y²###-###F (u)=u³,G (x)=x###-###F (u)=u²,G (x)=x²###-###F (u)=u,G (x)=x###-###NA (两收敛反常积分复合必收敛)###</t>
  </si>
  <si>
    <t>111：###F(u)=u²,G(x)=x###-###F(u)=u,G(x,y)=x²+y²###-###F(u)=|u|,G(x)=x###-###F(u)=u³,G(x,y)=x²+y²###-###F(u)=u,G(x)=x###-###F(u,v)=u+v,G(x,y)=x²+y²###-###F(u)=u²,G(x)=sinx###-###F(u)=1,G(x)=x###-###F(u)=u⁴,G(x,y)=x²+y²###-###F(u)=u³,G(x)=x###-###F(u)=u²,G(x)=x²###-###F(u)=u,G(x)=x###-###F(u)=e⁻ᵘ,G(x)=x²###</t>
  </si>
  <si>
    <t>特例法大杀器-表格接口</t>
  </si>
  <si>
    <t>抛物线的焦点</t>
  </si>
  <si>
    <t>y²=2*p*x：###(p/2,0)###</t>
  </si>
  <si>
    <t>x²=2*p*y：###(0,p/2)###</t>
  </si>
  <si>
    <t>摆线的高度</t>
  </si>
  <si>
    <t>摆线方程：x=a*(t-sin(t)),y=###dx/dt###</t>
  </si>
  <si>
    <t>最大高度：###2a###</t>
  </si>
  <si>
    <t>当给出含C的通解要求原微分方程，目的是得到不含有###C###的方程</t>
  </si>
  <si>
    <t>IO的软件层次：###用户IO软件###-###系统级设备无关软件###-###系统级设备驱动###-###中断处理###</t>
  </si>
  <si>
    <t>DMA传输的步骤：###启动磁盘###-###传输数据到内存###-###DMA发出（结束）中断请求###-###执行结束DMA中断服务###</t>
  </si>
  <si>
    <t>也就是说，中断###只有在结束时才发生###</t>
  </si>
  <si>
    <t>内存分配的最佳适配实际上是最###小###适配，即找最###小###可容纳请求的空闲块来分配</t>
  </si>
  <si>
    <t>同被积函数不同积分区间（区域）的积分比大小</t>
  </si>
  <si>
    <t>确定###被积函数###的###正值区间（区域）###</t>
  </si>
  <si>
    <t>覆盖上述区间（区域）更多的积分区间（区域）对应积分更###大###（大/小）</t>
  </si>
  <si>
    <t>特例法大杀器-性质检测### ###（无需作答）</t>
  </si>
  <si>
    <t>可导性（一元）</t>
  </si>
  <si>
    <t>左导数存在？</t>
  </si>
  <si>
    <t>右导数存在？</t>
  </si>
  <si>
    <t>左右导相等？</t>
  </si>
  <si>
    <t>可导性（多元）</t>
  </si>
  <si>
    <t>锁定y，对x一元可导？</t>
  </si>
  <si>
    <t>锁定x，对y一元可导？</t>
  </si>
  <si>
    <t>连续性（一元）</t>
  </si>
  <si>
    <t>该点有定义，函数值为A</t>
  </si>
  <si>
    <t>可微性（多元）</t>
  </si>
  <si>
    <t>根据趋向点，平移函数，使趋向点变为原点</t>
  </si>
  <si>
    <t>拼凑可微的极限定义是</t>
  </si>
  <si>
    <t>得到f(x0,y0)</t>
  </si>
  <si>
    <t>得到f(dx+x0,dy+y0)</t>
  </si>
  <si>
    <t>得到fx(x0,y0)和fy(x0,y0)</t>
  </si>
  <si>
    <t>分子：f(dx+x0,dy+y0)-f(x0,y0)-fx(x0,y0)*dx-fy(x0,y0)*dy</t>
  </si>
  <si>
    <t>分母：sqrt(dx²+dy²)</t>
  </si>
  <si>
    <t>转换极坐标</t>
  </si>
  <si>
    <t>把θ看成常数，把r看成自变量，求一元极限</t>
  </si>
  <si>
    <t>若结果是0，则可微，否则不可微</t>
  </si>
  <si>
    <t>极限存在（一元）</t>
  </si>
  <si>
    <t>左极限存在</t>
  </si>
  <si>
    <t>右极限存在</t>
  </si>
  <si>
    <t>左右极限相等</t>
  </si>
  <si>
    <t>（未完待续）</t>
  </si>
  <si>
    <t>抽象无穷小o(g)的运算法则</t>
  </si>
  <si>
    <t>加法与减法：a比b高阶，那么o(a)±o(b)=###o(b)###</t>
  </si>
  <si>
    <t>乘法：a为k阶，b为l阶，那么o(a)*o(b)=o(c)，其中c为###k+l###阶无穷小</t>
  </si>
  <si>
    <t>除法：a为k阶，b为l阶，那么o(a)/o(b)=o(c)，其中c为###k-l###阶无穷小</t>
  </si>
  <si>
    <t>复合：a为k阶，b为l阶，那么o(a(o(b)))=o(c)，其中c为###k*l###阶无穷小</t>
  </si>
  <si>
    <t>前提：###a、b不含有震荡比如sin(1/x)，且能够在趋向点收敛地泰勒展开###</t>
  </si>
  <si>
    <t>管程的wait和信号量的P有极大差异，wait和signal只能用于进程同步，一旦wait则立即阻塞自身。### ###（无需作答）</t>
  </si>
  <si>
    <t>页表是每个进程独立的### ###（无需作答）</t>
  </si>
  <si>
    <t>若A为n阶实矩阵，则AAT和ATA必为###非负定矩阵###（实对称阵的惯性指数情况）</t>
  </si>
  <si>
    <t>正定/半正定矩阵的定义：若对任意非零向量x有###xTAx&gt;/&gt;=0###，则矩阵A为正定/半正定</t>
  </si>
  <si>
    <t>任意矩阵A的伴随矩阵A*恒存在，不以A的可逆性为转移，只有在A可逆时，A*才等于|A|A逆。### ###（无需作答）</t>
  </si>
  <si>
    <t>证明向量组线性无关-&gt;证明k1*v1+k2*v2+...+kn*vn=0的###系数ki必均为0###</t>
  </si>
  <si>
    <t>证明向量组是n维空间极大无关组，除了证明无关，还要证明极大，即###存在更多的向量使其无关，然后矛盾反证###</t>
  </si>
  <si>
    <t>A^n（矩阵的n次方）的三种求法### ###（无需作答）</t>
  </si>
  <si>
    <t>相似对角化</t>
  </si>
  <si>
    <t>A必须可对角化</t>
  </si>
  <si>
    <t>计算量超级大</t>
  </si>
  <si>
    <t>秩1矩阵法：将秩为1的A分解为两个向量a和b的乘积</t>
  </si>
  <si>
    <t>r(A)必须等于1</t>
  </si>
  <si>
    <t>分解分配法：A=B+C，并且BC=CB，A^n=ΣC[n,i]*(B^(n-i))*C^i</t>
  </si>
  <si>
    <t>一般用于处理主对角元都相同的三角阵A</t>
  </si>
  <si>
    <t>B为数量阵（B=kE），计算n次幂方便</t>
  </si>
  <si>
    <t>C为主对角线全0的三角阵，高次幂为0矩阵</t>
  </si>
  <si>
    <t>如果要用同步初等变换求向量组线性表示B*C=A的系数阵C，则基向量B得是###列###（行/列）向量，被表示向量A得是###列###（行/列）向量</t>
  </si>
  <si>
    <t>前提条件（用于反证的错误假设，此时B和A当中都是###行###向量）：C*B=A，其中C是待求系数阵</t>
  </si>
  <si>
    <t>因为，同步初等变换是###行###（行/列）变换，对应矩阵###左###（左/右）乘，增广部分也是对应###左###（左/右）乘</t>
  </si>
  <si>
    <t>那么，增广部分###[B逆*A]###，即对应等式左侧的###[B逆*C*B]###的因子除非满足###可交换性###，否则与###[A*B逆]###是不相等的</t>
  </si>
  <si>
    <t>所以，如果为了适配同步初等变换的###行###（行/列）变换，要使得C=###[B逆*A]###，则前提条件应该是###B*C=A###（注意，此处的ABC与前提条件的中的不同！）</t>
  </si>
  <si>
    <t>即，新定义（上述）的###B###和###A###当中与条件给出的向量组对应的向量都是###列###（行/列）向量，满足基向量###左###乘新定义（上述）系数阵C的要求</t>
  </si>
  <si>
    <t>进程并非完整的程序，有以下两个原因</t>
  </si>
  <si>
    <t>dll：###进程的内存空间不包括dll的代码段###</t>
  </si>
  <si>
    <t>请求分页：###进程的内存空间仅包含调入页框的部分，因此未运行的代码可能在未调入的页中###</t>
  </si>
  <si>
    <t>秩的下限可以通过最大非零子式（不一定在对角线上）来确定### ###（无需作答）</t>
  </si>
  <si>
    <t>只要能找到满秩的k阶子式，可以确定整个矩阵的秩r大于等于k</t>
  </si>
  <si>
    <t>向量组线性相关-&gt;合成矩阵A###不满秩###（满秩/不满秩）-&gt;Ax=0###有###（有/无）非零解</t>
  </si>
  <si>
    <t>因此，向量组线性无关-&gt;Ax=0###无###（有/无）非零解</t>
  </si>
  <si>
    <t>特征值（代数重数）及对应特征向量（几何重数）即使都相同，也不能确保两矩阵相似### ###（无需作答）</t>
  </si>
  <si>
    <t>同一特征值的代数重数大于其对应线性无关特征向量（几何重数）时，矩阵不可对角化，只能相似于Jordan标准型</t>
  </si>
  <si>
    <t>Jordan标准型：对角上以多个上三角块组成</t>
  </si>
  <si>
    <t>此时即使四要素都相等，由于Jordan块分部和阶数差异，两矩阵也可能不相似（四要素相同的矩阵可能相似于不同Jordan标准型）</t>
  </si>
  <si>
    <t>因此不能只用迹和行列式来严格论证两个矩阵相似（这两个甚至只能论证特征值相同）</t>
  </si>
  <si>
    <t>临界资源可能只有一个，但是临界区（代码段）有几个访问进程就有几段### ###（无需作答）</t>
  </si>
  <si>
    <t>但是同一时刻，进入关联相同变量的临界区的进程只能有一个</t>
  </si>
  <si>
    <t>进程的地址空间大小不存在于PCB内，只存在于进程的###页表###</t>
  </si>
  <si>
    <t>PCB包含的信息（6项）：###PID###（识别用）、###进程状态###（调度用）、###进程队列指针###（和上一个相关）、###代码段和数据段地址###（两个重要地址）、###进程优先级###（调度用）、###CPU现场###（PSW等）</t>
  </si>
  <si>
    <t>其中，进程调度相关信息（3项）：###进程状态###、###进程队列指针###、###进程优先级###</t>
  </si>
  <si>
    <t>进程运行信息，用于中断和地址映射（2项）：###代码段和数据段地址###、###CPU现场###</t>
  </si>
  <si>
    <t>进程的唯一标识（1项）：###PID###</t>
  </si>
  <si>
    <t>n级页表可寻址的地址空间容量：###2^(s*n+log(2,p))或p*2^(s*n)###</t>
  </si>
  <si>
    <t>s：每页可存放页表项数量</t>
  </si>
  <si>
    <t>p：每页大小</t>
  </si>
  <si>
    <t>正定等价于矩阵的顺序主子式全###大于0###</t>
  </si>
  <si>
    <t>实对称阵对应不同特征值的特征向量具有###天然正交###的特性</t>
  </si>
  <si>
    <t>二次型本质上是xi向量经正交阵变换后，乘以伸缩系数（特征值对角阵），与自身内积的结果（列向量乘行向量）### ###（无需作答）</t>
  </si>
  <si>
    <t>而自内积具有非负性（参考20250624），二次型的结果（内积的结果标量）是否大于0，和矩阵是否正定、负定或零矩阵有关</t>
  </si>
  <si>
    <t>而矩阵正定或负定要看伸缩系数（特征值对角阵）</t>
  </si>
  <si>
    <t>正定大于0，负定小于0，带半有等号，0矩阵恒0，不定不确定</t>
  </si>
  <si>
    <t>函数在闭区间上连续，在端点只有单侧连续### ###（无需作答）</t>
  </si>
  <si>
    <t>如果f(x)在（半）无穷区间上严格单调，且趋无穷处极限存在</t>
  </si>
  <si>
    <t>那么f(x)也与f(x)趋无穷时的极限存在不等式关系</t>
  </si>
  <si>
    <t>f(x)严格单减，f(x)###&gt;###lim(x-&gt;+∞):f(x)，f(x)###&lt;###lim(x-&gt;-∞):f(x)</t>
  </si>
  <si>
    <t>f(x)严格单增，f(x)###&lt;###lim(x-&gt;+∞):f(x)，f(x)###&gt;###lim(x-&gt;-∞):f(x)</t>
  </si>
  <si>
    <t>被积函数含有对数ln的，除了###分部积分###，还能试试###倒代换###</t>
  </si>
  <si>
    <t>对数外补一个负号，内部变为###倒数###</t>
  </si>
  <si>
    <t>跷跷板不止ln(x)/(1+x)（20250522），还有###(arctan(x))'=(1/1+x²)###</t>
  </si>
  <si>
    <t>被积函数的保序性不能由定积分的大小关系倒推，因为可能有###割补###</t>
  </si>
  <si>
    <t>矩阵和的秩###小于等于###（大于等于/小于等于）矩阵秩的和</t>
  </si>
  <si>
    <t>矩阵积的秩###小于等于###（大于等于/小于等于）矩阵秩的最小</t>
  </si>
  <si>
    <t>矩阵的秩###小于等于###（大于等于/小于等于）矩阵行列数的最小</t>
  </si>
  <si>
    <t>矩阵AB=0（零矩阵），那么r(A)+r(B)###&lt;=###n（大小关系），其中，n是A和B的阶数</t>
  </si>
  <si>
    <t>当A或B不是方阵时，n取###A的列数/B的行数###</t>
  </si>
  <si>
    <t>A满秩，r(AB)=r(B)</t>
  </si>
  <si>
    <t>可逆矩阵可以看做###初等变换###组合</t>
  </si>
  <si>
    <t>###初等变换###不改变矩阵的秩</t>
  </si>
  <si>
    <t>A满秩，A是可逆变换，因此A不改变B的秩</t>
  </si>
  <si>
    <t>反推###不成立###（成立/不成立）</t>
  </si>
  <si>
    <t>A行满秩（r等于行数），那么Ax=b必有解（r(A)###=###r(A,b)）</t>
  </si>
  <si>
    <t>A的行向量组均###线性无关###（相关/无关）</t>
  </si>
  <si>
    <t>A,b相当于给A的行向量组###增加一个维度###</t>
  </si>
  <si>
    <t>线性无关的向量组###增加维度###（上述操作），###不改变###（改变/不改变）向量组的线性相关性</t>
  </si>
  <si>
    <t>求向量组的极大线性无关组</t>
  </si>
  <si>
    <t>向量按列排成矩阵</t>
  </si>
  <si>
    <t>对矩阵做###行变换###（行变换/列变换）</t>
  </si>
  <si>
    <t>用阶梯型判断哪些向量可以组成无关组</t>
  </si>
  <si>
    <t>特征向量必须是非零向量### ###（无需作答）</t>
  </si>
  <si>
    <t>伴随矩阵的定义：[Aij]，其中Aij（伴随矩阵中第i行第j列的元素）是对应第j行第i列元素的代数余子式，注意i和j的对应关系### ###（无需作答）</t>
  </si>
  <si>
    <t>相似有几个相同：###秩###（相似是一种等价）、###行列式###、###迹###、###特征值数值###、###代数重数###（特征多项式的根重数）、###几何重数###（(λE-A)x=0的基础解系个数）</t>
  </si>
  <si>
    <t>上三角阵的主对角元和对角阵一样，都是直接对应特征值和代数重数### ###（无需作答）</t>
  </si>
  <si>
    <t>当矩阵可相似对角化时，矩阵P可以用###特征向量###作为列向量构成，顺序与对角后的对角阵上###特征值###的顺序对应</t>
  </si>
  <si>
    <t>矩阵多项式的特征值经过对应多项式的变换后，其特征向量###不变###（改变/不变）</t>
  </si>
  <si>
    <t>矩阵的特征向量###也是###（也是/不是）矩阵多项式的特征向量</t>
  </si>
  <si>
    <t>齐次线性方程组的基础解系就是这个方程系数阵对应###特征值0###的###特征向量###</t>
  </si>
  <si>
    <t>正交阵的特征值的绝对值必为###1###</t>
  </si>
  <si>
    <t>不同特征值对应的特征向量组合后###不是###（是/不是）该矩阵的特征向量</t>
  </si>
  <si>
    <t>同特征值对应的特征向量组合后###是###（是/不是）该矩阵的特征向量</t>
  </si>
  <si>
    <t>实对称阵：如果总维度减去正交约束向量的维度后剩下的维度正好与待求特征向量对应特征值的几何重数相同，那么该正交约束求出的解向量就是待求特征向量</t>
  </si>
  <si>
    <t>四阶矩阵：1个1重根特征值对应1个特征向量作为正交约束，求一个2重根特征值的2个特征向量，可行？###不可行，因为还有一个正交约束不知道###</t>
  </si>
  <si>
    <t>四阶矩阵：1个2重根特征值对应2个特征向量作为正交约束，求一个2重根特征值的2个特征向量，可行？###可行###</t>
  </si>
  <si>
    <t>矩阵多项式能够算出特征值，但矩阵多项式并非特征多项式，重根信息（代数重数）是非对应的### ###（无需作答）</t>
  </si>
  <si>
    <t>矩阵每行之和为k：###有对应特征向量(1,1,1,1...1)的特征值k###</t>
  </si>
  <si>
    <t>配方法如果没有平方项只有交叉项，可以先做初步的换元：y1=###x1+x2###,y2=###x1-x2###</t>
  </si>
  <si>
    <t>正定二次型的顺序主子式###均正###</t>
  </si>
  <si>
    <t>可导点不可能同时为拐点和极值点### ###（无需作答）</t>
  </si>
  <si>
    <t>边界上的瑕点可以和无穷区间共存，只有内部的需要拆分，因为要保证极限会求到那个点### ###（无需作答）</t>
  </si>
  <si>
    <t>形状适合极坐标进行积分的一维定积分可以尝试用参数方程，dx=dx(t)=###x'(t)dt###</t>
  </si>
  <si>
    <t>极坐标包围面积的定积分：###(1/2)*Int(α,β):ρ(θ)²dθ###</t>
  </si>
  <si>
    <t>隐函数存在定理</t>
  </si>
  <si>
    <t>F(x,y)满足条件</t>
  </si>
  <si>
    <t>连续：###点邻域内连续###</t>
  </si>
  <si>
    <t>初值：###点在函数F=0的方程曲面上###，即###F(x0,y0)=0###</t>
  </si>
  <si>
    <t>偏导：###偏导数不为0###，即###F'x(x0,y0)≠0且F'y(x0,y0)≠0###</t>
  </si>
  <si>
    <t>存在唯一函数f(x)</t>
  </si>
  <si>
    <t>f(x0)=###y0###</t>
  </si>
  <si>
    <t>f(x)在x0的某个邻域内###一阶导连续###</t>
  </si>
  <si>
    <t>F(x,y)在上述邻域内恒有###F(x,f(x))=0###</t>
  </si>
  <si>
    <t>轮换对称的二重积分区域</t>
  </si>
  <si>
    <t>当对y=x对称时，(x,y)-&gt;###(y,x)###</t>
  </si>
  <si>
    <t>当对y=-x对称时，(x,y)-&gt;###(-y,-x)###</t>
  </si>
  <si>
    <t>转换后的f(x2,y2)如果等于-f(x1,y1)，则###二重积分为0###</t>
  </si>
  <si>
    <t>转换后的f(x2,y2)如果等于f(x1,y1)，则###二重积分被积函数可写成(f(x2,y2)+f(x1,y1))/2###</t>
  </si>
  <si>
    <t>用Ax=b来求向量组A线性表示向量b的系数x，则向量组A是以###列向量###构成系数阵A</t>
  </si>
  <si>
    <t>矩阵等价和列向量组等价完全无关</t>
  </si>
  <si>
    <t>列向量组等价不一定矩阵等价：矩阵等价还要求###同尺寸###，而向量组等价则只要###向量维度相同###，不要求###向量组内向量个数相同###</t>
  </si>
  <si>
    <t>矩阵等价不一定列向量组等价：矩阵等价只要求###秩###相同，等价变换前后的矩阵列向量是否###互相线性表示###则未必</t>
  </si>
  <si>
    <t>代数余子式展开：行列式D=###a11*A11+a12*A12+a13*A13###（第一行展开）=###a11*A11+a21*A21+a31*A31###（第一列展开）</t>
  </si>
  <si>
    <t>变种：k1*A11+k2*A12+k3*A13=###把第一行替换成k1,k2,k3###（第一行替换）；k1*A11+k2*A21+k3*A31=###把第一列替换成k1,k2,k3###（第一列替换）</t>
  </si>
  <si>
    <t>克莱默：xi=###(b1*A1i+b2*A2i+...+bn*Ani)/|A|###，其中Ax=b，b1,b2,...bn是向量b的元素，Aji是系数阵A第i行第j列的代数余子式</t>
  </si>
  <si>
    <t>无论A是否可逆，A*A伴随=###|A|*E###</t>
  </si>
  <si>
    <t>单位向量是指###模长###为1的向量，其自内积等于###1###</t>
  </si>
  <si>
    <t>相似矩阵特征值相同，特征值相同矩阵###未必###相似（一定/未必）</t>
  </si>
  <si>
    <t>而且也###未必###等价（一定/未必）</t>
  </si>
  <si>
    <t>只有###可对角化###的矩阵，秩才是非零特征值的个数</t>
  </si>
  <si>
    <t>r(ATA)=###r(A)###</t>
  </si>
  <si>
    <t>列向量与行向量乘积（外积）矩阵的秩###小于等于###1（大小关系）</t>
  </si>
  <si>
    <t>矩阵经过初等行变换，则###行###向量组等价；矩阵经过初等列变换，则###列###向量组等价</t>
  </si>
  <si>
    <t>两个方程三个未知数构成的齐次线性方程组，系数阵为A，基础解系个数为###3###-r(A)</t>
  </si>
  <si>
    <t>r(A)小于等于###2###，因此基础解系个数大于等于###1###，小于等于###3###</t>
  </si>
  <si>
    <t>Ax=b有两个不同的解=有无穷多解≠基础解系维度为2### ###（无需作答）</t>
  </si>
  <si>
    <t>原矩阵特征值0对应的伴随矩阵特征值是###0###</t>
  </si>
  <si>
    <t>“一个基础解系”指的是完整的一个基础解系，“基础解系的一族向量”指的是基础解系的一个基向量### ###（无需作答）</t>
  </si>
  <si>
    <t>不可逆矩阵A乘它自己的伴随阵A*必得到零矩阵</t>
  </si>
  <si>
    <t>这可以推出A*A=0</t>
  </si>
  <si>
    <t>即对应A的每一个列向量ai都有###A*ai=0###</t>
  </si>
  <si>
    <t>方程组和方程有公共解的充要条件是###方程组和方程联立的新方程组有解###</t>
  </si>
  <si>
    <t>一个特殊的例子：AB=0，A为2*4矩阵，r(A)=2，B为4*2矩阵，r(B)=2### ###（无需作答）</t>
  </si>
  <si>
    <t>左矩阵A的行向量无关，列向量相关</t>
  </si>
  <si>
    <t>右矩阵B的行向量相关，列向量无关</t>
  </si>
  <si>
    <t>矩阵的特征向量是其多项式的特征向量，反推###成立###（成立/不成立）</t>
  </si>
  <si>
    <t>特征值全0的矩阵必###幂0###，即###矩阵的2次及以上幂为0矩阵###</t>
  </si>
  <si>
    <t>证明矩阵相似：A和B同时###求相似标准型###</t>
  </si>
  <si>
    <t>可对角化，则###相似变换得到的对角阵###相同</t>
  </si>
  <si>
    <t>不可对角化，则###相似变换得到的Jordan标准型###相同</t>
  </si>
  <si>
    <t>证明仅二次项的二次型A是另一二次型B的标准型</t>
  </si>
  <si>
    <t>从A当中得到###特征值λi###</t>
  </si>
  <si>
    <t>确定B具有上述###特征值λi###</t>
  </si>
  <si>
    <t>按揭式求导本质是递推式求具体k（k一般不大于5）阶导的手段，不能用于求未知n阶导### ###（无需作答）</t>
  </si>
  <si>
    <t>伪微分方程求n阶导的题目信号：###试探性求一/二阶导后，等式右侧存在低阶导数/原函数###</t>
  </si>
  <si>
    <t>先求f(x)的一阶导</t>
  </si>
  <si>
    <t>然后在一阶导表达式里凑出f(x)</t>
  </si>
  <si>
    <t>式子全部移项到左侧，右侧=0</t>
  </si>
  <si>
    <t>等式左右同求n阶导，目的是###求出n2阶和n1阶导数的递推关系，n2&gt;n1###</t>
  </si>
  <si>
    <t>从有限低阶导出发，借###递推式###求出###通项式###</t>
  </si>
  <si>
    <t>看到acos(x)+bsin(x)，会想到凑###和角公式###</t>
  </si>
  <si>
    <t>曲线y=y(x)与x轴包围区域的形心公式推导</t>
  </si>
  <si>
    <t>cy=###Int2D:ydxdy/区域面积S###，cx=###Int2D:xdxdy/区域面积S###</t>
  </si>
  <si>
    <t>分子部分，二重积分转累次积分</t>
  </si>
  <si>
    <t>cy*S=###Int(0,最高点yh):(Int(最高点前半x1(y),最高点后半x2(y)):ydx)dy=Int(0,最高点yh):(x2(y)-x1(y))*ydy###</t>
  </si>
  <si>
    <t>交换积分次序（视情况，哪个好算用哪个）：cy*S=###Int(x轴交点x1,x轴交点x2):(Int(0,y(x):ydy)dx###=###Int(x轴交点x1,x轴交点x2):(y(x)²)/2dx###</t>
  </si>
  <si>
    <t>cx*S=###Int(x轴交点x1,x轴交点x2):(Int(0,y(x):xdy)dx###=###Int(x轴交点x1,x轴交点x2):y(x)*xdx###</t>
  </si>
  <si>
    <t>dy是△y的###微元###，同理，dx是△x的###微元###</t>
  </si>
  <si>
    <t>两者以###极限###联系：dy/dx=###lim(△x-&gt;0):△y/△x###</t>
  </si>
  <si>
    <t>全微分形式不变性</t>
  </si>
  <si>
    <t>①：z=f(u,v)，那么dz=###f'u*du+f'v*dv###</t>
  </si>
  <si>
    <t>②：z=f(u(x,y),v(x,y))，那么dz=###f'x*dx+f'y*dy###</t>
  </si>
  <si>
    <t>从①推到②，利用###du(x,y)=u'x*dx+u'y*dy###（以u方向为例）和已知的u(x,y)、v(x,y)、f(u,v)求出f'x，f'y</t>
  </si>
  <si>
    <t>从②推到①，利用###f'x=f'u*u'x+f'v*v'x###（以x方向为例）和已知的u(x,y)、v(x,y)、f'x、f'y求出f'u，f'v</t>
  </si>
  <si>
    <t>知道了f'u和f'v，就能用###偏积分###推f(u,v)</t>
  </si>
  <si>
    <t>极限保序/保号性适用于###严格###（严格/非严格）不等关系，且是由###极限存在且不等式###推出###函数的局部不等式###</t>
  </si>
  <si>
    <t>如果非要反推，只能从###严格###的###函数###不等关系得到###非严格###的###极限###不等关系</t>
  </si>
  <si>
    <t>单个点的函数值不影响定积分结果</t>
  </si>
  <si>
    <t>有界+间断点有限→###函数可积###</t>
  </si>
  <si>
    <t>可积函数构成的变限积分###连续###</t>
  </si>
  <si>
    <t>被积函数可积-&gt;被积函数###有界###</t>
  </si>
  <si>
    <t>变限积分增量（从x0到x)的积分小于等于###M*(x-x0)###，其中M为被积函数的上界</t>
  </si>
  <si>
    <t>x趋x0时（增量变窄），###M*(x-x0)###趋于0，变限积分增量的绝对值大于0，运用###夹逼###，推断变限积分增量随x趋x0而趋于###0###</t>
  </si>
  <si>
    <t>增量趋###0###的情况下，变限积分在x0的###函数值###与x趋x0处的###极限###相等，###连续###性得证</t>
  </si>
  <si>
    <t>积分会提升函数的光滑性### ###（感性认知，无需作答）</t>
  </si>
  <si>
    <t>变限积分的导数，实际上是###被积函数在该点处的极限###，而非###被积函数的函数值###，具体参考20240423笔记</t>
  </si>
  <si>
    <t>因此，被积函数间断，变限积分在间断点###可能###（可能/不可能）可导</t>
  </si>
  <si>
    <t>同一被积函数在不同区间上的原函数可能分段</t>
  </si>
  <si>
    <t>因为原函数必须###连续###，公式求原函数可能存在###间断点###</t>
  </si>
  <si>
    <t>牛顿-莱布尼兹法求定积分不止要看被积函数在区别是否连续，还要看###原函数是否连续###</t>
  </si>
  <si>
    <t>因为###原函数必连续####，否则就###不可导###，更不可能###导数###是被积函数的###极限####</t>
  </si>
  <si>
    <t>双侧无穷限积分的定义是###lim(A-&gt;+∞,B-&gt;-∞):Int(B,A):f(x)dx###</t>
  </si>
  <si>
    <t>###也可###（也可/不可）写作###lim(C-&gt;+∞):Int(-C,C):f(x)dx###</t>
  </si>
  <si>
    <t>因为求极限###必须分端###</t>
  </si>
  <si>
    <t>初等函数在定义域内均连续（注意可能用于二阶混合偏导连续则###相等###的性质）</t>
  </si>
  <si>
    <t>大部分不含有积分号的具体函数都是初等函数，具有###在定义域内连续###的特点</t>
  </si>
  <si>
    <t>分段函数只有###能够用单个初等表达式表示###才是初等函数</t>
  </si>
  <si>
    <t>若f(x)在x趋于x0时趋于a，那么对于任意的数b，总有###存在一个正数δ使得区间(x0-δ,x0+δ)上的f(x)介于a和b之间（按大小顺序）###</t>
  </si>
  <si>
    <t>推广至二元：若f(x,y)在x,y趋于x0,y0时趋于a，那么对于任意的数b，总有###存在一个δ使得区域sqrt(x²+y²)&lt;δ上的f(x,y)介于a和b之间（按大小顺序）###</t>
  </si>
  <si>
    <t>定义法证明点非极值的另一种手段（参考20240413）</t>
  </si>
  <si>
    <t>含f(x,y)的极限通过###脱帽法###得到含无穷小g(x,y)的准表达式</t>
  </si>
  <si>
    <t>将f(x,y)分成###f(非x0,y0)###和###f(x0,非y0)###</t>
  </si>
  <si>
    <t>设法正面分开的两个部分能夹住###f(x0,y0)###，则说明被夹住部分不是极值</t>
  </si>
  <si>
    <t>矩阵可交换性问题</t>
  </si>
  <si>
    <t>对角阵和对角阵###一定###（一定/未必）可交换</t>
  </si>
  <si>
    <t>对角阵和非对角阵###未必###（一定/未必）可交换</t>
  </si>
  <si>
    <t>利用一秩分解，满足r(A)=1的A=αβT</t>
  </si>
  <si>
    <t>则A^n=###αβT*αβT*αβT*...αβT###</t>
  </si>
  <si>
    <t>A^n=###α*k*k*...*βT###，其中k=βT*α</t>
  </si>
  <si>
    <t>A^n=###k^(n-1)*A###</t>
  </si>
  <si>
    <t>如果题目没说某矩阵可逆，矩阵方程中的矩阵不能假定存在逆矩阵### ###</t>
  </si>
  <si>
    <t>提问对应特征值λ的特征向量是什么，如果已经知道两个无关特征向量a1和a2，则应该回答###k1a1+k2a2，k1和k2不全为0###</t>
  </si>
  <si>
    <t>对于实对称阵，即使是同一个特征值给出的特征向量也有可能不正交的</t>
  </si>
  <si>
    <t>这种情况下，可以先求###与这两个向量正交的其它特征向量（这两个无关向量构成面的法向量）###</t>
  </si>
  <si>
    <t>但是对角化使用的正交变换阵还需要###检查给出向量的正交性，不满足时还要施密特正交化###</t>
  </si>
  <si>
    <t>基变换的过度矩阵是###右乘###原基而非坐标变换对应的###左乘###（左乘/右乘）</t>
  </si>
  <si>
    <t>ATA或AAT的积矩阵中元素是行向量与行向量的内积（同行或不同行）</t>
  </si>
  <si>
    <t>同行的内积####大等于###（大小关系）0，###不可能###（可能/不可能）小于0，###只有在全为0###时内积为0</t>
  </si>
  <si>
    <t>高斯消元后的齐次方程组系数阵，选取自由变量后，剩下的部分（去掉自由变量对应列）必须###满秩###才行</t>
  </si>
  <si>
    <t>也就意味着，从顶部往下开始的高度，必须###每个高度都保留一列才行###</t>
  </si>
  <si>
    <t>等价向量组的个数###未必###（一定/未必）相等</t>
  </si>
  <si>
    <t>齐次线性方程组的基础解系线性###无关###（无关/相关）</t>
  </si>
  <si>
    <t>变限积分求导时，被积函数里的面的求导变量要去干净才能代入上下限### ###</t>
  </si>
  <si>
    <t>含三角积分的万能代换又叫魏尔斯特拉斯代换，即令###tan(x/2)###=t进行换元</t>
  </si>
  <si>
    <t>系数的存在是为了###dt前的cos平方可以降幂###</t>
  </si>
  <si>
    <t>对称区间积分没有奇偶性的话，有可能是###利用区间对折缩小区间计算###</t>
  </si>
  <si>
    <t>最好用x=###-t###的方式换元</t>
  </si>
  <si>
    <t>分部积分需要求导的部分要全部打包在一起求导### ###</t>
  </si>
  <si>
    <t>碰到“积不出来”不要想着求原函数（或者分部积分/凑微分），在保留原积分式的情况下，通过###区间变换和三角变换###等方法来求解</t>
  </si>
  <si>
    <t>f(sin(x))和f(cos(x))能够在###2kpi到2kpi+pi/2###上进行互换</t>
  </si>
  <si>
    <t>任意两个定积分的相乘可以看做两个独立变量的重积分### ###</t>
  </si>
  <si>
    <t>欧拉方程的特征：###y导数的阶数与x的幂次匹配相乘再相加###</t>
  </si>
  <si>
    <t>若微分方程的解是分段函数，则在分段点处，解函数和####解函数的导数####均连续</t>
  </si>
  <si>
    <t>正交阵的特征值只能是###1或-1###</t>
  </si>
  <si>
    <t>向量的线性相关/无关问题中，试着考虑被判定的向量是否为###零向量###的可能</t>
  </si>
  <si>
    <t>向量组线性无关性证明，第一反应是列###k1a1+k2a2+...+knan=0###，然后尝试证明###ki全0###</t>
  </si>
  <si>
    <t>ATAx=0###能够###（能够/不能够）推出Ax=0</t>
  </si>
  <si>
    <t>因为###左右同乘xT可得(Ax)TAx=0,即Ax的模长为0###</t>
  </si>
  <si>
    <t>矩阵转置的逆###等于###（等于/不等于）逆矩阵的转置</t>
  </si>
  <si>
    <t>二次型xTAx正定的充要条件有一个，存在可逆矩阵B满足A=BTB</t>
  </si>
  <si>
    <t>充分：xTAx=###(Bx)TBx###，即###Bx自内积，必大等于0（非零向量必大于0）###</t>
  </si>
  <si>
    <t>必要：对角化后，对角线上的特征值全部###开平方###</t>
  </si>
  <si>
    <t>特征值###一定###（一定/未必）是零化多项式的根，零化多项式的根###未必###（一定/未必）是特征值</t>
  </si>
  <si>
    <t>存在多变量，共同依赖主变量，已知某时刻的多变量（但不知道主变量），求目标变量对主变量的变化率</t>
  </si>
  <si>
    <t>需要注意，给定的条件要完全利用，要想办法把所有条件全部“嵌入”解题的公式中### ###</t>
  </si>
  <si>
    <t>注意，在定积分的极限定义形式中也可能存在抓大头，这会导致i/n不以显式存在### ###</t>
  </si>
  <si>
    <t>微分方程的特征多项式会有复根，完全奇数次方等于正数，并不意味着开奇数次方就是正数，需要进行因式分解</t>
  </si>
  <si>
    <t>因式分解到二次式为止，不要让变量超过2次存在### ###</t>
  </si>
  <si>
    <t>从1到n的平方和公式：1²+2²+...+n²=###n(n+1)(2n+1)/6###</t>
  </si>
  <si>
    <t>基于裂项相消</t>
  </si>
  <si>
    <t>n²=###(n+1)*n-n###</t>
  </si>
  <si>
    <t>1²+2²+...+n²=###1*2+2*3+3*4+...+n*(n+1)###-###(1+2+3+...+n)###</t>
  </si>
  <si>
    <t>1*2+2*3+3*4+...+n*(n+1)=###(1*2*3-0*1*2+2*3*4-1*2*3+...+n*(n+1)*(n+2))###/3</t>
  </si>
  <si>
    <t>1*2+2*3+3*4+...+n*(n+1)=###(n*(n+1)*(n+2)-0*1*2)###/3=###n*(n+1)*(n+2)/3###</t>
  </si>
  <si>
    <t>1²+2²+...+n²=###n*(n+1)*(n+2)/3###-###n(n+1)/2###</t>
  </si>
  <si>
    <t>看到连加的处理方式</t>
  </si>
  <si>
    <t>如果是极限+连加，大概率是###定积分定义###</t>
  </si>
  <si>
    <t>如果没有，而且存在一个连加加上一个定积分，这个定积分还具有###与连加范围对应的积分区间###</t>
  </si>
  <si>
    <t>那么这种情况，就是###对定积分进行区间拆分，且拆分后每一部分与连加整合###</t>
  </si>
  <si>
    <t>定积分估值定理的使用信号：### ###</t>
  </si>
  <si>
    <t>区间长度能够明确</t>
  </si>
  <si>
    <t>区间上的被积函数上下限明确</t>
  </si>
  <si>
    <t>常见的情况，单调</t>
  </si>
  <si>
    <t>遇到震荡收敛的，可以用子列单调（奇序列或偶序列）来证明### ###</t>
  </si>
  <si>
    <t>左右导数存在分别可推###左连续###和###右连续###，因此左右导数均存在的点###必连续###</t>
  </si>
  <si>
    <t>如果极限的因式存在趋向点连续的g(x)，那么这个g(x)可以直接提出放在极限外边### ###</t>
  </si>
  <si>
    <t>类似对数螺线这种转化为直角坐标后很难求dy/dx的曲线，可以用###x(r,θ)和y(r,θ)的参数方程求出dx/dθ和dy/dθ，再用dy/dθ除以dx/dθ###来间接求解dy/dx</t>
  </si>
  <si>
    <t>k次多项式的零点最多为###k###个</t>
  </si>
  <si>
    <t>问方程有几实根的常规做法</t>
  </si>
  <si>
    <t>看###奇偶性###，节省一半时间</t>
  </si>
  <si>
    <t>算f(0)、f'(0)、Lim(x-&gt;±∞):f'(x)</t>
  </si>
  <si>
    <t>算出f''(x)并证明其###在某区间上恒正/负###</t>
  </si>
  <si>
    <t>根据f'(0)、Lim(x-&gt;±∞):f'(x)推测出###f'(x)正负区间###，即###f(x)单调性###</t>
  </si>
  <si>
    <t>如果能直接看出f(x)驻点，也可直接根据###驻点划分+试探代入###得到上述信息</t>
  </si>
  <si>
    <t>根据###f(x)单调性###和f(0)推出区间端点处的f(x)符号，比如先增后减，f(0)=0，那么在驻点处f(x0)&gt;0</t>
  </si>
  <si>
    <t>算出Lim(x-&gt;±∞):f(x)的符号，配合驻点处f(x0)的符号决定###x0到无穷远之间是否有根###</t>
  </si>
  <si>
    <t>是否具有原函数的判断</t>
  </si>
  <si>
    <t>连续：具有原函数</t>
  </si>
  <si>
    <t>具有第一类间断点：不具有原函数</t>
  </si>
  <si>
    <t>具有第二类间断点：可能有原函数</t>
  </si>
  <si>
    <t>无穷：f(x)=###1/x###</t>
  </si>
  <si>
    <t>震荡：f(x)=###2x*sin(1/x)-cos(1/x),x≠0;0,x=0###</t>
  </si>
  <si>
    <t>周期函数各周期上的积分###一定###（一定/未必）相同</t>
  </si>
  <si>
    <t>针对倾斜旋转轴的求解方法</t>
  </si>
  <si>
    <t>先平移图形使得旋转轴过原点</t>
  </si>
  <si>
    <t>图形方程转为极坐标方程</t>
  </si>
  <si>
    <t>极坐标的θ变化：顺时针转φ，那么式子里写###θ+φ###；逆时针转φ，那么式子里写###θ-φ###；</t>
  </si>
  <si>
    <t>转换回直角坐标，然后再求旋转体公式</t>
  </si>
  <si>
    <t>注意ρ的###非负###性可能会限制y和x的范围</t>
  </si>
  <si>
    <t>以及，转换回直角坐标后的是###方程###，函数y(x)可能###只有其中一只###，需要配合图形分析</t>
  </si>
  <si>
    <t>更简单的方法（背公式）：###2pi*Int2D:r(x,y)²dxdy###</t>
  </si>
  <si>
    <t>r(x,y)即###点(x.y)到旋转轴的距离###（几何含义）</t>
  </si>
  <si>
    <t>r(x,y)等于###|ax+by+c|/sqrt(a²+b²)###（假设旋转轴直线方程为ax+by+c=0）</t>
  </si>
  <si>
    <t>什么时候需要以x(y)为函数、y为自变量来求解微分方程？</t>
  </si>
  <si>
    <t>含y'的###高次非线性###项（比如###y'的立方###）</t>
  </si>
  <si>
    <t>出现含有y为自变量的###复杂代数结构###，比如exp(2y)</t>
  </si>
  <si>
    <t>就近原则：给的条件像什么，就优先尝试什么</t>
  </si>
  <si>
    <t>比如，给了一个分母sqrt(x²+y²)的分式多元极限，就要优先往###可微###上靠</t>
  </si>
  <si>
    <t>即使问题目的是偏导相关，也是优先从###可微###来推出###偏导存在###，而不是用极限变形凑偏导定义</t>
  </si>
  <si>
    <t>多元可微定义推偏导存在性的一个细节</t>
  </si>
  <si>
    <t>分母sqrt(x²+y²)在其中一个变量固定0（常见情况，作为假设1）后，会变成###|x|或|y|###</t>
  </si>
  <si>
    <t>分子f(x,0)-f(0,0)或f(0,y)-f(0,0)（f(0,0)一般取0，假设2）化简结果f(x,0)或f(0,y)</t>
  </si>
  <si>
    <t>如果f(x,0)或f(0,y)是分母的高阶无穷小，可以认为偏导###存在###（存在/不存在）</t>
  </si>
  <si>
    <t>如果f(x,0)或f(0,y)是分母的同阶无穷小，但具有###互为相反数的左右极限###时，可以认为偏导存在</t>
  </si>
  <si>
    <t>否则，偏导不存在</t>
  </si>
  <si>
    <t>u=f(x,y,z)，同时z也是由方程F(x,y,z)=0决定的，要求du</t>
  </si>
  <si>
    <t>一种思路是把z看成z(x,y)</t>
  </si>
  <si>
    <t>du=u'x*dx+u'y*dy</t>
  </si>
  <si>
    <t>计算u'x和u'y时把z(x,y)作为嵌套u(x,y,z(x,y))的内函数</t>
  </si>
  <si>
    <t>上述链式法则计算时引用z(x,y)和z'x、z'y</t>
  </si>
  <si>
    <t>另一种思路是把z看成u的独立变量</t>
  </si>
  <si>
    <t>du=###u'x*dx+u'y*dy+u'z*dz###</t>
  </si>
  <si>
    <t>计算u'x和u'y时把z看成###无关x、y而存在于u的第三个变量###</t>
  </si>
  <si>
    <t>再单独计算dz=###z'x*dx+z'y*dy###</t>
  </si>
  <si>
    <t>积分的绝对值###小于等于###（大小关系）绝对值的积分</t>
  </si>
  <si>
    <t>真0也是无穷小，因此无穷小会讨论其是否为真0### ###</t>
  </si>
  <si>
    <t>AT的特征值和A的特征值###相同###，对应特征值的特征向量###不一定相同###</t>
  </si>
  <si>
    <t>二次型正定：</t>
  </si>
  <si>
    <t>充要条件：</t>
  </si>
  <si>
    <t>任意不为0的向量x，满足###xTAx&gt;0###</t>
  </si>
  <si>
    <t>A的特征值###均正###</t>
  </si>
  <si>
    <t>n阶矩阵A的正惯性指数为###n###</t>
  </si>
  <si>
    <t>A的###顺序主子式###均大于0</t>
  </si>
  <si>
    <t>A与###同阶单位阵###合同</t>
  </si>
  <si>
    <t>必要不充分：</t>
  </si>
  <si>
    <t>|A|&gt;0</t>
  </si>
  <si>
    <t>因为###偶数阶负定也行###</t>
  </si>
  <si>
    <t>A的主对角元素均大于0</t>
  </si>
  <si>
    <t>不充分：因为###主对角元素大于0的矩阵，其标准型未必正定###</t>
  </si>
  <si>
    <t>必要：因为###xTAx&gt;0,eiTAei=aii&gt;0，即主对角元均正###</t>
  </si>
  <si>
    <t>A²的特征向量###未必###（一定/未必）是A的特征向量</t>
  </si>
  <si>
    <t>考虑：A²x=λx→Ax=λx，其中###A²中的一个A消不掉###</t>
  </si>
  <si>
    <t>关键是###A的可逆性不能保证###</t>
  </si>
  <si>
    <t>伴随阵的特征向量###未必###（一定/未必）是A的特征向量</t>
  </si>
  <si>
    <t>考虑：A*x=λx，AA*x=λAx，|A|Ex=|A|x=λAx，###Ax=|A|x/λ不成立###</t>
  </si>
  <si>
    <t>关键是###λ有可能是0，不能作为分母###</t>
  </si>
  <si>
    <t>合同变换法求二次标准型（及变换矩阵）</t>
  </si>
  <si>
    <t>类似初等变换法，但是每对列进行一次变换，就###对行进行对应的变换###</t>
  </si>
  <si>
    <t>直到原矩阵###变为标准型###</t>
  </si>
  <si>
    <t>复合函数f(g(x))求极限的重要条件</t>
  </si>
  <si>
    <t>在x趋x0的时候，###存在使得g(x)≠lim(x-&gt;x0):g(x)的关于x0的某个去心邻域###</t>
  </si>
  <si>
    <t>这时，lim(x-&gt;x0):f(g(x))=lim(t-&gt;lim(x-&gt;x0):g(x)):f(t)</t>
  </si>
  <si>
    <t>反例：###g(x)=a,x≠x0;g(x)=b,x=x0###</t>
  </si>
  <si>
    <t>这种情况下，lim(x-&gt;x0):g(x)=###a###</t>
  </si>
  <si>
    <t>但是，不存在x0的去心邻域，使得###g(x)≠a###</t>
  </si>
  <si>
    <t>如果一个分段函数在分段点处连续，且###连续分段的导数在趋向分段点处的左右极限存在且相等###</t>
  </si>
  <si>
    <t>那么该分段函数在该分段点可导，且导数等于###连续分段的导数在趋向分段点处的极限###</t>
  </si>
  <si>
    <t>数据通路是###CPU内部，各功能部件之间###（位置）用来###传送信息###（功能）的###线路###（组成1）和###相关逻辑部件###（组成2）的总称</t>
  </si>
  <si>
    <t>因此，数据通路包含了ALU（对/错）###对###</t>
  </si>
  <si>
    <t>数据在指令过程中经历的【路径】和【路径上的部件】</t>
  </si>
  <si>
    <t>因此，负责指挥的控制元件，比如CU###不属于###（属于/不属于）数据通路</t>
  </si>
  <si>
    <t>CF和OF标志位的作用</t>
  </si>
  <si>
    <t>CF：###无符号数加减是否进位/借位###</t>
  </si>
  <si>
    <t>如果原数有负数，先看成###无符号正数###，再按照下述规则判断</t>
  </si>
  <si>
    <t>如果原数都是正数，那么当以下情况发生时，触发CF=1</t>
  </si>
  <si>
    <t>减法：###小正减大正为负###</t>
  </si>
  <si>
    <t>加法：###表示范围超出无符号正数范围###</t>
  </si>
  <si>
    <t>OF：###有符号数加减是否溢出（超出表示范围）###</t>
  </si>
  <si>
    <t>用户时间：###程序在CPU运行完成所需要的时间###</t>
  </si>
  <si>
    <t>计算方法：程序的指令个数###除以IPS###</t>
  </si>
  <si>
    <t>IPS：通过###时钟频率除CPI###得到</t>
  </si>
  <si>
    <t>总线传输主存块流程：</t>
  </si>
  <si>
    <t>###MAR通过总线传输地址给内存###</t>
  </si>
  <si>
    <t>###主存准备数据###</t>
  </si>
  <si>
    <t>###主存通过总线传输数据给MDR###</t>
  </si>
  <si>
    <t>中断的流程### ###</t>
  </si>
  <si>
    <t>外设的异步请求阶段</t>
  </si>
  <si>
    <t>CPU的指令执行阶段</t>
  </si>
  <si>
    <t>中断控制器负责中断判优与屏蔽检查</t>
  </si>
  <si>
    <t>CPU进行中断检测</t>
  </si>
  <si>
    <t>CPU进入中断周期（为中断服务做准备）</t>
  </si>
  <si>
    <t>CPU进行中断服务</t>
  </si>
  <si>
    <t>微内核相比宏内核更###安全###（安全/不安全）</t>
  </si>
  <si>
    <t>原因1：###牺牲业务兼容严格校验，减小攻击面###</t>
  </si>
  <si>
    <t>原因2：###避免横向攻击###</t>
  </si>
  <si>
    <t>执行转就绪的三种情况</t>
  </si>
  <si>
    <t>时间片耗尽</t>
  </si>
  <si>
    <t>高优先进入就绪</t>
  </si>
  <si>
    <t>###进程主动放弃CPU###</t>
  </si>
  <si>
    <t>索引节点是指文件系统中的一种数据结构</t>
  </si>
  <si>
    <t>每个索引节点保存了文件系统中的一个文件系统对象的元信息数据，###不包括###（包含/不包含）数据内容或者文件名。</t>
  </si>
  <si>
    <t>内存索引节点是存放在内存中的索引节点，文件被打开时，需要将磁盘索引节点复制到内存索引节点中</t>
  </si>
  <si>
    <t>进程关闭打开的文件时，需释放打开文件的索引节点所占的内存空间。</t>
  </si>
  <si>
    <t>MMU地址翻译只是将逻辑地址转换虚拟地址，不涉及访存</t>
  </si>
  <si>
    <t>因此，会涉及###TLB###、###缺页###检查</t>
  </si>
  <si>
    <t>其中，###缺页###可能是正常现象，也可能是###页表越界###或###权限不足###</t>
  </si>
  <si>
    <t>不会检查###Cache###</t>
  </si>
  <si>
    <t>单重中断在处理中断时是全程关中断的### ###</t>
  </si>
  <si>
    <t>即使是同一进程的线程，他们的栈也是各自独立不能互相访问的### ###</t>
  </si>
  <si>
    <t>键盘输入</t>
  </si>
  <si>
    <t>首先会将数据发送到键盘控制器的数据寄存器中</t>
  </si>
  <si>
    <t>当键盘控制器的数据寄存器接收到数据后，它会触发一个中断请求 (IRQ1)，通知 CPU 有数据等待处理</t>
  </si>
  <si>
    <t>如果CPU响应中断请求，会执行键盘中断服务例程</t>
  </si>
  <si>
    <t>在中断服务例程中，CPU 从键盘控制器的数据寄存器读取输入数据，并将其存放到内核缓冲区中。</t>
  </si>
  <si>
    <t>用户程序通过系统调用，把内核缓冲区的数据读取到用户进程的内存空间</t>
  </si>
  <si>
    <t>数据路线：###键盘控制器的数据寄存器###→###内核缓冲区###</t>
  </si>
  <si>
    <t>TCP连接建立时如果之后有###客户端基于TCP协议的上层协议动作###</t>
  </si>
  <si>
    <t>就会触发###捎带确认###，使得###第三次握手客户端发送ACK与基于TCP的上层业务同时发送###</t>
  </si>
  <si>
    <t>比如###HTTP请求###</t>
  </si>
  <si>
    <t>这种情况下，计算TCP连接建立的耗时，算###1###个RTT</t>
  </si>
  <si>
    <t>虚拟文件系统主要是用于###兼容不同文件系统，比如EXT和NTFS###</t>
  </si>
  <si>
    <t>文件的访问权限信息是存放在###索引节点内###，而非目录文件</t>
  </si>
  <si>
    <t>目录文件记录：###文件名###、###索引节点号###</t>
  </si>
  <si>
    <t>内存映射文件确实实现了页面到磁盘块的映射。### ###</t>
  </si>
  <si>
    <t>操作系统会将文件内容映射到内存页面，并在需要时将页面与磁盘块进行交换。</t>
  </si>
  <si>
    <t>二进制指数退避</t>
  </si>
  <si>
    <t>退避次数小等于###10###，那么k是###退避次数###</t>
  </si>
  <si>
    <t>退避次数大于###10###，那么k###固定为10###</t>
  </si>
  <si>
    <t>退避时长=n*###RTT###</t>
  </si>
  <si>
    <t>n=###[0,(2^k)-1]</t>
  </si>
  <si>
    <t>主机通过DHCP租赁IP，需要使用###广播###进行Request</t>
  </si>
  <si>
    <t>此时的源IP地址：###0.0.0.0###</t>
  </si>
  <si>
    <t>邮件协议</t>
  </si>
  <si>
    <t>发送：###SMTP###</t>
  </si>
  <si>
    <t>收取：###POP3###</t>
  </si>
  <si>
    <t>转发：###SMTP###</t>
  </si>
  <si>
    <t>AOE关键事件的时间余量计算</t>
  </si>
  <si>
    <t>先按顶点列表，列出每个节点（事件）的###最早发生时间###和###最迟发生时间###</t>
  </si>
  <si>
    <t>先计算每个节点的###最早发生时间###，从###起###点到###终###点算，多个路径的值取较###大###的,否则###干等###</t>
  </si>
  <si>
    <t>###终###点的###最早发生时间###和###最迟发生时间###相等</t>
  </si>
  <si>
    <t>后计算每个节点的###最迟发生时间###，从###终###点到###起###点算，多个路径的值取较###小###的，否则###延误###</t>
  </si>
  <si>
    <t>每个边（活动）的时间余量=###终点的最迟发生时间-起点的最早发生时间-这个活动要花多久###</t>
  </si>
  <si>
    <t>编译过程</t>
  </si>
  <si>
    <t>预处理→###编译###→###汇编###→###链接###</t>
  </si>
  <si>
    <t>进程数量对CPU利用率的影响：</t>
  </si>
  <si>
    <t>太少：###IO导致空闲太多，利用率低###</t>
  </si>
  <si>
    <t>适中：###几乎不空闲，利用率高###</t>
  </si>
  <si>
    <t>太多：###资源竞争过于激烈，甚至死锁，利用率低###</t>
  </si>
  <si>
    <t>OS初始化流程### ###</t>
  </si>
  <si>
    <t>内核自身初始化</t>
  </si>
  <si>
    <t>内存空间初始化（划分代码段、数据段、堆栈，初始化内核全局变量）</t>
  </si>
  <si>
    <t>开启CPU模式（32位/64位）和MMU</t>
  </si>
  <si>
    <t>硬件初始化</t>
  </si>
  <si>
    <t>IVT/IDT（中断向量/中断描述表）初始化（绑定中断号与中断服务）</t>
  </si>
  <si>
    <t>初始化定时器、DMA控制器、枚举PCI总线、识别加载键鼠驱动</t>
  </si>
  <si>
    <t>核心子系统初始化（四大管理）</t>
  </si>
  <si>
    <t>注意，只初始化管理框架，被管理的信息创建不在这时发生</t>
  </si>
  <si>
    <t>用户环境初始化</t>
  </si>
  <si>
    <t>系统服务（网络、打印、日志）</t>
  </si>
  <si>
    <t>登录和用户进程创建</t>
  </si>
  <si>
    <t>系统调用时，负责切换内核态的是###CPU###，而不是操作系统</t>
  </si>
  <si>
    <t>原因：###syscall执行前还在用户态，syscall发生时CPU自动切换，之后才跳转到系统的代码###</t>
  </si>
  <si>
    <t>驱动程序相关</t>
  </si>
  <si>
    <t>驱动程序与IO方式###有关###（相关/无关）</t>
  </si>
  <si>
    <t>驱动负责初始化设备</t>
  </si>
  <si>
    <t>驱动负责读写设备</t>
  </si>
  <si>
    <t>驱动运行时，可能由于设备忙碌而导致驱动进程阻塞</t>
  </si>
  <si>
    <t>Dijkstra算法（从起点A到其它顶点）</t>
  </si>
  <si>
    <t>先按顶点列出一个表格，共三列：顶点名称、###起点到这些顶点的距离###、###到达这些顶点的前一个顶点###</t>
  </si>
  <si>
    <t>初始值：顶点名称、###除了起点是0，其它都是∞###、###空白，什么也没有###</t>
  </si>
  <si>
    <t>再来一个优先队列（堆），用于存储###目前正在计算的顶点###及###该点到起点的最短距离###</t>
  </si>
  <si>
    <t>堆排序的依据是###堆元素顶点到起点的最短路径长度###</t>
  </si>
  <si>
    <t>核心循环流程：</t>
  </si>
  <si>
    <t>出队堆中###到起点距离最小###的顶点P</t>
  </si>
  <si>
    <t>遍历P的###所有未曾出队过###的邻接节点</t>
  </si>
  <si>
    <t>有向图里，仅遍历###P指向###的邻接节点，不遍历###指向P###的邻接节点</t>
  </si>
  <si>
    <t>计算起点-&gt;P-&gt;邻居的路径长度，与邻居当前的###起点到这些顶点的距离###对比</t>
  </si>
  <si>
    <t>因为P-&gt;邻居相邻，采用###二者相连边的权重###</t>
  </si>
  <si>
    <t>起点-&gt;P的距离采用###表格中的值###</t>
  </si>
  <si>
    <t>如果计算出来的更短，更新###起点到这些顶点的距离###，将###到达这些顶点的前一个顶点###设置为P，###该邻居###入队</t>
  </si>
  <si>
    <t>如果计算出来的更长，处理###什么也不做###</t>
  </si>
  <si>
    <t>B树</t>
  </si>
  <si>
    <t>核心定义</t>
  </si>
  <si>
    <t>本质：多路平衡查找树</t>
  </si>
  <si>
    <t>多路：###一个节点有2个以上的子节点###</t>
  </si>
  <si>
    <t>平衡：###所有叶子都在同一高度###</t>
  </si>
  <si>
    <t>用途：外部查找的索引，减少磁盘IO次数（扁平化）</t>
  </si>
  <si>
    <t>术语：M阶B树</t>
  </si>
  <si>
    <t>每个节点最多###M个子节点###</t>
  </si>
  <si>
    <t>每个节点内最多###M-1个关键字###</t>
  </si>
  <si>
    <t>规则</t>
  </si>
  <si>
    <t>关键字数量规则</t>
  </si>
  <si>
    <t>上限：根节点外，关键字数&lt;=###M-1###</t>
  </si>
  <si>
    <t>下限：根节点外，关键字数&gt;=###ceil(M/2)-1###</t>
  </si>
  <si>
    <t>结构规则</t>
  </si>
  <si>
    <t>所有叶子###都在同一高度（树高从根开始增加，根为1）###</t>
  </si>
  <si>
    <t>节点内关键字###有序排列（左子树关键字&lt;分叉间隔关键字&lt;右子树关键字）###</t>
  </si>
  <si>
    <t>操作</t>
  </si>
  <si>
    <t>插入操作</t>
  </si>
  <si>
    <t>基本插入</t>
  </si>
  <si>
    <t>从根到叶子找插入位置（参考BST）</t>
  </si>
  <si>
    <t>插入后如果违反关键字个数规则，则触发分裂</t>
  </si>
  <si>
    <t>分裂</t>
  </si>
  <si>
    <t>提拔：第###ceil(M/2)###个元素到父节点，对应分叉起点的位置</t>
  </si>
  <si>
    <t>分裂：原节点分裂为左右两个节点</t>
  </si>
  <si>
    <t>特殊情况：根节点分裂，树高+1（唯一增加树高的方式）</t>
  </si>
  <si>
    <t>删除操作</t>
  </si>
  <si>
    <t>基本删除</t>
  </si>
  <si>
    <t>从根到叶子找删除元素（参考BST）</t>
  </si>
  <si>
    <t>删除后如果违反关键字个数规则，则触发修复</t>
  </si>
  <si>
    <t>修复（叶子，非叶参考20251107）</t>
  </si>
  <si>
    <t>向###兄弟节点###借关键字</t>
  </si>
  <si>
    <t>最终是###兄弟###少了，但是是通过###父亲###向###兄弟###借</t>
  </si>
  <si>
    <t>左弟借###最大###，右兄借###最小###</t>
  </si>
  <si>
    <t>###兄弟###家也没有余粮</t>
  </si>
  <si>
    <t>与###兄弟###和###父亲的中间关键字###合并</t>
  </si>
  <si>
    <t>特殊情况：根节点合并，树高-1（唯一减少树高的方式）</t>
  </si>
  <si>
    <t>这种情况下，合并后的变成新根</t>
  </si>
  <si>
    <t>缓存</t>
  </si>
  <si>
    <t>地址拆分：低位=###块内偏移###，中间=###组号###，高位=###标记位###</t>
  </si>
  <si>
    <t>映射：</t>
  </si>
  <si>
    <t>直接映射=###根据块号来放置内存块###</t>
  </si>
  <si>
    <t>全相联=###没有规律，想放就放，看标记来确定是不是要的###</t>
  </si>
  <si>
    <t>组相联=###几个缓存块为一组，同组内全相联，遍历组内的标记位###</t>
  </si>
  <si>
    <t>存储信息：数据、标记位、有效位、脏位、一致性位</t>
  </si>
  <si>
    <t>标记位：###确认这个是目标内存块###</t>
  </si>
  <si>
    <t>有效位：###这个块的数据是否准备好或者是否失效（内存更新了）###</t>
  </si>
  <si>
    <t>脏位：###这个数据在缓存被修改过，需要更新到内存###</t>
  </si>
  <si>
    <t>一致位：###多处理器的数据一致性###</t>
  </si>
  <si>
    <t>写命中策略：</t>
  </si>
  <si>
    <t>回写法：###脏位=1不立即改内存，缓存被换出前做push###</t>
  </si>
  <si>
    <t>写直达：###同步修改，脏位无用，不延迟写内存###</t>
  </si>
  <si>
    <t>写不命中策略：</t>
  </si>
  <si>
    <t>写分配：###改了就很有可能用，干脆提前载入缓存###</t>
  </si>
  <si>
    <t>不分配：###不杞人忧天###</t>
  </si>
  <si>
    <t>子网划分规则</t>
  </si>
  <si>
    <t>VLSM 划分规则</t>
  </si>
  <si>
    <t>允许 ### 子网掩码长度不同 ###（填写 VLSM 的掩码特点）</t>
  </si>
  <si>
    <t>同一子网的所有地址必须 ### 共有同前缀 ###（填写同一子网地址的要求）</t>
  </si>
  <si>
    <t>地址覆盖规则</t>
  </si>
  <si>
    <t>划分的 N 个子网必须 ### 连续 ###（填写子网的分布要求）</t>
  </si>
  <si>
    <t>必须 ### 覆盖全网全部地址 ###（填写地址覆盖的范围要求）</t>
  </si>
  <si>
    <t>子网冲突规则</t>
  </si>
  <si>
    <t>每个子网的地址 ### 不能有重叠 ###（填写子网地址的冲突要求）</t>
  </si>
  <si>
    <t>有效载荷最大传输效率### ###</t>
  </si>
  <si>
    <t>考察对象：###端到端###（传输层）</t>
  </si>
  <si>
    <t>有效载荷：###应用层数据###</t>
  </si>
  <si>
    <t>其它数据：###传输层封装的头部和尾部###</t>
  </si>
  <si>
    <t>例题：12B应用层，用TCP和UDP发送</t>
  </si>
  <si>
    <t>TCP：12B+TCP头20B=###32B###</t>
  </si>
  <si>
    <t>UDP：12B+UDP头8B=###20B###</t>
  </si>
  <si>
    <t>TCP效率：12/32=###37.5%###</t>
  </si>
  <si>
    <t>UDP效率：12/20=###60%###</t>
  </si>
  <si>
    <t>TCP头长度会变，最小###20B###，最大###60B###（用来算最小传输效率）</t>
  </si>
  <si>
    <t>CLOCK算法### ###</t>
  </si>
  <si>
    <t>基础CLOCK</t>
  </si>
  <si>
    <t>检测###使用位###</t>
  </si>
  <si>
    <t>使用位=###0###即最近未使用</t>
  </si>
  <si>
    <t>使用位=###1###即最近有使用</t>
  </si>
  <si>
    <t>若使用位=###1###</t>
  </si>
  <si>
    <t>使用位设置=###0###（门票打孔）</t>
  </si>
  <si>
    <t>若使用位=###0###</t>
  </si>
  <si>
    <t>###换出###（没有门票就滚）</t>
  </si>
  <si>
    <t>新页面使用位=###1###</t>
  </si>
  <si>
    <t>改进CLOCK</t>
  </si>
  <si>
    <t>第一轮扫描</t>
  </si>
  <si>
    <t>扫出修改和使用都为###0###的进行置换</t>
  </si>
  <si>
    <t>不修改使用位</t>
  </si>
  <si>
    <t>如果没有符合的才进行第二轮</t>
  </si>
  <si>
    <t>第二轮扫描</t>
  </si>
  <si>
    <t>扫出使用###0###、修改###1###的页面的进行置换</t>
  </si>
  <si>
    <t>如果使用位为###1###，无论修改位如何，使用位都置###0###</t>
  </si>
  <si>
    <t>换入新页面的处理</t>
  </si>
  <si>
    <t>使用位=###1###</t>
  </si>
  <si>
    <t>修改位=###0###</t>
  </si>
  <si>
    <t>###修改位###不会主动被置换算法改变</t>
  </si>
  <si>
    <t>修改位不会主动被置换算法改变</t>
  </si>
  <si>
    <t>拥塞控制### ###</t>
  </si>
  <si>
    <t>慢启动：从###1###开始，每收到一个有效ACK，cwnd增加###1###，直到到达###ssthresh###（初始###16###）</t>
  </si>
  <si>
    <t>由于发送和确认同步增加，实际效果是每个RTT轮次，cwnd###指数增长###</t>
  </si>
  <si>
    <t>避拥塞：增长放缓变为###线性###，且无论收到多少ACK，每###1RTT###增长###一个MSS###，直到第一次重传事件发生</t>
  </si>
  <si>
    <t>重传：只要发生重传，无论是超时还是快重传，都将ssthresh设置为当前cwnd的###一半###</t>
  </si>
  <si>
    <t>快重传：连续收到###三个###相同的确认序号，那么cwnd设置为###ssthresh###，之后的增长采取###避拥塞###</t>
  </si>
  <si>
    <t>超时重传：超过确认计时器，那么cwnd设置为###1###，之后的增长采取###慢启动###</t>
  </si>
  <si>
    <t>既没有三个连续相同确认也没有超时重传，那就一直发新的</t>
  </si>
  <si>
    <t>cwnd和ssthresh的单位是###MSS###（最大段长）</t>
  </si>
  <si>
    <t>字节序号### ###</t>
  </si>
  <si>
    <t>每次发送的报文###seq字段###=该报文段第一个字节在全部正文中的序号</t>
  </si>
  <si>
    <t>确认的###ack_seq字段###=接收方期望下次收到的第一个字节在全部正文的序号</t>
  </si>
  <si>
    <t>贝尔曼福特（RIP协议）### ###</t>
  </si>
  <si>
    <t>一开始和迪杰斯特拉一样，列表，三个要素</t>
  </si>
  <si>
    <t>然后列出所有边</t>
  </si>
  <si>
    <t>开始迭代，迭代次数为###V-1###（V为顶点个数）</t>
  </si>
  <si>
    <t>遍历每条边，看看他们对起点到边终点的距离是否造成影响</t>
  </si>
  <si>
    <t>具体计算的时候，将这条边的权加上这个边起点在列表中的目前最短距离，得到更新比较用的新路径长度</t>
  </si>
  <si>
    <t>如果小于表格已经记录的最短路径，###更新路径长度和前驱结点###</t>
  </si>
  <si>
    <t>如果V-1轮迭代后仍有更新，就出现了###负权环###</t>
  </si>
  <si>
    <t>B树的补丁### ###</t>
  </si>
  <si>
    <t>修复（非叶子节点）触发条件不看关键字个数，###一定会触发###</t>
  </si>
  <si>
    <t>修复（叶子节点）触发条件###要看关键字个数###，###未必会触发###</t>
  </si>
  <si>
    <t>HTTP 1.1和1.0的区别### ###</t>
  </si>
  <si>
    <t>1.0默认###短连接###（每个请求单独TCP连接），1.1默认###KeepAlive###</t>
  </si>
  <si>
    <t>1.0请求只能###串行###，1.1可以###流水线###（非并行，一个堵住还是会卡整个队列）</t>
  </si>
  <si>
    <t>注意：一个HTTP请求是一个TCP发送+TCP确认，一个响应也是一个TCP发送+TCP确认，因此无论响应还是请求，耗时都是###一个RTT###</t>
  </si>
  <si>
    <t>注意：HTTP响应可能###捎带###对HTTP请求的TCP确认</t>
  </si>
  <si>
    <t>DRAM相关### ###</t>
  </si>
  <si>
    <t>行/列缓冲区</t>
  </si>
  <si>
    <t>配合###突发传送###，从存储阵列读一行到高速缓存</t>
  </si>
  <si>
    <t>配合###行列复用###，节省引脚数量</t>
  </si>
  <si>
    <t>###多芯片交叉编址###有助于将变量分散到多个芯片</t>
  </si>
  <si>
    <t>单个芯片有###访存周期###的限制</t>
  </si>
  <si>
    <t>如果用多个芯片，可以提升多数据的###访存速度###</t>
  </si>
  <si>
    <t>多地址指令个数计算### ###</t>
  </si>
  <si>
    <t>①基础参数明确</t>
  </si>
  <si>
    <t>已知###指令字长###（固定）、固定###地址码位数###</t>
  </si>
  <si>
    <t>按「地址个数越多→操作码越短」的规律，倒推各类地址指令的###操作码总长度###</t>
  </si>
  <si>
    <t>例：2 地址指令###操作码长度### = 指令字长 - 2× 地址码位数，1 地址 = 指令字长 - 1× 地址码位数，0 地址 = 指令字长</t>
  </si>
  <si>
    <t>②最短操作码空间计算</t>
  </si>
  <si>
    <t>最短操作码对应「地址个数最多」的指令（如 ###2 地址＞1 地址＞0 地址###）</t>
  </si>
  <si>
    <t>设最短操作码长度为 ###n₁###，空间容量 ###c₁=2ⁿ¹###（该长度下所有可能的操作码组合总数）</t>
  </si>
  <si>
    <t>③扩展前缀个数推导</t>
  </si>
  <si>
    <t>用最短操作码的空间容量 c₁，减去其实际需要的指令条数，剩余未使用的操作码组合数，即为「下一级更长操作码」（地址个数更少）的###扩展前缀个数 pc₁###</t>
  </si>
  <si>
    <t>前缀需连续，408 默认取###后缀连续段###</t>
  </si>
  <si>
    <t>④自由位长度计算</t>
  </si>
  <si>
    <t>下一级操作码总长度为 ###n₂###，其自由位长度 ###fn₁=n₂- 前缀长度###</t>
  </si>
  <si>
    <t>前缀长度 = 上一级最短操作码的长度 ###n₁###，因前缀是上一级未使用的操作码，位数与上一级操作码一致</t>
  </si>
  <si>
    <t>⑤当前级操作码空间计算</t>
  </si>
  <si>
    <t>该级操作码的空间容量 ###c₂= 扩展前缀个数 pc₁×2^fn₁###</t>
  </si>
  <si>
    <t>每个前缀搭配所有###自由位组合###，构成无冲突的操作码集合</t>
  </si>
  <si>
    <t>⑥迭代推导</t>
  </si>
  <si>
    <t>重复步骤 3-5</t>
  </si>
  <si>
    <t>用当前级操作码的空间容量 ###cₖ###，减去其实际需要的指令条数，得到下一级更长操作码的###扩展前缀个数 pcₖ###</t>
  </si>
  <si>
    <t>依次推进，直到目标为「最长操作码」（通常是 ###0 地址指令###，操作码总长度 = 指令字长）。</t>
  </si>
  <si>
    <t>⑦最长操作码收尾</t>
  </si>
  <si>
    <t>最长操作码无后续扩展需求，无需预留前缀，其实际最大指令条数 = 自身空间容量 ###cₘ###（所有组合均可使用）</t>
  </si>
  <si>
    <t>物理信道速率上限### ###</t>
  </si>
  <si>
    <t>无噪声：###奈奎斯特采样定理###</t>
  </si>
  <si>
    <t>有噪声：###奈奎斯特采样定理+香农公式###</t>
  </si>
  <si>
    <t>奈奎斯特采样定理：###R=2*B*log(2,M)###</t>
  </si>
  <si>
    <t>R为速率上限，单位bit/s</t>
  </si>
  <si>
    <t>B为带宽，单位Hz</t>
  </si>
  <si>
    <t>###M###为码元进制，比如一个时间点的信号有四种波形，这就是四进制，M=4</t>
  </si>
  <si>
    <t>香农公式：###R=B*log(2,1+S/N)###</t>
  </si>
  <si>
    <t>###S/N###为信噪比</t>
  </si>
  <si>
    <t>要注意，题目给的信噪比如果单位是###dB###需要转换才能对应S/N</t>
  </si>
  <si>
    <t>dB=10*log(10,S/N)，因此要倒过来计算S/N，即###S/N=10^(dB/10)###</t>
  </si>
  <si>
    <t>对于非空B树而言，只要删除了一个关键字，叶子必然会变动### ###</t>
  </si>
  <si>
    <t>如果非叶节点删除关键字，无论是否满足关键字个数都会触发###挪用###</t>
  </si>
  <si>
    <t>而挪用对于其它被挪用的非叶节点来说也都会继续触发挪用，直到被挪用节点是###叶节点###</t>
  </si>
  <si>
    <t>流水线的冒险类型### ###</t>
  </si>
  <si>
    <t>数据冒险：###RAW、WAR、WAW###（针对寄存器）</t>
  </si>
  <si>
    <t>转发技术只能用于###CPU内部###（流水线寄存器间）</t>
  </si>
  <si>
    <t>因此，如果MEM阶段load内存的数据还没进入CPU，需要这部分数据导致的###RAW###无法被转发解决</t>
  </si>
  <si>
    <t>这种情况下，必须用###阻塞###进行“兜底”</t>
  </si>
  <si>
    <t>控制冒险（取指冒险）：</t>
  </si>
  <si>
    <t>条件跳转冒险（###条件未判明###）</t>
  </si>
  <si>
    <t>无条件跳转冒险（###跳转目的指令不确定###）</t>
  </si>
  <si>
    <t>函数调用、返回冒险</t>
  </si>
  <si>
    <t>结构冒险：不同阶段的指令争用同一类型###硬件资源###</t>
  </si>
  <si>
    <t>内存：###取指和内存存取阶段###（RISC）</t>
  </si>
  <si>
    <t>ALU：###指令译码（涉及地址偏移量计算）和执行阶段###</t>
  </si>
  <si>
    <t>寄存器：###指令译码（从寄存器读取地址偏移量）和写回寄存器阶段###</t>
  </si>
  <si>
    <t>PC的自增有专门的机构，不依赖ALU### ###</t>
  </si>
  <si>
    <t>CSMA的争用时间片即RTT，可以用这个值计算后续的退避时间### ###</t>
  </si>
  <si>
    <t>ARQ协议### ###</t>
  </si>
  <si>
    <t>SW（停等）：###单发送窗，单接收窗###，n比特帧序号下，收发窗都是1</t>
  </si>
  <si>
    <t>GBN：###多发送窗、单接收窗###，n比特帧序号下，发送窗是(2^n)-1，接收窗是1</t>
  </si>
  <si>
    <t>SR：###多发送窗、多接收窗###（乱序接受），n比特帧序号下，收发窗都是2^(n-1)</t>
  </si>
  <si>
    <t>QAM-n，后面的数字是同一时刻的波形种类数### ###</t>
  </si>
  <si>
    <t>分组交换的流水线图，平行四边形的倾斜越厉害，传播时延就越大，时延带宽积也越大### ###</t>
  </si>
  <si>
    <t>浮点数的位数分配### ###</t>
  </si>
  <si>
    <t>单精度：总计32位，###1位符号位，8位阶码（移码），23位尾数（原码）###</t>
  </si>
  <si>
    <t>双精度：总计64位，###1位符号位，11位阶码（移码），52位尾数（原码）###</t>
  </si>
  <si>
    <t>UDP校验和方法### ###</t>
  </si>
  <si>
    <t>将UDP数据（包括伪首部、UDP首部、UDP数据部分）按###16位为单位拆分成组###</t>
  </si>
  <si>
    <t>如果总长不是16倍数，用###0补足###</t>
  </si>
  <si>
    <t>对所有16位组进行###加法###</t>
  </si>
  <si>
    <t>如果最高位产生进位，则循环加到###低16位###上</t>
  </si>
  <si>
    <t>对加法的最后和###取反###</t>
  </si>
  <si>
    <t>MSL（最长报文段寿命）：TCP关闭连接时，客户端一方TIME_WAIT到CLOSED之间时长的一半### ###</t>
  </si>
  <si>
    <t>ARQ协议中，滑动窗口大小与序号的具体数值无关，比如窗口大小4的SR，序号可以是0,1,2,3也可以是1,2,3,4### ###</t>
  </si>
  <si>
    <t>序号范围由###序号位数###决定</t>
  </si>
  <si>
    <t>802.11的NAV（网络分配向量）：收到与自己无关的RTS/CTS帧时，设定自己“闭嘴”的时长### ###</t>
  </si>
  <si>
    <t>NAV时长也就是看“那一对”能谈多久</t>
  </si>
  <si>
    <t>发送准备（###SIFS###）+数据帧发送+响应准备（###SIFS###）+ACK</t>
  </si>
  <si>
    <t>注意：NAV不包含###DIFS###，但是如果问的是还要多久才能发RTS，则需要包括DIFS</t>
  </si>
  <si>
    <t>如果问n个关键字能组成几种结构的###x树###（填写树结构类型）</t>
  </si>
  <si>
    <t>那么指的不是用这n个关键字从无到有的建x树，而是已经存在的x树含仅含这n个关键字，有几种可能</t>
  </si>
  <si>
    <t>比如###B树###（填写树类型），可以采用树高从1遍历可能性</t>
  </si>
  <si>
    <t>数据类型转换的规律### ###</t>
  </si>
  <si>
    <t>不看目的数据类型，根据###原数据类型###（填写数据类型）选择扩展方式</t>
  </si>
  <si>
    <t>原有符号数扩展均采用###符号扩展###（填写扩展方式），原无符号数扩展均采用###0扩展###（填写扩展方式）</t>
  </si>
  <si>
    <t>地址增长时先碰到###高位###（填写高低位）就是大端，先碰到###低位###（填写高低位）就是小端</t>
  </si>
  <si>
    <t>C语言的易错点### ###</t>
  </si>
  <si>
    <t>字符数组在内存中按固定大小分配，并直接存储字符数据；而 char* 是一个指针，可以指向动态分配的字符内存或字符数组，其本身仅保存内存地址</t>
  </si>
  <si>
    <t>除了 ASCII，还有其它的单字节编码，char[] 可以存储单字节编码和变长编码（例如 UTF-8）。对于某些 Unicode 编码（如 UTF-16 或 UTF-32），可以使用 wchar_t 或其他适当的字符类型存储</t>
  </si>
  <si>
    <t>边界对齐的大小=min(###系统默认的对齐大小###（填写对齐参数）,###进程使用的最大基本数据类型大小###（填写数据类型大小）)</t>
  </si>
  <si>
    <t>系统默认对齐大小由###CPU位数###（填写硬件参数）和###编译器###（填写软件组件）决定</t>
  </si>
  <si>
    <t>进程使用的最大基本数据类型，比如###int###（填写数据类型）是4字节</t>
  </si>
  <si>
    <t>数组的情况下，只看元素的###数据类型大小###（填写数据属性），比如char数组就是1字节</t>
  </si>
  <si>
    <t>###总线工作频率###（填写频率类型）≠###总线时钟频率###（填写频率类型）</t>
  </si>
  <si>
    <t>纠错码的纠错/检错能力：</t>
  </si>
  <si>
    <t>n个编码，算出两两###汉明距###（填写距离类型），取其中最小的d</t>
  </si>
  <si>
    <t>###汉明距###（填写距离类型）：两个二进制串对应位不同的个数</t>
  </si>
  <si>
    <t>检错能力：检出###e位###（填写位数），d&gt;=e+1</t>
  </si>
  <si>
    <t>纠错能力：纠正###t位###（填写位数），d&gt;=2t+1</t>
  </si>
  <si>
    <t>检错率：能检出的错误情况/所有可能的错误情况</t>
  </si>
  <si>
    <t>所有的错误情况：这n个编码的位数###k###（填写位数），用(2^k)-n，即不合法的都错</t>
  </si>
  <si>
    <t>能检出的错误情况：这n个编码，每个挑###e位###（填写位数）取反的所有可能</t>
  </si>
  <si>
    <t>如果d&gt;=2e+1，那么任意两个合法码取###e位###（填写位数）取反不会重复，可以直接用组合数C(n,e)*n来算能检出的错误情况</t>
  </si>
  <si>
    <t>如果d&lt;2e+1，那么任意两个合法码取e位取反可能重复，需要手动枚举</t>
  </si>
  <si>
    <t>类比：两个圆如果半径e太长，圆心距离d又不够大，就有可能重叠</t>
  </si>
  <si>
    <t>注意：e属于检错范围内的位数，因此，不可能有合法码通过取e位取反（错误码）变为其它合法码（无法检出）</t>
  </si>
  <si>
    <t>总线周期和总线时钟周期### ###</t>
  </si>
  <si>
    <t>###总线周期###（填写时间单位）：完成一次总线操作的总时长</t>
  </si>
  <si>
    <t>###总线时钟周期###（填写时间单位）：总线时钟的周期，是衡量总线操作时长的基本单位，一个总线操作一般需要耗费多个总线时钟周期</t>
  </si>
  <si>
    <t>###同步总线###（填写总线类型）才有时钟的概念，同步总线的时钟可能是独立的，也可能复用###CPU时钟###（填写时钟类型）</t>
  </si>
  <si>
    <t>408默认情况下，同步总线使用###独立的时钟###（填写时钟类型），除非条件有明写，否则不会复用CPU的时钟</t>
  </si>
  <si>
    <t>TCP拥塞控制中的###无效ACK###（填写ACK类型）：没有确认任何新数据，仅重复确认已确认过的旧数据</t>
  </si>
  <si>
    <t>第一种情况：重复确认最新的数据，###三次###（填写次数）后触发###快重传###（填写机制名称）</t>
  </si>
  <si>
    <t>第二种情况：先重复了后面的数据，再确认前面的（旧的）数据</t>
  </si>
  <si>
    <t>简化逻辑：当前###ACK_SEQ###（填写序列号类型）&lt;=之前的最大ACK_SEQ，这种就是无效的</t>
  </si>
  <si>
    <t>ALU的宽度是###计算机字长###（填写核心概念），除此之外，其它的参数都只是参考，可能相等，也可能不相等</t>
  </si>
  <si>
    <t>MDR的宽度是###编址长度###（填写关键参数），数据线可能比这个宽度要小，那种情况下会分批发送</t>
  </si>
  <si>
    <t>不同类指令的###操作码###（填写核心概念）在相同位上的，共享编码空间，如果这个位置还有其它类指令有固定编码，还要排除那些固定编码</t>
  </si>
  <si>
    <t>###扇区###（填写磁盘组成单位）构成了磁盘的分区，一个扇区不可能被多个分区共享</t>
  </si>
  <si>
    <t>DNS递归查询：###帮你查###（填写查询方式），DNS迭代查询：###去问别人###（填写查询方式）</t>
  </si>
  <si>
    <t>协议的功能与封装：</t>
  </si>
  <si>
    <t>ICMP：功能###网络层###（填写所在层），封装###网络层###（填写所在层）</t>
  </si>
  <si>
    <t>DHCP：功能###应用层###（填写所在层），封装###传输层###（填写所在层）</t>
  </si>
  <si>
    <t>二叉树数组中，下标为i（从0开始）的节点，它的左孩子###2*i+1###（填写左孩子下标计算公式），它的右孩子###2*i+2###（填写右孩子下标计算公式）</t>
  </si>
  <si>
    <t>BST的中序遍历是###有序###（填写遍历特性）的</t>
  </si>
  <si>
    <t>前k轮得到topk的排序算法：###简单选择排序###（填写排序算法名称）、###冒泡排序###（填写排序算法名称）、###堆排序###（填写排序算法名称）</t>
  </si>
  <si>
    <t>ALU里面，SF（符号标志位）就是运算结果的###最高位###（填写位位置）</t>
  </si>
  <si>
    <t>OF（溢出标志）的逻辑表达式（A+B，A-B用A+(-B)代替）：###(An与Bn与(非Cn))或((非An)与(非Bn)与Cn)###（填写逻辑表达式）</t>
  </si>
  <si>
    <t>也就是两正加出负（即###(An与Bn与(非Cn))###（填写逻辑表达式））和两负加出正（即###((非An)与(非Bn)与Cn)###（填写逻辑表达式））的情况</t>
  </si>
  <si>
    <t>操作数A和B，运算结果C</t>
  </si>
  <si>
    <t>A最高位An，B最高位Bn，C最高位Cn</t>
  </si>
  <si>
    <t>###同号###（填写运算数关系）减法不会发生溢出，###异号###（填写运算数关系）加法不会溢出</t>
  </si>
  <si>
    <t>MUX负责从多个输出选一个输出，DEMUX负责从多个输入选一个输入###输出/输入###（填写信号方向）</t>
  </si>
  <si>
    <t>通用寄存器片选信号一定是来自###IR###（填写部件名称）</t>
  </si>
  <si>
    <t>通用寄存器不像内存地址可以有偏移量</t>
  </si>
  <si>
    <t>多个时钟周期构成总线周期的总线通常指###外部###（填写总线类型）总线，而###内部###（填写总线类型）总线的速度较快，其读写周期通常与###CPU时钟###（填写周期类型）周期一致。</t>
  </si>
  <si>
    <t>如果是多总线结构的###内部###（填写总线类型）总线，其读写周期甚至可能比###CPU时钟###（填写周期类型）周期更快</t>
  </si>
  <si>
    <t>推测1：###外部###（填写总线类型）总线传输数据量大，面向的设备更慢，因此一个总线周期由多个时钟周期组成</t>
  </si>
  <si>
    <t>推测2：###内部###（填写总线类型）总线用于CPU的内部，CPU要求高集成度，尺寸小，因此不可能为它另设时钟，而且为了效率，应当让该总线与CPU其它部件同步工作</t>
  </si>
  <si>
    <t>CU的输入有两个，除了IR（或者说ID）还有###ALU的输出FR###（填写信号名称）</t>
  </si>
  <si>
    <t>磁盘的术语### ###</t>
  </si>
  <si>
    <t>柱面=磁道：所有盘面的同一磁道竖着组成一个柱面，磁道是盘面上的同心圆，不同半径的圆磁道不同</t>
  </si>
  <si>
    <t>扇区的平均访问时间=平均寻道时间+平均旋转延迟+单个扇区传输时长</t>
  </si>
  <si>
    <t>平均旋转延迟=1/(2*圈/秒单位的转速)</t>
  </si>
  <si>
    <t>单个扇区的传输时间=转过一个扇区所需要的时间=(1/转速)/该磁道上的扇区个数</t>
  </si>
  <si>
    <t>DMA###挪用###（填写DMA工作方式）：让DMA传输稍等一下，不抢占CPU正在使用的总线，而是在CPU不使用总线时才传输</t>
  </si>
  <si>
    <t>高速外设（比如磁盘和网卡）场景下，为了避免数据丢失，一旦数据传送开始就不能停下，即使CPU需要总线，DMA也不会让</t>
  </si>
  <si>
    <t>文件一般来说都有全局唯一的索引节点号，除非是###硬链接###（填写文件链接类型）</t>
  </si>
  <si>
    <t>一个文件至少占用一个磁盘块，磁盘块不能为多个文件共享### ###</t>
  </si>
  <si>
    <t>磁盘块号记录于索引节点内，索引节点存在于单独的磁盘块（索引节点块）上</t>
  </si>
  <si>
    <t>一个索引节点块能够存储多个索引节点</t>
  </si>
  <si>
    <t>索引节点存储大量磁盘块，自身直接地址存不下的时候，会###用多级间接地址指向一种只有直接地址的磁盘块（间接索引块）###（填写解决方法）</t>
  </si>
  <si>
    <t>###间接索引块###（填写块类型）里面全是文件的磁盘块号，没有其它信息（如果是索引节点块则不全是磁盘块号）</t>
  </si>
  <si>
    <t>因此在计算地址个数时，###间接索引块###（填写块类型）是直接用磁盘块大小除以地址长度来获得的</t>
  </si>
  <si>
    <t>计算方式：需要间接块存储的磁盘块号=文件总共需要的块数-单个inode里的直接地址数量</t>
  </si>
  <si>
    <t>一级间接块存储磁盘块容量：磁盘块大小/地址长度</t>
  </si>
  <si>
    <t>二级间接块存储磁盘块容量：(磁盘块大小/地址长度)*一级间接块存储磁盘块容量</t>
  </si>
  <si>
    <t>三级间接块存储磁盘块容量：(磁盘块大小/地址长度)*二级间接块存储磁盘块容量</t>
  </si>
  <si>
    <t>以太网最短帧长和最远距离的关系### ###</t>
  </si>
  <si>
    <t>要让最短帧在链路上足够久才能被检测，因此最短帧的传输时延要大于RTT</t>
  </si>
  <si>
    <t>64B，100Base的情况下，传输时延是5.12us</t>
  </si>
  <si>
    <t>RTT通过计算传播时延（传播距离/传播速度）再加上其它延迟</t>
  </si>
  <si>
    <t>DHCP流程###发现-供应-请求-确认###（填写流程步骤）</t>
  </si>
  <si>
    <t>DHCP发现：谁是DHCP服务器？我需要IP地址</t>
  </si>
  <si>
    <t>自己没IP，也不知道DHCP服务器的IP，因此自己的IP是###全0###（填写IP地址），目的IP是###全255###（填写IP地址）（广播）</t>
  </si>
  <si>
    <t>DHCP供应：我是DHCP服务器，这有一个IP，你拿去</t>
  </si>
  <si>
    <t>源地址是###DHCP服务器IP###（填写源地址类型），目的IP是###全255###（填写目的IP地址）</t>
  </si>
  <si>
    <t>DHCP请求：好，我要这个（我要续租）</t>
  </si>
  <si>
    <t>源地址是###全0###（填写首次申请源地址）或者###新的IP###（填写续租源地址），目的地址是###全255###（填写目的地址），依然是广播</t>
  </si>
  <si>
    <t>广播是因为要通知未被选中的DHCP服务器，让他们撤回给出的offer地址</t>
  </si>
  <si>
    <t>但如果是地址续租的情况下，不需要通知其它DHCP服务器，就没有广播的理由（因此是单播）</t>
  </si>
  <si>
    <t>二三层单播/多播组合情形### ###</t>
  </si>
  <si>
    <t>全单播、全多播：略</t>
  </si>
  <si>
    <t>三层单播、二层广播（两人办事，全体见证）：VRRP（可变冗余路由协议）的主节点通告</t>
  </si>
  <si>
    <t>三层广播、二层单播：不存在</t>
  </si>
  <si>
    <t>802.11三个地址：地址1对应###目的MAC###（填写地址类型），地址2对应###源MAC###（填写地址类型），地址3对应###无关地址###（填写地址类型）</t>
  </si>
  <si>
    <t>第三个地址是为了兼容802.11的管理帧，比如信标帧和认证帧</t>
  </si>
  <si>
    <t>有向图的邻接矩阵中，行对应###起点###（填写矩阵行对应元素），列对应###终点###（填写矩阵列对应元素）</t>
  </si>
  <si>
    <t>置换选择排序=货车垒货，逐车壮哉，每次最大，下大上小### ###</t>
  </si>
  <si>
    <t>如果能放（工作区有比最顶层小的）就一直放（符合条件最大的），放不了就让新一辆车来拉，因此每个归并段长度不一定相等</t>
  </si>
  <si>
    <t>程序的###局部性###（填写程序特性）</t>
  </si>
  <si>
    <t>###空间局部性###（填写局部性类型）：相邻数据被连续访问</t>
  </si>
  <si>
    <t>###时间局部性###（填写局部性类型）：同一数据被重复访问</t>
  </si>
  <si>
    <t>根据代码来判断缓存命中次数### ###</t>
  </si>
  <si>
    <t>代码里有读取或者赋值的次数就是总的访问次数</t>
  </si>
  <si>
    <t>Cache初始为空的情况下，第一次访问某个变量必然未命中</t>
  </si>
  <si>
    <t>此时会将该变量所在的内存块调入Cache</t>
  </si>
  <si>
    <t>在那之后，相同内存块的变量访问均会命中</t>
  </si>
  <si>
    <t>以后看到机器码问指令地址的题目，首先看指令长度，是不是###变长指令###（填写指令类型）</t>
  </si>
  <si>
    <t>如果是定长指令，还需要确认是否占用多个编址长度（指令地址的增量不为1）</t>
  </si>
  <si>
    <t>寻址方式强化记忆</t>
  </si>
  <si>
    <t>PC+偏移量寻址=###相对寻址###（填写寻址方式）</t>
  </si>
  <si>
    <t>EBX/EBP+偏移量=###基址寻址###（填写寻址方式）</t>
  </si>
  <si>
    <t>ESI/EDI+偏移量=###变址寻址###（填写寻址方式）</t>
  </si>
  <si>
    <t>上述二者的差异：###基址的基础是段和栈的位置，而变址的基础可以是自定义的任意地址###（填写基址与变址的差异）</t>
  </si>
  <si>
    <t>EBX/EBP+ESI/EDI+偏移量=###基址变址寻址###（填写寻址方式）</t>
  </si>
  <si>
    <t>如果有一个以上的寄存器，或者使用了比例因子，那么无论寄存器是什么，都属于以上这种</t>
  </si>
  <si>
    <t>如果汇编层面展示了地址，那么有可能是相对或者直接寻址，还需要看机器码是否含有与汇编地址相同的部分来进一步区分</t>
  </si>
  <si>
    <t>如果汇编层面还有寄存器，那就可以对应另外三种（基址、变址、基址变址）间接寻址</t>
  </si>
  <si>
    <t>注意：地址（偏移量）多字节的情况下，正序和倒序都要检查，因为有###大小端###（填写字节序类型）</t>
  </si>
  <si>
    <t>互斥手段的原子性### ###</t>
  </si>
  <si>
    <t>硬件手段都有原子性，但是原子性的来源不同</t>
  </si>
  <si>
    <t>关中断是允许多条指令执行，执行时不被打断</t>
  </si>
  <si>
    <t>而指令类（比如交换或者测试循环指令）手段是将要做的事压缩到一个指令内完成</t>
  </si>
  <si>
    <t>由于处理机切换的最小间隔是指令，因此只要过程在一个指令内完成，这个过程就不会被打断</t>
  </si>
  <si>
    <t>缺页/除零异常是与执行本身强关联的同步性事件，指令的执行逻辑不会受到这些事件的影响（对指令本身透明）</t>
  </si>
  <si>
    <t>不可预期的中断发生时，执行-中断周期都结束了</t>
  </si>
  <si>
    <t>为了实现这种复杂过程在一步完成，软件是不足够的，必须上专门的硬件，因此是硬件法</t>
  </si>
  <si>
    <t>信号量是用关中断+多条指令指向P和V操作，因此只算是借用了关中断这一硬件机制，它能够实现优化的互斥是靠多条软件指令保证的，因此信号量属于是软件互斥手段</t>
  </si>
  <si>
    <t>系统调用的返回归属于###发起调用的进程###，当返回发生时，该进程处于###执行###态</t>
  </si>
  <si>
    <t>使用中断的I/O有两种，同步和异步### ###</t>
  </si>
  <si>
    <t>同步I/O：进程等待外设发东西，为此阻塞自身不继续执行，比如Python的input()</t>
  </si>
  <si>
    <t>异步I/O：进程执行它的逻辑，直到特定时间点（最终期限）还没完成那一异步操作，会主动让出处理机转为就绪态（注意不是阻塞！），比如网络下载</t>
  </si>
  <si>
    <t>需要注意的是，用户进程在同步I/O前会进入阻塞（等待I/O），而负责处理的内核进程也可能因为设备忙碌而陷入阻塞（在中断服务启动后）</t>
  </si>
  <si>
    <t>因此在操作流程排序中，需要特别注意阻塞的主语是用户还是系统进程，如果是前者，是发生在中断服务开始前的</t>
  </si>
  <si>
    <t>另外，如果设备足够快，在内核的中断服务阻塞等设备时，用户使用异步IO同时做别的事，等最后期限到了可能IO早就结束了，用户进程可能从头到尾没有阻塞</t>
  </si>
  <si>
    <t>IO层级：###用户程序###-&gt;###系统设备无关程序###-&gt;###系统驱动程序###-&gt;###IO接口###-&gt;###设备控制/驱动器###-&gt;###设备本身###</t>
  </si>
  <si>
    <t>直接使用者：###用户程序###</t>
  </si>
  <si>
    <t>系统调用、系统缓冲区：###系统设备无关程序###</t>
  </si>
  <si>
    <t>发送指令、搬运数据：###系统驱动程序###</t>
  </si>
  <si>
    <t>数据通道、指令通道：###IO接口###</t>
  </si>
  <si>
    <t>按指处理、设备缓冲区：###设备控制器###</t>
  </si>
  <si>
    <t>数据源：###设备本身###</t>
  </si>
  <si>
    <t>FTP的连接持久性：控制连接是###持久###连接，数据连接是###非持久###连接</t>
  </si>
  <si>
    <t>TCP握手挥手的每一个报文消耗###一###个字节序号</t>
  </si>
  <si>
    <t>入度为0的点对于有向图的拓扑排序很重要### ###</t>
  </si>
  <si>
    <t>每次将入度0的点输出并且从原图删除，能够得到拓扑排序</t>
  </si>
  <si>
    <t>如果一个有向图此时没有入度0的点，也就意味着存在环</t>
  </si>
  <si>
    <t>有环的有向图是没有拓扑排序的</t>
  </si>
  <si>
    <t>装填因子=###散列表的填满程度###（含义）=###元素个数/散列表长度###（公式）</t>
  </si>
  <si>
    <t>OF（有符号溢出）的快速判断法：###截掉超出位数的部分，剩下的部分做1位符号扩展，看看和截掉前的是否一样，不一样则说明溢出###</t>
  </si>
  <si>
    <t>当内存的地址偏移计算后CF=1，则舍掉溢出位，直接用低位范围内的部分作为地址### ###</t>
  </si>
  <si>
    <t>多进程协作类题目需要注意隐含的互斥关系，不要被同步关系吸引了全部的注意力### ###</t>
  </si>
  <si>
    <t>卡特兰数：###C(n,2n)/(n+1)###（C(a,b)=b!/(a!*(b-a)!）</t>
  </si>
  <si>
    <t>作用1：###长度n的栈元素出栈顺序种类数###</t>
  </si>
  <si>
    <t>作用2：###n个节点的不同二叉树数量###</t>
  </si>
  <si>
    <t>作用3：###n对括号的合法表达式个数###</t>
  </si>
  <si>
    <t>尽管传统MMU方式中PTR存的是页表的###物理地址###（并且这也是必要的），但这不意味着页表及页表项没有自己的###虚拟地址###</t>
  </si>
  <si>
    <t>第一种情况是页表自映射，常见于多级页表，408一般不考（考的话估计会特意说明）</t>
  </si>
  <si>
    <t>第二种情况是###这个虚拟地址是基于操作系统管理进程的内核进程页表的映射逻辑###</t>
  </si>
  <si>
    <t>用户进程的页表，对于管理进程的内核进程而言与普通的数据无异</t>
  </si>
  <si>
    <t>本质上是操作系统可重定位性导致的</t>
  </si>
  <si>
    <t>RIP协议最多支持###15跳###（填写最大跳数），如果一个AS内存在大量超过15个节点的链路，那就不能用RIP，或者需要对AS进行切分</t>
  </si>
  <si>
    <t>跳数初始是###16###（填写初始跳数），每经过一个节点减1，达到0时丢弃</t>
  </si>
  <si>
    <t>路径扩散需要注意，0s时完成第一次交换，而直连路由则是建立在第一交换前</t>
  </si>
  <si>
    <t>BGP:###边界网关协议###（填写协议全称）</t>
  </si>
  <si>
    <t>如果路由器属于不同的自治系统，它们之间运行###eBGP###（填写BGP类型）进行路由通告。</t>
  </si>
  <si>
    <t>如果路由器属于同一个自治系统，它们之间运行###iBGP###（填写BGP类型）来传播外部学到的 BGP 路由信息。</t>
  </si>
  <si>
    <t>Open报文：###建立邻居关系###（填写报文功能）</t>
  </si>
  <si>
    <t>Update报文：###传递路由信息###（填写报文功能）</t>
  </si>
  <si>
    <t>Notification报文：###通知邻居配置错误并断开###（填写报文功能）</t>
  </si>
  <si>
    <t>KeepAlive报文：###维持邻居关系###（填写报文功能）</t>
  </si>
  <si>
    <t>Route-Refresh报文：###本地路由策略变更时，请求邻居重发路由信息###（填写报文功能）</t>
  </si>
  <si>
    <t>路由选择遵循以下决策过程（无策略约束时）：</t>
  </si>
  <si>
    <t>最短 AS 路径优先（首要准则）：BGP 会优先选择###AS 路径最短###（填写选择准则）的路由。</t>
  </si>
  <si>
    <t>若 AS 路径相同，则选取最小的下一跳路由 ID（RID）或基于其他 BGP 规则。</t>
  </si>
  <si>
    <t>人话：同样AS长度的两个路径，两个下一跳哪个近选哪个</t>
  </si>
  <si>
    <t>关键路径：由###关键活动###（填写路径组成元素）串联###关键事件###（填写路径组成元素）组成的路径</t>
  </si>
  <si>
    <t>关键事件：###最早发生和最迟发生时间相等###（填写关键事件特征）的事件</t>
  </si>
  <si>
    <t>事件：###AOE网里面的顶点###（填写事件在AOE网中的表示）</t>
  </si>
  <si>
    <t>关键活动：###时间余量为0###（填写关键活动特征）的活动</t>
  </si>
  <si>
    <t>活动：###AOE网里面的边###（填写活动在AOE网中的表示）</t>
  </si>
  <si>
    <t>时间余量：###边终点的最迟发生时间-起点的最早发生时间-活动耗时###（填写时间余量计算公式）</t>
  </si>
  <si>
    <t>关键路径是整个工程###工期最短###（填写关键路径特征）的路径</t>
  </si>
  <si>
    <t>关键活动的开始结束时间在关键路径中是唯一确定的</t>
  </si>
  <si>
    <t>工期延误类问题</t>
  </si>
  <si>
    <t>用“###路径总长度&lt;=关键路径长度###”（长度不等式）作为核心约束</t>
  </si>
  <si>
    <t>print也需要###驱动###（填写所需组件）和###系统调用###（填写所需组件），不要漏了</t>
  </si>
  <si>
    <t>滑动窗口的###信道利用率###（填写性能指标）</t>
  </si>
  <si>
    <t>###周期内有收发的时间/周期总时间###（填写信道利用率计算公式）</t>
  </si>
  <si>
    <t>需要注意的是，周期是从第一帧发送到第一帧的确认被收到，那之后就是下一个周期</t>
  </si>
  <si>
    <t>这里计算中出现的窗口只是###发送窗口###（填写窗口类型），不是总窗口（2^n，n为序号位数）</t>
  </si>
  <si>
    <t>定点数除法</t>
  </si>
  <si>
    <t>恢复余数法和加减交替的主要区别：###某一位减完余数变负的处理###</t>
  </si>
  <si>
    <t>恢复余数：###先补回除数，再移位，再减除数###</t>
  </si>
  <si>
    <t>加减交替：###不补回除数，直接移位，减除数少减###</t>
  </si>
  <si>
    <t>IEEE754的阶码和尾数</t>
  </si>
  <si>
    <t>阶码###8###位，移码，计算方式：实际值十进制加上127（之后必定正数），算出原码（同时也是补码，因为非负）</t>
  </si>
  <si>
    <t>尾数###23###位，原码，最高的1位省略，小数点在尾数显示最高位的左侧，隐藏最高位（必1）的右侧</t>
  </si>
  <si>
    <t>非规格浮点数：</t>
  </si>
  <si>
    <t>正0:###00000000H###</t>
  </si>
  <si>
    <t>负0:###80000000H###</t>
  </si>
  <si>
    <t>正无穷：###7F800000H###</t>
  </si>
  <si>
    <t>负无穷：###FF800000H###</t>
  </si>
  <si>
    <t>双端存储支持和不支持的：</t>
  </si>
  <si>
    <t>支持：###不同存储单元的同时读写###、###同一存储单元的同时读取###</t>
  </si>
  <si>
    <t>不支持：###同一存储单元的同时写入###、###同一存储单元的同时读写###</t>
  </si>
  <si>
    <t>高低位多体交叉存储的好处：</t>
  </si>
  <si>
    <t>低位交叉：###地址均匀分布，每个芯片轮流读写，无需等待恢复时间###</t>
  </si>
  <si>
    <t>高位交叉：###进程并行访问，单进程只涉及单芯，多进程可同时访存###</t>
  </si>
  <si>
    <t>还要有其它支持机制（比如###多端口存储器###），因此极其鸡肋冷门，不是重要考点</t>
  </si>
  <si>
    <t>RAID### ###</t>
  </si>
  <si>
    <t>0：条带化（外存级别的低位交叉）、提升存取性能，无容错</t>
  </si>
  <si>
    <t>1：镜像磁盘互为备份</t>
  </si>
  <si>
    <t>2-5：有数据校验，强化容错</t>
  </si>
  <si>
    <t>闪存</t>
  </si>
  <si>
    <t>一个芯片多个块，一个块内多个页</t>
  </si>
  <si>
    <t>###页###等同于“扇区”，是最小读写单位</t>
  </si>
  <si>
    <t>###块###是最小擦除单位，除非###空块###，写入和修改前必须先擦除</t>
  </si>
  <si>
    <t>###支持###（支持/不支持）随机访问，###不需要###（需要/不需要）寻道调度</t>
  </si>
  <si>
    <t>读取###快###、写入###慢###（快/慢），因为有###擦除###机制</t>
  </si>
  <si>
    <t>擦除次数有限，因此有磨损均衡的调度</t>
  </si>
  <si>
    <t>动态均衡：###优先选擦除次数少的###</t>
  </si>
  <si>
    <t>静态均衡：###对数据进行预测和主动迁移，使老块以读为主，新块以写为主###</t>
  </si>
  <si>
    <t>X字长指令的意思是###指令字长是机器字长的X倍###</t>
  </si>
  <si>
    <t>不同数据寻址的访存次数</t>
  </si>
  <si>
    <t>隐含寻址：###0###</t>
  </si>
  <si>
    <t>立即寻址：###0###</t>
  </si>
  <si>
    <t>直接寻址：###1###</t>
  </si>
  <si>
    <t>一次间接寻址：###2###</t>
  </si>
  <si>
    <t>寄存器寻址：###0###</t>
  </si>
  <si>
    <t>寄存器一次间接寻址：###1###</t>
  </si>
  <si>
    <t>基址寻址：###1###</t>
  </si>
  <si>
    <t>堆栈寻址（软堆栈）：###1###</t>
  </si>
  <si>
    <t>堆栈寻址（硬堆栈）：###0###</t>
  </si>
  <si>
    <t>变址寻址：###1###</t>
  </si>
  <si>
    <t>基址变址寻址：###1###</t>
  </si>
  <si>
    <t>408范畴内，堆栈寻址不会访问栈顶以外的位置### ###</t>
  </si>
  <si>
    <t>基于堆栈的调用操作</t>
  </si>
  <si>
    <t>栈的地址增长方向是从高到低### ###</t>
  </si>
  <si>
    <t>无论pop还是push怎么操作，只改变###ESP###，不改变###EBP###</t>
  </si>
  <si>
    <t>每次入栈（调用发起后，即call命令执行后，此时栈顶是返回地址）时，###EBP###会被备份压到顶，作为被调用栈帧的第一个数据</t>
  </si>
  <si>
    <t>此时###ESP###自动-i，对准###被备份EBP###的位置</t>
  </si>
  <si>
    <t>i=###机器字长/编址长度###</t>
  </si>
  <si>
    <t>下一命令mov ###EBP###，###ESP###执行</t>
  </si>
  <si>
    <t>此时将###ESP###写入EBP（因为###EBP不会自动维护###）</t>
  </si>
  <si>
    <t>使EBP指向被调用栈帧的底部（也就是###备份EBP###的所在位置）</t>
  </si>
  <si>
    <t>堆和栈的地址增长方向###相反###（相同/相反），是###对向###（对向/背靠背），也就是向###中间###（中间/两端）增长</t>
  </si>
  <si>
    <t>内存映射和常规文件读写的对比### ###</t>
  </si>
  <si>
    <t>好处：省掉了用户进程到内核缓冲区的时间</t>
  </si>
  <si>
    <t>坏处：由于修改频繁，对于SSD磨损很大。另外，不是所有文件都支持mmap</t>
  </si>
  <si>
    <t>虽然PC是程序员可见的，但是IR却是不可见的### ###</t>
  </si>
  <si>
    <t>指令周期### ###</t>
  </si>
  <si>
    <t>多指令周期：不同类指令执行时长不同</t>
  </si>
  <si>
    <t>单指令周期：所有指令的执行时长相同</t>
  </si>
  <si>
    <t>同一指令的不同指令周期未必相同</t>
  </si>
  <si>
    <t>只有流水线会强制不同指令周期全部对齐到最慢指令周期上</t>
  </si>
  <si>
    <t>单指令周期与单总线数据通路不兼容</t>
  </si>
  <si>
    <t>因为单总线必须分时复用，单指令周期的控制信号无法改变</t>
  </si>
  <si>
    <t>定点除法：</t>
  </si>
  <si>
    <t>恢复余数法：试减后余为负数，则###恢复余数###（填写操作），然后左移，再###减除数###（填写操作）</t>
  </si>
  <si>
    <t>加减交替法：试减后余为负数，则###保持余数###（填写操作），然后左移，再###加除数###（填写操作）</t>
  </si>
  <si>
    <t>当低位多减（余负）恢复后，余（新被除数）移位再减，相当于减去一半的除数（被除数左移=除数右移=除数除2）</t>
  </si>
  <si>
    <t>若低位多减（余负）不恢复，余（新被除数）移位再加，减一倍再加半等效减半（最终效果应与恢复余数法一致）</t>
  </si>
  <si>
    <t>微程序控制器### ###</t>
  </si>
  <si>
    <t>指令：比如mov</t>
  </si>
  <si>
    <t>微程序：对应一整个指令，是指令以微指令序列表示的形态</t>
  </si>
  <si>
    <t>微程序的某个阶段：对应指令周期的一个阶段</t>
  </si>
  <si>
    <t>两种指令周期（的阶段划分）：</t>
  </si>
  <si>
    <t>CISC：取指（译码）、间址（访存的地址获取）、执行（访存、写回）、中断</t>
  </si>
  <si>
    <t>RISC：取指、译码、执行、访存、写回（中断）</t>
  </si>
  <si>
    <t>因为RISC执行不涉及内存（有事CPU里解决），把间址周期给砍了</t>
  </si>
  <si>
    <t>RISC在译码阶段读取寄存器到ALU暂存器</t>
  </si>
  <si>
    <t>写回是指写寄存器，写内存是在访存阶段完成的</t>
  </si>
  <si>
    <t>微指令：介于指令周期阶段和微命令</t>
  </si>
  <si>
    <t>以mov的取指阶段为例：PC-&gt;MAR、MDR-&gt;IR、PC+=1</t>
  </si>
  <si>
    <t>微周期：从CM取出一条微指令并执行完其中所有微操作所需要的时间</t>
  </si>
  <si>
    <t>一般放在同一微指令（水平型微指令）的微命令都是可以并行的</t>
  </si>
  <si>
    <t>垂直型微指令只含有一条微命令</t>
  </si>
  <si>
    <t>混合型微指令有多条且按序串行</t>
  </si>
  <si>
    <t>内容是操作控制码+下一条微指令（在CM中）的地址</t>
  </si>
  <si>
    <t>微命令：最小的动作编码，和微操作一一对应</t>
  </si>
  <si>
    <t>微操作：最小的电路动作，和微命令一一对应</t>
  </si>
  <si>
    <t>以mov取指阶段的PC-&gt;MAR为例：PC-&gt;总线、内存读使能、数据等待置1</t>
  </si>
  <si>
    <t>纠正：指令周期是完成一整个指令的耗时，而取指、译码是指令周期的一个阶段而已### ###</t>
  </si>
  <si>
    <t>微指令的操作控制码原理### ###</t>
  </si>
  <si>
    <t>###直接编码###（填写编码方式）：一位对应一个微命令，1为有效，0为无效</t>
  </si>
  <si>
    <t>###译码编码###（填写编码方式）：n个一组，那么n位实际对应2^n种，在2^n&gt;n时更划算</t>
  </si>
  <si>
    <t>不会同时出现的微命令（互斥命令）编码在同一组</t>
  </si>
  <si>
    <t>需要保留一个编码（一般是全0）表示什么也没发生</t>
  </si>
  <si>
    <t>###间接译码###（填写编码方式）：一个字段还需要其它字段提供信息才能确定实际采用的微命令操作</t>
  </si>
  <si>
    <t>微指令的下地址### ###</t>
  </si>
  <si>
    <t>###直接字段给出###（填写下地址形成方式）：断定方式，类比指令的无条件跳转</t>
  </si>
  <si>
    <t>###操作码形成###（填写下地址形成方式）：指令的操作码+地址形成部件=微指令地址</t>
  </si>
  <si>
    <t>###增量法###（填写下地址形成方式）：当前地址+1，类似PC（CM里的微指令按序执行）</t>
  </si>
  <si>
    <t>###分支转移###（填写下地址形成方式）：类比指令的条件跳转</t>
  </si>
  <si>
    <t>###测试网络/顺序逻辑###（填写下地址形成方式）：强化版分支转移，一次性给多个测试源进行测试，形成下地址的测试部分</t>
  </si>
  <si>
    <t>硬件给出：取指周期的第一条微指令的地址由硬件给</t>
  </si>
  <si>
    <t>流水线的指标### ###</t>
  </si>
  <si>
    <t>时空图：横轴时间，纵轴阶段（部件）</t>
  </si>
  <si>
    <t>同一横是来自不同指令的同一阶段，同一竖是属于同一指令的不同阶段</t>
  </si>
  <si>
    <t>###吞吐率###（填写流水线指标）：指令数/((流水线阶段数+指令数-1)*时钟周期)</t>
  </si>
  <si>
    <t>###加速比###（填写流水线指标）：流水线阶段数*指令数/(流水线阶段数+指令数-1)</t>
  </si>
  <si>
    <t>###效率###（填写流水线指标）：指令数/(流水线阶段数+指令数-1)=加速比/流水线阶段数</t>
  </si>
  <si>
    <t>SR的接受窗口是不连续的，保持窗口大小不变的前提下，接收到帧无论是不是base序都会让窗口部分移动### ###</t>
  </si>
  <si>
    <t>因为最早的没有发来就不收新的也不太合理</t>
  </si>
  <si>
    <t>总线仲裁：### ###</t>
  </si>
  <si>
    <t>###分布仲裁###（填写仲裁方式）：没有统一的仲裁机构，而是每个设备比较仲裁号确定优先级来进行争用，同优先级按FCFS分配总线使用权</t>
  </si>
  <si>
    <t>集中仲裁：</t>
  </si>
  <si>
    <t>###链式查询###（填写仲裁方式）：仲裁机构发出一个总线允许信号，从高优先设备传向低优先设备（回转寿司）</t>
  </si>
  <si>
    <t>###计数器定时查询###（填写仲裁方式）：计数器增加，每增加一次就检查对应计数器当前数值的设备需不需要</t>
  </si>
  <si>
    <t>###独立请求###（填写仲裁方式）：每个设备直连仲裁器，仲裁器决定哪个用（按照优先级）</t>
  </si>
  <si>
    <t>总线周期### ###</t>
  </si>
  <si>
    <t>###申请分配###（填写总线周期阶段）：传输请求、总线仲裁</t>
  </si>
  <si>
    <t>###寻址阶段###（填写总线周期阶段）</t>
  </si>
  <si>
    <t>###传输阶段###（填写总线周期阶段）</t>
  </si>
  <si>
    <t>###结束阶段###（填写总线周期阶段）</t>
  </si>
  <si>
    <t>总线定时### ###</t>
  </si>
  <si>
    <t>###同步###（填写总线定时方式）</t>
  </si>
  <si>
    <t>###异步###（填写总线定时方式）（握手机制，灵活但效率低）</t>
  </si>
  <si>
    <t>###不互锁###（填写异步握手方式）：不等待对方任何回应，双方都按固定时间主动撤销自己的信号（REQ/ACK/ 数据）</t>
  </si>
  <si>
    <t>###全互锁###（填写异步握手方式）：双方互相等待 —— 主等从 ACK 有效（发数据）、ACK 撤销（撤 REQ + 数据）；从等主 REQ 有效（发 ACK）、REQ 撤销（撤 ACK），最可靠</t>
  </si>
  <si>
    <t>###半互锁###（填写异步握手方式）：主锁从不锁（仅主等从，从不等主）—— 主等从 ACK 有效（发数据）、ACK 有效（撤 REQ）；从发 ACK 后，不等待主的任何信号（按固定时间撤 ACK），中等可靠</t>
  </si>
  <si>
    <t>###半同步###（填写总线定时方式）（WAIT信号给设备异步准备时间）</t>
  </si>
  <si>
    <t>###分离式###（填写总线定时方式）（异步式升级，请求和传输不连续）</t>
  </si>
  <si>
    <t>资本积累是资本主义扩大再生产的源泉，而资本积累的源泉是###剩余价值###（填写经济概念）</t>
  </si>
  <si>
    <t>剩余价值不是资本主义扩大再生产的###源泉###（填写关键概念）</t>
  </si>
  <si>
    <t>###具体和抽象劳动###（填写劳动二重性）</t>
  </si>
  <si>
    <t>###具体劳动###（填写劳动类型）：用针线布料制作衣服的动作（赋予衣服使用价值）</t>
  </si>
  <si>
    <t>###抽象劳动###（填写劳动类型）：缝衣服中消耗的脑力和体力（赋予衣服价值）</t>
  </si>
  <si>
    <t>###具体劳动###（填写劳动类型）转移价值，###抽象劳动###（填写劳动类型）产生价值</t>
  </si>
  <si>
    <t>###中断流程###（填写计算机处理流程）</t>
  </si>
  <si>
    <t>###取指###、###执行###（填写中断流程阶段）</t>
  </si>
  <si>
    <t>###中断检测###（填写中断流程阶段）（屏蔽检测+判优）</t>
  </si>
  <si>
    <t>###中断周期###（填写中断流程阶段）（中断隐指令，即无编码指令）</t>
  </si>
  <si>
    <t>###中断响应###（填写中断流程阶段）</t>
  </si>
  <si>
    <t>###PC###、###PSW###（填写压栈内容）压栈</t>
  </si>
  <si>
    <t>###关中断###（填写中断处理操作）</t>
  </si>
  <si>
    <t>###中断向量###-&gt;###PC###（填写中断处理操作）</t>
  </si>
  <si>
    <t>###中断服务###（填写中断流程阶段）</t>
  </si>
  <si>
    <t>IO指令触发后，中断可能不止一次发生，要看传送的###数据量###（填写影响因素）和中断服务能够处理的单次数据量</t>
  </si>
  <si>
    <t>中断服务如果太慢，搬运赶不上更新，DBR里面的数据可能被新的覆盖</t>
  </si>
  <si>
    <t>###解放思想，实事求是###（填写理论精髓）是邓小平理论的精髓</t>
  </si>
  <si>
    <t>毛泽东思想的历史依据是###新民主主义革命与社会主义改造的经验教训###（填写历史依据）</t>
  </si>
  <si>
    <t>邓小平理论的历史依据是###社会主义建设的经验和教训###（填写历史依据）</t>
  </si>
  <si>
    <t>现实依据是###改革开放和现代化建设的实践###（填写现实依据）</t>
  </si>
  <si>
    <t>###政治易错点###（填写知识点类型）</t>
  </si>
  <si>
    <t>质变有###爆发式飞跃###（填写质变形式）和###非爆发式飞跃###（填写质变形式）两种基本形式</t>
  </si>
  <si>
    <t>可能性需区分：</t>
  </si>
  <si>
    <t>###可能### vs ###不可能###（填写可能性类型）（石头变鸡蛋→不可能）</t>
  </si>
  <si>
    <t>###现实可能### vs ###抽象可能###（填写可能性类型）（现在考 90 分→现实可能；立即长翅膀→抽象可能）</t>
  </si>
  <si>
    <t>###好可能### vs ###坏可能###（填写可能性类型）（成功 vs 失败）</t>
  </si>
  <si>
    <t>###必然###和###偶然###（填写哲学范畴）</t>
  </si>
  <si>
    <t>相互渗透：必然性通过偶然性表现并为自己开辟道路，世界上没有纯粹的必然性</t>
  </si>
  <si>
    <t>相互转化：条件变化时，必然性可转化为偶然性，反之亦然（如生物进化中某些性状由必然变偶然）</t>
  </si>
  <si>
    <t>###本质###（填写哲学概念）是使事物成为自身并区别于他物的规定性，本质和事物的存在直接同一（本质与事物不可分离）</t>
  </si>
  <si>
    <t>劳动力价值的###最低界限###（填写价值界限）是维持劳动者生存和繁衍后代所必需的生活资料价值</t>
  </si>
  <si>
    <t>低于这个界限，劳动力无法正常再生产</t>
  </si>
  <si>
    <t>###利润率###（填写经济指标）永远小于###剩余价值率###（填写经济指标）</t>
  </si>
  <si>
    <t>利润率 = 剩余价值 / 全部预付资本</t>
  </si>
  <si>
    <t>剩余价值率 = 剩余价值 / 可变资本</t>
  </si>
  <si>
    <t>全部预付资本&gt;可变资本</t>
  </si>
  <si>
    <t>商品的###价值###（填写经济概念）等于###生产成本+剩余价值###（填写价值构成）</t>
  </si>
  <si>
    <t>剩余价值转化为平均利润</t>
  </si>
  <si>
    <t>由于利润偏差，商品不再按生产成本+剩余价值的价格</t>
  </si>
  <si>
    <t>而是按生产成本+平均利润，也就是生产价格来出售了</t>
  </si>
  <si>
    <t>工资是###劳动力价值###（填写价值类型）的货币表现，而非###劳动价值###（填写价值类型）</t>
  </si>
  <si>
    <t>劳动不是商品，没有价值</t>
  </si>
  <si>
    <t>工资是劳动力这个特殊商品的价值的货币表现</t>
  </si>
  <si>
    <t>工人出卖的是劳动力而非劳动</t>
  </si>
  <si>
    <t>劳动力能产生劳动（编码技术能产生编码这个劳动）</t>
  </si>
  <si>
    <t>###生产力与生产关系的矛盾###（填写社会基本矛盾）是社会基本矛盾之一</t>
  </si>
  <si>
    <t>社会主义初级阶段主要矛盾是"人民日益增长的美好生活需要和不平衡不充分的发展之间的矛盾"</t>
  </si>
  <si>
    <t>###非公有制经济###（填写经济类型）是社会主义市场经济的重要组成部分，不是社会主义经济的组成部分</t>
  </si>
  <si>
    <t>社会主义经济特指公有制经济</t>
  </si>
  <si>
    <t>改革开放前后两个历史时期是###辩证统一###（填写关系性质）的，本质上都是党领导人民进行社会主义建设的实践探索</t>
  </si>
  <si>
    <t>改革开放前的实践探索为改革开放后积累了条件</t>
  </si>
  <si>
    <t>改革开放后是对改革开放前的坚持、改革和发展</t>
  </si>
  <si>
    <t>###新民主主义革命###（填写革命类型）不是社会主义性质的革命</t>
  </si>
  <si>
    <t>新民主主义革命是资产阶级民主主义革命性质，它的任务是反帝反封建，不是反对资本主义</t>
  </si>
  <si>
    <t>社会主义革命才是反对资本主义</t>
  </si>
  <si>
    <t>###辛亥革命###（填写历史事件）的失败</t>
  </si>
  <si>
    <t>辛亥革命虽然推翻了清王朝，但。。。</t>
  </si>
  <si>
    <t>没有改变中国半殖民地半封建社会性质</t>
  </si>
  <si>
    <t>没有完成反帝反封建任务</t>
  </si>
  <si>
    <t>没有改变中国人民悲惨命运</t>
  </si>
  <si>
    <t>从革命目标（以上三点）看是失败的</t>
  </si>
  <si>
    <t>###法律权利###与###法律义务###（填写法律关系）的关系</t>
  </si>
  <si>
    <t>权利是目的，义务是手段</t>
  </si>
  <si>
    <t>义务的设定是为了保障权利的实现</t>
  </si>
  <si>
    <t>道德的###历史性###与###阶级性###（填写道德属性）</t>
  </si>
  <si>
    <t>道德具有历史性（不同时代有不同道德）</t>
  </si>
  <si>
    <t>道德具有阶级性（不同阶级有不同道德标准）</t>
  </si>
  <si>
    <t>不存在永恒不变的普世道德</t>
  </si>
  <si>
    <t>###垄断###（填写经济现象）不能消除###竞争###（填写经济现象）</t>
  </si>
  <si>
    <t>垄断是竞争的结果，只会改变竞争形式，不会消除竞争</t>
  </si>
  <si>
    <t>竞争形式：从自由竞争到垄断竞争</t>
  </si>
  <si>
    <t>潜在对手、内部竞争、替代竞争始终存在</t>
  </si>
  <si>
    <t>###价格###≠###价值###（填写经济概念）</t>
  </si>
  <si>
    <t>价格围绕价值波动，受供求关系、货币发行量等影响</t>
  </si>
  <si>
    <t>价格是价值的表现形式，而非价值本身</t>
  </si>
  <si>
    <t>只有###抽象劳动###（填写劳动类型）才创造###价值###（填写经济概念）</t>
  </si>
  <si>
    <t>具体劳动创造使用价值（如面包能吃）</t>
  </si>
  <si>
    <t>抽象劳动（无差别人类劳动）才创造价值</t>
  </si>
  <si>
    <t>单纯的体力 / 脑力付出未必创造价值</t>
  </si>
  <si>
    <t>无效的具体劳动，无法转化为抽象劳动，无法产生价值</t>
  </si>
  <si>
    <t>资本主义###新变化###（填写变化类型）没改变其###本质###（填写本质属性）</t>
  </si>
  <si>
    <t>资本主义的科技进步、福利制度等新变化，只是缓和了基本矛盾，并未将其消除，本质仍是剥削制度</t>
  </si>
  <si>
    <t>资本主义的基本矛盾：生产社会化 vs 私有制</t>
  </si>
  <si>
    <t>###社会主义初级阶段###（填写社会发展阶段）的判断标准</t>
  </si>
  <si>
    <t>生产力水平</t>
  </si>
  <si>
    <t>阶段指标</t>
  </si>
  <si>
    <t>工业化程度</t>
  </si>
  <si>
    <t>产业结构</t>
  </si>
  <si>
    <t>人均GDP水平</t>
  </si>
  <si>
    <t>质量指标</t>
  </si>
  <si>
    <t>劳动生产率</t>
  </si>
  <si>
    <t>科技创新能力</t>
  </si>
  <si>
    <t>基础设施完善度</t>
  </si>
  <si>
    <t>民生改善</t>
  </si>
  <si>
    <t>摆脱贫困</t>
  </si>
  <si>
    <t>公共服务均等化程度</t>
  </si>
  <si>
    <t>制度完善程度</t>
  </si>
  <si>
    <t>经济制度</t>
  </si>
  <si>
    <t>所有制结构</t>
  </si>
  <si>
    <t>分配制度</t>
  </si>
  <si>
    <t>市场经济体制</t>
  </si>
  <si>
    <t>政治制度</t>
  </si>
  <si>
    <t>人民民主专政</t>
  </si>
  <si>
    <t>法治建设</t>
  </si>
  <si>
    <t>政治体制改革</t>
  </si>
  <si>
    <t>治理体系</t>
  </si>
  <si>
    <t>治理体系现代化</t>
  </si>
  <si>
    <t>治理能力现代化</t>
  </si>
  <si>
    <t>生产力标准是根本性的，制度标准是必要条件</t>
  </si>
  <si>
    <t>###洋务运动###（填写历史运动）是封建地主阶级自救运动</t>
  </si>
  <si>
    <t>目的是维护封建统治，不是发展资本主义</t>
  </si>
  <si>
    <t>其企业仍受封建势力控制，不具备资本主义本质</t>
  </si>
  <si>
    <t>###法律###（填写社会规范）是阶级社会的产物，原始社会没有法律（只有习惯），随着阶级和国家产生而产生</t>
  </si>
  <si>
    <t>###生产关系###（填写经济关系）越 "先进" 越好是错的</t>
  </si>
  <si>
    <t>生产关系必须适应生产力发展水平，超越生产力的 “先进生产关系” 会阻碍发展</t>
  </si>
  <si>
    <t>如过去的 “人民公社化”</t>
  </si>
  <si>
    <t>有###使用价值###（填写价值类型）的东西不一定有###价值###（填写价值类型）</t>
  </si>
  <si>
    <t>空气、阳光有用（有使用价值）但不是商品，因此没有价值</t>
  </si>
  <si>
    <t>有价值的东西一定有使用价值</t>
  </si>
  <si>
    <t>资本家的###利润###（填写经济概念）本质是###剩余价值###（填写经济概念）</t>
  </si>
  <si>
    <t>利润是剩余价值的转化形式</t>
  </si>
  <si>
    <t>是资本家无偿占有工人剩余劳动的结果</t>
  </si>
  <si>
    <t>###计划###和###市场###（填写资源配置手段）都是资源配置手段</t>
  </si>
  <si>
    <t>###五四运动###（填写历史事件）是新民主主义革命的开端</t>
  </si>
  <si>
    <t>五四运动是彻底反帝反封建的革命运动</t>
  </si>
  <si>
    <t>无产阶级自此登上历史舞台</t>
  </si>
  <si>
    <t>###政经计算题###（填写题目类型）</t>
  </si>
  <si>
    <t>###不变资本###（填写资本类型）C：机器、原料、厂房的钱</t>
  </si>
  <si>
    <t>不创造价值、只转移价值到产品上</t>
  </si>
  <si>
    <t>###可变资本###（填写资本类型）V：给工人发的工资（劳动力价值）</t>
  </si>
  <si>
    <t>能创造剩余价值的资本</t>
  </si>
  <si>
    <t>V能生钱，C只是工具</t>
  </si>
  <si>
    <t>###商品价值###（填写价值公式）=C+V+m（m即剩余价值）</t>
  </si>
  <si>
    <t>###剩余价值###（填写经济概念）m=工人创造的总价值-V（这部分被老板独吞）</t>
  </si>
  <si>
    <t>###剩余价值率###（填写经济指标）m'=m/V（老板赚的是工资的几倍）</t>
  </si>
  <si>
    <t>###利润###（填写经济概念）p=m（老板把m看成资本的利润，而不是劳动创造的新价值）</t>
  </si>
  <si>
    <t>###利润率###（填写经济指标）p'=p/(C+V)</t>
  </si>
  <si>
    <t>###平均利润率###（填写经济指标）ap'=社会总利润tap/社会总成本tcv（C+V）</t>
  </si>
  <si>
    <t>###社会总利润###（填写经济概念）tap=Σ行业平均利润ap（所有行业的平均利润之和）</t>
  </si>
  <si>
    <t>###社会总成本###（填写经济概念）tcv=Σ行业成本cv（所有行业的预付成本之和）</t>
  </si>
  <si>
    <t>###行业平均利润###（填写经济概念）ap=平均利润率ap'*行业成本cv</t>
  </si>
  <si>
    <t>###生产价格###（填写经济概念）=成本价（C+V）+平均利润ap≠成本价（C+V）+利润p（剩余价值m）</t>
  </si>
  <si>
    <t>发展教育的根本尺度是###人民满意###（填写根本尺度）</t>
  </si>
  <si>
    <t>###教育公平###（填写社会公平基础）是社会公平的重要基础</t>
  </si>
  <si>
    <t>###服务高质量发展###（填写教育强国任务）是建设教育强国的重要任务</t>
  </si>
  <si>
    <t>解决人民群众最关心最直接最现实的利益问题，是保障和改善民生的###重中之重###（填写工作重点）</t>
  </si>
  <si>
    <t>我国已于2021年打赢###脱贫攻坚战###（填写已完成工作），这项工作不是未来民生工作的重中之重</t>
  </si>
  <si>
    <t>坚持###人人尽责、人人享有###（填写民生原则），让所有劳动者在推动发展中分享发展成果，是保障和改善民生的重要原则</t>
  </si>
  <si>
    <t>“振兴中华” -&gt;兴中会，1894### ###</t>
  </si>
  <si>
    <t>资产阶级###改良派###和###革命派###（填写派别类型）在论战后划清界限</t>
  </si>
  <si>
    <t>###三民主义###（填写政治纲领）是同盟会的纲领</t>
  </si>
  <si>
    <t>###宗派主义###（填写主义类型）：跟谁玩？—— 只跟小圈子玩（组织层面）</t>
  </si>
  <si>
    <t>###形式主义###（填写主义类型）：怎么做？—— 只做表面样子（工作层面）</t>
  </si>
  <si>
    <t>###主观主义###（填写主义类型）：凭啥做？—— 凭自己瞎想（思想层面）</t>
  </si>
  <si>
    <t>理论脱离实际，不考虑中国国情是其中一个典型例子</t>
  </si>
  <si>
    <t>皖南事变后，为避免###抗日民族统一战线###（填写统一战线名称）破裂，采取了措施</t>
  </si>
  <si>
    <t>策略总方针：发展进步势力、争取中间势力、孤立顽固势力</t>
  </si>
  <si>
    <t>避坑1：坚持抗战、团结（都要杀你了还团结？）</t>
  </si>
  <si>
    <t>避坑2：有理、有利、有节（同上）</t>
  </si>
  <si>
    <t>避坑3：又联合又斗争（同上，还能联合？）</t>
  </si>
  <si>
    <t>推进全面依法治国的重点任务和主体工程是###法治政府建设###（填写建设工程）</t>
  </si>
  <si>
    <t>避坑1：法律是政府的职能之一，并非是社会的一部分</t>
  </si>
  <si>
    <t>避坑2：一般来说重点任务和主体工程不可能是某个长期事件，因为长期坚持重要任务（不完成）是没有意义的</t>
  </si>
  <si>
    <t>###时间和空间###（填写物质存在形式）是物质运动的存在形式</t>
  </si>
  <si>
    <t>人们可以通过###实践###（填写活动方式）创造出自然界原本不存在的现实状态</t>
  </si>
  <si>
    <t>人的实践活动是实践主客体之间的相互作用</t>
  </si>
  <si>
    <t>这种相互作用必须借助于一定的手段和工具</t>
  </si>
  <si>
    <t>这些手段和工具即###实践中介###（填写实践要素）</t>
  </si>
  <si>
    <t>影响资本周转快慢有两个关键因素：###资本周转时间###（填写关键因素）和###固定和流动资本的构成###（填写关键因素）</t>
  </si>
  <si>
    <t>###资本周转时间###（填写关键因素）</t>
  </si>
  <si>
    <t>###固定和流动资本的构成###（填写关键因素）</t>
  </si>
  <si>
    <t>垄断资本的国际扩张形式：###借贷资本输出###（填写扩张形式）、###商品资本输出###（填写扩张形式）、###生产资本输出###（填写扩张形式）</t>
  </si>
  <si>
    <t>###借贷资本输出###（填写扩张形式）</t>
  </si>
  <si>
    <t>###商品资本输出###（填写扩张形式）</t>
  </si>
  <si>
    <t>###生产资本输出###（填写扩张形式）</t>
  </si>
  <si>
    <t>俄共1921发展商品经济，新经济政策的四项内容：### ###</t>
  </si>
  <si>
    <t>允许私人自由贸易</t>
  </si>
  <si>
    <t>用粮食税取代余粮收集</t>
  </si>
  <si>
    <t>恢复商品货币关系</t>
  </si>
  <si>
    <t>允许私人小工业企业发展</t>
  </si>
  <si>
    <t>毛泽东为开创中国特色社会主义作了准备### ###</t>
  </si>
  <si>
    <t>但他并没有开创中国特色社会主义</t>
  </si>
  <si>
    <t>邓小平同志开创了中国特色社会主义</t>
  </si>
  <si>
    <t>之后的历代中国共产党中央领导集体接续巩固和发展了中国特色社会主义</t>
  </si>
  <si>
    <t>服务贸易已经成为中国经济转型的关键因素之一### ###</t>
  </si>
  <si>
    <t>经济转型五大因素</t>
  </si>
  <si>
    <t>科技</t>
  </si>
  <si>
    <t>制度</t>
  </si>
  <si>
    <t>内外循环（服务贸易属于该类）</t>
  </si>
  <si>
    <t>产业</t>
  </si>
  <si>
    <t>人力</t>
  </si>
  <si>
    <t>收入分配是民生之源，而非就业或其它### ###</t>
  </si>
  <si>
    <t>中国走和平道路与国家实力的现实考量无关（不称霸不是不能而是不想）### ###</t>
  </si>
  <si>
    <t>甲午战败掀起了列强瓜分中国的狂潮（没想到清朝这么弱）### ###</t>
  </si>
  <si>
    <t>毛泽东在土地革命战争时期的著作### ###</t>
  </si>
  <si>
    <t>《中国的红色政权为什么能够存在？》</t>
  </si>
  <si>
    <t>首次系统分析中国红色政权存在和发展的条件，提出 "工农武装割据" 思想</t>
  </si>
  <si>
    <t>指出中国政治经济发展不平衡是红色政权存在的根本原因</t>
  </si>
  <si>
    <t>阐明了武装斗争、土地革命和根据地建设三位一体的革命道路</t>
  </si>
  <si>
    <t>《井冈山的斗争》</t>
  </si>
  <si>
    <t>详细总结井冈山根据地斗争经验，全面阐述 "工农武装割据" 理论</t>
  </si>
  <si>
    <t>论述了党的建设、军队建设、土地革命和政权建设的具体方针</t>
  </si>
  <si>
    <t>明确提出 "党指挥枪" 原则，强调武装斗争是中国革命的主要形式</t>
  </si>
  <si>
    <t>《星星之火，可以燎原》</t>
  </si>
  <si>
    <t>标志着 "农村包围城市、武装夺取政权" 革命道路理论基本形成</t>
  </si>
  <si>
    <t>批评了 "红旗到底能打多久" 的悲观思想</t>
  </si>
  <si>
    <t>明确提出 "以乡村为中心" 的战略思想，主张将党的工作重心从城市转向农村</t>
  </si>
  <si>
    <t>《反对本本主义》</t>
  </si>
  <si>
    <t>毛泽东思想的起点，奠定了党的实事求是思想路线基础</t>
  </si>
  <si>
    <t>和前几部作品的科学概括标志着毛泽东思想的初步形成</t>
  </si>
  <si>
    <t>提出 "没有调查，没有发言权" 的著名论断</t>
  </si>
  <si>
    <t>批判了教条主义，强调 "中国革命斗争的胜利要靠中国同志了解中国情况"</t>
  </si>
  <si>
    <t>《农村调查》</t>
  </si>
  <si>
    <t>《关心群众生活，注意工作方法》</t>
  </si>
  <si>
    <t>《中国革命战争的战略问题》</t>
  </si>
  <si>
    <t>系统总结中国革命战争经验，形成中国特色军事理论</t>
  </si>
  <si>
    <t>分析了中国革命战争的四个特点和基本原则</t>
  </si>
  <si>
    <t>阐述了 "集中优势兵力，各个歼灭敌人" 等重要军事原则</t>
  </si>
  <si>
    <t>《实践论》、《矛盾论》</t>
  </si>
  <si>
    <t>从哲学高度总结党的思想路线，奠定了毛泽东思想的哲学基础</t>
  </si>
  <si>
    <t>《实践论》系统阐述了认识与实践的辩证关系，强调实践是检验真理的唯一标准</t>
  </si>
  <si>
    <t>《矛盾论》深入分析了唯物辩证法的核心 —— 对立统一规律，为中国革命提供方法论指导</t>
  </si>
  <si>
    <t>大革命时期，毛泽东的著作### ###</t>
  </si>
  <si>
    <t>《中国社会各阶级的分析》</t>
  </si>
  <si>
    <t>抗日战争时期，毛泽东的著作### ###</t>
  </si>
  <si>
    <t>《中国革命和中国共产党》</t>
  </si>
  <si>
    <t>《解放思想，实事求是，团结一致向前看》是开创中特主义新理论的宣言书### ###</t>
  </si>
  <si>
    <t>《实践是检验真理的唯一标准》### ###</t>
  </si>
  <si>
    <t>为重新确立实事求是的思想路线做了准备，而不是直接重新确立</t>
  </si>
  <si>
    <t>是继延安整风后又一场马克思主义思想解放运动</t>
  </si>
  <si>
    <t>平等是社会主义法律的基本属性### ###</t>
  </si>
  <si>
    <t>现代化人民城市：2030取得进展，2035基本建成### ###</t>
  </si>
  <si>
    <t>《团结合作砥砺前行》的倡议：### ###</t>
  </si>
  <si>
    <t>坚持多边主义，捍卫国际公平正义（原则）</t>
  </si>
  <si>
    <t>坚持团结合作，凝聚共同发展合力（目标）</t>
  </si>
  <si>
    <t>坚持开放共赢，维护国际经贸秩序（手段）</t>
  </si>
  <si>
    <t>注意：金砖国家是多边合作组织，不是盟友</t>
  </si>
  <si>
    <t>资本价值构成：C/V### ###</t>
  </si>
  <si>
    <t>经济危机的抽象一般可能性共 3 种### ###</t>
  </si>
  <si>
    <t>买卖脱节（卖了不买，攒钱，别人卖不出）</t>
  </si>
  <si>
    <t>三角债（债务死锁）</t>
  </si>
  <si>
    <t>供求失衡（导致资本家攒钱不买）</t>
  </si>
  <si>
    <t>从第一个五年计划到第十四个五年规划，一以贯之的主题是把我国建设成为社会主义现代化国家。### ###</t>
  </si>
  <si>
    <t>理智死守·提剑重击=立方是前提，执法是关键，司法是重点，守法是基础### ###</t>
  </si>
  <si>
    <t>我国周边外交的主要高质量共建”一带一路”### ###</t>
  </si>
  <si>
    <t>人的本质力量可以对象化和现实化### ###</t>
  </si>
  <si>
    <t>人通过实践活动，把自身的体力、智力、创造力等 “内在力量”，转化为外在的、可感知的 “对象”，最终变成能满足需求、改造世界的实际成果</t>
  </si>
  <si>
    <t>把心里的、身上的能力，变成实实在在的东西（Carol：。。。）</t>
  </si>
  <si>
    <t>价值是一种客观存在，独立于人们对他的认识和评价### ###</t>
  </si>
  <si>
    <t>国际金融危机的原因### ###</t>
  </si>
  <si>
    <t>金融资本过度逐利</t>
  </si>
  <si>
    <t>金融监管严重缺失</t>
  </si>
  <si>
    <t>资本主义国家内部的矛盾和冲突日益明显，表现为### ###</t>
  </si>
  <si>
    <t>经济发展失调</t>
  </si>
  <si>
    <t>政治体制失灵</t>
  </si>
  <si>
    <t>社会融合机制失效</t>
  </si>
  <si>
    <t>习大大经济思想的成效### ###</t>
  </si>
  <si>
    <t>深化了科学社会主义人的自由全面发展原则</t>
  </si>
  <si>
    <t>深化了科学社会主义解放和发展生产力原则</t>
  </si>
  <si>
    <t>深化了科学社会主义共同体原则</t>
  </si>
  <si>
    <t>为科学社会主义蓬勃发展提供了生动实践</t>
  </si>
  <si>
    <t>中共四大的重大历史功绩：### ###</t>
  </si>
  <si>
    <t>关键理论突破：明确革命领导权与工农联盟</t>
  </si>
  <si>
    <t>丰富民主革命内涵：明确革命对象与动力</t>
  </si>
  <si>
    <t>强化组织建设：为革命发展提供保障</t>
  </si>
  <si>
    <t>提出了问题，但没有回答问题（比如与资产阶级争权）</t>
  </si>
  <si>
    <t>1945年8月，蒋邀请毛泽东，没有立刻开打，是因为### ###</t>
  </si>
  <si>
    <t>苏美都不希望中国内战</t>
  </si>
  <si>
    <t>苏联也支持国民党，因为国民党保证苏联在东北的利益</t>
  </si>
  <si>
    <t>而毛泽东领导的中共不会轻易出让国家利益，这对他们是不利的</t>
  </si>
  <si>
    <t>国人对和平的呼声</t>
  </si>
  <si>
    <t>战场部署需要时间</t>
  </si>
  <si>
    <t>国统区经济危机时间是1946-1947年，不是这个时候</t>
  </si>
  <si>
    <t>坚持立足中国又面向世界也是大力弘扬新时代爱国主义所要求的。### ###</t>
  </si>
  <si>
    <t>海南自贸港的特征### ###</t>
  </si>
  <si>
    <t>"一线放开": 指海南与境外 (国外) 的通道开放，货物、资金等要素流动更自由，多数商品实现 "零关税"</t>
  </si>
  <si>
    <t>"二线管住": 指海南与内地 (国内其他省份) 的通道管控，防止走私、维护国内市场秩序</t>
  </si>
  <si>
    <t>"岛内自由": 指海南岛内的商品、服务、人员等可自由流通，打造高度便利化的营商环境</t>
  </si>
  <si>
    <t>马克思著作### ###</t>
  </si>
  <si>
    <t>首次提出科学实践观的著作是《关于费尔巴哈的提纲》</t>
  </si>
  <si>
    <t>《哥达纲领批判》丰富了科学社会主义学说</t>
  </si>
  <si>
    <t>《反杜林论》全面阐述了马克思主义理论体系</t>
  </si>
  <si>
    <t>《神圣家族》是马恩首次合写</t>
  </si>
  <si>
    <t>批判青年黑格尔派主观唯心</t>
  </si>
  <si>
    <t>论述历史唯物主义</t>
  </si>
  <si>
    <t>认识必然和争取自由是人类认识改造世界的根本目标，是一个历史性的过程### ###</t>
  </si>
  <si>
    <t>人的发展最根本的表现是人的自由程度的提高### ###</t>
  </si>
  <si>
    <t>科技创新是新质生产力的“灵魂”和核心要素，也是其第一驱动力### ###</t>
  </si>
  <si>
    <t>中华文明的连续性决定了中华民族必然走自己的路### ###</t>
  </si>
  <si>
    <t>文明基因的连续性：筑牢 “自己的路” 的根基</t>
  </si>
  <si>
    <t>价值内核的连续性：明确 “自己的路” 的方向</t>
  </si>
  <si>
    <t>发展实践的连续性：夯实 “自己的路” 的底气</t>
  </si>
  <si>
    <t>护法运动的失败标志着旧民主主义革命的终结### ###</t>
  </si>
  <si>
    <t>证明资产阶级共和国方案在中国行不通</t>
  </si>
  <si>
    <t>国民革命的中心是农民问题### ###</t>
  </si>
  <si>
    <t>中国人民抗日战争胜利的决定因素是以爱国主义为核心的民族精神### ####</t>
  </si>
  <si>
    <t>中共的中流砥柱作用是胜利的关键</t>
  </si>
  <si>
    <t>辛亥革命和国民革命是失败的### ###</t>
  </si>
  <si>
    <t>辛亥革命、国民革命和解放战争都是反帝反封建的民主主义革命（无论新旧），因此性质和任务相同### ###</t>
  </si>
  <si>
    <t>革命任务是由历史和社会的客观背景决定的，革命队伍只能在认清任务后才可能成功完成革命### ###</t>
  </si>
  <si>
    <t>而且革命成功与否不看是否发生了政权更迭，而看社会形态是否发生了变更，更看原本的社会主要矛盾是否得到了解决，做不到这些就不是成功的革命，只是轮流当皇帝而已。### ###</t>
  </si>
  <si>
    <t>中拉命运共同体### ###</t>
  </si>
  <si>
    <t>鲜明底色是平等相待</t>
  </si>
  <si>
    <t>强大动力是互利共赢</t>
  </si>
  <si>
    <t>胸怀品格是开放包容</t>
  </si>
  <si>
    <t>根本追求是造福人民</t>
  </si>
  <si>
    <t>绝对和相对剩余价值### ###</t>
  </si>
  <si>
    <t>绝对（增加绝对劳动量）：必要劳动时间不变，加班加点或者提高劳动强度</t>
  </si>
  <si>
    <t>相对（降低必要劳动时间）：维持上班时长，发展生产力、提升工作效率</t>
  </si>
  <si>
    <t>必要和剩余劳动时间：</t>
  </si>
  <si>
    <t>必要：创造等于工资的价值所必须要花的时间</t>
  </si>
  <si>
    <t>工资V/单位时间创造的价值量</t>
  </si>
  <si>
    <t>剩余：工作总时长减必要劳动时间以外的时间</t>
  </si>
  <si>
    <t>社会主义建设具有长期性的原因### ###</t>
  </si>
  <si>
    <t>生产力发展状况的制约</t>
  </si>
  <si>
    <t>经济基础和上层建筑发展状况的制约</t>
  </si>
  <si>
    <t>马克思主义执政党对发展道路的探索和认知是长期的</t>
  </si>
  <si>
    <t>国际环境的严峻挑战</t>
  </si>
  <si>
    <t>邓小平理论、三个代表和科学发展观都属于马克思主义与中国实际的二次结合### ###</t>
  </si>
  <si>
    <t>因此不能说其中某一个提出者完成了马克思主义与中国实际的第二次结合</t>
  </si>
  <si>
    <t>资源配置由市场负责，这部分政府不管### ###</t>
  </si>
  <si>
    <t>教育发展是推动党和国家各项事业发展的先手棋### ###</t>
  </si>
  <si>
    <t>抗日时期，在根据地实行“三三制”原则### ###</t>
  </si>
  <si>
    <t>抗日民族统一战线政策的具体体现</t>
  </si>
  <si>
    <t>共产党占三分之一</t>
  </si>
  <si>
    <t>非党的左派进步分子占三分之一</t>
  </si>
  <si>
    <t>不左不右的中间派占三分之一</t>
  </si>
  <si>
    <t>中共二大成果：第一次提出反帝反封建的民主革命纲领、提出了“组成民主主义的联合战线”### ###</t>
  </si>
  <si>
    <t>中共七大### ###</t>
  </si>
  <si>
    <t>确立毛泽东思想为党的指导思想</t>
  </si>
  <si>
    <t>毛泽东作《论联合政府》政治报告</t>
  </si>
  <si>
    <t>三大作风：理论结合实践、和人民群众紧密联系、自我批评</t>
  </si>
  <si>
    <t>选举产生以毛泽东为首的中央领导集体</t>
  </si>
  <si>
    <t>制定了党的政治路线</t>
  </si>
  <si>
    <t>放手发动群众，壮大人民力量，</t>
  </si>
  <si>
    <t>在党的领导下，打败日本侵略者，解放全国人民，</t>
  </si>
  <si>
    <t>建立一个新民主主义的中国</t>
  </si>
  <si>
    <t>标志着党在政治上（政治路线）、思想上（毛泽东思想）、组织上（中央领导集体）完全成熟</t>
  </si>
  <si>
    <t>宪法明确了国家未来建设发展的根本任务和总目标### ###</t>
  </si>
  <si>
    <t>资本主义工商业的社会主义改造分三步### ###</t>
  </si>
  <si>
    <t>国家资本主义（注意不是国企）：具有了社会主义的因素</t>
  </si>
  <si>
    <t>个别公私合营：半社会主义性质的企业</t>
  </si>
  <si>
    <t>全行业公私合营：基本上成为社会主义国营性质</t>
  </si>
  <si>
    <t>农业农村现代化是中国式现代化必须优先补上的最大短板### ###</t>
  </si>
  <si>
    <t>产业结构升级是绿色低碳发展这一生态环境问题治本之策的具体措施之一### ###</t>
  </si>
  <si>
    <t>瓦窑堡会议：建立广泛的抗日民族统一战线### ###</t>
  </si>
  <si>
    <t>减租减息是在和国民党合作后，不能土改就退而求其次</t>
  </si>
  <si>
    <t>敌后开展游击和运动是抗日（1937年）开始后</t>
  </si>
  <si>
    <t>保持党在思想、政治和组织上的独立性是在统一战线后</t>
  </si>
  <si>
    <t>整风运动：### ###</t>
  </si>
  <si>
    <t>反对主观主义整顿学风（包含教条主义和经验主义）</t>
  </si>
  <si>
    <t>反对宗派主义整顿党风</t>
  </si>
  <si>
    <t>反对党八股（形式主义）整顿文风</t>
  </si>
  <si>
    <t>行政保障是权利保障的关键环节，司法则是最后防线### ###</t>
  </si>
  <si>
    <t>第15个5年计划的战略任务第一条：建设现代化产业体系，巩固壮大实体经济根基### ###</t>
  </si>
  <si>
    <t>科学发展必然导致生产关系的变革### ###</t>
  </si>
  <si>
    <t>影响劳动生产率的因素### ###</t>
  </si>
  <si>
    <t>劳动者自身</t>
  </si>
  <si>
    <t>技术与生产资料</t>
  </si>
  <si>
    <t>管理与组织</t>
  </si>
  <si>
    <t>环境与制度</t>
  </si>
  <si>
    <t>生产社会化会削弱资本家个人在管理中的地位和作用### ###</t>
  </si>
  <si>
    <t>资本家配拿的V在不断减少，赚到的m在不断增加</t>
  </si>
  <si>
    <t>农村包围城市，武装夺取政权的相关著作### ###</t>
  </si>
  <si>
    <t>中国的红色政权为什么能够存在？</t>
  </si>
  <si>
    <t>井冈山的斗争</t>
  </si>
  <si>
    <t>星星之火，可以燎原</t>
  </si>
  <si>
    <t>反对本本主义</t>
  </si>
  <si>
    <t>共同富裕不是所有人###同时（同步）富裕###（填写错误概念）</t>
  </si>
  <si>
    <t>建成教育强国是中国式现代化的###先导任务、坚实基础、战略支撑###（填写角色）</t>
  </si>
  <si>
    <t>稀土管制的核心目标：###维护国家安全、履行国际防扩散义务###（填写核心目标）</t>
  </si>
  <si>
    <t>以维新运动为起点，资产阶级新文化开始打破###封建文化独占文化阵地的局面###（填写变化）</t>
  </si>
  <si>
    <t>五卅运动虽然和省港大罢工起因相同，却是###不同的事件###（填写事件性质）</t>
  </si>
  <si>
    <t>省港大罢工是纯工人运动，是最长的政治大罢工</t>
  </si>
  <si>
    <t>五卅运动是多阶层联合运动</t>
  </si>
  <si>
    <t>冲破了长期笼罩全国的沉闷的政治空气，促进群众觉醒</t>
  </si>
  <si>
    <t>给了帝国主义和军阀势力一次前所未有的打击</t>
  </si>
  <si>
    <t>三主体、三补充### ###</t>
  </si>
  <si>
    <t>所有制层面：国营和集体经营为主，个体经营为补充</t>
  </si>
  <si>
    <t>生产组织层面：计划生产为主，按市场变化的自由生产为补充</t>
  </si>
  <si>
    <t>市场运行层面：国家市场为主，自由市场为补充</t>
  </si>
  <si>
    <t>新时代爱国统一战线的历史责任是：###促进中华儿女大团结###（填写历史责任）</t>
  </si>
  <si>
    <t>国际调解院面向所有国家，也不是对国际法院的###替代###（填写关系）</t>
  </si>
  <si>
    <t>资本的构成：### ###</t>
  </si>
  <si>
    <t>技术构成：生产资料数与劳动力数的比例，10台机器比2个工人</t>
  </si>
  <si>
    <t>价值构成：不变资本/可变资本</t>
  </si>
  <si>
    <t>有机构成：价值构成受技术变化影响并能反映技术进步时，价值构成即有机构成</t>
  </si>
  <si>
    <t>党明确阶段性中心任务、制定路线方针政策的根本依据是###社会主要矛盾的不同阶段###（填写根本依据）</t>
  </si>
  <si>
    <t>党和国家发展进步的活力源泉是###改革开放###（填写活力源泉）</t>
  </si>
  <si>
    <t>新时代党的民族工作主线是###铸牢中华民族共同体意识###（填写主线）</t>
  </si>
  <si>
    <t>民生问题### ###</t>
  </si>
  <si>
    <t>发展是总钥匙</t>
  </si>
  <si>
    <t>社保是基本制度保障</t>
  </si>
  <si>
    <t>党建### ###</t>
  </si>
  <si>
    <t>思想建设是基础</t>
  </si>
  <si>
    <t>政治建设是根本</t>
  </si>
  <si>
    <t>大革命失败后，集中体现中国革命正确方向的是###井冈山的斗争###（填写事件）</t>
  </si>
  <si>
    <t>是“农村包围城市、武装夺权”正确道路的具体实践</t>
  </si>
  <si>
    <t>论持久战：###兵民是胜利之本###（填写核心观点）</t>
  </si>
  <si>
    <t>七届三中全会：中心任务是在三年内争取###国家财政经济的基本好转###（填写中心任务）</t>
  </si>
  <si>
    <t>提出了“要掌握斗争的方向，不要四面出击”</t>
  </si>
  <si>
    <t>2025《政府工作报告》：综合整治###内卷式竞争###（填写整治对象）</t>
  </si>
  <si>
    <t>2025服贸会的主题是###数智领航，服贸焕新###（填写主题）</t>
  </si>
  <si>
    <t>人类生存发展的决定性因素是###物质资料的生产方式###（填写决定性因素）</t>
  </si>
  <si>
    <t>规律作用的###条件和形式###能够被人为改变（填写可改变方面）</t>
  </si>
  <si>
    <t>规律对人的实践活动有重要作用，无论这些规律是否已经被人们所###认识###（填写状态）</t>
  </si>
  <si>
    <t>经济基础和上层建筑的矛盾是人类社会的另一个###基本矛盾###（填写矛盾类型）</t>
  </si>
  <si>
    <t>人类社会发展的最终决定力量是###物质生产力###（填写决定力量）</t>
  </si>
  <si>
    <t>科学社会主义理论与实践中具有首要和基础地位的科学论断是###唯物史观###（填写科学论断）</t>
  </si>
  <si>
    <t>共产主义的核心要义：### ###</t>
  </si>
  <si>
    <t>以 “人的自由而全面的发展” 为根本目标</t>
  </si>
  <si>
    <t>同样也是马克思主义追求的根本价值目标</t>
  </si>
  <si>
    <t>建立一个理想社会：</t>
  </si>
  <si>
    <t>消灭阶级</t>
  </si>
  <si>
    <t>消除剥削</t>
  </si>
  <si>
    <t>实现共同富裕</t>
  </si>
  <si>
    <t>物质精神财富极大丰富</t>
  </si>
  <si>
    <t>马克思主义和共产主义的关系### ###</t>
  </si>
  <si>
    <t>马克思主义是一套哲学方法论</t>
  </si>
  <si>
    <t>科学社会主义是马克思主义的一个版块</t>
  </si>
  <si>
    <t>科学社会主义提出了共产主义的必然性和实践手段</t>
  </si>
  <si>
    <t>共产主义是一种社会形态，在马克思主义前就有雏形</t>
  </si>
  <si>
    <t>两个必然是###唯物史观###的一部分（填写理论部分）</t>
  </si>
  <si>
    <t>唯物史观在科学社会主义理论与实践中具有首要和基础的地位</t>
  </si>
  <si>
    <t>因此可以说，两个必然在科学社会主义理论与实践中具有首要和基础的地位</t>
  </si>
  <si>
    <t>共产主义≠共产主义理想信念，后者是对前者的###主观感受###（填写区别）</t>
  </si>
  <si>
    <t>共产主义理想信念的核心要义是两个必然</t>
  </si>
  <si>
    <t>论十大关系是“以苏为鉴”，反对###照搬苏联###，也反对###闭关自守###（填写反对内容）</t>
  </si>
  <si>
    <t>到了《正确处理内部矛盾》，提出要走一条有别于苏联的工业化道路</t>
  </si>
  <si>
    <t>限邻域是工业化建设</t>
  </si>
  <si>
    <t>程度是从借鉴到有别，也就是更强调不同</t>
  </si>
  <si>
    <t>人才政策包含“###坚持党对人才工作的全面领导###”（填写政策内容）</t>
  </si>
  <si>
    <t>新时代我国经济社会发展的鲜明主题是###推动高质量发展###（填写主题）</t>
  </si>
  <si>
    <t>重大政治问题### ###</t>
  </si>
  <si>
    <t>生态环境关系到党的使命宗旨</t>
  </si>
  <si>
    <t>共同富裕关系党到的执政基础</t>
  </si>
  <si>
    <t>规范和引导资本发展关系到社会主义基本经济制度</t>
  </si>
  <si>
    <t>生态环境的变化直接影响文明的###兴衰演替###（填写影响方面）</t>
  </si>
  <si>
    <t>百团大战### ###</t>
  </si>
  <si>
    <t>打击了日军的囚笼政策</t>
  </si>
  <si>
    <t>以破袭敌人交通线为重要目标的进攻战</t>
  </si>
  <si>
    <t>巩固了华北地区的四大抗日根据地</t>
  </si>
  <si>
    <t>平型关大捷是首次胜利，打破了日军###不可战胜的神话###（填写打破的神话）</t>
  </si>
  <si>
    <t>台儿庄战役是正面战场的首次胜利，粉碎了日军不可战胜的神话### ###</t>
  </si>
  <si>
    <t>权力行使的三种方式### ###</t>
  </si>
  <si>
    <t>行为方式</t>
  </si>
  <si>
    <t>书面方式</t>
  </si>
  <si>
    <t>口头方式</t>
  </si>
  <si>
    <t>南北对话强调###发达与发展中国家的对话###，而不是中国与周边国家的对话（填写对话性质）</t>
  </si>
  <si>
    <t>改造主观世界的核心是###改造世界观###（填写核心）</t>
  </si>
  <si>
    <t>社会主义基本矛盾运动是“###相适应又相矛盾###”（填写运动特点）</t>
  </si>
  <si>
    <t>中国式现代化区别于西方现代化的显著标志是###全体人民共同富裕###（填写标志）</t>
  </si>
  <si>
    <t>同时也是中国式现代化的本质特征</t>
  </si>
  <si>
    <t>进一步全面深化改革的出发点和落脚点是###促进社会公平正义、增进人民福祉###（填写出发点和落脚点）</t>
  </si>
  <si>
    <t>洋务运动必然失败的原因在于###封建地主阶级的局限性###（填写原因）</t>
  </si>
  <si>
    <t>两次国共合作的特点：### ###</t>
  </si>
  <si>
    <t>第一次：</t>
  </si>
  <si>
    <t>合作双方采取党内合作的形式（加入国民党）</t>
  </si>
  <si>
    <t>合作双方具有共同的政治基础（新三民主义与CCP的民主革命纲领基本一致）</t>
  </si>
  <si>
    <t>第二次：</t>
  </si>
  <si>
    <t>广泛的民族性和复杂的阶级矛盾</t>
  </si>
  <si>
    <t>国共双方有政权有军队的合作</t>
  </si>
  <si>
    <t>西安事变的和平解决标志着###国共十年内战基本结束###（填写标志事件）</t>
  </si>
  <si>
    <t>国共十年内战基本结束</t>
  </si>
  <si>
    <t>抗日民族统一战线初步形成</t>
  </si>
  <si>
    <t>正式形成要等到《国共合作宣言》</t>
  </si>
  <si>
    <t>民主党派应###积极参政###，共同建设新中国（填写角色）</t>
  </si>
  <si>
    <t>这句话标志着民主党派地位的根本变化</t>
  </si>
  <si>
    <t>从反动政权的在野党变为受CCP领导的参政党</t>
  </si>
  <si>
    <t>法律必须被###信仰###，否则形同虚设（填写态度）</t>
  </si>
  <si>
    <t>现实就是，这方面还有待加强。。。</t>
  </si>
  <si>
    <t>新时代新疆工作的总目标是###社会稳定和长治久安###（填写总目标）</t>
  </si>
  <si>
    <t>世界不会自动满足人的需求，人也不会满足于世界的###现存形式###（填写形式）</t>
  </si>
  <si>
    <t>老天爷不会给我天降一个林妹妹，我也不会满足于就这样当个INCEL</t>
  </si>
  <si>
    <t>劳动价值论是剩余价值论的###基础###（填写关系）</t>
  </si>
  <si>
    <t>劳动价值论研究商品价值来源，而剩余价值论研究生产关系中的剥削</t>
  </si>
  <si>
    <t>核心观点因研究对象的不同而不同</t>
  </si>
  <si>
    <t>劳动价值论源于古典经济学，而剩余价值论是马克思的独创</t>
  </si>
  <si>
    <t>金融资本的形成途径包括###金融联系、资本参与、人事参与###（填写途径）</t>
  </si>
  <si>
    <t>金融联系：放贷与借贷</t>
  </si>
  <si>
    <t>资本参与：互相投资、持股</t>
  </si>
  <si>
    <t>人事参与：互派代表进入对方决策层</t>
  </si>
  <si>
    <t>无产阶级政党是工人阶级的###先锋队###，而非全体成员的组织（填写性质）</t>
  </si>
  <si>
    <t>组织原则是民主集中制</t>
  </si>
  <si>
    <t>是各国工人运动中最坚决、始终推动运动前进的部分</t>
  </si>
  <si>
    <t>应当是以科学理论武装起来的政党</t>
  </si>
  <si>
    <t>两个结合### ###</t>
  </si>
  <si>
    <t>把马克思主义基本原理同中国具体实际相结合</t>
  </si>
  <si>
    <t>把马克思主义基本原理同中华优秀传统文化相结合</t>
  </si>
  <si>
    <t>马克思主义与传统文化有契合性因此才能结合</t>
  </si>
  <si>
    <t>而不是结合才有契合性（马克思：其实我早就是中国人了）</t>
  </si>
  <si>
    <t>总体国家安全观### ###</t>
  </si>
  <si>
    <t>五大要素</t>
  </si>
  <si>
    <t>以人民安全为宗旨</t>
  </si>
  <si>
    <t>以政治安全为根本</t>
  </si>
  <si>
    <t>以经济安全为基础</t>
  </si>
  <si>
    <t>以军事科技文化社会安全为保障</t>
  </si>
  <si>
    <t>统筹发展和安全</t>
  </si>
  <si>
    <t>十六邻域</t>
  </si>
  <si>
    <t>政治、国土、军事、经济</t>
  </si>
  <si>
    <t>文化、社会、科技、网络</t>
  </si>
  <si>
    <t>生态、资源、核、海外利益</t>
  </si>
  <si>
    <t>生物、太空、极低、深海</t>
  </si>
  <si>
    <t>四大原则</t>
  </si>
  <si>
    <t>坚持党的绝对领导</t>
  </si>
  <si>
    <t>坚持系统思维（看全局不看片面）</t>
  </si>
  <si>
    <t>核心理念，即大安全理念</t>
  </si>
  <si>
    <t>是新形势下对国家生存和可持续发展的维护</t>
  </si>
  <si>
    <t>坚持底线思维（做最坏打算）</t>
  </si>
  <si>
    <t>坚持共同安全（全球安全治理=大家好才是真的好）</t>
  </si>
  <si>
    <t>“总体”是新时代中国国家安全的灵魂</t>
  </si>
  <si>
    <t>防范、化解国家安全风险是新时代中国国家安全的中心任务</t>
  </si>
  <si>
    <t>预防和解决风险，而非追求绝对安全</t>
  </si>
  <si>
    <t>马克思主义在中国最早的传播地和传播中心是###上海###（填写地点）</t>
  </si>
  <si>
    <t>尽管北京（李大钊）比上海更早出现马克思主义，但北京只是思想启蒙地，没有成为传播中心</t>
  </si>
  <si>
    <t>上海的工人阶级在最早以###独立的政治力量###登上历史舞台（填写性质）</t>
  </si>
  <si>
    <t>五四运动中的上海工人大罢工</t>
  </si>
  <si>
    <t>中共成立于1921，而这次罢工是1919年</t>
  </si>
  <si>
    <t>是由先进知识分子动员、工人阶级自发组织的</t>
  </si>
  <si>
    <t>七届二中全会### ###</t>
  </si>
  <si>
    <t>提出工作重心由农村转向城市</t>
  </si>
  <si>
    <t>实现是在解放军进驻北京香山后（标志）</t>
  </si>
  <si>
    <t>提出两个“务必”思想（谦虚谨慎不骄不躁、艰苦奋斗）</t>
  </si>
  <si>
    <t>制定经济与政策纲领</t>
  </si>
  <si>
    <t>指出了两个转变（农业→工业，新民主主义→社会主义）</t>
  </si>
  <si>
    <t>注意，这里只是“指出”，是思想铺垫，正式确立是在1953年的过渡时期总路线会议</t>
  </si>
  <si>
    <t>确立执政准备与国家建设方向</t>
  </si>
  <si>
    <t>政治、经济、外交方面应当采取的基本政策</t>
  </si>
  <si>
    <t>平等除了是法律的基本属性，还是### ###</t>
  </si>
  <si>
    <t>法治的基本要求</t>
  </si>
  <si>
    <t>社会主义法治最根本的保证是###党的领导###（填写保证）</t>
  </si>
  <si>
    <t>主体和力量源泉是人民</t>
  </si>
  <si>
    <t>推进全面依法治国的根本目的是###依法保障人民权益###（填写根本目的）</t>
  </si>
  <si>
    <t>水电站主要是利用水力，而不是###改变水资源配置格局###（填写作用）</t>
  </si>
  <si>
    <t>中美贸易差额的原因：### ###</t>
  </si>
  <si>
    <t>统计方法相关</t>
  </si>
  <si>
    <t>美国的经济结构性问题的必然结果</t>
  </si>
  <si>
    <t>两国比较优势和国际分工格局决定的</t>
  </si>
  <si>
    <t>资本主义社会的阶级层级### ###</t>
  </si>
  <si>
    <t>极少数国际金融垄断寡头</t>
  </si>
  <si>
    <t>能源、军工、高科技利益集团</t>
  </si>
  <si>
    <t>各产业垄断地位</t>
  </si>
  <si>
    <t>经理资本家、食利者、中小企业资本家</t>
  </si>
  <si>
    <t>《共产党人》发刊词### ###</t>
  </si>
  <si>
    <t>三个法宝：统一战线、武装斗争、党的建设</t>
  </si>
  <si>
    <t>半殖民地半封建：### ###</t>
  </si>
  <si>
    <t>半殖民地：已经丧失了完全独立的地位，在相当程度上被殖民地化了</t>
  </si>
  <si>
    <t>半封建：出现了资本主义生产关系，但列强不容许中国成为独立的资本主义国家</t>
  </si>
  <si>
    <t>资产阶级共和国=###旧民主主义###；无产阶级共和国=###新民主主义###（填写共和国类型）</t>
  </si>
  <si>
    <t>劳动权存在和发展的基础是###休息权###（填写基础）</t>
  </si>
  <si>
    <t>我国属于创新国家行列，但不是###前列###（填写位置）</t>
  </si>
  <si>
    <t>2025欧亚经济论坛的主题是###聚合欧亚新动能，共筑可持续发展新格局###（填写主题）</t>
  </si>
  <si>
    <t>任何成功的实践都是###科学尺度和人本尺度的统一###（填写统一）</t>
  </si>
  <si>
    <t>中共八大### ###</t>
  </si>
  <si>
    <t>主要矛盾判断</t>
  </si>
  <si>
    <t>建立先进工业国与落后农业国的矛盾</t>
  </si>
  <si>
    <t>对经济文化需求与不能满足的矛盾</t>
  </si>
  <si>
    <t>主要任务：发展社会生产力</t>
  </si>
  <si>
    <t>经济建设：反保守又反冒进，区别于大跃进</t>
  </si>
  <si>
    <t>政治建设和法治建设</t>
  </si>
  <si>
    <t>扩大社会主义民主、健全社会主义法制</t>
  </si>
  <si>
    <t>坚持民主集中制，反对个人崇拜和官僚、宗派主义</t>
  </si>
  <si>
    <t>执政党建</t>
  </si>
  <si>
    <t>提高全党马列主义水平</t>
  </si>
  <si>
    <t>坚持集体领导原则</t>
  </si>
  <si>
    <t>反对脱离群众的官僚主义</t>
  </si>
  <si>
    <t>历史意义：探索社会主义建设道路的良好开端</t>
  </si>
  <si>
    <t>加快构建新发展格局### ###</t>
  </si>
  <si>
    <t>把握好2对关系</t>
  </si>
  <si>
    <t>深化供给侧结构性改革+加强需求侧管理</t>
  </si>
  <si>
    <t>全国一盘棋+发挥地方比较优势</t>
  </si>
  <si>
    <t>注重统筹发展和安全，通盘考虑内外部风险挑战</t>
  </si>
  <si>
    <t>依法选举不是我国###独有的民主形式###（填写错误概念）</t>
  </si>
  <si>
    <t>孙中山的失败在于，他没有建立一个###坚强团结的革命政党###（填写失败原因）</t>
  </si>
  <si>
    <t>抗日根据地建设的首要、根本任务是###加强政权建设###（填写任务）</t>
  </si>
  <si>
    <t>抗战期间，###民族斗争高于阶级斗争###（填写关系）</t>
  </si>
  <si>
    <t>权利与义务### ###</t>
  </si>
  <si>
    <t>法律权利是由一定社会物质生活条件所制约的行为自由</t>
  </si>
  <si>
    <t>法律义务是由一定社会物质生活条件所制约的社会责任</t>
  </si>
  <si>
    <t>任何历史人物的出现都是###必然与偶然的统一###（填写统一）</t>
  </si>
  <si>
    <t>《论欧洲联邦口号》### ###</t>
  </si>
  <si>
    <t>经济政治发展的不平衡是资本主义的绝对规律</t>
  </si>
  <si>
    <t>一国社会主义</t>
  </si>
  <si>
    <t>加强教师队伍建设作为建设教育强国最重要的###基础工作###（填写工作类型）</t>
  </si>
  <si>
    <t>教育的根本是立德树人</t>
  </si>
  <si>
    <t>推动高质量发展的战略基点是###新发展格局###（填写战略基点）</t>
  </si>
  <si>
    <t>以国内大循环为主体</t>
  </si>
  <si>
    <t>国内国际双循环相互促进</t>
  </si>
  <si>
    <t>坚持党对人民军队绝对领导的根本制度和根本实现形式是###军委主席负责制###（填写制度）</t>
  </si>
  <si>
    <t>抗日战争取得完全胜利的重要标志### ###</t>
  </si>
  <si>
    <t>中国政府在台湾举行受降仪式</t>
  </si>
  <si>
    <t>台湾重归中国主权管辖</t>
  </si>
  <si>
    <t>集体主义的三个层次### ###</t>
  </si>
  <si>
    <t>基础：顾全大局、遵纪守法、热爱祖国、诚实劳动</t>
  </si>
  <si>
    <t>中间：先公后私、先人后己</t>
  </si>
  <si>
    <t>顶级：无私奉献、一心为公</t>
  </si>
  <si>
    <t>中国-中亚精神：###互尊互信互利互助，以高质量发展推进共同现代化###（填写精神内容）</t>
  </si>
  <si>
    <t>人类的实践活动必须###尊重自然###（填写原则）</t>
  </si>
  <si>
    <t>价值不能脱离主体（人）而存在，不只是###经验外化于对象而形成###（填写形成方式）</t>
  </si>
  <si>
    <t>水能解渴不是因为人认为水能解渴</t>
  </si>
  <si>
    <t>而是水具有“被饮用后通过生理机制解渴”这一客观属性</t>
  </si>
  <si>
    <t>资本主义基本矛盾包含着现代一切冲突的###萌芽###（填写内容）</t>
  </si>
  <si>
    <t>万恶的资本主义~</t>
  </si>
  <si>
    <t>经济建设为中心不是党一贯坚持的宝贵经验（###特定时期###）（填写时期）</t>
  </si>
  <si>
    <t>五四前的新文化运动局限### ###</t>
  </si>
  <si>
    <t>割裂了封建思想与产生封建思想的社会制度</t>
  </si>
  <si>
    <t>脱离工农大众，仅仅依靠少数人的呐喊</t>
  </si>
  <si>
    <t>未能认识到西方资产阶级文化的历史局限和阶级局限</t>
  </si>
  <si>
    <t>六届七中的《关于若干历史问题的决议》### ###</t>
  </si>
  <si>
    <t>为党七大的胜利召开创造了充分条件</t>
  </si>
  <si>
    <t>高度评价了毛泽东运用马克思列宁主义基本原理解决中国革命问题的杰出贡献</t>
  </si>
  <si>
    <t>使全党特别是党的高级干部对中国革命基本问题的认识达到了一致</t>
  </si>
  <si>
    <t>公平正义### ###</t>
  </si>
  <si>
    <t>权利公平</t>
  </si>
  <si>
    <t>规则公平</t>
  </si>
  <si>
    <t>救济公平</t>
  </si>
  <si>
    <t>机会公平</t>
  </si>
  <si>
    <t>为社会成员的发展创造条件，创造平等的起点</t>
  </si>
  <si>
    <t>发展进步权受到同等尊重，拓展社会成员的发展领域</t>
  </si>
  <si>
    <t>同一社会的成员拥有相同的发展机会和发展前景</t>
  </si>
  <si>
    <t>关注当代机会平等，也考虑后代机会平等</t>
  </si>
  <si>
    <t>社会经济权利主要包括### ###</t>
  </si>
  <si>
    <t>劳动权</t>
  </si>
  <si>
    <t>休息权</t>
  </si>
  <si>
    <t>社会保障权</t>
  </si>
  <si>
    <t>物质帮助权</t>
  </si>
  <si>
    <t>国家给公民提供的经济权利，注意区分财产权利</t>
  </si>
  <si>
    <t>线性微分方程要求为###1次###（填写次数）且不能是###乘积是有限定的###（填写限制条件）</t>
  </si>
  <si>
    <t>针对的对象是解方程y(x)</t>
  </si>
  <si>
    <t>xy、xy'、xy''都是允许的（变系数线性微分方程）</t>
  </si>
  <si>
    <t>y^2、yy'则不是线性微分方程</t>
  </si>
  <si>
    <t>有些极值证明（函数性态）会伪装成微分方程题，应该摆脱###计算思维###（填写思维方式）</t>
  </si>
  <si>
    <t>除此之外，还有结合初值与###洛必达法则###（填写方法）的极限题</t>
  </si>
  <si>
    <t>估值定理的###重积分推广###（填写推广方向）</t>
  </si>
  <si>
    <t>定积分：被积函数的最值（一元极值）</t>
  </si>
  <si>
    <t>重积分：拉格朗日乘数法+边界最值</t>
  </si>
  <si>
    <t>然后用最值乘欧式测度（一元长度、二元面积）</t>
  </si>
  <si>
    <t>###汉明码###（填写编码类型）</t>
  </si>
  <si>
    <t>校验位个数###r###（填写校验位个数），###2^r&gt;=k+r+1###（填写不等式），其中k为数据位个数</t>
  </si>
  <si>
    <t>校验位Pi插入数据位中，准确来说，是k+r位的新数据，校验位位于2^(r-1)的位置（起始为1）</t>
  </si>
  <si>
    <t>校验位Pi负责校验二进制第i位为1的数（可能重叠，第i位是混合后的位序，从1开始）</t>
  </si>
  <si>
    <t>校验位Pi=负责的位之间异或运算</t>
  </si>
  <si>
    <t>建设社会主义的根本思想是###根据本国情况走自己的道路###（填写根本思想）</t>
  </si>
  <si>
    <t>###不断提出和反复思考的问题###（填写问题类型）</t>
  </si>
  <si>
    <t>邓小平：什么是社会主义、怎样建设社会主义</t>
  </si>
  <si>
    <t>三个代表（回答）：建设什么样的党、怎样建设党</t>
  </si>
  <si>
    <t>科学发展观（回答）：实现什么样的发展、怎样发展</t>
  </si>
  <si>
    <t>新思想（回答）：坚持和发展什么样的中国特色社会主义、怎么坚持和发展中国特色社会主义</t>
  </si>
  <si>
    <t>民族团结之本是###中华民族共同体意识###（填写根本）</t>
  </si>
  <si>
    <t>没有团结的意识，制度再多也是白搭</t>
  </si>
  <si>
    <t>一国两制的最高原则是###维护国家主权、安全、发展利益###（填写最高原则）</t>
  </si>
  <si>
    <t>开启党员再塑自身形象的第一行动是###中央八项规定###（填写行动）</t>
  </si>
  <si>
    <t>袁世凯败亡后###军阀割据###（填写现象）的原因</t>
  </si>
  <si>
    <t>地方性农业经济而没有形成统一资本主义市场</t>
  </si>
  <si>
    <t>帝国主义在中国采取划分势力范围（军阀和外国势力勾连）的分裂剥削政策</t>
  </si>
  <si>
    <t>第一次人大标志着新中国###根本政治制度###（填写制度类型）的正式确立</t>
  </si>
  <si>
    <t>而人民民主专政制度是建国时确立的，不要搞混</t>
  </si>
  <si>
    <t>处理人民内部矛盾问题的论断着眼点是为了###调动一切积极因素###（填写目的）</t>
  </si>
  <si>
    <t>调动一切积极因素</t>
  </si>
  <si>
    <t>团结一切可以团结的力量</t>
  </si>
  <si>
    <t>把全党注意力转到社会主义建设上</t>
  </si>
  <si>
    <t>中央城市工作会议强调，当今和今后城市工作的主线是###坚持城市内涵式发展###（填写主线）</t>
  </si>
  <si>
    <t>真理的发展是###相对→绝对###（填写发展过程），而不是相对→绝对→相对</t>
  </si>
  <si>
    <t>社会意识具有###相对独立性###（填写特性），先进的社会意识能够反作用于社会存在</t>
  </si>
  <si>
    <t>劳动者并不与资本家形成###人身依附###（填写关系），这导致了剥削具有一定隐蔽性</t>
  </si>
  <si>
    <t>垄断操纵价格会抑制###价格的自由波动###（填写抑制对象）</t>
  </si>
  <si>
    <t>生产力差异是造成社会主义发展道路###多样性###（填写特性）的决定因素</t>
  </si>
  <si>
    <t>而不是地理环境和人口（地理决定论）</t>
  </si>
  <si>
    <t>某些国家以资源缺乏和人口过剩为借口对其它国家实施侵略</t>
  </si>
  <si>
    <t>跳出历史周期律的###答案###（填写解决方案）</t>
  </si>
  <si>
    <t>毛泽东：让人民来监督政府</t>
  </si>
  <si>
    <t>习大大：党的自我革命</t>
  </si>
  <si>
    <t>五统一、一开放之###统一政府行为尺度###（填写统一内容）</t>
  </si>
  <si>
    <t>促进要素资源流动</t>
  </si>
  <si>
    <t>破解不同地区间的内卷</t>
  </si>
  <si>
    <t>为经营主体创造公平市场竞争环境</t>
  </si>
  <si>
    <t>巩固和完善###农村基本经营制度###（填写制度类型）</t>
  </si>
  <si>
    <t>坚持“大稳定、小调整”，稳定和完善农村土地承包关系</t>
  </si>
  <si>
    <t>不允许城镇居民到农村购买农房、宅基地</t>
  </si>
  <si>
    <t>不允许退休干部到农村占地建房</t>
  </si>
  <si>
    <t>我国经济由###高速增长###转向###高质量发展###（填写发展阶段转变）阶段</t>
  </si>
  <si>
    <t>因此不能说“经济始终保持高速增长”</t>
  </si>
  <si>
    <t>疫情后市场逐渐恢复，必须有重点地建设和发展经济</t>
  </si>
  <si>
    <t>清朝的"边疆危机"发生于###19世纪70-80年代###（填写时间）</t>
  </si>
  <si>
    <t>甲午战争是1894年，因此“边疆危机”不是甲午战败的影响</t>
  </si>
  <si>
    <t>正本清源、拨乱反正和改革开放的思想先导是###真理标准大讨论###（填写思想先导）</t>
  </si>
  <si>
    <t>这件事发生在十一届三中全会之前，不要搞混</t>
  </si>
  <si>
    <t>###社会主义家庭文明新风尚###（填写新风尚类型）</t>
  </si>
  <si>
    <t>爱国爱家</t>
  </si>
  <si>
    <t>相亲相爱</t>
  </si>
  <si>
    <t>向上向善</t>
  </si>
  <si>
    <t>共建共享</t>
  </si>
  <si>
    <t>无论是齐次还是非齐次线性方程组，只要系数阵###满秩###（填写矩阵性质），那么解的情况就是唯一的。### ###</t>
  </si>
  <si>
    <t>###自由变量###（填写变量类型）没了，解就被限定住了</t>
  </si>
  <si>
    <t>对齐次来说就只有###0解###（填写解的类型）</t>
  </si>
  <si>
    <t>对非齐次来说就失去了齐次通解的部分，只有唯一一个###特解###（填写解的类型）</t>
  </si>
  <si>
    <t>###自由变量的个数###（填写变量属性）是固定的，但是选取是不固定的### ###</t>
  </si>
  <si>
    <t>系数阵###m*n###（填写矩阵维度），也就是m行n列，列对应变量，看作实际的维度### ###</t>
  </si>
  <si>
    <t>###秩等于n###（填写矩阵条件），也就是说，哪怕行m大于n，实际有效的也就只有其中n行</t>
  </si>
  <si>
    <t>秩大于n是不可能的，因为###秩小于等于行列数中较小的那一个###（填写秩的性质）</t>
  </si>
  <si>
    <t>唯一解方程暗示r(A)=n，克拉默使用条件满足，如果只求解坐标的其中一个分量，那就一定是###克拉默###（填写定理名称）### ###</t>
  </si>
  <si>
    <t>当###A和B不是方阵###（填写矩阵类型）时，AB也许可逆，但是A和B不可逆</t>
  </si>
  <si>
    <t>乘积矩阵的维度若大于两个矩阵的秩，###必非满秩###（填写矩阵性质）</t>
  </si>
  <si>
    <t>如果高矩阵*宽矩阵，那么###必非满秩###（填写矩阵性质）</t>
  </si>
  <si>
    <t>如果宽矩阵*高矩阵，那么###可能满秩###（填写矩阵性质）</t>
  </si>
  <si>
    <t>幂零矩阵的要求：存在正整数###k###（填写指数）使得A^k=零矩阵### ###</t>
  </si>
  <si>
    <t>如果次数n小于k，###A^n为非零矩阵###（填写矩阵类型）</t>
  </si>
  <si>
    <t>只有次数n大于k，###A^n为零矩阵###（填写矩阵类型）</t>
  </si>
  <si>
    <t>###r(X)+r(Y)&gt;=r(X+Y)###（填写秩的关系）### ###</t>
  </si>
  <si>
    <t>商品生产者的劳动的社会性质是###社会分工###（填写决定因素）决定的### ###</t>
  </si>
  <si>
    <t>社会主义改造基本完成后的外交策略### ###</t>
  </si>
  <si>
    <t>时间是###1950s-1970s###（填写年代）</t>
  </si>
  <si>
    <t>50-60年代中期，毛泽东提出###两个中间地带战略###（填写毛泽东的战略）</t>
  </si>
  <si>
    <t>亚洲、非洲、拉丁美洲广大经济落后的国家</t>
  </si>
  <si>
    <t>欧洲、北美、大洋洲等发达资本主义国家，及部分东欧国家</t>
  </si>
  <si>
    <t>中国不属于这两个，但是依靠第一个，争取第二个</t>
  </si>
  <si>
    <t>70年代前期，毛泽东提出###“三个世界”划分###（填写毛泽东的划分）</t>
  </si>
  <si>
    <t>美苏</t>
  </si>
  <si>
    <t>美苏间的发达国家，欧洲、日本、加拿大、澳大利亚</t>
  </si>
  <si>
    <t>亚洲（除日本）、非洲、拉丁美洲和其它地区，包括中国</t>
  </si>
  <si>
    <t>中国经济长期稳定发展的强大引擎是### ###</t>
  </si>
  <si>
    <t>###超大规模市场###（填写经济引擎）</t>
  </si>
  <si>
    <t>###创新驱动发展###（填写发展动力）</t>
  </si>
  <si>
    <t>###相互促进、良性循环###（填写循环特点）</t>
  </si>
  <si>
    <t>建设高质量教育体系，办好人民满意的教育，根本在于### ###</t>
  </si>
  <si>
    <t>###深化教育综合改革###（填写教育根本）</t>
  </si>
  <si>
    <t>洋务派优先集中发展军事工业，官办企业是辅助的### ###</t>
  </si>
  <si>
    <t>为军事工业提供###配套支持和资金支持###（填写官办企业作用）</t>
  </si>
  <si>
    <t>《中共抗日救国十大纲领》、《中共中央关于目前形势与党的任务的决定》### ###</t>
  </si>
  <si>
    <t>###洛川会议###（填写会议名称），1937年8月</t>
  </si>
  <si>
    <t>标志着党的###全面抗战路线###（填写路线名称）的正式形成</t>
  </si>
  <si>
    <t>二战胜利成果的集中体现是以联合国为核心的国际体系### ###</t>
  </si>
  <si>
    <t>认识发展的动力### ###</t>
  </si>
  <si>
    <t>根本动力：###实践###（填写根本动力）</t>
  </si>
  <si>
    <t>强大动力：###认识工具###（填写强大动力）</t>
  </si>
  <si>
    <t>事物的固有联系是不会被技术手段改变的，技术手段只是发现和利用固有联系### ###</t>
  </si>
  <si>
    <t>价值评价的反映内容：客体对主体有什么用？### ###</t>
  </si>
  <si>
    <t>离我而去的人，与死者何异？</t>
  </si>
  <si>
    <t>国家资本所有制的特点### ###</t>
  </si>
  <si>
    <t>所有权与出资主体是###国家###（填写所有权主体）</t>
  </si>
  <si>
    <t>经营管理采用###委托代理制###（填写经营方式）</t>
  </si>
  <si>
    <t>根本目的：###维护资本主义制度和垄断资本利益###（填写根本目的）</t>
  </si>
  <si>
    <t>主要存在于###经济命脉、公共利益或战略利益的领域###（填写主要领域）</t>
  </si>
  <si>
    <t>不赚钱但是必须有人做的事</t>
  </si>
  <si>
    <t>不是###资本主义所有制的主体###（填写所有制主体）</t>
  </si>
  <si>
    <t>主体是###法人资本所有制###（填写主体类型）</t>
  </si>
  <si>
    <t>稳定经济、保障公共利益、支持战略产业</t>
  </si>
  <si>
    <t>维护垄断、加重财政负担、无法解决根本矛盾</t>
  </si>
  <si>
    <t>体现###总资本家剥削雇佣劳动者的关系###（填写体现关系）</t>
  </si>
  <si>
    <t>科学社会主义的理论基石的是唯物史观和剩余价值学说### ###</t>
  </si>
  <si>
    <t>古田会议### ###</t>
  </si>
  <si>
    <t>确立###党对军队绝对领导###（填写古田会议内容）</t>
  </si>
  <si>
    <t>纠正###红军错误思想###（填写古田会议内容）</t>
  </si>
  <si>
    <t>制定###红军建设的各项纲领###（填写古田会议内容）</t>
  </si>
  <si>
    <t>确立###思想建党、政治建军原则###（填写古田会议内容）</t>
  </si>
  <si>
    <t>规定红军是一个###执行革命的政治任务的武装集团###（填写古田会议内容）</t>
  </si>
  <si>
    <t>加强党的思想建设的极端重要性### ###</t>
  </si>
  <si>
    <t>出自六届六中全会的###《论新阶段》###（填写文献名称）</t>
  </si>
  <si>
    <t>构建新发展格局加快推动高质量发展### ###</t>
  </si>
  <si>
    <t>###扩大内需###（填写构建新发展格局方式）</t>
  </si>
  <si>
    <t>###创新驱动发展###（填写构建新发展格局方式）</t>
  </si>
  <si>
    <t>###高水平开放###（填写构建新发展格局方式）</t>
  </si>
  <si>
    <t>###安全保障###（填写构建新发展格局方式）</t>
  </si>
  <si>
    <t>内卷为何削弱行业整体竞争力### ###</t>
  </si>
  <si>
    <t>###资源错配###（填写内卷影响）（资源向低价倾销倾斜，质量降低）</t>
  </si>
  <si>
    <t>###创新动力枯竭###（填写内卷影响）（创新的风险性太大）</t>
  </si>
  <si>
    <t>###利润空间压缩###（填写内卷影响）（加重企业经济负担，缺乏资金，就无法提供优质的产品）</t>
  </si>
  <si>
    <t>###行业生态恶化###（填写内卷影响）（透支消费者信任，A家造假，也怕B家）</t>
  </si>
  <si>
    <t>中国特色社会主义文化建设的根本方向是### ###</t>
  </si>
  <si>
    <t>###坚持马克思主义指导###（填写文化建设方向）</t>
  </si>
  <si>
    <t>###坚持为人民服务、为社会主义服务###（填写文化建设方向）</t>
  </si>
  <si>
    <t>抗战胜利是中华民族从近代以来陷入深重危机走向伟大复兴的历史转折点### ###</t>
  </si>
  <si>
    <t>新民主主义社会：1949-1956### ###</t>
  </si>
  <si>
    <t>###三大改造完成前###（填写新民主主义社会时间）</t>
  </si>
  <si>
    <t>长征的胜利是中国革命转危为安的关键### ###</t>
  </si>
  <si>
    <t>没有信念的理想不叫作理想，而叫作空想（可行）或幻想（不可行）### ###</t>
  </si>
  <si>
    <t>即使盲信，不具备可行性的想法不是理想，而是###“有信念的幻想”###（填写理想类型）</t>
  </si>
  <si>
    <t>因此，理想和信念总是###相互依存###（填写理想和信念关系）</t>
  </si>
  <si>
    <t>信仰和信念的区别：前者具体，后者抽象，前者细微，后者宏大，前者零散，后者系统### ###</t>
  </si>
  <si>
    <t>坚持依法治国和以德治国相结合，需要### ###</t>
  </si>
  <si>
    <t>###运用法治手段解决道德领域突出问题###（填写依法治国和以德治国结合方式）</t>
  </si>
  <si>
    <t>###强化道德对法治的支撑作用###（填写依法治国和以德治国结合方式）</t>
  </si>
  <si>
    <t>###在立法、执法、司法中都体现社会主义道德要求###（填写依法治国和以德治国结合方式）</t>
  </si>
  <si>
    <t>###二十届四中###（填写会议名称）### ###</t>
  </si>
  <si>
    <t>最重要的成果：审议通过了《中共中央关于制定国民经济和社会发展###第十五个五年规划###（填写规划名称）的建议》</t>
  </si>
  <si>
    <t>也就是###十五五###（填写规划简称）</t>
  </si>
  <si>
    <t>主题是###推动高质量发展###（填写会议主题）</t>
  </si>
  <si>
    <t>###五个坚持###（填写基本原则数量）</t>
  </si>
  <si>
    <t>首要原则是###坚持党的全面领导###（填写首要原则）</t>
  </si>
  <si>
    <t>坚持###以人民为中心###（填写坚持内容）</t>
  </si>
  <si>
    <t>坚持###新发展理念###（填写坚持内容）</t>
  </si>
  <si>
    <t>坚持###深化改革开放###（填写坚持内容）</t>
  </si>
  <si>
    <t>坚持###系统观念###（填写坚持内容）</t>
  </si>
  <si>
    <t>###战略任务###（填写任务类型）</t>
  </si>
  <si>
    <t>第一条：###建设现代化产业体系，巩固壮大实体经济根基###（填写第一条任务）</t>
  </si>
  <si>
    <t>产业体系的基本盘是###传统产业###（填写基本盘内容）</t>
  </si>
  <si>
    <t>加快###高水平科技自立自强###（填写科技目标），引领发展新质生产力</t>
  </si>
  <si>
    <t>构建###新发展格局###（填写发展格局），增强国内大循环内生动力和可靠性</t>
  </si>
  <si>
    <t>全面深化改革</t>
  </si>
  <si>
    <t>实施科教兴国</t>
  </si>
  <si>
    <t>推进绿色发展</t>
  </si>
  <si>
    <t>推进共同富裕</t>
  </si>
  <si>
    <t>发展全过程人民民主</t>
  </si>
  <si>
    <t>建设社会主义文化强国</t>
  </si>
  <si>
    <t>完善社会治理体系</t>
  </si>
  <si>
    <t>坚持总体国家安全观</t>
  </si>
  <si>
    <t>统一大市场建设的###五统一、一开放###（填写建设内容）### ###</t>
  </si>
  <si>
    <t>###五统一###（填写统一内容数量）</t>
  </si>
  <si>
    <t>市场基础制度：###市场平等竞争的基础###（填写市场基础制度作用）</t>
  </si>
  <si>
    <t>市场基础设施</t>
  </si>
  <si>
    <t>政府行为尺度</t>
  </si>
  <si>
    <t>市场监管执法</t>
  </si>
  <si>
    <t>要素资源市场</t>
  </si>
  <si>
    <t>扩大###对内对外开放###（填写开放方向）</t>
  </si>
  <si>
    <t>###城市工作会议###（填写会议名称）### ###</t>
  </si>
  <si>
    <t>核心主线：###坚持城市内涵式发展###（填写核心主线）</t>
  </si>
  <si>
    <t>转变城市发展理念，更加注重###以人为本###（填写发展理念）</t>
  </si>
  <si>
    <t>转变城市发展方式，更加注重###集约高效###（填写发展方式）</t>
  </si>
  <si>
    <t>这个是提高城市发展质量和水平的###关键###（填写关键因素）</t>
  </si>
  <si>
    <t>转变城市发展动力，更加注重特色发展</t>
  </si>
  <si>
    <t>转变城市工作重心，更加注重治理投入</t>
  </si>
  <si>
    <t>转变城市工作方法，更加注重统筹协调</t>
  </si>
  <si>
    <t>七大任务</t>
  </si>
  <si>
    <t>###优化现代化城市体系###（填写首要任务）</t>
  </si>
  <si>
    <t>建设富有活力的###创新城市###（填写城市内涵）</t>
  </si>
  <si>
    <t>建设舒适便利的###宜居城市###（填写城市内涵）</t>
  </si>
  <si>
    <t>建设绿色低碳的###美丽城市###（填写城市内涵）</t>
  </si>
  <si>
    <t>建设安全可靠的###韧性城市###（填写城市内涵）</t>
  </si>
  <si>
    <t>建设崇德向善的###文明城市###（填写城市内涵）</t>
  </si>
  <si>
    <t>建设便捷高效的###智慧城市###（填写城市内涵）</t>
  </si>
  <si>
    <t>###十四五计划在2025的九大任务###（填写任务数量）### ###</t>
  </si>
  <si>
    <t>###大力提振消费、提高投资效益，全方位扩大国内需求###（填写第一位任务）</t>
  </si>
  <si>
    <t>以###科技创新###（填写引领力量）引领新质生产力发展，建设现代化产业体系</t>
  </si>
  <si>
    <t>发挥###经济体制改革###（填写牵引作用）牵引作用，推动标志性改革举措落地见效</t>
  </si>
  <si>
    <t>扩大###高水平对外开放###（填写开放水平），稳外贸、稳外资</t>
  </si>
  <si>
    <t>有效防范化解重点领域风险，牢牢守住###不发生系统性风险###（填写底线内容）底线</t>
  </si>
  <si>
    <t>统筹推进###新型城镇化和乡村全面振兴###（填写统筹内容），促进城乡融合发展</t>
  </si>
  <si>
    <t>加大###区域战略###（填写战略类型）实施力度，增强区域发展活力</t>
  </si>
  <si>
    <t>协同推进###降碳减污扩绿增长###（填写协同任务），加紧经济社会发展全面绿色转型</t>
  </si>
  <si>
    <t>加大###保障和改善民生###（填写工作重点）力度，增强人民群众获得感、幸福感、安全感</t>
  </si>
  <si>
    <t>做好经济工作的根本保证是###党中央集中统一领导###（填写根本保证）### ###</t>
  </si>
  <si>
    <t>统筹好###五个关系###（填写关系数量）</t>
  </si>
  <si>
    <t>###有效市场和有为政府###（填写首要关系）</t>
  </si>
  <si>
    <t>总供给和总需求</t>
  </si>
  <si>
    <t>培育新动能和更新旧动能</t>
  </si>
  <si>
    <t>做优增量和盘活存量</t>
  </si>
  <si>
    <t>提升质量和做大总量</t>
  </si>
  <si>
    <t>###负面清单管理模式###（填写管理模式）### ###</t>
  </si>
  <si>
    <t>###法无禁止即可为###（填写管理模式原则）</t>
  </si>
  <si>
    <t>最核心的要求是###"非禁即入"###（填写核心要求）</t>
  </si>
  <si>
    <t>企业发展第一位的是###内生动力###（填写发展动力）### ###</t>
  </si>
  <si>
    <t>内生动力：###不依赖外部政策红利和市场风口、资本注入，持续驱动发展的内在活力###（填写内生动力定义）</t>
  </si>
  <si>
    <t>促进民营经济发展的工作重点是扎扎实实落实促进民营经济发展的政策措施（废话）### ###</t>
  </si>
  <si>
    <t>中国扩大开放的重点是###降低市场准入门槛###（填写开放重点）### ###</t>
  </si>
  <si>
    <t>九三阅兵的主体是###纪念抗战伟大胜利、弘扬抗战伟大精神###（填写阅兵主题）### ###</t>
  </si>
  <si>
    <t>只有###实对称矩阵###（填写矩阵类型），其不同特征值对应的特征向量才是正交，否则只是线性无关### ###</t>
  </si>
  <si>
    <t>相似矩阵的特征值相同，但是特征向量可能是###不一样的###（填写特征向量关系）### ###</t>
  </si>
  <si>
    <t>B=PAP逆，Ax=λx=P逆BPx，λPx=BPx</t>
  </si>
  <si>
    <t>慢启动切换拥塞避免时，###RTT结束###（填写切换时机）才会切换### ###</t>
  </si>
  <si>
    <t>比如ssthresh是###100###（填写阈值），某个RTT前是###80###（填写窗口大小）</t>
  </si>
  <si>
    <t>不会在收到###10个ack###（填写ack数量）就立刻切换，而是等到这个rtt结束</t>
  </si>
  <si>
    <t>此时cwnd达到###160###（填写窗口大小），拥塞避免开始，线性增长从###160###（填写起始窗口）开始</t>
  </si>
  <si>
    <t>IP分片的最后一个分片，数据部分不需要满足###8的整数倍###（填写要求）要求### ###</t>
  </si>
  <si>
    <t>###2025中央一号文件（乡村全面振兴）###（填写文件主题）### ###</t>
  </si>
  <si>
    <t>第一位：###持续增强粮食等重要农产品供给保障能力###（填写第一位任务）</t>
  </si>
  <si>
    <t>###三农工作###（填写工作领域）### ###</t>
  </si>
  <si>
    <t>战略总纲是：###加快建设农业强国###（填写战略总纲）</t>
  </si>
  <si>
    <t>中心任务是：###增加农民收入###（填写中心任务）</t>
  </si>
  <si>
    <t>###科技创新和产业创新###（填写基本路径）是发展新质生产力的基本路径### ###</t>
  </si>
  <si>
    <t>实现科技自主创新和人才自主培养良性互动，教育要进一步发挥###先导性、基础支撑作用###（填写教育作用）### ###</t>
  </si>
  <si>
    <t>中国特色现代企业制度的重点是###完善公司治理###（填写制度重点）### ###</t>
  </si>
  <si>
    <t>###新时代党的治疆方略的核心要义###（填写方略名称）### ###</t>
  </si>
  <si>
    <t>###坚持从战略上绅士和谋划新疆工作###（填写首要任务）</t>
  </si>
  <si>
    <t>坚持把###社会稳定和长治久安###（填写总目标）作为工作总目标</t>
  </si>
  <si>
    <t>坚持以###凝聚人心###（填写工作重点）为根本</t>
  </si>
  <si>
    <t>坚持###铸牢中华民族共同体意识###（填写工作重点）</t>
  </si>
  <si>
    <t>新时代民族工作的主线是###铸牢中华民族共同体意识###（填写工作主线）</t>
  </si>
  <si>
    <t>坚持###我国宗教中国化方向###（填写工作重点）</t>
  </si>
  <si>
    <t>坚持###弘扬和培育社会主义核心价值观###（填写工作重点）</t>
  </si>
  <si>
    <t>坚持###紧贴民生推动高质量发展###（填写工作重点）</t>
  </si>
  <si>
    <t>坚持###加强党对新疆工作的领导###（填写根本保证）</t>
  </si>
  <si>
    <t>###新时代党的治疆方略的原则要求###（填写方略要求）### ###</t>
  </si>
  <si>
    <t>###依法治疆###（填写首位原则）</t>
  </si>
  <si>
    <t>###团结稳疆###（填写原则要求）</t>
  </si>
  <si>
    <t>###文化润疆###（填写原则要求）</t>
  </si>
  <si>
    <t>###富民兴疆###（填写原则要求）</t>
  </si>
  <si>
    <t>###长期建疆###（填写原则要求）</t>
  </si>
  <si>
    <t>###《保障和改善民生，解决急难愁盼》###（填写工作主题）### ###</t>
  </si>
  <si>
    <t>###公平###（填写首位原则）</t>
  </si>
  <si>
    <t>###均衡###（填写民生原则）</t>
  </si>
  <si>
    <t>###普惠###（填写民生原则）</t>
  </si>
  <si>
    <t>###可及###（填写民生原则）</t>
  </si>
  <si>
    <t>解决水资源短缺的根本出路是###节水###（填写根本出路）（不是引水？反直觉了）### ###</t>
  </si>
  <si>
    <t>防范化解各类风险是平安中国建设的一项重要任务，要把###捍卫国家政治安全###（填写首要任务）摆在首位### ###</t>
  </si>
  <si>
    <t>快速判断一个配好方的二次型是否是###标准型###（填写形式类型）### ###</t>
  </si>
  <si>
    <t>如果每个配方部分###独一无二，不可被其它部分表示###（填写判断条件），则是标准型</t>
  </si>
  <si>
    <t>反之则###不是###（填写判断结果）</t>
  </si>
  <si>
    <t>IP分片计算首部当中的总长度字段时，单位为###1字节###（填写单位）### ###</t>
  </si>
  <si>
    <t>总长度=###首部长度+数据部分长度###（填写计算公式）</t>
  </si>
  <si>
    <t>数据部分长度（最大）=###floor((MTU长度-首部长度)/8)*8###（填写计算公式）</t>
  </si>
  <si>
    <t>最后一个分片的数据部分完全保持原样，这意味着###不会填充到8的整数倍###（填写特点）</t>
  </si>
  <si>
    <t>不会填充到8的整数倍（首部没有记录数据部分长度的字段，按8整数倍对齐也与此无关）</t>
  </si>
  <si>
    <t>不会填充到8倍的最大数据部长度</t>
  </si>
  <si>
    <t>不会填充到MTU（所有的分片都不会！）</t>
  </si>
  <si>
    <t>汉明码计算时，校验位等于所负责的组内数据位的###异或结果###（填写运算方式）### ###</t>
  </si>
  <si>
    <t>408的访存默认是###串行访存###（填写访存方式）### ###</t>
  </si>
  <si>
    <t>串行访存时，如果缺失，触发###补块###（填写操作），之后还要再访问缓存一次</t>
  </si>
  <si>
    <t>并行访存的话，一开始就会同时读主存，之后缺失时搬运一下，但是不会再访问（搬运发生在访问后）</t>
  </si>
  <si>
    <t>一般来说，408不考并行访存</t>
  </si>
  <si>
    <t>对于###非方阵的矩阵###（填写矩阵类型）### ###</t>
  </si>
  <si>
    <t>###行满秩###（填写矩阵条件）的矩阵对其它矩阵做列变换，新矩阵的列向量与原矩阵列向量等价</t>
  </si>
  <si>
    <t>###列满秩###（填写矩阵条件）的矩阵对其它矩阵做行变换，新矩阵的行向量与原矩阵行向量等价</t>
  </si>
  <si>
    <t>要想等价的前提是只有跨向量的线性表示/线性组合，没有坐标运算</t>
  </si>
  <si>
    <t>如果做了列变换，行向量的坐标就变了</t>
  </si>
  <si>
    <t>如果做了行变换，列向量的坐标就变了</t>
  </si>
  <si>
    <t>中国特色社会主义文化发展道路最本质的特征是###坚持党的领导###（填写本质特征）### ###</t>
  </si>
  <si>
    <t>深化文化体制的中心环节是###激发创新创造活力###（填写中心环节）### ###</t>
  </si>
  <si>
    <t>###十五五的发展目标###（填写规划目标）### ###</t>
  </si>
  <si>
    <t>推动经济实现###质的有效提升和量的合理增长###（填写经济目标）</t>
  </si>
  <si>
    <t>###人的全面发展、全体人民共同富裕###（填写社会目标）迈出坚实步伐</t>
  </si>
  <si>
    <t>建设现代化产业体系，巩固壮大实体经济根基的###重点任务###（填写任务类型）### ###</t>
  </si>
  <si>
    <t>###优化提升传统产业###（填写重点任务）</t>
  </si>
  <si>
    <t>###培育壮大新兴产业和未来产业###（填写重点任务）</t>
  </si>
  <si>
    <t>###促进服务业优质高效发展###（填写重点任务）</t>
  </si>
  <si>
    <t>###构建现代化基础设施体系###（填写重点任务）</t>
  </si>
  <si>
    <t>###协同保障措施###（填写重点任务）</t>
  </si>
  <si>
    <t>建设强大国内市场，坚持扩大内需的###重点任务###（填写任务类型）### ###</t>
  </si>
  <si>
    <t>###拓展增量###（填写重点任务）</t>
  </si>
  <si>
    <t>###提升效益###（填写重点任务）</t>
  </si>
  <si>
    <t>###畅通循环###（填写重点任务）</t>
  </si>
  <si>
    <t>优化区域经济布局，促进区域协调发展的###重点任务###（填写任务类型）### ###</t>
  </si>
  <si>
    <t>###注重优化布局###（填写重点任务）</t>
  </si>
  <si>
    <t>###注重新型城镇化###（填写重点任务）</t>
  </si>
  <si>
    <t>###注重陆海统筹###（填写重点任务）</t>
  </si>
  <si>
    <t>加快建设健康中国的###重点部署###（填写部署类型）### ###</t>
  </si>
  <si>
    <t>###实施健康优先发展战略###（填写重点部署）</t>
  </si>
  <si>
    <t>###统筹发展与安全###（填写重点部署）</t>
  </si>
  <si>
    <t>为群众提供###公平可及、系统连续、优质高效###（填写服务特点）的健康服务</t>
  </si>
  <si>
    <t>促进人口高质量发展的###重点部署###（填写部署类型）### ###</t>
  </si>
  <si>
    <t>###推动老有所养###（填写重点部署）</t>
  </si>
  <si>
    <t>###推动老有所为###（填写重点部署）</t>
  </si>
  <si>
    <t>###建设生育友好型社会###（填写重点部署）</t>
  </si>
  <si>
    <t>新时代中国特色社会主义文化要具有：###强大思想引领力###（填写文化特征）### ###</t>
  </si>
  <si>
    <t>###强大思想引领力###（填写文化特征）</t>
  </si>
  <si>
    <t>###强大精神凝聚力###（填写文化特征）</t>
  </si>
  <si>
    <t>###强大价值感召力###（填写文化特征）</t>
  </si>
  <si>
    <t>###强大国际影响力###（填写文化特征）</t>
  </si>
  <si>
    <t>九三阅兵的###主要特点###（填写特点类型）### ###</t>
  </si>
  <si>
    <t>###既注重历史传承，又富含时代特色###（填写主要特点）</t>
  </si>
  <si>
    <t>###既体现军兵种特色，又展现一体化联合###（填写主要特点）</t>
  </si>
  <si>
    <t>###既有传统主战力量展示，又有新域新质力量参阅###（填写主要特点）</t>
  </si>
  <si>
    <t>阅兵注重抗战元素、历史元素融入设计的###体现###（填写设计特点）### ###</t>
  </si>
  <si>
    <t>###传承抗战血脉###（填写设计体现）</t>
  </si>
  <si>
    <t>###崇尚功勋荣誉###（填写设计体现）</t>
  </si>
  <si>
    <t>###重温历史经典###（填写设计体现）</t>
  </si>
  <si>
    <t>抗日战争的伟大胜利宣告了###世界反法西斯战争###（填写战争名称）的完全胜利### ###</t>
  </si>
  <si>
    <t>抗日战争率先解开了###世界反法西斯战争###（填写战争名称）的序幕### ###</t>
  </si>
  <si>
    <t>###1937年###（填写起始年份），比德国1939闪击波兰还要早</t>
  </si>
  <si>
    <t>深圳是###中国特色社会主义先行示范区###（填写深圳定位）### ###</t>
  </si>
  <si>
    <t>浦东新区是###社会主义现代化建设引领区###（填写浦东定位）### ###</t>
  </si>
  <si>
    <t>要将自由贸易试验区建设成为###畅通国内国际双循环的重要枢纽###（填写建设目标）### ###</t>
  </si>
  <si>
    <t>###畅通国内国际双循环的重要枢纽###（填写建设目标）</t>
  </si>
  <si>
    <t>###推动高质量发展的强劲引擎###（填写建设目标）</t>
  </si>
  <si>
    <t>注意区分中国经济长期稳定发展的强大引擎（20251122）</t>
  </si>
  <si>
    <t>自贸区不是###应对制裁、贸易反制的手段###（填写自贸区性质）### ###</t>
  </si>
  <si>
    <t>海南自贸区的###三区战略定位###（填写定位数量）</t>
  </si>
  <si>
    <t>###国家生态文明试验区###（填写战略定位）</t>
  </si>
  <si>
    <t>###国家重大战略服务保障区###（填写战略定位）</t>
  </si>
  <si>
    <t>###全面深化改革开放试验区###（填写战略定位）</t>
  </si>
  <si>
    <t>自贸区与内地###没有物理隔离设施###（填写自贸区特点）</t>
  </si>
  <si>
    <t>###还不是全球最高水平的开放区域###（填写自贸区现状）</t>
  </si>
  <si>
    <t>制度型开放包括###规制开放###（填写开放类型）### ###</t>
  </si>
  <si>
    <t>###规制开放###（填写制度型开放内容）</t>
  </si>
  <si>
    <t>###规则开放###（填写制度型开放内容）</t>
  </si>
  <si>
    <t>###管理开放###（填写制度型开放内容）</t>
  </si>
  <si>
    <t>###标准开放###（填写制度型开放内容）</t>
  </si>
  <si>
    <t>市场准入负面清单的核心要求如何体现###清单之外皆可依法平等进入市场###（填写核心要求）### ###</t>
  </si>
  <si>
    <t>核心要求：###清单之外皆可依法平等进入市场###（填写核心要求）</t>
  </si>
  <si>
    <t>体现1：###全国统一（平等）###（填写体现方式）</t>
  </si>
  <si>
    <t>体现2：###事权法定（依法）###（填写体现方式）</t>
  </si>
  <si>
    <t>体现3：###公开透明（平等）###（填写体现方式）</t>
  </si>
  <si>
    <t>体现4：###非禁即入（清单之外皆可）###（填写体现方式）</t>
  </si>
  <si>
    <t>统筹好###有为政府与有效市场的关系###（填写关键关系）是破除内卷是竞争的关键### ###</t>
  </si>
  <si>
    <t>汇率政策不能###完全市场化###（填写政策限制），亚洲金融危机有前车之鉴### ###</t>
  </si>
  <si>
    <t>###两新两重###（填写政策简称）### ###</t>
  </si>
  <si>
    <t>###设备更新和消费品以旧换新###（填写两新内容）</t>
  </si>
  <si>
    <t>###重大战略实施和重点领域安全能力建设###（填写两重内容）</t>
  </si>
  <si>
    <t>###财产性收入###（填写收入类型）### ###</t>
  </si>
  <si>
    <t>居民依托"动产"、"不动产"的所有权，赚到的###租金###（填写收入形式）</t>
  </si>
  <si>
    <t>分类：金融资产收益、不动产收益、知识产权、财产增值</t>
  </si>
  <si>
    <t>按要素分配中的###资本要素###（填写要素类型）分配，属于此次分配领域</t>
  </si>
  <si>
    <t>核心特征：###非劳动性###（填写特征）</t>
  </si>
  <si>
    <t>我国现阶段的###分配方式###（填写经济制度）### ###</t>
  </si>
  <si>
    <t>核心：###按劳分配为主体，多重分配方式并存###（填写分配原则）</t>
  </si>
  <si>
    <t>###三次分配体系###（填写分配体系）</t>
  </si>
  <si>
    <t>初次分配：生产领域中###按生产要素分配###（填写分配方式），直接与效率挂钩</t>
  </si>
  <si>
    <t>按劳分配、按要素分配、经营性收入</t>
  </si>
  <si>
    <t>按劳分配仅限###公有制经济###（填写经济类型）</t>
  </si>
  <si>
    <t>按要素分配的要素：###劳动、资本、土地、技术、管理、数据###（填写要素种类）</t>
  </si>
  <si>
    <t>再分配：政府宏观调控控制收入差距，侧重###公平###（填写分配原则）</t>
  </si>
  <si>
    <t>###税收、转移支付###（填写再分配手段）</t>
  </si>
  <si>
    <t>第三次分配：基于###道德自愿###（填写分配基础）的慈善捐赠、公益帮扶，是前两次分配的补充</t>
  </si>
  <si>
    <t>乡村全面振兴的###底线任务###（填写任务类型）### ###</t>
  </si>
  <si>
    <t>持续增强###粮食等重要农产品的攻击保障能力###（填写底线任务）</t>
  </si>
  <si>
    <t>持续###巩固拓展脱贫攻坚成果###（填写底线任务）</t>
  </si>
  <si>
    <t>巩固和完善农村基本经营制度并不要求在土地承包到期后###打乱重分###（填写政策要求）### ###</t>
  </si>
  <si>
    <t>底线三条：###土地公有、耕地红线、农民利益不受损###（填写底线内容）</t>
  </si>
  <si>
    <t>乡村全面振兴的重点（三个水平）是###提升乡村产业发展水平###（填写重点内容）### ###</t>
  </si>
  <si>
    <t>###提升乡村产业发展水平###（填写振兴重点）</t>
  </si>
  <si>
    <t>###提升乡村建设水平###（填写振兴重点）</t>
  </si>
  <si>
    <t>###提升乡村治理水平###（填写振兴重点）</t>
  </si>
  <si>
    <t>三农工作的底线任务是###确保国家粮食安全和不发生规模性返贫致贫###（填写底线任务）### ###</t>
  </si>
  <si>
    <t>抓产业创新要###守牢实体经济这个根基###（填写创新要求）### ###</t>
  </si>
  <si>
    <t>###守牢实体经济这个根基###（填写产业创新要求）</t>
  </si>
  <si>
    <t>坚持推动###传统产业改造升级和开辟战略性新兴产业、未来产业新赛道并重###（填写产业创新路径）</t>
  </si>
  <si>
    <t>中国特色现代企业制度的基础是###产权清晰###（填写制度基础）### ###</t>
  </si>
  <si>
    <t>###产权清晰###（填写企业制度基础）</t>
  </si>
  <si>
    <t>###权责明确###（填写企业制度基础）</t>
  </si>
  <si>
    <t>###政企分开###（填写企业制度基础）</t>
  </si>
  <si>
    <t>###管理科学###（填写企业制度基础）</t>
  </si>
  <si>
    <t>完善企业制度###与社会治理无关###（填写制度特点）### ###</t>
  </si>
  <si>
    <t>人大代表不是由选民###直接选举###（填写选举方式）产生### ###</t>
  </si>
  <si>
    <t>###县乡两级人大代表###（填写选举级别）直接选举</t>
  </si>
  <si>
    <t>###县级以上人大###（填写选举级别）由下级人大代表间接选举产生</t>
  </si>
  <si>
    <t>###变通执行权###（填写特殊权力）### ###</t>
  </si>
  <si>
    <t>###特定地方国家机关###（填写权力主体）</t>
  </si>
  <si>
    <t>在不违背###宪法、法律、行政法规基本原则###（填写前提条件）的前提下</t>
  </si>
  <si>
    <t>针对###本地区特殊情况###（填写适用条件）</t>
  </si>
  <si>
    <t>对上级制定的政策、法律、法规作出灵活调整并执行的权力</t>
  </si>
  <si>
    <t>引领发展的第一动力是###创新###（填写发展动力）### ###</t>
  </si>
  <si>
    <t>###《新时代的中国国家安全》###（填写文件名称）### ###</t>
  </si>
  <si>
    <t>###捍卫国家利益的坚定力量###（填写国家形象）</t>
  </si>
  <si>
    <t>###维护世界和平稳定的正义力量###（填写国家形象）</t>
  </si>
  <si>
    <t>###维护国际公平正义的进步力量###（填写国家形象）</t>
  </si>
  <si>
    <t>###促进全球共同发展的建设力量###（填写国家形象）</t>
  </si>
  <si>
    <t>总体国家安全观是当代中国对世界的###重要思想理论贡献###（填写理论地位）### ###</t>
  </si>
  <si>
    <t>###KMP算法###（填写算法名称）### ###</t>
  </si>
  <si>
    <t>主串指针###不动###（填写指针行为），模式串指针动</t>
  </si>
  <si>
    <t>模式串的###next[j]数组###（填写关键数组）记录失配后模式串指针跳转位置</t>
  </si>
  <si>
    <t>next[j]的生成</t>
  </si>
  <si>
    <t>取最后一个字符是模式串下标###j-1###（填写下标位置）字符的模式子串</t>
  </si>
  <si>
    <t>求出这个模式子串的前后缀</t>
  </si>
  <si>
    <t>注意，前后缀不包括模式子串本身，不然长度必然是模式子串的长度</t>
  </si>
  <si>
    <t>前缀和后缀的交集中选择###最长的那个###（填写选择条件），取它的长度作为next[j]的元素</t>
  </si>
  <si>
    <t>KMP（nextval及补充笔记）### ###</t>
  </si>
  <si>
    <t>用目前的算法，指针跳转是不需要变的</t>
  </si>
  <si>
    <t>但如果题目本身问next和nextval，全部数值还要加1</t>
  </si>
  <si>
    <t>nextval计算</t>
  </si>
  <si>
    <t>nextval[0]固定是-1</t>
  </si>
  <si>
    <t>到了nextval[i]，初始化temp=i</t>
  </si>
  <si>
    <t>看pattern[temp]和pattern[next[temp]]是否相等</t>
  </si>
  <si>
    <t>如果不相同，nextval[i]=next[temp]</t>
  </si>
  <si>
    <t>如果相同，设定temp=next[temp]，然后继续判断</t>
  </si>
  <si>
    <t>直到pattern[temp]和pattern[next[temp]]不相同</t>
  </si>
  <si>
    <t>某点极限存在可以推出存在一个处处有定义的去心邻域### ###</t>
  </si>
  <si>
    <t>党生存发展第一位的问题是方向问题### ###</t>
  </si>
  <si>
    <t>坚持正确政治方向</t>
  </si>
  <si>
    <t>旗帜鲜明讲政治</t>
  </si>
  <si>
    <t>保证党的团结和集中统一</t>
  </si>
  <si>
    <t>党思想、政治、组织路线的确立### ###</t>
  </si>
  <si>
    <t>首次确立：整风运动（1941-1945）奠定基础，七大（1945）正式确立</t>
  </si>
  <si>
    <t>思想路线：实事求是的马克思主义</t>
  </si>
  <si>
    <t>政治路线：放手发动群众、壮大人民力量</t>
  </si>
  <si>
    <t>组织路线：以毛泽东为核心的党的第一代中央领导集体</t>
  </si>
  <si>
    <t>重新确立：十一届三中全会（1978）</t>
  </si>
  <si>
    <t>思想路线：解放思想、实事求是的马克思主义</t>
  </si>
  <si>
    <t>政治路线：结束以阶级斗争为纲，工作重心到经济建设</t>
  </si>
  <si>
    <t>组织路线：以邓小平为核心的党的第二代中央领导集体</t>
  </si>
  <si>
    <t>作风建设的三个关乎### ###</t>
  </si>
  <si>
    <t>关乎党的性质</t>
  </si>
  <si>
    <t>关乎人心向背</t>
  </si>
  <si>
    <t>关乎事业成败</t>
  </si>
  <si>
    <t>新时代我国民主政治领域具有重大创新意义的标志性成果是全过程民主### ###</t>
  </si>
  <si>
    <t>十八大提出的新概念</t>
  </si>
  <si>
    <t>民主形态：片段化到全链条（选举、协商、决策、管理、监督）</t>
  </si>
  <si>
    <t>民主覆盖：从局部到全方位（覆盖经济、政治、文化等）</t>
  </si>
  <si>
    <t>民主效能：从形式到实质（四个统一）</t>
  </si>
  <si>
    <t>过程与成果统一</t>
  </si>
  <si>
    <t>程序与实质统一</t>
  </si>
  <si>
    <t>直接与间接统一</t>
  </si>
  <si>
    <t>人民民主与国家意志统一</t>
  </si>
  <si>
    <t>制度保障：松散到系统（系统化、制度化、写入宪法修正案）</t>
  </si>
  <si>
    <t>作风问题的核心是党同人民群众的关系问题### ###</t>
  </si>
  <si>
    <t>作风建设的关键是保持党同人民群众的血肉联系### ###</t>
  </si>
  <si>
    <t>建设文化强国，事关### ###</t>
  </si>
  <si>
    <t>中国式现代化建设全局</t>
  </si>
  <si>
    <t>中华民族复兴大业</t>
  </si>
  <si>
    <t>提升国际竞争力</t>
  </si>
  <si>
    <t>文化### ###</t>
  </si>
  <si>
    <t>生命力、本质特征在于创新创造</t>
  </si>
  <si>
    <t>创造核心在人</t>
  </si>
  <si>
    <t>文化企业应该做到### ###</t>
  </si>
  <si>
    <t>坚持把社会效益放在首位</t>
  </si>
  <si>
    <t>实现社会效益和经济效益的相统一</t>
  </si>
  <si>
    <t>文化遗产保护的原则### ###</t>
  </si>
  <si>
    <t>保护第一</t>
  </si>
  <si>
    <t>合理利用</t>
  </si>
  <si>
    <t>最小干预</t>
  </si>
  <si>
    <t>国家综合创新能力排名还没达到世界第一### ###</t>
  </si>
  <si>
    <t>三大国际科创中心：北京、上海、粤港澳大湾区### ###</t>
  </si>
  <si>
    <t>区域创新新格局是### ###</t>
  </si>
  <si>
    <t>高地引领</t>
  </si>
  <si>
    <t>梯次联动</t>
  </si>
  <si>
    <t>优势互补</t>
  </si>
  <si>
    <t>工人阶级是我们社会主义国家的领导阶级### ###</t>
  </si>
  <si>
    <t>我们和拉美及加勒比国家的共同追求是公平正义### ###</t>
  </si>
  <si>
    <t>中拉五大工程### ###</t>
  </si>
  <si>
    <t>（首位）团结工程</t>
  </si>
  <si>
    <t>发展工程</t>
  </si>
  <si>
    <t>文明工程</t>
  </si>
  <si>
    <t>和平工程</t>
  </si>
  <si>
    <t>民心工程</t>
  </si>
  <si>
    <t>中俄关系稳定发展的根本保障是元首引领### ###</t>
  </si>
  <si>
    <t>鲜明特征是长期睦邻友好、互利合作共赢</t>
  </si>
  <si>
    <t>主席强调中俄要</t>
  </si>
  <si>
    <t>坚持世代友好（苏联老大哥）</t>
  </si>
  <si>
    <t>坚持互利共赢（你的能源，我的技术）</t>
  </si>
  <si>
    <t>坚持公平正义（反法西斯）</t>
  </si>
  <si>
    <t>坚持和衷共济（对抗美帝）</t>
  </si>
  <si>
    <t>Prim算法### ###</t>
  </si>
  <si>
    <t>三个数据结构</t>
  </si>
  <si>
    <t>已访问点（###已加入生成树的点###）集合（填写集合元素）</t>
  </si>
  <si>
    <t>小根堆，存储###边###，方便选出###权最小的边###（填写存储内容；填写选出边的特点）</t>
  </si>
  <si>
    <t>结果列表，存储###最终生成树的边###（填写存储内容）</t>
  </si>
  <si>
    <t>从某一顶点（###生成树的根节点###）出发，加入###已访问点###（填写起始顶点角色；填写加入的集合）</t>
  </si>
  <si>
    <t>将出发点所连的边加入小根堆，按###边权###排序，###最小###最先出堆（填写排序依据；填写出堆顺序）</t>
  </si>
  <si>
    <t>循环</t>
  </si>
  <si>
    <t>小根堆出堆###最短边###（填写出堆的边）</t>
  </si>
  <si>
    <t>最短边的另一头节点如果###不在已访问集合###（填写条件）</t>
  </si>
  <si>
    <t>则接受该边，加入###结果列表###（填写加入的列表）</t>
  </si>
  <si>
    <t>节点加入###访问集合###（填写加入的集合）</t>
  </si>
  <si>
    <t>最短边的另一头节点如果###已在已访问集合###（填写条件）</t>
  </si>
  <si>
    <t>###跳过该边###（填写操作）</t>
  </si>
  <si>
    <t>和###Dijkstra###有相似之处，但区别也很大（填写对比算法）</t>
  </si>
  <si>
    <t>秦国的###远交近攻###（填写比喻策略）</t>
  </si>
  <si>
    <t>Kruskal算法### ###</t>
  </si>
  <si>
    <t>对边按###权重###排序（填写排序依据）</t>
  </si>
  <si>
    <t>依次###加边###（填写操作）</t>
  </si>
  <si>
    <t>无环###继续###，有环###跳过###（填写操作）</t>
  </si>
  <si>
    <t>人力判环###很简单###（填写特点）</t>
  </si>
  <si>
    <t>机器判环###很复杂###（填写特点）</t>
  </si>
  <si>
    <t>需要使用###并查集###（填写数据结构）</t>
  </si>
  <si>
    <t>并查集### ###</t>
  </si>
  <si>
    <t>常规操作：正常状况下，各节点指向###自己###（填写指向对象）</t>
  </si>
  <si>
    <t>查找：递归查，直到某个节点指向###他自己###（填写指向对象）</t>
  </si>
  <si>
    <t>合并：合并后，子节点指向###根节点###，树合并的根节点指向###另一个根节点###（填写指向对象）</t>
  </si>
  <si>
    <t>优化操作</t>
  </si>
  <si>
    <t>查找</t>
  </si>
  <si>
    <t>路径压缩：第一次查找完成后，回溯节点全部连到###根###，单链就变直连（填写连接目标）</t>
  </si>
  <si>
    <t>合并</t>
  </si>
  <si>
    <t>按大小合并：根节点记录###集合大小###，###小集合###从属于###大集合###（填写记录内容；填写合并原则）</t>
  </si>
  <si>
    <t>按秩合并：根节点记录###集合高度###，###矮集合###从属于###高集合###（填写记录内容；填写合并原则）</t>
  </si>
  <si>
    <t>线索二叉树### ###</t>
  </si>
  <si>
    <t>用空指针指向前中后序的###前驱（左）后继（右）节点###（填写指针指向目标）</t>
  </si>
  <si>
    <t>佛洛依德算法### ###</t>
  </si>
  <si>
    <t>两个矩阵：###邻接矩阵###和###路径前驱矩阵###（填写矩阵名称）</t>
  </si>
  <si>
    <t>逐点遍历：</t>
  </si>
  <si>
    <t>当遍历节点作为中间节点时，其它点对路径是否###变短###（填写判断条件）</t>
  </si>
  <si>
    <t>如果变短，则###更新###，并且设置###路径前驱矩阵###（填写操作；填写设置的矩阵）</t>
  </si>
  <si>
    <t>不能则###保留原值###（填写操作）</t>
  </si>
  <si>
    <t>遍历完成后，根据###前驱矩阵###输出路径（填写依据的矩阵）</t>
  </si>
  <si>
    <t>比如A到B，看B的前驱是###C###，###C###加入A到B之间的空位（填写前驱节点；填写加入的节点）</t>
  </si>
  <si>
    <t>问题变为A到C，看C的前驱是###D###，###D###加入到A和C之间的空位（填写前驱节点；填写加入的节点）</t>
  </si>
  <si>
    <t>问题变为A到D，看D的前驱是###A###，说明二者直连，路径完成（填写前驱节点）</t>
  </si>
  <si>
    <t>进程资源图检测死锁### ###</t>
  </si>
  <si>
    <t>理解图形</t>
  </si>
  <si>
    <t>圆形：###进程节点###（填写图形含义）</t>
  </si>
  <si>
    <t>大方块：###资源类型节点###（填写图形含义）</t>
  </si>
  <si>
    <t>大方块里的小圆点：###资源实例###（填写图形含义）</t>
  </si>
  <si>
    <t>进程指向资源：进程###请求新的资源###（填写操作）</t>
  </si>
  <si>
    <t>资源指向进程：资源已经###分给进程###（填写操作）</t>
  </si>
  <si>
    <t>大循环：如果一轮循环当中发生###改变###，则继续（填写条件）</t>
  </si>
  <si>
    <t>小循环：对每个###进程节点###进行遍历（填写遍历对象）</t>
  </si>
  <si>
    <t>如果大方块里的###闲置资源###能够满足进程请求（填写资源类型）</t>
  </si>
  <si>
    <t>那就把进程连同它对资源的占用（###被指向的边###）一起消除（填写消除的对象）</t>
  </si>
  <si>
    <t>中俄两国关系的精神内核是### ###</t>
  </si>
  <si>
    <t>永久睦邻友好</t>
  </si>
  <si>
    <t>全面战略协作</t>
  </si>
  <si>
    <t>互利合作共赢</t>
  </si>
  <si>
    <t>构建人类命运共同体的重要依托### ###</t>
  </si>
  <si>
    <t>全球发展倡议</t>
  </si>
  <si>
    <t>全球安全倡议</t>
  </si>
  <si>
    <t>全球文明倡议</t>
  </si>
  <si>
    <t>坚持和维护联合国权威，需要维护### ###</t>
  </si>
  <si>
    <t>以联合国为核心的国际体系</t>
  </si>
  <si>
    <t>以国际法为基础的国际秩序</t>
  </si>
  <si>
    <t>以联合国宪章宗旨和原则为基础的国际关系基本准则</t>
  </si>
  <si>
    <t>中美分歧的关键### ###</t>
  </si>
  <si>
    <t>尊重彼此核心利益和重大关切</t>
  </si>
  <si>
    <t>找到妥善解决问题的办法</t>
  </si>
  <si>
    <t>中美关系的原则### ###</t>
  </si>
  <si>
    <t>相互尊重</t>
  </si>
  <si>
    <t>和平共处</t>
  </si>
  <si>
    <t>合作共赢</t>
  </si>
  <si>
    <t>中美关系的维护需要### ###</t>
  </si>
  <si>
    <t>用好已建立的经贸磋商机制</t>
  </si>
  <si>
    <t>秉持平等态度</t>
  </si>
  <si>
    <t>尊重各自关切</t>
  </si>
  <si>
    <t>争取双赢结果</t>
  </si>
  <si>
    <t>台湾问题是中美关系政治基础中的基础### ###</t>
  </si>
  <si>
    <t>反对滥施关税的立场### ###</t>
  </si>
  <si>
    <t>各国应当维护以联合国为核心的国际体系</t>
  </si>
  <si>
    <t>中欧建交的重要经验和启示### ###</t>
  </si>
  <si>
    <t>求同存异</t>
  </si>
  <si>
    <t>开放合作</t>
  </si>
  <si>
    <t>互利共赢</t>
  </si>
  <si>
    <t>中欧很远，根本没有地缘政治关系，也就不可能有地缘政治矛盾### ###</t>
  </si>
  <si>
    <t>我国幅员辽阔、边界线长，周边是### ###</t>
  </si>
  <si>
    <t>实现发展繁荣的重要基础</t>
  </si>
  <si>
    <t>维护国家安全的重点</t>
  </si>
  <si>
    <t>运筹外交全局的首要</t>
  </si>
  <si>
    <t>推动构建人类命运共同体的关键</t>
  </si>
  <si>
    <t>全球供应链格局的根本性重组不会因为一个链博会的持续举办就实现### ###</t>
  </si>
  <si>
    <t>资本主义基本矛盾运动的阶段性：缓和-&gt;尖锐-&gt;再缓和-&gt;再尖锐### ###</t>
  </si>
  <si>
    <t>再生产的周期性是由于经济危机的周期性导致的，两者的因果不能倒过来### ###</t>
  </si>
  <si>
    <t>如果没有经济危机，再生产导致生产规模扩大不会停止</t>
  </si>
  <si>
    <t>毛主席在1940年写的《新民主主义论》阐述了新民主主义的政治、经济和文化### ###</t>
  </si>
  <si>
    <t>他在1945年写的《论联合政府》将前三者与党的基本纲领联系、具体化，形成了新民主主义的基本纲领</t>
  </si>
  <si>
    <t>马克思主义同中国实际的第二次结合是在1956年4月4日由毛主席在中共中央书记处会议上正式提出的### ###</t>
  </si>
  <si>
    <t>完成则是在1978年后的改革开放和中国特色社会主义道路开辟后</t>
  </si>
  <si>
    <t>十五五的着眼点是为基本实现社会主义现代化目标奠定更加坚实的基础### ###</t>
  </si>
  <si>
    <t>虚拟实践可以对现实的实践活动产生重大影响### ###</t>
  </si>
  <si>
    <t>对人民群众创造历史的活动有着首要、决定性影响的是经济条件### ###</t>
  </si>
  <si>
    <t>原材料和机器都是不变资本，是因为### ###</t>
  </si>
  <si>
    <t>它们不改变自己的价值量</t>
  </si>
  <si>
    <t>不发生增殖</t>
  </si>
  <si>
    <t>垄断不能消除竞争，但垄断确实是自由竞争的对立面### ###</t>
  </si>
  <si>
    <t>意识形态工作的主阵地、主战场是网络空间### ###</t>
  </si>
  <si>
    <t>发展心智生产力不能忽视、放弃传统产业### ###</t>
  </si>
  <si>
    <t>法治思维是一种规范思维、逻辑思维、科学思维、正当性思维### ###</t>
  </si>
  <si>
    <t>中国特色社会主义的时间点### ###</t>
  </si>
  <si>
    <t>理论主题的形成是1982年的十二大</t>
  </si>
  <si>
    <t>理论轮廓的形成是十三大</t>
  </si>
  <si>
    <t>理论和实践的进一步成熟是十七大</t>
  </si>
  <si>
    <t>谱写新时代新篇章是十八大以后</t>
  </si>
  <si>
    <t>解决人民内部矛盾的具体方针是团结-批评-团结### ###</t>
  </si>
  <si>
    <t>二十大的六个必须坚持### ###</t>
  </si>
  <si>
    <t>人民至上是根本价值立场</t>
  </si>
  <si>
    <t>自信自立是内在精神特质</t>
  </si>
  <si>
    <t>守正创新是显著标识，也是主要着力点</t>
  </si>
  <si>
    <t>问题导向是鲜明风格</t>
  </si>
  <si>
    <t>系统观念是基本思想方法和工作方法</t>
  </si>
  <si>
    <t>胸怀天下是大视野大境界</t>
  </si>
  <si>
    <t>新质生产力的核心标志是全要素生产率大幅提升### ###</t>
  </si>
  <si>
    <t>中共一大建党时，讨论实际工作计划，决定首先集中精力组织工人### ###</t>
  </si>
  <si>
    <t>建设中特法治体系的重点是建设高效的法治实施体系### ###</t>
  </si>
  <si>
    <t>现有的法律已经很完备了，不是重点</t>
  </si>
  <si>
    <t>现有的监督机制也很有效，不是重点</t>
  </si>
  <si>
    <t>作为保障的法治人才更是不缺</t>
  </si>
  <si>
    <t>比如知心姐姐和春风法官</t>
  </si>
  <si>
    <t>生产关系是生产的社会形式，和生产力一起组成社会的生产方式### ###</t>
  </si>
  <si>
    <t>七大是三个成熟，而遵义是三个走向成熟### ###</t>
  </si>
  <si>
    <t>三个：政治、思想、组织</t>
  </si>
  <si>
    <t>敌后游击战在战略相持阶段变为主要的抗日作战方式（光头佬开始摸鱼了）### ###</t>
  </si>
  <si>
    <t>公义胜私欲是中华传统美德的根本要求### ###</t>
  </si>
  <si>
    <t>AOE计算VE的时候就需要用到拓扑排序了### ###</t>
  </si>
  <si>
    <t>f(x)的不可导点### ###</t>
  </si>
  <si>
    <t>使绝对值部分为0的</t>
  </si>
  <si>
    <t>分段函数的分界点</t>
  </si>
  <si>
    <t>求导后分母为0的点</t>
  </si>
  <si>
    <t>导致无界的往往是特殊点而不是常态无界，需要找无界范围就看特殊点### ###</t>
  </si>
  <si>
    <t>无穷点是一种无界点</t>
  </si>
  <si>
    <t>震荡发散也是一种无界点（比如sin(x)*x,x-&gt;∞）</t>
  </si>
  <si>
    <t>再次强调，切线竖着的时候，导数无穷大不存在（不可导），切线存在不能推可导### ###</t>
  </si>
  <si>
    <t>1927年的三湾改编在1929年的古田会议前就从组织上确立了党对军队的领导### ###</t>
  </si>
  <si>
    <t>思想上确立≠组织上确立</t>
  </si>
  <si>
    <t>竞争和信用是资本集中最强有力的杠杆### ###</t>
  </si>
  <si>
    <t>最能体现毛泽东思想理论本质特点的思想内容是贯穿于毛泽东思想科学体系中的立场、观点和方法### ###</t>
  </si>
  <si>
    <t>我国社会主义改造是伟大的历史性胜利，因为### ###</t>
  </si>
  <si>
    <t>没有造成生产力破坏</t>
  </si>
  <si>
    <t>没有引起社会动荡</t>
  </si>
  <si>
    <t>我国社会主义发展阶段问题的科学理论是在改革开放后才形成### ###</t>
  </si>
  <si>
    <t>创新创造是文化的生命所在、文化的本质特征### ###</t>
  </si>
  <si>
    <t>我国现代化建设的出发点和落脚点是实现人民对美好生活的向往### ###</t>
  </si>
  <si>
    <t>保路运动（1911）是辛亥革命的导火索### ###</t>
  </si>
  <si>
    <t>二次革命是袁世凯刺杀宋教仁、解散国民党，暴露独裁野心，孙中山、黄兴讨袁失败### ###</t>
  </si>
  <si>
    <t>护国运动是袁世凯称帝，蔡锷（护国将军）发动护国战争### ###</t>
  </si>
  <si>
    <t>护法运动### ###</t>
  </si>
  <si>
    <t>张勋（辫子军）复辟失败后，段祺瑞（枪杀学生的狗军阀）掌权，决绝恢复《中华民国临时约法》</t>
  </si>
  <si>
    <t>孙中山联合西南军阀骑兵，后因军阀妥协失败，标志着旧民主主义革命的终结</t>
  </si>
  <si>
    <t>人民战争战略进攻的序幕由千里跃进大别山揭开### ###</t>
  </si>
  <si>
    <t>第一个五年计划集中主要力量发展重工业### ###</t>
  </si>
  <si>
    <t>法律的普遍适用是指法律约束所有人，不可违反是指任何违反者必受罚### ###</t>
  </si>
  <si>
    <t>社会发展的基础及决定力量是物质资料的生产方式（社会的生产方式）### ###</t>
  </si>
  <si>
    <t>当代资本主义相比二战前的资本主义有哪些变化### ###</t>
  </si>
  <si>
    <t>政治制度变化：</t>
  </si>
  <si>
    <t>行政集权民主化</t>
  </si>
  <si>
    <t>政治制度多元化与公民权利扩大</t>
  </si>
  <si>
    <t>政策咨询机构是垄断资本集团影响政策的手段</t>
  </si>
  <si>
    <t>法治建设强化</t>
  </si>
  <si>
    <t>政党格局两极化</t>
  </si>
  <si>
    <t>改良主义政党影响力扩大</t>
  </si>
  <si>
    <t>经济结构变化：</t>
  </si>
  <si>
    <t>所有制形式变革</t>
  </si>
  <si>
    <t>经济调节机制转型</t>
  </si>
  <si>
    <t>产业结构升级</t>
  </si>
  <si>
    <t>社会结构变化</t>
  </si>
  <si>
    <t>阶级结构复杂化</t>
  </si>
  <si>
    <t>新中间阶级兴起</t>
  </si>
  <si>
    <t>社会矛盾缓和</t>
  </si>
  <si>
    <t>国际关系变化</t>
  </si>
  <si>
    <t>资本全球化加速</t>
  </si>
  <si>
    <t>国际经济协调机制形成</t>
  </si>
  <si>
    <t>资本主义国家关系转变</t>
  </si>
  <si>
    <t>空想社会主义的三个阶段### ###</t>
  </si>
  <si>
    <t>家庭手工业：16-17世纪的早期空想社会主义</t>
  </si>
  <si>
    <t>工场手工业：18世纪的空想平均共产主义</t>
  </si>
  <si>
    <t>机器大工业：19世纪初期批判的空想社会主义</t>
  </si>
  <si>
    <t>八一南昌起义建立军队，是中共独立领导革命战争、创建人民军队和武装夺取政权的开端### ###</t>
  </si>
  <si>
    <t>物质先行，精神滞后是西方现代化模式### ###</t>
  </si>
  <si>
    <t>我们注重两手抓，精神物质文明不分先后</t>
  </si>
  <si>
    <t>推翻北洋军阀的北伐战争（1926年，正好是大革命时期）是在孙中山先生逝世后才发生的### ###</t>
  </si>
  <si>
    <t>五四运动时，社会主义才能救中国并不是全社会所有人的普遍共识### ###</t>
  </si>
  <si>
    <t>法治方式推动和保障法制宣传教育，有助于防止和减少社会矛盾发生### ###</t>
  </si>
  <si>
    <t>不扶倒地者确实大幅降低了矛盾发生的可能</t>
  </si>
  <si>
    <t>真零和无穷小### ###</t>
  </si>
  <si>
    <t>真零：区间内处处为0的定值函数</t>
  </si>
  <si>
    <t>特征：常数、区间内不变、与趋向无关</t>
  </si>
  <si>
    <t>无穷小：趋0但不等于0</t>
  </si>
  <si>
    <t>特征：变量、区间内可变、与趋向相关</t>
  </si>
  <si>
    <t>穿根法的紧急补丁：1次根穿过不变凹凸性，3次及以上奇数次穿过必有拐点### ###</t>
  </si>
  <si>
    <t>切线方程约束类问题### ###</t>
  </si>
  <si>
    <t>在点(x0,y0)有公切线（两个曲线都在x0,y0有这条切线）</t>
  </si>
  <si>
    <t>有、存在公切线（一条切线切于两曲线，可能在不同切点）</t>
  </si>
  <si>
    <t>所谓配方法，其实就是相信后人的智慧### ###</t>
  </si>
  <si>
    <t>多出来的后元平方交给后元来处理</t>
  </si>
  <si>
    <t>政治分析题答题体系### ###</t>
  </si>
  <si>
    <t>审题</t>
  </si>
  <si>
    <t>设问类型：是什么/为什么/怎么做</t>
  </si>
  <si>
    <t>怎么做：主体+领域分层作答</t>
  </si>
  <si>
    <t>主体：党、政府、企业、个人</t>
  </si>
  <si>
    <t>领域：经济、政治、文化</t>
  </si>
  <si>
    <t>考查科目：根据关键词匹配</t>
  </si>
  <si>
    <t>也就是缩写索引</t>
  </si>
  <si>
    <t>破题</t>
  </si>
  <si>
    <t>材料分析</t>
  </si>
  <si>
    <t>显性信息：领导人讲话、政策文件表述、数据、案例、历史事件</t>
  </si>
  <si>
    <t>隐性信息：材料的情感倾向（肯定/否定）、逻辑（因果、并列、对比）</t>
  </si>
  <si>
    <t>考点匹配（索引以下粒度的匹配）</t>
  </si>
  <si>
    <t>运用原理yyy</t>
  </si>
  <si>
    <t>从zzz角度</t>
  </si>
  <si>
    <t>答题</t>
  </si>
  <si>
    <t>格式要求</t>
  </si>
  <si>
    <t>分点内不分段</t>
  </si>
  <si>
    <t>每点独立逻辑单元</t>
  </si>
  <si>
    <t>核心理论</t>
  </si>
  <si>
    <t>材料结合</t>
  </si>
  <si>
    <t>推导</t>
  </si>
  <si>
    <t>得分点写开头</t>
  </si>
  <si>
    <t>材料中的关键词</t>
  </si>
  <si>
    <t>书本上的理论</t>
  </si>
  <si>
    <t>答题模板</t>
  </si>
  <si>
    <t>是什么</t>
  </si>
  <si>
    <t>A原理的内涵是（教材定义）</t>
  </si>
  <si>
    <t>材料中“B”的表述正是这一原理的体现</t>
  </si>
  <si>
    <t>为什么</t>
  </si>
  <si>
    <t>理论依据：A是B的必然要求</t>
  </si>
  <si>
    <t>现实依据：材料中C问题，决定了必须坚持B</t>
  </si>
  <si>
    <t>意义：坚持A有利于C</t>
  </si>
  <si>
    <t>怎么做</t>
  </si>
  <si>
    <t>第一，坚持A（书），B的情况（材料）体现了A</t>
  </si>
  <si>
    <t>第n，聚焦C（书），D的情况（材料）体现了C</t>
  </si>
  <si>
    <t>分析说明</t>
  </si>
  <si>
    <t>A原理指出（书）</t>
  </si>
  <si>
    <t>材料中B现象（材料）</t>
  </si>
  <si>
    <t>体现了A（书）</t>
  </si>
  <si>
    <t>从A原理出发，可以得出结论C（书）</t>
  </si>
  <si>
    <t>收尾</t>
  </si>
  <si>
    <t>简单收尾（是什么/为什么）：综上，A是B的必然要求</t>
  </si>
  <si>
    <t>启示收尾（怎么做）：坚持A不动摇，为实现B目标提供支撑</t>
  </si>
  <si>
    <t>分科技巧</t>
  </si>
  <si>
    <t>马原</t>
  </si>
  <si>
    <t>判断模块，避免跨模块混用</t>
  </si>
  <si>
    <t>精准写出原理名+核心观点</t>
  </si>
  <si>
    <t>材料结合一对一</t>
  </si>
  <si>
    <t>毛中特</t>
  </si>
  <si>
    <t>确定主题（类似马原判断模块）</t>
  </si>
  <si>
    <t>逻辑展开</t>
  </si>
  <si>
    <t>理论内涵</t>
  </si>
  <si>
    <t>实践成就</t>
  </si>
  <si>
    <t>现存问题</t>
  </si>
  <si>
    <t>解决路径</t>
  </si>
  <si>
    <t>材料结合大概率是某政策落地</t>
  </si>
  <si>
    <t>“某地产业升级”→对应 “新发展理念中的创新驱动”</t>
  </si>
  <si>
    <t>史纲</t>
  </si>
  <si>
    <t>事件的实践、背景、核心人物</t>
  </si>
  <si>
    <t>默写事件的历史意义</t>
  </si>
  <si>
    <t>分析事件的现实启示（毛中特）</t>
  </si>
  <si>
    <t>例：坚持党的领导、坚持中国特色社会主义道路</t>
  </si>
  <si>
    <t>体现唯物史观（事件的产生有它的必然性）</t>
  </si>
  <si>
    <t>历史实践证明，资产阶级的道路行不通</t>
  </si>
  <si>
    <t>法德</t>
  </si>
  <si>
    <t>区分考察维度（和毛中特、马原的第一步类似）</t>
  </si>
  <si>
    <t>思想：理想信念、家国情怀</t>
  </si>
  <si>
    <t>道德：社会主义核心价值观</t>
  </si>
  <si>
    <t>法律：权利义务、法治精神</t>
  </si>
  <si>
    <t>思想道德类：是什么（核心观点）-&gt;为什么（重要性）-&gt;怎么做（个人践行）</t>
  </si>
  <si>
    <t>法律类：法律依据（某种特定的权利或义务）-&gt;案例分析（材料中）-&gt;启示（尊法学法守法）</t>
  </si>
  <si>
    <t>时政</t>
  </si>
  <si>
    <t>中国的立场</t>
  </si>
  <si>
    <t>国际形势（材料）-&gt;中国方案（书+时政文件）-&gt;意义（对中国、对世界）</t>
  </si>
  <si>
    <t>散列表的ASL### ###</t>
  </si>
  <si>
    <t>具体装填状况的ASL：每个位置到达下一个空位的###探测次数和###/位置个数（失败）（填写ASL计算公式分子）</t>
  </si>
  <si>
    <t>未知装填状况的ASL：用###装填因子α###套公式算（填写关键参数）</t>
  </si>
  <si>
    <t>线性探测：</t>
  </si>
  <si>
    <t>成功：(1/(2(1-###α###)))+1/2（填写关键参数）</t>
  </si>
  <si>
    <t>失败：(1/(2(1-###α###)²))+1/2（填写关键参数）</t>
  </si>
  <si>
    <t>平方探测/双散列：</t>
  </si>
  <si>
    <t>成功：-ln(1-###α###)/###α###（填写关键参数）</t>
  </si>
  <si>
    <t>失败：1/ln(1-###α###)（填写关键参数）</t>
  </si>
  <si>
    <t>实质上是###具体ASL的期望###（填写数学本质）</t>
  </si>
  <si>
    <t>循环队列的队尾指针指向下一个插入的位置，未满的状况下，指向的位置应当是空的### ###</t>
  </si>
  <si>
    <t xml:space="preserve">、 </t>
  </si>
  <si>
    <t>科技具有造福人类与带来消极后果的双重性。</t>
  </si>
  <si>
    <t>正确认识和运用科学技术</t>
  </si>
  <si>
    <t>###合理的社会制度###（填写正确运用科技的首要保障）是正确运用科技的首要保障</t>
  </si>
  <si>
    <t>人们的实践活动受真理尺度和价值尺度的制约</t>
  </si>
  <si>
    <t>任何成功的实践都是###真理（科学）尺度和价值（人本）尺度###（填写成功实践的两个统一尺度）的统一</t>
  </si>
  <si>
    <t>是###合规律性和合目的性###（填写实践的两个特性）的统一</t>
  </si>
  <si>
    <t>超大规模市场是我国经济发展的显著优势</t>
  </si>
  <si>
    <t>也是参与国际竞争可依靠的###战略资源###（填写超大规模市场在国际竞争中的角色）</t>
  </si>
  <si>
    <t>必须充分利用和发挥这个优势，不断###巩固和增强###（填写对待这个优势应采取的行动）这个优势</t>
  </si>
  <si>
    <t>建设全国统一大市场，是</t>
  </si>
  <si>
    <t>以首长同志为核心的党中央从全局和战略高度作出的重大决策；</t>
  </si>
  <si>
    <t>是构建###高水平社会主义市场经济体制###（填写建设全国统一大市场的目标之一）的内在要求；</t>
  </si>
  <si>
    <t>是构建###新发展格局###（填写建设全国统一大市场的目标之一）、推动高质量发展的重要保障；</t>
  </si>
  <si>
    <t>是赢得###国际竞争主动权###（填写建设全国统一大市场的战略意义）、增强我们从容应对风险挑战底气的需要。</t>
  </si>
  <si>
    <t>强大国内市场和深化对外开放是相辅相成、相得益彰的。</t>
  </si>
  <si>
    <t>要以畅通###国内大循环###（填写实现两者相辅相成的基础）为基础</t>
  </si>
  <si>
    <t>更好联通###国内国际两个市场###（填写需要联通的对象）</t>
  </si>
  <si>
    <t>实现###国内国际双循环相互促进###（填写最终要实现的目标）</t>
  </si>
  <si>
    <t>五统一：</t>
  </si>
  <si>
    <t>有利于形成对###全球先进要素资源###（填写引力场的吸引对象）的强大引力场</t>
  </si>
  <si>
    <t>促进我国在###国际竞争和合作###（填写取得新优势的领域）中取得新优势</t>
  </si>
  <si>
    <t>一开放：</t>
  </si>
  <si>
    <t>有利于加快###相关领域改革###（填写开放带来的积极影响之一）步伐</t>
  </si>
  <si>
    <t>进一步完善###国内市场基础制度###（填写需要完善的对象）</t>
  </si>
  <si>
    <t>提升###国内市场发展水平###（填写需要提升的方面）</t>
  </si>
  <si>
    <t>扩大###全国统一大市场###（填写需要扩大影响力和辐射力的对象）的影响力和辐射力</t>
  </si>
  <si>
    <t>中国共产党在抗日战争中发挥了中流砥柱作用</t>
  </si>
  <si>
    <t>第一，中共率先高举###武装抗日旗帜###（填写中共率先高举的旗帜），直接领导###东北抗日游击战争###（填写中共直接领导的抗日战争形式）。</t>
  </si>
  <si>
    <t>第二，中共倡导、促成并坚决维护和发展了###抗日民族统一战线###（填写中共在抗战期间建立和发展的统一战线）。</t>
  </si>
  <si>
    <t>第三，中共坚持###全面抗战路线###（填写中共坚持的抗战路线），提出并实施###持久战###（填写中共提出的战略战术）等战略战术。</t>
  </si>
  <si>
    <t>开展###敌后游击战争###（填写中共开展的战争形式），开辟###敌后战场###（填写中共开辟的战场类型），</t>
  </si>
  <si>
    <t>建设巩固的###抗日民主根据地###（填写中共在抗战期间建设的根据地类型）</t>
  </si>
  <si>
    <t>第四，引领着夺取战争胜利的正确方向，成为夺取战争胜利的###民族先锋###（填写中共在抗战中的历史角色）。</t>
  </si>
  <si>
    <t>中国人民抗日战争是抗击日本军国主义的中流砥柱</t>
  </si>
  <si>
    <t>第一，抗日是反法西斯中###开始最早、结束最晚、牺牲最大###（填写中国抗日战争在反法西斯战争中的特点）的</t>
  </si>
  <si>
    <t>第二，中国战场抗击了###日军的主要力量###（填写中国战场抗击的敌方力量）。</t>
  </si>
  <si>
    <t>中国坚持###持久抗战###（填写中国坚持的抗战战略），为同盟国军队实施战略反攻创造了有利条件</t>
  </si>
  <si>
    <t>第三，为同盟国赢得二战起到了###支持性###（填写中国抗日战争对同盟国的作用性质）的作用</t>
  </si>
  <si>
    <t>亚洲太平洋地区盟军对日作战的###重要后方基地###（填写中国在亚太战场中的战略地位）</t>
  </si>
  <si>
    <t>为盟国提供了大量###战略物资和军事情报###（填写中国为盟国提供的支持类型）</t>
  </si>
  <si>
    <t>为世界反法西斯同盟国赢得了###宝贵的战争准备时间###（填写中国为同盟国赢得的关键资源）</t>
  </si>
  <si>
    <t>为同盟国实施“先欧后亚”战略提供了重要保证</t>
  </si>
  <si>
    <t>传承和弘扬伟大抗战精神</t>
  </si>
  <si>
    <t>###精神长城###（填写比喻意义）屹立不倒，###精神力量###（填写跨越时空的力量）跨越时空</t>
  </si>
  <si>
    <t>我们党在艰苦斗争中领导铸就的###精神丰碑###（填写我们党铸就的象征）</t>
  </si>
  <si>
    <t>中国人民近代顽强抗争砺炼的###强大精神支柱###（填写中国人民的精神支撑）</t>
  </si>
  <si>
    <t>中华民族战胜磨难浴火重生的###鲜明精神标识###（填写中华民族的精神标识）</t>
  </si>
  <si>
    <t>中国人民###弥足珍贵###（填写精神财富的性质）的精神财富</t>
  </si>
  <si>
    <t>将永远激励中国人民###克服万难###（填写激励人民去做的行动）以实现民族复兴</t>
  </si>
  <si>
    <t>当前我国正处于实现###中华民族伟大复兴###（填写当前处于的关键时期目标）的关键时期</t>
  </si>
  <si>
    <t>面对###错综复杂的国际国内形势###（填写面临的形势类型）、###艰巨繁重的改革发展稳定任务###（填写面临的任务类型）、###各种不确定难预料的风险挑战###（填写面临的挑战类型）</t>
  </si>
  <si>
    <t>要传承弘扬抗战精神，并将其转化为战胜风险挑战的###战略主动###（填写转化的方面之一）、###非凡勇气###（填写转化的方面之二）和###强大定力###（填写转化的方面之三）</t>
  </si>
  <si>
    <t>不断增强###团结一心的精神纽带###（填写需要增强的精神纽带类型）、###自强不息的精神动力###（填写需要增强的精神动力类型）</t>
  </si>
  <si>
    <t>在推进###中国式现代化###（填写推进的现代化类型）的新征程上勇毅前行</t>
  </si>
  <si>
    <t>厚植###爱国情怀###（填写需要厚植的情怀），把###强国之志###（填写需要化为行动的志向）化为报国之行</t>
  </si>
  <si>
    <t>坚定###理想信念###（填写需要坚定的思想基础），涵养###浩然正气###（填写需要涵养的气节）</t>
  </si>
  <si>
    <t>激发###顽强斗志###（填写需要激发的斗志），依靠###顽强斗争###（填写需要依靠的斗争精神）打开事业发展新天地</t>
  </si>
  <si>
    <t>坚定###必胜信心###（填写需要坚定的信心类型），坚定不移办好###自己的事###（填写需要办好的事情）</t>
  </si>
  <si>
    <t>二战后国际社会最重要决定是成立联合国</t>
  </si>
  <si>
    <t>###联合国###（填写世界反法西斯战争胜利的重要成果）是世界反法西斯战争胜利重要成果</t>
  </si>
  <si>
    <t>是人类对###两次世界大战浩劫###（填写人类反思的历史事件）痛定思痛、摆脱###丛林法则###（填写人类要摆脱的法则）的历史尝试</t>
  </si>
  <si>
    <t>开启了构建###战后国际秩序###（填写开启构建的秩序类型）、追求###和平发展###（填写追求的发展模式）的不凡征程</t>
  </si>
  <si>
    <t>联合国已成为当今世界最具###普遍性、代表性和权威性###（填写联合国具备的特性）的政府间国际组织</t>
  </si>
  <si>
    <t>在全球治理中发挥着###不可替代###（填写联合国在全球治理中的作用性质）的重要作用</t>
  </si>
  <si>
    <t>正是因为建立了以###联合国###（填写国际体系的核心）为核心的国际体系和以###国际法###（填写国际秩序的基础）为基础的国际秩序</t>
  </si>
  <si>
    <t>人类社会才实现###总体和平###（填写人类社会实现的状态），迎来前所未有的大发展大繁荣</t>
  </si>
  <si>
    <t>为何要坚定维护以联合国为核心的国际体系</t>
  </si>
  <si>
    <t>###联合国体系###（填写二战胜利成果的集中体现）是二战胜利成果的集中体现</t>
  </si>
  <si>
    <t>二战后为和平发展建立国际规则，核心是成立###联合国###（填写二战后建立国际规则的核心）</t>
  </si>
  <si>
    <t>###《联合国宪章》###（填写奠定现代国际秩序基础的文件）奠定现代国际秩序基础，确立###国际关系准则###（填写确立的准则类型）</t>
  </si>
  <si>
    <t>联合国是###集体安全和多边主义###（填写联合国的核心性质）的核心平台，作用不可替代</t>
  </si>
  <si>
    <t>世界乱象源于###宪章原则被破坏###（填写世界乱象的根源），而非联合国过时</t>
  </si>
  <si>
    <t>解决全球问题需加强###联合国作用###（填写需要加强的作用），维护其###不可替代###（填写需要维护的地位性质）地位</t>
  </si>
  <si>
    <t>世界唯一体系是以###联合国###（填写世界唯一体系的核心）为核心的国际体系</t>
  </si>
  <si>
    <t>###变乱交织###（填写当前国际形势的特点）的国际形势下，更需维护###联合国权威###（填写需要维护的权威）和核心体系</t>
  </si>
  <si>
    <t>真理与谬误的转化</t>
  </si>
  <si>
    <t>由于###认识的复杂性和曲折性###（填写可能犯错误的原因）以及各种条件的限制，任何人都有可能犯错误</t>
  </si>
  <si>
    <t>但###吃一堑、长一智###（填写对待错误的态度），勇于###正视错误、反省错误、修正错误###（填写对待错误的具体行动）</t>
  </si>
  <si>
    <t>终能取得对###客观事物及其规律###（填写认识的对象）的正确认识</t>
  </si>
  <si>
    <t>从而让###错误###（填写可以转化为正确的概念）转化为正确，###谬误###（填写可以转化为真理的概念）转化为真理</t>
  </si>
  <si>
    <t>###真理与谬误###（填写对立统一的关系之一）、###成功与失败###（填写对立统一的关系之二）是对立统一的关系</t>
  </si>
  <si>
    <t>它们相互对立，又能在###一定条件###（填写相互转化的条件）下相互转化</t>
  </si>
  <si>
    <t>###错误###（填写往往是正确的先导的概念）往往是正确的先导，###失败###（填写常常是成功之母的概念）常常是成功之母</t>
  </si>
  <si>
    <t>在批判###谬误###（填写批判的对象）中发展真理，是###谬误向真理转化###（填写转化的形式）的一种形式</t>
  </si>
  <si>
    <t>绿色发展（绿水青山就是金山银山）为何成为共识</t>
  </si>
  <si>
    <t>第一，以“两个结合”继承发展了马克思主义生态观和发展观</t>
  </si>
  <si>
    <t>根植于中华民族深厚的###生态文化基因###（填写绿色发展的文化基础）</t>
  </si>
  <si>
    <t>彰显###时代价值###（填写绿色发展彰显的价值）</t>
  </si>
  <si>
    <t>第二，指引新时代###生态文明建设###（填写绿色发展指引的建设领域）取得举世瞩目成就</t>
  </si>
  <si>
    <t>新时代党和国家事业###历史性成就与变革###（填写绿色发展成就的性质）的显著标志</t>
  </si>
  <si>
    <t>第三，实现了对###西方传统发展范式###（填写超越的对象）的历史性超越</t>
  </si>
  <si>
    <t>以这一理念为指引，建设###人与自然和谐共生###（填写建设的现代化类型）的现代化</t>
  </si>
  <si>
    <t>开创了###人类文明新形态###（填写开创的文明形态）</t>
  </si>
  <si>
    <t>“两山”是中国的，也是世界的</t>
  </si>
  <si>
    <t>“两山”理念为全球生态治理和实现联合国可持续发展目标提供了中国方案</t>
  </si>
  <si>
    <t>“两山”理念科学回应生态文明世界之问</t>
  </si>
  <si>
    <t>高度契合###全球绿色发展理念###（填写契合的理念）</t>
  </si>
  <si>
    <t>深刻启迪###全球生态文明建设###（填写启迪的领域）</t>
  </si>
  <si>
    <t>凝聚了###全球绿色共识###（填写凝聚的共识类型）</t>
  </si>
  <si>
    <t>在实践上，“两山”理念指引开创人类文明新形态</t>
  </si>
  <si>
    <t>破解全球可持续发展面临的###两难困境###（填写破解的困境类型）</t>
  </si>
  <si>
    <t>激发###绿色转型###（填写激发的转型类型）活力</t>
  </si>
  <si>
    <t>引领###全球环境治理###（填写引领的治理领域）</t>
  </si>
  <si>
    <t>共建绿色“一带一路”</t>
  </si>
  <si>
    <t>推动共建###地球生命共同体###（填写推动共建的共同体类型）</t>
  </si>
  <si>
    <t>“两山”理念不仅深刻改变了中国，也深刻影响了世界。</t>
  </si>
  <si>
    <t>中国命运转变的关键</t>
  </si>
  <si>
    <t>###中国共产党###（填写在民族危亡关头挺身担当的政党）在民族危亡关头挺身担当</t>
  </si>
  <si>
    <t>始终发挥###中流砥柱###（填写发挥的作用类型）作用</t>
  </si>
  <si>
    <t>以###政治主张、坚定意志和模范行动###（填写支撑希望的要素）支撑起民族救亡图存的希望</t>
  </si>
  <si>
    <t>成为夺取战争胜利的###民族先锋###（填写党的历史角色）</t>
  </si>
  <si>
    <t>中国共产党的###坚强领导###（填写结束近代民族内部软弱涣散局面的因素）结束了近代民族内部软弱涣散的局面</t>
  </si>
  <si>
    <t>让争取民族独立和解放的斗争有了###主心骨###（填写斗争的核心力量）</t>
  </si>
  <si>
    <t>使###民族觉醒和精神升华###（填写达到新高度的方面）达到了新高度</t>
  </si>
  <si>
    <t>汇聚起中国人民###坚不可摧的磅礴力量###（填写汇聚的力量特征）</t>
  </si>
  <si>
    <t>伟大复兴，从“不可逆转”到“势不可挡”</t>
  </si>
  <si>
    <t>第一，势不可挡，势在“最大优势”——党的领导是实现民族复兴的根本保证</t>
  </si>
  <si>
    <t>中国人民能够扭转近代历史命运，根本在于有###中国共产党的坚强领导###（填写扭转历史命运的根本原因）</t>
  </si>
  <si>
    <t>社会主义中国能够巍然屹立于世界东方，根本在于有###中国共产党的坚强领导###（填写社会主义中国屹立东方的根本原因）</t>
  </si>
  <si>
    <t>民族复兴进入不可逆转的进程，根本在于有###中国共产党的坚强领导###（填写民族复兴进入不可逆转进程的根本原因）</t>
  </si>
  <si>
    <t>###党的领导###（填写复兴大势不可阻挡的根本所在）是复兴大势不可阻挡的根本所在</t>
  </si>
  <si>
    <t>第二，势不可挡，势在“康庄大道”——中国式现代化是强国复兴的唯一正确道路</t>
  </si>
  <si>
    <t>党的十八大以来，党领导人民书写了新篇章，成功推进和拓展了###中国式现代化###（填写成功推进和拓展的现代化道路）</t>
  </si>
  <si>
    <t>历史和现实证明，###中国式现代化###（填写复兴大势不可阻挡的牢固基础）是复兴大势不可阻挡的牢固基础</t>
  </si>
  <si>
    <t>第三，势不可挡，势在“磅礴伟力”——亿万人民汇聚起推进中国式现代化的合力</t>
  </si>
  <si>
    <t>###中华民族一家亲###（填写民族关系状态），###同心共筑中国梦###（填写共同目标）</t>
  </si>
  <si>
    <t>这是全体中华儿女的###共同心愿###（填写中华儿女的共同心愿）和全国各族人民的###共同目标###（填写全国各族人民的共同目标）</t>
  </si>
  <si>
    <t>###中华民族共同体###（填写把握复兴大势不可阻挡的重要维度）是我们把握复兴大势不可阻挡的一个重要维度</t>
  </si>
  <si>
    <t>第四，势不可挡，势在“世界潮流”——站在历史正确一边，携手迈向人类命运共同体</t>
  </si>
  <si>
    <t>###中国式现代化###（填写开辟人类迈向现代化新道路的现代化类型）开辟了人类迈向现代化的新道路</t>
  </si>
  <si>
    <t>###中国式现代化###（填写开创人类文明新形态的现代化类型）开创了人类文明新形态</t>
  </si>
  <si>
    <t>这是复兴大势不可阻挡的###关键所在###（填写复兴大势不可阻挡的决定因素）。</t>
  </si>
  <si>
    <t>爱国主义的内涵（是什么）</t>
  </si>
  <si>
    <t>爱国主义</t>
  </si>
  <si>
    <t>体现了人们对祖国的###深厚感情###（填写爱国主义体现的感情类型）</t>
  </si>
  <si>
    <t>揭示了个人对祖国的###依存关系###（填写爱国主义揭示的关系类型）</t>
  </si>
  <si>
    <t>是对###家园、民族和文化###（填写归属感、认同感等的对象）的###归属感、认同感、尊严感与荣誉感###（填写情感类型）的统一</t>
  </si>
  <si>
    <t>是中华民族的###优良传统和精神基因###（填写爱国主义的性质）</t>
  </si>
  <si>
    <t>是中华民族的###民族心、民族魂###（填写爱国主义的地位）与###民族精神###（填写爱国主义的归属）的核心</t>
  </si>
  <si>
    <t>是中华民族###团结奋斗、自强不息###（填写精神纽带的作用）的精神纽带</t>
  </si>
  <si>
    <t>是中华民族最重要的###精神财富###（填写爱国主义的价值属性）</t>
  </si>
  <si>
    <t>中华民族发展史就是一部###中华儿女的爱国奋斗史###（填写中华民族发展史的性质）</t>
  </si>
  <si>
    <t>爱国是###最深层、最持久###（填写爱国情感的特征）的情感</t>
  </si>
  <si>
    <t>是一个人的###立德之源、立功之本###（填写爱国对个人的意义）</t>
  </si>
  <si>
    <t>爱国主义至今仍激励中华儿女为###祖国发展繁荣###（填写激励的目标）而###自强不息、不懈奋斗###（填写激励的行动）</t>
  </si>
  <si>
    <t>怎样弘扬爱国主义</t>
  </si>
  <si>
    <t>爱国主义是###具体的、现实的###（填写爱国主义的性质）</t>
  </si>
  <si>
    <t>实现###中华民族伟大复兴的中国梦###（填写新时代爱国主义的鲜明主题）是新时代爱国主义的鲜明主题</t>
  </si>
  <si>
    <t>大力弘扬新时代的爱国主义，必须坚持</t>
  </si>
  <si>
    <t>###爱国爱党爱社会主义相统一###（填写弘扬爱国主义必须坚持的原则之一）</t>
  </si>
  <si>
    <t>###维护祖国统一和民族团结###（填写弘扬爱国主义必须坚持的原则之二）</t>
  </si>
  <si>
    <t>###尊重和传承中华民族历史文化###（填写弘扬爱国主义必须坚持的原则之三）</t>
  </si>
  <si>
    <t>###坚持立足中国又面向世界###（填写弘扬爱国主义必须坚持的原则之四）</t>
  </si>
  <si>
    <t>爱国，不能停留在口号上，而是要</t>
  </si>
  <si>
    <t>把自己的理想同###祖国的前途、民族的命运###（填写需要紧密联系的对象）紧密联系在一起</t>
  </si>
  <si>
    <t>以实际行动体现</t>
  </si>
  <si>
    <t>###对祖国的热爱###（填写以实际行动体现的情感之一）</t>
  </si>
  <si>
    <t>###对党的热爱###（填写以实际行动体现的情感之二）</t>
  </si>
  <si>
    <t>###对社会主义的热爱###（填写以实际行动体现的情感之三）</t>
  </si>
  <si>
    <t>###扎根人民，奉献国家###（填写爱国行动的具体要求）</t>
  </si>
  <si>
    <t>以###一生的真情投人、一辈子的顽强奋斗###（填写践行爱国主义的方式）来践行爱国主义</t>
  </si>
  <si>
    <t>为什么全球治理倡议正逢其时</t>
  </si>
  <si>
    <t>当前国际形势###变乱交织###（填写国际形势的特征）</t>
  </si>
  <si>
    <t>###联合国和多边主义###（填写受到冲击的对象）受到冲击</t>
  </si>
  <si>
    <t>###全球治理赤字###（填写持续扩大的问题）持续扩大</t>
  </si>
  <si>
    <t>现行国际机制存在###三大短板###（填写存在问题的数量）</t>
  </si>
  <si>
    <t>第一，###全球南方###（填写代表性严重不足的地区）在国际机制中的代表性严重不足</t>
  </si>
  <si>
    <t>###新兴市场国家和发展中国家###（填写群体性崛起的国家类型）群体性崛起</t>
  </si>
  <si>
    <t>有必要提升###全球南方代表性###（填写需要提升的方面）并纠正###历史不公###（填写需要纠正的问题）</t>
  </si>
  <si>
    <t>第二，###权威性###（填写遭到侵蚀的性质）遭到侵蚀</t>
  </si>
  <si>
    <t>###全球性问题###（填写超越国界、需国际协作的挑战）是超越国界、需国际协作的复杂挑战</t>
  </si>
  <si>
    <t>###多边主义###（填写全球治理的基本路径）是全球治理的基本路径</t>
  </si>
  <si>
    <t>当前，###联合国宗旨和原则###（填写未能得到有效遵守的对象）未能得到有效遵守</t>
  </si>
  <si>
    <t>###安理会决议###（填写受到抵制的对象）受到抵制</t>
  </si>
  <si>
    <t>###单边制裁###（填写违反国际法并破坏国际秩序的行径）等行径违反国际法并破坏国际秩序</t>
  </si>
  <si>
    <t>第三，从治理效能看，###有效性###（填写亟待提升的方面）亟待提升</t>
  </si>
  <si>
    <t>###联合国2030年可持续发展议程###（填写落实进展严重滞后的议程）落实进展严重滞后</t>
  </si>
  <si>
    <t>###气候变化、数字鸿沟###（填写日益突出的问题）等问题日益突出</t>
  </si>
  <si>
    <t>###人工智能、网络空间###（填写治理存在缺位的新疆域）等新疆域治理存在缺位</t>
  </si>
  <si>
    <t>在此背景下，###构建与改革全球治理体系###（填写国际社会的重大命题）成为国际社会重大命题</t>
  </si>
  <si>
    <t>中国提出的###全球治理倡议###（填写回应了时代之问的倡议）回应了时代之问</t>
  </si>
  <si>
    <t>该倡议引领了###全球治理变革方向###（填写引领的方向）</t>
  </si>
  <si>
    <t>该倡议符合当今世界的###紧迫需求###（填写符合的需求类型）</t>
  </si>
  <si>
    <t>全球治理倡议是中国向世界提供的重要公共产品</t>
  </si>
  <si>
    <t>核心理念与原则</t>
  </si>
  <si>
    <t>秉承###《联合国宪章》宗旨###（填写秉承的宗旨），呼应###各国普遍期待###（填写呼应的期待）</t>
  </si>
  <si>
    <t>体现中国引领应对###全球治理赤字###（填写应对的赤字类型）、推动构建###人类命运共同体###（填写推动构建的共同体）的担当</t>
  </si>
  <si>
    <t>改革路径与目标</t>
  </si>
  <si>
    <t>非###颠覆性改革###（填写改革的性质），而是提升###现行国际体系与机制###（填写提升效能的对象）的效能</t>
  </si>
  <si>
    <t>使其更适应形势，有效应对###全球挑战###（填写应对的挑战类型），更好服务###各国尤其是发展中国家###（填写服务的对象）利益</t>
  </si>
  <si>
    <t>贡献与反响</t>
  </si>
  <si>
    <t>提出###全球治理改革的中国方案###（填写提出的方案类型），贡献###治理智慧###（填写贡献的内容）</t>
  </si>
  <si>
    <t>作为重要###国际公共产品###（填写产品的属性），获广泛积极响应</t>
  </si>
  <si>
    <t>以辩证思维认识与处理新旧关系</t>
  </si>
  <si>
    <t>新旧###对立统一###（填写新旧关系的性质），相互依存贯通，可在###一定条件###（填写转化的条件）下转化</t>
  </si>
  <si>
    <t>以###联系、发展的观点###（填写看问题的观点）看问题，在###对立统一###（填写把握关系的原则）中把握关系</t>
  </si>
  <si>
    <t>用###联系眼光###（填写看待新旧关系的眼光）看待新旧，###转换思路、创造条件###（填写采取的行动），化不利为有利，寻求新突破</t>
  </si>
  <si>
    <t>用###发展眼光###（填写看待旧资源的眼光）看待旧资源，###把握趋势、找准新方向###（填写采取的行动），放大自身优势</t>
  </si>
  <si>
    <t>新旧非绝对对立，其###交织交融###（填写新旧关系的状态）能激发新活力</t>
  </si>
  <si>
    <t>辩证否定原理</t>
  </si>
  <si>
    <t>事物发展通过###内在矛盾自我否定###（填写事物发展的实现方式）实现</t>
  </si>
  <si>
    <t>（发展）否定是###旧事物向新事物###（填写否定的转变方向）的转变与质的飞跃</t>
  </si>
  <si>
    <t>（联系）新事物孕育于###旧事物###（填写新事物的孕育场所），二者通过###否定###（填写联系的方式）相联系</t>
  </si>
  <si>
    <t>新事物对旧事物###既批判又继承###（填写新事物对旧事物的态度），克服###消极因素###（填写克服的因素），保留###积极因素###（填写保留的因素）</t>
  </si>
  <si>
    <t>并非###简单否定一切###（填写否定的性质）</t>
  </si>
  <si>
    <t>而是从旧事物中吸收###合理成分###（填写吸收的内容）</t>
  </si>
  <si>
    <t>加入###新内容###（填写加入的内容）</t>
  </si>
  <si>
    <t>形成具有###新结构功能###（填写形成的事物的特征）的事物以适应变化</t>
  </si>
  <si>
    <t>为什么要改善民生</t>
  </si>
  <si>
    <t>第一，###中国式现代化###（填写坚持民生为大的现代化类型）坚持民生为大</t>
  </si>
  <si>
    <t>###保障和改善民生###（填写重大任务的内容）是重大任务</t>
  </si>
  <si>
    <t>“投资于人”、服务民生，体现了以人民为中心的发展思想</t>
  </si>
  <si>
    <t>人是###消费主体、生产核心和创新源泉###（填写人在经济社会中的角色）</t>
  </si>
  <si>
    <t>投资于人的###多维需求与全面发展###（填写投资的对象）</t>
  </si>
  <si>
    <t>涵盖###就业、收入、教育、医疗###（填写涵盖的领域）等领域，旨在提升###民众福祉与能力###（填写提升的目标）</t>
  </si>
  <si>
    <t>对###高质量发展###（填写具有长远意义的领域）的长远意义</t>
  </si>
  <si>
    <t>有助于释放###消费潜力###（填写有助于释放的潜力），培育###强大国内市场###（填写培育的市场类型），畅通###国内大循环###（填写畅通的循环类型）</t>
  </si>
  <si>
    <t>可积累###人力资本###（填写积累的资本类型），激发###创新活力###（填写激发的活力类型），加快###新质生产力###（填写加快发展的生产力类型）发展，夯实###高质量发展###（填写夯实的根基类型）根基</t>
  </si>
  <si>
    <t>第二，“投资于人”是高质量发展的长远举措</t>
  </si>
  <si>
    <t>通过满足人的###全面需求###（填写满足的需求类型），促进###能消费、敢消费、愿消费###（填写促进的消费状态）</t>
  </si>
  <si>
    <t>既破解###消费增长困境###（填写破解的困境），又为###创新与新质生产力发展###（填写注入动力的领域）注入动力，巩固###发展根基###（填写巩固的根基）</t>
  </si>
  <si>
    <t>如何认识经济发展与改善民生</t>
  </si>
  <si>
    <t>发展是解决民生的“总钥匙”，民生是发展的“指南针”</t>
  </si>
  <si>
    <t>第一，发展是民生的###物质基础###（填写发展的作用）</t>
  </si>
  <si>
    <t>离开###发展###（填写民生改善的前提）则民生改善无从谈起</t>
  </si>
  <si>
    <t>发展必须回应###人民期待###（填写回应的对象）、带来###实际利益###（填写带来的利益），才可持续</t>
  </si>
  <si>
    <t>第二，###民生###（填写促进发展的因素）促进发展</t>
  </si>
  <si>
    <t>抓###民生###（填写即抓发展的对象）即抓发展</t>
  </si>
  <si>
    <t>持续改善民生能缓解###群众后顾之忧###（填写缓解的担忧）</t>
  </si>
  <si>
    <t>调动###生产积极性###（填写调动的积极性），提升###消费预期###（填写提升的预期）</t>
  </si>
  <si>
    <t>从而扩大###内需###（填写扩大的需求类型）、催生###新增长点###（填写催生的增长类型）</t>
  </si>
  <si>
    <t>第三，实现###民生与发展###（填写实现良性互动的两个方面）的良性互动</t>
  </si>
  <si>
    <t>应全面把握二者###互为牵动、互为条件###（填写二者关系的特征）的关系</t>
  </si>
  <si>
    <t>推动###民生改善与经济发展###（填写推动对接的两个方面）有效对接</t>
  </si>
  <si>
    <t>形成###有机统一###（填写长效机制的特征）的长效机制</t>
  </si>
  <si>
    <t>抗日对世界发展的意义</t>
  </si>
  <si>
    <t>第一：揭开###世界反法西斯战争###（填写揭开序幕的战争）序幕</t>
  </si>
  <si>
    <t>第二：构成###东方主战场###（填写在反法西斯战争中的战场地位）</t>
  </si>
  <si>
    <t>以###巨大民族牺牲###（填写支撑东方主战场付出的代价）支撑起世界反法西斯战争的东方主战场</t>
  </si>
  <si>
    <t>第三：凝聚###全球正义力量###（填写凝聚的力量类型）</t>
  </si>
  <si>
    <t>团结并汇集了###国际反对法西斯侵略的正义力量###（填写团结汇集的力量性质）</t>
  </si>
  <si>
    <t>第四：推动###国际秩序重建###（填写推动的重建领域）</t>
  </si>
  <si>
    <t>第五：促进###民族解放运动###（填写促进的运动类型）</t>
  </si>
  <si>
    <t>鼓舞并加速了###世界范围内民族解放运动###（填写鼓舞加速的运动类型）的兴起</t>
  </si>
  <si>
    <t>个人奋斗与国家前途命运</t>
  </si>
  <si>
    <t>本质是###个人理想与社会理想###（填写结合的两个方面）的结合</t>
  </si>
  <si>
    <t>###个人目标###（填写与国家、民族目标相统一的目标）与国家、民族目标的统一</t>
  </si>
  <si>
    <t>在实现###社会理想###（填写实现理想类型）中完成个人理想</t>
  </si>
  <si>
    <t>第一：个人理想以###社会理想###（填写指引个人理想的理想类型）为指引</t>
  </si>
  <si>
    <t>###社会理想###（填写最根本的理想类型）是最根本的，个人理想从属于社会理想</t>
  </si>
  <si>
    <t>个人理想只有与###国家前途、民族命运###（填写结合的对象）相结合，与###社会需要和人民利益###（填写一致的对象）相一致，才可能实现</t>
  </si>
  <si>
    <t>第二：社会理想是###个人理想###（填写汇聚与升华的基础）的汇聚与升华</t>
  </si>
  <si>
    <t>社会理想的实现依靠###全体社会成员###（填写依靠的力量）的共同努力</t>
  </si>
  <si>
    <t>并体现在每个人实现###个人理想###（填写体现的实践内容）的实践中</t>
  </si>
  <si>
    <t>第三：在###伟大事业###（填写成就个人理想的场所）中成就个人理想</t>
  </si>
  <si>
    <t>个人只有将###人生理想###（填写需要融入的理想）融入###国家和民族事业###（填写融入的事业），才能最终成就事业</t>
  </si>
  <si>
    <t>当代青年的追求不能脱离###社会现实###（填写不能脱离的背景），应在实现###社会理想###（填写实现的过程）的过程中努力实现个人理想</t>
  </si>
  <si>
    <t>如何在推进中国式现代化中发挥个人作用</t>
  </si>
  <si>
    <t>第一，怀###爱国之心###（填写应怀有的心态）</t>
  </si>
  <si>
    <t>爱国是###最深层持久###（填写爱国情感的特征）的情感，是###立德之源、立功之本###（填写爱国的意义）</t>
  </si>
  <si>
    <t>作为###民族心魂###（填写爱国的地位），爱国是每个中国人的本分与职责，是###心之所系、情之所归###（填写爱国在情感上的体现）</t>
  </si>
  <si>
    <t>第二，立###报国之志###（填写应树立的志向）</t>
  </si>
  <si>
    <t>以###国家富强、人民幸福###（填写奋斗的目标）为念，将###个人小我###（填写融入的个体）融入###国家大我###（填写融入的集体）</t>
  </si>
  <si>
    <t>在###为国尽责、为民服务###（填写实现价值的途径）中实现个人价值、展现人生风采</t>
  </si>
  <si>
    <t>第三，增强###国之能###（填写需要增强的能力）</t>
  </si>
  <si>
    <t>爱国需落到实处，顺应###时代要求###（填写顺应的要求），学习###新知识、掌握新技能、练就真本领###（填写需要学习掌握的内容）</t>
  </si>
  <si>
    <t>努力成为###岗位能手、行家里手###（填写努力成为的角色），以###实干能力###（填写践行爱国之志的方式）践行爱国之志</t>
  </si>
  <si>
    <t>中国式现代化是和平发展的现代化</t>
  </si>
  <si>
    <t>###二战###（填写提供历史教训的战争）的历史教训</t>
  </si>
  <si>
    <t>战火遍及全球，伤亡###超一亿人###（填写二战伤亡人数）</t>
  </si>
  <si>
    <t>###弱肉强食、穷兵黩武、赢者通吃###（填写非和平发展之道的理念）皆非人类共存、和平与发展之道</t>
  </si>
  <si>
    <t>###和平###（填写需共同维护的目标）需共同维护</t>
  </si>
  <si>
    <t>和平是###人类共同事业###（填写和平的性质），需各方共同争取与维护</t>
  </si>
  <si>
    <t>人人###珍爱和平、铭记战争教训###（填写应有的态度），和平才有希望</t>
  </si>
  <si>
    <t>面对###动荡变革期###（填写面对的时代特征）</t>
  </si>
  <si>
    <t>应不忘###《联合国宪章》初心###（填写不应忘记的初心）</t>
  </si>
  <si>
    <t>牢记###守护和平使命###（填写应牢记的使命）</t>
  </si>
  <si>
    <t>中国的###和平发展道路###（填写中国的发展道路类型）</t>
  </si>
  <si>
    <t>###中国式现代化###（填写走和平发展道路的现代化类型）是走和平发展道路的现代化</t>
  </si>
  <si>
    <t>中国始终是###世界和平、稳定与进步###（填写中国作为的力量性质）的力量</t>
  </si>
  <si>
    <t>国际调解院</t>
  </si>
  <si>
    <t>###国际法治###（填写创新举措的领域）的创新之举</t>
  </si>
  <si>
    <t>具有###重要历史意义###（填写具有的意义类型）</t>
  </si>
  <si>
    <t>践行###《联合国宪章》宗旨###（填写践行的宗旨）</t>
  </si>
  <si>
    <t>填补###国际调解机制###（填写填补的机制类型）空白</t>
  </si>
  <si>
    <t>是完善###全球治理###（填写服务的领域）的###法治公共产品###（填写产品的性质）</t>
  </si>
  <si>
    <t>蕴含###和合共生###（填写蕴含的文明智慧）的文明智慧</t>
  </si>
  <si>
    <t>有助于超越###零和思维###（填写超越的思维模式）</t>
  </si>
  <si>
    <t>促进###国际争议###（填写促进解决的争议类型）的友好解决</t>
  </si>
  <si>
    <t>彰显###兼容并蓄###（填写彰显的法治文明特征）的法治文明</t>
  </si>
  <si>
    <t>尊重###当事方意愿###（填写尊重的意愿）</t>
  </si>
  <si>
    <t>具有###灵活、经济、便捷、高效###（填写具有的优势特点）的优势</t>
  </si>
  <si>
    <t>与###诉讼、仲裁###（填写互补协同的现有机制）等现有机制互补协同</t>
  </si>
  <si>
    <t>与###全球治理倡议###（填写高度契合的倡议）高度契合</t>
  </si>
  <si>
    <t>奉行###和解合作和谐###（填写奉行的原则）</t>
  </si>
  <si>
    <t>坚持###公平公正公道###（填写坚持的原则）</t>
  </si>
  <si>
    <t>秉持###共商共建共享###（填写秉持的原则）</t>
  </si>
  <si>
    <t>###以人为本###（填写坚持的理念），###务实导向###（填写坚持的导向）</t>
  </si>
  <si>
    <t>为构建###人类命运共同体###（填写构建的目标）注入###法治正能量###（填写注入的正能量类型）</t>
  </si>
  <si>
    <t>为什么要科技创新与产业创新融合</t>
  </si>
  <si>
    <t>###实践###（填写认识的目的）是认识的目的</t>
  </si>
  <si>
    <t>认识的获得并非出于###猎奇或雅兴###（填写非认识获得的目的）</t>
  </si>
  <si>
    <t>最终目的是为###实践###（填写服务的对象）服务</t>
  </si>
  <si>
    <t>指导###实践###（填写指导的对象）以满足###生活与生产###（填写满足的需要类型）需要</t>
  </si>
  <si>
    <t>认识世界的根本目的在于###改造世界###（填写认识的根本目的）</t>
  </si>
  <si>
    <t>科技成果必须从“书架”走向“货架”，转化为实际应用</t>
  </si>
  <si>
    <t>方能实现###更美好的生活###（填写实现的最终目标）</t>
  </si>
  <si>
    <t>认识活动中的非理性因素</t>
  </si>
  <si>
    <t>非理性因素的定义与作用</t>
  </si>
  <si>
    <t>主要包括主体的###情感与意志###（填写非理性因素的主要构成）</t>
  </si>
  <si>
    <t>广义上也含###联想、想象、直觉、灵感###（填写广义上的非理性因素）等</t>
  </si>
  <si>
    <t>对人的###认识能力与活动###（填写作用的对象）具有###激活与驱动###（填写作用类型）作用</t>
  </si>
  <si>
    <t>科学创新需要###两者###（填写需要结合的方面）的结合</t>
  </si>
  <si>
    <t>既需###严密的逻辑思维###（填写需要的思维方式之一）</t>
  </si>
  <si>
    <t>也需发挥###灵感、直觉、想象力###（填写需要发挥的非逻辑形式）等非逻辑形式的重要作用</t>
  </si>
  <si>
    <t>继续吸引外资</t>
  </si>
  <si>
    <t>改革开放中###利用外资###（填写具有作用与意义的举措）的作用与意义</t>
  </si>
  <si>
    <t>###积极利用外资###（填写中国快速融入世界的关键）是中国快速融入世界、赶上时代的关键。</t>
  </si>
  <si>
    <t>###外资企业###（填写中国现代化等进程的重要参与者）是中国现代化、改革开放、创新创造及联通全球的重要参与者。</t>
  </si>
  <si>
    <t>当前继续加大###吸引和利用外资###（填写仍具有重大深远意义的举措）力度仍具有重大深远意义。</t>
  </si>
  <si>
    <t>第一，推动###经济高质量发展###（填写必然选择的领域）的必然选择</t>
  </si>
  <si>
    <t>有利于引进###先进技术与科技人才###（填写引进的资源类型）</t>
  </si>
  <si>
    <t>增强国家###创新力与竞争力###（填写增强的国家能力）。</t>
  </si>
  <si>
    <t>第二，扩大###高水平对外开放###（填写内在要求的领域）的内在要求</t>
  </si>
  <si>
    <t>有利于对接###国际高标准经贸规则###（填写对接的规则类型）</t>
  </si>
  <si>
    <t>扩大###自主开放###（填写扩大的开放类型）</t>
  </si>
  <si>
    <t>塑造###更高水平开放型经济###（填写塑造的经济类型）新优势</t>
  </si>
  <si>
    <t>第三，引领###经济全球化正确方向###（填写引领的方向）的重要动力</t>
  </si>
  <si>
    <t>有利于促进###国际投资自由化便利化###（填写促进的目标）</t>
  </si>
  <si>
    <t>深化###产业链供应链###（填写深化合作的领域）国际合作</t>
  </si>
  <si>
    <t>维护###多元稳定的国际经济格局###（填写维护的格局类型）</t>
  </si>
  <si>
    <t>中国的投资价值</t>
  </si>
  <si>
    <t>第一，坚持###高水平对外开放###（填写坚持的开放战略）</t>
  </si>
  <si>
    <t>###对外开放###（填写基本国策的内容）是基本国策</t>
  </si>
  <si>
    <t>正稳步推进###规则、规制等制度型开放###（填写推进的开放类型）</t>
  </si>
  <si>
    <t>###利用外资政策###（填写长期稳定的政策类型）长期稳定</t>
  </si>
  <si>
    <t>第二，###市场潜力巨大且转型加速###（填写中国的市场特征）</t>
  </si>
  <si>
    <t>作为全球第二大消费市场，拥有###最大规模中等收入群体###（填写拥有的消费群体特征）</t>
  </si>
  <si>
    <t>###绿色化、数字化、智能化###（填写转型加快的领域）转型加快，产业配套强</t>
  </si>
  <si>
    <t>是###科技革命与产业变革###（填写最佳应用场景的领域）的最佳应用场景</t>
  </si>
  <si>
    <t>第三，###外资法规政策体系###（填写健全的体系类型）健全</t>
  </si>
  <si>
    <t>已形成较为完备的###利用外资法规政策与工作体系###（填写形成的体系类型）</t>
  </si>
  <si>
    <t>第四，###社会环境###（填写安全稳定的领域）安全稳定</t>
  </si>
  <si>
    <t>长期保持###政局稳定与社会安定###（填写长期保持的状态）</t>
  </si>
  <si>
    <t>是国际公认的###最安全国家之一###（填写中国的国际安全地位）</t>
  </si>
  <si>
    <t>抗日是持久战</t>
  </si>
  <si>
    <t>战争性质：是###半殖民地中国###（填写战争一方）与###帝国主义日本###（填写战争另一方）之间的决死战争</t>
  </si>
  <si>
    <t>第一方面：###强弱对比###（填写决定战争形态的因素）决定战争形态</t>
  </si>
  <si>
    <t>日本是###强国###（填写日本的实力地位）</t>
  </si>
  <si>
    <t>中国是###弱国###（填写中国的实力地位）</t>
  </si>
  <si>
    <t>###强弱对比###（填写决定战争形态的关键因素）决定了抗日战争只能是持久战</t>
  </si>
  <si>
    <t>第二方面：###多因素对比###（填写决定最终胜利的因素）决定最终胜利</t>
  </si>
  <si>
    <t>日本是###小国###（填写日本的国家规模），进行###退步、野蛮的侵略战争###（填写日本进行的战争性质），在国际上###失道寡助###（填写日本在国际上的处境）</t>
  </si>
  <si>
    <t>中国是###大国###（填写中国的国家规模），进行###进步、正义的反侵略战争###（填写中国进行的战争性质），在国际上###得道多助###（填写中国在国际上的处境）</t>
  </si>
  <si>
    <t>中国已有政治上成熟的###中国共产党###（填写政治上成熟的政党）及其领导的###抗日根据地与人民军队###（填写党领导的抗战力量）</t>
  </si>
  <si>
    <t>因此，###最后胜利###（填写必将属于中国的成果）必将属于中国。</t>
  </si>
  <si>
    <t>敌后战场的作用</t>
  </si>
  <si>
    <t>决策内容与意义</t>
  </si>
  <si>
    <t>为执行###全面抗战路线###（填写执行的路线），作出开辟###敌后战场###（填写开辟的战场类型）的决策</t>
  </si>
  <si>
    <t>延续###农村包围城市、武装夺取政权###（填写延续的革命道路）的道路</t>
  </si>
  <si>
    <t>###敌后战场###（填写为抗战胜利作出巨大贡献的战场）的坚持与发展为抗战胜利作出巨大贡献</t>
  </si>
  <si>
    <t>起到###改变战局的战略引领###（填写起到的作用类型）作用</t>
  </si>
  <si>
    <t>敌后战场在各阶段的作用</t>
  </si>
  <si>
    <t>战略防御阶段</t>
  </si>
  <si>
    <t>###正面战场###（填写为主战场的战场类型）为主战场</t>
  </si>
  <si>
    <t>###敌后战场###（填写是重要力量的战场类型）是重要力量</t>
  </si>
  <si>
    <t>推动战争转入###相持阶段###（填写转入的阶段），实现###持久抗战###（填写实现的战略）</t>
  </si>
  <si>
    <t>战略相持阶段</t>
  </si>
  <si>
    <t>###敌后战场###（填写逐渐成为主战场的战场）逐渐成为主战场</t>
  </si>
  <si>
    <t>极大振奋###全国信心###（填写振奋的对象）</t>
  </si>
  <si>
    <t>展现###人民战争###（填写展现的战争类型）的强大威力</t>
  </si>
  <si>
    <t>战略反攻阶段</t>
  </si>
  <si>
    <t>###敌后战场###（填写成为决胜力量的战场）成为决胜力量</t>
  </si>
  <si>
    <t>总结</t>
  </si>
  <si>
    <t>###中国共产党###（填写领导人民武装的政党）领导的人民武装在敌后战场发展壮大，由弱变强</t>
  </si>
  <si>
    <t>为夺取###最后胜利###（填写发挥决定性作用的目标）发挥决定性作用</t>
  </si>
  <si>
    <t>崇尚英雄</t>
  </si>
  <si>
    <t>伟大时代与英雄精神</t>
  </si>
  <si>
    <t>###伟大时代###（填写呼唤并造就英雄的时代）呼唤并造就英雄，###英雄辈出###（填写推动事业兴旺发达的因素）推动党和人民事业兴旺发达</t>
  </si>
  <si>
    <t>###崇尚英雄###（填写产生英雄的前提）才能产生英雄，###争做英雄###（填写英雄辈出的条件）方能英雄辈出</t>
  </si>
  <si>
    <t>英雄精神对民族复兴的意义</t>
  </si>
  <si>
    <t>###国家强盛与民族复兴###（填写既需物质积累又需精神文明升华的目标）既需物质积累，亦需精神文明升华</t>
  </si>
  <si>
    <t>###缅怀英烈事迹、传承英烈精神###（填写对价值观的洗礼活动）是对价值观的洗礼</t>
  </si>
  <si>
    <t>可转化为###爱国情、强国志、报国行###（填写转化的内生动力内容）的内生动力</t>
  </si>
  <si>
    <t>纪念活动的现实作用</t>
  </si>
  <si>
    <t>在###烈士纪念日###（填写追思先烈的日期）追思先烈、致敬英雄，有助于增强###历史自信、激扬历史主动精神###（填写有助于增强的精神）</t>
  </si>
  <si>
    <t>使###爱国主义与革命英雄主义###（填写成为强大精神动力的主义）成为引领向前、催人奋斗的强大精神动力</t>
  </si>
  <si>
    <t>做堂堂正正光荣自豪的中国人</t>
  </si>
  <si>
    <t>一、'###堂堂正正###'的民族气节</t>
  </si>
  <si>
    <t>中华民族在磨难中###愈挫愈勇、奋起成长###（填写中华民族在磨难中的表现）</t>
  </si>
  <si>
    <t>'堂堂正正'体现为</t>
  </si>
  <si>
    <t>###危难中不甘屈辱###（填写'堂堂正正'的体现之一）</t>
  </si>
  <si>
    <t>###敢于斗争的精神坚守与担当###（填写'堂堂正正'的体现之二）</t>
  </si>
  <si>
    <t>这种姿态是百年风雨淬炼出的###民族气质###（填写淬炼出的精神品质）</t>
  </si>
  <si>
    <t>是亿万中国人的###血脉共鸣与心灵选择###（填写是亿万中国人的情感认同）</t>
  </si>
  <si>
    <t>二、'###光荣自豪###'的从容自信</t>
  </si>
  <si>
    <t>体现为</t>
  </si>
  <si>
    <t>###面对压力有信心###（填写'光荣自豪'的体现之一）</t>
  </si>
  <si>
    <t>###应对挑战有定力###（填写'光荣自豪'的体现之二）</t>
  </si>
  <si>
    <t>###面向世界有风采###（填写'光荣自豪'的体现之三）</t>
  </si>
  <si>
    <t>这是一种</t>
  </si>
  <si>
    <t>基于###历史与文化自信###（填写自信的基础）的</t>
  </si>
  <si>
    <t>###从容理性、不卑不亢、开放包容###（填写胸怀的特征）的胸怀</t>
  </si>
  <si>
    <t>根植于</t>
  </si>
  <si>
    <t>###文明传统###（填写根植的基础之一）</t>
  </si>
  <si>
    <t>###中国特色社会主义实践###（填写根植的基础之二）</t>
  </si>
  <si>
    <t>当代青年作为'###平视世界###'（填写青年的时代特征）的一代</t>
  </si>
  <si>
    <t>应在###更广阔舞台###（填写展现风貌的场所）上</t>
  </si>
  <si>
    <t>展现###昂扬风貌###（填写展现的精神面貌）</t>
  </si>
  <si>
    <t>续写###时代荣光###（填写续写的辉煌）</t>
  </si>
  <si>
    <t>正确二战史观</t>
  </si>
  <si>
    <t>坚持###正确二战史观###（填写应坚持的历史观）、捍卫###历史正义###（填写应捍卫的正义类型）</t>
  </si>
  <si>
    <t>既是对###历史###（填写总结的对象）的总结</t>
  </si>
  <si>
    <t>也是对###未来###（填写指引的对象）的指引</t>
  </si>
  <si>
    <t>第一，汲取###历史教训###（填写现实需要的内容）的现实需要</t>
  </si>
  <si>
    <t>历史是###教科书与清醒剂###（填写历史的双重作用）</t>
  </si>
  <si>
    <t>坚持###正确史观###（填写坚持的史观类型），引导国际社会系统反思###二战###（填写反思的历史事件）</t>
  </si>
  <si>
    <t>（对西方）抵制###否定成果、歪曲真相的错误思潮###（填写抵制的思潮类型）</t>
  </si>
  <si>
    <t>（对日本）警惕###军国主义###（填写警惕的主义），防止###悲剧重演###（填写防止的事件）</t>
  </si>
  <si>
    <t>第二，凝聚###历史共识###（填写现实需要的内容）的现实需要</t>
  </si>
  <si>
    <t>铭记历史是为###共同引以为戒###（填写铭记历史的目的）</t>
  </si>
  <si>
    <t>形成关于###反法西斯战争###（填写形成正确历史认知的对象）的正确历史认知与国际共识</t>
  </si>
  <si>
    <t>有助于为建设###公正、合理的美好世界###（填写奠定思想基础的目标世界）奠定思想基础</t>
  </si>
  <si>
    <t>第三，把握###发展趋势###（填写现实需要的内容）的现实需要</t>
  </si>
  <si>
    <t>需弘扬###正确二战史观###（填写需弘扬的历史观）</t>
  </si>
  <si>
    <t>深刻认识践行###真正多边主义###（填写应践行的主义）、维护###国际规则与秩序###（填写应维护的对象）的重要性</t>
  </si>
  <si>
    <t>把握###国际秩序发展前景###（填写把握的前景），推动'###全球倡议###'（填写推动落实的倡议）落实</t>
  </si>
  <si>
    <t>台湾是二战胜利成果</t>
  </si>
  <si>
    <t>一、战后国际秩序的建立</t>
  </si>
  <si>
    <t>以二战胜利成果为基础，旨在维护和平、促进发展与普遍人权。</t>
  </si>
  <si>
    <t>拥有坚实法理基础，《开罗宣言》与《波茨坦公告》奠定了其基本架构，并确认中国对台湾的主权</t>
  </si>
  <si>
    <t>二、台湾回归中国的历史与法理事实</t>
  </si>
  <si>
    <t>1945年10月25日，中国政府在台湾举行受降仪式</t>
  </si>
  <si>
    <t>被日本占领50年之久的台湾以及澎湖列岛，重归中国主权管辖</t>
  </si>
  <si>
    <t>三、世界反法西斯战争的成果</t>
  </si>
  <si>
    <t>台湾回归中国是世界反法西斯战争的重要成果</t>
  </si>
  <si>
    <t>是战后国际秩序的重要组成部分</t>
  </si>
  <si>
    <t>CSMA/CD检测到冲突后，先进行二进制指数退避，再根据坚持策略决定要不要立刻发</t>
  </si>
  <si>
    <t>二叉树树高h决定节点个数范围</t>
  </si>
  <si>
    <t>普通二叉树：###h~(2^h)-1###（填写节点个数范围）</t>
  </si>
  <si>
    <t>完全二叉树：###2^(h-1)~(2^h)-1###（填写节点个数范围）</t>
  </si>
  <si>
    <t>TCP三握四挥</t>
  </si>
  <si>
    <t>客户端</t>
  </si>
  <si>
    <t>三握：###CLOSED###-###SYN_SENT###-###ESTABLISHED###（填写客户端状态）</t>
  </si>
  <si>
    <t>四挥：###ESTABLISHED###-###FIN_WAIT_1###-###FIN_WAIT_2###-###TIME_WAIT###-###CLOSED###（填写客户端状态）</t>
  </si>
  <si>
    <t>服务端</t>
  </si>
  <si>
    <t>三握：###CLOSED###(###监听套接字###)-###LISTEN###(###监听套接字###)-###SYN_RCVD###(###连接套接字###)-###ESTABLISHED###(###连接套接字###)（填写服务器端状态；填写套接字类型）</t>
  </si>
  <si>
    <t>四挥：###ESTABLISHED###-###CLOSE_WAIT###-###LAST_ACK###-###CLOSED###（填写服务器端状态）</t>
  </si>
  <si>
    <t>IP地址的玩法</t>
  </si>
  <si>
    <t>拆分</t>
  </si>
  <si>
    <t>有类拆分：###等大子网###（填写子网特点）</t>
  </si>
  <si>
    <t>无类拆分：###不等大子网###（填写子网特点）</t>
  </si>
  <si>
    <t>聚合</t>
  </si>
  <si>
    <t>无聚合：###每个子网一个路由条目###（填写路由特点）</t>
  </si>
  <si>
    <t>有聚合：###同出口子网一个路由条目###（填写路由特点）</t>
  </si>
  <si>
    <t>工作情况：</t>
  </si>
  <si>
    <t>聚合超网包含###非同出口的子网###（填写聚合超网包含的子网类型）</t>
  </si>
  <si>
    <t>非同出口子网的单独条目LPM优先匹配（###子网号更长###）（填写匹配原则）</t>
  </si>
  <si>
    <t>考试情况：</t>
  </si>
  <si>
    <t>含有###非同出口的子网###不能聚合（填写不能聚合的条件）</t>
  </si>
  <si>
    <t>由非同出口的子网地址块分解，划分为###不同的聚合条目###（填写划分结果）</t>
  </si>
  <si>
    <t>混搭</t>
  </si>
  <si>
    <t>有类+聚合：###有路由条目压缩机制的等大子网###（填写网络类型）</t>
  </si>
  <si>
    <t>无类+分散：###无路由条目压缩机制的不等大子网###（填写网络类型）</t>
  </si>
  <si>
    <t>换位思考的重要性</t>
  </si>
  <si>
    <t>认识的本质是###主体在实践基础上对客体的能动反映###（填写认识的本质）</t>
  </si>
  <si>
    <t>既具有反映客体内容的###反映性###（填写认识的特征之一）</t>
  </si>
  <si>
    <t>也具有实践所要求的###主体能动性与创造性###（填写认识的特征之二）</t>
  </si>
  <si>
    <t>认识主体的差异影响</t>
  </si>
  <si>
    <t>主体在###立场、观点、方法###等方面的差异（填写认识主体的差异表现）</t>
  </si>
  <si>
    <t>会导致对同一客体的认识结果###不同甚至相反###（填写认识差异的可能结果）</t>
  </si>
  <si>
    <t>启示与实践要求</t>
  </si>
  <si>
    <t>必须通过###换位思考、沉浸式调研###（填写实践要求的具体方法）</t>
  </si>
  <si>
    <t>才能真正把握###问题实质###，提升###服务水平###（填写实践目标）</t>
  </si>
  <si>
    <t>人民群众在历史发展中的作用</t>
  </si>
  <si>
    <t>###人民群众是历史的创造者###（填写人民群众的地位）</t>
  </si>
  <si>
    <t>在社会历史发展中起###决定性作用###（填写人民群众的作用）</t>
  </si>
  <si>
    <t>是###社会实践的主体###与###历史发展的根本动力###（填写人民群众的双重角色）</t>
  </si>
  <si>
    <t>人民群众创造历史的具体体现</t>
  </si>
  <si>
    <t>创造###社会物质财富###与###精神财富###（填写人民群众创造历史的具体表现）</t>
  </si>
  <si>
    <t>是###社会变革的决定性力量###（填写人民群众在变革中的作用）</t>
  </si>
  <si>
    <t>人民群众决定历史发展的方向与结局</t>
  </si>
  <si>
    <t>其###总体意愿和行动###代表历史发展方向（填写人民群众影响历史的方式）</t>
  </si>
  <si>
    <t>###社会实践###最终决定历史结局（填写决定历史结局的关键因素）</t>
  </si>
  <si>
    <t>唯物史观的方法论要求</t>
  </si>
  <si>
    <t>坚持###马克思主义群众观点###，贯彻###党的群众路线###（填写唯物史观的方法论要求）</t>
  </si>
  <si>
    <t>做到向人民学习，一切为了群众、依靠群众，从群众中来、到群众中去</t>
  </si>
  <si>
    <t>新时代民营经济</t>
  </si>
  <si>
    <t>第一，改革开放创造了历史机遇与坚实基础</t>
  </si>
  <si>
    <t>历史机遇的开启</t>
  </si>
  <si>
    <t>###改革开放以来###（填写时间起点）</t>
  </si>
  <si>
    <t>为民营经济快速发展创造了###历史机遇###（填写改革开放的作用）</t>
  </si>
  <si>
    <t>当前已形成的规模与分量</t>
  </si>
  <si>
    <t>民营经济已形成###相当规模与分量###（填写当前发展状况）</t>
  </si>
  <si>
    <t>整体能力与基础</t>
  </si>
  <si>
    <t>其###整体实力###、###创新能力###与###市场竞争力###显著提升（填写民营经济提升的方面）</t>
  </si>
  <si>
    <t>为###高质量发展###奠定了坚实基础（填写发展目标）</t>
  </si>
  <si>
    <t>第二，新时代提供了广阔发展空间与多元机遇</t>
  </si>
  <si>
    <t>发展背景的积极变化</t>
  </si>
  <si>
    <t>###新时代新征程###（填写发展新阶段）</t>
  </si>
  <si>
    <t>社会生产力将###不断跃升###（填写生产力发展趋势）</t>
  </si>
  <si>
    <t>人民生活水平###稳步提高###（填写民生改善趋势）</t>
  </si>
  <si>
    <t>改革开放###全面深化###（填写改革方向）</t>
  </si>
  <si>
    <t>核心要素优势</t>
  </si>
  <si>
    <t>教育科技###快速发展###（填写核心要素发展状况）</t>
  </si>
  <si>
    <t>人才与劳动力资源###数量庞大###、###素质优良###（填写人力资源优势）</t>
  </si>
  <si>
    <t>产业与市场优势</t>
  </si>
  <si>
    <t>产业与基础设施体系###配套完善###（填写产业基础优势）</t>
  </si>
  <si>
    <t>###新产业###、###新业态###、###新模式###不断涌现（填写创新表现形式）</t>
  </si>
  <si>
    <t>市场潜力</t>
  </si>
  <si>
    <t>###14亿多人口###的超大规模市场潜力巨大（填写市场规模优势）</t>
  </si>
  <si>
    <t>为民营经济带来###新机遇###与###更大发展空间###（填写市场带来的积极影响）</t>
  </si>
  <si>
    <t>第三，制度优势与社会环境提供了坚强保障与有利时机</t>
  </si>
  <si>
    <t>根本制度保障</t>
  </si>
  <si>
    <t>###中国特色社会主义制度###具有多方面显著优势（填写根本制度保障）</t>
  </si>
  <si>
    <t>###社会主义市场经济体制###与###法治体系###不断健全完善（填写制度体系完善内容）</t>
  </si>
  <si>
    <t>为民营经济发展提供###更为坚强的保障###（填写制度保障作用）</t>
  </si>
  <si>
    <t>综合环境利好</t>
  </si>
  <si>
    <t>当前###政治###、###经济###、###社会环境###均十分有利于民营经济发展（填写有利环境方面）</t>
  </si>
  <si>
    <t>行动号召</t>
  </si>
  <si>
    <t>广大民营企业和民营企业家###大显身手正当其时###（填写行动号召）</t>
  </si>
  <si>
    <t>为民营经济立法</t>
  </si>
  <si>
    <t>社会主义市场经济与法治化营商环境</t>
  </si>
  <si>
    <t>本质关系</t>
  </si>
  <si>
    <t>社会主义市场经济本质上是###法治经济###（填写社会主义市场经济的本质特征）</t>
  </si>
  <si>
    <t>###法治###是最好的营商环境（填写营商环境的关键要素）</t>
  </si>
  <si>
    <t>法治对民营经济的作用</t>
  </si>
  <si>
    <t>促进民营经济###健康发展###、###高质量发展###，离不开法治保障（填写民营经济的发展要求）</t>
  </si>
  <si>
    <t>需要###稳定###、###公平###、###透明###、###可预期###的法治化营商环境（填写法治化营商环境的要求）</t>
  </si>
  <si>
    <t>第一：法治是民营企业发展的“定心丸”</t>
  </si>
  <si>
    <t>核心作用</t>
  </si>
  <si>
    <t>###法治化营商环境###是民营企业壮大最有效的定心丸（填写法治的核心作用）</t>
  </si>
  <si>
    <t>建设意义</t>
  </si>
  <si>
    <t>提升###法治化营商环境建设水平###，是构建###高水平社会主义市场经济体制###的内在要求（填写法治化建设的目的和意义）</t>
  </si>
  <si>
    <t>是###鼓励###、###支持###、###引导###民营经济发展的必然选择（填写对民营经济的态度）</t>
  </si>
  <si>
    <t>第二：法治化为保护民营企业权益提供保障</t>
  </si>
  <si>
    <t>保障对象</t>
  </si>
  <si>
    <t>法治化营商环境为依法保护###民营企业合法权益###提供重要保障（填写法治化营商环境的保障对象）</t>
  </si>
  <si>
    <t>内在需求</t>
  </si>
  <si>
    <t>作为###社会主义市场经济重要参与者###，民营企业在投资兴业中需要并获得###平等法律保护###（填写民营企业的地位和权利）</t>
  </si>
  <si>
    <t>这符合其###发展壮大###的内在需求（填写民营企业的发展需求）</t>
  </si>
  <si>
    <t>第三：法治化为稳定发展预期提供基本条件</t>
  </si>
  <si>
    <t>预期的重要性</t>
  </si>
  <si>
    <t>从经济社会发展角度看，###预期###是经营主体对未来的判断（填写影响经营主体行为的关键因素）</t>
  </si>
  <si>
    <t>预期直接影响经营主体的###经济行为选择###（填写预期的影响）</t>
  </si>
  <si>
    <t>法治化的作用</t>
  </si>
  <si>
    <t>法治化营商环境为稳定###民营企业发展预期###提供基本条件（填写法治化营商环境的作用）</t>
  </si>
  <si>
    <t>第四：法治化为促进创新创造提供支持</t>
  </si>
  <si>
    <t>双重作用</t>
  </si>
  <si>
    <t>法治化营商环境是###秩序稳定###的前提（填写法治化营商环境的基础作用）</t>
  </si>
  <si>
    <t>也具有###鼓励###和###包容创新###的作用（填写法治化营商环境对创新的态度）</t>
  </si>
  <si>
    <t>支持体现</t>
  </si>
  <si>
    <t>为促进民营企业###创新创造###提供有力支持（填写法治化营商环境对创新的支持）</t>
  </si>
  <si>
    <t>遵义会议是转折点</t>
  </si>
  <si>
    <t>毛泽东领导地位的确立</t>
  </si>
  <si>
    <t>遵义会议事实上确立了###毛泽东在党中央和红军的领导地位###（填写遵义会议确立的领导核心）</t>
  </si>
  <si>
    <t>开始确立以###毛泽东###为主要代表的###马克思主义正确路线###在党中央的领导地位（填写领导核心和路线名称）</t>
  </si>
  <si>
    <t>开始形成以###毛泽东同志###为核心的党的第一代中央领导集体（填写领导核心）</t>
  </si>
  <si>
    <t>党的独立自主与历史转折</t>
  </si>
  <si>
    <t>开启了党###独立自主###解决中国革命实际问题的新阶段（填写党的新阶段特征）</t>
  </si>
  <si>
    <t>危急关头的挽救作用</t>
  </si>
  <si>
    <t>在最危急关头###挽救了党###（填写遵义会议的作用之一）</t>
  </si>
  <si>
    <t>###挽救了红军###（填写遵义会议的作用之二）</t>
  </si>
  <si>
    <t>###挽救了中国革命###（填写遵义会议的作用之三）</t>
  </si>
  <si>
    <t>会议的后续深远影响</t>
  </si>
  <si>
    <t>此后使党能够战胜###张国焘的分裂主义###（填写党战胜的负面倾向）</t>
  </si>
  <si>
    <t>###胜利完成长征###（填写遵义会议后的成果之一）</t>
  </si>
  <si>
    <t>###打开中国革命新局面###（填写遵义会议后的成果之二）</t>
  </si>
  <si>
    <t>历史地位的总评价</t>
  </si>
  <si>
    <t>遵义会议在党的历史上是一个###生死攸关的转折点###（填写遵义会议的历史地位）</t>
  </si>
  <si>
    <t>长征胜利的意义</t>
  </si>
  <si>
    <t>长征的“四个伟大远征”</t>
  </si>
  <si>
    <t>是###理想信念###的伟大远征（填写长征的性质之一）</t>
  </si>
  <si>
    <t>是###检验真理###的伟大远征（填写长征的性质之二）</t>
  </si>
  <si>
    <t>是###唤醒民众###的伟大远征（填写长征的性质之三）</t>
  </si>
  <si>
    <t>是###开创新局###的伟大远征（填写长征的性质之四）</t>
  </si>
  <si>
    <t>第一：长征胜利与党在政治上、思想上的成熟</t>
  </si>
  <si>
    <t>长征的胜利，极大地促进了党在###政治上###和###思想上###的成熟（填写党成熟的方面）</t>
  </si>
  <si>
    <t>核心认识的形成</t>
  </si>
  <si>
    <t>党进一步认识到：必须把###马克思主义基本原理###同###中国革命具体实际###相结合（填写两个结合的内容）</t>
  </si>
  <si>
    <t>应###独立自主###地解决中国革命的重大问题（填写解决中国革命问题的方式）</t>
  </si>
  <si>
    <t>如此才能把###革命事业###引向胜利（填写引向胜利的对象）</t>
  </si>
  <si>
    <t>第二：长征胜利是中国革命转危为安的关键</t>
  </si>
  <si>
    <t>长征的胜利，是中国革命###转危为安###的关键（填写长征胜利的意义）</t>
  </si>
  <si>
    <t>第三：长征胜利的多重宣告与转折意义</t>
  </si>
  <si>
    <t>对敌人的宣告</t>
  </si>
  <si>
    <t>宣告了###国民党反动派###消灭###中国共产党和红军###的图谋彻底失败（填写宣告的对象和内容）</t>
  </si>
  <si>
    <t>对使命的宣告</t>
  </si>
  <si>
    <t>宣告了###中国共产党和红军###肩负着###民族希望###，胜利实现了###北上抗日###的战略转移（填写宣告的主体、使命和战略转移方向）</t>
  </si>
  <si>
    <t>实现伟大转折</t>
  </si>
  <si>
    <t>实现了###中国共产党和中国革命事业###从###挫折走向胜利###的伟大转折（填写实现转折的主体和方向）</t>
  </si>
  <si>
    <t>开启新进军</t>
  </si>
  <si>
    <t>开启了党为实现###民族独立###、###人民解放###而斗争的新的伟大进军（填写党的斗争目标）</t>
  </si>
  <si>
    <t>第四：长征铸就的精神及其作用</t>
  </si>
  <si>
    <t>长征铸就了伟大的###长征精神###（填写长征铸就的精神）</t>
  </si>
  <si>
    <t>这一精神为中国革命不断从胜利走向胜利提供了###强大精神动力###（填写长征精神的作用）</t>
  </si>
  <si>
    <t>红色资源是最宝贵的精神财富</t>
  </si>
  <si>
    <t>一、红色的底色地位与红色资源的本质</t>
  </si>
  <si>
    <t>党的鲜明标识</t>
  </si>
  <si>
    <t>根本底色：###红色###是中国共产党、中华人民共和国最鲜亮的底色。（填写最鲜亮的底色）</t>
  </si>
  <si>
    <t>红色资源的多重本质属性</t>
  </si>
  <si>
    <t>生命与力量之源</t>
  </si>
  <si>
    <t>红色资源是共和国的###生命之源###（填写红色资源对共和国的意义）</t>
  </si>
  <si>
    <t>是我们党百余年奋斗的###力量之源###（填写红色资源对党的意义）</t>
  </si>
  <si>
    <t>精神载体与财富</t>
  </si>
  <si>
    <t>是党的###优良传统###和###革命精神###的重要载体（填写红色资源承载的内容）</t>
  </si>
  <si>
    <t>是中华民族最宝贵的###精神财富###（填写红色资源的性质）</t>
  </si>
  <si>
    <t>二、红色资源的育人功能与价值</t>
  </si>
  <si>
    <t>核心任务：要深入挖掘红色资源的###育人功能与价值###。（填写挖掘的核心内容）</t>
  </si>
  <si>
    <t>根本目标</t>
  </si>
  <si>
    <t>基因传承：让###红色基因###代代相传（填写传承的内容）</t>
  </si>
  <si>
    <t>精神永续：让###红色精神###生生不息（填写永续的内容）</t>
  </si>
  <si>
    <t>三、红色资源的多重关键作用</t>
  </si>
  <si>
    <t>作为传承载体：是传承###红色基因###的重要载体（填写传承的内容）</t>
  </si>
  <si>
    <t>作为意识形态武器：是应对###意识形态领域挑战###的锐利武器（填写应对的对象）</t>
  </si>
  <si>
    <t>作为强国教材：是砥砺###强国之志###的生动教材（填写砥砺的目标）</t>
  </si>
  <si>
    <t>四、新征程上的应用与目标</t>
  </si>
  <si>
    <t>高度重视核心功能</t>
  </si>
  <si>
    <t>引领与塑造功能：应高度重视其###政治引领###、###价值塑造###功能（填写两个核心功能）</t>
  </si>
  <si>
    <t>激励与实践功能：高度重视其###精神激励###、###实践养成###功能（填写另外两个核心功能）</t>
  </si>
  <si>
    <t>发挥载体作用：培育新人：充分发挥其作为培育###时代新人###的鲜活素材和重要载体作用（填写培育的对象）</t>
  </si>
  <si>
    <t>注入动力与引导成长</t>
  </si>
  <si>
    <t>注入精神文化内涵：为塑造###立德树人新格局###注入深厚的文化内涵和强大的精神动力（填写塑造的格局）</t>
  </si>
  <si>
    <t>引导青年成才：引导###青年学生###更好地成长成才（填写引导的对象）</t>
  </si>
  <si>
    <t>奋斗于青春</t>
  </si>
  <si>
    <t>一、复兴伟业是一场接力跑：征程的特性与要求</t>
  </si>
  <si>
    <t>根本比喻：全面建成###社会主义现代化强国###、实现###中华民族伟大复兴###，是一场接力跑（填写两个奋斗目标）</t>
  </si>
  <si>
    <t>征程特点与唯一路径</t>
  </si>
  <si>
    <t>征途漫长：###征途漫漫###（填写征程的特点）</t>
  </si>
  <si>
    <t>惟有奋斗：###惟有奋斗###（填写实现目标的唯一路径）</t>
  </si>
  <si>
    <t>二、新时代是奋斗者的时代</t>
  </si>
  <si>
    <t>时代的基本定位：###新时代是奋斗者的时代###（填写时代的定位）</t>
  </si>
  <si>
    <t>奋斗的双重关键作用</t>
  </si>
  <si>
    <t>对个人理想的作用：###人生理想的风帆###要靠奋斗来扬起（填写奋斗作用的方面）</t>
  </si>
  <si>
    <t>对民族使命的作用：###民族复兴的使命###要靠奋斗来实现（填写奋斗作用的另一方面）</t>
  </si>
  <si>
    <t>三、青春、梦想与奋斗的共生关系</t>
  </si>
  <si>
    <t>青春与梦想相伴：###青春总是同梦想相伴###（填写青春与梦想的关系）</t>
  </si>
  <si>
    <t>梦想需奋斗同行：而###梦想需要与奋斗同行###（填写梦想与奋斗的关系）</t>
  </si>
  <si>
    <t>有价值青春回忆的必备条件</t>
  </si>
  <si>
    <t>需激情奋斗：只有进行了###激情奋斗###的青春（填写青春应有的特质之一）</t>
  </si>
  <si>
    <t>需顽强拼搏：只有进行了###顽强拼搏###的青春（填写青春应有的特质之二）</t>
  </si>
  <si>
    <t>需奉献人民：只有为人民作出了###奉献###的青春（填写青春应有的特质之三）</t>
  </si>
  <si>
    <t>回忆的特质：才会留下###充实###、###温暖###、###持久###、###无悔###的青春回忆（填写青春回忆的特质）</t>
  </si>
  <si>
    <t>四、对新时代中国青年的核心要求</t>
  </si>
  <si>
    <t>应担当的三重角色：要勇做走在时代前列的（提示：继续查看下一行填写具体角色）</t>
  </si>
  <si>
    <t>###奋进者###（填写新时代中国青年的角色之一）</t>
  </si>
  <si>
    <t>###开拓者###（填写新时代中国青年的角色之二）</t>
  </si>
  <si>
    <t>###奉献者###（填写新时代中国青年的角色之三）</t>
  </si>
  <si>
    <t>应有的精神与行动姿态</t>
  </si>
  <si>
    <t>无畏挑战：###毫不畏惧面对一切艰难险阻###（填写应有的精神姿态）</t>
  </si>
  <si>
    <t>开拓前进</t>
  </si>
  <si>
    <t>在浪潮中前行：在###劈波斩浪###中开拓前进（填写前进的状态）</t>
  </si>
  <si>
    <t>在荆棘中开辟：在###披荆斩棘###中开辟天地（填写开辟的状态）</t>
  </si>
  <si>
    <t>在困难中创造：在###攻坚克难###中创造业绩（填写创造的状态）</t>
  </si>
  <si>
    <t>最终目标与历史责任</t>
  </si>
  <si>
    <t>激荡复兴浪潮：用青春的###能动力###和###创造力###激荡起民族复兴的澎湃春潮（填写青春的两个力量）</t>
  </si>
  <si>
    <t>书写华彩篇章：书写无愧于###时代###、无愧于###历史###的华彩篇章（填写书写的标准）</t>
  </si>
  <si>
    <t>为什么要弘扬万隆精神</t>
  </si>
  <si>
    <t>一、70年前：万隆精神的历史作用：三大历史性贡献</t>
  </si>
  <si>
    <t>促进团结合作：有力促进了###亚非国家的团结与合作###（填写万隆精神的历史作用之一）</t>
  </si>
  <si>
    <t>推动民族解放：推动了###世界范围民族解放运动###的蓬勃发展（填写万隆精神的历史作用之二）</t>
  </si>
  <si>
    <t>开启南南合作：开启了###南南合作###的历史进程（填写万隆精神的历史作用之三）</t>
  </si>
  <si>
    <t>二、70年后：当今世界的变局与挑战</t>
  </si>
  <si>
    <t>“全球南方”的崛起与力量调整</t>
  </si>
  <si>
    <t>群体性崛起：###“全球南方”###正在群体性崛起（填写当前国际力量变化的特点）</t>
  </si>
  <si>
    <t>深刻调整：###国际力量对比###正在发生深刻调整（填写当前国际格局的变化）</t>
  </si>
  <si>
    <t>面临的突出问题与赤字</t>
  </si>
  <si>
    <t>三大主义上升</t>
  </si>
  <si>
    <t>###单边主义###（填写当前世界面临的主义之一）</t>
  </si>
  <si>
    <t>###保护主义###（填写当前世界面临的主义之二）</t>
  </si>
  <si>
    <t>###霸凌主义###（填写当前世界面临的主义之三）</t>
  </si>
  <si>
    <t>四大赤字涌现</t>
  </si>
  <si>
    <t>###和平赤字###（填写当前世界面临的赤字之一）</t>
  </si>
  <si>
    <t>###发展赤字###（填写当前世界面临的赤字之二）</t>
  </si>
  <si>
    <t>###安全赤字###（填写当前世界面临的赤字之三）</t>
  </si>
  <si>
    <t>###治理赤字###（填写当前世界面临的赤字之四）</t>
  </si>
  <si>
    <t>三、新的历史起点：弘扬万隆精神的时代必要性</t>
  </si>
  <si>
    <t>弘扬精神的双重性质</t>
  </si>
  <si>
    <t>顺应方向与潮流：是顺应###国际关系发展正确方向###和###时代潮流###的必然要求（填写弘扬万隆精神的两个依据）</t>
  </si>
  <si>
    <t>应对挑战与需要：是应对###当前全球性挑战###、共建###更加美好世界###的客观需要（填写弘扬万隆精神的现实需要）</t>
  </si>
  <si>
    <t>全球南方崛起的背景下</t>
  </si>
  <si>
    <t>南南国家的团结努力</t>
  </si>
  <si>
    <t>加强合作：###亚非拉国家###正在加强团结合作（填写南南国家的主体）</t>
  </si>
  <si>
    <t>改变秩序：努力改变###不合理的国际政治经济秩序###和###国际格局###（填写南南国家的努力方向）</t>
  </si>
  <si>
    <t>弘扬精神与目标的紧迫性</t>
  </si>
  <si>
    <t>比以往更需精神：我们比以往任何时候都更加需要弘扬###万隆精神###（填写当前需要弘扬的精神）</t>
  </si>
  <si>
    <t>朝共同目标努力：更加需要朝着构建###人类命运共同体###的崇高目标不懈努力（填写努力的目标）</t>
  </si>
  <si>
    <t>全球南方如何弘扬万隆精神</t>
  </si>
  <si>
    <t>一、全球南方的壮大及其多维作用</t>
  </si>
  <si>
    <t>总体时代定位:当今时代，###全球南方###卓然壮大（填写当今壮大的国际力量）</t>
  </si>
  <si>
    <t>同时推进的双重使命</t>
  </si>
  <si>
    <t>巩固自身：在巩固###独立成果###的同时（填写全球南方的使命之一）</t>
  </si>
  <si>
    <t>赋能世界：致力于赋能###世界和平稳定###，促进###各国共同繁荣###（填写全球南方的使命之二）</t>
  </si>
  <si>
    <t>推动国际关系与秩序变革</t>
  </si>
  <si>
    <t>构建新型关系：构建###合作共赢的新型国际关系###（填写全球南方推动的关系类型）</t>
  </si>
  <si>
    <t>推动秩序公正：推动###国际秩序###更加公正合理（填写全球南方推动变革的对象）</t>
  </si>
  <si>
    <t>精神传承的中坚力量：成为弘扬###万隆精神###的中坚力量（填写全球南方在精神传承中的角色）</t>
  </si>
  <si>
    <t>二、构建人类命运共同体：对万隆精神的传承发扬</t>
  </si>
  <si>
    <t>本质界定：推动构建###人类命运共同体###（填写新时代的奋斗目标）</t>
  </si>
  <si>
    <t>与精神的关系：是新时代对###万隆精神###的伟大传承和发扬（填写被传承发扬的精神）</t>
  </si>
  <si>
    <t>三、全球南方的“四种力量”定位与共同目标</t>
  </si>
  <si>
    <t>总体定位要求：“全球南方”要做</t>
  </si>
  <si>
    <t>四种核心力量的具体角色</t>
  </si>
  <si>
    <t>稳定力量：维护###和平###的稳定力量（填写全球南方的角色之一及其作用领域）</t>
  </si>
  <si>
    <t>中坚力量：###开放发展###的中坚力量（填写全球南方的角色之二及其作用领域）</t>
  </si>
  <si>
    <t>建设力量：###全球治理###的建设力量（填写全球南方的角色之三及其作用领域）</t>
  </si>
  <si>
    <t>促进力量：###文明互鉴###的促进力量（填写全球南方的角色之四及其作用领域）</t>
  </si>
  <si>
    <t>行动的终极目标：推动构建人类命运共同体</t>
  </si>
  <si>
    <t>坚持问题导向、增强问题意识</t>
  </si>
  <si>
    <t>一、矛盾的普遍性与问题意识的关系</t>
  </si>
  <si>
    <t>矛盾的普遍存在：马克思主义认为，###矛盾是普遍存在的###（填写马克思主义的基本观点）</t>
  </si>
  <si>
    <t>问题的本质与作用</t>
  </si>
  <si>
    <t>###问题是时代的声音###（填写问题的本质之一）</t>
  </si>
  <si>
    <t>是###矛盾###的集中体现（填写问题的本质之二）</t>
  </si>
  <si>
    <t>发现了问题就等于抓住了事物的###矛盾###（填写发现问题与矛盾的关系）</t>
  </si>
  <si>
    <t>强调问题意识与导向的实质</t>
  </si>
  <si>
    <t>承认矛盾的客观性</t>
  </si>
  <si>
    <t>我们强调###增强问题意识###、###坚持问题导向###（填写两个强调的要求）</t>
  </si>
  <si>
    <t>就是承认矛盾的###普遍性###、###客观性###（填写矛盾的两个属性）</t>
  </si>
  <si>
    <t>将矛盾作为突破口：就是要善于把###认识和化解矛盾###作为打开工作局面的突破口（填写工作的关键）</t>
  </si>
  <si>
    <t>二、坚持问题导向的具体实践要求</t>
  </si>
  <si>
    <t>总体要求：###坚持问题导向###（填写实践的总要求）</t>
  </si>
  <si>
    <t>第一阶段：意识与发现</t>
  </si>
  <si>
    <t>不仅要###增强问题意识###（填写第一阶段要求之一）</t>
  </si>
  <si>
    <t>还要###善于发现问题###（填写第一阶段要求之二）</t>
  </si>
  <si>
    <t>###敢于正视问题###（填写第一阶段要求之三）</t>
  </si>
  <si>
    <t>第二阶段：分析与化解</t>
  </si>
  <si>
    <t>不仅要###科学分析###（填写第二阶段要求之一）</t>
  </si>
  <si>
    <t>还要###深入研究###（填写第二阶段要求之二）</t>
  </si>
  <si>
    <t>更要</t>
  </si>
  <si>
    <t>###勇于触及矛盾###（填写第二阶段要求之三）</t>
  </si>
  <si>
    <t>###长于化解矛盾###（填写第二阶段要求之四）</t>
  </si>
  <si>
    <t>第三阶段：运用科学思维方法</t>
  </si>
  <si>
    <t>要善于灵活运用（提示：继续查看下一行填写具体思维方法）</t>
  </si>
  <si>
    <t>###辩证思维###（填写科学思维方法之一）</t>
  </si>
  <si>
    <t>###创新思维###（填写科学思维方法之二）</t>
  </si>
  <si>
    <t>等###科学思维方法###（填写思维方法的类别）</t>
  </si>
  <si>
    <t>解决各种###复杂问题###（填写思维方法要解决的问题类型）</t>
  </si>
  <si>
    <t>屏幕中的形式主义</t>
  </si>
  <si>
    <t>一、核心范畴：内容与形式的定义</t>
  </si>
  <si>
    <t>内容的定义：内容指###构成事物的一切要素的总和###（填写内容的定义）</t>
  </si>
  <si>
    <t>形式的定义：形式指###把诸要素统一起来的结构或表现内容的方式###（填写形式的定义）</t>
  </si>
  <si>
    <t>二、内容与形式的基本关系</t>
  </si>
  <si>
    <t>内容形式的统一性：任何事物都是###内容与形式的统一###（填写事物的基本特征）</t>
  </si>
  <si>
    <t>内容对形式的决定作用</t>
  </si>
  <si>
    <t>基础性地位：###内容###是事物存在的基础（填写事物的基础）</t>
  </si>
  <si>
    <t>决定性作用：对###形式###具有决定作用（填写内容的作用对象）</t>
  </si>
  <si>
    <t>形式对内容的反作用</t>
  </si>
  <si>
    <t>适合的积极作用：###适合内容###的形式，对内容的发展起积极的推动作用（填写形式的积极条件）</t>
  </si>
  <si>
    <t>不适合的消极作用：###不适合内容###的形式，对内容的发展起消极的阻碍作用（填写形式的消极条件）</t>
  </si>
  <si>
    <t>三、认识与实践中的指导原则</t>
  </si>
  <si>
    <t>根本原理：要根据###内容决定形式###的原理（填写认识与实践的根本原理）</t>
  </si>
  <si>
    <t>具体要求</t>
  </si>
  <si>
    <t>注重内容：注重事物的###内容###（填写认识与实践的要求之一）</t>
  </si>
  <si>
    <t>反对形式主义：反对###忽视内容###、###夸大形式作用###的形式主义（填写形式主义的两种表现）</t>
  </si>
  <si>
    <t>组相连时，Cache的索引就是Cache的组号### ###</t>
  </si>
  <si>
    <t>全相联映射没有索引，每一Cache块可能是任意主存块</t>
  </si>
  <si>
    <t>直接映射=路数为1的组相连</t>
  </si>
  <si>
    <t>因此Cache索引依然是组号（块地址的低位，和组相连一样）</t>
  </si>
  <si>
    <t>以太网最短帧长是固定64B，无论10Base还是100Base### ###</t>
  </si>
  <si>
    <t>另外，Base对应XMbps</t>
  </si>
  <si>
    <t>注意，int x; x=0xFF是省略了高位的000000H，实际上是000000FFH### ###</t>
  </si>
  <si>
    <t>用户栈（函数栈）只保存函数内的局部变量和出入参### ###</t>
  </si>
  <si>
    <t>代码统一都在代码段，不会在用户栈里</t>
  </si>
  <si>
    <t>大侠散（吃了就当反常积分大侠）### ###</t>
  </si>
  <si>
    <t>大：指数增大，1到无穷</t>
  </si>
  <si>
    <t>侠：通瑕，指瑕积分，即积分限0到a</t>
  </si>
  <si>
    <t>散：发散，当指数增大，积分发散</t>
  </si>
  <si>
    <t>无穷大收敛（乾坤大挪移？）### ###</t>
  </si>
  <si>
    <t>无穷：无穷限积分</t>
  </si>
  <si>
    <t>大：指数增大，1以上（不包括1）到无穷</t>
  </si>
  <si>
    <t>收敛：略</t>
  </si>
  <si>
    <t>一阳指（阳=发散）### ###</t>
  </si>
  <si>
    <t>一：指数为1</t>
  </si>
  <si>
    <t>阳：发散（太阳发光-&gt;发散）</t>
  </si>
  <si>
    <t>指：指数部分</t>
  </si>
  <si>
    <t>数列xn被一个偶函数套上变成f(xn)### ###</t>
  </si>
  <si>
    <t>f(xn)的极限存在不能保证xn的极限存在</t>
  </si>
  <si>
    <t>如果xn的极限是一对相反数震荡，那么也能使f(xn)收敛</t>
  </si>
  <si>
    <t>向量组等价的切入点### ###</t>
  </si>
  <si>
    <t>向量组等价：双方的每一个成员向量都可以被对方向量线性表示</t>
  </si>
  <si>
    <t>那么写成ai=k1b1+k2b2+...knbn</t>
  </si>
  <si>
    <t>列出非齐次线性方程B*k=ai，转化为解的存在性问题</t>
  </si>
  <si>
    <t>即r(B,ai)是否等于r(B)</t>
  </si>
  <si>
    <t>通过混有参数的行初等变换，将[B,ai]化为行最简形</t>
  </si>
  <si>
    <t>观察ai所在列的“阶梯”高度是否超出B的总高度</t>
  </si>
  <si>
    <t>发展新质生产力是推动高质量发展的内在要求和重要着力点</t>
  </si>
  <si>
    <t>一、高质量发展的核心要义</t>
  </si>
  <si>
    <t>本质与理念基础：高质量发展是###体现新发展理念的发展###（填写高质量发展的本质）</t>
  </si>
  <si>
    <t>与传统发展模式的对比</t>
  </si>
  <si>
    <t>传统模式的侧重：与传统发展理论重点关注###经济总量增长###相比（填写传统发展理论的关注点）</t>
  </si>
  <si>
    <t>高质量发展的拓展：高质量发展拓展了发展的###内容###和###层次###（填写高质量发展的拓展方面）</t>
  </si>
  <si>
    <t>提出的更高要求：对发展的###质量###和###水平###提出了更高的要求（填写高质量发展的要求方面）</t>
  </si>
  <si>
    <t>实现的必要路径：实现高质量发展，必须优化###经济结构###，培育###新的增长动力###（填写高质量发展的实现路径）</t>
  </si>
  <si>
    <t>与新质生产力的关系：###新质生产力###的形成和发展恰与之相契合（填写与高质量发展相契合的概念）</t>
  </si>
  <si>
    <t>二、第一：新质生产力是创新主导的生产力</t>
  </si>
  <si>
    <t>核心特征</t>
  </si>
  <si>
    <t>创新起主导作用：新质生产力是###创新起主导作用###的生产力（填写新质生产力的核心特征）</t>
  </si>
  <si>
    <t>摆脱传统路径：摆脱了###传统经济增长方式###和###生产力发展路径###（填写新质生产力摆脱的对象）</t>
  </si>
  <si>
    <t>具体特征：具有###高科技###、###高效能###、###高质量###等特征（填写新质生产力的具体特征）</t>
  </si>
  <si>
    <t>催生新动能：能够催生###新产业###、###新模式###、###新动能###（填写新质生产力催生的三个方面）</t>
  </si>
  <si>
    <t>推动经济发展：因而更有助于持续推动经济实现###质的有效提升###和###量的合理增长###（填写新质生产力推动经济发展的双重目标）</t>
  </si>
  <si>
    <t>三、第二：新质生产力以全要素跃升为核心</t>
  </si>
  <si>
    <t>基本内涵：以###劳动者###、###劳动资料###、###劳动对象###及其优化组合的跃升为基本内涵（填写新质生产力的基本要素）</t>
  </si>
  <si>
    <t>核心标志：以###全要素生产率大幅提升###为核心标志（填写新质生产力的核心标志）</t>
  </si>
  <si>
    <t>带来的积极影响</t>
  </si>
  <si>
    <t>促进技术应用：有助于以###数字技术###为代表的新兴技术的广泛应用（填写新兴技术的代表）</t>
  </si>
  <si>
    <t>加快强国建设：加快###科技强国###、###网络强国###建设步伐（填写加快建设的强国类型）</t>
  </si>
  <si>
    <t>推动民生与共富：并促进###民生建设###和推动###全体人民共同富裕###取得新的实质性进展（填写新质生产力推动的两个方面）</t>
  </si>
  <si>
    <t>四、第三：新质生产力是绿色生产力</t>
  </si>
  <si>
    <t>本质属性与特点</t>
  </si>
  <si>
    <t>绿色生产力：新质生产力本身就是###绿色生产力###（填写新质生产力的本质属性）</t>
  </si>
  <si>
    <t>具体特点：具有###绿色化###、###低碳化###和###智能化###的特点（填写新质生产力的三个特点）</t>
  </si>
  <si>
    <t>在绿色发展中的重要作用</t>
  </si>
  <si>
    <t>作用范围</t>
  </si>
  <si>
    <t>###做强绿色制造业###（填写绿色发展的重要领域之一）</t>
  </si>
  <si>
    <t>###发展绿色服务业###（填写绿色发展的重要领域之二）</t>
  </si>
  <si>
    <t>###壮大绿色能源产业###（填写绿色发展的重要领域之三）</t>
  </si>
  <si>
    <t>###构建绿色低碳循环经济体系###（填写绿色发展的重要领域之四）</t>
  </si>
  <si>
    <t>等方面</t>
  </si>
  <si>
    <t>发挥重要作用</t>
  </si>
  <si>
    <t>科技创新和产业创新是发展新质生产力的基本路径</t>
  </si>
  <si>
    <t>第一：科技创新的核心驱动地位</t>
  </si>
  <si>
    <t>根本作用：科技创新能够催生###新产业###、###新模式###、###新动能###（填写科技创新的作用）</t>
  </si>
  <si>
    <t>核心定位与要求</t>
  </si>
  <si>
    <t>是核心要素：是发展###新质生产力###的核心要素（填写科技创新的定位）</t>
  </si>
  <si>
    <t>必驱动升级：必须以###科技创新###驱动生产力迭代升级（填写驱动生产力升级的力量）</t>
  </si>
  <si>
    <t>第二：产业创新的双重路径与定位</t>
  </si>
  <si>
    <t>总体要求：产业创新要求以下路径并重（提示：继续查看下一行填写具体路径）</t>
  </si>
  <si>
    <t>具体路径一：###改造升级传统产业###（填写产业创新的路径之一）</t>
  </si>
  <si>
    <t>定位与作用：###传统产业优化升级###是形成新质生产力的重要支撑和途径（填写传统产业升级的定位）</t>
  </si>
  <si>
    <t>具体路径二：###开辟新兴产业与未来产业###（填写产业创新的路径之二）</t>
  </si>
  <si>
    <t>战略性新兴产业的定位：###战略性新兴产业###是形成新质生产力的主阵地（填写战略性新兴产业的定位）</t>
  </si>
  <si>
    <t>未来产业的定位：###未来产业###是全球创新版图和经济格局变迁中最活跃的力量（填写未来产业的定位）</t>
  </si>
  <si>
    <t>第三：科技创新与产业创新的互动关系</t>
  </si>
  <si>
    <t>科技创新对产业创新的作用</t>
  </si>
  <si>
    <t>内生动力：###科技创新###是产业创新的内生动力（填写产业创新的动力来源）</t>
  </si>
  <si>
    <t>核心动力：是###产业升级###的核心动力（填写科技创新的作用领域）</t>
  </si>
  <si>
    <t>产业创新对科技创新的作用</t>
  </si>
  <si>
    <t>提供场景与空间：产业创新则为科技创新提供###广阔应用场景###和###市场空间###（填写产业创新对科技创新的两个作用）</t>
  </si>
  <si>
    <t>实现价值：是###科技创新###的价值实现（填写产业创新对科技创新的作用）</t>
  </si>
  <si>
    <t>二者的辩证关系与共同目标</t>
  </si>
  <si>
    <t>相互依存促进：二者###相互依存###、###相互促进###（填写科技创新与产业创新的关系）</t>
  </si>
  <si>
    <t>共同推动进步：共同推动###科技进步###和###产业升级###（填写科技创新与产业创新共同推动的两个方面）</t>
  </si>
  <si>
    <t>同为基本路径：都是发展###新质生产力###的基本路径（填写科技创新与产业创新的共同目标）</t>
  </si>
  <si>
    <t>党的七大（1945年，六届七中后）</t>
  </si>
  <si>
    <t>一、党在三大方面走向成熟</t>
  </si>
  <si>
    <t>政治上：实现###空前统一与团结###（填写党的七大在政治上的成就）</t>
  </si>
  <si>
    <t>通过整风达成团结：通过###延安整风###，使全党团结在###毛泽东旗帜###下，实现空前统一与团结。（填写实现团结的途径和核心）</t>
  </si>
  <si>
    <t>大会的历史定位：党的七大以###团结的大会###、###胜利的大会###载入史册。（填写七大的历史定位）</t>
  </si>
  <si>
    <t>思想上：确立###毛泽东思想###的指导地位（填写党的七大在思想上的成就）</t>
  </si>
  <si>
    <t>核心决策：党确立了###毛泽东思想###在全党的指导地位。（填写党的七大的核心决策）</t>
  </si>
  <si>
    <t>历史性贡献：把###毛泽东思想###确立为指导思想并写入党章，这是七大的历史性贡献。（填写七大的历史性贡献内容）</t>
  </si>
  <si>
    <t>组织上：形成###坚强的领导核心###（填写党的七大在组织上的成就）</t>
  </si>
  <si>
    <t>集团的形成：党形成了一支高举###毛泽东旗帜###的久经考验的政治家集团。（填写政治家集团的特征）</t>
  </si>
  <si>
    <t>二、七大对革命经验的总结与指引</t>
  </si>
  <si>
    <t>总结历史与制定方略</t>
  </si>
  <si>
    <t>总结历史经验：总结###新民主主义革命20多年曲折发展###的历史经验。（填写总结的经验时期）</t>
  </si>
  <si>
    <t>制定正确纲领：制定了正确的###路线###、###纲领###和###策略###。（填写制定的三个内容）</t>
  </si>
  <si>
    <t>概括作风与强调意识</t>
  </si>
  <si>
    <t>概括三大作风：把党在长期奋斗中形成的优良作风概括为###三大作风###。（填写概括的作风数量）</t>
  </si>
  <si>
    <t>强调看齐意识：强调###看齐意识###。（填写强调的意识类型）</t>
  </si>
  <si>
    <t>明确规律与指引未来</t>
  </si>
  <si>
    <t>明确革命规律：使全党特别是高级干部对###中国民主革命的发展规律###有了比较明确的认识。（填写明确的认识对象）</t>
  </si>
  <si>
    <t>指明胜利方向：为党后来不断从胜利走向胜利指明了###正确方向###、开辟了###正确道路###。（填写指明和开辟的内容）</t>
  </si>
  <si>
    <t>八大的正确路线</t>
  </si>
  <si>
    <t>第一：正确分析形势与明确主要任务</t>
  </si>
  <si>
    <t>分析核心变化：正确分析###国内形势###和###主要矛盾###的变化。（填写分析的两个方面）</t>
  </si>
  <si>
    <t>明确中心任务：明确新形势下###党和人民的主要任务###。（填写明确的内容）</t>
  </si>
  <si>
    <t>第二：确立经济建设方针与探索改革</t>
  </si>
  <si>
    <t>坚持经济建设方针：方针内容：坚持###既反保守又反冒进###，在###综合平衡中稳步前进###的方针。（填写经济建设方针的两个要点）</t>
  </si>
  <si>
    <t>理论突破与改革尝试</t>
  </si>
  <si>
    <t>肯定重要思想：肯定###"三个主体，三个补充"思想###。（填写肯定的重要思想）</t>
  </si>
  <si>
    <t>尝试的意义</t>
  </si>
  <si>
    <t>突破模式：是在理论上突破###苏联计划经济模式###。（填写突破的模式）</t>
  </si>
  <si>
    <t>探索改革：探索###经济体制改革###的重要尝试。（填写探索的改革类型）</t>
  </si>
  <si>
    <t>提出工业体系建设战略设想</t>
  </si>
  <si>
    <t>时间框架：提出在###三个五年计划或稍长时间内###（填写工业体系建设的时间框架）</t>
  </si>
  <si>
    <t>战略目标：建成一个###基本完整的工业体系###（填写工业体系建设的战略目标）</t>
  </si>
  <si>
    <t>蓝图作用：为全国人民描绘了###社会主义发展###的宏伟蓝图（填写描绘的蓝图内容）</t>
  </si>
  <si>
    <t>第三：政治建设上的主张</t>
  </si>
  <si>
    <t>核心主张</t>
  </si>
  <si>
    <t>###扩大社会主义民主###（填写八大在政治建设上的主张之一）</t>
  </si>
  <si>
    <t>###健全社会主义法制###（填写八大在政治建设上的主张之二）</t>
  </si>
  <si>
    <t>法治要求</t>
  </si>
  <si>
    <t>有法可依：使党和政府的活动做到###"有法可依"###（填写法治要求之一）</t>
  </si>
  <si>
    <t>有法必依：和###"有法必依"###（填写法治要求之二）</t>
  </si>
  <si>
    <t>第四：制定首部执政后党章</t>
  </si>
  <si>
    <t>八大通过的新党章是中国共产党在###全国执政以后###制定的第一部党章（填写制定党章的时间背景）</t>
  </si>
  <si>
    <t>总结：会议的创造性成果与长远意义</t>
  </si>
  <si>
    <t>富于创造精神：八大提出的许多###新方针###和###新设想###是富于创造精神的（填写八大提出的两个方面）</t>
  </si>
  <si>
    <t>探索的起点与成果</t>
  </si>
  <si>
    <t>历史起点高：对###中国建设社会主义道路###的探索，站在比较高的历史起点上（填写探索的对象）</t>
  </si>
  <si>
    <t>###取得初步成果###（填写八大探索的成果）</t>
  </si>
  <si>
    <t>长远重要意义：对于###党和国家事业发展###具有长远的重要意义（填写具有长远意义的事业）</t>
  </si>
  <si>
    <t>定积分比大小，被积函数为分式的情况### ###</t>
  </si>
  <si>
    <t>NA/DA和NB/DB比大小时，尝试使用中间值NA/DB或者NB/DA</t>
  </si>
  <si>
    <t>先比较NA/DA和NA/DB（或者NB/DA），比较简化为1/DA和1/DB的比较</t>
  </si>
  <si>
    <t>然后再比较NB/DB和NA/DB（或者NB/DA），比较简化为NB和NA的比较</t>
  </si>
  <si>
    <t>如果两次比较不能看出NA/DA和NB/DB大小关系，中间值的分子、分母重新选取再试一次</t>
  </si>
  <si>
    <t>p指向的节点是指代码中的p，p-&gt;next是指p的后继节点### ###</t>
  </si>
  <si>
    <t>前缀后缀（波兰、逆波兰）表达式和运算表达式树### ###</t>
  </si>
  <si>
    <t>首先按照优先级把表达式建树</t>
  </si>
  <si>
    <t>优先级最低的为根，优先级越高，越靠近叶子节点</t>
  </si>
  <si>
    <t>同等优先级的，按左到右的运算顺序排列</t>
  </si>
  <si>
    <t>操作数按照左右顺序设为运算节点的左右子树</t>
  </si>
  <si>
    <t>然后，二叉树前序遍历即前缀表达式，后序遍历即后缀表达式</t>
  </si>
  <si>
    <t>中序遍历即中缀表达式，就是日常使用的表达式</t>
  </si>
  <si>
    <t>和栈的关系：</t>
  </si>
  <si>
    <t>后缀表达式的求值就是堆栈计算器</t>
  </si>
  <si>
    <t>每碰到一个运算符弹两个操作数</t>
  </si>
  <si>
    <t>结果压回堆栈</t>
  </si>
  <si>
    <t>前缀表达式的求值是右往左扫，和后缀相反</t>
  </si>
  <si>
    <t>注意，KMP的next/nextval元素-1指的是模式串要整体移动到主串指针的右侧### ###</t>
  </si>
  <si>
    <t>也就是跳过当前主串指针所指字符的比较（模式串里没有匹配得了的）</t>
  </si>
  <si>
    <t>这种情况下，移动距离是原本比较的模式串字符下标（从0开始）减next/nextval的值</t>
  </si>
  <si>
    <t>例如：当下标4元素失配查找nextval[4]=-1，那么模式串右滑距离就是4-(-1)=5</t>
  </si>
  <si>
    <t>同等数据表示范围的情况下，优先选整型，然后才是浮点数### ###</t>
  </si>
  <si>
    <t>SYN不能夹带应用层数据，但是FIN可以### ###</t>
  </si>
  <si>
    <t>HTTP1.0默认非持久，连接耗时不加挥手的部分### ###</t>
  </si>
  <si>
    <t>为什么？我他妈哪里知道？妈的</t>
  </si>
  <si>
    <t>其它情况，包括HTTP1.1默认KeepAlive都需要算</t>
  </si>
  <si>
    <t>除非题目说，到收到数据（HTTP响应）为止</t>
  </si>
  <si>
    <t>计组大题的一些注意事项### ###</t>
  </si>
  <si>
    <t>注意地址增长方向，注意地址增长间隔</t>
  </si>
  <si>
    <t>注意数据的大小端，配合地址增长方向来看</t>
  </si>
  <si>
    <t>IP分组的初始TTL值设置依据是AS的规模### ###</t>
  </si>
  <si>
    <t>AS内有n个路由器，跳数就是n+1</t>
  </si>
  <si>
    <t>认识和对待传统美德</t>
  </si>
  <si>
    <t>一、六尺巷故事的核心价值</t>
  </si>
  <si>
    <t>具体体现：六尺巷的故事体现了###“推崇仁爱原则，注重以和为贵”的中华传统美德###。（填写故事体现的美德内容）</t>
  </si>
  <si>
    <t>美德的深远影响：融入民族特质</t>
  </si>
  <si>
    <t>思维方式的融入：在历史发展中，中华传统美德已深入全民族的###思维方式###。（填写美德融入的方面之一）</t>
  </si>
  <si>
    <t>价值观念的融入：深入###价值观念###。（填写美德融入的方面之二）</t>
  </si>
  <si>
    <t>行为方式的融入：深入###行为方式###。（填写美德融入的方面之三）</t>
  </si>
  <si>
    <t>风俗习惯的融入：深入###风俗习惯###之中。（填写美德融入的方面之四）</t>
  </si>
  <si>
    <t>当代价值与要求</t>
  </si>
  <si>
    <t>具有重要的当代价值</t>
  </si>
  <si>
    <t>应当自觉实践</t>
  </si>
  <si>
    <t>继承弘扬美德：应当自觉继承并弘扬###中华传统美德###。（填写继承弘扬的对象）</t>
  </si>
  <si>
    <t>锤炼提升品格：在崇德向善的实践中不断锤炼###道德品格###、提升###道德境界###。（填写锤炼提升的两个方面）</t>
  </si>
  <si>
    <t>二、中华传统美德的精髓与现实作用</t>
  </si>
  <si>
    <t>本质界定：中华传统美德是###中华文化的精髓###。（填写中华传统美德的本质）</t>
  </si>
  <si>
    <t>资源属性：蕴含着丰富的###思想道德资源###。（填写中华传统美德蕴含的资源类型）</t>
  </si>
  <si>
    <t>蕴含智慧的多重启示</t>
  </si>
  <si>
    <t>对道德建设的启示：为今天的###道德建设###提供有益启发。（填写提供启示的领域）</t>
  </si>
  <si>
    <t>对治国理政的启示：为###治国理政###提供有益启示。（填写提供启示的另一领域）</t>
  </si>
  <si>
    <t>对解决道德难题的启示：为解决###当代人类面临的道德难题###提供重要启迪。（填写提供启迪的问题）</t>
  </si>
  <si>
    <t>对青年成长的滋养：为###当代青年的成长###提供宝贵的精神营养。（填写滋养的对象）</t>
  </si>
  <si>
    <t>三、对美德的挖掘、阐发与创造性发展</t>
  </si>
  <si>
    <t>核心任务：要加强对###中华优秀传统美德###的挖掘和阐发。（填写挖掘阐发的对象）</t>
  </si>
  <si>
    <t>发展目标：努力实现中华传统美德的###创造性转化###、###创新性发展###。（填写发展的两个方向）</t>
  </si>
  <si>
    <t>核心作用：用###中华传统美德###滋养###社会主义道德建设###。（填写滋养的主体和对象）</t>
  </si>
  <si>
    <t>四、结合时代要求的实践标准与目标</t>
  </si>
  <si>
    <t>结合时代要求</t>
  </si>
  <si>
    <t>遵循三大“有利于”标准</t>
  </si>
  <si>
    <t>标准一：推动事业：按照是否有利于推动###中国特色社会主义事业###的标准。（填写第一个标准）</t>
  </si>
  <si>
    <t>标准二：建设体系：是否有利于建设###社会主义道德体系###的标准。（填写第二个标准）</t>
  </si>
  <si>
    <t>标准三：培育价值观：是否有利于培育和践行###社会主义核心价值观###的标准。（填写第三个标准）</t>
  </si>
  <si>
    <t>最终目标</t>
  </si>
  <si>
    <t>彰显价值魅力：充分彰显中华传统美德的###时代价值###和###永恒魅力###。（填写彰显的两个方面）</t>
  </si>
  <si>
    <t>实现融合贯通</t>
  </si>
  <si>
    <t>与现代文化相融：使之与###现代文化###相融相通。（填写融合的对象之一）</t>
  </si>
  <si>
    <t>与现实生活相融：与###现实生活###相融相通。（填写融合的对象之二）</t>
  </si>
  <si>
    <t>成为精神标识：成为全体人民###精神生活###、###道德实践###的鲜明标识。（填写两个领域）</t>
  </si>
  <si>
    <t>人生追求</t>
  </si>
  <si>
    <t>一、谷文昌同志的榜样：为官一任，造福一方</t>
  </si>
  <si>
    <t>行为：谷文昌同志###“为官一任，造福一方”###。（填写谷文昌同志的行为）</t>
  </si>
  <si>
    <t>展现的追求：展现了###“服务人民、奉献社会”###的高尚人生追求。（填写展现的人生追求）</t>
  </si>
  <si>
    <t>二、高尚人生目的的核心特征</t>
  </si>
  <si>
    <t>与奋斗奉献紧密联系：高尚的人生目的总是与###奋斗奉献###联系在一起。（填写与人生目的联系的内容）</t>
  </si>
  <si>
    <t>实现高尚目的的根本条件</t>
  </si>
  <si>
    <t>与国家民族人民联系：只有把自己的人生目的与###国家前途###、###民族命运###、###人民幸福###联系在一起（填写联系的三方面）</t>
  </si>
  <si>
    <t>自觉奉献一生：才能自觉自愿地把自己的一生奉献于###利国利民的事业###（填写奉献的事业性质）</t>
  </si>
  <si>
    <t>三、服务人民、奉献社会思想的先进性与指引性</t>
  </si>
  <si>
    <t>思想的品质与地位</t>
  </si>
  <si>
    <t>科学高尚的品质：###服务人民、奉献社会的思想###以其科学而高尚的品质（填写思想的名称）</t>
  </si>
  <si>
    <t>代表最先进追求：代表了人类社会迄今最先进的###人生追求###（填写代表的追求）</t>
  </si>
  <si>
    <t>思想的指导作用：指明了人在成长和发展过程中应确立的###人生目标###和###方向###（填写指明的两个方面）</t>
  </si>
  <si>
    <t>四、对新时代青年的号召与要求</t>
  </si>
  <si>
    <t>学习榜样：新时代青年要向###谷文昌同志###学习（填写学习的榜样）</t>
  </si>
  <si>
    <t>确立最高追求：把###为国家和人民事业无私奉献###作为人生的最高追求（填写人生的最高追求）</t>
  </si>
  <si>
    <t>收获与成长：在###服务人民、奉献社会###中收获成长和进步（填写收获成长的途径）</t>
  </si>
  <si>
    <t>周边工作的重要性</t>
  </si>
  <si>
    <t>一、周边地区的全局重要性</t>
  </si>
  <si>
    <t>基于国情的基本事实</t>
  </si>
  <si>
    <t>地理特征：中国###幅员辽阔###（填写地理特征）</t>
  </si>
  <si>
    <t>边界特点：###边界线长###（填写边界特点）</t>
  </si>
  <si>
    <t>周边地区的四大战略定位</t>
  </si>
  <si>
    <t>发展繁荣的基础：周边是实现###发展繁荣###的重要基础（填写第一个战略定位）</t>
  </si>
  <si>
    <t>国家安全的重点：是维护###国家安全###的重点（填写第二个战略定位）</t>
  </si>
  <si>
    <t>外交全局的首要：是运筹###外交全局###的首要（填写第三个战略定位）</t>
  </si>
  <si>
    <t>命运共同体的关键：是推动构建###人类命运共同体###的关键（填写第四个战略定位）</t>
  </si>
  <si>
    <t>二、将自身发展与周边对接互促</t>
  </si>
  <si>
    <t>对接的根本方向</t>
  </si>
  <si>
    <t>与人民愿望对接：中国始终将自身发展同###周边各国人民过上美好生活的愿望###对接（填写对接的对象）</t>
  </si>
  <si>
    <t>与地区前景对接：同###地区发展前景###对接（填写对接的另一对象）</t>
  </si>
  <si>
    <t>追求的互促效果：让###中国高质量发展###与###良好周边环境###相互促进、相得益彰（填写互促的两个方面）</t>
  </si>
  <si>
    <t>三、当前周边关系的阶段性特征</t>
  </si>
  <si>
    <t>处于历史最好时期：当前中国同周边关系处于###近代以来最好的时期###（填写关系的时期特征）</t>
  </si>
  <si>
    <t>进入深度联动新阶段：同时也进入###周边格局和世界变局深度联动###的重要阶段（填写阶段特征）</t>
  </si>
  <si>
    <t>四、全球南方崛起与区域联动</t>
  </si>
  <si>
    <t>全球南方的崛起及其力量：###全球南方###群体性崛起（填写崛起的力量）</t>
  </si>
  <si>
    <t>崛起的作用：成为推动###多极化发展###的重要力量（填写推动的发展方向）</t>
  </si>
  <si>
    <t>中国周边的区域特征：中国周边是###全球南方国家###集中的地区（填写集中的国家类型）</t>
  </si>
  <si>
    <t>五、中国的区域合作机制创新</t>
  </si>
  <si>
    <t>行动核心：中国不断创新###区域合作机制###（填写创新的内容）</t>
  </si>
  <si>
    <t>创新目的：为地区###团结###、###开放###和###进步###提供新助力（填写提供助力的三个目标）</t>
  </si>
  <si>
    <t>六、扎根周边、贡献周边的中国作为</t>
  </si>
  <si>
    <t>复杂形势下的不变承诺：在国际形势日趋复杂的当下，中国一如既往###扎根周边###、###贡献周边###（填写两个不变承诺）</t>
  </si>
  <si>
    <t>致力于构建周边命运共同体</t>
  </si>
  <si>
    <t>核心目标：致力于推动构建###周边命运共同体###（填写核心目标）</t>
  </si>
  <si>
    <t>携手实现发展：携手周边国家实现###共同发展###（填写发展目标）</t>
  </si>
  <si>
    <t>为世界注入正能量：为动荡不安的世界注入了###正能量###（填写注入的力量）</t>
  </si>
  <si>
    <t>中国-中亚精神</t>
  </si>
  <si>
    <t>一、“中国-中亚精神”的提出与定义</t>
  </si>
  <si>
    <t>核心表述的提出者</t>
  </si>
  <si>
    <t>精神的核心内容</t>
  </si>
  <si>
    <t>四项原则：###“互尊、互信、互利、互助”###（填写四项原则内容）</t>
  </si>
  <si>
    <t>目标路径：以###高质量发展###推进###共同现代化###（填写目标路径）</t>
  </si>
  <si>
    <t>精神的命名：###“中国-中亚精神”###（填写精神的名称）</t>
  </si>
  <si>
    <t>二、该精神是对成功经验与共同理念的总结</t>
  </si>
  <si>
    <t>对成功经验的总结：是对###中国中亚关系成功经验###的精炼总结（填写总结的对象）</t>
  </si>
  <si>
    <t>对共同理念与目标的概括：是对双方合作所坚持的###共同理念和目标###的高度概括（填写概括的内容）</t>
  </si>
  <si>
    <t>三、该精神为双边关系提供指引</t>
  </si>
  <si>
    <t>指引的核心方向</t>
  </si>
  <si>
    <t>世代友好：为###中国中亚世代友好###（填写指引的方向之一）</t>
  </si>
  <si>
    <t>守望相助：为###守望相助###提供了重要指引（填写指引的方向之二）</t>
  </si>
  <si>
    <t>四、“中国-中亚精神”所体现的三重内涵</t>
  </si>
  <si>
    <t>体现了###团结初心###（填写体现的内涵之一）</t>
  </si>
  <si>
    <t>展现出###进取意志###（填写体现的内涵之二）</t>
  </si>
  <si>
    <t>彰显###命运共同体意识###（填写体现的内涵之三）</t>
  </si>
  <si>
    <t>五、该精神传递的核心合作理念</t>
  </si>
  <si>
    <t>###相互尊重###（填写核心合作理念之一）</t>
  </si>
  <si>
    <t>###开放包容###（填写核心合作理念之二）</t>
  </si>
  <si>
    <t>###互利共赢###（填写核心合作理念之三）</t>
  </si>
  <si>
    <t>六、该精神的时代启示与世界意义</t>
  </si>
  <si>
    <t>对时代之变的启示意义</t>
  </si>
  <si>
    <t>因应时代之变：对于###因应时代之变###（填写启示的方面之一）</t>
  </si>
  <si>
    <t>促进广泛合作：促进###更大范围的国际合作###具有重要启示意义（填写启示的方面之二）</t>
  </si>
  <si>
    <t>对世界和平与发展的贡献</t>
  </si>
  <si>
    <t>注入稳定性：将为###世界和平和发展###注入更多稳定性（填写贡献的方面之一）</t>
  </si>
  <si>
    <t>注入确定性：和###确定性###（填写贡献的方面之二）</t>
  </si>
  <si>
    <t>二次探测再散列的时候，注意基地址是第一次冲突的地址，不是上一次冲突的地址### ###</t>
  </si>
  <si>
    <t>RIP最多支持16个路由器，17个路由器及以上不支持（跳数限制）### ###</t>
  </si>
  <si>
    <t>16个点，中间有15段线</t>
  </si>
  <si>
    <t>双递推式数列比阶### ###</t>
  </si>
  <si>
    <t>先确定两个数列an、bn都是无穷小（才能比阶）</t>
  </si>
  <si>
    <t>另外，an和bn必须同号，否则不能保证夹逼的左端点是0（即cn/dn&gt;0）</t>
  </si>
  <si>
    <t>写出两套比式，an/bn和bn/an，对这两个求极限就是比阶</t>
  </si>
  <si>
    <t>两套比式的选择</t>
  </si>
  <si>
    <t>an+1/an比较bn+1/bn、an+1-an比较bn+1-bn</t>
  </si>
  <si>
    <t>衰减较快的，放在分子，一般那一个是高阶无穷小</t>
  </si>
  <si>
    <t>取分子cn，得到cn+1&lt;f(cn)，最典型的是cn+1&lt;k*cn</t>
  </si>
  <si>
    <t>取分母dn，得到dn+1&gt;g(dn)，最典型的是dn+1&gt;l*dn</t>
  </si>
  <si>
    <t>那么，cn+1/dn+1&lt;f(cn)/g(dn)&lt;f(f(cn))/g(g(dn))&lt;...&lt;h(n,c1)/i(n,d1)</t>
  </si>
  <si>
    <t>其中，h为f函数嵌套n次后的等效函数，i为g函数嵌套n次后的等效函数</t>
  </si>
  <si>
    <t>在典型情况f(x)=k*x和g(x)=l*x中，h(n,x)和i(n,x)分别为(k^n)*x和(l^n)*x</t>
  </si>
  <si>
    <t>问题可转化为一个夹逼0&lt;cn+1/dn+1&lt;h(n,c1)/i(n,d1)</t>
  </si>
  <si>
    <t>只要求出n趋无穷时，h(n,c1)/i(n,d1)趋0，夹逼就成立，确定cn是dn的高阶无穷小</t>
  </si>
  <si>
    <t>一元二次方程求根公式：ax²+bx+c=0，x=-b±sqrt(b²-4ac)/(2a)### ###</t>
  </si>
  <si>
    <t>不同特征值的特征向量天然正交是实对称阵才有的性质，而一般的非对称可对角化矩阵没有这个性质### ###</t>
  </si>
  <si>
    <t>举例：先搞一个对角阵A，然后找一个非正交的可逆线性变换P，P逆AP=B，这个B就是反例</t>
  </si>
  <si>
    <t>不能跟风一个产业、套用一种模式</t>
  </si>
  <si>
    <t>一、矛盾的普遍性原理</t>
  </si>
  <si>
    <t>基本观点：马克思主义认为，###矛盾具有普遍性###（填写矛盾的基本观点）</t>
  </si>
  <si>
    <t>普遍性的具体含义</t>
  </si>
  <si>
    <t>空间维度（###无处不在###）（填写矛盾普遍性的空间维度表现）</t>
  </si>
  <si>
    <t>时间维度（###无时不有###）（填写矛盾普遍性的时间维度表现）</t>
  </si>
  <si>
    <t>二、矛盾的特殊性原理及其重要性</t>
  </si>
  <si>
    <t>特殊性的具体表现</t>
  </si>
  <si>
    <t>事物的差异：即各个具体事物的###矛盾###（填写矛盾特殊性的表现之一）</t>
  </si>
  <si>
    <t>方面的差异：及每一个矛盾的###各个方面###（填写矛盾特殊性的表现之二）</t>
  </si>
  <si>
    <t>阶段的差异：在发展的###不同阶段###上各有其特点（填写矛盾特殊性的表现之三）</t>
  </si>
  <si>
    <t>特殊性的决定作用：###矛盾的特殊性###决定了事物的不同性质（填写决定事物性质的因素）</t>
  </si>
  <si>
    <t>分析特殊性的实践意义：目的与作用</t>
  </si>
  <si>
    <t>认清本质与规律：只有具体分析###矛盾的特殊性###，才能认清事物的###本质###和###发展规律###（填写分析的对象和认清的内容）</t>
  </si>
  <si>
    <t>正确解决矛盾：并采取正确的方法和措施去解决###矛盾###（填写解决的对象）</t>
  </si>
  <si>
    <t>推动事物发展：推动###事物的发展###（填写推动的目标）</t>
  </si>
  <si>
    <t>三、矛盾普遍性与特殊性的辩证关系（共性与个性的统一）</t>
  </si>
  <si>
    <t>共性和个性的统一：任何事物都是###共性和个性的统一###（填写事物的统一性）</t>
  </si>
  <si>
    <t>矛盾论的表述：也就是###矛盾普遍性和特殊性的统一###（填写矛盾论的表述）</t>
  </si>
  <si>
    <t>四、原理在中国发展实践中的具体应用</t>
  </si>
  <si>
    <t>中国的客观国情</t>
  </si>
  <si>
    <t>我国###幅员辽阔###（填写客观国情之一）</t>
  </si>
  <si>
    <t>不同地区的###客观条件存在差异###（填写客观国情之二）</t>
  </si>
  <si>
    <t>对发展模式的指导</t>
  </si>
  <si>
    <t>决定的结论：这就决定了各地发展实践不能套用###一种模式###（填写发展实践的结论）</t>
  </si>
  <si>
    <t>正确的路径：而是要###因地制宜发展新质生产力###（填写发展的正确路径）</t>
  </si>
  <si>
    <t>新质生产力与理论实践</t>
  </si>
  <si>
    <t>一、人类认识与改造世界过程的总体特征</t>
  </si>
  <si>
    <t>过程的本质：是一个不断坚持###守正创新###（填写人类认识与改造世界过程的本质）</t>
  </si>
  <si>
    <t>核心目标：并努力实现###理论创新和实践创新良性互动###的过程（填写人类认识与改造世界过程的核心目标）</t>
  </si>
  <si>
    <t>二、实践创新与理论创新的互促关系</t>
  </si>
  <si>
    <t>实践创新对理论创新的作用：实践创新为理论创新提供###不竭的动力源泉###（填写实践创新对理论创新的作用）</t>
  </si>
  <si>
    <t>理论创新对实践创新的作用：理论创新为实践创新提供###科学的行动指南###（填写理论创新对实践创新的作用）</t>
  </si>
  <si>
    <t>三、理论创新与实践创新的互动特性</t>
  </si>
  <si>
    <t>非孤立进行的特征：###理论创新和实践创新###不是孤立进行的（填写不是孤立进行的两个方面）</t>
  </si>
  <si>
    <t>互动的完成方式：而是在与###另一方###的互动中完成的（填写互动的对象）</t>
  </si>
  <si>
    <t>两者的辩证统一与发展</t>
  </si>
  <si>
    <t>###相互促进###（填写理论创新与实践创新的关系之一）</t>
  </si>
  <si>
    <t>###辩证统一###（填写理论创新与实践创新的关系之二）</t>
  </si>
  <si>
    <t>###实现更高阶段创新###（填写理论创新与实践创新的关系之三）</t>
  </si>
  <si>
    <t>四、理论与实践的辩证统一原则</t>
  </si>
  <si>
    <t>根本原则：###理论必须同实践相统一###（填写理论与实践的辩证统一原则）</t>
  </si>
  <si>
    <t>理论创新的双重基础与反哺作用</t>
  </si>
  <si>
    <t>以实践创新为基础：理论创新不仅要以###实践创新###为基础（填写理论创新的基础）</t>
  </si>
  <si>
    <t>以科学指导反哺实践：还要以科学的指导作用“反哺”###实践###（填写理论创新反哺的对象）</t>
  </si>
  <si>
    <t>五、新质生产力的例证与理论任务</t>
  </si>
  <si>
    <t>新质生产力的形成与表现</t>
  </si>
  <si>
    <t>在实践中形成：###新质生产力###已经在实践中形成（填写在实践中形成的事物）</t>
  </si>
  <si>
    <t>展示的推动支撑力：并展示出对高质量发展的###强劲推动力###、###支撑力###（填写新质生产力展示的两个力量）</t>
  </si>
  <si>
    <t>当前的理论任务</t>
  </si>
  <si>
    <t>总结概括：需要我们从###理论上###进行总结、概括（填写进行总结的层面）</t>
  </si>
  <si>
    <t>指导新实践：用以指导###新的发展实践###（填写理论指导的对象）</t>
  </si>
  <si>
    <t>平安中国建设只能加强不能削弱</t>
  </si>
  <si>
    <t>一、“平安中国”的全党战略地位：并列的重大战略部署</t>
  </si>
  <si>
    <t>部署构成：“平安中国”已和###“法治中国”###、###“美丽中国”###等一道（填写并列的重大战略部署）</t>
  </si>
  <si>
    <t>战略性质：成为全党的###重大战略部署###（填写“平安中国”的战略性质）</t>
  </si>
  <si>
    <t>二、建设更高水平平安中国的多重意义</t>
  </si>
  <si>
    <t>第一重意义：###应对挑战、保障伟业的客观需要###（填写建设更高水平平安中国的第一重意义）</t>
  </si>
  <si>
    <t>应对挑战：是积极应对###各类风险挑战###（填写应对的对象）</t>
  </si>
  <si>
    <t>服务保障：服务保障###强国建设###、###民族复兴伟业###的客观需要（填写服务保障的两个方面）</t>
  </si>
  <si>
    <t>第二重意义：###满足人民美好生活需要的重要举措###（填写建设更高水平平安中国的第二重意义）</t>
  </si>
  <si>
    <t>目标指向：是有效满足###人民日益增长的美好生活需要###（填写满足的对象）</t>
  </si>
  <si>
    <t>行动性质：的###重要举措###（填写行动的性质）</t>
  </si>
  <si>
    <t>第三重意义：###谱写“中国之治”新篇章的迫切需要###（填写建设更高水平平安中国的第三重意义）</t>
  </si>
  <si>
    <t>目标指向：是谱写###“中国之治”新篇章###（填写谱写的内容）</t>
  </si>
  <si>
    <t>紧迫性质：的###迫切需要###（填写紧迫性质）</t>
  </si>
  <si>
    <t>发展是硬道理，安全也是</t>
  </si>
  <si>
    <t>统筹发展和安全是国家基础性工作与重大原则</t>
  </si>
  <si>
    <t>是党和国家的一项###基础性工作###。（填写统筹发展和安全的性质之一）</t>
  </si>
  <si>
    <t>是我们党治国理政的一个###重大原则###。（填写统筹发展和安全的性质之二）</t>
  </si>
  <si>
    <t>第一：发展和安全是两件大事</t>
  </si>
  <si>
    <t>发展解决动力问题：是推动国家和民族赓续绵延的###根本支撑###（填写发展的作用）</t>
  </si>
  <si>
    <t>安全解决保障问题：是确保国家和民族行稳致远的###坚强柱石###（填写安全的作用）</t>
  </si>
  <si>
    <t>第二：发展是基础，安全是条件</t>
  </si>
  <si>
    <t>发展的基础性与根本性</t>
  </si>
  <si>
    <t>是解决安全问题的###总钥匙###（填写发展对于解决安全问题的意义）</t>
  </si>
  <si>
    <t>###发展就是最大的安全###（填写发展与安全的关系）</t>
  </si>
  <si>
    <t>安全的保障作用</t>
  </si>
  <si>
    <t>安全是发展的###条件###和###保障###（填写安全对于发展的两个作用）</t>
  </si>
  <si>
    <t>没有###国家安全###，发展取得的成果也可能毁于一旦（填写缺少的对象）</t>
  </si>
  <si>
    <t>###国家安全###是中国式现代化行稳致远的重要基础（填写中国式现代化的重要基础）</t>
  </si>
  <si>
    <t>第三：发展和安全必须同步推进，良性互动</t>
  </si>
  <si>
    <t>发展和安全是###一体之两翼###、###驱动之双轮###（填写发展和安全的关系比喻）</t>
  </si>
  <si>
    <t>核心方法论</t>
  </si>
  <si>
    <t>###必须同步推进###（填写发展和安全的方法论之一）</t>
  </si>
  <si>
    <t>###以发展促安全###（填写发展和安全的方法论之二）</t>
  </si>
  <si>
    <t>###以安全保发展###（填写发展和安全的方法论之三）</t>
  </si>
  <si>
    <t>目标与保障</t>
  </si>
  <si>
    <t>实现良性互动：实现###高质量发展###和###高水平安全###良性互动（填写实现良性互动的两个方面）</t>
  </si>
  <si>
    <t>保障长治久安：切实保障###国家长治久安###（填写保障的目标）</t>
  </si>
  <si>
    <t>确保复兴进程：确保###中华民族伟大复兴进程###不被迟滞甚至中断（填写确保的进程）</t>
  </si>
  <si>
    <t>实现强国目标：胜利实现###全面建成社会主义现代化强国###目标（填写实现的目标）</t>
  </si>
  <si>
    <t>捎带FIN时，字节序记得+1### ###</t>
  </si>
  <si>
    <t>带权路径长度和带权平均长度不是同一个东西### ###</t>
  </si>
  <si>
    <t>带权平均长度=带权路径长度/叶节点权重之和</t>
  </si>
  <si>
    <t>=带权路径长度/根节点权重</t>
  </si>
  <si>
    <t>最小生成树算法不能兼容单元最短路径算法### ###</t>
  </si>
  <si>
    <t>Kruskal是无根生，没法指定起点，形成过程的加边失去对路径长短的控制</t>
  </si>
  <si>
    <t>Prim是远交近攻，只考虑到领土任意省的最短距离，而不是到首都（起点）的距离</t>
  </si>
  <si>
    <t>虽然大多数情况下是能得到最短路径，但是总会有漏的情况</t>
  </si>
  <si>
    <t>IEEE浮点数的特殊值方便记忆### ###</t>
  </si>
  <si>
    <t>1H的情况下，这时候是-126（真值1-127=-126），是规格化浮点阶码的-126</t>
  </si>
  <si>
    <t>再减少到0H，触发特殊值，但是还是表示-126，就像黑洞的视界线</t>
  </si>
  <si>
    <t>成为了非规格化浮点数，尾数是0.M而非1.M</t>
  </si>
  <si>
    <t>反过来看上界，FEH即254D，对应真值127（254-127=127），这个是上限</t>
  </si>
  <si>
    <t>再增加到FFH即255D，对应NaN</t>
  </si>
  <si>
    <t>以上都是尾数非全0的情况</t>
  </si>
  <si>
    <t>如果尾数全0，阶码全1，则是无穷（指数极巨大，尾数还有个省略的1在小数点左边）</t>
  </si>
  <si>
    <t>如果尾数全0，阶码全0，则是0（除了符号位全是0，那就只有0了）</t>
  </si>
  <si>
    <t>阶码全0没收了尾数默认的1.M的1.0，无论是0还是非规格都可以这么记忆</t>
  </si>
  <si>
    <t>真值计算看不到CF是否为1，必须用补码二进制计算### ###</t>
  </si>
  <si>
    <t>CF只管无符号（在他眼里，只有无符号数），加法进位、减法借位，溢出为1</t>
  </si>
  <si>
    <t>判断发生在具体计算（也就是减法变成加相反数）前</t>
  </si>
  <si>
    <t>如果发生在具体计算后，没理由区分加法和减法，因为只剩下加法了</t>
  </si>
  <si>
    <t>但是实际电路还是根据cout来处理，当减法时，最高位进位0则cf1，加法则相反</t>
  </si>
  <si>
    <t>相当于cout异或sub（是否减法，减法1，加法0）</t>
  </si>
  <si>
    <t>第一个五年计划发挥的作用</t>
  </si>
  <si>
    <t>一、制定中期计划是完成工业化任务的重要步骤</t>
  </si>
  <si>
    <t>性质定位：是完成###过渡时期总路线规定的工业化主体任务###的重要步骤（填写“一五”计划的性质）</t>
  </si>
  <si>
    <t>二、“一五”计划的核心经济建设指导方针</t>
  </si>
  <si>
    <t>方针要点：确定了###经济建设的指导方针###（填写“一五”计划的要点）</t>
  </si>
  <si>
    <t>突出核心</t>
  </si>
  <si>
    <t>集中力量：突出了###集中主要力量发展重工业###（填写“一五”计划的核心方针）</t>
  </si>
  <si>
    <t>建立基础：建立###国家工业化和国防现代化###的初步基础（填写“一五”计划要建立的基础）</t>
  </si>
  <si>
    <t>三、“一五”计划的完成情况</t>
  </si>
  <si>
    <t>完成结果：###1957年底###，“一五”计划全面提前超额完成（填写“一五”计划完成的时间）</t>
  </si>
  <si>
    <t>四、“一五”时期工业生产的成就对比</t>
  </si>
  <si>
    <t>纵向历史对比：“一五”时期工业生产取得的成就远远超过了###旧中国的100年###（填写“一五”成就对比的时期）</t>
  </si>
  <si>
    <t>五、“一五”计划的长远历史意义</t>
  </si>
  <si>
    <t>奠定工业体系基础</t>
  </si>
  <si>
    <t>使新中国迅速从###废墟上站起###（填写“一五”计划的历史作用之一）</t>
  </si>
  <si>
    <t>为我国建立###独立完整的工业体系###奠定了基础（填写“一五”计划奠定的基础）</t>
  </si>
  <si>
    <t>为###社会主义建设###积累了宝贵经验（填写“一五”计划积累经验的对象）</t>
  </si>
  <si>
    <t>制定五年计划，是治国经验，也是政治优势</t>
  </si>
  <si>
    <t>第一：体现坚持党中央集中统一领导的制度优势</t>
  </si>
  <si>
    <t>五年规划是党治国理政的重要方式：用###中长期规划###指导经济社会发展，是我们党治国理政的一种重要方式（填写党治国理政的重要方式）</t>
  </si>
  <si>
    <t>规划实现目标、政策与举措的统一</t>
  </si>
  <si>
    <t>有机统一内容：将###战略目标###与###发展政策###、###具体举措###有机统一起来（填写五年规划统一的内容）</t>
  </si>
  <si>
    <t>确保转化成效：确保党的###政治理想和奋斗目标###能够转化为实实在在的###发展绩效###（填写转化的起点和目标）</t>
  </si>
  <si>
    <t>转化为美好生活现实：和###人民群众满意的美好生活现实###（填写转化的另一目标）</t>
  </si>
  <si>
    <t>“一张蓝图绘到底”的战略连续性与政策稳定性优势</t>
  </si>
  <si>
    <t>总体优势：正是这种###“一张蓝图绘到底”###的战略连续性与政策稳定性（填写战略连续性的形象表述）</t>
  </si>
  <si>
    <t>避免西方体制弊端：使得我们避免了###西方多党制下的相互掣肘和政策反复###（填写避免的弊端）</t>
  </si>
  <si>
    <t>实现利益的统一与落实</t>
  </si>
  <si>
    <t>统一多种利益：能够真正将###现实利益###、###近期利益###与###整体利益###、###长远利益###有机统一（填写五年规划统一的四种利益）</t>
  </si>
  <si>
    <t>落到实处：###又落到实处###（填写五年规划的结果）</t>
  </si>
  <si>
    <t>第二：体现全国一盘棋、集中力量办大事的优势</t>
  </si>
  <si>
    <t>规划落实长远目标的方式：通过编制实施###五年规划###，分阶段落实###社会主义现代化建设的长远目标###（填写落实长远目标的方式和目标）</t>
  </si>
  <si>
    <t>规划制定与实施过程的民主与动员</t>
  </si>
  <si>
    <t>广泛听取意见：广泛听取###社会各界意见建议###（填写规划制定过程中听取的内容）</t>
  </si>
  <si>
    <t>广泛动员力量：广泛动员###社会力量###参与规划实施（填写动员的对象）</t>
  </si>
  <si>
    <t>统一发力点到国家战略目标：将###各方发力点###统一到###国家战略目标###上来（填写统一的对象和目标）</t>
  </si>
  <si>
    <t>发挥集中力量办大事的独特优势：发挥出###社会主义集中力量办大事的独特政治优势###（填写发挥的优势）</t>
  </si>
  <si>
    <t>清朗行动的必要性</t>
  </si>
  <si>
    <t>一、网络空间的基本属性：虚拟与现实的统一</t>
  </si>
  <si>
    <t>空间的虚拟性：网络空间是###虚拟的###（填写网络空间的属性之一）</t>
  </si>
  <si>
    <t>主体的现实性：但运用网络空间的主体是###现实的###（填写网络空间主体的属性）</t>
  </si>
  <si>
    <t>二、网络空间的社会定位：民众的精神家园</t>
  </si>
  <si>
    <t>共同家园：网络空间是亿万民众共同的###精神家园###（填写网络空间的社会定位）</t>
  </si>
  <si>
    <t>三、网络空间的公共领域属性与秩序需求</t>
  </si>
  <si>
    <t>公共领域性质：因此，网络空间也是###公共领域###（填写网络空间的性质）</t>
  </si>
  <si>
    <t>需要公共秩序：需要###公共秩序###（填写网络空间的需求）</t>
  </si>
  <si>
    <t>四、有序公共生活的基础性作用</t>
  </si>
  <si>
    <t>是社会生产的基础：有序的公共生活是###社会生产活动###的重要基础（填写有序公共生活的作用之一）</t>
  </si>
  <si>
    <t>是生活质量的保障：是提高###社会成员生活质量###的基本保障（填写有序公共生活的作用之二）</t>
  </si>
  <si>
    <t>是社会文明的标志：是###社会文明###的重要标志（填写有序公共生活的作用之三）</t>
  </si>
  <si>
    <t>五、网络空间乱象的危害性与非法外之地原则</t>
  </si>
  <si>
    <t>乱象的危害：网络空间###乌烟瘴气、生态恶化###，不符合人民利益（填写网络乱象的危害表现）</t>
  </si>
  <si>
    <t>法治原则：网络空间不是###法外之地###（填写网络空间的法治原则）</t>
  </si>
  <si>
    <t>六、依法治理网络空间的必然性与迫切性</t>
  </si>
  <si>
    <t>治理的性质：###依法治理网络空间###（填写网络空间治理的性质）</t>
  </si>
  <si>
    <t>根本目的与需求</t>
  </si>
  <si>
    <t>维护稳定与权益：是维护###社会和谐稳定###、维护###公民合法权益###（填写依法治理网络空间的目的之一）</t>
  </si>
  <si>
    <t>促进健康发展：促进###网络空间健康有序发展###的必然之举和迫切需要（填写依法治理网络空间的目的之二）</t>
  </si>
  <si>
    <t>如何共建清朗网络</t>
  </si>
  <si>
    <t>一、法治与德治的总体关系与定位</t>
  </si>
  <si>
    <t>治国理政的两种基本方式</t>
  </si>
  <si>
    <t>同等重要性：###法治和德治###，是治国理政不可或缺的两种方式（填写治国理政的两种基本方式）</t>
  </si>
  <si>
    <t>忽视任一的结果：忽视其中任何一个，都将难以实现国家的###长治久安###（填写忽视法治或德治的后果）</t>
  </si>
  <si>
    <t>二、法治与德治共同作用的目标与效果</t>
  </si>
  <si>
    <t>核心原则：必须让###法治和德治###共同发挥作用（填写网络空间治理的核心原则）</t>
  </si>
  <si>
    <t>实现的理想状态</t>
  </si>
  <si>
    <t>法律与道德的关系：使###法律与道德###相辅相成（填写法治与德治作用下的关系）</t>
  </si>
  <si>
    <t>法治与德治的关系：###法治与德治###相得益彰（填写法治与德治相互作用的效果）</t>
  </si>
  <si>
    <t>最终成效</t>
  </si>
  <si>
    <t>法的作用：###法安天下###（填写法治的作用）</t>
  </si>
  <si>
    <t>德的作用：###德润人心###（填写德治的作用）</t>
  </si>
  <si>
    <t>三、思想道德与法律的基本作用</t>
  </si>
  <si>
    <t>调节手段的共性：都是###重要手段###（填写思想道德与法律的作用定位）</t>
  </si>
  <si>
    <t>调节###人们思想行为###（填写思想道德与法律的作用之一）</t>
  </si>
  <si>
    <t>协调###人际关系###（填写思想道德与法律的作用之二）</t>
  </si>
  <si>
    <t>维护###社会秩序###（填写思想道德与法律的作用之三）</t>
  </si>
  <si>
    <t>四、网络空间治理的具体实践路径</t>
  </si>
  <si>
    <t>必须双管齐下</t>
  </si>
  <si>
    <t>路径一：发挥###道德的教化作用###（填写网络空间治理的路径之一）</t>
  </si>
  <si>
    <t>直接目标：重视发挥###道德的教化作用###（填写发挥道德作用的目的）</t>
  </si>
  <si>
    <t>具体作用与目的</t>
  </si>
  <si>
    <t>提高文明程度：提高###全社会文明程度###（填写道德教化作用的具体目标之一）</t>
  </si>
  <si>
    <t>创造治理环境：为###网络空间的治理###创造良好环境（填写道德教化作用的具体目标之二）</t>
  </si>
  <si>
    <t>路径二：###道德要求融入法治建设###（填写网络空间治理的路径之二）</t>
  </si>
  <si>
    <t>贯彻要求：把###道德要求###贯彻到###法治建设###中（填写道德与法治结合的要求）</t>
  </si>
  <si>
    <t>法治承载理念：以###法治###承载###道德理念###（填写法治与道德结合的方式）</t>
  </si>
  <si>
    <t>坚持二者结合：坚持###依法治网###和###以德润网###相结合（填写网络空间治理的实践要求）</t>
  </si>
  <si>
    <t>共同目标与愿景</t>
  </si>
  <si>
    <t>塑造净化空间：以###时代新风###塑造和净化网络空间（填写塑造和净化网络空间的凭借）</t>
  </si>
  <si>
    <t>共建精神家园：共建###网上美好精神家园###（填写网络空间治理的共同目标）</t>
  </si>
  <si>
    <t>统计进程调度次数的时候，每开始一个进程，就加一次### ###</t>
  </si>
  <si>
    <t>如果统计开始时间一开始启动了一个进程，那么这次要算在内</t>
  </si>
  <si>
    <t>是否拆矩阵元素讨论### ###</t>
  </si>
  <si>
    <t>矩阵是低阶（2 阶、3 阶）</t>
  </si>
  <si>
    <t>涉及 “可交换矩阵 + 对角阵（特征值互不相等）</t>
  </si>
  <si>
    <t>目标是确定矩阵的具体结构</t>
  </si>
  <si>
    <t>线性方程组同解### ###</t>
  </si>
  <si>
    <t>C的齐次解是D的齐次解，但是二者不同解，说明D的解不全是C的解</t>
  </si>
  <si>
    <t>遇到这种情况，把D叠在C下面得到行增广阵CoD</t>
  </si>
  <si>
    <t>C和CoD同解</t>
  </si>
  <si>
    <t>提供一个条件：r(C)=r(CoD)，但是r(C)&gt;r(D)</t>
  </si>
  <si>
    <t>D的解是一个平面，如果C的解是D解的真子集，则不可能同样为平面，必须是线</t>
  </si>
  <si>
    <t>劳动在资本主义条件下是否生产性取决于能否为资本家带来剩余价值### ###</t>
  </si>
  <si>
    <t>毛泽东思想开始萌芽的标志是关于新民主主义革命基本思想的提出### ###</t>
  </si>
  <si>
    <t>《论十大关系》提出的建设方针：调动一切积极因素为社会主义事业服务### ###</t>
  </si>
  <si>
    <t>扩大市场准入和开放的重点是服务业### ###</t>
  </si>
  <si>
    <t>处理宗教领域矛盾问题的根本途径是依法治理### ###</t>
  </si>
  <si>
    <t>十五五的着力点是有力有序有效应对百年变局新形势和发展突出问题### ###</t>
  </si>
  <si>
    <t>两点论和重点论的统一### ###</t>
  </si>
  <si>
    <t>两点论：主要次要都要看</t>
  </si>
  <si>
    <t>重点论：抓关键，不平均</t>
  </si>
  <si>
    <t>经济危机的周期性是由基本矛盾运动的阶段性导致的，再生产周期性是结果而非原因### ###</t>
  </si>
  <si>
    <t>生产过剩是经济危机的本质特征### ###</t>
  </si>
  <si>
    <t>粤港澳大湾区是新发展格局的战略支点和中国是现代化的引领地### ###</t>
  </si>
  <si>
    <t>碳达峰、碳中和是破解资源环境约束突出问题、实现可持续发展的内在要求### ###</t>
  </si>
  <si>
    <t>瓦窑堡会议表明### ###</t>
  </si>
  <si>
    <t>党正在从中国实际情况出发，创造性开展工作</t>
  </si>
  <si>
    <t>当开始努力解决政治路线问题</t>
  </si>
  <si>
    <t>挡在新的历史时期（抗日）将要到时，掌握了政治上的主动权</t>
  </si>
  <si>
    <t>社会主义核心价值观体现了社会主义的本质属性### ###</t>
  </si>
  <si>
    <t>如何认识关税战、贸易战</t>
  </si>
  <si>
    <t>一、基本论断：贸易战与保护主义的后果</t>
  </si>
  <si>
    <t>总体定性</t>
  </si>
  <si>
    <t>###贸易战、关税战没有赢家###（填写贸易战的总体定性之一）</t>
  </si>
  <si>
    <t>###保护主义没有出路###（填写贸易战的总体定性之二）</t>
  </si>
  <si>
    <t>二、对美国关税行为的指控</t>
  </si>
  <si>
    <t>行为概述：美国以各种借口宣布对包括###中国###在内的所有贸易伙伴滥施关税（填写美国关税行为针对的对象）</t>
  </si>
  <si>
    <t>行为的四重“严重”危害</t>
  </si>
  <si>
    <t>侵犯权益：严重侵犯###各国正当权益###（填写美国关税行为的危害之一）</t>
  </si>
  <si>
    <t>违反规则：严重违反###世界贸易组织规则###（填写美国关税行为的危害之二）</t>
  </si>
  <si>
    <t>损害体制：严重损害###以规则为基础的多边贸易体制###（填写美国关税行为的危害之三）</t>
  </si>
  <si>
    <t>冲击秩序：严重冲击###全球经济秩序稳定###（填写美国关税行为的危害之四）</t>
  </si>
  <si>
    <t>三、对美国行为本质的分析</t>
  </si>
  <si>
    <t>违背基本规律与原则：美国有关做法违背###基本经济规律###和###市场原则###（填写美国做法违背的规律和原则）</t>
  </si>
  <si>
    <t>三“无视”的行径特征</t>
  </si>
  <si>
    <t>罔顾平衡：罔顾###多边贸易谈判达成的利益平衡结果###（填写美国行径的特征之一）</t>
  </si>
  <si>
    <t>无视事实：无视###美国长期从国际贸易中大量获利###的事实（填写美国行径的特征之二）</t>
  </si>
  <si>
    <t>滥用工具：将###关税###作为实施极限施压、谋取私利的武器（填写美国滥用的工具）</t>
  </si>
  <si>
    <t>行为的根本定性：这是典型的###单边主义###、###保护主义###和###经济霸凌###行径（填写美国行为的三种性质）</t>
  </si>
  <si>
    <t>旗号与本质的矛盾</t>
  </si>
  <si>
    <t>旗号：美国打着所谓追求###“对等”“公平”###的旗号（填写美国行为的旗号）</t>
  </si>
  <si>
    <t>实质</t>
  </si>
  <si>
    <t>搞零和博弈：搞零和博弈</t>
  </si>
  <si>
    <t>追求“美国优先”：本质上是追求###“美国优先”“美国特殊”###（填写美国行为的实质之二）</t>
  </si>
  <si>
    <t>四、对全球化趋势的研判与展望</t>
  </si>
  <si>
    <t>当今世界的现实：当今世界是###经济全球化###塑造的世界（填写塑造当今世界的力量）</t>
  </si>
  <si>
    <t>共同的职责：维护###健康的国际经贸秩序###和###全球产供链安全稳定###，是各方共同的职责（填写需要维护的两个方面）</t>
  </si>
  <si>
    <t>保护主义的局限性：###保护主义###改变不了###经济全球化###大势（填写局限性体现的主义和大势）</t>
  </si>
  <si>
    <t>未来的必然趋势</t>
  </si>
  <si>
    <t>必由之路：###经济全球化###始终是人类社会前进的必由之路（填写人类社会前进的必由之路）</t>
  </si>
  <si>
    <t>时代潮流：###不可逆转的时代潮流###（填写经济全球化的性质）</t>
  </si>
  <si>
    <t>为什么要倡导普惠包容的经济全球化</t>
  </si>
  <si>
    <t>一、普惠的经济全球化</t>
  </si>
  <si>
    <t>核心目标：处理好发展与分配
：做大并分好经济发展的“蛋糕”</t>
  </si>
  <si>
    <t>确保广泛参与与共享</t>
  </si>
  <si>
    <t>参与主体：让###不同国家###、###不同阶层###、###不同人群###都能参与（填写普惠全球化确保参与的三类主体）</t>
  </si>
  <si>
    <t>享有成果：并享有###经济社会发展###的成果（填写普惠全球化确保享有的成果）</t>
  </si>
  <si>
    <t>解决关键问题：妥善解决###国家间###和###各国内部发展失衡###问题（填写普惠全球化要解决的关键问题）</t>
  </si>
  <si>
    <t>最终愿景：实现###共同发展###、###共同繁荣###（填写普惠全球化的最终愿景）</t>
  </si>
  <si>
    <t>二、包容的经济全球化</t>
  </si>
  <si>
    <t>尊重发展道路多样性：支持各国走出###符合自身国情的发展道路###（填写包容的经济全球化对发展道路的态度）</t>
  </si>
  <si>
    <t>反对单一与排他</t>
  </si>
  <si>
    <t>反对模式单一：不搞###发展模式的单一化###（填写包容全球化反对的做法之一）</t>
  </si>
  <si>
    <t>摒弃错误主义：摒弃###损人利己的单边主义###、###保护主义###（填写包容全球化摒弃的错误主义）</t>
  </si>
  <si>
    <t>维护经济系统稳定与活力</t>
  </si>
  <si>
    <t>稳定供应链：维护###全球产业链供应链的稳定畅通###（填写包容全球化维护的目标之一）</t>
  </si>
  <si>
    <t>保持增长动力：保持###世界经济增长活力与动力###（填写包容全球化维护的目标之二）</t>
  </si>
  <si>
    <t>三、普惠包容全球化的性质与中国角色</t>
  </si>
  <si>
    <t>根本定位：普惠包容全球化是###人心所向###、###人间正道###（填写普惠包容全球化的根本定位）</t>
  </si>
  <si>
    <t>中国倡导的现实意义：具有针对性：中国倡导并推动此举，有着###现实针对性###和###战略指导性###（填写中国倡导的现实意义）</t>
  </si>
  <si>
    <t>中国的引领与贡献</t>
  </si>
  <si>
    <t>引领方向：将引领###经济全球化正确方向###（填写中国在全球化中的角色之一）</t>
  </si>
  <si>
    <t>贡献智慧：为解决当今世界面临的一系列###重大问题和挑战###贡献中国智慧（填写中国贡献智慧的对象）</t>
  </si>
  <si>
    <t>提供依托：为构建###人类命运共同体###提供坚实依托（填写中国提供依托的目标）</t>
  </si>
  <si>
    <t>总体评价：###普惠包容全球化###具有重要深远意义（填写具有重要深远意义的事物）</t>
  </si>
  <si>
    <t>防沙治沙是恢复原貌</t>
  </si>
  <si>
    <t>一、总的核心原则</t>
  </si>
  <si>
    <t>生态保护和修复既要###尊重客观规律###（填写核心原则）</t>
  </si>
  <si>
    <t>也要###充分发挥主观能动性###（填写核心原则）</t>
  </si>
  <si>
    <t>二、尊重客观规律是前提</t>
  </si>
  <si>
    <t>基本定位：###尊重客观规律###是正确发挥主观能动性的前提（填写核心概念）</t>
  </si>
  <si>
    <t>根本定义：规律是事物变化发展过程中###内在的、本质的、必然的联系###（填写规律的本质特征）</t>
  </si>
  <si>
    <t>###正确行动的基础###（填写作用或地位）</t>
  </si>
  <si>
    <t>认识世界的前提：人们只有在###认识和掌握客观规律###的基础上，才能正确地认识世界（填写前提条件）</t>
  </si>
  <si>
    <t>改造世界的前提：才能有效地改造世界</t>
  </si>
  <si>
    <t>三、必须充分发挥主观能动性</t>
  </si>
  <si>
    <t>能动性的关键作用：只有###充分发挥主观能动性###，才能正确认识和利用客观规律（填写关键作用的前提）</t>
  </si>
  <si>
    <t>对规律客观性的正确态度</t>
  </si>
  <si>
    <t>非消极无为：###承认规律的客观性###，并非说人在规律面前无能为力、无所作为（填写正确观点）</t>
  </si>
  <si>
    <t>###人的能动作用###（填写人的能力）</t>
  </si>
  <si>
    <t>能够认识规律：###人能够通过自觉活动去认识规律###（填写人的能力）</t>
  </si>
  <si>
    <t>能够改造世界：并能###按照客观规律去改造世界###，以满足自身的需要（填写改造世界的方式）</t>
  </si>
  <si>
    <t>四、实例：自然生态系统的治理</t>
  </si>
  <si>
    <t>生态系统的基本属性</t>
  </si>
  <si>
    <t>有机生命躯体：###自然生态系统是一个有机生命躯体###（填写生态系统的比喻或属性）</t>
  </si>
  <si>
    <t>具有客观规律：###有其自身发展演化的客观规律###，要充分尊重和顺应自然（填写生态系统的特点）</t>
  </si>
  <si>
    <t>荒漠治理的辩证实践</t>
  </si>
  <si>
    <t>认识到荒漠的价值：###认识到天然的荒漠也是一种有价值的生态系统###（填写对荒漠的认识）</t>
  </si>
  <si>
    <t>治理实践中的平衡</t>
  </si>
  <si>
    <t>主动治理：###人们在发挥主观能动性治理荒漠化的同时###（填写治理实践）</t>
  </si>
  <si>
    <t>顺应与保留：###也保留了地球上原有的沙漠和荒漠###（填写治理实践的另一面）</t>
  </si>
  <si>
    <t>人与自然的关系</t>
  </si>
  <si>
    <t>一、自然地理环境的基础性地位：作为生存与发展的根本条件</t>
  </si>
  <si>
    <t>永恒且必要的条件：###自然地理环境是人类社会生存和发展永恒的、必要的条件###（填写自然地理环境的地位）</t>
  </si>
  <si>
    <t>生活与生产的自然基础：###是人们生活和生产的自然基础###（填写自然地理环境的作用）</t>
  </si>
  <si>
    <t>二、生态平衡与资源利用的重要性</t>
  </si>
  <si>
    <t>生态平衡的社会作用：###自然生态平衡对社会生活起着重要作用###（填写生态平衡的作用）</t>
  </si>
  <si>
    <t>合理利用与保护的必要性：###合理地利用自然资源，保护生态平衡，是社会得以正常发展的必要条件###（填写必要性）</t>
  </si>
  <si>
    <t>三、人类实践必须遵循自然规律</t>
  </si>
  <si>
    <t>改造世界的双重性</t>
  </si>
  <si>
    <t>按意愿改造：###人类在实践活动中按照自己的意愿改造世界###（填写人类实践的特点）</t>
  </si>
  <si>
    <t>必须遵循规律：的同时###必须遵循自然规律###（填写必须遵循的内容）</t>
  </si>
  <si>
    <t>违背规律的后果：否则将会###导致人与自然关系的失衡###（填写后果）</t>
  </si>
  <si>
    <t>四、马克思的观点及和谐共生的体现</t>
  </si>
  <si>
    <t>马克思的核心主张</t>
  </si>
  <si>
    <t>调节物质变换：###应当合理地调节人与自然之间的物质变换###（填写马克思的主张）</t>
  </si>
  <si>
    <t>最适合的条件：###在最无愧于和最适合人类本性的条件下进行这种物质变换###（填写条件）</t>
  </si>
  <si>
    <t>当代实践的例证</t>
  </si>
  <si>
    <t>“在公园中留荒野”正是###坚持人与自然和谐共生的体现###（填写体现的理念）</t>
  </si>
  <si>
    <t>被积函数偶函数，不定积分不一定是奇函数，但是0下限的变限积分一定是奇函数### ###</t>
  </si>
  <si>
    <t>因为变限积分相反数换元时下限0保持不变，使得被积函数能够原样变回去</t>
  </si>
  <si>
    <t>而不定积分要解决C的浮动问题，因此只有一种情况下是奇函数</t>
  </si>
  <si>
    <t>具体的认识过程可以与一定的实践不完全同步进行，可以超前于直接的实践### ###</t>
  </si>
  <si>
    <t>但这不意味着认识先于人的实践经验</t>
  </si>
  <si>
    <t>史瓦西黑洞先有模型后有观测</t>
  </si>
  <si>
    <t>因为史瓦西基于爱因斯坦对相对论的实践进行了推导</t>
  </si>
  <si>
    <t>社会再生产的核心问题是社会总产品的实现问题### ###</t>
  </si>
  <si>
    <t>也就是，社会总产品的价值补偿和实物补偿问题</t>
  </si>
  <si>
    <t>社会总产品是</t>
  </si>
  <si>
    <t>一个国家或地区在一定时期（通常为一年）内</t>
  </si>
  <si>
    <t>由全社会的物质生产部门（如工业、农业、建筑业等）生产的</t>
  </si>
  <si>
    <t>全部物质资料的总和</t>
  </si>
  <si>
    <t>价值补偿</t>
  </si>
  <si>
    <t>社会总产品的各个组成部分（c、v、m）的价值，通过商品的全部出售，转化为货币形式，用以补偿生产中预付的不变资本和可变资本，并实现剩余价值</t>
  </si>
  <si>
    <t>某工厂生产的机床（属于第 Ⅰ 部类），需要全部卖出，才能收回生产机床所耗费的钢材、电费（c）、工人工资（v），并获得利润（m），完成价值补偿</t>
  </si>
  <si>
    <t>实物补偿</t>
  </si>
  <si>
    <t>实物补偿是指生产中消耗的生产资料和消费资料，通过市场购买，重新转化为再生产所需的物质资料</t>
  </si>
  <si>
    <t>上述工厂卖出机床获得货币后，需要再购买新的钢材、机器零件（补偿 c），同时工人用工资购买食品、衣物（补偿 v 对应的消费需求），资本家也会用剩余价值购买消费资料或追加生产资料，完成实物补偿</t>
  </si>
  <si>
    <t>二战后资本主义变化有几个原因：### ###</t>
  </si>
  <si>
    <t>科技革命和生产力发展（根本推动力）</t>
  </si>
  <si>
    <t>工人斗争</t>
  </si>
  <si>
    <t>社会主义制度优越</t>
  </si>
  <si>
    <t>改良主义政党</t>
  </si>
  <si>
    <t>工商业改造三步的前两步都是四马分肥，第三步是定股定息### ###</t>
  </si>
  <si>
    <t>四马分肥是指利润分给国家、企业、职工和资本家</t>
  </si>
  <si>
    <t>新三民主义成为国共合作共同的政治基础，是因为### ###</t>
  </si>
  <si>
    <t>新三民主义政纲同中国共产党在民主革命阶段纲领基本一致</t>
  </si>
  <si>
    <t>G20约翰内斯堡峰会的主题是团结、平等、可持续### ###</t>
  </si>
  <si>
    <t>国家垄断资本主义的五种形式### ###</t>
  </si>
  <si>
    <t>国营所有</t>
  </si>
  <si>
    <t>国家与私人共有、合营</t>
  </si>
  <si>
    <t>国家参与私人垄断资本再生产包括</t>
  </si>
  <si>
    <t>国家订货</t>
  </si>
  <si>
    <t>国家津贴</t>
  </si>
  <si>
    <t>福利扩大消费</t>
  </si>
  <si>
    <t>宏观调节</t>
  </si>
  <si>
    <t>微观机制</t>
  </si>
  <si>
    <t>法人资本所有制### ###</t>
  </si>
  <si>
    <t>主要存在于当代资本主义经济生活中居支配地位的巨型公司中</t>
  </si>
  <si>
    <t>在性质上是一种基于资本雇佣劳动的垄断资本集体所有制</t>
  </si>
  <si>
    <t>体现了资本剥削雇佣劳动的关系</t>
  </si>
  <si>
    <t>社会主义改造基本完成后，进入社会主义建设时期### ###</t>
  </si>
  <si>
    <t>此时对建设道路的初步探索还未彻底摆脱苏联模式的影响</t>
  </si>
  <si>
    <t>坚持社会主义办学方向，全面把握教育的### ###</t>
  </si>
  <si>
    <t>政治属性</t>
  </si>
  <si>
    <t>人民属性</t>
  </si>
  <si>
    <t>战略属性</t>
  </si>
  <si>
    <t>维新派突破了洋务派中体西用的思想局限，主张改革君主立宪取代君主专制### ###</t>
  </si>
  <si>
    <t>但他们并没有触及封建经济的经济基础，也就是封建土地所有制</t>
  </si>
  <si>
    <t>大革命时期的政治口号“反对帝国主义、反对军阀”是中共提出的### ###</t>
  </si>
  <si>
    <t>中共是国共合作的倡导者和统一战线的组织者，但不是领导者### ###</t>
  </si>
  <si>
    <t>大革命后期的右倾机会主义导致放弃对部分阶级的领导权</t>
  </si>
  <si>
    <t>对武装力量</t>
  </si>
  <si>
    <t>对农民群主</t>
  </si>
  <si>
    <t>对城市小资产阶级</t>
  </si>
  <si>
    <t>对民族资产阶级</t>
  </si>
  <si>
    <t>从根本上说，个人理想是由社会理想规定的### ###</t>
  </si>
  <si>
    <t>实践论的起点是《关于费尔巴哈的提纲》### ###</t>
  </si>
  <si>
    <t>历史唯物论的首次系统参数是《德意志意识形态》### ###</t>
  </si>
  <si>
    <t>人的本质是一切社会关系的总和### ###</t>
  </si>
  <si>
    <t>超额利润和社会平均利润的区别### ###</t>
  </si>
  <si>
    <t>超额利润：个别优势</t>
  </si>
  <si>
    <t>平均利润：长期正常回报</t>
  </si>
  <si>
    <t>李大钊的《我的马克思主义观》标志着马克思主义在中国进入比较系统的传播阶段### ###</t>
  </si>
  <si>
    <t>三湾改编确立了支部建在连上的原则### ###</t>
  </si>
  <si>
    <t>确立了党对军队的绝对领导</t>
  </si>
  <si>
    <t>但是军队如何建设，还没有运用思想建军</t>
  </si>
  <si>
    <t>这一说法是在古田会议（1929年，三湾改编2年后）上提出的</t>
  </si>
  <si>
    <t>军队的制度只是粗浅地提升了士兵的民主权利，还没有系统性的民主制度</t>
  </si>
  <si>
    <t>民主集中制是六大（1928年，三湾改编1年后）才提出的</t>
  </si>
  <si>
    <t>适用全党而非仅针对军队</t>
  </si>
  <si>
    <t>三主体三补充为克服苏联模式弊端提供了重要启示### ###</t>
  </si>
  <si>
    <t>全面依法治国的总抓手是建设中国特色社会主义法治体系### ###</t>
  </si>
  <si>
    <t>中央周边工作会议首次提出亚洲安全模式### ###</t>
  </si>
  <si>
    <t>人的认识能力的有限性和无限性的统一### ###</t>
  </si>
  <si>
    <t>人的生命有限、精力有限，无法穷尽所有知识</t>
  </si>
  <si>
    <t>人类整体认识能力无限</t>
  </si>
  <si>
    <t>马恩批判资本主义时，并不会对未来社会的各种细节作具体描绘### ###</t>
  </si>
  <si>
    <t>苏联完成社会主义采取一举过渡，而我们采用逐步过渡### ###</t>
  </si>
  <si>
    <t>产学研用协同创新体系并不是政府主导的### ###</t>
  </si>
  <si>
    <t>我国对宗教的方针政策有激发宗教界主动作为、自我变革### ###</t>
  </si>
  <si>
    <t>五四运动实现了中国人民和中华民族自鸦片战争以来的第一次全面觉醒### ###</t>
  </si>
  <si>
    <t>辛亥革命### ###</t>
  </si>
  <si>
    <t>是中国人民为救亡图存、振兴中华而奋起革命的一座里程碑</t>
  </si>
  <si>
    <t>是一次比较完全意义上的资产阶级民主革命</t>
  </si>
  <si>
    <t>统一战线瓦窑堡，洛川会议全民族### ###</t>
  </si>
  <si>
    <t>亚太经和32次会议，老大提出三条建议### ###</t>
  </si>
  <si>
    <t>强化数智赋能，塑造亚太创新发展新优势</t>
  </si>
  <si>
    <t>坚持绿色低碳，打造亚太可持续发展新范式</t>
  </si>
  <si>
    <t>落实普惠共享，展现亚太包容发展新气象</t>
  </si>
  <si>
    <t>为什么要铸牢中华民族共同体意识### ###</t>
  </si>
  <si>
    <t>一、主线定位：工作的核心</t>
  </si>
  <si>
    <t>铸牢中华民族共同体意识是新时代党的民族工作的###主线###（填写工作定位）</t>
  </si>
  <si>
    <t>是民族地区各项工作的###主线###（填写工作定位）</t>
  </si>
  <si>
    <t>二、与共同体建设的关系：互为因果</t>
  </si>
  <si>
    <t>建设的落脚点：###推进中华民族共同体建设###（填写建设任务）是铸牢中华民族共同体意识的落脚点</t>
  </si>
  <si>
    <t>意识的核心性：###铸牢中华民族共同体意识###（填写核心任务）则是推进中华民族共同体建设的核心</t>
  </si>
  <si>
    <t>三、历史与法理基础</t>
  </si>
  <si>
    <t>国家的本质：中国是全国各族人民共同缔造的###统一的多民族国家###（填写国家性质）</t>
  </si>
  <si>
    <t>形成的必然性：中华民族共同体的形成是中华民族历史发展的###必然结果###（填写历史发展属性）</t>
  </si>
  <si>
    <t>四、铸牢意识的多重重要意义</t>
  </si>
  <si>
    <t>首要意义：###构筑思想长城###（填写首要意义）</t>
  </si>
  <si>
    <t>只有铸牢中华民族共同体意识</t>
  </si>
  <si>
    <t>才能构建起###维护国家统一和民族团结###（填写构筑目标）的坚固思想长城</t>
  </si>
  <si>
    <t>第二意义：增进认同与夯实基础</t>
  </si>
  <si>
    <t>增进自觉认同：才能增进各民族对中华民族的###自觉认同###（填写增进目标）</t>
  </si>
  <si>
    <t>务实思想基础：务实我国民族关系发展的###思想基础###（填写夯实内容）</t>
  </si>
  <si>
    <t>第三意义：应对风险与提供保证</t>
  </si>
  <si>
    <t>有效应对挑战：才能有效应对实现中华民族伟大复兴过程中民族领域可能发生的###风险挑战###（填写应对对象）</t>
  </si>
  <si>
    <t>提供思想保证：为党和国家兴旺发达、长治久安提供重要###思想保证###（填写提供内容）</t>
  </si>
  <si>
    <t>为什么要坚持和完善民族区域自治### ###</t>
  </si>
  <si>
    <t>一、制度的根本定位与作用</t>
  </si>
  <si>
    <t>###基本政治制度###（填写制度属性）：是我国的基本政治制度</t>
  </si>
  <si>
    <t>解决民族问题的内容与保障</t>
  </si>
  <si>
    <t>正确道路的核心内容：是###中国特色解决民族问题的正确道路###（填写道路名称）的重要内容</t>
  </si>
  <si>
    <t>###制度保障###（填写作用）：是中国特色解决民族问题的正确道路的制度保障</t>
  </si>
  <si>
    <t>二、实践成就与制度优越性</t>
  </si>
  <si>
    <t>巨大成就的证明：民族区域自治地区几十年来取得的巨大成就说明该制度具有###优越性###（填写制度特性）</t>
  </si>
  <si>
    <t>制度的核心原则</t>
  </si>
  <si>
    <t>结合统一与自治：坚持###统一和自治相结合###（填写核心原则）</t>
  </si>
  <si>
    <t>结合民族与区域因素：坚持###民族因素和区域因素相结合###（填写核心原则）</t>
  </si>
  <si>
    <t>制度的多重积极效能：促进民族共同目标</t>
  </si>
  <si>
    <t>促进团结奋斗：能够促进各民族###共同团结奋斗###（填写促进目标）</t>
  </si>
  <si>
    <t>促进繁荣发展：能够促进各民族###共同繁荣发展###（填写促进目标）</t>
  </si>
  <si>
    <t>巩固国家统一：有利于巩固###国家统一###（填写巩固对象）</t>
  </si>
  <si>
    <t>增强民族凝聚力：有利于增强###中华民族凝聚力###（填写增强对象）</t>
  </si>
  <si>
    <t>推动共同繁荣：有利于各民族###共同繁荣发展###（填写推动目标）</t>
  </si>
  <si>
    <t>三、对制度的总结与立场</t>
  </si>
  <si>
    <t>###显著优越性###（填写制度特性）：该制度具有显著优越性</t>
  </si>
  <si>
    <t>根本态度与要求：应当###坚持和完善###（填写根本态度）</t>
  </si>
  <si>
    <t>辛亥革命是伟大而艰辛的探索### ###</t>
  </si>
  <si>
    <t>一、鸦片战争后的社会性质与民族梦想</t>
  </si>
  <si>
    <t>社会性质的转变</t>
  </si>
  <si>
    <t>外部入侵与内部统治：1840年鸦片战争后，西方列强入侵，封建统治腐败</t>
  </si>
  <si>
    <t>社会性质的质变：中国逐步成为###半殖民地半封建社会###（填写社会性质）</t>
  </si>
  <si>
    <t>民族劫难与伟大梦想的诞生</t>
  </si>
  <si>
    <t>空前劫难：中国人民和中华民族遭受了前所未有的劫难</t>
  </si>
  <si>
    <t>梦想的起点：从那时起，实现###中华民族伟大复兴###（填写伟大梦想）就成为中华民族最伟大的梦想</t>
  </si>
  <si>
    <t>二、辛亥革命：近代民族民主革命的序幕：革命的开端</t>
  </si>
  <si>
    <t>标志性事件：1911年10月10日，武昌城头枪声一响</t>
  </si>
  <si>
    <t>双重序幕的拉开</t>
  </si>
  <si>
    <t>拉开了中国完全意义上的###近代民族民主革命###（填写革命类型）的序幕</t>
  </si>
  <si>
    <t>近代以来中国发生的###深刻社会变革###（填写变革性质）也由此拉开了序幕</t>
  </si>
  <si>
    <t>三、辛亥革命的多重历史意义</t>
  </si>
  <si>
    <t>政治制度的终结</t>
  </si>
  <si>
    <t>推翻了###清朝政府###（填写推翻对象）</t>
  </si>
  <si>
    <t>结束了在中国延续几千年的###君主专制制度###（填写结束的制度）</t>
  </si>
  <si>
    <t>思想的解放与统治根基的撼动</t>
  </si>
  <si>
    <t>促进思想解放：极大促进了中华民族的###思想解放###（填写促进内容）</t>
  </si>
  <si>
    <t>撼动统治秩序：撼动了###反动统治秩序的根基###（填写撼动对象）</t>
  </si>
  <si>
    <t>推动社会变革与探索复兴道路</t>
  </si>
  <si>
    <t>变革的推动力：以巨大的震撼力和深刻的影响力推动了###中国社会变革###（填写推动对象）</t>
  </si>
  <si>
    <t>道路的探索：为实现###中华民族伟大复兴###（填写探索目标）探索了道路</t>
  </si>
  <si>
    <t>四、辛亥革命的局限性</t>
  </si>
  <si>
    <t>未改变的社会性质与人民命运</t>
  </si>
  <si>
    <t>但是，辛亥革命未能改变中国###半殖民地半封建的社会性质###（填写未改变的性质）</t>
  </si>
  <si>
    <t>未能改变中国人民的###悲惨命运###（填写未改变的命运）</t>
  </si>
  <si>
    <t>新的历史迫切需求</t>
  </si>
  <si>
    <t>需要新思想：中国迫切需要###新的思想###（填写迫切需求）引领救亡运动</t>
  </si>
  <si>
    <t>需要新组织：迫切需要###新的组织###（填写迫切需求）凝聚革命力量</t>
  </si>
  <si>
    <t>中共是孙中山革命事业的支持者和继承者### ###</t>
  </si>
  <si>
    <t>一、历史继承：完成孙中山的未竟事业</t>
  </si>
  <si>
    <t>孙中山先生生前：坚定支持：中国共产党人坚定支持他的事业</t>
  </si>
  <si>
    <t>孙中山先生身后</t>
  </si>
  <si>
    <t>忠实继承###遗志###（填写继承内容）</t>
  </si>
  <si>
    <t>付出牺牲：忠实继承孙中山先生的遗志，付出###巨大牺牲###（填写付出内容）</t>
  </si>
  <si>
    <t>完成未竟事业：完成了孙中山先生的###未竟事业###（填写完成内容）</t>
  </si>
  <si>
    <t>取得革命胜利</t>
  </si>
  <si>
    <t>新民主主义革命：取得了###新民主主义革命胜利###（填写革命成就）</t>
  </si>
  <si>
    <t>建立新中国：建立了###人民当家作主的中华人民共和国###（填写国家性质）</t>
  </si>
  <si>
    <t>实现独立解放：实现了###民族独立、人民解放###（填写实现目标）</t>
  </si>
  <si>
    <t>基础上的继续奋斗</t>
  </si>
  <si>
    <t>完成社会主义革命：完成了###社会主义革命###（填写革命阶段）</t>
  </si>
  <si>
    <t>确立社会主义制度：确立了###社会主义制度###（填写确立的制度）</t>
  </si>
  <si>
    <t>二、当今发展：超越蓝图的现实成就</t>
  </si>
  <si>
    <t>成就的创造主体与基础：党的领导与人民奋斗：在###中国共产党领导###（填写成就根本保证）下，在全国各族人民顽强奋斗下</t>
  </si>
  <si>
    <t>对孙中山蓝图的实现与超越</t>
  </si>
  <si>
    <t>蓝图早已实现：孙中山先生当年描绘的###蓝图###（填写实现对象）早已实现</t>
  </si>
  <si>
    <t>成就远超设想：中国人民创造的许多###成就###（填写超出对象）远远超出了孙中山先生的设想</t>
  </si>
  <si>
    <t>国家的现实状态：巍然屹立东方：孙中山先生致力于建设的###独立、民主、富强的国家###（填写国家建设目标）早已巍然屹立在世界东方</t>
  </si>
  <si>
    <t>民族复兴的历史方位</t>
  </si>
  <si>
    <t>更接近目标：我们比历史上任何时候都更接近###中华民族伟大复兴的目标###（填写接近对象）</t>
  </si>
  <si>
    <t>更有信心能力：比历史上任何时期都更有信心、有能力实现###这个目标###（填写实现对象）</t>
  </si>
  <si>
    <t>人民群众的实践是正确认识的来源### ###</t>
  </si>
  <si>
    <t>1952土改后，工商改造（社会主义改造完成）前，1956改造全部完成### ###</t>
  </si>
  <si>
    <t>土改后资本主义还是存在，1952工商业改造开始</t>
  </si>
  <si>
    <t>1956改造完，人民需求和生产力才成为矛盾</t>
  </si>
  <si>
    <t>碳达峰是指碳排放不再上涨，碳中和是指净零碳排放### ###</t>
  </si>
  <si>
    <t>净零不是说不排，而是排了能被树木吸收</t>
  </si>
  <si>
    <t>侧重植树绿化、碳捕捉、新能源替代</t>
  </si>
  <si>
    <t>能源绿色低碳转型是关键</t>
  </si>
  <si>
    <t>碳汇能力就是吸收并储存二氧化碳的能力</t>
  </si>
  <si>
    <t>但这个并非碳中和的关键，要小心</t>
  </si>
  <si>
    <t>劳动是财富的源泉，但不是唯一源泉，因为光动手，没有材料也没法创造价值### ###</t>
  </si>
  <si>
    <t>俄国新经济政策和后来的农业集体化无关### ###</t>
  </si>
  <si>
    <t>现代化产业体系的骨干是先进制造业### ###</t>
  </si>
  <si>
    <t>改造国民性置于优先地位是五四前新文化运动的主张### ###</t>
  </si>
  <si>
    <t>五四主张直接改造社会制度</t>
  </si>
  <si>
    <t>抗日游击战的战略意义### ###</t>
  </si>
  <si>
    <t>在外线单独作战，而不是在内线配合正规军的战役作战</t>
  </si>
  <si>
    <t>1957年《正确处理人民内部矛盾的问题》### ###</t>
  </si>
  <si>
    <t>基本矛盾仍然是生产力和生产关系、经济基础和上层建筑的矛盾</t>
  </si>
  <si>
    <t>人民需求和生产力矛盾是1981年（十一届六中，113之后了）</t>
  </si>
  <si>
    <t>TCP的序号补充知识点### ###</t>
  </si>
  <si>
    <t>ISN是指###SYN用的字节序号###（填写ISN定义）</t>
  </si>
  <si>
    <t>SYN和FIN（包括客户端和服务器的）发送后字节序号###加一###（填写序号变化）</t>
  </si>
  <si>
    <t>其它的握手报文###不占用###（填写对序号的影响）</t>
  </si>
  <si>
    <t>重传###不使用新的序号###（填写序号使用规则）</t>
  </si>
  <si>
    <t>最短帧长和最长线缆计算避坑### ###</t>
  </si>
  <si>
    <t>所有额外延时，都算在###碰撞检测的那一方###（填写延时计算对象）</t>
  </si>
  <si>
    <t>发送只算###数据搬到信道的耗时###（填写计算内容）</t>
  </si>
  <si>
    <t>转发器的延时要算###来回###，多帧背景下只算###第一帧###（填写延时计算方式；填写计算帧数）</t>
  </si>
  <si>
    <t>关键是因为发送一旦完成，###碰撞检测###同时结束（填写同时结束的事件）</t>
  </si>
  <si>
    <t>如果碰撞检测过早结束，会导致###收不到检测信号###（填写后果）</t>
  </si>
  <si>
    <t>平凡岗位与实现社会价值### ###</t>
  </si>
  <si>
    <t>一、根本尺度的客观标准：核心依据：是否符合社会规律、促进历史进步</t>
  </si>
  <si>
    <t>实践活动的检验标准：看一个人的实践活动是否###符合社会发展的客观规律###（填写实践活动标准）</t>
  </si>
  <si>
    <t>历史作用的检验标准：看一个人的实践活动是否###促进了历史的进步###（填写历史作用标准）</t>
  </si>
  <si>
    <t>二、当今社会的具体衡量标准：核心标准：为国家社会奉献，为人民服务</t>
  </si>
  <si>
    <t>奉献才智：看一个人是否用自己的劳动和聪明才智###为国家和社会真诚奉献###（填写奉献目标）</t>
  </si>
  <si>
    <t>尽心服务：看一个人是否为###人民群众###（填写服务对象）尽心尽力服务</t>
  </si>
  <si>
    <t>三、对奉献与平凡价值的阐释</t>
  </si>
  <si>
    <t>核心观点：###奉献即成功，平凡孕伟大###（填写核心观点）</t>
  </si>
  <si>
    <t>成功的本质：成功在于###奉献###（填写成功本质）</t>
  </si>
  <si>
    <t>伟大的源泉：平凡孕育###伟大###（填写源泉指向）</t>
  </si>
  <si>
    <t>对普通劳动者的激励与肯定</t>
  </si>
  <si>
    <t>实现价值的前提：只要有###志气、有闯劲###（填写前提条件）</t>
  </si>
  <si>
    <t>实现价值的场域：普通劳动者都可以在宽广舞台上###实现自己的人生价值###（填写实现目标）</t>
  </si>
  <si>
    <t>实现价值的方式：在平凡岗位上###干出不平凡的业绩###（填写实现方式）</t>
  </si>
  <si>
    <t>弘扬志愿精神### ###</t>
  </si>
  <si>
    <t>一、志愿服务的精神内涵</t>
  </si>
  <si>
    <t>核心定义：志愿服务的精神是###奉献、友爱、互助、进步###（填写精神内涵）</t>
  </si>
  <si>
    <t>精神精髓：核心是###奉献###（填写精神精髓）</t>
  </si>
  <si>
    <t>二、志愿服务活动的双重作用</t>
  </si>
  <si>
    <t>对社会的作用</t>
  </si>
  <si>
    <t>直接帮助：###帮助了他人###（填写作用）</t>
  </si>
  <si>
    <t>服务社会：###服务了社会###（填写作用）</t>
  </si>
  <si>
    <t>道德提升：###推动了社会道德水平的提高###（填写作用）</t>
  </si>
  <si>
    <t>对个人的作用</t>
  </si>
  <si>
    <t>视为义务与职责：把为社会和他人的服务看作###自己应尽的义务和光荣的职责###（填写视为内容）</t>
  </si>
  <si>
    <t>获得内在回报</t>
  </si>
  <si>
    <t>得到成就感：从服务社会和帮助他人中获得###成就感###（填写获得内容）</t>
  </si>
  <si>
    <t>得到幸福感：获得###幸福感###（填写获得内容）</t>
  </si>
  <si>
    <t>三、对新时代青年的核心要求</t>
  </si>
  <si>
    <t>结合自身提供服务</t>
  </si>
  <si>
    <t>匹配能力特长：应结合自身的###能力、专业、特长###（填写结合内容）</t>
  </si>
  <si>
    <t>提供优质服务：在最需要的地方提供###优质高效的服务###（填写服务要求）</t>
  </si>
  <si>
    <t>关爱特定群体：为最需要关爱的群体###送温暖、献爱心###（填写关爱方式）</t>
  </si>
  <si>
    <t>实现自我成长：增长###知识与才干###（填写增长内容）</t>
  </si>
  <si>
    <t>在志愿服务中###长知识###（填写成长内容）</t>
  </si>
  <si>
    <t>###强本领###（填写成长内容）</t>
  </si>
  <si>
    <t>###增才干###（填写成长内容）</t>
  </si>
  <si>
    <t>为什么要推进平等有序的世界多极化### ###</t>
  </si>
  <si>
    <t>一、世界多极化的基本定位：当代趋势与历史方向</t>
  </si>
  <si>
    <t>多极化是当今世界的###基本趋势###（填写趋势定位）</t>
  </si>
  <si>
    <t>也是###历史进步的方向###（填写方向定位）</t>
  </si>
  <si>
    <t>二、平等的世界多极化</t>
  </si>
  <si>
    <t>核心原则：国家不分大小强弱，均应在多极化进程中###平等参与、享受权利、发挥作用###（填写核心原则）</t>
  </si>
  <si>
    <t>具体目标与实践方向</t>
  </si>
  <si>
    <t>推进国际关系民主化：切实推进###国际关系民主化###（填写推进目标）</t>
  </si>
  <si>
    <t>增强发展中国家话语权：增强广大发展中国家的###代表性和发言权###（填写增强内容）</t>
  </si>
  <si>
    <t>反对霸权与强权：反对###霸权主义和强权政治###（填写反对对象）</t>
  </si>
  <si>
    <t>三、有序的世界多极化</t>
  </si>
  <si>
    <t>维护的三大核心支柱</t>
  </si>
  <si>
    <t>以联合国为核心：坚定维护###以联合国为核心的国际体系###（填写维护对象）</t>
  </si>
  <si>
    <t>以国际法为基础：维护###以国际法为基础的国际秩序###（填写维护对象）</t>
  </si>
  <si>
    <t>以宪章宗旨原则为基础：维护###以联合国宪章宗旨和原则为基础的国际关系基本准则###（填写维护对象）</t>
  </si>
  <si>
    <t>秉持的理念与反对的倾向</t>
  </si>
  <si>
    <t>秉持###真正多边主义###（填写秉持理念）</t>
  </si>
  <si>
    <t>反对错误倾向</t>
  </si>
  <si>
    <t>反对###阵营化###（填写反对倾向）</t>
  </si>
  <si>
    <t>反对###碎片化###（填写反对倾向）</t>
  </si>
  <si>
    <t>反对###无序化###（填写反对倾向）</t>
  </si>
  <si>
    <t>四、平等有序世界多极化的意义</t>
  </si>
  <si>
    <t>契合普遍诉求：契合了大多数国家和各国民众的###普遍诉求###（填写契合对象）</t>
  </si>
  <si>
    <t>指明未来方向：走向长治久安：为国际社会###从变乱交织走向长治久安###（填写方向转变）指明了方向</t>
  </si>
  <si>
    <t>提供重要路径</t>
  </si>
  <si>
    <t>推动构建全球治理体系：为推动构建###公正合理的全球治理体系###（填写体系性质）提供了重要路径</t>
  </si>
  <si>
    <t>推动构建人类命运共同体：为推动构建###人类命运共同体###（填写共同体类型）提供了重要路径</t>
  </si>
  <si>
    <t>为什么要坚守多边主义### ###</t>
  </si>
  <si>
    <t>一、历史所昭示的核心论断：多边主义的根本定位</t>
  </si>
  <si>
    <t>是人心所向：多边主义是###人心所向###（填写根本定位）</t>
  </si>
  <si>
    <t>是###大势所趋###（填写根本定位）</t>
  </si>
  <si>
    <t>关键依靠：对和平与发展的意义：是世界和平与发展的###重要依靠###（填写关键定位）</t>
  </si>
  <si>
    <t>二、当前世界面临的突出问题</t>
  </si>
  <si>
    <t>三大失衡失序</t>
  </si>
  <si>
    <t>###安全失序###（填写突出问题）</t>
  </si>
  <si>
    <t>###发展失衡###（填写突出问题）</t>
  </si>
  <si>
    <t>###治理失效###（填写突出问题）</t>
  </si>
  <si>
    <t>具体矛盾冲突频发</t>
  </si>
  <si>
    <t>###热点冲突###（填写具体矛盾）</t>
  </si>
  <si>
    <t>###大国对抗###（填写具体矛盾）</t>
  </si>
  <si>
    <t>###地缘矛盾###（填写具体矛盾）</t>
  </si>
  <si>
    <t>引发的普遍忧虑：对未来的担忧：人们对这个星球的未来更为###忧虑###（填写普遍情绪）</t>
  </si>
  <si>
    <t>三、应对变局的必然选择</t>
  </si>
  <si>
    <t>总体形势判断：国际形势###变乱交织###（填写形势特点）</t>
  </si>
  <si>
    <t>应对挑战的根本路径</t>
  </si>
  <si>
    <t>针对当下：应对当前全球性挑战，多边主义是###必然选择###（填写选择定位）</t>
  </si>
  <si>
    <t>面向未来：共创人类美好明天，多边主义是###必然选择###（填写选择定位）</t>
  </si>
  <si>
    <t>为什么说“中国是世界绿色发展的坚定行动派、重要贡献者”### ###</t>
  </si>
  <si>
    <t>一、中国参与全球气候治理的基础与立场</t>
  </si>
  <si>
    <t>1.1 国际公约参与基石</t>
  </si>
  <si>
    <t>1.1.1 早期缔约与率先行动</t>
  </si>
  <si>
    <t>作为《联合国气候变化框架公约》首批缔约方、《巴黎协定》最早签署和批准国，奠定参与全球气候治理的制度基础。</t>
  </si>
  <si>
    <t>1.1.2 庄严承诺及落地实践</t>
  </si>
  <si>
    <t>主动作出碳达峰碳中和承诺并转化为具体行动，彰显气候治理的决心与行动力。</t>
  </si>
  <si>
    <t>1.2 全球治理责任立场</t>
  </si>
  <si>
    <t>1.2.1 文明责任高度定位</t>
  </si>
  <si>
    <t>立足对人类文明负责的宏观视角，主动参与国际合作与全球气候治理。</t>
  </si>
  <si>
    <t>1.2.2 核心理念引领方向</t>
  </si>
  <si>
    <t>提出 “共建地球生命共同体”，为全球气候治理提供价值共识。</t>
  </si>
  <si>
    <t>二、中国引领全球气候治理的实践与贡献</t>
  </si>
  <si>
    <t>2.1 关键领域国际合作推进</t>
  </si>
  <si>
    <t>2.1.1 气候变化应对协作</t>
  </si>
  <si>
    <t>深化应对气候变化领域国际合作，分享中国经验与技术。</t>
  </si>
  <si>
    <t>2.1.2 海洋与生物治理行动</t>
  </si>
  <si>
    <t>积极参与海洋污染治理、生物多样性保护等跨界合作，拓展治理维度。</t>
  </si>
  <si>
    <t>2.1.3 治理进程信心注入</t>
  </si>
  <si>
    <t>在全球气候治理困境中，宣布新一轮国家自主贡献，为进程注入信心与希望。</t>
  </si>
  <si>
    <t>2.2 生态文明的中国方案输出</t>
  </si>
  <si>
    <t>2.2.1 核心理念全球传播</t>
  </si>
  <si>
    <t>倡导 “绿水青山就是金山银山” 理念，回应生态文明建设的世界之问。</t>
  </si>
  <si>
    <t>2.2.2 发展保护关系新路径</t>
  </si>
  <si>
    <t>为各国平衡经济发展与生态保护提供可借鉴的实践方案。</t>
  </si>
  <si>
    <t>2.3 治理角色的历史性转变</t>
  </si>
  <si>
    <t>2.3.1 从参与者到引领者</t>
  </si>
  <si>
    <t>通过持续行动实现角色升级，成为全球气候治理的关键引领力量。</t>
  </si>
  <si>
    <t>2.3.2 大国担当的具象体现</t>
  </si>
  <si>
    <t>以实际合作与理念输出，践行大国责任，推动全球气候治理向前发展。</t>
  </si>
  <si>
    <t>如何理解“向善惠民，始终是科技创新的价值取向”### ###</t>
  </si>
  <si>
    <t>一、科学技术是推动社会进步的重要力量</t>
  </si>
  <si>
    <t>根本作用：科学技术是推动社会文明进步的重要力量</t>
  </si>
  <si>
    <t>科技革命的影响</t>
  </si>
  <si>
    <t>引发深刻变化：每一次科技革命，都不同程度地引起生产方式、生活方式和思维方式的深刻变化</t>
  </si>
  <si>
    <t>推动社会进步：引起社会的巨大进步</t>
  </si>
  <si>
    <t>二、科学技术的双重性影响</t>
  </si>
  <si>
    <t>积极影响：造福人类：能够通过促进经济和社会发展以造福于人类</t>
  </si>
  <si>
    <t>消极影响：潜在后果：也可能在一定条件下对人类的生存和发展带来消极后果</t>
  </si>
  <si>
    <t>三、科学技术作用发挥的影响因素</t>
  </si>
  <si>
    <t>受客观条件制约</t>
  </si>
  <si>
    <t>社会制度：受到社会制度等客观条件的影响</t>
  </si>
  <si>
    <t>利益关系：受到利益关系的影响</t>
  </si>
  <si>
    <t>受主观条件制约：观念与认识水平：受到人们的观念和认识水平等主观条件的影响</t>
  </si>
  <si>
    <t>四、正确认识和运用科学技术的首要原则</t>
  </si>
  <si>
    <t>核心保障：合理的社会制度：首要的就是有合理的社会制度保障科学技术的正确运用</t>
  </si>
  <si>
    <t>根本宗旨：服务人类健康发展：始终坚持使科学技术为人类的健康发展服务</t>
  </si>
  <si>
    <t>最终目标：让科技为人类造福</t>
  </si>
  <si>
    <t>五、实践活动中的尺度统一</t>
  </si>
  <si>
    <t>实践的双重尺度制约：人们的实践活动总是受着真理尺度和价值尺度的制约</t>
  </si>
  <si>
    <t>成功实践的本质</t>
  </si>
  <si>
    <t>尺度统一：任何成功的实践都是真理尺度和价值尺度的统一</t>
  </si>
  <si>
    <t>规律与目的统一：是合规律性和合目的性的统一</t>
  </si>
  <si>
    <t>实践中的尺度应用与科技向善</t>
  </si>
  <si>
    <t>按自身尺度行动：在实践中人们都是按照自己的尺度和需要去认识世界和改造世界</t>
  </si>
  <si>
    <t>推动科技向善惠民</t>
  </si>
  <si>
    <t>符合价值尺度：只有推动科技创新向善惠民，才能符合价值尺度</t>
  </si>
  <si>
    <t>达到尺度统一：从而达到真理尺度和价值尺度的统一</t>
  </si>
  <si>
    <t>为什么在鼓励创新的同时也要宽容失败#### ###</t>
  </si>
  <si>
    <t>第一部分：认识过程中真理与谬误的辩证转化</t>
  </si>
  <si>
    <t>一、转化的前提条件</t>
  </si>
  <si>
    <t>1. 基本规律</t>
  </si>
  <si>
    <t>真理与谬误、成功与失败可在一定条件下相互转化</t>
  </si>
  <si>
    <t>二、错误与失败的先导作用</t>
  </si>
  <si>
    <t>1. 先导关系</t>
  </si>
  <si>
    <t>在认识探索中，错误常是正确先导</t>
  </si>
  <si>
    <t>2. 母子关系</t>
  </si>
  <si>
    <t>失败常为成功之母</t>
  </si>
  <si>
    <t>3. 途径方法</t>
  </si>
  <si>
    <t>总结失败教训，是获得真理、消除谬误的重要途径</t>
  </si>
  <si>
    <t>三、通过修正错误达成正确认识</t>
  </si>
  <si>
    <t>1. 犯错误的普遍性</t>
  </si>
  <si>
    <t>因认识复杂曲折及条件限制，人人可能犯错误</t>
  </si>
  <si>
    <t>2. 修正错误的过程</t>
  </si>
  <si>
    <t>但吃一堑长一智，勇于正视、反省并修正错误</t>
  </si>
  <si>
    <t>3. 最终结果</t>
  </si>
  <si>
    <t>终能取得对事物规律的正确认识</t>
  </si>
  <si>
    <t>4. 转化实现</t>
  </si>
  <si>
    <t>从而使错误转为正确，谬误转为真理</t>
  </si>
  <si>
    <t>四、谬误向真理转化的形式</t>
  </si>
  <si>
    <t>1. 转化形式之一</t>
  </si>
  <si>
    <t>在批判谬误中发展真理，是谬误转化为真理的一种形式</t>
  </si>
  <si>
    <t>第二部分：事物发展的前进性与曲折性</t>
  </si>
  <si>
    <t>一、发展的根本特征</t>
  </si>
  <si>
    <t>1. 对立统一</t>
  </si>
  <si>
    <t>事物发展是前进性与曲折性的统一</t>
  </si>
  <si>
    <t>二、新事物发展的必然与现实</t>
  </si>
  <si>
    <t>1. 困难不可避免</t>
  </si>
  <si>
    <t>新事物发展中难免遇到困难</t>
  </si>
  <si>
    <t>2. 总趋势不变</t>
  </si>
  <si>
    <t>但社会历史前进的总趋势不变</t>
  </si>
  <si>
    <t>三、对待发展的正确态度</t>
  </si>
  <si>
    <t>1. 保持信心勇气</t>
  </si>
  <si>
    <t>任何时候都不能失去开拓前进的信心和勇气。</t>
  </si>
  <si>
    <t>2. 重视对待曲折</t>
  </si>
  <si>
    <t>同时要高度重视并认真对待前进中的曲折。</t>
  </si>
  <si>
    <t>3. 推动社会发展</t>
  </si>
  <si>
    <t>在应对挑战和解决矛盾中推动社会发展。</t>
  </si>
  <si>
    <t>将新发展理念“贯穿发展全过程和各领域”### ###</t>
  </si>
  <si>
    <t>本质与核心地位</t>
  </si>
  <si>
    <t>根本属性</t>
  </si>
  <si>
    <t>是管全局、管根本、管方向、管长远的东西</t>
  </si>
  <si>
    <t>集中体现</t>
  </si>
  <si>
    <t>是发展思路、发展方式、发展着力点的集中体现</t>
  </si>
  <si>
    <t>决定性作用</t>
  </si>
  <si>
    <t>从根本上决定着发展成效乃至成败</t>
  </si>
  <si>
    <t>新发展理念的内涵与贡献</t>
  </si>
  <si>
    <t>回答核心发展问题</t>
  </si>
  <si>
    <t>回答了关于发展的目的、动力、方式、路径等一系列理论和实践问题</t>
  </si>
  <si>
    <t>深化对经济规律的认识</t>
  </si>
  <si>
    <t>深化了我们党对中国特色社会主义经济发展规律的认识</t>
  </si>
  <si>
    <t>开拓理论新境界</t>
  </si>
  <si>
    <t>开拓了中国特色社会主义政治经济学新境界</t>
  </si>
  <si>
    <t>新发展理念的实践引领</t>
  </si>
  <si>
    <t>明确发展主题</t>
  </si>
  <si>
    <t>引领我们以推动高质量发展为主题</t>
  </si>
  <si>
    <t>推动三大变革</t>
  </si>
  <si>
    <t>推动质量变革</t>
  </si>
  <si>
    <t>推动效率变革</t>
  </si>
  <si>
    <t>推动动力变革</t>
  </si>
  <si>
    <t>切实转变发展方式</t>
  </si>
  <si>
    <t>实现发展模式转型</t>
  </si>
  <si>
    <t>转变方向</t>
  </si>
  <si>
    <t>推动中国经济逐步向更高质量、更加平衡、更具可持续性的增长模式转变</t>
  </si>
  <si>
    <t>转变内涵</t>
  </si>
  <si>
    <t>实现质的有效提升</t>
  </si>
  <si>
    <t>实现量的合理增长</t>
  </si>
  <si>
    <t>展现强大韧性活力</t>
  </si>
  <si>
    <t>外部环境</t>
  </si>
  <si>
    <t>在充满不确定的世界里</t>
  </si>
  <si>
    <t>展现结果</t>
  </si>
  <si>
    <t>展现出强大韧性</t>
  </si>
  <si>
    <t>展现出活力</t>
  </si>
  <si>
    <t>实现历史性跨越</t>
  </si>
  <si>
    <t>实现了历史性的跨越和蝶变</t>
  </si>
  <si>
    <t>新时代青年应当如何选择职业和工作岗位，为中国式现代化建设贡献青春力量### ###</t>
  </si>
  <si>
    <t>一、树立崇高职业理想：锚定职业价值坐标</t>
  </si>
  <si>
    <t>1.1 核心内涵</t>
  </si>
  <si>
    <t>1.1.1 职业活动的双重属性</t>
  </si>
  <si>
    <t>既是满足生存需求的谋生手段，更是奉献社会、实现自我完善的价值载体。</t>
  </si>
  <si>
    <t>1.1.2 理想的核心指向</t>
  </si>
  <si>
    <t>超越物质层面，将职业追求与个人价值、社会价值相统一。</t>
  </si>
  <si>
    <t>1.2 实践指向</t>
  </si>
  <si>
    <t>1.2.1 价值排序</t>
  </si>
  <si>
    <t>以奉献精神为引领，避免职业选择的功利化倾向。</t>
  </si>
  <si>
    <t>1.2.2 目标锚定</t>
  </si>
  <si>
    <t>将个人职业理想融入社会发展大局，明确职业成长的精神内核。</t>
  </si>
  <si>
    <t>二、服从社会发展需要：校准职业选择方位</t>
  </si>
  <si>
    <t>2.1 核心逻辑</t>
  </si>
  <si>
    <t>2.1.1 个人与社会的辩证关系</t>
  </si>
  <si>
    <t>个人职业发展依赖社会平台，社会进步需要个体力量支撑。</t>
  </si>
  <si>
    <t>2.1.2 现实考量的必要性</t>
  </si>
  <si>
    <t>职业选择需兼顾主观意愿与客观条件，避免脱离实际的空想。</t>
  </si>
  <si>
    <t>2.2 落地要求</t>
  </si>
  <si>
    <t>2.2.1 多元考量维度</t>
  </si>
  <si>
    <t>综合分析社会需求、行业趋势、自身优势及现实可能性。</t>
  </si>
  <si>
    <t>2.2.2 动态平衡策略</t>
  </si>
  <si>
    <t>在个人兴趣与社会需求间寻找结合点，主动适配时代发展需要。</t>
  </si>
  <si>
    <t>三、秉持劳动创造理念：夯实职业成长根基</t>
  </si>
  <si>
    <t>3.1 价值认知</t>
  </si>
  <si>
    <t>3.1.1 幸福的本质来源</t>
  </si>
  <si>
    <t>明确劳动是创造美好生活的唯一路径，摒弃 “躺平”“佛系” 心态。</t>
  </si>
  <si>
    <t>3.1.2 职业成长的核心密码</t>
  </si>
  <si>
    <t>劳动实践是提升能力、积累经验的根本途径。</t>
  </si>
  <si>
    <t>3.2 行动准则</t>
  </si>
  <si>
    <t>3.2.1 职业态度</t>
  </si>
  <si>
    <t>秉持 “干一行、爱一行、钻一行” 的敬业精神，杜绝敷衍懈怠。</t>
  </si>
  <si>
    <t>3.2.2 实践路径</t>
  </si>
  <si>
    <t>脚踏实地深耕岗位，在具体工作中锤炼本领、实现成长。</t>
  </si>
  <si>
    <t>四、新时代青年的职业担当与青春使命</t>
  </si>
  <si>
    <t>4.1 核心素养培育</t>
  </si>
  <si>
    <t>4.1.1 内在支撑</t>
  </si>
  <si>
    <t>坚定理想信念，厚植家国情怀，强化责任担当。</t>
  </si>
  <si>
    <t>4.1.2 能力保障</t>
  </si>
  <si>
    <t>主动练就过硬本领，发扬艰苦奋斗的实干精神。</t>
  </si>
  <si>
    <t>4.2 价值践行</t>
  </si>
  <si>
    <t>4.2.1 方向选择</t>
  </si>
  <si>
    <t>主动到祖国和人民最需要的领域建功立业。</t>
  </si>
  <si>
    <t>4.2.2 终极目标</t>
  </si>
  <si>
    <t>以青春之力赋能中国式现代化建设，实现个人与国家的同频发展。</t>
  </si>
  <si>
    <t>结合构建人类命运共同体理念和行动，说明中国作为“赋能型大国”如何在世界百年变局中“提供了稳定性和确定性”### ###</t>
  </si>
  <si>
    <t>一、人类命运共同体的核心内涵与目标指向</t>
  </si>
  <si>
    <t>1.1 核心定义</t>
  </si>
  <si>
    <t>聚焦全球共同利益，携手各国人民构建休戚与共的命运共同体。</t>
  </si>
  <si>
    <t>1.2 五大目标维度</t>
  </si>
  <si>
    <t>1.2.1 持久和平</t>
  </si>
  <si>
    <t>摒弃冲突对抗，构建平等协商的国际和平秩序。</t>
  </si>
  <si>
    <t>1.2.2 普遍安全</t>
  </si>
  <si>
    <t>反对霸权霸凌，打造共同安全、综合安全的全球安全架构。</t>
  </si>
  <si>
    <t>1.2.3 共同繁荣</t>
  </si>
  <si>
    <t>打破发展鸿沟，推动全球发展成果公平共享。</t>
  </si>
  <si>
    <t>1.2.4 开放包容</t>
  </si>
  <si>
    <t>超越文明隔阂，促进不同文明交流互鉴。</t>
  </si>
  <si>
    <t>1.2.5 清洁美丽</t>
  </si>
  <si>
    <t>应对环境挑战，共建人与自然和谐共生的地球家园。</t>
  </si>
  <si>
    <t>二、中国的双重角色：理念倡导者与行动践行者</t>
  </si>
  <si>
    <t>2.1 理念引领者</t>
  </si>
  <si>
    <t>率先提出人类命运共同体理念，为全球发展指明方向。</t>
  </si>
  <si>
    <t>2.2 多边主义行动派</t>
  </si>
  <si>
    <t>2.2.1 坚持共商共建共享</t>
  </si>
  <si>
    <t>以真正多边主义推动全球治理体系变革。</t>
  </si>
  <si>
    <t>2.2.2 贡献中国方案</t>
  </si>
  <si>
    <t>提出全球发展倡议、全球安全倡议、全球文明倡议等四大倡议，赋能全球治理。</t>
  </si>
  <si>
    <t>三、中国赋能全球的实践支撑</t>
  </si>
  <si>
    <t>3.1 世界经济的稳定器与动力源</t>
  </si>
  <si>
    <t>3.1.1 自身发展赋能全球</t>
  </si>
  <si>
    <t>通过持续健康发展为世界提供市场、产品与投资机遇。</t>
  </si>
  <si>
    <t>3.1.2 主动扩大开放</t>
  </si>
  <si>
    <t>连续缩减外资准入负面清单，优化营商环境</t>
  </si>
  <si>
    <t>高质量举办进博会，主动分享中国市场红利</t>
  </si>
  <si>
    <t>扩大优质产品与服务进口，助力全球贸易平衡</t>
  </si>
  <si>
    <t>3.2 全球秩序的维护力量</t>
  </si>
  <si>
    <t>坚定做世界和平建设者、全球发展贡献者，践行四大全球倡议。</t>
  </si>
  <si>
    <t>四、变乱世界中的中国担当：注入确定性与稳定性</t>
  </si>
  <si>
    <t>4.1 回应全球稀缺需求</t>
  </si>
  <si>
    <t>针对世界变乱交织现状，以自身确定性对冲全球不确定性。</t>
  </si>
  <si>
    <t>4.2 未来行动方向</t>
  </si>
  <si>
    <t>4.2.1 坚守赋能型大国定位</t>
  </si>
  <si>
    <t>持续以自身发展和对外政策稳定性增添全球信心。</t>
  </si>
  <si>
    <t>4.2.2 深化命运共同体实践</t>
  </si>
  <si>
    <t>推动四大全球倡议落地，引领全球走向更美好的未来。</t>
  </si>
  <si>
    <t>如何理解中国能够“以高质量发展的确定性应对各种不确定性”</t>
  </si>
  <si>
    <t>高质量发展是全面建设社会主义现代化国家的首要任务</t>
  </si>
  <si>
    <t>一、高质量发展的基本定义与时代定位</t>
  </si>
  <si>
    <t>“十五五”时期的主题</t>
  </si>
  <si>
    <t>高质量发展是“十五五”时期我国经济社会发展的主题。</t>
  </si>
  <si>
    <t>现代化建设的首要任务</t>
  </si>
  <si>
    <t>是全面建设社会主义现代化国家的首要任务。</t>
  </si>
  <si>
    <t>二、高质量发展的核心内涵</t>
  </si>
  <si>
    <t>满足人民美好生活需要</t>
  </si>
  <si>
    <t>是能够很好满足人民日益增长的美好生活需要的发展。</t>
  </si>
  <si>
    <t>体现新发展理念</t>
  </si>
  <si>
    <t>是体现新发展理念的发展。</t>
  </si>
  <si>
    <t>发展导向的转变</t>
  </si>
  <si>
    <t>是经济发展从“有没有”转向“好不好”。</t>
  </si>
  <si>
    <t>三、高质量发展的重大意义</t>
  </si>
  <si>
    <t>提供物质基础</t>
  </si>
  <si>
    <t>为全面建设社会主义现代化国家提供更为坚实的物质基础。</t>
  </si>
  <si>
    <t>满足人民需要</t>
  </si>
  <si>
    <t>是不断满足人民对美好生活需要的重要保证。</t>
  </si>
  <si>
    <t>维护国家安全</t>
  </si>
  <si>
    <t>是维护国家长治久安的必然要求。</t>
  </si>
  <si>
    <t>中国以高质量发展的确定性应对不确定性的原因</t>
  </si>
  <si>
    <t>一、我国发展战略的确定性</t>
  </si>
  <si>
    <t>确保了中国经济始终保持既定方向。</t>
  </si>
  <si>
    <t>二、我国宏观政策的确定性</t>
  </si>
  <si>
    <t>确保了中国经济有条件平稳运行。</t>
  </si>
  <si>
    <t>三、我国市场空间的确定性</t>
  </si>
  <si>
    <t>确保了中国经济未来成长潜力巨大。</t>
  </si>
  <si>
    <t>四、我国发展韧性的确定性</t>
  </si>
  <si>
    <t>确保了中国经济经得住惊涛骇浪。</t>
  </si>
  <si>
    <t>五、我国投资环境的确定性</t>
  </si>
  <si>
    <t>确保了中国经济始终是各类企业投资兴业的沃土。</t>
  </si>
  <si>
    <t>如何理解“中国人民抗日战争，从一开始就具有拯救人类文明、保卫世界和平的重大意义”### ###</t>
  </si>
  <si>
    <t>一、法西斯侵略背景与日本的角色</t>
  </si>
  <si>
    <t>法西斯侵略同盟的核心野心</t>
  </si>
  <si>
    <t>全球征服目标</t>
  </si>
  <si>
    <t>侵略本质：法西斯侵略同盟以征服世界为根本野心，推行野蛮的扩张政策。</t>
  </si>
  <si>
    <t>日本：法西斯东方策源地</t>
  </si>
  <si>
    <t>日本法西斯的敌人属性</t>
  </si>
  <si>
    <t>双重敌对身份：日本法西斯侵略者既是中国人民的直接敌人，也是破坏世界和平的世界人民公敌。</t>
  </si>
  <si>
    <t>二、中国人民抗日战争的历程与定位</t>
  </si>
  <si>
    <t>中国抗战的初心与使命</t>
  </si>
  <si>
    <t>抗战的三重价值追求</t>
  </si>
  <si>
    <t>核心奋斗目标：中国人民抗日战争自爆发起，便承载着为国家生存、民族复兴、人类正义而战的使命</t>
  </si>
  <si>
    <t>中国抗战的关键节点与历史贡献</t>
  </si>
  <si>
    <t>1931年九一八事变：反法西斯战争的起点</t>
  </si>
  <si>
    <t>事件影响：日本策动九一八事变，点燃法西斯侵略扩张第一把战火；中国人民在东北奋起抵抗，揭开世界反法西斯战争序幕</t>
  </si>
  <si>
    <t>1937年卢沟桥事变：全面抗战与战场开辟</t>
  </si>
  <si>
    <t>战争升级与战略意义：日本制造卢沟桥事变发动全面侵华战争，中国全民族抗战随之开启，开辟了世界第一个大规模反法西斯战场</t>
  </si>
  <si>
    <t>三、中国抗战对世界反法西斯战争的战略支撑</t>
  </si>
  <si>
    <t>军事层面的核心作用</t>
  </si>
  <si>
    <t>牵制日军主力</t>
  </si>
  <si>
    <t>成为决定性力量：中国战场抵抗了日军最主要力量，是彻底消灭日本法西斯的决定性力量</t>
  </si>
  <si>
    <t>为其他战场创造条件</t>
  </si>
  <si>
    <t>战略缓冲价值：中国抗战为欧洲战场和太平洋战场提供了关键的缓冲时间与战略空间</t>
  </si>
  <si>
    <t>战后秩序构建的东方贡献</t>
  </si>
  <si>
    <t>参与国际组织创建</t>
  </si>
  <si>
    <t>推动联合国成立：中国参与创建联合国，为建立战后国际新秩序注入东方智慧，巩固战争胜利成果</t>
  </si>
  <si>
    <t>四、中国抗战的世界意义总结</t>
  </si>
  <si>
    <t>反法西斯战争的有机组成</t>
  </si>
  <si>
    <t>整体中的关键部分</t>
  </si>
  <si>
    <t>不可替代的地位：世界反法西斯战争是有机整体，中国人民抗日战争是其中不可或缺的重要组成部分</t>
  </si>
  <si>
    <t>文明与和平的捍卫者角色</t>
  </si>
  <si>
    <t>深远的历史价值</t>
  </si>
  <si>
    <t>彪炳史册的贡献：中国抗战自始便具有拯救人类文明、保卫世界和平的重大意义，其贡献永载史册</t>
  </si>
  <si>
    <t>结合党带领人民实现民族独立、人民解放的历史和当前的发展环境，说明为什么要建设世界一流军队### ###</t>
  </si>
  <si>
    <t>一、历史维度：人民军队助力民族解放与政权巩固</t>
  </si>
  <si>
    <t>1.1 革命时期的建军缘起与战争胜利</t>
  </si>
  <si>
    <t>1.1.1 大革命的经验教训</t>
  </si>
  <si>
    <t>大革命兴衰证明，革命胜利需坚持武装斗争，组建党直接统率指挥的军队。</t>
  </si>
  <si>
    <t>1.1.2 南昌起义的标志性意义</t>
  </si>
  <si>
    <t>1927 年南昌起义打响武装反抗第一枪，开启党独立领导革命战争、创建人民军队、武装夺权的历程。</t>
  </si>
  <si>
    <t>1.1.3 革命战争阶段的胜利成果</t>
  </si>
  <si>
    <t>此后人民军队在党领导下，赢取土地革命、抗战、解放战争胜利，扭转近代中国落后挨打的被动局面。</t>
  </si>
  <si>
    <t>1.2 新中国初期的国防保障</t>
  </si>
  <si>
    <t>新中国成立初，人民军队取得抗美援朝胜利，为巩固新生政权、奠定大国地位、维护民族尊严筑牢后盾。</t>
  </si>
  <si>
    <t>二、新时代维度：人民军队的战略支撑价值</t>
  </si>
  <si>
    <t>2.1 时代背景与国防需求</t>
  </si>
  <si>
    <t>当今世界和平与发展是主题但仍不太平，巩固国防和强大军队是新时代发展中国特色社会主义、实现民族复兴的战略支撑</t>
  </si>
  <si>
    <t>2.2 强军的核心意义</t>
  </si>
  <si>
    <t>强大军事实力是国家总体安全、人民幸福生活的保障，是掌握国家繁荣主动权的关键；能战方能止战，需加快建设世界一流军队，捍卫国家主权、安全与发展利益。</t>
  </si>
  <si>
    <t>如何理解“对于青年人而言，他们寻找英烈、致敬英烈的过程，实际上也是一次精神层面的自我洗礼”### ###</t>
  </si>
  <si>
    <t>一、英雄精神的核心价值</t>
  </si>
  <si>
    <t>1.1 英雄辈出的基础前提</t>
  </si>
  <si>
    <t>1.1.1 崇尚与争做英雄的作用</t>
  </si>
  <si>
    <t>崇尚英雄方能催生英雄，争做英雄才可实现英雄辈出。</t>
  </si>
  <si>
    <t>1.1.2 英雄对事业发展的影响</t>
  </si>
  <si>
    <t>英雄辈出是党和人民事业兴旺发达、长盛不衰的重要保障。</t>
  </si>
  <si>
    <t>1.2 精神文明的重要地位</t>
  </si>
  <si>
    <t>国家强盛与民族复兴既需物质文明积累，更需精神文明的升华。</t>
  </si>
  <si>
    <t>二、红色基因与英烈精神的价值转化</t>
  </si>
  <si>
    <t>2.1 精神传承的思想意义</t>
  </si>
  <si>
    <t>2.1.1 对三观的塑造作用</t>
  </si>
  <si>
    <t>传承红色基因、赓续红色血脉，缅怀并传承英烈精神，是对世界观、人生观、价值观的洗礼。</t>
  </si>
  <si>
    <t>2.1.2 精神的动力转化</t>
  </si>
  <si>
    <t>上述精神传承可转化为爱国情、强国志、报国行的内生动力。</t>
  </si>
  <si>
    <t>2.2 青年群体的特殊使命</t>
  </si>
  <si>
    <t>2.2.1 青年价值观养成的关键</t>
  </si>
  <si>
    <t>青年时期是价值观塑造的关键阶段，走近、礼赞英雄是其人生意义的自我升华。</t>
  </si>
  <si>
    <t>2.2.2 青年的时代担当</t>
  </si>
  <si>
    <t>身处关键时期，青年应追随英雄足迹，听党话、跟党走，勇担民族复兴的时代大任。</t>
  </si>
  <si>
    <t>三、新时代与英雄的关联</t>
  </si>
  <si>
    <t>3.1 新时代的时代属性</t>
  </si>
  <si>
    <t>新时代是奋斗者的时代，也是呼唤且能创造英雄的时代。</t>
  </si>
  <si>
    <t>结合年轻人响应党的号召到西部边疆地区教书育人，对社会发挥了积极作用，自身也得到历练和成长，说明应当怎样认识人生价值### ###</t>
  </si>
  <si>
    <t>一、人生价值的核心内涵界定</t>
  </si>
  <si>
    <t>1.1 人生的自我价值</t>
  </si>
  <si>
    <t>1.1.1 核心定义</t>
  </si>
  <si>
    <t>个体人生活动对自身生存与发展所具有的价值属性。</t>
  </si>
  <si>
    <t>1.1.2 本质指向</t>
  </si>
  <si>
    <t>满足个体基本生存需求、支撑个人成长发展的基础价值。</t>
  </si>
  <si>
    <t>1.2 人生的社会价值</t>
  </si>
  <si>
    <t>1.2.1 核心定义</t>
  </si>
  <si>
    <t>个体实践活动对社会发展、他人需求所产生的价值贡献。</t>
  </si>
  <si>
    <t>1.2.2 本质指向</t>
  </si>
  <si>
    <t>维系社会存续进步、推动公共利益提升的重要价值。</t>
  </si>
  <si>
    <t>二、自我价值与社会价值的辩证关系</t>
  </si>
  <si>
    <t>2.1 核心区别</t>
  </si>
  <si>
    <t>2.1.1 价值指向差异</t>
  </si>
  <si>
    <t>自我价值聚焦个体内在需求满足，社会价值聚焦外在社会贡献。</t>
  </si>
  <si>
    <t>2.1.2 作用对象不同</t>
  </si>
  <si>
    <t>前者作用于自身生存发展，后者作用于社会及他人。</t>
  </si>
  <si>
    <t>2.2 密切联系与相互依存</t>
  </si>
  <si>
    <t>2.2.1 自我价值对社会价值的支撑作用</t>
  </si>
  <si>
    <t>是个体生存发展的必要条件，为社会价值创造提供生理与能力基础</t>
  </si>
  <si>
    <t>自我价值的实现是个体创造更大社会价值的前置前提</t>
  </si>
  <si>
    <t>2.2.2 社会价值对自我价值的保障作用</t>
  </si>
  <si>
    <t>是社会存在发展的重要条件，个体社会价值贡献反哺生存环境</t>
  </si>
  <si>
    <t>社会价值的实现为个体自我完善、全面发展提供保障与空间</t>
  </si>
  <si>
    <t>三、实践印证：西部支教中的价值统一案例</t>
  </si>
  <si>
    <t>3.1 案例核心体现</t>
  </si>
  <si>
    <t>年轻人响应号召赴西部边疆教书育人，实现双重价值融合。</t>
  </si>
  <si>
    <t>3.2 价值统一的具体落地</t>
  </si>
  <si>
    <t>3.2.1 社会价值的直接彰显</t>
  </si>
  <si>
    <t>填补边疆教育资源缺口，助力区域教育均衡发展</t>
  </si>
  <si>
    <t>传递知识与理念，为边疆发展培育人才力量</t>
  </si>
  <si>
    <t>3.2.2 自我价值的同步实现</t>
  </si>
  <si>
    <t>艰苦环境历练意志品质，提升个人综合能力</t>
  </si>
  <si>
    <t>教育实践积累经验，实现个人职业成长与精神升华</t>
  </si>
  <si>
    <t>分析“不唯上、不唯书、只唯实”这一论断所蕴含的哲学原理### ###</t>
  </si>
  <si>
    <t>新时代青年如何“把个人奋斗同国家前途命运紧紧联系在一起，跑好历史的接力，在推进中国式现代化的宽广舞台上绽放绚丽的青春光彩"### ###</t>
  </si>
  <si>
    <t>一、本质的核心内涵：个人理想与社会理想的有机结合</t>
  </si>
  <si>
    <t>1.1 个人理想的范畴界定</t>
  </si>
  <si>
    <t>1.1.1 个人理想的核心指向</t>
  </si>
  <si>
    <t>个人理想是个体在人生价值、职业发展、生活追求等层面的目标期许，涵盖个人能力提升、价值实现、生活幸福等具体诉求。</t>
  </si>
  <si>
    <t>1.1.2 个人理想的属性特征</t>
  </si>
  <si>
    <t>具有鲜明的个体差异性，其形成受个人成长环境、知识储备、价值取向等因素影响，且具备阶段性、可调整性的动态特点。</t>
  </si>
  <si>
    <t>1.2 社会理想的范畴界定</t>
  </si>
  <si>
    <t>1.2.1 社会理想的核心指向</t>
  </si>
  <si>
    <t>社会理想是特定国家、民族在一定历史阶段的共同发展目标，体现国家前途、民族命运和人民整体利益，如民族复兴、国家富强、社会和谐等。</t>
  </si>
  <si>
    <t>1.2.2 社会理想的属性特征</t>
  </si>
  <si>
    <t>具有集体性、宏观性和时代性，是国家发展战略与民族共同意志的集中体现，对个体理想具有引领和导向作用。</t>
  </si>
  <si>
    <t>1.3 二者有机结合的核心要求</t>
  </si>
  <si>
    <t>1.3.1 结合的前提：价值同向</t>
  </si>
  <si>
    <t>个人理想的价值取向需与社会理想的核心诉求保持一致，不能背离国家和民族的整体利益，要以社会公共价值为基本遵循。</t>
  </si>
  <si>
    <t>1.3.2 结合的关键：目标相容</t>
  </si>
  <si>
    <t>个人理想的实现路径需能对接社会理想的推进需求，个人追求的目标需可融入社会发展的整体布局，形成个体与集体的目标交集。</t>
  </si>
  <si>
    <t>二、本质的实践要求：个人目标与国家、民族目标的统一</t>
  </si>
  <si>
    <t>2.1 个人目标与国家目标的统一</t>
  </si>
  <si>
    <t>2.1.1 国家目标的核心维度</t>
  </si>
  <si>
    <t>国家目标包含主权安全保障、经济高质量发展、科技自立自强、文化繁荣兴盛等多个宏观领域的发展诉求。</t>
  </si>
  <si>
    <t>2.1.2 统一的具体体现</t>
  </si>
  <si>
    <t>个人在职业选择、能力深耕上需对标国家目标，如投身国家紧缺的科技攻关领域、参与基层治理服务国家民生建设等，让个人行动契合国家发展节奏。</t>
  </si>
  <si>
    <t>2.2 个人目标与民族目标的统一</t>
  </si>
  <si>
    <t>2.2.1 民族目标的核心维度</t>
  </si>
  <si>
    <t>民族目标聚焦于民族复兴伟业，涵盖民族文化传承弘扬、民族凝聚力提升、民族国际话语权增强等核心方向。</t>
  </si>
  <si>
    <t>2.2.2 统一的具体体现</t>
  </si>
  <si>
    <t>个人可通过传承民族优秀传统文化、践行民族精神、参与民族特色产业建设等方式，将个人成长与民族发展绑定，为民族目标落地贡献个体力量。</t>
  </si>
  <si>
    <t>三、本质的实现路径：在践行社会理想中达成个人理想</t>
  </si>
  <si>
    <t>3.1 践行社会理想的行动逻辑</t>
  </si>
  <si>
    <t>3.1.1 宏观层面：融入国家发展大局</t>
  </si>
  <si>
    <t>主动对接国家战略部署，在国家重点发展领域、薄弱攻坚领域找准个人定位，以集体行动推动社会理想落地。</t>
  </si>
  <si>
    <t>3.1.2 微观层面：落实日常实践行动</t>
  </si>
  <si>
    <t>在本职岗位上履职尽责，在社会生活中践行社会责任，将践行社会理想转化为具体的工作成果和社会贡献。</t>
  </si>
  <si>
    <t>3.2 个人理想的达成逻辑</t>
  </si>
  <si>
    <t>3.2.1 成果转化：社会价值赋能个人价值</t>
  </si>
  <si>
    <t>个人在推动社会理想实现的过程中，其创造的社会价值会同步转化为个人的能力认可、职业成就和人生价值，为个人理想筑牢基础。</t>
  </si>
  <si>
    <t>3.2.2 目标递进：社会理想引领个人理想升级</t>
  </si>
  <si>
    <t>随着社会理想的阶段性实现，个人会在实践中拓展认知边界、提升能力层级，进而推动个人理想向更高层次进阶，实现个体与集体的共同成长。</t>
  </si>
  <si>
    <t>如何理解全球治理倡议的精神内涵“同联合国宪章宗旨和原则一脉相承”### ###</t>
  </si>
  <si>
    <t>一、联合国的历史缘起与核心地位</t>
  </si>
  <si>
    <t>1.1 成立的历史背景</t>
  </si>
  <si>
    <t>1.1.1 直接动因</t>
  </si>
  <si>
    <t>作为世界反法西斯战争胜利的重要成果，源于人类对两次世界大战浩劫的痛定思痛。</t>
  </si>
  <si>
    <t>1.1.2 核心目标</t>
  </si>
  <si>
    <t>摆脱丛林法则，开启构建战后国际秩序、追求和平发展的征程。</t>
  </si>
  <si>
    <t>1.2 80 年的核心作用与组织属性</t>
  </si>
  <si>
    <t>1.2.1 三大核心职能</t>
  </si>
  <si>
    <t>在维护和平、促进发展、改善民生领域发挥不可替代作用。</t>
  </si>
  <si>
    <t>1.2.2 组织权威性</t>
  </si>
  <si>
    <t>是全球最具普遍性、代表性、权威性的政府间国际组织，为集体安全机制核心与多边主义核心平台。</t>
  </si>
  <si>
    <t>二、联合国宪章的核心原则与运行逻辑</t>
  </si>
  <si>
    <t>2.1 宪章倡导的核心准则</t>
  </si>
  <si>
    <t>2.1.1 主权层面原则</t>
  </si>
  <si>
    <t>坚持主权平等、不干涉他国内政。</t>
  </si>
  <si>
    <t>2.1.2 争端解决原则</t>
  </si>
  <si>
    <t>主张和平解决国际争端。</t>
  </si>
  <si>
    <t>2.2 组织内的平等参与机制</t>
  </si>
  <si>
    <t>2.2.1 主体平等性</t>
  </si>
  <si>
    <t>国家无论大小强弱，均为平等一员且拥有同等发声机会。</t>
  </si>
  <si>
    <t>2.2.2 权益共享性</t>
  </si>
  <si>
    <t>可公平参与国际规则谈判、共享可持续发展成果。</t>
  </si>
  <si>
    <t>三、全球治理倡议的核心理念</t>
  </si>
  <si>
    <t>3.1 五大核心导向</t>
  </si>
  <si>
    <t>3.1.1 基础原则导向</t>
  </si>
  <si>
    <t>奉行主权平等、遵守国际法治、践行多边主义。</t>
  </si>
  <si>
    <t>3.1.2 实践行动导向</t>
  </si>
  <si>
    <t>倡导以人为本、注重行动导向。</t>
  </si>
  <si>
    <t>3.2 倡议的核心价值</t>
  </si>
  <si>
    <t>3.2.1 明确治理原则</t>
  </si>
  <si>
    <t>阐明全球治理改革的原则、方法与路径。</t>
  </si>
  <si>
    <t>3.2.2 指明变革方向</t>
  </si>
  <si>
    <t>为新形势下全球治理变革提供清晰指引。</t>
  </si>
  <si>
    <t>四、全球治理倡议与联合国宪章的内在关联</t>
  </si>
  <si>
    <t>4.1 精神内核的一致性</t>
  </si>
  <si>
    <t>4.1.1 核心理念一脉相承</t>
  </si>
  <si>
    <t>倡议精神内涵与联合国宪章宗旨原则高度契合。</t>
  </si>
  <si>
    <t>4.2 对国际体系的优化目标</t>
  </si>
  <si>
    <t>4.2.1 提升机制效能</t>
  </si>
  <si>
    <t>增强现行国际体系与机制的执行力、有效性。</t>
  </si>
  <si>
    <t>4.2.2 适配形势需求</t>
  </si>
  <si>
    <t>契合全球形势变化，及时应对全球性挑战。</t>
  </si>
  <si>
    <t>4.2.3 保障发展中国家利益</t>
  </si>
  <si>
    <t>更好服务各国利益，尤其侧重发展中国家诉求。</t>
  </si>
  <si>
    <t>全球倡议为应对世界变局、破解紧迫难题贡献了中国智慧和方案”，这体现了中国怎样的外交理念和世界情怀### ###</t>
  </si>
  <si>
    <t>一、四大全球倡议的核心定位</t>
  </si>
  <si>
    <t>1.1 外交理念的集中体现</t>
  </si>
  <si>
    <t>1.1.1 核心契合点</t>
  </si>
  <si>
    <t>深度契合中国构建人类命运共同体的外交理念。</t>
  </si>
  <si>
    <t>1.1.2 情怀彰显</t>
  </si>
  <si>
    <t>展现中国以天下之利为利的世界情怀。</t>
  </si>
  <si>
    <t>1.2 大国担当的实践载体</t>
  </si>
  <si>
    <t>1.2.1 历史使命</t>
  </si>
  <si>
    <t>践行人类谋进步、世界谋大同的责任担当。</t>
  </si>
  <si>
    <t>1.2.2 国际价值</t>
  </si>
  <si>
    <t>为变乱交织的世界注入稳定性与确定性。</t>
  </si>
  <si>
    <t>二、四大倡议的维度划分与破局指向</t>
  </si>
  <si>
    <t>2.1 四维对应四大赤字</t>
  </si>
  <si>
    <t>2.1.1 发展维度</t>
  </si>
  <si>
    <t>聚焦破解发展赤字，为全球繁荣提供发展路径。</t>
  </si>
  <si>
    <t>2.1.2 安全维度</t>
  </si>
  <si>
    <t>靶向解决安全赤字，筑牢国际秩序稳定根基。</t>
  </si>
  <si>
    <t>2.1.3 文明维度</t>
  </si>
  <si>
    <t>着力弥合文明赤字，增进国际社会互信共识。</t>
  </si>
  <si>
    <t>2.1.4 治理维度</t>
  </si>
  <si>
    <t>精准化解治理赤字，完善全球治理公正体系。</t>
  </si>
  <si>
    <t>2.2 系统性方案的核心价值</t>
  </si>
  <si>
    <t>2.2.1 问题导向</t>
  </si>
  <si>
    <t>针对和平、发展、安全、治理四大核心难题给出回应。</t>
  </si>
  <si>
    <t>2.2.2 整体效能</t>
  </si>
  <si>
    <t>形成覆盖多领域的系统性破局方案。</t>
  </si>
  <si>
    <t>三、四大倡议的协同关系与战略作用</t>
  </si>
  <si>
    <t>3.1 内部联动逻辑</t>
  </si>
  <si>
    <t>3.1.1 个体定位</t>
  </si>
  <si>
    <t>各倡议各有侧重、功能互补，不存在功能重叠。</t>
  </si>
  <si>
    <t>3.1.2 有机协同</t>
  </si>
  <si>
    <t>形成 “发展促繁荣、安全保稳定、文明增互信、治理求公正” 的闭环体系。</t>
  </si>
  <si>
    <t>3.2 战略引领价值</t>
  </si>
  <si>
    <t>3.2.1 总体定位</t>
  </si>
  <si>
    <t>是构建人类命运共同体的核心战略引领。</t>
  </si>
  <si>
    <t>3.2.2 重要依托</t>
  </si>
  <si>
    <t>为人类命运共同体建设提供坚实的实践与理论支撑。</t>
  </si>
  <si>
    <t>中国共产党如何在统一战线中“坚持独立自主、团结抗战”，发挥中流砥柱作用### ###</t>
  </si>
  <si>
    <t>一、中国共产党抗战中流砥柱作用的核心表现</t>
  </si>
  <si>
    <t>1.1 率先引领抗日方向</t>
  </si>
  <si>
    <t>1.1.1 民族危亡关头的先锋行动</t>
  </si>
  <si>
    <t>在国家面临生死存亡的历史节点，中国共产党率先举起武装抗日的旗帜，成为抗日救亡的最早倡导者和行动者。</t>
  </si>
  <si>
    <t>1.2 凝聚全民族抗战力量</t>
  </si>
  <si>
    <t>1.2.1 主导抗日民族统一战线构建</t>
  </si>
  <si>
    <t>秉持民族大义，主动倡导并积极促成统一战线建立，始终坚定维护、巩固和发展统一战线，凝聚抗战合力。</t>
  </si>
  <si>
    <t>1.3 确立科学抗战战略战术</t>
  </si>
  <si>
    <t>1.3.1 坚持全面抗战路线</t>
  </si>
  <si>
    <t>摒弃片面抗战局限，提出并实施持久战总方针，构建人民战争战略战术体系。</t>
  </si>
  <si>
    <t>1.3.2 开辟敌后抗战核心阵地</t>
  </si>
  <si>
    <t>开展敌后游击战争，建立巩固的抗日民主根据地，使敌后战场成为坚持抗战的中坚力量。</t>
  </si>
  <si>
    <t>1.4 支撑全民族救亡希望</t>
  </si>
  <si>
    <t>1.4.1 以引领性作用凝聚信念</t>
  </si>
  <si>
    <t>凭借明确的政治主张、坚定的斗争意志和模范的抗日行动，成为全民族救亡图存的精神支柱。</t>
  </si>
  <si>
    <t>二、抗日民族统一战线的矛盾应对与策略</t>
  </si>
  <si>
    <t>2.1 统一战线矛盾的根源</t>
  </si>
  <si>
    <t>2.1.1 国共两党的本质差异</t>
  </si>
  <si>
    <t>国共代表不同阶级利益，抗战目的、实行的抗战路线存在根本区别，导致统一战线内部矛盾与斗争不可避免。</t>
  </si>
  <si>
    <t>2.2 坚持独立自主原则</t>
  </si>
  <si>
    <t>2.2.1 坚守核心立场底线</t>
  </si>
  <si>
    <t>在统一战线中保持思想、政治、组织上的独立性，确保党的主张有效贯彻。</t>
  </si>
  <si>
    <t>2.2.2 强化军队领导权</t>
  </si>
  <si>
    <t>坚持对人民军队的绝对领导，筑牢抗战的武装核心力量。</t>
  </si>
  <si>
    <t>2.2.3 确立对国民党的方针</t>
  </si>
  <si>
    <t>实行 “又团结又斗争、以斗争求团结” 的策略，在合作中坚守原则。</t>
  </si>
  <si>
    <t>2.3 统一战线发展的策略总方针</t>
  </si>
  <si>
    <t>2.3.1 发展进步势力</t>
  </si>
  <si>
    <t>壮大无产阶级、农民阶级等革命力量，夯实统一战线的根基。</t>
  </si>
  <si>
    <t>2.3.2 争取中间势力</t>
  </si>
  <si>
    <t>团结民族资产阶级、开明绅士等，扩大统一战线的覆盖面。</t>
  </si>
  <si>
    <t>2.3.3 孤立顽固势力</t>
  </si>
  <si>
    <t>对国民党顽固派的妥协投降行径进行坚决斗争，维护统一战线的团结。</t>
  </si>
  <si>
    <t>地瓜经济”理论启示我们“跳出自身、着眼全局、从更大视野谋划发展思路”“突破思维局限，从更高的维度、更长的周期来看自身、看当下”，这体现了怎样的思维能力### ###</t>
  </si>
  <si>
    <t>为什么说“中国堪称当今世界推动贸易和投资自由化便利化的最大旗手### ###</t>
  </si>
  <si>
    <t>运用矛盾分析方法，说明“学习借鉴并非简单复制”### ###</t>
  </si>
  <si>
    <t>一、矛盾的双重基本属性</t>
  </si>
  <si>
    <t>1.1 矛盾的普遍性</t>
  </si>
  <si>
    <t>1.1.1 核心内涵</t>
  </si>
  <si>
    <t>矛盾具有无处不在、无时不有的普遍存在性。</t>
  </si>
  <si>
    <t>1.1.2 存在特征</t>
  </si>
  <si>
    <t>贯穿于一切事物发展过程，不存在无矛盾的事物与阶段。</t>
  </si>
  <si>
    <t>1.2 矛盾的特殊性</t>
  </si>
  <si>
    <t>1.2.1 内涵界定</t>
  </si>
  <si>
    <t>具体事物的矛盾、矛盾各方面及不同发展阶段均有独特特点。</t>
  </si>
  <si>
    <t>1.2.2 核心作用</t>
  </si>
  <si>
    <t>决定事物的不同性质，是区分事物本质的关键依据。</t>
  </si>
  <si>
    <t>1.2.3 认知意义</t>
  </si>
  <si>
    <t>只有具体分析其特殊性，才能认清事物本质与发展规律，进而采取正确方法解决矛盾、推动发展。</t>
  </si>
  <si>
    <t>二、矛盾分析方法的核心要求</t>
  </si>
  <si>
    <t>2.1 方法核心导向</t>
  </si>
  <si>
    <t>2.1.1 核心准则</t>
  </si>
  <si>
    <t>善于分析矛盾的特殊性，践行具体矛盾具体分析。</t>
  </si>
  <si>
    <t>2.1.2 实践要求</t>
  </si>
  <si>
    <t>针对具体情况、具体问题开展针对性分析，避免一刀切。</t>
  </si>
  <si>
    <t>三、共性与个性统一的实践原则</t>
  </si>
  <si>
    <t>3.1 事物的共性个性关系</t>
  </si>
  <si>
    <t>3.1.1 统一本质</t>
  </si>
  <si>
    <t>任何事物均是矛盾共性（普遍性）与个性（特殊性）的有机统一体。</t>
  </si>
  <si>
    <t>3.2 实践应用逻辑</t>
  </si>
  <si>
    <t>3.2.1 经验借鉴原则</t>
  </si>
  <si>
    <t>可学习借鉴其他地区或领域的成功经验，把握共性规律。</t>
  </si>
  <si>
    <t>3.2.2 因地制宜要求</t>
  </si>
  <si>
    <t>充分考量本地、本产业的实际情况与矛盾特殊性，实现差异化施策。</t>
  </si>
  <si>
    <t>分析以“共赢”取代“内卷”所体现的辩证思维### ###</t>
  </si>
  <si>
    <t>一、对立统一规律的唯物辩证法定位</t>
  </si>
  <si>
    <t>1.1 规律的核心属性</t>
  </si>
  <si>
    <t>1.1.1 实质与核心地位</t>
  </si>
  <si>
    <t>是唯物辩证法的实质和核心，为辩证法的核心规律。</t>
  </si>
  <si>
    <t>1.1.2 两大揭示作用</t>
  </si>
  <si>
    <t>揭示事物普遍联系的根本内容，以及事物变化发展的内在动力。</t>
  </si>
  <si>
    <t>1.2 经营领域的矛盾体现</t>
  </si>
  <si>
    <t>1.2.1 主体矛盾关系</t>
  </si>
  <si>
    <t>经营主体之间存在既对立又统一的辩证关系。</t>
  </si>
  <si>
    <t>二、矛盾的基本属性与事物发展动力</t>
  </si>
  <si>
    <t>2.1 同一性与斗争性的联结关系</t>
  </si>
  <si>
    <t>2.1.1 相互依存特征</t>
  </si>
  <si>
    <t>二者相互联结、相辅相成，共同构成事物的矛盾运动。</t>
  </si>
  <si>
    <t>2.1.2 发展推动作用</t>
  </si>
  <si>
    <t>矛盾运动是事物变化发展的核心动力。</t>
  </si>
  <si>
    <t>2.2 矛盾同一性的发展价值</t>
  </si>
  <si>
    <t>2.2.1 核心作用路径</t>
  </si>
  <si>
    <t>矛盾双方可相互吸取有利于自身的因素。</t>
  </si>
  <si>
    <t>2.2.2 具体发展成效</t>
  </si>
  <si>
    <t>在相互作用中实现各自的提升与发展。</t>
  </si>
  <si>
    <t>三、辩证思维的核心要求</t>
  </si>
  <si>
    <t>3.1 基本认知视角</t>
  </si>
  <si>
    <t>3.1.1 三大核心观点</t>
  </si>
  <si>
    <t>需用联系、发展、全面的观点看待问题。</t>
  </si>
  <si>
    <t>3.2 矛盾关系把握原则</t>
  </si>
  <si>
    <t>3.2.1 对立中抓统一</t>
  </si>
  <si>
    <t>在矛盾对立状态中识别并把握统一的联结性。</t>
  </si>
  <si>
    <t>3.2.2 统一中抓对立</t>
  </si>
  <si>
    <t>在矛盾统一状态中认知并重视对立的差异性。</t>
  </si>
  <si>
    <t>四、经营主体的辩证发展导向</t>
  </si>
  <si>
    <t>4.1 事物发展的双重表现</t>
  </si>
  <si>
    <t>4.1.1 相反相成形态</t>
  </si>
  <si>
    <t>对立属性推动事物在矛盾博弈中实现转化发展。</t>
  </si>
  <si>
    <t>4.1.2 相辅相成形态</t>
  </si>
  <si>
    <t>统一属性助力事物在协同互动中实现共进发展。</t>
  </si>
  <si>
    <t>4.2 经营主体的共赢路径</t>
  </si>
  <si>
    <t>4.2.1 竞争合作逻辑</t>
  </si>
  <si>
    <t>在竞争中开展合作，在合作中保持竞争。</t>
  </si>
  <si>
    <t>4.2.2 发展模式转型</t>
  </si>
  <si>
    <t>以 “共赢” 模式取代 “内卷” 内耗，实现良性发展。</t>
  </si>
  <si>
    <t>如何理解外部环境越是严峻复杂，越要加快构建新发展格局，坚持扩大内这个战略基点### ###</t>
  </si>
  <si>
    <t>一、新发展格局的核心战略定位</t>
  </si>
  <si>
    <t>1.1 决策出台的背景依据</t>
  </si>
  <si>
    <t>1.1.1 制定动因</t>
  </si>
  <si>
    <t>基于我国发展阶段、发展环境与条件的变化作出的重大决策。</t>
  </si>
  <si>
    <t>1.1.2 战略层级</t>
  </si>
  <si>
    <t>是推动高质量发展的战略基点，也是关系我国发展全局的重大战略任务。</t>
  </si>
  <si>
    <t>1.2 大国经济的内生逻辑</t>
  </si>
  <si>
    <t>1.2.1 核心特征</t>
  </si>
  <si>
    <t>大国经济普遍以内需为主导、具备内部可循环的基础。</t>
  </si>
  <si>
    <t>1.2.2 资源依托</t>
  </si>
  <si>
    <t>市场是全球最稀缺资源，强大国内市场是中国式现代化的战略依托。</t>
  </si>
  <si>
    <t>二、立足国内大循环的现实价值</t>
  </si>
  <si>
    <t>2.1 应对外部风险的作用</t>
  </si>
  <si>
    <t>2.1.1 化解外部冲击</t>
  </si>
  <si>
    <t>有效对冲外部冲击与外需下降带来的负面影响。</t>
  </si>
  <si>
    <t>2.1.2 保障极端情形稳定</t>
  </si>
  <si>
    <t>在极端情况下，确保我国经济基本正常运行、社会大局总体稳定。</t>
  </si>
  <si>
    <t>2.2 适配国际形势的需求</t>
  </si>
  <si>
    <t>2.2.1 适配外部环境</t>
  </si>
  <si>
    <t>契合当前国际形势的不稳定性与不确定性的时代背景。</t>
  </si>
  <si>
    <t>2.2.2 发挥本土优势</t>
  </si>
  <si>
    <t>依托国内大市场优势，充分挖掘内需潜力。</t>
  </si>
  <si>
    <t>三、强化国内大循环的实践要求</t>
  </si>
  <si>
    <t>3.1 核心战略基点</t>
  </si>
  <si>
    <t>3.1.1 首要原则</t>
  </si>
  <si>
    <t>坚持扩大内需这一战略基点。</t>
  </si>
  <si>
    <t>3.1.2 结合导向</t>
  </si>
  <si>
    <t>做到惠民生与促消费紧密结合、投资于物与投资于人紧密结合。</t>
  </si>
  <si>
    <t>3.2 供需互动的闭环逻辑</t>
  </si>
  <si>
    <t>3.2.1 双向驱动机制</t>
  </si>
  <si>
    <t>以新需求引领新供给，以新供给创造新需求。</t>
  </si>
  <si>
    <t>3.2.2 良性循环目标</t>
  </si>
  <si>
    <t>促进消费与投资、供给与需求良性互动，增强国内大循环内生动力与可靠性。</t>
  </si>
  <si>
    <t>如何理解“长征的胜利，是方向和道路的胜利”### ###</t>
  </si>
  <si>
    <t>一、长征的核心属性：实践攻坚与理论探索的统一</t>
  </si>
  <si>
    <t>1.1 双重过程的内涵界定</t>
  </si>
  <si>
    <t>1.1.1 实践攻坚维度</t>
  </si>
  <si>
    <t>以战胜敌人、赢得胜利为目标，完成战略转移的核心任务。</t>
  </si>
  <si>
    <t>1.1.2 理论探索维度</t>
  </si>
  <si>
    <t>立足革命实际，创新理论认知，探索符合国情的革命道路。</t>
  </si>
  <si>
    <t>1.2 长征的历史起点与动因</t>
  </si>
  <si>
    <t>1.2.1 直接触发因素</t>
  </si>
  <si>
    <t>第五次反 “围剿” 失败，中国革命陷入方向与道路的抉择困境。</t>
  </si>
  <si>
    <t>1.2.2 核心使命承载</t>
  </si>
  <si>
    <t>在绝境中寻找生机，为革命存续与民族未来探索出路。</t>
  </si>
  <si>
    <t>二、长征的战略转折与历史贡献</t>
  </si>
  <si>
    <t>2.1 战略方向的关键调整</t>
  </si>
  <si>
    <t>2.1.1 目标关联逻辑</t>
  </si>
  <si>
    <t>将解决革命生存危机与拯救民族危亡紧密结合，明确时代使命。</t>
  </si>
  <si>
    <t>2.1.2 战争性质转变</t>
  </si>
  <si>
    <t>锚定抗日主线，将长征方向与建立抗日前进阵地对接，实现国内革命战争向抗日民族战争的转变。</t>
  </si>
  <si>
    <t>2.2 历史基础的坚实奠定</t>
  </si>
  <si>
    <t>2.2.1 直接历史价值</t>
  </si>
  <si>
    <t>为夺取中国人民抗日战争胜利筑牢前期基础。</t>
  </si>
  <si>
    <t>2.2.2 长远革命意义</t>
  </si>
  <si>
    <t>为后续新民主主义革命的最终胜利提供关键支撑。</t>
  </si>
  <si>
    <t>三、长征胜利的核心启示：立足实际与独立自主</t>
  </si>
  <si>
    <t>3.1 启示的内涵界定</t>
  </si>
  <si>
    <t>3.1.1 核心要义</t>
  </si>
  <si>
    <t>革命道路的选择必须扎根具体实际，摒弃教条主义与外来干预。</t>
  </si>
  <si>
    <t>3.1.2 根本原则</t>
  </si>
  <si>
    <t>坚持独立自主决策，才能掌控革命主动权，规避发展误区。</t>
  </si>
  <si>
    <t>3.2 启示的实践指向</t>
  </si>
  <si>
    <t>3.2.1 方法论价值</t>
  </si>
  <si>
    <t>为后续革命、建设及改革提供 “一切从实际出发” 的行动遵循。</t>
  </si>
  <si>
    <t>3.2.2 胜利必然性</t>
  </si>
  <si>
    <t>印证立足国情的道路选择是革命走向成功的根本保障。</t>
  </si>
  <si>
    <t>如何理解“推动高质量发展，最重要是加快高水平科技自立自强，积极发展新质生产力### ###</t>
  </si>
  <si>
    <t>为什么既要坚定弘扬全人类共同价值，又要尊重文明多样性### ###</t>
  </si>
  <si>
    <t>结合纵深推进全国统一大市场建设，分析“坚持有效市场和有为政府相结合，正是做好经济工作的一个重要方法”### ###</t>
  </si>
  <si>
    <t>一、高水平社会主义市场经济体制的定位与核心关系</t>
  </si>
  <si>
    <t>1.1 体制的核心保障价值</t>
  </si>
  <si>
    <t>1.1.1 关联中国式现代化</t>
  </si>
  <si>
    <t>是实现中国式现代化的重要保障，为现代化建设提供经济制度支撑。</t>
  </si>
  <si>
    <t>1.1.2 核心建设目标</t>
  </si>
  <si>
    <t>构建既 “放得活” 又 “管得好” 的良性经济秩序。</t>
  </si>
  <si>
    <t>1.2 建设的关键矛盾处理</t>
  </si>
  <si>
    <t>1.2.1 核心关系界定</t>
  </si>
  <si>
    <t>关键在于平衡政府和市场的关系，实现有效市场与有为政府的结合。</t>
  </si>
  <si>
    <t>1.2.2 双向作用原则</t>
  </si>
  <si>
    <t>市场起资源配置决定性作用，同时更好发挥政府补充调控作用。</t>
  </si>
  <si>
    <t>二、有效市场的核心作用与运行边界</t>
  </si>
  <si>
    <t>2.1 市场的决定性配置功能</t>
  </si>
  <si>
    <t>2.1.1 作用范畴</t>
  </si>
  <si>
    <t>将市场机制可有效调节的经济活动交由市场主导。</t>
  </si>
  <si>
    <t>2.1.2 配置目标</t>
  </si>
  <si>
    <t>推动资源配置实现效益最大化与效率最优化。</t>
  </si>
  <si>
    <t>2.2 市场的天然局限性</t>
  </si>
  <si>
    <t>2.2.1 功能短板</t>
  </si>
  <si>
    <t>存在失灵、无序等固有风险，存在管不了或管不好的领域。</t>
  </si>
  <si>
    <t>2.2.2 优化前提</t>
  </si>
  <si>
    <t>市场作用的有效发挥，依赖政府更规范、更有为的调控。</t>
  </si>
  <si>
    <t>三、有为政府的调控边界与核心职责</t>
  </si>
  <si>
    <t>3.1 政府作用的前置条件</t>
  </si>
  <si>
    <t>3.1.1 底线原则</t>
  </si>
  <si>
    <t>以保证市场发挥决定性作用为基本前提，不越位干预市场运行。</t>
  </si>
  <si>
    <t>3.1.2 干预范畴</t>
  </si>
  <si>
    <t>聚焦市场管不了或管不好的领域开展调控。</t>
  </si>
  <si>
    <t>3.2 政府的具体保障职能</t>
  </si>
  <si>
    <t>3.2.1 制度规则层面</t>
  </si>
  <si>
    <t>完善经济运行相关制度规则，夯实市场运行基础。</t>
  </si>
  <si>
    <t>3.2.2 市场秩序层面</t>
  </si>
  <si>
    <t>维护市场公平竞争环境，遏制无序竞争行为。</t>
  </si>
  <si>
    <t>3.2.3 缺陷弥补层面</t>
  </si>
  <si>
    <t>针对性弥补市场固有缺陷，化解市场失灵风险。</t>
  </si>
  <si>
    <t>四、全国统一大市场建设的逻辑与协同要求</t>
  </si>
  <si>
    <t>4.1 统一大市场的本质内涵</t>
  </si>
  <si>
    <t>4.1.1 核心目标</t>
  </si>
  <si>
    <t>推动资源在更大范围内畅通流动、高效配置。</t>
  </si>
  <si>
    <t>4.1.2 功能关联</t>
  </si>
  <si>
    <t>本质是进一步释放市场在资源配置中的决定性作用。</t>
  </si>
  <si>
    <t>4.2 市场与政府协同的推进价值</t>
  </si>
  <si>
    <t>4.2.1 风险应对需求</t>
  </si>
  <si>
    <t>市场存在失灵风险，需政府介入提供运行保障。</t>
  </si>
  <si>
    <t>4.2.2 纵深推进关键</t>
  </si>
  <si>
    <t>让 “无形之手” 与 “有形之手” 协同发力，支撑统一大市场持续建设。</t>
  </si>
  <si>
    <t>如何理解“我们今天取得的伟大成就，都是建立在毛泽东等老一辈革命家打下的江山、攒下的家底之上的”### ###</t>
  </si>
  <si>
    <t>一、开国伟业：民族独立与人民解放的伟大飞跃</t>
  </si>
  <si>
    <t>1.1 新中国成立的核心历史意义</t>
  </si>
  <si>
    <t>1.1.1 实现民族独立与人民解放</t>
  </si>
  <si>
    <t>彻底结束旧中国半殖民地半封建社会的历史，终结极少数剥削者统治广大劳动人民的局面，推动中国完成从几千年封建专制政治向人民民主的伟大飞跃。</t>
  </si>
  <si>
    <t>1.1.2 破除旧中国的积弊与枷锁</t>
  </si>
  <si>
    <t>彻底结束旧中国一盘散沙的混乱局面，全面废除列强强加的不平等条约，肃清帝国主义在中国的一切特权，让中国人民真正成为国家、社会和自身命运的主人。</t>
  </si>
  <si>
    <t>二、社会主义革命：广泛而深刻的社会变革</t>
  </si>
  <si>
    <t>2.1 社会主义革命的完成与制度确立</t>
  </si>
  <si>
    <t>2.1.1 革命核心举措</t>
  </si>
  <si>
    <t>新中国成立后至改革开放前夕，党领导人民推进 “一化三改”，即实现社会主义工业化、完成对农业、手工业和资本主义工商业的社会主义改造，消灭一切剥削制度。</t>
  </si>
  <si>
    <t>2.1.2 革命历史价值</t>
  </si>
  <si>
    <t>实现了中华民族有史以来最为广泛而深刻的社会变革，为当代中国一切发展进步奠定根本政治前提和制度基础，也为中国特色社会主义制度的创新发展提供重要前提，推动一穷二白、人口众多的东方大国大步迈入社会主义社会。</t>
  </si>
  <si>
    <t>2.2 社会主义基本政治制度的奠基</t>
  </si>
  <si>
    <t>2.2.1 根本政治制度确立</t>
  </si>
  <si>
    <t>1954 年颁布《中华人民共和国宪法》，正式确立人民代表大会制度，筑牢人民当家作主的制度根基。</t>
  </si>
  <si>
    <t>2.2.2 基本政治制度搭建</t>
  </si>
  <si>
    <t>建立中国共产党领导的多党合作和政治协商制度、民族区域自治制度，构建起保障人民民主权利的制度体系。</t>
  </si>
  <si>
    <t>三、社会主义建设：独立自主发展的坚实奠基</t>
  </si>
  <si>
    <t>3.1 物质技术基础的构建</t>
  </si>
  <si>
    <t>3.1.1 工业与国民经济体系建立</t>
  </si>
  <si>
    <t>成功建成独立的、比较完整的工业体系和国民经济体系，从根本上解决了工业化进程中 “从无到有” 的关键问题，让中国在实现政治独立后进一步赢得经济独立。</t>
  </si>
  <si>
    <t>3.1.2 经济独立的后续价值</t>
  </si>
  <si>
    <t>为后续中国与包括西方发达国家在内的世界各国，在平等互利原则下开展对外贸易和经济往来，创造了必要的物质前提与制度条件。</t>
  </si>
  <si>
    <t>3.2 独创性理论成果的形成</t>
  </si>
  <si>
    <t>3.2.1 社会主义建设相关理论</t>
  </si>
  <si>
    <t>提出社会主义社会两类不同性质矛盾学说，明确将正确处理人民内部矛盾作为国家政治生活的主题；提出社会主义分为不发达和比较发达两个阶段的发展阶段理论；确立 “四个现代化” 奋斗目标与两步走战略，为中国现代化建设指明方向。</t>
  </si>
  <si>
    <t>3.2.2 经济建设相关思想</t>
  </si>
  <si>
    <t>形成 “三个主体三个补充” 的经济体制构想，为后续经济体制改革提供思想源头；确立 “自力更生为主，争取外援为辅” 的发展原则，强调依靠自身力量实现经济发展。</t>
  </si>
  <si>
    <t>四、历史功勋的当代价值：中国特色社会主义的源头活水</t>
  </si>
  <si>
    <t>4.1 为开创中国特色社会主义提供三重支撑</t>
  </si>
  <si>
    <t>4.1.1 宝贵经验支撑</t>
  </si>
  <si>
    <t>党在社会主义革命和建设中积累的实践经验，为新历史时期探索中国特色社会主义道路提供了重要的实践借鉴。</t>
  </si>
  <si>
    <t>4.1.2 理论准备支撑</t>
  </si>
  <si>
    <t>期间形成的独创性理论成果，成为中国特色社会主义理论体系的重要思想源头与理论基础。</t>
  </si>
  <si>
    <t>4.1.3 物质基础支撑</t>
  </si>
  <si>
    <t>建立的工业与国民经济体系，为改革开放后的经济腾飞筑牢了牢固的物质技术根基。</t>
  </si>
  <si>
    <t>4.2 历史探索的延续性价值</t>
  </si>
  <si>
    <t>4.2.1 道路探索的延续性</t>
  </si>
  <si>
    <t>毛泽东等老一辈革命家对 “什么是社会主义、怎样建设社会主义” 的艰辛探索，成为改革开放后中国特色社会主义道路的历史起点。</t>
  </si>
  <si>
    <t>4.2.2 理论与制度的传承性</t>
  </si>
  <si>
    <t>毛泽东思想作为马克思主义中国化的首个重大理论成果，与中国特色社会主义理论体系一脉相承；确立的社会主义基本制度，是 “中国之治” 的制度密码核心，为中国特色社会主义制度的创新发展筑牢根基。</t>
  </si>
  <si>
    <t>结合遵义会议前后中国革命事业发生天翻地覆历史巨变的原因，分析“两个确立”对新时代党和国家事业的决定性意义### ###</t>
  </si>
  <si>
    <t>一、遵义会议推动革命巨变的核心动因</t>
  </si>
  <si>
    <t>1.1 领导核心的历史性确立</t>
  </si>
  <si>
    <t>1.1.1 实际领导地位确立</t>
  </si>
  <si>
    <t>遵义会议通过调整中央领导机构，事实上确立毛泽东同志在党中央和红军的领导地位，终结 “左” 倾错误军事指挥。</t>
  </si>
  <si>
    <t>1.1.2 领导集体初步形成</t>
  </si>
  <si>
    <t>开始形成以毛泽东同志为核心的党的第一代中央领导集体，筑牢团结统一根基。</t>
  </si>
  <si>
    <t>1.2 思想路线的根本性转折</t>
  </si>
  <si>
    <t>1.2.1 正确路线的确立</t>
  </si>
  <si>
    <t>开始确立以毛泽东同志为主要代表的马克思主义正确路线在党中央的领导地位，纠正教条主义错误。</t>
  </si>
  <si>
    <t>1.2.2 自主能力的觉醒</t>
  </si>
  <si>
    <t>开启党独立自主解决中国革命实际问题的新阶段，标志党从幼年走向成熟。</t>
  </si>
  <si>
    <t>二、遵义会议的历史启示：核心与理论的决定性作用</t>
  </si>
  <si>
    <t>2.1 核心问题的根本价值</t>
  </si>
  <si>
    <t>2.1.1 事业成败的关键</t>
  </si>
  <si>
    <t>坚强的领导核心是党和人民事业兴衰的决定性因素，关乎国家前途命运。</t>
  </si>
  <si>
    <t>2.1.2 实践发展的保障</t>
  </si>
  <si>
    <t>科学理论指导为革命、建设提供行动遵循，避免发展偏离正确方向。</t>
  </si>
  <si>
    <t>2.2 历史逻辑的当代延续</t>
  </si>
  <si>
    <t>2.2.1 新时代的领导核心</t>
  </si>
  <si>
    <t>以习近平同志为核心的党中央为新时代变革提供坚强政治保证。</t>
  </si>
  <si>
    <t>2.2.2 新时代的理论指引</t>
  </si>
  <si>
    <t>习近平新时代中国特色社会主义思想是引领发展的科学理论武器。</t>
  </si>
  <si>
    <t>三、“两个确立” 的当代意义与实践印证</t>
  </si>
  <si>
    <t>3.1 历史性成就的根本支撑</t>
  </si>
  <si>
    <t>3.1.1 变革的决定性因素</t>
  </si>
  <si>
    <t>“两个确立” 是新时代党和国家事业取得历史性成就的核心原因。</t>
  </si>
  <si>
    <t>3.1.2 奋斗的实践结晶</t>
  </si>
  <si>
    <t>是全党全军全国各族人民团结奋斗的共同思想成果与实践共识。</t>
  </si>
  <si>
    <t>3.2 应对风险的最大底气</t>
  </si>
  <si>
    <t>3.2.1 不确定性的定盘星</t>
  </si>
  <si>
    <t>为应对世界百年变局与发展风险提供最大确定性。</t>
  </si>
  <si>
    <t>3.2.2 前行路上的压舱石</t>
  </si>
  <si>
    <t>是党和人民战胜一切艰难挑战的最大底气与根本保证。</t>
  </si>
  <si>
    <t>为什么要“坚持统发展和安全”### ###</t>
  </si>
  <si>
    <t>评选“最美家庭”，大力弘扬爱国爱家、相亲相爱、向上向善、共建共享的社会主义家庭文明新风尚，对全社会弘扬和践行社会主义核心价值观有何重要意义### ###</t>
  </si>
  <si>
    <t>结合从“一五”计划到“十四五”规划的制定实施，说明中国共产党的领导是实现中国式现代化的根本保证### ###</t>
  </si>
  <si>
    <t>一、中长期规划：党治国理政的重要方式与现代化实践载体</t>
  </si>
  <si>
    <t>1.1 中长期规划的核心定位</t>
  </si>
  <si>
    <t>1.1.1 治理方式属性</t>
  </si>
  <si>
    <t>制定并实施中长期规划，是中国共产党治国理政的重要途径，适配社会主义现代化阶梯式递进、接续奋斗的历史进程特征。</t>
  </si>
  <si>
    <t>1.1.2 规划核心逻辑</t>
  </si>
  <si>
    <t>围绕建设社会主义现代化国家的核心主题，将战略目标与发展政策、具体举措有机统一，实现政治理想向发展绩效与民生成果的转化。</t>
  </si>
  <si>
    <t>1.2 中长期规划的实践历程与成效</t>
  </si>
  <si>
    <t>1.2.1 规划实施进程</t>
  </si>
  <si>
    <t>自 1953 年至 2025 年，党已制定并落地十四个五年计划（或规划），践行 “一张蓝图绘到底” 的战略定力。</t>
  </si>
  <si>
    <t>1.2.2 核心实践成果</t>
  </si>
  <si>
    <t>通过规划的持续推进，我国跃升为世界第二大经济强国，成功推进并拓展了中国式现代化，将奋斗目标转化为人民满意的美好生活现实。</t>
  </si>
  <si>
    <t>二、党的领导：中国式现代化的根本保障</t>
  </si>
  <si>
    <t>2.1 党的领导的核心关联</t>
  </si>
  <si>
    <t>2.1.1 领导地位的关键性</t>
  </si>
  <si>
    <t>中国共产党领导直接关系中国式现代化的根本方向、前途命运与最终成败，是现代化建设的核心统领力量。</t>
  </si>
  <si>
    <t>2.2 党的领导的四大决定性作用</t>
  </si>
  <si>
    <t>2.2.1 决定现代化根本性质</t>
  </si>
  <si>
    <t>党的领导从根本上界定了中国式现代化的社会主义本质属性，确保现代化道路不偏航、不走样。</t>
  </si>
  <si>
    <t>2.2.2 确保奋斗目标行稳致远</t>
  </si>
  <si>
    <t>依托党的统筹引领，中国式现代化的既定奋斗目标能够锚定方向、持续推进，实现长远发展。</t>
  </si>
  <si>
    <t>2.2.3 激发现代化强劲动力</t>
  </si>
  <si>
    <t>通过党的领导，能够充分调动各领域积极性与创造性，为中国式现代化建设注入不竭动力。</t>
  </si>
  <si>
    <t>2.2.4 凝聚现代化磅礴力量</t>
  </si>
  <si>
    <t>凭借党的组织优势与群众基础，汇聚全社会各界合力，形成建设中国式现代化的强大集体势能。</t>
  </si>
  <si>
    <t>为什么说“传承和弘扬伟大抗战精神，不仅是中国日新月异的重要密码，更是在新征程上创造新的历史伟业的力量源泉”### ###</t>
  </si>
  <si>
    <t>一、伟大抗战精神：中华民族弥足珍贵的精神财富</t>
  </si>
  <si>
    <t>1.1 精神的形成根基</t>
  </si>
  <si>
    <t>1.1.1 铸就背景</t>
  </si>
  <si>
    <t>是中华民族在生死存亡的危急关头，用无数同胞的鲜血和生命铸就的精神丰碑，凝结着全民族的抗争意志与家国情怀。</t>
  </si>
  <si>
    <t>1.1.2 精神归属</t>
  </si>
  <si>
    <t>作为中国精神的重要组成部分，深度融入中华民族的精神谱系，成为民族精神的关键标识。</t>
  </si>
  <si>
    <t>1.2 精神的核心内核</t>
  </si>
  <si>
    <t>1.2.1 传承内核</t>
  </si>
  <si>
    <t>继承并发扬了以爱国主义为核心的民族精神，延续了中华民族自古以来的家国担当与民族气节。</t>
  </si>
  <si>
    <t>1.2.2 实践价值</t>
  </si>
  <si>
    <t>是中国人民在不同历史时期战胜一切艰难险阻的强大精神动力，为攻坚克难提供精神支撑。</t>
  </si>
  <si>
    <t>二、伟大抗战精神：中国发展进步的关键精神密码</t>
  </si>
  <si>
    <t>2.1 精神的凝聚作用</t>
  </si>
  <si>
    <t>2.1.1 领导核心引领</t>
  </si>
  <si>
    <t>在中国共产党的集中统一领导下，伟大抗战精神与其他革命精神融合汇聚，形成了无坚不摧的奋斗伟力。</t>
  </si>
  <si>
    <t>2.1.2 实践赋能成果</t>
  </si>
  <si>
    <t>依托该精神凝聚的合力，中国人民先后取得革命、建设、改革各阶段的辉煌成就，实现了国家实力与社会面貌的跨越式提升。</t>
  </si>
  <si>
    <t>2.2 精神的变革价值</t>
  </si>
  <si>
    <t>2.2.1 驱动发展变革</t>
  </si>
  <si>
    <t>作为发展进步的精神密码，推动国家面貌发生日新月异的历史性变化，为各项事业突破提供精神保障。</t>
  </si>
  <si>
    <t>2.2.2 夯实发展根基</t>
  </si>
  <si>
    <t>将精神力量转化为实践动能，为国家现代化建设筑牢了精神与实践的双重根基。</t>
  </si>
  <si>
    <t>三、伟大抗战精神：新征程创造历史伟业的强大力量源泉</t>
  </si>
  <si>
    <t>3.1 复兴征程的精神刚需</t>
  </si>
  <si>
    <t>3.1.1 复兴的双重保障</t>
  </si>
  <si>
    <t>实现中华民族伟大复兴，既需要硬实力的物质保障，也离不开伟大抗战精神这类精神力量的软性支撑。</t>
  </si>
  <si>
    <t>3.1.2 精神的基因属性</t>
  </si>
  <si>
    <t>其精神内涵彰显着中华民族的内在品格与血脉基因，是强国建设、民族复兴的强劲动力源泉。</t>
  </si>
  <si>
    <t>3.2 精神的实践要求</t>
  </si>
  <si>
    <t>3.2.1 全领域融入</t>
  </si>
  <si>
    <t>必须将弘扬伟大抗战精神贯穿于以中国式现代化全面推进强国建设、民族复兴伟业的各领域、全过程。</t>
  </si>
  <si>
    <t>3.2.2 全周期践行</t>
  </si>
  <si>
    <t>让精神力量转化为具体实践行动，为新征程上克服各类艰难险阻提供持续精神指引。</t>
  </si>
  <si>
    <t>四、伟大抗战精神的时空维度：贯通历史、现实与未来</t>
  </si>
  <si>
    <t>4.1 历史维度的见证意义</t>
  </si>
  <si>
    <t>4.1.1 抗战胜利的精神注脚</t>
  </si>
  <si>
    <t>作为历史的精神丰碑，直接见证了中国人民抗日战争的伟大胜利，铭刻着民族抗争的光辉历程。</t>
  </si>
  <si>
    <t>4.2 现实维度的驱动意义</t>
  </si>
  <si>
    <t>4.2.1 发展进步的精神密钥</t>
  </si>
  <si>
    <t>作为现实的精神密码，持续驱动着中国各领域的发展进步，支撑国家实现历史性变革。</t>
  </si>
  <si>
    <t>4.3 未来维度的支撑意义</t>
  </si>
  <si>
    <t>4.3.1 复兴伟业的精神基石</t>
  </si>
  <si>
    <t>作为未来的力量源泉，必将支撑中国人民在新征程上攻克一切难关，最终实现中华民族伟大复兴的宏伟目标。</t>
  </si>
  <si>
    <t>为什么要“大力弘扬劳模精神、劳动精神、工匠精神”### ###</t>
  </si>
  <si>
    <t>一、劳动是幸福的根本源泉</t>
  </si>
  <si>
    <t>1.1 职业劳动的核心观念</t>
  </si>
  <si>
    <t>1.1.1 价值认知</t>
  </si>
  <si>
    <t>需牢固树立 “劳动最光荣、最崇高、最伟大、最美丽” 的职业理念。</t>
  </si>
  <si>
    <t>1.1.2 实践路径</t>
  </si>
  <si>
    <t>立足平凡岗位，以踏实劳动、勤勉工作创造不凡业绩，筑牢幸福根基。</t>
  </si>
  <si>
    <t>二、爱岗敬业是职业基本道德规范</t>
  </si>
  <si>
    <t>2.1 敬业的内涵与表现</t>
  </si>
  <si>
    <t>2.1.1 内在操守</t>
  </si>
  <si>
    <t>体现为热爱岗位、敬重职业、对工作极端负责的道德追求。</t>
  </si>
  <si>
    <t>2.1.2 外在行为</t>
  </si>
  <si>
    <t>表现为对工作勤奋努力、恪尽职守的职业担当。</t>
  </si>
  <si>
    <t>三、三大劳动精神的时代价值</t>
  </si>
  <si>
    <t>3.1 精神的核心定位</t>
  </si>
  <si>
    <t>3.1.1 价值关联</t>
  </si>
  <si>
    <t>是社会主义核心价值观的生动体现，为全民奋进提供强大精神动力。</t>
  </si>
  <si>
    <t>3.2 三类精神的实践要求</t>
  </si>
  <si>
    <t>3.2.1 弘扬劳模精神</t>
  </si>
  <si>
    <t>发挥榜样力量，以职业与专业精神争创一流、争做模范。</t>
  </si>
  <si>
    <t>3.2.2 弘扬劳动精神</t>
  </si>
  <si>
    <t>汇聚岗位力量，靠勤劳双手扎实推进中国式现代化。</t>
  </si>
  <si>
    <t>3.2.3 弘扬工匠精神</t>
  </si>
  <si>
    <t>培育技能新人，勤学苦练提升技术水平，夯实现代化物质基础。</t>
  </si>
  <si>
    <t>人文经济学对我们追求物质与精神协调发展、以文化赋能经济社会发展有何启示### ###</t>
  </si>
  <si>
    <t>一、中国式现代化的物质精神协调发展内涵与实践要求</t>
  </si>
  <si>
    <t>1.1 核心内涵界定</t>
  </si>
  <si>
    <t>1.1.1 根本要求</t>
  </si>
  <si>
    <t>物质富足、精神富有是社会主义现代化的核心准则，二者缺一不可。</t>
  </si>
  <si>
    <t>1.1.2 发展导向</t>
  </si>
  <si>
    <t>以 “物的全面丰富” 夯实物质基底，以 “人的全面发展” 锚定精神坐标，实现双向协同。</t>
  </si>
  <si>
    <t>1.2 实践推进要求</t>
  </si>
  <si>
    <t>1.2.1 物质基础厚植</t>
  </si>
  <si>
    <t>持续夯实现代化建设的物质根基</t>
  </si>
  <si>
    <t>筑牢人民幸福生活的物质保障条件</t>
  </si>
  <si>
    <t>1.2.2 精神文明建设</t>
  </si>
  <si>
    <t>大力培育和发展社会主义先进文化</t>
  </si>
  <si>
    <t>强化全社会理想信念教育引导</t>
  </si>
  <si>
    <t>系统性传承弘扬中华优秀文明</t>
  </si>
  <si>
    <t>二、人文经济学对物质精神协调的赋能路径</t>
  </si>
  <si>
    <t>2.1 核心逻辑破局</t>
  </si>
  <si>
    <t>2.1.1 打破传统认知</t>
  </si>
  <si>
    <t>摒弃 “重物质轻精神” 的单一发展逻辑，重构发展价值排序。</t>
  </si>
  <si>
    <t>2.1.2 锚定协同目标</t>
  </si>
  <si>
    <t>追求物质增长与精神丰盈同频共振，实现双维度协调发展。</t>
  </si>
  <si>
    <t>2.2 实践赋能支点</t>
  </si>
  <si>
    <t>2.2.1 赋能高质量发展</t>
  </si>
  <si>
    <t>以文化为发展重要支点，激活经济增长新引擎</t>
  </si>
  <si>
    <t>融入中华人文精神，为市场经济注入文化新动能</t>
  </si>
  <si>
    <t>2.2.2 满足美好生活需求</t>
  </si>
  <si>
    <t>坚持以人民为中心，繁荣公共文化事业</t>
  </si>
  <si>
    <t>加速文化产业提质扩容，供给优质精神食粮</t>
  </si>
  <si>
    <t>以文化供给提升人民整体幸福指数</t>
  </si>
  <si>
    <t>2.3 中国式现代化的落地要求</t>
  </si>
  <si>
    <t>2.3.1 深耕人文经济学实践</t>
  </si>
  <si>
    <t>将人文赋能贯穿经济社会发展全流程。</t>
  </si>
  <si>
    <t>2.3.2 实现共生共荣格局</t>
  </si>
  <si>
    <t>推动人文价值与经济发展相得益彰，筑牢物质精神协调的现代化根基。</t>
  </si>
  <si>
    <t>联系党的建设“伟大的工程”，说明“延安作风”为什么能够打败“西安作风”### ###</t>
  </si>
  <si>
    <t>为什么说“商业热情不能扰乱公共秩序”，旅拍业的逢勃发展必须建立在“对行业规范的遵守之上”### ###</t>
  </si>
  <si>
    <t>如何理解“多边主义、团结合作是解决全球性难题的正确答案”“我们要重温联合国创立初心”### ###</t>
  </si>
  <si>
    <t>一、多边合作是应对全球挑战的必然选择</t>
  </si>
  <si>
    <t>1.1 合作的现实动因</t>
  </si>
  <si>
    <t>1.1.1 全球格局</t>
  </si>
  <si>
    <t>经济全球化深化，各国依存度提升，气候变化、公共卫生危机等全球性问题超越国界。</t>
  </si>
  <si>
    <t>1.1.2 客观局限</t>
  </si>
  <si>
    <t>单一国家无力独立应对挑战，需依托多边机制开展协同治理。</t>
  </si>
  <si>
    <t>1.2 合作的核心原则</t>
  </si>
  <si>
    <t>1.2.1 必然路径</t>
  </si>
  <si>
    <t>多边主义与团结合作是应对挑战、实现共同发展的唯一选择，契合各国人民根本利益。</t>
  </si>
  <si>
    <t>二、联合国的初心使命与宗旨渊源</t>
  </si>
  <si>
    <t>2.1 核心使命</t>
  </si>
  <si>
    <t>2.1.1 宪章宗旨</t>
  </si>
  <si>
    <t>维持国际和平安全、发展国家友好关系、促进国际合作解决全球性问题、保障基本人权自由。</t>
  </si>
  <si>
    <t>2.2 使命根源</t>
  </si>
  <si>
    <t>2.2.1 历史背景</t>
  </si>
  <si>
    <t>源于二战后国际社会对防战争、促合作、求公平的集体诉求，根植于战后全球反思，旨在通过多边合作避免战争、构建公正国际秩序。</t>
  </si>
  <si>
    <t>三、当前多边体系的困境与改革需求</t>
  </si>
  <si>
    <t>3.1 面临挑战</t>
  </si>
  <si>
    <t>3.1.1 体系冲击</t>
  </si>
  <si>
    <t>多边主义、国际法及联合国权威遭遇挑战，国际治理架构亟待改革。</t>
  </si>
  <si>
    <t>3.2 现实意义</t>
  </si>
  <si>
    <t>3.2.1 行动价值</t>
  </si>
  <si>
    <t>重温联合国成立初心与价值理念具备极强现实必要性。</t>
  </si>
  <si>
    <t>四、中国捍卫多边主义的坚定立场</t>
  </si>
  <si>
    <t>4.1 核心坚守</t>
  </si>
  <si>
    <t>4.1.1 体系维护</t>
  </si>
  <si>
    <t>坚定维护联合国权威，支持以联合国为核心的国际体系、以国际法为基础的国际秩序、以宪章宗旨原则为基础的国际关系准则。</t>
  </si>
  <si>
    <t>4.2 实践行动</t>
  </si>
  <si>
    <t>4.2.1 立场践行</t>
  </si>
  <si>
    <t>作为安理会常任理事国，始终站在历史正确一边，坚持并践行真正的多边主义，成为捍卫多边主义的重要基石。</t>
  </si>
  <si>
    <t>为什么说“中国始终是维护和平与发展的'稳定锚’”### ###</t>
  </si>
  <si>
    <t>一、和平发展道路的战略定位</t>
  </si>
  <si>
    <t>1.1 抉择依据</t>
  </si>
  <si>
    <t>1.1.1 核心考量</t>
  </si>
  <si>
    <t>基于时代发展潮流与我国根本利益作出的战略抉择。</t>
  </si>
  <si>
    <t>1.2 外交定位</t>
  </si>
  <si>
    <t>1.2.1 基本原则属性</t>
  </si>
  <si>
    <t>是新时代中国外交的核心基本原则。</t>
  </si>
  <si>
    <t>二、四大全球倡议的实践导向与价值</t>
  </si>
  <si>
    <t>2.1 全球发展倡议：聚焦合作共赢</t>
  </si>
  <si>
    <t>2.1.1 实践举措</t>
  </si>
  <si>
    <t>倡导合作共赢、做大发展蛋糕，推动高质量共建 “一带一路”。</t>
  </si>
  <si>
    <t>2.1.2 核心价值</t>
  </si>
  <si>
    <t>以自身发展为世界创造发展机遇，夯实发展根基。</t>
  </si>
  <si>
    <t>2.2 全球安全倡议：践行新型安全观</t>
  </si>
  <si>
    <t>2.2.1 安全理念</t>
  </si>
  <si>
    <t>秉持共同、综合、合作、可持续的安全观。</t>
  </si>
  <si>
    <t>2.2.2 实践路径</t>
  </si>
  <si>
    <t>引领走对话不对抗、结伴不结盟、共赢非零和的新型安全之路，被誉 “实现普遍安全的希望所在”。</t>
  </si>
  <si>
    <t>2.3 全球文明倡议：促进文明交流互鉴</t>
  </si>
  <si>
    <t>2.3.1 文明观念</t>
  </si>
  <si>
    <t>坚持平等、互鉴、对话、包容的文明观。</t>
  </si>
  <si>
    <t>2.3.2 核心目标</t>
  </si>
  <si>
    <t>推动文明交流超越隔阂、互鉴超越冲突、共存超越优越，筑牢和平思想根基。</t>
  </si>
  <si>
    <t>2.4 全球治理倡议：完善全球治理体系</t>
  </si>
  <si>
    <t>2.4.1 治理共识</t>
  </si>
  <si>
    <t>凝聚主权平等、遵守国际法治、践行多边主义、以人为本、行动导向的共识。</t>
  </si>
  <si>
    <t>2.4.2 治理价值</t>
  </si>
  <si>
    <t>为世界和平发展夯实治理根基，推动构建更公正合理的全球治理体系。</t>
  </si>
  <si>
    <t>通过种养结合的“借牧”模式可以将草畜矛盾和秸秆处置两个难题一起解决，分析其中所蕴含的唯物辩证法原理### ###</t>
  </si>
  <si>
    <t>一、联系观点的总体定位</t>
  </si>
  <si>
    <t>1.1 理论归属</t>
  </si>
  <si>
    <t>1.1.1 核心范畴</t>
  </si>
  <si>
    <t>是唯物辩证法的总观点与总特征之一。</t>
  </si>
  <si>
    <t>1.2 事物存在形态</t>
  </si>
  <si>
    <t>1.2.1 双重属性</t>
  </si>
  <si>
    <t>万事万物既作为个体事物独立存在，又作为联系中的事物依存于整体关联。</t>
  </si>
  <si>
    <t>二、联系的普遍性特征</t>
  </si>
  <si>
    <t>2.1 普遍联系的内涵</t>
  </si>
  <si>
    <t>2.1.1 个体关联</t>
  </si>
  <si>
    <t>任何事物都无法孤立存在，必然与其他事物存在一定联系。</t>
  </si>
  <si>
    <t>2.1.2 整体格局</t>
  </si>
  <si>
    <t>整个世界是相互联系的统一整体，不存在脱离关联的孤立事物。</t>
  </si>
  <si>
    <t>三、联系的条件性特征</t>
  </si>
  <si>
    <t>3.1 条件性的核心逻辑</t>
  </si>
  <si>
    <t>3.1.1 客观前提</t>
  </si>
  <si>
    <t>需以尊重客观规律为基本前提。</t>
  </si>
  <si>
    <t>3.1.2 人的能动性</t>
  </si>
  <si>
    <t>人可通过改变和创造条件，推动事物向有利方向发展。</t>
  </si>
  <si>
    <t>“借牧”模式对我们用创新思维处理人与自然的关系有何启示### ###</t>
  </si>
  <si>
    <t>一、创新思维能力的内涵与实践体现</t>
  </si>
  <si>
    <t>1.1 创新思维的核心属性</t>
  </si>
  <si>
    <t>1.1.1 本质特征</t>
  </si>
  <si>
    <t>是对常规思维的突破，具备破除迷信、超越陈规、因时制宜、开拓创新的特质，核心是不墨守成规，在求新求变中创造性地提出并解决问题。</t>
  </si>
  <si>
    <t>1.1.2 实践范例</t>
  </si>
  <si>
    <t>“借牧” 模式的创新在于敏锐发现事物固有联系，并能动建立新联系，以此推动事物良性发展。</t>
  </si>
  <si>
    <t>二、自然地理环境的作用与人与自然的辩证关系</t>
  </si>
  <si>
    <t>2.1 自然地理环境的基础地位</t>
  </si>
  <si>
    <t>2.1.1 核心价值</t>
  </si>
  <si>
    <t>是人类社会生存发展永恒且必要的条件，是生活和生产的自然基础，自然生态平衡对社会生活具有关键作用。</t>
  </si>
  <si>
    <t>2.1.2 发展前提</t>
  </si>
  <si>
    <t>合理利用自然资源、保护生态平衡，是社会正常发展的必要条件。</t>
  </si>
  <si>
    <t>2.2 人与自然关系的实践准则</t>
  </si>
  <si>
    <t>2.2.1 基本要求</t>
  </si>
  <si>
    <t>人类改造世界需遵循自然规律，否则会造成人与自然关系失衡。</t>
  </si>
  <si>
    <t>2.2.2 理论指引</t>
  </si>
  <si>
    <t>马克思提出应合理调节人与自然的物质变换，在最无愧于和适合人类本性的条件下开展该变换。</t>
  </si>
  <si>
    <t>结合“十五五”时期全体人民共同富裕迈出坚实步伐的总体性要求，说明为什么要推动区域协调发展### ###</t>
  </si>
  <si>
    <t>一、共同富裕是中国式现代化的显著标志</t>
  </si>
  <si>
    <t>1.1 核心区别</t>
  </si>
  <si>
    <t>1.1.1 本质差异</t>
  </si>
  <si>
    <t>是中国式现代化区别于西方现代化的关键标识，凸显现代化方向的人民性。</t>
  </si>
  <si>
    <t>1.2 根本遵循</t>
  </si>
  <si>
    <t>1.2.1 价值导向</t>
  </si>
  <si>
    <t>坚持以人民为中心，将实现人民对美好生活的向往作为现代化建设的出发点和落脚点。</t>
  </si>
  <si>
    <t>1.2.2 实践目标</t>
  </si>
  <si>
    <t>在高质量发展中解决地区、城乡、收入分配三大差距，维护社会公平正义，杜绝两极分化。</t>
  </si>
  <si>
    <t>二、区域协调发展是促进共同富裕的关键途径</t>
  </si>
  <si>
    <t>2.1 发展定位</t>
  </si>
  <si>
    <t>2.1.1 核心作用</t>
  </si>
  <si>
    <t>是破解发展不平衡不充分问题的重要举措，也是推动高质量发展、实现共同富裕的内在要求。</t>
  </si>
  <si>
    <t>2.2 实践意义</t>
  </si>
  <si>
    <t>2.2.1 直接成效</t>
  </si>
  <si>
    <t>提升各地区居民收入与生活质量，增强发展的平衡性、协调性、包容性。</t>
  </si>
  <si>
    <t>2.2.2 最终价值</t>
  </si>
  <si>
    <t>助力实现发展成果全民共享，夯实共同富裕的实践根基。</t>
  </si>
  <si>
    <t>结合“党在长期实践中形成并坚持发扬一整套优良作风”，说明党的作风建设为什么“必须常抓不懈、久久为功”### ###</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</si>
</sst>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0000_ "/>
  </numFmts>
  <fonts count="27">
    <font>
      <sz val="11"/>
      <color theme="1"/>
      <name val="宋体"/>
      <charset val="134"/>
      <scheme val="minor"/>
    </font>
    <font>
      <sz val="11"/>
      <color rgb="FFFF0000"/>
      <name val="宋体"/>
      <charset val="134"/>
      <scheme val="minor"/>
    </font>
    <font>
      <sz val="10.5"/>
      <color theme="1"/>
      <name val="宋体"/>
      <charset val="134"/>
      <scheme val="minor"/>
    </font>
    <font>
      <b/>
      <sz val="11"/>
      <color rgb="FFFF0000"/>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B0F0"/>
      <name val="宋体"/>
      <charset val="134"/>
      <scheme val="minor"/>
    </font>
    <font>
      <b/>
      <sz val="10.5"/>
      <color rgb="FF24292F"/>
      <name val="Segoe UI"/>
      <charset val="134"/>
    </font>
    <font>
      <sz val="10.5"/>
      <color rgb="FF24292F"/>
      <name val="Segoe UI"/>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10">
    <xf numFmtId="0" fontId="0" fillId="0" borderId="0" xfId="0">
      <alignment vertical="center"/>
    </xf>
    <xf numFmtId="176" fontId="0" fillId="0" borderId="0" xfId="0" applyNumberFormat="1">
      <alignment vertical="center"/>
    </xf>
    <xf numFmtId="0" fontId="0" fillId="0" borderId="0" xfId="0" applyAlignment="1">
      <alignment vertical="center"/>
    </xf>
    <xf numFmtId="0" fontId="0" fillId="0" borderId="0" xfId="0" applyAlignment="1"/>
    <xf numFmtId="0" fontId="1" fillId="0" borderId="0" xfId="0" applyFont="1">
      <alignment vertical="center"/>
    </xf>
    <xf numFmtId="0" fontId="2" fillId="0" borderId="0" xfId="0" applyFont="1" applyAlignment="1">
      <alignment horizontal="left" vertical="center"/>
    </xf>
    <xf numFmtId="0" fontId="0" fillId="0" borderId="0" xfId="0" applyFont="1">
      <alignment vertical="center"/>
    </xf>
    <xf numFmtId="0" fontId="3" fillId="0" borderId="0" xfId="0" applyFont="1">
      <alignment vertical="center"/>
    </xf>
    <xf numFmtId="0" fontId="4" fillId="0" borderId="0" xfId="0" applyFont="1">
      <alignment vertical="center"/>
    </xf>
    <xf numFmtId="177" fontId="0" fillId="0" borderId="0" xfId="0" applyNumberFormat="1">
      <alignment vertical="center"/>
    </xf>
    <xf numFmtId="0" fontId="0" fillId="0" borderId="0" xfId="0"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9" Type="http://schemas.openxmlformats.org/officeDocument/2006/relationships/worksheet" Target="worksheets/sheet99.xml"/><Relationship Id="rId98" Type="http://schemas.openxmlformats.org/officeDocument/2006/relationships/worksheet" Target="worksheets/sheet98.xml"/><Relationship Id="rId97" Type="http://schemas.openxmlformats.org/officeDocument/2006/relationships/worksheet" Target="worksheets/sheet97.xml"/><Relationship Id="rId96" Type="http://schemas.openxmlformats.org/officeDocument/2006/relationships/worksheet" Target="worksheets/sheet96.xml"/><Relationship Id="rId95" Type="http://schemas.openxmlformats.org/officeDocument/2006/relationships/worksheet" Target="worksheets/sheet95.xml"/><Relationship Id="rId94" Type="http://schemas.openxmlformats.org/officeDocument/2006/relationships/worksheet" Target="worksheets/sheet94.xml"/><Relationship Id="rId93" Type="http://schemas.openxmlformats.org/officeDocument/2006/relationships/worksheet" Target="worksheets/sheet93.xml"/><Relationship Id="rId92" Type="http://schemas.openxmlformats.org/officeDocument/2006/relationships/worksheet" Target="worksheets/sheet92.xml"/><Relationship Id="rId91" Type="http://schemas.openxmlformats.org/officeDocument/2006/relationships/worksheet" Target="worksheets/sheet91.xml"/><Relationship Id="rId90" Type="http://schemas.openxmlformats.org/officeDocument/2006/relationships/worksheet" Target="worksheets/sheet90.xml"/><Relationship Id="rId9" Type="http://schemas.openxmlformats.org/officeDocument/2006/relationships/worksheet" Target="worksheets/sheet9.xml"/><Relationship Id="rId89" Type="http://schemas.openxmlformats.org/officeDocument/2006/relationships/worksheet" Target="worksheets/sheet89.xml"/><Relationship Id="rId88" Type="http://schemas.openxmlformats.org/officeDocument/2006/relationships/worksheet" Target="worksheets/sheet88.xml"/><Relationship Id="rId87" Type="http://schemas.openxmlformats.org/officeDocument/2006/relationships/worksheet" Target="worksheets/sheet87.xml"/><Relationship Id="rId86" Type="http://schemas.openxmlformats.org/officeDocument/2006/relationships/worksheet" Target="worksheets/sheet86.xml"/><Relationship Id="rId85" Type="http://schemas.openxmlformats.org/officeDocument/2006/relationships/worksheet" Target="worksheets/sheet85.xml"/><Relationship Id="rId84" Type="http://schemas.openxmlformats.org/officeDocument/2006/relationships/worksheet" Target="worksheets/sheet84.xml"/><Relationship Id="rId83" Type="http://schemas.openxmlformats.org/officeDocument/2006/relationships/worksheet" Target="worksheets/sheet83.xml"/><Relationship Id="rId82" Type="http://schemas.openxmlformats.org/officeDocument/2006/relationships/worksheet" Target="worksheets/sheet82.xml"/><Relationship Id="rId81" Type="http://schemas.openxmlformats.org/officeDocument/2006/relationships/worksheet" Target="worksheets/sheet81.xml"/><Relationship Id="rId80" Type="http://schemas.openxmlformats.org/officeDocument/2006/relationships/worksheet" Target="worksheets/sheet80.xml"/><Relationship Id="rId8" Type="http://schemas.openxmlformats.org/officeDocument/2006/relationships/worksheet" Target="worksheets/sheet8.xml"/><Relationship Id="rId79" Type="http://schemas.openxmlformats.org/officeDocument/2006/relationships/worksheet" Target="worksheets/sheet79.xml"/><Relationship Id="rId78" Type="http://schemas.openxmlformats.org/officeDocument/2006/relationships/worksheet" Target="worksheets/sheet78.xml"/><Relationship Id="rId77" Type="http://schemas.openxmlformats.org/officeDocument/2006/relationships/worksheet" Target="worksheets/sheet77.xml"/><Relationship Id="rId76" Type="http://schemas.openxmlformats.org/officeDocument/2006/relationships/worksheet" Target="worksheets/sheet76.xml"/><Relationship Id="rId75" Type="http://schemas.openxmlformats.org/officeDocument/2006/relationships/worksheet" Target="worksheets/sheet75.xml"/><Relationship Id="rId74" Type="http://schemas.openxmlformats.org/officeDocument/2006/relationships/worksheet" Target="worksheets/sheet74.xml"/><Relationship Id="rId73" Type="http://schemas.openxmlformats.org/officeDocument/2006/relationships/worksheet" Target="worksheets/sheet73.xml"/><Relationship Id="rId72" Type="http://schemas.openxmlformats.org/officeDocument/2006/relationships/worksheet" Target="worksheets/sheet72.xml"/><Relationship Id="rId71" Type="http://schemas.openxmlformats.org/officeDocument/2006/relationships/worksheet" Target="worksheets/sheet71.xml"/><Relationship Id="rId70" Type="http://schemas.openxmlformats.org/officeDocument/2006/relationships/worksheet" Target="worksheets/sheet70.xml"/><Relationship Id="rId7" Type="http://schemas.openxmlformats.org/officeDocument/2006/relationships/worksheet" Target="worksheets/sheet7.xml"/><Relationship Id="rId69" Type="http://schemas.openxmlformats.org/officeDocument/2006/relationships/worksheet" Target="worksheets/sheet69.xml"/><Relationship Id="rId68" Type="http://schemas.openxmlformats.org/officeDocument/2006/relationships/worksheet" Target="worksheets/sheet68.xml"/><Relationship Id="rId67" Type="http://schemas.openxmlformats.org/officeDocument/2006/relationships/worksheet" Target="worksheets/sheet67.xml"/><Relationship Id="rId66" Type="http://schemas.openxmlformats.org/officeDocument/2006/relationships/worksheet" Target="worksheets/sheet66.xml"/><Relationship Id="rId65" Type="http://schemas.openxmlformats.org/officeDocument/2006/relationships/worksheet" Target="worksheets/sheet65.xml"/><Relationship Id="rId64" Type="http://schemas.openxmlformats.org/officeDocument/2006/relationships/worksheet" Target="worksheets/sheet64.xml"/><Relationship Id="rId63" Type="http://schemas.openxmlformats.org/officeDocument/2006/relationships/worksheet" Target="worksheets/sheet63.xml"/><Relationship Id="rId62" Type="http://schemas.openxmlformats.org/officeDocument/2006/relationships/worksheet" Target="worksheets/sheet62.xml"/><Relationship Id="rId61" Type="http://schemas.openxmlformats.org/officeDocument/2006/relationships/worksheet" Target="worksheets/sheet61.xml"/><Relationship Id="rId60" Type="http://schemas.openxmlformats.org/officeDocument/2006/relationships/worksheet" Target="worksheets/sheet60.xml"/><Relationship Id="rId6" Type="http://schemas.openxmlformats.org/officeDocument/2006/relationships/worksheet" Target="worksheets/sheet6.xml"/><Relationship Id="rId59" Type="http://schemas.openxmlformats.org/officeDocument/2006/relationships/worksheet" Target="worksheets/sheet59.xml"/><Relationship Id="rId58" Type="http://schemas.openxmlformats.org/officeDocument/2006/relationships/worksheet" Target="worksheets/sheet58.xml"/><Relationship Id="rId57" Type="http://schemas.openxmlformats.org/officeDocument/2006/relationships/worksheet" Target="worksheets/sheet57.xml"/><Relationship Id="rId56" Type="http://schemas.openxmlformats.org/officeDocument/2006/relationships/worksheet" Target="worksheets/sheet56.xml"/><Relationship Id="rId55" Type="http://schemas.openxmlformats.org/officeDocument/2006/relationships/worksheet" Target="worksheets/sheet55.xml"/><Relationship Id="rId54" Type="http://schemas.openxmlformats.org/officeDocument/2006/relationships/worksheet" Target="worksheets/sheet54.xml"/><Relationship Id="rId53" Type="http://schemas.openxmlformats.org/officeDocument/2006/relationships/worksheet" Target="worksheets/sheet53.xml"/><Relationship Id="rId52" Type="http://schemas.openxmlformats.org/officeDocument/2006/relationships/worksheet" Target="worksheets/sheet52.xml"/><Relationship Id="rId51" Type="http://schemas.openxmlformats.org/officeDocument/2006/relationships/worksheet" Target="worksheets/sheet51.xml"/><Relationship Id="rId50" Type="http://schemas.openxmlformats.org/officeDocument/2006/relationships/worksheet" Target="worksheets/sheet50.xml"/><Relationship Id="rId5" Type="http://schemas.openxmlformats.org/officeDocument/2006/relationships/worksheet" Target="worksheets/sheet5.xml"/><Relationship Id="rId49" Type="http://schemas.openxmlformats.org/officeDocument/2006/relationships/worksheet" Target="worksheets/sheet49.xml"/><Relationship Id="rId48" Type="http://schemas.openxmlformats.org/officeDocument/2006/relationships/worksheet" Target="worksheets/sheet48.xml"/><Relationship Id="rId47" Type="http://schemas.openxmlformats.org/officeDocument/2006/relationships/worksheet" Target="worksheets/sheet47.xml"/><Relationship Id="rId46" Type="http://schemas.openxmlformats.org/officeDocument/2006/relationships/worksheet" Target="worksheets/sheet46.xml"/><Relationship Id="rId45" Type="http://schemas.openxmlformats.org/officeDocument/2006/relationships/worksheet" Target="worksheets/sheet45.xml"/><Relationship Id="rId44" Type="http://schemas.openxmlformats.org/officeDocument/2006/relationships/worksheet" Target="worksheets/sheet44.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7" Type="http://schemas.openxmlformats.org/officeDocument/2006/relationships/styles" Target="styles.xml"/><Relationship Id="rId236" Type="http://schemas.openxmlformats.org/officeDocument/2006/relationships/sheetMetadata" Target="metadata.xml"/><Relationship Id="rId235" Type="http://schemas.openxmlformats.org/officeDocument/2006/relationships/sharedStrings" Target="sharedStrings.xml"/><Relationship Id="rId234" Type="http://schemas.openxmlformats.org/officeDocument/2006/relationships/theme" Target="theme/theme1.xml"/><Relationship Id="rId233" Type="http://schemas.openxmlformats.org/officeDocument/2006/relationships/worksheet" Target="worksheets/sheet233.xml"/><Relationship Id="rId232" Type="http://schemas.openxmlformats.org/officeDocument/2006/relationships/worksheet" Target="worksheets/sheet232.xml"/><Relationship Id="rId231" Type="http://schemas.openxmlformats.org/officeDocument/2006/relationships/worksheet" Target="worksheets/sheet231.xml"/><Relationship Id="rId230" Type="http://schemas.openxmlformats.org/officeDocument/2006/relationships/worksheet" Target="worksheets/sheet230.xml"/><Relationship Id="rId23" Type="http://schemas.openxmlformats.org/officeDocument/2006/relationships/worksheet" Target="worksheets/sheet23.xml"/><Relationship Id="rId229" Type="http://schemas.openxmlformats.org/officeDocument/2006/relationships/worksheet" Target="worksheets/sheet229.xml"/><Relationship Id="rId228" Type="http://schemas.openxmlformats.org/officeDocument/2006/relationships/worksheet" Target="worksheets/sheet228.xml"/><Relationship Id="rId227" Type="http://schemas.openxmlformats.org/officeDocument/2006/relationships/worksheet" Target="worksheets/sheet227.xml"/><Relationship Id="rId226" Type="http://schemas.openxmlformats.org/officeDocument/2006/relationships/worksheet" Target="worksheets/sheet226.xml"/><Relationship Id="rId225" Type="http://schemas.openxmlformats.org/officeDocument/2006/relationships/worksheet" Target="worksheets/sheet225.xml"/><Relationship Id="rId224" Type="http://schemas.openxmlformats.org/officeDocument/2006/relationships/worksheet" Target="worksheets/sheet224.xml"/><Relationship Id="rId223" Type="http://schemas.openxmlformats.org/officeDocument/2006/relationships/worksheet" Target="worksheets/sheet223.xml"/><Relationship Id="rId222" Type="http://schemas.openxmlformats.org/officeDocument/2006/relationships/worksheet" Target="worksheets/sheet222.xml"/><Relationship Id="rId221" Type="http://schemas.openxmlformats.org/officeDocument/2006/relationships/worksheet" Target="worksheets/sheet221.xml"/><Relationship Id="rId220" Type="http://schemas.openxmlformats.org/officeDocument/2006/relationships/worksheet" Target="worksheets/sheet220.xml"/><Relationship Id="rId22" Type="http://schemas.openxmlformats.org/officeDocument/2006/relationships/worksheet" Target="worksheets/sheet22.xml"/><Relationship Id="rId219" Type="http://schemas.openxmlformats.org/officeDocument/2006/relationships/worksheet" Target="worksheets/sheet219.xml"/><Relationship Id="rId218" Type="http://schemas.openxmlformats.org/officeDocument/2006/relationships/worksheet" Target="worksheets/sheet218.xml"/><Relationship Id="rId217" Type="http://schemas.openxmlformats.org/officeDocument/2006/relationships/worksheet" Target="worksheets/sheet217.xml"/><Relationship Id="rId216" Type="http://schemas.openxmlformats.org/officeDocument/2006/relationships/worksheet" Target="worksheets/sheet216.xml"/><Relationship Id="rId215" Type="http://schemas.openxmlformats.org/officeDocument/2006/relationships/worksheet" Target="worksheets/sheet215.xml"/><Relationship Id="rId214" Type="http://schemas.openxmlformats.org/officeDocument/2006/relationships/worksheet" Target="worksheets/sheet214.xml"/><Relationship Id="rId213" Type="http://schemas.openxmlformats.org/officeDocument/2006/relationships/worksheet" Target="worksheets/sheet213.xml"/><Relationship Id="rId212" Type="http://schemas.openxmlformats.org/officeDocument/2006/relationships/worksheet" Target="worksheets/sheet212.xml"/><Relationship Id="rId211" Type="http://schemas.openxmlformats.org/officeDocument/2006/relationships/worksheet" Target="worksheets/sheet211.xml"/><Relationship Id="rId210" Type="http://schemas.openxmlformats.org/officeDocument/2006/relationships/worksheet" Target="worksheets/sheet210.xml"/><Relationship Id="rId21" Type="http://schemas.openxmlformats.org/officeDocument/2006/relationships/worksheet" Target="worksheets/sheet21.xml"/><Relationship Id="rId209" Type="http://schemas.openxmlformats.org/officeDocument/2006/relationships/worksheet" Target="worksheets/sheet209.xml"/><Relationship Id="rId208" Type="http://schemas.openxmlformats.org/officeDocument/2006/relationships/worksheet" Target="worksheets/sheet208.xml"/><Relationship Id="rId207" Type="http://schemas.openxmlformats.org/officeDocument/2006/relationships/worksheet" Target="worksheets/sheet207.xml"/><Relationship Id="rId206" Type="http://schemas.openxmlformats.org/officeDocument/2006/relationships/worksheet" Target="worksheets/sheet206.xml"/><Relationship Id="rId205" Type="http://schemas.openxmlformats.org/officeDocument/2006/relationships/worksheet" Target="worksheets/sheet205.xml"/><Relationship Id="rId204" Type="http://schemas.openxmlformats.org/officeDocument/2006/relationships/worksheet" Target="worksheets/sheet204.xml"/><Relationship Id="rId203" Type="http://schemas.openxmlformats.org/officeDocument/2006/relationships/worksheet" Target="worksheets/sheet203.xml"/><Relationship Id="rId202" Type="http://schemas.openxmlformats.org/officeDocument/2006/relationships/worksheet" Target="worksheets/sheet202.xml"/><Relationship Id="rId201" Type="http://schemas.openxmlformats.org/officeDocument/2006/relationships/worksheet" Target="worksheets/sheet201.xml"/><Relationship Id="rId200" Type="http://schemas.openxmlformats.org/officeDocument/2006/relationships/worksheet" Target="worksheets/sheet200.xml"/><Relationship Id="rId20" Type="http://schemas.openxmlformats.org/officeDocument/2006/relationships/worksheet" Target="worksheets/sheet20.xml"/><Relationship Id="rId2" Type="http://schemas.openxmlformats.org/officeDocument/2006/relationships/worksheet" Target="worksheets/sheet2.xml"/><Relationship Id="rId199" Type="http://schemas.openxmlformats.org/officeDocument/2006/relationships/worksheet" Target="worksheets/sheet199.xml"/><Relationship Id="rId198" Type="http://schemas.openxmlformats.org/officeDocument/2006/relationships/worksheet" Target="worksheets/sheet198.xml"/><Relationship Id="rId197" Type="http://schemas.openxmlformats.org/officeDocument/2006/relationships/worksheet" Target="worksheets/sheet197.xml"/><Relationship Id="rId196" Type="http://schemas.openxmlformats.org/officeDocument/2006/relationships/worksheet" Target="worksheets/sheet196.xml"/><Relationship Id="rId195" Type="http://schemas.openxmlformats.org/officeDocument/2006/relationships/worksheet" Target="worksheets/sheet195.xml"/><Relationship Id="rId194" Type="http://schemas.openxmlformats.org/officeDocument/2006/relationships/worksheet" Target="worksheets/sheet194.xml"/><Relationship Id="rId193" Type="http://schemas.openxmlformats.org/officeDocument/2006/relationships/worksheet" Target="worksheets/sheet193.xml"/><Relationship Id="rId192" Type="http://schemas.openxmlformats.org/officeDocument/2006/relationships/worksheet" Target="worksheets/sheet192.xml"/><Relationship Id="rId191" Type="http://schemas.openxmlformats.org/officeDocument/2006/relationships/worksheet" Target="worksheets/sheet191.xml"/><Relationship Id="rId190" Type="http://schemas.openxmlformats.org/officeDocument/2006/relationships/worksheet" Target="worksheets/sheet190.xml"/><Relationship Id="rId19" Type="http://schemas.openxmlformats.org/officeDocument/2006/relationships/worksheet" Target="worksheets/sheet19.xml"/><Relationship Id="rId189" Type="http://schemas.openxmlformats.org/officeDocument/2006/relationships/worksheet" Target="worksheets/sheet189.xml"/><Relationship Id="rId188" Type="http://schemas.openxmlformats.org/officeDocument/2006/relationships/worksheet" Target="worksheets/sheet188.xml"/><Relationship Id="rId187" Type="http://schemas.openxmlformats.org/officeDocument/2006/relationships/worksheet" Target="worksheets/sheet187.xml"/><Relationship Id="rId186" Type="http://schemas.openxmlformats.org/officeDocument/2006/relationships/worksheet" Target="worksheets/sheet186.xml"/><Relationship Id="rId185" Type="http://schemas.openxmlformats.org/officeDocument/2006/relationships/worksheet" Target="worksheets/sheet185.xml"/><Relationship Id="rId184" Type="http://schemas.openxmlformats.org/officeDocument/2006/relationships/worksheet" Target="worksheets/sheet184.xml"/><Relationship Id="rId183" Type="http://schemas.openxmlformats.org/officeDocument/2006/relationships/worksheet" Target="worksheets/sheet183.xml"/><Relationship Id="rId182" Type="http://schemas.openxmlformats.org/officeDocument/2006/relationships/worksheet" Target="worksheets/sheet182.xml"/><Relationship Id="rId181" Type="http://schemas.openxmlformats.org/officeDocument/2006/relationships/worksheet" Target="worksheets/sheet181.xml"/><Relationship Id="rId180" Type="http://schemas.openxmlformats.org/officeDocument/2006/relationships/worksheet" Target="worksheets/sheet180.xml"/><Relationship Id="rId18" Type="http://schemas.openxmlformats.org/officeDocument/2006/relationships/worksheet" Target="worksheets/sheet18.xml"/><Relationship Id="rId179" Type="http://schemas.openxmlformats.org/officeDocument/2006/relationships/worksheet" Target="worksheets/sheet179.xml"/><Relationship Id="rId178" Type="http://schemas.openxmlformats.org/officeDocument/2006/relationships/worksheet" Target="worksheets/sheet178.xml"/><Relationship Id="rId177" Type="http://schemas.openxmlformats.org/officeDocument/2006/relationships/worksheet" Target="worksheets/sheet177.xml"/><Relationship Id="rId176" Type="http://schemas.openxmlformats.org/officeDocument/2006/relationships/worksheet" Target="worksheets/sheet176.xml"/><Relationship Id="rId175" Type="http://schemas.openxmlformats.org/officeDocument/2006/relationships/worksheet" Target="worksheets/sheet175.xml"/><Relationship Id="rId174" Type="http://schemas.openxmlformats.org/officeDocument/2006/relationships/worksheet" Target="worksheets/sheet174.xml"/><Relationship Id="rId173" Type="http://schemas.openxmlformats.org/officeDocument/2006/relationships/worksheet" Target="worksheets/sheet173.xml"/><Relationship Id="rId172" Type="http://schemas.openxmlformats.org/officeDocument/2006/relationships/worksheet" Target="worksheets/sheet172.xml"/><Relationship Id="rId171" Type="http://schemas.openxmlformats.org/officeDocument/2006/relationships/worksheet" Target="worksheets/sheet171.xml"/><Relationship Id="rId170" Type="http://schemas.openxmlformats.org/officeDocument/2006/relationships/worksheet" Target="worksheets/sheet170.xml"/><Relationship Id="rId17" Type="http://schemas.openxmlformats.org/officeDocument/2006/relationships/worksheet" Target="worksheets/sheet17.xml"/><Relationship Id="rId169" Type="http://schemas.openxmlformats.org/officeDocument/2006/relationships/worksheet" Target="worksheets/sheet169.xml"/><Relationship Id="rId168" Type="http://schemas.openxmlformats.org/officeDocument/2006/relationships/worksheet" Target="worksheets/sheet168.xml"/><Relationship Id="rId167" Type="http://schemas.openxmlformats.org/officeDocument/2006/relationships/worksheet" Target="worksheets/sheet167.xml"/><Relationship Id="rId166" Type="http://schemas.openxmlformats.org/officeDocument/2006/relationships/worksheet" Target="worksheets/sheet166.xml"/><Relationship Id="rId165" Type="http://schemas.openxmlformats.org/officeDocument/2006/relationships/worksheet" Target="worksheets/sheet165.xml"/><Relationship Id="rId164" Type="http://schemas.openxmlformats.org/officeDocument/2006/relationships/worksheet" Target="worksheets/sheet164.xml"/><Relationship Id="rId163" Type="http://schemas.openxmlformats.org/officeDocument/2006/relationships/worksheet" Target="worksheets/sheet163.xml"/><Relationship Id="rId162" Type="http://schemas.openxmlformats.org/officeDocument/2006/relationships/worksheet" Target="worksheets/sheet162.xml"/><Relationship Id="rId161" Type="http://schemas.openxmlformats.org/officeDocument/2006/relationships/worksheet" Target="worksheets/sheet161.xml"/><Relationship Id="rId160" Type="http://schemas.openxmlformats.org/officeDocument/2006/relationships/worksheet" Target="worksheets/sheet160.xml"/><Relationship Id="rId16" Type="http://schemas.openxmlformats.org/officeDocument/2006/relationships/worksheet" Target="worksheets/sheet16.xml"/><Relationship Id="rId159" Type="http://schemas.openxmlformats.org/officeDocument/2006/relationships/worksheet" Target="worksheets/sheet159.xml"/><Relationship Id="rId158" Type="http://schemas.openxmlformats.org/officeDocument/2006/relationships/worksheet" Target="worksheets/sheet158.xml"/><Relationship Id="rId157" Type="http://schemas.openxmlformats.org/officeDocument/2006/relationships/worksheet" Target="worksheets/sheet157.xml"/><Relationship Id="rId156" Type="http://schemas.openxmlformats.org/officeDocument/2006/relationships/worksheet" Target="worksheets/sheet156.xml"/><Relationship Id="rId155" Type="http://schemas.openxmlformats.org/officeDocument/2006/relationships/worksheet" Target="worksheets/sheet155.xml"/><Relationship Id="rId154" Type="http://schemas.openxmlformats.org/officeDocument/2006/relationships/worksheet" Target="worksheets/sheet154.xml"/><Relationship Id="rId153" Type="http://schemas.openxmlformats.org/officeDocument/2006/relationships/worksheet" Target="worksheets/sheet153.xml"/><Relationship Id="rId152" Type="http://schemas.openxmlformats.org/officeDocument/2006/relationships/worksheet" Target="worksheets/sheet152.xml"/><Relationship Id="rId151" Type="http://schemas.openxmlformats.org/officeDocument/2006/relationships/worksheet" Target="worksheets/sheet151.xml"/><Relationship Id="rId150" Type="http://schemas.openxmlformats.org/officeDocument/2006/relationships/worksheet" Target="worksheets/sheet150.xml"/><Relationship Id="rId15" Type="http://schemas.openxmlformats.org/officeDocument/2006/relationships/worksheet" Target="worksheets/sheet15.xml"/><Relationship Id="rId149" Type="http://schemas.openxmlformats.org/officeDocument/2006/relationships/worksheet" Target="worksheets/sheet149.xml"/><Relationship Id="rId148" Type="http://schemas.openxmlformats.org/officeDocument/2006/relationships/worksheet" Target="worksheets/sheet148.xml"/><Relationship Id="rId147" Type="http://schemas.openxmlformats.org/officeDocument/2006/relationships/worksheet" Target="worksheets/sheet147.xml"/><Relationship Id="rId146" Type="http://schemas.openxmlformats.org/officeDocument/2006/relationships/worksheet" Target="worksheets/sheet146.xml"/><Relationship Id="rId145" Type="http://schemas.openxmlformats.org/officeDocument/2006/relationships/worksheet" Target="worksheets/sheet145.xml"/><Relationship Id="rId144" Type="http://schemas.openxmlformats.org/officeDocument/2006/relationships/worksheet" Target="worksheets/sheet144.xml"/><Relationship Id="rId143" Type="http://schemas.openxmlformats.org/officeDocument/2006/relationships/worksheet" Target="worksheets/sheet143.xml"/><Relationship Id="rId142" Type="http://schemas.openxmlformats.org/officeDocument/2006/relationships/worksheet" Target="worksheets/sheet142.xml"/><Relationship Id="rId141" Type="http://schemas.openxmlformats.org/officeDocument/2006/relationships/worksheet" Target="worksheets/sheet141.xml"/><Relationship Id="rId140" Type="http://schemas.openxmlformats.org/officeDocument/2006/relationships/worksheet" Target="worksheets/sheet140.xml"/><Relationship Id="rId14" Type="http://schemas.openxmlformats.org/officeDocument/2006/relationships/worksheet" Target="worksheets/sheet14.xml"/><Relationship Id="rId139" Type="http://schemas.openxmlformats.org/officeDocument/2006/relationships/worksheet" Target="worksheets/sheet139.xml"/><Relationship Id="rId138" Type="http://schemas.openxmlformats.org/officeDocument/2006/relationships/worksheet" Target="worksheets/sheet138.xml"/><Relationship Id="rId137" Type="http://schemas.openxmlformats.org/officeDocument/2006/relationships/worksheet" Target="worksheets/sheet137.xml"/><Relationship Id="rId136" Type="http://schemas.openxmlformats.org/officeDocument/2006/relationships/worksheet" Target="worksheets/sheet136.xml"/><Relationship Id="rId135" Type="http://schemas.openxmlformats.org/officeDocument/2006/relationships/worksheet" Target="worksheets/sheet135.xml"/><Relationship Id="rId134" Type="http://schemas.openxmlformats.org/officeDocument/2006/relationships/worksheet" Target="worksheets/sheet134.xml"/><Relationship Id="rId133" Type="http://schemas.openxmlformats.org/officeDocument/2006/relationships/worksheet" Target="worksheets/sheet133.xml"/><Relationship Id="rId132" Type="http://schemas.openxmlformats.org/officeDocument/2006/relationships/worksheet" Target="worksheets/sheet132.xml"/><Relationship Id="rId131" Type="http://schemas.openxmlformats.org/officeDocument/2006/relationships/worksheet" Target="worksheets/sheet131.xml"/><Relationship Id="rId130" Type="http://schemas.openxmlformats.org/officeDocument/2006/relationships/worksheet" Target="worksheets/sheet130.xml"/><Relationship Id="rId13" Type="http://schemas.openxmlformats.org/officeDocument/2006/relationships/worksheet" Target="worksheets/sheet13.xml"/><Relationship Id="rId129" Type="http://schemas.openxmlformats.org/officeDocument/2006/relationships/worksheet" Target="worksheets/sheet129.xml"/><Relationship Id="rId128" Type="http://schemas.openxmlformats.org/officeDocument/2006/relationships/worksheet" Target="worksheets/sheet128.xml"/><Relationship Id="rId127" Type="http://schemas.openxmlformats.org/officeDocument/2006/relationships/worksheet" Target="worksheets/sheet127.xml"/><Relationship Id="rId126" Type="http://schemas.openxmlformats.org/officeDocument/2006/relationships/worksheet" Target="worksheets/sheet126.xml"/><Relationship Id="rId125" Type="http://schemas.openxmlformats.org/officeDocument/2006/relationships/worksheet" Target="worksheets/sheet125.xml"/><Relationship Id="rId124" Type="http://schemas.openxmlformats.org/officeDocument/2006/relationships/worksheet" Target="worksheets/sheet124.xml"/><Relationship Id="rId123" Type="http://schemas.openxmlformats.org/officeDocument/2006/relationships/worksheet" Target="worksheets/sheet123.xml"/><Relationship Id="rId122" Type="http://schemas.openxmlformats.org/officeDocument/2006/relationships/worksheet" Target="worksheets/sheet122.xml"/><Relationship Id="rId121" Type="http://schemas.openxmlformats.org/officeDocument/2006/relationships/worksheet" Target="worksheets/sheet121.xml"/><Relationship Id="rId120" Type="http://schemas.openxmlformats.org/officeDocument/2006/relationships/worksheet" Target="worksheets/sheet120.xml"/><Relationship Id="rId12" Type="http://schemas.openxmlformats.org/officeDocument/2006/relationships/worksheet" Target="worksheets/sheet12.xml"/><Relationship Id="rId119" Type="http://schemas.openxmlformats.org/officeDocument/2006/relationships/worksheet" Target="worksheets/sheet119.xml"/><Relationship Id="rId118" Type="http://schemas.openxmlformats.org/officeDocument/2006/relationships/worksheet" Target="worksheets/sheet118.xml"/><Relationship Id="rId117" Type="http://schemas.openxmlformats.org/officeDocument/2006/relationships/worksheet" Target="worksheets/sheet117.xml"/><Relationship Id="rId116" Type="http://schemas.openxmlformats.org/officeDocument/2006/relationships/worksheet" Target="worksheets/sheet116.xml"/><Relationship Id="rId115" Type="http://schemas.openxmlformats.org/officeDocument/2006/relationships/worksheet" Target="worksheets/sheet115.xml"/><Relationship Id="rId114" Type="http://schemas.openxmlformats.org/officeDocument/2006/relationships/worksheet" Target="worksheets/sheet114.xml"/><Relationship Id="rId113" Type="http://schemas.openxmlformats.org/officeDocument/2006/relationships/worksheet" Target="worksheets/sheet113.xml"/><Relationship Id="rId112" Type="http://schemas.openxmlformats.org/officeDocument/2006/relationships/worksheet" Target="worksheets/sheet112.xml"/><Relationship Id="rId111" Type="http://schemas.openxmlformats.org/officeDocument/2006/relationships/worksheet" Target="worksheets/sheet111.xml"/><Relationship Id="rId110" Type="http://schemas.openxmlformats.org/officeDocument/2006/relationships/worksheet" Target="worksheets/sheet110.xml"/><Relationship Id="rId11" Type="http://schemas.openxmlformats.org/officeDocument/2006/relationships/worksheet" Target="worksheets/sheet11.xml"/><Relationship Id="rId109" Type="http://schemas.openxmlformats.org/officeDocument/2006/relationships/worksheet" Target="worksheets/sheet109.xml"/><Relationship Id="rId108" Type="http://schemas.openxmlformats.org/officeDocument/2006/relationships/worksheet" Target="worksheets/sheet108.xml"/><Relationship Id="rId107" Type="http://schemas.openxmlformats.org/officeDocument/2006/relationships/worksheet" Target="worksheets/sheet107.xml"/><Relationship Id="rId106" Type="http://schemas.openxmlformats.org/officeDocument/2006/relationships/worksheet" Target="worksheets/sheet106.xml"/><Relationship Id="rId105" Type="http://schemas.openxmlformats.org/officeDocument/2006/relationships/worksheet" Target="worksheets/sheet105.xml"/><Relationship Id="rId104" Type="http://schemas.openxmlformats.org/officeDocument/2006/relationships/worksheet" Target="worksheets/sheet104.xml"/><Relationship Id="rId103" Type="http://schemas.openxmlformats.org/officeDocument/2006/relationships/worksheet" Target="worksheets/sheet103.xml"/><Relationship Id="rId102" Type="http://schemas.openxmlformats.org/officeDocument/2006/relationships/worksheet" Target="worksheets/sheet102.xml"/><Relationship Id="rId101" Type="http://schemas.openxmlformats.org/officeDocument/2006/relationships/worksheet" Target="worksheets/sheet101.xml"/><Relationship Id="rId100" Type="http://schemas.openxmlformats.org/officeDocument/2006/relationships/worksheet" Target="worksheets/sheet100.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
  <sheetViews>
    <sheetView workbookViewId="0">
      <selection activeCell="A1" sqref="$A1:$XFD2"/>
    </sheetView>
  </sheetViews>
  <sheetFormatPr defaultColWidth="8.88888888888889" defaultRowHeight="14.4" outlineLevelRow="6" outlineLevelCol="7"/>
  <cols>
    <col min="1" max="1" width="9.66666666666667"/>
  </cols>
  <sheetData>
    <row r="1" s="1" customFormat="1" spans="1:8">
      <c r="A1" s="1">
        <f>SUM(B1:AZ1)</f>
        <v>2.08333333333333</v>
      </c>
      <c r="B1" s="1">
        <f t="shared" ref="B1:H1" si="0">COUNTA(B2:B2050)/COLUMN()</f>
        <v>0.5</v>
      </c>
      <c r="C1" s="1">
        <f t="shared" si="0"/>
        <v>1.33333333333333</v>
      </c>
      <c r="D1" s="1">
        <f t="shared" si="0"/>
        <v>0.25</v>
      </c>
      <c r="E1" s="1">
        <f t="shared" si="0"/>
        <v>0</v>
      </c>
      <c r="F1" s="1">
        <f t="shared" si="0"/>
        <v>0</v>
      </c>
      <c r="G1" s="1">
        <f t="shared" si="0"/>
        <v>0</v>
      </c>
      <c r="H1" s="1">
        <f t="shared" si="0"/>
        <v>0</v>
      </c>
    </row>
    <row r="2" spans="1:8">
      <c r="A2" s="6">
        <v>20240225</v>
      </c>
      <c r="B2" t="s">
        <v>0</v>
      </c>
      <c r="C2" s="6"/>
    </row>
    <row r="3" spans="1:8">
      <c r="C3" s="6" t="s">
        <v>1</v>
      </c>
    </row>
    <row r="4" spans="1:8">
      <c r="C4" s="6" t="s">
        <v>2</v>
      </c>
    </row>
    <row r="5" spans="1:8">
      <c r="C5" t="s">
        <v>3</v>
      </c>
    </row>
    <row r="6" spans="1:8">
      <c r="C6" s="6" t="s">
        <v>4</v>
      </c>
    </row>
    <row r="7" spans="1:8">
      <c r="D7" t="s">
        <v>5</v>
      </c>
    </row>
  </sheetData>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3"/>
  <sheetViews>
    <sheetView workbookViewId="0">
      <selection activeCell="B2" sqref="B2"/>
    </sheetView>
  </sheetViews>
  <sheetFormatPr defaultColWidth="8.88888888888889" defaultRowHeight="14.4" outlineLevelCol="7"/>
  <cols>
    <col min="1" max="1" width="9.66666666666667"/>
  </cols>
  <sheetData>
    <row r="1" s="1" customFormat="1" spans="1:8">
      <c r="A1" s="1">
        <f>SUM(B1:AZ1)</f>
        <v>4.25</v>
      </c>
      <c r="B1" s="1">
        <f t="shared" ref="B1:H1" si="0">COUNTA(B2:B2050)/COLUMN()</f>
        <v>1</v>
      </c>
      <c r="C1" s="1">
        <f t="shared" si="0"/>
        <v>2</v>
      </c>
      <c r="D1" s="1">
        <f t="shared" si="0"/>
        <v>1.25</v>
      </c>
      <c r="E1" s="1">
        <f t="shared" si="0"/>
        <v>0</v>
      </c>
      <c r="F1" s="1">
        <f t="shared" si="0"/>
        <v>0</v>
      </c>
      <c r="G1" s="1">
        <f t="shared" si="0"/>
        <v>0</v>
      </c>
      <c r="H1" s="1">
        <f t="shared" si="0"/>
        <v>0</v>
      </c>
    </row>
    <row r="2" spans="1:8">
      <c r="A2" s="6">
        <v>20240229</v>
      </c>
      <c r="B2" t="s">
        <v>6</v>
      </c>
      <c r="C2" s="6"/>
    </row>
    <row r="3" spans="1:8">
      <c r="C3" t="s">
        <v>7</v>
      </c>
    </row>
    <row r="4" spans="1:8">
      <c r="C4" t="s">
        <v>8</v>
      </c>
    </row>
    <row r="5" spans="1:8">
      <c r="B5" t="s">
        <v>9</v>
      </c>
    </row>
    <row r="6" spans="1:8">
      <c r="C6" t="s">
        <v>10</v>
      </c>
    </row>
    <row r="7" spans="1:8">
      <c r="C7" t="s">
        <v>11</v>
      </c>
      <c r="D7" t="s">
        <v>12</v>
      </c>
    </row>
    <row r="8" spans="1:8">
      <c r="D8" t="s">
        <v>13</v>
      </c>
    </row>
    <row r="9" spans="1:8">
      <c r="D9" t="s">
        <v>14</v>
      </c>
    </row>
    <row r="10" spans="1:8">
      <c r="D10" t="s">
        <v>15</v>
      </c>
    </row>
    <row r="11" spans="1:8">
      <c r="D11" t="s">
        <v>16</v>
      </c>
    </row>
    <row r="12" spans="1:8">
      <c r="C12" t="s">
        <v>17</v>
      </c>
    </row>
    <row r="13" spans="1:8">
      <c r="C13" t="s">
        <v>18</v>
      </c>
    </row>
  </sheetData>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5"/>
  <sheetViews>
    <sheetView workbookViewId="0">
      <selection activeCell="B2" sqref="B2"/>
    </sheetView>
  </sheetViews>
  <sheetFormatPr defaultColWidth="9.66666666666667" defaultRowHeight="14.4" outlineLevelCol="7"/>
  <cols>
    <col min="1" max="16384" width="9.66666666666667" customWidth="1"/>
  </cols>
  <sheetData>
    <row r="1" s="1" customFormat="1" spans="1:8">
      <c r="A1" s="1">
        <f>SUM(B1:AZ1)</f>
        <v>5.66666666666667</v>
      </c>
      <c r="B1" s="1">
        <f t="shared" ref="B1:H1" si="0">COUNTA(B2:B2050)/COLUMN()</f>
        <v>3</v>
      </c>
      <c r="C1" s="1">
        <f t="shared" si="0"/>
        <v>2.66666666666667</v>
      </c>
      <c r="D1" s="1">
        <f t="shared" si="0"/>
        <v>0</v>
      </c>
      <c r="E1" s="1">
        <f t="shared" si="0"/>
        <v>0</v>
      </c>
      <c r="F1" s="1">
        <f t="shared" si="0"/>
        <v>0</v>
      </c>
      <c r="G1" s="1">
        <f t="shared" si="0"/>
        <v>0</v>
      </c>
      <c r="H1" s="1">
        <f t="shared" si="0"/>
        <v>0</v>
      </c>
    </row>
    <row r="2" spans="1:8">
      <c r="A2" s="6">
        <v>20240302</v>
      </c>
      <c r="B2" s="6" t="s">
        <v>19</v>
      </c>
      <c r="C2" s="6"/>
    </row>
    <row r="3" spans="1:8">
      <c r="A3" s="6"/>
      <c r="B3" t="s">
        <v>20</v>
      </c>
    </row>
    <row r="4" spans="1:8">
      <c r="A4" s="6"/>
      <c r="C4" t="s">
        <v>21</v>
      </c>
    </row>
    <row r="5" spans="1:8">
      <c r="A5" s="6"/>
      <c r="C5" t="s">
        <v>22</v>
      </c>
    </row>
    <row r="6" spans="1:8">
      <c r="A6" s="6"/>
      <c r="C6" t="s">
        <v>23</v>
      </c>
    </row>
    <row r="7" spans="1:8">
      <c r="A7" s="6"/>
      <c r="C7" t="s">
        <v>24</v>
      </c>
    </row>
    <row r="8" spans="1:8">
      <c r="A8" s="6"/>
      <c r="C8" t="s">
        <v>25</v>
      </c>
    </row>
    <row r="9" spans="1:8">
      <c r="A9" s="6"/>
      <c r="B9" s="6" t="s">
        <v>26</v>
      </c>
      <c r="C9" s="6"/>
    </row>
    <row r="10" s="7" customFormat="1" spans="1:8">
      <c r="B10" s="7" t="s">
        <v>27</v>
      </c>
    </row>
    <row r="11" s="7" customFormat="1" spans="1:8">
      <c r="C11" s="7" t="s">
        <v>28</v>
      </c>
    </row>
    <row r="12" s="7" customFormat="1" spans="1:8">
      <c r="C12" s="7" t="s">
        <v>29</v>
      </c>
    </row>
    <row r="13" s="7" customFormat="1" spans="1:8">
      <c r="C13" s="7" t="s">
        <v>30</v>
      </c>
    </row>
    <row r="14" spans="1:8">
      <c r="A14" s="6"/>
      <c r="B14" s="6" t="s">
        <v>31</v>
      </c>
      <c r="C14" s="6"/>
    </row>
    <row r="15" spans="1:8">
      <c r="A15" s="6"/>
      <c r="B15" s="6" t="s">
        <v>32</v>
      </c>
      <c r="C15" s="6"/>
    </row>
  </sheetData>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
  <sheetViews>
    <sheetView workbookViewId="0">
      <selection activeCell="C8" sqref="C8"/>
    </sheetView>
  </sheetViews>
  <sheetFormatPr defaultColWidth="8.88888888888889" defaultRowHeight="14.4" outlineLevelCol="7"/>
  <cols>
    <col min="1" max="1" width="9.66666666666667"/>
  </cols>
  <sheetData>
    <row r="1" s="1" customFormat="1" spans="1:8">
      <c r="A1" s="1">
        <f>SUM(B1:AZ1)</f>
        <v>4</v>
      </c>
      <c r="B1" s="1">
        <f t="shared" ref="B1:H1" si="0">COUNTA(B2:B2041)/COLUMN()</f>
        <v>3</v>
      </c>
      <c r="C1" s="1">
        <f t="shared" si="0"/>
        <v>1</v>
      </c>
      <c r="D1" s="1">
        <f t="shared" si="0"/>
        <v>0</v>
      </c>
      <c r="E1" s="1">
        <f t="shared" si="0"/>
        <v>0</v>
      </c>
      <c r="F1" s="1">
        <f t="shared" si="0"/>
        <v>0</v>
      </c>
      <c r="G1" s="1">
        <f t="shared" si="0"/>
        <v>0</v>
      </c>
      <c r="H1" s="1">
        <f t="shared" si="0"/>
        <v>0</v>
      </c>
    </row>
    <row r="2" spans="1:8">
      <c r="A2" s="6">
        <v>20240303</v>
      </c>
      <c r="B2" s="6" t="s">
        <v>33</v>
      </c>
      <c r="C2" s="6"/>
    </row>
    <row r="3" spans="1:8">
      <c r="A3" s="6"/>
      <c r="B3" s="6" t="s">
        <v>34</v>
      </c>
      <c r="C3" s="6"/>
    </row>
    <row r="4" spans="1:8">
      <c r="A4" s="6"/>
      <c r="B4" s="6" t="s">
        <v>35</v>
      </c>
      <c r="C4" s="6"/>
    </row>
    <row r="5" spans="1:8">
      <c r="A5" s="6"/>
      <c r="B5" s="6" t="s">
        <v>36</v>
      </c>
      <c r="C5" s="6"/>
    </row>
    <row r="6" spans="1:8">
      <c r="A6" s="6"/>
      <c r="B6" s="6"/>
      <c r="C6" s="6" t="s">
        <v>37</v>
      </c>
    </row>
    <row r="7" spans="1:8">
      <c r="A7" s="6"/>
      <c r="B7" s="6"/>
      <c r="C7" s="6" t="s">
        <v>38</v>
      </c>
    </row>
    <row r="8" spans="1:8">
      <c r="A8" s="6"/>
      <c r="B8" s="6"/>
      <c r="C8" s="6" t="s">
        <v>39</v>
      </c>
    </row>
    <row r="9" spans="1:8">
      <c r="A9" s="6"/>
      <c r="B9" s="6" t="s">
        <v>40</v>
      </c>
      <c r="C9" s="6"/>
    </row>
    <row r="10" spans="1:8">
      <c r="A10" s="6"/>
      <c r="B10" s="6" t="s">
        <v>41</v>
      </c>
      <c r="C10" s="6"/>
    </row>
  </sheetData>
  <pageMargins left="0.75" right="0.75" top="1" bottom="1" header="0.5" footer="0.5"/>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0"/>
  <sheetViews>
    <sheetView workbookViewId="0">
      <selection activeCell="B13" sqref="B13"/>
    </sheetView>
  </sheetViews>
  <sheetFormatPr defaultColWidth="8.88888888888889" defaultRowHeight="14.4" outlineLevelCol="7"/>
  <cols>
    <col min="1" max="1" width="9.66666666666667"/>
  </cols>
  <sheetData>
    <row r="1" s="1" customFormat="1" spans="1:8">
      <c r="A1" s="1">
        <f>SUM(B1:AZ1)</f>
        <v>6.75</v>
      </c>
      <c r="B1" s="1">
        <f t="shared" ref="B1:H1" si="0">COUNTA(B2:B2051)/COLUMN()</f>
        <v>2.5</v>
      </c>
      <c r="C1" s="1">
        <f t="shared" si="0"/>
        <v>4</v>
      </c>
      <c r="D1" s="1">
        <f t="shared" si="0"/>
        <v>0.25</v>
      </c>
      <c r="E1" s="1">
        <f t="shared" si="0"/>
        <v>0</v>
      </c>
      <c r="F1" s="1">
        <f t="shared" si="0"/>
        <v>0</v>
      </c>
      <c r="G1" s="1">
        <f t="shared" si="0"/>
        <v>0</v>
      </c>
      <c r="H1" s="1">
        <f t="shared" si="0"/>
        <v>0</v>
      </c>
    </row>
    <row r="2" spans="1:8">
      <c r="A2" s="6">
        <v>20240304</v>
      </c>
      <c r="B2" s="6" t="s">
        <v>42</v>
      </c>
      <c r="C2" s="6"/>
    </row>
    <row r="3" spans="1:8">
      <c r="A3" s="6"/>
      <c r="B3" s="6" t="s">
        <v>43</v>
      </c>
      <c r="C3" s="6"/>
    </row>
    <row r="4" spans="1:8">
      <c r="A4" s="6"/>
      <c r="B4" s="6"/>
      <c r="C4" s="6" t="s">
        <v>44</v>
      </c>
    </row>
    <row r="5" spans="1:8">
      <c r="A5" s="6"/>
      <c r="B5" s="6"/>
      <c r="C5" s="6" t="s">
        <v>45</v>
      </c>
    </row>
    <row r="6" spans="1:8">
      <c r="A6" s="6"/>
      <c r="B6" s="6"/>
      <c r="C6" s="6" t="s">
        <v>46</v>
      </c>
    </row>
    <row r="7" spans="1:8">
      <c r="A7" s="6"/>
      <c r="B7" s="6"/>
      <c r="C7" s="6" t="s">
        <v>47</v>
      </c>
    </row>
    <row r="8" spans="1:8">
      <c r="A8" s="6"/>
      <c r="B8" s="6"/>
      <c r="C8" s="6" t="s">
        <v>48</v>
      </c>
    </row>
    <row r="9" spans="1:8">
      <c r="A9" s="6"/>
      <c r="B9" s="6" t="s">
        <v>49</v>
      </c>
      <c r="C9" s="6"/>
    </row>
    <row r="10" spans="1:8">
      <c r="A10" s="6"/>
      <c r="B10" s="6" t="s">
        <v>50</v>
      </c>
      <c r="C10" s="6"/>
    </row>
    <row r="11" spans="1:8">
      <c r="A11" s="6"/>
      <c r="B11" s="6"/>
      <c r="C11" s="6" t="s">
        <v>51</v>
      </c>
    </row>
    <row r="12" spans="1:8">
      <c r="A12" s="6"/>
      <c r="B12" s="6"/>
      <c r="C12" s="6" t="s">
        <v>52</v>
      </c>
    </row>
    <row r="13" spans="1:8">
      <c r="A13" s="6"/>
      <c r="B13" s="6" t="s">
        <v>53</v>
      </c>
      <c r="C13" s="6"/>
    </row>
    <row r="14" spans="1:8">
      <c r="A14" s="6"/>
      <c r="B14" s="6"/>
      <c r="C14" s="6" t="s">
        <v>54</v>
      </c>
    </row>
    <row r="15" spans="1:8">
      <c r="A15" s="6"/>
      <c r="B15" s="6"/>
      <c r="C15" s="6" t="s">
        <v>55</v>
      </c>
    </row>
    <row r="16" spans="1:8">
      <c r="A16" s="6"/>
      <c r="B16" s="6"/>
      <c r="C16" s="6" t="s">
        <v>56</v>
      </c>
    </row>
    <row r="17" spans="1:4">
      <c r="A17" s="6"/>
      <c r="B17" s="6"/>
      <c r="C17" s="6" t="s">
        <v>57</v>
      </c>
    </row>
    <row r="18" spans="1:4">
      <c r="A18" s="6"/>
      <c r="C18" s="6" t="s">
        <v>58</v>
      </c>
    </row>
    <row r="19" spans="1:4">
      <c r="A19" s="6"/>
      <c r="D19" s="6" t="s">
        <v>59</v>
      </c>
    </row>
    <row r="20" spans="1:4">
      <c r="D20" s="6"/>
    </row>
  </sheetData>
  <pageMargins left="0.75" right="0.75" top="1" bottom="1" header="0.5" footer="0.5"/>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9"/>
  <sheetViews>
    <sheetView workbookViewId="0">
      <selection activeCell="C3" sqref="C3"/>
    </sheetView>
  </sheetViews>
  <sheetFormatPr defaultColWidth="8.88888888888889" defaultRowHeight="14.4"/>
  <cols>
    <col min="1" max="1" width="9.66666666666667"/>
  </cols>
  <sheetData>
    <row r="1" s="1" customFormat="1" spans="1:15">
      <c r="A1" s="1">
        <f>SUM(B1:AZ1)</f>
        <v>2.83333333333333</v>
      </c>
      <c r="B1" s="1">
        <f t="shared" ref="B1:H1" si="0">COUNTA(B2:B2051)/COLUMN()</f>
        <v>0.5</v>
      </c>
      <c r="C1" s="1">
        <f t="shared" si="0"/>
        <v>2.33333333333333</v>
      </c>
      <c r="D1" s="1">
        <f t="shared" si="0"/>
        <v>0</v>
      </c>
      <c r="E1" s="1">
        <f t="shared" si="0"/>
        <v>0</v>
      </c>
      <c r="F1" s="1">
        <f t="shared" si="0"/>
        <v>0</v>
      </c>
      <c r="G1" s="1">
        <f t="shared" si="0"/>
        <v>0</v>
      </c>
      <c r="H1" s="1">
        <f t="shared" si="0"/>
        <v>0</v>
      </c>
      <c r="N1"/>
      <c r="O1"/>
    </row>
    <row r="2" spans="1:15">
      <c r="A2" s="6">
        <v>20240306</v>
      </c>
      <c r="B2" s="6" t="s">
        <v>60</v>
      </c>
      <c r="C2" s="6"/>
    </row>
    <row r="3" spans="1:15">
      <c r="C3" t="s">
        <v>61</v>
      </c>
    </row>
    <row r="4" spans="1:15">
      <c r="C4" t="s">
        <v>62</v>
      </c>
    </row>
    <row r="5" spans="1:15">
      <c r="C5" t="s">
        <v>63</v>
      </c>
    </row>
    <row r="6" spans="1:15">
      <c r="C6" t="s">
        <v>64</v>
      </c>
    </row>
    <row r="7" spans="1:15">
      <c r="C7" t="s">
        <v>65</v>
      </c>
    </row>
    <row r="8" spans="1:15">
      <c r="C8" t="s">
        <v>66</v>
      </c>
    </row>
    <row r="9" spans="1:15">
      <c r="C9" t="s">
        <v>67</v>
      </c>
    </row>
  </sheetData>
  <pageMargins left="0.75" right="0.75" top="1" bottom="1" header="0.5" footer="0.5"/>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5"/>
  <sheetViews>
    <sheetView workbookViewId="0">
      <selection activeCell="C7" sqref="C7"/>
    </sheetView>
  </sheetViews>
  <sheetFormatPr defaultColWidth="8.88888888888889" defaultRowHeight="14.4"/>
  <cols>
    <col min="1" max="1" width="9.66666666666667"/>
  </cols>
  <sheetData>
    <row r="1" s="1" customFormat="1" spans="1:15">
      <c r="A1" s="1">
        <f>SUM(B1:AZ1)</f>
        <v>5</v>
      </c>
      <c r="B1" s="1">
        <f t="shared" ref="B1:H1" si="0">COUNTA(B2:B2051)/COLUMN()</f>
        <v>1</v>
      </c>
      <c r="C1" s="1">
        <f t="shared" si="0"/>
        <v>4</v>
      </c>
      <c r="D1" s="1">
        <f t="shared" si="0"/>
        <v>0</v>
      </c>
      <c r="E1" s="1">
        <f t="shared" si="0"/>
        <v>0</v>
      </c>
      <c r="F1" s="1">
        <f t="shared" si="0"/>
        <v>0</v>
      </c>
      <c r="G1" s="1">
        <f t="shared" si="0"/>
        <v>0</v>
      </c>
      <c r="H1" s="1">
        <f t="shared" si="0"/>
        <v>0</v>
      </c>
      <c r="N1"/>
      <c r="O1"/>
    </row>
    <row r="2" spans="1:15">
      <c r="A2" s="6">
        <v>20240307</v>
      </c>
      <c r="B2" t="s">
        <v>68</v>
      </c>
    </row>
    <row r="3" spans="1:15">
      <c r="C3" t="s">
        <v>69</v>
      </c>
    </row>
    <row r="4" spans="1:15">
      <c r="C4" t="s">
        <v>70</v>
      </c>
    </row>
    <row r="5" spans="1:15">
      <c r="C5" t="s">
        <v>71</v>
      </c>
    </row>
    <row r="6" spans="1:15">
      <c r="C6" t="s">
        <v>72</v>
      </c>
    </row>
    <row r="7" spans="1:15">
      <c r="C7" t="s">
        <v>73</v>
      </c>
    </row>
    <row r="8" spans="1:15">
      <c r="B8" t="s">
        <v>74</v>
      </c>
    </row>
    <row r="9" spans="1:15">
      <c r="C9" t="s">
        <v>75</v>
      </c>
    </row>
    <row r="10" spans="1:15">
      <c r="C10" t="s">
        <v>76</v>
      </c>
    </row>
    <row r="11" spans="1:15">
      <c r="C11" t="s">
        <v>77</v>
      </c>
    </row>
    <row r="12" spans="1:15">
      <c r="C12" t="s">
        <v>78</v>
      </c>
    </row>
    <row r="13" spans="1:15">
      <c r="C13" t="s">
        <v>79</v>
      </c>
    </row>
    <row r="14" spans="1:15">
      <c r="C14" t="s">
        <v>80</v>
      </c>
    </row>
    <row r="15" spans="1:15">
      <c r="C15" t="s">
        <v>81</v>
      </c>
    </row>
  </sheetData>
  <pageMargins left="0.75" right="0.75" top="1" bottom="1" header="0.5" footer="0.5"/>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8"/>
  <sheetViews>
    <sheetView workbookViewId="0">
      <selection activeCell="B5" sqref="B5"/>
    </sheetView>
  </sheetViews>
  <sheetFormatPr defaultColWidth="8.88888888888889" defaultRowHeight="14.4" outlineLevelRow="7" outlineLevelCol="7"/>
  <cols>
    <col min="1" max="1" width="9.66666666666667"/>
  </cols>
  <sheetData>
    <row r="1" s="1" customFormat="1" spans="1:8">
      <c r="A1" s="1">
        <f>SUM(B1:AZ1)</f>
        <v>2.66666666666667</v>
      </c>
      <c r="B1" s="1">
        <f t="shared" ref="B1:H1" si="0">COUNTA(B2:B2048)/COLUMN()</f>
        <v>2</v>
      </c>
      <c r="C1" s="1">
        <f t="shared" si="0"/>
        <v>0.666666666666667</v>
      </c>
      <c r="D1" s="1">
        <f t="shared" si="0"/>
        <v>0</v>
      </c>
      <c r="E1" s="1">
        <f t="shared" si="0"/>
        <v>0</v>
      </c>
      <c r="F1" s="1">
        <f t="shared" si="0"/>
        <v>0</v>
      </c>
      <c r="G1" s="1">
        <f t="shared" si="0"/>
        <v>0</v>
      </c>
      <c r="H1" s="1">
        <f t="shared" si="0"/>
        <v>0</v>
      </c>
    </row>
    <row r="2" spans="1:8">
      <c r="A2" s="6">
        <v>20240308</v>
      </c>
      <c r="B2" s="6" t="s">
        <v>82</v>
      </c>
      <c r="C2" s="6"/>
    </row>
    <row r="3" spans="1:8">
      <c r="A3" s="6"/>
      <c r="B3" s="6" t="s">
        <v>83</v>
      </c>
      <c r="C3" s="6"/>
    </row>
    <row r="4" spans="1:8">
      <c r="A4" s="6"/>
      <c r="B4" s="6" t="s">
        <v>84</v>
      </c>
      <c r="C4" s="6"/>
    </row>
    <row r="5" spans="1:8">
      <c r="A5" s="6"/>
      <c r="B5" s="6" t="s">
        <v>85</v>
      </c>
      <c r="C5" s="6"/>
    </row>
    <row r="6" spans="1:8">
      <c r="A6" s="6"/>
      <c r="B6" s="6"/>
      <c r="C6" s="6" t="s">
        <v>86</v>
      </c>
    </row>
    <row r="7" spans="1:8">
      <c r="A7" s="6"/>
      <c r="B7" s="6"/>
      <c r="C7" s="6" t="s">
        <v>87</v>
      </c>
    </row>
    <row r="8" spans="1:8">
      <c r="A8" s="6"/>
    </row>
  </sheetData>
  <pageMargins left="0.75" right="0.75" top="1" bottom="1" header="0.5" footer="0.5"/>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1"/>
  <sheetViews>
    <sheetView workbookViewId="0">
      <selection activeCell="B2" sqref="B2"/>
    </sheetView>
  </sheetViews>
  <sheetFormatPr defaultColWidth="8.88888888888889" defaultRowHeight="14.4" outlineLevelCol="7"/>
  <cols>
    <col min="1" max="1" width="9.66666666666667"/>
  </cols>
  <sheetData>
    <row r="1" s="1" customFormat="1" spans="1:8">
      <c r="A1" s="1">
        <f>SUM(B1:AZ1)</f>
        <v>8.16666666666667</v>
      </c>
      <c r="B1" s="1">
        <f t="shared" ref="B1:H1" si="0">COUNTA(B2:B2052)/COLUMN()</f>
        <v>4.5</v>
      </c>
      <c r="C1" s="1">
        <f t="shared" si="0"/>
        <v>3.66666666666667</v>
      </c>
      <c r="D1" s="1">
        <f t="shared" si="0"/>
        <v>0</v>
      </c>
      <c r="E1" s="1">
        <f t="shared" si="0"/>
        <v>0</v>
      </c>
      <c r="F1" s="1">
        <f t="shared" si="0"/>
        <v>0</v>
      </c>
      <c r="G1" s="1">
        <f t="shared" si="0"/>
        <v>0</v>
      </c>
      <c r="H1" s="1">
        <f t="shared" si="0"/>
        <v>0</v>
      </c>
    </row>
    <row r="2" spans="1:8">
      <c r="A2">
        <v>20240309</v>
      </c>
      <c r="B2" s="4" t="s">
        <v>88</v>
      </c>
    </row>
    <row r="3" spans="1:8">
      <c r="B3" t="s">
        <v>89</v>
      </c>
    </row>
    <row r="4" spans="1:8">
      <c r="B4" t="s">
        <v>90</v>
      </c>
    </row>
    <row r="5" spans="1:8">
      <c r="C5" t="s">
        <v>91</v>
      </c>
    </row>
    <row r="6" spans="1:8">
      <c r="C6" t="s">
        <v>92</v>
      </c>
    </row>
    <row r="7" spans="1:8">
      <c r="C7" t="s">
        <v>93</v>
      </c>
    </row>
    <row r="8" spans="1:8">
      <c r="C8" t="s">
        <v>94</v>
      </c>
    </row>
    <row r="9" spans="1:8">
      <c r="B9" t="s">
        <v>95</v>
      </c>
    </row>
    <row r="10" spans="1:8">
      <c r="B10" t="s">
        <v>96</v>
      </c>
    </row>
    <row r="11" spans="1:8">
      <c r="C11" t="s">
        <v>97</v>
      </c>
    </row>
    <row r="12" spans="1:8">
      <c r="C12" t="s">
        <v>98</v>
      </c>
    </row>
    <row r="13" spans="1:8">
      <c r="B13" t="s">
        <v>99</v>
      </c>
    </row>
    <row r="14" spans="1:8">
      <c r="C14" t="s">
        <v>97</v>
      </c>
    </row>
    <row r="15" spans="1:8">
      <c r="C15" t="s">
        <v>100</v>
      </c>
    </row>
    <row r="16" spans="1:8">
      <c r="C16" t="s">
        <v>101</v>
      </c>
    </row>
    <row r="17" spans="2:3">
      <c r="C17" t="s">
        <v>98</v>
      </c>
    </row>
    <row r="18" spans="2:3">
      <c r="B18" t="s">
        <v>102</v>
      </c>
    </row>
    <row r="19" spans="2:3">
      <c r="C19" t="s">
        <v>103</v>
      </c>
    </row>
    <row r="20" spans="2:3">
      <c r="B20" s="4" t="s">
        <v>104</v>
      </c>
    </row>
    <row r="21" spans="2:3">
      <c r="B21" s="4" t="s">
        <v>105</v>
      </c>
    </row>
  </sheetData>
  <pageMargins left="0.75" right="0.75" top="1" bottom="1" header="0.5" footer="0.5"/>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
  <sheetViews>
    <sheetView workbookViewId="0">
      <selection activeCell="C7" sqref="C7"/>
    </sheetView>
  </sheetViews>
  <sheetFormatPr defaultColWidth="8.88888888888889" defaultRowHeight="14.4" outlineLevelCol="7"/>
  <cols>
    <col min="1" max="1" width="9.66666666666667"/>
  </cols>
  <sheetData>
    <row r="1" s="1" customFormat="1" spans="1:8">
      <c r="A1" s="1">
        <f>SUM(B1:AZ1)</f>
        <v>3.33333333333333</v>
      </c>
      <c r="B1" s="1">
        <f t="shared" ref="B1:H1" si="0">COUNTA(B2:B2048)/COLUMN()</f>
        <v>1.5</v>
      </c>
      <c r="C1" s="1">
        <f t="shared" si="0"/>
        <v>1.33333333333333</v>
      </c>
      <c r="D1" s="1">
        <f t="shared" si="0"/>
        <v>0.5</v>
      </c>
      <c r="E1" s="1">
        <f t="shared" si="0"/>
        <v>0</v>
      </c>
      <c r="F1" s="1">
        <f t="shared" si="0"/>
        <v>0</v>
      </c>
      <c r="G1" s="1">
        <f t="shared" si="0"/>
        <v>0</v>
      </c>
      <c r="H1" s="1">
        <f t="shared" si="0"/>
        <v>0</v>
      </c>
    </row>
    <row r="2" spans="1:8">
      <c r="A2">
        <v>20240310</v>
      </c>
      <c r="B2" t="s">
        <v>106</v>
      </c>
    </row>
    <row r="3" spans="1:8">
      <c r="C3" t="s">
        <v>107</v>
      </c>
    </row>
    <row r="4" spans="1:8">
      <c r="B4" t="s">
        <v>108</v>
      </c>
    </row>
    <row r="5" spans="1:8">
      <c r="C5" t="s">
        <v>109</v>
      </c>
    </row>
    <row r="6" spans="1:8">
      <c r="B6" t="s">
        <v>110</v>
      </c>
    </row>
    <row r="7" spans="1:8">
      <c r="C7" t="s">
        <v>111</v>
      </c>
    </row>
    <row r="8" spans="1:8">
      <c r="D8" t="s">
        <v>112</v>
      </c>
    </row>
    <row r="9" spans="1:8">
      <c r="C9" t="s">
        <v>113</v>
      </c>
    </row>
    <row r="10" spans="1:8">
      <c r="D10" t="s">
        <v>114</v>
      </c>
    </row>
  </sheetData>
  <pageMargins left="0.75" right="0.75" top="1" bottom="1" header="0.5" footer="0.5"/>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
  <sheetViews>
    <sheetView workbookViewId="0">
      <selection activeCell="B4" sqref="B4"/>
    </sheetView>
  </sheetViews>
  <sheetFormatPr defaultColWidth="8.88888888888889" defaultRowHeight="14.4" outlineLevelRow="5" outlineLevelCol="7"/>
  <cols>
    <col min="1" max="1" width="9.66666666666667"/>
  </cols>
  <sheetData>
    <row r="1" s="9" customFormat="1" spans="1:8">
      <c r="A1" s="9">
        <f>SUM(B1:AZ1)</f>
        <v>2.5</v>
      </c>
      <c r="B1" s="9">
        <f>COUNTA(B2:B2047)/COLUMN()</f>
        <v>2.5</v>
      </c>
      <c r="C1" s="9">
        <f t="shared" ref="B1:H1" si="0">COUNTA(C2:C2047)/COLUMN()</f>
        <v>0</v>
      </c>
      <c r="D1" s="9">
        <f t="shared" si="0"/>
        <v>0</v>
      </c>
      <c r="E1" s="9">
        <f t="shared" si="0"/>
        <v>0</v>
      </c>
      <c r="F1" s="9">
        <f t="shared" si="0"/>
        <v>0</v>
      </c>
      <c r="G1" s="9">
        <f t="shared" si="0"/>
        <v>0</v>
      </c>
      <c r="H1" s="9">
        <f t="shared" si="0"/>
        <v>0</v>
      </c>
    </row>
    <row r="2" spans="1:8">
      <c r="A2">
        <v>20240311</v>
      </c>
      <c r="B2" t="s">
        <v>115</v>
      </c>
    </row>
    <row r="3" spans="1:8">
      <c r="B3" t="s">
        <v>116</v>
      </c>
    </row>
    <row r="4" spans="1:8">
      <c r="B4" t="s">
        <v>117</v>
      </c>
    </row>
    <row r="5" spans="1:8">
      <c r="B5" t="s">
        <v>118</v>
      </c>
    </row>
    <row r="6" spans="1:8">
      <c r="B6" t="s">
        <v>119</v>
      </c>
    </row>
  </sheetData>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
  <sheetViews>
    <sheetView workbookViewId="0">
      <selection activeCell="B2" sqref="B2"/>
    </sheetView>
  </sheetViews>
  <sheetFormatPr defaultColWidth="8.88888888888889" defaultRowHeight="14.4" outlineLevelCol="7"/>
  <sheetData>
    <row r="1" s="1" customFormat="1" spans="1:8">
      <c r="A1" s="1">
        <f>SUM(B1:AZ1)</f>
        <v>3.5</v>
      </c>
      <c r="B1" s="1">
        <f t="shared" ref="B1:H1" si="0">COUNTA(B2:B2048)/COLUMN()</f>
        <v>2.5</v>
      </c>
      <c r="C1" s="1">
        <f t="shared" si="0"/>
        <v>1</v>
      </c>
      <c r="D1" s="1">
        <f t="shared" si="0"/>
        <v>0</v>
      </c>
      <c r="E1" s="1">
        <f t="shared" si="0"/>
        <v>0</v>
      </c>
      <c r="F1" s="1">
        <f t="shared" si="0"/>
        <v>0</v>
      </c>
      <c r="G1" s="1">
        <f t="shared" si="0"/>
        <v>0</v>
      </c>
      <c r="H1" s="1">
        <f t="shared" si="0"/>
        <v>0</v>
      </c>
    </row>
    <row r="2" spans="1:8">
      <c r="A2">
        <v>20240316</v>
      </c>
      <c r="B2" t="s">
        <v>120</v>
      </c>
    </row>
    <row r="3" spans="1:8">
      <c r="B3" t="s">
        <v>121</v>
      </c>
    </row>
    <row r="4" spans="1:8">
      <c r="C4" t="s">
        <v>122</v>
      </c>
    </row>
    <row r="5" spans="1:8">
      <c r="C5" t="s">
        <v>123</v>
      </c>
    </row>
    <row r="6" spans="1:8">
      <c r="C6" t="s">
        <v>124</v>
      </c>
    </row>
    <row r="7" spans="1:8">
      <c r="B7" t="s">
        <v>125</v>
      </c>
    </row>
    <row r="8" spans="1:8">
      <c r="B8" t="s">
        <v>126</v>
      </c>
    </row>
    <row r="9" spans="1:8">
      <c r="B9" t="s">
        <v>127</v>
      </c>
    </row>
    <row r="10" spans="1:8">
      <c r="B10" s="4"/>
    </row>
  </sheetData>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1"/>
  <sheetViews>
    <sheetView workbookViewId="0">
      <selection activeCell="E6" sqref="E6"/>
    </sheetView>
  </sheetViews>
  <sheetFormatPr defaultColWidth="8.88888888888889" defaultRowHeight="14.4" outlineLevelCol="7"/>
  <sheetData>
    <row r="1" s="1" customFormat="1" spans="1:8">
      <c r="A1" s="1">
        <f>SUM(B1:AZ1)</f>
        <v>4.73333333333333</v>
      </c>
      <c r="B1" s="1">
        <f t="shared" ref="B1:H1" si="0">COUNTA(B2:B2048)/COLUMN()</f>
        <v>0.5</v>
      </c>
      <c r="C1" s="1">
        <f t="shared" si="0"/>
        <v>0.666666666666667</v>
      </c>
      <c r="D1" s="1">
        <f t="shared" si="0"/>
        <v>1.5</v>
      </c>
      <c r="E1" s="1">
        <f t="shared" si="0"/>
        <v>1.4</v>
      </c>
      <c r="F1" s="1">
        <f t="shared" si="0"/>
        <v>0.666666666666667</v>
      </c>
      <c r="G1" s="1">
        <f t="shared" si="0"/>
        <v>0</v>
      </c>
      <c r="H1" s="1">
        <f t="shared" si="0"/>
        <v>0</v>
      </c>
    </row>
    <row r="2" spans="1:8">
      <c r="A2">
        <v>20240317</v>
      </c>
      <c r="B2" t="s">
        <v>128</v>
      </c>
    </row>
    <row r="3" spans="1:8">
      <c r="C3" t="s">
        <v>129</v>
      </c>
    </row>
    <row r="4" spans="1:8">
      <c r="D4" t="s">
        <v>130</v>
      </c>
    </row>
    <row r="5" spans="1:8">
      <c r="D5" t="s">
        <v>131</v>
      </c>
    </row>
    <row r="6" spans="1:8">
      <c r="E6" t="s">
        <v>132</v>
      </c>
    </row>
    <row r="7" spans="1:8">
      <c r="E7" t="s">
        <v>133</v>
      </c>
    </row>
    <row r="8" spans="1:8">
      <c r="F8" t="s">
        <v>134</v>
      </c>
    </row>
    <row r="9" spans="1:8">
      <c r="E9" t="s">
        <v>135</v>
      </c>
    </row>
    <row r="10" spans="1:8">
      <c r="F10" t="s">
        <v>136</v>
      </c>
    </row>
    <row r="11" spans="1:8">
      <c r="C11" t="s">
        <v>137</v>
      </c>
    </row>
    <row r="12" spans="1:8">
      <c r="D12" t="s">
        <v>138</v>
      </c>
    </row>
    <row r="13" spans="1:8">
      <c r="D13" t="s">
        <v>139</v>
      </c>
    </row>
    <row r="14" spans="1:8">
      <c r="D14" t="s">
        <v>140</v>
      </c>
    </row>
    <row r="15" spans="1:8">
      <c r="E15" t="s">
        <v>141</v>
      </c>
    </row>
    <row r="16" spans="1:8">
      <c r="D16" t="s">
        <v>142</v>
      </c>
    </row>
    <row r="17" spans="5:6">
      <c r="E17" t="s">
        <v>132</v>
      </c>
    </row>
    <row r="18" spans="5:6">
      <c r="E18" t="s">
        <v>133</v>
      </c>
    </row>
    <row r="19" spans="5:6">
      <c r="F19" t="s">
        <v>134</v>
      </c>
    </row>
    <row r="20" spans="5:6">
      <c r="E20" t="s">
        <v>135</v>
      </c>
    </row>
    <row r="21" spans="5:6">
      <c r="F21" t="s">
        <v>143</v>
      </c>
    </row>
  </sheetData>
  <pageMargins left="0.75" right="0.75" top="1" bottom="1" header="0.5" footer="0.5"/>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1"/>
  <sheetViews>
    <sheetView workbookViewId="0">
      <selection activeCell="B7" sqref="B7"/>
    </sheetView>
  </sheetViews>
  <sheetFormatPr defaultColWidth="8.88888888888889" defaultRowHeight="14.4" outlineLevelCol="7"/>
  <cols>
    <col min="1" max="1" width="9.66666666666667"/>
  </cols>
  <sheetData>
    <row r="1" s="1" customFormat="1" spans="1:8">
      <c r="A1" s="1">
        <f>SUM(B1:AZ1)</f>
        <v>9.3</v>
      </c>
      <c r="B1" s="1">
        <f t="shared" ref="B1:H1" si="0">COUNTA(B2:B2052)/COLUMN()</f>
        <v>3</v>
      </c>
      <c r="C1" s="1">
        <f t="shared" si="0"/>
        <v>3</v>
      </c>
      <c r="D1" s="1">
        <f t="shared" si="0"/>
        <v>1.5</v>
      </c>
      <c r="E1" s="1">
        <f t="shared" si="0"/>
        <v>1.8</v>
      </c>
      <c r="F1" s="1">
        <f t="shared" si="0"/>
        <v>0</v>
      </c>
      <c r="G1" s="1">
        <f t="shared" si="0"/>
        <v>0</v>
      </c>
      <c r="H1" s="1">
        <f t="shared" si="0"/>
        <v>0</v>
      </c>
    </row>
    <row r="2" spans="1:8">
      <c r="A2">
        <v>20240320</v>
      </c>
      <c r="B2" t="s">
        <v>144</v>
      </c>
    </row>
    <row r="3" spans="1:8">
      <c r="C3" t="s">
        <v>145</v>
      </c>
    </row>
    <row r="4" spans="1:8">
      <c r="C4" t="s">
        <v>146</v>
      </c>
    </row>
    <row r="5" spans="1:8">
      <c r="C5" t="s">
        <v>147</v>
      </c>
    </row>
    <row r="6" spans="1:8">
      <c r="B6" t="s">
        <v>148</v>
      </c>
    </row>
    <row r="7" spans="1:8">
      <c r="B7" t="s">
        <v>149</v>
      </c>
    </row>
    <row r="8" spans="1:8">
      <c r="B8" t="s">
        <v>150</v>
      </c>
    </row>
    <row r="9" spans="1:8">
      <c r="C9" t="s">
        <v>151</v>
      </c>
    </row>
    <row r="10" spans="1:8">
      <c r="C10" t="s">
        <v>152</v>
      </c>
    </row>
    <row r="11" spans="1:8">
      <c r="D11" t="s">
        <v>153</v>
      </c>
    </row>
    <row r="12" spans="1:8">
      <c r="B12" t="s">
        <v>154</v>
      </c>
    </row>
    <row r="13" spans="1:8">
      <c r="C13" t="s">
        <v>155</v>
      </c>
    </row>
    <row r="14" spans="1:8">
      <c r="D14" t="s">
        <v>156</v>
      </c>
    </row>
    <row r="15" spans="1:8">
      <c r="C15" s="6" t="s">
        <v>157</v>
      </c>
    </row>
    <row r="16" spans="1:8">
      <c r="D16" s="4" t="s">
        <v>158</v>
      </c>
    </row>
    <row r="17" spans="2:8">
      <c r="E17" s="7" t="s">
        <v>159</v>
      </c>
      <c r="F17" s="4"/>
      <c r="G17" s="4"/>
      <c r="H17" s="4"/>
    </row>
    <row r="18" spans="2:8">
      <c r="E18" s="7" t="s">
        <v>160</v>
      </c>
    </row>
    <row r="19" spans="2:8">
      <c r="B19" t="s">
        <v>161</v>
      </c>
    </row>
    <row r="20" spans="2:8">
      <c r="C20" t="s">
        <v>162</v>
      </c>
    </row>
    <row r="21" spans="2:8">
      <c r="D21" t="s">
        <v>163</v>
      </c>
    </row>
    <row r="22" spans="2:8">
      <c r="D22" t="s">
        <v>164</v>
      </c>
    </row>
    <row r="23" spans="2:8">
      <c r="E23" t="s">
        <v>165</v>
      </c>
    </row>
    <row r="24" spans="2:8">
      <c r="E24" t="s">
        <v>166</v>
      </c>
    </row>
    <row r="25" spans="2:8">
      <c r="E25" t="s">
        <v>167</v>
      </c>
    </row>
    <row r="26" spans="2:8">
      <c r="C26" t="s">
        <v>168</v>
      </c>
    </row>
    <row r="27" spans="2:8">
      <c r="D27" t="s">
        <v>169</v>
      </c>
    </row>
    <row r="28" spans="2:8">
      <c r="E28" t="s">
        <v>170</v>
      </c>
    </row>
    <row r="29" spans="2:8">
      <c r="E29" t="s">
        <v>171</v>
      </c>
    </row>
    <row r="30" spans="2:8">
      <c r="E30" t="s">
        <v>172</v>
      </c>
    </row>
    <row r="31" spans="2:8">
      <c r="E31" t="s">
        <v>173</v>
      </c>
    </row>
  </sheetData>
  <pageMargins left="0.75" right="0.75" top="1" bottom="1" header="0.5" footer="0.5"/>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2"/>
  <sheetViews>
    <sheetView workbookViewId="0">
      <selection activeCell="B19" sqref="B19"/>
    </sheetView>
  </sheetViews>
  <sheetFormatPr defaultColWidth="8.88888888888889" defaultRowHeight="14.4" outlineLevelCol="7"/>
  <sheetData>
    <row r="1" s="1" customFormat="1" spans="1:8">
      <c r="A1" s="1">
        <f>SUM(B1:AZ1)</f>
        <v>7.08333333333333</v>
      </c>
      <c r="B1" s="1">
        <f t="shared" ref="B1:H1" si="0">COUNTA(B2:B2046)/COLUMN()</f>
        <v>2.5</v>
      </c>
      <c r="C1" s="1">
        <f t="shared" si="0"/>
        <v>2.33333333333333</v>
      </c>
      <c r="D1" s="1">
        <f t="shared" si="0"/>
        <v>2.25</v>
      </c>
      <c r="E1" s="1">
        <f t="shared" si="0"/>
        <v>0</v>
      </c>
      <c r="F1" s="1">
        <f t="shared" si="0"/>
        <v>0</v>
      </c>
      <c r="G1" s="1">
        <f t="shared" si="0"/>
        <v>0</v>
      </c>
      <c r="H1" s="1">
        <f t="shared" si="0"/>
        <v>0</v>
      </c>
    </row>
    <row r="2" spans="1:8">
      <c r="A2">
        <v>20240322</v>
      </c>
      <c r="B2" t="s">
        <v>174</v>
      </c>
    </row>
    <row r="3" spans="1:8">
      <c r="C3" t="s">
        <v>175</v>
      </c>
    </row>
    <row r="4" spans="1:8">
      <c r="C4" t="s">
        <v>176</v>
      </c>
    </row>
    <row r="5" spans="1:8">
      <c r="D5" t="s">
        <v>177</v>
      </c>
    </row>
    <row r="6" spans="1:8">
      <c r="D6" t="s">
        <v>178</v>
      </c>
    </row>
    <row r="7" spans="1:8">
      <c r="B7" t="s">
        <v>179</v>
      </c>
    </row>
    <row r="8" spans="1:8">
      <c r="B8" t="s">
        <v>180</v>
      </c>
    </row>
    <row r="9" spans="1:8">
      <c r="C9" t="s">
        <v>181</v>
      </c>
    </row>
    <row r="10" spans="1:8">
      <c r="C10" t="s">
        <v>182</v>
      </c>
    </row>
    <row r="11" spans="1:8">
      <c r="D11" t="s">
        <v>183</v>
      </c>
    </row>
    <row r="12" spans="1:8">
      <c r="D12" t="s">
        <v>184</v>
      </c>
    </row>
    <row r="13" spans="1:8">
      <c r="C13" t="s">
        <v>185</v>
      </c>
    </row>
    <row r="14" spans="1:8">
      <c r="D14" t="s">
        <v>186</v>
      </c>
    </row>
    <row r="15" spans="1:8">
      <c r="D15" t="s">
        <v>187</v>
      </c>
    </row>
    <row r="16" spans="1:8">
      <c r="D16" t="s">
        <v>188</v>
      </c>
    </row>
    <row r="17" spans="2:4">
      <c r="D17" t="s">
        <v>189</v>
      </c>
    </row>
    <row r="18" spans="2:4">
      <c r="B18" t="s">
        <v>190</v>
      </c>
    </row>
    <row r="19" spans="2:4">
      <c r="B19" t="s">
        <v>191</v>
      </c>
    </row>
    <row r="20" spans="2:4">
      <c r="C20" t="s">
        <v>192</v>
      </c>
    </row>
    <row r="21" spans="2:4">
      <c r="C21" t="s">
        <v>193</v>
      </c>
    </row>
    <row r="22" spans="2:4">
      <c r="D22" t="s">
        <v>194</v>
      </c>
    </row>
  </sheetData>
  <pageMargins left="0.75" right="0.75" top="1" bottom="1" header="0.5" footer="0.5"/>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9"/>
  <sheetViews>
    <sheetView workbookViewId="0">
      <selection activeCell="E19" sqref="E19"/>
    </sheetView>
  </sheetViews>
  <sheetFormatPr defaultColWidth="8.88888888888889" defaultRowHeight="14.4" outlineLevelCol="7"/>
  <sheetData>
    <row r="1" s="1" customFormat="1" spans="1:8">
      <c r="A1" s="1">
        <f>SUM(B1:AZ1)</f>
        <v>5.26666666666667</v>
      </c>
      <c r="B1" s="1">
        <f t="shared" ref="B1:H1" si="0">COUNTA(B2:B2048)/COLUMN()</f>
        <v>2</v>
      </c>
      <c r="C1" s="1">
        <f t="shared" si="0"/>
        <v>0.666666666666667</v>
      </c>
      <c r="D1" s="1">
        <f t="shared" si="0"/>
        <v>1</v>
      </c>
      <c r="E1" s="1">
        <f t="shared" si="0"/>
        <v>1.6</v>
      </c>
      <c r="F1" s="1">
        <f t="shared" si="0"/>
        <v>0</v>
      </c>
      <c r="G1" s="1">
        <f t="shared" si="0"/>
        <v>0</v>
      </c>
      <c r="H1" s="1">
        <f t="shared" si="0"/>
        <v>0</v>
      </c>
    </row>
    <row r="2" spans="1:8">
      <c r="A2">
        <v>20240323</v>
      </c>
      <c r="B2" t="s">
        <v>195</v>
      </c>
    </row>
    <row r="3" spans="1:8">
      <c r="B3" t="s">
        <v>196</v>
      </c>
    </row>
    <row r="4" spans="1:8">
      <c r="B4" t="s">
        <v>197</v>
      </c>
    </row>
    <row r="5" spans="1:8">
      <c r="B5" t="s">
        <v>198</v>
      </c>
    </row>
    <row r="6" spans="1:8">
      <c r="C6" t="s">
        <v>199</v>
      </c>
    </row>
    <row r="7" spans="1:8">
      <c r="D7" t="s">
        <v>200</v>
      </c>
    </row>
    <row r="8" spans="1:8">
      <c r="D8" t="s">
        <v>201</v>
      </c>
    </row>
    <row r="9" spans="1:8">
      <c r="C9" t="s">
        <v>202</v>
      </c>
    </row>
    <row r="10" spans="1:8">
      <c r="D10" t="s">
        <v>203</v>
      </c>
    </row>
    <row r="11" spans="1:8">
      <c r="E11" t="s">
        <v>204</v>
      </c>
    </row>
    <row r="12" spans="1:8">
      <c r="E12" t="s">
        <v>205</v>
      </c>
    </row>
    <row r="13" spans="1:8">
      <c r="E13" t="s">
        <v>206</v>
      </c>
    </row>
    <row r="14" spans="1:8">
      <c r="E14" t="s">
        <v>207</v>
      </c>
    </row>
    <row r="15" spans="1:8">
      <c r="D15" t="s">
        <v>208</v>
      </c>
    </row>
    <row r="16" spans="1:8">
      <c r="E16" t="s">
        <v>209</v>
      </c>
    </row>
    <row r="17" spans="5:5">
      <c r="E17" t="s">
        <v>210</v>
      </c>
    </row>
    <row r="18" s="8" customFormat="1" spans="5:5">
      <c r="E18" s="8" t="s">
        <v>211</v>
      </c>
    </row>
    <row r="19" spans="5:5">
      <c r="E19" t="s">
        <v>212</v>
      </c>
    </row>
  </sheetData>
  <pageMargins left="0.75" right="0.75" top="1" bottom="1" header="0.5" footer="0.5"/>
  <pageSetup paperSize="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1"/>
  <sheetViews>
    <sheetView topLeftCell="A2" workbookViewId="0">
      <selection activeCell="C28" sqref="C28"/>
    </sheetView>
  </sheetViews>
  <sheetFormatPr defaultColWidth="8.88888888888889" defaultRowHeight="14.4" outlineLevelCol="7"/>
  <cols>
    <col min="1" max="1" width="9.66666666666667"/>
  </cols>
  <sheetData>
    <row r="1" s="1" customFormat="1" spans="1:8">
      <c r="A1" s="1">
        <f>SUM(B1:AZ1)</f>
        <v>9.96666666666667</v>
      </c>
      <c r="B1" s="1">
        <f t="shared" ref="B1:H1" si="0">COUNTA(B2:B2048)/COLUMN()</f>
        <v>5</v>
      </c>
      <c r="C1" s="1">
        <f t="shared" si="0"/>
        <v>1.66666666666667</v>
      </c>
      <c r="D1" s="1">
        <f t="shared" si="0"/>
        <v>1.5</v>
      </c>
      <c r="E1" s="1">
        <f t="shared" si="0"/>
        <v>1.8</v>
      </c>
      <c r="F1" s="1">
        <f t="shared" si="0"/>
        <v>0</v>
      </c>
      <c r="G1" s="1">
        <f t="shared" si="0"/>
        <v>0</v>
      </c>
      <c r="H1" s="1">
        <f t="shared" si="0"/>
        <v>0</v>
      </c>
    </row>
    <row r="2" spans="1:8">
      <c r="A2">
        <v>20240326</v>
      </c>
      <c r="B2" t="s">
        <v>213</v>
      </c>
    </row>
    <row r="3" spans="1:8">
      <c r="B3" t="s">
        <v>214</v>
      </c>
    </row>
    <row r="4" spans="1:8">
      <c r="B4" t="s">
        <v>215</v>
      </c>
    </row>
    <row r="5" spans="1:8">
      <c r="B5" t="s">
        <v>216</v>
      </c>
    </row>
    <row r="6" spans="1:8">
      <c r="B6" t="s">
        <v>217</v>
      </c>
    </row>
    <row r="7" spans="1:8">
      <c r="B7" t="s">
        <v>218</v>
      </c>
    </row>
    <row r="8" spans="1:8">
      <c r="B8" t="s">
        <v>219</v>
      </c>
    </row>
    <row r="9" spans="1:8">
      <c r="C9" t="s">
        <v>220</v>
      </c>
    </row>
    <row r="10" spans="1:8">
      <c r="D10" t="s">
        <v>221</v>
      </c>
    </row>
    <row r="11" spans="1:8">
      <c r="D11" t="s">
        <v>222</v>
      </c>
    </row>
    <row r="12" spans="1:8">
      <c r="E12" t="s">
        <v>223</v>
      </c>
    </row>
    <row r="13" spans="1:8">
      <c r="E13" t="s">
        <v>224</v>
      </c>
    </row>
    <row r="14" spans="1:8">
      <c r="D14" t="s">
        <v>225</v>
      </c>
    </row>
    <row r="15" spans="1:8">
      <c r="E15" t="s">
        <v>226</v>
      </c>
    </row>
    <row r="16" spans="1:8">
      <c r="E16" t="s">
        <v>227</v>
      </c>
    </row>
    <row r="17" spans="2:5">
      <c r="E17" t="s">
        <v>228</v>
      </c>
    </row>
    <row r="18" spans="2:5">
      <c r="C18" t="s">
        <v>229</v>
      </c>
    </row>
    <row r="19" spans="2:5">
      <c r="D19" t="s">
        <v>230</v>
      </c>
    </row>
    <row r="20" spans="2:5">
      <c r="D20" t="s">
        <v>231</v>
      </c>
    </row>
    <row r="21" spans="2:5">
      <c r="E21" t="s">
        <v>232</v>
      </c>
    </row>
    <row r="22" spans="2:5">
      <c r="E22" t="s">
        <v>233</v>
      </c>
    </row>
    <row r="23" spans="2:5">
      <c r="D23" t="s">
        <v>234</v>
      </c>
    </row>
    <row r="24" spans="2:5">
      <c r="E24" t="s">
        <v>235</v>
      </c>
    </row>
    <row r="25" spans="2:5">
      <c r="E25" t="s">
        <v>236</v>
      </c>
    </row>
    <row r="26" spans="2:5">
      <c r="B26" t="s">
        <v>237</v>
      </c>
    </row>
    <row r="27" spans="2:5">
      <c r="B27" t="s">
        <v>238</v>
      </c>
    </row>
    <row r="28" spans="2:5">
      <c r="C28" t="s">
        <v>239</v>
      </c>
    </row>
    <row r="29" s="4" customFormat="1" spans="2:5">
      <c r="B29" s="4" t="s">
        <v>240</v>
      </c>
    </row>
    <row r="30" s="4" customFormat="1" spans="2:5">
      <c r="C30" s="4" t="s">
        <v>241</v>
      </c>
    </row>
    <row r="31" s="4" customFormat="1" spans="2:5">
      <c r="C31" s="4" t="s">
        <v>242</v>
      </c>
    </row>
  </sheetData>
  <pageMargins left="0.75" right="0.75" top="1" bottom="1" header="0.5" footer="0.5"/>
  <pageSetup paperSize="9" orientation="portrait"/>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
  <sheetViews>
    <sheetView workbookViewId="0">
      <selection activeCell="A2" sqref="A2"/>
    </sheetView>
  </sheetViews>
  <sheetFormatPr defaultColWidth="8.88888888888889" defaultRowHeight="14.4" outlineLevelRow="5" outlineLevelCol="7"/>
  <sheetData>
    <row r="1" s="1" customFormat="1" spans="1:8">
      <c r="A1" s="1">
        <f>SUM(B1:AZ1)</f>
        <v>1.83333333333333</v>
      </c>
      <c r="B1" s="1">
        <f t="shared" ref="B1:H1" si="0">COUNTA(B2:B2048)/COLUMN()</f>
        <v>0.5</v>
      </c>
      <c r="C1" s="1">
        <f t="shared" si="0"/>
        <v>1.33333333333333</v>
      </c>
      <c r="D1" s="1">
        <f t="shared" si="0"/>
        <v>0</v>
      </c>
      <c r="E1" s="1">
        <f t="shared" si="0"/>
        <v>0</v>
      </c>
      <c r="F1" s="1">
        <f t="shared" si="0"/>
        <v>0</v>
      </c>
      <c r="G1" s="1">
        <f t="shared" si="0"/>
        <v>0</v>
      </c>
      <c r="H1" s="1">
        <f t="shared" si="0"/>
        <v>0</v>
      </c>
    </row>
    <row r="2" spans="1:8">
      <c r="A2">
        <v>20240328</v>
      </c>
      <c r="B2" t="s">
        <v>243</v>
      </c>
    </row>
    <row r="3" spans="1:8">
      <c r="C3" t="s">
        <v>244</v>
      </c>
    </row>
    <row r="4" spans="1:8">
      <c r="C4" t="s">
        <v>245</v>
      </c>
    </row>
    <row r="5" spans="1:8">
      <c r="C5" t="s">
        <v>246</v>
      </c>
    </row>
    <row r="6" spans="1:8">
      <c r="C6" t="s">
        <v>247</v>
      </c>
    </row>
  </sheetData>
  <pageMargins left="0.75" right="0.75" top="1" bottom="1" header="0.5" footer="0.5"/>
  <pageSetup paperSize="9" orientation="portrait"/>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
  <sheetViews>
    <sheetView zoomScale="130" zoomScaleNormal="130" workbookViewId="0">
      <selection activeCell="G6" sqref="G6"/>
    </sheetView>
  </sheetViews>
  <sheetFormatPr defaultColWidth="8.88888888888889" defaultRowHeight="14.4" outlineLevelCol="7"/>
  <sheetData>
    <row r="1" s="1" customFormat="1" spans="1:8">
      <c r="A1" s="1">
        <f>SUM(B1:AZ1)</f>
        <v>3.33333333333333</v>
      </c>
      <c r="B1" s="1">
        <f t="shared" ref="B1:H1" si="0">COUNTA(B2:B2050)/COLUMN()</f>
        <v>1</v>
      </c>
      <c r="C1" s="1">
        <f t="shared" si="0"/>
        <v>2.33333333333333</v>
      </c>
      <c r="D1" s="1">
        <f t="shared" si="0"/>
        <v>0</v>
      </c>
      <c r="E1" s="1">
        <f t="shared" si="0"/>
        <v>0</v>
      </c>
      <c r="F1" s="1">
        <f t="shared" si="0"/>
        <v>0</v>
      </c>
      <c r="G1" s="1">
        <f t="shared" si="0"/>
        <v>0</v>
      </c>
      <c r="H1" s="1">
        <f t="shared" si="0"/>
        <v>0</v>
      </c>
    </row>
    <row r="2" spans="1:8">
      <c r="A2">
        <v>20240401</v>
      </c>
      <c r="B2" t="s">
        <v>248</v>
      </c>
    </row>
    <row r="3" spans="1:8">
      <c r="C3" t="s">
        <v>249</v>
      </c>
    </row>
    <row r="4" s="7" customFormat="1" spans="1:8">
      <c r="B4" s="7" t="s">
        <v>250</v>
      </c>
    </row>
    <row r="5" s="7" customFormat="1" spans="1:8">
      <c r="C5" s="7" t="s">
        <v>251</v>
      </c>
    </row>
    <row r="6" s="7" customFormat="1" spans="1:8">
      <c r="C6" s="7" t="s">
        <v>252</v>
      </c>
    </row>
    <row r="7" s="7" customFormat="1" spans="1:8">
      <c r="C7" s="7" t="s">
        <v>253</v>
      </c>
    </row>
    <row r="8" s="7" customFormat="1" spans="1:8">
      <c r="C8" s="7" t="s">
        <v>254</v>
      </c>
    </row>
    <row r="9" s="7" customFormat="1" spans="1:8">
      <c r="C9" s="7" t="s">
        <v>255</v>
      </c>
    </row>
    <row r="10" s="7" customFormat="1" spans="1:8">
      <c r="C10" s="7" t="s">
        <v>256</v>
      </c>
    </row>
  </sheetData>
  <pageMargins left="0.75" right="0.75" top="1" bottom="1" header="0.5" footer="0.5"/>
  <pageSetup paperSize="9" orientation="portrait"/>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1"/>
  <sheetViews>
    <sheetView zoomScale="115" zoomScaleNormal="115" workbookViewId="0">
      <selection activeCell="B2" sqref="B2"/>
    </sheetView>
  </sheetViews>
  <sheetFormatPr defaultColWidth="8.88888888888889" defaultRowHeight="14.4" outlineLevelCol="7"/>
  <sheetData>
    <row r="1" s="1" customFormat="1" spans="1:8">
      <c r="A1" s="1">
        <f>SUM(B1:AZ1)</f>
        <v>3.83333333333333</v>
      </c>
      <c r="B1" s="1">
        <f t="shared" ref="B1:H1" si="0">COUNTA(B2:B2048)/COLUMN()</f>
        <v>1.5</v>
      </c>
      <c r="C1" s="1">
        <f t="shared" si="0"/>
        <v>2.33333333333333</v>
      </c>
      <c r="D1" s="1">
        <f t="shared" si="0"/>
        <v>0</v>
      </c>
      <c r="E1" s="1">
        <f t="shared" si="0"/>
        <v>0</v>
      </c>
      <c r="F1" s="1">
        <f t="shared" si="0"/>
        <v>0</v>
      </c>
      <c r="G1" s="1">
        <f t="shared" si="0"/>
        <v>0</v>
      </c>
      <c r="H1" s="1">
        <f t="shared" si="0"/>
        <v>0</v>
      </c>
    </row>
    <row r="2" spans="1:8">
      <c r="A2">
        <v>20240402</v>
      </c>
      <c r="B2" t="s">
        <v>257</v>
      </c>
    </row>
    <row r="3" spans="1:8">
      <c r="B3" t="s">
        <v>258</v>
      </c>
    </row>
    <row r="4" ht="16.8" spans="1:8">
      <c r="C4" t="s">
        <v>259</v>
      </c>
    </row>
    <row r="5" ht="16.8" spans="1:8">
      <c r="C5" t="s">
        <v>260</v>
      </c>
    </row>
    <row r="6" ht="16.8" spans="1:8">
      <c r="C6" t="s">
        <v>261</v>
      </c>
    </row>
    <row r="7" ht="16.8" spans="1:8">
      <c r="C7" t="s">
        <v>262</v>
      </c>
    </row>
    <row r="8" spans="1:8">
      <c r="B8" t="s">
        <v>263</v>
      </c>
    </row>
    <row r="9" spans="1:8">
      <c r="C9" t="s">
        <v>264</v>
      </c>
    </row>
    <row r="10" spans="1:8">
      <c r="C10" t="s">
        <v>265</v>
      </c>
    </row>
    <row r="11" spans="1:8">
      <c r="C11" t="s">
        <v>266</v>
      </c>
    </row>
  </sheetData>
  <pageMargins left="0.75" right="0.75" top="1" bottom="1" header="0.5" footer="0.5"/>
  <pageSetup paperSize="9" orientation="portrait"/>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1"/>
  <sheetViews>
    <sheetView workbookViewId="0">
      <selection activeCell="B27" sqref="B27"/>
    </sheetView>
  </sheetViews>
  <sheetFormatPr defaultColWidth="8.88888888888889" defaultRowHeight="14.4" outlineLevelCol="7"/>
  <sheetData>
    <row r="1" s="1" customFormat="1" spans="1:8">
      <c r="A1" s="1">
        <f>SUM(B1:AZ1)</f>
        <v>11.8333333333333</v>
      </c>
      <c r="B1" s="1">
        <f t="shared" ref="B1:H1" si="0">COUNTA(B2:B2048)/COLUMN()</f>
        <v>7</v>
      </c>
      <c r="C1" s="1">
        <f t="shared" si="0"/>
        <v>3.33333333333333</v>
      </c>
      <c r="D1" s="1">
        <f t="shared" si="0"/>
        <v>1.5</v>
      </c>
      <c r="E1" s="1">
        <f t="shared" si="0"/>
        <v>0</v>
      </c>
      <c r="F1" s="1">
        <f t="shared" si="0"/>
        <v>0</v>
      </c>
      <c r="G1" s="1">
        <f t="shared" si="0"/>
        <v>0</v>
      </c>
      <c r="H1" s="1">
        <f t="shared" si="0"/>
        <v>0</v>
      </c>
    </row>
    <row r="2" spans="1:8">
      <c r="A2">
        <v>20240405</v>
      </c>
      <c r="B2" t="s">
        <v>267</v>
      </c>
    </row>
    <row r="3" spans="1:8">
      <c r="B3" t="s">
        <v>268</v>
      </c>
    </row>
    <row r="4" spans="1:8">
      <c r="B4" t="s">
        <v>269</v>
      </c>
    </row>
    <row r="5" spans="1:8">
      <c r="B5" t="s">
        <v>270</v>
      </c>
    </row>
    <row r="6" spans="1:8">
      <c r="B6" t="s">
        <v>271</v>
      </c>
    </row>
    <row r="7" spans="1:8">
      <c r="B7" t="s">
        <v>272</v>
      </c>
    </row>
    <row r="8" spans="1:8">
      <c r="B8" t="s">
        <v>273</v>
      </c>
    </row>
    <row r="9" s="8" customFormat="1" spans="1:8">
      <c r="B9" s="8" t="s">
        <v>274</v>
      </c>
    </row>
    <row r="10" s="8" customFormat="1" spans="1:8">
      <c r="B10" s="8" t="s">
        <v>275</v>
      </c>
    </row>
    <row r="11" s="8" customFormat="1" spans="1:8">
      <c r="C11" s="8" t="s">
        <v>276</v>
      </c>
    </row>
    <row r="12" spans="1:8">
      <c r="B12" t="s">
        <v>277</v>
      </c>
    </row>
    <row r="13" spans="1:8">
      <c r="C13" t="s">
        <v>278</v>
      </c>
    </row>
    <row r="14" spans="1:8">
      <c r="C14" t="s">
        <v>279</v>
      </c>
    </row>
    <row r="15" spans="1:8">
      <c r="C15" t="s">
        <v>280</v>
      </c>
    </row>
    <row r="16" spans="1:8">
      <c r="D16" t="s">
        <v>281</v>
      </c>
    </row>
    <row r="17" spans="2:4">
      <c r="D17" t="s">
        <v>282</v>
      </c>
    </row>
    <row r="18" spans="2:4">
      <c r="D18" t="s">
        <v>283</v>
      </c>
    </row>
    <row r="19" spans="2:4">
      <c r="C19" t="s">
        <v>284</v>
      </c>
    </row>
    <row r="20" spans="2:4">
      <c r="D20" t="s">
        <v>285</v>
      </c>
    </row>
    <row r="21" spans="2:4">
      <c r="D21" t="s">
        <v>286</v>
      </c>
    </row>
    <row r="22" spans="2:4">
      <c r="D22" t="s">
        <v>287</v>
      </c>
    </row>
    <row r="23" spans="2:4">
      <c r="C23" t="s">
        <v>288</v>
      </c>
    </row>
    <row r="24" spans="2:4">
      <c r="B24" t="s">
        <v>289</v>
      </c>
    </row>
    <row r="25" spans="2:4">
      <c r="C25" t="s">
        <v>290</v>
      </c>
    </row>
    <row r="26" spans="2:4">
      <c r="C26" t="s">
        <v>291</v>
      </c>
    </row>
    <row r="27" spans="2:4">
      <c r="B27" t="s">
        <v>292</v>
      </c>
    </row>
    <row r="28" spans="2:4">
      <c r="B28" t="s">
        <v>293</v>
      </c>
    </row>
    <row r="29" spans="2:4">
      <c r="B29" t="s">
        <v>294</v>
      </c>
    </row>
    <row r="30" spans="2:4">
      <c r="C30" t="s">
        <v>295</v>
      </c>
    </row>
    <row r="31" spans="2:4">
      <c r="C31" t="s">
        <v>296</v>
      </c>
    </row>
  </sheetData>
  <pageMargins left="0.75" right="0.75" top="1" bottom="1" header="0.5" footer="0.5"/>
  <pageSetup paperSize="9" orientation="portrait"/>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
  <sheetViews>
    <sheetView workbookViewId="0">
      <selection activeCell="B4" sqref="B4"/>
    </sheetView>
  </sheetViews>
  <sheetFormatPr defaultColWidth="8.88888888888889" defaultRowHeight="14.4" outlineLevelRow="3" outlineLevelCol="7"/>
  <sheetData>
    <row r="1" s="1" customFormat="1" spans="1:8">
      <c r="A1" s="1">
        <f>SUM(B1:AZ1)</f>
        <v>1.5</v>
      </c>
      <c r="B1" s="1">
        <f t="shared" ref="B1:H1" si="0">COUNTA(B2:B2048)/COLUMN()</f>
        <v>1.5</v>
      </c>
      <c r="C1" s="1">
        <f t="shared" si="0"/>
        <v>0</v>
      </c>
      <c r="D1" s="1">
        <f t="shared" si="0"/>
        <v>0</v>
      </c>
      <c r="E1" s="1">
        <f t="shared" si="0"/>
        <v>0</v>
      </c>
      <c r="F1" s="1">
        <f t="shared" si="0"/>
        <v>0</v>
      </c>
      <c r="G1" s="1">
        <f t="shared" si="0"/>
        <v>0</v>
      </c>
      <c r="H1" s="1">
        <f t="shared" si="0"/>
        <v>0</v>
      </c>
    </row>
    <row r="2" spans="1:8">
      <c r="A2">
        <v>20240406</v>
      </c>
      <c r="B2" s="7" t="s">
        <v>297</v>
      </c>
    </row>
    <row r="3" spans="1:8">
      <c r="B3" t="s">
        <v>298</v>
      </c>
    </row>
    <row r="4" s="7" customFormat="1" spans="1:8">
      <c r="B4" s="7" t="s">
        <v>299</v>
      </c>
    </row>
  </sheetData>
  <pageMargins left="0.75" right="0.75" top="1" bottom="1" header="0.5" footer="0.5"/>
  <pageSetup paperSize="9" orientation="portrait"/>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
  <sheetViews>
    <sheetView topLeftCell="A2" workbookViewId="0">
      <selection activeCell="C9" sqref="C9"/>
    </sheetView>
  </sheetViews>
  <sheetFormatPr defaultColWidth="8.88888888888889" defaultRowHeight="14.4" outlineLevelCol="7"/>
  <sheetData>
    <row r="1" s="1" customFormat="1" spans="1:8">
      <c r="A1" s="1">
        <f>SUM(B1:AZ1)</f>
        <v>3.83333333333333</v>
      </c>
      <c r="B1" s="1">
        <f t="shared" ref="B1:H1" si="0">COUNTA(B2:B2048)/COLUMN()</f>
        <v>2.5</v>
      </c>
      <c r="C1" s="1">
        <f t="shared" si="0"/>
        <v>1.33333333333333</v>
      </c>
      <c r="D1" s="1">
        <f t="shared" si="0"/>
        <v>0</v>
      </c>
      <c r="E1" s="1">
        <f t="shared" si="0"/>
        <v>0</v>
      </c>
      <c r="F1" s="1">
        <f t="shared" si="0"/>
        <v>0</v>
      </c>
      <c r="G1" s="1">
        <f t="shared" si="0"/>
        <v>0</v>
      </c>
      <c r="H1" s="1">
        <f t="shared" si="0"/>
        <v>0</v>
      </c>
    </row>
    <row r="2" spans="1:8">
      <c r="A2">
        <v>20240408</v>
      </c>
      <c r="B2" t="s">
        <v>300</v>
      </c>
    </row>
    <row r="3" spans="1:8">
      <c r="C3" t="s">
        <v>301</v>
      </c>
    </row>
    <row r="4" spans="1:8">
      <c r="B4" t="s">
        <v>302</v>
      </c>
    </row>
    <row r="5" spans="1:8">
      <c r="B5" t="s">
        <v>303</v>
      </c>
    </row>
    <row r="6" spans="1:8">
      <c r="B6" t="s">
        <v>304</v>
      </c>
    </row>
    <row r="7" spans="1:8">
      <c r="C7" t="s">
        <v>305</v>
      </c>
    </row>
    <row r="8" spans="1:8">
      <c r="C8" t="s">
        <v>306</v>
      </c>
    </row>
    <row r="9" spans="1:8">
      <c r="C9" t="s">
        <v>307</v>
      </c>
    </row>
    <row r="10" spans="1:8">
      <c r="B10" t="s">
        <v>308</v>
      </c>
    </row>
  </sheetData>
  <pageMargins left="0.75" right="0.75" top="1" bottom="1" header="0.5" footer="0.5"/>
  <pageSetup paperSize="9" orientation="portrait"/>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2"/>
  <sheetViews>
    <sheetView workbookViewId="0">
      <selection activeCell="D17" sqref="D17"/>
    </sheetView>
  </sheetViews>
  <sheetFormatPr defaultColWidth="8.88888888888889" defaultRowHeight="14.4" outlineLevelCol="7"/>
  <sheetData>
    <row r="1" s="1" customFormat="1" spans="1:8">
      <c r="A1" s="1">
        <f>SUM(B1:AZ1)</f>
        <v>6.08333333333333</v>
      </c>
      <c r="B1" s="1">
        <f t="shared" ref="B1:H1" si="0">COUNTA(B2:B2048)/COLUMN()</f>
        <v>1</v>
      </c>
      <c r="C1" s="1">
        <f t="shared" si="0"/>
        <v>1.33333333333333</v>
      </c>
      <c r="D1" s="1">
        <f t="shared" si="0"/>
        <v>3.75</v>
      </c>
      <c r="E1" s="1">
        <f t="shared" si="0"/>
        <v>0</v>
      </c>
      <c r="F1" s="1">
        <f t="shared" si="0"/>
        <v>0</v>
      </c>
      <c r="G1" s="1">
        <f t="shared" si="0"/>
        <v>0</v>
      </c>
      <c r="H1" s="1">
        <f t="shared" si="0"/>
        <v>0</v>
      </c>
    </row>
    <row r="2" spans="1:8">
      <c r="A2">
        <v>20240409</v>
      </c>
      <c r="B2" t="s">
        <v>309</v>
      </c>
    </row>
    <row r="3" spans="1:8">
      <c r="B3" t="s">
        <v>310</v>
      </c>
    </row>
    <row r="4" spans="1:8">
      <c r="C4" t="s">
        <v>311</v>
      </c>
    </row>
    <row r="5" spans="1:8">
      <c r="D5" t="s">
        <v>312</v>
      </c>
    </row>
    <row r="6" spans="1:8">
      <c r="D6" t="s">
        <v>313</v>
      </c>
    </row>
    <row r="7" spans="1:8">
      <c r="D7" t="s">
        <v>314</v>
      </c>
    </row>
    <row r="8" spans="1:8">
      <c r="C8" t="s">
        <v>315</v>
      </c>
    </row>
    <row r="9" spans="1:8">
      <c r="D9" s="6" t="s">
        <v>316</v>
      </c>
    </row>
    <row r="10" spans="1:8">
      <c r="D10" s="6" t="s">
        <v>317</v>
      </c>
    </row>
    <row r="11" spans="1:8">
      <c r="D11" s="6" t="s">
        <v>318</v>
      </c>
    </row>
    <row r="12" spans="1:8">
      <c r="D12" s="6" t="s">
        <v>319</v>
      </c>
    </row>
    <row r="13" s="7" customFormat="1" spans="1:8">
      <c r="C13" s="7" t="s">
        <v>320</v>
      </c>
    </row>
    <row r="14" s="7" customFormat="1" spans="1:8">
      <c r="D14" s="7" t="s">
        <v>321</v>
      </c>
    </row>
    <row r="15" s="7" customFormat="1" spans="1:8">
      <c r="D15" s="7" t="s">
        <v>322</v>
      </c>
    </row>
    <row r="16" s="7" customFormat="1" spans="1:8">
      <c r="D16" s="7" t="s">
        <v>323</v>
      </c>
    </row>
    <row r="17" s="7" customFormat="1" spans="3:4">
      <c r="D17" s="7" t="s">
        <v>324</v>
      </c>
    </row>
    <row r="18" s="7" customFormat="1" spans="3:4">
      <c r="D18" s="7" t="s">
        <v>325</v>
      </c>
    </row>
    <row r="19" spans="3:4">
      <c r="C19" t="s">
        <v>326</v>
      </c>
    </row>
    <row r="20" spans="3:4">
      <c r="D20" t="s">
        <v>327</v>
      </c>
    </row>
    <row r="21" spans="3:4">
      <c r="D21" t="s">
        <v>328</v>
      </c>
    </row>
    <row r="22" spans="3:4">
      <c r="D22" t="s">
        <v>329</v>
      </c>
    </row>
  </sheetData>
  <pageMargins left="0.75" right="0.75" top="1" bottom="1" header="0.5" footer="0.5"/>
  <pageSetup paperSize="9" orientation="portrait"/>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7"/>
  <sheetViews>
    <sheetView zoomScale="130" zoomScaleNormal="130" workbookViewId="0">
      <selection activeCell="C8" sqref="C8"/>
    </sheetView>
  </sheetViews>
  <sheetFormatPr defaultColWidth="8.88888888888889" defaultRowHeight="14.4" outlineLevelCol="7"/>
  <sheetData>
    <row r="1" s="1" customFormat="1" spans="1:8">
      <c r="A1" s="1">
        <f>SUM(B1:AZ1)</f>
        <v>16.95</v>
      </c>
      <c r="B1" s="1">
        <f t="shared" ref="B1:H1" si="0">COUNTA(B2:B2048)/COLUMN()</f>
        <v>4</v>
      </c>
      <c r="C1" s="1">
        <f t="shared" si="0"/>
        <v>6.66666666666667</v>
      </c>
      <c r="D1" s="1">
        <f t="shared" si="0"/>
        <v>3.75</v>
      </c>
      <c r="E1" s="1">
        <f t="shared" si="0"/>
        <v>2.2</v>
      </c>
      <c r="F1" s="1">
        <f t="shared" si="0"/>
        <v>0.333333333333333</v>
      </c>
      <c r="G1" s="1">
        <f t="shared" si="0"/>
        <v>0</v>
      </c>
      <c r="H1" s="1">
        <f t="shared" si="0"/>
        <v>0</v>
      </c>
    </row>
    <row r="2" spans="1:8">
      <c r="A2">
        <v>20240410</v>
      </c>
      <c r="B2" t="s">
        <v>330</v>
      </c>
    </row>
    <row r="3" spans="1:8">
      <c r="B3" t="s">
        <v>331</v>
      </c>
    </row>
    <row r="4" spans="1:8">
      <c r="C4" t="s">
        <v>332</v>
      </c>
    </row>
    <row r="5" spans="1:8">
      <c r="C5" t="s">
        <v>333</v>
      </c>
    </row>
    <row r="6" spans="1:8">
      <c r="D6" t="s">
        <v>334</v>
      </c>
    </row>
    <row r="7" spans="1:8">
      <c r="D7" t="s">
        <v>335</v>
      </c>
    </row>
    <row r="8" spans="1:8">
      <c r="C8" t="s">
        <v>336</v>
      </c>
    </row>
    <row r="9" spans="1:8">
      <c r="C9" t="s">
        <v>337</v>
      </c>
    </row>
    <row r="10" spans="1:8">
      <c r="C10" t="s">
        <v>338</v>
      </c>
    </row>
    <row r="11" spans="1:8">
      <c r="C11" t="s">
        <v>339</v>
      </c>
    </row>
    <row r="12" spans="1:8">
      <c r="B12" t="s">
        <v>340</v>
      </c>
    </row>
    <row r="13" spans="1:8">
      <c r="C13" t="s">
        <v>341</v>
      </c>
    </row>
    <row r="14" spans="1:8">
      <c r="D14" t="s">
        <v>342</v>
      </c>
    </row>
    <row r="15" spans="1:8">
      <c r="D15" t="s">
        <v>343</v>
      </c>
    </row>
    <row r="16" spans="1:8">
      <c r="C16" t="s">
        <v>344</v>
      </c>
    </row>
    <row r="17" spans="2:5">
      <c r="D17" t="s">
        <v>345</v>
      </c>
    </row>
    <row r="18" spans="2:5">
      <c r="E18" t="s">
        <v>346</v>
      </c>
    </row>
    <row r="19" spans="2:5">
      <c r="E19" t="s">
        <v>347</v>
      </c>
    </row>
    <row r="20" spans="2:5">
      <c r="E20" t="s">
        <v>348</v>
      </c>
    </row>
    <row r="21" spans="2:5">
      <c r="D21" t="s">
        <v>349</v>
      </c>
    </row>
    <row r="22" spans="2:5">
      <c r="E22" t="s">
        <v>350</v>
      </c>
    </row>
    <row r="23" spans="2:5">
      <c r="E23" t="s">
        <v>351</v>
      </c>
    </row>
    <row r="24" spans="2:5">
      <c r="B24" t="s">
        <v>352</v>
      </c>
    </row>
    <row r="25" spans="2:5">
      <c r="B25" t="s">
        <v>353</v>
      </c>
    </row>
    <row r="26" spans="2:5">
      <c r="B26" t="s">
        <v>354</v>
      </c>
    </row>
    <row r="27" spans="2:5">
      <c r="C27" t="s">
        <v>355</v>
      </c>
    </row>
    <row r="28" spans="2:5">
      <c r="C28" t="s">
        <v>356</v>
      </c>
    </row>
    <row r="29" spans="2:5">
      <c r="C29" s="6" t="s">
        <v>357</v>
      </c>
    </row>
    <row r="30" spans="2:5">
      <c r="D30" t="s">
        <v>358</v>
      </c>
    </row>
    <row r="31" spans="2:5">
      <c r="D31" t="s">
        <v>359</v>
      </c>
    </row>
    <row r="32" spans="2:5">
      <c r="D32" t="s">
        <v>360</v>
      </c>
    </row>
    <row r="33" spans="2:6">
      <c r="D33" t="s">
        <v>361</v>
      </c>
    </row>
    <row r="34" spans="2:6">
      <c r="E34" t="s">
        <v>362</v>
      </c>
    </row>
    <row r="35" spans="2:6">
      <c r="E35" t="s">
        <v>363</v>
      </c>
    </row>
    <row r="36" spans="2:6">
      <c r="C36" t="s">
        <v>364</v>
      </c>
    </row>
    <row r="37" spans="2:6">
      <c r="D37" t="s">
        <v>365</v>
      </c>
    </row>
    <row r="38" spans="2:6">
      <c r="D38" t="s">
        <v>366</v>
      </c>
    </row>
    <row r="39" spans="2:6">
      <c r="D39" t="s">
        <v>360</v>
      </c>
    </row>
    <row r="40" spans="2:6">
      <c r="D40" t="s">
        <v>361</v>
      </c>
    </row>
    <row r="41" spans="2:6">
      <c r="E41" t="s">
        <v>362</v>
      </c>
    </row>
    <row r="42" spans="2:6">
      <c r="E42" t="s">
        <v>363</v>
      </c>
    </row>
    <row r="43" spans="2:6">
      <c r="D43" t="s">
        <v>367</v>
      </c>
    </row>
    <row r="44" spans="2:6">
      <c r="E44" t="s">
        <v>368</v>
      </c>
    </row>
    <row r="45" spans="2:6">
      <c r="E45" t="s">
        <v>369</v>
      </c>
    </row>
    <row r="46" spans="2:6">
      <c r="F46" t="s">
        <v>370</v>
      </c>
    </row>
    <row r="47" spans="2:6">
      <c r="F47" t="s">
        <v>371</v>
      </c>
    </row>
    <row r="48" spans="2:6">
      <c r="B48" t="s">
        <v>372</v>
      </c>
    </row>
    <row r="49" spans="2:3">
      <c r="C49" t="s">
        <v>373</v>
      </c>
    </row>
    <row r="50" spans="2:3">
      <c r="C50" t="s">
        <v>374</v>
      </c>
    </row>
    <row r="51" spans="2:3">
      <c r="B51" t="s">
        <v>375</v>
      </c>
    </row>
    <row r="52" spans="2:3">
      <c r="C52" t="s">
        <v>376</v>
      </c>
    </row>
    <row r="53" spans="2:3">
      <c r="C53" t="s">
        <v>377</v>
      </c>
    </row>
    <row r="54" spans="2:3">
      <c r="C54" t="s">
        <v>378</v>
      </c>
    </row>
    <row r="55" spans="2:3">
      <c r="C55" t="s">
        <v>379</v>
      </c>
    </row>
    <row r="56" spans="2:3">
      <c r="C56" t="s">
        <v>380</v>
      </c>
    </row>
    <row r="57" spans="2:3">
      <c r="C57" t="s">
        <v>381</v>
      </c>
    </row>
  </sheetData>
  <pageMargins left="0.75" right="0.75" top="1" bottom="1" header="0.5" footer="0.5"/>
  <pageSetup paperSize="9" orientation="portrait"/>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3"/>
  <sheetViews>
    <sheetView topLeftCell="A4" workbookViewId="0">
      <selection activeCell="D11" sqref="D11"/>
    </sheetView>
  </sheetViews>
  <sheetFormatPr defaultColWidth="8.88888888888889" defaultRowHeight="14.4" outlineLevelCol="7"/>
  <sheetData>
    <row r="1" s="1" customFormat="1" spans="1:8">
      <c r="A1" s="1">
        <f>SUM(B1:AZ1)</f>
        <v>4.5</v>
      </c>
      <c r="B1" s="1">
        <f t="shared" ref="B1:H1" si="0">COUNTA(B2:B2048)/COLUMN()</f>
        <v>2</v>
      </c>
      <c r="C1" s="1">
        <f t="shared" si="0"/>
        <v>2</v>
      </c>
      <c r="D1" s="1">
        <f t="shared" si="0"/>
        <v>0.5</v>
      </c>
      <c r="E1" s="1">
        <f t="shared" si="0"/>
        <v>0</v>
      </c>
      <c r="F1" s="1">
        <f t="shared" si="0"/>
        <v>0</v>
      </c>
      <c r="G1" s="1">
        <f t="shared" si="0"/>
        <v>0</v>
      </c>
      <c r="H1" s="1">
        <f t="shared" si="0"/>
        <v>0</v>
      </c>
    </row>
    <row r="2" spans="1:8">
      <c r="A2">
        <v>20240411</v>
      </c>
      <c r="B2" t="s">
        <v>382</v>
      </c>
    </row>
    <row r="3" s="7" customFormat="1" spans="1:8">
      <c r="B3" s="7" t="s">
        <v>383</v>
      </c>
    </row>
    <row r="4" s="7" customFormat="1" spans="1:8">
      <c r="C4" s="7" t="s">
        <v>384</v>
      </c>
    </row>
    <row r="5" s="7" customFormat="1" spans="1:8">
      <c r="C5" s="7" t="s">
        <v>385</v>
      </c>
    </row>
    <row r="6" s="7" customFormat="1" spans="1:8">
      <c r="C6" s="7" t="s">
        <v>386</v>
      </c>
    </row>
    <row r="7" spans="1:8">
      <c r="C7" s="7" t="s">
        <v>387</v>
      </c>
    </row>
    <row r="8" spans="1:8">
      <c r="B8" t="s">
        <v>388</v>
      </c>
    </row>
    <row r="9" spans="1:8">
      <c r="C9" t="s">
        <v>389</v>
      </c>
    </row>
    <row r="10" spans="1:8">
      <c r="C10" t="s">
        <v>390</v>
      </c>
    </row>
    <row r="11" spans="1:8">
      <c r="D11" t="s">
        <v>391</v>
      </c>
    </row>
    <row r="12" spans="1:8">
      <c r="D12" t="s">
        <v>392</v>
      </c>
    </row>
    <row r="13" spans="1:8">
      <c r="B13" t="s">
        <v>393</v>
      </c>
    </row>
  </sheetData>
  <pageMargins left="0.75" right="0.75" top="1" bottom="1" header="0.5" footer="0.5"/>
  <pageSetup paperSize="9" orientation="portrait"/>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0"/>
  <sheetViews>
    <sheetView workbookViewId="0">
      <selection activeCell="B17" sqref="B17"/>
    </sheetView>
  </sheetViews>
  <sheetFormatPr defaultColWidth="8.88888888888889" defaultRowHeight="14.4" outlineLevelCol="7"/>
  <sheetData>
    <row r="1" s="1" customFormat="1" spans="1:8">
      <c r="A1" s="1">
        <f>SUM(B1:AZ1)</f>
        <v>7.16666666666667</v>
      </c>
      <c r="B1" s="1">
        <f t="shared" ref="B1:H1" si="0">COUNTA(B2:B2048)/COLUMN()</f>
        <v>3</v>
      </c>
      <c r="C1" s="1">
        <f t="shared" si="0"/>
        <v>3.66666666666667</v>
      </c>
      <c r="D1" s="1">
        <f t="shared" si="0"/>
        <v>0.5</v>
      </c>
      <c r="E1" s="1">
        <f t="shared" si="0"/>
        <v>0</v>
      </c>
      <c r="F1" s="1">
        <f t="shared" si="0"/>
        <v>0</v>
      </c>
      <c r="G1" s="1">
        <f t="shared" si="0"/>
        <v>0</v>
      </c>
      <c r="H1" s="1">
        <f t="shared" si="0"/>
        <v>0</v>
      </c>
    </row>
    <row r="2" spans="1:8">
      <c r="A2">
        <v>20240412</v>
      </c>
      <c r="B2" t="s">
        <v>394</v>
      </c>
    </row>
    <row r="3" spans="1:8">
      <c r="B3" t="s">
        <v>395</v>
      </c>
    </row>
    <row r="4" spans="1:8">
      <c r="C4" t="s">
        <v>396</v>
      </c>
    </row>
    <row r="5" spans="1:8">
      <c r="C5" t="s">
        <v>397</v>
      </c>
    </row>
    <row r="6" spans="1:8">
      <c r="C6" t="s">
        <v>398</v>
      </c>
    </row>
    <row r="7" spans="1:8">
      <c r="C7" t="s">
        <v>399</v>
      </c>
    </row>
    <row r="8" spans="1:8">
      <c r="D8" t="s">
        <v>400</v>
      </c>
    </row>
    <row r="9" spans="1:8">
      <c r="D9" t="s">
        <v>401</v>
      </c>
    </row>
    <row r="10" spans="1:8">
      <c r="C10" t="s">
        <v>402</v>
      </c>
    </row>
    <row r="11" spans="1:8">
      <c r="B11" t="s">
        <v>403</v>
      </c>
    </row>
    <row r="12" spans="1:8">
      <c r="B12" t="s">
        <v>404</v>
      </c>
    </row>
    <row r="13" spans="1:8">
      <c r="C13" t="s">
        <v>405</v>
      </c>
    </row>
    <row r="14" spans="1:8">
      <c r="C14" t="s">
        <v>406</v>
      </c>
    </row>
    <row r="15" spans="1:8">
      <c r="C15" t="s">
        <v>407</v>
      </c>
    </row>
    <row r="16" spans="1:8">
      <c r="B16" t="s">
        <v>408</v>
      </c>
    </row>
    <row r="17" spans="2:3">
      <c r="B17" t="s">
        <v>409</v>
      </c>
    </row>
    <row r="18" spans="2:3">
      <c r="C18" t="s">
        <v>410</v>
      </c>
    </row>
    <row r="19" spans="2:3">
      <c r="C19" t="s">
        <v>411</v>
      </c>
    </row>
    <row r="20" spans="2:3">
      <c r="C20" t="s">
        <v>412</v>
      </c>
    </row>
  </sheetData>
  <pageMargins left="0.75" right="0.75" top="1" bottom="1" header="0.5" footer="0.5"/>
  <pageSetup paperSize="9" orientation="portrait"/>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0"/>
  <sheetViews>
    <sheetView topLeftCell="A2" workbookViewId="0">
      <selection activeCell="J14" sqref="J14"/>
    </sheetView>
  </sheetViews>
  <sheetFormatPr defaultColWidth="8.88888888888889" defaultRowHeight="14.4" outlineLevelCol="7"/>
  <sheetData>
    <row r="1" s="1" customFormat="1" spans="1:8">
      <c r="A1" s="1">
        <f>SUM(B1:AZ1)</f>
        <v>15.1166666666667</v>
      </c>
      <c r="B1" s="1">
        <f t="shared" ref="B1:H1" si="0">COUNTA(B2:B2048)/COLUMN()</f>
        <v>3.5</v>
      </c>
      <c r="C1" s="1">
        <f t="shared" si="0"/>
        <v>5.66666666666667</v>
      </c>
      <c r="D1" s="1">
        <f t="shared" si="0"/>
        <v>4.75</v>
      </c>
      <c r="E1" s="1">
        <f t="shared" si="0"/>
        <v>1.2</v>
      </c>
      <c r="F1" s="1">
        <f t="shared" si="0"/>
        <v>0</v>
      </c>
      <c r="G1" s="1">
        <f t="shared" si="0"/>
        <v>0</v>
      </c>
      <c r="H1" s="1">
        <f t="shared" si="0"/>
        <v>0</v>
      </c>
    </row>
    <row r="2" spans="1:8">
      <c r="A2">
        <v>20240413</v>
      </c>
      <c r="B2" t="s">
        <v>413</v>
      </c>
    </row>
    <row r="3" spans="1:8">
      <c r="C3" t="s">
        <v>414</v>
      </c>
    </row>
    <row r="4" spans="1:8">
      <c r="D4" t="s">
        <v>415</v>
      </c>
    </row>
    <row r="5" spans="1:8">
      <c r="D5" t="s">
        <v>416</v>
      </c>
    </row>
    <row r="6" s="7" customFormat="1" spans="1:8">
      <c r="C6" s="7" t="s">
        <v>417</v>
      </c>
    </row>
    <row r="7" spans="1:8">
      <c r="B7" t="s">
        <v>418</v>
      </c>
    </row>
    <row r="8" spans="1:8">
      <c r="B8" t="s">
        <v>419</v>
      </c>
    </row>
    <row r="9" spans="1:8">
      <c r="C9" t="s">
        <v>420</v>
      </c>
    </row>
    <row r="10" spans="1:8">
      <c r="D10" t="s">
        <v>421</v>
      </c>
    </row>
    <row r="11" spans="1:8">
      <c r="D11" t="s">
        <v>422</v>
      </c>
    </row>
    <row r="12" spans="1:8">
      <c r="D12" t="s">
        <v>423</v>
      </c>
    </row>
    <row r="13" spans="1:8">
      <c r="E13" t="s">
        <v>424</v>
      </c>
    </row>
    <row r="14" spans="1:8">
      <c r="E14" t="s">
        <v>425</v>
      </c>
    </row>
    <row r="15" spans="1:8">
      <c r="B15" t="s">
        <v>426</v>
      </c>
    </row>
    <row r="16" spans="1:8">
      <c r="C16" t="s">
        <v>427</v>
      </c>
    </row>
    <row r="17" spans="2:5">
      <c r="C17" t="s">
        <v>428</v>
      </c>
    </row>
    <row r="18" spans="2:5">
      <c r="D18" t="s">
        <v>429</v>
      </c>
    </row>
    <row r="19" spans="2:5">
      <c r="C19" t="s">
        <v>430</v>
      </c>
    </row>
    <row r="20" spans="2:5">
      <c r="C20" t="s">
        <v>431</v>
      </c>
    </row>
    <row r="21" spans="2:5">
      <c r="D21" t="s">
        <v>432</v>
      </c>
    </row>
    <row r="22" spans="2:5">
      <c r="D22" t="s">
        <v>433</v>
      </c>
    </row>
    <row r="23" spans="2:5">
      <c r="B23" t="s">
        <v>434</v>
      </c>
    </row>
    <row r="24" spans="2:5">
      <c r="C24" t="s">
        <v>435</v>
      </c>
    </row>
    <row r="25" spans="2:5">
      <c r="D25" t="s">
        <v>436</v>
      </c>
    </row>
    <row r="26" spans="2:5">
      <c r="E26" t="s">
        <v>437</v>
      </c>
    </row>
    <row r="27" spans="2:5">
      <c r="E27" t="s">
        <v>438</v>
      </c>
    </row>
    <row r="28" spans="2:5">
      <c r="D28" t="s">
        <v>439</v>
      </c>
    </row>
    <row r="29" spans="2:5">
      <c r="D29" t="s">
        <v>440</v>
      </c>
    </row>
    <row r="30" spans="2:5">
      <c r="C30" t="s">
        <v>441</v>
      </c>
    </row>
    <row r="31" spans="2:5">
      <c r="D31" t="s">
        <v>442</v>
      </c>
    </row>
    <row r="32" spans="2:5">
      <c r="E32" t="s">
        <v>443</v>
      </c>
    </row>
    <row r="33" spans="2:5">
      <c r="D33" t="s">
        <v>444</v>
      </c>
    </row>
    <row r="34" spans="2:5">
      <c r="E34" t="s">
        <v>445</v>
      </c>
    </row>
    <row r="35" spans="2:5">
      <c r="C35" t="s">
        <v>446</v>
      </c>
    </row>
    <row r="36" spans="2:5">
      <c r="D36" t="s">
        <v>447</v>
      </c>
    </row>
    <row r="37" spans="2:5">
      <c r="D37" t="s">
        <v>448</v>
      </c>
    </row>
    <row r="38" spans="2:5">
      <c r="D38" t="s">
        <v>449</v>
      </c>
    </row>
    <row r="39" spans="2:5">
      <c r="D39" t="s">
        <v>450</v>
      </c>
    </row>
    <row r="40" spans="2:5">
      <c r="B40" t="s">
        <v>451</v>
      </c>
    </row>
    <row r="41" spans="2:5">
      <c r="C41" t="s">
        <v>452</v>
      </c>
    </row>
    <row r="42" spans="2:5">
      <c r="C42" t="s">
        <v>453</v>
      </c>
    </row>
    <row r="43" spans="2:5">
      <c r="C43" t="s">
        <v>454</v>
      </c>
    </row>
    <row r="44" spans="2:5">
      <c r="C44" t="s">
        <v>455</v>
      </c>
    </row>
    <row r="45" spans="2:5">
      <c r="B45" t="s">
        <v>456</v>
      </c>
    </row>
    <row r="46" spans="2:5">
      <c r="C46" t="s">
        <v>457</v>
      </c>
    </row>
    <row r="47" spans="2:5">
      <c r="D47" t="s">
        <v>458</v>
      </c>
    </row>
    <row r="48" spans="2:5">
      <c r="D48" t="s">
        <v>459</v>
      </c>
    </row>
    <row r="49" spans="3:3">
      <c r="C49" t="s">
        <v>460</v>
      </c>
    </row>
    <row r="50" spans="3:3">
      <c r="C50" t="s">
        <v>461</v>
      </c>
    </row>
  </sheetData>
  <pageMargins left="0.75" right="0.75" top="1" bottom="1" header="0.5" footer="0.5"/>
  <pageSetup paperSize="9" orientation="portrait"/>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9"/>
  <sheetViews>
    <sheetView topLeftCell="A5" workbookViewId="0">
      <selection activeCell="C5" sqref="C5"/>
    </sheetView>
  </sheetViews>
  <sheetFormatPr defaultColWidth="8.88888888888889" defaultRowHeight="14.4" outlineLevelCol="7"/>
  <cols>
    <col min="1" max="1" width="9.66666666666667"/>
  </cols>
  <sheetData>
    <row r="1" s="1" customFormat="1" spans="1:8">
      <c r="A1" s="1">
        <f>SUM(B1:AZ1)</f>
        <v>9.75</v>
      </c>
      <c r="B1" s="1">
        <f t="shared" ref="B1:H1" si="0">COUNTA(B2:B2048)/COLUMN()</f>
        <v>2.5</v>
      </c>
      <c r="C1" s="1">
        <f t="shared" si="0"/>
        <v>6</v>
      </c>
      <c r="D1" s="1">
        <f t="shared" si="0"/>
        <v>1.25</v>
      </c>
      <c r="E1" s="1">
        <f t="shared" si="0"/>
        <v>0</v>
      </c>
      <c r="F1" s="1">
        <f t="shared" si="0"/>
        <v>0</v>
      </c>
      <c r="G1" s="1">
        <f t="shared" si="0"/>
        <v>0</v>
      </c>
      <c r="H1" s="1">
        <f t="shared" si="0"/>
        <v>0</v>
      </c>
    </row>
    <row r="2" spans="1:8">
      <c r="A2">
        <v>20240414</v>
      </c>
      <c r="B2" t="s">
        <v>462</v>
      </c>
    </row>
    <row r="3" spans="1:8">
      <c r="C3" t="s">
        <v>463</v>
      </c>
    </row>
    <row r="4" spans="1:8">
      <c r="C4" t="s">
        <v>464</v>
      </c>
    </row>
    <row r="5" spans="1:8">
      <c r="C5" t="s">
        <v>465</v>
      </c>
    </row>
    <row r="6" spans="1:8">
      <c r="B6" t="s">
        <v>466</v>
      </c>
    </row>
    <row r="7" spans="1:8">
      <c r="C7" t="s">
        <v>467</v>
      </c>
    </row>
    <row r="8" spans="1:8">
      <c r="C8" t="s">
        <v>468</v>
      </c>
    </row>
    <row r="9" spans="1:8">
      <c r="C9" t="s">
        <v>469</v>
      </c>
    </row>
    <row r="10" spans="1:8">
      <c r="C10" t="s">
        <v>470</v>
      </c>
    </row>
    <row r="11" spans="1:8">
      <c r="D11" t="s">
        <v>471</v>
      </c>
    </row>
    <row r="12" spans="1:8">
      <c r="D12" t="s">
        <v>472</v>
      </c>
    </row>
    <row r="13" spans="1:8">
      <c r="B13" t="s">
        <v>473</v>
      </c>
    </row>
    <row r="14" spans="1:8">
      <c r="C14" t="s">
        <v>474</v>
      </c>
    </row>
    <row r="15" spans="1:8">
      <c r="C15" t="s">
        <v>475</v>
      </c>
    </row>
    <row r="16" spans="1:8">
      <c r="C16" t="s">
        <v>476</v>
      </c>
    </row>
    <row r="17" spans="2:4">
      <c r="B17" t="s">
        <v>477</v>
      </c>
    </row>
    <row r="18" spans="2:4">
      <c r="C18" t="s">
        <v>478</v>
      </c>
    </row>
    <row r="19" spans="2:4">
      <c r="C19" t="s">
        <v>479</v>
      </c>
    </row>
    <row r="20" spans="2:4">
      <c r="C20" t="s">
        <v>480</v>
      </c>
    </row>
    <row r="21" spans="2:4">
      <c r="C21" t="s">
        <v>481</v>
      </c>
    </row>
    <row r="22" spans="2:4">
      <c r="C22" t="s">
        <v>482</v>
      </c>
    </row>
    <row r="23" spans="2:4">
      <c r="B23" t="s">
        <v>483</v>
      </c>
    </row>
    <row r="24" spans="2:4">
      <c r="C24" t="s">
        <v>484</v>
      </c>
    </row>
    <row r="25" s="7" customFormat="1" spans="2:4">
      <c r="D25" s="7" t="s">
        <v>485</v>
      </c>
    </row>
    <row r="26" spans="2:4">
      <c r="C26" t="s">
        <v>486</v>
      </c>
    </row>
    <row r="27" s="7" customFormat="1" spans="2:4">
      <c r="D27" s="7" t="s">
        <v>487</v>
      </c>
    </row>
    <row r="28" spans="2:4">
      <c r="C28" t="s">
        <v>488</v>
      </c>
    </row>
    <row r="29" spans="2:4">
      <c r="D29" t="s">
        <v>489</v>
      </c>
    </row>
  </sheetData>
  <pageMargins left="0.75" right="0.75" top="1" bottom="1" header="0.5" footer="0.5"/>
  <pageSetup paperSize="9" orientation="portrait"/>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5"/>
  <sheetViews>
    <sheetView workbookViewId="0">
      <selection activeCell="C11" sqref="C11"/>
    </sheetView>
  </sheetViews>
  <sheetFormatPr defaultColWidth="8.88888888888889" defaultRowHeight="14.4" outlineLevelCol="7"/>
  <cols>
    <col min="1" max="1" width="9.66666666666667"/>
  </cols>
  <sheetData>
    <row r="1" s="1" customFormat="1" spans="1:8">
      <c r="A1" s="1">
        <f>SUM(B1:AZ1)</f>
        <v>7.4</v>
      </c>
      <c r="B1" s="1">
        <f t="shared" ref="B1:H1" si="0">COUNTA(B2:B2048)/COLUMN()</f>
        <v>1.5</v>
      </c>
      <c r="C1" s="1">
        <f t="shared" si="0"/>
        <v>3</v>
      </c>
      <c r="D1" s="1">
        <f t="shared" si="0"/>
        <v>2.5</v>
      </c>
      <c r="E1" s="1">
        <f t="shared" si="0"/>
        <v>0.4</v>
      </c>
      <c r="F1" s="1">
        <f t="shared" si="0"/>
        <v>0</v>
      </c>
      <c r="G1" s="1">
        <f t="shared" si="0"/>
        <v>0</v>
      </c>
      <c r="H1" s="1">
        <f t="shared" si="0"/>
        <v>0</v>
      </c>
    </row>
    <row r="2" spans="1:8">
      <c r="A2">
        <v>20240415</v>
      </c>
      <c r="B2" t="s">
        <v>490</v>
      </c>
    </row>
    <row r="3" spans="1:8">
      <c r="C3" t="s">
        <v>491</v>
      </c>
    </row>
    <row r="4" spans="1:8">
      <c r="C4" t="s">
        <v>492</v>
      </c>
    </row>
    <row r="5" spans="1:8">
      <c r="C5" t="s">
        <v>493</v>
      </c>
    </row>
    <row r="6" spans="1:8">
      <c r="D6" t="s">
        <v>494</v>
      </c>
    </row>
    <row r="7" spans="1:8">
      <c r="B7" t="s">
        <v>495</v>
      </c>
    </row>
    <row r="8" spans="1:8">
      <c r="C8" t="s">
        <v>496</v>
      </c>
    </row>
    <row r="9" spans="1:8">
      <c r="D9" t="s">
        <v>497</v>
      </c>
    </row>
    <row r="10" spans="1:8">
      <c r="D10" t="s">
        <v>498</v>
      </c>
    </row>
    <row r="11" spans="1:8">
      <c r="C11" t="s">
        <v>499</v>
      </c>
    </row>
    <row r="12" spans="1:8">
      <c r="C12" t="s">
        <v>500</v>
      </c>
    </row>
    <row r="13" spans="1:8">
      <c r="D13" t="s">
        <v>501</v>
      </c>
    </row>
    <row r="14" spans="1:8">
      <c r="D14" t="s">
        <v>502</v>
      </c>
    </row>
    <row r="15" spans="1:8">
      <c r="B15" t="s">
        <v>503</v>
      </c>
    </row>
    <row r="16" spans="1:8">
      <c r="C16" t="s">
        <v>504</v>
      </c>
    </row>
    <row r="17" spans="3:5">
      <c r="D17" t="s">
        <v>505</v>
      </c>
    </row>
    <row r="18" spans="3:5">
      <c r="D18" t="s">
        <v>506</v>
      </c>
    </row>
    <row r="19" spans="3:5">
      <c r="C19" t="s">
        <v>507</v>
      </c>
    </row>
    <row r="20" spans="3:5">
      <c r="D20" t="s">
        <v>508</v>
      </c>
    </row>
    <row r="21" spans="3:5">
      <c r="D21" t="s">
        <v>509</v>
      </c>
    </row>
    <row r="22" spans="3:5">
      <c r="D22" t="s">
        <v>510</v>
      </c>
    </row>
    <row r="23" spans="3:5">
      <c r="E23" t="s">
        <v>511</v>
      </c>
    </row>
    <row r="24" spans="3:5">
      <c r="E24" t="s">
        <v>512</v>
      </c>
    </row>
    <row r="25" spans="3:5">
      <c r="C25" t="s">
        <v>513</v>
      </c>
    </row>
  </sheetData>
  <pageMargins left="0.75" right="0.75" top="1" bottom="1" header="0.5" footer="0.5"/>
  <pageSetup paperSize="9" orientation="portrait"/>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4"/>
  <sheetViews>
    <sheetView workbookViewId="0">
      <selection activeCell="D8" sqref="D8"/>
    </sheetView>
  </sheetViews>
  <sheetFormatPr defaultColWidth="8.88888888888889" defaultRowHeight="14.4" outlineLevelCol="7"/>
  <cols>
    <col min="1" max="1" width="9.66666666666667"/>
  </cols>
  <sheetData>
    <row r="1" s="1" customFormat="1" spans="1:8">
      <c r="A1" s="1">
        <f>SUM(B1:AZ1)</f>
        <v>4.03333333333333</v>
      </c>
      <c r="B1" s="1">
        <f>COUNTA(B2:B2048)/COLUMN()</f>
        <v>1</v>
      </c>
      <c r="C1" s="1">
        <f t="shared" ref="B1:H1" si="0">COUNTA(C2:C2048)/COLUMN()</f>
        <v>1.33333333333333</v>
      </c>
      <c r="D1" s="1">
        <f t="shared" si="0"/>
        <v>1.5</v>
      </c>
      <c r="E1" s="1">
        <f t="shared" si="0"/>
        <v>0.2</v>
      </c>
      <c r="F1" s="1">
        <f t="shared" si="0"/>
        <v>0</v>
      </c>
      <c r="G1" s="1">
        <f t="shared" si="0"/>
        <v>0</v>
      </c>
      <c r="H1" s="1">
        <f t="shared" si="0"/>
        <v>0</v>
      </c>
    </row>
    <row r="2" spans="1:8">
      <c r="A2">
        <v>20240416</v>
      </c>
      <c r="B2" t="s">
        <v>514</v>
      </c>
    </row>
    <row r="3" spans="1:8">
      <c r="C3" t="s">
        <v>515</v>
      </c>
    </row>
    <row r="4" spans="1:8">
      <c r="C4" t="s">
        <v>516</v>
      </c>
    </row>
    <row r="5" spans="1:8">
      <c r="B5" t="s">
        <v>517</v>
      </c>
    </row>
    <row r="6" spans="1:8">
      <c r="C6" t="s">
        <v>518</v>
      </c>
    </row>
    <row r="7" spans="1:8">
      <c r="D7" t="s">
        <v>519</v>
      </c>
    </row>
    <row r="8" spans="1:8">
      <c r="D8" t="s">
        <v>520</v>
      </c>
    </row>
    <row r="9" spans="1:8">
      <c r="D9" t="s">
        <v>521</v>
      </c>
    </row>
    <row r="10" spans="1:8">
      <c r="C10" t="s">
        <v>522</v>
      </c>
    </row>
    <row r="11" spans="1:8">
      <c r="D11" t="s">
        <v>523</v>
      </c>
    </row>
    <row r="12" spans="1:8">
      <c r="D12" t="s">
        <v>524</v>
      </c>
    </row>
    <row r="13" spans="1:8">
      <c r="E13" t="s">
        <v>525</v>
      </c>
    </row>
    <row r="14" spans="1:8">
      <c r="D14" t="s">
        <v>526</v>
      </c>
    </row>
  </sheetData>
  <pageMargins left="0.75" right="0.75" top="1" bottom="1" header="0.5" footer="0.5"/>
  <pageSetup paperSize="9" orientation="portrait"/>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2"/>
  <sheetViews>
    <sheetView topLeftCell="A13" workbookViewId="0">
      <selection activeCell="B20" sqref="B20"/>
    </sheetView>
  </sheetViews>
  <sheetFormatPr defaultColWidth="8.88888888888889" defaultRowHeight="14.4" outlineLevelCol="7"/>
  <cols>
    <col min="1" max="1" width="9.66666666666667"/>
  </cols>
  <sheetData>
    <row r="1" s="1" customFormat="1" spans="1:8">
      <c r="A1" s="1">
        <f>SUM(B1:AZ1)</f>
        <v>7.16666666666667</v>
      </c>
      <c r="B1" s="1">
        <f t="shared" ref="B1:H1" si="0">COUNTA(B2:B2048)/COLUMN()</f>
        <v>2.5</v>
      </c>
      <c r="C1" s="1">
        <f t="shared" si="0"/>
        <v>2.66666666666667</v>
      </c>
      <c r="D1" s="1">
        <f t="shared" si="0"/>
        <v>2</v>
      </c>
      <c r="E1" s="1">
        <f t="shared" si="0"/>
        <v>0</v>
      </c>
      <c r="F1" s="1">
        <f t="shared" si="0"/>
        <v>0</v>
      </c>
      <c r="G1" s="1">
        <f t="shared" si="0"/>
        <v>0</v>
      </c>
      <c r="H1" s="1">
        <f t="shared" si="0"/>
        <v>0</v>
      </c>
    </row>
    <row r="2" spans="1:8">
      <c r="A2">
        <v>20240417</v>
      </c>
      <c r="B2" t="s">
        <v>527</v>
      </c>
    </row>
    <row r="3" spans="1:8">
      <c r="C3" t="s">
        <v>528</v>
      </c>
    </row>
    <row r="4" spans="1:8">
      <c r="D4" t="s">
        <v>529</v>
      </c>
    </row>
    <row r="5" spans="1:8">
      <c r="C5" t="s">
        <v>530</v>
      </c>
    </row>
    <row r="6" spans="1:8">
      <c r="D6" t="s">
        <v>531</v>
      </c>
    </row>
    <row r="7" spans="1:8">
      <c r="B7" t="s">
        <v>532</v>
      </c>
    </row>
    <row r="8" spans="1:8">
      <c r="C8" t="s">
        <v>533</v>
      </c>
    </row>
    <row r="9" spans="1:8">
      <c r="C9" t="s">
        <v>534</v>
      </c>
    </row>
    <row r="10" spans="1:8">
      <c r="C10" t="s">
        <v>535</v>
      </c>
    </row>
    <row r="11" spans="1:8">
      <c r="D11" t="s">
        <v>536</v>
      </c>
    </row>
    <row r="12" spans="1:8">
      <c r="D12" t="s">
        <v>537</v>
      </c>
    </row>
    <row r="13" spans="1:8">
      <c r="C13" t="s">
        <v>538</v>
      </c>
    </row>
    <row r="14" spans="1:8">
      <c r="C14" t="s">
        <v>539</v>
      </c>
    </row>
    <row r="15" spans="1:8">
      <c r="D15" t="s">
        <v>540</v>
      </c>
    </row>
    <row r="16" spans="1:8">
      <c r="D16" t="s">
        <v>541</v>
      </c>
    </row>
    <row r="17" spans="2:4">
      <c r="D17" t="s">
        <v>542</v>
      </c>
    </row>
    <row r="18" spans="2:4">
      <c r="D18" t="s">
        <v>543</v>
      </c>
    </row>
    <row r="19" spans="2:4">
      <c r="B19" t="s">
        <v>544</v>
      </c>
    </row>
    <row r="20" spans="2:4">
      <c r="B20" t="s">
        <v>545</v>
      </c>
    </row>
    <row r="21" spans="2:4">
      <c r="B21" t="s">
        <v>546</v>
      </c>
    </row>
    <row r="22" spans="2:4">
      <c r="C22" t="s">
        <v>547</v>
      </c>
    </row>
  </sheetData>
  <pageMargins left="0.75" right="0.75" top="1" bottom="1" header="0.5" footer="0.5"/>
  <pageSetup paperSize="9" orientation="portrait"/>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3"/>
  <sheetViews>
    <sheetView workbookViewId="0">
      <selection activeCell="B23" sqref="B23"/>
    </sheetView>
  </sheetViews>
  <sheetFormatPr defaultColWidth="8.88888888888889" defaultRowHeight="14.4" outlineLevelCol="7"/>
  <cols>
    <col min="1" max="1" width="9.66666666666667"/>
  </cols>
  <sheetData>
    <row r="1" s="1" customFormat="1" spans="1:8">
      <c r="A1" s="1">
        <f>SUM(B1:AZ1)</f>
        <v>8</v>
      </c>
      <c r="B1" s="1">
        <f t="shared" ref="B1:H1" si="0">COUNTA(B2:B2049)/COLUMN()</f>
        <v>3</v>
      </c>
      <c r="C1" s="1">
        <f t="shared" si="0"/>
        <v>4</v>
      </c>
      <c r="D1" s="1">
        <f t="shared" si="0"/>
        <v>1</v>
      </c>
      <c r="E1" s="1">
        <f t="shared" si="0"/>
        <v>0</v>
      </c>
      <c r="F1" s="1">
        <f t="shared" si="0"/>
        <v>0</v>
      </c>
      <c r="G1" s="1">
        <f t="shared" si="0"/>
        <v>0</v>
      </c>
      <c r="H1" s="1">
        <f t="shared" si="0"/>
        <v>0</v>
      </c>
    </row>
    <row r="2" spans="1:8">
      <c r="A2">
        <v>20240418</v>
      </c>
      <c r="B2" t="s">
        <v>548</v>
      </c>
    </row>
    <row r="3" spans="1:8">
      <c r="C3" t="s">
        <v>549</v>
      </c>
    </row>
    <row r="4" spans="1:8">
      <c r="C4" t="s">
        <v>550</v>
      </c>
    </row>
    <row r="5" spans="1:8">
      <c r="C5" t="s">
        <v>551</v>
      </c>
    </row>
    <row r="6" spans="1:8">
      <c r="C6" t="s">
        <v>552</v>
      </c>
    </row>
    <row r="7" spans="1:8">
      <c r="B7" t="s">
        <v>553</v>
      </c>
    </row>
    <row r="8" spans="1:8">
      <c r="C8" t="s">
        <v>554</v>
      </c>
    </row>
    <row r="9" spans="1:8">
      <c r="C9" t="s">
        <v>555</v>
      </c>
    </row>
    <row r="10" spans="1:8">
      <c r="C10" t="s">
        <v>556</v>
      </c>
    </row>
    <row r="11" spans="1:8">
      <c r="D11" t="s">
        <v>557</v>
      </c>
    </row>
    <row r="12" spans="1:8">
      <c r="D12" t="s">
        <v>558</v>
      </c>
    </row>
    <row r="13" spans="1:8">
      <c r="B13" t="s">
        <v>559</v>
      </c>
    </row>
    <row r="14" spans="1:8">
      <c r="C14" t="s">
        <v>560</v>
      </c>
    </row>
    <row r="15" spans="1:8">
      <c r="D15" t="s">
        <v>561</v>
      </c>
    </row>
    <row r="16" spans="1:8">
      <c r="D16" t="s">
        <v>562</v>
      </c>
    </row>
    <row r="17" spans="2:3">
      <c r="C17" t="s">
        <v>563</v>
      </c>
    </row>
    <row r="18" spans="2:3">
      <c r="C18" t="s">
        <v>564</v>
      </c>
    </row>
    <row r="19" spans="2:3">
      <c r="C19" t="s">
        <v>565</v>
      </c>
    </row>
    <row r="20" spans="2:3">
      <c r="C20" t="s">
        <v>566</v>
      </c>
    </row>
    <row r="21" spans="2:3">
      <c r="B21" t="s">
        <v>567</v>
      </c>
    </row>
    <row r="22" spans="2:3">
      <c r="B22" t="s">
        <v>568</v>
      </c>
    </row>
    <row r="23" spans="2:3">
      <c r="B23" t="s">
        <v>569</v>
      </c>
    </row>
  </sheetData>
  <pageMargins left="0.75" right="0.75" top="1" bottom="1" header="0.5" footer="0.5"/>
  <pageSetup paperSize="9" orientation="portrait"/>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6"/>
  <sheetViews>
    <sheetView topLeftCell="A19" workbookViewId="0">
      <selection activeCell="L29" sqref="L29"/>
    </sheetView>
  </sheetViews>
  <sheetFormatPr defaultColWidth="8.88888888888889" defaultRowHeight="14.4" outlineLevelCol="7"/>
  <cols>
    <col min="1" max="1" width="9.66666666666667"/>
  </cols>
  <sheetData>
    <row r="1" s="1" customFormat="1" spans="1:8">
      <c r="A1" s="1">
        <f>SUM(B1:AZ1)</f>
        <v>10.4166666666667</v>
      </c>
      <c r="B1" s="1">
        <f t="shared" ref="B1:H1" si="0">COUNTA(B2:B2049)/COLUMN()</f>
        <v>3</v>
      </c>
      <c r="C1" s="1">
        <f t="shared" si="0"/>
        <v>3.33333333333333</v>
      </c>
      <c r="D1" s="1">
        <f t="shared" si="0"/>
        <v>1.75</v>
      </c>
      <c r="E1" s="1">
        <f t="shared" si="0"/>
        <v>2</v>
      </c>
      <c r="F1" s="1">
        <f t="shared" si="0"/>
        <v>0.333333333333333</v>
      </c>
      <c r="G1" s="1">
        <f t="shared" si="0"/>
        <v>0</v>
      </c>
      <c r="H1" s="1">
        <f t="shared" si="0"/>
        <v>0</v>
      </c>
    </row>
    <row r="2" spans="1:8">
      <c r="A2">
        <v>20240420</v>
      </c>
      <c r="B2" t="s">
        <v>570</v>
      </c>
    </row>
    <row r="3" spans="1:8">
      <c r="C3" t="s">
        <v>571</v>
      </c>
    </row>
    <row r="4" spans="1:8">
      <c r="C4" t="s">
        <v>572</v>
      </c>
    </row>
    <row r="5" spans="1:8">
      <c r="B5" t="s">
        <v>573</v>
      </c>
    </row>
    <row r="6" spans="1:8">
      <c r="C6" t="s">
        <v>574</v>
      </c>
    </row>
    <row r="7" spans="1:8">
      <c r="B7" t="s">
        <v>575</v>
      </c>
    </row>
    <row r="8" spans="1:8">
      <c r="B8" t="s">
        <v>576</v>
      </c>
    </row>
    <row r="9" spans="1:8">
      <c r="C9" t="s">
        <v>577</v>
      </c>
    </row>
    <row r="10" spans="1:8">
      <c r="D10" t="s">
        <v>578</v>
      </c>
    </row>
    <row r="11" spans="1:8">
      <c r="C11" t="s">
        <v>579</v>
      </c>
    </row>
    <row r="12" spans="1:8">
      <c r="C12" t="s">
        <v>580</v>
      </c>
    </row>
    <row r="13" spans="1:8">
      <c r="D13" t="s">
        <v>581</v>
      </c>
    </row>
    <row r="14" spans="1:8">
      <c r="D14" t="s">
        <v>582</v>
      </c>
    </row>
    <row r="15" spans="1:8">
      <c r="B15" t="s">
        <v>583</v>
      </c>
    </row>
    <row r="16" spans="1:8">
      <c r="C16" t="s">
        <v>584</v>
      </c>
    </row>
    <row r="17" spans="2:6">
      <c r="D17" t="s">
        <v>585</v>
      </c>
    </row>
    <row r="18" spans="2:6">
      <c r="E18" t="s">
        <v>586</v>
      </c>
    </row>
    <row r="19" spans="2:6">
      <c r="E19" t="s">
        <v>587</v>
      </c>
    </row>
    <row r="20" spans="2:6">
      <c r="D20" t="s">
        <v>588</v>
      </c>
    </row>
    <row r="21" spans="2:6">
      <c r="E21" t="s">
        <v>589</v>
      </c>
    </row>
    <row r="22" spans="2:6">
      <c r="E22" t="s">
        <v>590</v>
      </c>
    </row>
    <row r="23" spans="2:6">
      <c r="E23" t="s">
        <v>591</v>
      </c>
    </row>
    <row r="24" spans="2:6">
      <c r="E24" t="s">
        <v>592</v>
      </c>
    </row>
    <row r="25" spans="2:6">
      <c r="B25" t="s">
        <v>593</v>
      </c>
    </row>
    <row r="26" spans="2:6">
      <c r="C26" t="s">
        <v>594</v>
      </c>
    </row>
    <row r="27" spans="2:6">
      <c r="C27" t="s">
        <v>595</v>
      </c>
    </row>
    <row r="28" spans="2:6">
      <c r="C28" t="s">
        <v>596</v>
      </c>
    </row>
    <row r="29" spans="2:6">
      <c r="D29" t="s">
        <v>597</v>
      </c>
    </row>
    <row r="30" spans="2:6">
      <c r="E30" t="s">
        <v>598</v>
      </c>
    </row>
    <row r="31" spans="2:6">
      <c r="F31" t="s">
        <v>599</v>
      </c>
    </row>
    <row r="32" spans="2:6">
      <c r="E32" t="s">
        <v>600</v>
      </c>
    </row>
    <row r="33" spans="4:6">
      <c r="D33" t="s">
        <v>601</v>
      </c>
    </row>
    <row r="34" spans="4:6">
      <c r="E34" t="s">
        <v>602</v>
      </c>
    </row>
    <row r="35" spans="4:6">
      <c r="E35" t="s">
        <v>603</v>
      </c>
    </row>
    <row r="36" spans="4:6">
      <c r="F36" t="s">
        <v>604</v>
      </c>
    </row>
  </sheetData>
  <pageMargins left="0.75" right="0.75" top="1" bottom="1" header="0.5" footer="0.5"/>
  <pageSetup paperSize="9" orientation="portrait"/>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0"/>
  <sheetViews>
    <sheetView topLeftCell="A13" workbookViewId="0">
      <selection activeCell="B33" sqref="B33"/>
    </sheetView>
  </sheetViews>
  <sheetFormatPr defaultColWidth="8.88888888888889" defaultRowHeight="14.4" outlineLevelCol="7"/>
  <cols>
    <col min="1" max="1" width="9.66666666666667"/>
  </cols>
  <sheetData>
    <row r="1" s="1" customFormat="1" spans="1:8">
      <c r="A1" s="1">
        <f>SUM(B1:AZ1)</f>
        <v>15</v>
      </c>
      <c r="B1" s="1">
        <f t="shared" ref="B1:H1" si="0">COUNTA(B2:B2052)/COLUMN()</f>
        <v>3</v>
      </c>
      <c r="C1" s="1">
        <f t="shared" si="0"/>
        <v>6</v>
      </c>
      <c r="D1" s="1">
        <f t="shared" si="0"/>
        <v>5</v>
      </c>
      <c r="E1" s="1">
        <f t="shared" si="0"/>
        <v>1</v>
      </c>
      <c r="F1" s="1">
        <f t="shared" si="0"/>
        <v>0</v>
      </c>
      <c r="G1" s="1">
        <f t="shared" si="0"/>
        <v>0</v>
      </c>
      <c r="H1" s="1">
        <f t="shared" si="0"/>
        <v>0</v>
      </c>
    </row>
    <row r="2" spans="1:8">
      <c r="A2">
        <v>20240421</v>
      </c>
      <c r="B2" t="s">
        <v>605</v>
      </c>
    </row>
    <row r="3" spans="1:8">
      <c r="C3" t="s">
        <v>606</v>
      </c>
    </row>
    <row r="4" spans="1:8">
      <c r="C4" t="s">
        <v>607</v>
      </c>
    </row>
    <row r="5" spans="1:8">
      <c r="C5" t="s">
        <v>608</v>
      </c>
    </row>
    <row r="6" spans="1:8">
      <c r="C6" t="s">
        <v>609</v>
      </c>
    </row>
    <row r="7" spans="1:8">
      <c r="B7" t="s">
        <v>610</v>
      </c>
    </row>
    <row r="8" spans="1:8">
      <c r="C8" t="s">
        <v>611</v>
      </c>
    </row>
    <row r="9" spans="1:8">
      <c r="C9" t="s">
        <v>612</v>
      </c>
    </row>
    <row r="10" spans="1:8">
      <c r="C10" t="s">
        <v>613</v>
      </c>
    </row>
    <row r="11" spans="1:8">
      <c r="B11" t="s">
        <v>614</v>
      </c>
    </row>
    <row r="12" spans="1:8">
      <c r="C12" t="s">
        <v>615</v>
      </c>
    </row>
    <row r="13" spans="1:8">
      <c r="C13" t="s">
        <v>616</v>
      </c>
    </row>
    <row r="14" spans="1:8">
      <c r="C14" t="s">
        <v>617</v>
      </c>
    </row>
    <row r="15" spans="1:8">
      <c r="D15" t="s">
        <v>618</v>
      </c>
    </row>
    <row r="16" spans="1:8">
      <c r="D16" t="s">
        <v>619</v>
      </c>
    </row>
    <row r="17" spans="2:5">
      <c r="D17" t="s">
        <v>620</v>
      </c>
    </row>
    <row r="18" spans="2:5">
      <c r="E18" t="s">
        <v>621</v>
      </c>
    </row>
    <row r="19" spans="2:5">
      <c r="D19" t="s">
        <v>622</v>
      </c>
    </row>
    <row r="20" spans="2:5">
      <c r="C20" t="s">
        <v>623</v>
      </c>
    </row>
    <row r="21" spans="2:5">
      <c r="D21" t="s">
        <v>624</v>
      </c>
    </row>
    <row r="22" spans="2:5">
      <c r="D22" t="s">
        <v>625</v>
      </c>
    </row>
    <row r="23" spans="2:5">
      <c r="D23" t="s">
        <v>626</v>
      </c>
    </row>
    <row r="24" spans="2:5">
      <c r="E24" t="s">
        <v>627</v>
      </c>
    </row>
    <row r="25" spans="2:5">
      <c r="C25" t="s">
        <v>628</v>
      </c>
    </row>
    <row r="26" spans="2:5">
      <c r="D26" t="s">
        <v>624</v>
      </c>
    </row>
    <row r="27" spans="2:5">
      <c r="D27" t="s">
        <v>625</v>
      </c>
    </row>
    <row r="28" spans="2:5">
      <c r="D28" t="s">
        <v>629</v>
      </c>
    </row>
    <row r="29" spans="2:5">
      <c r="E29" t="s">
        <v>630</v>
      </c>
    </row>
    <row r="30" spans="2:5">
      <c r="C30" t="s">
        <v>631</v>
      </c>
    </row>
    <row r="31" spans="2:5">
      <c r="D31" t="s">
        <v>632</v>
      </c>
    </row>
    <row r="32" spans="2:5">
      <c r="B32" t="s">
        <v>633</v>
      </c>
    </row>
    <row r="33" spans="2:5">
      <c r="B33" t="s">
        <v>634</v>
      </c>
    </row>
    <row r="34" spans="2:5">
      <c r="C34" t="s">
        <v>635</v>
      </c>
    </row>
    <row r="35" spans="2:5">
      <c r="C35" t="s">
        <v>636</v>
      </c>
    </row>
    <row r="36" spans="2:5">
      <c r="B36" t="s">
        <v>637</v>
      </c>
    </row>
    <row r="37" spans="2:5">
      <c r="C37" t="s">
        <v>638</v>
      </c>
    </row>
    <row r="38" spans="2:5">
      <c r="C38" t="s">
        <v>639</v>
      </c>
    </row>
    <row r="39" spans="2:5">
      <c r="D39" t="s">
        <v>640</v>
      </c>
    </row>
    <row r="40" spans="2:5">
      <c r="D40" t="s">
        <v>641</v>
      </c>
    </row>
    <row r="41" spans="2:5">
      <c r="C41" t="s">
        <v>642</v>
      </c>
    </row>
    <row r="42" spans="2:5">
      <c r="D42" t="s">
        <v>643</v>
      </c>
    </row>
    <row r="43" spans="2:5">
      <c r="D43" t="s">
        <v>644</v>
      </c>
    </row>
    <row r="44" spans="2:5">
      <c r="D44" t="s">
        <v>645</v>
      </c>
    </row>
    <row r="45" spans="2:5">
      <c r="D45" t="s">
        <v>646</v>
      </c>
    </row>
    <row r="46" spans="2:5">
      <c r="E46" t="s">
        <v>647</v>
      </c>
    </row>
    <row r="47" spans="2:5">
      <c r="E47" t="s">
        <v>648</v>
      </c>
    </row>
    <row r="48" spans="2:5">
      <c r="D48" t="s">
        <v>649</v>
      </c>
    </row>
    <row r="49" spans="4:4">
      <c r="D49" t="s">
        <v>650</v>
      </c>
    </row>
    <row r="50" spans="4:4">
      <c r="D50" t="s">
        <v>651</v>
      </c>
    </row>
  </sheetData>
  <pageMargins left="0.75" right="0.75" top="1" bottom="1" header="0.5" footer="0.5"/>
  <pageSetup paperSize="9" orientation="portrait"/>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9"/>
  <sheetViews>
    <sheetView zoomScale="145" zoomScaleNormal="145" topLeftCell="A5" workbookViewId="0">
      <selection activeCell="B23" sqref="B23"/>
    </sheetView>
  </sheetViews>
  <sheetFormatPr defaultColWidth="8.88888888888889" defaultRowHeight="14.4" outlineLevelCol="7"/>
  <cols>
    <col min="1" max="1" width="9.66666666666667"/>
  </cols>
  <sheetData>
    <row r="1" s="1" customFormat="1" spans="1:8">
      <c r="A1" s="1">
        <f>SUM(B1:AZ1)</f>
        <v>12.0333333333333</v>
      </c>
      <c r="B1" s="1">
        <f t="shared" ref="B1:H1" si="0">COUNTA(B2:B2052)/COLUMN()</f>
        <v>3</v>
      </c>
      <c r="C1" s="1">
        <f t="shared" si="0"/>
        <v>5.33333333333333</v>
      </c>
      <c r="D1" s="1">
        <f t="shared" si="0"/>
        <v>2.5</v>
      </c>
      <c r="E1" s="1">
        <f t="shared" si="0"/>
        <v>1.2</v>
      </c>
      <c r="F1" s="1">
        <f t="shared" si="0"/>
        <v>0</v>
      </c>
      <c r="G1" s="1">
        <f t="shared" si="0"/>
        <v>0</v>
      </c>
      <c r="H1" s="1">
        <f t="shared" si="0"/>
        <v>0</v>
      </c>
    </row>
    <row r="2" spans="1:8">
      <c r="A2">
        <v>20240422</v>
      </c>
      <c r="B2" t="s">
        <v>652</v>
      </c>
    </row>
    <row r="3" spans="1:8">
      <c r="C3" t="s">
        <v>653</v>
      </c>
    </row>
    <row r="4" spans="1:8">
      <c r="C4" t="s">
        <v>654</v>
      </c>
    </row>
    <row r="5" spans="1:8">
      <c r="C5" t="s">
        <v>655</v>
      </c>
    </row>
    <row r="6" spans="1:8">
      <c r="C6" t="s">
        <v>656</v>
      </c>
    </row>
    <row r="7" spans="1:8">
      <c r="D7" t="s">
        <v>657</v>
      </c>
    </row>
    <row r="8" spans="1:8">
      <c r="E8" t="s">
        <v>658</v>
      </c>
    </row>
    <row r="9" spans="1:8">
      <c r="E9" t="s">
        <v>659</v>
      </c>
    </row>
    <row r="10" spans="1:8">
      <c r="E10" t="s">
        <v>660</v>
      </c>
    </row>
    <row r="11" spans="1:8">
      <c r="D11" t="s">
        <v>661</v>
      </c>
    </row>
    <row r="12" spans="1:8">
      <c r="E12" t="s">
        <v>662</v>
      </c>
    </row>
    <row r="13" spans="1:8">
      <c r="E13" t="s">
        <v>663</v>
      </c>
    </row>
    <row r="14" spans="1:8">
      <c r="E14" t="s">
        <v>664</v>
      </c>
    </row>
    <row r="15" spans="1:8">
      <c r="C15" t="s">
        <v>665</v>
      </c>
    </row>
    <row r="16" spans="1:8">
      <c r="D16" t="s">
        <v>666</v>
      </c>
    </row>
    <row r="17" spans="2:4">
      <c r="D17" t="s">
        <v>667</v>
      </c>
    </row>
    <row r="18" spans="2:4">
      <c r="D18" t="s">
        <v>668</v>
      </c>
    </row>
    <row r="19" spans="2:4">
      <c r="B19" t="s">
        <v>669</v>
      </c>
    </row>
    <row r="20" spans="2:4">
      <c r="C20" t="s">
        <v>670</v>
      </c>
    </row>
    <row r="21" spans="2:4">
      <c r="C21" t="s">
        <v>671</v>
      </c>
    </row>
    <row r="22" spans="2:4">
      <c r="C22" t="s">
        <v>672</v>
      </c>
    </row>
    <row r="23" spans="2:4">
      <c r="B23" t="s">
        <v>673</v>
      </c>
    </row>
    <row r="24" spans="2:4">
      <c r="C24" t="s">
        <v>674</v>
      </c>
    </row>
    <row r="25" spans="2:4">
      <c r="D25" t="s">
        <v>675</v>
      </c>
    </row>
    <row r="26" spans="2:4">
      <c r="D26" t="s">
        <v>676</v>
      </c>
    </row>
    <row r="27" spans="2:4">
      <c r="C27" t="s">
        <v>677</v>
      </c>
    </row>
    <row r="28" spans="2:4">
      <c r="B28" t="s">
        <v>678</v>
      </c>
    </row>
    <row r="29" spans="2:4">
      <c r="B29" t="s">
        <v>679</v>
      </c>
    </row>
    <row r="30" spans="2:4">
      <c r="C30" t="s">
        <v>680</v>
      </c>
    </row>
    <row r="31" spans="2:4">
      <c r="C31" t="s">
        <v>681</v>
      </c>
    </row>
    <row r="32" spans="2:4">
      <c r="D32" t="s">
        <v>682</v>
      </c>
    </row>
    <row r="33" spans="2:4">
      <c r="D33" t="s">
        <v>683</v>
      </c>
    </row>
    <row r="34" spans="2:4">
      <c r="D34" t="s">
        <v>684</v>
      </c>
    </row>
    <row r="35" spans="2:4">
      <c r="C35" t="s">
        <v>685</v>
      </c>
    </row>
    <row r="36" spans="2:4">
      <c r="B36" t="s">
        <v>686</v>
      </c>
    </row>
    <row r="37" spans="2:4">
      <c r="C37" t="s">
        <v>687</v>
      </c>
    </row>
    <row r="38" spans="2:4">
      <c r="C38" t="s">
        <v>688</v>
      </c>
    </row>
    <row r="39" spans="2:4">
      <c r="C39" t="s">
        <v>689</v>
      </c>
    </row>
  </sheetData>
  <pageMargins left="0.75" right="0.75" top="1" bottom="1" header="0.5" footer="0.5"/>
  <pageSetup paperSize="9" orientation="portrait"/>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9"/>
  <sheetViews>
    <sheetView topLeftCell="A4" workbookViewId="0">
      <selection activeCell="B17" sqref="B17"/>
    </sheetView>
  </sheetViews>
  <sheetFormatPr defaultColWidth="8.88888888888889" defaultRowHeight="14.4" outlineLevelCol="7"/>
  <cols>
    <col min="1" max="1" width="9.66666666666667"/>
  </cols>
  <sheetData>
    <row r="1" s="1" customFormat="1" spans="1:8">
      <c r="A1" s="1">
        <f>SUM(B1:AZ1)</f>
        <v>7.45952380952381</v>
      </c>
      <c r="B1" s="1">
        <f t="shared" ref="B1:H1" si="0">COUNTA(B2:B2053)/COLUMN()</f>
        <v>1.5</v>
      </c>
      <c r="C1" s="1">
        <f t="shared" si="0"/>
        <v>2</v>
      </c>
      <c r="D1" s="1">
        <f t="shared" si="0"/>
        <v>1.75</v>
      </c>
      <c r="E1" s="1">
        <f t="shared" si="0"/>
        <v>1.4</v>
      </c>
      <c r="F1" s="1">
        <f t="shared" si="0"/>
        <v>0.666666666666667</v>
      </c>
      <c r="G1" s="1">
        <f t="shared" si="0"/>
        <v>0.142857142857143</v>
      </c>
      <c r="H1" s="1">
        <f t="shared" si="0"/>
        <v>0</v>
      </c>
    </row>
    <row r="2" spans="1:8">
      <c r="A2">
        <v>20240423</v>
      </c>
      <c r="B2" t="s">
        <v>690</v>
      </c>
    </row>
    <row r="3" spans="1:8">
      <c r="C3" t="s">
        <v>691</v>
      </c>
    </row>
    <row r="4" spans="1:8">
      <c r="D4" t="s">
        <v>692</v>
      </c>
    </row>
    <row r="5" spans="1:8">
      <c r="C5" t="s">
        <v>693</v>
      </c>
    </row>
    <row r="6" spans="1:8">
      <c r="D6" t="s">
        <v>694</v>
      </c>
    </row>
    <row r="7" spans="1:8">
      <c r="B7" t="s">
        <v>695</v>
      </c>
    </row>
    <row r="8" spans="1:8">
      <c r="C8" t="s">
        <v>696</v>
      </c>
    </row>
    <row r="9" spans="1:8">
      <c r="C9" t="s">
        <v>697</v>
      </c>
    </row>
    <row r="10" spans="1:8">
      <c r="D10" t="s">
        <v>698</v>
      </c>
    </row>
    <row r="11" spans="1:8">
      <c r="D11" t="s">
        <v>699</v>
      </c>
    </row>
    <row r="12" spans="1:8">
      <c r="E12" t="s">
        <v>700</v>
      </c>
    </row>
    <row r="13" spans="1:8">
      <c r="E13" t="s">
        <v>701</v>
      </c>
    </row>
    <row r="14" spans="1:8">
      <c r="F14" t="s">
        <v>702</v>
      </c>
    </row>
    <row r="15" spans="1:8">
      <c r="F15" t="s">
        <v>703</v>
      </c>
    </row>
    <row r="16" spans="1:8">
      <c r="G16" t="s">
        <v>704</v>
      </c>
    </row>
    <row r="17" spans="2:6">
      <c r="B17" t="s">
        <v>705</v>
      </c>
    </row>
    <row r="18" spans="2:6">
      <c r="C18" t="s">
        <v>706</v>
      </c>
    </row>
    <row r="19" spans="2:6">
      <c r="C19" t="s">
        <v>707</v>
      </c>
    </row>
    <row r="20" spans="2:6">
      <c r="D20" t="s">
        <v>708</v>
      </c>
    </row>
    <row r="21" spans="2:6">
      <c r="D21" t="s">
        <v>709</v>
      </c>
    </row>
    <row r="22" spans="2:6">
      <c r="E22" t="s">
        <v>710</v>
      </c>
    </row>
    <row r="23" spans="2:6">
      <c r="E23" t="s">
        <v>711</v>
      </c>
    </row>
    <row r="24" spans="2:6">
      <c r="E24" t="s">
        <v>712</v>
      </c>
    </row>
    <row r="25" spans="2:6">
      <c r="D25" t="s">
        <v>713</v>
      </c>
    </row>
    <row r="26" spans="2:6">
      <c r="E26" t="s">
        <v>714</v>
      </c>
    </row>
    <row r="27" spans="2:6">
      <c r="F27" t="s">
        <v>715</v>
      </c>
    </row>
    <row r="28" spans="2:6">
      <c r="E28" t="s">
        <v>716</v>
      </c>
    </row>
    <row r="29" spans="2:6">
      <c r="F29" t="s">
        <v>717</v>
      </c>
    </row>
  </sheetData>
  <pageMargins left="0.75" right="0.75" top="1" bottom="1" header="0.5" footer="0.5"/>
  <pageSetup paperSize="9" orientation="portrait"/>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5"/>
  <sheetViews>
    <sheetView workbookViewId="0">
      <selection activeCell="C25" sqref="C25"/>
    </sheetView>
  </sheetViews>
  <sheetFormatPr defaultColWidth="8.88888888888889" defaultRowHeight="14.4" outlineLevelCol="7"/>
  <cols>
    <col min="1" max="1" width="9.66666666666667"/>
  </cols>
  <sheetData>
    <row r="1" s="1" customFormat="1" spans="1:8">
      <c r="A1" s="1">
        <f>SUM(B1:AZ1)</f>
        <v>7.05</v>
      </c>
      <c r="B1" s="1">
        <f t="shared" ref="B1:H1" si="0">COUNTA(B2:B2053)/COLUMN()</f>
        <v>1.5</v>
      </c>
      <c r="C1" s="1">
        <f t="shared" si="0"/>
        <v>2</v>
      </c>
      <c r="D1" s="1">
        <f t="shared" si="0"/>
        <v>2.75</v>
      </c>
      <c r="E1" s="1">
        <f t="shared" si="0"/>
        <v>0.8</v>
      </c>
      <c r="F1" s="1">
        <f t="shared" si="0"/>
        <v>0</v>
      </c>
      <c r="G1" s="1">
        <f t="shared" si="0"/>
        <v>0</v>
      </c>
      <c r="H1" s="1">
        <f t="shared" si="0"/>
        <v>0</v>
      </c>
    </row>
    <row r="2" spans="1:8">
      <c r="A2">
        <v>20240424</v>
      </c>
      <c r="B2" t="s">
        <v>718</v>
      </c>
    </row>
    <row r="3" spans="1:8">
      <c r="B3" t="s">
        <v>719</v>
      </c>
    </row>
    <row r="4" spans="1:8">
      <c r="C4" t="s">
        <v>720</v>
      </c>
    </row>
    <row r="5" spans="1:8">
      <c r="C5" t="s">
        <v>721</v>
      </c>
    </row>
    <row r="6" spans="1:8">
      <c r="B6" t="s">
        <v>722</v>
      </c>
    </row>
    <row r="7" spans="1:8">
      <c r="C7" t="s">
        <v>723</v>
      </c>
    </row>
    <row r="8" spans="1:8">
      <c r="D8" t="s">
        <v>724</v>
      </c>
    </row>
    <row r="9" spans="1:8">
      <c r="D9" t="s">
        <v>725</v>
      </c>
    </row>
    <row r="10" spans="1:8">
      <c r="D10" t="s">
        <v>726</v>
      </c>
    </row>
    <row r="11" spans="1:8">
      <c r="D11" t="s">
        <v>727</v>
      </c>
    </row>
    <row r="12" spans="1:8">
      <c r="D12" t="s">
        <v>728</v>
      </c>
    </row>
    <row r="13" spans="1:8">
      <c r="C13" t="s">
        <v>729</v>
      </c>
    </row>
    <row r="14" spans="1:8">
      <c r="D14" t="s">
        <v>730</v>
      </c>
    </row>
    <row r="15" spans="1:8">
      <c r="D15" t="s">
        <v>731</v>
      </c>
    </row>
    <row r="16" spans="1:8">
      <c r="D16" t="s">
        <v>732</v>
      </c>
    </row>
    <row r="17" spans="3:5">
      <c r="D17" t="s">
        <v>733</v>
      </c>
    </row>
    <row r="18" spans="3:5">
      <c r="C18" t="s">
        <v>734</v>
      </c>
    </row>
    <row r="19" spans="3:5">
      <c r="D19" t="s">
        <v>735</v>
      </c>
    </row>
    <row r="20" spans="3:5">
      <c r="D20" t="s">
        <v>736</v>
      </c>
    </row>
    <row r="21" spans="3:5">
      <c r="E21" t="s">
        <v>737</v>
      </c>
    </row>
    <row r="22" spans="3:5">
      <c r="E22" t="s">
        <v>738</v>
      </c>
    </row>
    <row r="23" spans="3:5">
      <c r="E23" t="s">
        <v>739</v>
      </c>
    </row>
    <row r="24" spans="3:5">
      <c r="E24" t="s">
        <v>740</v>
      </c>
    </row>
    <row r="25" spans="3:5">
      <c r="C25" t="s">
        <v>741</v>
      </c>
    </row>
  </sheetData>
  <pageMargins left="0.75" right="0.75" top="1" bottom="1" header="0.5" footer="0.5"/>
  <pageSetup paperSize="9" orientation="portrait"/>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8"/>
  <sheetViews>
    <sheetView topLeftCell="A58" workbookViewId="0">
      <selection activeCell="B75" sqref="B75"/>
    </sheetView>
  </sheetViews>
  <sheetFormatPr defaultColWidth="8.88888888888889" defaultRowHeight="14.4" outlineLevelCol="7"/>
  <cols>
    <col min="1" max="1" width="9.66666666666667"/>
  </cols>
  <sheetData>
    <row r="1" s="1" customFormat="1" spans="1:8">
      <c r="A1" s="1">
        <f>SUM(B1:AZ1)</f>
        <v>23.5</v>
      </c>
      <c r="B1" s="1">
        <f t="shared" ref="B1:H1" si="0">COUNTA(B2:B2052)/COLUMN()</f>
        <v>4.5</v>
      </c>
      <c r="C1" s="1">
        <f t="shared" si="0"/>
        <v>10.3333333333333</v>
      </c>
      <c r="D1" s="1">
        <f t="shared" si="0"/>
        <v>7</v>
      </c>
      <c r="E1" s="1">
        <f t="shared" si="0"/>
        <v>1</v>
      </c>
      <c r="F1" s="1">
        <f t="shared" si="0"/>
        <v>0.666666666666667</v>
      </c>
      <c r="G1" s="1">
        <f t="shared" si="0"/>
        <v>0</v>
      </c>
      <c r="H1" s="1">
        <f t="shared" si="0"/>
        <v>0</v>
      </c>
    </row>
    <row r="2" spans="1:8">
      <c r="A2">
        <v>20240425</v>
      </c>
      <c r="B2" t="s">
        <v>742</v>
      </c>
    </row>
    <row r="3" spans="1:8">
      <c r="C3" t="s">
        <v>743</v>
      </c>
    </row>
    <row r="4" spans="1:8">
      <c r="C4" t="s">
        <v>744</v>
      </c>
    </row>
    <row r="5" spans="1:8">
      <c r="C5" t="s">
        <v>745</v>
      </c>
    </row>
    <row r="6" spans="1:8">
      <c r="C6" t="s">
        <v>746</v>
      </c>
    </row>
    <row r="7" spans="1:8">
      <c r="C7" t="s">
        <v>747</v>
      </c>
    </row>
    <row r="8" spans="1:8">
      <c r="C8" t="s">
        <v>748</v>
      </c>
    </row>
    <row r="9" spans="1:8">
      <c r="B9" t="s">
        <v>749</v>
      </c>
    </row>
    <row r="10" spans="1:8">
      <c r="C10" t="s">
        <v>750</v>
      </c>
    </row>
    <row r="11" spans="1:8">
      <c r="C11" t="s">
        <v>751</v>
      </c>
    </row>
    <row r="12" spans="1:8">
      <c r="C12" t="s">
        <v>752</v>
      </c>
    </row>
    <row r="13" spans="1:8">
      <c r="D13" t="s">
        <v>753</v>
      </c>
    </row>
    <row r="14" spans="1:8">
      <c r="D14" t="s">
        <v>754</v>
      </c>
    </row>
    <row r="15" spans="1:8">
      <c r="D15" t="s">
        <v>755</v>
      </c>
    </row>
    <row r="16" spans="1:8">
      <c r="D16" t="s">
        <v>756</v>
      </c>
    </row>
    <row r="17" spans="2:5">
      <c r="B17" t="s">
        <v>757</v>
      </c>
    </row>
    <row r="18" spans="2:5">
      <c r="C18" t="s">
        <v>758</v>
      </c>
    </row>
    <row r="19" spans="2:5">
      <c r="D19" t="s">
        <v>759</v>
      </c>
    </row>
    <row r="20" spans="2:5">
      <c r="D20" t="s">
        <v>760</v>
      </c>
    </row>
    <row r="21" spans="2:5">
      <c r="D21" t="s">
        <v>761</v>
      </c>
    </row>
    <row r="22" spans="2:5">
      <c r="C22" t="s">
        <v>762</v>
      </c>
    </row>
    <row r="23" spans="2:5">
      <c r="D23" t="s">
        <v>763</v>
      </c>
    </row>
    <row r="24" spans="2:5">
      <c r="D24" t="s">
        <v>764</v>
      </c>
    </row>
    <row r="25" spans="2:5">
      <c r="D25" t="s">
        <v>765</v>
      </c>
    </row>
    <row r="26" spans="2:5">
      <c r="B26" t="s">
        <v>766</v>
      </c>
    </row>
    <row r="27" spans="2:5">
      <c r="C27" t="s">
        <v>767</v>
      </c>
    </row>
    <row r="28" spans="2:5">
      <c r="D28" t="s">
        <v>768</v>
      </c>
    </row>
    <row r="29" spans="2:5">
      <c r="D29" t="s">
        <v>769</v>
      </c>
    </row>
    <row r="30" spans="2:5">
      <c r="D30" t="s">
        <v>770</v>
      </c>
    </row>
    <row r="31" spans="2:5">
      <c r="E31" t="s">
        <v>771</v>
      </c>
    </row>
    <row r="32" spans="2:5">
      <c r="C32" t="s">
        <v>772</v>
      </c>
    </row>
    <row r="33" spans="2:6">
      <c r="D33" t="s">
        <v>773</v>
      </c>
    </row>
    <row r="34" spans="2:6">
      <c r="D34" t="s">
        <v>774</v>
      </c>
    </row>
    <row r="35" spans="2:6">
      <c r="D35" t="s">
        <v>775</v>
      </c>
    </row>
    <row r="36" spans="2:6">
      <c r="B36" t="s">
        <v>776</v>
      </c>
    </row>
    <row r="37" spans="2:6">
      <c r="C37" t="s">
        <v>777</v>
      </c>
    </row>
    <row r="38" spans="2:6">
      <c r="D38" t="s">
        <v>778</v>
      </c>
    </row>
    <row r="39" spans="2:6">
      <c r="D39" t="s">
        <v>769</v>
      </c>
    </row>
    <row r="40" spans="2:6">
      <c r="D40" t="s">
        <v>779</v>
      </c>
    </row>
    <row r="41" spans="2:6">
      <c r="E41" t="s">
        <v>780</v>
      </c>
    </row>
    <row r="42" spans="2:6">
      <c r="E42" t="s">
        <v>781</v>
      </c>
    </row>
    <row r="43" spans="2:6">
      <c r="E43" t="s">
        <v>782</v>
      </c>
    </row>
    <row r="44" spans="2:6">
      <c r="F44" t="s">
        <v>783</v>
      </c>
    </row>
    <row r="45" spans="2:6">
      <c r="F45" t="s">
        <v>784</v>
      </c>
    </row>
    <row r="46" spans="2:6">
      <c r="F46" t="s">
        <v>785</v>
      </c>
    </row>
    <row r="47" spans="2:6">
      <c r="F47" t="s">
        <v>786</v>
      </c>
    </row>
    <row r="48" spans="2:6">
      <c r="E48" t="s">
        <v>787</v>
      </c>
    </row>
    <row r="49" spans="2:4">
      <c r="B49" t="s">
        <v>788</v>
      </c>
    </row>
    <row r="50" spans="2:4">
      <c r="C50" t="s">
        <v>789</v>
      </c>
    </row>
    <row r="51" spans="2:4">
      <c r="C51" t="s">
        <v>790</v>
      </c>
    </row>
    <row r="52" spans="2:4">
      <c r="D52" t="s">
        <v>791</v>
      </c>
    </row>
    <row r="53" spans="2:4">
      <c r="D53" t="s">
        <v>792</v>
      </c>
    </row>
    <row r="54" spans="2:4">
      <c r="D54" t="s">
        <v>793</v>
      </c>
    </row>
    <row r="55" spans="2:4">
      <c r="C55" t="s">
        <v>794</v>
      </c>
    </row>
    <row r="56" spans="2:4">
      <c r="C56" t="s">
        <v>795</v>
      </c>
    </row>
    <row r="57" spans="2:4">
      <c r="D57" t="s">
        <v>796</v>
      </c>
    </row>
    <row r="58" spans="2:4">
      <c r="D58" t="s">
        <v>797</v>
      </c>
    </row>
    <row r="59" spans="2:4">
      <c r="D59" t="s">
        <v>798</v>
      </c>
    </row>
    <row r="60" spans="2:4">
      <c r="D60" t="s">
        <v>799</v>
      </c>
    </row>
    <row r="61" spans="2:4">
      <c r="B61" t="s">
        <v>800</v>
      </c>
    </row>
    <row r="62" spans="2:4">
      <c r="C62" t="s">
        <v>801</v>
      </c>
    </row>
    <row r="63" spans="2:4">
      <c r="C63" t="s">
        <v>802</v>
      </c>
    </row>
    <row r="64" spans="2:4">
      <c r="C64" t="s">
        <v>803</v>
      </c>
    </row>
    <row r="65" spans="2:4">
      <c r="C65" t="s">
        <v>804</v>
      </c>
    </row>
    <row r="66" spans="2:4">
      <c r="C66" t="s">
        <v>805</v>
      </c>
    </row>
    <row r="67" spans="2:4">
      <c r="C67" t="s">
        <v>806</v>
      </c>
    </row>
    <row r="68" spans="2:4">
      <c r="C68" t="s">
        <v>807</v>
      </c>
    </row>
    <row r="69" spans="2:4">
      <c r="B69" t="s">
        <v>808</v>
      </c>
    </row>
    <row r="70" spans="2:4">
      <c r="C70" t="s">
        <v>809</v>
      </c>
    </row>
    <row r="71" spans="2:4">
      <c r="C71" t="s">
        <v>810</v>
      </c>
    </row>
    <row r="72" spans="2:4">
      <c r="C72" t="s">
        <v>811</v>
      </c>
    </row>
    <row r="73" spans="2:4">
      <c r="D73" t="s">
        <v>812</v>
      </c>
    </row>
    <row r="74" spans="2:4">
      <c r="D74" t="s">
        <v>813</v>
      </c>
    </row>
    <row r="75" spans="2:4">
      <c r="B75" s="6" t="s">
        <v>814</v>
      </c>
    </row>
    <row r="76" spans="2:4">
      <c r="C76" t="s">
        <v>815</v>
      </c>
    </row>
    <row r="77" spans="2:4">
      <c r="C77" t="s">
        <v>816</v>
      </c>
    </row>
    <row r="78" spans="2:4">
      <c r="C78" t="s">
        <v>817</v>
      </c>
    </row>
  </sheetData>
  <pageMargins left="0.75" right="0.75" top="1" bottom="1" header="0.5" footer="0.5"/>
  <pageSetup paperSize="9" orientation="portrait"/>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47"/>
  <sheetViews>
    <sheetView topLeftCell="A39" workbookViewId="0">
      <selection activeCell="C45" sqref="C45"/>
    </sheetView>
  </sheetViews>
  <sheetFormatPr defaultColWidth="8.88888888888889" defaultRowHeight="14.4" outlineLevelCol="7"/>
  <cols>
    <col min="1" max="1" width="9.66666666666667"/>
  </cols>
  <sheetData>
    <row r="1" s="1" customFormat="1" spans="1:8">
      <c r="A1" s="1">
        <f>SUM(B1:AZ1)</f>
        <v>46.05</v>
      </c>
      <c r="B1" s="1">
        <f t="shared" ref="B1:H1" si="0">COUNTA(B2:B2057)/COLUMN()</f>
        <v>9</v>
      </c>
      <c r="C1" s="1">
        <f t="shared" si="0"/>
        <v>21</v>
      </c>
      <c r="D1" s="1">
        <f t="shared" si="0"/>
        <v>15.25</v>
      </c>
      <c r="E1" s="1">
        <f t="shared" si="0"/>
        <v>0.8</v>
      </c>
      <c r="F1" s="1">
        <f t="shared" si="0"/>
        <v>0</v>
      </c>
      <c r="G1" s="1">
        <f t="shared" si="0"/>
        <v>0</v>
      </c>
      <c r="H1" s="1">
        <f t="shared" si="0"/>
        <v>0</v>
      </c>
    </row>
    <row r="2" spans="1:8">
      <c r="A2">
        <v>20240426</v>
      </c>
      <c r="B2" t="s">
        <v>818</v>
      </c>
    </row>
    <row r="3" spans="1:8">
      <c r="C3" s="5" t="s">
        <v>819</v>
      </c>
    </row>
    <row r="4" spans="1:8">
      <c r="C4" s="5" t="s">
        <v>820</v>
      </c>
    </row>
    <row r="5" spans="1:8">
      <c r="C5" s="5" t="s">
        <v>821</v>
      </c>
    </row>
    <row r="6" spans="1:8">
      <c r="C6" t="s">
        <v>822</v>
      </c>
    </row>
    <row r="7" spans="1:8">
      <c r="B7" t="s">
        <v>823</v>
      </c>
    </row>
    <row r="8" spans="1:8">
      <c r="C8" t="s">
        <v>824</v>
      </c>
    </row>
    <row r="9" spans="1:8">
      <c r="C9" t="s">
        <v>825</v>
      </c>
    </row>
    <row r="10" spans="1:8">
      <c r="C10" s="5" t="s">
        <v>826</v>
      </c>
    </row>
    <row r="11" spans="1:8">
      <c r="C11" t="s">
        <v>827</v>
      </c>
    </row>
    <row r="12" spans="1:8">
      <c r="B12" t="s">
        <v>828</v>
      </c>
    </row>
    <row r="13" spans="1:8">
      <c r="C13" t="s">
        <v>829</v>
      </c>
    </row>
    <row r="14" spans="1:8">
      <c r="C14" s="5" t="s">
        <v>830</v>
      </c>
    </row>
    <row r="15" spans="1:8">
      <c r="C15" s="5" t="s">
        <v>831</v>
      </c>
    </row>
    <row r="16" spans="1:8">
      <c r="C16" s="5" t="s">
        <v>832</v>
      </c>
    </row>
    <row r="17" spans="2:4">
      <c r="B17" t="s">
        <v>833</v>
      </c>
      <c r="C17" s="5"/>
    </row>
    <row r="18" spans="2:4">
      <c r="C18" t="s">
        <v>834</v>
      </c>
    </row>
    <row r="19" spans="2:4">
      <c r="C19" s="5" t="s">
        <v>835</v>
      </c>
    </row>
    <row r="20" spans="2:4">
      <c r="C20" t="s">
        <v>836</v>
      </c>
    </row>
    <row r="21" spans="2:4">
      <c r="C21" s="5" t="s">
        <v>837</v>
      </c>
    </row>
    <row r="22" spans="2:4">
      <c r="B22" t="s">
        <v>838</v>
      </c>
    </row>
    <row r="23" spans="2:4">
      <c r="C23" t="s">
        <v>839</v>
      </c>
    </row>
    <row r="24" spans="2:4">
      <c r="C24" t="s">
        <v>840</v>
      </c>
    </row>
    <row r="25" spans="2:4">
      <c r="C25" t="s">
        <v>841</v>
      </c>
    </row>
    <row r="26" spans="2:4">
      <c r="D26" t="s">
        <v>842</v>
      </c>
    </row>
    <row r="27" spans="2:4">
      <c r="D27" t="s">
        <v>843</v>
      </c>
    </row>
    <row r="28" spans="2:4">
      <c r="C28" t="s">
        <v>844</v>
      </c>
    </row>
    <row r="29" spans="2:4">
      <c r="B29" t="s">
        <v>845</v>
      </c>
    </row>
    <row r="30" spans="2:4">
      <c r="C30" t="s">
        <v>846</v>
      </c>
    </row>
    <row r="31" spans="2:4">
      <c r="D31" t="s">
        <v>847</v>
      </c>
    </row>
    <row r="32" spans="2:4">
      <c r="D32" t="s">
        <v>848</v>
      </c>
    </row>
    <row r="33" spans="2:4">
      <c r="D33" t="s">
        <v>849</v>
      </c>
    </row>
    <row r="34" spans="2:4">
      <c r="C34" t="s">
        <v>850</v>
      </c>
    </row>
    <row r="35" spans="2:4">
      <c r="D35" t="s">
        <v>851</v>
      </c>
    </row>
    <row r="36" spans="2:4">
      <c r="D36" t="s">
        <v>852</v>
      </c>
    </row>
    <row r="37" spans="2:4">
      <c r="C37" t="s">
        <v>853</v>
      </c>
    </row>
    <row r="38" spans="2:4">
      <c r="C38" t="s">
        <v>854</v>
      </c>
    </row>
    <row r="39" spans="2:4">
      <c r="B39" t="s">
        <v>855</v>
      </c>
    </row>
    <row r="40" spans="2:4">
      <c r="C40" t="s">
        <v>856</v>
      </c>
    </row>
    <row r="41" spans="2:4">
      <c r="D41" t="s">
        <v>857</v>
      </c>
    </row>
    <row r="42" spans="2:4">
      <c r="C42" t="s">
        <v>858</v>
      </c>
    </row>
    <row r="43" spans="2:4">
      <c r="D43" t="s">
        <v>859</v>
      </c>
    </row>
    <row r="44" spans="2:4">
      <c r="C44" t="s">
        <v>860</v>
      </c>
    </row>
    <row r="45" spans="2:4">
      <c r="C45" t="s">
        <v>861</v>
      </c>
    </row>
    <row r="46" spans="2:4">
      <c r="B46" t="s">
        <v>862</v>
      </c>
    </row>
    <row r="47" spans="2:4">
      <c r="C47" t="s">
        <v>863</v>
      </c>
    </row>
    <row r="48" spans="2:4">
      <c r="C48" t="s">
        <v>864</v>
      </c>
    </row>
    <row r="49" spans="2:5">
      <c r="C49" t="s">
        <v>865</v>
      </c>
    </row>
    <row r="50" spans="2:5">
      <c r="C50" t="s">
        <v>866</v>
      </c>
    </row>
    <row r="51" spans="2:5">
      <c r="B51" t="s">
        <v>867</v>
      </c>
    </row>
    <row r="52" spans="2:5">
      <c r="C52" t="s">
        <v>868</v>
      </c>
    </row>
    <row r="53" spans="2:5">
      <c r="D53" t="s">
        <v>869</v>
      </c>
    </row>
    <row r="54" spans="2:5">
      <c r="D54" t="s">
        <v>870</v>
      </c>
    </row>
    <row r="55" spans="2:5">
      <c r="D55" t="s">
        <v>871</v>
      </c>
    </row>
    <row r="56" spans="2:5">
      <c r="C56" t="s">
        <v>872</v>
      </c>
    </row>
    <row r="57" spans="2:5">
      <c r="C57" t="s">
        <v>873</v>
      </c>
    </row>
    <row r="58" spans="2:5">
      <c r="D58" t="s">
        <v>874</v>
      </c>
    </row>
    <row r="59" spans="2:5">
      <c r="C59" t="s">
        <v>875</v>
      </c>
    </row>
    <row r="60" spans="2:5">
      <c r="B60" t="s">
        <v>876</v>
      </c>
    </row>
    <row r="61" spans="2:5">
      <c r="C61" t="s">
        <v>877</v>
      </c>
    </row>
    <row r="62" spans="2:5">
      <c r="D62" t="s">
        <v>878</v>
      </c>
    </row>
    <row r="63" spans="2:5">
      <c r="E63" t="s">
        <v>879</v>
      </c>
    </row>
    <row r="64" spans="2:5">
      <c r="E64" t="s">
        <v>880</v>
      </c>
    </row>
    <row r="65" spans="2:5">
      <c r="D65" t="s">
        <v>881</v>
      </c>
    </row>
    <row r="66" spans="2:5">
      <c r="E66" t="s">
        <v>882</v>
      </c>
    </row>
    <row r="67" spans="2:5">
      <c r="E67" t="s">
        <v>883</v>
      </c>
    </row>
    <row r="68" spans="2:5">
      <c r="C68" t="s">
        <v>884</v>
      </c>
    </row>
    <row r="69" spans="2:5">
      <c r="C69" t="s">
        <v>885</v>
      </c>
    </row>
    <row r="70" spans="2:5">
      <c r="C70" t="s">
        <v>886</v>
      </c>
    </row>
    <row r="71" spans="2:5">
      <c r="B71" t="s">
        <v>887</v>
      </c>
    </row>
    <row r="72" spans="2:5">
      <c r="C72" t="s">
        <v>888</v>
      </c>
    </row>
    <row r="73" spans="2:5">
      <c r="C73" t="s">
        <v>889</v>
      </c>
    </row>
    <row r="74" spans="2:5">
      <c r="D74" t="s">
        <v>890</v>
      </c>
    </row>
    <row r="75" spans="2:5">
      <c r="D75" t="s">
        <v>891</v>
      </c>
    </row>
    <row r="76" spans="2:5">
      <c r="D76" t="s">
        <v>892</v>
      </c>
    </row>
    <row r="77" spans="2:5">
      <c r="C77" t="s">
        <v>893</v>
      </c>
    </row>
    <row r="78" spans="2:5">
      <c r="B78" t="s">
        <v>894</v>
      </c>
    </row>
    <row r="79" spans="2:5">
      <c r="C79" s="5" t="s">
        <v>895</v>
      </c>
    </row>
    <row r="80" spans="2:5">
      <c r="C80" s="5" t="s">
        <v>896</v>
      </c>
    </row>
    <row r="81" spans="2:4">
      <c r="C81" s="5" t="s">
        <v>897</v>
      </c>
    </row>
    <row r="82" spans="2:4">
      <c r="C82" t="s">
        <v>898</v>
      </c>
    </row>
    <row r="83" spans="2:4">
      <c r="D83" s="5" t="s">
        <v>899</v>
      </c>
    </row>
    <row r="84" spans="2:4">
      <c r="D84" t="s">
        <v>900</v>
      </c>
    </row>
    <row r="85" spans="2:4">
      <c r="D85" t="s">
        <v>901</v>
      </c>
    </row>
    <row r="86" spans="2:4">
      <c r="D86" t="s">
        <v>902</v>
      </c>
    </row>
    <row r="87" spans="2:4">
      <c r="D87" t="s">
        <v>903</v>
      </c>
    </row>
    <row r="88" spans="2:4">
      <c r="C88" t="s">
        <v>904</v>
      </c>
    </row>
    <row r="89" spans="2:4">
      <c r="C89" t="s">
        <v>905</v>
      </c>
    </row>
    <row r="90" spans="2:4">
      <c r="C90" t="s">
        <v>906</v>
      </c>
    </row>
    <row r="91" spans="2:4">
      <c r="D91" t="s">
        <v>907</v>
      </c>
    </row>
    <row r="92" spans="2:4">
      <c r="D92" t="s">
        <v>908</v>
      </c>
    </row>
    <row r="93" spans="2:4">
      <c r="D93" t="s">
        <v>909</v>
      </c>
    </row>
    <row r="94" spans="2:4">
      <c r="D94" t="s">
        <v>910</v>
      </c>
    </row>
    <row r="95" spans="2:4">
      <c r="B95" t="s">
        <v>911</v>
      </c>
    </row>
    <row r="96" spans="2:4">
      <c r="C96" t="s">
        <v>912</v>
      </c>
    </row>
    <row r="97" spans="2:4">
      <c r="D97" t="s">
        <v>913</v>
      </c>
    </row>
    <row r="98" spans="2:4">
      <c r="D98" t="s">
        <v>914</v>
      </c>
    </row>
    <row r="99" spans="2:4">
      <c r="B99" t="s">
        <v>915</v>
      </c>
    </row>
    <row r="100" spans="2:4">
      <c r="C100" t="s">
        <v>916</v>
      </c>
    </row>
    <row r="101" spans="2:4">
      <c r="D101" t="s">
        <v>917</v>
      </c>
    </row>
    <row r="102" spans="2:4">
      <c r="D102" t="s">
        <v>918</v>
      </c>
    </row>
    <row r="103" spans="2:4">
      <c r="D103" t="s">
        <v>919</v>
      </c>
    </row>
    <row r="104" spans="2:4">
      <c r="D104" t="s">
        <v>920</v>
      </c>
    </row>
    <row r="105" spans="2:4">
      <c r="D105" t="s">
        <v>921</v>
      </c>
    </row>
    <row r="106" spans="2:4">
      <c r="C106" t="s">
        <v>922</v>
      </c>
    </row>
    <row r="107" spans="2:4">
      <c r="D107" t="s">
        <v>923</v>
      </c>
    </row>
    <row r="108" spans="2:4">
      <c r="D108" t="s">
        <v>924</v>
      </c>
    </row>
    <row r="109" spans="2:4">
      <c r="D109" t="s">
        <v>925</v>
      </c>
    </row>
    <row r="110" spans="2:4">
      <c r="C110" t="s">
        <v>926</v>
      </c>
    </row>
    <row r="111" spans="2:4">
      <c r="D111" t="s">
        <v>927</v>
      </c>
    </row>
    <row r="112" spans="2:4">
      <c r="D112" t="s">
        <v>928</v>
      </c>
    </row>
    <row r="113" spans="2:4">
      <c r="D113" t="s">
        <v>929</v>
      </c>
    </row>
    <row r="114" spans="2:4">
      <c r="D114" t="s">
        <v>930</v>
      </c>
    </row>
    <row r="115" spans="2:4">
      <c r="D115" t="s">
        <v>931</v>
      </c>
    </row>
    <row r="116" spans="2:4">
      <c r="D116" t="s">
        <v>932</v>
      </c>
    </row>
    <row r="117" spans="2:4">
      <c r="C117" t="s">
        <v>933</v>
      </c>
    </row>
    <row r="118" spans="2:4">
      <c r="D118" t="s">
        <v>934</v>
      </c>
    </row>
    <row r="119" spans="2:4">
      <c r="D119" t="s">
        <v>935</v>
      </c>
    </row>
    <row r="120" spans="2:4">
      <c r="D120" t="s">
        <v>936</v>
      </c>
    </row>
    <row r="121" spans="2:4">
      <c r="C121" t="s">
        <v>937</v>
      </c>
    </row>
    <row r="122" spans="2:4">
      <c r="B122" t="s">
        <v>938</v>
      </c>
    </row>
    <row r="123" spans="2:4">
      <c r="C123" t="s">
        <v>939</v>
      </c>
    </row>
    <row r="124" spans="2:4">
      <c r="D124" t="s">
        <v>940</v>
      </c>
    </row>
    <row r="125" spans="2:4">
      <c r="D125" t="s">
        <v>941</v>
      </c>
    </row>
    <row r="126" spans="2:4">
      <c r="D126" t="s">
        <v>942</v>
      </c>
    </row>
    <row r="127" spans="2:4">
      <c r="C127" t="s">
        <v>943</v>
      </c>
    </row>
    <row r="128" spans="2:4">
      <c r="D128" t="s">
        <v>944</v>
      </c>
    </row>
    <row r="129" spans="2:4">
      <c r="D129" t="s">
        <v>945</v>
      </c>
    </row>
    <row r="130" spans="2:4">
      <c r="D130" t="s">
        <v>946</v>
      </c>
    </row>
    <row r="131" spans="2:4">
      <c r="D131" t="s">
        <v>947</v>
      </c>
    </row>
    <row r="132" spans="2:4">
      <c r="D132" t="s">
        <v>948</v>
      </c>
    </row>
    <row r="133" spans="2:4">
      <c r="D133" t="s">
        <v>949</v>
      </c>
    </row>
    <row r="134" spans="2:4">
      <c r="D134" t="s">
        <v>950</v>
      </c>
    </row>
    <row r="135" spans="2:4">
      <c r="C135" t="s">
        <v>951</v>
      </c>
    </row>
    <row r="136" spans="2:4">
      <c r="C136" t="s">
        <v>952</v>
      </c>
    </row>
    <row r="137" spans="2:4">
      <c r="D137" t="s">
        <v>953</v>
      </c>
    </row>
    <row r="138" spans="2:4">
      <c r="D138" t="s">
        <v>954</v>
      </c>
    </row>
    <row r="139" spans="2:4">
      <c r="D139" t="s">
        <v>955</v>
      </c>
    </row>
    <row r="140" spans="2:4">
      <c r="D140" t="s">
        <v>956</v>
      </c>
    </row>
    <row r="141" spans="2:4">
      <c r="D141" t="s">
        <v>957</v>
      </c>
    </row>
    <row r="142" spans="2:4">
      <c r="B142" t="s">
        <v>958</v>
      </c>
    </row>
    <row r="143" spans="2:4">
      <c r="C143" t="s">
        <v>959</v>
      </c>
    </row>
    <row r="144" spans="2:4">
      <c r="B144" t="s">
        <v>960</v>
      </c>
    </row>
    <row r="145" spans="2:3">
      <c r="C145" t="s">
        <v>961</v>
      </c>
    </row>
    <row r="146" spans="2:3">
      <c r="B146" t="s">
        <v>962</v>
      </c>
    </row>
    <row r="147" spans="2:3">
      <c r="C147" t="s">
        <v>963</v>
      </c>
    </row>
  </sheetData>
  <pageMargins left="0.75" right="0.75" top="1" bottom="1" header="0.5" footer="0.5"/>
  <pageSetup paperSize="9" orientation="portrait"/>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8"/>
  <sheetViews>
    <sheetView workbookViewId="0">
      <selection activeCell="B4" sqref="B4"/>
    </sheetView>
  </sheetViews>
  <sheetFormatPr defaultColWidth="8.88888888888889" defaultRowHeight="14.4" outlineLevelRow="7" outlineLevelCol="7"/>
  <cols>
    <col min="1" max="1" width="9.66666666666667"/>
  </cols>
  <sheetData>
    <row r="1" s="1" customFormat="1" spans="1:8">
      <c r="A1" s="1">
        <f>SUM(B1:AZ1)</f>
        <v>2.5</v>
      </c>
      <c r="B1" s="1">
        <f t="shared" ref="B1:H1" si="0">COUNTA(B2:B2058)/COLUMN()</f>
        <v>1</v>
      </c>
      <c r="C1" s="1">
        <f t="shared" si="0"/>
        <v>1</v>
      </c>
      <c r="D1" s="1">
        <f t="shared" si="0"/>
        <v>0.5</v>
      </c>
      <c r="E1" s="1">
        <f t="shared" si="0"/>
        <v>0</v>
      </c>
      <c r="F1" s="1">
        <f t="shared" si="0"/>
        <v>0</v>
      </c>
      <c r="G1" s="1">
        <f t="shared" si="0"/>
        <v>0</v>
      </c>
      <c r="H1" s="1">
        <f t="shared" si="0"/>
        <v>0</v>
      </c>
    </row>
    <row r="2" spans="1:8">
      <c r="A2">
        <v>20240427</v>
      </c>
      <c r="B2" t="s">
        <v>964</v>
      </c>
    </row>
    <row r="3" spans="1:8">
      <c r="C3" t="s">
        <v>965</v>
      </c>
    </row>
    <row r="4" spans="1:8">
      <c r="B4" t="s">
        <v>966</v>
      </c>
    </row>
    <row r="5" spans="1:8">
      <c r="C5" t="s">
        <v>967</v>
      </c>
    </row>
    <row r="6" spans="1:8">
      <c r="C6" t="s">
        <v>968</v>
      </c>
    </row>
    <row r="7" spans="1:8">
      <c r="D7" t="s">
        <v>969</v>
      </c>
    </row>
    <row r="8" spans="1:8">
      <c r="D8" t="s">
        <v>970</v>
      </c>
    </row>
  </sheetData>
  <pageMargins left="0.75" right="0.75" top="1" bottom="1" header="0.5" footer="0.5"/>
  <pageSetup paperSize="9" orientation="portrait"/>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1"/>
  <sheetViews>
    <sheetView workbookViewId="0">
      <selection activeCell="I19" sqref="I19"/>
    </sheetView>
  </sheetViews>
  <sheetFormatPr defaultColWidth="8.88888888888889" defaultRowHeight="14.4" outlineLevelCol="7"/>
  <cols>
    <col min="1" max="1" width="9.66666666666667"/>
  </cols>
  <sheetData>
    <row r="1" s="1" customFormat="1" spans="1:8">
      <c r="A1" s="1">
        <f>SUM(B1:AZ1)</f>
        <v>2.9</v>
      </c>
      <c r="B1" s="1">
        <f t="shared" ref="B1:H1" si="0">COUNTA(B2:B2058)/COLUMN()</f>
        <v>0.5</v>
      </c>
      <c r="C1" s="1">
        <f t="shared" si="0"/>
        <v>1</v>
      </c>
      <c r="D1" s="1">
        <f t="shared" si="0"/>
        <v>1</v>
      </c>
      <c r="E1" s="1">
        <f t="shared" si="0"/>
        <v>0.4</v>
      </c>
      <c r="F1" s="1">
        <f t="shared" si="0"/>
        <v>0</v>
      </c>
      <c r="G1" s="1">
        <f t="shared" si="0"/>
        <v>0</v>
      </c>
      <c r="H1" s="1">
        <f t="shared" si="0"/>
        <v>0</v>
      </c>
    </row>
    <row r="2" spans="1:8">
      <c r="A2">
        <v>20240501</v>
      </c>
      <c r="B2" t="s">
        <v>971</v>
      </c>
    </row>
    <row r="3" spans="1:8">
      <c r="C3" t="s">
        <v>972</v>
      </c>
    </row>
    <row r="4" spans="1:8">
      <c r="D4" t="s">
        <v>973</v>
      </c>
    </row>
    <row r="5" spans="1:8">
      <c r="D5" t="s">
        <v>974</v>
      </c>
    </row>
    <row r="6" spans="1:8">
      <c r="E6" t="s">
        <v>975</v>
      </c>
    </row>
    <row r="7" spans="1:8">
      <c r="D7" t="s">
        <v>976</v>
      </c>
    </row>
    <row r="8" spans="1:8">
      <c r="E8" t="s">
        <v>977</v>
      </c>
    </row>
    <row r="9" spans="1:8">
      <c r="D9" t="s">
        <v>978</v>
      </c>
    </row>
    <row r="10" spans="1:8">
      <c r="C10" t="s">
        <v>979</v>
      </c>
    </row>
    <row r="11" spans="1:8">
      <c r="C11" t="s">
        <v>980</v>
      </c>
    </row>
  </sheetData>
  <pageMargins left="0.75" right="0.75" top="1" bottom="1" header="0.5" footer="0.5"/>
  <pageSetup paperSize="9" orientation="portrait"/>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
  <sheetViews>
    <sheetView workbookViewId="0">
      <selection activeCell="A1" sqref="$A1:$XFD1"/>
    </sheetView>
  </sheetViews>
  <sheetFormatPr defaultColWidth="8.88888888888889" defaultRowHeight="14.4" outlineLevelRow="3" outlineLevelCol="7"/>
  <sheetData>
    <row r="1" s="1" customFormat="1" spans="1:8">
      <c r="A1" s="1">
        <f>SUM(B1:AZ1)</f>
        <v>1.16666666666667</v>
      </c>
      <c r="B1" s="1">
        <f t="shared" ref="B1:H1" si="0">COUNTA(B2:B2058)/COLUMN()</f>
        <v>0.5</v>
      </c>
      <c r="C1" s="1">
        <f t="shared" si="0"/>
        <v>0.666666666666667</v>
      </c>
      <c r="D1" s="1">
        <f t="shared" si="0"/>
        <v>0</v>
      </c>
      <c r="E1" s="1">
        <f t="shared" si="0"/>
        <v>0</v>
      </c>
      <c r="F1" s="1">
        <f t="shared" si="0"/>
        <v>0</v>
      </c>
      <c r="G1" s="1">
        <f t="shared" si="0"/>
        <v>0</v>
      </c>
      <c r="H1" s="1">
        <f t="shared" si="0"/>
        <v>0</v>
      </c>
    </row>
    <row r="2" spans="1:8">
      <c r="A2">
        <v>20240503</v>
      </c>
      <c r="B2" t="s">
        <v>981</v>
      </c>
    </row>
    <row r="3" spans="1:8">
      <c r="C3" t="s">
        <v>982</v>
      </c>
    </row>
    <row r="4" spans="1:8">
      <c r="C4" t="s">
        <v>983</v>
      </c>
    </row>
  </sheetData>
  <pageMargins left="0.75" right="0.75" top="1" bottom="1" header="0.5" footer="0.5"/>
  <pageSetup paperSize="9" orientation="portrait"/>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9"/>
  <sheetViews>
    <sheetView workbookViewId="0">
      <selection activeCell="D13" sqref="D13"/>
    </sheetView>
  </sheetViews>
  <sheetFormatPr defaultColWidth="8.88888888888889" defaultRowHeight="14.4" outlineLevelCol="7"/>
  <sheetData>
    <row r="1" s="1" customFormat="1" spans="1:8">
      <c r="A1" s="1">
        <f>SUM(B1:AZ1)</f>
        <v>8.2</v>
      </c>
      <c r="B1" s="1">
        <f t="shared" ref="B1:H1" si="0">COUNTA(B2:B2058)/COLUMN()</f>
        <v>2</v>
      </c>
      <c r="C1" s="1">
        <f t="shared" si="0"/>
        <v>2</v>
      </c>
      <c r="D1" s="1">
        <f t="shared" si="0"/>
        <v>3</v>
      </c>
      <c r="E1" s="1">
        <f t="shared" si="0"/>
        <v>1.2</v>
      </c>
      <c r="F1" s="1">
        <f t="shared" si="0"/>
        <v>0</v>
      </c>
      <c r="G1" s="1">
        <f t="shared" si="0"/>
        <v>0</v>
      </c>
      <c r="H1" s="1">
        <f t="shared" si="0"/>
        <v>0</v>
      </c>
    </row>
    <row r="2" spans="1:8">
      <c r="A2">
        <v>20240504</v>
      </c>
      <c r="B2" t="s">
        <v>984</v>
      </c>
    </row>
    <row r="3" spans="1:8">
      <c r="B3" t="s">
        <v>985</v>
      </c>
    </row>
    <row r="4" spans="1:8">
      <c r="C4" t="s">
        <v>986</v>
      </c>
    </row>
    <row r="5" spans="1:8">
      <c r="D5" t="s">
        <v>987</v>
      </c>
    </row>
    <row r="6" spans="1:8">
      <c r="D6" t="s">
        <v>988</v>
      </c>
    </row>
    <row r="7" spans="1:8">
      <c r="C7" t="s">
        <v>989</v>
      </c>
    </row>
    <row r="8" spans="1:8">
      <c r="D8" t="s">
        <v>990</v>
      </c>
    </row>
    <row r="9" spans="1:8">
      <c r="D9" t="s">
        <v>991</v>
      </c>
    </row>
    <row r="10" spans="1:8">
      <c r="D10" t="s">
        <v>992</v>
      </c>
    </row>
    <row r="11" spans="1:8">
      <c r="B11" t="s">
        <v>993</v>
      </c>
    </row>
    <row r="12" spans="1:8">
      <c r="C12" t="s">
        <v>994</v>
      </c>
    </row>
    <row r="13" spans="1:8">
      <c r="D13" t="s">
        <v>995</v>
      </c>
    </row>
    <row r="14" spans="1:8">
      <c r="D14" t="s">
        <v>996</v>
      </c>
    </row>
    <row r="15" spans="1:8">
      <c r="D15" t="s">
        <v>997</v>
      </c>
    </row>
    <row r="16" spans="1:8">
      <c r="C16" t="s">
        <v>998</v>
      </c>
    </row>
    <row r="17" spans="2:5">
      <c r="D17" t="s">
        <v>999</v>
      </c>
    </row>
    <row r="18" spans="2:5">
      <c r="D18" t="s">
        <v>1000</v>
      </c>
    </row>
    <row r="19" spans="2:5">
      <c r="D19" t="s">
        <v>1001</v>
      </c>
    </row>
    <row r="20" spans="2:5">
      <c r="E20" t="s">
        <v>1002</v>
      </c>
    </row>
    <row r="21" spans="2:5">
      <c r="E21" t="s">
        <v>1003</v>
      </c>
    </row>
    <row r="22" spans="2:5">
      <c r="D22" t="s">
        <v>1004</v>
      </c>
    </row>
    <row r="23" spans="2:5">
      <c r="E23" t="s">
        <v>1005</v>
      </c>
    </row>
    <row r="24" spans="2:5">
      <c r="E24" t="s">
        <v>1006</v>
      </c>
    </row>
    <row r="25" spans="2:5">
      <c r="E25" t="s">
        <v>1007</v>
      </c>
    </row>
    <row r="26" spans="2:5">
      <c r="E26" t="s">
        <v>1008</v>
      </c>
    </row>
    <row r="27" spans="2:5">
      <c r="C27" t="s">
        <v>1009</v>
      </c>
    </row>
    <row r="28" spans="2:5">
      <c r="C28" t="s">
        <v>1010</v>
      </c>
    </row>
    <row r="29" spans="2:5">
      <c r="B29" t="s">
        <v>1011</v>
      </c>
    </row>
  </sheetData>
  <pageMargins left="0.75" right="0.75" top="1" bottom="1" header="0.5" footer="0.5"/>
  <pageSetup paperSize="9" orientation="portrait"/>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3"/>
  <sheetViews>
    <sheetView workbookViewId="0">
      <selection activeCell="B3" sqref="B3"/>
    </sheetView>
  </sheetViews>
  <sheetFormatPr defaultColWidth="8.88888888888889" defaultRowHeight="14.4" outlineLevelCol="7"/>
  <cols>
    <col min="1" max="1" width="9.66666666666667"/>
  </cols>
  <sheetData>
    <row r="1" s="1" customFormat="1" spans="1:8">
      <c r="A1" s="1">
        <f>SUM(B1:AZ1)</f>
        <v>4.16666666666667</v>
      </c>
      <c r="B1" s="1">
        <f t="shared" ref="B1:H1" si="0">COUNTA(B2:B2058)/COLUMN()</f>
        <v>1.5</v>
      </c>
      <c r="C1" s="1">
        <f t="shared" si="0"/>
        <v>1.66666666666667</v>
      </c>
      <c r="D1" s="1">
        <f t="shared" si="0"/>
        <v>1</v>
      </c>
      <c r="E1" s="1">
        <f t="shared" si="0"/>
        <v>0</v>
      </c>
      <c r="F1" s="1">
        <f t="shared" si="0"/>
        <v>0</v>
      </c>
      <c r="G1" s="1">
        <f t="shared" si="0"/>
        <v>0</v>
      </c>
      <c r="H1" s="1">
        <f t="shared" si="0"/>
        <v>0</v>
      </c>
    </row>
    <row r="2" spans="1:8">
      <c r="A2">
        <v>20240507</v>
      </c>
      <c r="B2" t="s">
        <v>1012</v>
      </c>
    </row>
    <row r="3" spans="1:8">
      <c r="B3" t="s">
        <v>1013</v>
      </c>
    </row>
    <row r="4" spans="1:8">
      <c r="B4" t="s">
        <v>1014</v>
      </c>
    </row>
    <row r="5" spans="1:8">
      <c r="C5" t="s">
        <v>1015</v>
      </c>
    </row>
    <row r="6" spans="1:8">
      <c r="C6" t="s">
        <v>1016</v>
      </c>
    </row>
    <row r="7" spans="1:8">
      <c r="C7" t="s">
        <v>1017</v>
      </c>
    </row>
    <row r="8" spans="1:8">
      <c r="D8" t="s">
        <v>1018</v>
      </c>
    </row>
    <row r="9" spans="1:8">
      <c r="D9" t="s">
        <v>1019</v>
      </c>
    </row>
    <row r="10" spans="1:8">
      <c r="D10" t="s">
        <v>1020</v>
      </c>
    </row>
    <row r="11" spans="1:8">
      <c r="C11" t="s">
        <v>1021</v>
      </c>
    </row>
    <row r="12" spans="1:8">
      <c r="D12" t="s">
        <v>1022</v>
      </c>
    </row>
    <row r="13" spans="1:8">
      <c r="C13" t="s">
        <v>1023</v>
      </c>
    </row>
  </sheetData>
  <pageMargins left="0.75" right="0.75" top="1" bottom="1" header="0.5" footer="0.5"/>
  <pageSetup paperSize="9" orientation="portrait"/>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0"/>
  <sheetViews>
    <sheetView workbookViewId="0">
      <selection activeCell="C17" sqref="C17"/>
    </sheetView>
  </sheetViews>
  <sheetFormatPr defaultColWidth="8.88888888888889" defaultRowHeight="14.4" outlineLevelCol="7"/>
  <cols>
    <col min="1" max="1" width="9.66666666666667"/>
  </cols>
  <sheetData>
    <row r="1" s="1" customFormat="1" spans="1:8">
      <c r="A1" s="1">
        <f>SUM(B1:AZ1)</f>
        <v>6.83333333333333</v>
      </c>
      <c r="B1" s="1">
        <f t="shared" ref="B1:H1" si="0">COUNTA(B2:B2058)/COLUMN()</f>
        <v>2</v>
      </c>
      <c r="C1" s="1">
        <f t="shared" si="0"/>
        <v>4.33333333333333</v>
      </c>
      <c r="D1" s="1">
        <f t="shared" si="0"/>
        <v>0.5</v>
      </c>
      <c r="E1" s="1">
        <f t="shared" si="0"/>
        <v>0</v>
      </c>
      <c r="F1" s="1">
        <f t="shared" si="0"/>
        <v>0</v>
      </c>
      <c r="G1" s="1">
        <f t="shared" si="0"/>
        <v>0</v>
      </c>
      <c r="H1" s="1">
        <f t="shared" si="0"/>
        <v>0</v>
      </c>
    </row>
    <row r="2" spans="1:8">
      <c r="A2">
        <v>20240511</v>
      </c>
      <c r="B2" t="s">
        <v>1024</v>
      </c>
    </row>
    <row r="3" spans="1:8">
      <c r="C3" t="s">
        <v>1025</v>
      </c>
    </row>
    <row r="4" spans="1:8">
      <c r="C4" t="s">
        <v>1026</v>
      </c>
    </row>
    <row r="5" spans="1:8">
      <c r="C5" t="s">
        <v>1027</v>
      </c>
    </row>
    <row r="6" spans="1:8">
      <c r="B6" t="s">
        <v>1028</v>
      </c>
    </row>
    <row r="7" spans="1:8">
      <c r="C7" t="s">
        <v>1029</v>
      </c>
    </row>
    <row r="8" spans="1:8">
      <c r="C8" t="s">
        <v>1030</v>
      </c>
    </row>
    <row r="9" spans="1:8">
      <c r="B9" t="s">
        <v>1031</v>
      </c>
    </row>
    <row r="10" spans="1:8">
      <c r="C10" t="s">
        <v>1032</v>
      </c>
    </row>
    <row r="11" spans="1:8">
      <c r="D11" t="s">
        <v>1033</v>
      </c>
    </row>
    <row r="12" spans="1:8">
      <c r="D12" t="s">
        <v>1034</v>
      </c>
    </row>
    <row r="13" spans="1:8">
      <c r="B13" t="s">
        <v>1035</v>
      </c>
    </row>
    <row r="14" spans="1:8">
      <c r="C14" t="s">
        <v>1036</v>
      </c>
    </row>
    <row r="15" spans="1:8">
      <c r="C15" t="s">
        <v>1037</v>
      </c>
    </row>
    <row r="16" spans="1:8">
      <c r="C16" t="s">
        <v>1038</v>
      </c>
    </row>
    <row r="17" spans="3:3">
      <c r="C17" t="s">
        <v>1039</v>
      </c>
    </row>
    <row r="18" spans="3:3">
      <c r="C18" t="s">
        <v>1040</v>
      </c>
    </row>
    <row r="19" spans="3:3">
      <c r="C19" t="s">
        <v>1041</v>
      </c>
    </row>
    <row r="20" spans="3:3">
      <c r="C20" t="s">
        <v>1042</v>
      </c>
    </row>
  </sheetData>
  <pageMargins left="0.75" right="0.75" top="1" bottom="1" header="0.5" footer="0.5"/>
  <pageSetup paperSize="9" orientation="portrait"/>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4"/>
  <sheetViews>
    <sheetView workbookViewId="0">
      <selection activeCell="E9" sqref="E9"/>
    </sheetView>
  </sheetViews>
  <sheetFormatPr defaultColWidth="8.88888888888889" defaultRowHeight="14.4" outlineLevelCol="7"/>
  <sheetData>
    <row r="1" s="1" customFormat="1" spans="1:8">
      <c r="A1" s="1">
        <f>SUM(B1:AZ1)</f>
        <v>4.56666666666667</v>
      </c>
      <c r="B1" s="1">
        <f t="shared" ref="B1:H1" si="0">COUNTA(B2:B2060)/COLUMN()</f>
        <v>2</v>
      </c>
      <c r="C1" s="1">
        <f t="shared" si="0"/>
        <v>1.66666666666667</v>
      </c>
      <c r="D1" s="1">
        <f t="shared" si="0"/>
        <v>0.5</v>
      </c>
      <c r="E1" s="1">
        <f t="shared" si="0"/>
        <v>0.4</v>
      </c>
      <c r="F1" s="1">
        <f t="shared" si="0"/>
        <v>0</v>
      </c>
      <c r="G1" s="1">
        <f t="shared" si="0"/>
        <v>0</v>
      </c>
      <c r="H1" s="1">
        <f t="shared" si="0"/>
        <v>0</v>
      </c>
    </row>
    <row r="2" spans="1:8">
      <c r="A2">
        <v>20240512</v>
      </c>
      <c r="B2" t="s">
        <v>1043</v>
      </c>
    </row>
    <row r="3" spans="1:8">
      <c r="C3" t="s">
        <v>1044</v>
      </c>
    </row>
    <row r="4" spans="1:8">
      <c r="C4" t="s">
        <v>1045</v>
      </c>
    </row>
    <row r="5" spans="1:8">
      <c r="C5" t="s">
        <v>1046</v>
      </c>
    </row>
    <row r="6" spans="1:8">
      <c r="D6" t="s">
        <v>1047</v>
      </c>
    </row>
    <row r="7" spans="1:8">
      <c r="E7" t="s">
        <v>1048</v>
      </c>
    </row>
    <row r="8" spans="1:8">
      <c r="D8" t="s">
        <v>1049</v>
      </c>
    </row>
    <row r="9" spans="1:8">
      <c r="E9" t="s">
        <v>1050</v>
      </c>
    </row>
    <row r="10" spans="1:8">
      <c r="B10" t="s">
        <v>1051</v>
      </c>
    </row>
    <row r="11" spans="1:8">
      <c r="B11" t="s">
        <v>1052</v>
      </c>
    </row>
    <row r="12" spans="1:8">
      <c r="C12" t="s">
        <v>1053</v>
      </c>
    </row>
    <row r="13" spans="1:8">
      <c r="C13" t="s">
        <v>1054</v>
      </c>
    </row>
    <row r="14" spans="1:8">
      <c r="B14" t="s">
        <v>1055</v>
      </c>
    </row>
  </sheetData>
  <pageMargins left="0.75" right="0.75" top="1" bottom="1" header="0.5" footer="0.5"/>
  <pageSetup paperSize="9" orientation="portrait"/>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7"/>
  <sheetViews>
    <sheetView workbookViewId="0">
      <selection activeCell="B2" sqref="B2"/>
    </sheetView>
  </sheetViews>
  <sheetFormatPr defaultColWidth="8.88888888888889" defaultRowHeight="14.4" outlineLevelCol="7"/>
  <cols>
    <col min="1" max="1" width="9.66666666666667"/>
  </cols>
  <sheetData>
    <row r="1" s="1" customFormat="1" spans="1:8">
      <c r="A1" s="1">
        <f>SUM(B1:AZ1)</f>
        <v>8.78333333333333</v>
      </c>
      <c r="B1" s="1">
        <f t="shared" ref="B1:H1" si="0">COUNTA(B2:B2064)/COLUMN()</f>
        <v>2.5</v>
      </c>
      <c r="C1" s="1">
        <f t="shared" si="0"/>
        <v>4.33333333333333</v>
      </c>
      <c r="D1" s="1">
        <f t="shared" si="0"/>
        <v>1.75</v>
      </c>
      <c r="E1" s="1">
        <f t="shared" si="0"/>
        <v>0.2</v>
      </c>
      <c r="F1" s="1">
        <f t="shared" si="0"/>
        <v>0</v>
      </c>
      <c r="G1" s="1">
        <f t="shared" si="0"/>
        <v>0</v>
      </c>
      <c r="H1" s="1">
        <f t="shared" si="0"/>
        <v>0</v>
      </c>
    </row>
    <row r="2" spans="1:8">
      <c r="A2">
        <v>20240513</v>
      </c>
      <c r="B2" t="s">
        <v>1056</v>
      </c>
    </row>
    <row r="3" spans="1:8">
      <c r="B3" t="s">
        <v>1057</v>
      </c>
    </row>
    <row r="4" spans="1:8">
      <c r="C4" t="s">
        <v>1058</v>
      </c>
    </row>
    <row r="5" spans="1:8">
      <c r="C5" t="s">
        <v>1059</v>
      </c>
    </row>
    <row r="6" spans="1:8">
      <c r="C6" t="s">
        <v>1060</v>
      </c>
    </row>
    <row r="7" spans="1:8">
      <c r="C7" t="s">
        <v>1061</v>
      </c>
    </row>
    <row r="8" spans="1:8">
      <c r="B8" t="s">
        <v>1062</v>
      </c>
    </row>
    <row r="9" spans="1:8">
      <c r="C9" t="s">
        <v>1063</v>
      </c>
    </row>
    <row r="10" spans="1:8">
      <c r="C10" t="s">
        <v>1064</v>
      </c>
    </row>
    <row r="11" spans="1:8">
      <c r="C11" t="s">
        <v>1065</v>
      </c>
    </row>
    <row r="12" spans="1:8">
      <c r="C12" t="s">
        <v>1066</v>
      </c>
    </row>
    <row r="13" spans="1:8">
      <c r="C13" t="s">
        <v>1067</v>
      </c>
    </row>
    <row r="14" spans="1:8">
      <c r="C14" t="s">
        <v>1068</v>
      </c>
    </row>
    <row r="15" spans="1:8">
      <c r="D15" t="s">
        <v>1069</v>
      </c>
    </row>
    <row r="16" spans="1:8">
      <c r="D16" t="s">
        <v>1070</v>
      </c>
    </row>
    <row r="17" spans="2:5">
      <c r="D17" t="s">
        <v>1071</v>
      </c>
    </row>
    <row r="18" spans="2:5">
      <c r="B18" t="s">
        <v>1072</v>
      </c>
    </row>
    <row r="19" spans="2:5">
      <c r="C19" t="s">
        <v>1073</v>
      </c>
    </row>
    <row r="20" spans="2:5">
      <c r="B20" t="s">
        <v>1074</v>
      </c>
    </row>
    <row r="21" spans="2:5">
      <c r="C21" t="s">
        <v>1075</v>
      </c>
    </row>
    <row r="22" spans="2:5">
      <c r="D22" t="s">
        <v>1076</v>
      </c>
    </row>
    <row r="23" spans="2:5">
      <c r="C23" t="s">
        <v>1077</v>
      </c>
    </row>
    <row r="24" spans="2:5">
      <c r="D24" t="s">
        <v>1078</v>
      </c>
    </row>
    <row r="25" spans="2:5">
      <c r="D25" t="s">
        <v>1079</v>
      </c>
    </row>
    <row r="26" spans="2:5">
      <c r="D26" t="s">
        <v>1080</v>
      </c>
    </row>
    <row r="27" spans="2:5">
      <c r="E27" t="s">
        <v>1081</v>
      </c>
    </row>
  </sheetData>
  <pageMargins left="0.75" right="0.75" top="1" bottom="1" header="0.5" footer="0.5"/>
  <pageSetup paperSize="9" orientation="portrait"/>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
  <sheetViews>
    <sheetView workbookViewId="0">
      <selection activeCell="C4" sqref="C4"/>
    </sheetView>
  </sheetViews>
  <sheetFormatPr defaultColWidth="8.88888888888889" defaultRowHeight="14.4" outlineLevelRow="3" outlineLevelCol="7"/>
  <cols>
    <col min="1" max="1" width="9.66666666666667"/>
  </cols>
  <sheetData>
    <row r="1" s="1" customFormat="1" spans="1:8">
      <c r="A1" s="1">
        <f>SUM(B1:AZ1)</f>
        <v>1.16666666666667</v>
      </c>
      <c r="B1" s="1">
        <f t="shared" ref="B1:H1" si="0">COUNTA(B2:B2064)/COLUMN()</f>
        <v>0.5</v>
      </c>
      <c r="C1" s="1">
        <f t="shared" si="0"/>
        <v>0.666666666666667</v>
      </c>
      <c r="D1" s="1">
        <f t="shared" si="0"/>
        <v>0</v>
      </c>
      <c r="E1" s="1">
        <f t="shared" si="0"/>
        <v>0</v>
      </c>
      <c r="F1" s="1">
        <f t="shared" si="0"/>
        <v>0</v>
      </c>
      <c r="G1" s="1">
        <f t="shared" si="0"/>
        <v>0</v>
      </c>
      <c r="H1" s="1">
        <f t="shared" si="0"/>
        <v>0</v>
      </c>
    </row>
    <row r="2" spans="1:8">
      <c r="A2">
        <v>20240515</v>
      </c>
      <c r="B2" t="s">
        <v>1082</v>
      </c>
    </row>
    <row r="3" spans="1:8">
      <c r="C3" t="s">
        <v>1083</v>
      </c>
    </row>
    <row r="4" spans="1:8">
      <c r="C4" t="s">
        <v>1084</v>
      </c>
    </row>
  </sheetData>
  <pageMargins left="0.75" right="0.75" top="1" bottom="1" header="0.5" footer="0.5"/>
  <pageSetup paperSize="9" orientation="portrait"/>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
  <sheetViews>
    <sheetView workbookViewId="0">
      <selection activeCell="A2" sqref="A2"/>
    </sheetView>
  </sheetViews>
  <sheetFormatPr defaultColWidth="8.88888888888889" defaultRowHeight="14.4" outlineLevelRow="1" outlineLevelCol="7"/>
  <cols>
    <col min="1" max="1" width="9.66666666666667"/>
  </cols>
  <sheetData>
    <row r="1" s="1" customFormat="1" spans="1:8">
      <c r="A1" s="1">
        <f>SUM(B1:AZ1)</f>
        <v>0.5</v>
      </c>
      <c r="B1" s="1">
        <f t="shared" ref="B1:H1" si="0">COUNTA(B2:B2064)/COLUMN()</f>
        <v>0.5</v>
      </c>
      <c r="C1" s="1">
        <f t="shared" si="0"/>
        <v>0</v>
      </c>
      <c r="D1" s="1">
        <f t="shared" si="0"/>
        <v>0</v>
      </c>
      <c r="E1" s="1">
        <f t="shared" si="0"/>
        <v>0</v>
      </c>
      <c r="F1" s="1">
        <f t="shared" si="0"/>
        <v>0</v>
      </c>
      <c r="G1" s="1">
        <f t="shared" si="0"/>
        <v>0</v>
      </c>
      <c r="H1" s="1">
        <f t="shared" si="0"/>
        <v>0</v>
      </c>
    </row>
    <row r="2" spans="1:8">
      <c r="A2">
        <v>20240519</v>
      </c>
      <c r="B2" t="s">
        <v>1085</v>
      </c>
    </row>
  </sheetData>
  <pageMargins left="0.75" right="0.75" top="1" bottom="1" header="0.5" footer="0.5"/>
  <pageSetup paperSize="9" orientation="portrait"/>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3"/>
  <sheetViews>
    <sheetView workbookViewId="0">
      <selection activeCell="C6" sqref="C6"/>
    </sheetView>
  </sheetViews>
  <sheetFormatPr defaultColWidth="8.88888888888889" defaultRowHeight="14.4" outlineLevelCol="7"/>
  <cols>
    <col min="1" max="1" width="9.66666666666667"/>
  </cols>
  <sheetData>
    <row r="1" s="1" customFormat="1" spans="1:8">
      <c r="A1" s="1">
        <f>SUM(B1:AZ1)</f>
        <v>4.66666666666667</v>
      </c>
      <c r="B1" s="1">
        <f t="shared" ref="B1:H1" si="0">COUNTA(B2:B2066)/COLUMN()</f>
        <v>2</v>
      </c>
      <c r="C1" s="1">
        <f t="shared" si="0"/>
        <v>2.66666666666667</v>
      </c>
      <c r="D1" s="1">
        <f t="shared" si="0"/>
        <v>0</v>
      </c>
      <c r="E1" s="1">
        <f t="shared" si="0"/>
        <v>0</v>
      </c>
      <c r="F1" s="1">
        <f t="shared" si="0"/>
        <v>0</v>
      </c>
      <c r="G1" s="1">
        <f t="shared" si="0"/>
        <v>0</v>
      </c>
      <c r="H1" s="1">
        <f t="shared" si="0"/>
        <v>0</v>
      </c>
    </row>
    <row r="2" spans="1:8">
      <c r="A2">
        <v>20240523</v>
      </c>
      <c r="B2" t="s">
        <v>1086</v>
      </c>
    </row>
    <row r="3" spans="1:8">
      <c r="B3" t="s">
        <v>1087</v>
      </c>
    </row>
    <row r="4" spans="1:8">
      <c r="C4" t="s">
        <v>1088</v>
      </c>
    </row>
    <row r="5" spans="1:8">
      <c r="C5" t="s">
        <v>1089</v>
      </c>
    </row>
    <row r="6" spans="1:8">
      <c r="C6" t="s">
        <v>1090</v>
      </c>
    </row>
    <row r="7" spans="1:8">
      <c r="B7" t="s">
        <v>1091</v>
      </c>
    </row>
    <row r="8" spans="1:8">
      <c r="C8" t="s">
        <v>1092</v>
      </c>
    </row>
    <row r="9" spans="1:8">
      <c r="C9" t="s">
        <v>1093</v>
      </c>
    </row>
    <row r="10" spans="1:8">
      <c r="C10" t="s">
        <v>1094</v>
      </c>
    </row>
    <row r="11" spans="1:8">
      <c r="C11" t="s">
        <v>1095</v>
      </c>
    </row>
    <row r="12" spans="1:8">
      <c r="C12" t="s">
        <v>1096</v>
      </c>
    </row>
    <row r="13" spans="1:8">
      <c r="B13" t="s">
        <v>1097</v>
      </c>
    </row>
  </sheetData>
  <pageMargins left="0.75" right="0.75" top="1" bottom="1" header="0.5" footer="0.5"/>
  <pageSetup paperSize="9" orientation="portrait"/>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
  <sheetViews>
    <sheetView workbookViewId="0">
      <selection activeCell="D7" sqref="D7:J7"/>
    </sheetView>
  </sheetViews>
  <sheetFormatPr defaultColWidth="8.88888888888889" defaultRowHeight="14.4" outlineLevelRow="6" outlineLevelCol="7"/>
  <cols>
    <col min="1" max="1" width="9.66666666666667"/>
  </cols>
  <sheetData>
    <row r="1" s="1" customFormat="1" spans="1:8">
      <c r="A1" s="1">
        <f>SUM(B1:AZ1)</f>
        <v>1.91666666666667</v>
      </c>
      <c r="B1" s="1">
        <f t="shared" ref="B1:H1" si="0">COUNTA(B2:B2065)/COLUMN()</f>
        <v>0.5</v>
      </c>
      <c r="C1" s="1">
        <f t="shared" si="0"/>
        <v>0.666666666666667</v>
      </c>
      <c r="D1" s="1">
        <f t="shared" si="0"/>
        <v>0.75</v>
      </c>
      <c r="E1" s="1">
        <f t="shared" si="0"/>
        <v>0</v>
      </c>
      <c r="F1" s="1">
        <f t="shared" si="0"/>
        <v>0</v>
      </c>
      <c r="G1" s="1">
        <f t="shared" si="0"/>
        <v>0</v>
      </c>
      <c r="H1" s="1">
        <f t="shared" si="0"/>
        <v>0</v>
      </c>
    </row>
    <row r="2" spans="1:8">
      <c r="A2">
        <v>20240525</v>
      </c>
      <c r="B2" t="s">
        <v>1098</v>
      </c>
    </row>
    <row r="3" spans="1:8">
      <c r="C3" t="s">
        <v>1099</v>
      </c>
    </row>
    <row r="4" spans="1:8">
      <c r="D4" t="s">
        <v>1100</v>
      </c>
    </row>
    <row r="5" spans="1:8">
      <c r="C5" t="s">
        <v>1101</v>
      </c>
    </row>
    <row r="6" spans="1:8">
      <c r="D6" t="s">
        <v>1102</v>
      </c>
    </row>
    <row r="7" spans="1:8">
      <c r="D7" t="s">
        <v>1103</v>
      </c>
    </row>
  </sheetData>
  <pageMargins left="0.75" right="0.75" top="1" bottom="1" header="0.5" footer="0.5"/>
  <pageSetup paperSize="9" orientation="portrait"/>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7"/>
  <sheetViews>
    <sheetView workbookViewId="0">
      <selection activeCell="C17" sqref="C17"/>
    </sheetView>
  </sheetViews>
  <sheetFormatPr defaultColWidth="8.88888888888889" defaultRowHeight="14.4" outlineLevelCol="7"/>
  <cols>
    <col min="1" max="1" width="9.66666666666667"/>
  </cols>
  <sheetData>
    <row r="1" s="1" customFormat="1" spans="1:8">
      <c r="A1" s="1">
        <f>SUM(B1:AZ1)</f>
        <v>4.96666666666667</v>
      </c>
      <c r="B1" s="1">
        <f t="shared" ref="B1:H1" si="0">COUNTA(B2:B2065)/COLUMN()</f>
        <v>1.5</v>
      </c>
      <c r="C1" s="1">
        <f t="shared" si="0"/>
        <v>1.66666666666667</v>
      </c>
      <c r="D1" s="1">
        <f t="shared" si="0"/>
        <v>1</v>
      </c>
      <c r="E1" s="1">
        <f t="shared" si="0"/>
        <v>0.8</v>
      </c>
      <c r="F1" s="1">
        <f t="shared" si="0"/>
        <v>0</v>
      </c>
      <c r="G1" s="1">
        <f t="shared" si="0"/>
        <v>0</v>
      </c>
      <c r="H1" s="1">
        <f t="shared" si="0"/>
        <v>0</v>
      </c>
    </row>
    <row r="2" spans="1:8">
      <c r="A2">
        <v>20240526</v>
      </c>
      <c r="B2" t="s">
        <v>1104</v>
      </c>
    </row>
    <row r="3" spans="1:8">
      <c r="B3" t="s">
        <v>1105</v>
      </c>
    </row>
    <row r="4" spans="1:8">
      <c r="C4" t="s">
        <v>1106</v>
      </c>
    </row>
    <row r="5" spans="1:8">
      <c r="C5" t="s">
        <v>1107</v>
      </c>
    </row>
    <row r="6" spans="1:8">
      <c r="C6" t="s">
        <v>1108</v>
      </c>
    </row>
    <row r="7" spans="1:8">
      <c r="D7" t="s">
        <v>1109</v>
      </c>
    </row>
    <row r="8" spans="1:8">
      <c r="D8" t="s">
        <v>1110</v>
      </c>
    </row>
    <row r="9" spans="1:8">
      <c r="C9" t="s">
        <v>1111</v>
      </c>
    </row>
    <row r="10" spans="1:8">
      <c r="D10" t="s">
        <v>1112</v>
      </c>
    </row>
    <row r="11" spans="1:8">
      <c r="E11" t="s">
        <v>1113</v>
      </c>
    </row>
    <row r="12" spans="1:8">
      <c r="E12" t="s">
        <v>1114</v>
      </c>
    </row>
    <row r="13" spans="1:8">
      <c r="D13" t="s">
        <v>1115</v>
      </c>
    </row>
    <row r="14" spans="1:8">
      <c r="E14" t="s">
        <v>1116</v>
      </c>
    </row>
    <row r="15" spans="1:8">
      <c r="E15" t="s">
        <v>1117</v>
      </c>
    </row>
    <row r="16" spans="1:8">
      <c r="B16" t="s">
        <v>1118</v>
      </c>
    </row>
    <row r="17" spans="3:3">
      <c r="C17" t="s">
        <v>1119</v>
      </c>
    </row>
  </sheetData>
  <pageMargins left="0.75" right="0.75" top="1" bottom="1" header="0.5" footer="0.5"/>
  <pageSetup paperSize="9" orientation="portrait"/>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
  <sheetViews>
    <sheetView workbookViewId="0">
      <selection activeCell="B2" sqref="B2"/>
    </sheetView>
  </sheetViews>
  <sheetFormatPr defaultColWidth="8.88888888888889" defaultRowHeight="14.4" outlineLevelRow="1" outlineLevelCol="7"/>
  <sheetData>
    <row r="1" s="1" customFormat="1" spans="1:8">
      <c r="A1" s="1">
        <f>SUM(B1:AZ1)</f>
        <v>0.5</v>
      </c>
      <c r="B1" s="1">
        <f t="shared" ref="B1:H1" si="0">COUNTA(B2:B2065)/COLUMN()</f>
        <v>0.5</v>
      </c>
      <c r="C1" s="1">
        <f t="shared" si="0"/>
        <v>0</v>
      </c>
      <c r="D1" s="1">
        <f t="shared" si="0"/>
        <v>0</v>
      </c>
      <c r="E1" s="1">
        <f t="shared" si="0"/>
        <v>0</v>
      </c>
      <c r="F1" s="1">
        <f t="shared" si="0"/>
        <v>0</v>
      </c>
      <c r="G1" s="1">
        <f t="shared" si="0"/>
        <v>0</v>
      </c>
      <c r="H1" s="1">
        <f t="shared" si="0"/>
        <v>0</v>
      </c>
    </row>
    <row r="2" spans="1:8">
      <c r="A2">
        <v>20240527</v>
      </c>
      <c r="B2" t="s">
        <v>1120</v>
      </c>
    </row>
  </sheetData>
  <pageMargins left="0.75" right="0.75" top="1" bottom="1" header="0.5" footer="0.5"/>
  <pageSetup paperSize="9" orientation="portrait"/>
  <headerFooter/>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
  <sheetViews>
    <sheetView workbookViewId="0">
      <selection activeCell="C5" sqref="C5"/>
    </sheetView>
  </sheetViews>
  <sheetFormatPr defaultColWidth="8.88888888888889" defaultRowHeight="14.4" outlineLevelRow="4" outlineLevelCol="7"/>
  <cols>
    <col min="1" max="1" width="9.66666666666667"/>
  </cols>
  <sheetData>
    <row r="1" s="1" customFormat="1" spans="1:8">
      <c r="A1" s="1">
        <f>SUM(B1:AZ1)</f>
        <v>1.5</v>
      </c>
      <c r="B1" s="1">
        <f t="shared" ref="B1:H1" si="0">COUNTA(B2:B2065)/COLUMN()</f>
        <v>0.5</v>
      </c>
      <c r="C1" s="1">
        <f t="shared" si="0"/>
        <v>1</v>
      </c>
      <c r="D1" s="1">
        <f t="shared" si="0"/>
        <v>0</v>
      </c>
      <c r="E1" s="1">
        <f t="shared" si="0"/>
        <v>0</v>
      </c>
      <c r="F1" s="1">
        <f t="shared" si="0"/>
        <v>0</v>
      </c>
      <c r="G1" s="1">
        <f t="shared" si="0"/>
        <v>0</v>
      </c>
      <c r="H1" s="1">
        <f t="shared" si="0"/>
        <v>0</v>
      </c>
    </row>
    <row r="2" spans="1:8">
      <c r="A2">
        <v>20240529</v>
      </c>
      <c r="B2" t="s">
        <v>1121</v>
      </c>
    </row>
    <row r="3" spans="1:8">
      <c r="C3" t="s">
        <v>1122</v>
      </c>
    </row>
    <row r="4" spans="1:8">
      <c r="C4" s="10" t="s">
        <v>1123</v>
      </c>
    </row>
    <row r="5" spans="1:8">
      <c r="C5" s="10" t="s">
        <v>1124</v>
      </c>
    </row>
  </sheetData>
  <pageMargins left="0.75" right="0.75" top="1" bottom="1" header="0.5" footer="0.5"/>
  <pageSetup paperSize="9" orientation="portrait"/>
  <headerFooter/>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8"/>
  <sheetViews>
    <sheetView workbookViewId="0">
      <selection activeCell="C4" sqref="C4"/>
    </sheetView>
  </sheetViews>
  <sheetFormatPr defaultColWidth="8.88888888888889" defaultRowHeight="14.4" outlineLevelRow="7" outlineLevelCol="7"/>
  <cols>
    <col min="1" max="1" width="9.66666666666667"/>
  </cols>
  <sheetData>
    <row r="1" s="1" customFormat="1" spans="1:8">
      <c r="A1" s="1">
        <f>SUM(B1:AZ1)</f>
        <v>2.66666666666667</v>
      </c>
      <c r="B1" s="1">
        <f t="shared" ref="B1:H1" si="0">COUNTA(B2:B2065)/COLUMN()</f>
        <v>1</v>
      </c>
      <c r="C1" s="1">
        <f t="shared" si="0"/>
        <v>1.66666666666667</v>
      </c>
      <c r="D1" s="1">
        <f t="shared" si="0"/>
        <v>0</v>
      </c>
      <c r="E1" s="1">
        <f t="shared" si="0"/>
        <v>0</v>
      </c>
      <c r="F1" s="1">
        <f t="shared" si="0"/>
        <v>0</v>
      </c>
      <c r="G1" s="1">
        <f t="shared" si="0"/>
        <v>0</v>
      </c>
      <c r="H1" s="1">
        <f t="shared" si="0"/>
        <v>0</v>
      </c>
    </row>
    <row r="2" spans="1:8">
      <c r="A2">
        <v>20240530</v>
      </c>
      <c r="B2" t="s">
        <v>1125</v>
      </c>
    </row>
    <row r="3" spans="1:8">
      <c r="C3" t="s">
        <v>1126</v>
      </c>
    </row>
    <row r="4" spans="1:8">
      <c r="C4" t="s">
        <v>1127</v>
      </c>
    </row>
    <row r="5" spans="1:8">
      <c r="B5" t="s">
        <v>1128</v>
      </c>
    </row>
    <row r="6" spans="1:8">
      <c r="C6" t="s">
        <v>1129</v>
      </c>
    </row>
    <row r="7" spans="1:8">
      <c r="C7" t="s">
        <v>1130</v>
      </c>
    </row>
    <row r="8" spans="1:8">
      <c r="C8" t="s">
        <v>1131</v>
      </c>
    </row>
  </sheetData>
  <pageMargins left="0.75" right="0.75" top="1" bottom="1" header="0.5" footer="0.5"/>
  <pageSetup paperSize="9" orientation="portrait"/>
  <headerFooter/>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8"/>
  <sheetViews>
    <sheetView workbookViewId="0">
      <selection activeCell="D18" sqref="D18"/>
    </sheetView>
  </sheetViews>
  <sheetFormatPr defaultColWidth="8.88888888888889" defaultRowHeight="14.4" outlineLevelCol="7"/>
  <cols>
    <col min="1" max="1" width="9.66666666666667"/>
  </cols>
  <sheetData>
    <row r="1" s="1" customFormat="1" spans="1:8">
      <c r="A1" s="1">
        <f>SUM(B1:AZ1)</f>
        <v>6.08333333333333</v>
      </c>
      <c r="B1" s="1">
        <f t="shared" ref="B1:H1" si="0">COUNTA(B2:B2065)/COLUMN()</f>
        <v>1.5</v>
      </c>
      <c r="C1" s="1">
        <f t="shared" si="0"/>
        <v>4.33333333333333</v>
      </c>
      <c r="D1" s="1">
        <f t="shared" si="0"/>
        <v>0.25</v>
      </c>
      <c r="E1" s="1">
        <f t="shared" si="0"/>
        <v>0</v>
      </c>
      <c r="F1" s="1">
        <f t="shared" si="0"/>
        <v>0</v>
      </c>
      <c r="G1" s="1">
        <f t="shared" si="0"/>
        <v>0</v>
      </c>
      <c r="H1" s="1">
        <f t="shared" si="0"/>
        <v>0</v>
      </c>
    </row>
    <row r="2" spans="1:8">
      <c r="A2">
        <v>20240531</v>
      </c>
      <c r="B2" t="s">
        <v>1132</v>
      </c>
    </row>
    <row r="3" spans="1:8">
      <c r="C3" t="s">
        <v>1133</v>
      </c>
    </row>
    <row r="4" spans="1:8">
      <c r="C4" t="s">
        <v>1134</v>
      </c>
    </row>
    <row r="5" spans="1:8">
      <c r="C5" t="s">
        <v>1135</v>
      </c>
    </row>
    <row r="6" spans="1:8">
      <c r="C6" t="s">
        <v>1136</v>
      </c>
    </row>
    <row r="7" spans="1:8">
      <c r="C7" t="s">
        <v>1137</v>
      </c>
    </row>
    <row r="8" spans="1:8">
      <c r="C8" t="s">
        <v>1138</v>
      </c>
    </row>
    <row r="9" spans="1:8">
      <c r="B9" t="s">
        <v>1139</v>
      </c>
    </row>
    <row r="10" spans="1:8">
      <c r="C10" t="s">
        <v>1140</v>
      </c>
    </row>
    <row r="11" spans="1:8">
      <c r="C11" t="s">
        <v>1141</v>
      </c>
    </row>
    <row r="12" spans="1:8">
      <c r="C12" t="s">
        <v>1142</v>
      </c>
    </row>
    <row r="13" spans="1:8">
      <c r="C13" t="s">
        <v>1143</v>
      </c>
    </row>
    <row r="14" spans="1:8">
      <c r="B14" t="s">
        <v>1144</v>
      </c>
    </row>
    <row r="15" spans="1:8">
      <c r="C15" t="s">
        <v>1145</v>
      </c>
    </row>
    <row r="16" spans="1:8">
      <c r="C16" t="s">
        <v>1146</v>
      </c>
    </row>
    <row r="17" spans="3:4">
      <c r="C17" t="s">
        <v>1147</v>
      </c>
    </row>
    <row r="18" spans="3:4">
      <c r="D18" t="s">
        <v>1148</v>
      </c>
    </row>
  </sheetData>
  <pageMargins left="0.75" right="0.75" top="1" bottom="1" header="0.5" footer="0.5"/>
  <pageSetup paperSize="9" orientation="portrait"/>
  <headerFooter/>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4"/>
  <sheetViews>
    <sheetView workbookViewId="0">
      <selection activeCell="C5" sqref="C5"/>
    </sheetView>
  </sheetViews>
  <sheetFormatPr defaultColWidth="8.88888888888889" defaultRowHeight="14.4" outlineLevelCol="7"/>
  <cols>
    <col min="1" max="1" width="9.66666666666667"/>
  </cols>
  <sheetData>
    <row r="1" s="1" customFormat="1" spans="1:8">
      <c r="A1" s="1">
        <f>SUM(B1:AZ1)</f>
        <v>4.66666666666667</v>
      </c>
      <c r="B1" s="1">
        <f t="shared" ref="B1:H1" si="0">COUNTA(B2:B2065)/COLUMN()</f>
        <v>1.5</v>
      </c>
      <c r="C1" s="1">
        <f t="shared" si="0"/>
        <v>2.66666666666667</v>
      </c>
      <c r="D1" s="1">
        <f t="shared" si="0"/>
        <v>0.5</v>
      </c>
      <c r="E1" s="1">
        <f t="shared" si="0"/>
        <v>0</v>
      </c>
      <c r="F1" s="1">
        <f t="shared" si="0"/>
        <v>0</v>
      </c>
      <c r="G1" s="1">
        <f t="shared" si="0"/>
        <v>0</v>
      </c>
      <c r="H1" s="1">
        <f t="shared" si="0"/>
        <v>0</v>
      </c>
    </row>
    <row r="2" spans="1:8">
      <c r="A2">
        <v>20240601</v>
      </c>
      <c r="B2" t="s">
        <v>1149</v>
      </c>
    </row>
    <row r="3" spans="1:8">
      <c r="C3" t="s">
        <v>1150</v>
      </c>
    </row>
    <row r="4" spans="1:8">
      <c r="B4" t="s">
        <v>1151</v>
      </c>
    </row>
    <row r="5" spans="1:8">
      <c r="C5" t="s">
        <v>1152</v>
      </c>
    </row>
    <row r="6" spans="1:8">
      <c r="C6" t="s">
        <v>1153</v>
      </c>
    </row>
    <row r="7" spans="1:8">
      <c r="C7" t="s">
        <v>1154</v>
      </c>
    </row>
    <row r="8" spans="1:8">
      <c r="B8" t="s">
        <v>1155</v>
      </c>
    </row>
    <row r="9" spans="1:8">
      <c r="C9" t="s">
        <v>1156</v>
      </c>
    </row>
    <row r="10" spans="1:8">
      <c r="C10" t="s">
        <v>1157</v>
      </c>
    </row>
    <row r="11" spans="1:8">
      <c r="C11" t="s">
        <v>1158</v>
      </c>
    </row>
    <row r="12" spans="1:8">
      <c r="C12" t="s">
        <v>1159</v>
      </c>
    </row>
    <row r="13" spans="1:8">
      <c r="D13" t="s">
        <v>1160</v>
      </c>
    </row>
    <row r="14" spans="1:8">
      <c r="D14" t="s">
        <v>1161</v>
      </c>
    </row>
  </sheetData>
  <pageMargins left="0.75" right="0.75" top="1" bottom="1" header="0.5" footer="0.5"/>
  <pageSetup paperSize="9" orientation="portrait"/>
  <headerFooter/>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7"/>
  <sheetViews>
    <sheetView zoomScale="130" zoomScaleNormal="130" workbookViewId="0">
      <selection activeCell="C12" sqref="C12"/>
    </sheetView>
  </sheetViews>
  <sheetFormatPr defaultColWidth="8.88888888888889" defaultRowHeight="14.4" outlineLevelCol="7"/>
  <sheetData>
    <row r="1" s="1" customFormat="1" spans="1:8">
      <c r="A1" s="1">
        <f>SUM(B1:AZ1)</f>
        <v>5.21666666666667</v>
      </c>
      <c r="B1" s="1">
        <f t="shared" ref="B1:H1" si="0">COUNTA(B2:B2066)/COLUMN()</f>
        <v>2</v>
      </c>
      <c r="C1" s="1">
        <f t="shared" si="0"/>
        <v>1.66666666666667</v>
      </c>
      <c r="D1" s="1">
        <f t="shared" si="0"/>
        <v>0.75</v>
      </c>
      <c r="E1" s="1">
        <f t="shared" si="0"/>
        <v>0.8</v>
      </c>
      <c r="F1" s="1">
        <f t="shared" si="0"/>
        <v>0</v>
      </c>
      <c r="G1" s="1">
        <f t="shared" si="0"/>
        <v>0</v>
      </c>
      <c r="H1" s="1">
        <f t="shared" si="0"/>
        <v>0</v>
      </c>
    </row>
    <row r="2" spans="1:8">
      <c r="A2">
        <v>20240602</v>
      </c>
      <c r="B2" t="s">
        <v>1162</v>
      </c>
    </row>
    <row r="3" spans="1:8">
      <c r="C3" t="s">
        <v>1163</v>
      </c>
    </row>
    <row r="4" spans="1:8">
      <c r="B4" t="s">
        <v>1164</v>
      </c>
    </row>
    <row r="5" spans="1:8">
      <c r="C5" t="s">
        <v>1165</v>
      </c>
    </row>
    <row r="6" spans="1:8">
      <c r="D6" t="s">
        <v>1166</v>
      </c>
    </row>
    <row r="7" spans="1:8">
      <c r="D7" t="s">
        <v>1167</v>
      </c>
    </row>
    <row r="8" spans="1:8">
      <c r="C8" t="s">
        <v>1168</v>
      </c>
    </row>
    <row r="9" spans="1:8">
      <c r="B9" t="s">
        <v>1169</v>
      </c>
    </row>
    <row r="10" spans="1:8">
      <c r="B10" t="s">
        <v>1170</v>
      </c>
    </row>
    <row r="11" spans="1:8">
      <c r="C11" t="s">
        <v>1171</v>
      </c>
    </row>
    <row r="12" spans="1:8">
      <c r="C12" t="s">
        <v>1172</v>
      </c>
    </row>
    <row r="13" spans="1:8">
      <c r="D13" t="s">
        <v>1173</v>
      </c>
    </row>
    <row r="14" spans="1:8">
      <c r="E14" t="s">
        <v>1174</v>
      </c>
    </row>
    <row r="15" spans="1:8">
      <c r="E15" t="s">
        <v>1175</v>
      </c>
    </row>
    <row r="16" spans="1:8">
      <c r="E16" t="s">
        <v>1176</v>
      </c>
    </row>
    <row r="17" spans="5:5">
      <c r="E17" t="s">
        <v>1177</v>
      </c>
    </row>
  </sheetData>
  <pageMargins left="0.75" right="0.75" top="1" bottom="1" header="0.5" footer="0.5"/>
  <pageSetup paperSize="9" orientation="portrait"/>
  <headerFooter/>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
  <sheetViews>
    <sheetView workbookViewId="0">
      <selection activeCell="B2" sqref="B2"/>
    </sheetView>
  </sheetViews>
  <sheetFormatPr defaultColWidth="8.88888888888889" defaultRowHeight="14.4" outlineLevelRow="3" outlineLevelCol="7"/>
  <cols>
    <col min="1" max="1" width="9.66666666666667"/>
  </cols>
  <sheetData>
    <row r="1" s="1" customFormat="1" spans="1:8">
      <c r="A1" s="1">
        <f>SUM(B1:AZ1)</f>
        <v>1.33333333333333</v>
      </c>
      <c r="B1" s="1">
        <f t="shared" ref="B1:H1" si="0">COUNTA(B2:B2066)/COLUMN()</f>
        <v>1</v>
      </c>
      <c r="C1" s="1">
        <f t="shared" si="0"/>
        <v>0.333333333333333</v>
      </c>
      <c r="D1" s="1">
        <f t="shared" si="0"/>
        <v>0</v>
      </c>
      <c r="E1" s="1">
        <f t="shared" si="0"/>
        <v>0</v>
      </c>
      <c r="F1" s="1">
        <f t="shared" si="0"/>
        <v>0</v>
      </c>
      <c r="G1" s="1">
        <f t="shared" si="0"/>
        <v>0</v>
      </c>
      <c r="H1" s="1">
        <f t="shared" si="0"/>
        <v>0</v>
      </c>
    </row>
    <row r="2" spans="1:8">
      <c r="A2">
        <v>20240603</v>
      </c>
      <c r="B2" t="s">
        <v>1178</v>
      </c>
    </row>
    <row r="3" spans="1:8">
      <c r="C3" t="s">
        <v>1179</v>
      </c>
    </row>
    <row r="4" spans="1:8">
      <c r="B4" t="s">
        <v>1180</v>
      </c>
    </row>
  </sheetData>
  <pageMargins left="0.75" right="0.75" top="1" bottom="1" header="0.5" footer="0.5"/>
  <pageSetup paperSize="9" orientation="portrait"/>
  <headerFooter/>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2"/>
  <sheetViews>
    <sheetView workbookViewId="0">
      <selection activeCell="K11" sqref="K11"/>
    </sheetView>
  </sheetViews>
  <sheetFormatPr defaultColWidth="8.88888888888889" defaultRowHeight="14.4" outlineLevelCol="7"/>
  <cols>
    <col min="1" max="1" width="9.66666666666667"/>
  </cols>
  <sheetData>
    <row r="1" s="1" customFormat="1" spans="1:8">
      <c r="A1" s="1">
        <f>SUM(B1:AZ1)</f>
        <v>4.16666666666667</v>
      </c>
      <c r="B1" s="1">
        <f t="shared" ref="B1:H1" si="0">COUNTA(B2:B2066)/COLUMN()</f>
        <v>1.5</v>
      </c>
      <c r="C1" s="1">
        <f t="shared" si="0"/>
        <v>2.66666666666667</v>
      </c>
      <c r="D1" s="1">
        <f t="shared" si="0"/>
        <v>0</v>
      </c>
      <c r="E1" s="1">
        <f t="shared" si="0"/>
        <v>0</v>
      </c>
      <c r="F1" s="1">
        <f t="shared" si="0"/>
        <v>0</v>
      </c>
      <c r="G1" s="1">
        <f t="shared" si="0"/>
        <v>0</v>
      </c>
      <c r="H1" s="1">
        <f t="shared" si="0"/>
        <v>0</v>
      </c>
    </row>
    <row r="2" spans="1:8">
      <c r="A2">
        <v>20240720</v>
      </c>
      <c r="B2" t="s">
        <v>1181</v>
      </c>
    </row>
    <row r="3" spans="1:8">
      <c r="C3" t="s">
        <v>1182</v>
      </c>
    </row>
    <row r="4" spans="1:8">
      <c r="C4" t="s">
        <v>1183</v>
      </c>
    </row>
    <row r="5" spans="1:8">
      <c r="C5" t="s">
        <v>1184</v>
      </c>
    </row>
    <row r="6" spans="1:8">
      <c r="B6" t="s">
        <v>1185</v>
      </c>
    </row>
    <row r="7" spans="1:8">
      <c r="C7" t="s">
        <v>1186</v>
      </c>
    </row>
    <row r="8" spans="1:8">
      <c r="C8" t="s">
        <v>1187</v>
      </c>
    </row>
    <row r="9" spans="1:8">
      <c r="B9" t="s">
        <v>1188</v>
      </c>
    </row>
    <row r="10" spans="1:8">
      <c r="C10" t="s">
        <v>1189</v>
      </c>
    </row>
    <row r="11" spans="1:8">
      <c r="C11" t="s">
        <v>1190</v>
      </c>
    </row>
    <row r="12" spans="1:8">
      <c r="C12" t="s">
        <v>1191</v>
      </c>
    </row>
  </sheetData>
  <pageMargins left="0.75" right="0.75" top="1" bottom="1" header="0.5" footer="0.5"/>
  <pageSetup paperSize="9" orientation="portrait"/>
  <headerFooter/>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3"/>
  <sheetViews>
    <sheetView workbookViewId="0">
      <selection activeCell="B2" sqref="B2"/>
    </sheetView>
  </sheetViews>
  <sheetFormatPr defaultColWidth="8.88888888888889" defaultRowHeight="14.4" outlineLevelCol="7"/>
  <cols>
    <col min="1" max="1" width="9.66666666666667"/>
  </cols>
  <sheetData>
    <row r="1" s="1" customFormat="1" spans="1:8">
      <c r="A1" s="1">
        <f>SUM(B1:AZ1)</f>
        <v>5</v>
      </c>
      <c r="B1" s="1">
        <f t="shared" ref="B1:H1" si="0">COUNTA(B2:B2066)/COLUMN()</f>
        <v>3</v>
      </c>
      <c r="C1" s="1">
        <f t="shared" si="0"/>
        <v>2</v>
      </c>
      <c r="D1" s="1">
        <f t="shared" si="0"/>
        <v>0</v>
      </c>
      <c r="E1" s="1">
        <f t="shared" si="0"/>
        <v>0</v>
      </c>
      <c r="F1" s="1">
        <f t="shared" si="0"/>
        <v>0</v>
      </c>
      <c r="G1" s="1">
        <f t="shared" si="0"/>
        <v>0</v>
      </c>
      <c r="H1" s="1">
        <f t="shared" si="0"/>
        <v>0</v>
      </c>
    </row>
    <row r="2" spans="1:8">
      <c r="A2">
        <v>20240721</v>
      </c>
      <c r="B2" t="s">
        <v>1192</v>
      </c>
    </row>
    <row r="3" spans="1:8">
      <c r="C3" t="s">
        <v>1193</v>
      </c>
    </row>
    <row r="4" spans="1:8">
      <c r="B4" t="s">
        <v>1194</v>
      </c>
    </row>
    <row r="5" spans="1:8">
      <c r="C5" t="s">
        <v>1195</v>
      </c>
    </row>
    <row r="6" spans="1:8">
      <c r="B6" t="s">
        <v>1196</v>
      </c>
    </row>
    <row r="7" spans="1:8">
      <c r="B7" t="s">
        <v>1197</v>
      </c>
    </row>
    <row r="8" spans="1:8">
      <c r="C8" t="s">
        <v>1198</v>
      </c>
    </row>
    <row r="9" spans="1:8">
      <c r="C9" t="s">
        <v>1199</v>
      </c>
    </row>
    <row r="10" spans="1:8">
      <c r="B10" t="s">
        <v>1200</v>
      </c>
    </row>
    <row r="11" spans="1:8">
      <c r="B11" t="s">
        <v>1201</v>
      </c>
    </row>
    <row r="12" spans="1:8">
      <c r="C12" t="s">
        <v>1202</v>
      </c>
    </row>
    <row r="13" spans="1:8">
      <c r="C13" t="s">
        <v>1203</v>
      </c>
    </row>
  </sheetData>
  <pageMargins left="0.75" right="0.75" top="1" bottom="1" header="0.5" footer="0.5"/>
  <pageSetup paperSize="9" orientation="portrait"/>
  <headerFooter/>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
  <sheetViews>
    <sheetView workbookViewId="0">
      <selection activeCell="A1" sqref="$A1:$XFD1"/>
    </sheetView>
  </sheetViews>
  <sheetFormatPr defaultColWidth="8.88888888888889" defaultRowHeight="14.4" outlineLevelRow="1" outlineLevelCol="7"/>
  <cols>
    <col min="1" max="1" width="9.66666666666667"/>
  </cols>
  <sheetData>
    <row r="1" s="1" customFormat="1" spans="1:8">
      <c r="A1" s="1">
        <f>SUM(B1:AZ1)</f>
        <v>0.5</v>
      </c>
      <c r="B1" s="1">
        <f t="shared" ref="B1:H1" si="0">COUNTA(B2:B2066)/COLUMN()</f>
        <v>0.5</v>
      </c>
      <c r="C1" s="1">
        <f t="shared" si="0"/>
        <v>0</v>
      </c>
      <c r="D1" s="1">
        <f t="shared" si="0"/>
        <v>0</v>
      </c>
      <c r="E1" s="1">
        <f t="shared" si="0"/>
        <v>0</v>
      </c>
      <c r="F1" s="1">
        <f t="shared" si="0"/>
        <v>0</v>
      </c>
      <c r="G1" s="1">
        <f t="shared" si="0"/>
        <v>0</v>
      </c>
      <c r="H1" s="1">
        <f t="shared" si="0"/>
        <v>0</v>
      </c>
    </row>
    <row r="2" spans="1:8">
      <c r="A2">
        <v>20240727</v>
      </c>
      <c r="B2" t="s">
        <v>1204</v>
      </c>
    </row>
  </sheetData>
  <pageMargins left="0.75" right="0.75" top="1" bottom="1" header="0.5" footer="0.5"/>
  <pageSetup paperSize="9" orientation="portrait"/>
  <headerFooter/>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
  <sheetViews>
    <sheetView workbookViewId="0">
      <selection activeCell="B5" sqref="B5"/>
    </sheetView>
  </sheetViews>
  <sheetFormatPr defaultColWidth="8.88888888888889" defaultRowHeight="14.4" outlineLevelRow="6" outlineLevelCol="7"/>
  <cols>
    <col min="1" max="1" width="9.66666666666667"/>
  </cols>
  <sheetData>
    <row r="1" s="1" customFormat="1" spans="1:8">
      <c r="A1" s="1">
        <f>SUM(B1:AZ1)</f>
        <v>2.66666666666667</v>
      </c>
      <c r="B1" s="1">
        <f t="shared" ref="B1:H1" si="0">COUNTA(B2:B2066)/COLUMN()</f>
        <v>2</v>
      </c>
      <c r="C1" s="1">
        <f t="shared" si="0"/>
        <v>0.666666666666667</v>
      </c>
      <c r="D1" s="1">
        <f t="shared" si="0"/>
        <v>0</v>
      </c>
      <c r="E1" s="1">
        <f t="shared" si="0"/>
        <v>0</v>
      </c>
      <c r="F1" s="1">
        <f t="shared" si="0"/>
        <v>0</v>
      </c>
      <c r="G1" s="1">
        <f t="shared" si="0"/>
        <v>0</v>
      </c>
      <c r="H1" s="1">
        <f t="shared" si="0"/>
        <v>0</v>
      </c>
    </row>
    <row r="2" spans="1:8">
      <c r="A2">
        <v>20240804</v>
      </c>
      <c r="B2" t="s">
        <v>1205</v>
      </c>
    </row>
    <row r="3" spans="1:8">
      <c r="C3" t="s">
        <v>1206</v>
      </c>
    </row>
    <row r="4" spans="1:8">
      <c r="C4" t="s">
        <v>1207</v>
      </c>
    </row>
    <row r="5" spans="1:8">
      <c r="B5" t="s">
        <v>1208</v>
      </c>
    </row>
    <row r="6" spans="1:8">
      <c r="B6" t="s">
        <v>1209</v>
      </c>
    </row>
    <row r="7" spans="1:8">
      <c r="B7" t="s">
        <v>1210</v>
      </c>
    </row>
  </sheetData>
  <pageMargins left="0.75" right="0.75" top="1" bottom="1" header="0.5" footer="0.5"/>
  <pageSetup paperSize="9" orientation="portrait"/>
  <headerFooter/>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
  <sheetViews>
    <sheetView workbookViewId="0">
      <selection activeCell="K12" sqref="K12"/>
    </sheetView>
  </sheetViews>
  <sheetFormatPr defaultColWidth="8.88888888888889" defaultRowHeight="14.4" outlineLevelRow="5" outlineLevelCol="7"/>
  <cols>
    <col min="1" max="1" width="9.66666666666667"/>
  </cols>
  <sheetData>
    <row r="1" s="1" customFormat="1" spans="1:8">
      <c r="A1" s="1">
        <f>SUM(B1:AZ1)</f>
        <v>1.83333333333333</v>
      </c>
      <c r="B1" s="1">
        <f t="shared" ref="B1:H1" si="0">COUNTA(B2:B2066)/COLUMN()</f>
        <v>0.5</v>
      </c>
      <c r="C1" s="1">
        <f t="shared" si="0"/>
        <v>1.33333333333333</v>
      </c>
      <c r="D1" s="1">
        <f t="shared" si="0"/>
        <v>0</v>
      </c>
      <c r="E1" s="1">
        <f t="shared" si="0"/>
        <v>0</v>
      </c>
      <c r="F1" s="1">
        <f t="shared" si="0"/>
        <v>0</v>
      </c>
      <c r="G1" s="1">
        <f t="shared" si="0"/>
        <v>0</v>
      </c>
      <c r="H1" s="1">
        <f t="shared" si="0"/>
        <v>0</v>
      </c>
    </row>
    <row r="2" spans="1:8">
      <c r="A2">
        <v>20240810</v>
      </c>
      <c r="B2" t="s">
        <v>1211</v>
      </c>
    </row>
    <row r="3" spans="1:8">
      <c r="C3" t="s">
        <v>1212</v>
      </c>
    </row>
    <row r="4" spans="1:8">
      <c r="C4" t="s">
        <v>1213</v>
      </c>
    </row>
    <row r="5" spans="1:8">
      <c r="C5" t="s">
        <v>1214</v>
      </c>
    </row>
    <row r="6" spans="1:8">
      <c r="C6" t="s">
        <v>1215</v>
      </c>
    </row>
  </sheetData>
  <pageMargins left="0.75" right="0.75" top="1" bottom="1" header="0.5" footer="0.5"/>
  <pageSetup paperSize="9" orientation="portrait"/>
  <headerFooter/>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
  <sheetViews>
    <sheetView workbookViewId="0">
      <selection activeCell="B1" sqref="B1"/>
    </sheetView>
  </sheetViews>
  <sheetFormatPr defaultColWidth="8.88888888888889" defaultRowHeight="14.4" outlineLevelRow="2" outlineLevelCol="7"/>
  <cols>
    <col min="1" max="1" width="9.66666666666667"/>
  </cols>
  <sheetData>
    <row r="1" s="1" customFormat="1" spans="1:8">
      <c r="A1" s="1">
        <f>SUM(B1:AZ1)</f>
        <v>0.833333333333333</v>
      </c>
      <c r="B1" s="1">
        <f>COUNTA(B2:B2066)/COLUMN()</f>
        <v>0.5</v>
      </c>
      <c r="C1" s="1">
        <f t="shared" ref="B1:H1" si="0">COUNTA(C2:C2066)/COLUMN()</f>
        <v>0.333333333333333</v>
      </c>
      <c r="D1" s="1">
        <f t="shared" si="0"/>
        <v>0</v>
      </c>
      <c r="E1" s="1">
        <f t="shared" si="0"/>
        <v>0</v>
      </c>
      <c r="F1" s="1">
        <f t="shared" si="0"/>
        <v>0</v>
      </c>
      <c r="G1" s="1">
        <f t="shared" si="0"/>
        <v>0</v>
      </c>
      <c r="H1" s="1">
        <f t="shared" si="0"/>
        <v>0</v>
      </c>
    </row>
    <row r="2" spans="1:8">
      <c r="A2">
        <v>20240811</v>
      </c>
      <c r="B2" t="s">
        <v>1216</v>
      </c>
    </row>
    <row r="3" spans="1:8">
      <c r="C3" t="s">
        <v>1217</v>
      </c>
    </row>
  </sheetData>
  <pageMargins left="0.75" right="0.75" top="1" bottom="1" header="0.5" footer="0.5"/>
  <pageSetup paperSize="9" orientation="portrait"/>
  <headerFooter/>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
  <sheetViews>
    <sheetView workbookViewId="0">
      <selection activeCell="B2" sqref="B2"/>
    </sheetView>
  </sheetViews>
  <sheetFormatPr defaultColWidth="8.88888888888889" defaultRowHeight="14.4" outlineLevelRow="4" outlineLevelCol="7"/>
  <cols>
    <col min="1" max="1" width="9.66666666666667"/>
  </cols>
  <sheetData>
    <row r="1" s="1" customFormat="1" spans="1:8">
      <c r="A1" s="1">
        <f>SUM(B1:AZ1)</f>
        <v>1.66666666666667</v>
      </c>
      <c r="B1" s="1">
        <f t="shared" ref="B1:H1" si="0">COUNTA(B2:B2066)/COLUMN()</f>
        <v>1</v>
      </c>
      <c r="C1" s="1">
        <f t="shared" si="0"/>
        <v>0.666666666666667</v>
      </c>
      <c r="D1" s="1">
        <f t="shared" si="0"/>
        <v>0</v>
      </c>
      <c r="E1" s="1">
        <f t="shared" si="0"/>
        <v>0</v>
      </c>
      <c r="F1" s="1">
        <f t="shared" si="0"/>
        <v>0</v>
      </c>
      <c r="G1" s="1">
        <f t="shared" si="0"/>
        <v>0</v>
      </c>
      <c r="H1" s="1">
        <f t="shared" si="0"/>
        <v>0</v>
      </c>
    </row>
    <row r="2" spans="1:8">
      <c r="A2">
        <v>20240831</v>
      </c>
      <c r="B2" t="s">
        <v>1218</v>
      </c>
    </row>
    <row r="3" spans="1:8">
      <c r="B3" t="s">
        <v>1219</v>
      </c>
    </row>
    <row r="4" spans="1:8">
      <c r="C4" t="s">
        <v>1220</v>
      </c>
    </row>
    <row r="5" spans="1:8">
      <c r="C5" t="s">
        <v>1221</v>
      </c>
    </row>
  </sheetData>
  <pageMargins left="0.75" right="0.75" top="1" bottom="1" header="0.5" footer="0.5"/>
  <pageSetup paperSize="9" orientation="portrait"/>
  <headerFooter/>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
  <sheetViews>
    <sheetView workbookViewId="0">
      <selection activeCell="A1" sqref="$A1:$XFD1"/>
    </sheetView>
  </sheetViews>
  <sheetFormatPr defaultColWidth="8.88888888888889" defaultRowHeight="14.4" outlineLevelRow="2" outlineLevelCol="7"/>
  <cols>
    <col min="1" max="1" width="9.66666666666667"/>
  </cols>
  <sheetData>
    <row r="1" s="1" customFormat="1" spans="1:8">
      <c r="A1" s="1">
        <f>SUM(B1:AZ1)</f>
        <v>1</v>
      </c>
      <c r="B1" s="1">
        <f t="shared" ref="B1:H1" si="0">COUNTA(B2:B2066)/COLUMN()</f>
        <v>1</v>
      </c>
      <c r="C1" s="1">
        <f t="shared" si="0"/>
        <v>0</v>
      </c>
      <c r="D1" s="1">
        <f t="shared" si="0"/>
        <v>0</v>
      </c>
      <c r="E1" s="1">
        <f t="shared" si="0"/>
        <v>0</v>
      </c>
      <c r="F1" s="1">
        <f t="shared" si="0"/>
        <v>0</v>
      </c>
      <c r="G1" s="1">
        <f t="shared" si="0"/>
        <v>0</v>
      </c>
      <c r="H1" s="1">
        <f t="shared" si="0"/>
        <v>0</v>
      </c>
    </row>
    <row r="2" spans="1:8">
      <c r="A2">
        <v>20240901</v>
      </c>
      <c r="B2" t="s">
        <v>1222</v>
      </c>
    </row>
    <row r="3" spans="1:8">
      <c r="B3" t="s">
        <v>1223</v>
      </c>
    </row>
  </sheetData>
  <pageMargins left="0.75" right="0.75" top="1" bottom="1" header="0.5" footer="0.5"/>
  <pageSetup paperSize="9" orientation="portrait"/>
  <headerFooter/>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
  <sheetViews>
    <sheetView workbookViewId="0">
      <selection activeCell="C4" sqref="C4"/>
    </sheetView>
  </sheetViews>
  <sheetFormatPr defaultColWidth="8.88888888888889" defaultRowHeight="14.4" outlineLevelRow="3" outlineLevelCol="7"/>
  <sheetData>
    <row r="1" s="1" customFormat="1" spans="1:8">
      <c r="A1" s="1">
        <f>SUM(B1:AZ1)</f>
        <v>1.16666666666667</v>
      </c>
      <c r="B1" s="1">
        <f t="shared" ref="B1:H1" si="0">COUNTA(B2:B2066)/COLUMN()</f>
        <v>0.5</v>
      </c>
      <c r="C1" s="1">
        <f t="shared" si="0"/>
        <v>0.666666666666667</v>
      </c>
      <c r="D1" s="1">
        <f t="shared" si="0"/>
        <v>0</v>
      </c>
      <c r="E1" s="1">
        <f t="shared" si="0"/>
        <v>0</v>
      </c>
      <c r="F1" s="1">
        <f t="shared" si="0"/>
        <v>0</v>
      </c>
      <c r="G1" s="1">
        <f t="shared" si="0"/>
        <v>0</v>
      </c>
      <c r="H1" s="1">
        <f t="shared" si="0"/>
        <v>0</v>
      </c>
    </row>
    <row r="2" spans="1:8">
      <c r="A2">
        <v>20240907</v>
      </c>
      <c r="B2" t="s">
        <v>1224</v>
      </c>
    </row>
    <row r="3" spans="1:8">
      <c r="C3" t="s">
        <v>1225</v>
      </c>
    </row>
    <row r="4" spans="1:8">
      <c r="C4" t="s">
        <v>1226</v>
      </c>
    </row>
  </sheetData>
  <pageMargins left="0.75" right="0.75" top="1" bottom="1" header="0.5" footer="0.5"/>
  <pageSetup paperSize="9" orientation="portrait"/>
  <headerFooter/>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
  <sheetViews>
    <sheetView workbookViewId="0">
      <selection activeCell="B2" sqref="B2"/>
    </sheetView>
  </sheetViews>
  <sheetFormatPr defaultColWidth="8.88888888888889" defaultRowHeight="14.4" outlineLevelRow="5" outlineLevelCol="7"/>
  <cols>
    <col min="1" max="1" width="9.66666666666667"/>
  </cols>
  <sheetData>
    <row r="1" s="1" customFormat="1" spans="1:8">
      <c r="A1" s="1">
        <f>SUM(B1:AZ1)</f>
        <v>1.83333333333333</v>
      </c>
      <c r="B1" s="1">
        <f t="shared" ref="B1:H1" si="0">COUNTA(B2:B2066)/COLUMN()</f>
        <v>0.5</v>
      </c>
      <c r="C1" s="1">
        <f t="shared" si="0"/>
        <v>1.33333333333333</v>
      </c>
      <c r="D1" s="1">
        <f t="shared" si="0"/>
        <v>0</v>
      </c>
      <c r="E1" s="1">
        <f t="shared" si="0"/>
        <v>0</v>
      </c>
      <c r="F1" s="1">
        <f t="shared" si="0"/>
        <v>0</v>
      </c>
      <c r="G1" s="1">
        <f t="shared" si="0"/>
        <v>0</v>
      </c>
      <c r="H1" s="1">
        <f t="shared" si="0"/>
        <v>0</v>
      </c>
    </row>
    <row r="2" spans="1:8">
      <c r="A2">
        <v>20240908</v>
      </c>
      <c r="B2" t="s">
        <v>1227</v>
      </c>
    </row>
    <row r="3" spans="1:8">
      <c r="C3" t="s">
        <v>1228</v>
      </c>
    </row>
    <row r="4" spans="1:8">
      <c r="C4" t="s">
        <v>1229</v>
      </c>
    </row>
    <row r="5" spans="1:8">
      <c r="C5" t="s">
        <v>1230</v>
      </c>
    </row>
    <row r="6" spans="1:8">
      <c r="C6" t="s">
        <v>1231</v>
      </c>
    </row>
  </sheetData>
  <pageMargins left="0.75" right="0.75" top="1" bottom="1" header="0.5" footer="0.5"/>
  <pageSetup paperSize="9" orientation="portrait"/>
  <headerFooter/>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
  <sheetViews>
    <sheetView workbookViewId="0">
      <selection activeCell="A1" sqref="$A1:$XFD1"/>
    </sheetView>
  </sheetViews>
  <sheetFormatPr defaultColWidth="8.88888888888889" defaultRowHeight="14.4" outlineLevelRow="6" outlineLevelCol="7"/>
  <cols>
    <col min="1" max="1" width="9.66666666666667"/>
  </cols>
  <sheetData>
    <row r="1" s="1" customFormat="1" spans="1:8">
      <c r="A1" s="1">
        <f>SUM(B1:AZ1)</f>
        <v>2.16666666666667</v>
      </c>
      <c r="B1" s="1">
        <f t="shared" ref="B1:H1" si="0">COUNTA(B2:B2066)/COLUMN()</f>
        <v>0.5</v>
      </c>
      <c r="C1" s="1">
        <f t="shared" si="0"/>
        <v>1.66666666666667</v>
      </c>
      <c r="D1" s="1">
        <f t="shared" si="0"/>
        <v>0</v>
      </c>
      <c r="E1" s="1">
        <f t="shared" si="0"/>
        <v>0</v>
      </c>
      <c r="F1" s="1">
        <f t="shared" si="0"/>
        <v>0</v>
      </c>
      <c r="G1" s="1">
        <f t="shared" si="0"/>
        <v>0</v>
      </c>
      <c r="H1" s="1">
        <f t="shared" si="0"/>
        <v>0</v>
      </c>
    </row>
    <row r="2" spans="1:8">
      <c r="A2">
        <v>20240916</v>
      </c>
      <c r="B2" t="s">
        <v>1232</v>
      </c>
    </row>
    <row r="3" spans="1:8">
      <c r="C3" t="s">
        <v>1233</v>
      </c>
    </row>
    <row r="4" spans="1:8">
      <c r="C4" t="s">
        <v>1234</v>
      </c>
    </row>
    <row r="5" spans="1:8">
      <c r="C5" t="s">
        <v>1235</v>
      </c>
    </row>
    <row r="6" spans="1:8">
      <c r="C6" t="s">
        <v>1236</v>
      </c>
    </row>
    <row r="7" spans="1:8">
      <c r="C7" t="s">
        <v>1237</v>
      </c>
    </row>
  </sheetData>
  <pageMargins left="0.75" right="0.75" top="1" bottom="1" header="0.5" footer="0.5"/>
  <pageSetup paperSize="9" orientation="portrait"/>
  <headerFooter/>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
  <sheetViews>
    <sheetView workbookViewId="0">
      <selection activeCell="H5" sqref="H5"/>
    </sheetView>
  </sheetViews>
  <sheetFormatPr defaultColWidth="8.88888888888889" defaultRowHeight="14.4" outlineLevelCol="7"/>
  <cols>
    <col min="1" max="1" width="9.66666666666667"/>
  </cols>
  <sheetData>
    <row r="1" s="1" customFormat="1" spans="1:8">
      <c r="A1" s="1">
        <f>SUM(B1:AZ1)</f>
        <v>3.16666666666667</v>
      </c>
      <c r="B1" s="1">
        <f t="shared" ref="B1:H1" si="0">COUNTA(B2:B2066)/COLUMN()</f>
        <v>1</v>
      </c>
      <c r="C1" s="1">
        <f t="shared" si="0"/>
        <v>1.66666666666667</v>
      </c>
      <c r="D1" s="1">
        <f t="shared" si="0"/>
        <v>0.5</v>
      </c>
      <c r="E1" s="1">
        <f t="shared" si="0"/>
        <v>0</v>
      </c>
      <c r="F1" s="1">
        <f t="shared" si="0"/>
        <v>0</v>
      </c>
      <c r="G1" s="1">
        <f t="shared" si="0"/>
        <v>0</v>
      </c>
      <c r="H1" s="1">
        <f t="shared" si="0"/>
        <v>0</v>
      </c>
    </row>
    <row r="2" spans="1:8">
      <c r="A2">
        <v>20240922</v>
      </c>
      <c r="B2" t="s">
        <v>1238</v>
      </c>
    </row>
    <row r="3" spans="1:8">
      <c r="C3" t="s">
        <v>1239</v>
      </c>
    </row>
    <row r="4" spans="1:8">
      <c r="C4" t="s">
        <v>1240</v>
      </c>
    </row>
    <row r="5" spans="1:8">
      <c r="B5" t="s">
        <v>1241</v>
      </c>
    </row>
    <row r="6" spans="1:8">
      <c r="C6" t="s">
        <v>1242</v>
      </c>
    </row>
    <row r="7" spans="1:8">
      <c r="C7" t="s">
        <v>1243</v>
      </c>
    </row>
    <row r="8" spans="1:8">
      <c r="D8" t="s">
        <v>1244</v>
      </c>
    </row>
    <row r="9" spans="1:8">
      <c r="D9" t="s">
        <v>1245</v>
      </c>
    </row>
    <row r="10" spans="1:8">
      <c r="C10" t="s">
        <v>1246</v>
      </c>
    </row>
  </sheetData>
  <pageMargins left="0.75" right="0.75" top="1" bottom="1" header="0.5" footer="0.5"/>
  <pageSetup paperSize="9" orientation="portrait"/>
  <headerFooter/>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9"/>
  <sheetViews>
    <sheetView workbookViewId="0">
      <selection activeCell="D7" sqref="D7"/>
    </sheetView>
  </sheetViews>
  <sheetFormatPr defaultColWidth="8.88888888888889" defaultRowHeight="14.4" outlineLevelCol="7"/>
  <cols>
    <col min="1" max="1" width="9.66666666666667"/>
  </cols>
  <sheetData>
    <row r="1" s="1" customFormat="1" spans="1:8">
      <c r="A1" s="1">
        <f>SUM(B1:AZ1)</f>
        <v>2.58333333333333</v>
      </c>
      <c r="B1" s="1">
        <f t="shared" ref="B1:H1" si="0">COUNTA(B2:B2067)/COLUMN()</f>
        <v>0.5</v>
      </c>
      <c r="C1" s="1">
        <f t="shared" si="0"/>
        <v>1.33333333333333</v>
      </c>
      <c r="D1" s="1">
        <f t="shared" si="0"/>
        <v>0.75</v>
      </c>
      <c r="E1" s="1">
        <f t="shared" si="0"/>
        <v>0</v>
      </c>
      <c r="F1" s="1">
        <f t="shared" si="0"/>
        <v>0</v>
      </c>
      <c r="G1" s="1">
        <f t="shared" si="0"/>
        <v>0</v>
      </c>
      <c r="H1" s="1">
        <f t="shared" si="0"/>
        <v>0</v>
      </c>
    </row>
    <row r="2" spans="1:8">
      <c r="A2">
        <v>20241001</v>
      </c>
      <c r="B2" t="s">
        <v>1247</v>
      </c>
    </row>
    <row r="3" spans="1:8">
      <c r="C3" t="s">
        <v>1248</v>
      </c>
    </row>
    <row r="4" spans="1:8">
      <c r="C4" t="s">
        <v>1249</v>
      </c>
    </row>
    <row r="5" spans="1:8">
      <c r="C5" t="s">
        <v>1250</v>
      </c>
    </row>
    <row r="6" spans="1:8">
      <c r="C6" t="s">
        <v>1251</v>
      </c>
    </row>
    <row r="7" spans="1:8">
      <c r="D7" t="s">
        <v>1252</v>
      </c>
    </row>
    <row r="8" spans="1:8">
      <c r="D8" t="s">
        <v>1253</v>
      </c>
    </row>
    <row r="9" spans="1:8">
      <c r="D9" t="s">
        <v>1254</v>
      </c>
    </row>
  </sheetData>
  <pageMargins left="0.75" right="0.75" top="1" bottom="1" header="0.5" footer="0.5"/>
  <pageSetup paperSize="9" orientation="portrait"/>
  <headerFooter/>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
  <sheetViews>
    <sheetView workbookViewId="0">
      <selection activeCell="B3" sqref="B3"/>
    </sheetView>
  </sheetViews>
  <sheetFormatPr defaultColWidth="8.88888888888889" defaultRowHeight="14.4" outlineLevelRow="2" outlineLevelCol="7"/>
  <cols>
    <col min="1" max="1" width="9.66666666666667"/>
  </cols>
  <sheetData>
    <row r="1" s="1" customFormat="1" spans="1:8">
      <c r="A1" s="1">
        <f>SUM(B1:AZ1)</f>
        <v>1</v>
      </c>
      <c r="B1" s="1">
        <f t="shared" ref="B1:H1" si="0">COUNTA(B2:B2067)/COLUMN()</f>
        <v>1</v>
      </c>
      <c r="C1" s="1">
        <f t="shared" si="0"/>
        <v>0</v>
      </c>
      <c r="D1" s="1">
        <f t="shared" si="0"/>
        <v>0</v>
      </c>
      <c r="E1" s="1">
        <f t="shared" si="0"/>
        <v>0</v>
      </c>
      <c r="F1" s="1">
        <f t="shared" si="0"/>
        <v>0</v>
      </c>
      <c r="G1" s="1">
        <f t="shared" si="0"/>
        <v>0</v>
      </c>
      <c r="H1" s="1">
        <f t="shared" si="0"/>
        <v>0</v>
      </c>
    </row>
    <row r="2" spans="1:8">
      <c r="A2">
        <v>20241006</v>
      </c>
      <c r="B2" t="s">
        <v>1255</v>
      </c>
    </row>
    <row r="3" spans="1:8">
      <c r="B3" t="s">
        <v>1256</v>
      </c>
    </row>
  </sheetData>
  <pageMargins left="0.75" right="0.75" top="1" bottom="1" header="0.5" footer="0.5"/>
  <pageSetup paperSize="9" orientation="portrait"/>
  <headerFooter/>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
  <sheetViews>
    <sheetView workbookViewId="0">
      <selection activeCell="B2" sqref="B2"/>
    </sheetView>
  </sheetViews>
  <sheetFormatPr defaultColWidth="8.88888888888889" defaultRowHeight="14.4" outlineLevelRow="3" outlineLevelCol="7"/>
  <sheetData>
    <row r="1" s="1" customFormat="1" spans="1:8">
      <c r="A1" s="1">
        <f>SUM(B1:AZ1)</f>
        <v>1.33333333333333</v>
      </c>
      <c r="B1" s="1">
        <f t="shared" ref="B1:H1" si="0">COUNTA(B2:B2067)/COLUMN()</f>
        <v>1</v>
      </c>
      <c r="C1" s="1">
        <f t="shared" si="0"/>
        <v>0.333333333333333</v>
      </c>
      <c r="D1" s="1">
        <f t="shared" si="0"/>
        <v>0</v>
      </c>
      <c r="E1" s="1">
        <f t="shared" si="0"/>
        <v>0</v>
      </c>
      <c r="F1" s="1">
        <f t="shared" si="0"/>
        <v>0</v>
      </c>
      <c r="G1" s="1">
        <f t="shared" si="0"/>
        <v>0</v>
      </c>
      <c r="H1" s="1">
        <f t="shared" si="0"/>
        <v>0</v>
      </c>
    </row>
    <row r="2" spans="1:8">
      <c r="A2">
        <v>20241019</v>
      </c>
      <c r="B2" t="s">
        <v>1257</v>
      </c>
    </row>
    <row r="3" spans="1:8">
      <c r="B3" t="s">
        <v>1258</v>
      </c>
    </row>
    <row r="4" spans="1:8">
      <c r="C4" t="s">
        <v>1259</v>
      </c>
    </row>
  </sheetData>
  <pageMargins left="0.75" right="0.75" top="1" bottom="1" header="0.5" footer="0.5"/>
  <pageSetup paperSize="9" orientation="portrait"/>
  <headerFooter/>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
  <sheetViews>
    <sheetView workbookViewId="0">
      <selection activeCell="A1" sqref="$A1:$XFD2"/>
    </sheetView>
  </sheetViews>
  <sheetFormatPr defaultColWidth="8.88888888888889" defaultRowHeight="14.4" outlineLevelRow="4" outlineLevelCol="7"/>
  <cols>
    <col min="1" max="1" width="9.66666666666667"/>
  </cols>
  <sheetData>
    <row r="1" s="1" customFormat="1" spans="1:8">
      <c r="A1" s="1">
        <f>SUM(B1:AZ1)</f>
        <v>1.41666666666667</v>
      </c>
      <c r="B1" s="1">
        <f t="shared" ref="B1:H1" si="0">COUNTA(B2:B2067)/COLUMN()</f>
        <v>0.5</v>
      </c>
      <c r="C1" s="1">
        <f t="shared" si="0"/>
        <v>0.666666666666667</v>
      </c>
      <c r="D1" s="1">
        <f t="shared" si="0"/>
        <v>0.25</v>
      </c>
      <c r="E1" s="1">
        <f t="shared" si="0"/>
        <v>0</v>
      </c>
      <c r="F1" s="1">
        <f t="shared" si="0"/>
        <v>0</v>
      </c>
      <c r="G1" s="1">
        <f t="shared" si="0"/>
        <v>0</v>
      </c>
      <c r="H1" s="1">
        <f t="shared" si="0"/>
        <v>0</v>
      </c>
    </row>
    <row r="2" spans="1:8">
      <c r="A2">
        <v>20250202</v>
      </c>
      <c r="B2" t="s">
        <v>1260</v>
      </c>
    </row>
    <row r="3" spans="1:8">
      <c r="C3" t="s">
        <v>1261</v>
      </c>
    </row>
    <row r="4" spans="1:8">
      <c r="C4" t="s">
        <v>1262</v>
      </c>
    </row>
    <row r="5" spans="1:8">
      <c r="D5" t="s">
        <v>1263</v>
      </c>
    </row>
  </sheetData>
  <pageMargins left="0.75" right="0.75" top="1" bottom="1" header="0.5" footer="0.5"/>
  <pageSetup paperSize="9" orientation="portrait"/>
  <headerFooter/>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
  <sheetViews>
    <sheetView workbookViewId="0">
      <selection activeCell="C4" sqref="C4"/>
    </sheetView>
  </sheetViews>
  <sheetFormatPr defaultColWidth="8.88888888888889" defaultRowHeight="14.4" outlineLevelRow="3" outlineLevelCol="7"/>
  <cols>
    <col min="1" max="1" width="9.66666666666667"/>
  </cols>
  <sheetData>
    <row r="1" s="1" customFormat="1" spans="1:8">
      <c r="A1" s="1">
        <f>SUM(B1:AZ1)</f>
        <v>1.16666666666667</v>
      </c>
      <c r="B1" s="1">
        <f t="shared" ref="B1:H1" si="0">COUNTA(B2:B2067)/COLUMN()</f>
        <v>0.5</v>
      </c>
      <c r="C1" s="1">
        <f t="shared" si="0"/>
        <v>0.666666666666667</v>
      </c>
      <c r="D1" s="1">
        <f t="shared" si="0"/>
        <v>0</v>
      </c>
      <c r="E1" s="1">
        <f t="shared" si="0"/>
        <v>0</v>
      </c>
      <c r="F1" s="1">
        <f t="shared" si="0"/>
        <v>0</v>
      </c>
      <c r="G1" s="1">
        <f t="shared" si="0"/>
        <v>0</v>
      </c>
      <c r="H1" s="1">
        <f t="shared" si="0"/>
        <v>0</v>
      </c>
    </row>
    <row r="2" spans="1:8">
      <c r="A2">
        <v>20250205</v>
      </c>
      <c r="B2" t="s">
        <v>1264</v>
      </c>
    </row>
    <row r="3" spans="1:8">
      <c r="C3" t="s">
        <v>1265</v>
      </c>
    </row>
    <row r="4" spans="1:8">
      <c r="C4" t="s">
        <v>1266</v>
      </c>
    </row>
  </sheetData>
  <pageMargins left="0.75" right="0.75" top="1" bottom="1" header="0.5" footer="0.5"/>
  <pageSetup paperSize="9" orientation="portrait"/>
  <headerFooter/>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
  <sheetViews>
    <sheetView workbookViewId="0">
      <selection activeCell="F9" sqref="F9"/>
    </sheetView>
  </sheetViews>
  <sheetFormatPr defaultColWidth="8.88888888888889" defaultRowHeight="14.4" outlineLevelRow="4" outlineLevelCol="7"/>
  <cols>
    <col min="1" max="1" width="9.66666666666667"/>
  </cols>
  <sheetData>
    <row r="1" s="1" customFormat="1" spans="1:8">
      <c r="A1" s="1">
        <f>SUM(B1:AZ1)</f>
        <v>1.5</v>
      </c>
      <c r="B1" s="1">
        <f t="shared" ref="B1:H1" si="0">COUNTA(B2:B2067)/COLUMN()</f>
        <v>0.5</v>
      </c>
      <c r="C1" s="1">
        <f t="shared" si="0"/>
        <v>1</v>
      </c>
      <c r="D1" s="1">
        <f t="shared" si="0"/>
        <v>0</v>
      </c>
      <c r="E1" s="1">
        <f t="shared" si="0"/>
        <v>0</v>
      </c>
      <c r="F1" s="1">
        <f t="shared" si="0"/>
        <v>0</v>
      </c>
      <c r="G1" s="1">
        <f t="shared" si="0"/>
        <v>0</v>
      </c>
      <c r="H1" s="1">
        <f t="shared" si="0"/>
        <v>0</v>
      </c>
    </row>
    <row r="2" spans="1:8">
      <c r="A2">
        <v>20250211</v>
      </c>
      <c r="B2" t="s">
        <v>1267</v>
      </c>
    </row>
    <row r="3" spans="1:8">
      <c r="C3" t="s">
        <v>1268</v>
      </c>
    </row>
    <row r="4" spans="1:8">
      <c r="C4" t="s">
        <v>1269</v>
      </c>
    </row>
    <row r="5" spans="1:8">
      <c r="C5" t="s">
        <v>1270</v>
      </c>
    </row>
  </sheetData>
  <pageMargins left="0.75" right="0.75" top="1" bottom="1" header="0.5" footer="0.5"/>
  <pageSetup paperSize="9" orientation="portrait"/>
  <headerFooter/>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9"/>
  <sheetViews>
    <sheetView workbookViewId="0">
      <selection activeCell="D9" sqref="D9"/>
    </sheetView>
  </sheetViews>
  <sheetFormatPr defaultColWidth="8.88888888888889" defaultRowHeight="14.4" outlineLevelCol="7"/>
  <cols>
    <col min="1" max="1" width="9.66666666666667"/>
  </cols>
  <sheetData>
    <row r="1" s="1" customFormat="1" spans="1:8">
      <c r="A1" s="1">
        <f>SUM(B1:AZ1)</f>
        <v>2.83333333333333</v>
      </c>
      <c r="B1" s="1">
        <f t="shared" ref="B1:H1" si="0">COUNTA(B2:B2068)/COLUMN()</f>
        <v>1</v>
      </c>
      <c r="C1" s="1">
        <f t="shared" si="0"/>
        <v>1.33333333333333</v>
      </c>
      <c r="D1" s="1">
        <f t="shared" si="0"/>
        <v>0.5</v>
      </c>
      <c r="E1" s="1">
        <f t="shared" si="0"/>
        <v>0</v>
      </c>
      <c r="F1" s="1">
        <f t="shared" si="0"/>
        <v>0</v>
      </c>
      <c r="G1" s="1">
        <f t="shared" si="0"/>
        <v>0</v>
      </c>
      <c r="H1" s="1">
        <f t="shared" si="0"/>
        <v>0</v>
      </c>
    </row>
    <row r="2" spans="1:8">
      <c r="A2">
        <v>20250214</v>
      </c>
      <c r="B2" t="s">
        <v>1271</v>
      </c>
    </row>
    <row r="3" spans="1:8">
      <c r="C3" t="s">
        <v>1272</v>
      </c>
    </row>
    <row r="4" spans="1:8">
      <c r="C4" t="s">
        <v>1273</v>
      </c>
    </row>
    <row r="5" spans="1:8">
      <c r="C5" t="s">
        <v>1274</v>
      </c>
    </row>
    <row r="6" spans="1:8">
      <c r="C6" t="s">
        <v>1275</v>
      </c>
    </row>
    <row r="7" spans="1:8">
      <c r="D7" t="s">
        <v>1276</v>
      </c>
    </row>
    <row r="8" spans="1:8">
      <c r="D8" t="s">
        <v>1277</v>
      </c>
    </row>
    <row r="9" spans="1:8">
      <c r="B9" t="s">
        <v>1278</v>
      </c>
    </row>
  </sheetData>
  <pageMargins left="0.75" right="0.75" top="1" bottom="1" header="0.5" footer="0.5"/>
  <pageSetup paperSize="9" orientation="portrait"/>
  <headerFooter/>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
  <sheetViews>
    <sheetView workbookViewId="0">
      <selection activeCell="C7" sqref="C7"/>
    </sheetView>
  </sheetViews>
  <sheetFormatPr defaultColWidth="8.88888888888889" defaultRowHeight="14.4" outlineLevelRow="4" outlineLevelCol="7"/>
  <cols>
    <col min="1" max="1" width="9.66666666666667"/>
  </cols>
  <sheetData>
    <row r="1" s="1" customFormat="1" spans="1:8">
      <c r="A1" s="1">
        <f>SUM(B1:AZ1)</f>
        <v>1.83333333333333</v>
      </c>
      <c r="B1" s="1">
        <f t="shared" ref="B1:H1" si="0">COUNTA(B2:B2067)/COLUMN()</f>
        <v>1.5</v>
      </c>
      <c r="C1" s="1">
        <f t="shared" si="0"/>
        <v>0.333333333333333</v>
      </c>
      <c r="D1" s="1">
        <f t="shared" si="0"/>
        <v>0</v>
      </c>
      <c r="E1" s="1">
        <f t="shared" si="0"/>
        <v>0</v>
      </c>
      <c r="F1" s="1">
        <f t="shared" si="0"/>
        <v>0</v>
      </c>
      <c r="G1" s="1">
        <f t="shared" si="0"/>
        <v>0</v>
      </c>
      <c r="H1" s="1">
        <f t="shared" si="0"/>
        <v>0</v>
      </c>
    </row>
    <row r="2" spans="1:8">
      <c r="A2">
        <v>20250217</v>
      </c>
      <c r="B2" t="s">
        <v>1279</v>
      </c>
    </row>
    <row r="3" spans="1:8">
      <c r="B3" t="s">
        <v>1280</v>
      </c>
    </row>
    <row r="4" spans="1:8">
      <c r="B4" t="s">
        <v>1281</v>
      </c>
    </row>
    <row r="5" spans="1:8">
      <c r="C5" t="s">
        <v>1282</v>
      </c>
    </row>
  </sheetData>
  <pageMargins left="0.75" right="0.75" top="1" bottom="1" header="0.5" footer="0.5"/>
  <pageSetup paperSize="9" orientation="portrait"/>
  <headerFooter/>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9"/>
  <sheetViews>
    <sheetView workbookViewId="0">
      <selection activeCell="C18" sqref="C18"/>
    </sheetView>
  </sheetViews>
  <sheetFormatPr defaultColWidth="8.88888888888889" defaultRowHeight="14.4" outlineLevelCol="7"/>
  <cols>
    <col min="1" max="1" width="9.66666666666667"/>
  </cols>
  <sheetData>
    <row r="1" s="1" customFormat="1" spans="1:8">
      <c r="A1" s="1">
        <f>SUM(B1:AZ1)</f>
        <v>7</v>
      </c>
      <c r="B1" s="1">
        <f t="shared" ref="B1:H1" si="0">COUNTA(B2:B2067)/COLUMN()</f>
        <v>3</v>
      </c>
      <c r="C1" s="1">
        <f t="shared" si="0"/>
        <v>4</v>
      </c>
      <c r="D1" s="1">
        <f t="shared" si="0"/>
        <v>0</v>
      </c>
      <c r="E1" s="1">
        <f t="shared" si="0"/>
        <v>0</v>
      </c>
      <c r="F1" s="1">
        <f t="shared" si="0"/>
        <v>0</v>
      </c>
      <c r="G1" s="1">
        <f t="shared" si="0"/>
        <v>0</v>
      </c>
      <c r="H1" s="1">
        <f t="shared" si="0"/>
        <v>0</v>
      </c>
    </row>
    <row r="2" spans="1:8">
      <c r="A2">
        <v>20250324</v>
      </c>
      <c r="B2" t="s">
        <v>1283</v>
      </c>
    </row>
    <row r="3" spans="1:8">
      <c r="C3" t="s">
        <v>1284</v>
      </c>
    </row>
    <row r="4" spans="1:8">
      <c r="C4" t="s">
        <v>1285</v>
      </c>
    </row>
    <row r="5" spans="1:8">
      <c r="C5" t="s">
        <v>1286</v>
      </c>
    </row>
    <row r="6" spans="1:8">
      <c r="B6" t="s">
        <v>1287</v>
      </c>
    </row>
    <row r="7" spans="1:8">
      <c r="C7" t="s">
        <v>1288</v>
      </c>
    </row>
    <row r="8" spans="1:8">
      <c r="C8" t="s">
        <v>1289</v>
      </c>
    </row>
    <row r="9" spans="1:8">
      <c r="B9" t="s">
        <v>1290</v>
      </c>
    </row>
    <row r="10" spans="1:8">
      <c r="C10" t="s">
        <v>1291</v>
      </c>
    </row>
    <row r="11" spans="1:8">
      <c r="B11" t="s">
        <v>1292</v>
      </c>
    </row>
    <row r="12" spans="1:8">
      <c r="C12" t="s">
        <v>1293</v>
      </c>
    </row>
    <row r="13" spans="1:8">
      <c r="C13" t="s">
        <v>1294</v>
      </c>
    </row>
    <row r="14" spans="1:8">
      <c r="C14" t="s">
        <v>1295</v>
      </c>
    </row>
    <row r="15" spans="1:8">
      <c r="B15" t="s">
        <v>1296</v>
      </c>
    </row>
    <row r="16" spans="1:8">
      <c r="C16" t="s">
        <v>1297</v>
      </c>
    </row>
    <row r="17" spans="2:3">
      <c r="C17" t="s">
        <v>1298</v>
      </c>
    </row>
    <row r="18" spans="2:3">
      <c r="C18" t="s">
        <v>1299</v>
      </c>
    </row>
    <row r="19" spans="2:3">
      <c r="B19" t="s">
        <v>1300</v>
      </c>
    </row>
  </sheetData>
  <pageMargins left="0.75" right="0.75" top="1" bottom="1" header="0.5" footer="0.5"/>
  <pageSetup paperSize="9" orientation="portrait"/>
  <headerFooter/>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4"/>
  <sheetViews>
    <sheetView workbookViewId="0">
      <selection activeCell="D4" sqref="D4"/>
    </sheetView>
  </sheetViews>
  <sheetFormatPr defaultColWidth="8.88888888888889" defaultRowHeight="14.4" outlineLevelCol="7"/>
  <sheetData>
    <row r="1" spans="1:8">
      <c r="A1" s="1">
        <f>SUM(B1:AZ1)</f>
        <v>4.08333333333333</v>
      </c>
      <c r="B1" s="1">
        <f t="shared" ref="B1:H1" si="0">COUNTA(B2:B2067)/COLUMN()</f>
        <v>1</v>
      </c>
      <c r="C1" s="1">
        <f t="shared" si="0"/>
        <v>1.33333333333333</v>
      </c>
      <c r="D1" s="1">
        <f t="shared" si="0"/>
        <v>1.75</v>
      </c>
      <c r="E1" s="1">
        <f t="shared" si="0"/>
        <v>0</v>
      </c>
      <c r="F1" s="1">
        <f t="shared" si="0"/>
        <v>0</v>
      </c>
      <c r="G1" s="1">
        <f t="shared" si="0"/>
        <v>0</v>
      </c>
      <c r="H1" s="1">
        <f t="shared" si="0"/>
        <v>0</v>
      </c>
    </row>
    <row r="2" spans="1:8">
      <c r="A2">
        <v>20250324</v>
      </c>
      <c r="B2" t="s">
        <v>1301</v>
      </c>
    </row>
    <row r="3" spans="1:8">
      <c r="C3" t="s">
        <v>1302</v>
      </c>
    </row>
    <row r="4" spans="1:8">
      <c r="D4" t="s">
        <v>1303</v>
      </c>
    </row>
    <row r="5" spans="1:8">
      <c r="D5" t="s">
        <v>1304</v>
      </c>
    </row>
    <row r="6" spans="1:8">
      <c r="D6" t="s">
        <v>1305</v>
      </c>
    </row>
    <row r="7" spans="1:8">
      <c r="C7" t="s">
        <v>1306</v>
      </c>
    </row>
    <row r="8" spans="1:8">
      <c r="D8" t="s">
        <v>1307</v>
      </c>
    </row>
    <row r="9" spans="1:8">
      <c r="D9" t="s">
        <v>1308</v>
      </c>
    </row>
    <row r="10" spans="1:8">
      <c r="D10" t="s">
        <v>1309</v>
      </c>
    </row>
    <row r="11" spans="1:8">
      <c r="D11" t="s">
        <v>1310</v>
      </c>
    </row>
    <row r="12" spans="1:8">
      <c r="B12" t="s">
        <v>1311</v>
      </c>
    </row>
    <row r="13" spans="1:8">
      <c r="C13" t="s">
        <v>1312</v>
      </c>
    </row>
    <row r="14" spans="1:8">
      <c r="C14" t="s">
        <v>1313</v>
      </c>
    </row>
  </sheetData>
  <pageMargins left="0.75" right="0.75" top="1" bottom="1" header="0.5" footer="0.5"/>
  <pageSetup paperSize="9" orientation="portrait"/>
  <headerFooter/>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
  <sheetViews>
    <sheetView workbookViewId="0">
      <selection activeCell="O24" sqref="O24"/>
    </sheetView>
  </sheetViews>
  <sheetFormatPr defaultColWidth="8.88888888888889" defaultRowHeight="14.4" outlineLevelRow="1" outlineLevelCol="7"/>
  <cols>
    <col min="1" max="1" width="9.66666666666667"/>
  </cols>
  <sheetData>
    <row r="1" spans="1:8">
      <c r="A1" s="1">
        <f>SUM(B1:AZ1)</f>
        <v>0.5</v>
      </c>
      <c r="B1" s="1">
        <f t="shared" ref="B1:H1" si="0">COUNTA(B2:B2067)/COLUMN()</f>
        <v>0.5</v>
      </c>
      <c r="C1" s="1">
        <f t="shared" si="0"/>
        <v>0</v>
      </c>
      <c r="D1" s="1">
        <f t="shared" si="0"/>
        <v>0</v>
      </c>
      <c r="E1" s="1">
        <f t="shared" si="0"/>
        <v>0</v>
      </c>
      <c r="F1" s="1">
        <f t="shared" si="0"/>
        <v>0</v>
      </c>
      <c r="G1" s="1">
        <f t="shared" si="0"/>
        <v>0</v>
      </c>
      <c r="H1" s="1">
        <f t="shared" si="0"/>
        <v>0</v>
      </c>
    </row>
    <row r="2" spans="1:8">
      <c r="A2">
        <v>70250324</v>
      </c>
      <c r="B2" t="s">
        <v>1314</v>
      </c>
    </row>
  </sheetData>
  <pageMargins left="0.75" right="0.75" top="1" bottom="1" header="0.5" footer="0.5"/>
  <pageSetup paperSize="9" orientation="portrait"/>
  <headerFooter/>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
  <sheetViews>
    <sheetView workbookViewId="0">
      <selection activeCell="J8" sqref="J8"/>
    </sheetView>
  </sheetViews>
  <sheetFormatPr defaultColWidth="8.88888888888889" defaultRowHeight="14.4" outlineLevelRow="2" outlineLevelCol="7"/>
  <sheetData>
    <row r="1" spans="1:8">
      <c r="A1" s="1">
        <f>SUM(B1:AZ1)</f>
        <v>1</v>
      </c>
      <c r="B1" s="1">
        <f t="shared" ref="B1:H1" si="0">COUNTA(B2:B2067)/COLUMN()</f>
        <v>1</v>
      </c>
      <c r="C1" s="1">
        <f t="shared" si="0"/>
        <v>0</v>
      </c>
      <c r="D1" s="1">
        <f t="shared" si="0"/>
        <v>0</v>
      </c>
      <c r="E1" s="1">
        <f t="shared" si="0"/>
        <v>0</v>
      </c>
      <c r="F1" s="1">
        <f t="shared" si="0"/>
        <v>0</v>
      </c>
      <c r="G1" s="1">
        <f t="shared" si="0"/>
        <v>0</v>
      </c>
      <c r="H1" s="1">
        <f t="shared" si="0"/>
        <v>0</v>
      </c>
    </row>
    <row r="2" spans="1:8">
      <c r="A2">
        <v>20250329</v>
      </c>
      <c r="B2" t="s">
        <v>1315</v>
      </c>
    </row>
    <row r="3" spans="1:8">
      <c r="B3" t="s">
        <v>1316</v>
      </c>
    </row>
  </sheetData>
  <pageMargins left="0.75" right="0.75" top="1" bottom="1" header="0.5" footer="0.5"/>
  <pageSetup paperSize="9" orientation="portrait"/>
  <headerFooter/>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
  <sheetViews>
    <sheetView workbookViewId="0">
      <selection activeCell="B5" sqref="B5"/>
    </sheetView>
  </sheetViews>
  <sheetFormatPr defaultColWidth="8.88888888888889" defaultRowHeight="14.4" outlineLevelRow="6" outlineLevelCol="7"/>
  <cols>
    <col min="1" max="1" width="9.66666666666667"/>
  </cols>
  <sheetData>
    <row r="1" spans="1:8">
      <c r="A1" s="1">
        <f>SUM(B1:AZ1)</f>
        <v>2.33333333333333</v>
      </c>
      <c r="B1" s="1">
        <f t="shared" ref="B1:H1" si="0">COUNTA(B2:B2067)/COLUMN()</f>
        <v>1</v>
      </c>
      <c r="C1" s="1">
        <f t="shared" si="0"/>
        <v>1.33333333333333</v>
      </c>
      <c r="D1" s="1">
        <f t="shared" si="0"/>
        <v>0</v>
      </c>
      <c r="E1" s="1">
        <f t="shared" si="0"/>
        <v>0</v>
      </c>
      <c r="F1" s="1">
        <f t="shared" si="0"/>
        <v>0</v>
      </c>
      <c r="G1" s="1">
        <f t="shared" si="0"/>
        <v>0</v>
      </c>
      <c r="H1" s="1">
        <f t="shared" si="0"/>
        <v>0</v>
      </c>
    </row>
    <row r="2" spans="1:8">
      <c r="A2">
        <v>20250331</v>
      </c>
      <c r="B2" t="s">
        <v>1317</v>
      </c>
    </row>
    <row r="3" spans="1:8">
      <c r="C3" t="s">
        <v>1318</v>
      </c>
    </row>
    <row r="4" spans="1:8">
      <c r="C4" t="s">
        <v>1319</v>
      </c>
    </row>
    <row r="5" spans="1:8">
      <c r="B5" t="s">
        <v>1320</v>
      </c>
    </row>
    <row r="6" spans="1:8">
      <c r="C6" t="s">
        <v>1321</v>
      </c>
    </row>
    <row r="7" spans="1:8">
      <c r="C7" t="s">
        <v>1322</v>
      </c>
    </row>
  </sheetData>
  <pageMargins left="0.75" right="0.75" top="1" bottom="1" header="0.5" footer="0.5"/>
  <pageSetup paperSize="9" orientation="portrait"/>
  <headerFooter/>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1"/>
  <sheetViews>
    <sheetView workbookViewId="0">
      <selection activeCell="I12" sqref="I12"/>
    </sheetView>
  </sheetViews>
  <sheetFormatPr defaultColWidth="8.88888888888889" defaultRowHeight="14.4" outlineLevelCol="7"/>
  <sheetData>
    <row r="1" spans="1:8">
      <c r="A1" s="1">
        <f>SUM(B1:AZ1)</f>
        <v>3.53333333333333</v>
      </c>
      <c r="B1" s="1">
        <f t="shared" ref="B1:H1" si="0">COUNTA(B2:B2067)/COLUMN()</f>
        <v>1.5</v>
      </c>
      <c r="C1" s="1">
        <f t="shared" si="0"/>
        <v>1.33333333333333</v>
      </c>
      <c r="D1" s="1">
        <f t="shared" si="0"/>
        <v>0.5</v>
      </c>
      <c r="E1" s="1">
        <f t="shared" si="0"/>
        <v>0.2</v>
      </c>
      <c r="F1" s="1">
        <f t="shared" si="0"/>
        <v>0</v>
      </c>
      <c r="G1" s="1">
        <f t="shared" si="0"/>
        <v>0</v>
      </c>
      <c r="H1" s="1">
        <f t="shared" si="0"/>
        <v>0</v>
      </c>
    </row>
    <row r="2" spans="1:8">
      <c r="A2">
        <v>20250331</v>
      </c>
      <c r="B2" t="s">
        <v>1323</v>
      </c>
    </row>
    <row r="3" spans="1:8">
      <c r="C3" t="s">
        <v>1324</v>
      </c>
    </row>
    <row r="4" spans="1:8">
      <c r="B4" t="s">
        <v>1325</v>
      </c>
    </row>
    <row r="5" spans="1:8">
      <c r="C5" t="s">
        <v>1326</v>
      </c>
    </row>
    <row r="6" spans="1:8">
      <c r="C6" t="s">
        <v>1327</v>
      </c>
    </row>
    <row r="7" spans="1:8">
      <c r="B7" t="s">
        <v>1328</v>
      </c>
    </row>
    <row r="8" spans="1:8">
      <c r="C8" t="s">
        <v>1329</v>
      </c>
    </row>
    <row r="9" spans="1:8">
      <c r="D9" t="s">
        <v>1330</v>
      </c>
    </row>
    <row r="10" spans="1:8">
      <c r="D10" t="s">
        <v>1331</v>
      </c>
    </row>
    <row r="11" spans="1:8">
      <c r="E11" t="s">
        <v>1332</v>
      </c>
    </row>
  </sheetData>
  <pageMargins left="0.75" right="0.75" top="1" bottom="1" header="0.5" footer="0.5"/>
  <pageSetup paperSize="9" orientation="portrait"/>
  <headerFooter/>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
  <sheetViews>
    <sheetView workbookViewId="0">
      <selection activeCell="B4" sqref="B4"/>
    </sheetView>
  </sheetViews>
  <sheetFormatPr defaultColWidth="8.88888888888889" defaultRowHeight="14.4" outlineLevelCol="7"/>
  <cols>
    <col min="1" max="1" width="9.66666666666667"/>
  </cols>
  <sheetData>
    <row r="1" spans="1:8">
      <c r="A1" s="1">
        <f>SUM(B1:AZ1)</f>
        <v>3.33333333333333</v>
      </c>
      <c r="B1" s="1">
        <f t="shared" ref="B1:H1" si="0">COUNTA(B2:B2067)/COLUMN()</f>
        <v>1.5</v>
      </c>
      <c r="C1" s="1">
        <f t="shared" si="0"/>
        <v>1.33333333333333</v>
      </c>
      <c r="D1" s="1">
        <f t="shared" si="0"/>
        <v>0.5</v>
      </c>
      <c r="E1" s="1">
        <f t="shared" si="0"/>
        <v>0</v>
      </c>
      <c r="F1" s="1">
        <f t="shared" si="0"/>
        <v>0</v>
      </c>
      <c r="G1" s="1">
        <f t="shared" si="0"/>
        <v>0</v>
      </c>
      <c r="H1" s="1">
        <f t="shared" si="0"/>
        <v>0</v>
      </c>
    </row>
    <row r="2" spans="1:8">
      <c r="A2">
        <v>20250405</v>
      </c>
      <c r="B2" t="s">
        <v>1333</v>
      </c>
    </row>
    <row r="3" spans="1:8">
      <c r="C3" t="s">
        <v>1334</v>
      </c>
    </row>
    <row r="4" spans="1:8">
      <c r="B4" t="s">
        <v>1335</v>
      </c>
    </row>
    <row r="5" spans="1:8">
      <c r="C5" t="s">
        <v>1336</v>
      </c>
    </row>
    <row r="6" spans="1:8">
      <c r="B6" t="s">
        <v>1337</v>
      </c>
    </row>
    <row r="7" spans="1:8">
      <c r="C7" t="s">
        <v>1338</v>
      </c>
    </row>
    <row r="8" spans="1:8">
      <c r="C8" t="s">
        <v>1339</v>
      </c>
    </row>
    <row r="9" spans="1:8">
      <c r="D9" t="s">
        <v>1340</v>
      </c>
    </row>
    <row r="10" spans="1:8">
      <c r="D10" t="s">
        <v>1341</v>
      </c>
    </row>
  </sheetData>
  <pageMargins left="0.75" right="0.75" top="1" bottom="1" header="0.5" footer="0.5"/>
  <pageSetup paperSize="9" orientation="portrait"/>
  <headerFooter/>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
  <sheetViews>
    <sheetView workbookViewId="0">
      <selection activeCell="C5" sqref="C5"/>
    </sheetView>
  </sheetViews>
  <sheetFormatPr defaultColWidth="8.88888888888889" defaultRowHeight="14.4" outlineLevelRow="3" outlineLevelCol="7"/>
  <cols>
    <col min="1" max="1" width="9.66666666666667"/>
  </cols>
  <sheetData>
    <row r="1" spans="1:8">
      <c r="A1" s="1">
        <f>SUM(B1:AZ1)</f>
        <v>1.16666666666667</v>
      </c>
      <c r="B1" s="1">
        <f t="shared" ref="B1:H1" si="0">COUNTA(B2:B2067)/COLUMN()</f>
        <v>0.5</v>
      </c>
      <c r="C1" s="1">
        <f t="shared" si="0"/>
        <v>0.666666666666667</v>
      </c>
      <c r="D1" s="1">
        <f t="shared" si="0"/>
        <v>0</v>
      </c>
      <c r="E1" s="1">
        <f t="shared" si="0"/>
        <v>0</v>
      </c>
      <c r="F1" s="1">
        <f t="shared" si="0"/>
        <v>0</v>
      </c>
      <c r="G1" s="1">
        <f t="shared" si="0"/>
        <v>0</v>
      </c>
      <c r="H1" s="1">
        <f t="shared" si="0"/>
        <v>0</v>
      </c>
    </row>
    <row r="2" spans="1:8">
      <c r="A2">
        <v>20250408</v>
      </c>
      <c r="B2" t="s">
        <v>1342</v>
      </c>
    </row>
    <row r="3" spans="1:8">
      <c r="C3" t="s">
        <v>1343</v>
      </c>
    </row>
    <row r="4" spans="1:8">
      <c r="C4" t="s">
        <v>1344</v>
      </c>
    </row>
  </sheetData>
  <pageMargins left="0.75" right="0.75" top="1" bottom="1" header="0.5" footer="0.5"/>
  <pageSetup paperSize="9" orientation="portrait"/>
  <headerFooter/>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
  <sheetViews>
    <sheetView workbookViewId="0">
      <selection activeCell="A1" sqref="$A1:$XFD2"/>
    </sheetView>
  </sheetViews>
  <sheetFormatPr defaultColWidth="8.88888888888889" defaultRowHeight="14.4" outlineLevelRow="6" outlineLevelCol="7"/>
  <cols>
    <col min="1" max="1" width="9.66666666666667"/>
  </cols>
  <sheetData>
    <row r="1" spans="1:8">
      <c r="A1" s="1">
        <f>SUM(B1:AZ1)</f>
        <v>2</v>
      </c>
      <c r="B1" s="1">
        <f t="shared" ref="B1:H1" si="0">COUNTA(B2:B2067)/COLUMN()</f>
        <v>0.5</v>
      </c>
      <c r="C1" s="1">
        <f t="shared" si="0"/>
        <v>1</v>
      </c>
      <c r="D1" s="1">
        <f t="shared" si="0"/>
        <v>0.5</v>
      </c>
      <c r="E1" s="1">
        <f t="shared" si="0"/>
        <v>0</v>
      </c>
      <c r="F1" s="1">
        <f t="shared" si="0"/>
        <v>0</v>
      </c>
      <c r="G1" s="1">
        <f t="shared" si="0"/>
        <v>0</v>
      </c>
      <c r="H1" s="1">
        <f t="shared" si="0"/>
        <v>0</v>
      </c>
    </row>
    <row r="2" spans="1:8">
      <c r="A2">
        <v>20250411</v>
      </c>
      <c r="B2" t="s">
        <v>1345</v>
      </c>
    </row>
    <row r="3" spans="1:8">
      <c r="C3" t="s">
        <v>1346</v>
      </c>
    </row>
    <row r="4" spans="1:8">
      <c r="C4" t="s">
        <v>1347</v>
      </c>
    </row>
    <row r="5" spans="1:8">
      <c r="C5" t="s">
        <v>1348</v>
      </c>
    </row>
    <row r="6" spans="1:8">
      <c r="D6" t="s">
        <v>1349</v>
      </c>
    </row>
    <row r="7" spans="1:8">
      <c r="D7" t="s">
        <v>1350</v>
      </c>
    </row>
  </sheetData>
  <pageMargins left="0.75" right="0.75" top="1" bottom="1" header="0.5" footer="0.5"/>
  <pageSetup paperSize="9" orientation="portrait"/>
  <headerFooter/>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8"/>
  <sheetViews>
    <sheetView workbookViewId="0">
      <selection activeCell="D5" sqref="D5"/>
    </sheetView>
  </sheetViews>
  <sheetFormatPr defaultColWidth="8.88888888888889" defaultRowHeight="14.4" outlineLevelRow="7" outlineLevelCol="7"/>
  <cols>
    <col min="1" max="1" width="9.66666666666667"/>
  </cols>
  <sheetData>
    <row r="1" spans="1:8">
      <c r="A1" s="1">
        <f>SUM(B1:AZ1)</f>
        <v>2.75</v>
      </c>
      <c r="B1" s="1">
        <f t="shared" ref="B1:H1" si="0">COUNTA(B2:B2067)/COLUMN()</f>
        <v>1.5</v>
      </c>
      <c r="C1" s="1">
        <f t="shared" si="0"/>
        <v>1</v>
      </c>
      <c r="D1" s="1">
        <f t="shared" si="0"/>
        <v>0.25</v>
      </c>
      <c r="E1" s="1">
        <f t="shared" si="0"/>
        <v>0</v>
      </c>
      <c r="F1" s="1">
        <f t="shared" si="0"/>
        <v>0</v>
      </c>
      <c r="G1" s="1">
        <f t="shared" si="0"/>
        <v>0</v>
      </c>
      <c r="H1" s="1">
        <f t="shared" si="0"/>
        <v>0</v>
      </c>
    </row>
    <row r="2" spans="1:8">
      <c r="A2">
        <v>20250412</v>
      </c>
      <c r="B2" t="s">
        <v>1351</v>
      </c>
    </row>
    <row r="3" spans="1:8">
      <c r="B3" t="s">
        <v>1352</v>
      </c>
    </row>
    <row r="4" spans="1:8">
      <c r="C4" t="s">
        <v>1353</v>
      </c>
    </row>
    <row r="5" spans="1:8">
      <c r="D5" t="s">
        <v>1354</v>
      </c>
    </row>
    <row r="6" spans="1:8">
      <c r="C6" t="s">
        <v>1355</v>
      </c>
    </row>
    <row r="7" spans="1:8">
      <c r="B7" t="s">
        <v>1356</v>
      </c>
    </row>
    <row r="8" spans="1:8">
      <c r="C8" t="s">
        <v>1357</v>
      </c>
    </row>
  </sheetData>
  <pageMargins left="0.75" right="0.75" top="1" bottom="1" header="0.5" footer="0.5"/>
  <pageSetup paperSize="9" orientation="portrait"/>
  <headerFooter/>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
  <sheetViews>
    <sheetView workbookViewId="0">
      <selection activeCell="B2" sqref="B2"/>
    </sheetView>
  </sheetViews>
  <sheetFormatPr defaultColWidth="8.88888888888889" defaultRowHeight="14.4" outlineLevelRow="6" outlineLevelCol="7"/>
  <cols>
    <col min="1" max="1" width="9.66666666666667"/>
  </cols>
  <sheetData>
    <row r="1" spans="1:8">
      <c r="A1" s="1">
        <f>SUM(B1:AZ1)</f>
        <v>2.16666666666667</v>
      </c>
      <c r="B1" s="1">
        <f t="shared" ref="B1:H1" si="0">COUNTA(B2:B2067)/COLUMN()</f>
        <v>1</v>
      </c>
      <c r="C1" s="1">
        <f t="shared" si="0"/>
        <v>0.666666666666667</v>
      </c>
      <c r="D1" s="1">
        <f t="shared" si="0"/>
        <v>0.5</v>
      </c>
      <c r="E1" s="1">
        <f t="shared" si="0"/>
        <v>0</v>
      </c>
      <c r="F1" s="1">
        <f t="shared" si="0"/>
        <v>0</v>
      </c>
      <c r="G1" s="1">
        <f t="shared" si="0"/>
        <v>0</v>
      </c>
      <c r="H1" s="1">
        <f t="shared" si="0"/>
        <v>0</v>
      </c>
    </row>
    <row r="2" spans="1:8">
      <c r="A2">
        <v>20250416</v>
      </c>
      <c r="B2" t="s">
        <v>1358</v>
      </c>
    </row>
    <row r="3" spans="1:8">
      <c r="C3" t="s">
        <v>1359</v>
      </c>
    </row>
    <row r="4" spans="1:8">
      <c r="D4" t="s">
        <v>1360</v>
      </c>
    </row>
    <row r="5" spans="1:8">
      <c r="C5" t="s">
        <v>1361</v>
      </c>
    </row>
    <row r="6" spans="1:8">
      <c r="D6" t="s">
        <v>1362</v>
      </c>
    </row>
    <row r="7" spans="1:8">
      <c r="B7" t="s">
        <v>1363</v>
      </c>
    </row>
  </sheetData>
  <pageMargins left="0.75" right="0.75" top="1" bottom="1" header="0.5" footer="0.5"/>
  <pageSetup paperSize="9" orientation="portrait"/>
  <headerFooter/>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
  <sheetViews>
    <sheetView workbookViewId="0">
      <selection activeCell="C5" sqref="C5"/>
    </sheetView>
  </sheetViews>
  <sheetFormatPr defaultColWidth="8.88888888888889" defaultRowHeight="14.4" outlineLevelRow="6" outlineLevelCol="7"/>
  <cols>
    <col min="1" max="1" width="9.66666666666667"/>
  </cols>
  <sheetData>
    <row r="1" spans="1:8">
      <c r="A1" s="1">
        <f>SUM(B1:AZ1)</f>
        <v>1.86666666666667</v>
      </c>
      <c r="B1" s="1">
        <f t="shared" ref="B1:H1" si="0">COUNTA(B2:B2067)/COLUMN()</f>
        <v>0.5</v>
      </c>
      <c r="C1" s="1">
        <f t="shared" si="0"/>
        <v>0.666666666666667</v>
      </c>
      <c r="D1" s="1">
        <f t="shared" si="0"/>
        <v>0.5</v>
      </c>
      <c r="E1" s="1">
        <f t="shared" si="0"/>
        <v>0.2</v>
      </c>
      <c r="F1" s="1">
        <f t="shared" si="0"/>
        <v>0</v>
      </c>
      <c r="G1" s="1">
        <f t="shared" si="0"/>
        <v>0</v>
      </c>
      <c r="H1" s="1">
        <f t="shared" si="0"/>
        <v>0</v>
      </c>
    </row>
    <row r="2" spans="1:8">
      <c r="A2">
        <v>20250420</v>
      </c>
      <c r="B2" t="s">
        <v>1364</v>
      </c>
    </row>
    <row r="3" spans="1:8">
      <c r="C3" t="s">
        <v>1365</v>
      </c>
    </row>
    <row r="4" spans="1:8">
      <c r="C4" t="s">
        <v>1366</v>
      </c>
    </row>
    <row r="5" spans="1:8">
      <c r="D5" t="s">
        <v>1367</v>
      </c>
    </row>
    <row r="6" spans="1:8">
      <c r="D6" t="s">
        <v>1368</v>
      </c>
    </row>
    <row r="7" spans="1:8">
      <c r="E7" t="s">
        <v>1369</v>
      </c>
    </row>
  </sheetData>
  <pageMargins left="0.75" right="0.75" top="1" bottom="1" header="0.5" footer="0.5"/>
  <pageSetup paperSize="9" orientation="portrait"/>
  <headerFooter/>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5"/>
  <sheetViews>
    <sheetView workbookViewId="0">
      <selection activeCell="P21" sqref="P21"/>
    </sheetView>
  </sheetViews>
  <sheetFormatPr defaultColWidth="8.88888888888889" defaultRowHeight="14.4" outlineLevelCol="7"/>
  <cols>
    <col min="1" max="1" width="9.66666666666667"/>
  </cols>
  <sheetData>
    <row r="1" spans="1:8">
      <c r="A1" s="1">
        <f>SUM(B1:AZ1)</f>
        <v>3.4</v>
      </c>
      <c r="B1" s="1">
        <f t="shared" ref="B1:H1" si="0">COUNTA(B2:B2066)/COLUMN()</f>
        <v>0.5</v>
      </c>
      <c r="C1" s="1">
        <f t="shared" si="0"/>
        <v>0.666666666666667</v>
      </c>
      <c r="D1" s="1">
        <f t="shared" si="0"/>
        <v>1</v>
      </c>
      <c r="E1" s="1">
        <f t="shared" si="0"/>
        <v>0.4</v>
      </c>
      <c r="F1" s="1">
        <f t="shared" si="0"/>
        <v>0.833333333333333</v>
      </c>
      <c r="G1" s="1">
        <f t="shared" si="0"/>
        <v>0</v>
      </c>
      <c r="H1" s="1">
        <f t="shared" si="0"/>
        <v>0</v>
      </c>
    </row>
    <row r="2" spans="1:8">
      <c r="A2">
        <v>20250427</v>
      </c>
      <c r="B2" t="s">
        <v>1370</v>
      </c>
    </row>
    <row r="3" spans="1:8">
      <c r="C3" t="s">
        <v>1371</v>
      </c>
    </row>
    <row r="4" spans="1:8">
      <c r="D4" t="s">
        <v>1372</v>
      </c>
    </row>
    <row r="5" spans="1:8">
      <c r="D5" t="s">
        <v>1373</v>
      </c>
    </row>
    <row r="6" spans="1:8">
      <c r="E6" t="s">
        <v>1374</v>
      </c>
    </row>
    <row r="7" spans="1:8">
      <c r="E7" t="s">
        <v>1375</v>
      </c>
    </row>
    <row r="8" spans="1:8">
      <c r="F8" t="s">
        <v>1376</v>
      </c>
    </row>
    <row r="9" spans="1:8">
      <c r="F9" t="s">
        <v>1377</v>
      </c>
    </row>
    <row r="10" spans="1:8">
      <c r="F10" t="s">
        <v>1378</v>
      </c>
    </row>
    <row r="11" spans="1:8">
      <c r="F11" t="s">
        <v>1379</v>
      </c>
    </row>
    <row r="12" spans="1:8">
      <c r="F12" t="s">
        <v>1380</v>
      </c>
    </row>
    <row r="13" spans="1:8">
      <c r="C13" t="s">
        <v>1381</v>
      </c>
    </row>
    <row r="14" spans="1:8">
      <c r="D14" t="s">
        <v>1382</v>
      </c>
    </row>
    <row r="15" spans="1:8">
      <c r="D15" t="s">
        <v>1383</v>
      </c>
    </row>
  </sheetData>
  <pageMargins left="0.75" right="0.75" top="1" bottom="1" header="0.5" footer="0.5"/>
  <pageSetup paperSize="9" orientation="portrait"/>
  <headerFooter/>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8"/>
  <sheetViews>
    <sheetView workbookViewId="0">
      <selection activeCell="P14" sqref="P14"/>
    </sheetView>
  </sheetViews>
  <sheetFormatPr defaultColWidth="8.88888888888889" defaultRowHeight="14.4" outlineLevelRow="7" outlineLevelCol="7"/>
  <cols>
    <col min="1" max="1" width="9.66666666666667"/>
  </cols>
  <sheetData>
    <row r="1" spans="1:8">
      <c r="A1" s="1">
        <f>SUM(B1:AZ1)</f>
        <v>2.58333333333333</v>
      </c>
      <c r="B1" s="1">
        <f t="shared" ref="B1:H1" si="0">COUNTA(B2:B2066)/COLUMN()</f>
        <v>1</v>
      </c>
      <c r="C1" s="1">
        <f t="shared" si="0"/>
        <v>1.33333333333333</v>
      </c>
      <c r="D1" s="1">
        <f t="shared" si="0"/>
        <v>0.25</v>
      </c>
      <c r="E1" s="1">
        <f t="shared" si="0"/>
        <v>0</v>
      </c>
      <c r="F1" s="1">
        <f t="shared" si="0"/>
        <v>0</v>
      </c>
      <c r="G1" s="1">
        <f t="shared" si="0"/>
        <v>0</v>
      </c>
      <c r="H1" s="1">
        <f t="shared" si="0"/>
        <v>0</v>
      </c>
    </row>
    <row r="2" spans="1:8">
      <c r="A2">
        <v>20250502</v>
      </c>
      <c r="B2" t="s">
        <v>1384</v>
      </c>
    </row>
    <row r="3" spans="1:8">
      <c r="C3" t="s">
        <v>1385</v>
      </c>
    </row>
    <row r="4" spans="1:8">
      <c r="C4" t="s">
        <v>1386</v>
      </c>
    </row>
    <row r="5" spans="1:8">
      <c r="C5" t="s">
        <v>1387</v>
      </c>
    </row>
    <row r="6" spans="1:8">
      <c r="D6" t="s">
        <v>1388</v>
      </c>
    </row>
    <row r="7" spans="1:8">
      <c r="C7" t="s">
        <v>1389</v>
      </c>
    </row>
    <row r="8" spans="1:8">
      <c r="B8" t="s">
        <v>1390</v>
      </c>
    </row>
  </sheetData>
  <pageMargins left="0.75" right="0.75" top="1" bottom="1" header="0.5" footer="0.5"/>
  <pageSetup paperSize="9" orientation="portrait"/>
  <headerFooter/>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8"/>
  <sheetViews>
    <sheetView workbookViewId="0">
      <selection activeCell="T26" sqref="T26"/>
    </sheetView>
  </sheetViews>
  <sheetFormatPr defaultColWidth="8.88888888888889" defaultRowHeight="14.4" outlineLevelRow="7" outlineLevelCol="7"/>
  <cols>
    <col min="1" max="1" width="9.66666666666667"/>
  </cols>
  <sheetData>
    <row r="1" spans="1:8">
      <c r="A1" s="1">
        <f>SUM(B1:AZ1)</f>
        <v>2.5</v>
      </c>
      <c r="B1" s="1">
        <f t="shared" ref="B1:H1" si="0">COUNTA(B2:B2067)/COLUMN()</f>
        <v>0.5</v>
      </c>
      <c r="C1" s="1">
        <f t="shared" si="0"/>
        <v>2</v>
      </c>
      <c r="D1" s="1">
        <f t="shared" si="0"/>
        <v>0</v>
      </c>
      <c r="E1" s="1">
        <f t="shared" si="0"/>
        <v>0</v>
      </c>
      <c r="F1" s="1">
        <f t="shared" si="0"/>
        <v>0</v>
      </c>
      <c r="G1" s="1">
        <f t="shared" si="0"/>
        <v>0</v>
      </c>
      <c r="H1" s="1">
        <f t="shared" si="0"/>
        <v>0</v>
      </c>
    </row>
    <row r="2" spans="1:8">
      <c r="A2">
        <v>20250506</v>
      </c>
      <c r="B2" t="s">
        <v>1391</v>
      </c>
    </row>
    <row r="3" spans="1:8">
      <c r="C3" t="s">
        <v>1392</v>
      </c>
    </row>
    <row r="4" spans="1:8">
      <c r="C4" t="s">
        <v>1393</v>
      </c>
    </row>
    <row r="5" spans="1:8">
      <c r="C5" t="s">
        <v>1394</v>
      </c>
    </row>
    <row r="6" spans="1:8">
      <c r="C6" t="s">
        <v>1395</v>
      </c>
    </row>
    <row r="7" spans="1:8">
      <c r="C7" t="s">
        <v>1396</v>
      </c>
    </row>
    <row r="8" spans="1:8">
      <c r="C8" t="s">
        <v>1397</v>
      </c>
    </row>
  </sheetData>
  <pageMargins left="0.75" right="0.75" top="1" bottom="1" header="0.5" footer="0.5"/>
  <pageSetup paperSize="9" orientation="portrait"/>
  <headerFooter/>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
  <sheetViews>
    <sheetView workbookViewId="0">
      <selection activeCell="A1" sqref="$A1:$XFD2"/>
    </sheetView>
  </sheetViews>
  <sheetFormatPr defaultColWidth="8.88888888888889" defaultRowHeight="14.4" outlineLevelRow="5" outlineLevelCol="7"/>
  <sheetData>
    <row r="1" spans="1:8">
      <c r="A1" s="1">
        <f>SUM(B1:AZ1)</f>
        <v>1.83333333333333</v>
      </c>
      <c r="B1" s="1">
        <f t="shared" ref="B1:H1" si="0">COUNTA(B2:B2067)/COLUMN()</f>
        <v>0.5</v>
      </c>
      <c r="C1" s="1">
        <f t="shared" si="0"/>
        <v>1.33333333333333</v>
      </c>
      <c r="D1" s="1">
        <f t="shared" si="0"/>
        <v>0</v>
      </c>
      <c r="E1" s="1">
        <f t="shared" si="0"/>
        <v>0</v>
      </c>
      <c r="F1" s="1">
        <f t="shared" si="0"/>
        <v>0</v>
      </c>
      <c r="G1" s="1">
        <f t="shared" si="0"/>
        <v>0</v>
      </c>
      <c r="H1" s="1">
        <f t="shared" si="0"/>
        <v>0</v>
      </c>
    </row>
    <row r="2" spans="1:8">
      <c r="A2">
        <v>20250506</v>
      </c>
      <c r="B2" t="s">
        <v>1398</v>
      </c>
    </row>
    <row r="3" spans="1:8">
      <c r="C3" t="s">
        <v>1399</v>
      </c>
    </row>
    <row r="4" spans="1:8">
      <c r="C4" t="s">
        <v>1400</v>
      </c>
    </row>
    <row r="5" spans="1:8">
      <c r="C5" t="s">
        <v>1401</v>
      </c>
    </row>
    <row r="6" spans="1:8">
      <c r="C6" t="s">
        <v>1402</v>
      </c>
    </row>
  </sheetData>
  <pageMargins left="0.75" right="0.75" top="1" bottom="1" header="0.5" footer="0.5"/>
  <pageSetup paperSize="9" orientation="portrait"/>
  <headerFooter/>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9"/>
  <sheetViews>
    <sheetView workbookViewId="0">
      <selection activeCell="A1" sqref="$A1:$XFD2"/>
    </sheetView>
  </sheetViews>
  <sheetFormatPr defaultColWidth="8.88888888888889" defaultRowHeight="14.4" outlineLevelCol="7"/>
  <cols>
    <col min="1" max="1" width="9.66666666666667"/>
  </cols>
  <sheetData>
    <row r="1" spans="1:8">
      <c r="A1" s="1">
        <f>SUM(B1:AZ1)</f>
        <v>2.36666666666667</v>
      </c>
      <c r="B1" s="1">
        <f t="shared" ref="B1:H1" si="0">COUNTA(B2:B2066)/COLUMN()</f>
        <v>0.5</v>
      </c>
      <c r="C1" s="1">
        <f t="shared" si="0"/>
        <v>0.666666666666667</v>
      </c>
      <c r="D1" s="1">
        <f t="shared" si="0"/>
        <v>1</v>
      </c>
      <c r="E1" s="1">
        <f t="shared" si="0"/>
        <v>0.2</v>
      </c>
      <c r="F1" s="1">
        <f t="shared" si="0"/>
        <v>0</v>
      </c>
      <c r="G1" s="1">
        <f t="shared" si="0"/>
        <v>0</v>
      </c>
      <c r="H1" s="1">
        <f t="shared" si="0"/>
        <v>0</v>
      </c>
    </row>
    <row r="2" spans="1:8">
      <c r="A2">
        <v>20250517</v>
      </c>
      <c r="B2" t="s">
        <v>1403</v>
      </c>
    </row>
    <row r="3" spans="1:8">
      <c r="C3" t="s">
        <v>1404</v>
      </c>
    </row>
    <row r="4" spans="1:8">
      <c r="D4" t="s">
        <v>1405</v>
      </c>
    </row>
    <row r="5" spans="1:8">
      <c r="D5" t="s">
        <v>1406</v>
      </c>
    </row>
    <row r="6" spans="1:8">
      <c r="C6" t="s">
        <v>1407</v>
      </c>
    </row>
    <row r="7" spans="1:8">
      <c r="D7" t="s">
        <v>1408</v>
      </c>
    </row>
    <row r="8" spans="1:8">
      <c r="D8" t="s">
        <v>1409</v>
      </c>
    </row>
    <row r="9" spans="1:8">
      <c r="E9" t="s">
        <v>1410</v>
      </c>
    </row>
  </sheetData>
  <pageMargins left="0.75" right="0.75" top="1" bottom="1" header="0.5" footer="0.5"/>
  <pageSetup paperSize="9" orientation="portrait"/>
  <headerFooter/>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
  <sheetViews>
    <sheetView workbookViewId="0">
      <selection activeCell="C10" sqref="C10"/>
    </sheetView>
  </sheetViews>
  <sheetFormatPr defaultColWidth="8.88888888888889" defaultRowHeight="14.4" outlineLevelCol="7"/>
  <cols>
    <col min="1" max="1" width="9.66666666666667"/>
  </cols>
  <sheetData>
    <row r="1" spans="1:8">
      <c r="A1" s="1">
        <f>SUM(B1:AZ1)</f>
        <v>3.16666666666667</v>
      </c>
      <c r="B1" s="1">
        <f t="shared" ref="B1:H1" si="0">COUNTA(B2:B2066)/COLUMN()</f>
        <v>1</v>
      </c>
      <c r="C1" s="1">
        <f t="shared" si="0"/>
        <v>1.66666666666667</v>
      </c>
      <c r="D1" s="1">
        <f t="shared" si="0"/>
        <v>0.5</v>
      </c>
      <c r="E1" s="1">
        <f t="shared" si="0"/>
        <v>0</v>
      </c>
      <c r="F1" s="1">
        <f t="shared" si="0"/>
        <v>0</v>
      </c>
      <c r="G1" s="1">
        <f t="shared" si="0"/>
        <v>0</v>
      </c>
      <c r="H1" s="1">
        <f t="shared" si="0"/>
        <v>0</v>
      </c>
    </row>
    <row r="2" spans="1:8">
      <c r="A2">
        <v>20250518</v>
      </c>
      <c r="B2" t="s">
        <v>1411</v>
      </c>
    </row>
    <row r="3" spans="1:8">
      <c r="C3" t="s">
        <v>1412</v>
      </c>
    </row>
    <row r="4" spans="1:8">
      <c r="C4" t="s">
        <v>1413</v>
      </c>
    </row>
    <row r="5" spans="1:8">
      <c r="B5" t="s">
        <v>1414</v>
      </c>
    </row>
    <row r="6" spans="1:8">
      <c r="C6" t="s">
        <v>1415</v>
      </c>
    </row>
    <row r="7" spans="1:8">
      <c r="D7" t="s">
        <v>1416</v>
      </c>
    </row>
    <row r="8" spans="1:8">
      <c r="D8" t="s">
        <v>1417</v>
      </c>
    </row>
    <row r="9" spans="1:8">
      <c r="C9" t="s">
        <v>1418</v>
      </c>
    </row>
    <row r="10" spans="1:8">
      <c r="C10" t="s">
        <v>1419</v>
      </c>
    </row>
  </sheetData>
  <pageMargins left="0.75" right="0.75" top="1" bottom="1" header="0.5" footer="0.5"/>
  <pageSetup paperSize="9" orientation="portrait"/>
  <headerFooter/>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7"/>
  <sheetViews>
    <sheetView workbookViewId="0">
      <selection activeCell="C5" sqref="C5"/>
    </sheetView>
  </sheetViews>
  <sheetFormatPr defaultColWidth="8.88888888888889" defaultRowHeight="14.4" outlineLevelCol="7"/>
  <cols>
    <col min="1" max="1" width="9.66666666666667"/>
  </cols>
  <sheetData>
    <row r="1" spans="1:8">
      <c r="A1" s="1">
        <f>SUM(B1:AZ1)</f>
        <v>5.75</v>
      </c>
      <c r="B1" s="1">
        <f t="shared" ref="B1:H1" si="0">COUNTA(B2:B2066)/COLUMN()</f>
        <v>1.5</v>
      </c>
      <c r="C1" s="1">
        <f t="shared" si="0"/>
        <v>4</v>
      </c>
      <c r="D1" s="1">
        <f t="shared" si="0"/>
        <v>0.25</v>
      </c>
      <c r="E1" s="1">
        <f t="shared" si="0"/>
        <v>0</v>
      </c>
      <c r="F1" s="1">
        <f t="shared" si="0"/>
        <v>0</v>
      </c>
      <c r="G1" s="1">
        <f t="shared" si="0"/>
        <v>0</v>
      </c>
      <c r="H1" s="1">
        <f t="shared" si="0"/>
        <v>0</v>
      </c>
    </row>
    <row r="2" spans="1:8">
      <c r="A2">
        <v>20250519</v>
      </c>
      <c r="B2" t="s">
        <v>1420</v>
      </c>
    </row>
    <row r="3" spans="1:8">
      <c r="C3" t="s">
        <v>1421</v>
      </c>
    </row>
    <row r="4" spans="1:8">
      <c r="C4" t="s">
        <v>1422</v>
      </c>
    </row>
    <row r="5" spans="1:8">
      <c r="C5" t="s">
        <v>1423</v>
      </c>
    </row>
    <row r="6" spans="1:8">
      <c r="C6" t="s">
        <v>1424</v>
      </c>
    </row>
    <row r="7" spans="1:8">
      <c r="D7" t="s">
        <v>1425</v>
      </c>
    </row>
    <row r="8" spans="1:8">
      <c r="B8" t="s">
        <v>1426</v>
      </c>
    </row>
    <row r="9" spans="1:8">
      <c r="C9" t="s">
        <v>1427</v>
      </c>
    </row>
    <row r="10" spans="1:8">
      <c r="C10" t="s">
        <v>1428</v>
      </c>
    </row>
    <row r="11" spans="1:8">
      <c r="C11" t="s">
        <v>1429</v>
      </c>
    </row>
    <row r="12" spans="1:8">
      <c r="C12" t="s">
        <v>1430</v>
      </c>
    </row>
    <row r="13" spans="1:8">
      <c r="B13" t="s">
        <v>1431</v>
      </c>
    </row>
    <row r="14" spans="1:8">
      <c r="C14" t="s">
        <v>1432</v>
      </c>
    </row>
    <row r="15" spans="1:8">
      <c r="C15" t="s">
        <v>1433</v>
      </c>
    </row>
    <row r="16" spans="1:8">
      <c r="C16" t="s">
        <v>1434</v>
      </c>
    </row>
    <row r="17" spans="3:3">
      <c r="C17" t="s">
        <v>1435</v>
      </c>
    </row>
  </sheetData>
  <pageMargins left="0.75" right="0.75" top="1" bottom="1" header="0.5" footer="0.5"/>
  <pageSetup paperSize="9" orientation="portrait"/>
  <headerFooter/>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1"/>
  <sheetViews>
    <sheetView workbookViewId="0">
      <selection activeCell="E18" sqref="E18"/>
    </sheetView>
  </sheetViews>
  <sheetFormatPr defaultColWidth="8.88888888888889" defaultRowHeight="14.4" outlineLevelCol="7"/>
  <cols>
    <col min="1" max="1" width="9.66666666666667"/>
  </cols>
  <sheetData>
    <row r="1" spans="1:8">
      <c r="A1" s="1">
        <f>SUM(B1:AZ1)</f>
        <v>3.75</v>
      </c>
      <c r="B1" s="1">
        <f t="shared" ref="B1:H1" si="0">COUNTA(B2:B2067)/COLUMN()</f>
        <v>1.5</v>
      </c>
      <c r="C1" s="1">
        <f t="shared" si="0"/>
        <v>2</v>
      </c>
      <c r="D1" s="1">
        <f t="shared" si="0"/>
        <v>0.25</v>
      </c>
      <c r="E1" s="1">
        <f t="shared" si="0"/>
        <v>0</v>
      </c>
      <c r="F1" s="1">
        <f t="shared" si="0"/>
        <v>0</v>
      </c>
      <c r="G1" s="1">
        <f t="shared" si="0"/>
        <v>0</v>
      </c>
      <c r="H1" s="1">
        <f t="shared" si="0"/>
        <v>0</v>
      </c>
    </row>
    <row r="2" spans="1:8">
      <c r="A2">
        <v>20250520</v>
      </c>
      <c r="B2" t="s">
        <v>1436</v>
      </c>
    </row>
    <row r="3" spans="1:8">
      <c r="C3" t="s">
        <v>1437</v>
      </c>
    </row>
    <row r="4" spans="1:8">
      <c r="C4" t="s">
        <v>1438</v>
      </c>
    </row>
    <row r="5" spans="1:8">
      <c r="C5" t="s">
        <v>1439</v>
      </c>
    </row>
    <row r="6" spans="1:8">
      <c r="D6" t="s">
        <v>1440</v>
      </c>
    </row>
    <row r="7" spans="1:8">
      <c r="B7" t="s">
        <v>1441</v>
      </c>
    </row>
    <row r="8" spans="1:8">
      <c r="B8" t="s">
        <v>1442</v>
      </c>
    </row>
    <row r="9" spans="1:8">
      <c r="C9" t="s">
        <v>1443</v>
      </c>
    </row>
    <row r="10" spans="1:8">
      <c r="C10" t="s">
        <v>1444</v>
      </c>
    </row>
    <row r="11" spans="1:8">
      <c r="C11" t="s">
        <v>1445</v>
      </c>
    </row>
  </sheetData>
  <pageMargins left="0.75" right="0.75" top="1" bottom="1" header="0.5" footer="0.5"/>
  <pageSetup paperSize="9" orientation="portrait"/>
  <headerFooter/>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8"/>
  <sheetViews>
    <sheetView workbookViewId="0">
      <selection activeCell="C3" sqref="C3"/>
    </sheetView>
  </sheetViews>
  <sheetFormatPr defaultColWidth="8.88888888888889" defaultRowHeight="14.4" outlineLevelRow="7" outlineLevelCol="7"/>
  <cols>
    <col min="1" max="1" width="9.66666666666667"/>
  </cols>
  <sheetData>
    <row r="1" spans="1:8">
      <c r="A1" s="1">
        <f>SUM(B1:AZ1)</f>
        <v>2.66666666666667</v>
      </c>
      <c r="B1" s="1">
        <f t="shared" ref="B1:H1" si="0">COUNTA(B2:B2066)/COLUMN()</f>
        <v>1</v>
      </c>
      <c r="C1" s="1">
        <f t="shared" si="0"/>
        <v>1.66666666666667</v>
      </c>
      <c r="D1" s="1">
        <f t="shared" si="0"/>
        <v>0</v>
      </c>
      <c r="E1" s="1">
        <f t="shared" si="0"/>
        <v>0</v>
      </c>
      <c r="F1" s="1">
        <f t="shared" si="0"/>
        <v>0</v>
      </c>
      <c r="G1" s="1">
        <f t="shared" si="0"/>
        <v>0</v>
      </c>
      <c r="H1" s="1">
        <f t="shared" si="0"/>
        <v>0</v>
      </c>
    </row>
    <row r="2" spans="1:8">
      <c r="A2">
        <v>20250521</v>
      </c>
      <c r="B2" t="s">
        <v>1446</v>
      </c>
    </row>
    <row r="3" spans="1:8">
      <c r="C3" t="s">
        <v>1447</v>
      </c>
    </row>
    <row r="4" spans="1:8">
      <c r="C4" t="s">
        <v>1448</v>
      </c>
    </row>
    <row r="5" spans="1:8">
      <c r="C5" t="s">
        <v>1449</v>
      </c>
    </row>
    <row r="6" spans="1:8">
      <c r="B6" t="s">
        <v>1450</v>
      </c>
    </row>
    <row r="7" spans="1:8">
      <c r="C7" t="s">
        <v>1451</v>
      </c>
    </row>
    <row r="8" spans="1:8">
      <c r="C8" t="s">
        <v>1452</v>
      </c>
    </row>
  </sheetData>
  <pageMargins left="0.75" right="0.75" top="1" bottom="1" header="0.5" footer="0.5"/>
  <pageSetup paperSize="9" orientation="portrait"/>
  <headerFooter/>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7"/>
  <sheetViews>
    <sheetView workbookViewId="0">
      <selection activeCell="C16" sqref="C16"/>
    </sheetView>
  </sheetViews>
  <sheetFormatPr defaultColWidth="8.88888888888889" defaultRowHeight="14.4" outlineLevelCol="7"/>
  <cols>
    <col min="1" max="1" width="9.66666666666667"/>
  </cols>
  <sheetData>
    <row r="1" spans="1:8">
      <c r="A1" s="1">
        <f>SUM(B1:AZ1)</f>
        <v>5.5</v>
      </c>
      <c r="B1" s="1">
        <f t="shared" ref="B1:H1" si="0">COUNTA(B2:B2066)/COLUMN()</f>
        <v>1.5</v>
      </c>
      <c r="C1" s="1">
        <f t="shared" si="0"/>
        <v>3</v>
      </c>
      <c r="D1" s="1">
        <f t="shared" si="0"/>
        <v>1</v>
      </c>
      <c r="E1" s="1">
        <f t="shared" si="0"/>
        <v>0</v>
      </c>
      <c r="F1" s="1">
        <f t="shared" si="0"/>
        <v>0</v>
      </c>
      <c r="G1" s="1">
        <f t="shared" si="0"/>
        <v>0</v>
      </c>
      <c r="H1" s="1">
        <f t="shared" si="0"/>
        <v>0</v>
      </c>
    </row>
    <row r="2" spans="1:8">
      <c r="A2">
        <v>20250522</v>
      </c>
      <c r="B2" t="s">
        <v>1453</v>
      </c>
    </row>
    <row r="3" spans="1:8">
      <c r="B3" t="s">
        <v>1454</v>
      </c>
    </row>
    <row r="4" spans="1:8">
      <c r="C4" t="s">
        <v>1455</v>
      </c>
    </row>
    <row r="5" spans="1:8">
      <c r="C5" t="s">
        <v>1456</v>
      </c>
    </row>
    <row r="6" spans="1:8">
      <c r="D6" t="s">
        <v>1457</v>
      </c>
    </row>
    <row r="7" spans="1:8">
      <c r="D7" t="s">
        <v>1458</v>
      </c>
    </row>
    <row r="8" spans="1:8">
      <c r="C8" t="s">
        <v>1459</v>
      </c>
    </row>
    <row r="9" spans="1:8">
      <c r="D9" t="s">
        <v>1460</v>
      </c>
    </row>
    <row r="10" spans="1:8">
      <c r="D10" t="s">
        <v>1461</v>
      </c>
    </row>
    <row r="11" spans="1:8">
      <c r="C11" t="s">
        <v>1462</v>
      </c>
    </row>
    <row r="12" spans="1:8">
      <c r="C12" t="s">
        <v>1463</v>
      </c>
    </row>
    <row r="13" spans="1:8">
      <c r="C13" t="s">
        <v>1464</v>
      </c>
    </row>
    <row r="14" spans="1:8">
      <c r="B14" t="s">
        <v>1465</v>
      </c>
    </row>
    <row r="15" spans="1:8">
      <c r="C15" t="s">
        <v>1466</v>
      </c>
    </row>
    <row r="16" spans="1:8">
      <c r="C16" t="s">
        <v>1467</v>
      </c>
    </row>
    <row r="17" spans="3:3">
      <c r="C17" t="s">
        <v>1468</v>
      </c>
    </row>
  </sheetData>
  <pageMargins left="0.75" right="0.75" top="1" bottom="1" header="0.5" footer="0.5"/>
  <pageSetup paperSize="9" orientation="portrait"/>
  <headerFooter/>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9"/>
  <sheetViews>
    <sheetView zoomScale="115" zoomScaleNormal="115" workbookViewId="0">
      <selection activeCell="C5" sqref="C5"/>
    </sheetView>
  </sheetViews>
  <sheetFormatPr defaultColWidth="8.88888888888889" defaultRowHeight="14.4" outlineLevelCol="7"/>
  <cols>
    <col min="1" max="1" width="9.66666666666667"/>
  </cols>
  <sheetData>
    <row r="1" spans="1:8">
      <c r="A1" s="1">
        <f>SUM(B1:AZ1)</f>
        <v>6.2</v>
      </c>
      <c r="B1" s="1">
        <f t="shared" ref="B1:H1" si="0">COUNTA(B2:B2066)/COLUMN()</f>
        <v>2</v>
      </c>
      <c r="C1" s="1">
        <f t="shared" si="0"/>
        <v>3.33333333333333</v>
      </c>
      <c r="D1" s="1">
        <f t="shared" si="0"/>
        <v>0.5</v>
      </c>
      <c r="E1" s="1">
        <f t="shared" si="0"/>
        <v>0.2</v>
      </c>
      <c r="F1" s="1">
        <f t="shared" si="0"/>
        <v>0.166666666666667</v>
      </c>
      <c r="G1" s="1">
        <f t="shared" si="0"/>
        <v>0</v>
      </c>
      <c r="H1" s="1">
        <f t="shared" si="0"/>
        <v>0</v>
      </c>
    </row>
    <row r="2" spans="1:8">
      <c r="A2">
        <v>20250523</v>
      </c>
      <c r="B2" t="s">
        <v>1469</v>
      </c>
    </row>
    <row r="3" spans="1:8">
      <c r="C3" t="s">
        <v>1470</v>
      </c>
    </row>
    <row r="4" spans="1:8">
      <c r="C4" t="s">
        <v>1471</v>
      </c>
    </row>
    <row r="5" spans="1:8">
      <c r="C5" t="s">
        <v>1472</v>
      </c>
    </row>
    <row r="6" spans="1:8">
      <c r="C6" t="s">
        <v>1473</v>
      </c>
    </row>
    <row r="7" spans="1:8">
      <c r="B7" t="s">
        <v>1474</v>
      </c>
    </row>
    <row r="8" spans="1:8">
      <c r="C8" t="s">
        <v>1475</v>
      </c>
    </row>
    <row r="9" spans="1:8">
      <c r="D9" t="s">
        <v>1476</v>
      </c>
    </row>
    <row r="10" spans="1:8">
      <c r="D10" t="s">
        <v>1477</v>
      </c>
    </row>
    <row r="11" spans="1:8">
      <c r="E11" t="s">
        <v>1478</v>
      </c>
    </row>
    <row r="12" spans="1:8">
      <c r="F12" t="s">
        <v>1479</v>
      </c>
    </row>
    <row r="13" spans="1:8">
      <c r="B13" t="s">
        <v>1480</v>
      </c>
    </row>
    <row r="14" spans="1:8">
      <c r="C14" t="s">
        <v>1481</v>
      </c>
    </row>
    <row r="15" spans="1:8">
      <c r="B15" t="s">
        <v>1482</v>
      </c>
    </row>
    <row r="16" spans="1:8">
      <c r="C16" t="s">
        <v>1483</v>
      </c>
    </row>
    <row r="17" spans="3:3">
      <c r="C17" t="s">
        <v>1484</v>
      </c>
    </row>
    <row r="18" spans="3:3">
      <c r="C18" t="s">
        <v>1485</v>
      </c>
    </row>
    <row r="19" spans="3:3">
      <c r="C19" t="s">
        <v>1486</v>
      </c>
    </row>
  </sheetData>
  <pageMargins left="0.75" right="0.75" top="1" bottom="1" header="0.5" footer="0.5"/>
  <pageSetup paperSize="9" orientation="portrait"/>
  <headerFooter/>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
  <sheetViews>
    <sheetView zoomScale="115" zoomScaleNormal="115" workbookViewId="0">
      <selection activeCell="J5" sqref="J5"/>
    </sheetView>
  </sheetViews>
  <sheetFormatPr defaultColWidth="8.88888888888889" defaultRowHeight="14.4" outlineLevelRow="2" outlineLevelCol="7"/>
  <cols>
    <col min="1" max="1" width="9.66666666666667"/>
  </cols>
  <sheetData>
    <row r="1" spans="1:8">
      <c r="A1" s="1">
        <f>SUM(B1:AZ1)</f>
        <v>1</v>
      </c>
      <c r="B1" s="1">
        <f t="shared" ref="B1:H1" si="0">COUNTA(B2:B2066)/COLUMN()</f>
        <v>1</v>
      </c>
      <c r="C1" s="1">
        <f t="shared" si="0"/>
        <v>0</v>
      </c>
      <c r="D1" s="1">
        <f t="shared" si="0"/>
        <v>0</v>
      </c>
      <c r="E1" s="1">
        <f t="shared" si="0"/>
        <v>0</v>
      </c>
      <c r="F1" s="1">
        <f t="shared" si="0"/>
        <v>0</v>
      </c>
      <c r="G1" s="1">
        <f t="shared" si="0"/>
        <v>0</v>
      </c>
      <c r="H1" s="1">
        <f t="shared" si="0"/>
        <v>0</v>
      </c>
    </row>
    <row r="2" spans="1:8">
      <c r="A2">
        <v>20250524</v>
      </c>
      <c r="B2" t="s">
        <v>1487</v>
      </c>
    </row>
    <row r="3" spans="1:8">
      <c r="B3" t="s">
        <v>1488</v>
      </c>
    </row>
  </sheetData>
  <pageMargins left="0.75" right="0.75" top="1" bottom="1" header="0.5" footer="0.5"/>
  <pageSetup paperSize="9" orientation="portrait"/>
  <headerFooter/>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8"/>
  <sheetViews>
    <sheetView zoomScale="115" zoomScaleNormal="115" topLeftCell="A3" workbookViewId="0">
      <selection activeCell="C27" sqref="C27"/>
    </sheetView>
  </sheetViews>
  <sheetFormatPr defaultColWidth="8.88888888888889" defaultRowHeight="14.4" outlineLevelCol="7"/>
  <cols>
    <col min="1" max="1" width="9.66666666666667"/>
  </cols>
  <sheetData>
    <row r="1" spans="1:8">
      <c r="A1" s="1">
        <f>SUM(B1:AZ1)</f>
        <v>9.83333333333333</v>
      </c>
      <c r="B1" s="1">
        <f t="shared" ref="B1:H1" si="0">COUNTA(B2:B2066)/COLUMN()</f>
        <v>3.5</v>
      </c>
      <c r="C1" s="1">
        <f t="shared" si="0"/>
        <v>5.33333333333333</v>
      </c>
      <c r="D1" s="1">
        <f t="shared" si="0"/>
        <v>1</v>
      </c>
      <c r="E1" s="1">
        <f t="shared" si="0"/>
        <v>0</v>
      </c>
      <c r="F1" s="1">
        <f t="shared" si="0"/>
        <v>0</v>
      </c>
      <c r="G1" s="1">
        <f t="shared" si="0"/>
        <v>0</v>
      </c>
      <c r="H1" s="1">
        <f t="shared" si="0"/>
        <v>0</v>
      </c>
    </row>
    <row r="2" spans="1:8">
      <c r="A2">
        <v>20250525</v>
      </c>
      <c r="B2" t="s">
        <v>1489</v>
      </c>
    </row>
    <row r="3" spans="1:8">
      <c r="B3" t="s">
        <v>1490</v>
      </c>
    </row>
    <row r="4" spans="1:8">
      <c r="C4" t="s">
        <v>1491</v>
      </c>
    </row>
    <row r="5" spans="1:8">
      <c r="D5" t="s">
        <v>1492</v>
      </c>
    </row>
    <row r="6" spans="1:8">
      <c r="D6" t="s">
        <v>1493</v>
      </c>
    </row>
    <row r="7" spans="1:8">
      <c r="C7" t="s">
        <v>1494</v>
      </c>
    </row>
    <row r="8" spans="1:8">
      <c r="D8" t="s">
        <v>1495</v>
      </c>
    </row>
    <row r="9" spans="1:8">
      <c r="D9" t="s">
        <v>1496</v>
      </c>
    </row>
    <row r="10" spans="1:8">
      <c r="B10" t="s">
        <v>1497</v>
      </c>
    </row>
    <row r="11" spans="1:8">
      <c r="C11" t="s">
        <v>1498</v>
      </c>
    </row>
    <row r="12" spans="1:8">
      <c r="C12" t="s">
        <v>1499</v>
      </c>
    </row>
    <row r="13" spans="1:8">
      <c r="C13" t="s">
        <v>1500</v>
      </c>
    </row>
    <row r="14" spans="1:8">
      <c r="B14" t="s">
        <v>1501</v>
      </c>
    </row>
    <row r="15" spans="1:8">
      <c r="C15" t="s">
        <v>1502</v>
      </c>
    </row>
    <row r="16" spans="1:8">
      <c r="C16" t="s">
        <v>1503</v>
      </c>
    </row>
    <row r="17" spans="2:3">
      <c r="C17" t="s">
        <v>1504</v>
      </c>
    </row>
    <row r="18" spans="2:3">
      <c r="C18" t="s">
        <v>1505</v>
      </c>
    </row>
    <row r="19" spans="2:3">
      <c r="B19" t="s">
        <v>1506</v>
      </c>
    </row>
    <row r="20" spans="2:3">
      <c r="C20" t="s">
        <v>1507</v>
      </c>
    </row>
    <row r="21" spans="2:3">
      <c r="C21" t="s">
        <v>1508</v>
      </c>
    </row>
    <row r="22" spans="2:3">
      <c r="B22" t="s">
        <v>1509</v>
      </c>
    </row>
    <row r="23" spans="2:3">
      <c r="C23" t="s">
        <v>1510</v>
      </c>
    </row>
    <row r="24" spans="2:3">
      <c r="C24" t="s">
        <v>1511</v>
      </c>
    </row>
    <row r="25" spans="2:3">
      <c r="C25" t="s">
        <v>1512</v>
      </c>
    </row>
    <row r="26" spans="2:3">
      <c r="B26" t="s">
        <v>1513</v>
      </c>
    </row>
    <row r="27" spans="2:3">
      <c r="C27" t="s">
        <v>1514</v>
      </c>
    </row>
    <row r="28" spans="2:3">
      <c r="C28" t="s">
        <v>1515</v>
      </c>
    </row>
  </sheetData>
  <pageMargins left="0.75" right="0.75" top="1" bottom="1" header="0.5" footer="0.5"/>
  <pageSetup paperSize="9" orientation="portrait"/>
  <headerFooter/>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
  <sheetViews>
    <sheetView zoomScale="115" zoomScaleNormal="115" workbookViewId="0">
      <selection activeCell="B2" sqref="B2"/>
    </sheetView>
  </sheetViews>
  <sheetFormatPr defaultColWidth="8.88888888888889" defaultRowHeight="14.4" outlineLevelRow="4" outlineLevelCol="7"/>
  <cols>
    <col min="1" max="1" width="9.66666666666667"/>
  </cols>
  <sheetData>
    <row r="1" spans="1:8">
      <c r="A1" s="1">
        <f>SUM(B1:AZ1)</f>
        <v>1.83333333333333</v>
      </c>
      <c r="B1" s="1">
        <f t="shared" ref="B1:H1" si="0">COUNTA(B2:B2066)/COLUMN()</f>
        <v>1.5</v>
      </c>
      <c r="C1" s="1">
        <f t="shared" si="0"/>
        <v>0.333333333333333</v>
      </c>
      <c r="D1" s="1">
        <f t="shared" si="0"/>
        <v>0</v>
      </c>
      <c r="E1" s="1">
        <f t="shared" si="0"/>
        <v>0</v>
      </c>
      <c r="F1" s="1">
        <f t="shared" si="0"/>
        <v>0</v>
      </c>
      <c r="G1" s="1">
        <f t="shared" si="0"/>
        <v>0</v>
      </c>
      <c r="H1" s="1">
        <f t="shared" si="0"/>
        <v>0</v>
      </c>
    </row>
    <row r="2" spans="1:8">
      <c r="A2">
        <v>20250526</v>
      </c>
      <c r="B2" t="s">
        <v>1516</v>
      </c>
    </row>
    <row r="3" spans="1:8">
      <c r="B3" t="s">
        <v>1517</v>
      </c>
    </row>
    <row r="4" spans="1:8">
      <c r="B4" t="s">
        <v>1518</v>
      </c>
    </row>
    <row r="5" spans="1:8">
      <c r="C5" t="s">
        <v>1519</v>
      </c>
    </row>
  </sheetData>
  <pageMargins left="0.75" right="0.75" top="1" bottom="1" header="0.5" footer="0.5"/>
  <pageSetup paperSize="9" orientation="portrait"/>
  <headerFooter/>
</worksheet>
</file>

<file path=xl/worksheets/sheet1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8"/>
  <sheetViews>
    <sheetView topLeftCell="A9" workbookViewId="0">
      <selection activeCell="S27" sqref="S27"/>
    </sheetView>
  </sheetViews>
  <sheetFormatPr defaultColWidth="8.88888888888889" defaultRowHeight="14.4" outlineLevelCol="7"/>
  <cols>
    <col min="1" max="1" width="9.66666666666667"/>
  </cols>
  <sheetData>
    <row r="1" spans="1:8">
      <c r="A1" s="1">
        <f>SUM(B1:AZ1)</f>
        <v>9.2</v>
      </c>
      <c r="B1" s="1">
        <f t="shared" ref="B1:H1" si="0">COUNTA(B2:B2066)/COLUMN()</f>
        <v>2.5</v>
      </c>
      <c r="C1" s="1">
        <f t="shared" si="0"/>
        <v>5</v>
      </c>
      <c r="D1" s="1">
        <f t="shared" si="0"/>
        <v>1.5</v>
      </c>
      <c r="E1" s="1">
        <f t="shared" si="0"/>
        <v>0.2</v>
      </c>
      <c r="F1" s="1">
        <f t="shared" si="0"/>
        <v>0</v>
      </c>
      <c r="G1" s="1">
        <f t="shared" si="0"/>
        <v>0</v>
      </c>
      <c r="H1" s="1">
        <f t="shared" si="0"/>
        <v>0</v>
      </c>
    </row>
    <row r="2" spans="1:8">
      <c r="A2" t="str" cm="1">
        <f ca="1" t="array" ref="A2">_wpsfn.SHEETSNAME(A1)</f>
        <v>20250527</v>
      </c>
      <c r="B2" t="s">
        <v>1520</v>
      </c>
    </row>
    <row r="3" spans="1:8">
      <c r="C3" t="s">
        <v>1521</v>
      </c>
    </row>
    <row r="4" spans="1:8">
      <c r="D4" t="s">
        <v>1522</v>
      </c>
    </row>
    <row r="5" spans="1:8">
      <c r="D5" t="s">
        <v>1523</v>
      </c>
    </row>
    <row r="6" spans="1:8">
      <c r="C6" t="s">
        <v>1524</v>
      </c>
    </row>
    <row r="7" spans="1:8">
      <c r="D7" t="s">
        <v>1525</v>
      </c>
    </row>
    <row r="8" spans="1:8">
      <c r="D8" t="s">
        <v>1526</v>
      </c>
    </row>
    <row r="9" spans="1:8">
      <c r="E9" t="s">
        <v>1527</v>
      </c>
    </row>
    <row r="10" spans="1:8">
      <c r="B10" t="s">
        <v>1528</v>
      </c>
    </row>
    <row r="11" spans="1:8">
      <c r="C11" t="s">
        <v>1529</v>
      </c>
    </row>
    <row r="12" spans="1:8">
      <c r="C12" t="s">
        <v>1530</v>
      </c>
    </row>
    <row r="13" spans="1:8">
      <c r="C13" t="s">
        <v>1531</v>
      </c>
    </row>
    <row r="14" spans="1:8">
      <c r="C14" t="s">
        <v>1532</v>
      </c>
    </row>
    <row r="15" spans="1:8">
      <c r="C15" t="s">
        <v>1533</v>
      </c>
    </row>
    <row r="16" spans="1:8">
      <c r="C16" t="s">
        <v>1534</v>
      </c>
    </row>
    <row r="17" spans="2:4">
      <c r="B17" t="s">
        <v>1535</v>
      </c>
    </row>
    <row r="18" spans="2:4">
      <c r="C18" t="s">
        <v>1536</v>
      </c>
    </row>
    <row r="19" spans="2:4">
      <c r="C19" t="s">
        <v>1537</v>
      </c>
    </row>
    <row r="20" spans="2:4">
      <c r="D20" t="s">
        <v>1538</v>
      </c>
    </row>
    <row r="21" spans="2:4">
      <c r="D21" t="s">
        <v>1539</v>
      </c>
    </row>
    <row r="22" spans="2:4">
      <c r="C22" t="s">
        <v>1540</v>
      </c>
    </row>
    <row r="23" spans="2:4">
      <c r="C23" t="s">
        <v>1541</v>
      </c>
    </row>
    <row r="24" spans="2:4">
      <c r="C24" t="s">
        <v>1542</v>
      </c>
    </row>
    <row r="25" spans="2:4">
      <c r="B25" t="s">
        <v>1543</v>
      </c>
    </row>
    <row r="26" spans="2:4">
      <c r="C26" t="s">
        <v>1544</v>
      </c>
    </row>
    <row r="27" spans="2:4">
      <c r="C27" t="s">
        <v>1545</v>
      </c>
    </row>
    <row r="28" spans="2:4">
      <c r="B28" t="s">
        <v>1546</v>
      </c>
    </row>
  </sheetData>
  <pageMargins left="0.75" right="0.75" top="1" bottom="1" header="0.5" footer="0.5"/>
  <pageSetup paperSize="9" orientation="portrait"/>
  <headerFooter/>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
  <sheetViews>
    <sheetView zoomScale="115" zoomScaleNormal="115" workbookViewId="0">
      <selection activeCell="B6" sqref="B6"/>
    </sheetView>
  </sheetViews>
  <sheetFormatPr defaultColWidth="8.88888888888889" defaultRowHeight="14.4" outlineLevelRow="5" outlineLevelCol="7"/>
  <cols>
    <col min="1" max="1" width="9.66666666666667"/>
  </cols>
  <sheetData>
    <row r="1" spans="1:8">
      <c r="A1" s="1">
        <f>SUM(B1:AZ1)</f>
        <v>2</v>
      </c>
      <c r="B1" s="1">
        <f t="shared" ref="B1:H1" si="0">COUNTA(B2:B2066)/COLUMN()</f>
        <v>1</v>
      </c>
      <c r="C1" s="1">
        <f t="shared" si="0"/>
        <v>1</v>
      </c>
      <c r="D1" s="1">
        <f t="shared" si="0"/>
        <v>0</v>
      </c>
      <c r="E1" s="1">
        <f t="shared" si="0"/>
        <v>0</v>
      </c>
      <c r="F1" s="1">
        <f t="shared" si="0"/>
        <v>0</v>
      </c>
      <c r="G1" s="1">
        <f t="shared" si="0"/>
        <v>0</v>
      </c>
      <c r="H1" s="1">
        <f t="shared" si="0"/>
        <v>0</v>
      </c>
    </row>
    <row r="2" spans="1:8">
      <c r="A2" t="str" cm="1">
        <f ca="1" t="array" ref="A2">_wpsfn.SHEETSNAME(A1)</f>
        <v>20250528</v>
      </c>
      <c r="B2" t="s">
        <v>1547</v>
      </c>
    </row>
    <row r="3" spans="1:8">
      <c r="C3" t="s">
        <v>1548</v>
      </c>
    </row>
    <row r="4" spans="1:8">
      <c r="C4" t="s">
        <v>1549</v>
      </c>
    </row>
    <row r="5" spans="1:8">
      <c r="C5" t="s">
        <v>1550</v>
      </c>
    </row>
    <row r="6" spans="1:8">
      <c r="B6" t="s">
        <v>1551</v>
      </c>
    </row>
  </sheetData>
  <pageMargins left="0.75" right="0.75" top="1" bottom="1" header="0.5" footer="0.5"/>
  <pageSetup paperSize="9" orientation="portrait"/>
  <headerFooter/>
</worksheet>
</file>

<file path=xl/worksheets/sheet1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
  <sheetViews>
    <sheetView zoomScale="115" zoomScaleNormal="115" workbookViewId="0">
      <selection activeCell="L8" sqref="L8"/>
    </sheetView>
  </sheetViews>
  <sheetFormatPr defaultColWidth="8.88888888888889" defaultRowHeight="14.4" outlineLevelRow="3" outlineLevelCol="7"/>
  <cols>
    <col min="1" max="1" width="9.66666666666667"/>
  </cols>
  <sheetData>
    <row r="1" spans="1:8">
      <c r="A1" s="1">
        <f>SUM(B1:AZ1)</f>
        <v>1.16666666666667</v>
      </c>
      <c r="B1" s="1">
        <f t="shared" ref="B1:H1" si="0">COUNTA(B2:B2066)/COLUMN()</f>
        <v>0.5</v>
      </c>
      <c r="C1" s="1">
        <f t="shared" si="0"/>
        <v>0.666666666666667</v>
      </c>
      <c r="D1" s="1">
        <f t="shared" si="0"/>
        <v>0</v>
      </c>
      <c r="E1" s="1">
        <f t="shared" si="0"/>
        <v>0</v>
      </c>
      <c r="F1" s="1">
        <f t="shared" si="0"/>
        <v>0</v>
      </c>
      <c r="G1" s="1">
        <f t="shared" si="0"/>
        <v>0</v>
      </c>
      <c r="H1" s="1">
        <f t="shared" si="0"/>
        <v>0</v>
      </c>
    </row>
    <row r="2" spans="1:8">
      <c r="A2" t="str" cm="1">
        <f ca="1" t="array" ref="A2">_wpsfn.SHEETSNAME(A1)</f>
        <v>20250529</v>
      </c>
      <c r="B2" t="s">
        <v>1552</v>
      </c>
    </row>
    <row r="3" spans="1:8">
      <c r="C3" t="s">
        <v>1553</v>
      </c>
    </row>
    <row r="4" spans="1:8">
      <c r="C4" t="s">
        <v>1554</v>
      </c>
    </row>
  </sheetData>
  <pageMargins left="0.75" right="0.75" top="1" bottom="1" header="0.5" footer="0.5"/>
  <pageSetup paperSize="9" orientation="portrait"/>
  <headerFooter/>
</worksheet>
</file>

<file path=xl/worksheets/sheet1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8"/>
  <sheetViews>
    <sheetView topLeftCell="A28" workbookViewId="0">
      <selection activeCell="I41" sqref="I41"/>
    </sheetView>
  </sheetViews>
  <sheetFormatPr defaultColWidth="8.88888888888889" defaultRowHeight="14.4" outlineLevelCol="7"/>
  <cols>
    <col min="1" max="1" width="9.66666666666667"/>
  </cols>
  <sheetData>
    <row r="1" spans="1:8">
      <c r="A1" s="1">
        <f>SUM(B1:AZ1)</f>
        <v>18.5</v>
      </c>
      <c r="B1" s="1">
        <f t="shared" ref="B1:H1" si="0">COUNTA(B2:B2072)/COLUMN()</f>
        <v>4.5</v>
      </c>
      <c r="C1" s="1">
        <f t="shared" si="0"/>
        <v>9</v>
      </c>
      <c r="D1" s="1">
        <f t="shared" si="0"/>
        <v>4</v>
      </c>
      <c r="E1" s="1">
        <f t="shared" si="0"/>
        <v>1</v>
      </c>
      <c r="F1" s="1">
        <f t="shared" si="0"/>
        <v>0</v>
      </c>
      <c r="G1" s="1">
        <f t="shared" si="0"/>
        <v>0</v>
      </c>
      <c r="H1" s="1">
        <f t="shared" si="0"/>
        <v>0</v>
      </c>
    </row>
    <row r="2" spans="1:8">
      <c r="A2" t="str" cm="1">
        <f ca="1" t="array" ref="A2">_wpsfn.SHEETSNAME(A1)</f>
        <v>20250530</v>
      </c>
      <c r="B2" t="s">
        <v>1555</v>
      </c>
    </row>
    <row r="3" spans="1:8">
      <c r="C3" t="s">
        <v>1556</v>
      </c>
    </row>
    <row r="4" spans="1:8">
      <c r="C4" t="s">
        <v>1557</v>
      </c>
    </row>
    <row r="5" spans="1:8">
      <c r="C5" t="s">
        <v>1558</v>
      </c>
    </row>
    <row r="6" spans="1:8">
      <c r="C6" t="s">
        <v>1559</v>
      </c>
    </row>
    <row r="7" spans="1:8">
      <c r="D7" t="s">
        <v>1560</v>
      </c>
    </row>
    <row r="8" spans="1:8">
      <c r="C8" t="s">
        <v>1561</v>
      </c>
    </row>
    <row r="9" spans="1:8">
      <c r="D9" t="s">
        <v>1562</v>
      </c>
    </row>
    <row r="10" spans="1:8">
      <c r="D10" t="s">
        <v>1563</v>
      </c>
    </row>
    <row r="11" spans="1:8">
      <c r="B11" t="s">
        <v>1564</v>
      </c>
    </row>
    <row r="12" spans="1:8">
      <c r="C12" t="s">
        <v>1565</v>
      </c>
    </row>
    <row r="13" spans="1:8">
      <c r="C13" t="s">
        <v>1566</v>
      </c>
    </row>
    <row r="14" spans="1:8">
      <c r="D14" t="s">
        <v>1567</v>
      </c>
    </row>
    <row r="15" spans="1:8">
      <c r="B15" t="s">
        <v>1568</v>
      </c>
    </row>
    <row r="16" spans="1:8">
      <c r="C16" t="s">
        <v>1569</v>
      </c>
    </row>
    <row r="17" spans="2:4">
      <c r="C17" t="s">
        <v>1570</v>
      </c>
    </row>
    <row r="18" spans="2:4">
      <c r="C18" t="s">
        <v>1571</v>
      </c>
    </row>
    <row r="19" spans="2:4">
      <c r="C19" t="s">
        <v>1572</v>
      </c>
    </row>
    <row r="20" spans="2:4">
      <c r="C20" t="s">
        <v>1573</v>
      </c>
    </row>
    <row r="21" spans="2:4">
      <c r="C21" t="s">
        <v>1574</v>
      </c>
    </row>
    <row r="22" spans="2:4">
      <c r="B22" t="s">
        <v>1575</v>
      </c>
    </row>
    <row r="23" spans="2:4">
      <c r="C23" t="s">
        <v>1576</v>
      </c>
    </row>
    <row r="24" spans="2:4">
      <c r="C24" t="s">
        <v>1577</v>
      </c>
    </row>
    <row r="25" spans="2:4">
      <c r="C25" t="s">
        <v>1578</v>
      </c>
    </row>
    <row r="26" spans="2:4">
      <c r="B26" t="s">
        <v>1579</v>
      </c>
    </row>
    <row r="27" spans="2:4">
      <c r="C27" t="s">
        <v>1580</v>
      </c>
    </row>
    <row r="28" spans="2:4">
      <c r="D28" t="s">
        <v>1581</v>
      </c>
    </row>
    <row r="29" spans="2:4">
      <c r="D29" t="s">
        <v>1582</v>
      </c>
    </row>
    <row r="30" spans="2:4">
      <c r="D30" t="s">
        <v>1583</v>
      </c>
    </row>
    <row r="31" spans="2:4">
      <c r="C31" t="s">
        <v>1584</v>
      </c>
    </row>
    <row r="32" spans="2:4">
      <c r="D32" t="s">
        <v>1585</v>
      </c>
    </row>
    <row r="33" spans="2:5">
      <c r="E33" t="s">
        <v>1586</v>
      </c>
    </row>
    <row r="34" spans="2:5">
      <c r="E34" t="s">
        <v>1587</v>
      </c>
    </row>
    <row r="35" spans="2:5">
      <c r="D35" t="s">
        <v>1588</v>
      </c>
    </row>
    <row r="36" spans="2:5">
      <c r="E36" t="s">
        <v>1589</v>
      </c>
    </row>
    <row r="37" spans="2:5">
      <c r="E37" t="s">
        <v>1590</v>
      </c>
    </row>
    <row r="38" spans="2:5">
      <c r="C38" t="s">
        <v>1591</v>
      </c>
    </row>
    <row r="39" spans="2:5">
      <c r="B39" t="s">
        <v>1592</v>
      </c>
    </row>
    <row r="40" spans="2:5">
      <c r="C40" t="s">
        <v>1593</v>
      </c>
    </row>
    <row r="41" spans="2:5">
      <c r="D41" t="s">
        <v>1594</v>
      </c>
    </row>
    <row r="42" spans="2:5">
      <c r="C42" t="s">
        <v>1595</v>
      </c>
    </row>
    <row r="43" spans="2:5">
      <c r="D43" t="s">
        <v>1596</v>
      </c>
    </row>
    <row r="44" spans="2:5">
      <c r="E44" t="s">
        <v>1597</v>
      </c>
    </row>
    <row r="45" spans="2:5">
      <c r="D45" t="s">
        <v>1598</v>
      </c>
    </row>
    <row r="46" spans="2:5">
      <c r="D46" t="s">
        <v>1599</v>
      </c>
    </row>
    <row r="47" spans="2:5">
      <c r="B47" t="s">
        <v>1600</v>
      </c>
    </row>
    <row r="48" spans="2:5">
      <c r="C48" t="s">
        <v>1601</v>
      </c>
    </row>
    <row r="49" spans="2:4">
      <c r="C49" s="4" t="s">
        <v>1602</v>
      </c>
    </row>
    <row r="50" spans="2:4">
      <c r="C50" t="s">
        <v>1603</v>
      </c>
    </row>
    <row r="51" spans="2:4">
      <c r="D51" t="s">
        <v>1604</v>
      </c>
    </row>
    <row r="52" spans="2:4">
      <c r="D52" t="s">
        <v>1605</v>
      </c>
    </row>
    <row r="53" spans="2:4">
      <c r="D53" s="4" t="s">
        <v>1606</v>
      </c>
    </row>
    <row r="54" spans="2:4">
      <c r="B54" t="s">
        <v>1607</v>
      </c>
    </row>
    <row r="55" spans="2:4">
      <c r="C55" t="s">
        <v>1608</v>
      </c>
    </row>
    <row r="56" spans="2:4">
      <c r="C56" t="s">
        <v>1609</v>
      </c>
    </row>
    <row r="57" spans="2:4">
      <c r="B57" t="s">
        <v>1610</v>
      </c>
    </row>
    <row r="58" spans="2:4">
      <c r="C58" t="s">
        <v>1611</v>
      </c>
    </row>
  </sheetData>
  <pageMargins left="0.75" right="0.75" top="1" bottom="1" header="0.5" footer="0.5"/>
  <pageSetup paperSize="9" orientation="portrait"/>
  <headerFooter/>
</worksheet>
</file>

<file path=xl/worksheets/sheet1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3"/>
  <sheetViews>
    <sheetView workbookViewId="0">
      <selection activeCell="C13" sqref="C13"/>
    </sheetView>
  </sheetViews>
  <sheetFormatPr defaultColWidth="8.88888888888889" defaultRowHeight="14.4" outlineLevelCol="7"/>
  <cols>
    <col min="1" max="1" width="9.66666666666667"/>
  </cols>
  <sheetData>
    <row r="1" spans="1:8">
      <c r="A1" s="1">
        <f>SUM(B1:AZ1)</f>
        <v>6.5</v>
      </c>
      <c r="B1" s="1">
        <f t="shared" ref="B1:H1" si="0">COUNTA(B2:B2072)/COLUMN()</f>
        <v>1.5</v>
      </c>
      <c r="C1" s="1">
        <f t="shared" si="0"/>
        <v>5</v>
      </c>
      <c r="D1" s="1">
        <f t="shared" si="0"/>
        <v>0</v>
      </c>
      <c r="E1" s="1">
        <f t="shared" si="0"/>
        <v>0</v>
      </c>
      <c r="F1" s="1">
        <f t="shared" si="0"/>
        <v>0</v>
      </c>
      <c r="G1" s="1">
        <f t="shared" si="0"/>
        <v>0</v>
      </c>
      <c r="H1" s="1">
        <f t="shared" si="0"/>
        <v>0</v>
      </c>
    </row>
    <row r="2" spans="1:8">
      <c r="A2" t="str" cm="1">
        <f ca="1" t="array" ref="A2">_wpsfn.SHEETSNAME(A1)</f>
        <v>20250531</v>
      </c>
      <c r="B2" t="s">
        <v>1612</v>
      </c>
    </row>
    <row r="3" spans="1:8">
      <c r="C3" t="s">
        <v>1613</v>
      </c>
    </row>
    <row r="4" spans="1:8">
      <c r="C4" t="s">
        <v>1614</v>
      </c>
    </row>
    <row r="5" spans="1:8">
      <c r="C5" t="s">
        <v>1615</v>
      </c>
    </row>
    <row r="6" spans="1:8">
      <c r="C6" t="s">
        <v>1616</v>
      </c>
    </row>
    <row r="7" spans="1:8">
      <c r="B7" t="s">
        <v>1617</v>
      </c>
    </row>
    <row r="8" spans="1:8">
      <c r="C8" t="s">
        <v>1618</v>
      </c>
    </row>
    <row r="9" spans="1:8">
      <c r="C9" t="s">
        <v>1619</v>
      </c>
    </row>
    <row r="10" spans="1:8">
      <c r="C10" t="s">
        <v>1620</v>
      </c>
    </row>
    <row r="11" spans="1:8">
      <c r="C11" t="s">
        <v>1621</v>
      </c>
    </row>
    <row r="12" spans="1:8">
      <c r="C12" t="s">
        <v>1622</v>
      </c>
    </row>
    <row r="13" spans="1:8">
      <c r="C13" t="s">
        <v>1623</v>
      </c>
    </row>
    <row r="14" spans="1:8">
      <c r="C14" t="s">
        <v>1624</v>
      </c>
    </row>
    <row r="15" spans="1:8">
      <c r="C15" t="s">
        <v>1625</v>
      </c>
    </row>
    <row r="16" spans="1:8">
      <c r="C16" t="s">
        <v>1626</v>
      </c>
    </row>
    <row r="17" spans="2:3">
      <c r="B17" t="s">
        <v>1627</v>
      </c>
    </row>
    <row r="18" spans="2:3">
      <c r="C18" t="s">
        <v>1628</v>
      </c>
    </row>
    <row r="19" spans="2:3">
      <c r="C19" t="s">
        <v>1629</v>
      </c>
    </row>
    <row r="49" spans="3:4">
      <c r="C49" s="4"/>
    </row>
    <row r="53" spans="3:4">
      <c r="D53" s="4"/>
    </row>
  </sheetData>
  <pageMargins left="0.75" right="0.75" top="1" bottom="1" header="0.5" footer="0.5"/>
  <pageSetup paperSize="9" orientation="portrait"/>
  <headerFooter/>
</worksheet>
</file>

<file path=xl/worksheets/sheet1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3"/>
  <sheetViews>
    <sheetView zoomScale="160" zoomScaleNormal="160" topLeftCell="B17" workbookViewId="0">
      <selection activeCell="F11" sqref="F11"/>
    </sheetView>
  </sheetViews>
  <sheetFormatPr defaultColWidth="8.88888888888889" defaultRowHeight="14.4" outlineLevelCol="7"/>
  <cols>
    <col min="1" max="1" width="9.66666666666667"/>
  </cols>
  <sheetData>
    <row r="1" spans="1:8">
      <c r="A1" s="1">
        <f>SUM(B1:AZ1)</f>
        <v>5.08333333333333</v>
      </c>
      <c r="B1" s="1">
        <f t="shared" ref="B1:H1" si="0">COUNTA(B2:B2072)/COLUMN()</f>
        <v>1</v>
      </c>
      <c r="C1" s="1">
        <f t="shared" si="0"/>
        <v>3.33333333333333</v>
      </c>
      <c r="D1" s="1">
        <f t="shared" si="0"/>
        <v>0.75</v>
      </c>
      <c r="E1" s="1">
        <f t="shared" si="0"/>
        <v>0</v>
      </c>
      <c r="F1" s="1">
        <f t="shared" si="0"/>
        <v>0</v>
      </c>
      <c r="G1" s="1">
        <f t="shared" si="0"/>
        <v>0</v>
      </c>
      <c r="H1" s="1">
        <f t="shared" si="0"/>
        <v>0</v>
      </c>
    </row>
    <row r="2" spans="1:8">
      <c r="A2" t="str" cm="1">
        <f ca="1" t="array" ref="A2">_wpsfn.SHEETSNAME(A1)</f>
        <v>20250601</v>
      </c>
      <c r="B2" t="s">
        <v>1630</v>
      </c>
    </row>
    <row r="3" spans="1:8">
      <c r="C3" t="s">
        <v>1631</v>
      </c>
    </row>
    <row r="4" spans="1:8">
      <c r="C4" t="s">
        <v>1632</v>
      </c>
    </row>
    <row r="5" spans="1:8">
      <c r="C5" t="s">
        <v>1633</v>
      </c>
    </row>
    <row r="6" spans="1:8">
      <c r="D6" t="s">
        <v>1634</v>
      </c>
    </row>
    <row r="7" spans="1:8">
      <c r="D7" t="s">
        <v>1635</v>
      </c>
    </row>
    <row r="8" spans="1:8">
      <c r="D8" t="s">
        <v>1636</v>
      </c>
    </row>
    <row r="9" spans="1:8">
      <c r="C9" t="s">
        <v>1637</v>
      </c>
    </row>
    <row r="10" spans="1:8">
      <c r="B10" t="s">
        <v>1638</v>
      </c>
    </row>
    <row r="11" spans="1:8">
      <c r="C11" t="s">
        <v>1639</v>
      </c>
    </row>
    <row r="12" spans="1:8">
      <c r="C12" t="s">
        <v>1640</v>
      </c>
    </row>
    <row r="13" spans="1:8">
      <c r="C13" t="s">
        <v>1641</v>
      </c>
    </row>
    <row r="14" spans="1:8">
      <c r="C14" t="s">
        <v>1642</v>
      </c>
    </row>
    <row r="15" spans="1:8">
      <c r="C15" t="s">
        <v>1643</v>
      </c>
    </row>
    <row r="16" spans="1:8">
      <c r="C16" t="s">
        <v>1644</v>
      </c>
    </row>
    <row r="49" spans="3:4">
      <c r="C49" s="4"/>
    </row>
    <row r="53" spans="3:4">
      <c r="D53" s="4"/>
    </row>
  </sheetData>
  <pageMargins left="0.75" right="0.75" top="1" bottom="1" header="0.5" footer="0.5"/>
  <pageSetup paperSize="9" orientation="portrait"/>
  <headerFooter/>
</worksheet>
</file>

<file path=xl/worksheets/sheet1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2"/>
  <sheetViews>
    <sheetView workbookViewId="0">
      <selection activeCell="J19" sqref="J19"/>
    </sheetView>
  </sheetViews>
  <sheetFormatPr defaultColWidth="8.88888888888889" defaultRowHeight="14.4" outlineLevelCol="7"/>
  <cols>
    <col min="1" max="1" width="9.66666666666667"/>
  </cols>
  <sheetData>
    <row r="1" spans="1:8">
      <c r="A1" s="1">
        <f>SUM(B1:AZ1)</f>
        <v>7.11666666666667</v>
      </c>
      <c r="B1" s="1">
        <f t="shared" ref="B1:H1" si="0">COUNTA(B2:B2071)/COLUMN()</f>
        <v>1</v>
      </c>
      <c r="C1" s="1">
        <f t="shared" si="0"/>
        <v>2.66666666666667</v>
      </c>
      <c r="D1" s="1">
        <f t="shared" si="0"/>
        <v>3.25</v>
      </c>
      <c r="E1" s="1">
        <f t="shared" si="0"/>
        <v>0.2</v>
      </c>
      <c r="F1" s="1">
        <f t="shared" si="0"/>
        <v>0</v>
      </c>
      <c r="G1" s="1">
        <f t="shared" si="0"/>
        <v>0</v>
      </c>
      <c r="H1" s="1">
        <f t="shared" si="0"/>
        <v>0</v>
      </c>
    </row>
    <row r="2" spans="1:8">
      <c r="A2" t="str" cm="1">
        <f ca="1" t="array" ref="A2">_wpsfn.SHEETSNAME(A1)</f>
        <v>20250602</v>
      </c>
      <c r="B2" t="s">
        <v>1645</v>
      </c>
    </row>
    <row r="3" spans="1:8">
      <c r="C3" t="s">
        <v>1646</v>
      </c>
    </row>
    <row r="4" spans="1:8">
      <c r="D4" t="s">
        <v>1647</v>
      </c>
    </row>
    <row r="5" spans="1:8">
      <c r="C5" t="s">
        <v>1648</v>
      </c>
    </row>
    <row r="6" spans="1:8">
      <c r="D6" t="s">
        <v>1649</v>
      </c>
    </row>
    <row r="7" spans="1:8">
      <c r="D7" t="s">
        <v>1650</v>
      </c>
    </row>
    <row r="8" spans="1:8">
      <c r="D8" t="s">
        <v>1651</v>
      </c>
    </row>
    <row r="9" spans="1:8">
      <c r="C9" t="s">
        <v>1652</v>
      </c>
    </row>
    <row r="10" spans="1:8">
      <c r="D10" t="s">
        <v>1653</v>
      </c>
    </row>
    <row r="11" spans="1:8">
      <c r="D11" t="s">
        <v>1654</v>
      </c>
    </row>
    <row r="12" spans="1:8">
      <c r="C12" t="s">
        <v>1655</v>
      </c>
    </row>
    <row r="13" spans="1:8">
      <c r="D13" t="s">
        <v>1656</v>
      </c>
    </row>
    <row r="14" spans="1:8">
      <c r="D14" t="s">
        <v>1657</v>
      </c>
    </row>
    <row r="15" spans="1:8">
      <c r="B15" t="s">
        <v>1658</v>
      </c>
    </row>
    <row r="16" spans="1:8">
      <c r="C16" t="s">
        <v>1659</v>
      </c>
    </row>
    <row r="17" spans="3:5">
      <c r="C17" t="s">
        <v>1660</v>
      </c>
    </row>
    <row r="18" spans="3:5">
      <c r="D18" t="s">
        <v>1661</v>
      </c>
    </row>
    <row r="19" spans="3:5">
      <c r="D19" t="s">
        <v>1662</v>
      </c>
    </row>
    <row r="20" spans="3:5">
      <c r="C20" t="s">
        <v>1663</v>
      </c>
    </row>
    <row r="21" spans="3:5">
      <c r="C21" t="s">
        <v>1664</v>
      </c>
    </row>
    <row r="22" spans="3:5">
      <c r="D22" t="s">
        <v>1665</v>
      </c>
    </row>
    <row r="23" spans="3:5">
      <c r="D23" t="s">
        <v>1666</v>
      </c>
    </row>
    <row r="24" spans="3:5">
      <c r="D24" t="s">
        <v>1667</v>
      </c>
    </row>
    <row r="25" spans="3:5">
      <c r="E25" t="s">
        <v>1668</v>
      </c>
    </row>
    <row r="48" spans="3:3">
      <c r="C48" s="4"/>
    </row>
    <row r="52" spans="4:4">
      <c r="D52" s="4"/>
    </row>
  </sheetData>
  <pageMargins left="0.75" right="0.75" top="1" bottom="1" header="0.5" footer="0.5"/>
  <pageSetup paperSize="9" orientation="portrait"/>
  <headerFooter/>
</worksheet>
</file>

<file path=xl/worksheets/sheet1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2"/>
  <sheetViews>
    <sheetView workbookViewId="0">
      <selection activeCell="C5" sqref="C5"/>
    </sheetView>
  </sheetViews>
  <sheetFormatPr defaultColWidth="8.88888888888889" defaultRowHeight="14.4" outlineLevelCol="7"/>
  <cols>
    <col min="1" max="1" width="9.66666666666667"/>
  </cols>
  <sheetData>
    <row r="1" spans="1:8">
      <c r="A1" s="1">
        <f>SUM(B1:AZ1)</f>
        <v>5.5</v>
      </c>
      <c r="B1" s="1">
        <f t="shared" ref="B1:H1" si="0">COUNTA(B2:B2071)/COLUMN()</f>
        <v>1</v>
      </c>
      <c r="C1" s="1">
        <f t="shared" si="0"/>
        <v>4</v>
      </c>
      <c r="D1" s="1">
        <f t="shared" si="0"/>
        <v>0.5</v>
      </c>
      <c r="E1" s="1">
        <f t="shared" si="0"/>
        <v>0</v>
      </c>
      <c r="F1" s="1">
        <f t="shared" si="0"/>
        <v>0</v>
      </c>
      <c r="G1" s="1">
        <f t="shared" si="0"/>
        <v>0</v>
      </c>
      <c r="H1" s="1">
        <f t="shared" si="0"/>
        <v>0</v>
      </c>
    </row>
    <row r="2" spans="1:8">
      <c r="A2" t="str" cm="1">
        <f ca="1" t="array" ref="A2">_wpsfn.SHEETSNAME(A1)</f>
        <v>20250603</v>
      </c>
      <c r="B2" t="s">
        <v>1669</v>
      </c>
    </row>
    <row r="3" spans="1:8">
      <c r="C3" t="s">
        <v>1670</v>
      </c>
    </row>
    <row r="4" spans="1:8">
      <c r="C4" t="s">
        <v>1671</v>
      </c>
    </row>
    <row r="5" spans="1:8">
      <c r="C5" t="s">
        <v>1672</v>
      </c>
    </row>
    <row r="6" spans="1:8">
      <c r="C6" t="s">
        <v>1673</v>
      </c>
    </row>
    <row r="7" spans="1:8">
      <c r="C7" t="s">
        <v>1674</v>
      </c>
    </row>
    <row r="8" spans="1:8">
      <c r="D8" t="s">
        <v>1675</v>
      </c>
    </row>
    <row r="9" spans="1:8">
      <c r="D9" t="s">
        <v>1676</v>
      </c>
    </row>
    <row r="10" spans="1:8">
      <c r="C10" t="s">
        <v>1677</v>
      </c>
    </row>
    <row r="11" spans="1:8">
      <c r="C11" t="s">
        <v>1678</v>
      </c>
    </row>
    <row r="12" spans="1:8">
      <c r="C12" t="s">
        <v>1679</v>
      </c>
    </row>
    <row r="13" spans="1:8">
      <c r="B13" t="s">
        <v>1680</v>
      </c>
    </row>
    <row r="14" spans="1:8">
      <c r="C14" t="s">
        <v>1681</v>
      </c>
    </row>
    <row r="15" spans="1:8">
      <c r="C15" t="s">
        <v>1682</v>
      </c>
    </row>
    <row r="16" spans="1:8">
      <c r="C16" t="s">
        <v>1683</v>
      </c>
    </row>
    <row r="17" spans="3:3">
      <c r="C17" t="s">
        <v>1684</v>
      </c>
    </row>
    <row r="48" spans="3:3">
      <c r="C48" s="4"/>
    </row>
    <row r="52" spans="4:4">
      <c r="D52" s="4"/>
    </row>
  </sheetData>
  <pageMargins left="0.75" right="0.75" top="1" bottom="1" header="0.5" footer="0.5"/>
  <pageSetup paperSize="9" orientation="portrait"/>
  <headerFooter/>
</worksheet>
</file>

<file path=xl/worksheets/sheet1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2"/>
  <sheetViews>
    <sheetView workbookViewId="0">
      <selection activeCell="C7" sqref="C7"/>
    </sheetView>
  </sheetViews>
  <sheetFormatPr defaultColWidth="8.88888888888889" defaultRowHeight="14.4" outlineLevelCol="7"/>
  <cols>
    <col min="1" max="1" width="9.66666666666667"/>
  </cols>
  <sheetData>
    <row r="1" spans="1:8">
      <c r="A1" s="1">
        <f>SUM(B1:AZ1)</f>
        <v>1.83333333333333</v>
      </c>
      <c r="B1" s="1">
        <f t="shared" ref="B1:H1" si="0">COUNTA(B2:B2071)/COLUMN()</f>
        <v>0.5</v>
      </c>
      <c r="C1" s="1">
        <f t="shared" si="0"/>
        <v>1.33333333333333</v>
      </c>
      <c r="D1" s="1">
        <f t="shared" si="0"/>
        <v>0</v>
      </c>
      <c r="E1" s="1">
        <f t="shared" si="0"/>
        <v>0</v>
      </c>
      <c r="F1" s="1">
        <f t="shared" si="0"/>
        <v>0</v>
      </c>
      <c r="G1" s="1">
        <f t="shared" si="0"/>
        <v>0</v>
      </c>
      <c r="H1" s="1">
        <f t="shared" si="0"/>
        <v>0</v>
      </c>
    </row>
    <row r="2" spans="1:8">
      <c r="A2" t="str" cm="1">
        <f ca="1" t="array" ref="A2">_wpsfn.SHEETSNAME(A1)</f>
        <v>20250604</v>
      </c>
      <c r="B2" t="s">
        <v>1685</v>
      </c>
    </row>
    <row r="3" spans="1:8">
      <c r="C3" t="s">
        <v>1686</v>
      </c>
    </row>
    <row r="4" spans="1:8">
      <c r="C4" t="s">
        <v>1687</v>
      </c>
    </row>
    <row r="5" spans="1:8">
      <c r="C5" t="s">
        <v>1688</v>
      </c>
    </row>
    <row r="6" spans="1:8">
      <c r="C6" t="s">
        <v>1689</v>
      </c>
    </row>
    <row r="48" spans="3:3">
      <c r="C48" s="4"/>
    </row>
    <row r="52" spans="4:4">
      <c r="D52" s="4"/>
    </row>
  </sheetData>
  <pageMargins left="0.75" right="0.75" top="1" bottom="1" header="0.5" footer="0.5"/>
  <pageSetup paperSize="9" orientation="portrait"/>
  <headerFooter/>
</worksheet>
</file>

<file path=xl/worksheets/sheet1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2"/>
  <sheetViews>
    <sheetView zoomScale="145" zoomScaleNormal="145" workbookViewId="0">
      <selection activeCell="L17" sqref="L17"/>
    </sheetView>
  </sheetViews>
  <sheetFormatPr defaultColWidth="8.88888888888889" defaultRowHeight="14.4" outlineLevelCol="7"/>
  <cols>
    <col min="1" max="1" width="9.66666666666667"/>
  </cols>
  <sheetData>
    <row r="1" spans="1:8">
      <c r="A1" s="1">
        <f>SUM(B1:AZ1)</f>
        <v>5.25</v>
      </c>
      <c r="B1" s="1">
        <f t="shared" ref="B1:H1" si="0">COUNTA(B2:B2071)/COLUMN()</f>
        <v>1.5</v>
      </c>
      <c r="C1" s="1">
        <f t="shared" si="0"/>
        <v>2</v>
      </c>
      <c r="D1" s="1">
        <f t="shared" si="0"/>
        <v>1.75</v>
      </c>
      <c r="E1" s="1">
        <f t="shared" si="0"/>
        <v>0</v>
      </c>
      <c r="F1" s="1">
        <f t="shared" si="0"/>
        <v>0</v>
      </c>
      <c r="G1" s="1">
        <f t="shared" si="0"/>
        <v>0</v>
      </c>
      <c r="H1" s="1">
        <f t="shared" si="0"/>
        <v>0</v>
      </c>
    </row>
    <row r="2" spans="1:8">
      <c r="A2" t="str" cm="1">
        <f ca="1" t="array" ref="A2">_wpsfn.SHEETSNAME(A1)</f>
        <v>20250605</v>
      </c>
      <c r="B2" t="s">
        <v>1690</v>
      </c>
    </row>
    <row r="3" spans="1:8">
      <c r="B3" t="s">
        <v>1691</v>
      </c>
    </row>
    <row r="4" spans="1:8">
      <c r="C4" t="s">
        <v>1692</v>
      </c>
    </row>
    <row r="5" spans="1:8">
      <c r="C5" t="s">
        <v>1693</v>
      </c>
    </row>
    <row r="6" spans="1:8">
      <c r="C6" t="s">
        <v>1694</v>
      </c>
    </row>
    <row r="7" spans="1:8">
      <c r="C7" t="s">
        <v>1695</v>
      </c>
    </row>
    <row r="8" spans="1:8">
      <c r="B8" t="s">
        <v>1696</v>
      </c>
    </row>
    <row r="9" spans="1:8">
      <c r="C9" t="s">
        <v>1697</v>
      </c>
    </row>
    <row r="10" spans="1:8">
      <c r="D10" t="s">
        <v>1698</v>
      </c>
    </row>
    <row r="11" spans="1:8">
      <c r="D11" t="s">
        <v>1699</v>
      </c>
    </row>
    <row r="12" spans="1:8">
      <c r="D12" t="s">
        <v>1700</v>
      </c>
    </row>
    <row r="13" spans="1:8">
      <c r="C13" t="s">
        <v>1701</v>
      </c>
    </row>
    <row r="14" spans="1:8">
      <c r="D14" t="s">
        <v>1702</v>
      </c>
    </row>
    <row r="15" spans="1:8">
      <c r="D15" t="s">
        <v>1703</v>
      </c>
    </row>
    <row r="16" spans="1:8">
      <c r="D16" t="s">
        <v>1704</v>
      </c>
    </row>
    <row r="17" spans="4:4">
      <c r="D17" t="s">
        <v>1705</v>
      </c>
    </row>
    <row r="48" spans="3:3">
      <c r="C48" s="4"/>
    </row>
    <row r="52" spans="4:4">
      <c r="D52" s="4"/>
    </row>
  </sheetData>
  <pageMargins left="0.75" right="0.75" top="1" bottom="1" header="0.5" footer="0.5"/>
  <pageSetup paperSize="9" orientation="portrait"/>
  <headerFooter/>
</worksheet>
</file>

<file path=xl/worksheets/sheet1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2"/>
  <sheetViews>
    <sheetView workbookViewId="0">
      <selection activeCell="H13" sqref="H13"/>
    </sheetView>
  </sheetViews>
  <sheetFormatPr defaultColWidth="8.88888888888889" defaultRowHeight="14.4" outlineLevelCol="7"/>
  <cols>
    <col min="1" max="1" width="9.66666666666667"/>
  </cols>
  <sheetData>
    <row r="1" spans="1:8">
      <c r="A1" s="1">
        <f>SUM(B1:AZ1)</f>
        <v>1.16666666666667</v>
      </c>
      <c r="B1" s="1">
        <f t="shared" ref="B1:H1" si="0">COUNTA(B2:B2071)/COLUMN()</f>
        <v>0.5</v>
      </c>
      <c r="C1" s="1">
        <f t="shared" si="0"/>
        <v>0.666666666666667</v>
      </c>
      <c r="D1" s="1">
        <f t="shared" si="0"/>
        <v>0</v>
      </c>
      <c r="E1" s="1">
        <f t="shared" si="0"/>
        <v>0</v>
      </c>
      <c r="F1" s="1">
        <f t="shared" si="0"/>
        <v>0</v>
      </c>
      <c r="G1" s="1">
        <f t="shared" si="0"/>
        <v>0</v>
      </c>
      <c r="H1" s="1">
        <f t="shared" si="0"/>
        <v>0</v>
      </c>
    </row>
    <row r="2" spans="1:8">
      <c r="A2" t="str" cm="1">
        <f ca="1" t="array" ref="A2">_wpsfn.SHEETSNAME(A1)</f>
        <v>20250607</v>
      </c>
      <c r="B2" t="s">
        <v>1706</v>
      </c>
    </row>
    <row r="3" spans="1:8">
      <c r="C3" t="s">
        <v>1707</v>
      </c>
    </row>
    <row r="4" spans="1:8">
      <c r="C4" t="s">
        <v>1708</v>
      </c>
    </row>
    <row r="48" spans="3:3">
      <c r="C48" s="4"/>
    </row>
    <row r="52" spans="4:4">
      <c r="D52" s="4"/>
    </row>
  </sheetData>
  <pageMargins left="0.75" right="0.75" top="1" bottom="1" header="0.5" footer="0.5"/>
  <pageSetup paperSize="9" orientation="portrait"/>
  <headerFooter/>
</worksheet>
</file>

<file path=xl/worksheets/sheet1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2"/>
  <sheetViews>
    <sheetView workbookViewId="0">
      <selection activeCell="H8" sqref="H8"/>
    </sheetView>
  </sheetViews>
  <sheetFormatPr defaultColWidth="8.88888888888889" defaultRowHeight="14.4" outlineLevelCol="7"/>
  <cols>
    <col min="1" max="1" width="9.66666666666667"/>
  </cols>
  <sheetData>
    <row r="1" spans="1:8">
      <c r="A1" s="1">
        <f>SUM(B1:AZ1)</f>
        <v>5.33333333333333</v>
      </c>
      <c r="B1" s="1">
        <f t="shared" ref="B1:H1" si="0">COUNTA(B2:B2071)/COLUMN()</f>
        <v>3</v>
      </c>
      <c r="C1" s="1">
        <f t="shared" si="0"/>
        <v>2.33333333333333</v>
      </c>
      <c r="D1" s="1">
        <f t="shared" si="0"/>
        <v>0</v>
      </c>
      <c r="E1" s="1">
        <f t="shared" si="0"/>
        <v>0</v>
      </c>
      <c r="F1" s="1">
        <f t="shared" si="0"/>
        <v>0</v>
      </c>
      <c r="G1" s="1">
        <f t="shared" si="0"/>
        <v>0</v>
      </c>
      <c r="H1" s="1">
        <f t="shared" si="0"/>
        <v>0</v>
      </c>
    </row>
    <row r="2" spans="1:8">
      <c r="A2" t="str" cm="1">
        <f ca="1" t="array" ref="A2">_wpsfn.SHEETSNAME(A1)</f>
        <v>20250608</v>
      </c>
      <c r="B2" t="s">
        <v>1709</v>
      </c>
    </row>
    <row r="3" spans="1:8">
      <c r="B3" t="s">
        <v>1710</v>
      </c>
    </row>
    <row r="4" spans="1:8">
      <c r="C4" t="s">
        <v>1711</v>
      </c>
    </row>
    <row r="5" spans="1:8">
      <c r="C5" t="s">
        <v>1712</v>
      </c>
    </row>
    <row r="6" spans="1:8">
      <c r="B6" t="s">
        <v>1713</v>
      </c>
    </row>
    <row r="7" spans="1:8">
      <c r="C7" t="s">
        <v>1714</v>
      </c>
    </row>
    <row r="8" spans="1:8">
      <c r="C8" t="s">
        <v>1715</v>
      </c>
    </row>
    <row r="9" spans="1:8">
      <c r="B9" t="s">
        <v>1716</v>
      </c>
    </row>
    <row r="10" spans="1:8">
      <c r="C10" t="s">
        <v>1717</v>
      </c>
    </row>
    <row r="11" spans="1:8">
      <c r="C11" t="s">
        <v>1718</v>
      </c>
    </row>
    <row r="12" spans="1:8">
      <c r="C12" t="s">
        <v>1719</v>
      </c>
    </row>
    <row r="13" spans="1:8">
      <c r="B13" t="s">
        <v>1720</v>
      </c>
    </row>
    <row r="14" spans="1:8">
      <c r="B14" t="s">
        <v>1721</v>
      </c>
    </row>
    <row r="48" spans="3:3">
      <c r="C48" s="4"/>
    </row>
    <row r="52" spans="4:4">
      <c r="D52" s="4"/>
    </row>
  </sheetData>
  <pageMargins left="0.75" right="0.75" top="1" bottom="1" header="0.5" footer="0.5"/>
  <pageSetup paperSize="9" orientation="portrait"/>
  <headerFooter/>
</worksheet>
</file>

<file path=xl/worksheets/sheet1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3"/>
  <sheetViews>
    <sheetView workbookViewId="0">
      <selection activeCell="I23" sqref="I23"/>
    </sheetView>
  </sheetViews>
  <sheetFormatPr defaultColWidth="8.88888888888889" defaultRowHeight="14.4" outlineLevelCol="7"/>
  <cols>
    <col min="1" max="1" width="9.66666666666667"/>
  </cols>
  <sheetData>
    <row r="1" spans="1:8">
      <c r="A1" s="1">
        <f>SUM(B1:AZ1)</f>
        <v>12.3285714285714</v>
      </c>
      <c r="B1" s="1">
        <f t="shared" ref="B1:H1" si="0">COUNTA(B2:B2082)/COLUMN()</f>
        <v>3.5</v>
      </c>
      <c r="C1" s="1">
        <f t="shared" si="0"/>
        <v>4</v>
      </c>
      <c r="D1" s="1">
        <f t="shared" si="0"/>
        <v>3</v>
      </c>
      <c r="E1" s="1">
        <f t="shared" si="0"/>
        <v>0.4</v>
      </c>
      <c r="F1" s="1">
        <f t="shared" si="0"/>
        <v>1</v>
      </c>
      <c r="G1" s="1">
        <f t="shared" si="0"/>
        <v>0.428571428571429</v>
      </c>
      <c r="H1" s="1">
        <f t="shared" si="0"/>
        <v>0</v>
      </c>
    </row>
    <row r="2" spans="1:8">
      <c r="A2" t="str" cm="1">
        <f ca="1" t="array" ref="A2">_wpsfn.SHEETSNAME(A1)</f>
        <v>20250609</v>
      </c>
      <c r="B2" t="s">
        <v>1722</v>
      </c>
    </row>
    <row r="3" spans="1:8">
      <c r="C3" t="s">
        <v>1723</v>
      </c>
    </row>
    <row r="4" spans="1:8">
      <c r="D4" t="s">
        <v>1724</v>
      </c>
    </row>
    <row r="5" spans="1:8">
      <c r="D5" t="s">
        <v>1725</v>
      </c>
    </row>
    <row r="6" spans="1:8">
      <c r="C6" t="s">
        <v>1726</v>
      </c>
    </row>
    <row r="7" spans="1:8">
      <c r="D7" t="s">
        <v>1727</v>
      </c>
    </row>
    <row r="8" spans="1:8">
      <c r="D8" t="s">
        <v>1728</v>
      </c>
    </row>
    <row r="9" spans="1:8">
      <c r="C9" t="s">
        <v>1729</v>
      </c>
    </row>
    <row r="10" spans="1:8">
      <c r="D10" t="s">
        <v>1730</v>
      </c>
    </row>
    <row r="11" spans="1:8">
      <c r="D11" t="s">
        <v>1731</v>
      </c>
    </row>
    <row r="12" spans="1:8">
      <c r="D12" t="s">
        <v>1732</v>
      </c>
    </row>
    <row r="13" spans="1:8">
      <c r="D13" t="s">
        <v>1733</v>
      </c>
    </row>
    <row r="14" spans="1:8">
      <c r="C14" t="s">
        <v>1734</v>
      </c>
    </row>
    <row r="15" spans="1:8">
      <c r="B15" t="s">
        <v>1735</v>
      </c>
    </row>
    <row r="16" spans="1:8">
      <c r="C16" t="s">
        <v>1736</v>
      </c>
    </row>
    <row r="17" spans="2:4">
      <c r="B17" t="s">
        <v>1737</v>
      </c>
    </row>
    <row r="18" spans="2:4">
      <c r="C18" t="s">
        <v>1738</v>
      </c>
    </row>
    <row r="19" spans="2:4">
      <c r="B19" t="s">
        <v>1739</v>
      </c>
    </row>
    <row r="20" spans="2:4">
      <c r="C20" t="s">
        <v>1740</v>
      </c>
    </row>
    <row r="21" spans="2:4">
      <c r="B21" t="s">
        <v>1741</v>
      </c>
    </row>
    <row r="22" spans="2:4">
      <c r="C22" t="s">
        <v>1742</v>
      </c>
    </row>
    <row r="23" spans="2:4">
      <c r="D23" t="s">
        <v>1743</v>
      </c>
    </row>
    <row r="24" spans="2:4">
      <c r="C24" t="s">
        <v>1744</v>
      </c>
    </row>
    <row r="25" spans="2:4">
      <c r="D25" t="s">
        <v>1745</v>
      </c>
    </row>
    <row r="26" spans="2:4">
      <c r="C26" t="s">
        <v>1746</v>
      </c>
    </row>
    <row r="27" spans="2:4">
      <c r="D27" t="s">
        <v>1747</v>
      </c>
    </row>
    <row r="28" spans="2:4">
      <c r="B28" t="s">
        <v>1748</v>
      </c>
    </row>
    <row r="29" spans="2:4">
      <c r="B29" t="s">
        <v>1749</v>
      </c>
    </row>
    <row r="30" spans="2:4">
      <c r="C30" t="s">
        <v>1750</v>
      </c>
    </row>
    <row r="31" spans="2:4">
      <c r="C31" t="s">
        <v>1751</v>
      </c>
    </row>
    <row r="32" spans="2:4">
      <c r="D32" t="s">
        <v>1752</v>
      </c>
    </row>
    <row r="33" spans="5:7">
      <c r="E33" t="s">
        <v>1753</v>
      </c>
    </row>
    <row r="34" spans="5:7">
      <c r="E34" t="s">
        <v>1754</v>
      </c>
    </row>
    <row r="35" spans="5:7">
      <c r="F35" t="s">
        <v>1755</v>
      </c>
    </row>
    <row r="36" spans="5:7">
      <c r="F36" t="s">
        <v>1756</v>
      </c>
    </row>
    <row r="37" spans="5:7">
      <c r="F37" t="s">
        <v>1757</v>
      </c>
    </row>
    <row r="38" spans="5:7">
      <c r="F38" t="s">
        <v>1758</v>
      </c>
      <c r="G38" t="s">
        <v>1759</v>
      </c>
    </row>
    <row r="39" spans="5:7">
      <c r="F39" t="s">
        <v>1760</v>
      </c>
    </row>
    <row r="40" spans="5:7">
      <c r="F40" t="s">
        <v>1761</v>
      </c>
    </row>
    <row r="41" spans="5:7">
      <c r="G41" t="s">
        <v>1762</v>
      </c>
    </row>
    <row r="42" spans="5:7">
      <c r="G42" t="s">
        <v>1763</v>
      </c>
    </row>
    <row r="59" spans="3:4">
      <c r="C59" s="4"/>
    </row>
    <row r="63" spans="3:4">
      <c r="D63" s="4"/>
    </row>
  </sheetData>
  <pageMargins left="0.75" right="0.75" top="1" bottom="1" header="0.5" footer="0.5"/>
  <pageSetup paperSize="9" orientation="portrait"/>
  <headerFooter/>
</worksheet>
</file>

<file path=xl/worksheets/sheet1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3"/>
  <sheetViews>
    <sheetView workbookViewId="0">
      <selection activeCell="L2" sqref="L2"/>
    </sheetView>
  </sheetViews>
  <sheetFormatPr defaultColWidth="8.88888888888889" defaultRowHeight="14.4" outlineLevelCol="7"/>
  <cols>
    <col min="1" max="1" width="9.66666666666667"/>
  </cols>
  <sheetData>
    <row r="1" spans="1:8">
      <c r="A1" s="1">
        <f>SUM(B1:AZ1)</f>
        <v>2.33333333333333</v>
      </c>
      <c r="B1" s="1">
        <f t="shared" ref="B1:H1" si="0">COUNTA(B2:B2082)/COLUMN()</f>
        <v>2</v>
      </c>
      <c r="C1" s="1">
        <f t="shared" si="0"/>
        <v>0.333333333333333</v>
      </c>
      <c r="D1" s="1">
        <f t="shared" si="0"/>
        <v>0</v>
      </c>
      <c r="E1" s="1">
        <f t="shared" si="0"/>
        <v>0</v>
      </c>
      <c r="F1" s="1">
        <f t="shared" si="0"/>
        <v>0</v>
      </c>
      <c r="G1" s="1">
        <f t="shared" si="0"/>
        <v>0</v>
      </c>
      <c r="H1" s="1">
        <f t="shared" si="0"/>
        <v>0</v>
      </c>
    </row>
    <row r="2" spans="1:8">
      <c r="A2" t="str" cm="1">
        <f ca="1" t="array" ref="A2">_wpsfn.SHEETSNAME(A1)</f>
        <v>20250610</v>
      </c>
      <c r="B2" t="s">
        <v>1764</v>
      </c>
    </row>
    <row r="3" spans="1:8">
      <c r="B3" t="s">
        <v>1765</v>
      </c>
    </row>
    <row r="4" spans="1:8">
      <c r="C4" t="s">
        <v>1766</v>
      </c>
    </row>
    <row r="5" spans="1:8">
      <c r="B5" t="s">
        <v>1767</v>
      </c>
    </row>
    <row r="6" spans="1:8">
      <c r="B6" t="s">
        <v>1768</v>
      </c>
    </row>
    <row r="59" spans="3:4">
      <c r="C59" s="4"/>
    </row>
    <row r="63" spans="3:4">
      <c r="D63" s="4"/>
    </row>
  </sheetData>
  <pageMargins left="0.75" right="0.75" top="1" bottom="1" header="0.5" footer="0.5"/>
  <pageSetup paperSize="9" orientation="portrait"/>
  <headerFooter/>
</worksheet>
</file>

<file path=xl/worksheets/sheet1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3"/>
  <sheetViews>
    <sheetView workbookViewId="0">
      <selection activeCell="D15" sqref="D15"/>
    </sheetView>
  </sheetViews>
  <sheetFormatPr defaultColWidth="8.88888888888889" defaultRowHeight="14.4" outlineLevelCol="7"/>
  <cols>
    <col min="1" max="1" width="9.66666666666667"/>
  </cols>
  <sheetData>
    <row r="1" spans="1:8">
      <c r="A1" s="1">
        <f>SUM(B1:AZ1)</f>
        <v>4.83333333333333</v>
      </c>
      <c r="B1" s="1">
        <f t="shared" ref="B1:H1" si="0">COUNTA(B2:B2082)/COLUMN()</f>
        <v>1.5</v>
      </c>
      <c r="C1" s="1">
        <f t="shared" si="0"/>
        <v>2.33333333333333</v>
      </c>
      <c r="D1" s="1">
        <f t="shared" si="0"/>
        <v>1</v>
      </c>
      <c r="E1" s="1">
        <f t="shared" si="0"/>
        <v>0</v>
      </c>
      <c r="F1" s="1">
        <f t="shared" si="0"/>
        <v>0</v>
      </c>
      <c r="G1" s="1">
        <f t="shared" si="0"/>
        <v>0</v>
      </c>
      <c r="H1" s="1">
        <f t="shared" si="0"/>
        <v>0</v>
      </c>
    </row>
    <row r="2" spans="1:8">
      <c r="A2" t="str" cm="1">
        <f ca="1" t="array" ref="A2">_wpsfn.SHEETSNAME(A1)</f>
        <v>20250611</v>
      </c>
      <c r="B2" t="s">
        <v>1769</v>
      </c>
    </row>
    <row r="3" spans="1:8">
      <c r="C3" t="s">
        <v>1770</v>
      </c>
    </row>
    <row r="4" spans="1:8">
      <c r="C4" t="s">
        <v>1771</v>
      </c>
    </row>
    <row r="5" spans="1:8">
      <c r="B5" t="s">
        <v>1772</v>
      </c>
    </row>
    <row r="6" spans="1:8">
      <c r="C6" t="s">
        <v>1773</v>
      </c>
    </row>
    <row r="7" spans="1:8">
      <c r="C7" t="s">
        <v>1774</v>
      </c>
    </row>
    <row r="8" spans="1:8">
      <c r="D8" t="s">
        <v>1775</v>
      </c>
    </row>
    <row r="9" spans="1:8">
      <c r="C9" t="s">
        <v>1776</v>
      </c>
    </row>
    <row r="10" spans="1:8">
      <c r="D10" t="s">
        <v>1777</v>
      </c>
    </row>
    <row r="11" spans="1:8">
      <c r="D11" t="s">
        <v>1778</v>
      </c>
    </row>
    <row r="12" spans="1:8">
      <c r="B12" t="s">
        <v>1779</v>
      </c>
    </row>
    <row r="13" spans="1:8">
      <c r="C13" t="s">
        <v>1780</v>
      </c>
    </row>
    <row r="14" spans="1:8">
      <c r="C14" t="s">
        <v>1781</v>
      </c>
    </row>
    <row r="15" spans="1:8">
      <c r="D15" t="s">
        <v>1782</v>
      </c>
    </row>
    <row r="59" spans="3:4">
      <c r="C59" s="4"/>
    </row>
    <row r="63" spans="3:4">
      <c r="D63" s="4"/>
    </row>
  </sheetData>
  <pageMargins left="0.75" right="0.75" top="1" bottom="1" header="0.5" footer="0.5"/>
  <pageSetup paperSize="9" orientation="portrait"/>
  <headerFooter/>
</worksheet>
</file>

<file path=xl/worksheets/sheet1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3"/>
  <sheetViews>
    <sheetView workbookViewId="0">
      <selection activeCell="N20" sqref="N20"/>
    </sheetView>
  </sheetViews>
  <sheetFormatPr defaultColWidth="8.88888888888889" defaultRowHeight="14.4" outlineLevelCol="7"/>
  <cols>
    <col min="1" max="1" width="9.66666666666667"/>
  </cols>
  <sheetData>
    <row r="1" spans="1:8">
      <c r="A1" s="1">
        <f>SUM(B1:AZ1)</f>
        <v>9.16666666666667</v>
      </c>
      <c r="B1" s="1">
        <f t="shared" ref="B1:H1" si="0">COUNTA(B2:B2082)/COLUMN()</f>
        <v>3.5</v>
      </c>
      <c r="C1" s="1">
        <f t="shared" si="0"/>
        <v>3.66666666666667</v>
      </c>
      <c r="D1" s="1">
        <f t="shared" si="0"/>
        <v>2</v>
      </c>
      <c r="E1" s="1">
        <f t="shared" si="0"/>
        <v>0</v>
      </c>
      <c r="F1" s="1">
        <f t="shared" si="0"/>
        <v>0</v>
      </c>
      <c r="G1" s="1">
        <f t="shared" si="0"/>
        <v>0</v>
      </c>
      <c r="H1" s="1">
        <f t="shared" si="0"/>
        <v>0</v>
      </c>
    </row>
    <row r="2" spans="1:8">
      <c r="A2" t="str" cm="1">
        <f ca="1" t="array" ref="A2">_wpsfn.SHEETSNAME(A1)</f>
        <v>20250612</v>
      </c>
      <c r="B2" t="s">
        <v>1783</v>
      </c>
    </row>
    <row r="3" spans="1:8">
      <c r="B3" t="s">
        <v>1784</v>
      </c>
    </row>
    <row r="4" spans="1:8">
      <c r="B4" t="s">
        <v>1785</v>
      </c>
    </row>
    <row r="5" spans="1:8">
      <c r="C5" t="s">
        <v>1786</v>
      </c>
    </row>
    <row r="6" spans="1:8">
      <c r="C6" t="s">
        <v>1787</v>
      </c>
    </row>
    <row r="7" spans="1:8">
      <c r="C7" t="s">
        <v>1788</v>
      </c>
    </row>
    <row r="8" spans="1:8">
      <c r="C8" t="s">
        <v>1789</v>
      </c>
    </row>
    <row r="9" spans="1:8">
      <c r="B9" t="s">
        <v>1790</v>
      </c>
    </row>
    <row r="10" spans="1:8">
      <c r="C10" t="s">
        <v>1791</v>
      </c>
    </row>
    <row r="11" spans="1:8">
      <c r="C11" t="s">
        <v>1792</v>
      </c>
    </row>
    <row r="12" spans="1:8">
      <c r="C12" t="s">
        <v>1793</v>
      </c>
    </row>
    <row r="13" spans="1:8">
      <c r="B13" t="s">
        <v>1794</v>
      </c>
    </row>
    <row r="14" spans="1:8">
      <c r="B14" t="s">
        <v>1795</v>
      </c>
    </row>
    <row r="15" spans="1:8">
      <c r="B15" t="s">
        <v>1796</v>
      </c>
    </row>
    <row r="16" spans="1:8">
      <c r="C16" t="s">
        <v>1797</v>
      </c>
    </row>
    <row r="17" spans="3:4">
      <c r="C17" t="s">
        <v>1798</v>
      </c>
    </row>
    <row r="18" spans="3:4">
      <c r="C18" t="s">
        <v>1799</v>
      </c>
    </row>
    <row r="19" spans="3:4">
      <c r="D19" t="s">
        <v>1800</v>
      </c>
    </row>
    <row r="20" spans="3:4">
      <c r="D20" t="s">
        <v>1801</v>
      </c>
    </row>
    <row r="21" spans="3:4">
      <c r="D21" t="s">
        <v>1802</v>
      </c>
    </row>
    <row r="22" spans="3:4">
      <c r="D22" t="s">
        <v>1803</v>
      </c>
    </row>
    <row r="23" spans="3:4">
      <c r="C23" t="s">
        <v>1804</v>
      </c>
    </row>
    <row r="24" spans="3:4">
      <c r="D24" t="s">
        <v>1805</v>
      </c>
    </row>
    <row r="25" spans="3:4">
      <c r="D25" t="s">
        <v>1806</v>
      </c>
    </row>
    <row r="26" spans="3:4">
      <c r="D26" t="s">
        <v>1807</v>
      </c>
    </row>
    <row r="27" spans="3:4">
      <c r="D27" t="s">
        <v>1808</v>
      </c>
    </row>
    <row r="59" spans="3:4">
      <c r="C59" s="4"/>
    </row>
    <row r="63" spans="3:4">
      <c r="D63" s="4"/>
    </row>
  </sheetData>
  <pageMargins left="0.75" right="0.75" top="1" bottom="1" header="0.5" footer="0.5"/>
  <pageSetup paperSize="9" orientation="portrait"/>
  <headerFooter/>
</worksheet>
</file>

<file path=xl/worksheets/sheet1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3"/>
  <sheetViews>
    <sheetView workbookViewId="0">
      <selection activeCell="L3" sqref="L3"/>
    </sheetView>
  </sheetViews>
  <sheetFormatPr defaultColWidth="8.88888888888889" defaultRowHeight="14.4" outlineLevelCol="7"/>
  <cols>
    <col min="1" max="1" width="9.66666666666667"/>
  </cols>
  <sheetData>
    <row r="1" spans="1:8">
      <c r="A1" s="1">
        <f>SUM(B1:AZ1)</f>
        <v>3.16666666666667</v>
      </c>
      <c r="B1" s="1">
        <f t="shared" ref="B1:H1" si="0">COUNTA(B2:B2082)/COLUMN()</f>
        <v>1.5</v>
      </c>
      <c r="C1" s="1">
        <f t="shared" si="0"/>
        <v>1.66666666666667</v>
      </c>
      <c r="D1" s="1">
        <f t="shared" si="0"/>
        <v>0</v>
      </c>
      <c r="E1" s="1">
        <f t="shared" si="0"/>
        <v>0</v>
      </c>
      <c r="F1" s="1">
        <f t="shared" si="0"/>
        <v>0</v>
      </c>
      <c r="G1" s="1">
        <f t="shared" si="0"/>
        <v>0</v>
      </c>
      <c r="H1" s="1">
        <f t="shared" si="0"/>
        <v>0</v>
      </c>
    </row>
    <row r="2" spans="1:8">
      <c r="A2" t="str" cm="1">
        <f ca="1" t="array" ref="A2">_wpsfn.SHEETSNAME(A1)</f>
        <v>20250613</v>
      </c>
      <c r="B2" t="s">
        <v>1809</v>
      </c>
    </row>
    <row r="3" spans="1:8">
      <c r="C3" t="s">
        <v>1810</v>
      </c>
    </row>
    <row r="4" spans="1:8">
      <c r="C4" t="s">
        <v>1811</v>
      </c>
    </row>
    <row r="5" spans="1:8">
      <c r="C5" t="s">
        <v>1812</v>
      </c>
    </row>
    <row r="6" spans="1:8">
      <c r="C6" t="s">
        <v>1813</v>
      </c>
    </row>
    <row r="7" spans="1:8">
      <c r="B7" t="s">
        <v>1814</v>
      </c>
    </row>
    <row r="8" spans="1:8">
      <c r="B8" t="s">
        <v>1815</v>
      </c>
    </row>
    <row r="9" spans="1:8">
      <c r="C9" t="s">
        <v>1816</v>
      </c>
    </row>
    <row r="59" spans="3:4">
      <c r="C59" s="4"/>
    </row>
    <row r="63" spans="3:4">
      <c r="D63" s="4"/>
    </row>
  </sheetData>
  <pageMargins left="0.75" right="0.75" top="1" bottom="1" header="0.5" footer="0.5"/>
  <pageSetup paperSize="9" orientation="portrait"/>
  <headerFooter/>
</worksheet>
</file>

<file path=xl/worksheets/sheet1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3"/>
  <sheetViews>
    <sheetView workbookViewId="0">
      <selection activeCell="C9" sqref="C9"/>
    </sheetView>
  </sheetViews>
  <sheetFormatPr defaultColWidth="8.88888888888889" defaultRowHeight="14.4" outlineLevelCol="7"/>
  <cols>
    <col min="1" max="1" width="9.66666666666667"/>
  </cols>
  <sheetData>
    <row r="1" spans="1:8">
      <c r="A1" s="1">
        <f>SUM(B1:AZ1)</f>
        <v>3.16666666666667</v>
      </c>
      <c r="B1" s="1">
        <f t="shared" ref="B1:H1" si="0">COUNTA(B2:B2082)/COLUMN()</f>
        <v>2</v>
      </c>
      <c r="C1" s="1">
        <f t="shared" si="0"/>
        <v>0.666666666666667</v>
      </c>
      <c r="D1" s="1">
        <f t="shared" si="0"/>
        <v>0.5</v>
      </c>
      <c r="E1" s="1">
        <f t="shared" si="0"/>
        <v>0</v>
      </c>
      <c r="F1" s="1">
        <f t="shared" si="0"/>
        <v>0</v>
      </c>
      <c r="G1" s="1">
        <f t="shared" si="0"/>
        <v>0</v>
      </c>
      <c r="H1" s="1">
        <f t="shared" si="0"/>
        <v>0</v>
      </c>
    </row>
    <row r="2" spans="1:8">
      <c r="A2" t="str" cm="1">
        <f ca="1" t="array" ref="A2">_wpsfn.SHEETSNAME(A1)</f>
        <v>20250614</v>
      </c>
      <c r="B2" t="s">
        <v>1817</v>
      </c>
    </row>
    <row r="3" spans="1:8">
      <c r="B3" t="s">
        <v>1818</v>
      </c>
    </row>
    <row r="4" spans="1:8">
      <c r="B4" t="s">
        <v>1819</v>
      </c>
    </row>
    <row r="5" spans="1:8">
      <c r="B5" t="s">
        <v>1820</v>
      </c>
    </row>
    <row r="6" spans="1:8">
      <c r="C6" t="s">
        <v>1821</v>
      </c>
    </row>
    <row r="7" spans="1:8">
      <c r="D7" t="s">
        <v>1822</v>
      </c>
    </row>
    <row r="8" spans="1:8">
      <c r="D8" t="s">
        <v>1823</v>
      </c>
    </row>
    <row r="9" spans="1:8">
      <c r="C9" t="s">
        <v>1824</v>
      </c>
    </row>
    <row r="59" spans="3:4">
      <c r="C59" s="4"/>
    </row>
    <row r="63" spans="3:4">
      <c r="D63" s="4"/>
    </row>
  </sheetData>
  <pageMargins left="0.75" right="0.75" top="1" bottom="1" header="0.5" footer="0.5"/>
  <pageSetup paperSize="9" orientation="portrait"/>
  <headerFooter/>
</worksheet>
</file>

<file path=xl/worksheets/sheet1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4"/>
  <sheetViews>
    <sheetView workbookViewId="0">
      <selection activeCell="B7" sqref="B7"/>
    </sheetView>
  </sheetViews>
  <sheetFormatPr defaultColWidth="8.88888888888889" defaultRowHeight="14.4" outlineLevelCol="7"/>
  <cols>
    <col min="1" max="1" width="9.66666666666667"/>
  </cols>
  <sheetData>
    <row r="1" spans="1:8">
      <c r="A1" s="1">
        <f>SUM(B1:AZ1)</f>
        <v>4.16666666666667</v>
      </c>
      <c r="B1" s="1">
        <f t="shared" ref="B1:H1" si="0">COUNTA(B2:B2083)/COLUMN()</f>
        <v>3.5</v>
      </c>
      <c r="C1" s="1">
        <f t="shared" si="0"/>
        <v>0.666666666666667</v>
      </c>
      <c r="D1" s="1">
        <f t="shared" si="0"/>
        <v>0</v>
      </c>
      <c r="E1" s="1">
        <f t="shared" si="0"/>
        <v>0</v>
      </c>
      <c r="F1" s="1">
        <f t="shared" si="0"/>
        <v>0</v>
      </c>
      <c r="G1" s="1">
        <f t="shared" si="0"/>
        <v>0</v>
      </c>
      <c r="H1" s="1">
        <f t="shared" si="0"/>
        <v>0</v>
      </c>
    </row>
    <row r="2" spans="1:8">
      <c r="A2" t="str" cm="1">
        <f ca="1" t="array" ref="A2">_wpsfn.SHEETSNAME(A1)</f>
        <v>20250615</v>
      </c>
      <c r="B2" t="s">
        <v>1825</v>
      </c>
    </row>
    <row r="3" spans="1:8">
      <c r="C3" t="s">
        <v>1826</v>
      </c>
    </row>
    <row r="4" spans="1:8">
      <c r="B4" t="s">
        <v>1827</v>
      </c>
    </row>
    <row r="5" spans="1:8">
      <c r="B5" t="s">
        <v>1828</v>
      </c>
    </row>
    <row r="6" spans="1:8">
      <c r="B6" t="s">
        <v>1829</v>
      </c>
    </row>
    <row r="7" spans="1:8">
      <c r="B7" t="s">
        <v>1830</v>
      </c>
    </row>
    <row r="8" spans="1:8">
      <c r="B8" t="s">
        <v>1831</v>
      </c>
    </row>
    <row r="9" spans="1:8">
      <c r="C9" t="s">
        <v>1832</v>
      </c>
    </row>
    <row r="10" spans="1:8">
      <c r="B10" t="s">
        <v>1833</v>
      </c>
    </row>
    <row r="60" spans="3:4">
      <c r="C60" s="4"/>
    </row>
    <row r="64" spans="3:4">
      <c r="D64" s="4"/>
    </row>
  </sheetData>
  <pageMargins left="0.75" right="0.75" top="1" bottom="1" header="0.5" footer="0.5"/>
  <pageSetup paperSize="9" orientation="portrait"/>
  <headerFooter/>
</worksheet>
</file>

<file path=xl/worksheets/sheet1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9"/>
  <sheetViews>
    <sheetView workbookViewId="0">
      <selection activeCell="B20" sqref="B20"/>
    </sheetView>
  </sheetViews>
  <sheetFormatPr defaultColWidth="8.88888888888889" defaultRowHeight="14.4" outlineLevelCol="7"/>
  <cols>
    <col min="1" max="1" width="9.66666666666667"/>
  </cols>
  <sheetData>
    <row r="1" spans="1:8">
      <c r="A1" s="1">
        <f>SUM(B1:AZ1)</f>
        <v>6.83333333333333</v>
      </c>
      <c r="B1" s="1">
        <f t="shared" ref="B1:H1" si="0">COUNTA(B2:B2068)/COLUMN()</f>
        <v>1.5</v>
      </c>
      <c r="C1" s="1">
        <f t="shared" si="0"/>
        <v>5.33333333333333</v>
      </c>
      <c r="D1" s="1">
        <f t="shared" si="0"/>
        <v>0</v>
      </c>
      <c r="E1" s="1">
        <f t="shared" si="0"/>
        <v>0</v>
      </c>
      <c r="F1" s="1">
        <f t="shared" si="0"/>
        <v>0</v>
      </c>
      <c r="G1" s="1">
        <f t="shared" si="0"/>
        <v>0</v>
      </c>
      <c r="H1" s="1">
        <f t="shared" si="0"/>
        <v>0</v>
      </c>
    </row>
    <row r="2" spans="1:8">
      <c r="A2" t="str" cm="1">
        <f ca="1" t="array" ref="A2">_wpsfn.SHEETSNAME(A1)</f>
        <v>20250616</v>
      </c>
      <c r="B2" t="s">
        <v>1834</v>
      </c>
    </row>
    <row r="3" spans="1:8">
      <c r="C3" t="s">
        <v>1835</v>
      </c>
    </row>
    <row r="4" spans="1:8">
      <c r="C4" t="s">
        <v>1836</v>
      </c>
    </row>
    <row r="5" spans="1:8">
      <c r="C5" t="s">
        <v>1837</v>
      </c>
    </row>
    <row r="6" spans="1:8">
      <c r="B6" t="s">
        <v>1838</v>
      </c>
    </row>
    <row r="7" spans="1:8">
      <c r="C7" t="s">
        <v>1839</v>
      </c>
    </row>
    <row r="8" spans="1:8">
      <c r="C8" t="s">
        <v>1840</v>
      </c>
    </row>
    <row r="9" spans="1:8">
      <c r="C9" t="s">
        <v>1841</v>
      </c>
    </row>
    <row r="10" spans="1:8">
      <c r="C10" t="s">
        <v>1842</v>
      </c>
    </row>
    <row r="11" spans="1:8">
      <c r="C11" t="s">
        <v>1843</v>
      </c>
    </row>
    <row r="12" spans="1:8">
      <c r="C12" t="s">
        <v>1844</v>
      </c>
    </row>
    <row r="13" spans="1:8">
      <c r="C13" t="s">
        <v>1845</v>
      </c>
    </row>
    <row r="14" spans="1:8">
      <c r="C14" t="s">
        <v>1846</v>
      </c>
    </row>
    <row r="15" spans="1:8">
      <c r="C15" t="s">
        <v>1847</v>
      </c>
    </row>
    <row r="16" spans="1:8">
      <c r="C16" t="s">
        <v>1848</v>
      </c>
    </row>
    <row r="17" spans="2:3">
      <c r="C17" t="s">
        <v>1849</v>
      </c>
    </row>
    <row r="18" spans="2:3">
      <c r="C18" t="s">
        <v>1850</v>
      </c>
    </row>
    <row r="19" spans="2:3">
      <c r="C19" t="s">
        <v>1851</v>
      </c>
    </row>
    <row r="20" spans="2:3">
      <c r="B20" t="s">
        <v>1852</v>
      </c>
    </row>
    <row r="45" spans="3:3">
      <c r="C45" s="4"/>
    </row>
    <row r="49" spans="4:4">
      <c r="D49" s="4"/>
    </row>
  </sheetData>
  <pageMargins left="0.75" right="0.75" top="1" bottom="1" header="0.5" footer="0.5"/>
  <pageSetup paperSize="9" orientation="portrait"/>
  <headerFooter/>
</worksheet>
</file>

<file path=xl/worksheets/sheet1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1"/>
  <sheetViews>
    <sheetView workbookViewId="0">
      <selection activeCell="D20" sqref="D20"/>
    </sheetView>
  </sheetViews>
  <sheetFormatPr defaultColWidth="8.88888888888889" defaultRowHeight="14.4" outlineLevelCol="7"/>
  <cols>
    <col min="1" max="1" width="9.66666666666667"/>
  </cols>
  <sheetData>
    <row r="1" spans="1:8">
      <c r="A1" s="1">
        <f>SUM(B1:AZ1)</f>
        <v>6.33333333333333</v>
      </c>
      <c r="B1" s="1">
        <f t="shared" ref="B1:H1" si="0">COUNTA(B2:B2060)/COLUMN()</f>
        <v>1</v>
      </c>
      <c r="C1" s="1">
        <f t="shared" si="0"/>
        <v>1.33333333333333</v>
      </c>
      <c r="D1" s="1">
        <f t="shared" si="0"/>
        <v>4</v>
      </c>
      <c r="E1" s="1">
        <f t="shared" si="0"/>
        <v>0</v>
      </c>
      <c r="F1" s="1">
        <f t="shared" si="0"/>
        <v>0</v>
      </c>
      <c r="G1" s="1">
        <f t="shared" si="0"/>
        <v>0</v>
      </c>
      <c r="H1" s="1">
        <f t="shared" si="0"/>
        <v>0</v>
      </c>
    </row>
    <row r="2" spans="1:8">
      <c r="A2" t="str" cm="1">
        <f ca="1" t="array" ref="A2">_wpsfn.SHEETSNAME(A1)</f>
        <v>20250617</v>
      </c>
      <c r="B2" t="s">
        <v>1853</v>
      </c>
    </row>
    <row r="3" spans="1:8">
      <c r="C3" t="s">
        <v>1854</v>
      </c>
    </row>
    <row r="4" spans="1:8">
      <c r="D4" t="s">
        <v>1855</v>
      </c>
    </row>
    <row r="5" spans="1:8">
      <c r="D5" t="s">
        <v>1856</v>
      </c>
    </row>
    <row r="6" spans="1:8">
      <c r="D6" t="s">
        <v>1857</v>
      </c>
    </row>
    <row r="7" spans="1:8">
      <c r="D7" t="s">
        <v>1858</v>
      </c>
    </row>
    <row r="8" spans="1:8">
      <c r="C8" t="s">
        <v>1859</v>
      </c>
    </row>
    <row r="9" spans="1:8">
      <c r="D9" t="s">
        <v>1860</v>
      </c>
    </row>
    <row r="10" spans="1:8">
      <c r="D10" t="s">
        <v>1861</v>
      </c>
    </row>
    <row r="11" spans="1:8">
      <c r="D11" t="s">
        <v>1862</v>
      </c>
    </row>
    <row r="12" spans="1:8">
      <c r="D12" t="s">
        <v>1863</v>
      </c>
    </row>
    <row r="13" spans="1:8">
      <c r="C13" t="s">
        <v>1864</v>
      </c>
    </row>
    <row r="14" spans="1:8">
      <c r="D14" t="s">
        <v>1865</v>
      </c>
    </row>
    <row r="15" spans="1:8">
      <c r="D15" t="s">
        <v>1866</v>
      </c>
    </row>
    <row r="16" spans="1:8">
      <c r="D16" t="s">
        <v>1867</v>
      </c>
    </row>
    <row r="17" spans="2:4">
      <c r="D17" t="s">
        <v>1868</v>
      </c>
    </row>
    <row r="18" spans="2:4">
      <c r="C18" t="s">
        <v>1869</v>
      </c>
    </row>
    <row r="19" spans="2:4">
      <c r="D19" t="s">
        <v>1870</v>
      </c>
    </row>
    <row r="20" spans="2:4">
      <c r="D20" t="s">
        <v>1871</v>
      </c>
    </row>
    <row r="21" spans="2:4">
      <c r="D21" t="s">
        <v>1872</v>
      </c>
    </row>
    <row r="22" spans="2:4">
      <c r="D22" t="s">
        <v>1873</v>
      </c>
    </row>
    <row r="23" spans="2:4">
      <c r="B23" t="s">
        <v>1874</v>
      </c>
    </row>
    <row r="37" spans="3:4">
      <c r="C37" s="4"/>
    </row>
    <row r="41" spans="3:4">
      <c r="D41" s="4"/>
    </row>
  </sheetData>
  <pageMargins left="0.75" right="0.75" top="1" bottom="1" header="0.5" footer="0.5"/>
  <pageSetup paperSize="9" orientation="portrait"/>
  <headerFooter/>
</worksheet>
</file>

<file path=xl/worksheets/sheet1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1"/>
  <sheetViews>
    <sheetView workbookViewId="0">
      <selection activeCell="D16" sqref="D16"/>
    </sheetView>
  </sheetViews>
  <sheetFormatPr defaultColWidth="8.88888888888889" defaultRowHeight="14.4" outlineLevelCol="7"/>
  <cols>
    <col min="1" max="1" width="9.66666666666667"/>
  </cols>
  <sheetData>
    <row r="1" spans="1:8">
      <c r="A1" s="1">
        <f>SUM(B1:AZ1)</f>
        <v>12.1666666666667</v>
      </c>
      <c r="B1" s="1">
        <f t="shared" ref="B1:H1" si="0">COUNTA(B2:B2090)/COLUMN()</f>
        <v>0.5</v>
      </c>
      <c r="C1" s="1">
        <f t="shared" si="0"/>
        <v>1.66666666666667</v>
      </c>
      <c r="D1" s="1">
        <f t="shared" si="0"/>
        <v>10</v>
      </c>
      <c r="E1" s="1">
        <f t="shared" si="0"/>
        <v>0</v>
      </c>
      <c r="F1" s="1">
        <f t="shared" si="0"/>
        <v>0</v>
      </c>
      <c r="G1" s="1">
        <f t="shared" si="0"/>
        <v>0</v>
      </c>
      <c r="H1" s="1">
        <f t="shared" si="0"/>
        <v>0</v>
      </c>
    </row>
    <row r="2" spans="1:8">
      <c r="A2" t="str" cm="1">
        <f ca="1" t="array" ref="A2">_wpsfn.SHEETSNAME(A1)</f>
        <v>20250618</v>
      </c>
      <c r="B2" t="s">
        <v>1875</v>
      </c>
    </row>
    <row r="3" spans="1:8">
      <c r="C3" t="s">
        <v>1876</v>
      </c>
    </row>
    <row r="4" spans="1:8">
      <c r="D4" t="s">
        <v>1877</v>
      </c>
    </row>
    <row r="5" spans="1:8">
      <c r="D5" t="s">
        <v>1878</v>
      </c>
    </row>
    <row r="6" spans="1:8">
      <c r="D6" t="s">
        <v>1879</v>
      </c>
    </row>
    <row r="7" spans="1:8">
      <c r="D7" t="s">
        <v>1880</v>
      </c>
    </row>
    <row r="8" spans="1:8">
      <c r="D8" t="s">
        <v>1881</v>
      </c>
    </row>
    <row r="9" spans="1:8">
      <c r="D9" t="s">
        <v>1882</v>
      </c>
    </row>
    <row r="10" spans="1:8">
      <c r="D10" t="s">
        <v>1883</v>
      </c>
    </row>
    <row r="11" spans="1:8">
      <c r="D11" t="s">
        <v>1884</v>
      </c>
    </row>
    <row r="12" spans="1:8">
      <c r="C12" t="s">
        <v>1885</v>
      </c>
    </row>
    <row r="13" spans="1:8">
      <c r="D13" t="s">
        <v>1886</v>
      </c>
    </row>
    <row r="14" spans="1:8">
      <c r="D14" t="s">
        <v>1887</v>
      </c>
    </row>
    <row r="15" spans="1:8">
      <c r="D15" t="s">
        <v>1888</v>
      </c>
    </row>
    <row r="16" spans="1:8">
      <c r="D16" t="s">
        <v>1889</v>
      </c>
    </row>
    <row r="17" spans="3:4">
      <c r="D17" t="s">
        <v>1890</v>
      </c>
    </row>
    <row r="18" spans="3:4">
      <c r="D18" t="s">
        <v>1891</v>
      </c>
    </row>
    <row r="19" spans="3:4">
      <c r="D19" t="s">
        <v>1892</v>
      </c>
    </row>
    <row r="20" spans="3:4">
      <c r="D20" t="s">
        <v>1893</v>
      </c>
    </row>
    <row r="21" spans="3:4">
      <c r="C21" t="s">
        <v>1894</v>
      </c>
    </row>
    <row r="22" spans="3:4">
      <c r="D22" t="s">
        <v>1895</v>
      </c>
    </row>
    <row r="23" spans="3:4">
      <c r="D23" t="s">
        <v>1896</v>
      </c>
    </row>
    <row r="24" spans="3:4">
      <c r="D24" t="s">
        <v>1897</v>
      </c>
    </row>
    <row r="25" spans="3:4">
      <c r="D25" t="s">
        <v>1898</v>
      </c>
    </row>
    <row r="26" spans="3:4">
      <c r="D26" t="s">
        <v>1899</v>
      </c>
    </row>
    <row r="27" spans="3:4">
      <c r="D27" t="s">
        <v>1900</v>
      </c>
    </row>
    <row r="28" spans="3:4">
      <c r="D28" t="s">
        <v>1901</v>
      </c>
    </row>
    <row r="29" spans="3:4">
      <c r="D29" t="s">
        <v>1902</v>
      </c>
    </row>
    <row r="30" spans="3:4">
      <c r="C30" t="s">
        <v>1903</v>
      </c>
    </row>
    <row r="31" spans="3:4">
      <c r="D31" t="s">
        <v>1904</v>
      </c>
    </row>
    <row r="32" spans="3:4">
      <c r="D32" t="s">
        <v>1905</v>
      </c>
    </row>
    <row r="33" spans="3:4">
      <c r="D33" t="s">
        <v>1906</v>
      </c>
    </row>
    <row r="34" spans="3:4">
      <c r="D34" t="s">
        <v>1907</v>
      </c>
    </row>
    <row r="35" spans="3:4">
      <c r="D35" t="s">
        <v>1908</v>
      </c>
    </row>
    <row r="36" spans="3:4">
      <c r="D36" t="s">
        <v>1909</v>
      </c>
    </row>
    <row r="37" spans="3:4">
      <c r="D37" t="s">
        <v>1910</v>
      </c>
    </row>
    <row r="38" spans="3:4">
      <c r="D38" t="s">
        <v>1911</v>
      </c>
    </row>
    <row r="39" spans="3:4">
      <c r="C39" t="s">
        <v>1912</v>
      </c>
    </row>
    <row r="40" spans="3:4">
      <c r="D40" t="s">
        <v>1913</v>
      </c>
    </row>
    <row r="41" spans="3:4">
      <c r="D41" t="s">
        <v>1914</v>
      </c>
    </row>
    <row r="42" spans="3:4">
      <c r="D42" t="s">
        <v>1915</v>
      </c>
    </row>
    <row r="43" spans="3:4">
      <c r="D43" t="s">
        <v>1916</v>
      </c>
    </row>
    <row r="44" spans="3:4">
      <c r="D44" t="s">
        <v>1917</v>
      </c>
    </row>
    <row r="45" spans="3:4">
      <c r="D45" t="s">
        <v>1918</v>
      </c>
    </row>
    <row r="46" spans="3:4">
      <c r="D46" t="s">
        <v>1919</v>
      </c>
    </row>
    <row r="47" spans="3:4">
      <c r="D47" t="s">
        <v>1920</v>
      </c>
    </row>
    <row r="67" spans="3:4">
      <c r="C67" s="4"/>
    </row>
    <row r="71" spans="3:4">
      <c r="D71" s="4"/>
    </row>
  </sheetData>
  <pageMargins left="0.75" right="0.75" top="1" bottom="1" header="0.5" footer="0.5"/>
  <pageSetup paperSize="9" orientation="portrait"/>
  <headerFooter/>
</worksheet>
</file>

<file path=xl/worksheets/sheet1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6"/>
  <sheetViews>
    <sheetView topLeftCell="A21" workbookViewId="0">
      <selection activeCell="D26" sqref="D26"/>
    </sheetView>
  </sheetViews>
  <sheetFormatPr defaultColWidth="8.88888888888889" defaultRowHeight="14.4" outlineLevelCol="7"/>
  <cols>
    <col min="1" max="1" width="9.66666666666667"/>
  </cols>
  <sheetData>
    <row r="1" spans="1:8">
      <c r="A1" s="1">
        <f>SUM(B1:AZ1)</f>
        <v>16.1666666666667</v>
      </c>
      <c r="B1" s="1">
        <f t="shared" ref="B1:H1" si="0">COUNTA(B2:B2040)/COLUMN()</f>
        <v>2.5</v>
      </c>
      <c r="C1" s="1">
        <f t="shared" si="0"/>
        <v>4.66666666666667</v>
      </c>
      <c r="D1" s="1">
        <f t="shared" si="0"/>
        <v>9</v>
      </c>
      <c r="E1" s="1">
        <f t="shared" si="0"/>
        <v>0</v>
      </c>
      <c r="F1" s="1">
        <f t="shared" si="0"/>
        <v>0</v>
      </c>
      <c r="G1" s="1">
        <f t="shared" si="0"/>
        <v>0</v>
      </c>
      <c r="H1" s="1">
        <f t="shared" si="0"/>
        <v>0</v>
      </c>
    </row>
    <row r="2" spans="1:8">
      <c r="A2" t="str" cm="1">
        <f ca="1" t="array" ref="A2">_wpsfn.SHEETSNAME(A1)</f>
        <v>20250619</v>
      </c>
      <c r="B2" t="s">
        <v>1921</v>
      </c>
    </row>
    <row r="3" spans="1:8">
      <c r="C3" t="s">
        <v>1922</v>
      </c>
    </row>
    <row r="4" spans="1:8">
      <c r="C4" t="s">
        <v>1923</v>
      </c>
    </row>
    <row r="5" spans="1:8">
      <c r="D5" t="s">
        <v>1924</v>
      </c>
    </row>
    <row r="6" spans="1:8">
      <c r="D6" t="s">
        <v>1925</v>
      </c>
    </row>
    <row r="7" spans="1:8">
      <c r="D7" t="s">
        <v>1926</v>
      </c>
    </row>
    <row r="8" spans="1:8">
      <c r="D8" t="s">
        <v>1927</v>
      </c>
    </row>
    <row r="9" spans="1:8">
      <c r="C9" t="s">
        <v>1928</v>
      </c>
    </row>
    <row r="10" spans="1:8">
      <c r="D10" t="s">
        <v>1929</v>
      </c>
    </row>
    <row r="11" spans="1:8">
      <c r="D11" t="s">
        <v>1930</v>
      </c>
    </row>
    <row r="12" spans="1:8">
      <c r="D12" t="s">
        <v>1931</v>
      </c>
    </row>
    <row r="13" spans="1:8">
      <c r="D13" t="s">
        <v>1932</v>
      </c>
    </row>
    <row r="14" spans="1:8">
      <c r="C14" t="s">
        <v>1933</v>
      </c>
    </row>
    <row r="15" spans="1:8">
      <c r="D15" t="s">
        <v>1934</v>
      </c>
    </row>
    <row r="16" spans="1:8">
      <c r="D16" t="s">
        <v>1935</v>
      </c>
    </row>
    <row r="17" spans="3:4">
      <c r="D17" t="s">
        <v>1936</v>
      </c>
    </row>
    <row r="18" spans="3:4">
      <c r="D18" t="s">
        <v>1937</v>
      </c>
    </row>
    <row r="19" spans="3:4">
      <c r="C19" t="s">
        <v>1938</v>
      </c>
    </row>
    <row r="20" spans="3:4">
      <c r="D20" t="s">
        <v>1939</v>
      </c>
    </row>
    <row r="21" spans="3:4">
      <c r="D21" t="s">
        <v>1940</v>
      </c>
    </row>
    <row r="22" spans="3:4">
      <c r="D22" t="s">
        <v>1941</v>
      </c>
    </row>
    <row r="23" spans="3:4">
      <c r="D23" t="s">
        <v>1942</v>
      </c>
    </row>
    <row r="24" spans="3:4">
      <c r="C24" t="s">
        <v>1943</v>
      </c>
    </row>
    <row r="25" spans="3:4">
      <c r="D25" t="s">
        <v>1944</v>
      </c>
    </row>
    <row r="26" spans="3:4">
      <c r="D26" t="s">
        <v>1945</v>
      </c>
    </row>
    <row r="27" spans="3:4">
      <c r="D27" t="s">
        <v>1946</v>
      </c>
    </row>
    <row r="28" spans="3:4">
      <c r="D28" t="s">
        <v>1947</v>
      </c>
    </row>
    <row r="29" spans="3:4">
      <c r="C29" t="s">
        <v>1948</v>
      </c>
    </row>
    <row r="30" spans="3:4">
      <c r="D30" t="s">
        <v>1949</v>
      </c>
    </row>
    <row r="31" spans="3:4">
      <c r="D31" t="s">
        <v>1950</v>
      </c>
    </row>
    <row r="32" spans="3:4">
      <c r="D32" t="s">
        <v>1951</v>
      </c>
    </row>
    <row r="33" spans="3:4">
      <c r="D33" t="s">
        <v>1952</v>
      </c>
    </row>
    <row r="34" spans="3:4">
      <c r="C34" t="s">
        <v>1953</v>
      </c>
    </row>
    <row r="35" spans="3:4">
      <c r="D35" t="s">
        <v>1954</v>
      </c>
    </row>
    <row r="36" spans="3:4">
      <c r="D36" t="s">
        <v>1955</v>
      </c>
    </row>
    <row r="37" spans="3:4">
      <c r="D37" t="s">
        <v>1956</v>
      </c>
    </row>
    <row r="38" spans="3:4">
      <c r="D38" t="s">
        <v>1957</v>
      </c>
    </row>
    <row r="39" spans="3:4">
      <c r="C39" t="s">
        <v>1958</v>
      </c>
    </row>
    <row r="40" spans="3:4">
      <c r="D40" t="s">
        <v>1959</v>
      </c>
    </row>
    <row r="41" spans="3:4">
      <c r="D41" t="s">
        <v>1960</v>
      </c>
    </row>
    <row r="42" spans="3:4">
      <c r="D42" t="s">
        <v>1961</v>
      </c>
    </row>
    <row r="43" spans="3:4">
      <c r="D43" t="s">
        <v>1962</v>
      </c>
    </row>
    <row r="44" spans="3:4">
      <c r="C44" t="s">
        <v>1963</v>
      </c>
    </row>
    <row r="45" spans="3:4">
      <c r="D45" t="s">
        <v>1964</v>
      </c>
    </row>
    <row r="46" spans="3:4">
      <c r="D46" t="s">
        <v>1965</v>
      </c>
    </row>
    <row r="47" spans="3:4">
      <c r="D47" t="s">
        <v>1966</v>
      </c>
    </row>
    <row r="48" spans="3:4">
      <c r="D48" t="s">
        <v>1967</v>
      </c>
    </row>
    <row r="49" spans="2:3">
      <c r="B49" t="s">
        <v>1968</v>
      </c>
    </row>
    <row r="50" spans="2:3">
      <c r="C50" t="s">
        <v>1969</v>
      </c>
    </row>
    <row r="51" spans="2:3">
      <c r="C51" t="s">
        <v>1970</v>
      </c>
    </row>
    <row r="52" spans="2:3">
      <c r="C52" t="s">
        <v>1971</v>
      </c>
    </row>
    <row r="53" spans="2:3">
      <c r="B53" t="s">
        <v>1972</v>
      </c>
    </row>
    <row r="54" spans="2:3">
      <c r="B54" t="s">
        <v>1973</v>
      </c>
    </row>
    <row r="55" spans="2:3">
      <c r="B55" t="s">
        <v>1974</v>
      </c>
    </row>
    <row r="56" spans="2:3">
      <c r="C56" t="s">
        <v>1975</v>
      </c>
    </row>
  </sheetData>
  <pageMargins left="0.75" right="0.75" top="1" bottom="1" header="0.5" footer="0.5"/>
  <pageSetup paperSize="9" orientation="portrait"/>
  <headerFooter/>
</worksheet>
</file>

<file path=xl/worksheets/sheet1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49"/>
  <sheetViews>
    <sheetView workbookViewId="0">
      <selection activeCell="D42" sqref="D42"/>
    </sheetView>
  </sheetViews>
  <sheetFormatPr defaultColWidth="8.88888888888889" defaultRowHeight="14.4" outlineLevelCol="7"/>
  <cols>
    <col min="1" max="1" width="9.66666666666667"/>
  </cols>
  <sheetData>
    <row r="1" spans="1:8">
      <c r="A1" s="1">
        <f>SUM(B1:AZ1)</f>
        <v>12.8333333333333</v>
      </c>
      <c r="B1" s="1">
        <f t="shared" ref="B1:H1" si="0">COUNTA(B2:B2046)/COLUMN()</f>
        <v>0.5</v>
      </c>
      <c r="C1" s="1">
        <f t="shared" si="0"/>
        <v>2.33333333333333</v>
      </c>
      <c r="D1" s="1">
        <f t="shared" si="0"/>
        <v>10</v>
      </c>
      <c r="E1" s="1">
        <f t="shared" si="0"/>
        <v>0</v>
      </c>
      <c r="F1" s="1">
        <f t="shared" si="0"/>
        <v>0</v>
      </c>
      <c r="G1" s="1">
        <f t="shared" si="0"/>
        <v>0</v>
      </c>
      <c r="H1" s="1">
        <f t="shared" si="0"/>
        <v>0</v>
      </c>
    </row>
    <row r="2" spans="1:8">
      <c r="A2" t="str" cm="1">
        <f ca="1" t="array" ref="A2">_wpsfn.SHEETSNAME(A1)</f>
        <v>20250620</v>
      </c>
      <c r="B2" t="s">
        <v>1976</v>
      </c>
    </row>
    <row r="3" spans="1:8">
      <c r="C3" t="s">
        <v>1922</v>
      </c>
    </row>
    <row r="4" spans="1:8">
      <c r="C4" t="s">
        <v>1977</v>
      </c>
    </row>
    <row r="5" spans="1:8">
      <c r="D5" t="s">
        <v>1978</v>
      </c>
    </row>
    <row r="6" spans="1:8">
      <c r="D6" t="s">
        <v>1979</v>
      </c>
    </row>
    <row r="7" spans="1:8">
      <c r="D7" t="s">
        <v>1980</v>
      </c>
    </row>
    <row r="8" spans="1:8">
      <c r="D8" t="s">
        <v>1981</v>
      </c>
    </row>
    <row r="9" spans="1:8">
      <c r="D9" t="s">
        <v>1982</v>
      </c>
    </row>
    <row r="10" spans="1:8">
      <c r="D10" t="s">
        <v>1983</v>
      </c>
    </row>
    <row r="11" spans="1:8">
      <c r="C11" t="s">
        <v>1984</v>
      </c>
    </row>
    <row r="12" spans="1:8">
      <c r="D12" t="s">
        <v>1985</v>
      </c>
    </row>
    <row r="13" spans="1:8">
      <c r="D13" t="s">
        <v>1986</v>
      </c>
    </row>
    <row r="14" spans="1:8">
      <c r="D14" t="s">
        <v>1987</v>
      </c>
    </row>
    <row r="15" spans="1:8">
      <c r="D15" t="s">
        <v>1988</v>
      </c>
    </row>
    <row r="16" spans="1:8">
      <c r="D16" t="s">
        <v>1989</v>
      </c>
    </row>
    <row r="17" spans="3:4">
      <c r="D17" t="s">
        <v>1983</v>
      </c>
    </row>
    <row r="18" spans="3:4">
      <c r="C18" t="s">
        <v>1990</v>
      </c>
    </row>
    <row r="19" spans="3:4">
      <c r="D19" t="s">
        <v>1991</v>
      </c>
    </row>
    <row r="20" spans="3:4">
      <c r="D20" t="s">
        <v>1992</v>
      </c>
    </row>
    <row r="21" spans="3:4">
      <c r="D21" t="s">
        <v>1993</v>
      </c>
    </row>
    <row r="22" spans="3:4">
      <c r="D22" t="s">
        <v>1994</v>
      </c>
    </row>
    <row r="23" spans="3:4">
      <c r="D23" t="s">
        <v>1995</v>
      </c>
    </row>
    <row r="24" spans="3:4">
      <c r="D24" t="s">
        <v>1996</v>
      </c>
    </row>
    <row r="25" spans="3:4">
      <c r="D25" t="s">
        <v>1997</v>
      </c>
    </row>
    <row r="26" spans="3:4">
      <c r="D26" t="s">
        <v>1998</v>
      </c>
    </row>
    <row r="27" spans="3:4">
      <c r="C27" t="s">
        <v>1999</v>
      </c>
    </row>
    <row r="28" spans="3:4">
      <c r="D28" t="s">
        <v>2000</v>
      </c>
    </row>
    <row r="29" spans="3:4">
      <c r="D29" t="s">
        <v>2001</v>
      </c>
    </row>
    <row r="30" spans="3:4">
      <c r="D30" t="s">
        <v>2002</v>
      </c>
    </row>
    <row r="31" spans="3:4">
      <c r="D31" t="s">
        <v>2003</v>
      </c>
    </row>
    <row r="32" spans="3:4">
      <c r="D32" t="s">
        <v>2004</v>
      </c>
    </row>
    <row r="33" spans="3:4">
      <c r="D33" t="s">
        <v>2005</v>
      </c>
    </row>
    <row r="34" spans="3:4">
      <c r="C34" t="s">
        <v>2006</v>
      </c>
    </row>
    <row r="35" spans="3:4">
      <c r="D35" t="s">
        <v>2000</v>
      </c>
    </row>
    <row r="36" spans="3:4">
      <c r="D36" t="s">
        <v>2007</v>
      </c>
    </row>
    <row r="37" spans="3:4">
      <c r="D37" t="s">
        <v>2008</v>
      </c>
    </row>
    <row r="38" spans="3:4">
      <c r="D38" t="s">
        <v>2003</v>
      </c>
    </row>
    <row r="39" spans="3:4">
      <c r="D39" t="s">
        <v>2009</v>
      </c>
    </row>
    <row r="40" spans="3:4">
      <c r="D40" t="s">
        <v>2010</v>
      </c>
    </row>
    <row r="41" spans="3:4">
      <c r="C41" t="s">
        <v>2011</v>
      </c>
    </row>
    <row r="42" spans="3:4">
      <c r="D42" t="s">
        <v>2012</v>
      </c>
    </row>
    <row r="43" spans="3:4">
      <c r="D43" t="s">
        <v>2013</v>
      </c>
    </row>
    <row r="44" spans="3:4">
      <c r="D44" t="s">
        <v>2014</v>
      </c>
    </row>
    <row r="45" spans="3:4">
      <c r="D45" t="s">
        <v>2015</v>
      </c>
    </row>
    <row r="46" spans="3:4">
      <c r="D46" t="s">
        <v>2016</v>
      </c>
    </row>
    <row r="47" spans="3:4">
      <c r="D47" t="s">
        <v>2017</v>
      </c>
    </row>
    <row r="48" spans="3:4">
      <c r="D48" t="s">
        <v>2018</v>
      </c>
    </row>
    <row r="49" spans="4:4">
      <c r="D49" t="s">
        <v>2019</v>
      </c>
    </row>
  </sheetData>
  <pageMargins left="0.75" right="0.75" top="1" bottom="1" header="0.5" footer="0.5"/>
  <pageSetup paperSize="9" orientation="portrait"/>
  <headerFooter/>
</worksheet>
</file>

<file path=xl/worksheets/sheet1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16"/>
  <sheetViews>
    <sheetView workbookViewId="0">
      <selection activeCell="C16" sqref="C16"/>
    </sheetView>
  </sheetViews>
  <sheetFormatPr defaultColWidth="8.88888888888889" defaultRowHeight="14.4" outlineLevelCol="7"/>
  <cols>
    <col min="1" max="1" width="9.66666666666667"/>
  </cols>
  <sheetData>
    <row r="1" spans="1:8">
      <c r="A1" s="1">
        <f>SUM(B1:AZ1)</f>
        <v>6.33333333333333</v>
      </c>
      <c r="B1" s="1">
        <f t="shared" ref="B1:H1" si="0">COUNTA(B2:B2046)/COLUMN()</f>
        <v>4</v>
      </c>
      <c r="C1" s="1">
        <f t="shared" si="0"/>
        <v>2.33333333333333</v>
      </c>
      <c r="D1" s="1">
        <f t="shared" si="0"/>
        <v>0</v>
      </c>
      <c r="E1" s="1">
        <f t="shared" si="0"/>
        <v>0</v>
      </c>
      <c r="F1" s="1">
        <f t="shared" si="0"/>
        <v>0</v>
      </c>
      <c r="G1" s="1">
        <f t="shared" si="0"/>
        <v>0</v>
      </c>
      <c r="H1" s="1">
        <f t="shared" si="0"/>
        <v>0</v>
      </c>
    </row>
    <row r="2" spans="1:8">
      <c r="A2" t="str" cm="1">
        <f ca="1" t="array" ref="A2">_wpsfn.SHEETSNAME(A1)</f>
        <v>20250621</v>
      </c>
      <c r="B2" t="s">
        <v>2020</v>
      </c>
    </row>
    <row r="3" spans="1:8">
      <c r="B3" t="s">
        <v>2021</v>
      </c>
    </row>
    <row r="4" spans="1:8">
      <c r="C4" t="s">
        <v>2022</v>
      </c>
    </row>
    <row r="5" spans="1:8">
      <c r="C5" t="s">
        <v>2023</v>
      </c>
    </row>
    <row r="6" spans="1:8">
      <c r="B6" t="s">
        <v>2024</v>
      </c>
    </row>
    <row r="7" spans="1:8">
      <c r="C7" t="s">
        <v>2025</v>
      </c>
    </row>
    <row r="8" spans="1:8">
      <c r="C8" t="s">
        <v>2026</v>
      </c>
    </row>
    <row r="9" spans="1:8">
      <c r="B9" t="s">
        <v>2027</v>
      </c>
    </row>
    <row r="10" spans="1:8">
      <c r="B10" t="s">
        <v>2028</v>
      </c>
    </row>
    <row r="11" spans="1:8">
      <c r="B11" t="s">
        <v>2029</v>
      </c>
    </row>
    <row r="12" spans="1:8">
      <c r="C12" t="s">
        <v>2030</v>
      </c>
    </row>
    <row r="13" spans="1:8">
      <c r="B13" t="s">
        <v>2031</v>
      </c>
    </row>
    <row r="14" spans="1:8">
      <c r="B14" t="s">
        <v>2032</v>
      </c>
    </row>
    <row r="15" spans="1:8">
      <c r="C15" t="s">
        <v>2033</v>
      </c>
    </row>
    <row r="16" spans="1:8">
      <c r="C16" t="s">
        <v>2034</v>
      </c>
    </row>
  </sheetData>
  <pageMargins left="0.75" right="0.75" top="1" bottom="1" header="0.5" footer="0.5"/>
  <pageSetup paperSize="9" orientation="portrait"/>
  <headerFooter/>
</worksheet>
</file>

<file path=xl/worksheets/sheet1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34"/>
  <sheetViews>
    <sheetView zoomScale="85" zoomScaleNormal="85" workbookViewId="0">
      <selection activeCell="B34" sqref="B34"/>
    </sheetView>
  </sheetViews>
  <sheetFormatPr defaultColWidth="8.88888888888889" defaultRowHeight="14.4" outlineLevelCol="7"/>
  <cols>
    <col min="1" max="1" width="9.66666666666667"/>
  </cols>
  <sheetData>
    <row r="1" spans="1:8">
      <c r="A1" s="1">
        <f>SUM(B1:AZ1)</f>
        <v>9.58333333333333</v>
      </c>
      <c r="B1" s="1">
        <f t="shared" ref="B1:H1" si="0">COUNTA(B2:B2046)/COLUMN()</f>
        <v>1.5</v>
      </c>
      <c r="C1" s="1">
        <f t="shared" si="0"/>
        <v>3.33333333333333</v>
      </c>
      <c r="D1" s="1">
        <f t="shared" si="0"/>
        <v>3.75</v>
      </c>
      <c r="E1" s="1">
        <f t="shared" si="0"/>
        <v>1</v>
      </c>
      <c r="F1" s="1">
        <f t="shared" si="0"/>
        <v>0</v>
      </c>
      <c r="G1" s="1">
        <f t="shared" si="0"/>
        <v>0</v>
      </c>
      <c r="H1" s="1">
        <f t="shared" si="0"/>
        <v>0</v>
      </c>
    </row>
    <row r="2" spans="1:8">
      <c r="A2" t="str" cm="1">
        <f ca="1" t="array" ref="A2">_wpsfn.SHEETSNAME(A1)</f>
        <v>20250622</v>
      </c>
      <c r="B2" t="s">
        <v>2035</v>
      </c>
    </row>
    <row r="3" spans="1:8">
      <c r="C3" t="s">
        <v>2036</v>
      </c>
    </row>
    <row r="4" spans="1:8">
      <c r="D4" t="s">
        <v>2037</v>
      </c>
    </row>
    <row r="5" spans="1:8">
      <c r="D5" t="s">
        <v>2038</v>
      </c>
    </row>
    <row r="6" spans="1:8">
      <c r="D6" t="s">
        <v>2039</v>
      </c>
    </row>
    <row r="7" spans="1:8">
      <c r="C7" t="s">
        <v>2040</v>
      </c>
    </row>
    <row r="8" spans="1:8">
      <c r="D8" t="s">
        <v>2041</v>
      </c>
    </row>
    <row r="9" spans="1:8">
      <c r="D9" t="s">
        <v>2042</v>
      </c>
    </row>
    <row r="10" spans="1:8">
      <c r="C10" t="s">
        <v>2043</v>
      </c>
    </row>
    <row r="11" spans="1:8">
      <c r="D11" t="s">
        <v>2044</v>
      </c>
    </row>
    <row r="12" spans="1:8">
      <c r="C12" t="s">
        <v>2045</v>
      </c>
    </row>
    <row r="13" spans="1:8">
      <c r="D13" t="s">
        <v>2046</v>
      </c>
    </row>
    <row r="14" spans="1:8">
      <c r="D14" t="s">
        <v>2047</v>
      </c>
    </row>
    <row r="15" spans="1:8">
      <c r="E15" t="s">
        <v>2048</v>
      </c>
    </row>
    <row r="16" spans="1:8">
      <c r="E16" t="s">
        <v>2049</v>
      </c>
    </row>
    <row r="17" spans="2:5">
      <c r="E17" t="s">
        <v>2050</v>
      </c>
    </row>
    <row r="18" spans="2:5">
      <c r="E18" t="s">
        <v>2051</v>
      </c>
    </row>
    <row r="19" spans="2:5">
      <c r="E19" t="s">
        <v>2052</v>
      </c>
    </row>
    <row r="20" spans="2:5">
      <c r="D20" t="s">
        <v>2053</v>
      </c>
    </row>
    <row r="21" spans="2:5">
      <c r="D21" t="s">
        <v>2054</v>
      </c>
    </row>
    <row r="22" spans="2:5">
      <c r="D22" t="s">
        <v>2055</v>
      </c>
    </row>
    <row r="23" spans="2:5">
      <c r="C23" t="s">
        <v>2056</v>
      </c>
    </row>
    <row r="24" spans="2:5">
      <c r="D24" t="s">
        <v>2057</v>
      </c>
    </row>
    <row r="25" spans="2:5">
      <c r="D25" t="s">
        <v>2058</v>
      </c>
    </row>
    <row r="26" spans="2:5">
      <c r="D26" t="s">
        <v>2059</v>
      </c>
    </row>
    <row r="27" spans="2:5">
      <c r="C27" t="s">
        <v>2060</v>
      </c>
    </row>
    <row r="28" spans="2:5">
      <c r="B28" t="s">
        <v>2061</v>
      </c>
    </row>
    <row r="29" spans="2:5">
      <c r="C29" t="s">
        <v>2062</v>
      </c>
    </row>
    <row r="30" spans="2:5">
      <c r="C30" t="s">
        <v>2063</v>
      </c>
    </row>
    <row r="31" spans="2:5">
      <c r="C31" t="s">
        <v>2064</v>
      </c>
    </row>
    <row r="32" spans="2:5">
      <c r="C32" t="s">
        <v>2065</v>
      </c>
    </row>
    <row r="33" spans="2:4">
      <c r="D33" t="s">
        <v>2066</v>
      </c>
    </row>
    <row r="34" spans="2:4">
      <c r="B34" t="s">
        <v>2067</v>
      </c>
    </row>
  </sheetData>
  <pageMargins left="0.75" right="0.75" top="1" bottom="1" header="0.5" footer="0.5"/>
  <pageSetup paperSize="9" orientation="portrait"/>
  <headerFooter/>
</worksheet>
</file>

<file path=xl/worksheets/sheet1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2"/>
  <sheetViews>
    <sheetView zoomScale="130" zoomScaleNormal="130" workbookViewId="0">
      <selection activeCell="B2" sqref="B2"/>
    </sheetView>
  </sheetViews>
  <sheetFormatPr defaultColWidth="8.88888888888889" defaultRowHeight="14.4" outlineLevelRow="1" outlineLevelCol="7"/>
  <cols>
    <col min="1" max="1" width="9.66666666666667"/>
  </cols>
  <sheetData>
    <row r="1" spans="1:8">
      <c r="A1" s="1">
        <f>SUM(B1:AZ1)</f>
        <v>0.5</v>
      </c>
      <c r="B1" s="1">
        <f t="shared" ref="B1:H1" si="0">COUNTA(B2:B2046)/COLUMN()</f>
        <v>0.5</v>
      </c>
      <c r="C1" s="1">
        <f t="shared" si="0"/>
        <v>0</v>
      </c>
      <c r="D1" s="1">
        <f t="shared" si="0"/>
        <v>0</v>
      </c>
      <c r="E1" s="1">
        <f t="shared" si="0"/>
        <v>0</v>
      </c>
      <c r="F1" s="1">
        <f t="shared" si="0"/>
        <v>0</v>
      </c>
      <c r="G1" s="1">
        <f t="shared" si="0"/>
        <v>0</v>
      </c>
      <c r="H1" s="1">
        <f t="shared" si="0"/>
        <v>0</v>
      </c>
    </row>
    <row r="2" spans="1:8">
      <c r="A2" t="str" cm="1">
        <f ca="1" t="array" ref="A2">_wpsfn.SHEETSNAME(A1)</f>
        <v>20250623</v>
      </c>
      <c r="B2" t="s">
        <v>2068</v>
      </c>
    </row>
  </sheetData>
  <pageMargins left="0.75" right="0.75" top="1" bottom="1" header="0.5" footer="0.5"/>
  <pageSetup paperSize="9" orientation="portrait"/>
  <headerFooter/>
</worksheet>
</file>

<file path=xl/worksheets/sheet1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16"/>
  <sheetViews>
    <sheetView zoomScale="130" zoomScaleNormal="130" workbookViewId="0">
      <selection activeCell="G3" sqref="G3"/>
    </sheetView>
  </sheetViews>
  <sheetFormatPr defaultColWidth="8.88888888888889" defaultRowHeight="14.4" outlineLevelCol="7"/>
  <cols>
    <col min="1" max="1" width="9.66666666666667"/>
  </cols>
  <sheetData>
    <row r="1" spans="1:8">
      <c r="A1" s="1">
        <f>SUM(B1:AZ1)</f>
        <v>5.4</v>
      </c>
      <c r="B1" s="1">
        <f t="shared" ref="B1:H1" si="0">COUNTA(B2:B2046)/COLUMN()</f>
        <v>3</v>
      </c>
      <c r="C1" s="1">
        <f t="shared" si="0"/>
        <v>1</v>
      </c>
      <c r="D1" s="1">
        <f t="shared" si="0"/>
        <v>1</v>
      </c>
      <c r="E1" s="1">
        <f t="shared" si="0"/>
        <v>0.4</v>
      </c>
      <c r="F1" s="1">
        <f t="shared" si="0"/>
        <v>0</v>
      </c>
      <c r="G1" s="1">
        <f t="shared" si="0"/>
        <v>0</v>
      </c>
      <c r="H1" s="1">
        <f t="shared" si="0"/>
        <v>0</v>
      </c>
    </row>
    <row r="2" spans="1:8">
      <c r="A2" t="str" cm="1">
        <f ca="1" t="array" ref="A2">_wpsfn.SHEETSNAME(A1)</f>
        <v>20250624</v>
      </c>
      <c r="B2" t="s">
        <v>2069</v>
      </c>
    </row>
    <row r="3" spans="1:8">
      <c r="B3" t="s">
        <v>2070</v>
      </c>
    </row>
    <row r="4" spans="1:8">
      <c r="B4" t="s">
        <v>2071</v>
      </c>
    </row>
    <row r="5" spans="1:8">
      <c r="B5" t="s">
        <v>2072</v>
      </c>
    </row>
    <row r="6" spans="1:8">
      <c r="B6" t="s">
        <v>2073</v>
      </c>
    </row>
    <row r="7" spans="1:8">
      <c r="B7" t="s">
        <v>2074</v>
      </c>
    </row>
    <row r="8" spans="1:8">
      <c r="C8" t="s">
        <v>2075</v>
      </c>
    </row>
    <row r="9" spans="1:8">
      <c r="D9" t="s">
        <v>2076</v>
      </c>
    </row>
    <row r="10" spans="1:8">
      <c r="D10" t="s">
        <v>2077</v>
      </c>
    </row>
    <row r="11" spans="1:8">
      <c r="C11" t="s">
        <v>2078</v>
      </c>
    </row>
    <row r="12" spans="1:8">
      <c r="D12" t="s">
        <v>2079</v>
      </c>
    </row>
    <row r="13" spans="1:8">
      <c r="C13" t="s">
        <v>2080</v>
      </c>
    </row>
    <row r="14" spans="1:8">
      <c r="D14" t="s">
        <v>2081</v>
      </c>
    </row>
    <row r="15" spans="1:8">
      <c r="E15" t="s">
        <v>2082</v>
      </c>
    </row>
    <row r="16" spans="1:8">
      <c r="E16" t="s">
        <v>2083</v>
      </c>
    </row>
  </sheetData>
  <pageMargins left="0.75" right="0.75" top="1" bottom="1" header="0.5" footer="0.5"/>
  <pageSetup paperSize="9" orientation="portrait"/>
  <headerFooter/>
</worksheet>
</file>

<file path=xl/worksheets/sheet1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10"/>
  <sheetViews>
    <sheetView zoomScale="115" zoomScaleNormal="115" workbookViewId="0">
      <selection activeCell="O10" sqref="O10"/>
    </sheetView>
  </sheetViews>
  <sheetFormatPr defaultColWidth="8.88888888888889" defaultRowHeight="14.4" outlineLevelCol="7"/>
  <cols>
    <col min="1" max="1" width="9.66666666666667"/>
  </cols>
  <sheetData>
    <row r="1" spans="1:8">
      <c r="A1" s="1">
        <f>SUM(B1:AZ1)</f>
        <v>3.33333333333333</v>
      </c>
      <c r="B1" s="1">
        <f t="shared" ref="B1:H1" si="0">COUNTA(B2:B2047)/COLUMN()</f>
        <v>1</v>
      </c>
      <c r="C1" s="1">
        <f t="shared" si="0"/>
        <v>2.33333333333333</v>
      </c>
      <c r="D1" s="1">
        <f t="shared" si="0"/>
        <v>0</v>
      </c>
      <c r="E1" s="1">
        <f t="shared" si="0"/>
        <v>0</v>
      </c>
      <c r="F1" s="1">
        <f t="shared" si="0"/>
        <v>0</v>
      </c>
      <c r="G1" s="1">
        <f t="shared" si="0"/>
        <v>0</v>
      </c>
      <c r="H1" s="1">
        <f t="shared" si="0"/>
        <v>0</v>
      </c>
    </row>
    <row r="2" spans="1:8">
      <c r="A2" t="str" cm="1">
        <f ca="1" t="array" ref="A2">_wpsfn.SHEETSNAME(A1)</f>
        <v>20250625</v>
      </c>
      <c r="B2" t="s">
        <v>2084</v>
      </c>
    </row>
    <row r="3" spans="1:8">
      <c r="C3" t="s">
        <v>2085</v>
      </c>
    </row>
    <row r="4" spans="1:8">
      <c r="C4" t="s">
        <v>2086</v>
      </c>
    </row>
    <row r="5" spans="1:8">
      <c r="C5" t="s">
        <v>2087</v>
      </c>
    </row>
    <row r="6" spans="1:8">
      <c r="C6" t="s">
        <v>2088</v>
      </c>
    </row>
    <row r="7" spans="1:8">
      <c r="C7" t="s">
        <v>2089</v>
      </c>
    </row>
    <row r="8" spans="1:8">
      <c r="B8" t="s">
        <v>2090</v>
      </c>
    </row>
    <row r="9" spans="1:8">
      <c r="C9" t="s">
        <v>2091</v>
      </c>
    </row>
    <row r="10" spans="1:8">
      <c r="C10" t="s">
        <v>2092</v>
      </c>
    </row>
  </sheetData>
  <pageMargins left="0.75" right="0.75" top="1" bottom="1" header="0.5" footer="0.5"/>
  <pageSetup paperSize="9" orientation="portrait"/>
  <headerFooter/>
</worksheet>
</file>

<file path=xl/worksheets/sheet1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5"/>
  <sheetViews>
    <sheetView zoomScale="130" zoomScaleNormal="130" workbookViewId="0">
      <selection activeCell="F14" sqref="F14"/>
    </sheetView>
  </sheetViews>
  <sheetFormatPr defaultColWidth="8.88888888888889" defaultRowHeight="14.4" outlineLevelRow="4" outlineLevelCol="7"/>
  <cols>
    <col min="1" max="1" width="9.66666666666667"/>
  </cols>
  <sheetData>
    <row r="1" spans="1:8">
      <c r="A1" s="1">
        <f>SUM(B1:AZ1)</f>
        <v>1.66666666666667</v>
      </c>
      <c r="B1" s="1">
        <f t="shared" ref="B1:H1" si="0">COUNTA(B2:B2047)/COLUMN()</f>
        <v>1</v>
      </c>
      <c r="C1" s="1">
        <f t="shared" si="0"/>
        <v>0.666666666666667</v>
      </c>
      <c r="D1" s="1">
        <f t="shared" si="0"/>
        <v>0</v>
      </c>
      <c r="E1" s="1">
        <f t="shared" si="0"/>
        <v>0</v>
      </c>
      <c r="F1" s="1">
        <f t="shared" si="0"/>
        <v>0</v>
      </c>
      <c r="G1" s="1">
        <f t="shared" si="0"/>
        <v>0</v>
      </c>
      <c r="H1" s="1">
        <f t="shared" si="0"/>
        <v>0</v>
      </c>
    </row>
    <row r="2" spans="1:8">
      <c r="A2" t="str" cm="1">
        <f ca="1" t="array" ref="A2">_wpsfn.SHEETSNAME(A1)</f>
        <v>20250626</v>
      </c>
      <c r="B2" t="s">
        <v>2093</v>
      </c>
    </row>
    <row r="3" spans="1:8">
      <c r="C3" t="s">
        <v>2094</v>
      </c>
    </row>
    <row r="4" spans="1:8">
      <c r="B4" t="s">
        <v>2095</v>
      </c>
    </row>
    <row r="5" spans="1:8">
      <c r="C5" t="s">
        <v>2096</v>
      </c>
    </row>
  </sheetData>
  <pageMargins left="0.75" right="0.75" top="1" bottom="1" header="0.5" footer="0.5"/>
  <pageSetup paperSize="9" orientation="portrait"/>
  <headerFooter/>
</worksheet>
</file>

<file path=xl/worksheets/sheet1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6"/>
  <sheetViews>
    <sheetView zoomScale="130" zoomScaleNormal="130" workbookViewId="0">
      <selection activeCell="I14" sqref="I14"/>
    </sheetView>
  </sheetViews>
  <sheetFormatPr defaultColWidth="8.88888888888889" defaultRowHeight="14.4" outlineLevelRow="5" outlineLevelCol="7"/>
  <cols>
    <col min="1" max="1" width="9.66666666666667"/>
  </cols>
  <sheetData>
    <row r="1" spans="1:8">
      <c r="A1" s="1">
        <f>SUM(B1:AZ1)</f>
        <v>1.66666666666667</v>
      </c>
      <c r="B1" s="1">
        <f t="shared" ref="B1:H1" si="0">COUNTA(B2:B2047)/COLUMN()</f>
        <v>0.5</v>
      </c>
      <c r="C1" s="1">
        <f t="shared" si="0"/>
        <v>0.666666666666667</v>
      </c>
      <c r="D1" s="1">
        <f t="shared" si="0"/>
        <v>0.5</v>
      </c>
      <c r="E1" s="1">
        <f t="shared" si="0"/>
        <v>0</v>
      </c>
      <c r="F1" s="1">
        <f t="shared" si="0"/>
        <v>0</v>
      </c>
      <c r="G1" s="1">
        <f t="shared" si="0"/>
        <v>0</v>
      </c>
      <c r="H1" s="1">
        <f t="shared" si="0"/>
        <v>0</v>
      </c>
    </row>
    <row r="2" spans="1:8">
      <c r="A2" t="str" cm="1">
        <f ca="1" t="array" ref="A2">_wpsfn.SHEETSNAME(A1)</f>
        <v>20250627</v>
      </c>
      <c r="B2" t="s">
        <v>2097</v>
      </c>
    </row>
    <row r="3" spans="1:8">
      <c r="C3" t="s">
        <v>2098</v>
      </c>
    </row>
    <row r="4" spans="1:8">
      <c r="D4" t="s">
        <v>2099</v>
      </c>
    </row>
    <row r="5" spans="1:8">
      <c r="D5" t="s">
        <v>2100</v>
      </c>
    </row>
    <row r="6" spans="1:8">
      <c r="C6" t="s">
        <v>2101</v>
      </c>
    </row>
  </sheetData>
  <pageMargins left="0.75" right="0.75" top="1" bottom="1" header="0.5" footer="0.5"/>
  <pageSetup paperSize="9" orientation="portrait"/>
  <headerFooter/>
</worksheet>
</file>

<file path=xl/worksheets/sheet1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11"/>
  <sheetViews>
    <sheetView zoomScale="130" zoomScaleNormal="130" topLeftCell="C1" workbookViewId="0">
      <selection activeCell="J9" sqref="J9"/>
    </sheetView>
  </sheetViews>
  <sheetFormatPr defaultColWidth="8.88888888888889" defaultRowHeight="14.4" outlineLevelCol="7"/>
  <cols>
    <col min="1" max="1" width="9.66666666666667"/>
  </cols>
  <sheetData>
    <row r="1" spans="1:8">
      <c r="A1" s="1">
        <f>SUM(B1:AZ1)</f>
        <v>3.83333333333333</v>
      </c>
      <c r="B1" s="1">
        <f t="shared" ref="B1:H1" si="0">COUNTA(B2:B2047)/COLUMN()</f>
        <v>1.5</v>
      </c>
      <c r="C1" s="1">
        <f t="shared" si="0"/>
        <v>2.33333333333333</v>
      </c>
      <c r="D1" s="1">
        <f t="shared" si="0"/>
        <v>0</v>
      </c>
      <c r="E1" s="1">
        <f t="shared" si="0"/>
        <v>0</v>
      </c>
      <c r="F1" s="1">
        <f t="shared" si="0"/>
        <v>0</v>
      </c>
      <c r="G1" s="1">
        <f t="shared" si="0"/>
        <v>0</v>
      </c>
      <c r="H1" s="1">
        <f t="shared" si="0"/>
        <v>0</v>
      </c>
    </row>
    <row r="2" spans="1:8">
      <c r="A2" t="str" cm="1">
        <f ca="1" t="array" ref="A2">_wpsfn.SHEETSNAME(A1)</f>
        <v>20250629</v>
      </c>
      <c r="B2" t="s">
        <v>2102</v>
      </c>
    </row>
    <row r="3" spans="1:8">
      <c r="C3" t="s">
        <v>2103</v>
      </c>
    </row>
    <row r="4" spans="1:8">
      <c r="B4" t="s">
        <v>2104</v>
      </c>
    </row>
    <row r="5" spans="1:8">
      <c r="C5" t="s">
        <v>2105</v>
      </c>
    </row>
    <row r="6" spans="1:8">
      <c r="C6" t="s">
        <v>2106</v>
      </c>
    </row>
    <row r="7" spans="1:8">
      <c r="C7" t="s">
        <v>2107</v>
      </c>
    </row>
    <row r="8" spans="1:8">
      <c r="C8" t="s">
        <v>2108</v>
      </c>
    </row>
    <row r="9" spans="1:8">
      <c r="B9" t="s">
        <v>2109</v>
      </c>
    </row>
    <row r="10" spans="1:8">
      <c r="C10" t="s">
        <v>2110</v>
      </c>
    </row>
    <row r="11" spans="1:8">
      <c r="C11" t="s">
        <v>2111</v>
      </c>
    </row>
  </sheetData>
  <pageMargins left="0.75" right="0.75" top="1" bottom="1" header="0.5" footer="0.5"/>
  <pageSetup paperSize="9" orientation="portrait"/>
  <headerFooter/>
</worksheet>
</file>

<file path=xl/worksheets/sheet1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8"/>
  <sheetViews>
    <sheetView zoomScale="130" zoomScaleNormal="130" workbookViewId="0">
      <selection activeCell="G2" sqref="G2"/>
    </sheetView>
  </sheetViews>
  <sheetFormatPr defaultColWidth="8.88888888888889" defaultRowHeight="14.4" outlineLevelRow="7" outlineLevelCol="7"/>
  <cols>
    <col min="1" max="1" width="9.66666666666667"/>
  </cols>
  <sheetData>
    <row r="1" spans="1:8">
      <c r="A1" s="1">
        <f>SUM(B1:AZ1)</f>
        <v>2.83333333333333</v>
      </c>
      <c r="B1" s="1">
        <f t="shared" ref="B1:H1" si="0">COUNTA(B2:B2047)/COLUMN()</f>
        <v>2</v>
      </c>
      <c r="C1" s="1">
        <f t="shared" si="0"/>
        <v>0.333333333333333</v>
      </c>
      <c r="D1" s="1">
        <f t="shared" si="0"/>
        <v>0.5</v>
      </c>
      <c r="E1" s="1">
        <f t="shared" si="0"/>
        <v>0</v>
      </c>
      <c r="F1" s="1">
        <f t="shared" si="0"/>
        <v>0</v>
      </c>
      <c r="G1" s="1">
        <f t="shared" si="0"/>
        <v>0</v>
      </c>
      <c r="H1" s="1">
        <f t="shared" si="0"/>
        <v>0</v>
      </c>
    </row>
    <row r="2" spans="1:8">
      <c r="A2" t="str" cm="1">
        <f ca="1" t="array" ref="A2">_wpsfn.SHEETSNAME(A1)</f>
        <v>20250630</v>
      </c>
      <c r="B2" t="s">
        <v>2112</v>
      </c>
    </row>
    <row r="3" spans="1:8">
      <c r="B3" t="s">
        <v>2113</v>
      </c>
    </row>
    <row r="4" spans="1:8">
      <c r="B4" t="s">
        <v>2114</v>
      </c>
    </row>
    <row r="5" spans="1:8">
      <c r="C5" t="s">
        <v>2115</v>
      </c>
    </row>
    <row r="6" spans="1:8">
      <c r="D6" t="s">
        <v>2116</v>
      </c>
    </row>
    <row r="7" spans="1:8">
      <c r="D7" t="s">
        <v>2117</v>
      </c>
    </row>
    <row r="8" spans="1:8">
      <c r="B8" t="s">
        <v>2118</v>
      </c>
    </row>
  </sheetData>
  <pageMargins left="0.75" right="0.75" top="1" bottom="1" header="0.5" footer="0.5"/>
  <pageSetup paperSize="9" orientation="portrait"/>
  <headerFooter/>
</worksheet>
</file>

<file path=xl/worksheets/sheet1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9"/>
  <sheetViews>
    <sheetView zoomScale="130" zoomScaleNormal="130" workbookViewId="0">
      <selection activeCell="K9" sqref="K9"/>
    </sheetView>
  </sheetViews>
  <sheetFormatPr defaultColWidth="8.88888888888889" defaultRowHeight="14.4" outlineLevelCol="7"/>
  <cols>
    <col min="1" max="1" width="9.66666666666667"/>
  </cols>
  <sheetData>
    <row r="1" spans="1:8">
      <c r="A1" s="1">
        <f>SUM(B1:AZ1)</f>
        <v>3.16666666666667</v>
      </c>
      <c r="B1" s="1">
        <f t="shared" ref="B1:H1" si="0">COUNTA(B2:B2048)/COLUMN()</f>
        <v>1.5</v>
      </c>
      <c r="C1" s="1">
        <f t="shared" si="0"/>
        <v>1.66666666666667</v>
      </c>
      <c r="D1" s="1">
        <f t="shared" si="0"/>
        <v>0</v>
      </c>
      <c r="E1" s="1">
        <f t="shared" si="0"/>
        <v>0</v>
      </c>
      <c r="F1" s="1">
        <f t="shared" si="0"/>
        <v>0</v>
      </c>
      <c r="G1" s="1">
        <f t="shared" si="0"/>
        <v>0</v>
      </c>
      <c r="H1" s="1">
        <f t="shared" si="0"/>
        <v>0</v>
      </c>
    </row>
    <row r="2" spans="1:8">
      <c r="A2" t="str" cm="1">
        <f ca="1" t="array" ref="A2">_wpsfn.SHEETSNAME(A1)</f>
        <v>20250701</v>
      </c>
      <c r="B2" t="s">
        <v>2119</v>
      </c>
    </row>
    <row r="3" spans="1:8">
      <c r="C3" t="s">
        <v>2120</v>
      </c>
    </row>
    <row r="4" spans="1:8">
      <c r="C4" t="s">
        <v>2121</v>
      </c>
    </row>
    <row r="5" spans="1:8">
      <c r="C5" t="s">
        <v>2122</v>
      </c>
    </row>
    <row r="6" spans="1:8">
      <c r="B6" t="s">
        <v>2123</v>
      </c>
    </row>
    <row r="7" spans="1:8">
      <c r="C7" t="s">
        <v>2124</v>
      </c>
    </row>
    <row r="8" spans="1:8">
      <c r="C8" t="s">
        <v>2125</v>
      </c>
    </row>
    <row r="9" spans="1:8">
      <c r="B9" t="s">
        <v>2126</v>
      </c>
    </row>
  </sheetData>
  <pageMargins left="0.75" right="0.75" top="1" bottom="1" header="0.5" footer="0.5"/>
  <pageSetup paperSize="9" orientation="portrait"/>
  <headerFooter/>
</worksheet>
</file>

<file path=xl/worksheets/sheet1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15"/>
  <sheetViews>
    <sheetView zoomScale="130" zoomScaleNormal="130" workbookViewId="0">
      <selection activeCell="P7" sqref="P7"/>
    </sheetView>
  </sheetViews>
  <sheetFormatPr defaultColWidth="8.88888888888889" defaultRowHeight="14.4" outlineLevelCol="7"/>
  <cols>
    <col min="1" max="1" width="9.66666666666667"/>
  </cols>
  <sheetData>
    <row r="1" spans="1:8">
      <c r="A1" s="1">
        <f>SUM(B1:AZ1)</f>
        <v>5.66666666666667</v>
      </c>
      <c r="B1" s="1">
        <f t="shared" ref="B1:H1" si="0">COUNTA(B2:B2048)/COLUMN()</f>
        <v>3</v>
      </c>
      <c r="C1" s="1">
        <f t="shared" si="0"/>
        <v>2.66666666666667</v>
      </c>
      <c r="D1" s="1">
        <f t="shared" si="0"/>
        <v>0</v>
      </c>
      <c r="E1" s="1">
        <f t="shared" si="0"/>
        <v>0</v>
      </c>
      <c r="F1" s="1">
        <f t="shared" si="0"/>
        <v>0</v>
      </c>
      <c r="G1" s="1">
        <f t="shared" si="0"/>
        <v>0</v>
      </c>
      <c r="H1" s="1">
        <f t="shared" si="0"/>
        <v>0</v>
      </c>
    </row>
    <row r="2" spans="1:8">
      <c r="A2" t="str" cm="1">
        <f ca="1" t="array" ref="A2">_wpsfn.SHEETSNAME(A1)</f>
        <v>20250702</v>
      </c>
      <c r="B2" t="s">
        <v>2127</v>
      </c>
    </row>
    <row r="3" spans="1:8">
      <c r="B3" t="s">
        <v>2128</v>
      </c>
    </row>
    <row r="4" spans="1:8">
      <c r="B4" t="s">
        <v>2129</v>
      </c>
    </row>
    <row r="5" spans="1:8">
      <c r="B5" t="s">
        <v>2130</v>
      </c>
    </row>
    <row r="6" spans="1:8">
      <c r="C6" t="s">
        <v>2131</v>
      </c>
    </row>
    <row r="7" spans="1:8">
      <c r="B7" t="s">
        <v>2132</v>
      </c>
    </row>
    <row r="8" spans="1:8">
      <c r="C8" t="s">
        <v>2133</v>
      </c>
    </row>
    <row r="9" spans="1:8">
      <c r="C9" t="s">
        <v>2134</v>
      </c>
    </row>
    <row r="10" spans="1:8">
      <c r="C10" t="s">
        <v>2135</v>
      </c>
    </row>
    <row r="11" spans="1:8">
      <c r="C11" t="s">
        <v>2136</v>
      </c>
    </row>
    <row r="12" spans="1:8">
      <c r="B12" t="s">
        <v>2137</v>
      </c>
    </row>
    <row r="13" spans="1:8">
      <c r="C13" t="s">
        <v>2138</v>
      </c>
    </row>
    <row r="14" spans="1:8">
      <c r="C14" t="s">
        <v>2139</v>
      </c>
    </row>
    <row r="15" spans="1:8">
      <c r="C15" t="s">
        <v>2140</v>
      </c>
    </row>
  </sheetData>
  <pageMargins left="0.75" right="0.75" top="1" bottom="1" header="0.5" footer="0.5"/>
  <pageSetup paperSize="9" orientation="portrait"/>
  <headerFooter/>
</worksheet>
</file>

<file path=xl/worksheets/sheet1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21"/>
  <sheetViews>
    <sheetView zoomScale="160" zoomScaleNormal="160" workbookViewId="0">
      <selection activeCell="B15" sqref="B15"/>
    </sheetView>
  </sheetViews>
  <sheetFormatPr defaultColWidth="8.88888888888889" defaultRowHeight="14.4" outlineLevelCol="7"/>
  <cols>
    <col min="1" max="1" width="9.66666666666667"/>
  </cols>
  <sheetData>
    <row r="1" spans="1:8">
      <c r="A1" s="1">
        <f>SUM(B1:AZ1)</f>
        <v>8.83333333333333</v>
      </c>
      <c r="B1" s="1">
        <f t="shared" ref="B1:H1" si="0">COUNTA(B2:B2048)/COLUMN()</f>
        <v>6.5</v>
      </c>
      <c r="C1" s="1">
        <f t="shared" si="0"/>
        <v>2.33333333333333</v>
      </c>
      <c r="D1" s="1">
        <f t="shared" si="0"/>
        <v>0</v>
      </c>
      <c r="E1" s="1">
        <f t="shared" si="0"/>
        <v>0</v>
      </c>
      <c r="F1" s="1">
        <f t="shared" si="0"/>
        <v>0</v>
      </c>
      <c r="G1" s="1">
        <f t="shared" si="0"/>
        <v>0</v>
      </c>
      <c r="H1" s="1">
        <f t="shared" si="0"/>
        <v>0</v>
      </c>
    </row>
    <row r="2" spans="1:8">
      <c r="A2" t="str" cm="1">
        <f ca="1" t="array" ref="A2">_wpsfn.SHEETSNAME(A1)</f>
        <v>20250703</v>
      </c>
      <c r="B2" t="s">
        <v>2141</v>
      </c>
    </row>
    <row r="3" spans="1:8">
      <c r="C3" t="s">
        <v>2142</v>
      </c>
    </row>
    <row r="4" spans="1:8">
      <c r="C4" t="s">
        <v>2143</v>
      </c>
    </row>
    <row r="5" spans="1:8">
      <c r="C5" t="s">
        <v>2144</v>
      </c>
    </row>
    <row r="6" spans="1:8">
      <c r="B6" t="s">
        <v>2145</v>
      </c>
    </row>
    <row r="7" spans="1:8">
      <c r="B7" t="s">
        <v>2146</v>
      </c>
    </row>
    <row r="8" spans="1:8">
      <c r="B8" t="s">
        <v>2147</v>
      </c>
    </row>
    <row r="9" spans="1:8">
      <c r="B9" t="s">
        <v>2148</v>
      </c>
    </row>
    <row r="10" spans="1:8">
      <c r="B10" t="s">
        <v>2149</v>
      </c>
    </row>
    <row r="11" spans="1:8">
      <c r="B11" t="s">
        <v>2150</v>
      </c>
    </row>
    <row r="12" spans="1:8">
      <c r="C12" t="s">
        <v>2151</v>
      </c>
    </row>
    <row r="13" spans="1:8">
      <c r="B13" t="s">
        <v>2152</v>
      </c>
    </row>
    <row r="14" spans="1:8">
      <c r="B14" t="s">
        <v>2153</v>
      </c>
    </row>
    <row r="15" spans="1:8">
      <c r="B15" t="s">
        <v>2154</v>
      </c>
    </row>
    <row r="16" spans="1:8">
      <c r="C16" t="s">
        <v>2155</v>
      </c>
    </row>
    <row r="17" spans="2:3">
      <c r="B17" t="s">
        <v>2156</v>
      </c>
    </row>
    <row r="18" spans="2:3">
      <c r="C18" t="s">
        <v>2157</v>
      </c>
    </row>
    <row r="19" spans="2:3">
      <c r="C19" t="s">
        <v>2158</v>
      </c>
    </row>
    <row r="20" spans="2:3">
      <c r="B20" t="s">
        <v>2159</v>
      </c>
    </row>
    <row r="21" spans="2:3">
      <c r="B21" t="s">
        <v>2160</v>
      </c>
    </row>
  </sheetData>
  <pageMargins left="0.75" right="0.75" top="1" bottom="1" header="0.5" footer="0.5"/>
  <pageSetup paperSize="9" orientation="portrait"/>
  <headerFooter/>
</worksheet>
</file>

<file path=xl/worksheets/sheet1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4"/>
  <sheetViews>
    <sheetView zoomScale="160" zoomScaleNormal="160" workbookViewId="0">
      <selection activeCell="B4" sqref="B4"/>
    </sheetView>
  </sheetViews>
  <sheetFormatPr defaultColWidth="8.88888888888889" defaultRowHeight="14.4" outlineLevelRow="3" outlineLevelCol="7"/>
  <cols>
    <col min="1" max="1" width="9.66666666666667"/>
  </cols>
  <sheetData>
    <row r="1" spans="1:8">
      <c r="A1" s="1">
        <f>SUM(B1:AZ1)</f>
        <v>1.5</v>
      </c>
      <c r="B1" s="1">
        <f t="shared" ref="B1:H1" si="0">COUNTA(B2:B2048)/COLUMN()</f>
        <v>1.5</v>
      </c>
      <c r="C1" s="1">
        <f t="shared" si="0"/>
        <v>0</v>
      </c>
      <c r="D1" s="1">
        <f t="shared" si="0"/>
        <v>0</v>
      </c>
      <c r="E1" s="1">
        <f t="shared" si="0"/>
        <v>0</v>
      </c>
      <c r="F1" s="1">
        <f t="shared" si="0"/>
        <v>0</v>
      </c>
      <c r="G1" s="1">
        <f t="shared" si="0"/>
        <v>0</v>
      </c>
      <c r="H1" s="1">
        <f t="shared" si="0"/>
        <v>0</v>
      </c>
    </row>
    <row r="2" spans="1:8">
      <c r="A2" t="str" cm="1">
        <f ca="1" t="array" ref="A2">_wpsfn.SHEETSNAME(A1)</f>
        <v>20250708</v>
      </c>
      <c r="B2" t="s">
        <v>2161</v>
      </c>
    </row>
    <row r="3" spans="1:8">
      <c r="B3" t="s">
        <v>2162</v>
      </c>
    </row>
    <row r="4" spans="1:8">
      <c r="B4" t="s">
        <v>2163</v>
      </c>
    </row>
  </sheetData>
  <pageMargins left="0.75" right="0.75" top="1" bottom="1" header="0.5" footer="0.5"/>
  <pageSetup paperSize="9" orientation="portrait"/>
  <headerFooter/>
</worksheet>
</file>

<file path=xl/worksheets/sheet1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4"/>
  <sheetViews>
    <sheetView zoomScale="160" zoomScaleNormal="160" workbookViewId="0">
      <selection activeCell="B2" sqref="B2"/>
    </sheetView>
  </sheetViews>
  <sheetFormatPr defaultColWidth="8.88888888888889" defaultRowHeight="14.4" outlineLevelRow="3" outlineLevelCol="7"/>
  <cols>
    <col min="1" max="1" width="9.66666666666667"/>
  </cols>
  <sheetData>
    <row r="1" spans="1:8">
      <c r="A1" s="1">
        <f>SUM(B1:AZ1)</f>
        <v>1.5</v>
      </c>
      <c r="B1" s="1">
        <f t="shared" ref="B1:H1" si="0">COUNTA(B2:B2048)/COLUMN()</f>
        <v>1.5</v>
      </c>
      <c r="C1" s="1">
        <f t="shared" si="0"/>
        <v>0</v>
      </c>
      <c r="D1" s="1">
        <f t="shared" si="0"/>
        <v>0</v>
      </c>
      <c r="E1" s="1">
        <f t="shared" si="0"/>
        <v>0</v>
      </c>
      <c r="F1" s="1">
        <f t="shared" si="0"/>
        <v>0</v>
      </c>
      <c r="G1" s="1">
        <f t="shared" si="0"/>
        <v>0</v>
      </c>
      <c r="H1" s="1">
        <f t="shared" si="0"/>
        <v>0</v>
      </c>
    </row>
    <row r="2" spans="1:8">
      <c r="A2" t="str" cm="1">
        <f ca="1" t="array" ref="A2">_wpsfn.SHEETSNAME(A1)</f>
        <v>20250709</v>
      </c>
      <c r="B2" t="s">
        <v>2164</v>
      </c>
    </row>
    <row r="3" spans="1:8">
      <c r="B3" t="s">
        <v>2165</v>
      </c>
    </row>
    <row r="4" spans="1:8">
      <c r="B4" t="s">
        <v>2166</v>
      </c>
    </row>
  </sheetData>
  <pageMargins left="0.75" right="0.75" top="1" bottom="1" header="0.5" footer="0.5"/>
  <pageSetup paperSize="9" orientation="portrait"/>
  <headerFooter/>
</worksheet>
</file>

<file path=xl/worksheets/sheet1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24"/>
  <sheetViews>
    <sheetView zoomScale="160" zoomScaleNormal="160" topLeftCell="A9" workbookViewId="0">
      <selection activeCell="H18" sqref="H18"/>
    </sheetView>
  </sheetViews>
  <sheetFormatPr defaultColWidth="8.88888888888889" defaultRowHeight="14.4" outlineLevelCol="7"/>
  <cols>
    <col min="1" max="1" width="9.66666666666667"/>
  </cols>
  <sheetData>
    <row r="1" spans="1:8">
      <c r="A1" s="1">
        <f>SUM(B1:AZ1)</f>
        <v>8.33333333333333</v>
      </c>
      <c r="B1" s="1">
        <f t="shared" ref="B1:H1" si="0">COUNTA(B2:B2048)/COLUMN()</f>
        <v>3.5</v>
      </c>
      <c r="C1" s="1">
        <f t="shared" si="0"/>
        <v>3.33333333333333</v>
      </c>
      <c r="D1" s="1">
        <f t="shared" si="0"/>
        <v>1.5</v>
      </c>
      <c r="E1" s="1">
        <f t="shared" si="0"/>
        <v>0</v>
      </c>
      <c r="F1" s="1">
        <f t="shared" si="0"/>
        <v>0</v>
      </c>
      <c r="G1" s="1">
        <f t="shared" si="0"/>
        <v>0</v>
      </c>
      <c r="H1" s="1">
        <f t="shared" si="0"/>
        <v>0</v>
      </c>
    </row>
    <row r="2" spans="1:8">
      <c r="A2" t="str" cm="1">
        <f ca="1" t="array" ref="A2">_wpsfn.SHEETSNAME(A1)</f>
        <v>20250710</v>
      </c>
      <c r="B2" t="s">
        <v>2167</v>
      </c>
    </row>
    <row r="3" spans="1:8">
      <c r="C3" t="s">
        <v>2168</v>
      </c>
    </row>
    <row r="4" spans="1:8">
      <c r="D4" t="s">
        <v>2169</v>
      </c>
    </row>
    <row r="5" spans="1:8">
      <c r="D5" t="s">
        <v>2170</v>
      </c>
    </row>
    <row r="6" spans="1:8">
      <c r="D6" t="s">
        <v>2171</v>
      </c>
    </row>
    <row r="7" spans="1:8">
      <c r="C7" t="s">
        <v>2172</v>
      </c>
    </row>
    <row r="8" spans="1:8">
      <c r="D8" t="s">
        <v>2173</v>
      </c>
    </row>
    <row r="9" spans="1:8">
      <c r="D9" t="s">
        <v>2174</v>
      </c>
    </row>
    <row r="10" spans="1:8">
      <c r="D10" t="s">
        <v>2175</v>
      </c>
    </row>
    <row r="11" spans="1:8">
      <c r="B11" t="s">
        <v>2176</v>
      </c>
    </row>
    <row r="12" spans="1:8">
      <c r="C12" t="s">
        <v>2177</v>
      </c>
    </row>
    <row r="13" spans="1:8">
      <c r="C13" t="s">
        <v>2178</v>
      </c>
    </row>
    <row r="14" spans="1:8">
      <c r="C14" t="s">
        <v>2179</v>
      </c>
    </row>
    <row r="15" spans="1:8">
      <c r="C15" t="s">
        <v>2180</v>
      </c>
    </row>
    <row r="16" spans="1:8">
      <c r="B16" t="s">
        <v>2181</v>
      </c>
    </row>
    <row r="17" spans="2:3">
      <c r="B17" t="s">
        <v>2182</v>
      </c>
    </row>
    <row r="18" spans="2:3">
      <c r="C18" t="s">
        <v>2183</v>
      </c>
    </row>
    <row r="19" spans="2:3">
      <c r="C19" t="s">
        <v>2184</v>
      </c>
    </row>
    <row r="20" spans="2:3">
      <c r="B20" t="s">
        <v>2185</v>
      </c>
    </row>
    <row r="21" spans="2:3">
      <c r="C21" t="s">
        <v>2186</v>
      </c>
    </row>
    <row r="22" spans="2:3">
      <c r="C22" t="s">
        <v>2187</v>
      </c>
    </row>
    <row r="23" spans="2:3">
      <c r="B23" t="s">
        <v>2188</v>
      </c>
    </row>
    <row r="24" spans="2:3">
      <c r="B24" t="s">
        <v>2189</v>
      </c>
    </row>
  </sheetData>
  <pageMargins left="0.75" right="0.75" top="1" bottom="1" header="0.5" footer="0.5"/>
  <pageSetup paperSize="9" orientation="portrait"/>
  <headerFooter/>
</worksheet>
</file>

<file path=xl/worksheets/sheet1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9"/>
  <sheetViews>
    <sheetView zoomScale="160" zoomScaleNormal="160" workbookViewId="0">
      <selection activeCell="B8" sqref="B8"/>
    </sheetView>
  </sheetViews>
  <sheetFormatPr defaultColWidth="8.88888888888889" defaultRowHeight="14.4" outlineLevelCol="7"/>
  <cols>
    <col min="1" max="1" width="9.66666666666667"/>
  </cols>
  <sheetData>
    <row r="1" spans="1:8">
      <c r="A1" s="1">
        <f>SUM(B1:AZ1)</f>
        <v>3.66666666666667</v>
      </c>
      <c r="B1" s="1">
        <f t="shared" ref="B1:H1" si="0">COUNTA(B2:B2049)/COLUMN()</f>
        <v>3</v>
      </c>
      <c r="C1" s="1">
        <f t="shared" si="0"/>
        <v>0.666666666666667</v>
      </c>
      <c r="D1" s="1">
        <f t="shared" si="0"/>
        <v>0</v>
      </c>
      <c r="E1" s="1">
        <f t="shared" si="0"/>
        <v>0</v>
      </c>
      <c r="F1" s="1">
        <f t="shared" si="0"/>
        <v>0</v>
      </c>
      <c r="G1" s="1">
        <f t="shared" si="0"/>
        <v>0</v>
      </c>
      <c r="H1" s="1">
        <f t="shared" si="0"/>
        <v>0</v>
      </c>
    </row>
    <row r="2" spans="1:8">
      <c r="A2" t="str" cm="1">
        <f ca="1" t="array" ref="A2">_wpsfn.SHEETSNAME(A1)</f>
        <v>20250711</v>
      </c>
      <c r="B2" t="s">
        <v>2190</v>
      </c>
    </row>
    <row r="3" spans="1:8">
      <c r="C3" t="s">
        <v>2191</v>
      </c>
    </row>
    <row r="4" spans="1:8">
      <c r="B4" t="s">
        <v>2192</v>
      </c>
    </row>
    <row r="5" spans="1:8">
      <c r="B5" t="s">
        <v>2193</v>
      </c>
    </row>
    <row r="6" spans="1:8">
      <c r="B6" t="s">
        <v>2194</v>
      </c>
    </row>
    <row r="7" spans="1:8">
      <c r="B7" t="s">
        <v>2195</v>
      </c>
    </row>
    <row r="8" spans="1:8">
      <c r="B8" t="s">
        <v>2196</v>
      </c>
    </row>
    <row r="9" spans="1:8">
      <c r="C9" t="s">
        <v>2197</v>
      </c>
    </row>
  </sheetData>
  <pageMargins left="0.75" right="0.75" top="1" bottom="1" header="0.5" footer="0.5"/>
  <pageSetup paperSize="9" orientation="portrait"/>
  <headerFooter/>
</worksheet>
</file>

<file path=xl/worksheets/sheet1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16"/>
  <sheetViews>
    <sheetView zoomScale="160" zoomScaleNormal="160" workbookViewId="0">
      <selection activeCell="J17" sqref="J17"/>
    </sheetView>
  </sheetViews>
  <sheetFormatPr defaultColWidth="8.88888888888889" defaultRowHeight="14.4" outlineLevelCol="7"/>
  <cols>
    <col min="1" max="1" width="9.66666666666667"/>
  </cols>
  <sheetData>
    <row r="1" spans="1:8">
      <c r="A1" s="1">
        <f>SUM(B1:AZ1)</f>
        <v>6.5</v>
      </c>
      <c r="B1" s="1">
        <f t="shared" ref="B1:H1" si="0">COUNTA(B2:B2049)/COLUMN()</f>
        <v>4.5</v>
      </c>
      <c r="C1" s="1">
        <f t="shared" si="0"/>
        <v>2</v>
      </c>
      <c r="D1" s="1">
        <f t="shared" si="0"/>
        <v>0</v>
      </c>
      <c r="E1" s="1">
        <f t="shared" si="0"/>
        <v>0</v>
      </c>
      <c r="F1" s="1">
        <f t="shared" si="0"/>
        <v>0</v>
      </c>
      <c r="G1" s="1">
        <f t="shared" si="0"/>
        <v>0</v>
      </c>
      <c r="H1" s="1">
        <f t="shared" si="0"/>
        <v>0</v>
      </c>
    </row>
    <row r="2" spans="1:8">
      <c r="A2" t="str" cm="1">
        <f ca="1" t="array" ref="A2">_wpsfn.SHEETSNAME(A1)</f>
        <v>20250712</v>
      </c>
      <c r="B2" t="s">
        <v>2198</v>
      </c>
    </row>
    <row r="3" spans="1:8">
      <c r="B3" t="s">
        <v>2199</v>
      </c>
    </row>
    <row r="4" spans="1:8">
      <c r="B4" t="s">
        <v>2200</v>
      </c>
    </row>
    <row r="5" spans="1:8">
      <c r="B5" t="s">
        <v>2201</v>
      </c>
    </row>
    <row r="6" spans="1:8">
      <c r="C6" t="s">
        <v>2202</v>
      </c>
    </row>
    <row r="7" spans="1:8">
      <c r="C7" t="s">
        <v>2203</v>
      </c>
    </row>
    <row r="8" spans="1:8">
      <c r="B8" t="s">
        <v>2204</v>
      </c>
    </row>
    <row r="9" spans="1:8">
      <c r="B9" t="s">
        <v>2205</v>
      </c>
    </row>
    <row r="10" spans="1:8">
      <c r="C10" t="s">
        <v>2206</v>
      </c>
    </row>
    <row r="11" spans="1:8">
      <c r="C11" t="s">
        <v>2207</v>
      </c>
    </row>
    <row r="12" spans="1:8">
      <c r="B12" t="s">
        <v>2208</v>
      </c>
    </row>
    <row r="13" spans="1:8">
      <c r="B13" t="s">
        <v>2209</v>
      </c>
    </row>
    <row r="14" spans="1:8">
      <c r="B14" t="s">
        <v>2210</v>
      </c>
    </row>
    <row r="15" spans="1:8">
      <c r="C15" t="s">
        <v>2211</v>
      </c>
    </row>
    <row r="16" spans="1:8">
      <c r="C16" t="s">
        <v>2212</v>
      </c>
    </row>
  </sheetData>
  <pageMargins left="0.75" right="0.75" top="1" bottom="1" header="0.5" footer="0.5"/>
  <pageSetup paperSize="9" orientation="portrait"/>
  <headerFooter/>
</worksheet>
</file>

<file path=xl/worksheets/sheet1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11"/>
  <sheetViews>
    <sheetView zoomScale="160" zoomScaleNormal="160" topLeftCell="B3" workbookViewId="0">
      <selection activeCell="F5" sqref="F5"/>
    </sheetView>
  </sheetViews>
  <sheetFormatPr defaultColWidth="8.88888888888889" defaultRowHeight="14.4" outlineLevelCol="7"/>
  <cols>
    <col min="1" max="1" width="9.66666666666667"/>
  </cols>
  <sheetData>
    <row r="1" spans="1:8">
      <c r="A1" s="1">
        <f>SUM(B1:AZ1)</f>
        <v>3.83333333333333</v>
      </c>
      <c r="B1" s="1">
        <f t="shared" ref="B1:H1" si="0">COUNTA(B2:B2049)/COLUMN()</f>
        <v>1.5</v>
      </c>
      <c r="C1" s="1">
        <f t="shared" si="0"/>
        <v>2.33333333333333</v>
      </c>
      <c r="D1" s="1">
        <f t="shared" si="0"/>
        <v>0</v>
      </c>
      <c r="E1" s="1">
        <f t="shared" si="0"/>
        <v>0</v>
      </c>
      <c r="F1" s="1">
        <f t="shared" si="0"/>
        <v>0</v>
      </c>
      <c r="G1" s="1">
        <f t="shared" si="0"/>
        <v>0</v>
      </c>
      <c r="H1" s="1">
        <f t="shared" si="0"/>
        <v>0</v>
      </c>
    </row>
    <row r="2" spans="1:8">
      <c r="A2" t="str" cm="1">
        <f ca="1" t="array" ref="A2">_wpsfn.SHEETSNAME(A1)</f>
        <v>20250713</v>
      </c>
      <c r="B2" t="s">
        <v>2213</v>
      </c>
    </row>
    <row r="3" spans="1:8">
      <c r="C3" t="s">
        <v>2214</v>
      </c>
    </row>
    <row r="4" spans="1:8">
      <c r="C4" t="s">
        <v>2215</v>
      </c>
    </row>
    <row r="5" spans="1:8">
      <c r="B5" t="s">
        <v>2216</v>
      </c>
    </row>
    <row r="6" spans="1:8">
      <c r="B6" t="s">
        <v>2217</v>
      </c>
    </row>
    <row r="7" spans="1:8">
      <c r="C7" t="s">
        <v>2218</v>
      </c>
    </row>
    <row r="8" spans="1:8">
      <c r="C8" t="s">
        <v>2219</v>
      </c>
    </row>
    <row r="9" spans="1:8">
      <c r="C9" t="s">
        <v>2220</v>
      </c>
    </row>
    <row r="10" spans="1:8">
      <c r="C10" t="s">
        <v>2221</v>
      </c>
    </row>
    <row r="11" spans="1:8">
      <c r="C11" t="s">
        <v>2222</v>
      </c>
    </row>
  </sheetData>
  <pageMargins left="0.75" right="0.75" top="1" bottom="1" header="0.5" footer="0.5"/>
  <pageSetup paperSize="9" orientation="portrait"/>
  <headerFooter/>
</worksheet>
</file>

<file path=xl/worksheets/sheet1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2"/>
  <sheetViews>
    <sheetView zoomScale="160" zoomScaleNormal="160" workbookViewId="0">
      <selection activeCell="B4" sqref="B4"/>
    </sheetView>
  </sheetViews>
  <sheetFormatPr defaultColWidth="8.88888888888889" defaultRowHeight="14.4" outlineLevelRow="1" outlineLevelCol="7"/>
  <cols>
    <col min="1" max="1" width="9.66666666666667"/>
  </cols>
  <sheetData>
    <row r="1" spans="1:8">
      <c r="A1" s="1">
        <f>SUM(B1:AZ1)</f>
        <v>0.5</v>
      </c>
      <c r="B1" s="1">
        <f t="shared" ref="B1:H1" si="0">COUNTA(B2:B2049)/COLUMN()</f>
        <v>0.5</v>
      </c>
      <c r="C1" s="1">
        <f t="shared" si="0"/>
        <v>0</v>
      </c>
      <c r="D1" s="1">
        <f t="shared" si="0"/>
        <v>0</v>
      </c>
      <c r="E1" s="1">
        <f t="shared" si="0"/>
        <v>0</v>
      </c>
      <c r="F1" s="1">
        <f t="shared" si="0"/>
        <v>0</v>
      </c>
      <c r="G1" s="1">
        <f t="shared" si="0"/>
        <v>0</v>
      </c>
      <c r="H1" s="1">
        <f t="shared" si="0"/>
        <v>0</v>
      </c>
    </row>
    <row r="2" spans="1:8">
      <c r="A2" t="str" cm="1">
        <f ca="1" t="array" ref="A2">_wpsfn.SHEETSNAME(A1)</f>
        <v>20250714</v>
      </c>
      <c r="B2" t="s">
        <v>2223</v>
      </c>
    </row>
  </sheetData>
  <pageMargins left="0.75" right="0.75" top="1" bottom="1" header="0.5" footer="0.5"/>
  <pageSetup paperSize="9" orientation="portrait"/>
  <headerFooter/>
</worksheet>
</file>

<file path=xl/worksheets/sheet1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9"/>
  <sheetViews>
    <sheetView zoomScale="160" zoomScaleNormal="160" topLeftCell="B1" workbookViewId="0">
      <selection activeCell="P3" sqref="P3"/>
    </sheetView>
  </sheetViews>
  <sheetFormatPr defaultColWidth="8.88888888888889" defaultRowHeight="14.4" outlineLevelCol="7"/>
  <cols>
    <col min="1" max="1" width="9.66666666666667"/>
  </cols>
  <sheetData>
    <row r="1" spans="1:8">
      <c r="A1" s="1">
        <f>SUM(B1:AZ1)</f>
        <v>2.7</v>
      </c>
      <c r="B1" s="1">
        <f t="shared" ref="B1:H1" si="0">COUNTA(B2:B2049)/COLUMN()</f>
        <v>1</v>
      </c>
      <c r="C1" s="1">
        <f t="shared" si="0"/>
        <v>1</v>
      </c>
      <c r="D1" s="1">
        <f t="shared" si="0"/>
        <v>0.5</v>
      </c>
      <c r="E1" s="1">
        <f t="shared" si="0"/>
        <v>0.2</v>
      </c>
      <c r="F1" s="1">
        <f t="shared" si="0"/>
        <v>0</v>
      </c>
      <c r="G1" s="1">
        <f t="shared" si="0"/>
        <v>0</v>
      </c>
      <c r="H1" s="1">
        <f t="shared" si="0"/>
        <v>0</v>
      </c>
    </row>
    <row r="2" spans="1:8">
      <c r="A2" t="str" cm="1">
        <f ca="1" t="array" ref="A2">_wpsfn.SHEETSNAME(A1)</f>
        <v>20250724</v>
      </c>
      <c r="B2" t="s">
        <v>2224</v>
      </c>
    </row>
    <row r="3" spans="1:8">
      <c r="C3" t="s">
        <v>2225</v>
      </c>
    </row>
    <row r="4" spans="1:8">
      <c r="C4" t="s">
        <v>2226</v>
      </c>
    </row>
    <row r="5" spans="1:8">
      <c r="D5" t="s">
        <v>2227</v>
      </c>
    </row>
    <row r="6" spans="1:8">
      <c r="E6" t="s">
        <v>2228</v>
      </c>
    </row>
    <row r="7" spans="1:8">
      <c r="D7" t="s">
        <v>2229</v>
      </c>
    </row>
    <row r="8" spans="1:8">
      <c r="B8" t="s">
        <v>2230</v>
      </c>
    </row>
    <row r="9" spans="1:8">
      <c r="C9" t="s">
        <v>2231</v>
      </c>
    </row>
  </sheetData>
  <pageMargins left="0.75" right="0.75" top="1" bottom="1" header="0.5" footer="0.5"/>
  <pageSetup paperSize="9" orientation="portrait"/>
  <headerFooter/>
</worksheet>
</file>

<file path=xl/worksheets/sheet1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7"/>
  <sheetViews>
    <sheetView zoomScale="160" zoomScaleNormal="160" workbookViewId="0">
      <selection activeCell="G9" sqref="G9"/>
    </sheetView>
  </sheetViews>
  <sheetFormatPr defaultColWidth="8.88888888888889" defaultRowHeight="14.4" outlineLevelRow="6" outlineLevelCol="7"/>
  <cols>
    <col min="1" max="1" width="9.66666666666667"/>
  </cols>
  <sheetData>
    <row r="1" spans="1:8">
      <c r="A1" s="1">
        <f>SUM(B1:AZ1)</f>
        <v>2.08333333333333</v>
      </c>
      <c r="B1" s="1">
        <f t="shared" ref="B1:H1" si="0">COUNTA(B2:B2049)/COLUMN()</f>
        <v>0.5</v>
      </c>
      <c r="C1" s="1">
        <f t="shared" si="0"/>
        <v>1.33333333333333</v>
      </c>
      <c r="D1" s="1">
        <f t="shared" si="0"/>
        <v>0.25</v>
      </c>
      <c r="E1" s="1">
        <f t="shared" si="0"/>
        <v>0</v>
      </c>
      <c r="F1" s="1">
        <f t="shared" si="0"/>
        <v>0</v>
      </c>
      <c r="G1" s="1">
        <f t="shared" si="0"/>
        <v>0</v>
      </c>
      <c r="H1" s="1">
        <f t="shared" si="0"/>
        <v>0</v>
      </c>
    </row>
    <row r="2" spans="1:8">
      <c r="A2" t="str" cm="1">
        <f ca="1" t="array" ref="A2">_wpsfn.SHEETSNAME(A1)</f>
        <v>20250725</v>
      </c>
      <c r="B2" t="s">
        <v>2232</v>
      </c>
    </row>
    <row r="3" spans="1:8">
      <c r="C3" t="s">
        <v>2233</v>
      </c>
    </row>
    <row r="4" spans="1:8">
      <c r="C4" t="s">
        <v>2234</v>
      </c>
    </row>
    <row r="5" spans="1:8">
      <c r="C5" t="s">
        <v>2235</v>
      </c>
    </row>
    <row r="6" spans="1:8">
      <c r="C6" t="s">
        <v>2236</v>
      </c>
    </row>
    <row r="7" spans="1:8">
      <c r="D7" t="s">
        <v>2237</v>
      </c>
    </row>
  </sheetData>
  <pageMargins left="0.75" right="0.75" top="1" bottom="1" header="0.5" footer="0.5"/>
  <pageSetup paperSize="9" orientation="portrait"/>
  <headerFooter/>
</worksheet>
</file>

<file path=xl/worksheets/sheet1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3"/>
  <sheetViews>
    <sheetView zoomScale="160" zoomScaleNormal="160" workbookViewId="0">
      <selection activeCell="F5" sqref="F5"/>
    </sheetView>
  </sheetViews>
  <sheetFormatPr defaultColWidth="8.88888888888889" defaultRowHeight="14.4" outlineLevelRow="2" outlineLevelCol="7"/>
  <cols>
    <col min="1" max="1" width="9.66666666666667"/>
  </cols>
  <sheetData>
    <row r="1" spans="1:8">
      <c r="A1" s="1">
        <f>SUM(B1:AZ1)</f>
        <v>0.833333333333333</v>
      </c>
      <c r="B1" s="1">
        <f t="shared" ref="B1:H1" si="0">COUNTA(B2:B2049)/COLUMN()</f>
        <v>0.5</v>
      </c>
      <c r="C1" s="1">
        <f t="shared" si="0"/>
        <v>0.333333333333333</v>
      </c>
      <c r="D1" s="1">
        <f t="shared" si="0"/>
        <v>0</v>
      </c>
      <c r="E1" s="1">
        <f t="shared" si="0"/>
        <v>0</v>
      </c>
      <c r="F1" s="1">
        <f t="shared" si="0"/>
        <v>0</v>
      </c>
      <c r="G1" s="1">
        <f t="shared" si="0"/>
        <v>0</v>
      </c>
      <c r="H1" s="1">
        <f t="shared" si="0"/>
        <v>0</v>
      </c>
    </row>
    <row r="2" spans="1:8">
      <c r="A2" t="str" cm="1">
        <f ca="1" t="array" ref="A2">_wpsfn.SHEETSNAME(A1)</f>
        <v>20250731</v>
      </c>
      <c r="B2" t="s">
        <v>2238</v>
      </c>
    </row>
    <row r="3" spans="1:8">
      <c r="C3" t="s">
        <v>2239</v>
      </c>
    </row>
  </sheetData>
  <pageMargins left="0.75" right="0.75" top="1" bottom="1" header="0.5" footer="0.5"/>
  <pageSetup paperSize="9" orientation="portrait"/>
  <headerFooter/>
</worksheet>
</file>

<file path=xl/worksheets/sheet1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11"/>
  <sheetViews>
    <sheetView zoomScale="160" zoomScaleNormal="160" workbookViewId="0">
      <selection activeCell="E5" sqref="E5"/>
    </sheetView>
  </sheetViews>
  <sheetFormatPr defaultColWidth="8.88888888888889" defaultRowHeight="14.4" outlineLevelCol="7"/>
  <cols>
    <col min="1" max="1" width="9.66666666666667"/>
  </cols>
  <sheetData>
    <row r="1" spans="1:8">
      <c r="A1" s="1">
        <f>SUM(B1:AZ1)</f>
        <v>4.16666666666667</v>
      </c>
      <c r="B1" s="1">
        <f t="shared" ref="B1:H1" si="0">COUNTA(B2:B2049)/COLUMN()</f>
        <v>2.5</v>
      </c>
      <c r="C1" s="1">
        <f t="shared" si="0"/>
        <v>1.66666666666667</v>
      </c>
      <c r="D1" s="1">
        <f t="shared" si="0"/>
        <v>0</v>
      </c>
      <c r="E1" s="1">
        <f t="shared" si="0"/>
        <v>0</v>
      </c>
      <c r="F1" s="1">
        <f t="shared" si="0"/>
        <v>0</v>
      </c>
      <c r="G1" s="1">
        <f t="shared" si="0"/>
        <v>0</v>
      </c>
      <c r="H1" s="1">
        <f t="shared" si="0"/>
        <v>0</v>
      </c>
    </row>
    <row r="2" spans="1:8">
      <c r="A2" t="str" cm="1">
        <f ca="1" t="array" ref="A2">_wpsfn.SHEETSNAME(A1)</f>
        <v>20250811</v>
      </c>
      <c r="B2" t="s">
        <v>2240</v>
      </c>
    </row>
    <row r="3" spans="1:8">
      <c r="B3" t="s">
        <v>2241</v>
      </c>
    </row>
    <row r="4" spans="1:8">
      <c r="B4" t="s">
        <v>2242</v>
      </c>
    </row>
    <row r="5" spans="1:8">
      <c r="C5" t="s">
        <v>2243</v>
      </c>
    </row>
    <row r="6" spans="1:8">
      <c r="C6" t="s">
        <v>2244</v>
      </c>
    </row>
    <row r="7" spans="1:8">
      <c r="C7" t="s">
        <v>2245</v>
      </c>
    </row>
    <row r="8" spans="1:8">
      <c r="C8" t="s">
        <v>2246</v>
      </c>
    </row>
    <row r="9" spans="1:8">
      <c r="B9" t="s">
        <v>2247</v>
      </c>
    </row>
    <row r="10" spans="1:8">
      <c r="B10" t="s">
        <v>2248</v>
      </c>
    </row>
    <row r="11" spans="1:8">
      <c r="C11" t="s">
        <v>2249</v>
      </c>
    </row>
  </sheetData>
  <pageMargins left="0.75" right="0.75" top="1" bottom="1" header="0.5" footer="0.5"/>
  <pageSetup paperSize="9" orientation="portrait"/>
  <headerFooter/>
</worksheet>
</file>

<file path=xl/worksheets/sheet1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5"/>
  <sheetViews>
    <sheetView zoomScale="160" zoomScaleNormal="160" workbookViewId="0">
      <selection activeCell="E4" sqref="E4"/>
    </sheetView>
  </sheetViews>
  <sheetFormatPr defaultColWidth="8.88888888888889" defaultRowHeight="14.4" outlineLevelRow="4" outlineLevelCol="7"/>
  <cols>
    <col min="1" max="1" width="9.66666666666667"/>
  </cols>
  <sheetData>
    <row r="1" spans="1:8">
      <c r="A1" s="1">
        <f>SUM(B1:AZ1)</f>
        <v>1.66666666666667</v>
      </c>
      <c r="B1" s="1">
        <f t="shared" ref="B1:H1" si="0">COUNTA(B2:B2050)/COLUMN()</f>
        <v>1</v>
      </c>
      <c r="C1" s="1">
        <f t="shared" si="0"/>
        <v>0.666666666666667</v>
      </c>
      <c r="D1" s="1">
        <f t="shared" si="0"/>
        <v>0</v>
      </c>
      <c r="E1" s="1">
        <f t="shared" si="0"/>
        <v>0</v>
      </c>
      <c r="F1" s="1">
        <f t="shared" si="0"/>
        <v>0</v>
      </c>
      <c r="G1" s="1">
        <f t="shared" si="0"/>
        <v>0</v>
      </c>
      <c r="H1" s="1">
        <f t="shared" si="0"/>
        <v>0</v>
      </c>
    </row>
    <row r="2" spans="1:8">
      <c r="A2" t="str" cm="1">
        <f ca="1" t="array" ref="A2">_wpsfn.SHEETSNAME(A1)</f>
        <v>20250813</v>
      </c>
      <c r="B2" t="s">
        <v>2250</v>
      </c>
    </row>
    <row r="3" spans="1:8">
      <c r="C3" t="s">
        <v>2251</v>
      </c>
    </row>
    <row r="4" spans="1:8">
      <c r="B4" t="s">
        <v>2252</v>
      </c>
    </row>
    <row r="5" spans="1:8">
      <c r="C5" t="s">
        <v>2253</v>
      </c>
    </row>
  </sheetData>
  <pageMargins left="0.75" right="0.75" top="1" bottom="1" header="0.5" footer="0.5"/>
  <pageSetup paperSize="9" orientation="portrait"/>
  <headerFooter/>
</worksheet>
</file>

<file path=xl/worksheets/sheet1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4"/>
  <sheetViews>
    <sheetView zoomScale="160" zoomScaleNormal="160" workbookViewId="0">
      <selection activeCell="J8" sqref="J8"/>
    </sheetView>
  </sheetViews>
  <sheetFormatPr defaultColWidth="8.88888888888889" defaultRowHeight="14.4" outlineLevelRow="3" outlineLevelCol="7"/>
  <cols>
    <col min="1" max="1" width="9.66666666666667"/>
  </cols>
  <sheetData>
    <row r="1" spans="1:8">
      <c r="A1" s="1">
        <f>SUM(B1:AZ1)</f>
        <v>1.16666666666667</v>
      </c>
      <c r="B1" s="1">
        <f t="shared" ref="B1:H1" si="0">COUNTA(B2:B2050)/COLUMN()</f>
        <v>0.5</v>
      </c>
      <c r="C1" s="1">
        <f t="shared" si="0"/>
        <v>0.666666666666667</v>
      </c>
      <c r="D1" s="1">
        <f t="shared" si="0"/>
        <v>0</v>
      </c>
      <c r="E1" s="1">
        <f t="shared" si="0"/>
        <v>0</v>
      </c>
      <c r="F1" s="1">
        <f t="shared" si="0"/>
        <v>0</v>
      </c>
      <c r="G1" s="1">
        <f t="shared" si="0"/>
        <v>0</v>
      </c>
      <c r="H1" s="1">
        <f t="shared" si="0"/>
        <v>0</v>
      </c>
    </row>
    <row r="2" spans="1:8">
      <c r="A2" t="str" cm="1">
        <f ca="1" t="array" ref="A2">_wpsfn.SHEETSNAME(A1)</f>
        <v>20250814</v>
      </c>
      <c r="B2" t="s">
        <v>2254</v>
      </c>
    </row>
    <row r="3" spans="1:8">
      <c r="C3" t="s">
        <v>2255</v>
      </c>
    </row>
    <row r="4" spans="1:8">
      <c r="C4" t="s">
        <v>2256</v>
      </c>
    </row>
  </sheetData>
  <pageMargins left="0.75" right="0.75" top="1" bottom="1" header="0.5" footer="0.5"/>
  <pageSetup paperSize="9" orientation="portrait"/>
  <headerFooter/>
</worksheet>
</file>

<file path=xl/worksheets/sheet1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4"/>
  <sheetViews>
    <sheetView zoomScale="160" zoomScaleNormal="160" workbookViewId="0">
      <selection activeCell="C5" sqref="C5"/>
    </sheetView>
  </sheetViews>
  <sheetFormatPr defaultColWidth="8.88888888888889" defaultRowHeight="14.4" outlineLevelRow="3" outlineLevelCol="7"/>
  <cols>
    <col min="1" max="1" width="9.66666666666667"/>
  </cols>
  <sheetData>
    <row r="1" spans="1:8">
      <c r="A1" s="1">
        <f>SUM(B1:AZ1)</f>
        <v>1.33333333333333</v>
      </c>
      <c r="B1" s="1">
        <f t="shared" ref="B1:H1" si="0">COUNTA(B2:B2050)/COLUMN()</f>
        <v>1</v>
      </c>
      <c r="C1" s="1">
        <f t="shared" si="0"/>
        <v>0.333333333333333</v>
      </c>
      <c r="D1" s="1">
        <f t="shared" si="0"/>
        <v>0</v>
      </c>
      <c r="E1" s="1">
        <f t="shared" si="0"/>
        <v>0</v>
      </c>
      <c r="F1" s="1">
        <f t="shared" si="0"/>
        <v>0</v>
      </c>
      <c r="G1" s="1">
        <f t="shared" si="0"/>
        <v>0</v>
      </c>
      <c r="H1" s="1">
        <f t="shared" si="0"/>
        <v>0</v>
      </c>
    </row>
    <row r="2" spans="1:8">
      <c r="A2" t="str" cm="1">
        <f ca="1" t="array" ref="A2">_wpsfn.SHEETSNAME(A1)</f>
        <v>20250820</v>
      </c>
      <c r="B2" t="s">
        <v>2257</v>
      </c>
    </row>
    <row r="3" spans="1:8">
      <c r="B3" t="s">
        <v>2258</v>
      </c>
    </row>
    <row r="4" spans="1:8">
      <c r="C4" t="s">
        <v>2259</v>
      </c>
    </row>
  </sheetData>
  <pageMargins left="0.75" right="0.75" top="1" bottom="1" header="0.5" footer="0.5"/>
  <pageSetup paperSize="9" orientation="portrait"/>
  <headerFooter/>
</worksheet>
</file>

<file path=xl/worksheets/sheet1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7"/>
  <sheetViews>
    <sheetView zoomScale="160" zoomScaleNormal="160" workbookViewId="0">
      <selection activeCell="C8" sqref="C8"/>
    </sheetView>
  </sheetViews>
  <sheetFormatPr defaultColWidth="8.88888888888889" defaultRowHeight="14.4" outlineLevelRow="6" outlineLevelCol="7"/>
  <cols>
    <col min="1" max="1" width="9.66666666666667"/>
  </cols>
  <sheetData>
    <row r="1" spans="1:8">
      <c r="A1" s="1">
        <f>SUM(B1:AZ1)</f>
        <v>2.33333333333333</v>
      </c>
      <c r="B1" s="1">
        <f t="shared" ref="B1:H1" si="0">COUNTA(B2:B2050)/COLUMN()</f>
        <v>1</v>
      </c>
      <c r="C1" s="1">
        <f t="shared" si="0"/>
        <v>1.33333333333333</v>
      </c>
      <c r="D1" s="1">
        <f t="shared" si="0"/>
        <v>0</v>
      </c>
      <c r="E1" s="1">
        <f t="shared" si="0"/>
        <v>0</v>
      </c>
      <c r="F1" s="1">
        <f t="shared" si="0"/>
        <v>0</v>
      </c>
      <c r="G1" s="1">
        <f t="shared" si="0"/>
        <v>0</v>
      </c>
      <c r="H1" s="1">
        <f t="shared" si="0"/>
        <v>0</v>
      </c>
    </row>
    <row r="2" spans="1:8">
      <c r="A2" t="str" cm="1">
        <f ca="1" t="array" ref="A2">_wpsfn.SHEETSNAME(A1)</f>
        <v>20250821</v>
      </c>
      <c r="B2" t="s">
        <v>2260</v>
      </c>
    </row>
    <row r="3" spans="1:8">
      <c r="C3" t="s">
        <v>2261</v>
      </c>
    </row>
    <row r="4" spans="1:8">
      <c r="B4" t="s">
        <v>2262</v>
      </c>
    </row>
    <row r="5" spans="1:8">
      <c r="C5" t="s">
        <v>2263</v>
      </c>
    </row>
    <row r="6" spans="1:8">
      <c r="C6" t="s">
        <v>2264</v>
      </c>
    </row>
    <row r="7" spans="1:8">
      <c r="C7" t="s">
        <v>2265</v>
      </c>
    </row>
  </sheetData>
  <pageMargins left="0.75" right="0.75" top="1" bottom="1" header="0.5" footer="0.5"/>
  <pageSetup paperSize="9" orientation="portrait"/>
  <headerFooter/>
</worksheet>
</file>

<file path=xl/worksheets/sheet1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9"/>
  <sheetViews>
    <sheetView zoomScale="160" zoomScaleNormal="160" workbookViewId="0">
      <selection activeCell="G8" sqref="G8"/>
    </sheetView>
  </sheetViews>
  <sheetFormatPr defaultColWidth="8.88888888888889" defaultRowHeight="14.4" outlineLevelCol="7"/>
  <cols>
    <col min="1" max="1" width="9.66666666666667"/>
  </cols>
  <sheetData>
    <row r="1" spans="1:8">
      <c r="A1" s="1">
        <f>SUM(B1:AZ1)</f>
        <v>3.16666666666667</v>
      </c>
      <c r="B1" s="1">
        <f t="shared" ref="B1:H1" si="0">COUNTA(B2:B2050)/COLUMN()</f>
        <v>1.5</v>
      </c>
      <c r="C1" s="1">
        <f t="shared" si="0"/>
        <v>1.66666666666667</v>
      </c>
      <c r="D1" s="1">
        <f t="shared" si="0"/>
        <v>0</v>
      </c>
      <c r="E1" s="1">
        <f t="shared" si="0"/>
        <v>0</v>
      </c>
      <c r="F1" s="1">
        <f t="shared" si="0"/>
        <v>0</v>
      </c>
      <c r="G1" s="1">
        <f t="shared" si="0"/>
        <v>0</v>
      </c>
      <c r="H1" s="1">
        <f t="shared" si="0"/>
        <v>0</v>
      </c>
    </row>
    <row r="2" spans="1:8">
      <c r="A2" t="str" cm="1">
        <f ca="1" t="array" ref="A2">_wpsfn.SHEETSNAME(A1)</f>
        <v>20250822</v>
      </c>
      <c r="B2" t="s">
        <v>2266</v>
      </c>
    </row>
    <row r="3" spans="1:8">
      <c r="C3" t="s">
        <v>2267</v>
      </c>
    </row>
    <row r="4" spans="1:8">
      <c r="C4" t="s">
        <v>2268</v>
      </c>
    </row>
    <row r="5" spans="1:8">
      <c r="B5" t="s">
        <v>2269</v>
      </c>
    </row>
    <row r="6" spans="1:8">
      <c r="C6" t="s">
        <v>2270</v>
      </c>
    </row>
    <row r="7" spans="1:8">
      <c r="C7" t="s">
        <v>2271</v>
      </c>
    </row>
    <row r="8" spans="1:8">
      <c r="C8" t="s">
        <v>2272</v>
      </c>
    </row>
    <row r="9" spans="1:8">
      <c r="B9" t="s">
        <v>2273</v>
      </c>
    </row>
  </sheetData>
  <pageMargins left="0.75" right="0.75" top="1" bottom="1" header="0.5" footer="0.5"/>
  <pageSetup paperSize="9" orientation="portrait"/>
  <headerFooter/>
</worksheet>
</file>

<file path=xl/worksheets/sheet1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6"/>
  <sheetViews>
    <sheetView zoomScale="160" zoomScaleNormal="160" topLeftCell="A7" workbookViewId="0">
      <selection activeCell="B7" sqref="B7"/>
    </sheetView>
  </sheetViews>
  <sheetFormatPr defaultColWidth="8.88888888888889" defaultRowHeight="14.4" outlineLevelRow="5" outlineLevelCol="7"/>
  <cols>
    <col min="1" max="1" width="9.66666666666667"/>
  </cols>
  <sheetData>
    <row r="1" spans="1:8">
      <c r="A1" s="1">
        <f>SUM(B1:AZ1)</f>
        <v>2.16666666666667</v>
      </c>
      <c r="B1" s="1">
        <f t="shared" ref="B1:H1" si="0">COUNTA(B2:B2050)/COLUMN()</f>
        <v>1.5</v>
      </c>
      <c r="C1" s="1">
        <f t="shared" si="0"/>
        <v>0.666666666666667</v>
      </c>
      <c r="D1" s="1">
        <f t="shared" si="0"/>
        <v>0</v>
      </c>
      <c r="E1" s="1">
        <f t="shared" si="0"/>
        <v>0</v>
      </c>
      <c r="F1" s="1">
        <f t="shared" si="0"/>
        <v>0</v>
      </c>
      <c r="G1" s="1">
        <f t="shared" si="0"/>
        <v>0</v>
      </c>
      <c r="H1" s="1">
        <f t="shared" si="0"/>
        <v>0</v>
      </c>
    </row>
    <row r="2" spans="1:8">
      <c r="A2" t="str" cm="1">
        <f ca="1" t="array" ref="A2">_wpsfn.SHEETSNAME(A1)</f>
        <v>20250823</v>
      </c>
      <c r="B2" t="s">
        <v>2274</v>
      </c>
    </row>
    <row r="3" spans="1:8">
      <c r="B3" t="s">
        <v>2275</v>
      </c>
    </row>
    <row r="4" spans="1:8">
      <c r="C4" t="s">
        <v>2276</v>
      </c>
    </row>
    <row r="5" spans="1:8">
      <c r="C5" t="s">
        <v>2277</v>
      </c>
    </row>
    <row r="6" spans="1:8">
      <c r="B6" t="s">
        <v>2278</v>
      </c>
    </row>
  </sheetData>
  <pageMargins left="0.75" right="0.75" top="1" bottom="1" header="0.5" footer="0.5"/>
  <pageSetup paperSize="9" orientation="portrait"/>
  <headerFooter/>
</worksheet>
</file>

<file path=xl/worksheets/sheet1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3"/>
  <sheetViews>
    <sheetView zoomScale="160" zoomScaleNormal="160" workbookViewId="0">
      <selection activeCell="G5" sqref="G5"/>
    </sheetView>
  </sheetViews>
  <sheetFormatPr defaultColWidth="8.88888888888889" defaultRowHeight="14.4" outlineLevelRow="2" outlineLevelCol="7"/>
  <cols>
    <col min="1" max="1" width="9.66666666666667"/>
  </cols>
  <sheetData>
    <row r="1" spans="1:8">
      <c r="A1" s="1">
        <f>SUM(B1:AZ1)</f>
        <v>0.833333333333333</v>
      </c>
      <c r="B1" s="1">
        <f t="shared" ref="B1:H1" si="0">COUNTA(B2:B2050)/COLUMN()</f>
        <v>0.5</v>
      </c>
      <c r="C1" s="1">
        <f t="shared" si="0"/>
        <v>0.333333333333333</v>
      </c>
      <c r="D1" s="1">
        <f t="shared" si="0"/>
        <v>0</v>
      </c>
      <c r="E1" s="1">
        <f t="shared" si="0"/>
        <v>0</v>
      </c>
      <c r="F1" s="1">
        <f t="shared" si="0"/>
        <v>0</v>
      </c>
      <c r="G1" s="1">
        <f t="shared" si="0"/>
        <v>0</v>
      </c>
      <c r="H1" s="1">
        <f t="shared" si="0"/>
        <v>0</v>
      </c>
    </row>
    <row r="2" spans="1:8">
      <c r="A2" t="str" cm="1">
        <f ca="1" t="array" ref="A2">_wpsfn.SHEETSNAME(A1)</f>
        <v>20250824</v>
      </c>
      <c r="B2" t="s">
        <v>2279</v>
      </c>
    </row>
    <row r="3" spans="1:8">
      <c r="C3" t="s">
        <v>2280</v>
      </c>
    </row>
  </sheetData>
  <pageMargins left="0.75" right="0.75" top="1" bottom="1" header="0.5" footer="0.5"/>
  <pageSetup paperSize="9" orientation="portrait"/>
  <headerFooter/>
</worksheet>
</file>

<file path=xl/worksheets/sheet1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5"/>
  <sheetViews>
    <sheetView zoomScale="160" zoomScaleNormal="160" workbookViewId="0">
      <selection activeCell="B2" sqref="B2"/>
    </sheetView>
  </sheetViews>
  <sheetFormatPr defaultColWidth="8.88888888888889" defaultRowHeight="14.4" outlineLevelRow="4" outlineLevelCol="7"/>
  <cols>
    <col min="1" max="1" width="9.66666666666667"/>
  </cols>
  <sheetData>
    <row r="1" spans="1:8">
      <c r="A1" s="1">
        <f>SUM(B1:AZ1)</f>
        <v>1.83333333333333</v>
      </c>
      <c r="B1" s="1">
        <f t="shared" ref="B1:H1" si="0">COUNTA(B2:B2050)/COLUMN()</f>
        <v>1.5</v>
      </c>
      <c r="C1" s="1">
        <f t="shared" si="0"/>
        <v>0.333333333333333</v>
      </c>
      <c r="D1" s="1">
        <f t="shared" si="0"/>
        <v>0</v>
      </c>
      <c r="E1" s="1">
        <f t="shared" si="0"/>
        <v>0</v>
      </c>
      <c r="F1" s="1">
        <f t="shared" si="0"/>
        <v>0</v>
      </c>
      <c r="G1" s="1">
        <f t="shared" si="0"/>
        <v>0</v>
      </c>
      <c r="H1" s="1">
        <f t="shared" si="0"/>
        <v>0</v>
      </c>
    </row>
    <row r="2" spans="1:8">
      <c r="A2" t="str" cm="1">
        <f ca="1" t="array" ref="A2">_wpsfn.SHEETSNAME(A1)</f>
        <v>20250825</v>
      </c>
      <c r="B2" t="s">
        <v>2281</v>
      </c>
    </row>
    <row r="3" spans="1:8">
      <c r="C3" t="s">
        <v>2282</v>
      </c>
    </row>
    <row r="4" spans="1:8">
      <c r="B4" t="s">
        <v>2283</v>
      </c>
    </row>
    <row r="5" spans="1:8">
      <c r="B5" t="s">
        <v>2284</v>
      </c>
    </row>
  </sheetData>
  <pageMargins left="0.75" right="0.75" top="1" bottom="1" header="0.5" footer="0.5"/>
  <pageSetup paperSize="9" orientation="portrait"/>
  <headerFooter/>
</worksheet>
</file>

<file path=xl/worksheets/sheet1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2"/>
  <sheetViews>
    <sheetView zoomScale="160" zoomScaleNormal="160" workbookViewId="0">
      <selection activeCell="M7" sqref="M7"/>
    </sheetView>
  </sheetViews>
  <sheetFormatPr defaultColWidth="8.88888888888889" defaultRowHeight="14.4" outlineLevelRow="1" outlineLevelCol="7"/>
  <cols>
    <col min="1" max="1" width="9.66666666666667"/>
  </cols>
  <sheetData>
    <row r="1" spans="1:8">
      <c r="A1" s="1">
        <f>SUM(B1:AZ1)</f>
        <v>0.5</v>
      </c>
      <c r="B1" s="1">
        <f t="shared" ref="B1:H1" si="0">COUNTA(B2:B2050)/COLUMN()</f>
        <v>0.5</v>
      </c>
      <c r="C1" s="1">
        <f t="shared" si="0"/>
        <v>0</v>
      </c>
      <c r="D1" s="1">
        <f t="shared" si="0"/>
        <v>0</v>
      </c>
      <c r="E1" s="1">
        <f t="shared" si="0"/>
        <v>0</v>
      </c>
      <c r="F1" s="1">
        <f t="shared" si="0"/>
        <v>0</v>
      </c>
      <c r="G1" s="1">
        <f t="shared" si="0"/>
        <v>0</v>
      </c>
      <c r="H1" s="1">
        <f t="shared" si="0"/>
        <v>0</v>
      </c>
    </row>
    <row r="2" spans="1:8">
      <c r="A2" t="str" cm="1">
        <f ca="1" t="array" ref="A2">_wpsfn.SHEETSNAME(A1)</f>
        <v>20250903</v>
      </c>
      <c r="B2" t="s">
        <v>2285</v>
      </c>
    </row>
  </sheetData>
  <pageMargins left="0.75" right="0.75" top="1" bottom="1" header="0.5" footer="0.5"/>
  <pageSetup paperSize="9" orientation="portrait"/>
  <headerFooter/>
</worksheet>
</file>

<file path=xl/worksheets/sheet1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3"/>
  <sheetViews>
    <sheetView zoomScale="160" zoomScaleNormal="160" workbookViewId="0">
      <selection activeCell="H12" sqref="H12"/>
    </sheetView>
  </sheetViews>
  <sheetFormatPr defaultColWidth="8.88888888888889" defaultRowHeight="14.4" outlineLevelRow="2" outlineLevelCol="7"/>
  <cols>
    <col min="1" max="1" width="9.66666666666667"/>
  </cols>
  <sheetData>
    <row r="1" spans="1:8">
      <c r="A1" s="1">
        <f>SUM(B1:AZ1)</f>
        <v>0.833333333333333</v>
      </c>
      <c r="B1" s="1">
        <f t="shared" ref="B1:H1" si="0">COUNTA(B2:B2050)/COLUMN()</f>
        <v>0.5</v>
      </c>
      <c r="C1" s="1">
        <f t="shared" si="0"/>
        <v>0.333333333333333</v>
      </c>
      <c r="D1" s="1">
        <f t="shared" si="0"/>
        <v>0</v>
      </c>
      <c r="E1" s="1">
        <f t="shared" si="0"/>
        <v>0</v>
      </c>
      <c r="F1" s="1">
        <f t="shared" si="0"/>
        <v>0</v>
      </c>
      <c r="G1" s="1">
        <f t="shared" si="0"/>
        <v>0</v>
      </c>
      <c r="H1" s="1">
        <f t="shared" si="0"/>
        <v>0</v>
      </c>
    </row>
    <row r="2" spans="1:8">
      <c r="A2" t="str" cm="1">
        <f ca="1" t="array" ref="A2">_wpsfn.SHEETSNAME(A1)</f>
        <v>20250904</v>
      </c>
      <c r="B2" t="s">
        <v>2286</v>
      </c>
    </row>
    <row r="3" spans="1:8">
      <c r="C3" t="s">
        <v>2287</v>
      </c>
    </row>
  </sheetData>
  <pageMargins left="0.75" right="0.75" top="1" bottom="1" header="0.5" footer="0.5"/>
  <pageSetup paperSize="9" orientation="portrait"/>
  <headerFooter/>
</worksheet>
</file>

<file path=xl/worksheets/sheet1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6"/>
  <sheetViews>
    <sheetView zoomScale="160" zoomScaleNormal="160" workbookViewId="0">
      <selection activeCell="B2" sqref="B2:C7"/>
    </sheetView>
  </sheetViews>
  <sheetFormatPr defaultColWidth="8.88888888888889" defaultRowHeight="14.4" outlineLevelRow="5" outlineLevelCol="7"/>
  <cols>
    <col min="1" max="1" width="9.66666666666667"/>
  </cols>
  <sheetData>
    <row r="1" spans="1:8">
      <c r="A1" s="1">
        <f>SUM(B1:AZ1)</f>
        <v>2.16666666666667</v>
      </c>
      <c r="B1" s="1">
        <f t="shared" ref="B1:H1" si="0">COUNTA(B2:B2050)/COLUMN()</f>
        <v>1.5</v>
      </c>
      <c r="C1" s="1">
        <f t="shared" si="0"/>
        <v>0.666666666666667</v>
      </c>
      <c r="D1" s="1">
        <f t="shared" si="0"/>
        <v>0</v>
      </c>
      <c r="E1" s="1">
        <f t="shared" si="0"/>
        <v>0</v>
      </c>
      <c r="F1" s="1">
        <f t="shared" si="0"/>
        <v>0</v>
      </c>
      <c r="G1" s="1">
        <f t="shared" si="0"/>
        <v>0</v>
      </c>
      <c r="H1" s="1">
        <f t="shared" si="0"/>
        <v>0</v>
      </c>
    </row>
    <row r="2" spans="1:8">
      <c r="A2" t="str" cm="1">
        <f ca="1" t="array" ref="A2">_wpsfn.SHEETSNAME(A1)</f>
        <v>20250905</v>
      </c>
      <c r="B2" t="s">
        <v>2288</v>
      </c>
    </row>
    <row r="3" spans="1:8">
      <c r="C3" t="s">
        <v>2289</v>
      </c>
    </row>
    <row r="4" spans="1:8">
      <c r="B4" t="s">
        <v>2290</v>
      </c>
    </row>
    <row r="5" spans="1:8">
      <c r="B5" t="s">
        <v>2291</v>
      </c>
    </row>
    <row r="6" spans="1:8">
      <c r="C6" t="s">
        <v>2292</v>
      </c>
    </row>
  </sheetData>
  <pageMargins left="0.75" right="0.75" top="1" bottom="1" header="0.5" footer="0.5"/>
  <pageSetup paperSize="9" orientation="portrait"/>
  <headerFooter/>
</worksheet>
</file>

<file path=xl/worksheets/sheet1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2"/>
  <sheetViews>
    <sheetView zoomScale="160" zoomScaleNormal="160" workbookViewId="0">
      <selection activeCell="F2" sqref="F2"/>
    </sheetView>
  </sheetViews>
  <sheetFormatPr defaultColWidth="8.88888888888889" defaultRowHeight="14.4" outlineLevelRow="1" outlineLevelCol="7"/>
  <cols>
    <col min="1" max="1" width="9.66666666666667"/>
  </cols>
  <sheetData>
    <row r="1" spans="1:8">
      <c r="A1" s="1">
        <f>SUM(B1:AZ1)</f>
        <v>0.5</v>
      </c>
      <c r="B1" s="1">
        <f t="shared" ref="B1:H1" si="0">COUNTA(B2:B2050)/COLUMN()</f>
        <v>0.5</v>
      </c>
      <c r="C1" s="1">
        <f t="shared" si="0"/>
        <v>0</v>
      </c>
      <c r="D1" s="1">
        <f t="shared" si="0"/>
        <v>0</v>
      </c>
      <c r="E1" s="1">
        <f t="shared" si="0"/>
        <v>0</v>
      </c>
      <c r="F1" s="1">
        <f t="shared" si="0"/>
        <v>0</v>
      </c>
      <c r="G1" s="1">
        <f t="shared" si="0"/>
        <v>0</v>
      </c>
      <c r="H1" s="1">
        <f t="shared" si="0"/>
        <v>0</v>
      </c>
    </row>
    <row r="2" spans="1:8">
      <c r="A2" t="str" cm="1">
        <f ca="1" t="array" ref="A2">_wpsfn.SHEETSNAME(A1)</f>
        <v>20250907</v>
      </c>
      <c r="B2" t="s">
        <v>2293</v>
      </c>
    </row>
  </sheetData>
  <pageMargins left="0.75" right="0.75" top="1" bottom="1" header="0.5" footer="0.5"/>
  <pageSetup paperSize="9" orientation="portrait"/>
  <headerFooter/>
</worksheet>
</file>

<file path=xl/worksheets/sheet1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4"/>
  <sheetViews>
    <sheetView zoomScale="160" zoomScaleNormal="160" workbookViewId="0">
      <selection activeCell="B2" sqref="B2"/>
    </sheetView>
  </sheetViews>
  <sheetFormatPr defaultColWidth="8.88888888888889" defaultRowHeight="14.4" outlineLevelRow="3" outlineLevelCol="7"/>
  <cols>
    <col min="1" max="1" width="9.66666666666667"/>
  </cols>
  <sheetData>
    <row r="1" spans="1:8">
      <c r="A1" s="1">
        <f>SUM(B1:AZ1)</f>
        <v>1.5</v>
      </c>
      <c r="B1" s="1">
        <f t="shared" ref="B1:H1" si="0">COUNTA(B2:B2050)/COLUMN()</f>
        <v>1.5</v>
      </c>
      <c r="C1" s="1">
        <f t="shared" si="0"/>
        <v>0</v>
      </c>
      <c r="D1" s="1">
        <f t="shared" si="0"/>
        <v>0</v>
      </c>
      <c r="E1" s="1">
        <f t="shared" si="0"/>
        <v>0</v>
      </c>
      <c r="F1" s="1">
        <f t="shared" si="0"/>
        <v>0</v>
      </c>
      <c r="G1" s="1">
        <f t="shared" si="0"/>
        <v>0</v>
      </c>
      <c r="H1" s="1">
        <f t="shared" si="0"/>
        <v>0</v>
      </c>
    </row>
    <row r="2" spans="1:8">
      <c r="A2" t="str" cm="1">
        <f ca="1" t="array" ref="A2">_wpsfn.SHEETSNAME(A1)</f>
        <v>20250908</v>
      </c>
      <c r="B2" t="s">
        <v>2294</v>
      </c>
    </row>
    <row r="3" spans="1:8">
      <c r="B3" t="s">
        <v>2295</v>
      </c>
    </row>
    <row r="4" spans="1:8">
      <c r="B4" t="s">
        <v>2296</v>
      </c>
    </row>
  </sheetData>
  <pageMargins left="0.75" right="0.75" top="1" bottom="1" header="0.5" footer="0.5"/>
  <pageSetup paperSize="9" orientation="portrait"/>
  <headerFooter/>
</worksheet>
</file>

<file path=xl/worksheets/sheet1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6"/>
  <sheetViews>
    <sheetView zoomScale="160" zoomScaleNormal="160" workbookViewId="0">
      <selection activeCell="B7" sqref="B7"/>
    </sheetView>
  </sheetViews>
  <sheetFormatPr defaultColWidth="8.88888888888889" defaultRowHeight="14.4" outlineLevelRow="5" outlineLevelCol="7"/>
  <cols>
    <col min="1" max="1" width="9.66666666666667"/>
  </cols>
  <sheetData>
    <row r="1" spans="1:8">
      <c r="A1" s="1">
        <f>SUM(B1:AZ1)</f>
        <v>2.33333333333333</v>
      </c>
      <c r="B1" s="1">
        <f t="shared" ref="B1:H1" si="0">COUNTA(B2:B2050)/COLUMN()</f>
        <v>2</v>
      </c>
      <c r="C1" s="1">
        <f t="shared" si="0"/>
        <v>0.333333333333333</v>
      </c>
      <c r="D1" s="1">
        <f t="shared" si="0"/>
        <v>0</v>
      </c>
      <c r="E1" s="1">
        <f t="shared" si="0"/>
        <v>0</v>
      </c>
      <c r="F1" s="1">
        <f t="shared" si="0"/>
        <v>0</v>
      </c>
      <c r="G1" s="1">
        <f t="shared" si="0"/>
        <v>0</v>
      </c>
      <c r="H1" s="1">
        <f t="shared" si="0"/>
        <v>0</v>
      </c>
    </row>
    <row r="2" spans="1:8">
      <c r="A2" t="str" cm="1">
        <f ca="1" t="array" ref="A2">_wpsfn.SHEETSNAME(A1)</f>
        <v>20250909</v>
      </c>
      <c r="B2" t="s">
        <v>2297</v>
      </c>
    </row>
    <row r="3" spans="1:8">
      <c r="B3" t="s">
        <v>2298</v>
      </c>
    </row>
    <row r="4" spans="1:8">
      <c r="B4" t="s">
        <v>2299</v>
      </c>
    </row>
    <row r="5" spans="1:8">
      <c r="C5" t="s">
        <v>2300</v>
      </c>
    </row>
    <row r="6" spans="1:8">
      <c r="B6" t="s">
        <v>2301</v>
      </c>
    </row>
  </sheetData>
  <pageMargins left="0.75" right="0.75" top="1" bottom="1" header="0.5" footer="0.5"/>
  <pageSetup paperSize="9" orientation="portrait"/>
  <headerFooter/>
</worksheet>
</file>

<file path=xl/worksheets/sheet1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5"/>
  <sheetViews>
    <sheetView zoomScale="160" zoomScaleNormal="160" workbookViewId="0">
      <selection activeCell="G13" sqref="G13"/>
    </sheetView>
  </sheetViews>
  <sheetFormatPr defaultColWidth="8.88888888888889" defaultRowHeight="14.4" outlineLevelRow="4" outlineLevelCol="7"/>
  <cols>
    <col min="1" max="1" width="9.66666666666667"/>
  </cols>
  <sheetData>
    <row r="1" spans="1:8">
      <c r="A1" s="1">
        <f>SUM(B1:AZ1)</f>
        <v>1.66666666666667</v>
      </c>
      <c r="B1" s="1">
        <f t="shared" ref="B1:H1" si="0">COUNTA(B2:B2050)/COLUMN()</f>
        <v>1</v>
      </c>
      <c r="C1" s="1">
        <f t="shared" si="0"/>
        <v>0.666666666666667</v>
      </c>
      <c r="D1" s="1">
        <f t="shared" si="0"/>
        <v>0</v>
      </c>
      <c r="E1" s="1">
        <f t="shared" si="0"/>
        <v>0</v>
      </c>
      <c r="F1" s="1">
        <f t="shared" si="0"/>
        <v>0</v>
      </c>
      <c r="G1" s="1">
        <f t="shared" si="0"/>
        <v>0</v>
      </c>
      <c r="H1" s="1">
        <f t="shared" si="0"/>
        <v>0</v>
      </c>
    </row>
    <row r="2" spans="1:8">
      <c r="A2" t="str" cm="1">
        <f ca="1" t="array" ref="A2">_wpsfn.SHEETSNAME(A1)</f>
        <v>20250910</v>
      </c>
      <c r="B2" t="s">
        <v>2302</v>
      </c>
    </row>
    <row r="3" spans="1:8">
      <c r="C3" t="s">
        <v>2303</v>
      </c>
    </row>
    <row r="4" spans="1:8">
      <c r="C4" t="s">
        <v>2304</v>
      </c>
    </row>
    <row r="5" spans="1:8">
      <c r="B5" t="s">
        <v>2305</v>
      </c>
    </row>
  </sheetData>
  <pageMargins left="0.75" right="0.75" top="1" bottom="1" header="0.5" footer="0.5"/>
  <pageSetup paperSize="9" orientation="portrait"/>
  <headerFooter/>
</worksheet>
</file>

<file path=xl/worksheets/sheet1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6"/>
  <sheetViews>
    <sheetView zoomScale="160" zoomScaleNormal="160" workbookViewId="0">
      <selection activeCell="J6" sqref="J6"/>
    </sheetView>
  </sheetViews>
  <sheetFormatPr defaultColWidth="8.88888888888889" defaultRowHeight="14.4" outlineLevelRow="5" outlineLevelCol="7"/>
  <cols>
    <col min="1" max="1" width="9.66666666666667"/>
  </cols>
  <sheetData>
    <row r="1" spans="1:8">
      <c r="A1" s="1">
        <f>SUM(B1:AZ1)</f>
        <v>2.16666666666667</v>
      </c>
      <c r="B1" s="1">
        <f t="shared" ref="B1:H1" si="0">COUNTA(B2:B2050)/COLUMN()</f>
        <v>1.5</v>
      </c>
      <c r="C1" s="1">
        <f t="shared" si="0"/>
        <v>0.666666666666667</v>
      </c>
      <c r="D1" s="1">
        <f t="shared" si="0"/>
        <v>0</v>
      </c>
      <c r="E1" s="1">
        <f t="shared" si="0"/>
        <v>0</v>
      </c>
      <c r="F1" s="1">
        <f t="shared" si="0"/>
        <v>0</v>
      </c>
      <c r="G1" s="1">
        <f t="shared" si="0"/>
        <v>0</v>
      </c>
      <c r="H1" s="1">
        <f t="shared" si="0"/>
        <v>0</v>
      </c>
    </row>
    <row r="2" spans="1:8">
      <c r="A2" t="str" cm="1">
        <f ca="1" t="array" ref="A2">_wpsfn.SHEETSNAME(A1)</f>
        <v>20250911</v>
      </c>
      <c r="B2" t="s">
        <v>2306</v>
      </c>
    </row>
    <row r="3" spans="1:8">
      <c r="C3" t="s">
        <v>2307</v>
      </c>
    </row>
    <row r="4" spans="1:8">
      <c r="B4" t="s">
        <v>2308</v>
      </c>
    </row>
    <row r="5" spans="1:8">
      <c r="B5" t="s">
        <v>2309</v>
      </c>
    </row>
    <row r="6" spans="1:8">
      <c r="C6" t="s">
        <v>2310</v>
      </c>
    </row>
  </sheetData>
  <pageMargins left="0.75" right="0.75" top="1" bottom="1" header="0.5" footer="0.5"/>
  <pageSetup paperSize="9" orientation="portrait"/>
  <headerFooter/>
</worksheet>
</file>

<file path=xl/worksheets/sheet1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17"/>
  <sheetViews>
    <sheetView zoomScale="160" zoomScaleNormal="160" workbookViewId="0">
      <selection activeCell="B13" sqref="B13"/>
    </sheetView>
  </sheetViews>
  <sheetFormatPr defaultColWidth="8.88888888888889" defaultRowHeight="14.4" outlineLevelCol="7"/>
  <cols>
    <col min="1" max="1" width="9.66666666666667"/>
  </cols>
  <sheetData>
    <row r="1" spans="1:8">
      <c r="A1" s="1">
        <f>SUM(B1:AZ1)</f>
        <v>5.31666666666667</v>
      </c>
      <c r="B1" s="1">
        <f t="shared" ref="B1:H1" si="0">COUNTA(B2:B2050)/COLUMN()</f>
        <v>2</v>
      </c>
      <c r="C1" s="1">
        <f t="shared" si="0"/>
        <v>1.66666666666667</v>
      </c>
      <c r="D1" s="1">
        <f t="shared" si="0"/>
        <v>1.25</v>
      </c>
      <c r="E1" s="1">
        <f t="shared" si="0"/>
        <v>0.4</v>
      </c>
      <c r="F1" s="1">
        <f t="shared" si="0"/>
        <v>0</v>
      </c>
      <c r="G1" s="1">
        <f t="shared" si="0"/>
        <v>0</v>
      </c>
      <c r="H1" s="1">
        <f t="shared" si="0"/>
        <v>0</v>
      </c>
    </row>
    <row r="2" spans="1:8">
      <c r="A2" t="str" cm="1">
        <f ca="1" t="array" ref="A2">_wpsfn.SHEETSNAME(A1)</f>
        <v>20250913</v>
      </c>
      <c r="B2" t="s">
        <v>2311</v>
      </c>
    </row>
    <row r="3" spans="1:8">
      <c r="C3" t="s">
        <v>2312</v>
      </c>
    </row>
    <row r="4" spans="1:8">
      <c r="D4" t="s">
        <v>2313</v>
      </c>
    </row>
    <row r="5" spans="1:8">
      <c r="D5" t="s">
        <v>2314</v>
      </c>
    </row>
    <row r="6" spans="1:8">
      <c r="E6" t="s">
        <v>2315</v>
      </c>
    </row>
    <row r="7" spans="1:8">
      <c r="E7" t="s">
        <v>2316</v>
      </c>
    </row>
    <row r="8" spans="1:8">
      <c r="D8" t="s">
        <v>2317</v>
      </c>
    </row>
    <row r="9" spans="1:8">
      <c r="B9" t="s">
        <v>2318</v>
      </c>
    </row>
    <row r="10" spans="1:8">
      <c r="C10" t="s">
        <v>2319</v>
      </c>
    </row>
    <row r="11" spans="1:8">
      <c r="C11" t="s">
        <v>2320</v>
      </c>
    </row>
    <row r="12" spans="1:8">
      <c r="D12" t="s">
        <v>2321</v>
      </c>
    </row>
    <row r="13" spans="1:8">
      <c r="B13" t="s">
        <v>2322</v>
      </c>
    </row>
    <row r="14" spans="1:8">
      <c r="C14" t="s">
        <v>2323</v>
      </c>
    </row>
    <row r="15" spans="1:8">
      <c r="C15" t="s">
        <v>2324</v>
      </c>
    </row>
    <row r="16" spans="1:8">
      <c r="D16" t="s">
        <v>2325</v>
      </c>
    </row>
    <row r="17" spans="2:2">
      <c r="B17" t="s">
        <v>2326</v>
      </c>
    </row>
  </sheetData>
  <pageMargins left="0.75" right="0.75" top="1" bottom="1" header="0.5" footer="0.5"/>
  <pageSetup paperSize="9" orientation="portrait"/>
  <headerFooter/>
</worksheet>
</file>

<file path=xl/worksheets/sheet1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3"/>
  <sheetViews>
    <sheetView zoomScale="160" zoomScaleNormal="160" workbookViewId="0">
      <selection activeCell="B4" sqref="B4"/>
    </sheetView>
  </sheetViews>
  <sheetFormatPr defaultColWidth="8.88888888888889" defaultRowHeight="14.4" outlineLevelRow="2" outlineLevelCol="7"/>
  <cols>
    <col min="1" max="1" width="9.66666666666667"/>
  </cols>
  <sheetData>
    <row r="1" spans="1:8">
      <c r="A1" s="1">
        <f>SUM(B1:AZ1)</f>
        <v>1</v>
      </c>
      <c r="B1" s="1">
        <f t="shared" ref="B1:H1" si="0">COUNTA(B2:B2050)/COLUMN()</f>
        <v>1</v>
      </c>
      <c r="C1" s="1">
        <f t="shared" si="0"/>
        <v>0</v>
      </c>
      <c r="D1" s="1">
        <f t="shared" si="0"/>
        <v>0</v>
      </c>
      <c r="E1" s="1">
        <f t="shared" si="0"/>
        <v>0</v>
      </c>
      <c r="F1" s="1">
        <f t="shared" si="0"/>
        <v>0</v>
      </c>
      <c r="G1" s="1">
        <f t="shared" si="0"/>
        <v>0</v>
      </c>
      <c r="H1" s="1">
        <f t="shared" si="0"/>
        <v>0</v>
      </c>
    </row>
    <row r="2" spans="1:8">
      <c r="A2" t="str" cm="1">
        <f ca="1" t="array" ref="A2">_wpsfn.SHEETSNAME(A1)</f>
        <v>20250914</v>
      </c>
      <c r="B2" t="s">
        <v>2327</v>
      </c>
    </row>
    <row r="3" spans="1:8">
      <c r="B3" t="s">
        <v>2328</v>
      </c>
    </row>
  </sheetData>
  <pageMargins left="0.75" right="0.75" top="1" bottom="1" header="0.5" footer="0.5"/>
  <pageSetup paperSize="9" orientation="portrait"/>
  <headerFooter/>
</worksheet>
</file>

<file path=xl/worksheets/sheet1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3"/>
  <sheetViews>
    <sheetView zoomScale="160" zoomScaleNormal="160" workbookViewId="0">
      <selection activeCell="B4" sqref="B4"/>
    </sheetView>
  </sheetViews>
  <sheetFormatPr defaultColWidth="8.88888888888889" defaultRowHeight="14.4" outlineLevelRow="2" outlineLevelCol="7"/>
  <cols>
    <col min="1" max="1" width="9.66666666666667"/>
  </cols>
  <sheetData>
    <row r="1" spans="1:8">
      <c r="A1" s="1">
        <f>SUM(B1:AZ1)</f>
        <v>1</v>
      </c>
      <c r="B1" s="1">
        <f t="shared" ref="B1:H1" si="0">COUNTA(B2:B2050)/COLUMN()</f>
        <v>1</v>
      </c>
      <c r="C1" s="1">
        <f t="shared" si="0"/>
        <v>0</v>
      </c>
      <c r="D1" s="1">
        <f t="shared" si="0"/>
        <v>0</v>
      </c>
      <c r="E1" s="1">
        <f t="shared" si="0"/>
        <v>0</v>
      </c>
      <c r="F1" s="1">
        <f t="shared" si="0"/>
        <v>0</v>
      </c>
      <c r="G1" s="1">
        <f t="shared" si="0"/>
        <v>0</v>
      </c>
      <c r="H1" s="1">
        <f t="shared" si="0"/>
        <v>0</v>
      </c>
    </row>
    <row r="2" spans="1:8">
      <c r="A2" t="str" cm="1">
        <f ca="1" t="array" ref="A2">_wpsfn.SHEETSNAME(A1)</f>
        <v>20250916</v>
      </c>
      <c r="B2" t="s">
        <v>2329</v>
      </c>
    </row>
    <row r="3" spans="1:8">
      <c r="B3" t="s">
        <v>2330</v>
      </c>
    </row>
  </sheetData>
  <pageMargins left="0.75" right="0.75" top="1" bottom="1" header="0.5" footer="0.5"/>
  <pageSetup paperSize="9" orientation="portrait"/>
  <headerFooter/>
</worksheet>
</file>

<file path=xl/worksheets/sheet1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9"/>
  <sheetViews>
    <sheetView zoomScale="160" zoomScaleNormal="160" workbookViewId="0">
      <selection activeCell="H8" sqref="H8"/>
    </sheetView>
  </sheetViews>
  <sheetFormatPr defaultColWidth="8.88888888888889" defaultRowHeight="14.4" outlineLevelCol="7"/>
  <cols>
    <col min="1" max="1" width="9.66666666666667"/>
  </cols>
  <sheetData>
    <row r="1" spans="1:8">
      <c r="A1" s="1">
        <f>SUM(B1:AZ1)</f>
        <v>2.75</v>
      </c>
      <c r="B1" s="1">
        <f t="shared" ref="B1:H1" si="0">COUNTA(B2:B2051)/COLUMN()</f>
        <v>0.5</v>
      </c>
      <c r="C1" s="1">
        <f t="shared" si="0"/>
        <v>2</v>
      </c>
      <c r="D1" s="1">
        <f t="shared" si="0"/>
        <v>0.25</v>
      </c>
      <c r="E1" s="1">
        <f t="shared" si="0"/>
        <v>0</v>
      </c>
      <c r="F1" s="1">
        <f t="shared" si="0"/>
        <v>0</v>
      </c>
      <c r="G1" s="1">
        <f t="shared" si="0"/>
        <v>0</v>
      </c>
      <c r="H1" s="1">
        <f t="shared" si="0"/>
        <v>0</v>
      </c>
    </row>
    <row r="2" spans="1:8">
      <c r="A2" t="str" cm="1">
        <f ca="1" t="array" ref="A2">_wpsfn.SHEETSNAME(A1)</f>
        <v>20250917</v>
      </c>
      <c r="B2" t="s">
        <v>2331</v>
      </c>
    </row>
    <row r="3" spans="1:8">
      <c r="C3" t="s">
        <v>2332</v>
      </c>
    </row>
    <row r="4" spans="1:8">
      <c r="C4" t="s">
        <v>2333</v>
      </c>
    </row>
    <row r="5" spans="1:8">
      <c r="C5" t="s">
        <v>2334</v>
      </c>
    </row>
    <row r="6" spans="1:8">
      <c r="C6" t="s">
        <v>2335</v>
      </c>
    </row>
    <row r="7" spans="1:8">
      <c r="D7" t="s">
        <v>2336</v>
      </c>
    </row>
    <row r="8" spans="1:8">
      <c r="C8" t="s">
        <v>2337</v>
      </c>
    </row>
    <row r="9" spans="1:8">
      <c r="C9" t="s">
        <v>2338</v>
      </c>
    </row>
  </sheetData>
  <pageMargins left="0.75" right="0.75" top="1" bottom="1" header="0.5" footer="0.5"/>
  <pageSetup paperSize="9" orientation="portrait"/>
  <headerFooter/>
</worksheet>
</file>

<file path=xl/worksheets/sheet1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7"/>
  <sheetViews>
    <sheetView zoomScale="160" zoomScaleNormal="160" workbookViewId="0">
      <selection activeCell="B8" sqref="B8"/>
    </sheetView>
  </sheetViews>
  <sheetFormatPr defaultColWidth="8.88888888888889" defaultRowHeight="14.4" outlineLevelRow="6" outlineLevelCol="7"/>
  <cols>
    <col min="1" max="1" width="9.66666666666667"/>
  </cols>
  <sheetData>
    <row r="1" spans="1:8">
      <c r="A1" s="1">
        <f>SUM(B1:AZ1)</f>
        <v>2</v>
      </c>
      <c r="B1" s="1">
        <f t="shared" ref="B1:H1" si="0">COUNTA(B2:B2051)/COLUMN()</f>
        <v>0.5</v>
      </c>
      <c r="C1" s="1">
        <f t="shared" si="0"/>
        <v>1</v>
      </c>
      <c r="D1" s="1">
        <f t="shared" si="0"/>
        <v>0.5</v>
      </c>
      <c r="E1" s="1">
        <f t="shared" si="0"/>
        <v>0</v>
      </c>
      <c r="F1" s="1">
        <f t="shared" si="0"/>
        <v>0</v>
      </c>
      <c r="G1" s="1">
        <f t="shared" si="0"/>
        <v>0</v>
      </c>
      <c r="H1" s="1">
        <f t="shared" si="0"/>
        <v>0</v>
      </c>
    </row>
    <row r="2" spans="1:8">
      <c r="A2" t="str" cm="1">
        <f ca="1" t="array" ref="A2">_wpsfn.SHEETSNAME(A1)</f>
        <v>20250918</v>
      </c>
      <c r="B2" t="s">
        <v>2339</v>
      </c>
    </row>
    <row r="3" spans="1:8">
      <c r="C3" t="s">
        <v>2340</v>
      </c>
    </row>
    <row r="4" spans="1:8">
      <c r="C4" t="s">
        <v>2341</v>
      </c>
    </row>
    <row r="5" spans="1:8">
      <c r="C5" t="s">
        <v>2342</v>
      </c>
    </row>
    <row r="6" spans="1:8">
      <c r="D6" t="s">
        <v>2343</v>
      </c>
    </row>
    <row r="7" spans="1:8">
      <c r="D7" t="s">
        <v>2344</v>
      </c>
    </row>
  </sheetData>
  <pageMargins left="0.75" right="0.75" top="1" bottom="1" header="0.5" footer="0.5"/>
  <pageSetup paperSize="9" orientation="portrait"/>
  <headerFooter/>
</worksheet>
</file>

<file path=xl/worksheets/sheet1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2"/>
  <sheetViews>
    <sheetView zoomScale="160" zoomScaleNormal="160" workbookViewId="0">
      <selection activeCell="B3" sqref="B3"/>
    </sheetView>
  </sheetViews>
  <sheetFormatPr defaultColWidth="8.88888888888889" defaultRowHeight="14.4" outlineLevelRow="1" outlineLevelCol="7"/>
  <cols>
    <col min="1" max="1" width="9.66666666666667"/>
  </cols>
  <sheetData>
    <row r="1" spans="1:8">
      <c r="A1" s="1">
        <f>SUM(B1:AZ1)</f>
        <v>0.5</v>
      </c>
      <c r="B1" s="1">
        <f t="shared" ref="B1:H1" si="0">COUNTA(B2:B2051)/COLUMN()</f>
        <v>0.5</v>
      </c>
      <c r="C1" s="1">
        <f t="shared" si="0"/>
        <v>0</v>
      </c>
      <c r="D1" s="1">
        <f t="shared" si="0"/>
        <v>0</v>
      </c>
      <c r="E1" s="1">
        <f t="shared" si="0"/>
        <v>0</v>
      </c>
      <c r="F1" s="1">
        <f t="shared" si="0"/>
        <v>0</v>
      </c>
      <c r="G1" s="1">
        <f t="shared" si="0"/>
        <v>0</v>
      </c>
      <c r="H1" s="1">
        <f t="shared" si="0"/>
        <v>0</v>
      </c>
    </row>
    <row r="2" spans="1:8">
      <c r="A2" t="str" cm="1">
        <f ca="1" t="array" ref="A2">_wpsfn.SHEETSNAME(A1)</f>
        <v>20250919</v>
      </c>
      <c r="B2" t="s">
        <v>2345</v>
      </c>
    </row>
  </sheetData>
  <pageMargins left="0.75" right="0.75" top="1" bottom="1" header="0.5" footer="0.5"/>
  <pageSetup paperSize="9" orientation="portrait"/>
  <headerFooter/>
</worksheet>
</file>

<file path=xl/worksheets/sheet1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14"/>
  <sheetViews>
    <sheetView zoomScale="160" zoomScaleNormal="160" workbookViewId="0">
      <selection activeCell="C15" sqref="C15"/>
    </sheetView>
  </sheetViews>
  <sheetFormatPr defaultColWidth="8.88888888888889" defaultRowHeight="14.4" outlineLevelCol="7"/>
  <cols>
    <col min="1" max="1" width="9.66666666666667"/>
  </cols>
  <sheetData>
    <row r="1" spans="1:8">
      <c r="A1" s="1">
        <f>SUM(B1:AZ1)</f>
        <v>4.33333333333333</v>
      </c>
      <c r="B1" s="1">
        <f t="shared" ref="B1:H1" si="0">COUNTA(B2:B2051)/COLUMN()</f>
        <v>1</v>
      </c>
      <c r="C1" s="1">
        <f t="shared" si="0"/>
        <v>2.33333333333333</v>
      </c>
      <c r="D1" s="1">
        <f t="shared" si="0"/>
        <v>1</v>
      </c>
      <c r="E1" s="1">
        <f t="shared" si="0"/>
        <v>0</v>
      </c>
      <c r="F1" s="1">
        <f t="shared" si="0"/>
        <v>0</v>
      </c>
      <c r="G1" s="1">
        <f t="shared" si="0"/>
        <v>0</v>
      </c>
      <c r="H1" s="1">
        <f t="shared" si="0"/>
        <v>0</v>
      </c>
    </row>
    <row r="2" spans="1:8">
      <c r="A2" t="str" cm="1">
        <f ca="1" t="array" ref="A2">_wpsfn.SHEETSNAME(A1)</f>
        <v>20250920</v>
      </c>
      <c r="B2" t="s">
        <v>2346</v>
      </c>
    </row>
    <row r="3" spans="1:8">
      <c r="C3" t="s">
        <v>2347</v>
      </c>
    </row>
    <row r="4" spans="1:8">
      <c r="C4" t="s">
        <v>2348</v>
      </c>
    </row>
    <row r="5" spans="1:8">
      <c r="C5" t="s">
        <v>2349</v>
      </c>
    </row>
    <row r="6" spans="1:8">
      <c r="C6" t="s">
        <v>2350</v>
      </c>
    </row>
    <row r="7" spans="1:8">
      <c r="D7" t="s">
        <v>2351</v>
      </c>
    </row>
    <row r="8" spans="1:8">
      <c r="D8" t="s">
        <v>2352</v>
      </c>
    </row>
    <row r="9" spans="1:8">
      <c r="C9" t="s">
        <v>2353</v>
      </c>
    </row>
    <row r="10" spans="1:8">
      <c r="D10" t="s">
        <v>2354</v>
      </c>
    </row>
    <row r="11" spans="1:8">
      <c r="D11" t="s">
        <v>2355</v>
      </c>
    </row>
    <row r="12" spans="1:8">
      <c r="B12" t="s">
        <v>2356</v>
      </c>
    </row>
    <row r="13" spans="1:8">
      <c r="C13" t="s">
        <v>2357</v>
      </c>
    </row>
    <row r="14" spans="1:8">
      <c r="C14" t="s">
        <v>2358</v>
      </c>
    </row>
  </sheetData>
  <pageMargins left="0.75" right="0.75" top="1" bottom="1" header="0.5" footer="0.5"/>
  <pageSetup paperSize="9" orientation="portrait"/>
  <headerFooter/>
</worksheet>
</file>

<file path=xl/worksheets/sheet1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19"/>
  <sheetViews>
    <sheetView zoomScale="160" zoomScaleNormal="160" workbookViewId="0">
      <selection activeCell="C4" sqref="C4"/>
    </sheetView>
  </sheetViews>
  <sheetFormatPr defaultColWidth="8.88888888888889" defaultRowHeight="14.4" outlineLevelCol="7"/>
  <cols>
    <col min="1" max="1" width="9.66666666666667"/>
  </cols>
  <sheetData>
    <row r="1" spans="1:8">
      <c r="A1" s="1">
        <f>SUM(B1:AZ1)</f>
        <v>6</v>
      </c>
      <c r="B1" s="1">
        <f t="shared" ref="B1:H1" si="0">COUNTA(B2:B2051)/COLUMN()</f>
        <v>1.5</v>
      </c>
      <c r="C1" s="1">
        <f t="shared" si="0"/>
        <v>3</v>
      </c>
      <c r="D1" s="1">
        <f t="shared" si="0"/>
        <v>1.5</v>
      </c>
      <c r="E1" s="1">
        <f t="shared" si="0"/>
        <v>0</v>
      </c>
      <c r="F1" s="1">
        <f t="shared" si="0"/>
        <v>0</v>
      </c>
      <c r="G1" s="1">
        <f t="shared" si="0"/>
        <v>0</v>
      </c>
      <c r="H1" s="1">
        <f t="shared" si="0"/>
        <v>0</v>
      </c>
    </row>
    <row r="2" spans="1:8">
      <c r="A2" t="str" cm="1">
        <f ca="1" t="array" ref="A2">_wpsfn.SHEETSNAME(A1)</f>
        <v>20250921</v>
      </c>
      <c r="B2" t="s">
        <v>2359</v>
      </c>
    </row>
    <row r="3" spans="1:8">
      <c r="C3" t="s">
        <v>2360</v>
      </c>
    </row>
    <row r="4" spans="1:8">
      <c r="C4" t="s">
        <v>2361</v>
      </c>
    </row>
    <row r="5" spans="1:8">
      <c r="B5" t="s">
        <v>2362</v>
      </c>
    </row>
    <row r="6" spans="1:8">
      <c r="C6" t="s">
        <v>2363</v>
      </c>
    </row>
    <row r="7" spans="1:8">
      <c r="C7" t="s">
        <v>2364</v>
      </c>
    </row>
    <row r="8" spans="1:8">
      <c r="C8" t="s">
        <v>2365</v>
      </c>
    </row>
    <row r="9" spans="1:8">
      <c r="C9" t="s">
        <v>2366</v>
      </c>
    </row>
    <row r="10" spans="1:8">
      <c r="C10" t="s">
        <v>2367</v>
      </c>
    </row>
    <row r="11" spans="1:8">
      <c r="B11" t="s">
        <v>2368</v>
      </c>
    </row>
    <row r="12" spans="1:8">
      <c r="C12" t="s">
        <v>2369</v>
      </c>
    </row>
    <row r="13" spans="1:8">
      <c r="D13" t="s">
        <v>2370</v>
      </c>
    </row>
    <row r="14" spans="1:8">
      <c r="D14" t="s">
        <v>2371</v>
      </c>
    </row>
    <row r="15" spans="1:8">
      <c r="D15" t="s">
        <v>2372</v>
      </c>
    </row>
    <row r="16" spans="1:8">
      <c r="C16" t="s">
        <v>2373</v>
      </c>
    </row>
    <row r="17" spans="4:4">
      <c r="D17" t="s">
        <v>2374</v>
      </c>
    </row>
    <row r="18" spans="4:4">
      <c r="D18" t="s">
        <v>2375</v>
      </c>
    </row>
    <row r="19" spans="4:4">
      <c r="D19" t="s">
        <v>2376</v>
      </c>
    </row>
  </sheetData>
  <pageMargins left="0.75" right="0.75" top="1" bottom="1" header="0.5" footer="0.5"/>
  <pageSetup paperSize="9" orientation="portrait"/>
  <headerFooter/>
</worksheet>
</file>

<file path=xl/worksheets/sheet1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2"/>
  <sheetViews>
    <sheetView zoomScale="160" zoomScaleNormal="160" workbookViewId="0">
      <selection activeCell="E2" sqref="E2"/>
    </sheetView>
  </sheetViews>
  <sheetFormatPr defaultColWidth="8.88888888888889" defaultRowHeight="14.4" outlineLevelRow="1" outlineLevelCol="7"/>
  <cols>
    <col min="1" max="1" width="9.66666666666667"/>
  </cols>
  <sheetData>
    <row r="1" spans="1:8">
      <c r="A1" s="1">
        <f>SUM(B1:AZ1)</f>
        <v>0.5</v>
      </c>
      <c r="B1" s="1">
        <f t="shared" ref="B1:H1" si="0">COUNTA(B2:B2051)/COLUMN()</f>
        <v>0.5</v>
      </c>
      <c r="C1" s="1">
        <f t="shared" si="0"/>
        <v>0</v>
      </c>
      <c r="D1" s="1">
        <f t="shared" si="0"/>
        <v>0</v>
      </c>
      <c r="E1" s="1">
        <f t="shared" si="0"/>
        <v>0</v>
      </c>
      <c r="F1" s="1">
        <f t="shared" si="0"/>
        <v>0</v>
      </c>
      <c r="G1" s="1">
        <f t="shared" si="0"/>
        <v>0</v>
      </c>
      <c r="H1" s="1">
        <f t="shared" si="0"/>
        <v>0</v>
      </c>
    </row>
    <row r="2" spans="1:8">
      <c r="A2" t="str" cm="1">
        <f ca="1" t="array" ref="A2">_wpsfn.SHEETSNAME(A1)</f>
        <v>20250922</v>
      </c>
      <c r="B2" t="s">
        <v>2377</v>
      </c>
    </row>
  </sheetData>
  <pageMargins left="0.75" right="0.75" top="1" bottom="1" header="0.5" footer="0.5"/>
  <pageSetup paperSize="9" orientation="portrait"/>
  <headerFooter/>
</worksheet>
</file>

<file path=xl/worksheets/sheet1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2"/>
  <sheetViews>
    <sheetView zoomScale="160" zoomScaleNormal="160" workbookViewId="0">
      <selection activeCell="F3" sqref="F3"/>
    </sheetView>
  </sheetViews>
  <sheetFormatPr defaultColWidth="8.88888888888889" defaultRowHeight="14.4" outlineLevelRow="1" outlineLevelCol="7"/>
  <cols>
    <col min="1" max="1" width="9.66666666666667"/>
  </cols>
  <sheetData>
    <row r="1" spans="1:8">
      <c r="A1" s="1">
        <f>SUM(B1:AZ1)</f>
        <v>0.5</v>
      </c>
      <c r="B1" s="1">
        <f t="shared" ref="B1:H1" si="0">COUNTA(B2:B2051)/COLUMN()</f>
        <v>0.5</v>
      </c>
      <c r="C1" s="1">
        <f t="shared" si="0"/>
        <v>0</v>
      </c>
      <c r="D1" s="1">
        <f t="shared" si="0"/>
        <v>0</v>
      </c>
      <c r="E1" s="1">
        <f t="shared" si="0"/>
        <v>0</v>
      </c>
      <c r="F1" s="1">
        <f t="shared" si="0"/>
        <v>0</v>
      </c>
      <c r="G1" s="1">
        <f t="shared" si="0"/>
        <v>0</v>
      </c>
      <c r="H1" s="1">
        <f t="shared" si="0"/>
        <v>0</v>
      </c>
    </row>
    <row r="2" spans="1:8">
      <c r="A2" t="str" cm="1">
        <f ca="1" t="array" ref="A2">_wpsfn.SHEETSNAME(A1)</f>
        <v>20250927</v>
      </c>
      <c r="B2" t="s">
        <v>2378</v>
      </c>
    </row>
  </sheetData>
  <pageMargins left="0.75" right="0.75" top="1" bottom="1" header="0.5" footer="0.5"/>
  <pageSetup paperSize="9" orientation="portrait"/>
  <headerFooter/>
</worksheet>
</file>

<file path=xl/worksheets/sheet1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15"/>
  <sheetViews>
    <sheetView zoomScale="160" zoomScaleNormal="160" workbookViewId="0">
      <selection activeCell="I6" sqref="I6"/>
    </sheetView>
  </sheetViews>
  <sheetFormatPr defaultColWidth="8.88888888888889" defaultRowHeight="14.4" outlineLevelCol="7"/>
  <cols>
    <col min="1" max="1" width="9.66666666666667"/>
  </cols>
  <sheetData>
    <row r="1" spans="1:8">
      <c r="A1" s="1">
        <f>SUM(B1:AZ1)</f>
        <v>4.01666666666667</v>
      </c>
      <c r="B1" s="1">
        <f t="shared" ref="B1:H1" si="0">COUNTA(B2:B2051)/COLUMN()</f>
        <v>1</v>
      </c>
      <c r="C1" s="1">
        <f t="shared" si="0"/>
        <v>0.666666666666667</v>
      </c>
      <c r="D1" s="1">
        <f t="shared" si="0"/>
        <v>1.75</v>
      </c>
      <c r="E1" s="1">
        <f t="shared" si="0"/>
        <v>0.6</v>
      </c>
      <c r="F1" s="1">
        <f t="shared" si="0"/>
        <v>0</v>
      </c>
      <c r="G1" s="1">
        <f t="shared" si="0"/>
        <v>0</v>
      </c>
      <c r="H1" s="1">
        <f t="shared" si="0"/>
        <v>0</v>
      </c>
    </row>
    <row r="2" spans="1:8">
      <c r="A2" t="str" cm="1">
        <f ca="1" t="array" ref="A2">_wpsfn.SHEETSNAME(A1)</f>
        <v>20251012</v>
      </c>
      <c r="B2" t="s">
        <v>2379</v>
      </c>
    </row>
    <row r="3" spans="1:8">
      <c r="B3" t="s">
        <v>2380</v>
      </c>
    </row>
    <row r="4" spans="1:8">
      <c r="C4" t="s">
        <v>2381</v>
      </c>
    </row>
    <row r="5" spans="1:8">
      <c r="D5" t="s">
        <v>2382</v>
      </c>
    </row>
    <row r="6" spans="1:8">
      <c r="D6" t="s">
        <v>2383</v>
      </c>
    </row>
    <row r="7" spans="1:8">
      <c r="D7" t="s">
        <v>2384</v>
      </c>
    </row>
    <row r="8" spans="1:8">
      <c r="D8" t="s">
        <v>2385</v>
      </c>
    </row>
    <row r="9" spans="1:8">
      <c r="D9" t="s">
        <v>2386</v>
      </c>
    </row>
    <row r="10" spans="1:8">
      <c r="C10" t="s">
        <v>2387</v>
      </c>
    </row>
    <row r="11" spans="1:8">
      <c r="D11" t="s">
        <v>2388</v>
      </c>
    </row>
    <row r="12" spans="1:8">
      <c r="E12" t="s">
        <v>2389</v>
      </c>
    </row>
    <row r="13" spans="1:8">
      <c r="D13" t="s">
        <v>2390</v>
      </c>
    </row>
    <row r="14" spans="1:8">
      <c r="E14" t="s">
        <v>2391</v>
      </c>
    </row>
    <row r="15" spans="1:8">
      <c r="E15" t="s">
        <v>2392</v>
      </c>
    </row>
  </sheetData>
  <pageMargins left="0.75" right="0.75" top="1" bottom="1" header="0.5" footer="0.5"/>
  <pageSetup paperSize="9" orientation="portrait"/>
  <headerFooter/>
</worksheet>
</file>

<file path=xl/worksheets/sheet1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7"/>
  <sheetViews>
    <sheetView zoomScale="160" zoomScaleNormal="160" workbookViewId="0">
      <selection activeCell="D4" sqref="D4"/>
    </sheetView>
  </sheetViews>
  <sheetFormatPr defaultColWidth="8.88888888888889" defaultRowHeight="14.4" outlineLevelRow="6" outlineLevelCol="7"/>
  <cols>
    <col min="1" max="1" width="9.66666666666667"/>
  </cols>
  <sheetData>
    <row r="1" spans="1:8">
      <c r="A1" s="1">
        <f>SUM(B1:AZ1)</f>
        <v>2.16666666666667</v>
      </c>
      <c r="B1" s="1">
        <f t="shared" ref="B1:H1" si="0">COUNTA(B2:B2051)/COLUMN()</f>
        <v>1</v>
      </c>
      <c r="C1" s="1">
        <f t="shared" si="0"/>
        <v>0.666666666666667</v>
      </c>
      <c r="D1" s="1">
        <f t="shared" si="0"/>
        <v>0.5</v>
      </c>
      <c r="E1" s="1">
        <f t="shared" si="0"/>
        <v>0</v>
      </c>
      <c r="F1" s="1">
        <f t="shared" si="0"/>
        <v>0</v>
      </c>
      <c r="G1" s="1">
        <f t="shared" si="0"/>
        <v>0</v>
      </c>
      <c r="H1" s="1">
        <f t="shared" si="0"/>
        <v>0</v>
      </c>
    </row>
    <row r="2" spans="1:8">
      <c r="A2" t="str" cm="1">
        <f ca="1" t="array" ref="A2">_wpsfn.SHEETSNAME(A1)</f>
        <v>20251021</v>
      </c>
      <c r="B2" t="s">
        <v>2393</v>
      </c>
    </row>
    <row r="3" spans="1:8">
      <c r="C3" t="s">
        <v>2394</v>
      </c>
    </row>
    <row r="4" spans="1:8">
      <c r="D4" t="s">
        <v>2395</v>
      </c>
    </row>
    <row r="5" spans="1:8">
      <c r="B5" t="s">
        <v>2396</v>
      </c>
    </row>
    <row r="6" spans="1:8">
      <c r="C6" t="s">
        <v>2397</v>
      </c>
    </row>
    <row r="7" spans="1:8">
      <c r="D7" t="s">
        <v>2398</v>
      </c>
    </row>
  </sheetData>
  <pageMargins left="0.75" right="0.75" top="1" bottom="1" header="0.5" footer="0.5"/>
  <pageSetup paperSize="9" orientation="portrait"/>
  <headerFooter/>
</worksheet>
</file>

<file path=xl/worksheets/sheet1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4"/>
  <sheetViews>
    <sheetView zoomScale="160" zoomScaleNormal="160" workbookViewId="0">
      <selection activeCell="B2" sqref="B2:C5"/>
    </sheetView>
  </sheetViews>
  <sheetFormatPr defaultColWidth="8.88888888888889" defaultRowHeight="14.4" outlineLevelRow="3" outlineLevelCol="7"/>
  <cols>
    <col min="1" max="1" width="9.66666666666667"/>
  </cols>
  <sheetData>
    <row r="1" spans="1:8">
      <c r="A1" s="1">
        <f>SUM(B1:AZ1)</f>
        <v>1.16666666666667</v>
      </c>
      <c r="B1" s="1">
        <f t="shared" ref="B1:H1" si="0">COUNTA(B2:B2051)/COLUMN()</f>
        <v>0.5</v>
      </c>
      <c r="C1" s="1">
        <f t="shared" si="0"/>
        <v>0.666666666666667</v>
      </c>
      <c r="D1" s="1">
        <f t="shared" si="0"/>
        <v>0</v>
      </c>
      <c r="E1" s="1">
        <f t="shared" si="0"/>
        <v>0</v>
      </c>
      <c r="F1" s="1">
        <f t="shared" si="0"/>
        <v>0</v>
      </c>
      <c r="G1" s="1">
        <f t="shared" si="0"/>
        <v>0</v>
      </c>
      <c r="H1" s="1">
        <f t="shared" si="0"/>
        <v>0</v>
      </c>
    </row>
    <row r="2" spans="1:8">
      <c r="A2" t="str" cm="1">
        <f ca="1" t="array" ref="A2">_wpsfn.SHEETSNAME(A1)</f>
        <v>20251022</v>
      </c>
      <c r="B2" t="s">
        <v>2399</v>
      </c>
    </row>
    <row r="3" spans="1:8">
      <c r="C3" t="s">
        <v>2400</v>
      </c>
    </row>
    <row r="4" spans="1:8">
      <c r="C4" t="s">
        <v>2401</v>
      </c>
    </row>
  </sheetData>
  <pageMargins left="0.75" right="0.75" top="1" bottom="1" header="0.5" footer="0.5"/>
  <pageSetup paperSize="9" orientation="portrait"/>
  <headerFooter/>
</worksheet>
</file>

<file path=xl/worksheets/sheet1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7"/>
  <sheetViews>
    <sheetView zoomScale="160" zoomScaleNormal="160" workbookViewId="0">
      <selection activeCell="G6" sqref="G6"/>
    </sheetView>
  </sheetViews>
  <sheetFormatPr defaultColWidth="8.88888888888889" defaultRowHeight="14.4" outlineLevelRow="6" outlineLevelCol="7"/>
  <cols>
    <col min="1" max="1" width="9.66666666666667"/>
  </cols>
  <sheetData>
    <row r="1" spans="1:8">
      <c r="A1" s="1">
        <f>SUM(B1:AZ1)</f>
        <v>2</v>
      </c>
      <c r="B1" s="1">
        <f t="shared" ref="B1:H1" si="0">COUNTA(B2:B2051)/COLUMN()</f>
        <v>0.5</v>
      </c>
      <c r="C1" s="1">
        <f t="shared" si="0"/>
        <v>1</v>
      </c>
      <c r="D1" s="1">
        <f t="shared" si="0"/>
        <v>0.5</v>
      </c>
      <c r="E1" s="1">
        <f t="shared" si="0"/>
        <v>0</v>
      </c>
      <c r="F1" s="1">
        <f t="shared" si="0"/>
        <v>0</v>
      </c>
      <c r="G1" s="1">
        <f t="shared" si="0"/>
        <v>0</v>
      </c>
      <c r="H1" s="1">
        <f t="shared" si="0"/>
        <v>0</v>
      </c>
    </row>
    <row r="2" spans="1:8">
      <c r="A2" t="str" cm="1">
        <f ca="1" t="array" ref="A2">_wpsfn.SHEETSNAME(A1)</f>
        <v>20251023</v>
      </c>
      <c r="B2" t="s">
        <v>2402</v>
      </c>
    </row>
    <row r="3" spans="1:8">
      <c r="C3" t="s">
        <v>2403</v>
      </c>
    </row>
    <row r="4" spans="1:8">
      <c r="C4" t="s">
        <v>2404</v>
      </c>
    </row>
    <row r="5" spans="1:8">
      <c r="C5" t="s">
        <v>2405</v>
      </c>
    </row>
    <row r="6" spans="1:8">
      <c r="D6" t="s">
        <v>2406</v>
      </c>
    </row>
    <row r="7" spans="1:8">
      <c r="D7" t="s">
        <v>2407</v>
      </c>
    </row>
  </sheetData>
  <pageMargins left="0.75" right="0.75" top="1" bottom="1" header="0.5" footer="0.5"/>
  <pageSetup paperSize="9" orientation="portrait"/>
  <headerFooter/>
</worksheet>
</file>

<file path=xl/worksheets/sheet1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3"/>
  <sheetViews>
    <sheetView zoomScale="160" zoomScaleNormal="160" workbookViewId="0">
      <selection activeCell="C4" sqref="C4"/>
    </sheetView>
  </sheetViews>
  <sheetFormatPr defaultColWidth="8.88888888888889" defaultRowHeight="14.4" outlineLevelRow="2" outlineLevelCol="7"/>
  <cols>
    <col min="1" max="1" width="9.66666666666667"/>
  </cols>
  <sheetData>
    <row r="1" spans="1:8">
      <c r="A1" s="1">
        <f>SUM(B1:AZ1)</f>
        <v>0.833333333333333</v>
      </c>
      <c r="B1" s="1">
        <f t="shared" ref="B1:H1" si="0">COUNTA(B2:B2051)/COLUMN()</f>
        <v>0.5</v>
      </c>
      <c r="C1" s="1">
        <f t="shared" si="0"/>
        <v>0.333333333333333</v>
      </c>
      <c r="D1" s="1">
        <f t="shared" si="0"/>
        <v>0</v>
      </c>
      <c r="E1" s="1">
        <f t="shared" si="0"/>
        <v>0</v>
      </c>
      <c r="F1" s="1">
        <f t="shared" si="0"/>
        <v>0</v>
      </c>
      <c r="G1" s="1">
        <f t="shared" si="0"/>
        <v>0</v>
      </c>
      <c r="H1" s="1">
        <f t="shared" si="0"/>
        <v>0</v>
      </c>
    </row>
    <row r="2" spans="1:8">
      <c r="A2" t="str" cm="1">
        <f ca="1" t="array" ref="A2">_wpsfn.SHEETSNAME(A1)</f>
        <v>20251027</v>
      </c>
      <c r="B2" t="s">
        <v>2408</v>
      </c>
    </row>
    <row r="3" spans="1:8">
      <c r="C3" t="s">
        <v>2409</v>
      </c>
    </row>
  </sheetData>
  <pageMargins left="0.75" right="0.75" top="1" bottom="1" header="0.5" footer="0.5"/>
  <pageSetup paperSize="9" orientation="portrait"/>
  <headerFooter/>
</worksheet>
</file>

<file path=xl/worksheets/sheet1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5"/>
  <sheetViews>
    <sheetView zoomScale="160" zoomScaleNormal="160" workbookViewId="0">
      <selection activeCell="J9" sqref="J9"/>
    </sheetView>
  </sheetViews>
  <sheetFormatPr defaultColWidth="8.88888888888889" defaultRowHeight="14.4" outlineLevelRow="4" outlineLevelCol="7"/>
  <cols>
    <col min="1" max="1" width="9.66666666666667"/>
  </cols>
  <sheetData>
    <row r="1" spans="1:8">
      <c r="A1" s="1">
        <f>SUM(B1:AZ1)</f>
        <v>1.41666666666667</v>
      </c>
      <c r="B1" s="1">
        <f t="shared" ref="B1:H1" si="0">COUNTA(B2:B2051)/COLUMN()</f>
        <v>0.5</v>
      </c>
      <c r="C1" s="1">
        <f t="shared" si="0"/>
        <v>0.666666666666667</v>
      </c>
      <c r="D1" s="1">
        <f t="shared" si="0"/>
        <v>0.25</v>
      </c>
      <c r="E1" s="1">
        <f t="shared" si="0"/>
        <v>0</v>
      </c>
      <c r="F1" s="1">
        <f t="shared" si="0"/>
        <v>0</v>
      </c>
      <c r="G1" s="1">
        <f t="shared" si="0"/>
        <v>0</v>
      </c>
      <c r="H1" s="1">
        <f t="shared" si="0"/>
        <v>0</v>
      </c>
    </row>
    <row r="2" spans="1:8">
      <c r="A2" t="str" cm="1">
        <f ca="1" t="array" ref="A2">_wpsfn.SHEETSNAME(A1)</f>
        <v>20251031</v>
      </c>
      <c r="B2" t="s">
        <v>2410</v>
      </c>
    </row>
    <row r="3" spans="1:8">
      <c r="C3" t="s">
        <v>2411</v>
      </c>
    </row>
    <row r="4" spans="1:8">
      <c r="C4" t="s">
        <v>2412</v>
      </c>
    </row>
    <row r="5" spans="1:8">
      <c r="D5" t="s">
        <v>2413</v>
      </c>
    </row>
  </sheetData>
  <pageMargins left="0.75" right="0.75" top="1" bottom="1" header="0.5" footer="0.5"/>
  <pageSetup paperSize="9" orientation="portrait"/>
  <headerFooter/>
</worksheet>
</file>

<file path=xl/worksheets/sheet1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33"/>
  <sheetViews>
    <sheetView zoomScale="160" zoomScaleNormal="160" topLeftCell="A19" workbookViewId="0">
      <selection activeCell="C28" sqref="C28"/>
    </sheetView>
  </sheetViews>
  <sheetFormatPr defaultColWidth="8.88888888888889" defaultRowHeight="14.4" outlineLevelCol="7"/>
  <cols>
    <col min="1" max="1" width="9.66666666666667"/>
  </cols>
  <sheetData>
    <row r="1" spans="1:8">
      <c r="A1" s="1">
        <f>SUM(B1:AZ1)</f>
        <v>11.3166666666667</v>
      </c>
      <c r="B1" s="1">
        <f t="shared" ref="B1:H1" si="0">COUNTA(B2:B2053)/COLUMN()</f>
        <v>3.5</v>
      </c>
      <c r="C1" s="1">
        <f t="shared" si="0"/>
        <v>6.66666666666667</v>
      </c>
      <c r="D1" s="1">
        <f t="shared" si="0"/>
        <v>0.75</v>
      </c>
      <c r="E1" s="1">
        <f t="shared" si="0"/>
        <v>0.4</v>
      </c>
      <c r="F1" s="1">
        <f t="shared" si="0"/>
        <v>0</v>
      </c>
      <c r="G1" s="1">
        <f t="shared" si="0"/>
        <v>0</v>
      </c>
      <c r="H1" s="1">
        <f t="shared" si="0"/>
        <v>0</v>
      </c>
    </row>
    <row r="2" spans="1:8">
      <c r="A2" t="str" cm="1">
        <f ca="1" t="array" ref="A2">_wpsfn.SHEETSNAME(A1)</f>
        <v>20251102</v>
      </c>
      <c r="B2" t="s">
        <v>2414</v>
      </c>
    </row>
    <row r="3" spans="1:8">
      <c r="C3" t="s">
        <v>2415</v>
      </c>
    </row>
    <row r="4" spans="1:8">
      <c r="D4" t="s">
        <v>2416</v>
      </c>
    </row>
    <row r="5" spans="1:8">
      <c r="D5" t="s">
        <v>2417</v>
      </c>
    </row>
    <row r="6" spans="1:8">
      <c r="E6" t="s">
        <v>2418</v>
      </c>
    </row>
    <row r="7" spans="1:8">
      <c r="E7" t="s">
        <v>2419</v>
      </c>
    </row>
    <row r="8" spans="1:8">
      <c r="C8" t="s">
        <v>2420</v>
      </c>
    </row>
    <row r="9" spans="1:8">
      <c r="B9" t="s">
        <v>2421</v>
      </c>
    </row>
    <row r="10" spans="1:8">
      <c r="C10" t="s">
        <v>2422</v>
      </c>
    </row>
    <row r="11" spans="1:8">
      <c r="D11" t="s">
        <v>2423</v>
      </c>
    </row>
    <row r="12" spans="1:8">
      <c r="B12" t="s">
        <v>2424</v>
      </c>
    </row>
    <row r="13" spans="1:8">
      <c r="C13" t="s">
        <v>2425</v>
      </c>
    </row>
    <row r="14" spans="1:8">
      <c r="C14" t="s">
        <v>2426</v>
      </c>
    </row>
    <row r="15" spans="1:8">
      <c r="C15" t="s">
        <v>2427</v>
      </c>
    </row>
    <row r="16" spans="1:8">
      <c r="B16" t="s">
        <v>2428</v>
      </c>
    </row>
    <row r="17" spans="2:3">
      <c r="C17" t="s">
        <v>2429</v>
      </c>
    </row>
    <row r="18" spans="2:3">
      <c r="C18" t="s">
        <v>2430</v>
      </c>
    </row>
    <row r="19" spans="2:3">
      <c r="C19" t="s">
        <v>2431</v>
      </c>
    </row>
    <row r="20" spans="2:3">
      <c r="C20" t="s">
        <v>2432</v>
      </c>
    </row>
    <row r="21" spans="2:3">
      <c r="C21" t="s">
        <v>2433</v>
      </c>
    </row>
    <row r="22" spans="2:3">
      <c r="C22" t="s">
        <v>2434</v>
      </c>
    </row>
    <row r="23" spans="2:3">
      <c r="B23" t="s">
        <v>2435</v>
      </c>
    </row>
    <row r="24" spans="2:3">
      <c r="C24" t="s">
        <v>2436</v>
      </c>
    </row>
    <row r="25" spans="2:3">
      <c r="C25" t="s">
        <v>2437</v>
      </c>
    </row>
    <row r="26" spans="2:3">
      <c r="B26" t="s">
        <v>2438</v>
      </c>
    </row>
    <row r="27" spans="2:3">
      <c r="C27" t="s">
        <v>2439</v>
      </c>
    </row>
    <row r="28" spans="2:3">
      <c r="C28" t="s">
        <v>2440</v>
      </c>
    </row>
    <row r="29" spans="2:3">
      <c r="C29" t="s">
        <v>2441</v>
      </c>
    </row>
    <row r="30" spans="2:3">
      <c r="B30" t="s">
        <v>2442</v>
      </c>
    </row>
    <row r="31" spans="2:3">
      <c r="C31" t="s">
        <v>2443</v>
      </c>
    </row>
    <row r="32" spans="2:3">
      <c r="C32" t="s">
        <v>2444</v>
      </c>
    </row>
    <row r="33" spans="3:3">
      <c r="C33" t="s">
        <v>2445</v>
      </c>
    </row>
  </sheetData>
  <pageMargins left="0.75" right="0.75" top="1" bottom="1" header="0.5" footer="0.5"/>
  <pageSetup paperSize="9" orientation="portrait"/>
  <headerFooter/>
</worksheet>
</file>

<file path=xl/worksheets/sheet1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21"/>
  <sheetViews>
    <sheetView zoomScale="160" zoomScaleNormal="160" workbookViewId="0">
      <selection activeCell="C22" sqref="C22"/>
    </sheetView>
  </sheetViews>
  <sheetFormatPr defaultColWidth="8.88888888888889" defaultRowHeight="14.4" outlineLevelCol="7"/>
  <cols>
    <col min="1" max="1" width="9.66666666666667"/>
  </cols>
  <sheetData>
    <row r="1" spans="1:8">
      <c r="A1" s="1">
        <f>SUM(B1:AZ1)</f>
        <v>7.33333333333333</v>
      </c>
      <c r="B1" s="1">
        <f t="shared" ref="B1:H1" si="0">COUNTA(B2:B2055)/COLUMN()</f>
        <v>2.5</v>
      </c>
      <c r="C1" s="1">
        <f t="shared" si="0"/>
        <v>4.33333333333333</v>
      </c>
      <c r="D1" s="1">
        <f t="shared" si="0"/>
        <v>0.5</v>
      </c>
      <c r="E1" s="1">
        <f t="shared" si="0"/>
        <v>0</v>
      </c>
      <c r="F1" s="1">
        <f t="shared" si="0"/>
        <v>0</v>
      </c>
      <c r="G1" s="1">
        <f t="shared" si="0"/>
        <v>0</v>
      </c>
      <c r="H1" s="1">
        <f t="shared" si="0"/>
        <v>0</v>
      </c>
    </row>
    <row r="2" spans="1:8">
      <c r="A2" t="str" cm="1">
        <f ca="1" t="array" ref="A2">_wpsfn.SHEETSNAME(A1)</f>
        <v>20251103</v>
      </c>
      <c r="B2" t="s">
        <v>2446</v>
      </c>
    </row>
    <row r="3" spans="1:8">
      <c r="C3" t="s">
        <v>2447</v>
      </c>
    </row>
    <row r="4" spans="1:8">
      <c r="D4" t="s">
        <v>2448</v>
      </c>
    </row>
    <row r="5" spans="1:8">
      <c r="C5" t="s">
        <v>2449</v>
      </c>
    </row>
    <row r="6" spans="1:8">
      <c r="B6" t="s">
        <v>2450</v>
      </c>
    </row>
    <row r="7" spans="1:8">
      <c r="B7" t="s">
        <v>2451</v>
      </c>
    </row>
    <row r="8" spans="1:8">
      <c r="B8" t="s">
        <v>2452</v>
      </c>
    </row>
    <row r="9" spans="1:8">
      <c r="C9" t="s">
        <v>2453</v>
      </c>
    </row>
    <row r="10" spans="1:8">
      <c r="C10" t="s">
        <v>2454</v>
      </c>
    </row>
    <row r="11" spans="1:8">
      <c r="C11" t="s">
        <v>2431</v>
      </c>
    </row>
    <row r="12" spans="1:8">
      <c r="C12" t="s">
        <v>2432</v>
      </c>
    </row>
    <row r="13" spans="1:8">
      <c r="C13" t="s">
        <v>2433</v>
      </c>
    </row>
    <row r="14" spans="1:8">
      <c r="C14" t="s">
        <v>2455</v>
      </c>
    </row>
    <row r="15" spans="1:8">
      <c r="D15" t="s">
        <v>2456</v>
      </c>
    </row>
    <row r="16" spans="1:8">
      <c r="C16" t="s">
        <v>2457</v>
      </c>
    </row>
    <row r="17" spans="2:3">
      <c r="C17" t="s">
        <v>2458</v>
      </c>
    </row>
    <row r="18" spans="2:3">
      <c r="B18" t="s">
        <v>2459</v>
      </c>
    </row>
    <row r="19" spans="2:3">
      <c r="C19" t="s">
        <v>2460</v>
      </c>
    </row>
    <row r="20" spans="2:3">
      <c r="C20" t="s">
        <v>2461</v>
      </c>
    </row>
    <row r="21" spans="2:3">
      <c r="C21" t="s">
        <v>2462</v>
      </c>
    </row>
  </sheetData>
  <pageMargins left="0.75" right="0.75" top="1" bottom="1" header="0.5" footer="0.5"/>
  <pageSetup paperSize="9" orientation="portrait"/>
  <headerFooter/>
</worksheet>
</file>

<file path=xl/worksheets/sheet1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17"/>
  <sheetViews>
    <sheetView zoomScale="160" zoomScaleNormal="160" topLeftCell="A5" workbookViewId="0">
      <selection activeCell="B7" sqref="B7"/>
    </sheetView>
  </sheetViews>
  <sheetFormatPr defaultColWidth="8.88888888888889" defaultRowHeight="14.4" outlineLevelCol="7"/>
  <cols>
    <col min="1" max="1" width="9.66666666666667"/>
  </cols>
  <sheetData>
    <row r="1" spans="1:8">
      <c r="A1" s="1">
        <f>SUM(B1:AZ1)</f>
        <v>6.25</v>
      </c>
      <c r="B1" s="1">
        <f t="shared" ref="B1:H1" si="0">COUNTA(B2:B2055)/COLUMN()</f>
        <v>3</v>
      </c>
      <c r="C1" s="1">
        <f t="shared" si="0"/>
        <v>3</v>
      </c>
      <c r="D1" s="1">
        <f t="shared" si="0"/>
        <v>0.25</v>
      </c>
      <c r="E1" s="1">
        <f t="shared" si="0"/>
        <v>0</v>
      </c>
      <c r="F1" s="1">
        <f t="shared" si="0"/>
        <v>0</v>
      </c>
      <c r="G1" s="1">
        <f t="shared" si="0"/>
        <v>0</v>
      </c>
      <c r="H1" s="1">
        <f t="shared" si="0"/>
        <v>0</v>
      </c>
    </row>
    <row r="2" spans="1:8">
      <c r="A2" t="str" cm="1">
        <f ca="1" t="array" ref="A2">_wpsfn.SHEETSNAME(A1)</f>
        <v>20251104</v>
      </c>
      <c r="B2" t="s">
        <v>2463</v>
      </c>
    </row>
    <row r="3" spans="1:8">
      <c r="B3" t="s">
        <v>2464</v>
      </c>
    </row>
    <row r="4" spans="1:8">
      <c r="C4" t="s">
        <v>2465</v>
      </c>
    </row>
    <row r="5" spans="1:8">
      <c r="B5" t="s">
        <v>2466</v>
      </c>
    </row>
    <row r="6" spans="1:8">
      <c r="C6" t="s">
        <v>2467</v>
      </c>
    </row>
    <row r="7" spans="1:8">
      <c r="B7" t="s">
        <v>2468</v>
      </c>
    </row>
    <row r="8" spans="1:8">
      <c r="C8" t="s">
        <v>2469</v>
      </c>
    </row>
    <row r="9" spans="1:8">
      <c r="C9" t="s">
        <v>2470</v>
      </c>
    </row>
    <row r="10" spans="1:8">
      <c r="C10" t="s">
        <v>2471</v>
      </c>
    </row>
    <row r="11" spans="1:8">
      <c r="D11" t="s">
        <v>2472</v>
      </c>
    </row>
    <row r="12" spans="1:8">
      <c r="B12" t="s">
        <v>2473</v>
      </c>
    </row>
    <row r="13" spans="1:8">
      <c r="C13" t="s">
        <v>2474</v>
      </c>
    </row>
    <row r="14" spans="1:8">
      <c r="B14" t="s">
        <v>2475</v>
      </c>
    </row>
    <row r="15" spans="1:8">
      <c r="C15" t="s">
        <v>2476</v>
      </c>
    </row>
    <row r="16" spans="1:8">
      <c r="C16" t="s">
        <v>2477</v>
      </c>
    </row>
    <row r="17" spans="3:3">
      <c r="C17" t="s">
        <v>2478</v>
      </c>
    </row>
  </sheetData>
  <pageMargins left="0.75" right="0.75" top="1" bottom="1" header="0.5" footer="0.5"/>
  <pageSetup paperSize="9" orientation="portrait"/>
  <headerFooter/>
</worksheet>
</file>

<file path=xl/worksheets/sheet1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32"/>
  <sheetViews>
    <sheetView zoomScale="160" zoomScaleNormal="160" topLeftCell="B2" workbookViewId="0">
      <selection activeCell="C13" sqref="C13"/>
    </sheetView>
  </sheetViews>
  <sheetFormatPr defaultColWidth="8.88888888888889" defaultRowHeight="14.4" outlineLevelCol="7"/>
  <cols>
    <col min="1" max="1" width="9.66666666666667"/>
  </cols>
  <sheetData>
    <row r="1" spans="1:8">
      <c r="A1" s="1">
        <f>SUM(B1:AZ1)</f>
        <v>10.5</v>
      </c>
      <c r="B1" s="1">
        <f t="shared" ref="B1:H1" si="0">COUNTA(B2:B2057)/COLUMN()</f>
        <v>3</v>
      </c>
      <c r="C1" s="1">
        <f t="shared" si="0"/>
        <v>5</v>
      </c>
      <c r="D1" s="1">
        <f t="shared" si="0"/>
        <v>2.5</v>
      </c>
      <c r="E1" s="1">
        <f t="shared" si="0"/>
        <v>0</v>
      </c>
      <c r="F1" s="1">
        <f t="shared" si="0"/>
        <v>0</v>
      </c>
      <c r="G1" s="1">
        <f t="shared" si="0"/>
        <v>0</v>
      </c>
      <c r="H1" s="1">
        <f t="shared" si="0"/>
        <v>0</v>
      </c>
    </row>
    <row r="2" spans="1:8">
      <c r="A2" t="str" cm="1">
        <f ca="1" t="array" ref="A2">_wpsfn.SHEETSNAME(A1)</f>
        <v>20251105</v>
      </c>
      <c r="B2" t="s">
        <v>2479</v>
      </c>
    </row>
    <row r="3" spans="1:8">
      <c r="C3" t="s">
        <v>2480</v>
      </c>
    </row>
    <row r="4" spans="1:8">
      <c r="D4" t="s">
        <v>2481</v>
      </c>
    </row>
    <row r="5" spans="1:8">
      <c r="D5" t="s">
        <v>2482</v>
      </c>
    </row>
    <row r="6" spans="1:8">
      <c r="D6" t="s">
        <v>2483</v>
      </c>
    </row>
    <row r="7" spans="1:8">
      <c r="C7" t="s">
        <v>2484</v>
      </c>
    </row>
    <row r="8" spans="1:8">
      <c r="B8" t="s">
        <v>2485</v>
      </c>
    </row>
    <row r="9" spans="1:8">
      <c r="C9" t="s">
        <v>2486</v>
      </c>
    </row>
    <row r="10" spans="1:8">
      <c r="B10" t="s">
        <v>2487</v>
      </c>
    </row>
    <row r="11" spans="1:8">
      <c r="C11" t="s">
        <v>2488</v>
      </c>
    </row>
    <row r="12" spans="1:8">
      <c r="C12" t="s">
        <v>2489</v>
      </c>
    </row>
    <row r="13" spans="1:8">
      <c r="C13" t="s">
        <v>2490</v>
      </c>
    </row>
    <row r="14" spans="1:8">
      <c r="B14" t="s">
        <v>2491</v>
      </c>
    </row>
    <row r="15" spans="1:8">
      <c r="C15" t="s">
        <v>2492</v>
      </c>
    </row>
    <row r="16" spans="1:8">
      <c r="D16" t="s">
        <v>2493</v>
      </c>
    </row>
    <row r="17" spans="2:4">
      <c r="D17" t="s">
        <v>2494</v>
      </c>
    </row>
    <row r="18" spans="2:4">
      <c r="C18" t="s">
        <v>2495</v>
      </c>
    </row>
    <row r="19" spans="2:4">
      <c r="D19" t="s">
        <v>2496</v>
      </c>
    </row>
    <row r="20" spans="2:4">
      <c r="D20" t="s">
        <v>2497</v>
      </c>
    </row>
    <row r="21" spans="2:4">
      <c r="C21" t="s">
        <v>2498</v>
      </c>
    </row>
    <row r="22" spans="2:4">
      <c r="D22" t="s">
        <v>2499</v>
      </c>
    </row>
    <row r="23" spans="2:4">
      <c r="C23" t="s">
        <v>2500</v>
      </c>
    </row>
    <row r="24" spans="2:4">
      <c r="D24" t="s">
        <v>2501</v>
      </c>
    </row>
    <row r="25" spans="2:4">
      <c r="D25" t="s">
        <v>2502</v>
      </c>
    </row>
    <row r="26" spans="2:4">
      <c r="B26" t="s">
        <v>2503</v>
      </c>
    </row>
    <row r="27" spans="2:4">
      <c r="C27" t="s">
        <v>2504</v>
      </c>
    </row>
    <row r="28" spans="2:4">
      <c r="B28" t="s">
        <v>2505</v>
      </c>
    </row>
    <row r="29" spans="2:4">
      <c r="C29" t="s">
        <v>2506</v>
      </c>
    </row>
    <row r="30" spans="2:4">
      <c r="C30" t="s">
        <v>2507</v>
      </c>
    </row>
    <row r="31" spans="2:4">
      <c r="C31" t="s">
        <v>2508</v>
      </c>
    </row>
    <row r="32" spans="2:4">
      <c r="C32" t="s">
        <v>2509</v>
      </c>
    </row>
  </sheetData>
  <pageMargins left="0.75" right="0.75" top="1" bottom="1" header="0.5" footer="0.5"/>
  <pageSetup paperSize="9" orientation="portrait"/>
  <headerFooter/>
</worksheet>
</file>

<file path=xl/worksheets/sheet1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69"/>
  <sheetViews>
    <sheetView zoomScale="130" zoomScaleNormal="130" topLeftCell="A49" workbookViewId="0">
      <selection activeCell="L22" sqref="L22"/>
    </sheetView>
  </sheetViews>
  <sheetFormatPr defaultColWidth="8.88888888888889" defaultRowHeight="14.4" outlineLevelCol="7"/>
  <cols>
    <col min="1" max="1" width="9.66666666666667"/>
  </cols>
  <sheetData>
    <row r="1" spans="1:8">
      <c r="A1" s="1">
        <f>SUM(B1:AZ1)</f>
        <v>16.6452380952381</v>
      </c>
      <c r="B1" s="1">
        <f t="shared" ref="B1:H1" si="0">COUNTA(B2:B2059)/COLUMN()</f>
        <v>1.5</v>
      </c>
      <c r="C1" s="1">
        <f t="shared" si="0"/>
        <v>3.66666666666667</v>
      </c>
      <c r="D1" s="1">
        <f t="shared" si="0"/>
        <v>5.75</v>
      </c>
      <c r="E1" s="1">
        <f t="shared" si="0"/>
        <v>3.8</v>
      </c>
      <c r="F1" s="1">
        <f t="shared" si="0"/>
        <v>1.5</v>
      </c>
      <c r="G1" s="1">
        <f t="shared" si="0"/>
        <v>0.428571428571429</v>
      </c>
      <c r="H1" s="1">
        <f t="shared" si="0"/>
        <v>0</v>
      </c>
    </row>
    <row r="2" spans="1:8">
      <c r="A2" t="str" cm="1">
        <f ca="1" t="array" ref="A2">_wpsfn.SHEETSNAME(A1)</f>
        <v>20251106</v>
      </c>
      <c r="B2" t="s">
        <v>2510</v>
      </c>
    </row>
    <row r="3" spans="1:8">
      <c r="C3" t="s">
        <v>2511</v>
      </c>
    </row>
    <row r="4" spans="1:8">
      <c r="D4" t="s">
        <v>2512</v>
      </c>
    </row>
    <row r="5" spans="1:8">
      <c r="C5" t="s">
        <v>2513</v>
      </c>
    </row>
    <row r="6" spans="1:8">
      <c r="D6" t="s">
        <v>2514</v>
      </c>
    </row>
    <row r="7" spans="1:8">
      <c r="C7" t="s">
        <v>2515</v>
      </c>
    </row>
    <row r="8" spans="1:8">
      <c r="D8" t="s">
        <v>2516</v>
      </c>
    </row>
    <row r="9" spans="1:8">
      <c r="D9" t="s">
        <v>2517</v>
      </c>
    </row>
    <row r="10" spans="1:8">
      <c r="E10" t="s">
        <v>2518</v>
      </c>
    </row>
    <row r="11" spans="1:8">
      <c r="D11" t="s">
        <v>2519</v>
      </c>
    </row>
    <row r="12" spans="1:8">
      <c r="E12" t="s">
        <v>2520</v>
      </c>
    </row>
    <row r="13" spans="1:8">
      <c r="E13" t="s">
        <v>2521</v>
      </c>
    </row>
    <row r="14" spans="1:8">
      <c r="E14" t="s">
        <v>2522</v>
      </c>
    </row>
    <row r="15" spans="1:8">
      <c r="E15" t="s">
        <v>2523</v>
      </c>
    </row>
    <row r="16" spans="1:8">
      <c r="B16" t="s">
        <v>2524</v>
      </c>
    </row>
    <row r="17" spans="3:5">
      <c r="C17" t="s">
        <v>2525</v>
      </c>
    </row>
    <row r="18" spans="3:5">
      <c r="D18" t="s">
        <v>2526</v>
      </c>
    </row>
    <row r="19" spans="3:5">
      <c r="E19" t="s">
        <v>2527</v>
      </c>
    </row>
    <row r="20" spans="3:5">
      <c r="E20" t="s">
        <v>2528</v>
      </c>
    </row>
    <row r="21" spans="3:5">
      <c r="D21" t="s">
        <v>2529</v>
      </c>
    </row>
    <row r="22" spans="3:5">
      <c r="D22" t="s">
        <v>2530</v>
      </c>
    </row>
    <row r="23" spans="3:5">
      <c r="E23" t="s">
        <v>2531</v>
      </c>
    </row>
    <row r="24" spans="3:5">
      <c r="E24" t="s">
        <v>2532</v>
      </c>
    </row>
    <row r="25" spans="3:5">
      <c r="C25" t="s">
        <v>2533</v>
      </c>
    </row>
    <row r="26" spans="3:5">
      <c r="D26" t="s">
        <v>2534</v>
      </c>
    </row>
    <row r="27" spans="3:5">
      <c r="E27" t="s">
        <v>2535</v>
      </c>
    </row>
    <row r="28" spans="3:5">
      <c r="E28" t="s">
        <v>2536</v>
      </c>
    </row>
    <row r="29" spans="3:5">
      <c r="D29" t="s">
        <v>2537</v>
      </c>
    </row>
    <row r="30" spans="3:5">
      <c r="E30" t="s">
        <v>2538</v>
      </c>
    </row>
    <row r="31" spans="3:5">
      <c r="E31" t="s">
        <v>2539</v>
      </c>
    </row>
    <row r="32" spans="3:5">
      <c r="C32" t="s">
        <v>2540</v>
      </c>
    </row>
    <row r="33" spans="4:7">
      <c r="D33" t="s">
        <v>2541</v>
      </c>
    </row>
    <row r="34" spans="4:7">
      <c r="E34" t="s">
        <v>2542</v>
      </c>
    </row>
    <row r="35" spans="4:7">
      <c r="F35" t="s">
        <v>2543</v>
      </c>
    </row>
    <row r="36" spans="4:7">
      <c r="F36" t="s">
        <v>2544</v>
      </c>
    </row>
    <row r="37" spans="4:7">
      <c r="E37" t="s">
        <v>2545</v>
      </c>
    </row>
    <row r="38" spans="4:7">
      <c r="F38" t="s">
        <v>2546</v>
      </c>
    </row>
    <row r="39" spans="4:7">
      <c r="F39" t="s">
        <v>2547</v>
      </c>
    </row>
    <row r="40" spans="4:7">
      <c r="E40" t="s">
        <v>2548</v>
      </c>
    </row>
    <row r="41" spans="4:7">
      <c r="D41" t="s">
        <v>2549</v>
      </c>
    </row>
    <row r="42" spans="4:7">
      <c r="E42" t="s">
        <v>2550</v>
      </c>
    </row>
    <row r="43" spans="4:7">
      <c r="F43" t="s">
        <v>2551</v>
      </c>
    </row>
    <row r="44" spans="4:7">
      <c r="F44" t="s">
        <v>2552</v>
      </c>
    </row>
    <row r="45" spans="4:7">
      <c r="E45" t="s">
        <v>2553</v>
      </c>
    </row>
    <row r="46" spans="4:7">
      <c r="F46" t="s">
        <v>2554</v>
      </c>
    </row>
    <row r="47" spans="4:7">
      <c r="G47" t="s">
        <v>2555</v>
      </c>
    </row>
    <row r="48" spans="4:7">
      <c r="G48" t="s">
        <v>2556</v>
      </c>
    </row>
    <row r="49" spans="2:7">
      <c r="F49" t="s">
        <v>2557</v>
      </c>
    </row>
    <row r="50" spans="2:7">
      <c r="G50" t="s">
        <v>2558</v>
      </c>
    </row>
    <row r="51" spans="2:7">
      <c r="E51" t="s">
        <v>2559</v>
      </c>
    </row>
    <row r="52" spans="2:7">
      <c r="F52" t="s">
        <v>2560</v>
      </c>
    </row>
    <row r="53" spans="2:7">
      <c r="B53" t="s">
        <v>2561</v>
      </c>
    </row>
    <row r="54" spans="2:7">
      <c r="C54" t="s">
        <v>2562</v>
      </c>
    </row>
    <row r="55" spans="2:7">
      <c r="C55" t="s">
        <v>2563</v>
      </c>
    </row>
    <row r="56" spans="2:7">
      <c r="D56" t="s">
        <v>2564</v>
      </c>
    </row>
    <row r="57" spans="2:7">
      <c r="D57" t="s">
        <v>2565</v>
      </c>
    </row>
    <row r="58" spans="2:7">
      <c r="D58" t="s">
        <v>2566</v>
      </c>
    </row>
    <row r="59" spans="2:7">
      <c r="C59" t="s">
        <v>2567</v>
      </c>
    </row>
    <row r="60" spans="2:7">
      <c r="D60" t="s">
        <v>2568</v>
      </c>
    </row>
    <row r="61" spans="2:7">
      <c r="D61" t="s">
        <v>2569</v>
      </c>
    </row>
    <row r="62" spans="2:7">
      <c r="D62" t="s">
        <v>2570</v>
      </c>
    </row>
    <row r="63" spans="2:7">
      <c r="D63" t="s">
        <v>2571</v>
      </c>
    </row>
    <row r="64" spans="2:7">
      <c r="C64" t="s">
        <v>2572</v>
      </c>
    </row>
    <row r="65" spans="3:4">
      <c r="D65" t="s">
        <v>2573</v>
      </c>
    </row>
    <row r="66" spans="3:4">
      <c r="D66" t="s">
        <v>2574</v>
      </c>
    </row>
    <row r="67" spans="3:4">
      <c r="C67" t="s">
        <v>2575</v>
      </c>
    </row>
    <row r="68" spans="3:4">
      <c r="D68" t="s">
        <v>2576</v>
      </c>
    </row>
    <row r="69" spans="3:4">
      <c r="D69" t="s">
        <v>2577</v>
      </c>
    </row>
  </sheetData>
  <pageMargins left="0.75" right="0.75" top="1" bottom="1" header="0.5" footer="0.5"/>
  <pageSetup paperSize="9" orientation="portrait"/>
  <headerFooter/>
</worksheet>
</file>

<file path=xl/worksheets/sheet1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J70"/>
  <sheetViews>
    <sheetView topLeftCell="A39" workbookViewId="0">
      <selection activeCell="B55" sqref="B55"/>
    </sheetView>
  </sheetViews>
  <sheetFormatPr defaultColWidth="8.88888888888889" defaultRowHeight="14.4"/>
  <cols>
    <col min="1" max="1" width="9.66666666666667"/>
  </cols>
  <sheetData>
    <row r="1" spans="1:10">
      <c r="A1" s="1">
        <f>SUM(B1:AZ1)</f>
        <v>21.1</v>
      </c>
      <c r="B1" s="1">
        <f t="shared" ref="B1:H1" si="0">COUNTA(B2:B2063)/COLUMN()</f>
        <v>4</v>
      </c>
      <c r="C1" s="1">
        <f t="shared" si="0"/>
        <v>9</v>
      </c>
      <c r="D1" s="1">
        <f t="shared" si="0"/>
        <v>5.5</v>
      </c>
      <c r="E1" s="1">
        <f t="shared" si="0"/>
        <v>2.6</v>
      </c>
      <c r="F1" s="1">
        <f t="shared" si="0"/>
        <v>0</v>
      </c>
      <c r="G1" s="1">
        <f t="shared" si="0"/>
        <v>0</v>
      </c>
      <c r="H1" s="1">
        <f t="shared" si="0"/>
        <v>0</v>
      </c>
    </row>
    <row r="2" spans="1:10">
      <c r="A2" t="str" cm="1">
        <f ca="1" t="array" ref="A2">_wpsfn.SHEETSNAME(A1)</f>
        <v>20251107</v>
      </c>
      <c r="B2" t="s">
        <v>2578</v>
      </c>
    </row>
    <row r="3" spans="1:10">
      <c r="C3" t="s">
        <v>2579</v>
      </c>
    </row>
    <row r="4" spans="1:10">
      <c r="D4" t="s">
        <v>2580</v>
      </c>
    </row>
    <row r="5" spans="1:10">
      <c r="D5" t="s">
        <v>2581</v>
      </c>
    </row>
    <row r="6" spans="1:10">
      <c r="C6" t="s">
        <v>2582</v>
      </c>
    </row>
    <row r="7" spans="1:10">
      <c r="D7" t="s">
        <v>2583</v>
      </c>
    </row>
    <row r="8" spans="1:10">
      <c r="D8" t="s">
        <v>2584</v>
      </c>
    </row>
    <row r="9" spans="1:10">
      <c r="C9" t="s">
        <v>2585</v>
      </c>
    </row>
    <row r="10" spans="1:10">
      <c r="D10" t="s">
        <v>2586</v>
      </c>
    </row>
    <row r="11" spans="1:10">
      <c r="B11" s="2" t="s">
        <v>2587</v>
      </c>
      <c r="C11" s="2"/>
      <c r="D11" s="2"/>
      <c r="E11" s="2"/>
      <c r="F11" s="2"/>
      <c r="G11" s="2"/>
      <c r="H11" s="2"/>
      <c r="I11" s="2"/>
      <c r="J11" s="2"/>
    </row>
    <row r="12" spans="1:10">
      <c r="B12" s="2"/>
      <c r="C12" s="2" t="s">
        <v>2588</v>
      </c>
      <c r="D12" s="2"/>
      <c r="E12" s="2"/>
      <c r="F12" s="2"/>
      <c r="G12" s="2"/>
      <c r="H12" s="2"/>
      <c r="I12" s="2"/>
      <c r="J12" s="2"/>
    </row>
    <row r="13" spans="1:10">
      <c r="B13" s="2"/>
      <c r="C13" s="2" t="s">
        <v>2589</v>
      </c>
      <c r="D13" s="2"/>
      <c r="E13" s="2"/>
      <c r="F13" s="2"/>
      <c r="G13" s="2"/>
      <c r="H13" s="2"/>
      <c r="I13" s="2"/>
      <c r="J13" s="2"/>
    </row>
    <row r="14" spans="1:10">
      <c r="B14" s="2"/>
      <c r="C14" s="2" t="s">
        <v>2590</v>
      </c>
      <c r="D14" s="2"/>
      <c r="E14" s="2"/>
      <c r="F14" s="2"/>
      <c r="G14" s="2"/>
      <c r="H14" s="2"/>
      <c r="I14" s="2"/>
      <c r="J14" s="2"/>
    </row>
    <row r="15" spans="1:10">
      <c r="B15" s="2"/>
      <c r="C15" s="2" t="s">
        <v>2591</v>
      </c>
      <c r="D15" s="2"/>
      <c r="E15" s="2"/>
      <c r="F15" s="2"/>
      <c r="G15" s="2"/>
      <c r="H15" s="2"/>
      <c r="I15" s="2"/>
      <c r="J15" s="2"/>
    </row>
    <row r="16" spans="1:10">
      <c r="B16" s="2"/>
      <c r="C16" s="2"/>
      <c r="D16" s="2" t="s">
        <v>2592</v>
      </c>
      <c r="E16" s="2"/>
      <c r="F16" s="2"/>
      <c r="G16" s="2"/>
      <c r="H16" s="2"/>
      <c r="I16" s="2"/>
      <c r="J16" s="2"/>
    </row>
    <row r="17" spans="2:10">
      <c r="B17" s="2"/>
      <c r="C17" s="2"/>
      <c r="D17" s="2" t="s">
        <v>2593</v>
      </c>
      <c r="E17" s="2"/>
      <c r="F17" s="2"/>
      <c r="G17" s="2"/>
      <c r="H17" s="2"/>
      <c r="I17" s="2"/>
      <c r="J17" s="2"/>
    </row>
    <row r="18" spans="2:10">
      <c r="B18" s="2"/>
      <c r="C18" s="2"/>
      <c r="D18" s="2" t="s">
        <v>2594</v>
      </c>
      <c r="E18" s="2"/>
      <c r="F18" s="2"/>
      <c r="G18" s="2"/>
      <c r="H18" s="2"/>
      <c r="I18" s="2"/>
      <c r="J18" s="2"/>
    </row>
    <row r="19" spans="2:10">
      <c r="B19" s="2"/>
      <c r="C19" s="2"/>
      <c r="D19" s="2" t="s">
        <v>2595</v>
      </c>
      <c r="E19" s="2"/>
      <c r="F19" s="2"/>
      <c r="G19" s="2"/>
      <c r="H19" s="2"/>
      <c r="I19" s="2"/>
      <c r="J19" s="2"/>
    </row>
    <row r="20" spans="2:10">
      <c r="B20" s="2"/>
      <c r="C20" s="2" t="s">
        <v>2596</v>
      </c>
      <c r="D20" s="2"/>
      <c r="E20" s="2"/>
      <c r="F20" s="2"/>
      <c r="G20" s="2"/>
      <c r="H20" s="2"/>
      <c r="I20" s="2"/>
      <c r="J20" s="2"/>
    </row>
    <row r="21" spans="2:10">
      <c r="B21" s="2" t="s">
        <v>2597</v>
      </c>
      <c r="C21" s="2"/>
      <c r="D21" s="2"/>
      <c r="E21" s="2"/>
      <c r="F21" s="2"/>
      <c r="G21" s="2"/>
      <c r="H21" s="2"/>
      <c r="I21" s="2"/>
      <c r="J21" s="2"/>
    </row>
    <row r="22" spans="2:10">
      <c r="B22" s="2"/>
      <c r="C22" s="2" t="s">
        <v>2598</v>
      </c>
      <c r="D22" s="2"/>
      <c r="E22" s="2"/>
      <c r="F22" s="2"/>
      <c r="G22" s="2"/>
      <c r="H22" s="2"/>
      <c r="I22" s="2"/>
      <c r="J22" s="2"/>
    </row>
    <row r="23" spans="2:10">
      <c r="B23" s="2"/>
      <c r="C23" s="2"/>
      <c r="D23" s="2" t="s">
        <v>2599</v>
      </c>
      <c r="E23" s="2"/>
      <c r="F23" s="2"/>
      <c r="G23" s="2"/>
      <c r="H23" s="2"/>
      <c r="I23" s="2"/>
      <c r="J23" s="2"/>
    </row>
    <row r="24" spans="2:10">
      <c r="B24" s="2"/>
      <c r="C24" s="2"/>
      <c r="D24" s="2"/>
      <c r="E24" s="2" t="s">
        <v>2600</v>
      </c>
      <c r="F24" s="2"/>
      <c r="G24" s="2"/>
      <c r="H24" s="2"/>
      <c r="I24" s="2"/>
      <c r="J24" s="2"/>
    </row>
    <row r="25" spans="2:10">
      <c r="B25" s="2"/>
      <c r="C25" s="2"/>
      <c r="D25" s="2"/>
      <c r="E25" s="2" t="s">
        <v>2601</v>
      </c>
      <c r="F25" s="2"/>
      <c r="G25" s="2"/>
      <c r="H25" s="2"/>
      <c r="I25" s="2"/>
      <c r="J25" s="2"/>
    </row>
    <row r="26" spans="2:10">
      <c r="B26" s="2"/>
      <c r="C26" s="2"/>
      <c r="D26" s="2" t="s">
        <v>2602</v>
      </c>
      <c r="E26" s="2"/>
      <c r="F26" s="2"/>
      <c r="G26" s="2"/>
      <c r="H26" s="2"/>
      <c r="I26" s="2"/>
      <c r="J26" s="2"/>
    </row>
    <row r="27" spans="2:10">
      <c r="B27" s="2"/>
      <c r="C27" s="2"/>
      <c r="D27" s="2"/>
      <c r="E27" s="2" t="s">
        <v>2603</v>
      </c>
      <c r="F27" s="2"/>
      <c r="G27" s="2"/>
      <c r="H27" s="2"/>
      <c r="I27" s="2"/>
      <c r="J27" s="2"/>
    </row>
    <row r="28" spans="2:10">
      <c r="B28" s="2"/>
      <c r="C28" s="2"/>
      <c r="D28" s="2" t="s">
        <v>2604</v>
      </c>
      <c r="E28" s="2"/>
      <c r="F28" s="2"/>
      <c r="G28" s="2"/>
      <c r="H28" s="2"/>
      <c r="I28" s="2"/>
      <c r="J28" s="2"/>
    </row>
    <row r="29" spans="2:10">
      <c r="B29" s="2"/>
      <c r="C29" s="2"/>
      <c r="D29" s="2"/>
      <c r="E29" s="2" t="s">
        <v>2605</v>
      </c>
      <c r="F29" s="2"/>
      <c r="G29" s="2"/>
      <c r="H29" s="2"/>
      <c r="I29" s="2"/>
      <c r="J29" s="2"/>
    </row>
    <row r="30" spans="2:10">
      <c r="B30" s="2"/>
      <c r="C30" s="2"/>
      <c r="D30" s="2"/>
      <c r="E30" s="2" t="s">
        <v>2606</v>
      </c>
      <c r="F30" s="2"/>
      <c r="G30" s="2"/>
      <c r="H30" s="2"/>
      <c r="I30" s="2"/>
      <c r="J30" s="2"/>
    </row>
    <row r="31" spans="2:10">
      <c r="B31" s="2"/>
      <c r="C31" s="2" t="s">
        <v>2607</v>
      </c>
      <c r="D31" s="2"/>
      <c r="E31" s="2"/>
      <c r="F31" s="2"/>
      <c r="G31" s="2"/>
      <c r="H31" s="2"/>
      <c r="I31" s="2"/>
      <c r="J31" s="2"/>
    </row>
    <row r="32" spans="2:10">
      <c r="B32" s="2"/>
      <c r="C32" s="2"/>
      <c r="D32" s="2" t="s">
        <v>2608</v>
      </c>
      <c r="E32" s="2"/>
      <c r="F32" s="2"/>
      <c r="G32" s="2"/>
      <c r="H32" s="2"/>
      <c r="I32" s="2"/>
      <c r="J32" s="2"/>
    </row>
    <row r="33" spans="2:10">
      <c r="B33" s="2"/>
      <c r="C33" s="2"/>
      <c r="D33" s="2"/>
      <c r="E33" s="2" t="s">
        <v>2609</v>
      </c>
      <c r="F33" s="2"/>
      <c r="G33" s="2"/>
      <c r="H33" s="2"/>
      <c r="I33" s="2"/>
      <c r="J33" s="2"/>
    </row>
    <row r="34" spans="2:10">
      <c r="B34" s="2"/>
      <c r="C34" s="2"/>
      <c r="D34" s="2"/>
      <c r="E34" s="2" t="s">
        <v>2610</v>
      </c>
      <c r="F34" s="2"/>
      <c r="G34" s="2"/>
      <c r="H34" s="2"/>
      <c r="I34" s="2"/>
      <c r="J34" s="2"/>
    </row>
    <row r="35" spans="2:10">
      <c r="B35" s="2"/>
      <c r="C35" s="2"/>
      <c r="D35" s="2"/>
      <c r="E35" s="2" t="s">
        <v>2611</v>
      </c>
      <c r="F35" s="2"/>
      <c r="G35" s="2"/>
      <c r="H35" s="2"/>
      <c r="I35" s="2"/>
      <c r="J35" s="2"/>
    </row>
    <row r="36" spans="2:10">
      <c r="B36" s="2"/>
      <c r="C36" s="2"/>
      <c r="D36" s="2" t="s">
        <v>2612</v>
      </c>
      <c r="E36" s="2"/>
      <c r="F36" s="2"/>
      <c r="G36" s="2"/>
      <c r="H36" s="2"/>
      <c r="I36" s="2"/>
      <c r="J36" s="2"/>
    </row>
    <row r="37" spans="2:10">
      <c r="B37" s="2"/>
      <c r="C37" s="2"/>
      <c r="D37" s="2"/>
      <c r="E37" s="2" t="s">
        <v>2613</v>
      </c>
      <c r="F37" s="2"/>
      <c r="G37" s="2"/>
      <c r="H37" s="2"/>
      <c r="I37" s="2"/>
      <c r="J37" s="2"/>
    </row>
    <row r="38" spans="2:10">
      <c r="B38" s="2"/>
      <c r="C38" s="2"/>
      <c r="D38" s="2"/>
      <c r="E38" s="2" t="s">
        <v>2614</v>
      </c>
      <c r="F38" s="2"/>
      <c r="G38" s="2"/>
      <c r="H38" s="2"/>
      <c r="I38" s="2"/>
      <c r="J38" s="2"/>
    </row>
    <row r="39" spans="2:10">
      <c r="B39" s="2"/>
      <c r="C39" s="2"/>
      <c r="D39" s="2" t="s">
        <v>2615</v>
      </c>
      <c r="E39" s="2"/>
      <c r="F39" s="2"/>
      <c r="G39" s="2"/>
      <c r="H39" s="2"/>
      <c r="I39" s="2"/>
      <c r="J39" s="2"/>
    </row>
    <row r="40" spans="2:10">
      <c r="B40" s="2"/>
      <c r="C40" s="2"/>
      <c r="D40" s="2"/>
      <c r="E40" s="2" t="s">
        <v>2616</v>
      </c>
      <c r="F40" s="2"/>
      <c r="G40" s="2"/>
      <c r="H40" s="2"/>
      <c r="I40" s="2"/>
      <c r="J40" s="2"/>
    </row>
    <row r="41" spans="2:10">
      <c r="B41" s="2"/>
      <c r="C41" s="2"/>
      <c r="D41" s="2"/>
      <c r="E41" s="2" t="s">
        <v>2617</v>
      </c>
      <c r="F41" s="2"/>
      <c r="G41" s="2"/>
      <c r="H41" s="2"/>
      <c r="I41" s="2"/>
      <c r="J41" s="2"/>
    </row>
    <row r="42" spans="2:10">
      <c r="B42" s="2"/>
      <c r="C42" s="2" t="s">
        <v>2618</v>
      </c>
      <c r="D42" s="2" t="s">
        <v>2619</v>
      </c>
      <c r="E42" s="2"/>
      <c r="F42" s="2"/>
      <c r="G42" s="2"/>
      <c r="H42" s="2"/>
      <c r="I42" s="2"/>
      <c r="J42" s="2"/>
    </row>
    <row r="43" spans="2:10">
      <c r="B43" s="2" t="s">
        <v>2620</v>
      </c>
      <c r="C43" s="2"/>
      <c r="D43" s="2"/>
      <c r="E43" s="2"/>
      <c r="F43" s="2"/>
      <c r="G43" s="2"/>
      <c r="H43" s="2"/>
      <c r="I43" s="2"/>
      <c r="J43" s="2"/>
    </row>
    <row r="44" spans="2:10">
      <c r="B44" s="2"/>
      <c r="C44" s="2" t="s">
        <v>2621</v>
      </c>
      <c r="D44" s="2"/>
      <c r="E44" s="2"/>
      <c r="F44" s="2"/>
      <c r="G44" s="2"/>
      <c r="H44" s="2"/>
      <c r="I44" s="2"/>
      <c r="J44" s="2"/>
    </row>
    <row r="45" spans="2:10">
      <c r="B45" s="2"/>
      <c r="C45" s="2"/>
      <c r="D45" s="2" t="s">
        <v>2622</v>
      </c>
      <c r="E45" s="2"/>
      <c r="F45" s="2"/>
      <c r="G45" s="2"/>
      <c r="H45" s="2"/>
      <c r="I45" s="2"/>
      <c r="J45" s="2"/>
    </row>
    <row r="46" spans="2:10">
      <c r="B46" s="2"/>
      <c r="C46" s="2" t="s">
        <v>2623</v>
      </c>
      <c r="D46" s="2"/>
      <c r="E46" s="2"/>
      <c r="F46" s="2"/>
      <c r="G46" s="2"/>
      <c r="H46" s="2"/>
      <c r="I46" s="2"/>
      <c r="J46" s="2"/>
    </row>
    <row r="47" spans="2:10">
      <c r="B47" s="2"/>
      <c r="C47" s="2" t="s">
        <v>2624</v>
      </c>
      <c r="D47" s="2"/>
      <c r="E47" s="2"/>
      <c r="F47" s="2"/>
      <c r="G47" s="2"/>
      <c r="H47" s="2"/>
      <c r="I47" s="2"/>
      <c r="J47" s="2"/>
    </row>
    <row r="48" spans="2:10">
      <c r="B48" s="2"/>
      <c r="C48" s="2"/>
      <c r="D48" s="2" t="s">
        <v>2625</v>
      </c>
      <c r="E48" s="2"/>
      <c r="F48" s="2"/>
      <c r="G48" s="2"/>
      <c r="H48" s="2"/>
      <c r="I48" s="2"/>
      <c r="J48" s="2"/>
    </row>
    <row r="49" spans="2:10">
      <c r="B49" s="2"/>
      <c r="C49" s="2"/>
      <c r="D49" s="2" t="s">
        <v>2626</v>
      </c>
      <c r="E49" s="2"/>
      <c r="F49" s="2"/>
      <c r="G49" s="2"/>
      <c r="H49" s="2"/>
      <c r="I49" s="2"/>
      <c r="J49" s="2"/>
    </row>
    <row r="50" spans="2:10">
      <c r="B50" s="2"/>
      <c r="C50" s="2"/>
      <c r="D50" s="2" t="s">
        <v>2627</v>
      </c>
      <c r="E50" s="2"/>
      <c r="F50" s="2"/>
      <c r="G50" s="2"/>
      <c r="H50" s="2"/>
      <c r="I50" s="2"/>
      <c r="J50" s="2"/>
    </row>
    <row r="51" spans="2:10">
      <c r="B51" s="2"/>
      <c r="C51" s="2" t="s">
        <v>2628</v>
      </c>
      <c r="D51" s="2"/>
      <c r="E51" s="2"/>
      <c r="F51" s="2"/>
      <c r="G51" s="2"/>
      <c r="H51" s="2"/>
      <c r="I51" s="2"/>
      <c r="J51" s="2"/>
    </row>
    <row r="52" spans="2:10">
      <c r="B52" s="2" t="s">
        <v>2629</v>
      </c>
      <c r="C52" s="2"/>
      <c r="D52" s="2"/>
      <c r="E52" s="2"/>
      <c r="F52" s="2"/>
      <c r="G52" s="2"/>
      <c r="H52" s="2"/>
      <c r="I52" s="2"/>
      <c r="J52" s="2"/>
    </row>
    <row r="53" spans="2:10">
      <c r="B53" s="2"/>
      <c r="C53" s="2" t="s">
        <v>2630</v>
      </c>
      <c r="D53" s="2"/>
      <c r="E53" s="2"/>
      <c r="F53" s="2"/>
      <c r="G53" s="2"/>
      <c r="H53" s="2"/>
      <c r="I53" s="2"/>
      <c r="J53" s="2"/>
    </row>
    <row r="54" spans="2:10">
      <c r="B54" s="2"/>
      <c r="C54" s="2" t="s">
        <v>2631</v>
      </c>
      <c r="D54" s="2"/>
      <c r="E54" s="2"/>
      <c r="F54" s="2"/>
      <c r="G54" s="2"/>
      <c r="H54" s="2"/>
      <c r="I54" s="2"/>
      <c r="J54" s="2"/>
    </row>
    <row r="55" spans="2:10">
      <c r="B55" s="2" t="s">
        <v>2632</v>
      </c>
      <c r="C55" s="2"/>
      <c r="D55" s="2"/>
      <c r="E55" s="2"/>
      <c r="F55" s="2"/>
      <c r="G55" s="2"/>
      <c r="H55" s="2"/>
      <c r="I55" s="2"/>
      <c r="J55" s="2"/>
    </row>
    <row r="56" spans="2:10">
      <c r="B56" s="2"/>
      <c r="C56" s="2" t="s">
        <v>2633</v>
      </c>
      <c r="D56" s="2"/>
      <c r="E56" s="2"/>
      <c r="F56" s="2"/>
      <c r="G56" s="2"/>
      <c r="H56" s="2"/>
      <c r="I56" s="2"/>
      <c r="J56" s="2"/>
    </row>
    <row r="57" spans="2:10">
      <c r="B57" s="2"/>
      <c r="C57" s="2" t="s">
        <v>2634</v>
      </c>
      <c r="D57" s="2"/>
      <c r="E57" s="2"/>
      <c r="F57" s="2"/>
      <c r="G57" s="2"/>
      <c r="H57" s="2"/>
      <c r="I57" s="2"/>
      <c r="J57" s="2"/>
    </row>
    <row r="58" spans="2:10">
      <c r="B58" s="2"/>
      <c r="C58" s="2" t="s">
        <v>2635</v>
      </c>
      <c r="D58" s="2"/>
      <c r="E58" s="2"/>
      <c r="F58" s="2"/>
      <c r="G58" s="2"/>
      <c r="H58" s="2"/>
      <c r="I58" s="2"/>
      <c r="J58" s="2"/>
    </row>
    <row r="59" spans="2:10">
      <c r="B59" s="2"/>
      <c r="C59" s="2"/>
      <c r="D59" s="2" t="s">
        <v>2636</v>
      </c>
      <c r="E59" s="2"/>
      <c r="F59" s="2"/>
      <c r="G59" s="2"/>
      <c r="H59" s="2"/>
      <c r="I59" s="2"/>
      <c r="J59" s="2"/>
    </row>
    <row r="60" spans="2:10">
      <c r="B60" s="2"/>
      <c r="C60" s="2"/>
      <c r="D60" s="2"/>
      <c r="E60" s="2" t="s">
        <v>2637</v>
      </c>
      <c r="F60" s="2"/>
      <c r="G60" s="2"/>
      <c r="H60" s="2"/>
      <c r="I60" s="2"/>
      <c r="J60" s="2"/>
    </row>
    <row r="61" spans="2:10">
      <c r="B61" s="2"/>
      <c r="C61" s="2"/>
      <c r="D61" s="2" t="s">
        <v>2638</v>
      </c>
      <c r="E61" s="2"/>
      <c r="F61" s="2"/>
      <c r="G61" s="2"/>
      <c r="H61" s="2"/>
      <c r="I61" s="2"/>
      <c r="J61" s="2"/>
    </row>
    <row r="62" spans="2:10">
      <c r="B62" s="2"/>
      <c r="C62" s="2" t="s">
        <v>2639</v>
      </c>
      <c r="D62" s="2"/>
      <c r="E62" s="2"/>
      <c r="F62" s="2"/>
      <c r="G62" s="2"/>
      <c r="H62" s="2"/>
      <c r="I62" s="2"/>
      <c r="J62" s="2"/>
    </row>
    <row r="63" spans="2:10">
      <c r="B63" s="2" t="s">
        <v>2640</v>
      </c>
      <c r="C63" s="2"/>
      <c r="D63" s="2"/>
      <c r="E63" s="2"/>
      <c r="F63" s="2"/>
      <c r="G63" s="2"/>
      <c r="H63" s="2"/>
      <c r="I63" s="2"/>
      <c r="J63" s="2"/>
    </row>
    <row r="64" spans="2:10">
      <c r="B64" s="2"/>
      <c r="C64" s="2" t="s">
        <v>2641</v>
      </c>
      <c r="D64" s="2"/>
      <c r="E64" s="2"/>
      <c r="F64" s="2"/>
      <c r="G64" s="2"/>
      <c r="H64" s="2"/>
      <c r="I64" s="2"/>
      <c r="J64" s="2"/>
    </row>
    <row r="65" spans="2:10">
      <c r="B65" s="2"/>
      <c r="C65" s="2" t="s">
        <v>2642</v>
      </c>
      <c r="D65" s="2"/>
      <c r="E65" s="2"/>
      <c r="F65" s="2"/>
      <c r="G65" s="2"/>
      <c r="H65" s="2"/>
      <c r="I65" s="2"/>
      <c r="J65" s="2"/>
    </row>
    <row r="66" spans="2:10">
      <c r="B66" s="2" t="s">
        <v>2643</v>
      </c>
      <c r="C66" s="2"/>
      <c r="D66" s="2"/>
      <c r="E66" s="2"/>
      <c r="F66" s="2"/>
      <c r="G66" s="2"/>
      <c r="H66" s="2"/>
      <c r="I66" s="2"/>
      <c r="J66" s="2"/>
    </row>
    <row r="67" spans="2:10">
      <c r="B67" s="2"/>
      <c r="C67" s="2" t="s">
        <v>2644</v>
      </c>
      <c r="D67" s="2"/>
      <c r="E67" s="2"/>
      <c r="F67" s="2"/>
      <c r="G67" s="2"/>
      <c r="H67" s="2"/>
      <c r="I67" s="2"/>
      <c r="J67" s="2"/>
    </row>
    <row r="68" spans="2:10">
      <c r="B68" s="2"/>
      <c r="C68" s="2" t="s">
        <v>2645</v>
      </c>
      <c r="D68" s="2"/>
      <c r="E68" s="2"/>
      <c r="F68" s="2"/>
      <c r="G68" s="2"/>
      <c r="H68" s="2"/>
      <c r="I68" s="2"/>
      <c r="J68" s="2"/>
    </row>
    <row r="69" spans="2:10">
      <c r="B69" s="2"/>
      <c r="C69" s="2" t="s">
        <v>2646</v>
      </c>
      <c r="D69" s="2"/>
      <c r="E69" s="2"/>
      <c r="F69" s="2"/>
      <c r="G69" s="2"/>
      <c r="H69" s="2"/>
      <c r="I69" s="2"/>
      <c r="J69" s="2"/>
    </row>
    <row r="70" spans="2:10">
      <c r="B70" s="2"/>
      <c r="C70" s="2" t="s">
        <v>2647</v>
      </c>
      <c r="D70" s="2"/>
      <c r="E70" s="2"/>
      <c r="F70" s="2"/>
      <c r="G70" s="2"/>
      <c r="H70" s="2"/>
      <c r="I70" s="2"/>
      <c r="J70" s="2"/>
    </row>
  </sheetData>
  <pageMargins left="0.75" right="0.75" top="1" bottom="1" header="0.5" footer="0.5"/>
  <pageSetup paperSize="9" orientation="portrait"/>
  <headerFooter/>
</worksheet>
</file>

<file path=xl/worksheets/sheet1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O84"/>
  <sheetViews>
    <sheetView topLeftCell="A74" workbookViewId="0">
      <selection activeCell="B81" sqref="B81"/>
    </sheetView>
  </sheetViews>
  <sheetFormatPr defaultColWidth="8.88888888888889" defaultRowHeight="14.4"/>
  <cols>
    <col min="1" max="1" width="9.66666666666667"/>
  </cols>
  <sheetData>
    <row r="1" spans="1:15">
      <c r="A1" s="1">
        <f>SUM(B1:AZ1)</f>
        <v>26.9</v>
      </c>
      <c r="B1" s="1">
        <f t="shared" ref="B1:H1" si="0">COUNTA(B2:B2078)/COLUMN()</f>
        <v>7.5</v>
      </c>
      <c r="C1" s="1">
        <f t="shared" si="0"/>
        <v>10</v>
      </c>
      <c r="D1" s="1">
        <f t="shared" si="0"/>
        <v>9</v>
      </c>
      <c r="E1" s="1">
        <f t="shared" si="0"/>
        <v>0.4</v>
      </c>
      <c r="F1" s="1">
        <f t="shared" si="0"/>
        <v>0</v>
      </c>
      <c r="G1" s="1">
        <f t="shared" si="0"/>
        <v>0</v>
      </c>
      <c r="H1" s="1">
        <f t="shared" si="0"/>
        <v>0</v>
      </c>
    </row>
    <row r="2" spans="1:15">
      <c r="A2" t="str" cm="1">
        <f ca="1" t="array" ref="A2">_wpsfn.SHEETSNAME(A1)</f>
        <v>20251108</v>
      </c>
      <c r="B2" s="2" t="s">
        <v>2648</v>
      </c>
      <c r="C2" s="2"/>
      <c r="D2" s="2"/>
      <c r="E2" s="2"/>
      <c r="F2" s="2"/>
      <c r="G2" s="2"/>
      <c r="H2" s="2"/>
      <c r="I2" s="2"/>
      <c r="J2" s="2"/>
      <c r="K2" s="2"/>
      <c r="L2" s="2"/>
      <c r="M2" s="2"/>
      <c r="N2" s="2"/>
      <c r="O2" s="2"/>
    </row>
    <row r="3" spans="1:15">
      <c r="B3" s="2"/>
      <c r="C3" s="2" t="s">
        <v>2649</v>
      </c>
      <c r="D3" s="2"/>
      <c r="E3" s="2"/>
      <c r="F3" s="2"/>
      <c r="G3" s="2"/>
      <c r="H3" s="2"/>
      <c r="I3" s="2"/>
      <c r="J3" s="2"/>
      <c r="K3" s="2"/>
      <c r="L3" s="2"/>
      <c r="M3" s="2"/>
      <c r="N3" s="2"/>
      <c r="O3" s="2"/>
    </row>
    <row r="4" spans="1:15">
      <c r="B4" s="2"/>
      <c r="C4" s="2"/>
      <c r="D4" s="2" t="s">
        <v>2650</v>
      </c>
      <c r="E4" s="2"/>
      <c r="F4" s="2"/>
      <c r="G4" s="2"/>
      <c r="H4" s="2"/>
      <c r="I4" s="2"/>
      <c r="J4" s="2"/>
      <c r="K4" s="2"/>
      <c r="L4" s="2"/>
      <c r="M4" s="2"/>
      <c r="N4" s="2"/>
      <c r="O4" s="2"/>
    </row>
    <row r="5" spans="1:15">
      <c r="B5" s="2"/>
      <c r="C5" s="2"/>
      <c r="D5" s="2" t="s">
        <v>2651</v>
      </c>
      <c r="E5" s="2"/>
      <c r="F5" s="2"/>
      <c r="G5" s="2"/>
      <c r="H5" s="2"/>
      <c r="I5" s="2"/>
      <c r="J5" s="2"/>
      <c r="K5" s="2"/>
      <c r="L5" s="2"/>
      <c r="M5" s="2"/>
      <c r="N5" s="2"/>
      <c r="O5" s="2"/>
    </row>
    <row r="6" spans="1:15">
      <c r="B6" s="2"/>
      <c r="C6" s="2" t="s">
        <v>2652</v>
      </c>
      <c r="D6" s="2"/>
      <c r="E6" s="2"/>
      <c r="F6" s="2"/>
      <c r="G6" s="2"/>
      <c r="H6" s="2"/>
      <c r="I6" s="2"/>
      <c r="J6" s="2"/>
      <c r="K6" s="2"/>
      <c r="L6" s="2"/>
      <c r="M6" s="2"/>
      <c r="N6" s="2"/>
      <c r="O6" s="2"/>
    </row>
    <row r="7" spans="1:15">
      <c r="B7" s="2"/>
      <c r="C7" s="2"/>
      <c r="D7" s="2" t="s">
        <v>2653</v>
      </c>
      <c r="E7" s="2"/>
      <c r="F7" s="2"/>
      <c r="G7" s="2"/>
      <c r="H7" s="2"/>
      <c r="I7" s="2"/>
      <c r="J7" s="2"/>
      <c r="K7" s="2"/>
      <c r="L7" s="2"/>
      <c r="M7" s="2"/>
      <c r="N7" s="2"/>
      <c r="O7" s="2"/>
    </row>
    <row r="8" spans="1:15">
      <c r="B8" s="2"/>
      <c r="C8" s="2"/>
      <c r="D8" s="2" t="s">
        <v>2654</v>
      </c>
      <c r="E8" s="2"/>
      <c r="F8" s="2"/>
      <c r="G8" s="2"/>
      <c r="H8" s="2"/>
      <c r="I8" s="2"/>
      <c r="J8" s="2"/>
      <c r="K8" s="2"/>
      <c r="L8" s="2"/>
      <c r="M8" s="2"/>
      <c r="N8" s="2"/>
      <c r="O8" s="2"/>
    </row>
    <row r="9" spans="1:15">
      <c r="B9" s="2" t="s">
        <v>2655</v>
      </c>
      <c r="C9" s="2"/>
      <c r="D9" s="2"/>
      <c r="E9" s="2"/>
      <c r="F9" s="2"/>
      <c r="G9" s="2"/>
      <c r="H9" s="2"/>
      <c r="I9" s="2"/>
      <c r="J9" s="2"/>
      <c r="K9" s="2"/>
      <c r="L9" s="2"/>
      <c r="M9" s="2"/>
      <c r="N9" s="2"/>
      <c r="O9" s="2"/>
    </row>
    <row r="10" spans="1:15">
      <c r="B10" s="2"/>
      <c r="C10" s="2" t="s">
        <v>2656</v>
      </c>
      <c r="D10" s="2"/>
      <c r="E10" s="2"/>
      <c r="F10" s="2"/>
      <c r="G10" s="2"/>
      <c r="H10" s="2"/>
      <c r="I10" s="2"/>
      <c r="J10" s="2"/>
      <c r="K10" s="2"/>
      <c r="L10" s="2"/>
      <c r="M10" s="2"/>
      <c r="N10" s="2"/>
      <c r="O10" s="2"/>
    </row>
    <row r="11" spans="1:15">
      <c r="B11" s="2"/>
      <c r="C11" s="2"/>
      <c r="D11" s="2" t="s">
        <v>2657</v>
      </c>
      <c r="E11" s="2"/>
      <c r="F11" s="2"/>
      <c r="G11" s="2"/>
      <c r="H11" s="2"/>
      <c r="I11" s="2"/>
      <c r="J11" s="2"/>
      <c r="K11" s="2"/>
      <c r="L11" s="2"/>
      <c r="M11" s="2"/>
      <c r="N11" s="2"/>
      <c r="O11" s="2"/>
    </row>
    <row r="12" spans="1:15">
      <c r="B12" s="2"/>
      <c r="C12" s="2"/>
      <c r="D12" s="2" t="s">
        <v>2658</v>
      </c>
      <c r="E12" s="2"/>
      <c r="F12" s="2"/>
      <c r="G12" s="2"/>
      <c r="H12" s="2"/>
      <c r="I12" s="2"/>
      <c r="J12" s="2"/>
      <c r="K12" s="2"/>
      <c r="L12" s="2"/>
      <c r="M12" s="2"/>
      <c r="N12" s="2"/>
      <c r="O12" s="2"/>
    </row>
    <row r="13" spans="1:15">
      <c r="B13" s="2"/>
      <c r="C13" s="2"/>
      <c r="D13" s="2" t="s">
        <v>2659</v>
      </c>
      <c r="E13" s="2"/>
      <c r="F13" s="2"/>
      <c r="G13" s="2"/>
      <c r="H13" s="2"/>
      <c r="I13" s="2"/>
      <c r="J13" s="2"/>
      <c r="K13" s="2"/>
      <c r="L13" s="2"/>
      <c r="M13" s="2"/>
      <c r="N13" s="2"/>
      <c r="O13" s="2"/>
    </row>
    <row r="14" spans="1:15">
      <c r="B14" s="2"/>
      <c r="C14" s="2" t="s">
        <v>2660</v>
      </c>
      <c r="D14" s="2"/>
      <c r="E14" s="2"/>
      <c r="F14" s="2"/>
      <c r="G14" s="2"/>
      <c r="H14" s="2"/>
      <c r="I14" s="2"/>
      <c r="J14" s="2"/>
      <c r="K14" s="2"/>
      <c r="L14" s="2"/>
      <c r="M14" s="2"/>
      <c r="N14" s="2"/>
      <c r="O14" s="2"/>
    </row>
    <row r="15" spans="1:15">
      <c r="B15" s="2"/>
      <c r="C15" s="2"/>
      <c r="D15" s="2" t="s">
        <v>2661</v>
      </c>
      <c r="E15" s="2"/>
      <c r="F15" s="2"/>
      <c r="G15" s="2"/>
      <c r="H15" s="2"/>
      <c r="I15" s="2"/>
      <c r="J15" s="2"/>
      <c r="K15" s="2"/>
      <c r="L15" s="2"/>
      <c r="M15" s="2"/>
      <c r="N15" s="2"/>
      <c r="O15" s="2"/>
    </row>
    <row r="16" spans="1:15">
      <c r="B16" s="2"/>
      <c r="C16" s="2"/>
      <c r="D16" s="2" t="s">
        <v>2662</v>
      </c>
      <c r="E16" s="2"/>
      <c r="F16" s="2"/>
      <c r="G16" s="2"/>
      <c r="H16" s="2"/>
      <c r="I16" s="2"/>
      <c r="J16" s="2"/>
      <c r="K16" s="2"/>
      <c r="L16" s="2"/>
      <c r="M16" s="2"/>
      <c r="N16" s="2"/>
      <c r="O16" s="2"/>
    </row>
    <row r="17" spans="2:15">
      <c r="B17" s="2"/>
      <c r="C17" s="2" t="s">
        <v>2663</v>
      </c>
      <c r="D17" s="2"/>
      <c r="E17" s="2"/>
      <c r="F17" s="2"/>
      <c r="G17" s="2"/>
      <c r="H17" s="2"/>
      <c r="I17" s="2"/>
      <c r="J17" s="2"/>
      <c r="K17" s="2"/>
      <c r="L17" s="2"/>
      <c r="M17" s="2"/>
      <c r="N17" s="2"/>
      <c r="O17" s="2"/>
    </row>
    <row r="18" spans="2:15">
      <c r="B18" s="2"/>
      <c r="C18" s="2"/>
      <c r="D18" s="2" t="s">
        <v>2664</v>
      </c>
      <c r="E18" s="2"/>
      <c r="F18" s="2"/>
      <c r="G18" s="2"/>
      <c r="H18" s="2"/>
      <c r="I18" s="2"/>
      <c r="J18" s="2"/>
      <c r="K18" s="2"/>
      <c r="L18" s="2"/>
      <c r="M18" s="2"/>
      <c r="N18" s="2"/>
      <c r="O18" s="2"/>
    </row>
    <row r="19" spans="2:15">
      <c r="B19" s="2"/>
      <c r="C19" s="2"/>
      <c r="D19" s="2" t="s">
        <v>2665</v>
      </c>
      <c r="E19" s="2"/>
      <c r="F19" s="2"/>
      <c r="G19" s="2"/>
      <c r="H19" s="2"/>
      <c r="I19" s="2"/>
      <c r="J19" s="2"/>
      <c r="K19" s="2"/>
      <c r="L19" s="2"/>
      <c r="M19" s="2"/>
      <c r="N19" s="2"/>
      <c r="O19" s="2"/>
    </row>
    <row r="20" spans="2:15">
      <c r="B20" s="2"/>
      <c r="C20" s="2" t="s">
        <v>2666</v>
      </c>
      <c r="D20" s="2"/>
      <c r="E20" s="2"/>
      <c r="F20" s="2"/>
      <c r="G20" s="2"/>
      <c r="H20" s="2"/>
      <c r="I20" s="2"/>
      <c r="J20" s="2"/>
      <c r="K20" s="2"/>
      <c r="L20" s="2"/>
      <c r="M20" s="2"/>
      <c r="N20" s="2"/>
      <c r="O20" s="2"/>
    </row>
    <row r="21" spans="2:15">
      <c r="B21" s="2"/>
      <c r="C21" s="2"/>
      <c r="D21" s="2" t="s">
        <v>2667</v>
      </c>
      <c r="E21" s="2"/>
      <c r="F21" s="2"/>
      <c r="G21" s="2"/>
      <c r="H21" s="2"/>
      <c r="I21" s="2"/>
      <c r="J21" s="2"/>
      <c r="K21" s="2"/>
      <c r="L21" s="2"/>
      <c r="M21" s="2"/>
      <c r="N21" s="2"/>
      <c r="O21" s="2"/>
    </row>
    <row r="22" spans="2:15">
      <c r="B22" s="2"/>
      <c r="C22" s="2"/>
      <c r="D22" s="2" t="s">
        <v>2668</v>
      </c>
      <c r="E22" s="2"/>
      <c r="F22" s="2"/>
      <c r="G22" s="2"/>
      <c r="H22" s="2"/>
      <c r="I22" s="2"/>
      <c r="J22" s="2"/>
      <c r="K22" s="2"/>
      <c r="L22" s="2"/>
      <c r="M22" s="2"/>
      <c r="N22" s="2"/>
      <c r="O22" s="2"/>
    </row>
    <row r="23" spans="2:15">
      <c r="B23" s="2"/>
      <c r="C23" s="2" t="s">
        <v>2669</v>
      </c>
      <c r="D23" s="2"/>
      <c r="E23" s="2"/>
      <c r="F23" s="2"/>
      <c r="G23" s="2"/>
      <c r="H23" s="2"/>
      <c r="I23" s="2"/>
      <c r="J23" s="2"/>
      <c r="K23" s="2"/>
      <c r="L23" s="2"/>
      <c r="M23" s="2"/>
      <c r="N23" s="2"/>
      <c r="O23" s="2"/>
    </row>
    <row r="24" spans="2:15">
      <c r="B24" s="2"/>
      <c r="C24" s="2"/>
      <c r="D24" s="2" t="s">
        <v>2670</v>
      </c>
      <c r="E24" s="2"/>
      <c r="F24" s="2"/>
      <c r="G24" s="2"/>
      <c r="H24" s="2"/>
      <c r="I24" s="2"/>
      <c r="J24" s="2"/>
      <c r="K24" s="2"/>
      <c r="L24" s="2"/>
      <c r="M24" s="2"/>
      <c r="N24" s="2"/>
      <c r="O24" s="2"/>
    </row>
    <row r="25" spans="2:15">
      <c r="B25" s="2"/>
      <c r="C25" s="2"/>
      <c r="D25" s="2" t="s">
        <v>2671</v>
      </c>
      <c r="E25" s="2"/>
      <c r="F25" s="2"/>
      <c r="G25" s="2"/>
      <c r="H25" s="2"/>
      <c r="I25" s="2"/>
      <c r="J25" s="2"/>
      <c r="K25" s="2"/>
      <c r="L25" s="2"/>
      <c r="M25" s="2"/>
      <c r="N25" s="2"/>
      <c r="O25" s="2"/>
    </row>
    <row r="26" spans="2:15">
      <c r="B26" s="2"/>
      <c r="C26" s="2" t="s">
        <v>2672</v>
      </c>
      <c r="D26" s="2"/>
      <c r="E26" s="2"/>
      <c r="F26" s="2"/>
      <c r="G26" s="2"/>
      <c r="H26" s="2"/>
      <c r="I26" s="2"/>
      <c r="J26" s="2"/>
      <c r="K26" s="2"/>
      <c r="L26" s="2"/>
      <c r="M26" s="2"/>
      <c r="N26" s="2"/>
      <c r="O26" s="2"/>
    </row>
    <row r="27" spans="2:15">
      <c r="B27" s="2"/>
      <c r="C27" s="2"/>
      <c r="D27" s="2" t="s">
        <v>2673</v>
      </c>
      <c r="E27" s="2"/>
      <c r="F27" s="2"/>
      <c r="G27" s="2"/>
      <c r="H27" s="2"/>
      <c r="I27" s="2"/>
      <c r="J27" s="2"/>
      <c r="K27" s="2"/>
      <c r="L27" s="2"/>
      <c r="M27" s="2"/>
      <c r="N27" s="2"/>
      <c r="O27" s="2"/>
    </row>
    <row r="28" spans="2:15">
      <c r="B28" s="2"/>
      <c r="C28" s="2"/>
      <c r="D28" s="2" t="s">
        <v>2674</v>
      </c>
      <c r="E28" s="2"/>
      <c r="F28" s="2"/>
      <c r="G28" s="2"/>
      <c r="H28" s="2"/>
      <c r="I28" s="2"/>
      <c r="J28" s="2"/>
      <c r="K28" s="2"/>
      <c r="L28" s="2"/>
      <c r="M28" s="2"/>
      <c r="N28" s="2"/>
      <c r="O28" s="2"/>
    </row>
    <row r="29" spans="2:15">
      <c r="B29" s="2"/>
      <c r="C29" s="2"/>
      <c r="D29" s="2" t="s">
        <v>2675</v>
      </c>
      <c r="E29" s="2"/>
      <c r="F29" s="2"/>
      <c r="G29" s="2"/>
      <c r="H29" s="2"/>
      <c r="I29" s="2"/>
      <c r="J29" s="2"/>
      <c r="K29" s="2"/>
      <c r="L29" s="2"/>
      <c r="M29" s="2"/>
      <c r="N29" s="2"/>
      <c r="O29" s="2"/>
    </row>
    <row r="30" spans="2:15">
      <c r="B30" s="2"/>
      <c r="C30" s="2" t="s">
        <v>2676</v>
      </c>
      <c r="D30" s="2"/>
      <c r="E30" s="2"/>
      <c r="F30" s="2"/>
      <c r="G30" s="2"/>
      <c r="H30" s="2"/>
      <c r="I30" s="2"/>
      <c r="J30" s="2"/>
      <c r="K30" s="2"/>
      <c r="L30" s="2"/>
      <c r="M30" s="2"/>
      <c r="N30" s="2"/>
      <c r="O30" s="2"/>
    </row>
    <row r="31" spans="2:15">
      <c r="B31" s="2"/>
      <c r="C31" s="2"/>
      <c r="D31" s="2" t="s">
        <v>2677</v>
      </c>
      <c r="E31" s="2"/>
      <c r="F31" s="2"/>
      <c r="G31" s="2"/>
      <c r="H31" s="2"/>
      <c r="I31" s="2"/>
      <c r="J31" s="2"/>
      <c r="K31" s="2"/>
      <c r="L31" s="2"/>
      <c r="M31" s="2"/>
      <c r="N31" s="2"/>
      <c r="O31" s="2"/>
    </row>
    <row r="32" spans="2:15">
      <c r="B32" s="2" t="s">
        <v>2678</v>
      </c>
      <c r="C32" s="2"/>
      <c r="D32" s="2"/>
      <c r="E32" s="2"/>
      <c r="F32" s="2"/>
      <c r="G32" s="2"/>
      <c r="H32" s="2"/>
      <c r="I32" s="2"/>
      <c r="J32" s="2"/>
      <c r="K32" s="2"/>
      <c r="L32" s="2"/>
      <c r="M32" s="2"/>
      <c r="N32" s="2"/>
      <c r="O32" s="2"/>
    </row>
    <row r="33" spans="2:15">
      <c r="B33" s="2"/>
      <c r="C33" s="2" t="s">
        <v>2679</v>
      </c>
      <c r="D33" s="2"/>
      <c r="E33" s="2"/>
      <c r="F33" s="2"/>
      <c r="G33" s="2"/>
      <c r="H33" s="2"/>
      <c r="I33" s="2"/>
      <c r="J33" s="2"/>
      <c r="K33" s="2"/>
      <c r="L33" s="2"/>
      <c r="M33" s="2"/>
      <c r="N33" s="2"/>
      <c r="O33" s="2"/>
    </row>
    <row r="34" spans="2:15">
      <c r="B34" s="2"/>
      <c r="C34" s="2" t="s">
        <v>2680</v>
      </c>
      <c r="D34" s="2"/>
      <c r="E34" s="2"/>
      <c r="F34" s="2"/>
      <c r="G34" s="2"/>
      <c r="H34" s="2"/>
      <c r="I34" s="2"/>
      <c r="J34" s="2"/>
      <c r="K34" s="2"/>
      <c r="L34" s="2"/>
      <c r="M34" s="2"/>
      <c r="N34" s="2"/>
      <c r="O34" s="2"/>
    </row>
    <row r="35" spans="2:15">
      <c r="B35" s="2"/>
      <c r="C35" s="2" t="s">
        <v>2681</v>
      </c>
      <c r="D35" s="2"/>
      <c r="E35" s="2"/>
      <c r="F35" s="2"/>
      <c r="G35" s="2"/>
      <c r="H35" s="2"/>
      <c r="I35" s="2"/>
      <c r="J35" s="2"/>
      <c r="K35" s="2"/>
      <c r="L35" s="2"/>
      <c r="M35" s="2"/>
      <c r="N35" s="2"/>
      <c r="O35" s="2"/>
    </row>
    <row r="36" spans="2:15">
      <c r="B36" s="2"/>
      <c r="C36" s="2"/>
      <c r="D36" s="2" t="s">
        <v>2682</v>
      </c>
      <c r="E36" s="2"/>
      <c r="F36" s="2"/>
      <c r="G36" s="2"/>
      <c r="H36" s="2"/>
      <c r="I36" s="2"/>
      <c r="J36" s="2"/>
      <c r="K36" s="2"/>
      <c r="L36" s="2"/>
      <c r="M36" s="2"/>
      <c r="N36" s="2"/>
      <c r="O36" s="2"/>
    </row>
    <row r="37" spans="2:15">
      <c r="B37" s="2"/>
      <c r="C37" s="2"/>
      <c r="D37" s="2" t="s">
        <v>2683</v>
      </c>
      <c r="E37" s="2"/>
      <c r="F37" s="2"/>
      <c r="G37" s="2"/>
      <c r="H37" s="2"/>
      <c r="I37" s="2"/>
      <c r="J37" s="2"/>
      <c r="K37" s="2"/>
      <c r="L37" s="2"/>
      <c r="M37" s="2"/>
      <c r="N37" s="2"/>
      <c r="O37" s="2"/>
    </row>
    <row r="38" spans="2:15">
      <c r="B38" s="2"/>
      <c r="C38" s="2"/>
      <c r="D38" s="2" t="s">
        <v>2684</v>
      </c>
      <c r="E38" s="2"/>
      <c r="F38" s="2"/>
      <c r="G38" s="2"/>
      <c r="H38" s="2"/>
      <c r="I38" s="2"/>
      <c r="J38" s="2"/>
      <c r="K38" s="2"/>
      <c r="L38" s="2"/>
      <c r="M38" s="2"/>
      <c r="N38" s="2"/>
      <c r="O38" s="2"/>
    </row>
    <row r="39" spans="2:15">
      <c r="B39" s="2"/>
      <c r="C39" s="2" t="s">
        <v>2685</v>
      </c>
      <c r="D39" s="2"/>
      <c r="E39" s="2"/>
      <c r="F39" s="2"/>
      <c r="G39" s="2"/>
      <c r="H39" s="2"/>
      <c r="I39" s="2"/>
      <c r="J39" s="2"/>
      <c r="K39" s="2"/>
      <c r="L39" s="2"/>
      <c r="M39" s="2"/>
      <c r="N39" s="2"/>
      <c r="O39" s="2"/>
    </row>
    <row r="40" spans="2:15">
      <c r="B40" s="2"/>
      <c r="C40" s="2"/>
      <c r="D40" s="2" t="s">
        <v>2682</v>
      </c>
      <c r="E40" s="2"/>
      <c r="F40" s="2"/>
      <c r="G40" s="2"/>
      <c r="H40" s="2"/>
      <c r="I40" s="2"/>
      <c r="J40" s="2"/>
      <c r="K40" s="2"/>
      <c r="L40" s="2"/>
      <c r="M40" s="2"/>
      <c r="N40" s="2"/>
      <c r="O40" s="2"/>
    </row>
    <row r="41" spans="2:15">
      <c r="B41" s="2"/>
      <c r="C41" s="2"/>
      <c r="D41" s="2" t="s">
        <v>2683</v>
      </c>
      <c r="E41" s="2"/>
      <c r="F41" s="2"/>
      <c r="G41" s="2"/>
      <c r="H41" s="2"/>
      <c r="I41" s="2"/>
      <c r="J41" s="2"/>
      <c r="K41" s="2"/>
      <c r="L41" s="2"/>
      <c r="M41" s="2"/>
      <c r="N41" s="2"/>
      <c r="O41" s="2"/>
    </row>
    <row r="42" spans="2:15">
      <c r="B42" s="2"/>
      <c r="C42" s="2"/>
      <c r="D42" s="2" t="s">
        <v>2686</v>
      </c>
      <c r="E42" s="2"/>
      <c r="F42" s="2"/>
      <c r="G42" s="2"/>
      <c r="H42" s="2"/>
      <c r="I42" s="2"/>
      <c r="J42" s="2"/>
      <c r="K42" s="2"/>
      <c r="L42" s="2"/>
      <c r="M42" s="2"/>
      <c r="N42" s="2"/>
      <c r="O42" s="2"/>
    </row>
    <row r="43" spans="2:15">
      <c r="B43" s="2"/>
      <c r="C43" s="2"/>
      <c r="D43" s="2"/>
      <c r="E43" s="2" t="s">
        <v>2687</v>
      </c>
      <c r="F43" s="2"/>
      <c r="G43" s="2"/>
      <c r="H43" s="2"/>
      <c r="I43" s="2"/>
      <c r="J43" s="2"/>
      <c r="K43" s="2"/>
      <c r="L43" s="2"/>
      <c r="M43" s="2"/>
      <c r="N43" s="2"/>
      <c r="O43" s="2"/>
    </row>
    <row r="44" spans="2:15">
      <c r="B44" s="2"/>
      <c r="C44" s="2"/>
      <c r="D44" s="2"/>
      <c r="E44" s="2" t="s">
        <v>2688</v>
      </c>
      <c r="F44" s="2"/>
      <c r="G44" s="2"/>
      <c r="H44" s="2"/>
      <c r="I44" s="2"/>
      <c r="J44" s="2"/>
      <c r="K44" s="2"/>
      <c r="L44" s="2"/>
      <c r="M44" s="2"/>
      <c r="N44" s="2"/>
      <c r="O44" s="2"/>
    </row>
    <row r="45" spans="2:15">
      <c r="B45" s="2" t="s">
        <v>2689</v>
      </c>
      <c r="C45" s="2"/>
      <c r="D45" s="2"/>
      <c r="E45" s="2"/>
      <c r="F45" s="2"/>
      <c r="G45" s="2"/>
      <c r="H45" s="2"/>
      <c r="I45" s="2"/>
      <c r="J45" s="2"/>
      <c r="K45" s="2"/>
      <c r="L45" s="2"/>
      <c r="M45" s="2"/>
      <c r="N45" s="2"/>
      <c r="O45" s="2"/>
    </row>
    <row r="46" spans="2:15">
      <c r="B46" s="2"/>
      <c r="C46" s="2" t="s">
        <v>2690</v>
      </c>
      <c r="D46" s="2"/>
      <c r="E46" s="2"/>
      <c r="F46" s="2"/>
      <c r="G46" s="2"/>
      <c r="H46" s="2"/>
      <c r="I46" s="2"/>
      <c r="J46" s="2"/>
      <c r="K46" s="2"/>
      <c r="L46" s="2"/>
      <c r="M46" s="2"/>
      <c r="N46" s="2"/>
      <c r="O46" s="2"/>
    </row>
    <row r="47" spans="2:15">
      <c r="B47" s="2"/>
      <c r="C47" s="2" t="s">
        <v>2691</v>
      </c>
      <c r="D47" s="2"/>
      <c r="E47" s="2"/>
      <c r="F47" s="2"/>
      <c r="G47" s="2"/>
      <c r="H47" s="2"/>
      <c r="I47" s="2"/>
      <c r="J47" s="2"/>
      <c r="K47" s="2"/>
      <c r="L47" s="2"/>
      <c r="M47" s="2"/>
      <c r="N47" s="2"/>
      <c r="O47" s="2"/>
    </row>
    <row r="48" spans="2:15">
      <c r="B48" s="2" t="s">
        <v>2692</v>
      </c>
      <c r="C48" s="2"/>
      <c r="D48" s="2"/>
      <c r="E48" s="2"/>
      <c r="F48" s="2"/>
      <c r="G48" s="2"/>
      <c r="H48" s="2"/>
      <c r="I48" s="2"/>
      <c r="J48" s="2"/>
      <c r="K48" s="2"/>
      <c r="L48" s="2"/>
      <c r="M48" s="2"/>
      <c r="N48" s="2"/>
      <c r="O48" s="2"/>
    </row>
    <row r="49" spans="2:15">
      <c r="B49" s="2"/>
      <c r="C49" s="2" t="s">
        <v>2693</v>
      </c>
      <c r="D49" s="2"/>
      <c r="E49" s="2"/>
      <c r="F49" s="2"/>
      <c r="G49" s="2"/>
      <c r="H49" s="2"/>
      <c r="I49" s="2"/>
      <c r="J49" s="2"/>
      <c r="K49" s="2"/>
      <c r="L49" s="2"/>
      <c r="M49" s="2"/>
      <c r="N49" s="2"/>
      <c r="O49" s="2"/>
    </row>
    <row r="50" spans="2:15">
      <c r="B50" s="2"/>
      <c r="C50" s="2"/>
      <c r="D50" s="2" t="s">
        <v>2694</v>
      </c>
      <c r="E50" s="2"/>
      <c r="F50" s="2"/>
      <c r="G50" s="2"/>
      <c r="H50" s="2"/>
      <c r="I50" s="2"/>
      <c r="J50" s="2"/>
      <c r="K50" s="2"/>
      <c r="L50" s="2"/>
      <c r="M50" s="2"/>
      <c r="N50" s="2"/>
      <c r="O50" s="2"/>
    </row>
    <row r="51" spans="2:15">
      <c r="B51" s="2"/>
      <c r="C51" s="2"/>
      <c r="D51" s="2" t="s">
        <v>2695</v>
      </c>
      <c r="E51" s="2"/>
      <c r="F51" s="2"/>
      <c r="G51" s="2"/>
      <c r="H51" s="2"/>
      <c r="I51" s="2"/>
      <c r="J51" s="2"/>
      <c r="K51" s="2"/>
      <c r="L51" s="2"/>
      <c r="M51" s="2"/>
      <c r="N51" s="2"/>
      <c r="O51" s="2"/>
    </row>
    <row r="52" spans="2:15">
      <c r="B52" s="2"/>
      <c r="C52" s="2"/>
      <c r="D52" s="2" t="s">
        <v>2696</v>
      </c>
      <c r="E52" s="2"/>
      <c r="F52" s="2"/>
      <c r="G52" s="2"/>
      <c r="H52" s="2"/>
      <c r="I52" s="2"/>
      <c r="J52" s="2"/>
      <c r="K52" s="2"/>
      <c r="L52" s="2"/>
      <c r="M52" s="2"/>
      <c r="N52" s="2"/>
      <c r="O52" s="2"/>
    </row>
    <row r="53" spans="2:15">
      <c r="B53" s="2"/>
      <c r="C53" s="2" t="s">
        <v>2697</v>
      </c>
      <c r="D53" s="2"/>
      <c r="E53" s="2"/>
      <c r="F53" s="2"/>
      <c r="G53" s="2"/>
      <c r="H53" s="2"/>
      <c r="I53" s="2"/>
      <c r="J53" s="2"/>
      <c r="K53" s="2"/>
      <c r="L53" s="2"/>
      <c r="M53" s="2"/>
      <c r="N53" s="2"/>
      <c r="O53" s="2"/>
    </row>
    <row r="54" spans="2:15">
      <c r="B54" s="2"/>
      <c r="C54" s="2"/>
      <c r="D54" s="2" t="s">
        <v>2698</v>
      </c>
      <c r="E54" s="2"/>
      <c r="F54" s="2"/>
      <c r="G54" s="2"/>
      <c r="H54" s="2"/>
      <c r="I54" s="2"/>
      <c r="J54" s="2"/>
      <c r="K54" s="2"/>
      <c r="L54" s="2"/>
      <c r="M54" s="2"/>
      <c r="N54" s="2"/>
      <c r="O54" s="2"/>
    </row>
    <row r="55" spans="2:15">
      <c r="B55" s="2"/>
      <c r="C55" s="2"/>
      <c r="D55" s="2" t="s">
        <v>2699</v>
      </c>
      <c r="E55" s="2"/>
      <c r="F55" s="2"/>
      <c r="G55" s="2"/>
      <c r="H55" s="2"/>
      <c r="I55" s="2"/>
      <c r="J55" s="2"/>
      <c r="K55" s="2"/>
      <c r="L55" s="2"/>
      <c r="M55" s="2"/>
      <c r="N55" s="2"/>
      <c r="O55" s="2"/>
    </row>
    <row r="56" spans="2:15">
      <c r="B56" s="2"/>
      <c r="C56" s="2"/>
      <c r="D56" s="2" t="s">
        <v>2700</v>
      </c>
      <c r="E56" s="2"/>
      <c r="F56" s="2"/>
      <c r="G56" s="2"/>
      <c r="H56" s="2"/>
      <c r="I56" s="2"/>
      <c r="J56" s="2"/>
      <c r="K56" s="2"/>
      <c r="L56" s="2"/>
      <c r="M56" s="2"/>
      <c r="N56" s="2"/>
      <c r="O56" s="2"/>
    </row>
    <row r="57" spans="2:15">
      <c r="B57" s="2"/>
      <c r="C57" s="2" t="s">
        <v>2701</v>
      </c>
      <c r="D57" s="2"/>
      <c r="E57" s="2"/>
      <c r="F57" s="2"/>
      <c r="G57" s="2"/>
      <c r="H57" s="2"/>
      <c r="I57" s="2"/>
      <c r="J57" s="2"/>
      <c r="K57" s="2"/>
      <c r="L57" s="2"/>
      <c r="M57" s="2"/>
      <c r="N57" s="2"/>
      <c r="O57" s="2"/>
    </row>
    <row r="58" spans="2:15">
      <c r="B58" s="2"/>
      <c r="C58" s="2"/>
      <c r="D58" s="2" t="s">
        <v>2702</v>
      </c>
      <c r="E58" s="2"/>
      <c r="F58" s="2"/>
      <c r="G58" s="2"/>
      <c r="H58" s="2"/>
      <c r="I58" s="2"/>
      <c r="J58" s="2"/>
      <c r="K58" s="2"/>
      <c r="L58" s="2"/>
      <c r="M58" s="2"/>
      <c r="N58" s="2"/>
      <c r="O58" s="2"/>
    </row>
    <row r="59" spans="2:15">
      <c r="B59" s="2"/>
      <c r="C59" s="2"/>
      <c r="D59" s="2" t="s">
        <v>2703</v>
      </c>
      <c r="E59" s="2"/>
      <c r="F59" s="2"/>
      <c r="G59" s="2"/>
      <c r="H59" s="2"/>
      <c r="I59" s="2"/>
      <c r="J59" s="2"/>
      <c r="K59" s="2"/>
      <c r="L59" s="2"/>
      <c r="M59" s="2"/>
      <c r="N59" s="2"/>
      <c r="O59" s="2"/>
    </row>
    <row r="60" spans="2:15">
      <c r="B60" s="2"/>
      <c r="C60" s="2"/>
      <c r="D60" s="2" t="s">
        <v>2704</v>
      </c>
      <c r="E60" s="2"/>
      <c r="F60" s="2"/>
      <c r="G60" s="2"/>
      <c r="H60" s="2"/>
      <c r="I60" s="2"/>
      <c r="J60" s="2"/>
      <c r="K60" s="2"/>
      <c r="L60" s="2"/>
      <c r="M60" s="2"/>
      <c r="N60" s="2"/>
      <c r="O60" s="2"/>
    </row>
    <row r="61" spans="2:15">
      <c r="B61" s="2" t="s">
        <v>2705</v>
      </c>
      <c r="C61" s="2"/>
      <c r="D61" s="2"/>
      <c r="E61" s="2"/>
      <c r="F61" s="2"/>
      <c r="G61" s="2"/>
      <c r="H61" s="2"/>
      <c r="I61" s="2"/>
      <c r="J61" s="2"/>
      <c r="K61" s="2"/>
      <c r="L61" s="2"/>
      <c r="M61" s="2"/>
      <c r="N61" s="2"/>
      <c r="O61" s="2"/>
    </row>
    <row r="62" spans="2:15">
      <c r="B62" s="2" t="s">
        <v>2706</v>
      </c>
      <c r="C62" s="2"/>
      <c r="D62" s="2"/>
      <c r="E62" s="2"/>
      <c r="F62" s="2"/>
      <c r="G62" s="2"/>
      <c r="H62" s="2"/>
      <c r="I62" s="2"/>
      <c r="J62" s="2"/>
      <c r="K62" s="2"/>
      <c r="L62" s="2"/>
      <c r="M62" s="2"/>
      <c r="N62" s="2"/>
      <c r="O62" s="2"/>
    </row>
    <row r="63" spans="2:15">
      <c r="B63" s="2" t="s">
        <v>2707</v>
      </c>
      <c r="C63" s="2"/>
      <c r="D63" s="2"/>
      <c r="E63" s="2"/>
      <c r="F63" s="2"/>
      <c r="G63" s="2"/>
      <c r="H63" s="2"/>
      <c r="I63" s="2"/>
      <c r="J63" s="2"/>
      <c r="K63" s="2"/>
      <c r="L63" s="2"/>
      <c r="M63" s="2"/>
      <c r="N63" s="2"/>
      <c r="O63" s="2"/>
    </row>
    <row r="64" spans="2:15">
      <c r="B64" s="2"/>
      <c r="C64" s="2" t="s">
        <v>2708</v>
      </c>
      <c r="D64" s="2"/>
      <c r="E64" s="2"/>
      <c r="F64" s="2"/>
      <c r="G64" s="2"/>
      <c r="H64" s="2"/>
      <c r="I64" s="2"/>
      <c r="J64" s="2"/>
      <c r="K64" s="2"/>
      <c r="L64" s="2"/>
      <c r="M64" s="2"/>
      <c r="N64" s="2"/>
      <c r="O64" s="2"/>
    </row>
    <row r="65" spans="2:15">
      <c r="B65" s="2"/>
      <c r="C65" s="2" t="s">
        <v>2709</v>
      </c>
      <c r="D65" s="2"/>
      <c r="E65" s="2"/>
      <c r="F65" s="2"/>
      <c r="G65" s="2"/>
      <c r="H65" s="2"/>
      <c r="I65" s="2"/>
      <c r="J65" s="2"/>
      <c r="K65" s="2"/>
      <c r="L65" s="2"/>
      <c r="M65" s="2"/>
      <c r="N65" s="2"/>
      <c r="O65" s="2"/>
    </row>
    <row r="66" spans="2:15">
      <c r="B66" s="2"/>
      <c r="C66" s="2" t="s">
        <v>2710</v>
      </c>
      <c r="D66" s="2"/>
      <c r="E66" s="2"/>
      <c r="F66" s="2"/>
      <c r="G66" s="2"/>
      <c r="H66" s="2"/>
      <c r="I66" s="2"/>
      <c r="J66" s="2"/>
      <c r="K66" s="2"/>
      <c r="L66" s="2"/>
      <c r="M66" s="2"/>
      <c r="N66" s="2"/>
      <c r="O66" s="2"/>
    </row>
    <row r="67" spans="2:15">
      <c r="B67" s="2" t="s">
        <v>2711</v>
      </c>
      <c r="C67" s="2"/>
      <c r="D67" s="2"/>
      <c r="E67" s="2"/>
      <c r="F67" s="2"/>
      <c r="G67" s="2"/>
      <c r="H67" s="2"/>
      <c r="I67" s="2"/>
      <c r="J67" s="2"/>
      <c r="K67" s="2"/>
      <c r="L67" s="2"/>
      <c r="M67" s="2"/>
      <c r="N67" s="2"/>
      <c r="O67" s="2"/>
    </row>
    <row r="68" spans="2:15">
      <c r="B68" s="2" t="s">
        <v>2712</v>
      </c>
      <c r="C68" s="2"/>
      <c r="D68" s="2"/>
      <c r="E68" s="2"/>
      <c r="F68" s="2"/>
      <c r="G68" s="2"/>
      <c r="H68" s="2"/>
      <c r="I68" s="2"/>
      <c r="J68" s="2"/>
      <c r="K68" s="2"/>
      <c r="L68" s="2"/>
      <c r="M68" s="2"/>
      <c r="N68" s="2"/>
      <c r="O68" s="2"/>
    </row>
    <row r="69" spans="2:15">
      <c r="B69" s="2" t="s">
        <v>2713</v>
      </c>
      <c r="C69" s="2"/>
      <c r="D69" s="2"/>
      <c r="E69" s="2"/>
      <c r="F69" s="2"/>
      <c r="G69" s="2"/>
      <c r="H69" s="2"/>
      <c r="I69" s="2"/>
      <c r="J69" s="2"/>
      <c r="K69" s="2"/>
      <c r="L69" s="2"/>
      <c r="M69" s="2"/>
      <c r="N69" s="2"/>
      <c r="O69" s="2"/>
    </row>
    <row r="70" spans="2:15">
      <c r="B70" s="2"/>
      <c r="C70" s="2" t="s">
        <v>2714</v>
      </c>
      <c r="D70" s="2"/>
      <c r="E70" s="2"/>
      <c r="F70" s="2"/>
      <c r="G70" s="2"/>
      <c r="H70" s="2"/>
      <c r="I70" s="2"/>
      <c r="J70" s="2"/>
      <c r="K70" s="2"/>
      <c r="L70" s="2"/>
      <c r="M70" s="2"/>
      <c r="N70" s="2"/>
      <c r="O70" s="2"/>
    </row>
    <row r="71" spans="2:15">
      <c r="B71" s="2"/>
      <c r="C71" s="2" t="s">
        <v>2715</v>
      </c>
      <c r="D71" s="2"/>
      <c r="E71" s="2"/>
      <c r="F71" s="2"/>
      <c r="G71" s="2"/>
      <c r="H71" s="2"/>
      <c r="I71" s="2"/>
      <c r="J71" s="2"/>
      <c r="K71" s="2"/>
      <c r="L71" s="2"/>
      <c r="M71" s="2"/>
      <c r="N71" s="2"/>
      <c r="O71" s="2"/>
    </row>
    <row r="72" spans="2:15">
      <c r="B72" s="2" t="s">
        <v>2716</v>
      </c>
      <c r="C72" s="2"/>
      <c r="D72" s="2"/>
      <c r="E72" s="2"/>
      <c r="F72" s="2"/>
      <c r="G72" s="2"/>
      <c r="H72" s="2"/>
      <c r="I72" s="2"/>
      <c r="J72" s="2"/>
      <c r="K72" s="2"/>
      <c r="L72" s="2"/>
      <c r="M72" s="2"/>
      <c r="N72" s="2"/>
      <c r="O72" s="2"/>
    </row>
    <row r="73" spans="2:15">
      <c r="B73" s="2"/>
      <c r="C73" s="2" t="s">
        <v>2717</v>
      </c>
      <c r="D73" s="2"/>
      <c r="E73" s="2"/>
      <c r="F73" s="2"/>
      <c r="G73" s="2"/>
      <c r="H73" s="2"/>
      <c r="I73" s="2"/>
      <c r="J73" s="2"/>
      <c r="K73" s="2"/>
      <c r="L73" s="2"/>
      <c r="M73" s="2"/>
      <c r="N73" s="2"/>
      <c r="O73" s="2"/>
    </row>
    <row r="74" spans="2:15">
      <c r="B74" s="2"/>
      <c r="C74" s="2"/>
      <c r="D74" s="2" t="s">
        <v>2718</v>
      </c>
      <c r="E74" s="2"/>
      <c r="F74" s="2"/>
      <c r="G74" s="2"/>
      <c r="H74" s="2"/>
      <c r="I74" s="2"/>
      <c r="J74" s="2"/>
      <c r="K74" s="2"/>
      <c r="L74" s="2"/>
      <c r="M74" s="2"/>
      <c r="N74" s="2"/>
      <c r="O74" s="2"/>
    </row>
    <row r="75" spans="2:15">
      <c r="B75" s="2"/>
      <c r="C75" s="2" t="s">
        <v>2719</v>
      </c>
      <c r="D75" s="2"/>
      <c r="E75" s="2"/>
      <c r="F75" s="2"/>
      <c r="G75" s="2"/>
      <c r="H75" s="2"/>
      <c r="I75" s="2"/>
      <c r="J75" s="2"/>
      <c r="K75" s="2"/>
      <c r="L75" s="2"/>
      <c r="M75" s="2"/>
      <c r="N75" s="2"/>
      <c r="O75" s="2"/>
    </row>
    <row r="76" spans="2:15">
      <c r="B76" s="2"/>
      <c r="C76" s="2"/>
      <c r="D76" s="2" t="s">
        <v>2720</v>
      </c>
      <c r="E76" s="2"/>
      <c r="F76" s="2"/>
      <c r="G76" s="2"/>
      <c r="H76" s="2"/>
      <c r="I76" s="2"/>
      <c r="J76" s="2"/>
      <c r="K76" s="2"/>
      <c r="L76" s="2"/>
      <c r="M76" s="2"/>
      <c r="N76" s="2"/>
      <c r="O76" s="2"/>
    </row>
    <row r="77" spans="2:15">
      <c r="B77" s="2"/>
      <c r="C77" s="2" t="s">
        <v>2721</v>
      </c>
      <c r="D77" s="2"/>
      <c r="E77" s="2"/>
      <c r="F77" s="2"/>
      <c r="G77" s="2"/>
      <c r="H77" s="2"/>
      <c r="I77" s="2"/>
      <c r="J77" s="2"/>
      <c r="K77" s="2"/>
      <c r="L77" s="2"/>
      <c r="M77" s="2"/>
      <c r="N77" s="2"/>
      <c r="O77" s="2"/>
    </row>
    <row r="78" spans="2:15">
      <c r="B78" s="2" t="s">
        <v>2722</v>
      </c>
      <c r="C78" s="2"/>
      <c r="D78" s="2"/>
      <c r="E78" s="2"/>
      <c r="F78" s="2"/>
      <c r="G78" s="2"/>
      <c r="H78" s="2"/>
      <c r="I78" s="2"/>
      <c r="J78" s="2"/>
      <c r="K78" s="2"/>
      <c r="L78" s="2"/>
      <c r="M78" s="2"/>
      <c r="N78" s="2"/>
      <c r="O78" s="2"/>
    </row>
    <row r="79" spans="2:15">
      <c r="B79" s="2" t="s">
        <v>2723</v>
      </c>
      <c r="C79" s="2"/>
      <c r="D79" s="2"/>
      <c r="E79" s="2"/>
      <c r="F79" s="2"/>
      <c r="G79" s="2"/>
      <c r="H79" s="2"/>
      <c r="I79" s="2"/>
      <c r="J79" s="2"/>
      <c r="K79" s="2"/>
      <c r="L79" s="2"/>
      <c r="M79" s="2"/>
      <c r="N79" s="2"/>
      <c r="O79" s="2"/>
    </row>
    <row r="80" spans="2:15">
      <c r="B80" s="2"/>
      <c r="C80" s="2" t="s">
        <v>2724</v>
      </c>
      <c r="D80" s="2"/>
      <c r="E80" s="2"/>
      <c r="F80" s="2"/>
      <c r="G80" s="2"/>
      <c r="H80" s="2"/>
      <c r="I80" s="2"/>
      <c r="J80" s="2"/>
      <c r="K80" s="2"/>
      <c r="L80" s="2"/>
      <c r="M80" s="2"/>
      <c r="N80" s="2"/>
      <c r="O80" s="2"/>
    </row>
    <row r="81" spans="2:15">
      <c r="B81" s="2" t="s">
        <v>2725</v>
      </c>
      <c r="C81" s="2"/>
      <c r="D81" s="2"/>
      <c r="E81" s="2"/>
      <c r="F81" s="2"/>
      <c r="G81" s="2"/>
      <c r="H81" s="2"/>
      <c r="I81" s="2"/>
      <c r="J81" s="2"/>
      <c r="K81" s="2"/>
      <c r="L81" s="2"/>
      <c r="M81" s="2"/>
      <c r="N81" s="2"/>
      <c r="O81" s="2"/>
    </row>
    <row r="82" spans="2:15">
      <c r="B82" s="2"/>
      <c r="C82" s="2" t="s">
        <v>2726</v>
      </c>
      <c r="D82" s="2"/>
      <c r="E82" s="2"/>
      <c r="F82" s="2"/>
      <c r="G82" s="2"/>
      <c r="H82" s="2"/>
      <c r="I82" s="2"/>
      <c r="J82" s="2"/>
      <c r="K82" s="2"/>
      <c r="L82" s="2"/>
      <c r="M82" s="2"/>
      <c r="N82" s="2"/>
      <c r="O82" s="2"/>
    </row>
    <row r="83" spans="2:15">
      <c r="B83" s="2"/>
      <c r="C83" s="2" t="s">
        <v>2727</v>
      </c>
      <c r="D83" s="2"/>
      <c r="E83" s="2"/>
      <c r="F83" s="2"/>
      <c r="G83" s="2"/>
      <c r="H83" s="2"/>
      <c r="I83" s="2"/>
      <c r="J83" s="2"/>
      <c r="K83" s="2"/>
      <c r="L83" s="2"/>
      <c r="M83" s="2"/>
      <c r="N83" s="2"/>
      <c r="O83" s="2"/>
    </row>
    <row r="84" spans="2:15">
      <c r="B84" s="2"/>
      <c r="C84" s="2" t="s">
        <v>2728</v>
      </c>
      <c r="D84" s="2"/>
      <c r="E84" s="2"/>
      <c r="F84" s="2"/>
      <c r="G84" s="2"/>
      <c r="H84" s="2"/>
      <c r="I84" s="2"/>
      <c r="J84" s="2"/>
      <c r="K84" s="2"/>
      <c r="L84" s="2"/>
      <c r="M84" s="2"/>
      <c r="N84" s="2"/>
      <c r="O84" s="2"/>
    </row>
  </sheetData>
  <pageMargins left="0.75" right="0.75" top="1" bottom="1" header="0.5" footer="0.5"/>
  <pageSetup paperSize="9" orientation="portrait"/>
  <headerFooter/>
</worksheet>
</file>

<file path=xl/worksheets/sheet1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S37"/>
  <sheetViews>
    <sheetView zoomScale="85" zoomScaleNormal="85" workbookViewId="0">
      <selection activeCell="C11" sqref="C11"/>
    </sheetView>
  </sheetViews>
  <sheetFormatPr defaultColWidth="8.88888888888889" defaultRowHeight="14.4"/>
  <cols>
    <col min="1" max="1" width="9.66666666666667"/>
  </cols>
  <sheetData>
    <row r="1" spans="1:19">
      <c r="A1" s="1">
        <f>SUM(B1:AZ1)</f>
        <v>12.55</v>
      </c>
      <c r="B1" s="1">
        <f t="shared" ref="B1:H1" si="0">COUNTA(B2:B2078)/COLUMN()</f>
        <v>4.5</v>
      </c>
      <c r="C1" s="1">
        <f t="shared" si="0"/>
        <v>6</v>
      </c>
      <c r="D1" s="1">
        <f t="shared" si="0"/>
        <v>1.25</v>
      </c>
      <c r="E1" s="1">
        <f t="shared" si="0"/>
        <v>0.8</v>
      </c>
      <c r="F1" s="1">
        <f t="shared" si="0"/>
        <v>0</v>
      </c>
      <c r="G1" s="1">
        <f t="shared" si="0"/>
        <v>0</v>
      </c>
      <c r="H1" s="1">
        <f t="shared" si="0"/>
        <v>0</v>
      </c>
    </row>
    <row r="2" spans="1:19">
      <c r="A2" t="str" cm="1">
        <f ca="1" t="array" ref="A2">_wpsfn.SHEETSNAME(A1)</f>
        <v>20251109</v>
      </c>
      <c r="B2" s="2" t="s">
        <v>2729</v>
      </c>
      <c r="C2" s="2"/>
      <c r="D2" s="2"/>
      <c r="E2" s="2"/>
      <c r="F2" s="2"/>
      <c r="G2" s="2"/>
      <c r="H2" s="2"/>
      <c r="I2" s="2"/>
      <c r="J2" s="2"/>
      <c r="K2" s="2"/>
      <c r="L2" s="2"/>
      <c r="M2" s="2"/>
      <c r="N2" s="2"/>
      <c r="O2" s="2"/>
      <c r="P2" s="2"/>
      <c r="Q2" s="2"/>
      <c r="R2" s="2"/>
      <c r="S2" s="2"/>
    </row>
    <row r="3" spans="1:19">
      <c r="B3" s="2"/>
      <c r="C3" s="2" t="s">
        <v>2730</v>
      </c>
      <c r="D3" s="2"/>
      <c r="E3" s="2"/>
      <c r="F3" s="2"/>
      <c r="G3" s="2"/>
      <c r="H3" s="2"/>
      <c r="I3" s="2"/>
      <c r="J3" s="2"/>
      <c r="K3" s="2"/>
      <c r="L3" s="2"/>
      <c r="M3" s="2"/>
      <c r="N3" s="2"/>
      <c r="O3" s="2"/>
      <c r="P3" s="2"/>
      <c r="Q3" s="2"/>
      <c r="R3" s="2"/>
      <c r="S3" s="2"/>
    </row>
    <row r="4" spans="1:19">
      <c r="B4" s="2"/>
      <c r="C4" s="2" t="s">
        <v>2731</v>
      </c>
      <c r="D4" s="2"/>
      <c r="E4" s="2"/>
      <c r="F4" s="2"/>
      <c r="G4" s="2"/>
      <c r="H4" s="2"/>
      <c r="I4" s="2"/>
      <c r="J4" s="2"/>
      <c r="K4" s="2"/>
      <c r="L4" s="2"/>
      <c r="M4" s="2"/>
      <c r="N4" s="2"/>
      <c r="O4" s="2"/>
      <c r="P4" s="2"/>
      <c r="Q4" s="2"/>
      <c r="R4" s="2"/>
      <c r="S4" s="2"/>
    </row>
    <row r="5" spans="1:19">
      <c r="B5" s="2" t="s">
        <v>2732</v>
      </c>
      <c r="C5" s="2"/>
      <c r="D5" s="2"/>
      <c r="E5" s="2"/>
      <c r="F5" s="2"/>
      <c r="G5" s="2"/>
      <c r="H5" s="2"/>
      <c r="I5" s="2"/>
      <c r="J5" s="2"/>
      <c r="K5" s="2"/>
      <c r="L5" s="2"/>
      <c r="M5" s="2"/>
      <c r="N5" s="2"/>
      <c r="O5" s="2"/>
      <c r="P5" s="2"/>
      <c r="Q5" s="2"/>
      <c r="R5" s="2"/>
      <c r="S5" s="2"/>
    </row>
    <row r="6" spans="1:19">
      <c r="B6" s="2"/>
      <c r="C6" s="2" t="s">
        <v>2733</v>
      </c>
      <c r="D6" s="2"/>
      <c r="E6" s="2"/>
      <c r="F6" s="2"/>
      <c r="G6" s="2"/>
      <c r="H6" s="2"/>
      <c r="I6" s="2"/>
      <c r="J6" s="2"/>
      <c r="K6" s="2"/>
      <c r="L6" s="2"/>
      <c r="M6" s="2"/>
      <c r="N6" s="2"/>
      <c r="O6" s="2"/>
      <c r="P6" s="2"/>
      <c r="Q6" s="2"/>
      <c r="R6" s="2"/>
      <c r="S6" s="2"/>
    </row>
    <row r="7" spans="1:19">
      <c r="B7" s="2"/>
      <c r="C7" s="2" t="s">
        <v>2734</v>
      </c>
      <c r="D7" s="2"/>
      <c r="E7" s="2"/>
      <c r="F7" s="2"/>
      <c r="G7" s="2"/>
      <c r="H7" s="2"/>
      <c r="I7" s="2"/>
      <c r="J7" s="2"/>
      <c r="K7" s="2"/>
      <c r="L7" s="2"/>
      <c r="M7" s="2"/>
      <c r="N7" s="2"/>
      <c r="O7" s="2"/>
      <c r="P7" s="2"/>
      <c r="Q7" s="2"/>
      <c r="R7" s="2"/>
      <c r="S7" s="2"/>
    </row>
    <row r="8" spans="1:19">
      <c r="B8" s="2" t="s">
        <v>2735</v>
      </c>
      <c r="C8" s="2"/>
      <c r="D8" s="2"/>
      <c r="E8" s="2"/>
      <c r="F8" s="2"/>
      <c r="G8" s="2"/>
      <c r="H8" s="2"/>
      <c r="I8" s="2"/>
      <c r="J8" s="2"/>
      <c r="K8" s="2"/>
      <c r="L8" s="2"/>
      <c r="M8" s="2"/>
      <c r="N8" s="2"/>
      <c r="O8" s="2"/>
      <c r="P8" s="2"/>
      <c r="Q8" s="2"/>
      <c r="R8" s="2"/>
      <c r="S8" s="2"/>
    </row>
    <row r="9" spans="1:19">
      <c r="B9" s="2" t="s">
        <v>2736</v>
      </c>
      <c r="C9" s="2"/>
      <c r="D9" s="2"/>
      <c r="E9" s="2"/>
      <c r="F9" s="2"/>
      <c r="G9" s="2"/>
      <c r="H9" s="2"/>
      <c r="I9" s="2"/>
      <c r="J9" s="2"/>
      <c r="K9" s="2"/>
      <c r="L9" s="2"/>
      <c r="M9" s="2"/>
      <c r="N9" s="2"/>
      <c r="O9" s="2"/>
      <c r="P9" s="2"/>
      <c r="Q9" s="2"/>
      <c r="R9" s="2"/>
      <c r="S9" s="2"/>
    </row>
    <row r="10" spans="1:19">
      <c r="B10" s="2"/>
      <c r="C10" s="2" t="s">
        <v>2737</v>
      </c>
      <c r="D10" s="2"/>
      <c r="E10" s="2"/>
      <c r="F10" s="2"/>
      <c r="G10" s="2"/>
      <c r="H10" s="2"/>
      <c r="I10" s="2"/>
      <c r="J10" s="2"/>
      <c r="K10" s="2"/>
      <c r="L10" s="2"/>
      <c r="M10" s="2"/>
      <c r="N10" s="2"/>
      <c r="O10" s="2"/>
      <c r="P10" s="2"/>
      <c r="Q10" s="2"/>
      <c r="R10" s="2"/>
      <c r="S10" s="2"/>
    </row>
    <row r="11" spans="1:19">
      <c r="B11" s="2"/>
      <c r="C11" s="2" t="s">
        <v>2738</v>
      </c>
      <c r="D11" s="2"/>
      <c r="E11" s="2"/>
      <c r="F11" s="2"/>
      <c r="G11" s="2"/>
      <c r="H11" s="2"/>
      <c r="I11" s="2"/>
      <c r="J11" s="2"/>
      <c r="K11" s="2"/>
      <c r="L11" s="2"/>
      <c r="M11" s="2"/>
      <c r="N11" s="2"/>
      <c r="O11" s="2"/>
      <c r="P11" s="2"/>
      <c r="Q11" s="2"/>
      <c r="R11" s="2"/>
      <c r="S11" s="2"/>
    </row>
    <row r="12" spans="1:19">
      <c r="B12" s="2" t="s">
        <v>2739</v>
      </c>
      <c r="C12" s="2"/>
      <c r="D12" s="2"/>
      <c r="E12" s="2"/>
      <c r="F12" s="2"/>
      <c r="G12" s="2"/>
      <c r="H12" s="2"/>
      <c r="I12" s="2"/>
      <c r="J12" s="2"/>
      <c r="K12" s="2"/>
      <c r="L12" s="2"/>
      <c r="M12" s="2"/>
      <c r="N12" s="2"/>
      <c r="O12" s="2"/>
      <c r="P12" s="2"/>
      <c r="Q12" s="2"/>
      <c r="R12" s="2"/>
      <c r="S12" s="2"/>
    </row>
    <row r="13" spans="1:19">
      <c r="B13" s="2"/>
      <c r="C13" s="2" t="s">
        <v>2740</v>
      </c>
      <c r="D13" s="2"/>
      <c r="E13" s="2"/>
      <c r="F13" s="2"/>
      <c r="G13" s="2"/>
      <c r="H13" s="2"/>
      <c r="I13" s="2"/>
      <c r="J13" s="2"/>
      <c r="K13" s="2"/>
      <c r="L13" s="2"/>
      <c r="M13" s="2"/>
      <c r="N13" s="2"/>
      <c r="O13" s="2"/>
      <c r="P13" s="2"/>
      <c r="Q13" s="2"/>
      <c r="R13" s="2"/>
      <c r="S13" s="2"/>
    </row>
    <row r="14" spans="1:19">
      <c r="B14" s="2"/>
      <c r="C14" s="2" t="s">
        <v>2741</v>
      </c>
      <c r="D14" s="2"/>
      <c r="E14" s="2"/>
      <c r="F14" s="2"/>
      <c r="G14" s="2"/>
      <c r="H14" s="2"/>
      <c r="I14" s="2"/>
      <c r="J14" s="2"/>
      <c r="K14" s="2"/>
      <c r="L14" s="2"/>
      <c r="M14" s="2"/>
      <c r="N14" s="2"/>
      <c r="O14" s="2"/>
      <c r="P14" s="2"/>
      <c r="Q14" s="2"/>
      <c r="R14" s="2"/>
      <c r="S14" s="2"/>
    </row>
    <row r="15" spans="1:19">
      <c r="B15" s="2"/>
      <c r="C15" s="2"/>
      <c r="D15" s="2" t="s">
        <v>2742</v>
      </c>
      <c r="E15" s="2"/>
      <c r="F15" s="2"/>
      <c r="G15" s="2"/>
      <c r="H15" s="2"/>
      <c r="I15" s="2"/>
      <c r="J15" s="2"/>
      <c r="K15" s="2"/>
      <c r="L15" s="2"/>
      <c r="M15" s="2"/>
      <c r="N15" s="2"/>
      <c r="O15" s="2"/>
      <c r="P15" s="2"/>
      <c r="Q15" s="2"/>
      <c r="R15" s="2"/>
      <c r="S15" s="2"/>
    </row>
    <row r="16" spans="1:19">
      <c r="B16" s="2" t="s">
        <v>2743</v>
      </c>
      <c r="C16" s="2"/>
      <c r="D16" s="2"/>
      <c r="E16" s="2"/>
      <c r="F16" s="2"/>
      <c r="G16" s="2"/>
      <c r="H16" s="2"/>
      <c r="I16" s="2"/>
      <c r="J16" s="2"/>
      <c r="K16" s="2"/>
      <c r="L16" s="2"/>
      <c r="M16" s="2"/>
      <c r="N16" s="2"/>
      <c r="O16" s="2"/>
      <c r="P16" s="2"/>
      <c r="Q16" s="2"/>
      <c r="R16" s="2"/>
      <c r="S16" s="2"/>
    </row>
    <row r="17" spans="2:19">
      <c r="B17" s="2" t="s">
        <v>2744</v>
      </c>
      <c r="C17" s="2"/>
      <c r="D17" s="2"/>
      <c r="E17" s="2"/>
      <c r="F17" s="2"/>
      <c r="G17" s="2"/>
      <c r="H17" s="2"/>
      <c r="I17" s="2"/>
      <c r="J17" s="2"/>
      <c r="K17" s="2"/>
      <c r="L17" s="2"/>
      <c r="M17" s="2"/>
      <c r="N17" s="2"/>
      <c r="O17" s="2"/>
      <c r="P17" s="2"/>
      <c r="Q17" s="2"/>
      <c r="R17" s="2"/>
      <c r="S17" s="2"/>
    </row>
    <row r="18" spans="2:19">
      <c r="B18" s="2"/>
      <c r="C18" s="2" t="s">
        <v>2745</v>
      </c>
      <c r="D18" s="2"/>
      <c r="E18" s="2"/>
      <c r="F18" s="2"/>
      <c r="G18" s="2"/>
      <c r="H18" s="2"/>
      <c r="I18" s="2"/>
      <c r="J18" s="2"/>
      <c r="K18" s="2"/>
      <c r="L18" s="2"/>
      <c r="M18" s="2"/>
      <c r="N18" s="2"/>
      <c r="O18" s="2"/>
      <c r="P18" s="2"/>
      <c r="Q18" s="2"/>
      <c r="R18" s="2"/>
      <c r="S18" s="2"/>
    </row>
    <row r="19" spans="2:19">
      <c r="B19" s="2"/>
      <c r="C19" s="2"/>
      <c r="D19" s="2" t="s">
        <v>2746</v>
      </c>
      <c r="E19" s="2"/>
      <c r="F19" s="2"/>
      <c r="G19" s="2"/>
      <c r="H19" s="2"/>
      <c r="I19" s="2"/>
      <c r="J19" s="2"/>
      <c r="K19" s="2"/>
      <c r="L19" s="2"/>
      <c r="M19" s="2"/>
      <c r="N19" s="2"/>
      <c r="O19" s="2"/>
      <c r="P19" s="2"/>
      <c r="Q19" s="2"/>
      <c r="R19" s="2"/>
      <c r="S19" s="2"/>
    </row>
    <row r="20" spans="2:19">
      <c r="B20" s="2"/>
      <c r="C20" s="2" t="s">
        <v>2747</v>
      </c>
      <c r="D20" s="2"/>
      <c r="E20" s="2"/>
      <c r="F20" s="2"/>
      <c r="G20" s="2"/>
      <c r="H20" s="2"/>
      <c r="I20" s="2"/>
      <c r="J20" s="2"/>
      <c r="K20" s="2"/>
      <c r="L20" s="2"/>
      <c r="M20" s="2"/>
      <c r="N20" s="2"/>
      <c r="O20" s="2"/>
      <c r="P20" s="2"/>
      <c r="Q20" s="2"/>
      <c r="R20" s="2"/>
      <c r="S20" s="2"/>
    </row>
    <row r="21" spans="2:19">
      <c r="B21" s="2"/>
      <c r="C21" s="2" t="s">
        <v>2748</v>
      </c>
      <c r="D21" s="2"/>
      <c r="E21" s="2"/>
      <c r="F21" s="2"/>
      <c r="G21" s="2"/>
      <c r="H21" s="2"/>
      <c r="I21" s="2"/>
      <c r="J21" s="2"/>
      <c r="K21" s="2"/>
      <c r="L21" s="2"/>
      <c r="M21" s="2"/>
      <c r="N21" s="2"/>
      <c r="O21" s="2"/>
      <c r="P21" s="2"/>
      <c r="Q21" s="2"/>
      <c r="R21" s="2"/>
      <c r="S21" s="2"/>
    </row>
    <row r="22" spans="2:19">
      <c r="B22" s="2"/>
      <c r="C22" s="2" t="s">
        <v>2749</v>
      </c>
      <c r="D22" s="2"/>
      <c r="E22" s="2"/>
      <c r="F22" s="2"/>
      <c r="G22" s="2"/>
      <c r="H22" s="2"/>
      <c r="I22" s="2"/>
      <c r="J22" s="2"/>
      <c r="K22" s="2"/>
      <c r="L22" s="2"/>
      <c r="M22" s="2"/>
      <c r="N22" s="2"/>
      <c r="O22" s="2"/>
      <c r="P22" s="2"/>
      <c r="Q22" s="2"/>
      <c r="R22" s="2"/>
      <c r="S22" s="2"/>
    </row>
    <row r="23" spans="2:19">
      <c r="B23" s="2"/>
      <c r="C23" s="2"/>
      <c r="D23" s="2" t="s">
        <v>2750</v>
      </c>
      <c r="E23" s="2"/>
      <c r="F23" s="2"/>
      <c r="G23" s="2"/>
      <c r="H23" s="2"/>
      <c r="I23" s="2"/>
      <c r="J23" s="2"/>
      <c r="K23" s="2"/>
      <c r="L23" s="2"/>
      <c r="M23" s="2"/>
      <c r="N23" s="2"/>
      <c r="O23" s="2"/>
      <c r="P23" s="2"/>
      <c r="Q23" s="2"/>
      <c r="R23" s="2"/>
      <c r="S23" s="2"/>
    </row>
    <row r="24" spans="2:19">
      <c r="B24" s="2"/>
      <c r="C24" s="2"/>
      <c r="D24" s="2" t="s">
        <v>2751</v>
      </c>
      <c r="E24" s="2"/>
      <c r="F24" s="2"/>
      <c r="G24" s="2"/>
      <c r="H24" s="2"/>
      <c r="I24" s="2"/>
      <c r="J24" s="2"/>
      <c r="K24" s="2"/>
      <c r="L24" s="2"/>
      <c r="M24" s="2"/>
      <c r="N24" s="2"/>
      <c r="O24" s="2"/>
      <c r="P24" s="2"/>
      <c r="Q24" s="2"/>
      <c r="R24" s="2"/>
      <c r="S24" s="2"/>
    </row>
    <row r="25" spans="2:19">
      <c r="B25" s="2"/>
      <c r="C25" s="2"/>
      <c r="D25" s="2"/>
      <c r="E25" s="2" t="s">
        <v>2752</v>
      </c>
      <c r="F25" s="2"/>
      <c r="G25" s="2"/>
      <c r="H25" s="2"/>
      <c r="I25" s="2"/>
      <c r="J25" s="2"/>
      <c r="K25" s="2"/>
      <c r="L25" s="2"/>
      <c r="M25" s="2"/>
      <c r="N25" s="2"/>
      <c r="O25" s="2"/>
      <c r="P25" s="2"/>
      <c r="Q25" s="2"/>
      <c r="R25" s="2"/>
      <c r="S25" s="2"/>
    </row>
    <row r="26" spans="2:19">
      <c r="B26" s="2"/>
      <c r="C26" s="2"/>
      <c r="D26" s="2"/>
      <c r="E26" s="2" t="s">
        <v>2753</v>
      </c>
      <c r="F26" s="2"/>
      <c r="G26" s="2"/>
      <c r="H26" s="2"/>
      <c r="I26" s="2"/>
      <c r="J26" s="2"/>
      <c r="K26" s="2"/>
      <c r="L26" s="2"/>
      <c r="M26" s="2"/>
      <c r="N26" s="2"/>
      <c r="O26" s="2"/>
      <c r="P26" s="2"/>
      <c r="Q26" s="2"/>
      <c r="R26" s="2"/>
      <c r="S26" s="2"/>
    </row>
    <row r="27" spans="2:19">
      <c r="B27" s="2"/>
      <c r="C27" s="2"/>
      <c r="D27" s="2"/>
      <c r="E27" s="2" t="s">
        <v>2754</v>
      </c>
      <c r="F27" s="2"/>
      <c r="G27" s="2"/>
      <c r="H27" s="2"/>
      <c r="I27" s="2"/>
      <c r="J27" s="2"/>
      <c r="K27" s="2"/>
      <c r="L27" s="2"/>
      <c r="M27" s="2"/>
      <c r="N27" s="2"/>
      <c r="O27" s="2"/>
      <c r="P27" s="2"/>
      <c r="Q27" s="2"/>
      <c r="R27" s="2"/>
      <c r="S27" s="2"/>
    </row>
    <row r="28" spans="2:19">
      <c r="B28" s="2"/>
      <c r="C28" s="2"/>
      <c r="D28" s="2"/>
      <c r="E28" s="2" t="s">
        <v>2755</v>
      </c>
      <c r="F28" s="2"/>
      <c r="G28" s="2"/>
      <c r="H28" s="2"/>
      <c r="I28" s="2"/>
      <c r="J28" s="2"/>
      <c r="K28" s="2"/>
      <c r="L28" s="2"/>
      <c r="M28" s="2"/>
      <c r="N28" s="2"/>
      <c r="O28" s="2"/>
      <c r="P28" s="2"/>
      <c r="Q28" s="2"/>
      <c r="R28" s="2"/>
      <c r="S28" s="2"/>
    </row>
    <row r="29" spans="2:19">
      <c r="B29" s="2" t="s">
        <v>2756</v>
      </c>
      <c r="C29" s="2"/>
      <c r="D29" s="2"/>
      <c r="E29" s="2"/>
      <c r="F29" s="2"/>
      <c r="G29" s="2"/>
      <c r="H29" s="2"/>
      <c r="I29" s="2"/>
      <c r="J29" s="2"/>
      <c r="K29" s="2"/>
      <c r="L29" s="2"/>
      <c r="M29" s="2"/>
      <c r="N29" s="2"/>
      <c r="O29" s="2"/>
      <c r="P29" s="2"/>
      <c r="Q29" s="2"/>
      <c r="R29" s="2"/>
      <c r="S29" s="2"/>
    </row>
    <row r="30" spans="2:19">
      <c r="B30" s="2"/>
      <c r="C30" s="2" t="s">
        <v>2757</v>
      </c>
      <c r="D30" s="2"/>
      <c r="E30" s="2"/>
      <c r="F30" s="2"/>
      <c r="G30" s="2"/>
      <c r="H30" s="2"/>
      <c r="I30" s="2"/>
      <c r="J30" s="2"/>
      <c r="K30" s="2"/>
      <c r="L30" s="2"/>
      <c r="M30" s="2"/>
      <c r="N30" s="2"/>
      <c r="O30" s="2"/>
      <c r="P30" s="2"/>
      <c r="Q30" s="2"/>
      <c r="R30" s="2"/>
      <c r="S30" s="2"/>
    </row>
    <row r="31" spans="2:19">
      <c r="B31" s="2"/>
      <c r="C31" s="2" t="s">
        <v>2758</v>
      </c>
      <c r="D31" s="2"/>
      <c r="E31" s="2"/>
      <c r="F31" s="2"/>
      <c r="G31" s="2"/>
      <c r="H31" s="2"/>
      <c r="I31" s="2"/>
      <c r="J31" s="2"/>
      <c r="K31" s="2"/>
      <c r="L31" s="2"/>
      <c r="M31" s="2"/>
      <c r="N31" s="2"/>
      <c r="O31" s="2"/>
      <c r="P31" s="2"/>
      <c r="Q31" s="2"/>
      <c r="R31" s="2"/>
      <c r="S31" s="2"/>
    </row>
    <row r="32" spans="2:19">
      <c r="B32" s="2"/>
      <c r="C32" s="2" t="s">
        <v>2759</v>
      </c>
      <c r="D32" s="2"/>
      <c r="E32" s="2"/>
      <c r="F32" s="2"/>
      <c r="G32" s="2"/>
      <c r="H32" s="2"/>
      <c r="I32" s="2"/>
      <c r="J32" s="2"/>
      <c r="K32" s="2"/>
      <c r="L32" s="2"/>
      <c r="M32" s="2"/>
      <c r="N32" s="2"/>
      <c r="O32" s="2"/>
      <c r="P32" s="2"/>
      <c r="Q32" s="2"/>
      <c r="R32" s="2"/>
      <c r="S32" s="2"/>
    </row>
    <row r="33" spans="2:19">
      <c r="B33" s="2"/>
      <c r="C33" s="2"/>
      <c r="D33" s="2" t="s">
        <v>2760</v>
      </c>
      <c r="E33" s="2"/>
      <c r="F33" s="2"/>
      <c r="G33" s="2"/>
      <c r="H33" s="2"/>
      <c r="I33" s="2"/>
      <c r="J33" s="2"/>
      <c r="K33" s="2"/>
      <c r="L33" s="2"/>
      <c r="M33" s="2"/>
      <c r="N33" s="2"/>
      <c r="O33" s="2"/>
      <c r="P33" s="2"/>
      <c r="Q33" s="2"/>
      <c r="R33" s="2"/>
      <c r="S33" s="2"/>
    </row>
    <row r="34" spans="2:19">
      <c r="B34" s="2" t="s">
        <v>2761</v>
      </c>
      <c r="C34" s="2"/>
      <c r="D34" s="2"/>
      <c r="E34" s="2"/>
      <c r="F34" s="2"/>
      <c r="G34" s="2"/>
      <c r="H34" s="2"/>
      <c r="I34" s="2"/>
      <c r="J34" s="2"/>
      <c r="K34" s="2"/>
      <c r="L34" s="2"/>
      <c r="M34" s="2"/>
      <c r="N34" s="2"/>
      <c r="O34" s="2"/>
      <c r="P34" s="2"/>
      <c r="Q34" s="2"/>
      <c r="R34" s="2"/>
      <c r="S34" s="2"/>
    </row>
    <row r="35" spans="2:19">
      <c r="B35" s="2"/>
      <c r="C35" s="2" t="s">
        <v>2762</v>
      </c>
      <c r="D35" s="2"/>
      <c r="E35" s="2"/>
      <c r="F35" s="2"/>
      <c r="G35" s="2"/>
      <c r="H35" s="2"/>
      <c r="I35" s="2"/>
      <c r="J35" s="2"/>
      <c r="K35" s="2"/>
      <c r="L35" s="2"/>
      <c r="M35" s="2"/>
      <c r="N35" s="2"/>
      <c r="O35" s="2"/>
      <c r="P35" s="2"/>
      <c r="Q35" s="2"/>
      <c r="R35" s="2"/>
      <c r="S35" s="2"/>
    </row>
    <row r="36" spans="2:19">
      <c r="B36" s="2"/>
      <c r="C36" s="2" t="s">
        <v>2763</v>
      </c>
      <c r="D36" s="2"/>
      <c r="E36" s="2"/>
      <c r="F36" s="2"/>
      <c r="G36" s="2"/>
      <c r="H36" s="2"/>
      <c r="I36" s="2"/>
      <c r="J36" s="2"/>
      <c r="K36" s="2"/>
      <c r="L36" s="2"/>
      <c r="M36" s="2"/>
      <c r="N36" s="2"/>
      <c r="O36" s="2"/>
      <c r="P36" s="2"/>
      <c r="Q36" s="2"/>
      <c r="R36" s="2"/>
      <c r="S36" s="2"/>
    </row>
    <row r="37" spans="2:19">
      <c r="B37" s="2"/>
      <c r="C37" s="2" t="s">
        <v>2764</v>
      </c>
      <c r="D37" s="2"/>
      <c r="E37" s="2"/>
      <c r="F37" s="2"/>
      <c r="G37" s="2"/>
      <c r="H37" s="2"/>
      <c r="I37" s="2"/>
      <c r="J37" s="2"/>
      <c r="K37" s="2"/>
      <c r="L37" s="2"/>
      <c r="M37" s="2"/>
      <c r="N37" s="2"/>
      <c r="O37" s="2"/>
      <c r="P37" s="2"/>
      <c r="Q37" s="2"/>
      <c r="R37" s="2"/>
      <c r="S37" s="2"/>
    </row>
  </sheetData>
  <pageMargins left="0.75" right="0.75" top="1" bottom="1" header="0.5" footer="0.5"/>
  <pageSetup paperSize="9" orientation="portrait"/>
  <headerFooter/>
</worksheet>
</file>

<file path=xl/worksheets/sheet1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M13"/>
  <sheetViews>
    <sheetView zoomScale="130" zoomScaleNormal="130" workbookViewId="0">
      <selection activeCell="E16" sqref="E16"/>
    </sheetView>
  </sheetViews>
  <sheetFormatPr defaultColWidth="8.88888888888889" defaultRowHeight="14.4"/>
  <cols>
    <col min="1" max="1" width="9.66666666666667"/>
  </cols>
  <sheetData>
    <row r="1" spans="1:13">
      <c r="A1" s="1">
        <f>SUM(B1:AZ1)</f>
        <v>3.66666666666667</v>
      </c>
      <c r="B1" s="1">
        <f t="shared" ref="B1:H1" si="0">COUNTA(B2:B2075)/COLUMN()</f>
        <v>3</v>
      </c>
      <c r="C1" s="1">
        <f t="shared" si="0"/>
        <v>0.666666666666667</v>
      </c>
      <c r="D1" s="1">
        <f t="shared" si="0"/>
        <v>0</v>
      </c>
      <c r="E1" s="1">
        <f t="shared" si="0"/>
        <v>0</v>
      </c>
      <c r="F1" s="1">
        <f t="shared" si="0"/>
        <v>0</v>
      </c>
      <c r="G1" s="1">
        <f t="shared" si="0"/>
        <v>0</v>
      </c>
      <c r="H1" s="1">
        <f t="shared" si="0"/>
        <v>0</v>
      </c>
    </row>
    <row r="2" spans="1:13">
      <c r="A2" t="str" cm="1">
        <f ca="1" t="array" ref="A2">_wpsfn.SHEETSNAME(A1)</f>
        <v>20251110</v>
      </c>
      <c r="B2" s="2" t="s">
        <v>2765</v>
      </c>
      <c r="C2" s="2"/>
      <c r="D2" s="2"/>
      <c r="E2" s="2"/>
      <c r="F2" s="2"/>
      <c r="G2" s="2"/>
      <c r="H2" s="2"/>
      <c r="I2" s="2"/>
      <c r="J2" s="2"/>
      <c r="K2" s="2"/>
      <c r="L2" s="2"/>
      <c r="M2" s="2"/>
    </row>
    <row r="3" spans="1:13">
      <c r="B3" s="2" t="s">
        <v>2766</v>
      </c>
      <c r="C3" s="2"/>
      <c r="D3" s="2"/>
      <c r="E3" s="2"/>
      <c r="F3" s="2"/>
      <c r="G3" s="2"/>
      <c r="H3" s="2"/>
      <c r="I3" s="2"/>
      <c r="J3" s="2"/>
      <c r="K3" s="2"/>
      <c r="L3" s="2"/>
      <c r="M3" s="2"/>
    </row>
    <row r="4" spans="1:13">
      <c r="B4" s="2" t="s">
        <v>2767</v>
      </c>
      <c r="C4" s="2"/>
      <c r="D4" s="2"/>
      <c r="E4" s="2"/>
      <c r="F4" s="2"/>
      <c r="G4" s="2"/>
      <c r="H4" s="2"/>
      <c r="I4" s="2"/>
      <c r="J4" s="2"/>
      <c r="K4" s="2"/>
      <c r="L4" s="2"/>
      <c r="M4" s="2"/>
    </row>
    <row r="5" spans="1:13">
      <c r="B5" s="2" t="s">
        <v>2768</v>
      </c>
      <c r="C5" s="2"/>
      <c r="D5" s="2"/>
      <c r="E5" s="2"/>
      <c r="F5" s="2"/>
      <c r="G5" s="2"/>
      <c r="H5" s="2"/>
      <c r="I5" s="2"/>
      <c r="J5" s="2"/>
      <c r="K5" s="2"/>
      <c r="L5" s="2"/>
      <c r="M5" s="2"/>
    </row>
    <row r="6" spans="1:13">
      <c r="B6" s="2" t="s">
        <v>2769</v>
      </c>
      <c r="C6" s="2"/>
      <c r="D6" s="2"/>
      <c r="E6" s="2"/>
      <c r="F6" s="2"/>
      <c r="G6" s="2"/>
      <c r="H6" s="2"/>
      <c r="I6" s="2"/>
      <c r="J6" s="2"/>
      <c r="K6" s="2"/>
      <c r="L6" s="2"/>
      <c r="M6" s="2"/>
    </row>
    <row r="7" spans="1:13">
      <c r="B7" s="2" t="s">
        <v>2770</v>
      </c>
      <c r="C7" s="2"/>
      <c r="D7" s="2"/>
      <c r="E7" s="2"/>
      <c r="F7" s="2"/>
      <c r="G7" s="2"/>
      <c r="H7" s="2"/>
      <c r="I7" s="2"/>
      <c r="J7" s="2"/>
      <c r="K7" s="2"/>
      <c r="L7" s="2"/>
      <c r="M7" s="2"/>
    </row>
    <row r="8" spans="1:13">
      <c r="B8" s="2"/>
      <c r="C8" s="2" t="s">
        <v>2771</v>
      </c>
      <c r="D8" s="2"/>
      <c r="E8" s="2"/>
      <c r="F8" s="2"/>
      <c r="G8" s="2"/>
      <c r="H8" s="2"/>
      <c r="I8" s="2"/>
      <c r="J8" s="2"/>
      <c r="K8" s="2"/>
      <c r="L8" s="2"/>
      <c r="M8" s="2"/>
    </row>
    <row r="9" spans="1:13">
      <c r="B9" s="2"/>
      <c r="C9" s="2" t="s">
        <v>2772</v>
      </c>
      <c r="D9" s="2"/>
      <c r="E9" s="2"/>
      <c r="F9" s="2"/>
      <c r="G9" s="2"/>
      <c r="H9" s="2"/>
      <c r="I9" s="2"/>
      <c r="J9" s="2"/>
      <c r="K9" s="2"/>
      <c r="L9" s="2"/>
      <c r="M9" s="2"/>
    </row>
    <row r="10" spans="1:13">
      <c r="B10" s="2"/>
      <c r="C10" s="2"/>
      <c r="D10" s="2"/>
      <c r="E10" s="2"/>
      <c r="F10" s="2"/>
      <c r="G10" s="2"/>
      <c r="H10" s="2"/>
      <c r="I10" s="2"/>
      <c r="J10" s="2"/>
      <c r="K10" s="2"/>
      <c r="L10" s="2"/>
      <c r="M10" s="2"/>
    </row>
    <row r="11" spans="1:13">
      <c r="B11" s="2"/>
      <c r="C11" s="2"/>
      <c r="D11" s="2"/>
      <c r="E11" s="2"/>
      <c r="F11" s="2"/>
      <c r="G11" s="2"/>
      <c r="H11" s="2"/>
      <c r="I11" s="2"/>
      <c r="J11" s="2"/>
      <c r="K11" s="2"/>
      <c r="L11" s="2"/>
      <c r="M11" s="2"/>
    </row>
    <row r="12" spans="1:13">
      <c r="B12" s="2"/>
      <c r="C12" s="2"/>
      <c r="D12" s="2"/>
      <c r="E12" s="2"/>
      <c r="F12" s="2"/>
      <c r="G12" s="2"/>
      <c r="H12" s="2"/>
      <c r="I12" s="2"/>
      <c r="J12" s="2"/>
      <c r="K12" s="2"/>
      <c r="L12" s="2"/>
      <c r="M12" s="2"/>
    </row>
    <row r="13" spans="1:13">
      <c r="B13" s="2"/>
      <c r="C13" s="2"/>
      <c r="D13" s="2"/>
      <c r="E13" s="2"/>
      <c r="F13" s="2"/>
      <c r="G13" s="2"/>
      <c r="H13" s="2"/>
      <c r="I13" s="2"/>
      <c r="J13" s="2"/>
      <c r="K13" s="2"/>
      <c r="L13" s="2"/>
      <c r="M13" s="2"/>
    </row>
  </sheetData>
  <pageMargins left="0.75" right="0.75" top="1" bottom="1" header="0.5" footer="0.5"/>
  <pageSetup paperSize="9" orientation="portrait"/>
  <headerFooter/>
</worksheet>
</file>

<file path=xl/worksheets/sheet1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T26"/>
  <sheetViews>
    <sheetView workbookViewId="0">
      <selection activeCell="L8" sqref="L8"/>
    </sheetView>
  </sheetViews>
  <sheetFormatPr defaultColWidth="8.88888888888889" defaultRowHeight="14.4"/>
  <cols>
    <col min="1" max="1" width="9.66666666666667"/>
  </cols>
  <sheetData>
    <row r="1" spans="1:20">
      <c r="A1" s="1">
        <f>SUM(B1:AZ1)</f>
        <v>9.66666666666667</v>
      </c>
      <c r="B1" s="1">
        <f t="shared" ref="B1:H1" si="0">COUNTA(B2:B2069)/COLUMN()</f>
        <v>5.5</v>
      </c>
      <c r="C1" s="1">
        <f t="shared" si="0"/>
        <v>3.66666666666667</v>
      </c>
      <c r="D1" s="1">
        <f t="shared" si="0"/>
        <v>0.5</v>
      </c>
      <c r="E1" s="1">
        <f t="shared" si="0"/>
        <v>0</v>
      </c>
      <c r="F1" s="1">
        <f t="shared" si="0"/>
        <v>0</v>
      </c>
      <c r="G1" s="1">
        <f t="shared" si="0"/>
        <v>0</v>
      </c>
      <c r="H1" s="1">
        <f t="shared" si="0"/>
        <v>0</v>
      </c>
    </row>
    <row r="2" spans="1:20">
      <c r="A2" t="str" cm="1">
        <f ca="1" t="array" ref="A2">_wpsfn.SHEETSNAME(A1)</f>
        <v>20251111</v>
      </c>
      <c r="B2" s="2" t="s">
        <v>2773</v>
      </c>
      <c r="C2" s="2"/>
      <c r="D2" s="2"/>
      <c r="E2" s="2"/>
      <c r="F2" s="2"/>
      <c r="G2" s="2"/>
      <c r="H2" s="2"/>
      <c r="I2" s="2"/>
      <c r="J2" s="2"/>
      <c r="K2" s="2"/>
      <c r="L2" s="2"/>
      <c r="M2" s="2"/>
      <c r="N2" s="2"/>
      <c r="O2" s="2"/>
      <c r="P2" s="2"/>
      <c r="Q2" s="2"/>
      <c r="R2" s="2"/>
      <c r="S2" s="2"/>
      <c r="T2" s="2"/>
    </row>
    <row r="3" spans="1:20">
      <c r="B3" s="2" t="s">
        <v>2774</v>
      </c>
      <c r="C3" s="2"/>
      <c r="D3" s="2"/>
      <c r="E3" s="2"/>
      <c r="F3" s="2"/>
      <c r="G3" s="2"/>
      <c r="H3" s="2"/>
      <c r="I3" s="2"/>
      <c r="J3" s="2"/>
      <c r="K3" s="2"/>
      <c r="L3" s="2"/>
      <c r="M3" s="2"/>
      <c r="N3" s="2"/>
      <c r="O3" s="2"/>
      <c r="P3" s="2"/>
      <c r="Q3" s="2"/>
      <c r="R3" s="2"/>
      <c r="S3" s="2"/>
      <c r="T3" s="2"/>
    </row>
    <row r="4" spans="1:20">
      <c r="B4" s="2" t="s">
        <v>2775</v>
      </c>
      <c r="C4" s="2"/>
      <c r="D4" s="2"/>
      <c r="E4" s="2"/>
      <c r="F4" s="2"/>
      <c r="G4" s="2"/>
      <c r="H4" s="2"/>
      <c r="I4" s="2"/>
      <c r="J4" s="2"/>
      <c r="K4" s="2"/>
      <c r="L4" s="2"/>
      <c r="M4" s="2"/>
      <c r="N4" s="2"/>
      <c r="O4" s="2"/>
      <c r="P4" s="2"/>
      <c r="Q4" s="2"/>
      <c r="R4" s="2"/>
      <c r="S4" s="2"/>
      <c r="T4" s="2"/>
    </row>
    <row r="5" spans="1:20">
      <c r="B5" s="2" t="s">
        <v>2776</v>
      </c>
      <c r="C5" s="2"/>
      <c r="D5" s="2"/>
      <c r="E5" s="2"/>
      <c r="F5" s="2"/>
      <c r="G5" s="2"/>
      <c r="H5" s="2"/>
      <c r="I5" s="2"/>
      <c r="J5" s="2"/>
      <c r="K5" s="2"/>
      <c r="L5" s="2"/>
      <c r="M5" s="2"/>
      <c r="N5" s="2"/>
      <c r="O5" s="2"/>
      <c r="P5" s="2"/>
      <c r="Q5" s="2"/>
      <c r="R5" s="2"/>
      <c r="S5" s="2"/>
      <c r="T5" s="2"/>
    </row>
    <row r="6" spans="1:20">
      <c r="B6" s="2" t="s">
        <v>2777</v>
      </c>
      <c r="C6" s="2"/>
      <c r="D6" s="2"/>
      <c r="E6" s="2"/>
      <c r="F6" s="2"/>
      <c r="G6" s="2"/>
      <c r="H6" s="2"/>
      <c r="I6" s="2"/>
      <c r="J6" s="2"/>
      <c r="K6" s="2"/>
      <c r="L6" s="2"/>
      <c r="M6" s="2"/>
      <c r="N6" s="2"/>
      <c r="O6" s="2"/>
      <c r="P6" s="2"/>
      <c r="Q6" s="2"/>
      <c r="R6" s="2"/>
      <c r="S6" s="2"/>
      <c r="T6" s="2"/>
    </row>
    <row r="7" spans="1:20">
      <c r="B7" s="2"/>
      <c r="C7" s="2" t="s">
        <v>2778</v>
      </c>
      <c r="D7" s="2"/>
      <c r="E7" s="2"/>
      <c r="F7" s="2"/>
      <c r="G7" s="2"/>
      <c r="H7" s="2"/>
      <c r="I7" s="2"/>
      <c r="J7" s="2"/>
      <c r="K7" s="2"/>
      <c r="L7" s="2"/>
      <c r="M7" s="2"/>
      <c r="N7" s="2"/>
      <c r="O7" s="2"/>
      <c r="P7" s="2"/>
      <c r="Q7" s="2"/>
      <c r="R7" s="2"/>
      <c r="S7" s="2"/>
      <c r="T7" s="2"/>
    </row>
    <row r="8" spans="1:20">
      <c r="B8" s="2"/>
      <c r="C8" s="2" t="s">
        <v>2779</v>
      </c>
      <c r="D8" s="2"/>
      <c r="E8" s="2"/>
      <c r="F8" s="2"/>
      <c r="G8" s="2"/>
      <c r="H8" s="2"/>
      <c r="I8" s="2"/>
      <c r="J8" s="2"/>
      <c r="K8" s="2"/>
      <c r="L8" s="2"/>
      <c r="M8" s="2"/>
      <c r="N8" s="2"/>
      <c r="O8" s="2"/>
      <c r="P8" s="2"/>
      <c r="Q8" s="2"/>
      <c r="R8" s="2"/>
      <c r="S8" s="2"/>
      <c r="T8" s="2"/>
    </row>
    <row r="9" spans="1:20">
      <c r="B9" s="2"/>
      <c r="C9" s="2" t="s">
        <v>2780</v>
      </c>
      <c r="D9" s="2"/>
      <c r="E9" s="2"/>
      <c r="F9" s="2"/>
      <c r="G9" s="2"/>
      <c r="H9" s="2"/>
      <c r="I9" s="2"/>
      <c r="J9" s="2"/>
      <c r="K9" s="2"/>
      <c r="L9" s="2"/>
      <c r="M9" s="2"/>
      <c r="N9" s="2"/>
      <c r="O9" s="2"/>
      <c r="P9" s="2"/>
      <c r="Q9" s="2"/>
      <c r="R9" s="2"/>
      <c r="S9" s="2"/>
      <c r="T9" s="2"/>
    </row>
    <row r="10" spans="1:20">
      <c r="B10" s="2"/>
      <c r="C10" s="2" t="s">
        <v>2781</v>
      </c>
      <c r="D10" s="2"/>
      <c r="E10" s="2"/>
      <c r="F10" s="2"/>
      <c r="G10" s="2"/>
      <c r="H10" s="2"/>
      <c r="I10" s="2"/>
      <c r="J10" s="2"/>
      <c r="K10" s="2"/>
      <c r="L10" s="2"/>
      <c r="M10" s="2"/>
      <c r="N10" s="2"/>
      <c r="O10" s="2"/>
      <c r="P10" s="2"/>
      <c r="Q10" s="2"/>
      <c r="R10" s="2"/>
      <c r="S10" s="2"/>
      <c r="T10" s="2"/>
    </row>
    <row r="11" spans="1:20">
      <c r="B11" s="2" t="s">
        <v>2782</v>
      </c>
      <c r="C11" s="2"/>
      <c r="D11" s="2"/>
      <c r="E11" s="2"/>
      <c r="F11" s="2"/>
      <c r="G11" s="2"/>
      <c r="H11" s="2"/>
      <c r="I11" s="2"/>
      <c r="J11" s="2"/>
      <c r="K11" s="2"/>
      <c r="L11" s="2"/>
      <c r="M11" s="2"/>
      <c r="N11" s="2"/>
      <c r="O11" s="2"/>
      <c r="P11" s="2"/>
      <c r="Q11" s="2"/>
      <c r="R11" s="2"/>
      <c r="S11" s="2"/>
      <c r="T11" s="2"/>
    </row>
    <row r="12" spans="1:20">
      <c r="B12" s="2" t="s">
        <v>2783</v>
      </c>
      <c r="C12" s="2"/>
      <c r="D12" s="2"/>
      <c r="E12" s="2"/>
      <c r="F12" s="2"/>
      <c r="G12" s="2"/>
      <c r="H12" s="2"/>
      <c r="I12" s="2"/>
      <c r="J12" s="2"/>
      <c r="K12" s="2"/>
      <c r="L12" s="2"/>
      <c r="M12" s="2"/>
      <c r="N12" s="2"/>
      <c r="O12" s="2"/>
      <c r="P12" s="2"/>
      <c r="Q12" s="2"/>
      <c r="R12" s="2"/>
      <c r="S12" s="2"/>
      <c r="T12" s="2"/>
    </row>
    <row r="13" spans="1:20">
      <c r="B13" s="2"/>
      <c r="C13" s="2" t="s">
        <v>2784</v>
      </c>
      <c r="D13" s="2"/>
      <c r="E13" s="2"/>
      <c r="F13" s="2"/>
      <c r="G13" s="2"/>
      <c r="H13" s="2"/>
      <c r="I13" s="2"/>
      <c r="J13" s="2"/>
      <c r="K13" s="2"/>
      <c r="L13" s="2"/>
      <c r="M13" s="2"/>
      <c r="N13" s="2"/>
      <c r="O13" s="2"/>
      <c r="P13" s="2"/>
      <c r="Q13" s="2"/>
      <c r="R13" s="2"/>
      <c r="S13" s="2"/>
      <c r="T13" s="2"/>
    </row>
    <row r="14" spans="1:20">
      <c r="B14" s="2" t="s">
        <v>2785</v>
      </c>
      <c r="C14" s="2"/>
      <c r="D14" s="2"/>
      <c r="E14" s="2"/>
      <c r="F14" s="2"/>
      <c r="G14" s="2"/>
      <c r="H14" s="2"/>
      <c r="I14" s="2"/>
      <c r="J14" s="2"/>
      <c r="K14" s="2"/>
      <c r="L14" s="2"/>
      <c r="M14" s="2"/>
      <c r="N14" s="2"/>
      <c r="O14" s="2"/>
      <c r="P14" s="2"/>
      <c r="Q14" s="2"/>
      <c r="R14" s="2"/>
      <c r="S14" s="2"/>
      <c r="T14" s="2"/>
    </row>
    <row r="15" spans="1:20">
      <c r="B15" s="2"/>
      <c r="C15" s="2" t="s">
        <v>2786</v>
      </c>
      <c r="D15" s="2"/>
      <c r="E15" s="2"/>
      <c r="F15" s="2"/>
      <c r="G15" s="2"/>
      <c r="H15" s="2"/>
      <c r="I15" s="2"/>
      <c r="J15" s="2"/>
      <c r="K15" s="2"/>
      <c r="L15" s="2"/>
      <c r="M15" s="2"/>
      <c r="N15" s="2"/>
      <c r="O15" s="2"/>
      <c r="P15" s="2"/>
      <c r="Q15" s="2"/>
      <c r="R15" s="2"/>
      <c r="S15" s="2"/>
      <c r="T15" s="2"/>
    </row>
    <row r="16" spans="1:20">
      <c r="B16" s="2"/>
      <c r="C16" s="2" t="s">
        <v>2787</v>
      </c>
      <c r="D16" s="2"/>
      <c r="E16" s="2"/>
      <c r="F16" s="2"/>
      <c r="G16" s="2"/>
      <c r="H16" s="2"/>
      <c r="I16" s="2"/>
      <c r="J16" s="2"/>
      <c r="K16" s="2"/>
      <c r="L16" s="2"/>
      <c r="M16" s="2"/>
      <c r="N16" s="2"/>
      <c r="O16" s="2"/>
      <c r="P16" s="2"/>
      <c r="Q16" s="2"/>
      <c r="R16" s="2"/>
      <c r="S16" s="2"/>
      <c r="T16" s="2"/>
    </row>
    <row r="17" spans="2:20">
      <c r="B17" s="2"/>
      <c r="C17" s="2" t="s">
        <v>2788</v>
      </c>
      <c r="D17" s="2"/>
      <c r="E17" s="2"/>
      <c r="F17" s="2"/>
      <c r="G17" s="2"/>
      <c r="H17" s="2"/>
      <c r="I17" s="2"/>
      <c r="J17" s="2"/>
      <c r="K17" s="2"/>
      <c r="L17" s="2"/>
      <c r="M17" s="2"/>
      <c r="N17" s="2"/>
      <c r="O17" s="2"/>
      <c r="P17" s="2"/>
      <c r="Q17" s="2"/>
      <c r="R17" s="2"/>
      <c r="S17" s="2"/>
      <c r="T17" s="2"/>
    </row>
    <row r="18" spans="2:20">
      <c r="B18" s="2" t="s">
        <v>2789</v>
      </c>
      <c r="C18" s="2"/>
      <c r="D18" s="2"/>
      <c r="E18" s="2"/>
      <c r="F18" s="2"/>
      <c r="G18" s="2"/>
      <c r="H18" s="2"/>
      <c r="I18" s="2"/>
      <c r="J18" s="2"/>
      <c r="K18" s="2"/>
      <c r="L18" s="2"/>
      <c r="M18" s="2"/>
      <c r="N18" s="2"/>
      <c r="O18" s="2"/>
      <c r="P18" s="2"/>
      <c r="Q18" s="2"/>
      <c r="R18" s="2"/>
      <c r="S18" s="2"/>
      <c r="T18" s="2"/>
    </row>
    <row r="19" spans="2:20">
      <c r="B19" s="2" t="s">
        <v>2790</v>
      </c>
      <c r="C19" s="2"/>
      <c r="D19" s="2"/>
      <c r="E19" s="2"/>
      <c r="F19" s="2"/>
      <c r="G19" s="2"/>
      <c r="H19" s="2"/>
      <c r="I19" s="2"/>
      <c r="J19" s="2"/>
      <c r="K19" s="2"/>
      <c r="L19" s="2"/>
      <c r="M19" s="2"/>
      <c r="N19" s="2"/>
      <c r="O19" s="2"/>
      <c r="P19" s="2"/>
      <c r="Q19" s="2"/>
      <c r="R19" s="2"/>
      <c r="S19" s="2"/>
      <c r="T19" s="2"/>
    </row>
    <row r="20" spans="2:20">
      <c r="B20" s="2"/>
      <c r="C20" s="2" t="s">
        <v>2791</v>
      </c>
      <c r="D20" s="2"/>
      <c r="E20" s="2"/>
      <c r="F20" s="2"/>
      <c r="G20" s="2"/>
      <c r="H20" s="2"/>
      <c r="I20" s="2"/>
      <c r="J20" s="2"/>
      <c r="K20" s="2"/>
      <c r="L20" s="2"/>
      <c r="M20" s="2"/>
      <c r="N20" s="2"/>
      <c r="O20" s="2"/>
      <c r="P20" s="2"/>
      <c r="Q20" s="2"/>
      <c r="R20" s="2"/>
      <c r="S20" s="2"/>
      <c r="T20" s="2"/>
    </row>
    <row r="21" spans="2:20">
      <c r="B21" s="2"/>
      <c r="C21" s="2" t="s">
        <v>2792</v>
      </c>
      <c r="D21" s="2"/>
      <c r="E21" s="2"/>
      <c r="F21" s="2"/>
      <c r="G21" s="2"/>
      <c r="H21" s="2"/>
      <c r="I21" s="2"/>
      <c r="J21" s="2"/>
      <c r="K21" s="2"/>
      <c r="L21" s="2"/>
      <c r="M21" s="2"/>
      <c r="N21" s="2"/>
      <c r="O21" s="2"/>
      <c r="P21" s="2"/>
      <c r="Q21" s="2"/>
      <c r="R21" s="2"/>
      <c r="S21" s="2"/>
      <c r="T21" s="2"/>
    </row>
    <row r="22" spans="2:20">
      <c r="B22" s="2"/>
      <c r="C22" s="2"/>
      <c r="D22" s="2" t="s">
        <v>2793</v>
      </c>
      <c r="E22" s="2"/>
      <c r="F22" s="2"/>
      <c r="G22" s="2"/>
      <c r="H22" s="2"/>
      <c r="I22" s="2"/>
      <c r="J22" s="2"/>
      <c r="K22" s="2"/>
      <c r="L22" s="2"/>
      <c r="M22" s="2"/>
      <c r="N22" s="2"/>
      <c r="O22" s="2"/>
      <c r="P22" s="2"/>
      <c r="Q22" s="2"/>
      <c r="R22" s="2"/>
      <c r="S22" s="2"/>
      <c r="T22" s="2"/>
    </row>
    <row r="23" spans="2:20">
      <c r="B23" s="2"/>
      <c r="C23" s="2"/>
      <c r="D23" s="2" t="s">
        <v>2794</v>
      </c>
      <c r="E23" s="2"/>
      <c r="F23" s="2"/>
      <c r="G23" s="2"/>
      <c r="H23" s="2"/>
      <c r="I23" s="2"/>
      <c r="J23" s="2"/>
      <c r="K23" s="2"/>
      <c r="L23" s="2"/>
      <c r="M23" s="2"/>
      <c r="N23" s="2"/>
      <c r="O23" s="2"/>
      <c r="P23" s="2"/>
      <c r="Q23" s="2"/>
      <c r="R23" s="2"/>
      <c r="S23" s="2"/>
      <c r="T23" s="2"/>
    </row>
    <row r="24" spans="2:20">
      <c r="B24" s="2" t="s">
        <v>2795</v>
      </c>
      <c r="C24" s="2"/>
      <c r="D24" s="2"/>
      <c r="E24" s="2"/>
      <c r="F24" s="2"/>
      <c r="G24" s="2"/>
      <c r="H24" s="2"/>
      <c r="I24" s="2"/>
      <c r="J24" s="2"/>
      <c r="K24" s="2"/>
      <c r="L24" s="2"/>
      <c r="M24" s="2"/>
      <c r="N24" s="2"/>
      <c r="O24" s="2"/>
      <c r="P24" s="2"/>
      <c r="Q24" s="2"/>
      <c r="R24" s="2"/>
      <c r="S24" s="2"/>
      <c r="T24" s="2"/>
    </row>
    <row r="25" spans="2:20">
      <c r="B25" s="2"/>
      <c r="C25" s="2" t="s">
        <v>2796</v>
      </c>
      <c r="D25" s="2"/>
      <c r="E25" s="2"/>
      <c r="F25" s="2"/>
      <c r="G25" s="2"/>
      <c r="H25" s="2"/>
      <c r="I25" s="2"/>
      <c r="J25" s="2"/>
      <c r="K25" s="2"/>
      <c r="L25" s="2"/>
      <c r="M25" s="2"/>
      <c r="N25" s="2"/>
      <c r="O25" s="2"/>
      <c r="P25" s="2"/>
      <c r="Q25" s="2"/>
      <c r="R25" s="2"/>
      <c r="S25" s="2"/>
      <c r="T25" s="2"/>
    </row>
    <row r="26" spans="2:20">
      <c r="B26" s="2"/>
      <c r="C26" s="2"/>
      <c r="D26" s="2"/>
      <c r="E26" s="2"/>
      <c r="F26" s="2"/>
      <c r="G26" s="2"/>
      <c r="H26" s="2"/>
      <c r="I26" s="2"/>
      <c r="J26" s="2"/>
      <c r="K26" s="2"/>
      <c r="L26" s="2"/>
      <c r="M26" s="2"/>
      <c r="N26" s="2"/>
      <c r="O26" s="2"/>
      <c r="P26" s="2"/>
      <c r="Q26" s="2"/>
      <c r="R26" s="2"/>
      <c r="S26" s="2"/>
      <c r="T26" s="2"/>
    </row>
  </sheetData>
  <pageMargins left="0.75" right="0.75" top="1" bottom="1" header="0.5" footer="0.5"/>
  <pageSetup paperSize="9" orientation="portrait"/>
  <headerFooter/>
</worksheet>
</file>

<file path=xl/worksheets/sheet1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Q54"/>
  <sheetViews>
    <sheetView topLeftCell="A58" workbookViewId="0">
      <selection activeCell="B55" sqref="B55"/>
    </sheetView>
  </sheetViews>
  <sheetFormatPr defaultColWidth="8.88888888888889" defaultRowHeight="14.4"/>
  <cols>
    <col min="1" max="1" width="9.66666666666667"/>
  </cols>
  <sheetData>
    <row r="1" spans="1:17">
      <c r="A1" s="1">
        <f>SUM(B1:AZ1)</f>
        <v>18.5833333333333</v>
      </c>
      <c r="B1" s="1">
        <f t="shared" ref="B1:H1" si="0">COUNTA(B2:B2076)/COLUMN()</f>
        <v>6.5</v>
      </c>
      <c r="C1" s="1">
        <f t="shared" si="0"/>
        <v>8.33333333333333</v>
      </c>
      <c r="D1" s="1">
        <f t="shared" si="0"/>
        <v>3.75</v>
      </c>
      <c r="E1" s="1">
        <f t="shared" si="0"/>
        <v>0</v>
      </c>
      <c r="F1" s="1">
        <f t="shared" si="0"/>
        <v>0</v>
      </c>
      <c r="G1" s="1">
        <f t="shared" si="0"/>
        <v>0</v>
      </c>
      <c r="H1" s="1">
        <f t="shared" si="0"/>
        <v>0</v>
      </c>
    </row>
    <row r="2" spans="1:17">
      <c r="A2" t="str" cm="1">
        <f ca="1" t="array" ref="A2">_wpsfn.SHEETSNAME(A1)</f>
        <v>20251112</v>
      </c>
      <c r="B2" s="2" t="s">
        <v>2797</v>
      </c>
      <c r="C2" s="2"/>
      <c r="D2" s="2"/>
      <c r="E2" s="2"/>
      <c r="F2" s="2"/>
      <c r="G2" s="2"/>
      <c r="H2" s="2"/>
      <c r="I2" s="2"/>
      <c r="J2" s="2"/>
      <c r="K2" s="2"/>
      <c r="L2" s="2"/>
      <c r="M2" s="2"/>
      <c r="N2" s="2"/>
      <c r="O2" s="2"/>
      <c r="P2" s="2"/>
      <c r="Q2" s="2"/>
    </row>
    <row r="3" spans="1:17">
      <c r="B3" s="2" t="s">
        <v>2798</v>
      </c>
      <c r="C3" s="2"/>
      <c r="D3" s="2"/>
      <c r="E3" s="2"/>
      <c r="F3" s="2"/>
      <c r="G3" s="2"/>
      <c r="H3" s="2"/>
      <c r="I3" s="2"/>
      <c r="J3" s="2"/>
      <c r="K3" s="2"/>
      <c r="L3" s="2"/>
      <c r="M3" s="2"/>
      <c r="N3" s="2"/>
      <c r="O3" s="2"/>
      <c r="P3" s="2"/>
      <c r="Q3" s="2"/>
    </row>
    <row r="4" spans="1:17">
      <c r="B4" s="2"/>
      <c r="C4" s="2" t="s">
        <v>2799</v>
      </c>
      <c r="D4" s="2"/>
      <c r="E4" s="2"/>
      <c r="F4" s="2"/>
      <c r="G4" s="2"/>
      <c r="H4" s="2"/>
      <c r="I4" s="2"/>
      <c r="J4" s="2"/>
      <c r="K4" s="2"/>
      <c r="L4" s="2"/>
      <c r="M4" s="2"/>
      <c r="N4" s="2"/>
      <c r="O4" s="2"/>
      <c r="P4" s="2"/>
      <c r="Q4" s="2"/>
    </row>
    <row r="5" spans="1:17">
      <c r="B5" s="2"/>
      <c r="C5" s="2"/>
      <c r="D5" s="2" t="s">
        <v>2800</v>
      </c>
      <c r="E5" s="2"/>
      <c r="F5" s="2"/>
      <c r="G5" s="2"/>
      <c r="H5" s="2"/>
      <c r="I5" s="2"/>
      <c r="J5" s="2"/>
      <c r="K5" s="2"/>
      <c r="L5" s="2"/>
      <c r="M5" s="2"/>
      <c r="N5" s="2"/>
      <c r="O5" s="2"/>
      <c r="P5" s="2"/>
      <c r="Q5" s="2"/>
    </row>
    <row r="6" spans="1:17">
      <c r="B6" s="2" t="s">
        <v>2801</v>
      </c>
      <c r="C6" s="2"/>
      <c r="D6" s="2"/>
      <c r="E6" s="2"/>
      <c r="F6" s="2"/>
      <c r="G6" s="2"/>
      <c r="H6" s="2"/>
      <c r="I6" s="2"/>
      <c r="J6" s="2"/>
      <c r="K6" s="2"/>
      <c r="L6" s="2"/>
      <c r="M6" s="2"/>
      <c r="N6" s="2"/>
      <c r="O6" s="2"/>
      <c r="P6" s="2"/>
      <c r="Q6" s="2"/>
    </row>
    <row r="7" spans="1:17">
      <c r="B7" s="2"/>
      <c r="C7" s="2" t="s">
        <v>2802</v>
      </c>
      <c r="D7" s="2"/>
      <c r="E7" s="2"/>
      <c r="F7" s="2"/>
      <c r="G7" s="2"/>
      <c r="H7" s="2"/>
      <c r="I7" s="2"/>
      <c r="J7" s="2"/>
      <c r="K7" s="2"/>
      <c r="L7" s="2"/>
      <c r="M7" s="2"/>
      <c r="N7" s="2"/>
      <c r="O7" s="2"/>
      <c r="P7" s="2"/>
      <c r="Q7" s="2"/>
    </row>
    <row r="8" spans="1:17">
      <c r="B8" s="2"/>
      <c r="C8" s="2"/>
      <c r="D8" s="2" t="s">
        <v>2803</v>
      </c>
      <c r="E8" s="2"/>
      <c r="F8" s="2"/>
      <c r="G8" s="2"/>
      <c r="H8" s="2"/>
      <c r="I8" s="2"/>
      <c r="J8" s="2"/>
      <c r="K8" s="2"/>
      <c r="L8" s="2"/>
      <c r="M8" s="2"/>
      <c r="N8" s="2"/>
      <c r="O8" s="2"/>
      <c r="P8" s="2"/>
      <c r="Q8" s="2"/>
    </row>
    <row r="9" spans="1:17">
      <c r="B9" s="2"/>
      <c r="C9" s="2" t="s">
        <v>2804</v>
      </c>
      <c r="D9" s="2"/>
      <c r="E9" s="2"/>
      <c r="F9" s="2"/>
      <c r="G9" s="2"/>
      <c r="H9" s="2"/>
      <c r="I9" s="2"/>
      <c r="J9" s="2"/>
      <c r="K9" s="2"/>
      <c r="L9" s="2"/>
      <c r="M9" s="2"/>
      <c r="N9" s="2"/>
      <c r="O9" s="2"/>
      <c r="P9" s="2"/>
      <c r="Q9" s="2"/>
    </row>
    <row r="10" spans="1:17">
      <c r="B10" s="2"/>
      <c r="C10" s="2"/>
      <c r="D10" s="2" t="s">
        <v>2805</v>
      </c>
      <c r="E10" s="2"/>
      <c r="F10" s="2"/>
      <c r="G10" s="2"/>
      <c r="H10" s="2"/>
      <c r="I10" s="2"/>
      <c r="J10" s="2"/>
      <c r="K10" s="2"/>
      <c r="L10" s="2"/>
      <c r="M10" s="2"/>
      <c r="N10" s="2"/>
      <c r="O10" s="2"/>
      <c r="P10" s="2"/>
      <c r="Q10" s="2"/>
    </row>
    <row r="11" spans="1:17">
      <c r="B11" s="2"/>
      <c r="C11" s="2"/>
      <c r="D11" s="2" t="s">
        <v>2806</v>
      </c>
      <c r="E11" s="2"/>
      <c r="F11" s="2"/>
      <c r="G11" s="2"/>
      <c r="H11" s="2"/>
      <c r="I11" s="2"/>
      <c r="J11" s="2"/>
      <c r="K11" s="2"/>
      <c r="L11" s="2"/>
      <c r="M11" s="2"/>
      <c r="N11" s="2"/>
      <c r="O11" s="2"/>
      <c r="P11" s="2"/>
      <c r="Q11" s="2"/>
    </row>
    <row r="12" spans="1:17">
      <c r="B12" s="2"/>
      <c r="C12" s="2"/>
      <c r="D12" s="2" t="s">
        <v>2807</v>
      </c>
      <c r="E12" s="2"/>
      <c r="F12" s="2"/>
      <c r="G12" s="2"/>
      <c r="H12" s="2"/>
      <c r="I12" s="2"/>
      <c r="J12" s="2"/>
      <c r="K12" s="2"/>
      <c r="L12" s="2"/>
      <c r="M12" s="2"/>
      <c r="N12" s="2"/>
      <c r="O12" s="2"/>
      <c r="P12" s="2"/>
      <c r="Q12" s="2"/>
    </row>
    <row r="13" spans="1:17">
      <c r="B13" s="2" t="s">
        <v>2808</v>
      </c>
      <c r="C13" s="2"/>
      <c r="D13" s="2"/>
      <c r="E13" s="2"/>
      <c r="F13" s="2"/>
      <c r="G13" s="2"/>
      <c r="H13" s="2"/>
      <c r="I13" s="2"/>
      <c r="J13" s="2"/>
      <c r="K13" s="2"/>
      <c r="L13" s="2"/>
      <c r="M13" s="2"/>
      <c r="N13" s="2"/>
      <c r="O13" s="2"/>
      <c r="P13" s="2"/>
      <c r="Q13" s="2"/>
    </row>
    <row r="14" spans="1:17">
      <c r="B14" s="2"/>
      <c r="C14" s="2" t="s">
        <v>2809</v>
      </c>
      <c r="D14" s="2"/>
      <c r="E14" s="2"/>
      <c r="F14" s="2"/>
      <c r="G14" s="2"/>
      <c r="H14" s="2"/>
      <c r="I14" s="2"/>
      <c r="J14" s="2"/>
      <c r="K14" s="2"/>
      <c r="L14" s="2"/>
      <c r="M14" s="2"/>
      <c r="N14" s="2"/>
      <c r="O14" s="2"/>
      <c r="P14" s="2"/>
      <c r="Q14" s="2"/>
    </row>
    <row r="15" spans="1:17">
      <c r="B15" s="2"/>
      <c r="C15" s="2" t="s">
        <v>2810</v>
      </c>
      <c r="D15" s="2"/>
      <c r="E15" s="2"/>
      <c r="F15" s="2"/>
      <c r="G15" s="2"/>
      <c r="H15" s="2"/>
      <c r="I15" s="2"/>
      <c r="J15" s="2"/>
      <c r="K15" s="2"/>
      <c r="L15" s="2"/>
      <c r="M15" s="2"/>
      <c r="N15" s="2"/>
      <c r="O15" s="2"/>
      <c r="P15" s="2"/>
      <c r="Q15" s="2"/>
    </row>
    <row r="16" spans="1:17">
      <c r="B16" s="2"/>
      <c r="C16" s="2" t="s">
        <v>2811</v>
      </c>
      <c r="D16" s="2"/>
      <c r="E16" s="2"/>
      <c r="F16" s="2"/>
      <c r="G16" s="2"/>
      <c r="H16" s="2"/>
      <c r="I16" s="2"/>
      <c r="J16" s="2"/>
      <c r="K16" s="2"/>
      <c r="L16" s="2"/>
      <c r="M16" s="2"/>
      <c r="N16" s="2"/>
      <c r="O16" s="2"/>
      <c r="P16" s="2"/>
      <c r="Q16" s="2"/>
    </row>
    <row r="17" spans="2:17">
      <c r="B17" s="2" t="s">
        <v>2812</v>
      </c>
      <c r="C17" s="2"/>
      <c r="D17" s="2"/>
      <c r="E17" s="2"/>
      <c r="F17" s="2"/>
      <c r="G17" s="2"/>
      <c r="H17" s="2"/>
      <c r="I17" s="2"/>
      <c r="J17" s="2"/>
      <c r="K17" s="2"/>
      <c r="L17" s="2"/>
      <c r="M17" s="2"/>
      <c r="N17" s="2"/>
      <c r="O17" s="2"/>
      <c r="P17" s="2"/>
      <c r="Q17" s="2"/>
    </row>
    <row r="18" spans="2:17">
      <c r="B18" s="2"/>
      <c r="C18" s="2" t="s">
        <v>2813</v>
      </c>
      <c r="D18" s="2"/>
      <c r="E18" s="2"/>
      <c r="F18" s="2"/>
      <c r="G18" s="2"/>
      <c r="H18" s="2"/>
      <c r="I18" s="2"/>
      <c r="J18" s="2"/>
      <c r="K18" s="2"/>
      <c r="L18" s="2"/>
      <c r="M18" s="2"/>
      <c r="N18" s="2"/>
      <c r="O18" s="2"/>
      <c r="P18" s="2"/>
      <c r="Q18" s="2"/>
    </row>
    <row r="19" spans="2:17">
      <c r="B19" s="2"/>
      <c r="C19" s="2"/>
      <c r="D19" s="2" t="s">
        <v>2814</v>
      </c>
      <c r="E19" s="2"/>
      <c r="F19" s="2"/>
      <c r="G19" s="2"/>
      <c r="H19" s="2"/>
      <c r="I19" s="2"/>
      <c r="J19" s="2"/>
      <c r="K19" s="2"/>
      <c r="L19" s="2"/>
      <c r="M19" s="2"/>
      <c r="N19" s="2"/>
      <c r="O19" s="2"/>
      <c r="P19" s="2"/>
      <c r="Q19" s="2"/>
    </row>
    <row r="20" spans="2:17">
      <c r="B20" s="2"/>
      <c r="C20" s="2" t="s">
        <v>2815</v>
      </c>
      <c r="D20" s="2"/>
      <c r="E20" s="2"/>
      <c r="F20" s="2"/>
      <c r="G20" s="2"/>
      <c r="H20" s="2"/>
      <c r="I20" s="2"/>
      <c r="J20" s="2"/>
      <c r="K20" s="2"/>
      <c r="L20" s="2"/>
      <c r="M20" s="2"/>
      <c r="N20" s="2"/>
      <c r="O20" s="2"/>
      <c r="P20" s="2"/>
      <c r="Q20" s="2"/>
    </row>
    <row r="21" spans="2:17">
      <c r="B21" s="2"/>
      <c r="C21" s="2"/>
      <c r="D21" s="2" t="s">
        <v>2816</v>
      </c>
      <c r="E21" s="2"/>
      <c r="F21" s="2"/>
      <c r="G21" s="2"/>
      <c r="H21" s="2"/>
      <c r="I21" s="2"/>
      <c r="J21" s="2"/>
      <c r="K21" s="2"/>
      <c r="L21" s="2"/>
      <c r="M21" s="2"/>
      <c r="N21" s="2"/>
      <c r="O21" s="2"/>
      <c r="P21" s="2"/>
      <c r="Q21" s="2"/>
    </row>
    <row r="22" spans="2:17">
      <c r="B22" s="2"/>
      <c r="C22" s="2" t="s">
        <v>2817</v>
      </c>
      <c r="D22" s="2"/>
      <c r="E22" s="2"/>
      <c r="F22" s="2"/>
      <c r="G22" s="2"/>
      <c r="H22" s="2"/>
      <c r="I22" s="2"/>
      <c r="J22" s="2"/>
      <c r="K22" s="2"/>
      <c r="L22" s="2"/>
      <c r="M22" s="2"/>
      <c r="N22" s="2"/>
      <c r="O22" s="2"/>
      <c r="P22" s="2"/>
      <c r="Q22" s="2"/>
    </row>
    <row r="23" spans="2:17">
      <c r="B23" s="2"/>
      <c r="C23" s="2"/>
      <c r="D23" s="2" t="s">
        <v>2818</v>
      </c>
      <c r="E23" s="2"/>
      <c r="F23" s="2"/>
      <c r="G23" s="2"/>
      <c r="H23" s="2"/>
      <c r="I23" s="2"/>
      <c r="J23" s="2"/>
      <c r="K23" s="2"/>
      <c r="L23" s="2"/>
      <c r="M23" s="2"/>
      <c r="N23" s="2"/>
      <c r="O23" s="2"/>
      <c r="P23" s="2"/>
      <c r="Q23" s="2"/>
    </row>
    <row r="24" spans="2:17">
      <c r="B24" s="2"/>
      <c r="C24" s="2"/>
      <c r="D24" s="2" t="s">
        <v>2819</v>
      </c>
      <c r="E24" s="2"/>
      <c r="F24" s="2"/>
      <c r="G24" s="2"/>
      <c r="H24" s="2"/>
      <c r="I24" s="2"/>
      <c r="J24" s="2"/>
      <c r="K24" s="2"/>
      <c r="L24" s="2"/>
      <c r="M24" s="2"/>
      <c r="N24" s="2"/>
      <c r="O24" s="2"/>
      <c r="P24" s="2"/>
      <c r="Q24" s="2"/>
    </row>
    <row r="25" spans="2:17">
      <c r="B25" s="2"/>
      <c r="C25" s="2"/>
      <c r="D25" s="2" t="s">
        <v>2820</v>
      </c>
      <c r="E25" s="2"/>
      <c r="F25" s="2"/>
      <c r="G25" s="2"/>
      <c r="H25" s="2"/>
      <c r="I25" s="2"/>
      <c r="J25" s="2"/>
      <c r="K25" s="2"/>
      <c r="L25" s="2"/>
      <c r="M25" s="2"/>
      <c r="N25" s="2"/>
      <c r="O25" s="2"/>
      <c r="P25" s="2"/>
      <c r="Q25" s="2"/>
    </row>
    <row r="26" spans="2:17">
      <c r="B26" s="2" t="s">
        <v>2821</v>
      </c>
      <c r="C26" s="2"/>
      <c r="D26" s="2"/>
      <c r="E26" s="2"/>
      <c r="F26" s="2"/>
      <c r="G26" s="2"/>
      <c r="H26" s="2"/>
      <c r="I26" s="2"/>
      <c r="J26" s="2"/>
      <c r="K26" s="2"/>
      <c r="L26" s="2"/>
      <c r="M26" s="2"/>
      <c r="N26" s="2"/>
      <c r="O26" s="2"/>
      <c r="P26" s="2"/>
      <c r="Q26" s="2"/>
    </row>
    <row r="27" spans="2:17">
      <c r="B27" s="2"/>
      <c r="C27" s="2" t="s">
        <v>2822</v>
      </c>
      <c r="D27" s="2"/>
      <c r="E27" s="2"/>
      <c r="F27" s="2"/>
      <c r="G27" s="2"/>
      <c r="H27" s="2"/>
      <c r="I27" s="2"/>
      <c r="J27" s="2"/>
      <c r="K27" s="2"/>
      <c r="L27" s="2"/>
      <c r="M27" s="2"/>
      <c r="N27" s="2"/>
      <c r="O27" s="2"/>
      <c r="P27" s="2"/>
      <c r="Q27" s="2"/>
    </row>
    <row r="28" spans="2:17">
      <c r="B28" s="2"/>
      <c r="C28" s="2" t="s">
        <v>2823</v>
      </c>
      <c r="D28" s="2"/>
      <c r="E28" s="2"/>
      <c r="F28" s="2"/>
      <c r="G28" s="2"/>
      <c r="H28" s="2"/>
      <c r="I28" s="2"/>
      <c r="J28" s="2"/>
      <c r="K28" s="2"/>
      <c r="L28" s="2"/>
      <c r="M28" s="2"/>
      <c r="N28" s="2"/>
      <c r="O28" s="2"/>
      <c r="P28" s="2"/>
      <c r="Q28" s="2"/>
    </row>
    <row r="29" spans="2:17">
      <c r="B29" s="2"/>
      <c r="C29" s="2" t="s">
        <v>2824</v>
      </c>
      <c r="D29" s="2"/>
      <c r="E29" s="2"/>
      <c r="F29" s="2"/>
      <c r="G29" s="2"/>
      <c r="H29" s="2"/>
      <c r="I29" s="2"/>
      <c r="J29" s="2"/>
      <c r="K29" s="2"/>
      <c r="L29" s="2"/>
      <c r="M29" s="2"/>
      <c r="N29" s="2"/>
      <c r="O29" s="2"/>
      <c r="P29" s="2"/>
      <c r="Q29" s="2"/>
    </row>
    <row r="30" spans="2:17">
      <c r="B30" s="2" t="s">
        <v>2825</v>
      </c>
      <c r="C30" s="2"/>
      <c r="D30" s="2"/>
      <c r="E30" s="2"/>
      <c r="F30" s="2"/>
      <c r="G30" s="2"/>
      <c r="H30" s="2"/>
      <c r="I30" s="2"/>
      <c r="J30" s="2"/>
      <c r="K30" s="2"/>
      <c r="L30" s="2"/>
      <c r="M30" s="2"/>
      <c r="N30" s="2"/>
      <c r="O30" s="2"/>
      <c r="P30" s="2"/>
      <c r="Q30" s="2"/>
    </row>
    <row r="31" spans="2:17">
      <c r="B31" s="2"/>
      <c r="C31" s="2" t="s">
        <v>2826</v>
      </c>
      <c r="D31" s="2"/>
      <c r="E31" s="2"/>
      <c r="F31" s="2"/>
      <c r="G31" s="2"/>
      <c r="H31" s="2"/>
      <c r="I31" s="2"/>
      <c r="J31" s="2"/>
      <c r="K31" s="2"/>
      <c r="L31" s="2"/>
      <c r="M31" s="2"/>
      <c r="N31" s="2"/>
      <c r="O31" s="2"/>
      <c r="P31" s="2"/>
      <c r="Q31" s="2"/>
    </row>
    <row r="32" spans="2:17">
      <c r="B32" s="2" t="s">
        <v>2827</v>
      </c>
      <c r="C32" s="2"/>
      <c r="D32" s="2"/>
      <c r="E32" s="2"/>
      <c r="F32" s="2"/>
      <c r="G32" s="2"/>
      <c r="H32" s="2"/>
      <c r="I32" s="2"/>
      <c r="J32" s="2"/>
      <c r="K32" s="2"/>
      <c r="L32" s="2"/>
      <c r="M32" s="2"/>
      <c r="N32" s="2"/>
      <c r="O32" s="2"/>
      <c r="P32" s="2"/>
      <c r="Q32" s="2"/>
    </row>
    <row r="33" spans="2:17">
      <c r="B33" s="2" t="s">
        <v>2828</v>
      </c>
      <c r="C33" s="2"/>
      <c r="D33" s="2"/>
      <c r="E33" s="2"/>
      <c r="F33" s="2"/>
      <c r="G33" s="2"/>
      <c r="H33" s="2"/>
      <c r="I33" s="2"/>
      <c r="J33" s="2"/>
      <c r="K33" s="2"/>
      <c r="L33" s="2"/>
      <c r="M33" s="2"/>
      <c r="N33" s="2"/>
      <c r="O33" s="2"/>
      <c r="P33" s="2"/>
      <c r="Q33" s="2"/>
    </row>
    <row r="34" spans="2:17">
      <c r="B34" s="2"/>
      <c r="C34" s="2" t="s">
        <v>2829</v>
      </c>
      <c r="D34" s="2"/>
      <c r="E34" s="2"/>
      <c r="F34" s="2"/>
      <c r="G34" s="2"/>
      <c r="H34" s="2"/>
      <c r="I34" s="2"/>
      <c r="J34" s="2"/>
      <c r="K34" s="2"/>
      <c r="L34" s="2"/>
      <c r="M34" s="2"/>
      <c r="N34" s="2"/>
      <c r="O34" s="2"/>
      <c r="P34" s="2"/>
      <c r="Q34" s="2"/>
    </row>
    <row r="35" spans="2:17">
      <c r="B35" s="2" t="s">
        <v>2830</v>
      </c>
      <c r="C35" s="2"/>
      <c r="D35" s="2"/>
      <c r="E35" s="2"/>
      <c r="F35" s="2"/>
      <c r="G35" s="2"/>
      <c r="H35" s="2"/>
      <c r="I35" s="2"/>
      <c r="J35" s="2"/>
      <c r="K35" s="2"/>
      <c r="L35" s="2"/>
      <c r="M35" s="2"/>
      <c r="N35" s="2"/>
      <c r="O35" s="2"/>
      <c r="P35" s="2"/>
      <c r="Q35" s="2"/>
    </row>
    <row r="36" spans="2:17">
      <c r="B36" s="2"/>
      <c r="C36" s="2" t="s">
        <v>2831</v>
      </c>
      <c r="D36" s="2"/>
      <c r="E36" s="2"/>
      <c r="F36" s="2"/>
      <c r="G36" s="2"/>
      <c r="H36" s="2"/>
      <c r="I36" s="2"/>
      <c r="J36" s="2"/>
      <c r="K36" s="2"/>
      <c r="L36" s="2"/>
      <c r="M36" s="2"/>
      <c r="N36" s="2"/>
      <c r="O36" s="2"/>
      <c r="P36" s="2"/>
      <c r="Q36" s="2"/>
    </row>
    <row r="37" spans="2:17">
      <c r="B37" s="2"/>
      <c r="C37" s="2" t="s">
        <v>2832</v>
      </c>
      <c r="D37" s="2"/>
      <c r="E37" s="2"/>
      <c r="F37" s="2"/>
      <c r="G37" s="2"/>
      <c r="H37" s="2"/>
      <c r="I37" s="2"/>
      <c r="J37" s="2"/>
      <c r="K37" s="2"/>
      <c r="L37" s="2"/>
      <c r="M37" s="2"/>
      <c r="N37" s="2"/>
      <c r="O37" s="2"/>
      <c r="P37" s="2"/>
      <c r="Q37" s="2"/>
    </row>
    <row r="38" spans="2:17">
      <c r="B38" s="2" t="s">
        <v>2833</v>
      </c>
      <c r="C38" s="2"/>
      <c r="D38" s="2"/>
      <c r="E38" s="2"/>
      <c r="F38" s="2"/>
      <c r="G38" s="2"/>
      <c r="H38" s="2"/>
      <c r="I38" s="2"/>
      <c r="J38" s="2"/>
      <c r="K38" s="2"/>
      <c r="L38" s="2"/>
      <c r="M38" s="2"/>
      <c r="N38" s="2"/>
      <c r="O38" s="2"/>
      <c r="P38" s="2"/>
      <c r="Q38" s="2"/>
    </row>
    <row r="39" spans="2:17">
      <c r="B39" s="2"/>
      <c r="C39" s="2" t="s">
        <v>2834</v>
      </c>
      <c r="D39" s="2"/>
      <c r="E39" s="2"/>
      <c r="F39" s="2"/>
      <c r="G39" s="2"/>
      <c r="H39" s="2"/>
      <c r="I39" s="2"/>
      <c r="J39" s="2"/>
      <c r="K39" s="2"/>
      <c r="L39" s="2"/>
      <c r="M39" s="2"/>
      <c r="N39" s="2"/>
      <c r="O39" s="2"/>
      <c r="P39" s="2"/>
      <c r="Q39" s="2"/>
    </row>
    <row r="40" spans="2:17">
      <c r="B40" s="2"/>
      <c r="C40" s="2" t="s">
        <v>2835</v>
      </c>
      <c r="D40" s="2"/>
      <c r="E40" s="2"/>
      <c r="F40" s="2"/>
      <c r="G40" s="2"/>
      <c r="H40" s="2"/>
      <c r="I40" s="2"/>
      <c r="J40" s="2"/>
      <c r="K40" s="2"/>
      <c r="L40" s="2"/>
      <c r="M40" s="2"/>
      <c r="N40" s="2"/>
      <c r="O40" s="2"/>
      <c r="P40" s="2"/>
      <c r="Q40" s="2"/>
    </row>
    <row r="41" spans="2:17">
      <c r="B41" s="2"/>
      <c r="C41" s="2"/>
      <c r="D41" s="2" t="s">
        <v>2836</v>
      </c>
      <c r="E41" s="2"/>
      <c r="F41" s="2"/>
      <c r="G41" s="2"/>
      <c r="H41" s="2"/>
      <c r="I41" s="2"/>
      <c r="J41" s="2"/>
      <c r="K41" s="2"/>
      <c r="L41" s="2"/>
      <c r="M41" s="2"/>
      <c r="N41" s="2"/>
      <c r="O41" s="2"/>
      <c r="P41" s="2"/>
      <c r="Q41" s="2"/>
    </row>
    <row r="42" spans="2:17">
      <c r="B42" s="2"/>
      <c r="C42" s="2" t="s">
        <v>2837</v>
      </c>
      <c r="D42" s="2"/>
      <c r="E42" s="2"/>
      <c r="F42" s="2"/>
      <c r="G42" s="2"/>
      <c r="H42" s="2"/>
      <c r="I42" s="2"/>
      <c r="J42" s="2"/>
      <c r="K42" s="2"/>
      <c r="L42" s="2"/>
      <c r="M42" s="2"/>
      <c r="N42" s="2"/>
      <c r="O42" s="2"/>
      <c r="P42" s="2"/>
      <c r="Q42" s="2"/>
    </row>
    <row r="43" spans="2:17">
      <c r="B43" s="2" t="s">
        <v>2838</v>
      </c>
      <c r="C43" s="2"/>
      <c r="D43" s="2"/>
      <c r="E43" s="2"/>
      <c r="F43" s="2"/>
      <c r="G43" s="2"/>
      <c r="H43" s="2"/>
      <c r="I43" s="2"/>
      <c r="J43" s="2"/>
      <c r="K43" s="2"/>
      <c r="L43" s="2"/>
      <c r="M43" s="2"/>
      <c r="N43" s="2"/>
      <c r="O43" s="2"/>
      <c r="P43" s="2"/>
      <c r="Q43" s="2"/>
    </row>
    <row r="44" spans="2:17">
      <c r="B44" s="2"/>
      <c r="C44" s="2" t="s">
        <v>2839</v>
      </c>
      <c r="D44" s="2"/>
      <c r="E44" s="2"/>
      <c r="F44" s="2"/>
      <c r="G44" s="2"/>
      <c r="H44" s="2"/>
      <c r="I44" s="2"/>
      <c r="J44" s="2"/>
      <c r="K44" s="2"/>
      <c r="L44" s="2"/>
      <c r="M44" s="2"/>
      <c r="N44" s="2"/>
      <c r="O44" s="2"/>
      <c r="P44" s="2"/>
      <c r="Q44" s="2"/>
    </row>
    <row r="45" spans="2:17">
      <c r="B45" s="2" t="s">
        <v>2840</v>
      </c>
      <c r="C45" s="2"/>
      <c r="D45" s="2"/>
      <c r="E45" s="2"/>
      <c r="F45" s="2"/>
      <c r="G45" s="2"/>
      <c r="H45" s="2"/>
      <c r="I45" s="2"/>
      <c r="J45" s="2"/>
      <c r="K45" s="2"/>
      <c r="L45" s="2"/>
      <c r="M45" s="2"/>
      <c r="N45" s="2"/>
      <c r="O45" s="2"/>
      <c r="P45" s="2"/>
      <c r="Q45" s="2"/>
    </row>
    <row r="46" spans="2:17">
      <c r="B46" s="2"/>
      <c r="C46" s="2" t="s">
        <v>2841</v>
      </c>
      <c r="D46" s="2"/>
      <c r="E46" s="2"/>
      <c r="F46" s="2"/>
      <c r="G46" s="2"/>
      <c r="H46" s="2"/>
      <c r="I46" s="2"/>
      <c r="J46" s="2"/>
      <c r="K46" s="2"/>
      <c r="L46" s="2"/>
      <c r="M46" s="2"/>
      <c r="N46" s="2"/>
      <c r="O46" s="2"/>
      <c r="P46" s="2"/>
      <c r="Q46" s="2"/>
    </row>
    <row r="47" spans="2:17">
      <c r="B47" s="2"/>
      <c r="C47" s="2" t="s">
        <v>2842</v>
      </c>
      <c r="D47" s="2"/>
      <c r="E47" s="2"/>
      <c r="F47" s="2"/>
      <c r="G47" s="2"/>
      <c r="H47" s="2"/>
      <c r="I47" s="2"/>
      <c r="J47" s="2"/>
      <c r="K47" s="2"/>
      <c r="L47" s="2"/>
      <c r="M47" s="2"/>
      <c r="N47" s="2"/>
      <c r="O47" s="2"/>
      <c r="P47" s="2"/>
      <c r="Q47" s="2"/>
    </row>
    <row r="48" spans="2:17">
      <c r="B48" s="2"/>
      <c r="C48" s="2" t="s">
        <v>2843</v>
      </c>
      <c r="D48" s="2"/>
      <c r="E48" s="2"/>
      <c r="F48" s="2"/>
      <c r="G48" s="2"/>
      <c r="H48" s="2"/>
      <c r="I48" s="2"/>
      <c r="J48" s="2"/>
      <c r="K48" s="2"/>
      <c r="L48" s="2"/>
      <c r="M48" s="2"/>
      <c r="N48" s="2"/>
      <c r="O48" s="2"/>
      <c r="P48" s="2"/>
      <c r="Q48" s="2"/>
    </row>
    <row r="49" spans="2:17">
      <c r="B49" s="2"/>
      <c r="C49" s="2"/>
      <c r="D49" s="2" t="s">
        <v>2844</v>
      </c>
      <c r="E49" s="2"/>
      <c r="F49" s="2"/>
      <c r="G49" s="2"/>
      <c r="H49" s="2"/>
      <c r="I49" s="2"/>
      <c r="J49" s="2"/>
      <c r="K49" s="2"/>
      <c r="L49" s="2"/>
      <c r="M49" s="2"/>
      <c r="N49" s="2"/>
      <c r="O49" s="2"/>
      <c r="P49" s="2"/>
      <c r="Q49" s="2"/>
    </row>
    <row r="50" spans="2:17">
      <c r="B50" s="2"/>
      <c r="C50" s="2" t="s">
        <v>2845</v>
      </c>
      <c r="D50" s="2"/>
      <c r="E50" s="2"/>
      <c r="F50" s="2"/>
      <c r="G50" s="2"/>
      <c r="H50" s="2"/>
      <c r="I50" s="2"/>
      <c r="J50" s="2"/>
      <c r="K50" s="2"/>
      <c r="L50" s="2"/>
      <c r="M50" s="2"/>
      <c r="N50" s="2"/>
      <c r="O50" s="2"/>
      <c r="P50" s="2"/>
      <c r="Q50" s="2"/>
    </row>
    <row r="51" spans="2:17">
      <c r="B51" s="2"/>
      <c r="C51" s="2"/>
      <c r="D51" s="2" t="s">
        <v>2846</v>
      </c>
      <c r="E51" s="2"/>
      <c r="F51" s="2"/>
      <c r="G51" s="2"/>
      <c r="H51" s="2"/>
      <c r="I51" s="2"/>
      <c r="J51" s="2"/>
      <c r="K51" s="2"/>
      <c r="L51" s="2"/>
      <c r="M51" s="2"/>
      <c r="N51" s="2"/>
      <c r="O51" s="2"/>
      <c r="P51" s="2"/>
      <c r="Q51" s="2"/>
    </row>
    <row r="52" spans="2:17">
      <c r="B52" s="2"/>
      <c r="C52" s="2" t="s">
        <v>2847</v>
      </c>
      <c r="D52" s="2"/>
      <c r="E52" s="2"/>
      <c r="F52" s="2"/>
      <c r="G52" s="2"/>
      <c r="H52" s="2"/>
      <c r="I52" s="2"/>
      <c r="J52" s="2"/>
      <c r="K52" s="2"/>
      <c r="L52" s="2"/>
      <c r="M52" s="2"/>
      <c r="N52" s="2"/>
      <c r="O52" s="2"/>
      <c r="P52" s="2"/>
      <c r="Q52" s="2"/>
    </row>
    <row r="53" spans="2:17">
      <c r="B53" s="2"/>
      <c r="C53" s="2"/>
      <c r="D53" s="2" t="s">
        <v>2848</v>
      </c>
      <c r="E53" s="2"/>
      <c r="F53" s="2"/>
      <c r="G53" s="2"/>
      <c r="H53" s="2"/>
      <c r="I53" s="2"/>
      <c r="J53" s="2"/>
      <c r="K53" s="2"/>
      <c r="L53" s="2"/>
      <c r="M53" s="2"/>
      <c r="N53" s="2"/>
      <c r="O53" s="2"/>
      <c r="P53" s="2"/>
      <c r="Q53" s="2"/>
    </row>
    <row r="54" spans="2:17">
      <c r="B54" s="2"/>
      <c r="C54" s="2"/>
      <c r="D54" s="2" t="s">
        <v>2849</v>
      </c>
      <c r="E54" s="2"/>
      <c r="F54" s="2"/>
      <c r="G54" s="2"/>
      <c r="H54" s="2"/>
      <c r="I54" s="2"/>
      <c r="J54" s="2"/>
      <c r="K54" s="2"/>
      <c r="L54" s="2"/>
      <c r="M54" s="2"/>
      <c r="N54" s="2"/>
      <c r="O54" s="2"/>
      <c r="P54" s="2"/>
      <c r="Q54" s="2"/>
    </row>
  </sheetData>
  <pageMargins left="0.75" right="0.75" top="1" bottom="1" header="0.5" footer="0.5"/>
  <pageSetup paperSize="9" orientation="portrait"/>
  <headerFooter/>
</worksheet>
</file>

<file path=xl/worksheets/sheet1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43"/>
  <sheetViews>
    <sheetView zoomScale="115" zoomScaleNormal="115" topLeftCell="A15" workbookViewId="0">
      <selection activeCell="G5" sqref="G5"/>
    </sheetView>
  </sheetViews>
  <sheetFormatPr defaultColWidth="8.88888888888889" defaultRowHeight="14.4" outlineLevelCol="7"/>
  <cols>
    <col min="1" max="1" width="9.66666666666667"/>
  </cols>
  <sheetData>
    <row r="1" spans="1:8">
      <c r="A1" s="1">
        <f>SUM(B1:AZ1)</f>
        <v>15.4</v>
      </c>
      <c r="B1" s="1">
        <f t="shared" ref="B1:H1" si="0">COUNTA(B2:B2075)/COLUMN()</f>
        <v>6.5</v>
      </c>
      <c r="C1" s="1">
        <f t="shared" si="0"/>
        <v>7</v>
      </c>
      <c r="D1" s="1">
        <f t="shared" si="0"/>
        <v>1.5</v>
      </c>
      <c r="E1" s="1">
        <f t="shared" si="0"/>
        <v>0.4</v>
      </c>
      <c r="F1" s="1">
        <f t="shared" si="0"/>
        <v>0</v>
      </c>
      <c r="G1" s="1">
        <f t="shared" si="0"/>
        <v>0</v>
      </c>
      <c r="H1" s="1">
        <f t="shared" si="0"/>
        <v>0</v>
      </c>
    </row>
    <row r="2" spans="1:8">
      <c r="A2" t="str" cm="1">
        <f ca="1" t="array" ref="A2">_wpsfn.SHEETSNAME(A1)</f>
        <v>20251113</v>
      </c>
      <c r="B2" t="s">
        <v>2850</v>
      </c>
    </row>
    <row r="3" spans="1:8">
      <c r="C3" t="s">
        <v>2851</v>
      </c>
    </row>
    <row r="4" spans="1:8">
      <c r="C4" t="s">
        <v>2852</v>
      </c>
    </row>
    <row r="5" spans="1:8">
      <c r="C5" t="s">
        <v>2853</v>
      </c>
    </row>
    <row r="6" spans="1:8">
      <c r="D6" t="s">
        <v>2854</v>
      </c>
    </row>
    <row r="7" spans="1:8">
      <c r="E7" t="s">
        <v>2855</v>
      </c>
    </row>
    <row r="8" spans="1:8">
      <c r="E8" t="s">
        <v>2856</v>
      </c>
    </row>
    <row r="9" spans="1:8">
      <c r="D9" t="s">
        <v>2857</v>
      </c>
    </row>
    <row r="10" spans="1:8">
      <c r="C10" t="s">
        <v>2858</v>
      </c>
    </row>
    <row r="11" spans="1:8">
      <c r="B11" t="s">
        <v>2859</v>
      </c>
    </row>
    <row r="12" spans="1:8">
      <c r="B12" t="s">
        <v>2860</v>
      </c>
    </row>
    <row r="13" spans="1:8">
      <c r="C13" t="s">
        <v>2861</v>
      </c>
    </row>
    <row r="14" spans="1:8">
      <c r="C14" t="s">
        <v>2862</v>
      </c>
    </row>
    <row r="15" spans="1:8">
      <c r="C15" t="s">
        <v>2863</v>
      </c>
    </row>
    <row r="16" spans="1:8">
      <c r="D16" t="s">
        <v>2864</v>
      </c>
    </row>
    <row r="17" spans="2:4">
      <c r="C17" t="s">
        <v>2865</v>
      </c>
    </row>
    <row r="18" spans="2:4">
      <c r="B18" t="s">
        <v>2866</v>
      </c>
    </row>
    <row r="19" spans="2:4">
      <c r="C19" t="s">
        <v>2867</v>
      </c>
    </row>
    <row r="20" spans="2:4">
      <c r="C20" t="s">
        <v>2868</v>
      </c>
    </row>
    <row r="21" spans="2:4">
      <c r="C21" t="s">
        <v>2869</v>
      </c>
    </row>
    <row r="22" spans="2:4">
      <c r="C22" t="s">
        <v>2870</v>
      </c>
    </row>
    <row r="23" spans="2:4">
      <c r="C23" t="s">
        <v>2871</v>
      </c>
    </row>
    <row r="24" spans="2:4">
      <c r="C24" t="s">
        <v>2872</v>
      </c>
    </row>
    <row r="25" spans="2:4">
      <c r="B25" t="s">
        <v>2873</v>
      </c>
    </row>
    <row r="26" spans="2:4">
      <c r="B26" t="s">
        <v>2874</v>
      </c>
    </row>
    <row r="27" spans="2:4">
      <c r="B27" t="s">
        <v>2875</v>
      </c>
    </row>
    <row r="28" spans="2:4">
      <c r="C28" t="s">
        <v>2876</v>
      </c>
    </row>
    <row r="29" spans="2:4">
      <c r="C29" t="s">
        <v>2877</v>
      </c>
    </row>
    <row r="30" spans="2:4">
      <c r="D30" t="s">
        <v>2878</v>
      </c>
    </row>
    <row r="31" spans="2:4">
      <c r="B31" t="s">
        <v>2879</v>
      </c>
    </row>
    <row r="32" spans="2:4">
      <c r="B32" t="s">
        <v>2880</v>
      </c>
    </row>
    <row r="33" spans="2:4">
      <c r="B33" t="s">
        <v>2881</v>
      </c>
    </row>
    <row r="34" spans="2:4">
      <c r="B34" t="s">
        <v>2882</v>
      </c>
    </row>
    <row r="35" spans="2:4">
      <c r="B35" t="s">
        <v>2883</v>
      </c>
    </row>
    <row r="36" spans="2:4">
      <c r="C36" t="s">
        <v>2884</v>
      </c>
    </row>
    <row r="37" spans="2:4">
      <c r="C37" t="s">
        <v>2885</v>
      </c>
    </row>
    <row r="38" spans="2:4">
      <c r="C38" t="s">
        <v>2886</v>
      </c>
    </row>
    <row r="39" spans="2:4">
      <c r="B39" t="s">
        <v>2887</v>
      </c>
    </row>
    <row r="40" spans="2:4">
      <c r="C40" t="s">
        <v>2888</v>
      </c>
    </row>
    <row r="41" spans="2:4">
      <c r="C41" t="s">
        <v>2889</v>
      </c>
    </row>
    <row r="42" spans="2:4">
      <c r="D42" t="s">
        <v>2890</v>
      </c>
    </row>
    <row r="43" spans="2:4">
      <c r="D43" t="s">
        <v>2891</v>
      </c>
    </row>
  </sheetData>
  <pageMargins left="0.75" right="0.75" top="1" bottom="1" header="0.5" footer="0.5"/>
  <pageSetup paperSize="9" orientation="portrait"/>
  <headerFooter/>
</worksheet>
</file>

<file path=xl/worksheets/sheet1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O31"/>
  <sheetViews>
    <sheetView topLeftCell="A2" workbookViewId="0">
      <selection activeCell="E16" sqref="E16"/>
    </sheetView>
  </sheetViews>
  <sheetFormatPr defaultColWidth="8.88888888888889" defaultRowHeight="14.4"/>
  <cols>
    <col min="1" max="1" width="9.66666666666667"/>
  </cols>
  <sheetData>
    <row r="1" spans="1:15">
      <c r="A1" s="1">
        <f>SUM(B1:AZ1)</f>
        <v>10.1166666666667</v>
      </c>
      <c r="B1" s="1">
        <f t="shared" ref="B1:H1" si="0">COUNTA(B2:B2073)/COLUMN()</f>
        <v>2.5</v>
      </c>
      <c r="C1" s="1">
        <f t="shared" si="0"/>
        <v>5.66666666666667</v>
      </c>
      <c r="D1" s="1">
        <f t="shared" si="0"/>
        <v>1.75</v>
      </c>
      <c r="E1" s="1">
        <f t="shared" si="0"/>
        <v>0.2</v>
      </c>
      <c r="F1" s="1">
        <f t="shared" si="0"/>
        <v>0</v>
      </c>
      <c r="G1" s="1">
        <f t="shared" si="0"/>
        <v>0</v>
      </c>
      <c r="H1" s="1">
        <f t="shared" si="0"/>
        <v>0</v>
      </c>
    </row>
    <row r="2" spans="1:15">
      <c r="A2" t="str" cm="1">
        <f ca="1" t="array" ref="A2">_wpsfn.SHEETSNAME(A1)</f>
        <v>20251114</v>
      </c>
      <c r="B2" s="2" t="s">
        <v>2892</v>
      </c>
      <c r="C2" s="2"/>
      <c r="D2" s="2"/>
      <c r="E2" s="2"/>
      <c r="F2" s="2"/>
      <c r="G2" s="2"/>
      <c r="H2" s="2"/>
      <c r="I2" s="2"/>
      <c r="J2" s="2"/>
      <c r="K2" s="2"/>
      <c r="L2" s="2"/>
      <c r="M2" s="2"/>
      <c r="N2" s="2"/>
      <c r="O2" s="2"/>
    </row>
    <row r="3" spans="1:15">
      <c r="B3" s="2"/>
      <c r="C3" s="2" t="s">
        <v>2893</v>
      </c>
      <c r="D3" s="2"/>
      <c r="E3" s="2"/>
      <c r="F3" s="2"/>
      <c r="G3" s="2"/>
      <c r="H3" s="2"/>
      <c r="I3" s="2"/>
      <c r="J3" s="2"/>
      <c r="K3" s="2"/>
      <c r="L3" s="2"/>
      <c r="M3" s="2"/>
      <c r="N3" s="2"/>
      <c r="O3" s="2"/>
    </row>
    <row r="4" spans="1:15">
      <c r="B4" s="2"/>
      <c r="C4" s="2" t="s">
        <v>2894</v>
      </c>
      <c r="D4" s="2"/>
      <c r="E4" s="2"/>
      <c r="F4" s="2"/>
      <c r="G4" s="2"/>
      <c r="H4" s="2"/>
      <c r="I4" s="2"/>
      <c r="J4" s="2"/>
      <c r="K4" s="2"/>
      <c r="L4" s="2"/>
      <c r="M4" s="2"/>
      <c r="N4" s="2"/>
      <c r="O4" s="2"/>
    </row>
    <row r="5" spans="1:15">
      <c r="B5" s="2" t="s">
        <v>2895</v>
      </c>
      <c r="C5" s="2"/>
      <c r="D5" s="2"/>
      <c r="E5" s="2"/>
      <c r="F5" s="2"/>
      <c r="G5" s="2"/>
      <c r="H5" s="2"/>
      <c r="I5" s="2"/>
      <c r="J5" s="2"/>
      <c r="K5" s="2"/>
      <c r="L5" s="2"/>
      <c r="M5" s="2"/>
      <c r="N5" s="2"/>
      <c r="O5" s="2"/>
    </row>
    <row r="6" spans="1:15">
      <c r="B6" s="2"/>
      <c r="C6" s="2" t="s">
        <v>2896</v>
      </c>
      <c r="D6" s="2"/>
      <c r="E6" s="2"/>
      <c r="F6" s="2"/>
      <c r="G6" s="2"/>
      <c r="H6" s="2"/>
      <c r="I6" s="2"/>
      <c r="J6" s="2"/>
      <c r="K6" s="2"/>
      <c r="L6" s="2"/>
      <c r="M6" s="2"/>
      <c r="N6" s="2"/>
      <c r="O6" s="2"/>
    </row>
    <row r="7" spans="1:15">
      <c r="B7" s="2"/>
      <c r="C7" s="2" t="s">
        <v>2897</v>
      </c>
      <c r="D7" s="2"/>
      <c r="E7" s="2"/>
      <c r="F7" s="2"/>
      <c r="G7" s="2"/>
      <c r="H7" s="2"/>
      <c r="I7" s="2"/>
      <c r="J7" s="2"/>
      <c r="K7" s="2"/>
      <c r="L7" s="2"/>
      <c r="M7" s="2"/>
      <c r="N7" s="2"/>
      <c r="O7" s="2"/>
    </row>
    <row r="8" spans="1:15">
      <c r="B8" s="2"/>
      <c r="C8" s="2" t="s">
        <v>2898</v>
      </c>
      <c r="D8" s="2"/>
      <c r="E8" s="2"/>
      <c r="F8" s="2"/>
      <c r="G8" s="2"/>
      <c r="H8" s="2"/>
      <c r="I8" s="2"/>
      <c r="J8" s="2"/>
      <c r="K8" s="2"/>
      <c r="L8" s="2"/>
      <c r="M8" s="2"/>
      <c r="N8" s="2"/>
      <c r="O8" s="2"/>
    </row>
    <row r="9" spans="1:15">
      <c r="B9" s="2"/>
      <c r="C9" s="2" t="s">
        <v>2899</v>
      </c>
      <c r="D9" s="2"/>
      <c r="E9" s="2"/>
      <c r="F9" s="2"/>
      <c r="G9" s="2"/>
      <c r="H9" s="2"/>
      <c r="I9" s="2"/>
      <c r="J9" s="2"/>
      <c r="K9" s="2"/>
      <c r="L9" s="2"/>
      <c r="M9" s="2"/>
      <c r="N9" s="2"/>
      <c r="O9" s="2"/>
    </row>
    <row r="10" spans="1:15">
      <c r="B10" s="2"/>
      <c r="C10" s="2" t="s">
        <v>2900</v>
      </c>
      <c r="D10" s="2"/>
      <c r="E10" s="2"/>
      <c r="F10" s="2"/>
      <c r="G10" s="2"/>
      <c r="H10" s="2"/>
      <c r="I10" s="2"/>
      <c r="J10" s="2"/>
      <c r="K10" s="2"/>
      <c r="L10" s="2"/>
      <c r="M10" s="2"/>
      <c r="N10" s="2"/>
      <c r="O10" s="2"/>
    </row>
    <row r="11" spans="1:15">
      <c r="B11" s="2"/>
      <c r="C11" s="2" t="s">
        <v>2901</v>
      </c>
      <c r="D11" s="2"/>
      <c r="E11" s="2"/>
      <c r="F11" s="2"/>
      <c r="G11" s="2"/>
      <c r="H11" s="2"/>
      <c r="I11" s="2"/>
      <c r="J11" s="2"/>
      <c r="K11" s="2"/>
      <c r="L11" s="2"/>
      <c r="M11" s="2"/>
      <c r="N11" s="2"/>
      <c r="O11" s="2"/>
    </row>
    <row r="12" spans="1:15">
      <c r="B12" s="2"/>
      <c r="C12" s="2" t="s">
        <v>2902</v>
      </c>
      <c r="D12" s="2"/>
      <c r="E12" s="2"/>
      <c r="F12" s="2"/>
      <c r="G12" s="2"/>
      <c r="H12" s="2"/>
      <c r="I12" s="2"/>
      <c r="J12" s="2"/>
      <c r="K12" s="2"/>
      <c r="L12" s="2"/>
      <c r="M12" s="2"/>
      <c r="N12" s="2"/>
      <c r="O12" s="2"/>
    </row>
    <row r="13" spans="1:15">
      <c r="B13" s="2"/>
      <c r="C13" s="2" t="s">
        <v>2903</v>
      </c>
      <c r="D13" s="2"/>
      <c r="E13" s="2"/>
      <c r="F13" s="2"/>
      <c r="G13" s="2"/>
      <c r="H13" s="2"/>
      <c r="I13" s="2"/>
      <c r="J13" s="2"/>
      <c r="K13" s="2"/>
      <c r="L13" s="2"/>
      <c r="M13" s="2"/>
      <c r="N13" s="2"/>
      <c r="O13" s="2"/>
    </row>
    <row r="14" spans="1:15">
      <c r="B14" s="2"/>
      <c r="C14" s="2"/>
      <c r="D14" s="2" t="s">
        <v>2904</v>
      </c>
      <c r="E14" s="2"/>
      <c r="F14" s="2"/>
      <c r="G14" s="2"/>
      <c r="H14" s="2"/>
      <c r="I14" s="2"/>
      <c r="J14" s="2"/>
      <c r="K14" s="2"/>
      <c r="L14" s="2"/>
      <c r="M14" s="2"/>
      <c r="N14" s="2"/>
      <c r="O14" s="2"/>
    </row>
    <row r="15" spans="1:15">
      <c r="B15" s="2"/>
      <c r="C15" s="2"/>
      <c r="D15" s="2" t="s">
        <v>2905</v>
      </c>
      <c r="E15" s="2"/>
      <c r="F15" s="2"/>
      <c r="G15" s="2"/>
      <c r="H15" s="2"/>
      <c r="I15" s="2"/>
      <c r="J15" s="2"/>
      <c r="K15" s="2"/>
      <c r="L15" s="2"/>
      <c r="M15" s="2"/>
      <c r="N15" s="2"/>
      <c r="O15" s="2"/>
    </row>
    <row r="16" spans="1:15">
      <c r="B16" s="2"/>
      <c r="C16" s="2"/>
      <c r="D16" s="2"/>
      <c r="E16" s="2" t="s">
        <v>2906</v>
      </c>
      <c r="F16" s="2"/>
      <c r="G16" s="2"/>
      <c r="H16" s="2"/>
      <c r="I16" s="2"/>
      <c r="J16" s="2"/>
      <c r="K16" s="2"/>
      <c r="L16" s="2"/>
      <c r="M16" s="2"/>
      <c r="N16" s="2"/>
      <c r="O16" s="2"/>
    </row>
    <row r="17" spans="2:15">
      <c r="B17" s="2" t="s">
        <v>2907</v>
      </c>
      <c r="C17" s="2"/>
      <c r="D17" s="2"/>
      <c r="E17" s="2"/>
      <c r="F17" s="2"/>
      <c r="G17" s="2"/>
      <c r="H17" s="2"/>
      <c r="I17" s="2"/>
      <c r="J17" s="2"/>
      <c r="K17" s="2"/>
      <c r="L17" s="2"/>
      <c r="M17" s="2"/>
      <c r="N17" s="2"/>
      <c r="O17" s="2"/>
    </row>
    <row r="18" spans="2:15">
      <c r="B18" s="2"/>
      <c r="C18" s="2" t="s">
        <v>2908</v>
      </c>
      <c r="D18" s="2"/>
      <c r="E18" s="2"/>
      <c r="F18" s="2"/>
      <c r="G18" s="2"/>
      <c r="H18" s="2"/>
      <c r="I18" s="2"/>
      <c r="J18" s="2"/>
      <c r="K18" s="2"/>
      <c r="L18" s="2"/>
      <c r="M18" s="2"/>
      <c r="N18" s="2"/>
      <c r="O18" s="2"/>
    </row>
    <row r="19" spans="2:15">
      <c r="B19" s="2"/>
      <c r="C19" s="2"/>
      <c r="D19" s="2" t="s">
        <v>2909</v>
      </c>
      <c r="E19" s="2"/>
      <c r="F19" s="2"/>
      <c r="G19" s="2"/>
      <c r="H19" s="2"/>
      <c r="I19" s="2"/>
      <c r="J19" s="2"/>
      <c r="K19" s="2"/>
      <c r="L19" s="2"/>
      <c r="M19" s="2"/>
      <c r="N19" s="2"/>
      <c r="O19" s="2"/>
    </row>
    <row r="20" spans="2:15">
      <c r="B20" s="2"/>
      <c r="C20" s="2" t="s">
        <v>2910</v>
      </c>
      <c r="D20" s="2"/>
      <c r="E20" s="2"/>
      <c r="F20" s="2"/>
      <c r="G20" s="2"/>
      <c r="H20" s="2"/>
      <c r="I20" s="2"/>
      <c r="J20" s="2"/>
      <c r="K20" s="2"/>
      <c r="L20" s="2"/>
      <c r="M20" s="2"/>
      <c r="N20" s="2"/>
      <c r="O20" s="2"/>
    </row>
    <row r="21" spans="2:15">
      <c r="B21" s="2"/>
      <c r="C21" s="2"/>
      <c r="D21" s="2" t="s">
        <v>2911</v>
      </c>
      <c r="E21" s="2"/>
      <c r="F21" s="2"/>
      <c r="G21" s="2"/>
      <c r="H21" s="2"/>
      <c r="I21" s="2"/>
      <c r="J21" s="2"/>
      <c r="K21" s="2"/>
      <c r="L21" s="2"/>
      <c r="M21" s="2"/>
      <c r="N21" s="2"/>
      <c r="O21" s="2"/>
    </row>
    <row r="22" spans="2:15">
      <c r="B22" s="2"/>
      <c r="C22" s="2"/>
      <c r="D22" s="2" t="s">
        <v>2912</v>
      </c>
      <c r="E22" s="2"/>
      <c r="F22" s="2"/>
      <c r="G22" s="2"/>
      <c r="H22" s="2"/>
      <c r="I22" s="2"/>
      <c r="J22" s="2"/>
      <c r="K22" s="2"/>
      <c r="L22" s="2"/>
      <c r="M22" s="2"/>
      <c r="N22" s="2"/>
      <c r="O22" s="2"/>
    </row>
    <row r="23" spans="2:15">
      <c r="B23" s="2"/>
      <c r="C23" s="2" t="s">
        <v>2913</v>
      </c>
      <c r="D23" s="2"/>
      <c r="E23" s="2"/>
      <c r="F23" s="2"/>
      <c r="G23" s="2"/>
      <c r="H23" s="2"/>
      <c r="I23" s="2"/>
      <c r="J23" s="2"/>
      <c r="K23" s="2"/>
      <c r="L23" s="2"/>
      <c r="M23" s="2"/>
      <c r="N23" s="2"/>
      <c r="O23" s="2"/>
    </row>
    <row r="24" spans="2:15">
      <c r="B24" s="2"/>
      <c r="C24" s="2"/>
      <c r="D24" s="2" t="s">
        <v>2914</v>
      </c>
      <c r="E24" s="2"/>
      <c r="F24" s="2"/>
      <c r="G24" s="2"/>
      <c r="H24" s="2"/>
      <c r="I24" s="2"/>
      <c r="J24" s="2"/>
      <c r="K24" s="2"/>
      <c r="L24" s="2"/>
      <c r="M24" s="2"/>
      <c r="N24" s="2"/>
      <c r="O24" s="2"/>
    </row>
    <row r="25" spans="2:15">
      <c r="B25" s="2"/>
      <c r="C25" s="2" t="s">
        <v>2915</v>
      </c>
      <c r="D25" s="2"/>
      <c r="E25" s="2"/>
      <c r="F25" s="2"/>
      <c r="G25" s="2"/>
      <c r="H25" s="2"/>
      <c r="I25" s="2"/>
      <c r="J25" s="2"/>
      <c r="K25" s="2"/>
      <c r="L25" s="2"/>
      <c r="M25" s="2"/>
      <c r="N25" s="2"/>
      <c r="O25" s="2"/>
    </row>
    <row r="26" spans="2:15">
      <c r="B26" s="2"/>
      <c r="C26" s="2"/>
      <c r="D26" s="2" t="s">
        <v>2916</v>
      </c>
      <c r="E26" s="2"/>
      <c r="F26" s="2"/>
      <c r="G26" s="2"/>
      <c r="H26" s="2"/>
      <c r="I26" s="2"/>
      <c r="J26" s="2"/>
      <c r="K26" s="2"/>
      <c r="L26" s="2"/>
      <c r="M26" s="2"/>
      <c r="N26" s="2"/>
      <c r="O26" s="2"/>
    </row>
    <row r="27" spans="2:15">
      <c r="B27" s="2" t="s">
        <v>2917</v>
      </c>
      <c r="C27" s="2"/>
      <c r="D27" s="2"/>
      <c r="E27" s="2"/>
      <c r="F27" s="2"/>
      <c r="G27" s="2"/>
      <c r="H27" s="2"/>
      <c r="I27" s="2"/>
      <c r="J27" s="2"/>
      <c r="K27" s="2"/>
      <c r="L27" s="2"/>
      <c r="M27" s="2"/>
      <c r="N27" s="2"/>
      <c r="O27" s="2"/>
    </row>
    <row r="28" spans="2:15">
      <c r="B28" s="2" t="s">
        <v>2918</v>
      </c>
      <c r="C28" s="2"/>
      <c r="D28" s="2"/>
      <c r="E28" s="2"/>
      <c r="F28" s="2"/>
      <c r="G28" s="2"/>
      <c r="H28" s="2"/>
      <c r="I28" s="2"/>
      <c r="J28" s="2"/>
      <c r="K28" s="2"/>
      <c r="L28" s="2"/>
      <c r="M28" s="2"/>
      <c r="N28" s="2"/>
      <c r="O28" s="2"/>
    </row>
    <row r="29" spans="2:15">
      <c r="B29" s="2"/>
      <c r="C29" s="2" t="s">
        <v>2919</v>
      </c>
      <c r="D29" s="2"/>
      <c r="E29" s="2"/>
      <c r="F29" s="2"/>
      <c r="G29" s="2"/>
      <c r="H29" s="2"/>
      <c r="I29" s="2"/>
      <c r="J29" s="2"/>
      <c r="K29" s="2"/>
      <c r="L29" s="2"/>
      <c r="M29" s="2"/>
      <c r="N29" s="2"/>
      <c r="O29" s="2"/>
    </row>
    <row r="30" spans="2:15">
      <c r="B30" s="2"/>
      <c r="C30" s="2" t="s">
        <v>2920</v>
      </c>
      <c r="D30" s="2"/>
      <c r="E30" s="2"/>
      <c r="F30" s="2"/>
      <c r="G30" s="2"/>
      <c r="H30" s="2"/>
      <c r="I30" s="2"/>
      <c r="J30" s="2"/>
      <c r="K30" s="2"/>
      <c r="L30" s="2"/>
      <c r="M30" s="2"/>
      <c r="N30" s="2"/>
      <c r="O30" s="2"/>
    </row>
    <row r="31" spans="2:15">
      <c r="B31" s="2"/>
      <c r="C31" s="2" t="s">
        <v>2921</v>
      </c>
      <c r="D31" s="2"/>
      <c r="E31" s="2"/>
      <c r="F31" s="2"/>
      <c r="G31" s="2"/>
      <c r="H31" s="2"/>
      <c r="I31" s="2"/>
      <c r="J31" s="2"/>
      <c r="K31" s="2"/>
      <c r="L31" s="2"/>
      <c r="M31" s="2"/>
      <c r="N31" s="2"/>
      <c r="O31" s="2"/>
    </row>
  </sheetData>
  <pageMargins left="0.75" right="0.75" top="1" bottom="1" header="0.5" footer="0.5"/>
  <pageSetup paperSize="9" orientation="portrait"/>
  <headerFooter/>
</worksheet>
</file>

<file path=xl/worksheets/sheet1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13"/>
  <sheetViews>
    <sheetView zoomScale="115" zoomScaleNormal="115" workbookViewId="0">
      <selection activeCell="K9" sqref="K9"/>
    </sheetView>
  </sheetViews>
  <sheetFormatPr defaultColWidth="8.88888888888889" defaultRowHeight="14.4" outlineLevelCol="7"/>
  <cols>
    <col min="1" max="1" width="9.66666666666667"/>
  </cols>
  <sheetData>
    <row r="1" spans="1:8">
      <c r="A1" s="1">
        <f>SUM(B1:AZ1)</f>
        <v>4</v>
      </c>
      <c r="B1" s="1">
        <f t="shared" ref="B1:H1" si="0">COUNTA(B2:B2073)/COLUMN()</f>
        <v>1</v>
      </c>
      <c r="C1" s="1">
        <f t="shared" si="0"/>
        <v>2</v>
      </c>
      <c r="D1" s="1">
        <f t="shared" si="0"/>
        <v>1</v>
      </c>
      <c r="E1" s="1">
        <f t="shared" si="0"/>
        <v>0</v>
      </c>
      <c r="F1" s="1">
        <f t="shared" si="0"/>
        <v>0</v>
      </c>
      <c r="G1" s="1">
        <f t="shared" si="0"/>
        <v>0</v>
      </c>
      <c r="H1" s="1">
        <f t="shared" si="0"/>
        <v>0</v>
      </c>
    </row>
    <row r="2" spans="1:8">
      <c r="A2" t="str" cm="1">
        <f ca="1" t="array" ref="A2">_wpsfn.SHEETSNAME(A1)</f>
        <v>20251115</v>
      </c>
      <c r="B2" t="s">
        <v>2922</v>
      </c>
    </row>
    <row r="3" spans="1:8">
      <c r="C3" t="s">
        <v>2923</v>
      </c>
    </row>
    <row r="4" spans="1:8">
      <c r="C4" t="s">
        <v>2924</v>
      </c>
    </row>
    <row r="5" spans="1:8">
      <c r="C5" t="s">
        <v>2925</v>
      </c>
    </row>
    <row r="6" spans="1:8">
      <c r="B6" t="s">
        <v>2926</v>
      </c>
    </row>
    <row r="7" spans="1:8">
      <c r="C7" t="s">
        <v>2927</v>
      </c>
    </row>
    <row r="8" spans="1:8">
      <c r="C8" t="s">
        <v>2928</v>
      </c>
    </row>
    <row r="9" spans="1:8">
      <c r="C9" t="s">
        <v>2929</v>
      </c>
    </row>
    <row r="10" spans="1:8">
      <c r="D10" t="s">
        <v>2930</v>
      </c>
    </row>
    <row r="11" spans="1:8">
      <c r="D11" t="s">
        <v>2931</v>
      </c>
    </row>
    <row r="12" spans="1:8">
      <c r="D12" t="s">
        <v>2932</v>
      </c>
    </row>
    <row r="13" spans="1:8">
      <c r="D13" t="s">
        <v>2933</v>
      </c>
    </row>
  </sheetData>
  <pageMargins left="0.75" right="0.75" top="1" bottom="1" header="0.5" footer="0.5"/>
  <pageSetup paperSize="9" orientation="portrait"/>
  <headerFooter/>
</worksheet>
</file>

<file path=xl/worksheets/sheet2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56"/>
  <sheetViews>
    <sheetView zoomScale="115" zoomScaleNormal="115" topLeftCell="A20" workbookViewId="0">
      <selection activeCell="D20" sqref="D20"/>
    </sheetView>
  </sheetViews>
  <sheetFormatPr defaultColWidth="8.88888888888889" defaultRowHeight="14.4" outlineLevelCol="7"/>
  <cols>
    <col min="1" max="1" width="9.66666666666667"/>
  </cols>
  <sheetData>
    <row r="1" spans="1:8">
      <c r="A1" s="1">
        <f>SUM(B1:AZ1)</f>
        <v>18.7666666666667</v>
      </c>
      <c r="B1" s="1">
        <f t="shared" ref="B1:H1" si="0">COUNTA(B2:B2078)/COLUMN()</f>
        <v>5.5</v>
      </c>
      <c r="C1" s="1">
        <f t="shared" si="0"/>
        <v>9.66666666666667</v>
      </c>
      <c r="D1" s="1">
        <f t="shared" si="0"/>
        <v>3</v>
      </c>
      <c r="E1" s="1">
        <f t="shared" si="0"/>
        <v>0.6</v>
      </c>
      <c r="F1" s="1">
        <f t="shared" si="0"/>
        <v>0</v>
      </c>
      <c r="G1" s="1">
        <f t="shared" si="0"/>
        <v>0</v>
      </c>
      <c r="H1" s="1">
        <f t="shared" si="0"/>
        <v>0</v>
      </c>
    </row>
    <row r="2" spans="1:8">
      <c r="A2" t="str" cm="1">
        <f ca="1" t="array" ref="A2">_wpsfn.SHEETSNAME(A1)</f>
        <v>20251116</v>
      </c>
      <c r="B2" t="s">
        <v>2934</v>
      </c>
    </row>
    <row r="3" spans="1:8">
      <c r="C3" t="s">
        <v>2935</v>
      </c>
    </row>
    <row r="4" spans="1:8">
      <c r="C4" t="s">
        <v>2936</v>
      </c>
    </row>
    <row r="5" spans="1:8">
      <c r="B5" t="s">
        <v>2937</v>
      </c>
    </row>
    <row r="6" spans="1:8">
      <c r="C6" t="s">
        <v>2938</v>
      </c>
    </row>
    <row r="7" spans="1:8">
      <c r="C7" t="s">
        <v>2939</v>
      </c>
    </row>
    <row r="8" spans="1:8">
      <c r="D8" t="s">
        <v>2940</v>
      </c>
    </row>
    <row r="9" spans="1:8">
      <c r="B9" t="s">
        <v>2941</v>
      </c>
    </row>
    <row r="10" spans="1:8">
      <c r="C10" t="s">
        <v>2942</v>
      </c>
    </row>
    <row r="11" spans="1:8">
      <c r="C11" t="s">
        <v>2943</v>
      </c>
    </row>
    <row r="12" spans="1:8">
      <c r="C12" t="s">
        <v>2944</v>
      </c>
    </row>
    <row r="13" spans="1:8">
      <c r="B13" t="s">
        <v>2945</v>
      </c>
    </row>
    <row r="14" spans="1:8">
      <c r="C14" t="s">
        <v>2946</v>
      </c>
    </row>
    <row r="15" spans="1:8">
      <c r="C15" t="s">
        <v>2947</v>
      </c>
    </row>
    <row r="16" spans="1:8">
      <c r="C16" t="s">
        <v>2948</v>
      </c>
    </row>
    <row r="17" spans="2:5">
      <c r="C17" t="s">
        <v>2949</v>
      </c>
    </row>
    <row r="18" spans="2:5">
      <c r="C18" t="s">
        <v>2950</v>
      </c>
    </row>
    <row r="19" spans="2:5">
      <c r="C19" t="s">
        <v>2951</v>
      </c>
    </row>
    <row r="20" spans="2:5">
      <c r="D20" t="s">
        <v>2952</v>
      </c>
    </row>
    <row r="21" spans="2:5">
      <c r="D21" t="s">
        <v>2953</v>
      </c>
    </row>
    <row r="22" spans="2:5">
      <c r="B22" t="s">
        <v>2954</v>
      </c>
    </row>
    <row r="23" spans="2:5">
      <c r="B23" t="s">
        <v>2955</v>
      </c>
    </row>
    <row r="24" spans="2:5">
      <c r="C24" t="s">
        <v>2956</v>
      </c>
    </row>
    <row r="25" spans="2:5">
      <c r="C25" t="s">
        <v>2957</v>
      </c>
    </row>
    <row r="26" spans="2:5">
      <c r="C26" t="s">
        <v>2958</v>
      </c>
    </row>
    <row r="27" spans="2:5">
      <c r="C27" t="s">
        <v>2959</v>
      </c>
    </row>
    <row r="28" spans="2:5">
      <c r="C28" t="s">
        <v>2960</v>
      </c>
    </row>
    <row r="29" spans="2:5">
      <c r="C29" t="s">
        <v>2961</v>
      </c>
    </row>
    <row r="30" spans="2:5">
      <c r="D30" t="s">
        <v>2962</v>
      </c>
    </row>
    <row r="31" spans="2:5">
      <c r="E31" t="s">
        <v>2963</v>
      </c>
    </row>
    <row r="32" spans="2:5">
      <c r="E32" t="s">
        <v>2964</v>
      </c>
    </row>
    <row r="33" spans="2:4">
      <c r="D33" t="s">
        <v>2965</v>
      </c>
    </row>
    <row r="34" spans="2:4">
      <c r="D34" t="s">
        <v>2966</v>
      </c>
    </row>
    <row r="35" spans="2:4">
      <c r="B35" t="s">
        <v>2967</v>
      </c>
    </row>
    <row r="36" spans="2:4">
      <c r="B36" t="s">
        <v>2968</v>
      </c>
    </row>
    <row r="37" spans="2:4">
      <c r="C37" t="s">
        <v>2969</v>
      </c>
    </row>
    <row r="38" spans="2:4">
      <c r="C38" t="s">
        <v>2970</v>
      </c>
    </row>
    <row r="39" spans="2:4">
      <c r="C39" t="s">
        <v>2971</v>
      </c>
    </row>
    <row r="40" spans="2:4">
      <c r="C40" t="s">
        <v>2972</v>
      </c>
    </row>
    <row r="41" spans="2:4">
      <c r="D41" t="s">
        <v>2973</v>
      </c>
    </row>
    <row r="42" spans="2:4">
      <c r="C42" t="s">
        <v>2974</v>
      </c>
    </row>
    <row r="43" spans="2:4">
      <c r="D43" t="s">
        <v>2975</v>
      </c>
    </row>
    <row r="44" spans="2:4">
      <c r="D44" t="s">
        <v>2976</v>
      </c>
    </row>
    <row r="45" spans="2:4">
      <c r="C45" t="s">
        <v>2977</v>
      </c>
    </row>
    <row r="46" spans="2:4">
      <c r="B46" t="s">
        <v>2978</v>
      </c>
    </row>
    <row r="47" spans="2:4">
      <c r="C47" t="s">
        <v>2979</v>
      </c>
    </row>
    <row r="48" spans="2:4">
      <c r="C48" t="s">
        <v>2980</v>
      </c>
    </row>
    <row r="49" spans="2:5">
      <c r="B49" t="s">
        <v>2981</v>
      </c>
    </row>
    <row r="50" spans="2:5">
      <c r="B50" t="s">
        <v>2982</v>
      </c>
    </row>
    <row r="51" spans="2:5">
      <c r="C51" t="s">
        <v>2983</v>
      </c>
    </row>
    <row r="52" spans="2:5">
      <c r="C52" t="s">
        <v>2984</v>
      </c>
    </row>
    <row r="53" spans="2:5">
      <c r="D53" t="s">
        <v>2985</v>
      </c>
    </row>
    <row r="54" spans="2:5">
      <c r="D54" t="s">
        <v>2986</v>
      </c>
    </row>
    <row r="55" spans="2:5">
      <c r="D55" t="s">
        <v>2987</v>
      </c>
    </row>
    <row r="56" spans="2:5">
      <c r="E56" t="s">
        <v>2988</v>
      </c>
    </row>
  </sheetData>
  <pageMargins left="0.75" right="0.75" top="1" bottom="1" header="0.5" footer="0.5"/>
  <pageSetup paperSize="9" orientation="portrait"/>
  <headerFooter/>
</worksheet>
</file>

<file path=xl/worksheets/sheet2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R67"/>
  <sheetViews>
    <sheetView zoomScale="115" zoomScaleNormal="115" topLeftCell="A45" workbookViewId="0">
      <selection activeCell="D54" sqref="D54"/>
    </sheetView>
  </sheetViews>
  <sheetFormatPr defaultColWidth="8.88888888888889" defaultRowHeight="14.4"/>
  <cols>
    <col min="1" max="1" width="9.66666666666667"/>
  </cols>
  <sheetData>
    <row r="1" spans="1:18">
      <c r="A1" s="1">
        <f>SUM(B1:AZ1)</f>
        <v>21.1666666666667</v>
      </c>
      <c r="B1" s="1">
        <f t="shared" ref="B1:H1" si="0">COUNTA(B2:B2091)/COLUMN()</f>
        <v>5</v>
      </c>
      <c r="C1" s="1">
        <f t="shared" si="0"/>
        <v>10.6666666666667</v>
      </c>
      <c r="D1" s="1">
        <f t="shared" si="0"/>
        <v>4</v>
      </c>
      <c r="E1" s="1">
        <f t="shared" si="0"/>
        <v>1</v>
      </c>
      <c r="F1" s="1">
        <f t="shared" si="0"/>
        <v>0.5</v>
      </c>
      <c r="G1" s="1">
        <f t="shared" si="0"/>
        <v>0</v>
      </c>
      <c r="H1" s="1">
        <f t="shared" si="0"/>
        <v>0</v>
      </c>
    </row>
    <row r="2" spans="1:18">
      <c r="A2" t="str" cm="1">
        <f ca="1" t="array" ref="A2">_wpsfn.SHEETSNAME(A1)</f>
        <v>20251117</v>
      </c>
      <c r="B2" s="2" t="s">
        <v>2989</v>
      </c>
      <c r="C2" s="2"/>
      <c r="D2" s="2"/>
      <c r="E2" s="2"/>
      <c r="F2" s="2"/>
      <c r="G2" s="2"/>
      <c r="H2" s="2"/>
      <c r="I2" s="2"/>
      <c r="J2" s="2"/>
      <c r="K2" s="2"/>
      <c r="L2" s="2"/>
      <c r="M2" s="2"/>
      <c r="N2" s="2"/>
      <c r="O2" s="2"/>
      <c r="P2" s="2"/>
      <c r="Q2" s="2"/>
      <c r="R2" s="2"/>
    </row>
    <row r="3" spans="1:18">
      <c r="B3" s="2"/>
      <c r="C3" s="2" t="s">
        <v>2990</v>
      </c>
      <c r="D3" s="2"/>
      <c r="E3" s="2"/>
      <c r="F3" s="2"/>
      <c r="G3" s="2"/>
      <c r="H3" s="2"/>
      <c r="I3" s="2"/>
      <c r="J3" s="2"/>
      <c r="K3" s="2"/>
      <c r="L3" s="2"/>
      <c r="M3" s="2"/>
      <c r="N3" s="2"/>
      <c r="O3" s="2"/>
      <c r="P3" s="2"/>
      <c r="Q3" s="2"/>
      <c r="R3" s="2"/>
    </row>
    <row r="4" spans="1:18">
      <c r="B4" s="2"/>
      <c r="C4" s="2" t="s">
        <v>2991</v>
      </c>
      <c r="D4" s="2"/>
      <c r="E4" s="2"/>
      <c r="F4" s="2"/>
      <c r="G4" s="2"/>
      <c r="H4" s="2"/>
      <c r="I4" s="2"/>
      <c r="J4" s="2"/>
      <c r="K4" s="2"/>
      <c r="L4" s="2"/>
      <c r="M4" s="2"/>
      <c r="N4" s="2"/>
      <c r="O4" s="2"/>
      <c r="P4" s="2"/>
      <c r="Q4" s="2"/>
      <c r="R4" s="2"/>
    </row>
    <row r="5" spans="1:18">
      <c r="B5" s="2"/>
      <c r="C5" s="2"/>
      <c r="D5" s="2" t="s">
        <v>2992</v>
      </c>
      <c r="E5" s="2"/>
      <c r="F5" s="2"/>
      <c r="G5" s="2"/>
      <c r="H5" s="2"/>
      <c r="I5" s="2"/>
      <c r="J5" s="2"/>
      <c r="K5" s="2"/>
      <c r="L5" s="2"/>
      <c r="M5" s="2"/>
      <c r="N5" s="2"/>
      <c r="O5" s="2"/>
      <c r="P5" s="2"/>
      <c r="Q5" s="2"/>
      <c r="R5" s="2"/>
    </row>
    <row r="6" spans="1:18">
      <c r="B6" s="2"/>
      <c r="C6" s="2"/>
      <c r="D6" s="2" t="s">
        <v>2993</v>
      </c>
      <c r="E6" s="2"/>
      <c r="F6" s="2"/>
      <c r="G6" s="2"/>
      <c r="H6" s="2"/>
      <c r="I6" s="2"/>
      <c r="J6" s="2"/>
      <c r="K6" s="2"/>
      <c r="L6" s="2"/>
      <c r="M6" s="2"/>
      <c r="N6" s="2"/>
      <c r="O6" s="2"/>
      <c r="P6" s="2"/>
      <c r="Q6" s="2"/>
      <c r="R6" s="2"/>
    </row>
    <row r="7" spans="1:18">
      <c r="B7" s="2" t="s">
        <v>2994</v>
      </c>
      <c r="C7" s="2"/>
      <c r="D7" s="2"/>
      <c r="E7" s="2"/>
      <c r="F7" s="2"/>
      <c r="G7" s="2"/>
      <c r="H7" s="2"/>
      <c r="I7" s="2"/>
      <c r="J7" s="2"/>
      <c r="K7" s="2"/>
      <c r="L7" s="2"/>
      <c r="M7" s="2"/>
      <c r="N7" s="2"/>
      <c r="O7" s="2"/>
      <c r="P7" s="2"/>
      <c r="Q7" s="2"/>
      <c r="R7" s="2"/>
    </row>
    <row r="8" spans="1:18">
      <c r="B8" s="2"/>
      <c r="C8" s="2" t="s">
        <v>2995</v>
      </c>
      <c r="D8" s="2"/>
      <c r="E8" s="2"/>
      <c r="F8" s="2"/>
      <c r="G8" s="2"/>
      <c r="H8" s="2"/>
      <c r="I8" s="2"/>
      <c r="J8" s="2"/>
      <c r="K8" s="2"/>
      <c r="L8" s="2"/>
      <c r="M8" s="2"/>
      <c r="N8" s="2"/>
      <c r="O8" s="2"/>
      <c r="P8" s="2"/>
      <c r="Q8" s="2"/>
      <c r="R8" s="2"/>
    </row>
    <row r="9" spans="1:18">
      <c r="B9" s="2"/>
      <c r="C9" s="2" t="s">
        <v>2996</v>
      </c>
      <c r="D9" s="2"/>
      <c r="E9" s="2"/>
      <c r="F9" s="2"/>
      <c r="G9" s="2"/>
      <c r="H9" s="2"/>
      <c r="I9" s="2"/>
      <c r="J9" s="2"/>
      <c r="K9" s="2"/>
      <c r="L9" s="2"/>
      <c r="M9" s="2"/>
      <c r="N9" s="2"/>
      <c r="O9" s="2"/>
      <c r="P9" s="2"/>
      <c r="Q9" s="2"/>
      <c r="R9" s="2"/>
    </row>
    <row r="10" spans="1:18">
      <c r="B10" s="2"/>
      <c r="C10" s="2" t="s">
        <v>2997</v>
      </c>
      <c r="D10" s="2"/>
      <c r="E10" s="2"/>
      <c r="F10" s="2"/>
      <c r="G10" s="2"/>
      <c r="H10" s="2"/>
      <c r="I10" s="2"/>
      <c r="J10" s="2"/>
      <c r="K10" s="2"/>
      <c r="L10" s="2"/>
      <c r="M10" s="2"/>
      <c r="N10" s="2"/>
      <c r="O10" s="2"/>
      <c r="P10" s="2"/>
      <c r="Q10" s="2"/>
      <c r="R10" s="2"/>
    </row>
    <row r="11" spans="1:18">
      <c r="B11" s="2"/>
      <c r="C11" s="2"/>
      <c r="D11" s="2" t="s">
        <v>2998</v>
      </c>
      <c r="E11" s="2"/>
      <c r="F11" s="2"/>
      <c r="G11" s="2"/>
      <c r="H11" s="2"/>
      <c r="I11" s="2"/>
      <c r="J11" s="2"/>
      <c r="K11" s="2"/>
      <c r="L11" s="2"/>
      <c r="M11" s="2"/>
      <c r="N11" s="2"/>
      <c r="O11" s="2"/>
      <c r="P11" s="2"/>
      <c r="Q11" s="2"/>
      <c r="R11" s="2"/>
    </row>
    <row r="12" spans="1:18">
      <c r="B12" s="2"/>
      <c r="C12" s="2"/>
      <c r="D12" s="2"/>
      <c r="E12" s="2" t="s">
        <v>2999</v>
      </c>
      <c r="F12" s="2"/>
      <c r="G12" s="2"/>
      <c r="H12" s="2"/>
      <c r="I12" s="2"/>
      <c r="J12" s="2"/>
      <c r="K12" s="2"/>
      <c r="L12" s="2"/>
      <c r="M12" s="2"/>
      <c r="N12" s="2"/>
      <c r="O12" s="2"/>
      <c r="P12" s="2"/>
      <c r="Q12" s="2"/>
      <c r="R12" s="2"/>
    </row>
    <row r="13" spans="1:18">
      <c r="B13" s="2"/>
      <c r="C13" s="2"/>
      <c r="D13" s="2"/>
      <c r="E13" s="2" t="s">
        <v>3000</v>
      </c>
      <c r="F13" s="2"/>
      <c r="G13" s="2"/>
      <c r="H13" s="2"/>
      <c r="I13" s="2"/>
      <c r="J13" s="2"/>
      <c r="K13" s="2"/>
      <c r="L13" s="2"/>
      <c r="M13" s="2"/>
      <c r="N13" s="2"/>
      <c r="O13" s="2"/>
      <c r="P13" s="2"/>
      <c r="Q13" s="2"/>
      <c r="R13" s="2"/>
    </row>
    <row r="14" spans="1:18">
      <c r="B14" s="2"/>
      <c r="C14" s="2"/>
      <c r="D14" s="2"/>
      <c r="E14" s="2"/>
      <c r="F14" s="2" t="s">
        <v>3001</v>
      </c>
      <c r="G14" s="2"/>
      <c r="H14" s="2"/>
      <c r="I14" s="2"/>
      <c r="J14" s="2"/>
      <c r="K14" s="2"/>
      <c r="L14" s="2"/>
      <c r="M14" s="2"/>
      <c r="N14" s="2"/>
      <c r="O14" s="2"/>
      <c r="P14" s="2"/>
      <c r="Q14" s="2"/>
      <c r="R14" s="2"/>
    </row>
    <row r="15" spans="1:18">
      <c r="B15" s="2"/>
      <c r="C15" s="2"/>
      <c r="D15" s="2"/>
      <c r="E15" s="2"/>
      <c r="F15" s="2" t="s">
        <v>3002</v>
      </c>
      <c r="G15" s="2"/>
      <c r="H15" s="2"/>
      <c r="I15" s="2"/>
      <c r="J15" s="2"/>
      <c r="K15" s="2"/>
      <c r="L15" s="2"/>
      <c r="M15" s="2"/>
      <c r="N15" s="2"/>
      <c r="O15" s="2"/>
      <c r="P15" s="2"/>
      <c r="Q15" s="2"/>
      <c r="R15" s="2"/>
    </row>
    <row r="16" spans="1:18">
      <c r="B16" s="2"/>
      <c r="C16" s="2"/>
      <c r="D16" s="2"/>
      <c r="E16" s="2"/>
      <c r="F16" s="2" t="s">
        <v>3003</v>
      </c>
      <c r="G16" s="2"/>
      <c r="H16" s="2"/>
      <c r="I16" s="2"/>
      <c r="J16" s="2"/>
      <c r="K16" s="2"/>
      <c r="L16" s="2"/>
      <c r="M16" s="2"/>
      <c r="N16" s="2"/>
      <c r="O16" s="2"/>
      <c r="P16" s="2"/>
      <c r="Q16" s="2"/>
      <c r="R16" s="2"/>
    </row>
    <row r="17" spans="2:18">
      <c r="B17" s="2"/>
      <c r="C17" s="2" t="s">
        <v>3004</v>
      </c>
      <c r="D17" s="2"/>
      <c r="E17" s="2"/>
      <c r="F17" s="2"/>
      <c r="G17" s="2"/>
      <c r="H17" s="2"/>
      <c r="I17" s="2"/>
      <c r="J17" s="2"/>
      <c r="K17" s="2"/>
      <c r="L17" s="2"/>
      <c r="M17" s="2"/>
      <c r="N17" s="2"/>
      <c r="O17" s="2"/>
      <c r="P17" s="2"/>
      <c r="Q17" s="2"/>
      <c r="R17" s="2"/>
    </row>
    <row r="18" spans="2:18">
      <c r="B18" s="2"/>
      <c r="C18" s="2"/>
      <c r="D18" s="2" t="s">
        <v>3005</v>
      </c>
      <c r="E18" s="2"/>
      <c r="F18" s="2"/>
      <c r="G18" s="2"/>
      <c r="H18" s="2"/>
      <c r="I18" s="2"/>
      <c r="J18" s="2"/>
      <c r="K18" s="2"/>
      <c r="L18" s="2"/>
      <c r="M18" s="2"/>
      <c r="N18" s="2"/>
      <c r="O18" s="2"/>
      <c r="P18" s="2"/>
      <c r="Q18" s="2"/>
      <c r="R18" s="2"/>
    </row>
    <row r="19" spans="2:18">
      <c r="B19" s="2"/>
      <c r="C19" s="2"/>
      <c r="D19" s="2" t="s">
        <v>3006</v>
      </c>
      <c r="E19" s="2"/>
      <c r="F19" s="2"/>
      <c r="G19" s="2"/>
      <c r="H19" s="2"/>
      <c r="I19" s="2"/>
      <c r="J19" s="2"/>
      <c r="K19" s="2"/>
      <c r="L19" s="2"/>
      <c r="M19" s="2"/>
      <c r="N19" s="2"/>
      <c r="O19" s="2"/>
      <c r="P19" s="2"/>
      <c r="Q19" s="2"/>
      <c r="R19" s="2"/>
    </row>
    <row r="20" spans="2:18">
      <c r="B20" s="2"/>
      <c r="C20" s="2"/>
      <c r="D20" s="2" t="s">
        <v>3007</v>
      </c>
      <c r="E20" s="2"/>
      <c r="F20" s="2"/>
      <c r="G20" s="2"/>
      <c r="H20" s="2"/>
      <c r="I20" s="2"/>
      <c r="J20" s="2"/>
      <c r="K20" s="2"/>
      <c r="L20" s="2"/>
      <c r="M20" s="2"/>
      <c r="N20" s="2"/>
      <c r="O20" s="2"/>
      <c r="P20" s="2"/>
      <c r="Q20" s="2"/>
      <c r="R20" s="2"/>
    </row>
    <row r="21" spans="2:18">
      <c r="B21" s="2"/>
      <c r="C21" s="2"/>
      <c r="D21" s="2"/>
      <c r="E21" s="2" t="s">
        <v>3008</v>
      </c>
      <c r="F21" s="2"/>
      <c r="G21" s="2"/>
      <c r="H21" s="2"/>
      <c r="I21" s="2"/>
      <c r="J21" s="2"/>
      <c r="K21" s="2"/>
      <c r="L21" s="2"/>
      <c r="M21" s="2"/>
      <c r="N21" s="2"/>
      <c r="O21" s="2"/>
      <c r="P21" s="2"/>
      <c r="Q21" s="2"/>
      <c r="R21" s="2"/>
    </row>
    <row r="22" spans="2:18">
      <c r="B22" s="2"/>
      <c r="C22" s="2"/>
      <c r="D22" s="2"/>
      <c r="E22" s="2" t="s">
        <v>3009</v>
      </c>
      <c r="F22" s="2"/>
      <c r="G22" s="2"/>
      <c r="H22" s="2"/>
      <c r="I22" s="2"/>
      <c r="J22" s="2"/>
      <c r="K22" s="2"/>
      <c r="L22" s="2"/>
      <c r="M22" s="2"/>
      <c r="N22" s="2"/>
      <c r="O22" s="2"/>
      <c r="P22" s="2"/>
      <c r="Q22" s="2"/>
      <c r="R22" s="2"/>
    </row>
    <row r="23" spans="2:18">
      <c r="B23" s="2"/>
      <c r="C23" s="2"/>
      <c r="D23" s="2"/>
      <c r="E23" s="2" t="s">
        <v>3010</v>
      </c>
      <c r="F23" s="2"/>
      <c r="G23" s="2"/>
      <c r="H23" s="2"/>
      <c r="I23" s="2"/>
      <c r="J23" s="2"/>
      <c r="K23" s="2"/>
      <c r="L23" s="2"/>
      <c r="M23" s="2"/>
      <c r="N23" s="2"/>
      <c r="O23" s="2"/>
      <c r="P23" s="2"/>
      <c r="Q23" s="2"/>
      <c r="R23" s="2"/>
    </row>
    <row r="24" spans="2:18">
      <c r="B24" s="2"/>
      <c r="C24" s="2" t="s">
        <v>3011</v>
      </c>
      <c r="D24" s="2"/>
      <c r="E24" s="2"/>
      <c r="F24" s="2"/>
      <c r="G24" s="2"/>
      <c r="H24" s="2"/>
      <c r="I24" s="2"/>
      <c r="J24" s="2"/>
      <c r="K24" s="2"/>
      <c r="L24" s="2"/>
      <c r="M24" s="2"/>
      <c r="N24" s="2"/>
      <c r="O24" s="2"/>
      <c r="P24" s="2"/>
      <c r="Q24" s="2"/>
      <c r="R24" s="2"/>
    </row>
    <row r="25" spans="2:18">
      <c r="B25" s="2"/>
      <c r="C25" s="2" t="s">
        <v>3012</v>
      </c>
      <c r="D25" s="2"/>
      <c r="E25" s="2"/>
      <c r="F25" s="2"/>
      <c r="G25" s="2"/>
      <c r="H25" s="2"/>
      <c r="I25" s="2"/>
      <c r="J25" s="2"/>
      <c r="K25" s="2"/>
      <c r="L25" s="2"/>
      <c r="M25" s="2"/>
      <c r="N25" s="2"/>
      <c r="O25" s="2"/>
      <c r="P25" s="2"/>
      <c r="Q25" s="2"/>
      <c r="R25" s="2"/>
    </row>
    <row r="26" spans="2:18">
      <c r="B26" s="2"/>
      <c r="C26" s="2"/>
      <c r="D26" s="2" t="s">
        <v>3013</v>
      </c>
      <c r="E26" s="2"/>
      <c r="F26" s="2"/>
      <c r="G26" s="2"/>
      <c r="H26" s="2"/>
      <c r="I26" s="2"/>
      <c r="J26" s="2"/>
      <c r="K26" s="2"/>
      <c r="L26" s="2"/>
      <c r="M26" s="2"/>
      <c r="N26" s="2"/>
      <c r="O26" s="2"/>
      <c r="P26" s="2"/>
      <c r="Q26" s="2"/>
      <c r="R26" s="2"/>
    </row>
    <row r="27" spans="2:18">
      <c r="B27" s="2" t="s">
        <v>3014</v>
      </c>
      <c r="C27" s="2"/>
      <c r="D27" s="2"/>
      <c r="E27" s="2"/>
      <c r="F27" s="2"/>
      <c r="G27" s="2"/>
      <c r="H27" s="2"/>
      <c r="I27" s="2"/>
      <c r="J27" s="2"/>
      <c r="K27" s="2"/>
      <c r="L27" s="2"/>
      <c r="M27" s="2"/>
      <c r="N27" s="2"/>
      <c r="O27" s="2"/>
      <c r="P27" s="2"/>
      <c r="Q27" s="2"/>
      <c r="R27" s="2"/>
    </row>
    <row r="28" spans="2:18">
      <c r="B28" s="2" t="s">
        <v>3015</v>
      </c>
      <c r="C28" s="2"/>
      <c r="D28" s="2"/>
      <c r="E28" s="2"/>
      <c r="F28" s="2"/>
      <c r="G28" s="2"/>
      <c r="H28" s="2"/>
      <c r="I28" s="2"/>
      <c r="J28" s="2"/>
      <c r="K28" s="2"/>
      <c r="L28" s="2"/>
      <c r="M28" s="2"/>
      <c r="N28" s="2"/>
      <c r="O28" s="2"/>
      <c r="P28" s="2"/>
      <c r="Q28" s="2"/>
      <c r="R28" s="2"/>
    </row>
    <row r="29" spans="2:18">
      <c r="B29" s="2"/>
      <c r="C29" s="2" t="s">
        <v>3016</v>
      </c>
      <c r="D29" s="2"/>
      <c r="E29" s="2"/>
      <c r="F29" s="2"/>
      <c r="G29" s="2"/>
      <c r="H29" s="2"/>
      <c r="I29" s="2"/>
      <c r="J29" s="2"/>
      <c r="K29" s="2"/>
      <c r="L29" s="2"/>
      <c r="M29" s="2"/>
      <c r="N29" s="2"/>
      <c r="O29" s="2"/>
      <c r="P29" s="2"/>
      <c r="Q29" s="2"/>
      <c r="R29" s="2"/>
    </row>
    <row r="30" spans="2:18">
      <c r="B30" s="2"/>
      <c r="C30" s="2" t="s">
        <v>3017</v>
      </c>
      <c r="D30" s="2"/>
      <c r="E30" s="2"/>
      <c r="F30" s="2"/>
      <c r="G30" s="2"/>
      <c r="H30" s="2"/>
      <c r="I30" s="2"/>
      <c r="J30" s="2"/>
      <c r="K30" s="2"/>
      <c r="L30" s="2"/>
      <c r="M30" s="2"/>
      <c r="N30" s="2"/>
      <c r="O30" s="2"/>
      <c r="P30" s="2"/>
      <c r="Q30" s="2"/>
      <c r="R30" s="2"/>
    </row>
    <row r="31" spans="2:18">
      <c r="B31" s="2"/>
      <c r="C31" s="2"/>
      <c r="D31" s="2" t="s">
        <v>3018</v>
      </c>
      <c r="E31" s="2"/>
      <c r="F31" s="2"/>
      <c r="G31" s="2"/>
      <c r="H31" s="2"/>
      <c r="I31" s="2"/>
      <c r="J31" s="2"/>
      <c r="K31" s="2"/>
      <c r="L31" s="2"/>
      <c r="M31" s="2"/>
      <c r="N31" s="2"/>
      <c r="O31" s="2"/>
      <c r="P31" s="2"/>
      <c r="Q31" s="2"/>
      <c r="R31" s="2"/>
    </row>
    <row r="32" spans="2:18">
      <c r="B32" s="2"/>
      <c r="C32" s="2"/>
      <c r="D32" s="2" t="s">
        <v>3019</v>
      </c>
      <c r="E32" s="2"/>
      <c r="F32" s="2"/>
      <c r="G32" s="2"/>
      <c r="H32" s="2"/>
      <c r="I32" s="2"/>
      <c r="J32" s="2"/>
      <c r="K32" s="2"/>
      <c r="L32" s="2"/>
      <c r="M32" s="2"/>
      <c r="N32" s="2"/>
      <c r="O32" s="2"/>
      <c r="P32" s="2"/>
      <c r="Q32" s="2"/>
      <c r="R32" s="2"/>
    </row>
    <row r="33" spans="2:18">
      <c r="B33" s="2"/>
      <c r="C33" s="2" t="s">
        <v>3020</v>
      </c>
      <c r="D33" s="2"/>
      <c r="E33" s="2"/>
      <c r="F33" s="2"/>
      <c r="G33" s="2"/>
      <c r="H33" s="2"/>
      <c r="I33" s="2"/>
      <c r="J33" s="2"/>
      <c r="K33" s="2"/>
      <c r="L33" s="2"/>
      <c r="M33" s="2"/>
      <c r="N33" s="2"/>
      <c r="O33" s="2"/>
      <c r="P33" s="2"/>
      <c r="Q33" s="2"/>
      <c r="R33" s="2"/>
    </row>
    <row r="34" spans="2:18">
      <c r="B34" s="2" t="s">
        <v>3021</v>
      </c>
      <c r="C34" s="2"/>
      <c r="D34" s="2"/>
      <c r="E34" s="2"/>
      <c r="F34" s="2"/>
      <c r="G34" s="2"/>
      <c r="H34" s="2"/>
      <c r="I34" s="2"/>
      <c r="J34" s="2"/>
      <c r="K34" s="2"/>
      <c r="L34" s="2"/>
      <c r="M34" s="2"/>
      <c r="N34" s="2"/>
      <c r="O34" s="2"/>
      <c r="P34" s="2"/>
      <c r="Q34" s="2"/>
      <c r="R34" s="2"/>
    </row>
    <row r="35" spans="2:18">
      <c r="B35" s="2"/>
      <c r="C35" s="2" t="s">
        <v>3022</v>
      </c>
      <c r="D35" s="2"/>
      <c r="E35" s="2"/>
      <c r="F35" s="2"/>
      <c r="G35" s="2"/>
      <c r="H35" s="2"/>
      <c r="I35" s="2"/>
      <c r="J35" s="2"/>
      <c r="K35" s="2"/>
      <c r="L35" s="2"/>
      <c r="M35" s="2"/>
      <c r="N35" s="2"/>
      <c r="O35" s="2"/>
      <c r="P35" s="2"/>
      <c r="Q35" s="2"/>
      <c r="R35" s="2"/>
    </row>
    <row r="36" spans="2:18">
      <c r="B36" s="2"/>
      <c r="C36" s="2" t="s">
        <v>3023</v>
      </c>
      <c r="D36" s="2"/>
      <c r="E36" s="2"/>
      <c r="F36" s="2"/>
      <c r="G36" s="2"/>
      <c r="H36" s="2"/>
      <c r="I36" s="2"/>
      <c r="J36" s="2"/>
      <c r="K36" s="2"/>
      <c r="L36" s="2"/>
      <c r="M36" s="2"/>
      <c r="N36" s="2"/>
      <c r="O36" s="2"/>
      <c r="P36" s="2"/>
      <c r="Q36" s="2"/>
      <c r="R36" s="2"/>
    </row>
    <row r="37" spans="2:18">
      <c r="B37" s="2"/>
      <c r="C37" s="2" t="s">
        <v>3024</v>
      </c>
      <c r="D37" s="2"/>
      <c r="E37" s="2"/>
      <c r="F37" s="2"/>
      <c r="G37" s="2"/>
      <c r="H37" s="2"/>
      <c r="I37" s="2"/>
      <c r="J37" s="2"/>
      <c r="K37" s="2"/>
      <c r="L37" s="2"/>
      <c r="M37" s="2"/>
      <c r="N37" s="2"/>
      <c r="O37" s="2"/>
      <c r="P37" s="2"/>
      <c r="Q37" s="2"/>
      <c r="R37" s="2"/>
    </row>
    <row r="38" spans="2:18">
      <c r="B38" s="2"/>
      <c r="C38" s="2" t="s">
        <v>3025</v>
      </c>
      <c r="D38" s="2"/>
      <c r="E38" s="2"/>
      <c r="F38" s="2"/>
      <c r="G38" s="2"/>
      <c r="H38" s="2"/>
      <c r="I38" s="2"/>
      <c r="J38" s="2"/>
      <c r="K38" s="2"/>
      <c r="L38" s="2"/>
      <c r="M38" s="2"/>
      <c r="N38" s="2"/>
      <c r="O38" s="2"/>
      <c r="P38" s="2"/>
      <c r="Q38" s="2"/>
      <c r="R38" s="2"/>
    </row>
    <row r="39" spans="2:18">
      <c r="B39" s="2"/>
      <c r="C39" s="2" t="s">
        <v>3026</v>
      </c>
      <c r="D39" s="2"/>
      <c r="E39" s="2"/>
      <c r="F39" s="2"/>
      <c r="G39" s="2"/>
      <c r="H39" s="2"/>
      <c r="I39" s="2"/>
      <c r="J39" s="2"/>
      <c r="K39" s="2"/>
      <c r="L39" s="2"/>
      <c r="M39" s="2"/>
      <c r="N39" s="2"/>
      <c r="O39" s="2"/>
      <c r="P39" s="2"/>
      <c r="Q39" s="2"/>
      <c r="R39" s="2"/>
    </row>
    <row r="40" spans="2:18">
      <c r="B40" s="2"/>
      <c r="C40" s="2" t="s">
        <v>3027</v>
      </c>
      <c r="D40" s="2"/>
      <c r="E40" s="2"/>
      <c r="F40" s="2"/>
      <c r="G40" s="2"/>
      <c r="H40" s="2"/>
      <c r="I40" s="2"/>
      <c r="J40" s="2"/>
      <c r="K40" s="2"/>
      <c r="L40" s="2"/>
      <c r="M40" s="2"/>
      <c r="N40" s="2"/>
      <c r="O40" s="2"/>
      <c r="P40" s="2"/>
      <c r="Q40" s="2"/>
      <c r="R40" s="2"/>
    </row>
    <row r="41" spans="2:18">
      <c r="B41" s="2" t="s">
        <v>3028</v>
      </c>
      <c r="C41" s="2"/>
      <c r="D41" s="2"/>
      <c r="E41" s="2"/>
      <c r="F41" s="2"/>
      <c r="G41" s="2"/>
      <c r="H41" s="2"/>
      <c r="I41" s="2"/>
      <c r="J41" s="2"/>
      <c r="K41" s="2"/>
      <c r="L41" s="2"/>
      <c r="M41" s="2"/>
      <c r="N41" s="2"/>
      <c r="O41" s="2"/>
      <c r="P41" s="2"/>
      <c r="Q41" s="2"/>
      <c r="R41" s="2"/>
    </row>
    <row r="42" spans="2:18">
      <c r="B42" s="2"/>
      <c r="C42" s="2" t="s">
        <v>3029</v>
      </c>
      <c r="D42" s="2"/>
      <c r="E42" s="2"/>
      <c r="F42" s="2"/>
      <c r="G42" s="2"/>
      <c r="H42" s="2"/>
      <c r="I42" s="2"/>
      <c r="J42" s="2"/>
      <c r="K42" s="2"/>
      <c r="L42" s="2"/>
      <c r="M42" s="2"/>
      <c r="N42" s="2"/>
      <c r="O42" s="2"/>
      <c r="P42" s="2"/>
      <c r="Q42" s="2"/>
      <c r="R42" s="2"/>
    </row>
    <row r="43" spans="2:18">
      <c r="B43" s="2"/>
      <c r="C43" s="2"/>
      <c r="D43" s="2" t="s">
        <v>3030</v>
      </c>
      <c r="E43" s="2"/>
      <c r="F43" s="2"/>
      <c r="G43" s="2"/>
      <c r="H43" s="2"/>
      <c r="I43" s="2"/>
      <c r="J43" s="2"/>
      <c r="K43" s="2"/>
      <c r="L43" s="2"/>
      <c r="M43" s="2"/>
      <c r="N43" s="2"/>
      <c r="O43" s="2"/>
      <c r="P43" s="2"/>
      <c r="Q43" s="2"/>
      <c r="R43" s="2"/>
    </row>
    <row r="44" spans="2:18">
      <c r="B44" s="2"/>
      <c r="C44" s="2" t="s">
        <v>3031</v>
      </c>
      <c r="D44" s="2"/>
      <c r="E44" s="2"/>
      <c r="F44" s="2"/>
      <c r="G44" s="2"/>
      <c r="H44" s="2"/>
      <c r="I44" s="2"/>
      <c r="J44" s="2"/>
      <c r="K44" s="2"/>
      <c r="L44" s="2"/>
      <c r="M44" s="2"/>
      <c r="N44" s="2"/>
      <c r="O44" s="2"/>
      <c r="P44" s="2"/>
      <c r="Q44" s="2"/>
      <c r="R44" s="2"/>
    </row>
    <row r="45" spans="2:18">
      <c r="B45" s="2"/>
      <c r="C45" s="2" t="s">
        <v>3032</v>
      </c>
      <c r="D45" s="2"/>
      <c r="E45" s="2"/>
      <c r="F45" s="2"/>
      <c r="G45" s="2"/>
      <c r="H45" s="2"/>
      <c r="I45" s="2"/>
      <c r="J45" s="2"/>
      <c r="K45" s="2"/>
      <c r="L45" s="2"/>
      <c r="M45" s="2"/>
      <c r="N45" s="2"/>
      <c r="O45" s="2"/>
      <c r="P45" s="2"/>
      <c r="Q45" s="2"/>
      <c r="R45" s="2"/>
    </row>
    <row r="46" spans="2:18">
      <c r="B46" s="2"/>
      <c r="C46" s="2" t="s">
        <v>3033</v>
      </c>
      <c r="D46" s="2"/>
      <c r="E46" s="2"/>
      <c r="F46" s="2"/>
      <c r="G46" s="2"/>
      <c r="H46" s="2"/>
      <c r="I46" s="2"/>
      <c r="J46" s="2"/>
      <c r="K46" s="2"/>
      <c r="L46" s="2"/>
      <c r="M46" s="2"/>
      <c r="N46" s="2"/>
      <c r="O46" s="2"/>
      <c r="P46" s="2"/>
      <c r="Q46" s="2"/>
      <c r="R46" s="2"/>
    </row>
    <row r="47" spans="2:18">
      <c r="B47" s="2" t="s">
        <v>3034</v>
      </c>
      <c r="C47" s="2"/>
      <c r="D47" s="2"/>
      <c r="E47" s="2"/>
      <c r="F47" s="2"/>
      <c r="G47" s="2"/>
      <c r="H47" s="2"/>
      <c r="I47" s="2"/>
      <c r="J47" s="2"/>
      <c r="K47" s="2"/>
      <c r="L47" s="2"/>
      <c r="M47" s="2"/>
      <c r="N47" s="2"/>
      <c r="O47" s="2"/>
      <c r="P47" s="2"/>
      <c r="Q47" s="2"/>
      <c r="R47" s="2"/>
    </row>
    <row r="48" spans="2:18">
      <c r="B48" s="2"/>
      <c r="C48" s="2" t="s">
        <v>3035</v>
      </c>
      <c r="D48" s="2"/>
      <c r="E48" s="2"/>
      <c r="F48" s="2"/>
      <c r="G48" s="2"/>
      <c r="H48" s="2"/>
      <c r="I48" s="2"/>
      <c r="J48" s="2"/>
      <c r="K48" s="2"/>
      <c r="L48" s="2"/>
      <c r="M48" s="2"/>
      <c r="N48" s="2"/>
      <c r="O48" s="2"/>
      <c r="P48" s="2"/>
      <c r="Q48" s="2"/>
      <c r="R48" s="2"/>
    </row>
    <row r="49" spans="2:18">
      <c r="B49" s="2" t="s">
        <v>3036</v>
      </c>
      <c r="C49" s="2"/>
      <c r="D49" s="2"/>
      <c r="E49" s="2"/>
      <c r="F49" s="2"/>
      <c r="G49" s="2"/>
      <c r="H49" s="2"/>
      <c r="I49" s="2"/>
      <c r="J49" s="2"/>
      <c r="K49" s="2"/>
      <c r="L49" s="2"/>
      <c r="M49" s="2"/>
      <c r="N49" s="2"/>
      <c r="O49" s="2"/>
      <c r="P49" s="2"/>
      <c r="Q49" s="2"/>
      <c r="R49" s="2"/>
    </row>
    <row r="50" spans="2:18">
      <c r="B50" s="2"/>
      <c r="C50" s="2" t="s">
        <v>3037</v>
      </c>
      <c r="D50" s="2"/>
      <c r="E50" s="2"/>
      <c r="F50" s="2"/>
      <c r="G50" s="2"/>
      <c r="H50" s="2"/>
      <c r="I50" s="2"/>
      <c r="J50" s="2"/>
      <c r="K50" s="2"/>
      <c r="L50" s="2"/>
      <c r="M50" s="2"/>
      <c r="N50" s="2"/>
      <c r="O50" s="2"/>
      <c r="P50" s="2"/>
      <c r="Q50" s="2"/>
      <c r="R50" s="2"/>
    </row>
    <row r="51" spans="2:18">
      <c r="B51" s="2"/>
      <c r="C51" s="2" t="s">
        <v>3038</v>
      </c>
      <c r="D51" s="2"/>
      <c r="E51" s="2"/>
      <c r="F51" s="2"/>
      <c r="G51" s="2"/>
      <c r="H51" s="2"/>
      <c r="I51" s="2"/>
      <c r="J51" s="2"/>
      <c r="K51" s="2"/>
      <c r="L51" s="2"/>
      <c r="M51" s="2"/>
      <c r="N51" s="2"/>
      <c r="O51" s="2"/>
      <c r="P51" s="2"/>
      <c r="Q51" s="2"/>
      <c r="R51" s="2"/>
    </row>
    <row r="52" spans="2:18">
      <c r="B52" s="2"/>
      <c r="C52" s="2"/>
      <c r="D52" s="2" t="s">
        <v>3039</v>
      </c>
      <c r="E52" s="2"/>
      <c r="F52" s="2"/>
      <c r="G52" s="2"/>
      <c r="H52" s="2"/>
      <c r="I52" s="2"/>
      <c r="J52" s="2"/>
      <c r="K52" s="2"/>
      <c r="L52" s="2"/>
      <c r="M52" s="2"/>
      <c r="N52" s="2"/>
      <c r="O52" s="2"/>
      <c r="P52" s="2"/>
      <c r="Q52" s="2"/>
      <c r="R52" s="2"/>
    </row>
    <row r="53" spans="2:18">
      <c r="B53" s="2"/>
      <c r="C53" s="2"/>
      <c r="D53" s="2" t="s">
        <v>3040</v>
      </c>
      <c r="E53" s="2"/>
      <c r="F53" s="2"/>
      <c r="G53" s="2"/>
      <c r="H53" s="2"/>
      <c r="I53" s="2"/>
      <c r="J53" s="2"/>
      <c r="K53" s="2"/>
      <c r="L53" s="2"/>
      <c r="M53" s="2"/>
      <c r="N53" s="2"/>
      <c r="O53" s="2"/>
      <c r="P53" s="2"/>
      <c r="Q53" s="2"/>
      <c r="R53" s="2"/>
    </row>
    <row r="54" spans="2:18">
      <c r="B54" s="2"/>
      <c r="C54" s="2"/>
      <c r="D54" s="2" t="s">
        <v>3041</v>
      </c>
      <c r="E54" s="2"/>
      <c r="F54" s="2"/>
      <c r="G54" s="2"/>
      <c r="H54" s="2"/>
      <c r="I54" s="2"/>
      <c r="J54" s="2"/>
      <c r="K54" s="2"/>
      <c r="L54" s="2"/>
      <c r="M54" s="2"/>
      <c r="N54" s="2"/>
      <c r="O54" s="2"/>
      <c r="P54" s="2"/>
      <c r="Q54" s="2"/>
      <c r="R54" s="2"/>
    </row>
    <row r="55" spans="2:18">
      <c r="B55" s="2" t="s">
        <v>3042</v>
      </c>
      <c r="C55" s="2"/>
      <c r="D55" s="2"/>
      <c r="E55" s="2"/>
      <c r="F55" s="2"/>
      <c r="G55" s="2"/>
      <c r="H55" s="2"/>
      <c r="I55" s="2"/>
      <c r="J55" s="2"/>
      <c r="K55" s="2"/>
      <c r="L55" s="2"/>
      <c r="M55" s="2"/>
      <c r="N55" s="2"/>
      <c r="O55" s="2"/>
      <c r="P55" s="2"/>
      <c r="Q55" s="2"/>
      <c r="R55" s="2"/>
    </row>
    <row r="56" spans="2:18">
      <c r="B56" s="2"/>
      <c r="C56" s="2" t="s">
        <v>3043</v>
      </c>
      <c r="D56" s="2"/>
      <c r="E56" s="2"/>
      <c r="F56" s="2"/>
      <c r="G56" s="2"/>
      <c r="H56" s="2"/>
      <c r="I56" s="2"/>
      <c r="J56" s="2"/>
      <c r="K56" s="2"/>
      <c r="L56" s="2"/>
      <c r="M56" s="2"/>
      <c r="N56" s="2"/>
      <c r="O56" s="2"/>
      <c r="P56" s="2"/>
      <c r="Q56" s="2"/>
      <c r="R56" s="2"/>
    </row>
    <row r="57" spans="2:18">
      <c r="B57" s="2"/>
      <c r="C57" s="2" t="s">
        <v>3044</v>
      </c>
      <c r="D57" s="2"/>
      <c r="E57" s="2"/>
      <c r="F57" s="2"/>
      <c r="G57" s="2"/>
      <c r="H57" s="2"/>
      <c r="I57" s="2"/>
      <c r="J57" s="2"/>
      <c r="K57" s="2"/>
      <c r="L57" s="2"/>
      <c r="M57" s="2"/>
      <c r="N57" s="2"/>
      <c r="O57" s="2"/>
      <c r="P57" s="2"/>
      <c r="Q57" s="2"/>
      <c r="R57" s="2"/>
    </row>
    <row r="58" spans="2:18">
      <c r="B58" s="2"/>
      <c r="C58" s="2" t="s">
        <v>3045</v>
      </c>
      <c r="D58" s="2"/>
      <c r="E58" s="2"/>
      <c r="F58" s="2"/>
      <c r="G58" s="2"/>
      <c r="H58" s="2"/>
      <c r="I58" s="2"/>
      <c r="J58" s="2"/>
      <c r="K58" s="2"/>
      <c r="L58" s="2"/>
      <c r="M58" s="2"/>
      <c r="N58" s="2"/>
      <c r="O58" s="2"/>
      <c r="P58" s="2"/>
      <c r="Q58" s="2"/>
      <c r="R58" s="2"/>
    </row>
    <row r="59" spans="2:18">
      <c r="B59" s="2"/>
      <c r="C59" s="2" t="s">
        <v>3046</v>
      </c>
      <c r="D59" s="2"/>
      <c r="E59" s="2"/>
      <c r="F59" s="2"/>
      <c r="G59" s="2"/>
      <c r="H59" s="2"/>
      <c r="I59" s="2"/>
      <c r="J59" s="2"/>
      <c r="K59" s="2"/>
      <c r="L59" s="2"/>
      <c r="M59" s="2"/>
      <c r="N59" s="2"/>
      <c r="O59" s="2"/>
      <c r="P59" s="2"/>
      <c r="Q59" s="2"/>
      <c r="R59" s="2"/>
    </row>
    <row r="60" spans="2:18">
      <c r="B60" s="2" t="s">
        <v>3047</v>
      </c>
      <c r="C60" s="2"/>
      <c r="D60" s="2"/>
      <c r="E60" s="2"/>
      <c r="F60" s="2"/>
      <c r="G60" s="2"/>
      <c r="H60" s="2"/>
      <c r="I60" s="2"/>
      <c r="J60" s="2"/>
      <c r="K60" s="2"/>
      <c r="L60" s="2"/>
      <c r="M60" s="2"/>
      <c r="N60" s="2"/>
      <c r="O60" s="2"/>
      <c r="P60" s="2"/>
      <c r="Q60" s="2"/>
      <c r="R60" s="2"/>
    </row>
    <row r="61" spans="2:18">
      <c r="B61" s="2"/>
      <c r="C61" s="2" t="s">
        <v>3048</v>
      </c>
      <c r="D61" s="2"/>
      <c r="E61" s="2"/>
      <c r="F61" s="2"/>
      <c r="G61" s="2"/>
      <c r="H61" s="2"/>
      <c r="I61" s="2"/>
      <c r="J61" s="2"/>
      <c r="K61" s="2"/>
      <c r="L61" s="2"/>
      <c r="M61" s="2"/>
      <c r="N61" s="2"/>
      <c r="O61" s="2"/>
      <c r="P61" s="2"/>
      <c r="Q61" s="2"/>
      <c r="R61" s="2"/>
    </row>
    <row r="62" spans="2:18">
      <c r="B62" s="2"/>
      <c r="C62" s="2" t="s">
        <v>3049</v>
      </c>
      <c r="D62" s="2"/>
      <c r="E62" s="2"/>
      <c r="F62" s="2"/>
      <c r="G62" s="2"/>
      <c r="H62" s="2"/>
      <c r="I62" s="2"/>
      <c r="J62" s="2"/>
      <c r="K62" s="2"/>
      <c r="L62" s="2"/>
      <c r="M62" s="2"/>
      <c r="N62" s="2"/>
      <c r="O62" s="2"/>
      <c r="P62" s="2"/>
      <c r="Q62" s="2"/>
      <c r="R62" s="2"/>
    </row>
    <row r="63" spans="2:18">
      <c r="B63" s="2"/>
      <c r="C63" s="2"/>
      <c r="D63" s="2" t="s">
        <v>3050</v>
      </c>
      <c r="E63" s="2"/>
      <c r="F63" s="2"/>
      <c r="G63" s="2"/>
      <c r="H63" s="2"/>
      <c r="I63" s="2"/>
      <c r="J63" s="2"/>
      <c r="K63" s="2"/>
      <c r="L63" s="2"/>
      <c r="M63" s="2"/>
      <c r="N63" s="2"/>
      <c r="O63" s="2"/>
      <c r="P63" s="2"/>
      <c r="Q63" s="2"/>
      <c r="R63" s="2"/>
    </row>
    <row r="64" spans="2:18">
      <c r="B64" s="2"/>
      <c r="C64" s="2"/>
      <c r="D64" s="2" t="s">
        <v>3051</v>
      </c>
      <c r="E64" s="2"/>
      <c r="F64" s="2"/>
      <c r="G64" s="2"/>
      <c r="H64" s="2"/>
      <c r="I64" s="2"/>
      <c r="J64" s="2"/>
      <c r="K64" s="2"/>
      <c r="L64" s="2"/>
      <c r="M64" s="2"/>
      <c r="N64" s="2"/>
      <c r="O64" s="2"/>
      <c r="P64" s="2"/>
      <c r="Q64" s="2"/>
      <c r="R64" s="2"/>
    </row>
    <row r="65" spans="2:18">
      <c r="B65" s="2"/>
      <c r="C65" s="2"/>
      <c r="D65" s="2" t="s">
        <v>3052</v>
      </c>
      <c r="E65" s="2"/>
      <c r="F65" s="2"/>
      <c r="G65" s="2"/>
      <c r="H65" s="2"/>
      <c r="I65" s="2"/>
      <c r="J65" s="2"/>
      <c r="K65" s="2"/>
      <c r="L65" s="2"/>
      <c r="M65" s="2"/>
      <c r="N65" s="2"/>
      <c r="O65" s="2"/>
      <c r="P65" s="2"/>
      <c r="Q65" s="2"/>
      <c r="R65" s="2"/>
    </row>
    <row r="66" spans="2:18">
      <c r="B66" s="2"/>
      <c r="C66" s="2" t="s">
        <v>3053</v>
      </c>
      <c r="D66" s="2"/>
      <c r="E66" s="2"/>
      <c r="F66" s="2"/>
      <c r="G66" s="2"/>
      <c r="H66" s="2"/>
      <c r="I66" s="2"/>
      <c r="J66" s="2"/>
      <c r="K66" s="2"/>
      <c r="L66" s="2"/>
      <c r="M66" s="2"/>
      <c r="N66" s="2"/>
      <c r="O66" s="2"/>
      <c r="P66" s="2"/>
      <c r="Q66" s="2"/>
      <c r="R66" s="2"/>
    </row>
    <row r="67" spans="2:18">
      <c r="B67" s="2"/>
      <c r="C67" s="2" t="s">
        <v>3054</v>
      </c>
      <c r="D67" s="2"/>
      <c r="E67" s="2"/>
      <c r="F67" s="2"/>
      <c r="G67" s="2"/>
      <c r="H67" s="2"/>
      <c r="I67" s="2"/>
      <c r="J67" s="2"/>
      <c r="K67" s="2"/>
      <c r="L67" s="2"/>
      <c r="M67" s="2"/>
      <c r="N67" s="2"/>
      <c r="O67" s="2"/>
      <c r="P67" s="2"/>
      <c r="Q67" s="2"/>
      <c r="R67" s="2"/>
    </row>
  </sheetData>
  <pageMargins left="0.75" right="0.75" top="1" bottom="1" header="0.5" footer="0.5"/>
  <pageSetup paperSize="9" orientation="portrait"/>
  <headerFooter/>
</worksheet>
</file>

<file path=xl/worksheets/sheet2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P177"/>
  <sheetViews>
    <sheetView topLeftCell="A126" workbookViewId="0">
      <selection activeCell="D127" sqref="D127"/>
    </sheetView>
  </sheetViews>
  <sheetFormatPr defaultColWidth="8.88888888888889" defaultRowHeight="14.4"/>
  <cols>
    <col min="1" max="1" width="9.66666666666667"/>
  </cols>
  <sheetData>
    <row r="1" spans="1:16">
      <c r="A1" s="1">
        <f>SUM(B1:AZ1)</f>
        <v>53.9666666666667</v>
      </c>
      <c r="B1" s="1">
        <f>COUNTA(B2:B2116)/COLUMN()</f>
        <v>13.5</v>
      </c>
      <c r="C1" s="1">
        <f>COUNTA(C2:C2116)/COLUMN()</f>
        <v>20</v>
      </c>
      <c r="D1" s="1">
        <f>COUNTA(D2:D2116)/COLUMN()</f>
        <v>16</v>
      </c>
      <c r="E1" s="1">
        <f>COUNTA(E2:E2116)/COLUMN()</f>
        <v>1.8</v>
      </c>
      <c r="F1" s="1">
        <f>COUNTA(F2:F2116)/COLUMN()</f>
        <v>2.66666666666667</v>
      </c>
      <c r="G1" s="1">
        <f>COUNTA(G2:G2116)/COLUMN()</f>
        <v>0</v>
      </c>
      <c r="H1" s="1">
        <f>COUNTA(H2:H2116)/COLUMN()</f>
        <v>0</v>
      </c>
    </row>
    <row r="2" spans="1:16">
      <c r="A2" t="str" cm="1">
        <f ca="1" t="array" ref="A2">_wpsfn.SHEETSNAME(A1)</f>
        <v>20251118</v>
      </c>
      <c r="B2" s="2" t="s">
        <v>3055</v>
      </c>
      <c r="C2" s="2"/>
      <c r="D2" s="2"/>
      <c r="E2" s="2"/>
      <c r="F2" s="2"/>
      <c r="G2" s="2"/>
      <c r="H2" s="2"/>
      <c r="I2" s="2"/>
      <c r="J2" s="2"/>
      <c r="K2" s="2"/>
      <c r="L2" s="2"/>
      <c r="M2" s="2"/>
      <c r="N2" s="2"/>
      <c r="O2" s="2"/>
      <c r="P2" s="2"/>
    </row>
    <row r="3" spans="1:16">
      <c r="B3" s="2"/>
      <c r="C3" s="2" t="s">
        <v>3056</v>
      </c>
      <c r="D3" s="2"/>
      <c r="E3" s="2"/>
      <c r="F3" s="2"/>
      <c r="G3" s="2"/>
      <c r="H3" s="2"/>
      <c r="I3" s="2"/>
      <c r="J3" s="2"/>
      <c r="K3" s="2"/>
      <c r="L3" s="2"/>
      <c r="M3" s="2"/>
      <c r="N3" s="2"/>
      <c r="O3" s="2"/>
      <c r="P3" s="2"/>
    </row>
    <row r="4" spans="1:16">
      <c r="B4" s="2" t="s">
        <v>3057</v>
      </c>
      <c r="C4" s="2"/>
      <c r="D4" s="2"/>
      <c r="E4" s="2"/>
      <c r="F4" s="2"/>
      <c r="G4" s="2"/>
      <c r="H4" s="2"/>
      <c r="I4" s="2"/>
      <c r="J4" s="2"/>
      <c r="K4" s="2"/>
      <c r="L4" s="2"/>
      <c r="M4" s="2"/>
      <c r="N4" s="2"/>
      <c r="O4" s="2"/>
      <c r="P4" s="2"/>
    </row>
    <row r="5" spans="1:16">
      <c r="B5" s="2"/>
      <c r="C5" s="2" t="s">
        <v>3058</v>
      </c>
      <c r="D5" s="2"/>
      <c r="E5" s="2"/>
      <c r="F5" s="2"/>
      <c r="G5" s="2"/>
      <c r="H5" s="2"/>
      <c r="I5" s="2"/>
      <c r="J5" s="2"/>
      <c r="K5" s="2"/>
      <c r="L5" s="2"/>
      <c r="M5" s="2"/>
      <c r="N5" s="2"/>
      <c r="O5" s="2"/>
      <c r="P5" s="2"/>
    </row>
    <row r="6" spans="1:16">
      <c r="B6" s="2"/>
      <c r="C6" s="2" t="s">
        <v>3059</v>
      </c>
      <c r="D6" s="2"/>
      <c r="E6" s="2"/>
      <c r="F6" s="2"/>
      <c r="G6" s="2"/>
      <c r="H6" s="2"/>
      <c r="I6" s="2"/>
      <c r="J6" s="2"/>
      <c r="K6" s="2"/>
      <c r="L6" s="2"/>
      <c r="M6" s="2"/>
      <c r="N6" s="2"/>
      <c r="O6" s="2"/>
      <c r="P6" s="2"/>
    </row>
    <row r="7" spans="1:16">
      <c r="B7" s="2"/>
      <c r="C7" s="2" t="s">
        <v>3060</v>
      </c>
      <c r="D7" s="2"/>
      <c r="E7" s="2"/>
      <c r="F7" s="2"/>
      <c r="G7" s="2"/>
      <c r="H7" s="2"/>
      <c r="I7" s="2"/>
      <c r="J7" s="2"/>
      <c r="K7" s="2"/>
      <c r="L7" s="2"/>
      <c r="M7" s="2"/>
      <c r="N7" s="2"/>
      <c r="O7" s="2"/>
      <c r="P7" s="2"/>
    </row>
    <row r="8" spans="1:16">
      <c r="B8" s="2" t="s">
        <v>3061</v>
      </c>
      <c r="C8" s="2"/>
      <c r="D8" s="2"/>
      <c r="E8" s="2"/>
      <c r="F8" s="2"/>
      <c r="G8" s="2"/>
      <c r="H8" s="2"/>
      <c r="I8" s="2"/>
      <c r="J8" s="2"/>
      <c r="K8" s="2"/>
      <c r="L8" s="2"/>
      <c r="M8" s="2"/>
      <c r="N8" s="2"/>
      <c r="O8" s="2"/>
      <c r="P8" s="2"/>
    </row>
    <row r="9" spans="1:16">
      <c r="B9" s="2"/>
      <c r="C9" s="2" t="s">
        <v>3062</v>
      </c>
      <c r="D9" s="2"/>
      <c r="E9" s="2"/>
      <c r="F9" s="2"/>
      <c r="G9" s="2"/>
      <c r="H9" s="2"/>
      <c r="I9" s="2"/>
      <c r="J9" s="2"/>
      <c r="K9" s="2"/>
      <c r="L9" s="2"/>
      <c r="M9" s="2"/>
      <c r="N9" s="2"/>
      <c r="O9" s="2"/>
      <c r="P9" s="2"/>
    </row>
    <row r="10" spans="1:16">
      <c r="B10" s="2"/>
      <c r="C10" s="2" t="s">
        <v>3063</v>
      </c>
      <c r="D10" s="2"/>
      <c r="E10" s="2"/>
      <c r="F10" s="2"/>
      <c r="G10" s="2"/>
      <c r="H10" s="2"/>
      <c r="I10" s="2"/>
      <c r="J10" s="2"/>
      <c r="K10" s="2"/>
      <c r="L10" s="2"/>
      <c r="M10" s="2"/>
      <c r="N10" s="2"/>
      <c r="O10" s="2"/>
      <c r="P10" s="2"/>
    </row>
    <row r="11" spans="1:16">
      <c r="B11" s="2"/>
      <c r="C11" s="2" t="s">
        <v>3064</v>
      </c>
      <c r="D11" s="2"/>
      <c r="E11" s="2"/>
      <c r="F11" s="2"/>
      <c r="G11" s="2"/>
      <c r="H11" s="2"/>
      <c r="I11" s="2"/>
      <c r="J11" s="2"/>
      <c r="K11" s="2"/>
      <c r="L11" s="2"/>
      <c r="M11" s="2"/>
      <c r="N11" s="2"/>
      <c r="O11" s="2"/>
      <c r="P11" s="2"/>
    </row>
    <row r="12" spans="1:16">
      <c r="B12" s="2"/>
      <c r="C12" s="2"/>
      <c r="D12" s="2" t="s">
        <v>3065</v>
      </c>
      <c r="E12" s="2"/>
      <c r="F12" s="2"/>
      <c r="G12" s="2"/>
      <c r="H12" s="2"/>
      <c r="I12" s="2"/>
      <c r="J12" s="2"/>
      <c r="K12" s="2"/>
      <c r="L12" s="2"/>
      <c r="M12" s="2"/>
      <c r="N12" s="2"/>
      <c r="O12" s="2"/>
      <c r="P12" s="2"/>
    </row>
    <row r="13" spans="1:16">
      <c r="B13" s="2"/>
      <c r="C13" s="2"/>
      <c r="D13" s="2" t="s">
        <v>3066</v>
      </c>
      <c r="E13" s="2"/>
      <c r="F13" s="2"/>
      <c r="G13" s="2"/>
      <c r="H13" s="2"/>
      <c r="I13" s="2"/>
      <c r="J13" s="2"/>
      <c r="K13" s="2"/>
      <c r="L13" s="2"/>
      <c r="M13" s="2"/>
      <c r="N13" s="2"/>
      <c r="O13" s="2"/>
      <c r="P13" s="2"/>
    </row>
    <row r="14" spans="1:16">
      <c r="B14" s="2"/>
      <c r="C14" s="2"/>
      <c r="D14" s="2" t="s">
        <v>3067</v>
      </c>
      <c r="E14" s="2"/>
      <c r="F14" s="2"/>
      <c r="G14" s="2"/>
      <c r="H14" s="2"/>
      <c r="I14" s="2"/>
      <c r="J14" s="2"/>
      <c r="K14" s="2"/>
      <c r="L14" s="2"/>
      <c r="M14" s="2"/>
      <c r="N14" s="2"/>
      <c r="O14" s="2"/>
      <c r="P14" s="2"/>
    </row>
    <row r="15" spans="1:16">
      <c r="B15" s="2"/>
      <c r="C15" s="2"/>
      <c r="D15" s="2" t="s">
        <v>3068</v>
      </c>
      <c r="E15" s="2"/>
      <c r="F15" s="2"/>
      <c r="G15" s="2"/>
      <c r="H15" s="2"/>
      <c r="I15" s="2"/>
      <c r="J15" s="2"/>
      <c r="K15" s="2"/>
      <c r="L15" s="2"/>
      <c r="M15" s="2"/>
      <c r="N15" s="2"/>
      <c r="O15" s="2"/>
      <c r="P15" s="2"/>
    </row>
    <row r="16" spans="1:16">
      <c r="B16" s="2"/>
      <c r="C16" s="2" t="s">
        <v>3069</v>
      </c>
      <c r="D16" s="2"/>
      <c r="E16" s="2"/>
      <c r="F16" s="2"/>
      <c r="G16" s="2"/>
      <c r="H16" s="2"/>
      <c r="I16" s="2"/>
      <c r="J16" s="2"/>
      <c r="K16" s="2"/>
      <c r="L16" s="2"/>
      <c r="M16" s="2"/>
      <c r="N16" s="2"/>
      <c r="O16" s="2"/>
      <c r="P16" s="2"/>
    </row>
    <row r="17" spans="2:16">
      <c r="B17" s="2" t="s">
        <v>3070</v>
      </c>
      <c r="C17" s="2"/>
      <c r="D17" s="2"/>
      <c r="E17" s="2"/>
      <c r="F17" s="2"/>
      <c r="G17" s="2"/>
      <c r="H17" s="2"/>
      <c r="I17" s="2"/>
      <c r="J17" s="2"/>
      <c r="K17" s="2"/>
      <c r="L17" s="2"/>
      <c r="M17" s="2"/>
      <c r="N17" s="2"/>
      <c r="O17" s="2"/>
      <c r="P17" s="2"/>
    </row>
    <row r="18" spans="2:16">
      <c r="B18" s="2"/>
      <c r="C18" s="2" t="s">
        <v>3071</v>
      </c>
      <c r="D18" s="2"/>
      <c r="E18" s="2"/>
      <c r="F18" s="2"/>
      <c r="G18" s="2"/>
      <c r="H18" s="2"/>
      <c r="I18" s="2"/>
      <c r="J18" s="2"/>
      <c r="K18" s="2"/>
      <c r="L18" s="2"/>
      <c r="M18" s="2"/>
      <c r="N18" s="2"/>
      <c r="O18" s="2"/>
      <c r="P18" s="2"/>
    </row>
    <row r="19" spans="2:16">
      <c r="B19" s="2" t="s">
        <v>3072</v>
      </c>
      <c r="C19" s="2"/>
      <c r="D19" s="2"/>
      <c r="E19" s="2"/>
      <c r="F19" s="2"/>
      <c r="G19" s="2"/>
      <c r="H19" s="2"/>
      <c r="I19" s="2"/>
      <c r="J19" s="2"/>
      <c r="K19" s="2"/>
      <c r="L19" s="2"/>
      <c r="M19" s="2"/>
      <c r="N19" s="2"/>
      <c r="O19" s="2"/>
      <c r="P19" s="2"/>
    </row>
    <row r="20" spans="2:16">
      <c r="B20" s="2" t="s">
        <v>3073</v>
      </c>
      <c r="C20" s="2"/>
      <c r="D20" s="2"/>
      <c r="E20" s="2"/>
      <c r="F20" s="2"/>
      <c r="G20" s="2"/>
      <c r="H20" s="2"/>
      <c r="I20" s="2"/>
      <c r="J20" s="2"/>
      <c r="K20" s="2"/>
      <c r="L20" s="2"/>
      <c r="M20" s="2"/>
      <c r="N20" s="2"/>
      <c r="O20" s="2"/>
      <c r="P20" s="2"/>
    </row>
    <row r="21" spans="2:16">
      <c r="B21" s="2" t="s">
        <v>3074</v>
      </c>
      <c r="C21" s="2"/>
      <c r="D21" s="2"/>
      <c r="E21" s="2"/>
      <c r="F21" s="2"/>
      <c r="G21" s="2"/>
      <c r="H21" s="2"/>
      <c r="I21" s="2"/>
      <c r="J21" s="2"/>
      <c r="K21" s="2"/>
      <c r="L21" s="2"/>
      <c r="M21" s="2"/>
      <c r="N21" s="2"/>
      <c r="O21" s="2"/>
      <c r="P21" s="2"/>
    </row>
    <row r="22" spans="2:16">
      <c r="B22" s="2"/>
      <c r="C22" s="2" t="s">
        <v>3075</v>
      </c>
      <c r="D22" s="2"/>
      <c r="E22" s="2"/>
      <c r="F22" s="2"/>
      <c r="G22" s="2"/>
      <c r="H22" s="2"/>
      <c r="I22" s="2"/>
      <c r="J22" s="2"/>
      <c r="K22" s="2"/>
      <c r="L22" s="2"/>
      <c r="M22" s="2"/>
      <c r="N22" s="2"/>
      <c r="O22" s="2"/>
      <c r="P22" s="2"/>
    </row>
    <row r="23" spans="2:16">
      <c r="B23" s="2" t="s">
        <v>3076</v>
      </c>
      <c r="C23" s="2"/>
      <c r="D23" s="2"/>
      <c r="E23" s="2"/>
      <c r="F23" s="2"/>
      <c r="G23" s="2"/>
      <c r="H23" s="2"/>
      <c r="I23" s="2"/>
      <c r="J23" s="2"/>
      <c r="K23" s="2"/>
      <c r="L23" s="2"/>
      <c r="M23" s="2"/>
      <c r="N23" s="2"/>
      <c r="O23" s="2"/>
      <c r="P23" s="2"/>
    </row>
    <row r="24" spans="2:16">
      <c r="B24" s="2"/>
      <c r="C24" s="2" t="s">
        <v>3077</v>
      </c>
      <c r="D24" s="2"/>
      <c r="E24" s="2"/>
      <c r="F24" s="2"/>
      <c r="G24" s="2"/>
      <c r="H24" s="2"/>
      <c r="I24" s="2"/>
      <c r="J24" s="2"/>
      <c r="K24" s="2"/>
      <c r="L24" s="2"/>
      <c r="M24" s="2"/>
      <c r="N24" s="2"/>
      <c r="O24" s="2"/>
      <c r="P24" s="2"/>
    </row>
    <row r="25" spans="2:16">
      <c r="B25" s="2"/>
      <c r="C25" s="2" t="s">
        <v>3078</v>
      </c>
      <c r="D25" s="2"/>
      <c r="E25" s="2"/>
      <c r="F25" s="2"/>
      <c r="G25" s="2"/>
      <c r="H25" s="2"/>
      <c r="I25" s="2"/>
      <c r="J25" s="2"/>
      <c r="K25" s="2"/>
      <c r="L25" s="2"/>
      <c r="M25" s="2"/>
      <c r="N25" s="2"/>
      <c r="O25" s="2"/>
      <c r="P25" s="2"/>
    </row>
    <row r="26" spans="2:16">
      <c r="B26" s="2"/>
      <c r="C26" s="2"/>
      <c r="D26" s="2" t="s">
        <v>3079</v>
      </c>
      <c r="E26" s="2"/>
      <c r="F26" s="2"/>
      <c r="G26" s="2"/>
      <c r="H26" s="2"/>
      <c r="I26" s="2"/>
      <c r="J26" s="2"/>
      <c r="K26" s="2"/>
      <c r="L26" s="2"/>
      <c r="M26" s="2"/>
      <c r="N26" s="2"/>
      <c r="O26" s="2"/>
      <c r="P26" s="2"/>
    </row>
    <row r="27" spans="2:16">
      <c r="B27" s="2"/>
      <c r="C27" s="2"/>
      <c r="D27" s="2" t="s">
        <v>3080</v>
      </c>
      <c r="E27" s="2"/>
      <c r="F27" s="2"/>
      <c r="G27" s="2"/>
      <c r="H27" s="2"/>
      <c r="I27" s="2"/>
      <c r="J27" s="2"/>
      <c r="K27" s="2"/>
      <c r="L27" s="2"/>
      <c r="M27" s="2"/>
      <c r="N27" s="2"/>
      <c r="O27" s="2"/>
      <c r="P27" s="2"/>
    </row>
    <row r="28" spans="2:16">
      <c r="B28" s="2"/>
      <c r="C28" s="2"/>
      <c r="D28" s="2" t="s">
        <v>3081</v>
      </c>
      <c r="E28" s="2"/>
      <c r="F28" s="2"/>
      <c r="G28" s="2"/>
      <c r="H28" s="2"/>
      <c r="I28" s="2"/>
      <c r="J28" s="2"/>
      <c r="K28" s="2"/>
      <c r="L28" s="2"/>
      <c r="M28" s="2"/>
      <c r="N28" s="2"/>
      <c r="O28" s="2"/>
      <c r="P28" s="2"/>
    </row>
    <row r="29" spans="2:16">
      <c r="B29" s="2"/>
      <c r="C29" s="2" t="s">
        <v>3082</v>
      </c>
      <c r="D29" s="2"/>
      <c r="E29" s="2"/>
      <c r="F29" s="2"/>
      <c r="G29" s="2"/>
      <c r="H29" s="2"/>
      <c r="I29" s="2"/>
      <c r="J29" s="2"/>
      <c r="K29" s="2"/>
      <c r="L29" s="2"/>
      <c r="M29" s="2"/>
      <c r="N29" s="2"/>
      <c r="O29" s="2"/>
      <c r="P29" s="2"/>
    </row>
    <row r="30" spans="2:16">
      <c r="B30" s="2"/>
      <c r="C30" s="2"/>
      <c r="D30" s="2" t="s">
        <v>3083</v>
      </c>
      <c r="E30" s="2"/>
      <c r="F30" s="2"/>
      <c r="G30" s="2"/>
      <c r="H30" s="2"/>
      <c r="I30" s="2"/>
      <c r="J30" s="2"/>
      <c r="K30" s="2"/>
      <c r="L30" s="2"/>
      <c r="M30" s="2"/>
      <c r="N30" s="2"/>
      <c r="O30" s="2"/>
      <c r="P30" s="2"/>
    </row>
    <row r="31" spans="2:16">
      <c r="B31" s="2"/>
      <c r="C31" s="2"/>
      <c r="D31" s="2" t="s">
        <v>3084</v>
      </c>
      <c r="E31" s="2"/>
      <c r="F31" s="2"/>
      <c r="G31" s="2"/>
      <c r="H31" s="2"/>
      <c r="I31" s="2"/>
      <c r="J31" s="2"/>
      <c r="K31" s="2"/>
      <c r="L31" s="2"/>
      <c r="M31" s="2"/>
      <c r="N31" s="2"/>
      <c r="O31" s="2"/>
      <c r="P31" s="2"/>
    </row>
    <row r="32" spans="2:16">
      <c r="B32" s="2"/>
      <c r="C32" s="2" t="s">
        <v>3085</v>
      </c>
      <c r="D32" s="2"/>
      <c r="E32" s="2"/>
      <c r="F32" s="2"/>
      <c r="G32" s="2"/>
      <c r="H32" s="2"/>
      <c r="I32" s="2"/>
      <c r="J32" s="2"/>
      <c r="K32" s="2"/>
      <c r="L32" s="2"/>
      <c r="M32" s="2"/>
      <c r="N32" s="2"/>
      <c r="O32" s="2"/>
      <c r="P32" s="2"/>
    </row>
    <row r="33" spans="2:16">
      <c r="B33" s="2"/>
      <c r="C33" s="2" t="s">
        <v>3086</v>
      </c>
      <c r="D33" s="2"/>
      <c r="E33" s="2"/>
      <c r="F33" s="2"/>
      <c r="G33" s="2"/>
      <c r="H33" s="2"/>
      <c r="I33" s="2"/>
      <c r="J33" s="2"/>
      <c r="K33" s="2"/>
      <c r="L33" s="2"/>
      <c r="M33" s="2"/>
      <c r="N33" s="2"/>
      <c r="O33" s="2"/>
      <c r="P33" s="2"/>
    </row>
    <row r="34" spans="2:16">
      <c r="B34" s="2"/>
      <c r="C34" s="2"/>
      <c r="D34" s="2" t="s">
        <v>3087</v>
      </c>
      <c r="E34" s="2"/>
      <c r="F34" s="2"/>
      <c r="G34" s="2"/>
      <c r="H34" s="2"/>
      <c r="I34" s="2"/>
      <c r="J34" s="2"/>
      <c r="K34" s="2"/>
      <c r="L34" s="2"/>
      <c r="M34" s="2"/>
      <c r="N34" s="2"/>
      <c r="O34" s="2"/>
      <c r="P34" s="2"/>
    </row>
    <row r="35" spans="2:16">
      <c r="B35" s="2"/>
      <c r="C35" s="2" t="s">
        <v>3088</v>
      </c>
      <c r="D35" s="2"/>
      <c r="E35" s="2"/>
      <c r="F35" s="2"/>
      <c r="G35" s="2"/>
      <c r="H35" s="2"/>
      <c r="I35" s="2"/>
      <c r="J35" s="2"/>
      <c r="K35" s="2"/>
      <c r="L35" s="2"/>
      <c r="M35" s="2"/>
      <c r="N35" s="2"/>
      <c r="O35" s="2"/>
      <c r="P35" s="2"/>
    </row>
    <row r="36" spans="2:16">
      <c r="B36" s="2"/>
      <c r="C36" s="2"/>
      <c r="D36" s="2" t="s">
        <v>3089</v>
      </c>
      <c r="E36" s="2"/>
      <c r="F36" s="2"/>
      <c r="G36" s="2"/>
      <c r="H36" s="2"/>
      <c r="I36" s="2"/>
      <c r="J36" s="2"/>
      <c r="K36" s="2"/>
      <c r="L36" s="2"/>
      <c r="M36" s="2"/>
      <c r="N36" s="2"/>
      <c r="O36" s="2"/>
      <c r="P36" s="2"/>
    </row>
    <row r="37" spans="2:16">
      <c r="B37" s="2"/>
      <c r="C37" s="2"/>
      <c r="D37" s="2" t="s">
        <v>3090</v>
      </c>
      <c r="E37" s="2"/>
      <c r="F37" s="2"/>
      <c r="G37" s="2"/>
      <c r="H37" s="2"/>
      <c r="I37" s="2"/>
      <c r="J37" s="2"/>
      <c r="K37" s="2"/>
      <c r="L37" s="2"/>
      <c r="M37" s="2"/>
      <c r="N37" s="2"/>
      <c r="O37" s="2"/>
      <c r="P37" s="2"/>
    </row>
    <row r="38" spans="2:16">
      <c r="B38" s="2"/>
      <c r="C38" s="2"/>
      <c r="D38" s="2" t="s">
        <v>3091</v>
      </c>
      <c r="E38" s="2"/>
      <c r="F38" s="2"/>
      <c r="G38" s="2"/>
      <c r="H38" s="2"/>
      <c r="I38" s="2"/>
      <c r="J38" s="2"/>
      <c r="K38" s="2"/>
      <c r="L38" s="2"/>
      <c r="M38" s="2"/>
      <c r="N38" s="2"/>
      <c r="O38" s="2"/>
      <c r="P38" s="2"/>
    </row>
    <row r="39" spans="2:16">
      <c r="B39" s="2"/>
      <c r="C39" s="2" t="s">
        <v>3092</v>
      </c>
      <c r="D39" s="2"/>
      <c r="E39" s="2"/>
      <c r="F39" s="2"/>
      <c r="G39" s="2"/>
      <c r="H39" s="2"/>
      <c r="I39" s="2"/>
      <c r="J39" s="2"/>
      <c r="K39" s="2"/>
      <c r="L39" s="2"/>
      <c r="M39" s="2"/>
      <c r="N39" s="2"/>
      <c r="O39" s="2"/>
      <c r="P39" s="2"/>
    </row>
    <row r="40" spans="2:16">
      <c r="B40" s="2"/>
      <c r="C40" s="2"/>
      <c r="D40" s="2" t="s">
        <v>3093</v>
      </c>
      <c r="E40" s="2"/>
      <c r="F40" s="2"/>
      <c r="G40" s="2"/>
      <c r="H40" s="2"/>
      <c r="I40" s="2"/>
      <c r="J40" s="2"/>
      <c r="K40" s="2"/>
      <c r="L40" s="2"/>
      <c r="M40" s="2"/>
      <c r="N40" s="2"/>
      <c r="O40" s="2"/>
      <c r="P40" s="2"/>
    </row>
    <row r="41" spans="2:16">
      <c r="B41" s="2"/>
      <c r="C41" s="2"/>
      <c r="D41" s="2" t="s">
        <v>3094</v>
      </c>
      <c r="E41" s="2"/>
      <c r="F41" s="2"/>
      <c r="G41" s="2"/>
      <c r="H41" s="2"/>
      <c r="I41" s="2"/>
      <c r="J41" s="2"/>
      <c r="K41" s="2"/>
      <c r="L41" s="2"/>
      <c r="M41" s="2"/>
      <c r="N41" s="2"/>
      <c r="O41" s="2"/>
      <c r="P41" s="2"/>
    </row>
    <row r="42" spans="2:16">
      <c r="B42" s="2"/>
      <c r="C42" s="2"/>
      <c r="D42" s="2" t="s">
        <v>3095</v>
      </c>
      <c r="E42" s="2"/>
      <c r="F42" s="2"/>
      <c r="G42" s="2"/>
      <c r="H42" s="2"/>
      <c r="I42" s="2"/>
      <c r="J42" s="2"/>
      <c r="K42" s="2"/>
      <c r="L42" s="2"/>
      <c r="M42" s="2"/>
      <c r="N42" s="2"/>
      <c r="O42" s="2"/>
      <c r="P42" s="2"/>
    </row>
    <row r="43" spans="2:16">
      <c r="B43" s="2"/>
      <c r="C43" s="2" t="s">
        <v>3096</v>
      </c>
      <c r="D43" s="2"/>
      <c r="E43" s="2"/>
      <c r="F43" s="2"/>
      <c r="G43" s="2"/>
      <c r="H43" s="2"/>
      <c r="I43" s="2"/>
      <c r="J43" s="2"/>
      <c r="K43" s="2"/>
      <c r="L43" s="2"/>
      <c r="M43" s="2"/>
      <c r="N43" s="2"/>
      <c r="O43" s="2"/>
      <c r="P43" s="2"/>
    </row>
    <row r="44" spans="2:16">
      <c r="B44" s="2"/>
      <c r="C44" s="2"/>
      <c r="D44" s="2" t="s">
        <v>3097</v>
      </c>
      <c r="E44" s="2"/>
      <c r="F44" s="2"/>
      <c r="G44" s="2"/>
      <c r="H44" s="2"/>
      <c r="I44" s="2"/>
      <c r="J44" s="2"/>
      <c r="K44" s="2"/>
      <c r="L44" s="2"/>
      <c r="M44" s="2"/>
      <c r="N44" s="2"/>
      <c r="O44" s="2"/>
      <c r="P44" s="2"/>
    </row>
    <row r="45" spans="2:16">
      <c r="B45" s="2"/>
      <c r="C45" s="2"/>
      <c r="D45" s="2" t="s">
        <v>3098</v>
      </c>
      <c r="E45" s="2"/>
      <c r="F45" s="2"/>
      <c r="G45" s="2"/>
      <c r="H45" s="2"/>
      <c r="I45" s="2"/>
      <c r="J45" s="2"/>
      <c r="K45" s="2"/>
      <c r="L45" s="2"/>
      <c r="M45" s="2"/>
      <c r="N45" s="2"/>
      <c r="O45" s="2"/>
      <c r="P45" s="2"/>
    </row>
    <row r="46" spans="2:16">
      <c r="B46" s="2"/>
      <c r="C46" s="2"/>
      <c r="D46" s="2" t="s">
        <v>3099</v>
      </c>
      <c r="E46" s="2"/>
      <c r="F46" s="2"/>
      <c r="G46" s="2"/>
      <c r="H46" s="2"/>
      <c r="I46" s="2"/>
      <c r="J46" s="2"/>
      <c r="K46" s="2"/>
      <c r="L46" s="2"/>
      <c r="M46" s="2"/>
      <c r="N46" s="2"/>
      <c r="O46" s="2"/>
      <c r="P46" s="2"/>
    </row>
    <row r="47" spans="2:16">
      <c r="B47" s="2"/>
      <c r="C47" s="2"/>
      <c r="D47" s="2" t="s">
        <v>3100</v>
      </c>
      <c r="E47" s="2"/>
      <c r="F47" s="2"/>
      <c r="G47" s="2"/>
      <c r="H47" s="2"/>
      <c r="I47" s="2"/>
      <c r="J47" s="2"/>
      <c r="K47" s="2"/>
      <c r="L47" s="2"/>
      <c r="M47" s="2"/>
      <c r="N47" s="2"/>
      <c r="O47" s="2"/>
      <c r="P47" s="2"/>
    </row>
    <row r="48" spans="2:16">
      <c r="B48" s="2"/>
      <c r="C48" s="2" t="s">
        <v>3101</v>
      </c>
      <c r="D48" s="2"/>
      <c r="E48" s="2"/>
      <c r="F48" s="2"/>
      <c r="G48" s="2"/>
      <c r="H48" s="2"/>
      <c r="I48" s="2"/>
      <c r="J48" s="2"/>
      <c r="K48" s="2"/>
      <c r="L48" s="2"/>
      <c r="M48" s="2"/>
      <c r="N48" s="2"/>
      <c r="O48" s="2"/>
      <c r="P48" s="2"/>
    </row>
    <row r="49" spans="2:16">
      <c r="B49" s="2"/>
      <c r="C49" s="2"/>
      <c r="D49" s="2" t="s">
        <v>3102</v>
      </c>
      <c r="E49" s="2"/>
      <c r="F49" s="2"/>
      <c r="G49" s="2"/>
      <c r="H49" s="2"/>
      <c r="I49" s="2"/>
      <c r="J49" s="2"/>
      <c r="K49" s="2"/>
      <c r="L49" s="2"/>
      <c r="M49" s="2"/>
      <c r="N49" s="2"/>
      <c r="O49" s="2"/>
      <c r="P49" s="2"/>
    </row>
    <row r="50" spans="2:16">
      <c r="B50" s="2"/>
      <c r="C50" s="2" t="s">
        <v>3103</v>
      </c>
      <c r="D50" s="2"/>
      <c r="E50" s="2"/>
      <c r="F50" s="2"/>
      <c r="G50" s="2"/>
      <c r="H50" s="2"/>
      <c r="I50" s="2"/>
      <c r="J50" s="2"/>
      <c r="K50" s="2"/>
      <c r="L50" s="2"/>
      <c r="M50" s="2"/>
      <c r="N50" s="2"/>
      <c r="O50" s="2"/>
      <c r="P50" s="2"/>
    </row>
    <row r="51" spans="2:16">
      <c r="B51" s="2"/>
      <c r="C51" s="2"/>
      <c r="D51" s="2" t="s">
        <v>3104</v>
      </c>
      <c r="E51" s="2"/>
      <c r="F51" s="2"/>
      <c r="G51" s="2"/>
      <c r="H51" s="2"/>
      <c r="I51" s="2"/>
      <c r="J51" s="2"/>
      <c r="K51" s="2"/>
      <c r="L51" s="2"/>
      <c r="M51" s="2"/>
      <c r="N51" s="2"/>
      <c r="O51" s="2"/>
      <c r="P51" s="2"/>
    </row>
    <row r="52" spans="2:16">
      <c r="B52" s="2"/>
      <c r="C52" s="2" t="s">
        <v>3105</v>
      </c>
      <c r="D52" s="2"/>
      <c r="E52" s="2"/>
      <c r="F52" s="2"/>
      <c r="G52" s="2"/>
      <c r="H52" s="2"/>
      <c r="I52" s="2"/>
      <c r="J52" s="2"/>
      <c r="K52" s="2"/>
      <c r="L52" s="2"/>
      <c r="M52" s="2"/>
      <c r="N52" s="2"/>
      <c r="O52" s="2"/>
      <c r="P52" s="2"/>
    </row>
    <row r="53" spans="2:16">
      <c r="B53" s="2"/>
      <c r="C53" s="2"/>
      <c r="D53" s="2" t="s">
        <v>3106</v>
      </c>
      <c r="E53" s="2"/>
      <c r="F53" s="2"/>
      <c r="G53" s="2"/>
      <c r="H53" s="2"/>
      <c r="I53" s="2"/>
      <c r="J53" s="2"/>
      <c r="K53" s="2"/>
      <c r="L53" s="2"/>
      <c r="M53" s="2"/>
      <c r="N53" s="2"/>
      <c r="O53" s="2"/>
      <c r="P53" s="2"/>
    </row>
    <row r="54" spans="2:16">
      <c r="B54" s="2"/>
      <c r="C54" s="2"/>
      <c r="D54" s="2" t="s">
        <v>3107</v>
      </c>
      <c r="E54" s="2"/>
      <c r="F54" s="2"/>
      <c r="G54" s="2"/>
      <c r="H54" s="2"/>
      <c r="I54" s="2"/>
      <c r="J54" s="2"/>
      <c r="K54" s="2"/>
      <c r="L54" s="2"/>
      <c r="M54" s="2"/>
      <c r="N54" s="2"/>
      <c r="O54" s="2"/>
      <c r="P54" s="2"/>
    </row>
    <row r="55" spans="2:16">
      <c r="B55" s="2"/>
      <c r="C55" s="2" t="s">
        <v>3108</v>
      </c>
      <c r="D55" s="2"/>
      <c r="E55" s="2"/>
      <c r="F55" s="2"/>
      <c r="G55" s="2"/>
      <c r="H55" s="2"/>
      <c r="I55" s="2"/>
      <c r="J55" s="2"/>
      <c r="K55" s="2"/>
      <c r="L55" s="2"/>
      <c r="M55" s="2"/>
      <c r="N55" s="2"/>
      <c r="O55" s="2"/>
      <c r="P55" s="2"/>
    </row>
    <row r="56" spans="2:16">
      <c r="B56" s="2"/>
      <c r="C56" s="2"/>
      <c r="D56" s="2" t="s">
        <v>3109</v>
      </c>
      <c r="E56" s="2"/>
      <c r="F56" s="2"/>
      <c r="G56" s="2"/>
      <c r="H56" s="2"/>
      <c r="I56" s="2"/>
      <c r="J56" s="2"/>
      <c r="K56" s="2"/>
      <c r="L56" s="2"/>
      <c r="M56" s="2"/>
      <c r="N56" s="2"/>
      <c r="O56" s="2"/>
      <c r="P56" s="2"/>
    </row>
    <row r="57" spans="2:16">
      <c r="B57" s="2"/>
      <c r="C57" s="2"/>
      <c r="D57" s="2" t="s">
        <v>3110</v>
      </c>
      <c r="E57" s="2"/>
      <c r="F57" s="2"/>
      <c r="G57" s="2"/>
      <c r="H57" s="2"/>
      <c r="I57" s="2"/>
      <c r="J57" s="2"/>
      <c r="K57" s="2"/>
      <c r="L57" s="2"/>
      <c r="M57" s="2"/>
      <c r="N57" s="2"/>
      <c r="O57" s="2"/>
      <c r="P57" s="2"/>
    </row>
    <row r="58" spans="2:16">
      <c r="B58" s="2"/>
      <c r="C58" s="2" t="s">
        <v>3111</v>
      </c>
      <c r="D58" s="2"/>
      <c r="E58" s="2"/>
      <c r="F58" s="2"/>
      <c r="G58" s="2"/>
      <c r="H58" s="2"/>
      <c r="I58" s="2"/>
      <c r="J58" s="2"/>
      <c r="K58" s="2"/>
      <c r="L58" s="2"/>
      <c r="M58" s="2"/>
      <c r="N58" s="2"/>
      <c r="O58" s="2"/>
      <c r="P58" s="2"/>
    </row>
    <row r="59" spans="2:16">
      <c r="B59" s="2"/>
      <c r="C59" s="2"/>
      <c r="D59" s="2" t="s">
        <v>3112</v>
      </c>
      <c r="E59" s="2"/>
      <c r="F59" s="2"/>
      <c r="G59" s="2"/>
      <c r="H59" s="2"/>
      <c r="I59" s="2"/>
      <c r="J59" s="2"/>
      <c r="K59" s="2"/>
      <c r="L59" s="2"/>
      <c r="M59" s="2"/>
      <c r="N59" s="2"/>
      <c r="O59" s="2"/>
      <c r="P59" s="2"/>
    </row>
    <row r="60" spans="2:16">
      <c r="B60" s="2"/>
      <c r="C60" s="2"/>
      <c r="D60" s="2" t="s">
        <v>3113</v>
      </c>
      <c r="E60" s="2"/>
      <c r="F60" s="2"/>
      <c r="G60" s="2"/>
      <c r="H60" s="2"/>
      <c r="I60" s="2"/>
      <c r="J60" s="2"/>
      <c r="K60" s="2"/>
      <c r="L60" s="2"/>
      <c r="M60" s="2"/>
      <c r="N60" s="2"/>
      <c r="O60" s="2"/>
      <c r="P60" s="2"/>
    </row>
    <row r="61" spans="2:16">
      <c r="B61" s="2"/>
      <c r="C61" s="2"/>
      <c r="D61" s="2" t="s">
        <v>3114</v>
      </c>
      <c r="E61" s="2"/>
      <c r="F61" s="2"/>
      <c r="G61" s="2"/>
      <c r="H61" s="2"/>
      <c r="I61" s="2"/>
      <c r="J61" s="2"/>
      <c r="K61" s="2"/>
      <c r="L61" s="2"/>
      <c r="M61" s="2"/>
      <c r="N61" s="2"/>
      <c r="O61" s="2"/>
      <c r="P61" s="2"/>
    </row>
    <row r="62" spans="2:16">
      <c r="B62" s="2"/>
      <c r="C62" s="2"/>
      <c r="D62" s="2" t="s">
        <v>3115</v>
      </c>
      <c r="E62" s="2"/>
      <c r="F62" s="2"/>
      <c r="G62" s="2"/>
      <c r="H62" s="2"/>
      <c r="I62" s="2"/>
      <c r="J62" s="2"/>
      <c r="K62" s="2"/>
      <c r="L62" s="2"/>
      <c r="M62" s="2"/>
      <c r="N62" s="2"/>
      <c r="O62" s="2"/>
      <c r="P62" s="2"/>
    </row>
    <row r="63" spans="2:16">
      <c r="B63" s="2"/>
      <c r="C63" s="2"/>
      <c r="D63" s="2" t="s">
        <v>3116</v>
      </c>
      <c r="E63" s="2"/>
      <c r="F63" s="2"/>
      <c r="G63" s="2"/>
      <c r="H63" s="2"/>
      <c r="I63" s="2"/>
      <c r="J63" s="2"/>
      <c r="K63" s="2"/>
      <c r="L63" s="2"/>
      <c r="M63" s="2"/>
      <c r="N63" s="2"/>
      <c r="O63" s="2"/>
      <c r="P63" s="2"/>
    </row>
    <row r="64" spans="2:16">
      <c r="B64" s="2"/>
      <c r="C64" s="2" t="s">
        <v>3117</v>
      </c>
      <c r="D64" s="2"/>
      <c r="E64" s="2"/>
      <c r="F64" s="2"/>
      <c r="G64" s="2"/>
      <c r="H64" s="2"/>
      <c r="I64" s="2"/>
      <c r="J64" s="2"/>
      <c r="K64" s="2"/>
      <c r="L64" s="2"/>
      <c r="M64" s="2"/>
      <c r="N64" s="2"/>
      <c r="O64" s="2"/>
      <c r="P64" s="2"/>
    </row>
    <row r="65" spans="2:16">
      <c r="B65" s="2"/>
      <c r="C65" s="2"/>
      <c r="D65" s="2" t="s">
        <v>3118</v>
      </c>
      <c r="E65" s="2"/>
      <c r="F65" s="2"/>
      <c r="G65" s="2"/>
      <c r="H65" s="2"/>
      <c r="I65" s="2"/>
      <c r="J65" s="2"/>
      <c r="K65" s="2"/>
      <c r="L65" s="2"/>
      <c r="M65" s="2"/>
      <c r="N65" s="2"/>
      <c r="O65" s="2"/>
      <c r="P65" s="2"/>
    </row>
    <row r="66" spans="2:16">
      <c r="B66" s="2"/>
      <c r="C66" s="2"/>
      <c r="D66" s="2" t="s">
        <v>3119</v>
      </c>
      <c r="E66" s="2"/>
      <c r="F66" s="2"/>
      <c r="G66" s="2"/>
      <c r="H66" s="2"/>
      <c r="I66" s="2"/>
      <c r="J66" s="2"/>
      <c r="K66" s="2"/>
      <c r="L66" s="2"/>
      <c r="M66" s="2"/>
      <c r="N66" s="2"/>
      <c r="O66" s="2"/>
      <c r="P66" s="2"/>
    </row>
    <row r="67" spans="2:16">
      <c r="B67" s="2"/>
      <c r="C67" s="2" t="s">
        <v>3120</v>
      </c>
      <c r="D67" s="2"/>
      <c r="E67" s="2"/>
      <c r="F67" s="2"/>
      <c r="G67" s="2"/>
      <c r="H67" s="2"/>
      <c r="I67" s="2"/>
      <c r="J67" s="2"/>
      <c r="K67" s="2"/>
      <c r="L67" s="2"/>
      <c r="M67" s="2"/>
      <c r="N67" s="2"/>
      <c r="O67" s="2"/>
      <c r="P67" s="2"/>
    </row>
    <row r="68" spans="2:16">
      <c r="B68" s="2"/>
      <c r="C68" s="2"/>
      <c r="D68" s="2" t="s">
        <v>3121</v>
      </c>
      <c r="E68" s="2"/>
      <c r="F68" s="2"/>
      <c r="G68" s="2"/>
      <c r="H68" s="2"/>
      <c r="I68" s="2"/>
      <c r="J68" s="2"/>
      <c r="K68" s="2"/>
      <c r="L68" s="2"/>
      <c r="M68" s="2"/>
      <c r="N68" s="2"/>
      <c r="O68" s="2"/>
      <c r="P68" s="2"/>
    </row>
    <row r="69" spans="2:16">
      <c r="B69" s="2"/>
      <c r="C69" s="2"/>
      <c r="D69" s="2" t="s">
        <v>3122</v>
      </c>
      <c r="E69" s="2"/>
      <c r="F69" s="2"/>
      <c r="G69" s="2"/>
      <c r="H69" s="2"/>
      <c r="I69" s="2"/>
      <c r="J69" s="2"/>
      <c r="K69" s="2"/>
      <c r="L69" s="2"/>
      <c r="M69" s="2"/>
      <c r="N69" s="2"/>
      <c r="O69" s="2"/>
      <c r="P69" s="2"/>
    </row>
    <row r="70" spans="2:16">
      <c r="B70" s="2"/>
      <c r="C70" s="2"/>
      <c r="D70" s="2" t="s">
        <v>3123</v>
      </c>
      <c r="E70" s="2"/>
      <c r="F70" s="2"/>
      <c r="G70" s="2"/>
      <c r="H70" s="2"/>
      <c r="I70" s="2"/>
      <c r="J70" s="2"/>
      <c r="K70" s="2"/>
      <c r="L70" s="2"/>
      <c r="M70" s="2"/>
      <c r="N70" s="2"/>
      <c r="O70" s="2"/>
      <c r="P70" s="2"/>
    </row>
    <row r="71" spans="2:16">
      <c r="B71" s="2"/>
      <c r="C71" s="2" t="s">
        <v>3124</v>
      </c>
      <c r="D71" s="2"/>
      <c r="E71" s="2"/>
      <c r="F71" s="2"/>
      <c r="G71" s="2"/>
      <c r="H71" s="2"/>
      <c r="I71" s="2"/>
      <c r="J71" s="2"/>
      <c r="K71" s="2"/>
      <c r="L71" s="2"/>
      <c r="M71" s="2"/>
      <c r="N71" s="2"/>
      <c r="O71" s="2"/>
      <c r="P71" s="2"/>
    </row>
    <row r="72" spans="2:16">
      <c r="B72" s="2"/>
      <c r="C72" s="2"/>
      <c r="D72" s="2" t="s">
        <v>3125</v>
      </c>
      <c r="E72" s="2"/>
      <c r="F72" s="2"/>
      <c r="G72" s="2"/>
      <c r="H72" s="2"/>
      <c r="I72" s="2"/>
      <c r="J72" s="2"/>
      <c r="K72" s="2"/>
      <c r="L72" s="2"/>
      <c r="M72" s="2"/>
      <c r="N72" s="2"/>
      <c r="O72" s="2"/>
      <c r="P72" s="2"/>
    </row>
    <row r="73" spans="2:16">
      <c r="B73" s="2"/>
      <c r="C73" s="2"/>
      <c r="D73" s="2" t="s">
        <v>3126</v>
      </c>
      <c r="E73" s="2"/>
      <c r="F73" s="2"/>
      <c r="G73" s="2"/>
      <c r="H73" s="2"/>
      <c r="I73" s="2"/>
      <c r="J73" s="2"/>
      <c r="K73" s="2"/>
      <c r="L73" s="2"/>
      <c r="M73" s="2"/>
      <c r="N73" s="2"/>
      <c r="O73" s="2"/>
      <c r="P73" s="2"/>
    </row>
    <row r="74" spans="2:16">
      <c r="B74" s="2"/>
      <c r="C74" s="2"/>
      <c r="D74" s="2" t="s">
        <v>3127</v>
      </c>
      <c r="E74" s="2"/>
      <c r="F74" s="2"/>
      <c r="G74" s="2"/>
      <c r="H74" s="2"/>
      <c r="I74" s="2"/>
      <c r="J74" s="2"/>
      <c r="K74" s="2"/>
      <c r="L74" s="2"/>
      <c r="M74" s="2"/>
      <c r="N74" s="2"/>
      <c r="O74" s="2"/>
      <c r="P74" s="2"/>
    </row>
    <row r="75" spans="2:16">
      <c r="B75" s="2"/>
      <c r="C75" s="2" t="s">
        <v>3128</v>
      </c>
      <c r="D75" s="2"/>
      <c r="E75" s="2"/>
      <c r="F75" s="2"/>
      <c r="G75" s="2"/>
      <c r="H75" s="2"/>
      <c r="I75" s="2"/>
      <c r="J75" s="2"/>
      <c r="K75" s="2"/>
      <c r="L75" s="2"/>
      <c r="M75" s="2"/>
      <c r="N75" s="2"/>
      <c r="O75" s="2"/>
      <c r="P75" s="2"/>
    </row>
    <row r="76" spans="2:16">
      <c r="B76" s="2"/>
      <c r="C76" s="2"/>
      <c r="D76" s="2" t="s">
        <v>3129</v>
      </c>
      <c r="E76" s="2"/>
      <c r="F76" s="2"/>
      <c r="G76" s="2"/>
      <c r="H76" s="2"/>
      <c r="I76" s="2"/>
      <c r="J76" s="2"/>
      <c r="K76" s="2"/>
      <c r="L76" s="2"/>
      <c r="M76" s="2"/>
      <c r="N76" s="2"/>
      <c r="O76" s="2"/>
      <c r="P76" s="2"/>
    </row>
    <row r="77" spans="2:16">
      <c r="B77" s="2"/>
      <c r="C77" s="2"/>
      <c r="D77" s="2" t="s">
        <v>3130</v>
      </c>
      <c r="E77" s="2"/>
      <c r="F77" s="2"/>
      <c r="G77" s="2"/>
      <c r="H77" s="2"/>
      <c r="I77" s="2"/>
      <c r="J77" s="2"/>
      <c r="K77" s="2"/>
      <c r="L77" s="2"/>
      <c r="M77" s="2"/>
      <c r="N77" s="2"/>
      <c r="O77" s="2"/>
      <c r="P77" s="2"/>
    </row>
    <row r="78" spans="2:16">
      <c r="B78" s="2"/>
      <c r="C78" s="2" t="s">
        <v>3131</v>
      </c>
      <c r="D78" s="2"/>
      <c r="E78" s="2"/>
      <c r="F78" s="2"/>
      <c r="G78" s="2"/>
      <c r="H78" s="2"/>
      <c r="I78" s="2"/>
      <c r="J78" s="2"/>
      <c r="K78" s="2"/>
      <c r="L78" s="2"/>
      <c r="M78" s="2"/>
      <c r="N78" s="2"/>
      <c r="O78" s="2"/>
      <c r="P78" s="2"/>
    </row>
    <row r="79" spans="2:16">
      <c r="B79" s="2"/>
      <c r="C79" s="2"/>
      <c r="D79" s="2" t="s">
        <v>3132</v>
      </c>
      <c r="E79" s="2"/>
      <c r="F79" s="2"/>
      <c r="G79" s="2"/>
      <c r="H79" s="2"/>
      <c r="I79" s="2"/>
      <c r="J79" s="2"/>
      <c r="K79" s="2"/>
      <c r="L79" s="2"/>
      <c r="M79" s="2"/>
      <c r="N79" s="2"/>
      <c r="O79" s="2"/>
      <c r="P79" s="2"/>
    </row>
    <row r="80" spans="2:16">
      <c r="B80" s="2"/>
      <c r="C80" s="2"/>
      <c r="D80" s="2" t="s">
        <v>3133</v>
      </c>
      <c r="E80" s="2"/>
      <c r="F80" s="2"/>
      <c r="G80" s="2"/>
      <c r="H80" s="2"/>
      <c r="I80" s="2"/>
      <c r="J80" s="2"/>
      <c r="K80" s="2"/>
      <c r="L80" s="2"/>
      <c r="M80" s="2"/>
      <c r="N80" s="2"/>
      <c r="O80" s="2"/>
      <c r="P80" s="2"/>
    </row>
    <row r="81" spans="2:16">
      <c r="B81" s="2"/>
      <c r="C81" s="2"/>
      <c r="D81" s="2" t="s">
        <v>3134</v>
      </c>
      <c r="E81" s="2"/>
      <c r="F81" s="2"/>
      <c r="G81" s="2"/>
      <c r="H81" s="2"/>
      <c r="I81" s="2"/>
      <c r="J81" s="2"/>
      <c r="K81" s="2"/>
      <c r="L81" s="2"/>
      <c r="M81" s="2"/>
      <c r="N81" s="2"/>
      <c r="O81" s="2"/>
      <c r="P81" s="2"/>
    </row>
    <row r="82" spans="2:16">
      <c r="B82" s="2"/>
      <c r="C82" s="2"/>
      <c r="D82" s="2"/>
      <c r="E82" s="2" t="s">
        <v>3135</v>
      </c>
      <c r="F82" s="2"/>
      <c r="G82" s="2"/>
      <c r="H82" s="2"/>
      <c r="I82" s="2"/>
      <c r="J82" s="2"/>
      <c r="K82" s="2"/>
      <c r="L82" s="2"/>
      <c r="M82" s="2"/>
      <c r="N82" s="2"/>
      <c r="O82" s="2"/>
      <c r="P82" s="2"/>
    </row>
    <row r="83" spans="2:16">
      <c r="B83" s="2"/>
      <c r="C83" s="2" t="s">
        <v>3136</v>
      </c>
      <c r="D83" s="2"/>
      <c r="E83" s="2"/>
      <c r="F83" s="2"/>
      <c r="G83" s="2"/>
      <c r="H83" s="2"/>
      <c r="I83" s="2"/>
      <c r="J83" s="2"/>
      <c r="K83" s="2"/>
      <c r="L83" s="2"/>
      <c r="M83" s="2"/>
      <c r="N83" s="2"/>
      <c r="O83" s="2"/>
      <c r="P83" s="2"/>
    </row>
    <row r="84" spans="2:16">
      <c r="B84" s="2"/>
      <c r="C84" s="2"/>
      <c r="D84" s="2" t="s">
        <v>3137</v>
      </c>
      <c r="E84" s="2"/>
      <c r="F84" s="2"/>
      <c r="G84" s="2"/>
      <c r="H84" s="2"/>
      <c r="I84" s="2"/>
      <c r="J84" s="2"/>
      <c r="K84" s="2"/>
      <c r="L84" s="2"/>
      <c r="M84" s="2"/>
      <c r="N84" s="2"/>
      <c r="O84" s="2"/>
      <c r="P84" s="2"/>
    </row>
    <row r="85" spans="2:16">
      <c r="B85" s="2"/>
      <c r="C85" s="2"/>
      <c r="D85" s="2"/>
      <c r="E85" s="2" t="s">
        <v>3138</v>
      </c>
      <c r="F85" s="2"/>
      <c r="G85" s="2"/>
      <c r="H85" s="2"/>
      <c r="I85" s="2"/>
      <c r="J85" s="2"/>
      <c r="K85" s="2"/>
      <c r="L85" s="2"/>
      <c r="M85" s="2"/>
      <c r="N85" s="2"/>
      <c r="O85" s="2"/>
      <c r="P85" s="2"/>
    </row>
    <row r="86" spans="2:16">
      <c r="B86" s="2"/>
      <c r="C86" s="2" t="s">
        <v>3139</v>
      </c>
      <c r="D86" s="2"/>
      <c r="E86" s="2"/>
      <c r="F86" s="2"/>
      <c r="G86" s="2"/>
      <c r="H86" s="2"/>
      <c r="I86" s="2"/>
      <c r="J86" s="2"/>
      <c r="K86" s="2"/>
      <c r="L86" s="2"/>
      <c r="M86" s="2"/>
      <c r="N86" s="2"/>
      <c r="O86" s="2"/>
      <c r="P86" s="2"/>
    </row>
    <row r="87" spans="2:16">
      <c r="B87" s="2"/>
      <c r="C87" s="2"/>
      <c r="D87" s="2" t="s">
        <v>3140</v>
      </c>
      <c r="E87" s="2"/>
      <c r="F87" s="2"/>
      <c r="G87" s="2"/>
      <c r="H87" s="2"/>
      <c r="I87" s="2"/>
      <c r="J87" s="2"/>
      <c r="K87" s="2"/>
      <c r="L87" s="2"/>
      <c r="M87" s="2"/>
      <c r="N87" s="2"/>
      <c r="O87" s="2"/>
      <c r="P87" s="2"/>
    </row>
    <row r="88" spans="2:16">
      <c r="B88" s="2"/>
      <c r="C88" s="2"/>
      <c r="D88" s="2"/>
      <c r="E88" s="2" t="s">
        <v>3141</v>
      </c>
      <c r="F88" s="2"/>
      <c r="G88" s="2"/>
      <c r="H88" s="2"/>
      <c r="I88" s="2"/>
      <c r="J88" s="2"/>
      <c r="K88" s="2"/>
      <c r="L88" s="2"/>
      <c r="M88" s="2"/>
      <c r="N88" s="2"/>
      <c r="O88" s="2"/>
      <c r="P88" s="2"/>
    </row>
    <row r="89" spans="2:16">
      <c r="B89" s="2"/>
      <c r="C89" s="2"/>
      <c r="D89" s="2"/>
      <c r="E89" s="2"/>
      <c r="F89" s="2" t="s">
        <v>3142</v>
      </c>
      <c r="G89" s="2"/>
      <c r="H89" s="2"/>
      <c r="I89" s="2"/>
      <c r="J89" s="2"/>
      <c r="K89" s="2"/>
      <c r="L89" s="2"/>
      <c r="M89" s="2"/>
      <c r="N89" s="2"/>
      <c r="O89" s="2"/>
      <c r="P89" s="2"/>
    </row>
    <row r="90" spans="2:16">
      <c r="B90" s="2"/>
      <c r="C90" s="2"/>
      <c r="D90" s="2"/>
      <c r="E90" s="2"/>
      <c r="F90" s="2" t="s">
        <v>3143</v>
      </c>
      <c r="G90" s="2"/>
      <c r="H90" s="2"/>
      <c r="I90" s="2"/>
      <c r="J90" s="2"/>
      <c r="K90" s="2"/>
      <c r="L90" s="2"/>
      <c r="M90" s="2"/>
      <c r="N90" s="2"/>
      <c r="O90" s="2"/>
      <c r="P90" s="2"/>
    </row>
    <row r="91" spans="2:16">
      <c r="B91" s="2"/>
      <c r="C91" s="2"/>
      <c r="D91" s="2"/>
      <c r="E91" s="2"/>
      <c r="F91" s="2" t="s">
        <v>3144</v>
      </c>
      <c r="G91" s="2"/>
      <c r="H91" s="2"/>
      <c r="I91" s="2"/>
      <c r="J91" s="2"/>
      <c r="K91" s="2"/>
      <c r="L91" s="2"/>
      <c r="M91" s="2"/>
      <c r="N91" s="2"/>
      <c r="O91" s="2"/>
      <c r="P91" s="2"/>
    </row>
    <row r="92" spans="2:16">
      <c r="B92" s="2"/>
      <c r="C92" s="2"/>
      <c r="D92" s="2"/>
      <c r="E92" s="2" t="s">
        <v>3145</v>
      </c>
      <c r="F92" s="2"/>
      <c r="G92" s="2"/>
      <c r="H92" s="2"/>
      <c r="I92" s="2"/>
      <c r="J92" s="2"/>
      <c r="K92" s="2"/>
      <c r="L92" s="2"/>
      <c r="M92" s="2"/>
      <c r="N92" s="2"/>
      <c r="O92" s="2"/>
      <c r="P92" s="2"/>
    </row>
    <row r="93" spans="2:16">
      <c r="B93" s="2"/>
      <c r="C93" s="2"/>
      <c r="D93" s="2"/>
      <c r="E93" s="2"/>
      <c r="F93" s="2" t="s">
        <v>3146</v>
      </c>
      <c r="G93" s="2"/>
      <c r="H93" s="2"/>
      <c r="I93" s="2"/>
      <c r="J93" s="2"/>
      <c r="K93" s="2"/>
      <c r="L93" s="2"/>
      <c r="M93" s="2"/>
      <c r="N93" s="2"/>
      <c r="O93" s="2"/>
      <c r="P93" s="2"/>
    </row>
    <row r="94" spans="2:16">
      <c r="B94" s="2"/>
      <c r="C94" s="2"/>
      <c r="D94" s="2"/>
      <c r="E94" s="2"/>
      <c r="F94" s="2" t="s">
        <v>3147</v>
      </c>
      <c r="G94" s="2"/>
      <c r="H94" s="2"/>
      <c r="I94" s="2"/>
      <c r="J94" s="2"/>
      <c r="K94" s="2"/>
      <c r="L94" s="2"/>
      <c r="M94" s="2"/>
      <c r="N94" s="2"/>
      <c r="O94" s="2"/>
      <c r="P94" s="2"/>
    </row>
    <row r="95" spans="2:16">
      <c r="B95" s="2"/>
      <c r="C95" s="2"/>
      <c r="D95" s="2"/>
      <c r="E95" s="2"/>
      <c r="F95" s="2" t="s">
        <v>3148</v>
      </c>
      <c r="G95" s="2"/>
      <c r="H95" s="2"/>
      <c r="I95" s="2"/>
      <c r="J95" s="2"/>
      <c r="K95" s="2"/>
      <c r="L95" s="2"/>
      <c r="M95" s="2"/>
      <c r="N95" s="2"/>
      <c r="O95" s="2"/>
      <c r="P95" s="2"/>
    </row>
    <row r="96" spans="2:16">
      <c r="B96" s="2"/>
      <c r="C96" s="2"/>
      <c r="D96" s="2"/>
      <c r="E96" s="2" t="s">
        <v>3149</v>
      </c>
      <c r="F96" s="2"/>
      <c r="G96" s="2"/>
      <c r="H96" s="2"/>
      <c r="I96" s="2"/>
      <c r="J96" s="2"/>
      <c r="K96" s="2"/>
      <c r="L96" s="2"/>
      <c r="M96" s="2"/>
      <c r="N96" s="2"/>
      <c r="O96" s="2"/>
      <c r="P96" s="2"/>
    </row>
    <row r="97" spans="2:16">
      <c r="B97" s="2"/>
      <c r="C97" s="2"/>
      <c r="D97" s="2"/>
      <c r="E97" s="2"/>
      <c r="F97" s="2" t="s">
        <v>3150</v>
      </c>
      <c r="G97" s="2"/>
      <c r="H97" s="2"/>
      <c r="I97" s="2"/>
      <c r="J97" s="2"/>
      <c r="K97" s="2"/>
      <c r="L97" s="2"/>
      <c r="M97" s="2"/>
      <c r="N97" s="2"/>
      <c r="O97" s="2"/>
      <c r="P97" s="2"/>
    </row>
    <row r="98" spans="2:16">
      <c r="B98" s="2"/>
      <c r="C98" s="2"/>
      <c r="D98" s="2"/>
      <c r="E98" s="2"/>
      <c r="F98" s="2" t="s">
        <v>3151</v>
      </c>
      <c r="G98" s="2"/>
      <c r="H98" s="2"/>
      <c r="I98" s="2"/>
      <c r="J98" s="2"/>
      <c r="K98" s="2"/>
      <c r="L98" s="2"/>
      <c r="M98" s="2"/>
      <c r="N98" s="2"/>
      <c r="O98" s="2"/>
      <c r="P98" s="2"/>
    </row>
    <row r="99" spans="2:16">
      <c r="B99" s="2"/>
      <c r="C99" s="2"/>
      <c r="D99" s="2" t="s">
        <v>3152</v>
      </c>
      <c r="E99" s="2"/>
      <c r="F99" s="2"/>
      <c r="G99" s="2"/>
      <c r="H99" s="2"/>
      <c r="I99" s="2"/>
      <c r="J99" s="2"/>
      <c r="K99" s="2"/>
      <c r="L99" s="2"/>
      <c r="M99" s="2"/>
      <c r="N99" s="2"/>
      <c r="O99" s="2"/>
      <c r="P99" s="2"/>
    </row>
    <row r="100" spans="2:16">
      <c r="B100" s="2"/>
      <c r="C100" s="2"/>
      <c r="D100" s="2"/>
      <c r="E100" s="2" t="s">
        <v>3153</v>
      </c>
      <c r="F100" s="2"/>
      <c r="G100" s="2"/>
      <c r="H100" s="2"/>
      <c r="I100" s="2"/>
      <c r="J100" s="2"/>
      <c r="K100" s="2"/>
      <c r="L100" s="2"/>
      <c r="M100" s="2"/>
      <c r="N100" s="2"/>
      <c r="O100" s="2"/>
      <c r="P100" s="2"/>
    </row>
    <row r="101" spans="2:16">
      <c r="B101" s="2"/>
      <c r="C101" s="2"/>
      <c r="D101" s="2"/>
      <c r="E101" s="2"/>
      <c r="F101" s="2" t="s">
        <v>3154</v>
      </c>
      <c r="G101" s="2"/>
      <c r="H101" s="2"/>
      <c r="I101" s="2"/>
      <c r="J101" s="2"/>
      <c r="K101" s="2"/>
      <c r="L101" s="2"/>
      <c r="M101" s="2"/>
      <c r="N101" s="2"/>
      <c r="O101" s="2"/>
      <c r="P101" s="2"/>
    </row>
    <row r="102" spans="2:16">
      <c r="B102" s="2"/>
      <c r="C102" s="2"/>
      <c r="D102" s="2"/>
      <c r="E102" s="2"/>
      <c r="F102" s="2" t="s">
        <v>3155</v>
      </c>
      <c r="G102" s="2"/>
      <c r="H102" s="2"/>
      <c r="I102" s="2"/>
      <c r="J102" s="2"/>
      <c r="K102" s="2"/>
      <c r="L102" s="2"/>
      <c r="M102" s="2"/>
      <c r="N102" s="2"/>
      <c r="O102" s="2"/>
      <c r="P102" s="2"/>
    </row>
    <row r="103" spans="2:16">
      <c r="B103" s="2"/>
      <c r="C103" s="2"/>
      <c r="D103" s="2"/>
      <c r="E103" s="2"/>
      <c r="F103" s="2" t="s">
        <v>3156</v>
      </c>
      <c r="G103" s="2"/>
      <c r="H103" s="2"/>
      <c r="I103" s="2"/>
      <c r="J103" s="2"/>
      <c r="K103" s="2"/>
      <c r="L103" s="2"/>
      <c r="M103" s="2"/>
      <c r="N103" s="2"/>
      <c r="O103" s="2"/>
      <c r="P103" s="2"/>
    </row>
    <row r="104" spans="2:16">
      <c r="B104" s="2"/>
      <c r="C104" s="2"/>
      <c r="D104" s="2"/>
      <c r="E104" s="2" t="s">
        <v>3157</v>
      </c>
      <c r="F104" s="2"/>
      <c r="G104" s="2"/>
      <c r="H104" s="2"/>
      <c r="I104" s="2"/>
      <c r="J104" s="2"/>
      <c r="K104" s="2"/>
      <c r="L104" s="2"/>
      <c r="M104" s="2"/>
      <c r="N104" s="2"/>
      <c r="O104" s="2"/>
      <c r="P104" s="2"/>
    </row>
    <row r="105" spans="2:16">
      <c r="B105" s="2"/>
      <c r="C105" s="2"/>
      <c r="D105" s="2"/>
      <c r="E105" s="2"/>
      <c r="F105" s="2" t="s">
        <v>3158</v>
      </c>
      <c r="G105" s="2"/>
      <c r="H105" s="2"/>
      <c r="I105" s="2"/>
      <c r="J105" s="2"/>
      <c r="K105" s="2"/>
      <c r="L105" s="2"/>
      <c r="M105" s="2"/>
      <c r="N105" s="2"/>
      <c r="O105" s="2"/>
      <c r="P105" s="2"/>
    </row>
    <row r="106" spans="2:16">
      <c r="B106" s="2"/>
      <c r="C106" s="2"/>
      <c r="D106" s="2"/>
      <c r="E106" s="2"/>
      <c r="F106" s="2" t="s">
        <v>3159</v>
      </c>
      <c r="G106" s="2"/>
      <c r="H106" s="2"/>
      <c r="I106" s="2"/>
      <c r="J106" s="2"/>
      <c r="K106" s="2"/>
      <c r="L106" s="2"/>
      <c r="M106" s="2"/>
      <c r="N106" s="2"/>
      <c r="O106" s="2"/>
      <c r="P106" s="2"/>
    </row>
    <row r="107" spans="2:16">
      <c r="B107" s="2"/>
      <c r="C107" s="2"/>
      <c r="D107" s="2"/>
      <c r="E107" s="2"/>
      <c r="F107" s="2" t="s">
        <v>3160</v>
      </c>
      <c r="G107" s="2"/>
      <c r="H107" s="2"/>
      <c r="I107" s="2"/>
      <c r="J107" s="2"/>
      <c r="K107" s="2"/>
      <c r="L107" s="2"/>
      <c r="M107" s="2"/>
      <c r="N107" s="2"/>
      <c r="O107" s="2"/>
      <c r="P107" s="2"/>
    </row>
    <row r="108" spans="2:16">
      <c r="B108" s="2"/>
      <c r="C108" s="2"/>
      <c r="D108" s="2"/>
      <c r="E108" s="2" t="s">
        <v>3161</v>
      </c>
      <c r="F108" s="2"/>
      <c r="G108" s="2"/>
      <c r="H108" s="2"/>
      <c r="I108" s="2"/>
      <c r="J108" s="2"/>
      <c r="K108" s="2"/>
      <c r="L108" s="2"/>
      <c r="M108" s="2"/>
      <c r="N108" s="2"/>
      <c r="O108" s="2"/>
      <c r="P108" s="2"/>
    </row>
    <row r="109" spans="2:16">
      <c r="B109" s="2"/>
      <c r="C109" s="2"/>
      <c r="D109" s="2"/>
      <c r="E109" s="2"/>
      <c r="F109" s="2" t="s">
        <v>3162</v>
      </c>
      <c r="G109" s="2"/>
      <c r="H109" s="2"/>
      <c r="I109" s="2"/>
      <c r="J109" s="2"/>
      <c r="K109" s="2"/>
      <c r="L109" s="2"/>
      <c r="M109" s="2"/>
      <c r="N109" s="2"/>
      <c r="O109" s="2"/>
      <c r="P109" s="2"/>
    </row>
    <row r="110" spans="2:16">
      <c r="B110" s="2"/>
      <c r="C110" s="2"/>
      <c r="D110" s="2"/>
      <c r="E110" s="2"/>
      <c r="F110" s="2" t="s">
        <v>3163</v>
      </c>
      <c r="G110" s="2"/>
      <c r="H110" s="2"/>
      <c r="I110" s="2"/>
      <c r="J110" s="2"/>
      <c r="K110" s="2"/>
      <c r="L110" s="2"/>
      <c r="M110" s="2"/>
      <c r="N110" s="2"/>
      <c r="O110" s="2"/>
      <c r="P110" s="2"/>
    </row>
    <row r="111" spans="2:16">
      <c r="B111" s="2"/>
      <c r="C111" s="2"/>
      <c r="D111" s="2" t="s">
        <v>3164</v>
      </c>
      <c r="E111" s="2"/>
      <c r="F111" s="2"/>
      <c r="G111" s="2"/>
      <c r="H111" s="2"/>
      <c r="I111" s="2"/>
      <c r="J111" s="2"/>
      <c r="K111" s="2"/>
      <c r="L111" s="2"/>
      <c r="M111" s="2"/>
      <c r="N111" s="2"/>
      <c r="O111" s="2"/>
      <c r="P111" s="2"/>
    </row>
    <row r="112" spans="2:16">
      <c r="B112" s="2"/>
      <c r="C112" s="2" t="s">
        <v>3165</v>
      </c>
      <c r="D112" s="2"/>
      <c r="E112" s="2"/>
      <c r="F112" s="2"/>
      <c r="G112" s="2"/>
      <c r="H112" s="2"/>
      <c r="I112" s="2"/>
      <c r="J112" s="2"/>
      <c r="K112" s="2"/>
      <c r="L112" s="2"/>
      <c r="M112" s="2"/>
      <c r="N112" s="2"/>
      <c r="O112" s="2"/>
      <c r="P112" s="2"/>
    </row>
    <row r="113" spans="2:16">
      <c r="B113" s="2"/>
      <c r="C113" s="2"/>
      <c r="D113" s="2" t="s">
        <v>3166</v>
      </c>
      <c r="E113" s="2"/>
      <c r="F113" s="2"/>
      <c r="G113" s="2"/>
      <c r="H113" s="2"/>
      <c r="I113" s="2"/>
      <c r="J113" s="2"/>
      <c r="K113" s="2"/>
      <c r="L113" s="2"/>
      <c r="M113" s="2"/>
      <c r="N113" s="2"/>
      <c r="O113" s="2"/>
      <c r="P113" s="2"/>
    </row>
    <row r="114" spans="2:16">
      <c r="B114" s="2"/>
      <c r="C114" s="2"/>
      <c r="D114" s="2" t="s">
        <v>3167</v>
      </c>
      <c r="E114" s="2"/>
      <c r="F114" s="2"/>
      <c r="G114" s="2"/>
      <c r="H114" s="2"/>
      <c r="I114" s="2"/>
      <c r="J114" s="2"/>
      <c r="K114" s="2"/>
      <c r="L114" s="2"/>
      <c r="M114" s="2"/>
      <c r="N114" s="2"/>
      <c r="O114" s="2"/>
      <c r="P114" s="2"/>
    </row>
    <row r="115" spans="2:16">
      <c r="B115" s="2"/>
      <c r="C115" s="2" t="s">
        <v>3168</v>
      </c>
      <c r="D115" s="2"/>
      <c r="E115" s="2"/>
      <c r="F115" s="2"/>
      <c r="G115" s="2"/>
      <c r="H115" s="2"/>
      <c r="I115" s="2"/>
      <c r="J115" s="2"/>
      <c r="K115" s="2"/>
      <c r="L115" s="2"/>
      <c r="M115" s="2"/>
      <c r="N115" s="2"/>
      <c r="O115" s="2"/>
      <c r="P115" s="2"/>
    </row>
    <row r="116" spans="2:16">
      <c r="B116" s="2"/>
      <c r="C116" s="2" t="s">
        <v>3169</v>
      </c>
      <c r="D116" s="2"/>
      <c r="E116" s="2"/>
      <c r="F116" s="2"/>
      <c r="G116" s="2"/>
      <c r="H116" s="2"/>
      <c r="I116" s="2"/>
      <c r="J116" s="2"/>
      <c r="K116" s="2"/>
      <c r="L116" s="2"/>
      <c r="M116" s="2"/>
      <c r="N116" s="2"/>
      <c r="O116" s="2"/>
      <c r="P116" s="2"/>
    </row>
    <row r="117" spans="2:16">
      <c r="B117" s="2"/>
      <c r="C117" s="2"/>
      <c r="D117" s="2" t="s">
        <v>3170</v>
      </c>
      <c r="E117" s="2"/>
      <c r="F117" s="2"/>
      <c r="G117" s="2"/>
      <c r="H117" s="2"/>
      <c r="I117" s="2"/>
      <c r="J117" s="2"/>
      <c r="K117" s="2"/>
      <c r="L117" s="2"/>
      <c r="M117" s="2"/>
      <c r="N117" s="2"/>
      <c r="O117" s="2"/>
      <c r="P117" s="2"/>
    </row>
    <row r="118" spans="2:16">
      <c r="B118" s="2"/>
      <c r="C118" s="2"/>
      <c r="D118" s="2"/>
      <c r="E118" s="2" t="s">
        <v>3171</v>
      </c>
      <c r="F118" s="2"/>
      <c r="G118" s="2"/>
      <c r="H118" s="2"/>
      <c r="I118" s="2"/>
      <c r="J118" s="2"/>
      <c r="K118" s="2"/>
      <c r="L118" s="2"/>
      <c r="M118" s="2"/>
      <c r="N118" s="2"/>
      <c r="O118" s="2"/>
      <c r="P118" s="2"/>
    </row>
    <row r="119" spans="2:16">
      <c r="B119" s="2"/>
      <c r="C119" s="2" t="s">
        <v>3172</v>
      </c>
      <c r="D119" s="2"/>
      <c r="E119" s="2"/>
      <c r="F119" s="2"/>
      <c r="G119" s="2"/>
      <c r="H119" s="2"/>
      <c r="I119" s="2"/>
      <c r="J119" s="2"/>
      <c r="K119" s="2"/>
      <c r="L119" s="2"/>
      <c r="M119" s="2"/>
      <c r="N119" s="2"/>
      <c r="O119" s="2"/>
      <c r="P119" s="2"/>
    </row>
    <row r="120" spans="2:16">
      <c r="B120" s="2"/>
      <c r="C120" s="2"/>
      <c r="D120" s="2" t="s">
        <v>3173</v>
      </c>
      <c r="E120" s="2"/>
      <c r="F120" s="2"/>
      <c r="G120" s="2"/>
      <c r="H120" s="2"/>
      <c r="I120" s="2"/>
      <c r="J120" s="2"/>
      <c r="K120" s="2"/>
      <c r="L120" s="2"/>
      <c r="M120" s="2"/>
      <c r="N120" s="2"/>
      <c r="O120" s="2"/>
      <c r="P120" s="2"/>
    </row>
    <row r="121" spans="2:16">
      <c r="B121" s="2"/>
      <c r="C121" s="2"/>
      <c r="D121" s="2" t="s">
        <v>3174</v>
      </c>
      <c r="E121" s="2"/>
      <c r="F121" s="2"/>
      <c r="G121" s="2"/>
      <c r="H121" s="2"/>
      <c r="I121" s="2"/>
      <c r="J121" s="2"/>
      <c r="K121" s="2"/>
      <c r="L121" s="2"/>
      <c r="M121" s="2"/>
      <c r="N121" s="2"/>
      <c r="O121" s="2"/>
      <c r="P121" s="2"/>
    </row>
    <row r="122" spans="2:16">
      <c r="B122" s="2"/>
      <c r="C122" s="2" t="s">
        <v>3175</v>
      </c>
      <c r="D122" s="2"/>
      <c r="E122" s="2"/>
      <c r="F122" s="2"/>
      <c r="G122" s="2"/>
      <c r="H122" s="2"/>
      <c r="I122" s="2"/>
      <c r="J122" s="2"/>
      <c r="K122" s="2"/>
      <c r="L122" s="2"/>
      <c r="M122" s="2"/>
      <c r="N122" s="2"/>
      <c r="O122" s="2"/>
      <c r="P122" s="2"/>
    </row>
    <row r="123" spans="2:16">
      <c r="B123" s="2"/>
      <c r="C123" s="2"/>
      <c r="D123" s="2" t="s">
        <v>3176</v>
      </c>
      <c r="E123" s="2"/>
      <c r="F123" s="2"/>
      <c r="G123" s="2"/>
      <c r="H123" s="2"/>
      <c r="I123" s="2"/>
      <c r="J123" s="2"/>
      <c r="K123" s="2"/>
      <c r="L123" s="2"/>
      <c r="M123" s="2"/>
      <c r="N123" s="2"/>
      <c r="O123" s="2"/>
      <c r="P123" s="2"/>
    </row>
    <row r="124" spans="2:16">
      <c r="B124" s="2"/>
      <c r="C124" s="2"/>
      <c r="D124" s="2" t="s">
        <v>3177</v>
      </c>
      <c r="E124" s="2"/>
      <c r="F124" s="2"/>
      <c r="G124" s="2"/>
      <c r="H124" s="2"/>
      <c r="I124" s="2"/>
      <c r="J124" s="2"/>
      <c r="K124" s="2"/>
      <c r="L124" s="2"/>
      <c r="M124" s="2"/>
      <c r="N124" s="2"/>
      <c r="O124" s="2"/>
      <c r="P124" s="2"/>
    </row>
    <row r="125" spans="2:16">
      <c r="B125" s="2"/>
      <c r="C125" s="2" t="s">
        <v>3178</v>
      </c>
      <c r="D125" s="2"/>
      <c r="E125" s="2"/>
      <c r="F125" s="2"/>
      <c r="G125" s="2"/>
      <c r="H125" s="2"/>
      <c r="I125" s="2"/>
      <c r="J125" s="2"/>
      <c r="K125" s="2"/>
      <c r="L125" s="2"/>
      <c r="M125" s="2"/>
      <c r="N125" s="2"/>
      <c r="O125" s="2"/>
      <c r="P125" s="2"/>
    </row>
    <row r="126" spans="2:16">
      <c r="B126" s="2"/>
      <c r="C126" s="2" t="s">
        <v>3179</v>
      </c>
      <c r="D126" s="2"/>
      <c r="E126" s="2"/>
      <c r="F126" s="2"/>
      <c r="G126" s="2"/>
      <c r="H126" s="2"/>
      <c r="I126" s="2"/>
      <c r="J126" s="2"/>
      <c r="K126" s="2"/>
      <c r="L126" s="2"/>
      <c r="M126" s="2"/>
      <c r="N126" s="2"/>
      <c r="O126" s="2"/>
      <c r="P126" s="2"/>
    </row>
    <row r="127" spans="2:16">
      <c r="B127" s="2"/>
      <c r="C127" s="2"/>
      <c r="D127" s="2" t="s">
        <v>3180</v>
      </c>
      <c r="E127" s="2"/>
      <c r="F127" s="2"/>
      <c r="G127" s="2"/>
      <c r="H127" s="2"/>
      <c r="I127" s="2"/>
      <c r="J127" s="2"/>
      <c r="K127" s="2"/>
      <c r="L127" s="2"/>
      <c r="M127" s="2"/>
      <c r="N127" s="2"/>
      <c r="O127" s="2"/>
      <c r="P127" s="2"/>
    </row>
    <row r="128" spans="2:16">
      <c r="B128" s="2"/>
      <c r="C128" s="2"/>
      <c r="D128" s="2" t="s">
        <v>3181</v>
      </c>
      <c r="E128" s="2"/>
      <c r="F128" s="2"/>
      <c r="G128" s="2"/>
      <c r="H128" s="2"/>
      <c r="I128" s="2"/>
      <c r="J128" s="2"/>
      <c r="K128" s="2"/>
      <c r="L128" s="2"/>
      <c r="M128" s="2"/>
      <c r="N128" s="2"/>
      <c r="O128" s="2"/>
      <c r="P128" s="2"/>
    </row>
    <row r="129" spans="2:16">
      <c r="B129" s="2" t="s">
        <v>3182</v>
      </c>
      <c r="C129" s="2"/>
      <c r="D129" s="2"/>
      <c r="E129" s="2"/>
      <c r="F129" s="2"/>
      <c r="G129" s="2"/>
      <c r="H129" s="2"/>
      <c r="I129" s="2"/>
      <c r="J129" s="2"/>
      <c r="K129" s="2"/>
      <c r="L129" s="2"/>
      <c r="M129" s="2"/>
      <c r="N129" s="2"/>
      <c r="O129" s="2"/>
      <c r="P129" s="2"/>
    </row>
    <row r="130" spans="2:16">
      <c r="B130" s="2"/>
      <c r="C130" s="2" t="s">
        <v>3183</v>
      </c>
      <c r="D130" s="2"/>
      <c r="E130" s="2"/>
      <c r="F130" s="2"/>
      <c r="G130" s="2"/>
      <c r="H130" s="2"/>
      <c r="I130" s="2"/>
      <c r="J130" s="2"/>
      <c r="K130" s="2"/>
      <c r="L130" s="2"/>
      <c r="M130" s="2"/>
      <c r="N130" s="2"/>
      <c r="O130" s="2"/>
      <c r="P130" s="2"/>
    </row>
    <row r="131" spans="2:16">
      <c r="B131" s="2"/>
      <c r="C131" s="2"/>
      <c r="D131" s="2" t="s">
        <v>3184</v>
      </c>
      <c r="E131" s="2"/>
      <c r="F131" s="2"/>
      <c r="G131" s="2"/>
      <c r="H131" s="2"/>
      <c r="I131" s="2"/>
      <c r="J131" s="2"/>
      <c r="K131" s="2"/>
      <c r="L131" s="2"/>
      <c r="M131" s="2"/>
      <c r="N131" s="2"/>
      <c r="O131" s="2"/>
      <c r="P131" s="2"/>
    </row>
    <row r="132" spans="2:16">
      <c r="B132" s="2"/>
      <c r="C132" s="2" t="s">
        <v>3185</v>
      </c>
      <c r="D132" s="2"/>
      <c r="E132" s="2"/>
      <c r="F132" s="2"/>
      <c r="G132" s="2"/>
      <c r="H132" s="2"/>
      <c r="I132" s="2"/>
      <c r="J132" s="2"/>
      <c r="K132" s="2"/>
      <c r="L132" s="2"/>
      <c r="M132" s="2"/>
      <c r="N132" s="2"/>
      <c r="O132" s="2"/>
      <c r="P132" s="2"/>
    </row>
    <row r="133" spans="2:16">
      <c r="B133" s="2"/>
      <c r="C133" s="2"/>
      <c r="D133" s="2" t="s">
        <v>3186</v>
      </c>
      <c r="E133" s="2"/>
      <c r="F133" s="2"/>
      <c r="G133" s="2"/>
      <c r="H133" s="2"/>
      <c r="I133" s="2"/>
      <c r="J133" s="2"/>
      <c r="K133" s="2"/>
      <c r="L133" s="2"/>
      <c r="M133" s="2"/>
      <c r="N133" s="2"/>
      <c r="O133" s="2"/>
      <c r="P133" s="2"/>
    </row>
    <row r="134" spans="2:16">
      <c r="B134" s="2"/>
      <c r="C134" s="2"/>
      <c r="D134" s="2" t="s">
        <v>3187</v>
      </c>
      <c r="E134" s="2"/>
      <c r="F134" s="2"/>
      <c r="G134" s="2"/>
      <c r="H134" s="2"/>
      <c r="I134" s="2"/>
      <c r="J134" s="2"/>
      <c r="K134" s="2"/>
      <c r="L134" s="2"/>
      <c r="M134" s="2"/>
      <c r="N134" s="2"/>
      <c r="O134" s="2"/>
      <c r="P134" s="2"/>
    </row>
    <row r="135" spans="2:16">
      <c r="B135" s="2"/>
      <c r="C135" s="2" t="s">
        <v>3188</v>
      </c>
      <c r="D135" s="2"/>
      <c r="E135" s="2"/>
      <c r="F135" s="2"/>
      <c r="G135" s="2"/>
      <c r="H135" s="2"/>
      <c r="I135" s="2"/>
      <c r="J135" s="2"/>
      <c r="K135" s="2"/>
      <c r="L135" s="2"/>
      <c r="M135" s="2"/>
      <c r="N135" s="2"/>
      <c r="O135" s="2"/>
      <c r="P135" s="2"/>
    </row>
    <row r="136" spans="2:16">
      <c r="B136" s="2"/>
      <c r="C136" s="2" t="s">
        <v>3189</v>
      </c>
      <c r="D136" s="2"/>
      <c r="E136" s="2"/>
      <c r="F136" s="2"/>
      <c r="G136" s="2"/>
      <c r="H136" s="2"/>
      <c r="I136" s="2"/>
      <c r="J136" s="2"/>
      <c r="K136" s="2"/>
      <c r="L136" s="2"/>
      <c r="M136" s="2"/>
      <c r="N136" s="2"/>
      <c r="O136" s="2"/>
      <c r="P136" s="2"/>
    </row>
    <row r="137" spans="2:16">
      <c r="B137" s="2"/>
      <c r="C137" s="2" t="s">
        <v>3190</v>
      </c>
      <c r="D137" s="2"/>
      <c r="E137" s="2"/>
      <c r="F137" s="2"/>
      <c r="G137" s="2"/>
      <c r="H137" s="2"/>
      <c r="I137" s="2"/>
      <c r="J137" s="2"/>
      <c r="K137" s="2"/>
      <c r="L137" s="2"/>
      <c r="M137" s="2"/>
      <c r="N137" s="2"/>
      <c r="O137" s="2"/>
      <c r="P137" s="2"/>
    </row>
    <row r="138" spans="2:16">
      <c r="B138" s="2"/>
      <c r="C138" s="2" t="s">
        <v>3191</v>
      </c>
      <c r="D138" s="2"/>
      <c r="E138" s="2"/>
      <c r="F138" s="2"/>
      <c r="G138" s="2"/>
      <c r="H138" s="2"/>
      <c r="I138" s="2"/>
      <c r="J138" s="2"/>
      <c r="K138" s="2"/>
      <c r="L138" s="2"/>
      <c r="M138" s="2"/>
      <c r="N138" s="2"/>
      <c r="O138" s="2"/>
      <c r="P138" s="2"/>
    </row>
    <row r="139" spans="2:16">
      <c r="B139" s="2"/>
      <c r="C139" s="2" t="s">
        <v>3192</v>
      </c>
      <c r="D139" s="2"/>
      <c r="E139" s="2"/>
      <c r="F139" s="2"/>
      <c r="G139" s="2"/>
      <c r="H139" s="2"/>
      <c r="I139" s="2"/>
      <c r="J139" s="2"/>
      <c r="K139" s="2"/>
      <c r="L139" s="2"/>
      <c r="M139" s="2"/>
      <c r="N139" s="2"/>
      <c r="O139" s="2"/>
      <c r="P139" s="2"/>
    </row>
    <row r="140" spans="2:16">
      <c r="B140" s="2"/>
      <c r="C140" s="2" t="s">
        <v>3193</v>
      </c>
      <c r="D140" s="2"/>
      <c r="E140" s="2"/>
      <c r="F140" s="2"/>
      <c r="G140" s="2"/>
      <c r="H140" s="2"/>
      <c r="I140" s="2"/>
      <c r="J140" s="2"/>
      <c r="K140" s="2"/>
      <c r="L140" s="2"/>
      <c r="M140" s="2"/>
      <c r="N140" s="2"/>
      <c r="O140" s="2"/>
      <c r="P140" s="2"/>
    </row>
    <row r="141" spans="2:16">
      <c r="B141" s="2"/>
      <c r="C141" s="2"/>
      <c r="D141" s="2" t="s">
        <v>3194</v>
      </c>
      <c r="E141" s="2"/>
      <c r="F141" s="2"/>
      <c r="G141" s="2"/>
      <c r="H141" s="2"/>
      <c r="I141" s="2"/>
      <c r="J141" s="2"/>
      <c r="K141" s="2"/>
      <c r="L141" s="2"/>
      <c r="M141" s="2"/>
      <c r="N141" s="2"/>
      <c r="O141" s="2"/>
      <c r="P141" s="2"/>
    </row>
    <row r="142" spans="2:16">
      <c r="B142" s="2"/>
      <c r="C142" s="2"/>
      <c r="D142" s="2" t="s">
        <v>3195</v>
      </c>
      <c r="E142" s="2"/>
      <c r="F142" s="2"/>
      <c r="G142" s="2"/>
      <c r="H142" s="2"/>
      <c r="I142" s="2"/>
      <c r="J142" s="2"/>
      <c r="K142" s="2"/>
      <c r="L142" s="2"/>
      <c r="M142" s="2"/>
      <c r="N142" s="2"/>
      <c r="O142" s="2"/>
      <c r="P142" s="2"/>
    </row>
    <row r="143" spans="2:16">
      <c r="B143" s="2"/>
      <c r="C143" s="2"/>
      <c r="D143" s="2" t="s">
        <v>3196</v>
      </c>
      <c r="E143" s="2"/>
      <c r="F143" s="2"/>
      <c r="G143" s="2"/>
      <c r="H143" s="2"/>
      <c r="I143" s="2"/>
      <c r="J143" s="2"/>
      <c r="K143" s="2"/>
      <c r="L143" s="2"/>
      <c r="M143" s="2"/>
      <c r="N143" s="2"/>
      <c r="O143" s="2"/>
      <c r="P143" s="2"/>
    </row>
    <row r="144" spans="2:16">
      <c r="B144" s="2"/>
      <c r="C144" s="2" t="s">
        <v>3197</v>
      </c>
      <c r="D144" s="2"/>
      <c r="E144" s="2"/>
      <c r="F144" s="2"/>
      <c r="G144" s="2"/>
      <c r="H144" s="2"/>
      <c r="I144" s="2"/>
      <c r="J144" s="2"/>
      <c r="K144" s="2"/>
      <c r="L144" s="2"/>
      <c r="M144" s="2"/>
      <c r="N144" s="2"/>
      <c r="O144" s="2"/>
      <c r="P144" s="2"/>
    </row>
    <row r="145" spans="2:16">
      <c r="B145" s="2" t="s">
        <v>3198</v>
      </c>
      <c r="C145" s="2"/>
      <c r="D145" s="2"/>
      <c r="E145" s="2"/>
      <c r="F145" s="2"/>
      <c r="G145" s="2"/>
      <c r="H145" s="2"/>
      <c r="I145" s="2"/>
      <c r="J145" s="2"/>
      <c r="K145" s="2"/>
      <c r="L145" s="2"/>
      <c r="M145" s="2"/>
      <c r="N145" s="2"/>
      <c r="O145" s="2"/>
      <c r="P145" s="2"/>
    </row>
    <row r="146" spans="2:16">
      <c r="B146" s="2" t="s">
        <v>3199</v>
      </c>
      <c r="C146" s="2"/>
      <c r="D146" s="2"/>
      <c r="E146" s="2"/>
      <c r="F146" s="2"/>
      <c r="G146" s="2"/>
      <c r="H146" s="2"/>
      <c r="I146" s="2"/>
      <c r="J146" s="2"/>
      <c r="K146" s="2"/>
      <c r="L146" s="2"/>
      <c r="M146" s="2"/>
      <c r="N146" s="2"/>
      <c r="O146" s="2"/>
      <c r="P146" s="2"/>
    </row>
    <row r="147" spans="2:16">
      <c r="B147" s="2" t="s">
        <v>3200</v>
      </c>
      <c r="C147" s="2"/>
      <c r="D147" s="2"/>
      <c r="E147" s="2"/>
      <c r="F147" s="2"/>
      <c r="G147" s="2"/>
      <c r="H147" s="2"/>
      <c r="I147" s="2"/>
      <c r="J147" s="2"/>
      <c r="K147" s="2"/>
      <c r="L147" s="2"/>
      <c r="M147" s="2"/>
      <c r="N147" s="2"/>
      <c r="O147" s="2"/>
      <c r="P147" s="2"/>
    </row>
    <row r="148" spans="2:16">
      <c r="B148" s="2" t="s">
        <v>3201</v>
      </c>
      <c r="C148" s="2"/>
      <c r="D148" s="2"/>
      <c r="E148" s="2"/>
      <c r="F148" s="2"/>
      <c r="G148" s="2"/>
      <c r="H148" s="2"/>
      <c r="I148" s="2"/>
      <c r="J148" s="2"/>
      <c r="K148" s="2"/>
      <c r="L148" s="2"/>
      <c r="M148" s="2"/>
      <c r="N148" s="2"/>
      <c r="O148" s="2"/>
      <c r="P148" s="2"/>
    </row>
    <row r="149" spans="2:16">
      <c r="B149" s="2" t="s">
        <v>3202</v>
      </c>
      <c r="C149" s="2"/>
      <c r="D149" s="2"/>
      <c r="E149" s="2"/>
      <c r="F149" s="2"/>
      <c r="G149" s="2"/>
      <c r="H149" s="2"/>
      <c r="I149" s="2"/>
      <c r="J149" s="2"/>
      <c r="K149" s="2"/>
      <c r="L149" s="2"/>
      <c r="M149" s="2"/>
      <c r="N149" s="2"/>
      <c r="O149" s="2"/>
      <c r="P149" s="2"/>
    </row>
    <row r="150" spans="2:16">
      <c r="B150" s="2" t="s">
        <v>3203</v>
      </c>
      <c r="C150" s="2"/>
      <c r="D150" s="2"/>
      <c r="E150" s="2"/>
      <c r="F150" s="2"/>
      <c r="G150" s="2"/>
      <c r="H150" s="2"/>
      <c r="I150" s="2"/>
      <c r="J150" s="2"/>
      <c r="K150" s="2"/>
      <c r="L150" s="2"/>
      <c r="M150" s="2"/>
      <c r="N150" s="2"/>
      <c r="O150" s="2"/>
      <c r="P150" s="2"/>
    </row>
    <row r="151" spans="2:16">
      <c r="B151" s="2" t="s">
        <v>3204</v>
      </c>
      <c r="C151" s="2"/>
      <c r="D151" s="2"/>
      <c r="E151" s="2"/>
      <c r="F151" s="2"/>
      <c r="G151" s="2"/>
      <c r="H151" s="2"/>
      <c r="I151" s="2"/>
      <c r="J151" s="2"/>
      <c r="K151" s="2"/>
      <c r="L151" s="2"/>
      <c r="M151" s="2"/>
      <c r="N151" s="2"/>
      <c r="O151" s="2"/>
      <c r="P151" s="2"/>
    </row>
    <row r="152" spans="2:16">
      <c r="B152" s="2" t="s">
        <v>3205</v>
      </c>
      <c r="C152" s="2"/>
      <c r="D152" s="2"/>
      <c r="E152" s="2"/>
      <c r="F152" s="2"/>
      <c r="G152" s="2"/>
      <c r="H152" s="2"/>
      <c r="I152" s="2"/>
      <c r="J152" s="2"/>
      <c r="K152" s="2"/>
      <c r="L152" s="2"/>
      <c r="M152" s="2"/>
      <c r="N152" s="2"/>
      <c r="O152" s="2"/>
      <c r="P152" s="2"/>
    </row>
    <row r="153" spans="2:16">
      <c r="B153" s="2" t="s">
        <v>3206</v>
      </c>
      <c r="C153" s="2"/>
      <c r="D153" s="2"/>
      <c r="E153" s="2"/>
      <c r="F153" s="2"/>
      <c r="G153" s="2"/>
      <c r="H153" s="2"/>
      <c r="I153" s="2"/>
      <c r="J153" s="2"/>
      <c r="K153" s="2"/>
      <c r="L153" s="2"/>
      <c r="M153" s="2"/>
      <c r="N153" s="2"/>
      <c r="O153" s="2"/>
      <c r="P153" s="2"/>
    </row>
    <row r="154" spans="2:16">
      <c r="B154" s="2" t="s">
        <v>3207</v>
      </c>
      <c r="C154" s="2"/>
      <c r="D154" s="2"/>
      <c r="E154" s="2"/>
      <c r="F154" s="2"/>
      <c r="G154" s="2"/>
      <c r="H154" s="2"/>
      <c r="I154" s="2"/>
      <c r="J154" s="2"/>
      <c r="K154" s="2"/>
      <c r="L154" s="2"/>
      <c r="M154" s="2"/>
      <c r="N154" s="2"/>
      <c r="O154" s="2"/>
      <c r="P154" s="2"/>
    </row>
    <row r="155" spans="2:16">
      <c r="B155" s="2" t="s">
        <v>3208</v>
      </c>
      <c r="C155" s="2"/>
      <c r="D155" s="2"/>
      <c r="E155" s="2"/>
      <c r="F155" s="2"/>
      <c r="G155" s="2"/>
      <c r="H155" s="2"/>
      <c r="I155" s="2"/>
      <c r="J155" s="2"/>
      <c r="K155" s="2"/>
      <c r="L155" s="2"/>
      <c r="M155" s="2"/>
      <c r="N155" s="2"/>
      <c r="O155" s="2"/>
      <c r="P155" s="2"/>
    </row>
    <row r="156" spans="2:16">
      <c r="B156" s="2" t="s">
        <v>3209</v>
      </c>
      <c r="C156" s="2"/>
      <c r="D156" s="2"/>
      <c r="E156" s="2"/>
      <c r="F156" s="2"/>
      <c r="G156" s="2"/>
      <c r="H156" s="2"/>
      <c r="I156" s="2"/>
      <c r="J156" s="2"/>
      <c r="K156" s="2"/>
      <c r="L156" s="2"/>
      <c r="M156" s="2"/>
      <c r="N156" s="2"/>
      <c r="O156" s="2"/>
      <c r="P156" s="2"/>
    </row>
    <row r="157" spans="2:16">
      <c r="B157" s="2"/>
      <c r="C157" s="2" t="s">
        <v>3210</v>
      </c>
      <c r="D157" s="2"/>
      <c r="E157" s="2"/>
      <c r="F157" s="2"/>
      <c r="G157" s="2"/>
      <c r="H157" s="2"/>
      <c r="I157" s="2"/>
      <c r="J157" s="2"/>
      <c r="K157" s="2"/>
      <c r="L157" s="2"/>
      <c r="M157" s="2"/>
      <c r="N157" s="2"/>
      <c r="O157" s="2"/>
      <c r="P157" s="2"/>
    </row>
    <row r="158" spans="2:16">
      <c r="B158" s="2" t="s">
        <v>3211</v>
      </c>
      <c r="C158" s="2"/>
      <c r="D158" s="2"/>
      <c r="E158" s="2"/>
      <c r="F158" s="2"/>
      <c r="G158" s="2"/>
      <c r="H158" s="2"/>
      <c r="I158" s="2"/>
      <c r="J158" s="2"/>
      <c r="K158" s="2"/>
      <c r="L158" s="2"/>
      <c r="M158" s="2"/>
      <c r="N158" s="2"/>
      <c r="O158" s="2"/>
      <c r="P158" s="2"/>
    </row>
    <row r="159" spans="2:16">
      <c r="B159" s="2"/>
      <c r="C159" s="2" t="s">
        <v>3212</v>
      </c>
      <c r="D159" s="2"/>
      <c r="E159" s="2"/>
      <c r="F159" s="2"/>
      <c r="G159" s="2"/>
      <c r="H159" s="2"/>
      <c r="I159" s="2"/>
      <c r="J159" s="2"/>
      <c r="K159" s="2"/>
      <c r="L159" s="2"/>
      <c r="M159" s="2"/>
      <c r="N159" s="2"/>
      <c r="O159" s="2"/>
      <c r="P159" s="2"/>
    </row>
    <row r="160" spans="2:16">
      <c r="B160" s="2"/>
      <c r="C160" s="2" t="s">
        <v>3213</v>
      </c>
      <c r="D160" s="2"/>
      <c r="E160" s="2"/>
      <c r="F160" s="2"/>
      <c r="G160" s="2"/>
      <c r="H160" s="2"/>
      <c r="I160" s="2"/>
      <c r="J160" s="2"/>
      <c r="K160" s="2"/>
      <c r="L160" s="2"/>
      <c r="M160" s="2"/>
      <c r="N160" s="2"/>
      <c r="O160" s="2"/>
      <c r="P160" s="2"/>
    </row>
    <row r="161" spans="2:16">
      <c r="B161" s="2"/>
      <c r="C161" s="2" t="s">
        <v>3214</v>
      </c>
      <c r="D161" s="2"/>
      <c r="E161" s="2"/>
      <c r="F161" s="2"/>
      <c r="G161" s="2"/>
      <c r="H161" s="2"/>
      <c r="I161" s="2"/>
      <c r="J161" s="2"/>
      <c r="K161" s="2"/>
      <c r="L161" s="2"/>
      <c r="M161" s="2"/>
      <c r="N161" s="2"/>
      <c r="O161" s="2"/>
      <c r="P161" s="2"/>
    </row>
    <row r="162" spans="2:16">
      <c r="B162" s="2"/>
      <c r="C162" s="2" t="s">
        <v>3215</v>
      </c>
      <c r="D162" s="2"/>
      <c r="E162" s="2"/>
      <c r="F162" s="2"/>
      <c r="G162" s="2"/>
      <c r="H162" s="2"/>
      <c r="I162" s="2"/>
      <c r="J162" s="2"/>
      <c r="K162" s="2"/>
      <c r="L162" s="2"/>
      <c r="M162" s="2"/>
      <c r="N162" s="2"/>
      <c r="O162" s="2"/>
      <c r="P162" s="2"/>
    </row>
    <row r="163" spans="2:16">
      <c r="B163" s="2" t="s">
        <v>3216</v>
      </c>
      <c r="C163" s="2"/>
      <c r="D163" s="2"/>
      <c r="E163" s="2"/>
      <c r="F163" s="2"/>
      <c r="G163" s="2"/>
      <c r="H163" s="2"/>
      <c r="I163" s="2"/>
      <c r="J163" s="2"/>
      <c r="K163" s="2"/>
      <c r="L163" s="2"/>
      <c r="M163" s="2"/>
      <c r="N163" s="2"/>
      <c r="O163" s="2"/>
      <c r="P163" s="2"/>
    </row>
    <row r="164" spans="2:16">
      <c r="B164" s="2"/>
      <c r="C164" s="2" t="s">
        <v>3217</v>
      </c>
      <c r="D164" s="2"/>
      <c r="E164" s="2"/>
      <c r="F164" s="2"/>
      <c r="G164" s="2"/>
      <c r="H164" s="2"/>
      <c r="I164" s="2"/>
      <c r="J164" s="2"/>
      <c r="K164" s="2"/>
      <c r="L164" s="2"/>
      <c r="M164" s="2"/>
      <c r="N164" s="2"/>
      <c r="O164" s="2"/>
      <c r="P164" s="2"/>
    </row>
    <row r="165" spans="2:16">
      <c r="B165" s="2"/>
      <c r="C165" s="2" t="s">
        <v>3218</v>
      </c>
      <c r="D165" s="2"/>
      <c r="E165" s="2"/>
      <c r="F165" s="2"/>
      <c r="G165" s="2"/>
      <c r="H165" s="2"/>
      <c r="I165" s="2"/>
      <c r="J165" s="2"/>
      <c r="K165" s="2"/>
      <c r="L165" s="2"/>
      <c r="M165" s="2"/>
      <c r="N165" s="2"/>
      <c r="O165" s="2"/>
      <c r="P165" s="2"/>
    </row>
    <row r="166" spans="2:16">
      <c r="B166" s="2" t="s">
        <v>3219</v>
      </c>
      <c r="C166" s="2"/>
      <c r="D166" s="2"/>
      <c r="E166" s="2"/>
      <c r="F166" s="2"/>
      <c r="G166" s="2"/>
      <c r="H166" s="2"/>
      <c r="I166" s="2"/>
      <c r="J166" s="2"/>
      <c r="K166" s="2"/>
      <c r="L166" s="2"/>
      <c r="M166" s="2"/>
      <c r="N166" s="2"/>
      <c r="O166" s="2"/>
      <c r="P166" s="2"/>
    </row>
    <row r="167" spans="2:16">
      <c r="B167" s="2" t="s">
        <v>3220</v>
      </c>
      <c r="C167" s="2"/>
      <c r="D167" s="2"/>
      <c r="E167" s="2"/>
      <c r="F167" s="2"/>
      <c r="G167" s="2"/>
      <c r="H167" s="2"/>
      <c r="I167" s="2"/>
      <c r="J167" s="2"/>
      <c r="K167" s="2"/>
      <c r="L167" s="2"/>
      <c r="M167" s="2"/>
      <c r="N167" s="2"/>
      <c r="O167" s="2"/>
      <c r="P167" s="2"/>
    </row>
    <row r="168" spans="2:16">
      <c r="B168" s="2"/>
      <c r="C168" s="2" t="s">
        <v>3221</v>
      </c>
      <c r="D168" s="2"/>
      <c r="E168" s="2"/>
      <c r="F168" s="2"/>
      <c r="G168" s="2"/>
      <c r="H168" s="2"/>
      <c r="I168" s="2"/>
      <c r="J168" s="2"/>
      <c r="K168" s="2"/>
      <c r="L168" s="2"/>
      <c r="M168" s="2"/>
      <c r="N168" s="2"/>
      <c r="O168" s="2"/>
      <c r="P168" s="2"/>
    </row>
    <row r="169" spans="2:16">
      <c r="B169" s="2"/>
      <c r="C169" s="2" t="s">
        <v>3222</v>
      </c>
      <c r="D169" s="2"/>
      <c r="E169" s="2"/>
      <c r="F169" s="2"/>
      <c r="G169" s="2"/>
      <c r="H169" s="2"/>
      <c r="I169" s="2"/>
      <c r="J169" s="2"/>
      <c r="K169" s="2"/>
      <c r="L169" s="2"/>
      <c r="M169" s="2"/>
      <c r="N169" s="2"/>
      <c r="O169" s="2"/>
      <c r="P169" s="2"/>
    </row>
    <row r="170" spans="2:16">
      <c r="B170" s="2"/>
      <c r="C170" s="2"/>
      <c r="D170" s="2" t="s">
        <v>3223</v>
      </c>
      <c r="E170" s="2"/>
      <c r="F170" s="2"/>
      <c r="G170" s="2"/>
      <c r="H170" s="2"/>
      <c r="I170" s="2"/>
      <c r="J170" s="2"/>
      <c r="K170" s="2"/>
      <c r="L170" s="2"/>
      <c r="M170" s="2"/>
      <c r="N170" s="2"/>
      <c r="O170" s="2"/>
      <c r="P170" s="2"/>
    </row>
    <row r="171" spans="2:16">
      <c r="B171" s="2" t="s">
        <v>3224</v>
      </c>
      <c r="C171" s="2"/>
      <c r="D171" s="2"/>
      <c r="E171" s="2"/>
      <c r="F171" s="2"/>
      <c r="G171" s="2"/>
      <c r="H171" s="2"/>
      <c r="I171" s="2"/>
      <c r="J171" s="2"/>
      <c r="K171" s="2"/>
      <c r="L171" s="2"/>
      <c r="M171" s="2"/>
      <c r="N171" s="2"/>
      <c r="O171" s="2"/>
      <c r="P171" s="2"/>
    </row>
    <row r="172" spans="2:16">
      <c r="B172" s="2"/>
      <c r="C172" s="2" t="s">
        <v>3225</v>
      </c>
      <c r="D172" s="2"/>
      <c r="E172" s="2"/>
      <c r="F172" s="2"/>
      <c r="G172" s="2"/>
      <c r="H172" s="2"/>
      <c r="I172" s="2"/>
      <c r="J172" s="2"/>
      <c r="K172" s="2"/>
      <c r="L172" s="2"/>
      <c r="M172" s="2"/>
      <c r="N172" s="2"/>
      <c r="O172" s="2"/>
      <c r="P172" s="2"/>
    </row>
    <row r="173" spans="2:16">
      <c r="B173" s="2"/>
      <c r="C173" s="2" t="s">
        <v>3226</v>
      </c>
      <c r="D173" s="2"/>
      <c r="E173" s="2"/>
      <c r="F173" s="2"/>
      <c r="G173" s="2"/>
      <c r="H173" s="2"/>
      <c r="I173" s="2"/>
      <c r="J173" s="2"/>
      <c r="K173" s="2"/>
      <c r="L173" s="2"/>
      <c r="M173" s="2"/>
      <c r="N173" s="2"/>
      <c r="O173" s="2"/>
      <c r="P173" s="2"/>
    </row>
    <row r="174" spans="2:16">
      <c r="B174" s="2" t="s">
        <v>3227</v>
      </c>
      <c r="C174" s="2"/>
      <c r="D174" s="2"/>
      <c r="E174" s="2"/>
      <c r="F174" s="2"/>
      <c r="G174" s="2"/>
      <c r="H174" s="2"/>
      <c r="I174" s="2"/>
      <c r="J174" s="2"/>
      <c r="K174" s="2"/>
      <c r="L174" s="2"/>
      <c r="M174" s="2"/>
      <c r="N174" s="2"/>
      <c r="O174" s="2"/>
      <c r="P174" s="2"/>
    </row>
    <row r="175" spans="2:16">
      <c r="B175" s="2"/>
      <c r="C175" s="2" t="s">
        <v>3228</v>
      </c>
      <c r="D175" s="2"/>
      <c r="E175" s="2"/>
      <c r="F175" s="2"/>
      <c r="G175" s="2"/>
      <c r="H175" s="2"/>
      <c r="I175" s="2"/>
      <c r="J175" s="2"/>
      <c r="K175" s="2"/>
      <c r="L175" s="2"/>
      <c r="M175" s="2"/>
      <c r="N175" s="2"/>
      <c r="O175" s="2"/>
      <c r="P175" s="2"/>
    </row>
    <row r="176" spans="2:16">
      <c r="B176" s="2"/>
      <c r="C176" s="2" t="s">
        <v>3229</v>
      </c>
      <c r="D176" s="2"/>
      <c r="E176" s="2"/>
      <c r="F176" s="2"/>
      <c r="G176" s="2"/>
      <c r="H176" s="2"/>
      <c r="I176" s="2"/>
      <c r="J176" s="2"/>
      <c r="K176" s="2"/>
      <c r="L176" s="2"/>
      <c r="M176" s="2"/>
      <c r="N176" s="2"/>
      <c r="O176" s="2"/>
      <c r="P176" s="2"/>
    </row>
    <row r="177" spans="2:16">
      <c r="B177" s="2"/>
      <c r="C177" s="2" t="s">
        <v>3230</v>
      </c>
      <c r="D177" s="2"/>
      <c r="E177" s="2"/>
      <c r="F177" s="2"/>
      <c r="G177" s="2"/>
      <c r="H177" s="2"/>
      <c r="I177" s="2"/>
      <c r="J177" s="2"/>
      <c r="K177" s="2"/>
      <c r="L177" s="2"/>
      <c r="M177" s="2"/>
      <c r="N177" s="2"/>
      <c r="O177" s="2"/>
      <c r="P177" s="2"/>
    </row>
  </sheetData>
  <pageMargins left="0.75" right="0.75" top="1" bottom="1" header="0.5" footer="0.5"/>
  <pageSetup paperSize="9" orientation="portrait"/>
  <headerFooter/>
</worksheet>
</file>

<file path=xl/worksheets/sheet2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189"/>
  <sheetViews>
    <sheetView zoomScale="85" zoomScaleNormal="85" topLeftCell="A132" workbookViewId="0">
      <selection activeCell="B166" sqref="B166"/>
    </sheetView>
  </sheetViews>
  <sheetFormatPr defaultColWidth="8.88888888888889" defaultRowHeight="14.4" outlineLevelCol="7"/>
  <cols>
    <col min="1" max="1" width="9.66666666666667"/>
  </cols>
  <sheetData>
    <row r="1" spans="1:8">
      <c r="A1" s="1">
        <f>SUM(B1:AZ1)</f>
        <v>69.65</v>
      </c>
      <c r="B1" s="1">
        <f t="shared" ref="B1:H1" si="0">COUNTA(B2:B2124)/COLUMN()</f>
        <v>30</v>
      </c>
      <c r="C1" s="1">
        <f t="shared" si="0"/>
        <v>31</v>
      </c>
      <c r="D1" s="1">
        <f t="shared" si="0"/>
        <v>8.25</v>
      </c>
      <c r="E1" s="1">
        <f t="shared" si="0"/>
        <v>0.4</v>
      </c>
      <c r="F1" s="1">
        <f t="shared" si="0"/>
        <v>0</v>
      </c>
      <c r="G1" s="1">
        <f t="shared" si="0"/>
        <v>0</v>
      </c>
      <c r="H1" s="1">
        <f t="shared" si="0"/>
        <v>0</v>
      </c>
    </row>
    <row r="2" spans="1:8">
      <c r="A2" t="str" cm="1">
        <f ca="1" t="array" ref="A2">_wpsfn.SHEETSNAME(A1)</f>
        <v>20251119</v>
      </c>
      <c r="B2" t="s">
        <v>3231</v>
      </c>
    </row>
    <row r="3" spans="1:8">
      <c r="C3" t="s">
        <v>3232</v>
      </c>
    </row>
    <row r="4" spans="1:8">
      <c r="C4" t="s">
        <v>3233</v>
      </c>
    </row>
    <row r="5" spans="1:8">
      <c r="C5" t="s">
        <v>3234</v>
      </c>
    </row>
    <row r="6" spans="1:8">
      <c r="C6" t="s">
        <v>3235</v>
      </c>
    </row>
    <row r="7" spans="1:8">
      <c r="B7" t="s">
        <v>3236</v>
      </c>
    </row>
    <row r="8" spans="1:8">
      <c r="C8" t="s">
        <v>3237</v>
      </c>
    </row>
    <row r="9" spans="1:8">
      <c r="C9" t="s">
        <v>3238</v>
      </c>
    </row>
    <row r="10" spans="1:8">
      <c r="C10" t="s">
        <v>3239</v>
      </c>
    </row>
    <row r="11" spans="1:8">
      <c r="B11" t="s">
        <v>3240</v>
      </c>
    </row>
    <row r="12" spans="1:8">
      <c r="C12" t="s">
        <v>3241</v>
      </c>
    </row>
    <row r="13" spans="1:8">
      <c r="D13" t="s">
        <v>3242</v>
      </c>
    </row>
    <row r="14" spans="1:8">
      <c r="D14" t="s">
        <v>3243</v>
      </c>
    </row>
    <row r="15" spans="1:8">
      <c r="D15" t="s">
        <v>3244</v>
      </c>
    </row>
    <row r="16" spans="1:8">
      <c r="D16" t="s">
        <v>3245</v>
      </c>
    </row>
    <row r="17" spans="2:4">
      <c r="D17" t="s">
        <v>3246</v>
      </c>
    </row>
    <row r="18" spans="2:4">
      <c r="B18" t="s">
        <v>3247</v>
      </c>
    </row>
    <row r="19" spans="2:4">
      <c r="B19" t="s">
        <v>3248</v>
      </c>
    </row>
    <row r="20" spans="2:4">
      <c r="B20" t="s">
        <v>3249</v>
      </c>
    </row>
    <row r="21" spans="2:4">
      <c r="B21" t="s">
        <v>3250</v>
      </c>
    </row>
    <row r="22" spans="2:4">
      <c r="C22" t="s">
        <v>3251</v>
      </c>
    </row>
    <row r="23" spans="2:4">
      <c r="D23" t="s">
        <v>3252</v>
      </c>
    </row>
    <row r="24" spans="2:4">
      <c r="D24" t="s">
        <v>3253</v>
      </c>
    </row>
    <row r="25" spans="2:4">
      <c r="D25" t="s">
        <v>3254</v>
      </c>
    </row>
    <row r="26" spans="2:4">
      <c r="C26" t="s">
        <v>3255</v>
      </c>
    </row>
    <row r="27" spans="2:4">
      <c r="D27" t="s">
        <v>3256</v>
      </c>
    </row>
    <row r="28" spans="2:4">
      <c r="D28" t="s">
        <v>3257</v>
      </c>
    </row>
    <row r="29" spans="2:4">
      <c r="D29" t="s">
        <v>3258</v>
      </c>
    </row>
    <row r="30" spans="2:4">
      <c r="C30" t="s">
        <v>3259</v>
      </c>
    </row>
    <row r="31" spans="2:4">
      <c r="D31" t="s">
        <v>3260</v>
      </c>
    </row>
    <row r="32" spans="2:4">
      <c r="D32" t="s">
        <v>3261</v>
      </c>
    </row>
    <row r="33" spans="3:5">
      <c r="D33" t="s">
        <v>3262</v>
      </c>
    </row>
    <row r="34" spans="3:5">
      <c r="C34" t="s">
        <v>3263</v>
      </c>
    </row>
    <row r="35" spans="3:5">
      <c r="D35" t="s">
        <v>3264</v>
      </c>
    </row>
    <row r="36" spans="3:5">
      <c r="E36" t="s">
        <v>3265</v>
      </c>
    </row>
    <row r="37" spans="3:5">
      <c r="D37" t="s">
        <v>3266</v>
      </c>
    </row>
    <row r="38" spans="3:5">
      <c r="D38" t="s">
        <v>3267</v>
      </c>
    </row>
    <row r="39" spans="3:5">
      <c r="C39" t="s">
        <v>3268</v>
      </c>
    </row>
    <row r="40" spans="3:5">
      <c r="C40" t="s">
        <v>3269</v>
      </c>
    </row>
    <row r="41" spans="3:5">
      <c r="C41" t="s">
        <v>3270</v>
      </c>
    </row>
    <row r="42" spans="3:5">
      <c r="D42" t="s">
        <v>3271</v>
      </c>
    </row>
    <row r="43" spans="3:5">
      <c r="D43" t="s">
        <v>3272</v>
      </c>
    </row>
    <row r="44" spans="3:5">
      <c r="D44" t="s">
        <v>3273</v>
      </c>
    </row>
    <row r="45" spans="3:5">
      <c r="C45" t="s">
        <v>3274</v>
      </c>
    </row>
    <row r="46" spans="3:5">
      <c r="D46" t="s">
        <v>3275</v>
      </c>
    </row>
    <row r="47" spans="3:5">
      <c r="D47" t="s">
        <v>3276</v>
      </c>
    </row>
    <row r="48" spans="3:5">
      <c r="D48" t="s">
        <v>3277</v>
      </c>
    </row>
    <row r="49" spans="2:3">
      <c r="B49" t="s">
        <v>3278</v>
      </c>
    </row>
    <row r="50" spans="2:3">
      <c r="C50" t="s">
        <v>3279</v>
      </c>
    </row>
    <row r="51" spans="2:3">
      <c r="B51" t="s">
        <v>3280</v>
      </c>
    </row>
    <row r="52" spans="2:3">
      <c r="C52" t="s">
        <v>3281</v>
      </c>
    </row>
    <row r="53" spans="2:3">
      <c r="B53" t="s">
        <v>3282</v>
      </c>
    </row>
    <row r="54" spans="2:3">
      <c r="B54" t="s">
        <v>3283</v>
      </c>
    </row>
    <row r="55" spans="2:3">
      <c r="C55" t="s">
        <v>3284</v>
      </c>
    </row>
    <row r="56" spans="2:3">
      <c r="C56" t="s">
        <v>3285</v>
      </c>
    </row>
    <row r="57" spans="2:3">
      <c r="B57" t="s">
        <v>3286</v>
      </c>
    </row>
    <row r="58" spans="2:3">
      <c r="B58" t="s">
        <v>3287</v>
      </c>
    </row>
    <row r="59" spans="2:3">
      <c r="B59" t="s">
        <v>3288</v>
      </c>
    </row>
    <row r="60" spans="2:3">
      <c r="C60" t="s">
        <v>3289</v>
      </c>
    </row>
    <row r="61" spans="2:3">
      <c r="C61" t="s">
        <v>3290</v>
      </c>
    </row>
    <row r="62" spans="2:3">
      <c r="C62" t="s">
        <v>3291</v>
      </c>
    </row>
    <row r="63" spans="2:3">
      <c r="C63" t="s">
        <v>3292</v>
      </c>
    </row>
    <row r="64" spans="2:3">
      <c r="B64" t="s">
        <v>3293</v>
      </c>
    </row>
    <row r="65" spans="2:3">
      <c r="B65" t="s">
        <v>3294</v>
      </c>
    </row>
    <row r="66" spans="2:3">
      <c r="C66" t="s">
        <v>3295</v>
      </c>
    </row>
    <row r="67" spans="2:3">
      <c r="C67" t="s">
        <v>3296</v>
      </c>
    </row>
    <row r="68" spans="2:3">
      <c r="C68" t="s">
        <v>3297</v>
      </c>
    </row>
    <row r="69" spans="2:3">
      <c r="B69" t="s">
        <v>3298</v>
      </c>
    </row>
    <row r="70" spans="2:3">
      <c r="B70" t="s">
        <v>3299</v>
      </c>
    </row>
    <row r="71" spans="2:3">
      <c r="B71" t="s">
        <v>3300</v>
      </c>
    </row>
    <row r="72" spans="2:3">
      <c r="B72" t="s">
        <v>3301</v>
      </c>
    </row>
    <row r="73" spans="2:3">
      <c r="C73" t="s">
        <v>3302</v>
      </c>
    </row>
    <row r="74" spans="2:3">
      <c r="C74" t="s">
        <v>3303</v>
      </c>
    </row>
    <row r="75" spans="2:3">
      <c r="B75" t="s">
        <v>3304</v>
      </c>
    </row>
    <row r="76" spans="2:3">
      <c r="B76" t="s">
        <v>3305</v>
      </c>
    </row>
    <row r="77" spans="2:3">
      <c r="C77" t="s">
        <v>3306</v>
      </c>
    </row>
    <row r="78" spans="2:3">
      <c r="C78" t="s">
        <v>3307</v>
      </c>
    </row>
    <row r="79" spans="2:3">
      <c r="B79" t="s">
        <v>3308</v>
      </c>
    </row>
    <row r="80" spans="2:3">
      <c r="C80" t="s">
        <v>3309</v>
      </c>
    </row>
    <row r="81" spans="2:4">
      <c r="C81" t="s">
        <v>3310</v>
      </c>
    </row>
    <row r="82" spans="2:4">
      <c r="C82" t="s">
        <v>3311</v>
      </c>
    </row>
    <row r="83" spans="2:4">
      <c r="B83" t="s">
        <v>3312</v>
      </c>
    </row>
    <row r="84" spans="2:4">
      <c r="C84" t="s">
        <v>3313</v>
      </c>
    </row>
    <row r="85" spans="2:4">
      <c r="C85" t="s">
        <v>3314</v>
      </c>
    </row>
    <row r="86" spans="2:4">
      <c r="C86" t="s">
        <v>3315</v>
      </c>
    </row>
    <row r="87" spans="2:4">
      <c r="C87" t="s">
        <v>3316</v>
      </c>
    </row>
    <row r="88" spans="2:4">
      <c r="B88" t="s">
        <v>3317</v>
      </c>
    </row>
    <row r="89" spans="2:4">
      <c r="C89" t="s">
        <v>3318</v>
      </c>
    </row>
    <row r="90" spans="2:4">
      <c r="C90" t="s">
        <v>3319</v>
      </c>
    </row>
    <row r="91" spans="2:4">
      <c r="C91" t="s">
        <v>3320</v>
      </c>
    </row>
    <row r="92" spans="2:4">
      <c r="C92" t="s">
        <v>3321</v>
      </c>
    </row>
    <row r="93" spans="2:4">
      <c r="B93" t="s">
        <v>3322</v>
      </c>
    </row>
    <row r="94" spans="2:4">
      <c r="C94" t="s">
        <v>3323</v>
      </c>
    </row>
    <row r="95" spans="2:4">
      <c r="D95" t="s">
        <v>3324</v>
      </c>
    </row>
    <row r="96" spans="2:4">
      <c r="D96" t="s">
        <v>3325</v>
      </c>
    </row>
    <row r="97" spans="2:4">
      <c r="C97" t="s">
        <v>3326</v>
      </c>
    </row>
    <row r="98" spans="2:4">
      <c r="C98" t="s">
        <v>3327</v>
      </c>
    </row>
    <row r="99" spans="2:4">
      <c r="C99" t="s">
        <v>3328</v>
      </c>
    </row>
    <row r="100" spans="2:4">
      <c r="B100" t="s">
        <v>3329</v>
      </c>
    </row>
    <row r="101" spans="2:4">
      <c r="B101" t="s">
        <v>3330</v>
      </c>
    </row>
    <row r="102" spans="2:4">
      <c r="C102" t="s">
        <v>3331</v>
      </c>
    </row>
    <row r="103" spans="2:4">
      <c r="C103" t="s">
        <v>3332</v>
      </c>
    </row>
    <row r="104" spans="2:4">
      <c r="C104" t="s">
        <v>3333</v>
      </c>
    </row>
    <row r="105" spans="2:4">
      <c r="B105" t="s">
        <v>3334</v>
      </c>
    </row>
    <row r="106" spans="2:4">
      <c r="C106" t="s">
        <v>3335</v>
      </c>
    </row>
    <row r="107" spans="2:4">
      <c r="C107" t="s">
        <v>3336</v>
      </c>
    </row>
    <row r="108" spans="2:4">
      <c r="C108" t="s">
        <v>3337</v>
      </c>
    </row>
    <row r="109" spans="2:4">
      <c r="C109" t="s">
        <v>3338</v>
      </c>
    </row>
    <row r="110" spans="2:4">
      <c r="D110" t="s">
        <v>3339</v>
      </c>
    </row>
    <row r="111" spans="2:4">
      <c r="D111" t="s">
        <v>3340</v>
      </c>
    </row>
    <row r="112" spans="2:4">
      <c r="B112" t="s">
        <v>3341</v>
      </c>
    </row>
    <row r="113" spans="2:3">
      <c r="B113" t="s">
        <v>3342</v>
      </c>
    </row>
    <row r="114" spans="2:3">
      <c r="B114" t="s">
        <v>3343</v>
      </c>
    </row>
    <row r="115" spans="2:3">
      <c r="B115" t="s">
        <v>3344</v>
      </c>
    </row>
    <row r="116" spans="2:3">
      <c r="C116" t="s">
        <v>3345</v>
      </c>
    </row>
    <row r="117" spans="2:3">
      <c r="C117" t="s">
        <v>3346</v>
      </c>
    </row>
    <row r="118" spans="2:3">
      <c r="C118" t="s">
        <v>3347</v>
      </c>
    </row>
    <row r="119" spans="2:3">
      <c r="B119" t="s">
        <v>3348</v>
      </c>
    </row>
    <row r="120" spans="2:3">
      <c r="C120" t="s">
        <v>3349</v>
      </c>
    </row>
    <row r="121" spans="2:3">
      <c r="B121" t="s">
        <v>3350</v>
      </c>
    </row>
    <row r="122" spans="2:3">
      <c r="B122" t="s">
        <v>3351</v>
      </c>
    </row>
    <row r="123" spans="2:3">
      <c r="C123" t="s">
        <v>3352</v>
      </c>
    </row>
    <row r="124" spans="2:3">
      <c r="B124" t="s">
        <v>3353</v>
      </c>
    </row>
    <row r="125" spans="2:3">
      <c r="B125" t="s">
        <v>3354</v>
      </c>
    </row>
    <row r="126" spans="2:3">
      <c r="B126" t="s">
        <v>3355</v>
      </c>
    </row>
    <row r="127" spans="2:3">
      <c r="B127" t="s">
        <v>3356</v>
      </c>
    </row>
    <row r="128" spans="2:3">
      <c r="B128" t="s">
        <v>3357</v>
      </c>
    </row>
    <row r="129" spans="2:5">
      <c r="C129" t="s">
        <v>3358</v>
      </c>
    </row>
    <row r="130" spans="2:5">
      <c r="C130" t="s">
        <v>3359</v>
      </c>
    </row>
    <row r="131" spans="2:5">
      <c r="C131" t="s">
        <v>3360</v>
      </c>
    </row>
    <row r="132" spans="2:5">
      <c r="C132" t="s">
        <v>3361</v>
      </c>
    </row>
    <row r="133" spans="2:5">
      <c r="B133" t="s">
        <v>3362</v>
      </c>
    </row>
    <row r="134" spans="2:5">
      <c r="C134" t="s">
        <v>3363</v>
      </c>
    </row>
    <row r="135" spans="2:5">
      <c r="C135" t="s">
        <v>3364</v>
      </c>
    </row>
    <row r="136" spans="2:5">
      <c r="C136" t="s">
        <v>3365</v>
      </c>
    </row>
    <row r="137" spans="2:5">
      <c r="D137" t="s">
        <v>3366</v>
      </c>
    </row>
    <row r="138" spans="2:5">
      <c r="E138" t="s">
        <v>3367</v>
      </c>
    </row>
    <row r="139" spans="2:5">
      <c r="D139" t="s">
        <v>3368</v>
      </c>
    </row>
    <row r="140" spans="2:5">
      <c r="B140" t="s">
        <v>3369</v>
      </c>
    </row>
    <row r="141" spans="2:5">
      <c r="C141" t="s">
        <v>3370</v>
      </c>
    </row>
    <row r="142" spans="2:5">
      <c r="C142" t="s">
        <v>3371</v>
      </c>
    </row>
    <row r="143" spans="2:5">
      <c r="C143" t="s">
        <v>3372</v>
      </c>
    </row>
    <row r="144" spans="2:5">
      <c r="C144" t="s">
        <v>3373</v>
      </c>
    </row>
    <row r="145" spans="2:4">
      <c r="B145" t="s">
        <v>3374</v>
      </c>
    </row>
    <row r="146" spans="2:4">
      <c r="C146" t="s">
        <v>3375</v>
      </c>
    </row>
    <row r="147" spans="2:4">
      <c r="B147" t="s">
        <v>3376</v>
      </c>
    </row>
    <row r="148" spans="2:4">
      <c r="B148" t="s">
        <v>3377</v>
      </c>
    </row>
    <row r="149" spans="2:4">
      <c r="B149" t="s">
        <v>3378</v>
      </c>
    </row>
    <row r="150" spans="2:4">
      <c r="C150" t="s">
        <v>3379</v>
      </c>
    </row>
    <row r="151" spans="2:4">
      <c r="C151" t="s">
        <v>3380</v>
      </c>
    </row>
    <row r="152" spans="2:4">
      <c r="C152" t="s">
        <v>3381</v>
      </c>
    </row>
    <row r="153" spans="2:4">
      <c r="C153" t="s">
        <v>3382</v>
      </c>
    </row>
    <row r="154" spans="2:4">
      <c r="B154" t="s">
        <v>3383</v>
      </c>
    </row>
    <row r="155" spans="2:4">
      <c r="B155" t="s">
        <v>3384</v>
      </c>
    </row>
    <row r="156" spans="2:4">
      <c r="C156" t="s">
        <v>3385</v>
      </c>
    </row>
    <row r="157" spans="2:4">
      <c r="C157" t="s">
        <v>3386</v>
      </c>
    </row>
    <row r="158" spans="2:4">
      <c r="D158" t="s">
        <v>3387</v>
      </c>
    </row>
    <row r="159" spans="2:4">
      <c r="C159" t="s">
        <v>3388</v>
      </c>
    </row>
    <row r="160" spans="2:4">
      <c r="C160" t="s">
        <v>3389</v>
      </c>
    </row>
    <row r="161" spans="2:4">
      <c r="D161" t="s">
        <v>3390</v>
      </c>
    </row>
    <row r="162" spans="2:4">
      <c r="D162" t="s">
        <v>3391</v>
      </c>
    </row>
    <row r="163" spans="2:4">
      <c r="D163" t="s">
        <v>3392</v>
      </c>
    </row>
    <row r="164" spans="2:4">
      <c r="C164" t="s">
        <v>3393</v>
      </c>
    </row>
    <row r="165" spans="2:4">
      <c r="B165" t="s">
        <v>3394</v>
      </c>
    </row>
    <row r="166" spans="2:4">
      <c r="B166" t="s">
        <v>3395</v>
      </c>
    </row>
    <row r="167" spans="2:4">
      <c r="C167" t="s">
        <v>3396</v>
      </c>
    </row>
    <row r="168" spans="2:4">
      <c r="C168" t="s">
        <v>3397</v>
      </c>
    </row>
    <row r="169" spans="2:4">
      <c r="C169" t="s">
        <v>3398</v>
      </c>
    </row>
    <row r="170" spans="2:4">
      <c r="B170" t="s">
        <v>3399</v>
      </c>
    </row>
    <row r="171" spans="2:4">
      <c r="B171" t="s">
        <v>3400</v>
      </c>
    </row>
    <row r="172" spans="2:4">
      <c r="B172" t="s">
        <v>3401</v>
      </c>
    </row>
    <row r="173" spans="2:4">
      <c r="C173" t="s">
        <v>3402</v>
      </c>
    </row>
    <row r="174" spans="2:4">
      <c r="C174" t="s">
        <v>3403</v>
      </c>
    </row>
    <row r="175" spans="2:4">
      <c r="C175" t="s">
        <v>3404</v>
      </c>
    </row>
    <row r="176" spans="2:4">
      <c r="B176" t="s">
        <v>3405</v>
      </c>
    </row>
    <row r="177" spans="2:3">
      <c r="C177" t="s">
        <v>3406</v>
      </c>
    </row>
    <row r="178" spans="2:3">
      <c r="C178" t="s">
        <v>3407</v>
      </c>
    </row>
    <row r="179" spans="2:3">
      <c r="C179" t="s">
        <v>3408</v>
      </c>
    </row>
    <row r="180" spans="2:3">
      <c r="B180" t="s">
        <v>3409</v>
      </c>
    </row>
    <row r="181" spans="2:3">
      <c r="B181" t="s">
        <v>3410</v>
      </c>
    </row>
    <row r="182" spans="2:3">
      <c r="B182" t="s">
        <v>3411</v>
      </c>
    </row>
    <row r="183" spans="2:3">
      <c r="B183" t="s">
        <v>3412</v>
      </c>
    </row>
    <row r="184" spans="2:3">
      <c r="C184" t="s">
        <v>3413</v>
      </c>
    </row>
    <row r="185" spans="2:3">
      <c r="C185" t="s">
        <v>3414</v>
      </c>
    </row>
    <row r="186" spans="2:3">
      <c r="C186" t="s">
        <v>3415</v>
      </c>
    </row>
    <row r="187" spans="2:3">
      <c r="C187" t="s">
        <v>3416</v>
      </c>
    </row>
    <row r="188" spans="2:3">
      <c r="B188" t="s">
        <v>3417</v>
      </c>
    </row>
    <row r="189" spans="2:3">
      <c r="C189" t="s">
        <v>3418</v>
      </c>
    </row>
  </sheetData>
  <pageMargins left="0.75" right="0.75" top="1" bottom="1" header="0.5" footer="0.5"/>
  <pageSetup paperSize="9" orientation="portrait"/>
  <headerFooter/>
</worksheet>
</file>

<file path=xl/worksheets/sheet2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M265"/>
  <sheetViews>
    <sheetView zoomScale="70" zoomScaleNormal="70" topLeftCell="A202" workbookViewId="0">
      <selection activeCell="B243" sqref="B243"/>
    </sheetView>
  </sheetViews>
  <sheetFormatPr defaultColWidth="8.88888888888889" defaultRowHeight="14.4"/>
  <cols>
    <col min="1" max="1" width="9.66666666666667"/>
  </cols>
  <sheetData>
    <row r="1" spans="1:13">
      <c r="A1" s="1">
        <f>SUM(B1:AZ1)</f>
        <v>99.35</v>
      </c>
      <c r="B1" s="1">
        <f t="shared" ref="B1:H1" si="0">COUNTA(B2:B2134)/COLUMN()</f>
        <v>47</v>
      </c>
      <c r="C1" s="1">
        <f t="shared" si="0"/>
        <v>40</v>
      </c>
      <c r="D1" s="1">
        <f t="shared" si="0"/>
        <v>11.75</v>
      </c>
      <c r="E1" s="1">
        <f t="shared" si="0"/>
        <v>0.6</v>
      </c>
      <c r="F1" s="1">
        <f t="shared" si="0"/>
        <v>0</v>
      </c>
      <c r="G1" s="1">
        <f t="shared" si="0"/>
        <v>0</v>
      </c>
      <c r="H1" s="1">
        <f t="shared" si="0"/>
        <v>0</v>
      </c>
    </row>
    <row r="2" spans="1:13">
      <c r="A2" t="str" cm="1">
        <f ca="1" t="array" ref="A2">_wpsfn.SHEETSNAME(A1)</f>
        <v>20251120</v>
      </c>
      <c r="B2" s="2" t="s">
        <v>3419</v>
      </c>
      <c r="C2" s="2"/>
      <c r="D2" s="2"/>
      <c r="E2" s="2"/>
      <c r="F2" s="2"/>
      <c r="G2" s="2"/>
      <c r="H2" s="2"/>
      <c r="I2" s="2"/>
      <c r="J2" s="2"/>
      <c r="K2" s="2"/>
      <c r="L2" s="2"/>
      <c r="M2" s="2"/>
    </row>
    <row r="3" spans="1:13">
      <c r="B3" s="2"/>
      <c r="C3" s="2" t="s">
        <v>3420</v>
      </c>
      <c r="D3" s="2"/>
      <c r="E3" s="2"/>
      <c r="F3" s="2"/>
      <c r="G3" s="2"/>
      <c r="H3" s="2"/>
      <c r="I3" s="2"/>
      <c r="J3" s="2"/>
      <c r="K3" s="2"/>
      <c r="L3" s="2"/>
      <c r="M3" s="2"/>
    </row>
    <row r="4" spans="1:13">
      <c r="B4" s="2"/>
      <c r="C4" s="2" t="s">
        <v>3421</v>
      </c>
      <c r="D4" s="2"/>
      <c r="E4" s="2"/>
      <c r="F4" s="2"/>
      <c r="G4" s="2"/>
      <c r="H4" s="2"/>
      <c r="I4" s="2"/>
      <c r="J4" s="2"/>
      <c r="K4" s="2"/>
      <c r="L4" s="2"/>
      <c r="M4" s="2"/>
    </row>
    <row r="5" spans="1:13">
      <c r="B5" s="2"/>
      <c r="C5" s="2" t="s">
        <v>3422</v>
      </c>
      <c r="D5" s="2"/>
      <c r="E5" s="2"/>
      <c r="F5" s="2"/>
      <c r="G5" s="2"/>
      <c r="H5" s="2"/>
      <c r="I5" s="2"/>
      <c r="J5" s="2"/>
      <c r="K5" s="2"/>
      <c r="L5" s="2"/>
      <c r="M5" s="2"/>
    </row>
    <row r="6" spans="1:13">
      <c r="B6" s="2"/>
      <c r="C6" s="2" t="s">
        <v>3423</v>
      </c>
      <c r="D6" s="2"/>
      <c r="E6" s="2"/>
      <c r="F6" s="2"/>
      <c r="G6" s="2"/>
      <c r="H6" s="2"/>
      <c r="I6" s="2"/>
      <c r="J6" s="2"/>
      <c r="K6" s="2"/>
      <c r="L6" s="2"/>
      <c r="M6" s="2"/>
    </row>
    <row r="7" spans="1:13">
      <c r="B7" s="2" t="s">
        <v>3424</v>
      </c>
      <c r="C7" s="2"/>
      <c r="D7" s="2"/>
      <c r="E7" s="2"/>
      <c r="F7" s="2"/>
      <c r="G7" s="2"/>
      <c r="H7" s="2"/>
      <c r="I7" s="2"/>
      <c r="J7" s="2"/>
      <c r="K7" s="2"/>
      <c r="L7" s="2"/>
      <c r="M7" s="2"/>
    </row>
    <row r="8" spans="1:13">
      <c r="B8" s="2" t="s">
        <v>3425</v>
      </c>
      <c r="C8" s="2"/>
      <c r="D8" s="2"/>
      <c r="E8" s="2"/>
      <c r="F8" s="2"/>
      <c r="G8" s="2"/>
      <c r="H8" s="2"/>
      <c r="I8" s="2"/>
      <c r="J8" s="2"/>
      <c r="K8" s="2"/>
      <c r="L8" s="2"/>
      <c r="M8" s="2"/>
    </row>
    <row r="9" spans="1:13">
      <c r="B9" s="2" t="s">
        <v>3426</v>
      </c>
      <c r="C9" s="2"/>
      <c r="D9" s="2"/>
      <c r="E9" s="2"/>
      <c r="F9" s="2"/>
      <c r="G9" s="2"/>
      <c r="H9" s="2"/>
      <c r="I9" s="2"/>
      <c r="J9" s="2"/>
      <c r="K9" s="2"/>
      <c r="L9" s="2"/>
      <c r="M9" s="2"/>
    </row>
    <row r="10" spans="1:13">
      <c r="B10" s="2" t="s">
        <v>3427</v>
      </c>
      <c r="C10" s="2"/>
      <c r="D10" s="2"/>
      <c r="E10" s="2"/>
      <c r="F10" s="2"/>
      <c r="G10" s="2"/>
      <c r="H10" s="2"/>
      <c r="I10" s="2"/>
      <c r="J10" s="2"/>
      <c r="K10" s="2"/>
      <c r="L10" s="2"/>
      <c r="M10" s="2"/>
    </row>
    <row r="11" spans="1:13">
      <c r="B11" s="2" t="s">
        <v>3428</v>
      </c>
      <c r="C11" s="2"/>
      <c r="D11" s="2"/>
      <c r="E11" s="2"/>
      <c r="F11" s="2"/>
      <c r="G11" s="2"/>
      <c r="H11" s="2"/>
      <c r="I11" s="2"/>
      <c r="J11" s="2"/>
      <c r="K11" s="2"/>
      <c r="L11" s="2"/>
      <c r="M11" s="2"/>
    </row>
    <row r="12" spans="1:13">
      <c r="B12" s="2"/>
      <c r="C12" s="2" t="s">
        <v>3429</v>
      </c>
      <c r="D12" s="2"/>
      <c r="E12" s="2"/>
      <c r="F12" s="2"/>
      <c r="G12" s="2"/>
      <c r="H12" s="2"/>
      <c r="I12" s="2"/>
      <c r="J12" s="2"/>
      <c r="K12" s="2"/>
      <c r="L12" s="2"/>
      <c r="M12" s="2"/>
    </row>
    <row r="13" spans="1:13">
      <c r="B13" s="2"/>
      <c r="C13" s="2" t="s">
        <v>3430</v>
      </c>
      <c r="D13" s="2"/>
      <c r="E13" s="2"/>
      <c r="F13" s="2"/>
      <c r="G13" s="2"/>
      <c r="H13" s="2"/>
      <c r="I13" s="2"/>
      <c r="J13" s="2"/>
      <c r="K13" s="2"/>
      <c r="L13" s="2"/>
      <c r="M13" s="2"/>
    </row>
    <row r="14" spans="1:13">
      <c r="B14" s="2"/>
      <c r="C14" s="2"/>
      <c r="D14" s="2" t="s">
        <v>3431</v>
      </c>
      <c r="E14" s="2"/>
      <c r="F14" s="2"/>
      <c r="G14" s="2"/>
      <c r="H14" s="2"/>
      <c r="I14" s="2"/>
      <c r="J14" s="2"/>
      <c r="K14" s="2"/>
      <c r="L14" s="2"/>
      <c r="M14" s="2"/>
    </row>
    <row r="15" spans="1:13">
      <c r="B15" s="2"/>
      <c r="C15" s="2"/>
      <c r="D15" s="2" t="s">
        <v>3432</v>
      </c>
      <c r="E15" s="2"/>
      <c r="F15" s="2"/>
      <c r="G15" s="2"/>
      <c r="H15" s="2"/>
      <c r="I15" s="2"/>
      <c r="J15" s="2"/>
      <c r="K15" s="2"/>
      <c r="L15" s="2"/>
      <c r="M15" s="2"/>
    </row>
    <row r="16" spans="1:13">
      <c r="B16" s="2" t="s">
        <v>3433</v>
      </c>
      <c r="C16" s="2"/>
      <c r="D16" s="2"/>
      <c r="E16" s="2"/>
      <c r="F16" s="2"/>
      <c r="G16" s="2"/>
      <c r="H16" s="2"/>
      <c r="I16" s="2"/>
      <c r="J16" s="2"/>
      <c r="K16" s="2"/>
      <c r="L16" s="2"/>
      <c r="M16" s="2"/>
    </row>
    <row r="17" spans="2:13">
      <c r="B17" s="2"/>
      <c r="C17" s="2" t="s">
        <v>3434</v>
      </c>
      <c r="D17" s="2"/>
      <c r="E17" s="2"/>
      <c r="F17" s="2"/>
      <c r="G17" s="2"/>
      <c r="H17" s="2"/>
      <c r="I17" s="2"/>
      <c r="J17" s="2"/>
      <c r="K17" s="2"/>
      <c r="L17" s="2"/>
      <c r="M17" s="2"/>
    </row>
    <row r="18" spans="2:13">
      <c r="B18" s="2"/>
      <c r="C18" s="2" t="s">
        <v>3435</v>
      </c>
      <c r="D18" s="2"/>
      <c r="E18" s="2"/>
      <c r="F18" s="2"/>
      <c r="G18" s="2"/>
      <c r="H18" s="2"/>
      <c r="I18" s="2"/>
      <c r="J18" s="2"/>
      <c r="K18" s="2"/>
      <c r="L18" s="2"/>
      <c r="M18" s="2"/>
    </row>
    <row r="19" spans="2:13">
      <c r="B19" s="2"/>
      <c r="C19" s="2" t="s">
        <v>3436</v>
      </c>
      <c r="D19" s="2"/>
      <c r="E19" s="2"/>
      <c r="F19" s="2"/>
      <c r="G19" s="2"/>
      <c r="H19" s="2"/>
      <c r="I19" s="2"/>
      <c r="J19" s="2"/>
      <c r="K19" s="2"/>
      <c r="L19" s="2"/>
      <c r="M19" s="2"/>
    </row>
    <row r="20" spans="2:13">
      <c r="B20" s="2" t="s">
        <v>3437</v>
      </c>
      <c r="C20" s="2"/>
      <c r="D20" s="2"/>
      <c r="E20" s="2"/>
      <c r="F20" s="2"/>
      <c r="G20" s="2"/>
      <c r="H20" s="2"/>
      <c r="I20" s="2"/>
      <c r="J20" s="2"/>
      <c r="K20" s="2"/>
      <c r="L20" s="2"/>
      <c r="M20" s="2"/>
    </row>
    <row r="21" spans="2:13">
      <c r="B21" s="2" t="s">
        <v>3438</v>
      </c>
      <c r="C21" s="2"/>
      <c r="D21" s="2"/>
      <c r="E21" s="2"/>
      <c r="F21" s="2"/>
      <c r="G21" s="2"/>
      <c r="H21" s="2"/>
      <c r="I21" s="2"/>
      <c r="J21" s="2"/>
      <c r="K21" s="2"/>
      <c r="L21" s="2"/>
      <c r="M21" s="2"/>
    </row>
    <row r="22" spans="2:13">
      <c r="B22" s="2" t="s">
        <v>3439</v>
      </c>
      <c r="C22" s="2"/>
      <c r="D22" s="2"/>
      <c r="E22" s="2"/>
      <c r="F22" s="2"/>
      <c r="G22" s="2"/>
      <c r="H22" s="2"/>
      <c r="I22" s="2"/>
      <c r="J22" s="2"/>
      <c r="K22" s="2"/>
      <c r="L22" s="2"/>
      <c r="M22" s="2"/>
    </row>
    <row r="23" spans="2:13">
      <c r="B23" s="2"/>
      <c r="C23" s="2" t="s">
        <v>3440</v>
      </c>
      <c r="D23" s="2"/>
      <c r="E23" s="2"/>
      <c r="F23" s="2"/>
      <c r="G23" s="2"/>
      <c r="H23" s="2"/>
      <c r="I23" s="2"/>
      <c r="J23" s="2"/>
      <c r="K23" s="2"/>
      <c r="L23" s="2"/>
      <c r="M23" s="2"/>
    </row>
    <row r="24" spans="2:13">
      <c r="B24" s="2"/>
      <c r="C24" s="2" t="s">
        <v>3441</v>
      </c>
      <c r="D24" s="2"/>
      <c r="E24" s="2"/>
      <c r="F24" s="2"/>
      <c r="G24" s="2"/>
      <c r="H24" s="2"/>
      <c r="I24" s="2"/>
      <c r="J24" s="2"/>
      <c r="K24" s="2"/>
      <c r="L24" s="2"/>
      <c r="M24" s="2"/>
    </row>
    <row r="25" spans="2:13">
      <c r="B25" s="2"/>
      <c r="C25" s="2"/>
      <c r="D25" s="2" t="s">
        <v>3442</v>
      </c>
      <c r="E25" s="2"/>
      <c r="F25" s="2"/>
      <c r="G25" s="2"/>
      <c r="H25" s="2"/>
      <c r="I25" s="2"/>
      <c r="J25" s="2"/>
      <c r="K25" s="2"/>
      <c r="L25" s="2"/>
      <c r="M25" s="2"/>
    </row>
    <row r="26" spans="2:13">
      <c r="B26" s="2" t="s">
        <v>3443</v>
      </c>
      <c r="C26" s="2"/>
      <c r="D26" s="2"/>
      <c r="E26" s="2"/>
      <c r="F26" s="2"/>
      <c r="G26" s="2"/>
      <c r="H26" s="2"/>
      <c r="I26" s="2"/>
      <c r="J26" s="2"/>
      <c r="K26" s="2"/>
      <c r="L26" s="2"/>
      <c r="M26" s="2"/>
    </row>
    <row r="27" spans="2:13">
      <c r="B27" s="2" t="s">
        <v>3444</v>
      </c>
      <c r="C27" s="2"/>
      <c r="D27" s="2"/>
      <c r="E27" s="2"/>
      <c r="F27" s="2"/>
      <c r="G27" s="2"/>
      <c r="H27" s="2"/>
      <c r="I27" s="2"/>
      <c r="J27" s="2"/>
      <c r="K27" s="2"/>
      <c r="L27" s="2"/>
      <c r="M27" s="2"/>
    </row>
    <row r="28" spans="2:13">
      <c r="B28" s="2" t="s">
        <v>3445</v>
      </c>
      <c r="C28" s="2"/>
      <c r="D28" s="2"/>
      <c r="E28" s="2"/>
      <c r="F28" s="2"/>
      <c r="G28" s="2"/>
      <c r="H28" s="2"/>
      <c r="I28" s="2"/>
      <c r="J28" s="2"/>
      <c r="K28" s="2"/>
      <c r="L28" s="2"/>
      <c r="M28" s="2"/>
    </row>
    <row r="29" spans="2:13">
      <c r="B29" s="2" t="s">
        <v>3446</v>
      </c>
      <c r="C29" s="2"/>
      <c r="D29" s="2"/>
      <c r="E29" s="2"/>
      <c r="F29" s="2"/>
      <c r="G29" s="2"/>
      <c r="H29" s="2"/>
      <c r="I29" s="2"/>
      <c r="J29" s="2"/>
      <c r="K29" s="2"/>
      <c r="L29" s="2"/>
      <c r="M29" s="2"/>
    </row>
    <row r="30" spans="2:13">
      <c r="B30" s="2"/>
      <c r="C30" s="2" t="s">
        <v>3447</v>
      </c>
      <c r="D30" s="2"/>
      <c r="E30" s="2"/>
      <c r="F30" s="2"/>
      <c r="G30" s="2"/>
      <c r="H30" s="2"/>
      <c r="I30" s="2"/>
      <c r="J30" s="2"/>
      <c r="K30" s="2"/>
      <c r="L30" s="2"/>
      <c r="M30" s="2"/>
    </row>
    <row r="31" spans="2:13">
      <c r="B31" s="2"/>
      <c r="C31" s="2" t="s">
        <v>3448</v>
      </c>
      <c r="D31" s="2"/>
      <c r="E31" s="2"/>
      <c r="F31" s="2"/>
      <c r="G31" s="2"/>
      <c r="H31" s="2"/>
      <c r="I31" s="2"/>
      <c r="J31" s="2"/>
      <c r="K31" s="2"/>
      <c r="L31" s="2"/>
      <c r="M31" s="2"/>
    </row>
    <row r="32" spans="2:13">
      <c r="B32" s="2" t="s">
        <v>3449</v>
      </c>
      <c r="C32" s="2"/>
      <c r="D32" s="2"/>
      <c r="E32" s="2"/>
      <c r="F32" s="2"/>
      <c r="G32" s="2"/>
      <c r="H32" s="2"/>
      <c r="I32" s="2"/>
      <c r="J32" s="2"/>
      <c r="K32" s="2"/>
      <c r="L32" s="2"/>
      <c r="M32" s="2"/>
    </row>
    <row r="33" spans="2:13">
      <c r="B33" s="2"/>
      <c r="C33" s="2" t="s">
        <v>3450</v>
      </c>
      <c r="D33" s="2"/>
      <c r="E33" s="2"/>
      <c r="F33" s="2"/>
      <c r="G33" s="2"/>
      <c r="H33" s="2"/>
      <c r="I33" s="2"/>
      <c r="J33" s="2"/>
      <c r="K33" s="2"/>
      <c r="L33" s="2"/>
      <c r="M33" s="2"/>
    </row>
    <row r="34" spans="2:13">
      <c r="B34" s="2"/>
      <c r="C34" s="2" t="s">
        <v>3451</v>
      </c>
      <c r="D34" s="2"/>
      <c r="E34" s="2"/>
      <c r="F34" s="2"/>
      <c r="G34" s="2"/>
      <c r="H34" s="2"/>
      <c r="I34" s="2"/>
      <c r="J34" s="2"/>
      <c r="K34" s="2"/>
      <c r="L34" s="2"/>
      <c r="M34" s="2"/>
    </row>
    <row r="35" spans="2:13">
      <c r="B35" s="2" t="s">
        <v>3452</v>
      </c>
      <c r="C35" s="2"/>
      <c r="D35" s="2"/>
      <c r="E35" s="2"/>
      <c r="F35" s="2"/>
      <c r="G35" s="2"/>
      <c r="H35" s="2"/>
      <c r="I35" s="2"/>
      <c r="J35" s="2"/>
      <c r="K35" s="2"/>
      <c r="L35" s="2"/>
      <c r="M35" s="2"/>
    </row>
    <row r="36" spans="2:13">
      <c r="B36" s="2"/>
      <c r="C36" s="2" t="s">
        <v>3453</v>
      </c>
      <c r="D36" s="2"/>
      <c r="E36" s="2"/>
      <c r="F36" s="2"/>
      <c r="G36" s="2"/>
      <c r="H36" s="2"/>
      <c r="I36" s="2"/>
      <c r="J36" s="2"/>
      <c r="K36" s="2"/>
      <c r="L36" s="2"/>
      <c r="M36" s="2"/>
    </row>
    <row r="37" spans="2:13">
      <c r="B37" s="2" t="s">
        <v>3454</v>
      </c>
      <c r="C37" s="2"/>
      <c r="D37" s="2"/>
      <c r="E37" s="2"/>
      <c r="F37" s="2"/>
      <c r="G37" s="2"/>
      <c r="H37" s="2"/>
      <c r="I37" s="2"/>
      <c r="J37" s="2"/>
      <c r="K37" s="2"/>
      <c r="L37" s="2"/>
      <c r="M37" s="2"/>
    </row>
    <row r="38" spans="2:13">
      <c r="B38" s="2" t="s">
        <v>3455</v>
      </c>
      <c r="C38" s="2"/>
      <c r="D38" s="2"/>
      <c r="E38" s="2"/>
      <c r="F38" s="2"/>
      <c r="G38" s="2"/>
      <c r="H38" s="2"/>
      <c r="I38" s="2"/>
      <c r="J38" s="2"/>
      <c r="K38" s="2"/>
      <c r="L38" s="2"/>
      <c r="M38" s="2"/>
    </row>
    <row r="39" spans="2:13">
      <c r="B39" s="2"/>
      <c r="C39" s="2" t="s">
        <v>3456</v>
      </c>
      <c r="D39" s="2"/>
      <c r="E39" s="2"/>
      <c r="F39" s="2"/>
      <c r="G39" s="2"/>
      <c r="H39" s="2"/>
      <c r="I39" s="2"/>
      <c r="J39" s="2"/>
      <c r="K39" s="2"/>
      <c r="L39" s="2"/>
      <c r="M39" s="2"/>
    </row>
    <row r="40" spans="2:13">
      <c r="B40" s="2" t="s">
        <v>3457</v>
      </c>
      <c r="C40" s="2"/>
      <c r="D40" s="2"/>
      <c r="E40" s="2"/>
      <c r="F40" s="2"/>
      <c r="G40" s="2"/>
      <c r="H40" s="2"/>
      <c r="I40" s="2"/>
      <c r="J40" s="2"/>
      <c r="K40" s="2"/>
      <c r="L40" s="2"/>
      <c r="M40" s="2"/>
    </row>
    <row r="41" spans="2:13">
      <c r="B41" s="2" t="s">
        <v>3458</v>
      </c>
      <c r="C41" s="2"/>
      <c r="D41" s="2"/>
      <c r="E41" s="2"/>
      <c r="F41" s="2"/>
      <c r="G41" s="2"/>
      <c r="H41" s="2"/>
      <c r="I41" s="2"/>
      <c r="J41" s="2"/>
      <c r="K41" s="2"/>
      <c r="L41" s="2"/>
      <c r="M41" s="2"/>
    </row>
    <row r="42" spans="2:13">
      <c r="B42" s="2" t="s">
        <v>3459</v>
      </c>
      <c r="C42" s="2"/>
      <c r="D42" s="2"/>
      <c r="E42" s="2"/>
      <c r="F42" s="2"/>
      <c r="G42" s="2"/>
      <c r="H42" s="2"/>
      <c r="I42" s="2"/>
      <c r="J42" s="2"/>
      <c r="K42" s="2"/>
      <c r="L42" s="2"/>
      <c r="M42" s="2"/>
    </row>
    <row r="43" spans="2:13">
      <c r="B43" s="2" t="s">
        <v>3460</v>
      </c>
      <c r="C43" s="2"/>
      <c r="D43" s="2"/>
      <c r="E43" s="2"/>
      <c r="F43" s="2"/>
      <c r="G43" s="2"/>
      <c r="H43" s="2"/>
      <c r="I43" s="2"/>
      <c r="J43" s="2"/>
      <c r="K43" s="2"/>
      <c r="L43" s="2"/>
      <c r="M43" s="2"/>
    </row>
    <row r="44" spans="2:13">
      <c r="B44" s="2" t="s">
        <v>3461</v>
      </c>
      <c r="C44" s="2"/>
      <c r="D44" s="2"/>
      <c r="E44" s="2"/>
      <c r="F44" s="2"/>
      <c r="G44" s="2"/>
      <c r="H44" s="2"/>
      <c r="I44" s="2"/>
      <c r="J44" s="2"/>
      <c r="K44" s="2"/>
      <c r="L44" s="2"/>
      <c r="M44" s="2"/>
    </row>
    <row r="45" spans="2:13">
      <c r="B45" s="2" t="s">
        <v>3462</v>
      </c>
      <c r="C45" s="2"/>
      <c r="D45" s="2"/>
      <c r="E45" s="2"/>
      <c r="F45" s="2"/>
      <c r="G45" s="2"/>
      <c r="H45" s="2"/>
      <c r="I45" s="2"/>
      <c r="J45" s="2"/>
      <c r="K45" s="2"/>
      <c r="L45" s="2"/>
      <c r="M45" s="2"/>
    </row>
    <row r="46" spans="2:13">
      <c r="B46" s="2" t="s">
        <v>3463</v>
      </c>
      <c r="C46" s="2"/>
      <c r="D46" s="2"/>
      <c r="E46" s="2"/>
      <c r="F46" s="2"/>
      <c r="G46" s="2"/>
      <c r="H46" s="2"/>
      <c r="I46" s="2"/>
      <c r="J46" s="2"/>
      <c r="K46" s="2"/>
      <c r="L46" s="2"/>
      <c r="M46" s="2"/>
    </row>
    <row r="47" spans="2:13">
      <c r="B47" s="2" t="s">
        <v>3464</v>
      </c>
      <c r="C47" s="2"/>
      <c r="D47" s="2"/>
      <c r="E47" s="2"/>
      <c r="F47" s="2"/>
      <c r="G47" s="2"/>
      <c r="H47" s="2"/>
      <c r="I47" s="2"/>
      <c r="J47" s="2"/>
      <c r="K47" s="2"/>
      <c r="L47" s="2"/>
      <c r="M47" s="2"/>
    </row>
    <row r="48" spans="2:13">
      <c r="B48" s="2" t="s">
        <v>3465</v>
      </c>
      <c r="C48" s="2"/>
      <c r="D48" s="2"/>
      <c r="E48" s="2"/>
      <c r="F48" s="2"/>
      <c r="G48" s="2"/>
      <c r="H48" s="2"/>
      <c r="I48" s="2"/>
      <c r="J48" s="2"/>
      <c r="K48" s="2"/>
      <c r="L48" s="2"/>
      <c r="M48" s="2"/>
    </row>
    <row r="49" spans="2:13">
      <c r="B49" s="2"/>
      <c r="C49" s="2" t="s">
        <v>3466</v>
      </c>
      <c r="D49" s="2"/>
      <c r="E49" s="2"/>
      <c r="F49" s="2"/>
      <c r="G49" s="2"/>
      <c r="H49" s="2"/>
      <c r="I49" s="2"/>
      <c r="J49" s="2"/>
      <c r="K49" s="2"/>
      <c r="L49" s="2"/>
      <c r="M49" s="2"/>
    </row>
    <row r="50" spans="2:13">
      <c r="B50" s="2"/>
      <c r="C50" s="2"/>
      <c r="D50" s="2" t="s">
        <v>3467</v>
      </c>
      <c r="E50" s="2"/>
      <c r="F50" s="2"/>
      <c r="G50" s="2"/>
      <c r="H50" s="2"/>
      <c r="I50" s="2"/>
      <c r="J50" s="2"/>
      <c r="K50" s="2"/>
      <c r="L50" s="2"/>
      <c r="M50" s="2"/>
    </row>
    <row r="51" spans="2:13">
      <c r="B51" s="2"/>
      <c r="C51" s="2" t="s">
        <v>3468</v>
      </c>
      <c r="D51" s="2"/>
      <c r="E51" s="2"/>
      <c r="F51" s="2"/>
      <c r="G51" s="2"/>
      <c r="H51" s="2"/>
      <c r="I51" s="2"/>
      <c r="J51" s="2"/>
      <c r="K51" s="2"/>
      <c r="L51" s="2"/>
      <c r="M51" s="2"/>
    </row>
    <row r="52" spans="2:13">
      <c r="B52" s="2"/>
      <c r="C52" s="2"/>
      <c r="D52" s="2" t="s">
        <v>3469</v>
      </c>
      <c r="E52" s="2"/>
      <c r="F52" s="2"/>
      <c r="G52" s="2"/>
      <c r="H52" s="2"/>
      <c r="I52" s="2"/>
      <c r="J52" s="2"/>
      <c r="K52" s="2"/>
      <c r="L52" s="2"/>
      <c r="M52" s="2"/>
    </row>
    <row r="53" spans="2:13">
      <c r="B53" s="2"/>
      <c r="C53" s="2"/>
      <c r="D53" s="2" t="s">
        <v>3470</v>
      </c>
      <c r="E53" s="2"/>
      <c r="F53" s="2"/>
      <c r="G53" s="2"/>
      <c r="H53" s="2"/>
      <c r="I53" s="2"/>
      <c r="J53" s="2"/>
      <c r="K53" s="2"/>
      <c r="L53" s="2"/>
      <c r="M53" s="2"/>
    </row>
    <row r="54" spans="2:13">
      <c r="B54" s="2"/>
      <c r="C54" s="2"/>
      <c r="D54" s="2" t="s">
        <v>3471</v>
      </c>
      <c r="E54" s="2"/>
      <c r="F54" s="2"/>
      <c r="G54" s="2"/>
      <c r="H54" s="2"/>
      <c r="I54" s="2"/>
      <c r="J54" s="2"/>
      <c r="K54" s="2"/>
      <c r="L54" s="2"/>
      <c r="M54" s="2"/>
    </row>
    <row r="55" spans="2:13">
      <c r="B55" s="2"/>
      <c r="C55" s="2"/>
      <c r="D55" s="2" t="s">
        <v>3472</v>
      </c>
      <c r="E55" s="2"/>
      <c r="F55" s="2"/>
      <c r="G55" s="2"/>
      <c r="H55" s="2"/>
      <c r="I55" s="2"/>
      <c r="J55" s="2"/>
      <c r="K55" s="2"/>
      <c r="L55" s="2"/>
      <c r="M55" s="2"/>
    </row>
    <row r="56" spans="2:13">
      <c r="B56" s="2" t="s">
        <v>3473</v>
      </c>
      <c r="C56" s="2"/>
      <c r="D56" s="2"/>
      <c r="E56" s="2"/>
      <c r="F56" s="2"/>
      <c r="G56" s="2"/>
      <c r="H56" s="2"/>
      <c r="I56" s="2"/>
      <c r="J56" s="2"/>
      <c r="K56" s="2"/>
      <c r="L56" s="2"/>
      <c r="M56" s="2"/>
    </row>
    <row r="57" spans="2:13">
      <c r="B57" s="2"/>
      <c r="C57" s="2" t="s">
        <v>3474</v>
      </c>
      <c r="D57" s="2"/>
      <c r="E57" s="2"/>
      <c r="F57" s="2"/>
      <c r="G57" s="2"/>
      <c r="H57" s="2"/>
      <c r="I57" s="2"/>
      <c r="J57" s="2"/>
      <c r="K57" s="2"/>
      <c r="L57" s="2"/>
      <c r="M57" s="2"/>
    </row>
    <row r="58" spans="2:13">
      <c r="B58" s="2"/>
      <c r="C58" s="2"/>
      <c r="D58" s="2" t="s">
        <v>3475</v>
      </c>
      <c r="E58" s="2"/>
      <c r="F58" s="2"/>
      <c r="G58" s="2"/>
      <c r="H58" s="2"/>
      <c r="I58" s="2"/>
      <c r="J58" s="2"/>
      <c r="K58" s="2"/>
      <c r="L58" s="2"/>
      <c r="M58" s="2"/>
    </row>
    <row r="59" spans="2:13">
      <c r="B59" s="2"/>
      <c r="C59" s="2"/>
      <c r="D59" s="2"/>
      <c r="E59" s="2" t="s">
        <v>3476</v>
      </c>
      <c r="F59" s="2"/>
      <c r="G59" s="2"/>
      <c r="H59" s="2"/>
      <c r="I59" s="2"/>
      <c r="J59" s="2"/>
      <c r="K59" s="2"/>
      <c r="L59" s="2"/>
      <c r="M59" s="2"/>
    </row>
    <row r="60" spans="2:13">
      <c r="B60" s="2"/>
      <c r="C60" s="2" t="s">
        <v>3477</v>
      </c>
      <c r="D60" s="2"/>
      <c r="E60" s="2"/>
      <c r="F60" s="2"/>
      <c r="G60" s="2"/>
      <c r="H60" s="2"/>
      <c r="I60" s="2"/>
      <c r="J60" s="2"/>
      <c r="K60" s="2"/>
      <c r="L60" s="2"/>
      <c r="M60" s="2"/>
    </row>
    <row r="61" spans="2:13">
      <c r="B61" s="2" t="s">
        <v>3478</v>
      </c>
      <c r="C61" s="2"/>
      <c r="D61" s="2"/>
      <c r="E61" s="2"/>
      <c r="F61" s="2"/>
      <c r="G61" s="2"/>
      <c r="H61" s="2"/>
      <c r="I61" s="2"/>
      <c r="J61" s="2"/>
      <c r="K61" s="2"/>
      <c r="L61" s="2"/>
      <c r="M61" s="2"/>
    </row>
    <row r="62" spans="2:13">
      <c r="B62" s="2"/>
      <c r="C62" s="2" t="s">
        <v>3479</v>
      </c>
      <c r="D62" s="2"/>
      <c r="E62" s="2"/>
      <c r="F62" s="2"/>
      <c r="G62" s="2"/>
      <c r="H62" s="2"/>
      <c r="I62" s="2"/>
      <c r="J62" s="2"/>
      <c r="K62" s="2"/>
      <c r="L62" s="2"/>
      <c r="M62" s="2"/>
    </row>
    <row r="63" spans="2:13">
      <c r="B63" s="2"/>
      <c r="C63" s="2" t="s">
        <v>3480</v>
      </c>
      <c r="D63" s="2"/>
      <c r="E63" s="2"/>
      <c r="F63" s="2"/>
      <c r="G63" s="2"/>
      <c r="H63" s="2"/>
      <c r="I63" s="2"/>
      <c r="J63" s="2"/>
      <c r="K63" s="2"/>
      <c r="L63" s="2"/>
      <c r="M63" s="2"/>
    </row>
    <row r="64" spans="2:13">
      <c r="B64" s="2" t="s">
        <v>3481</v>
      </c>
      <c r="C64" s="2"/>
      <c r="D64" s="2"/>
      <c r="E64" s="2"/>
      <c r="F64" s="2"/>
      <c r="G64" s="2"/>
      <c r="H64" s="2"/>
      <c r="I64" s="2"/>
      <c r="J64" s="2"/>
      <c r="K64" s="2"/>
      <c r="L64" s="2"/>
      <c r="M64" s="2"/>
    </row>
    <row r="65" spans="2:13">
      <c r="B65" s="2"/>
      <c r="C65" s="2" t="s">
        <v>3482</v>
      </c>
      <c r="D65" s="2"/>
      <c r="E65" s="2"/>
      <c r="F65" s="2"/>
      <c r="G65" s="2"/>
      <c r="H65" s="2"/>
      <c r="I65" s="2"/>
      <c r="J65" s="2"/>
      <c r="K65" s="2"/>
      <c r="L65" s="2"/>
      <c r="M65" s="2"/>
    </row>
    <row r="66" spans="2:13">
      <c r="B66" s="2" t="s">
        <v>3483</v>
      </c>
      <c r="C66" s="2"/>
      <c r="D66" s="2"/>
      <c r="E66" s="2"/>
      <c r="F66" s="2"/>
      <c r="G66" s="2"/>
      <c r="H66" s="2"/>
      <c r="I66" s="2"/>
      <c r="J66" s="2"/>
      <c r="K66" s="2"/>
      <c r="L66" s="2"/>
      <c r="M66" s="2"/>
    </row>
    <row r="67" spans="2:13">
      <c r="B67" s="2"/>
      <c r="C67" s="2" t="s">
        <v>3484</v>
      </c>
      <c r="D67" s="2"/>
      <c r="E67" s="2"/>
      <c r="F67" s="2"/>
      <c r="G67" s="2"/>
      <c r="H67" s="2"/>
      <c r="I67" s="2"/>
      <c r="J67" s="2"/>
      <c r="K67" s="2"/>
      <c r="L67" s="2"/>
      <c r="M67" s="2"/>
    </row>
    <row r="68" spans="2:13">
      <c r="B68" s="2"/>
      <c r="C68" s="2" t="s">
        <v>3485</v>
      </c>
      <c r="D68" s="2"/>
      <c r="E68" s="2"/>
      <c r="F68" s="2"/>
      <c r="G68" s="2"/>
      <c r="H68" s="2"/>
      <c r="I68" s="2"/>
      <c r="J68" s="2"/>
      <c r="K68" s="2"/>
      <c r="L68" s="2"/>
      <c r="M68" s="2"/>
    </row>
    <row r="69" spans="2:13">
      <c r="B69" s="2"/>
      <c r="C69" s="2" t="s">
        <v>3486</v>
      </c>
      <c r="D69" s="2"/>
      <c r="E69" s="2"/>
      <c r="F69" s="2"/>
      <c r="G69" s="2"/>
      <c r="H69" s="2"/>
      <c r="I69" s="2"/>
      <c r="J69" s="2"/>
      <c r="K69" s="2"/>
      <c r="L69" s="2"/>
      <c r="M69" s="2"/>
    </row>
    <row r="70" spans="2:13">
      <c r="B70" s="2" t="s">
        <v>3487</v>
      </c>
      <c r="C70" s="2"/>
      <c r="D70" s="2"/>
      <c r="E70" s="2"/>
      <c r="F70" s="2"/>
      <c r="G70" s="2"/>
      <c r="H70" s="2"/>
      <c r="I70" s="2"/>
      <c r="J70" s="2"/>
      <c r="K70" s="2"/>
      <c r="L70" s="2"/>
      <c r="M70" s="2"/>
    </row>
    <row r="71" spans="2:13">
      <c r="B71" s="2" t="s">
        <v>3488</v>
      </c>
      <c r="C71" s="2"/>
      <c r="D71" s="2"/>
      <c r="E71" s="2"/>
      <c r="F71" s="2"/>
      <c r="G71" s="2"/>
      <c r="H71" s="2"/>
      <c r="I71" s="2"/>
      <c r="J71" s="2"/>
      <c r="K71" s="2"/>
      <c r="L71" s="2"/>
      <c r="M71" s="2"/>
    </row>
    <row r="72" spans="2:13">
      <c r="B72" s="2" t="s">
        <v>3489</v>
      </c>
      <c r="C72" s="2"/>
      <c r="D72" s="2"/>
      <c r="E72" s="2"/>
      <c r="F72" s="2"/>
      <c r="G72" s="2"/>
      <c r="H72" s="2"/>
      <c r="I72" s="2"/>
      <c r="J72" s="2"/>
      <c r="K72" s="2"/>
      <c r="L72" s="2"/>
      <c r="M72" s="2"/>
    </row>
    <row r="73" spans="2:13">
      <c r="B73" s="2"/>
      <c r="C73" s="2" t="s">
        <v>3490</v>
      </c>
      <c r="D73" s="2"/>
      <c r="E73" s="2"/>
      <c r="F73" s="2"/>
      <c r="G73" s="2"/>
      <c r="H73" s="2"/>
      <c r="I73" s="2"/>
      <c r="J73" s="2"/>
      <c r="K73" s="2"/>
      <c r="L73" s="2"/>
      <c r="M73" s="2"/>
    </row>
    <row r="74" spans="2:13">
      <c r="B74" s="2"/>
      <c r="C74" s="2" t="s">
        <v>3491</v>
      </c>
      <c r="D74" s="2"/>
      <c r="E74" s="2"/>
      <c r="F74" s="2"/>
      <c r="G74" s="2"/>
      <c r="H74" s="2"/>
      <c r="I74" s="2"/>
      <c r="J74" s="2"/>
      <c r="K74" s="2"/>
      <c r="L74" s="2"/>
      <c r="M74" s="2"/>
    </row>
    <row r="75" spans="2:13">
      <c r="B75" s="2"/>
      <c r="C75" s="2" t="s">
        <v>3492</v>
      </c>
      <c r="D75" s="2"/>
      <c r="E75" s="2"/>
      <c r="F75" s="2"/>
      <c r="G75" s="2"/>
      <c r="H75" s="2"/>
      <c r="I75" s="2"/>
      <c r="J75" s="2"/>
      <c r="K75" s="2"/>
      <c r="L75" s="2"/>
      <c r="M75" s="2"/>
    </row>
    <row r="76" spans="2:13">
      <c r="B76" s="2" t="s">
        <v>3493</v>
      </c>
      <c r="C76" s="2"/>
      <c r="D76" s="2"/>
      <c r="E76" s="2"/>
      <c r="F76" s="2"/>
      <c r="G76" s="2"/>
      <c r="H76" s="2"/>
      <c r="I76" s="2"/>
      <c r="J76" s="2"/>
      <c r="K76" s="2"/>
      <c r="L76" s="2"/>
      <c r="M76" s="2"/>
    </row>
    <row r="77" spans="2:13">
      <c r="B77" s="2" t="s">
        <v>3494</v>
      </c>
      <c r="C77" s="2"/>
      <c r="D77" s="2"/>
      <c r="E77" s="2"/>
      <c r="F77" s="2"/>
      <c r="G77" s="2"/>
      <c r="H77" s="2"/>
      <c r="I77" s="2"/>
      <c r="J77" s="2"/>
      <c r="K77" s="2"/>
      <c r="L77" s="2"/>
      <c r="M77" s="2"/>
    </row>
    <row r="78" spans="2:13">
      <c r="B78" s="2"/>
      <c r="C78" s="2" t="s">
        <v>3495</v>
      </c>
      <c r="D78" s="2"/>
      <c r="E78" s="2"/>
      <c r="F78" s="2"/>
      <c r="G78" s="2"/>
      <c r="H78" s="2"/>
      <c r="I78" s="2"/>
      <c r="J78" s="2"/>
      <c r="K78" s="2"/>
      <c r="L78" s="2"/>
      <c r="M78" s="2"/>
    </row>
    <row r="79" spans="2:13">
      <c r="B79" s="2"/>
      <c r="C79" s="2" t="s">
        <v>3496</v>
      </c>
      <c r="D79" s="2"/>
      <c r="E79" s="2"/>
      <c r="F79" s="2"/>
      <c r="G79" s="2"/>
      <c r="H79" s="2"/>
      <c r="I79" s="2"/>
      <c r="J79" s="2"/>
      <c r="K79" s="2"/>
      <c r="L79" s="2"/>
      <c r="M79" s="2"/>
    </row>
    <row r="80" spans="2:13">
      <c r="B80" s="2"/>
      <c r="C80" s="2" t="s">
        <v>3497</v>
      </c>
      <c r="D80" s="2"/>
      <c r="E80" s="2"/>
      <c r="F80" s="2"/>
      <c r="G80" s="2"/>
      <c r="H80" s="2"/>
      <c r="I80" s="2"/>
      <c r="J80" s="2"/>
      <c r="K80" s="2"/>
      <c r="L80" s="2"/>
      <c r="M80" s="2"/>
    </row>
    <row r="81" spans="2:13">
      <c r="B81" s="2" t="s">
        <v>3498</v>
      </c>
      <c r="C81" s="2"/>
      <c r="D81" s="2"/>
      <c r="E81" s="2"/>
      <c r="F81" s="2"/>
      <c r="G81" s="2"/>
      <c r="H81" s="2"/>
      <c r="I81" s="2"/>
      <c r="J81" s="2"/>
      <c r="K81" s="2"/>
      <c r="L81" s="2"/>
      <c r="M81" s="2"/>
    </row>
    <row r="82" spans="2:13">
      <c r="B82" s="2"/>
      <c r="C82" s="2" t="s">
        <v>3499</v>
      </c>
      <c r="D82" s="2"/>
      <c r="E82" s="2"/>
      <c r="F82" s="2"/>
      <c r="G82" s="2"/>
      <c r="H82" s="2"/>
      <c r="I82" s="2"/>
      <c r="J82" s="2"/>
      <c r="K82" s="2"/>
      <c r="L82" s="2"/>
      <c r="M82" s="2"/>
    </row>
    <row r="83" spans="2:13">
      <c r="B83" s="2" t="s">
        <v>3500</v>
      </c>
      <c r="C83" s="2"/>
      <c r="D83" s="2"/>
      <c r="E83" s="2"/>
      <c r="F83" s="2"/>
      <c r="G83" s="2"/>
      <c r="H83" s="2"/>
      <c r="I83" s="2"/>
      <c r="J83" s="2"/>
      <c r="K83" s="2"/>
      <c r="L83" s="2"/>
      <c r="M83" s="2"/>
    </row>
    <row r="84" spans="2:13">
      <c r="B84" s="2"/>
      <c r="C84" s="2" t="s">
        <v>3501</v>
      </c>
      <c r="D84" s="2"/>
      <c r="E84" s="2"/>
      <c r="F84" s="2"/>
      <c r="G84" s="2"/>
      <c r="H84" s="2"/>
      <c r="I84" s="2"/>
      <c r="J84" s="2"/>
      <c r="K84" s="2"/>
      <c r="L84" s="2"/>
      <c r="M84" s="2"/>
    </row>
    <row r="85" spans="2:13">
      <c r="B85" s="2"/>
      <c r="C85" s="2" t="s">
        <v>3502</v>
      </c>
      <c r="D85" s="2"/>
      <c r="E85" s="2"/>
      <c r="F85" s="2"/>
      <c r="G85" s="2"/>
      <c r="H85" s="2"/>
      <c r="I85" s="2"/>
      <c r="J85" s="2"/>
      <c r="K85" s="2"/>
      <c r="L85" s="2"/>
      <c r="M85" s="2"/>
    </row>
    <row r="86" spans="2:13">
      <c r="B86" s="2"/>
      <c r="C86" s="2" t="s">
        <v>3503</v>
      </c>
      <c r="D86" s="2"/>
      <c r="E86" s="2"/>
      <c r="F86" s="2"/>
      <c r="G86" s="2"/>
      <c r="H86" s="2"/>
      <c r="I86" s="2"/>
      <c r="J86" s="2"/>
      <c r="K86" s="2"/>
      <c r="L86" s="2"/>
      <c r="M86" s="2"/>
    </row>
    <row r="87" spans="2:13">
      <c r="B87" s="2" t="s">
        <v>3504</v>
      </c>
      <c r="C87" s="2"/>
      <c r="D87" s="2"/>
      <c r="E87" s="2"/>
      <c r="F87" s="2"/>
      <c r="G87" s="2"/>
      <c r="H87" s="2"/>
      <c r="I87" s="2"/>
      <c r="J87" s="2"/>
      <c r="K87" s="2"/>
      <c r="L87" s="2"/>
      <c r="M87" s="2"/>
    </row>
    <row r="88" spans="2:13">
      <c r="B88" s="2" t="s">
        <v>3505</v>
      </c>
      <c r="C88" s="2"/>
      <c r="D88" s="2"/>
      <c r="E88" s="2"/>
      <c r="F88" s="2"/>
      <c r="G88" s="2"/>
      <c r="H88" s="2"/>
      <c r="I88" s="2"/>
      <c r="J88" s="2"/>
      <c r="K88" s="2"/>
      <c r="L88" s="2"/>
      <c r="M88" s="2"/>
    </row>
    <row r="89" spans="2:13">
      <c r="B89" s="2" t="s">
        <v>3506</v>
      </c>
      <c r="C89" s="2"/>
      <c r="D89" s="2"/>
      <c r="E89" s="2"/>
      <c r="F89" s="2"/>
      <c r="G89" s="2"/>
      <c r="H89" s="2"/>
      <c r="I89" s="2"/>
      <c r="J89" s="2"/>
      <c r="K89" s="2"/>
      <c r="L89" s="2"/>
      <c r="M89" s="2"/>
    </row>
    <row r="90" spans="2:13">
      <c r="B90" s="2" t="s">
        <v>3507</v>
      </c>
      <c r="C90" s="2"/>
      <c r="D90" s="2"/>
      <c r="E90" s="2"/>
      <c r="F90" s="2"/>
      <c r="G90" s="2"/>
      <c r="H90" s="2"/>
      <c r="I90" s="2"/>
      <c r="J90" s="2"/>
      <c r="K90" s="2"/>
      <c r="L90" s="2"/>
      <c r="M90" s="2"/>
    </row>
    <row r="91" spans="2:13">
      <c r="B91" s="2"/>
      <c r="C91" s="2" t="s">
        <v>3508</v>
      </c>
      <c r="D91" s="2"/>
      <c r="E91" s="2"/>
      <c r="F91" s="2"/>
      <c r="G91" s="2"/>
      <c r="H91" s="2"/>
      <c r="I91" s="2"/>
      <c r="J91" s="2"/>
      <c r="K91" s="2"/>
      <c r="L91" s="2"/>
      <c r="M91" s="2"/>
    </row>
    <row r="92" spans="2:13">
      <c r="B92" s="2" t="s">
        <v>3509</v>
      </c>
      <c r="C92" s="2"/>
      <c r="D92" s="2"/>
      <c r="E92" s="2"/>
      <c r="F92" s="2"/>
      <c r="G92" s="2"/>
      <c r="H92" s="2"/>
      <c r="I92" s="2"/>
      <c r="J92" s="2"/>
      <c r="K92" s="2"/>
      <c r="L92" s="2"/>
      <c r="M92" s="2"/>
    </row>
    <row r="93" spans="2:13">
      <c r="B93" s="2" t="s">
        <v>3510</v>
      </c>
      <c r="C93" s="2"/>
      <c r="D93" s="2"/>
      <c r="E93" s="2"/>
      <c r="F93" s="2"/>
      <c r="G93" s="2"/>
      <c r="H93" s="2"/>
      <c r="I93" s="2"/>
      <c r="J93" s="2"/>
      <c r="K93" s="2"/>
      <c r="L93" s="2"/>
      <c r="M93" s="2"/>
    </row>
    <row r="94" spans="2:13">
      <c r="B94" s="2" t="s">
        <v>3511</v>
      </c>
      <c r="C94" s="2"/>
      <c r="D94" s="2"/>
      <c r="E94" s="2"/>
      <c r="F94" s="2"/>
      <c r="G94" s="2"/>
      <c r="H94" s="2"/>
      <c r="I94" s="2"/>
      <c r="J94" s="2"/>
      <c r="K94" s="2"/>
      <c r="L94" s="2"/>
      <c r="M94" s="2"/>
    </row>
    <row r="95" spans="2:13">
      <c r="B95" s="2"/>
      <c r="C95" s="2" t="s">
        <v>3512</v>
      </c>
      <c r="D95" s="2"/>
      <c r="E95" s="2"/>
      <c r="F95" s="2"/>
      <c r="G95" s="2"/>
      <c r="H95" s="2"/>
      <c r="I95" s="2"/>
      <c r="J95" s="2"/>
      <c r="K95" s="2"/>
      <c r="L95" s="2"/>
      <c r="M95" s="2"/>
    </row>
    <row r="96" spans="2:13">
      <c r="B96" s="2"/>
      <c r="C96" s="2"/>
      <c r="D96" s="2" t="s">
        <v>3513</v>
      </c>
      <c r="E96" s="2"/>
      <c r="F96" s="2"/>
      <c r="G96" s="2"/>
      <c r="H96" s="2"/>
      <c r="I96" s="2"/>
      <c r="J96" s="2"/>
      <c r="K96" s="2"/>
      <c r="L96" s="2"/>
      <c r="M96" s="2"/>
    </row>
    <row r="97" spans="2:13">
      <c r="B97" s="2"/>
      <c r="C97" s="2"/>
      <c r="D97" s="2" t="s">
        <v>3514</v>
      </c>
      <c r="E97" s="2"/>
      <c r="F97" s="2"/>
      <c r="G97" s="2"/>
      <c r="H97" s="2"/>
      <c r="I97" s="2"/>
      <c r="J97" s="2"/>
      <c r="K97" s="2"/>
      <c r="L97" s="2"/>
      <c r="M97" s="2"/>
    </row>
    <row r="98" spans="2:13">
      <c r="B98" s="2"/>
      <c r="C98" s="2" t="s">
        <v>3515</v>
      </c>
      <c r="D98" s="2"/>
      <c r="E98" s="2"/>
      <c r="F98" s="2"/>
      <c r="G98" s="2"/>
      <c r="H98" s="2"/>
      <c r="I98" s="2"/>
      <c r="J98" s="2"/>
      <c r="K98" s="2"/>
      <c r="L98" s="2"/>
      <c r="M98" s="2"/>
    </row>
    <row r="99" spans="2:13">
      <c r="B99" s="2"/>
      <c r="C99" s="2"/>
      <c r="D99" s="2" t="s">
        <v>3516</v>
      </c>
      <c r="E99" s="2"/>
      <c r="F99" s="2"/>
      <c r="G99" s="2"/>
      <c r="H99" s="2"/>
      <c r="I99" s="2"/>
      <c r="J99" s="2"/>
      <c r="K99" s="2"/>
      <c r="L99" s="2"/>
      <c r="M99" s="2"/>
    </row>
    <row r="100" spans="2:13">
      <c r="B100" s="2"/>
      <c r="C100" s="2"/>
      <c r="D100" s="2" t="s">
        <v>3517</v>
      </c>
      <c r="E100" s="2"/>
      <c r="F100" s="2"/>
      <c r="G100" s="2"/>
      <c r="H100" s="2"/>
      <c r="I100" s="2"/>
      <c r="J100" s="2"/>
      <c r="K100" s="2"/>
      <c r="L100" s="2"/>
      <c r="M100" s="2"/>
    </row>
    <row r="101" spans="2:13">
      <c r="B101" s="2" t="s">
        <v>3518</v>
      </c>
      <c r="C101" s="2"/>
      <c r="D101" s="2"/>
      <c r="E101" s="2"/>
      <c r="F101" s="2"/>
      <c r="G101" s="2"/>
      <c r="H101" s="2"/>
      <c r="I101" s="2"/>
      <c r="J101" s="2"/>
      <c r="K101" s="2"/>
      <c r="L101" s="2"/>
      <c r="M101" s="2"/>
    </row>
    <row r="102" spans="2:13">
      <c r="B102" s="2"/>
      <c r="C102" s="2" t="s">
        <v>3519</v>
      </c>
      <c r="D102" s="2"/>
      <c r="E102" s="2"/>
      <c r="F102" s="2"/>
      <c r="G102" s="2"/>
      <c r="H102" s="2"/>
      <c r="I102" s="2"/>
      <c r="J102" s="2"/>
      <c r="K102" s="2"/>
      <c r="L102" s="2"/>
      <c r="M102" s="2"/>
    </row>
    <row r="103" spans="2:13">
      <c r="B103" s="2"/>
      <c r="C103" s="2" t="s">
        <v>3520</v>
      </c>
      <c r="D103" s="2"/>
      <c r="E103" s="2"/>
      <c r="F103" s="2"/>
      <c r="G103" s="2"/>
      <c r="H103" s="2"/>
      <c r="I103" s="2"/>
      <c r="J103" s="2"/>
      <c r="K103" s="2"/>
      <c r="L103" s="2"/>
      <c r="M103" s="2"/>
    </row>
    <row r="104" spans="2:13">
      <c r="B104" s="2"/>
      <c r="C104" s="2"/>
      <c r="D104" s="2" t="s">
        <v>3521</v>
      </c>
      <c r="E104" s="2"/>
      <c r="F104" s="2"/>
      <c r="G104" s="2"/>
      <c r="H104" s="2"/>
      <c r="I104" s="2"/>
      <c r="J104" s="2"/>
      <c r="K104" s="2"/>
      <c r="L104" s="2"/>
      <c r="M104" s="2"/>
    </row>
    <row r="105" spans="2:13">
      <c r="B105" s="2" t="s">
        <v>3522</v>
      </c>
      <c r="C105" s="2"/>
      <c r="D105" s="2"/>
      <c r="E105" s="2"/>
      <c r="F105" s="2"/>
      <c r="G105" s="2"/>
      <c r="H105" s="2"/>
      <c r="I105" s="2"/>
      <c r="J105" s="2"/>
      <c r="K105" s="2"/>
      <c r="L105" s="2"/>
      <c r="M105" s="2"/>
    </row>
    <row r="106" spans="2:13">
      <c r="B106" s="2"/>
      <c r="C106" s="2" t="s">
        <v>3523</v>
      </c>
      <c r="D106" s="2"/>
      <c r="E106" s="2"/>
      <c r="F106" s="2"/>
      <c r="G106" s="2"/>
      <c r="H106" s="2"/>
      <c r="I106" s="2"/>
      <c r="J106" s="2"/>
      <c r="K106" s="2"/>
      <c r="L106" s="2"/>
      <c r="M106" s="2"/>
    </row>
    <row r="107" spans="2:13">
      <c r="B107" s="2"/>
      <c r="C107" s="2" t="s">
        <v>3524</v>
      </c>
      <c r="D107" s="2"/>
      <c r="E107" s="2"/>
      <c r="F107" s="2"/>
      <c r="G107" s="2"/>
      <c r="H107" s="2"/>
      <c r="I107" s="2"/>
      <c r="J107" s="2"/>
      <c r="K107" s="2"/>
      <c r="L107" s="2"/>
      <c r="M107" s="2"/>
    </row>
    <row r="108" spans="2:13">
      <c r="B108" s="2" t="s">
        <v>3525</v>
      </c>
      <c r="C108" s="2"/>
      <c r="D108" s="2"/>
      <c r="E108" s="2"/>
      <c r="F108" s="2"/>
      <c r="G108" s="2"/>
      <c r="H108" s="2"/>
      <c r="I108" s="2"/>
      <c r="J108" s="2"/>
      <c r="K108" s="2"/>
      <c r="L108" s="2"/>
      <c r="M108" s="2"/>
    </row>
    <row r="109" spans="2:13">
      <c r="B109" s="2"/>
      <c r="C109" s="2" t="s">
        <v>3526</v>
      </c>
      <c r="D109" s="2"/>
      <c r="E109" s="2"/>
      <c r="F109" s="2"/>
      <c r="G109" s="2"/>
      <c r="H109" s="2"/>
      <c r="I109" s="2"/>
      <c r="J109" s="2"/>
      <c r="K109" s="2"/>
      <c r="L109" s="2"/>
      <c r="M109" s="2"/>
    </row>
    <row r="110" spans="2:13">
      <c r="B110" s="2" t="s">
        <v>3527</v>
      </c>
      <c r="C110" s="2"/>
      <c r="D110" s="2"/>
      <c r="E110" s="2"/>
      <c r="F110" s="2"/>
      <c r="G110" s="2"/>
      <c r="H110" s="2"/>
      <c r="I110" s="2"/>
      <c r="J110" s="2"/>
      <c r="K110" s="2"/>
      <c r="L110" s="2"/>
      <c r="M110" s="2"/>
    </row>
    <row r="111" spans="2:13">
      <c r="B111" s="2" t="s">
        <v>3528</v>
      </c>
      <c r="C111" s="2"/>
      <c r="D111" s="2"/>
      <c r="E111" s="2"/>
      <c r="F111" s="2"/>
      <c r="G111" s="2"/>
      <c r="H111" s="2"/>
      <c r="I111" s="2"/>
      <c r="J111" s="2"/>
      <c r="K111" s="2"/>
      <c r="L111" s="2"/>
      <c r="M111" s="2"/>
    </row>
    <row r="112" spans="2:13">
      <c r="B112" s="2"/>
      <c r="C112" s="2" t="s">
        <v>3529</v>
      </c>
      <c r="D112" s="2"/>
      <c r="E112" s="2"/>
      <c r="F112" s="2"/>
      <c r="G112" s="2"/>
      <c r="H112" s="2"/>
      <c r="I112" s="2"/>
      <c r="J112" s="2"/>
      <c r="K112" s="2"/>
      <c r="L112" s="2"/>
      <c r="M112" s="2"/>
    </row>
    <row r="113" spans="2:13">
      <c r="B113" s="2" t="s">
        <v>3530</v>
      </c>
      <c r="C113" s="2"/>
      <c r="D113" s="2"/>
      <c r="E113" s="2"/>
      <c r="F113" s="2"/>
      <c r="G113" s="2"/>
      <c r="H113" s="2"/>
      <c r="I113" s="2"/>
      <c r="J113" s="2"/>
      <c r="K113" s="2"/>
      <c r="L113" s="2"/>
      <c r="M113" s="2"/>
    </row>
    <row r="114" spans="2:13">
      <c r="B114" s="2"/>
      <c r="C114" s="2" t="s">
        <v>3531</v>
      </c>
      <c r="D114" s="2"/>
      <c r="E114" s="2"/>
      <c r="F114" s="2"/>
      <c r="G114" s="2"/>
      <c r="H114" s="2"/>
      <c r="I114" s="2"/>
      <c r="J114" s="2"/>
      <c r="K114" s="2"/>
      <c r="L114" s="2"/>
      <c r="M114" s="2"/>
    </row>
    <row r="115" spans="2:13">
      <c r="B115" s="2"/>
      <c r="C115" s="2" t="s">
        <v>3532</v>
      </c>
      <c r="D115" s="2"/>
      <c r="E115" s="2"/>
      <c r="F115" s="2"/>
      <c r="G115" s="2"/>
      <c r="H115" s="2"/>
      <c r="I115" s="2"/>
      <c r="J115" s="2"/>
      <c r="K115" s="2"/>
      <c r="L115" s="2"/>
      <c r="M115" s="2"/>
    </row>
    <row r="116" spans="2:13">
      <c r="B116" s="2"/>
      <c r="C116" s="2" t="s">
        <v>3533</v>
      </c>
      <c r="D116" s="2"/>
      <c r="E116" s="2"/>
      <c r="F116" s="2"/>
      <c r="G116" s="2"/>
      <c r="H116" s="2"/>
      <c r="I116" s="2"/>
      <c r="J116" s="2"/>
      <c r="K116" s="2"/>
      <c r="L116" s="2"/>
      <c r="M116" s="2"/>
    </row>
    <row r="117" spans="2:13">
      <c r="B117" s="2" t="s">
        <v>3534</v>
      </c>
      <c r="C117" s="2"/>
      <c r="D117" s="2"/>
      <c r="E117" s="2"/>
      <c r="F117" s="2"/>
      <c r="G117" s="2"/>
      <c r="H117" s="2"/>
      <c r="I117" s="2"/>
      <c r="J117" s="2"/>
      <c r="K117" s="2"/>
      <c r="L117" s="2"/>
      <c r="M117" s="2"/>
    </row>
    <row r="118" spans="2:13">
      <c r="B118" s="2"/>
      <c r="C118" s="2" t="s">
        <v>3535</v>
      </c>
      <c r="D118" s="2"/>
      <c r="E118" s="2"/>
      <c r="F118" s="2"/>
      <c r="G118" s="2"/>
      <c r="H118" s="2"/>
      <c r="I118" s="2"/>
      <c r="J118" s="2"/>
      <c r="K118" s="2"/>
      <c r="L118" s="2"/>
      <c r="M118" s="2"/>
    </row>
    <row r="119" spans="2:13">
      <c r="B119" s="2"/>
      <c r="C119" s="2" t="s">
        <v>3536</v>
      </c>
      <c r="D119" s="2"/>
      <c r="E119" s="2"/>
      <c r="F119" s="2"/>
      <c r="G119" s="2"/>
      <c r="H119" s="2"/>
      <c r="I119" s="2"/>
      <c r="J119" s="2"/>
      <c r="K119" s="2"/>
      <c r="L119" s="2"/>
      <c r="M119" s="2"/>
    </row>
    <row r="120" spans="2:13">
      <c r="B120" s="2"/>
      <c r="C120" s="2" t="s">
        <v>3537</v>
      </c>
      <c r="D120" s="2"/>
      <c r="E120" s="2"/>
      <c r="F120" s="2"/>
      <c r="G120" s="2"/>
      <c r="H120" s="2"/>
      <c r="I120" s="2"/>
      <c r="J120" s="2"/>
      <c r="K120" s="2"/>
      <c r="L120" s="2"/>
      <c r="M120" s="2"/>
    </row>
    <row r="121" spans="2:13">
      <c r="B121" s="2" t="s">
        <v>3538</v>
      </c>
      <c r="C121" s="2"/>
      <c r="D121" s="2"/>
      <c r="E121" s="2"/>
      <c r="F121" s="2"/>
      <c r="G121" s="2"/>
      <c r="H121" s="2"/>
      <c r="I121" s="2"/>
      <c r="J121" s="2"/>
      <c r="K121" s="2"/>
      <c r="L121" s="2"/>
      <c r="M121" s="2"/>
    </row>
    <row r="122" spans="2:13">
      <c r="B122" s="2"/>
      <c r="C122" s="2" t="s">
        <v>3539</v>
      </c>
      <c r="D122" s="2"/>
      <c r="E122" s="2"/>
      <c r="F122" s="2"/>
      <c r="G122" s="2"/>
      <c r="H122" s="2"/>
      <c r="I122" s="2"/>
      <c r="J122" s="2"/>
      <c r="K122" s="2"/>
      <c r="L122" s="2"/>
      <c r="M122" s="2"/>
    </row>
    <row r="123" spans="2:13">
      <c r="B123" s="2"/>
      <c r="C123" s="2" t="s">
        <v>3540</v>
      </c>
      <c r="D123" s="2"/>
      <c r="E123" s="2"/>
      <c r="F123" s="2"/>
      <c r="G123" s="2"/>
      <c r="H123" s="2"/>
      <c r="I123" s="2"/>
      <c r="J123" s="2"/>
      <c r="K123" s="2"/>
      <c r="L123" s="2"/>
      <c r="M123" s="2"/>
    </row>
    <row r="124" spans="2:13">
      <c r="B124" s="2"/>
      <c r="C124" s="2" t="s">
        <v>3541</v>
      </c>
      <c r="D124" s="2"/>
      <c r="E124" s="2"/>
      <c r="F124" s="2"/>
      <c r="G124" s="2"/>
      <c r="H124" s="2"/>
      <c r="I124" s="2"/>
      <c r="J124" s="2"/>
      <c r="K124" s="2"/>
      <c r="L124" s="2"/>
      <c r="M124" s="2"/>
    </row>
    <row r="125" spans="2:13">
      <c r="B125" s="2" t="s">
        <v>3542</v>
      </c>
      <c r="C125" s="2"/>
      <c r="D125" s="2"/>
      <c r="E125" s="2"/>
      <c r="F125" s="2"/>
      <c r="G125" s="2"/>
      <c r="H125" s="2"/>
      <c r="I125" s="2"/>
      <c r="J125" s="2"/>
      <c r="K125" s="2"/>
      <c r="L125" s="2"/>
      <c r="M125" s="2"/>
    </row>
    <row r="126" spans="2:13">
      <c r="B126" s="2"/>
      <c r="C126" s="2" t="s">
        <v>3543</v>
      </c>
      <c r="D126" s="2"/>
      <c r="E126" s="2"/>
      <c r="F126" s="2"/>
      <c r="G126" s="2"/>
      <c r="H126" s="2"/>
      <c r="I126" s="2"/>
      <c r="J126" s="2"/>
      <c r="K126" s="2"/>
      <c r="L126" s="2"/>
      <c r="M126" s="2"/>
    </row>
    <row r="127" spans="2:13">
      <c r="B127" s="2"/>
      <c r="C127" s="2" t="s">
        <v>3544</v>
      </c>
      <c r="D127" s="2"/>
      <c r="E127" s="2"/>
      <c r="F127" s="2"/>
      <c r="G127" s="2"/>
      <c r="H127" s="2"/>
      <c r="I127" s="2"/>
      <c r="J127" s="2"/>
      <c r="K127" s="2"/>
      <c r="L127" s="2"/>
      <c r="M127" s="2"/>
    </row>
    <row r="128" spans="2:13">
      <c r="B128" s="2"/>
      <c r="C128" s="2"/>
      <c r="D128" s="2" t="s">
        <v>3545</v>
      </c>
      <c r="E128" s="2"/>
      <c r="F128" s="2"/>
      <c r="G128" s="2"/>
      <c r="H128" s="2"/>
      <c r="I128" s="2"/>
      <c r="J128" s="2"/>
      <c r="K128" s="2"/>
      <c r="L128" s="2"/>
      <c r="M128" s="2"/>
    </row>
    <row r="129" spans="2:13">
      <c r="B129" s="2"/>
      <c r="C129" s="2"/>
      <c r="D129" s="2" t="s">
        <v>3546</v>
      </c>
      <c r="E129" s="2"/>
      <c r="F129" s="2"/>
      <c r="G129" s="2"/>
      <c r="H129" s="2"/>
      <c r="I129" s="2"/>
      <c r="J129" s="2"/>
      <c r="K129" s="2"/>
      <c r="L129" s="2"/>
      <c r="M129" s="2"/>
    </row>
    <row r="130" spans="2:13">
      <c r="B130" s="2" t="s">
        <v>3547</v>
      </c>
      <c r="C130" s="2"/>
      <c r="D130" s="2"/>
      <c r="E130" s="2"/>
      <c r="F130" s="2"/>
      <c r="G130" s="2"/>
      <c r="H130" s="2"/>
      <c r="I130" s="2"/>
      <c r="J130" s="2"/>
      <c r="K130" s="2"/>
      <c r="L130" s="2"/>
      <c r="M130" s="2"/>
    </row>
    <row r="131" spans="2:13">
      <c r="B131" s="2"/>
      <c r="C131" s="2" t="s">
        <v>3548</v>
      </c>
      <c r="D131" s="2"/>
      <c r="E131" s="2"/>
      <c r="F131" s="2"/>
      <c r="G131" s="2"/>
      <c r="H131" s="2"/>
      <c r="I131" s="2"/>
      <c r="J131" s="2"/>
      <c r="K131" s="2"/>
      <c r="L131" s="2"/>
      <c r="M131" s="2"/>
    </row>
    <row r="132" spans="2:13">
      <c r="B132" s="2"/>
      <c r="C132" s="2"/>
      <c r="D132" s="2" t="s">
        <v>3549</v>
      </c>
      <c r="E132" s="2"/>
      <c r="F132" s="2"/>
      <c r="G132" s="2"/>
      <c r="H132" s="2"/>
      <c r="I132" s="2"/>
      <c r="J132" s="2"/>
      <c r="K132" s="2"/>
      <c r="L132" s="2"/>
      <c r="M132" s="2"/>
    </row>
    <row r="133" spans="2:13">
      <c r="B133" s="2"/>
      <c r="C133" s="2"/>
      <c r="D133" s="2" t="s">
        <v>3550</v>
      </c>
      <c r="E133" s="2"/>
      <c r="F133" s="2"/>
      <c r="G133" s="2"/>
      <c r="H133" s="2"/>
      <c r="I133" s="2"/>
      <c r="J133" s="2"/>
      <c r="K133" s="2"/>
      <c r="L133" s="2"/>
      <c r="M133" s="2"/>
    </row>
    <row r="134" spans="2:13">
      <c r="B134" s="2"/>
      <c r="C134" s="2"/>
      <c r="D134" s="2" t="s">
        <v>3551</v>
      </c>
      <c r="E134" s="2"/>
      <c r="F134" s="2"/>
      <c r="G134" s="2"/>
      <c r="H134" s="2"/>
      <c r="I134" s="2"/>
      <c r="J134" s="2"/>
      <c r="K134" s="2"/>
      <c r="L134" s="2"/>
      <c r="M134" s="2"/>
    </row>
    <row r="135" spans="2:13">
      <c r="B135" s="2"/>
      <c r="C135" s="2"/>
      <c r="D135" s="2" t="s">
        <v>3552</v>
      </c>
      <c r="E135" s="2"/>
      <c r="F135" s="2"/>
      <c r="G135" s="2"/>
      <c r="H135" s="2"/>
      <c r="I135" s="2"/>
      <c r="J135" s="2"/>
      <c r="K135" s="2"/>
      <c r="L135" s="2"/>
      <c r="M135" s="2"/>
    </row>
    <row r="136" spans="2:13">
      <c r="B136" s="2"/>
      <c r="C136" s="2"/>
      <c r="D136" s="2" t="s">
        <v>3553</v>
      </c>
      <c r="E136" s="2"/>
      <c r="F136" s="2"/>
      <c r="G136" s="2"/>
      <c r="H136" s="2"/>
      <c r="I136" s="2"/>
      <c r="J136" s="2"/>
      <c r="K136" s="2"/>
      <c r="L136" s="2"/>
      <c r="M136" s="2"/>
    </row>
    <row r="137" spans="2:13">
      <c r="B137" s="2"/>
      <c r="C137" s="2" t="s">
        <v>3554</v>
      </c>
      <c r="D137" s="2"/>
      <c r="E137" s="2"/>
      <c r="F137" s="2"/>
      <c r="G137" s="2"/>
      <c r="H137" s="2"/>
      <c r="I137" s="2"/>
      <c r="J137" s="2"/>
      <c r="K137" s="2"/>
      <c r="L137" s="2"/>
      <c r="M137" s="2"/>
    </row>
    <row r="138" spans="2:13">
      <c r="B138" s="2"/>
      <c r="C138" s="2"/>
      <c r="D138" s="2" t="s">
        <v>3555</v>
      </c>
      <c r="E138" s="2"/>
      <c r="F138" s="2"/>
      <c r="G138" s="2"/>
      <c r="H138" s="2"/>
      <c r="I138" s="2"/>
      <c r="J138" s="2"/>
      <c r="K138" s="2"/>
      <c r="L138" s="2"/>
      <c r="M138" s="2"/>
    </row>
    <row r="139" spans="2:13">
      <c r="B139" s="2"/>
      <c r="C139" s="2"/>
      <c r="D139" s="2" t="s">
        <v>3556</v>
      </c>
      <c r="E139" s="2"/>
      <c r="F139" s="2"/>
      <c r="G139" s="2"/>
      <c r="H139" s="2"/>
      <c r="I139" s="2"/>
      <c r="J139" s="2"/>
      <c r="K139" s="2"/>
      <c r="L139" s="2"/>
      <c r="M139" s="2"/>
    </row>
    <row r="140" spans="2:13">
      <c r="B140" s="2"/>
      <c r="C140" s="2"/>
      <c r="D140" s="2" t="s">
        <v>3557</v>
      </c>
      <c r="E140" s="2"/>
      <c r="F140" s="2"/>
      <c r="G140" s="2"/>
      <c r="H140" s="2"/>
      <c r="I140" s="2"/>
      <c r="J140" s="2"/>
      <c r="K140" s="2"/>
      <c r="L140" s="2"/>
      <c r="M140" s="2"/>
    </row>
    <row r="141" spans="2:13">
      <c r="B141" s="2"/>
      <c r="C141" s="2"/>
      <c r="D141" s="2" t="s">
        <v>3558</v>
      </c>
      <c r="E141" s="2"/>
      <c r="F141" s="2"/>
      <c r="G141" s="2"/>
      <c r="H141" s="2"/>
      <c r="I141" s="2"/>
      <c r="J141" s="2"/>
      <c r="K141" s="2"/>
      <c r="L141" s="2"/>
      <c r="M141" s="2"/>
    </row>
    <row r="142" spans="2:13">
      <c r="B142" s="2"/>
      <c r="C142" s="2" t="s">
        <v>3559</v>
      </c>
      <c r="D142" s="2"/>
      <c r="E142" s="2"/>
      <c r="F142" s="2"/>
      <c r="G142" s="2"/>
      <c r="H142" s="2"/>
      <c r="I142" s="2"/>
      <c r="J142" s="2"/>
      <c r="K142" s="2"/>
      <c r="L142" s="2"/>
      <c r="M142" s="2"/>
    </row>
    <row r="143" spans="2:13">
      <c r="B143" s="2"/>
      <c r="C143" s="2"/>
      <c r="D143" s="2" t="s">
        <v>3560</v>
      </c>
      <c r="E143" s="2"/>
      <c r="F143" s="2"/>
      <c r="G143" s="2"/>
      <c r="H143" s="2"/>
      <c r="I143" s="2"/>
      <c r="J143" s="2"/>
      <c r="K143" s="2"/>
      <c r="L143" s="2"/>
      <c r="M143" s="2"/>
    </row>
    <row r="144" spans="2:13">
      <c r="B144" s="2"/>
      <c r="C144" s="2"/>
      <c r="D144" s="2" t="s">
        <v>3561</v>
      </c>
      <c r="E144" s="2"/>
      <c r="F144" s="2"/>
      <c r="G144" s="2"/>
      <c r="H144" s="2"/>
      <c r="I144" s="2"/>
      <c r="J144" s="2"/>
      <c r="K144" s="2"/>
      <c r="L144" s="2"/>
      <c r="M144" s="2"/>
    </row>
    <row r="145" spans="2:13">
      <c r="B145" s="2"/>
      <c r="C145" s="2"/>
      <c r="D145" s="2"/>
      <c r="E145" s="2" t="s">
        <v>3562</v>
      </c>
      <c r="F145" s="2"/>
      <c r="G145" s="2"/>
      <c r="H145" s="2"/>
      <c r="I145" s="2"/>
      <c r="J145" s="2"/>
      <c r="K145" s="2"/>
      <c r="L145" s="2"/>
      <c r="M145" s="2"/>
    </row>
    <row r="146" spans="2:13">
      <c r="B146" s="2"/>
      <c r="C146" s="2"/>
      <c r="D146" s="2"/>
      <c r="E146" s="2" t="s">
        <v>3563</v>
      </c>
      <c r="F146" s="2"/>
      <c r="G146" s="2"/>
      <c r="H146" s="2"/>
      <c r="I146" s="2"/>
      <c r="J146" s="2"/>
      <c r="K146" s="2"/>
      <c r="L146" s="2"/>
      <c r="M146" s="2"/>
    </row>
    <row r="147" spans="2:13">
      <c r="B147" s="2"/>
      <c r="C147" s="2"/>
      <c r="D147" s="2" t="s">
        <v>3564</v>
      </c>
      <c r="E147" s="2"/>
      <c r="F147" s="2"/>
      <c r="G147" s="2"/>
      <c r="H147" s="2"/>
      <c r="I147" s="2"/>
      <c r="J147" s="2"/>
      <c r="K147" s="2"/>
      <c r="L147" s="2"/>
      <c r="M147" s="2"/>
    </row>
    <row r="148" spans="2:13">
      <c r="B148" s="2"/>
      <c r="C148" s="2"/>
      <c r="D148" s="2" t="s">
        <v>3565</v>
      </c>
      <c r="E148" s="2"/>
      <c r="F148" s="2"/>
      <c r="G148" s="2"/>
      <c r="H148" s="2"/>
      <c r="I148" s="2"/>
      <c r="J148" s="2"/>
      <c r="K148" s="2"/>
      <c r="L148" s="2"/>
      <c r="M148" s="2"/>
    </row>
    <row r="149" spans="2:13">
      <c r="B149" s="2"/>
      <c r="C149" s="2" t="s">
        <v>3566</v>
      </c>
      <c r="D149" s="2"/>
      <c r="E149" s="2"/>
      <c r="F149" s="2"/>
      <c r="G149" s="2"/>
      <c r="H149" s="2"/>
      <c r="I149" s="2"/>
      <c r="J149" s="2"/>
      <c r="K149" s="2"/>
      <c r="L149" s="2"/>
      <c r="M149" s="2"/>
    </row>
    <row r="150" spans="2:13">
      <c r="B150" s="2"/>
      <c r="C150" s="2" t="s">
        <v>3567</v>
      </c>
      <c r="D150" s="2"/>
      <c r="E150" s="2"/>
      <c r="F150" s="2"/>
      <c r="G150" s="2"/>
      <c r="H150" s="2"/>
      <c r="I150" s="2"/>
      <c r="J150" s="2"/>
      <c r="K150" s="2"/>
      <c r="L150" s="2"/>
      <c r="M150" s="2"/>
    </row>
    <row r="151" spans="2:13">
      <c r="B151" s="2"/>
      <c r="C151" s="2"/>
      <c r="D151" s="2" t="s">
        <v>3568</v>
      </c>
      <c r="E151" s="2"/>
      <c r="F151" s="2"/>
      <c r="G151" s="2"/>
      <c r="H151" s="2"/>
      <c r="I151" s="2"/>
      <c r="J151" s="2"/>
      <c r="K151" s="2"/>
      <c r="L151" s="2"/>
      <c r="M151" s="2"/>
    </row>
    <row r="152" spans="2:13">
      <c r="B152" s="2" t="s">
        <v>3569</v>
      </c>
      <c r="C152" s="2"/>
      <c r="D152" s="2"/>
      <c r="E152" s="2"/>
      <c r="F152" s="2"/>
      <c r="G152" s="2"/>
      <c r="H152" s="2"/>
      <c r="I152" s="2"/>
      <c r="J152" s="2"/>
      <c r="K152" s="2"/>
      <c r="L152" s="2"/>
      <c r="M152" s="2"/>
    </row>
    <row r="153" spans="2:13">
      <c r="B153" s="2"/>
      <c r="C153" s="2" t="s">
        <v>3570</v>
      </c>
      <c r="D153" s="2"/>
      <c r="E153" s="2"/>
      <c r="F153" s="2"/>
      <c r="G153" s="2"/>
      <c r="H153" s="2"/>
      <c r="I153" s="2"/>
      <c r="J153" s="2"/>
      <c r="K153" s="2"/>
      <c r="L153" s="2"/>
      <c r="M153" s="2"/>
    </row>
    <row r="154" spans="2:13">
      <c r="B154" s="2" t="s">
        <v>3571</v>
      </c>
      <c r="C154" s="2"/>
      <c r="D154" s="2"/>
      <c r="E154" s="2"/>
      <c r="F154" s="2"/>
      <c r="G154" s="2"/>
      <c r="H154" s="2"/>
      <c r="I154" s="2"/>
      <c r="J154" s="2"/>
      <c r="K154" s="2"/>
      <c r="L154" s="2"/>
      <c r="M154" s="2"/>
    </row>
    <row r="155" spans="2:13">
      <c r="B155" s="2"/>
      <c r="C155" s="2" t="s">
        <v>3572</v>
      </c>
      <c r="D155" s="2"/>
      <c r="E155" s="2"/>
      <c r="F155" s="2"/>
      <c r="G155" s="2"/>
      <c r="H155" s="2"/>
      <c r="I155" s="2"/>
      <c r="J155" s="2"/>
      <c r="K155" s="2"/>
      <c r="L155" s="2"/>
      <c r="M155" s="2"/>
    </row>
    <row r="156" spans="2:13">
      <c r="B156" s="2"/>
      <c r="C156" s="2" t="s">
        <v>3573</v>
      </c>
      <c r="D156" s="2"/>
      <c r="E156" s="2"/>
      <c r="F156" s="2"/>
      <c r="G156" s="2"/>
      <c r="H156" s="2"/>
      <c r="I156" s="2"/>
      <c r="J156" s="2"/>
      <c r="K156" s="2"/>
      <c r="L156" s="2"/>
      <c r="M156" s="2"/>
    </row>
    <row r="157" spans="2:13">
      <c r="B157" s="2"/>
      <c r="C157" s="2" t="s">
        <v>3574</v>
      </c>
      <c r="D157" s="2"/>
      <c r="E157" s="2"/>
      <c r="F157" s="2"/>
      <c r="G157" s="2"/>
      <c r="H157" s="2"/>
      <c r="I157" s="2"/>
      <c r="J157" s="2"/>
      <c r="K157" s="2"/>
      <c r="L157" s="2"/>
      <c r="M157" s="2"/>
    </row>
    <row r="158" spans="2:13">
      <c r="B158" s="2" t="s">
        <v>3575</v>
      </c>
      <c r="C158" s="2"/>
      <c r="D158" s="2"/>
      <c r="E158" s="2"/>
      <c r="F158" s="2"/>
      <c r="G158" s="2"/>
      <c r="H158" s="2"/>
      <c r="I158" s="2"/>
      <c r="J158" s="2"/>
      <c r="K158" s="2"/>
      <c r="L158" s="2"/>
      <c r="M158" s="2"/>
    </row>
    <row r="159" spans="2:13">
      <c r="B159" s="2"/>
      <c r="C159" s="2" t="s">
        <v>3576</v>
      </c>
      <c r="D159" s="2"/>
      <c r="E159" s="2"/>
      <c r="F159" s="2"/>
      <c r="G159" s="2"/>
      <c r="H159" s="2"/>
      <c r="I159" s="2"/>
      <c r="J159" s="2"/>
      <c r="K159" s="2"/>
      <c r="L159" s="2"/>
      <c r="M159" s="2"/>
    </row>
    <row r="160" spans="2:13">
      <c r="B160" s="2"/>
      <c r="C160" s="2"/>
      <c r="D160" s="2" t="s">
        <v>3577</v>
      </c>
      <c r="E160" s="2"/>
      <c r="F160" s="2"/>
      <c r="G160" s="2"/>
      <c r="H160" s="2"/>
      <c r="I160" s="2"/>
      <c r="J160" s="2"/>
      <c r="K160" s="2"/>
      <c r="L160" s="2"/>
      <c r="M160" s="2"/>
    </row>
    <row r="161" spans="2:13">
      <c r="B161" s="2"/>
      <c r="C161" s="2" t="s">
        <v>3578</v>
      </c>
      <c r="D161" s="2"/>
      <c r="E161" s="2"/>
      <c r="F161" s="2"/>
      <c r="G161" s="2"/>
      <c r="H161" s="2"/>
      <c r="I161" s="2"/>
      <c r="J161" s="2"/>
      <c r="K161" s="2"/>
      <c r="L161" s="2"/>
      <c r="M161" s="2"/>
    </row>
    <row r="162" spans="2:13">
      <c r="B162" s="2"/>
      <c r="C162" s="2" t="s">
        <v>3579</v>
      </c>
      <c r="D162" s="2"/>
      <c r="E162" s="2"/>
      <c r="F162" s="2"/>
      <c r="G162" s="2"/>
      <c r="H162" s="2"/>
      <c r="I162" s="2"/>
      <c r="J162" s="2"/>
      <c r="K162" s="2"/>
      <c r="L162" s="2"/>
      <c r="M162" s="2"/>
    </row>
    <row r="163" spans="2:13">
      <c r="B163" s="2"/>
      <c r="C163" s="2"/>
      <c r="D163" s="2" t="s">
        <v>3580</v>
      </c>
      <c r="E163" s="2"/>
      <c r="F163" s="2"/>
      <c r="G163" s="2"/>
      <c r="H163" s="2"/>
      <c r="I163" s="2"/>
      <c r="J163" s="2"/>
      <c r="K163" s="2"/>
      <c r="L163" s="2"/>
      <c r="M163" s="2"/>
    </row>
    <row r="164" spans="2:13">
      <c r="B164" s="2"/>
      <c r="C164" s="2"/>
      <c r="D164" s="2" t="s">
        <v>3581</v>
      </c>
      <c r="E164" s="2"/>
      <c r="F164" s="2"/>
      <c r="G164" s="2"/>
      <c r="H164" s="2"/>
      <c r="I164" s="2"/>
      <c r="J164" s="2"/>
      <c r="K164" s="2"/>
      <c r="L164" s="2"/>
      <c r="M164" s="2"/>
    </row>
    <row r="165" spans="2:13">
      <c r="B165" s="2"/>
      <c r="C165" s="2" t="s">
        <v>3582</v>
      </c>
      <c r="D165" s="2"/>
      <c r="E165" s="2"/>
      <c r="F165" s="2"/>
      <c r="G165" s="2"/>
      <c r="H165" s="2"/>
      <c r="I165" s="2"/>
      <c r="J165" s="2"/>
      <c r="K165" s="2"/>
      <c r="L165" s="2"/>
      <c r="M165" s="2"/>
    </row>
    <row r="166" spans="2:13">
      <c r="B166" s="2"/>
      <c r="C166" s="2"/>
      <c r="D166" s="2" t="s">
        <v>3583</v>
      </c>
      <c r="E166" s="2"/>
      <c r="F166" s="2"/>
      <c r="G166" s="2"/>
      <c r="H166" s="2"/>
      <c r="I166" s="2"/>
      <c r="J166" s="2"/>
      <c r="K166" s="2"/>
      <c r="L166" s="2"/>
      <c r="M166" s="2"/>
    </row>
    <row r="167" spans="2:13">
      <c r="B167" s="2" t="s">
        <v>3584</v>
      </c>
      <c r="C167" s="2"/>
      <c r="D167" s="2"/>
      <c r="E167" s="2"/>
      <c r="F167" s="2"/>
      <c r="G167" s="2"/>
      <c r="H167" s="2"/>
      <c r="I167" s="2"/>
      <c r="J167" s="2"/>
      <c r="K167" s="2"/>
      <c r="L167" s="2"/>
      <c r="M167" s="2"/>
    </row>
    <row r="168" spans="2:13">
      <c r="B168" s="2"/>
      <c r="C168" s="2" t="s">
        <v>3585</v>
      </c>
      <c r="D168" s="2"/>
      <c r="E168" s="2"/>
      <c r="F168" s="2"/>
      <c r="G168" s="2"/>
      <c r="H168" s="2"/>
      <c r="I168" s="2"/>
      <c r="J168" s="2"/>
      <c r="K168" s="2"/>
      <c r="L168" s="2"/>
      <c r="M168" s="2"/>
    </row>
    <row r="169" spans="2:13">
      <c r="B169" s="2" t="s">
        <v>3586</v>
      </c>
      <c r="C169" s="2"/>
      <c r="D169" s="2"/>
      <c r="E169" s="2"/>
      <c r="F169" s="2"/>
      <c r="G169" s="2"/>
      <c r="H169" s="2"/>
      <c r="I169" s="2"/>
      <c r="J169" s="2"/>
      <c r="K169" s="2"/>
      <c r="L169" s="2"/>
      <c r="M169" s="2"/>
    </row>
    <row r="170" spans="2:13">
      <c r="B170" s="2"/>
      <c r="C170" s="2" t="s">
        <v>3587</v>
      </c>
      <c r="D170" s="2"/>
      <c r="E170" s="2"/>
      <c r="F170" s="2"/>
      <c r="G170" s="2"/>
      <c r="H170" s="2"/>
      <c r="I170" s="2"/>
      <c r="J170" s="2"/>
      <c r="K170" s="2"/>
      <c r="L170" s="2"/>
      <c r="M170" s="2"/>
    </row>
    <row r="171" spans="2:13">
      <c r="B171" s="2" t="s">
        <v>3588</v>
      </c>
      <c r="C171" s="2"/>
      <c r="D171" s="2"/>
      <c r="E171" s="2"/>
      <c r="F171" s="2"/>
      <c r="G171" s="2"/>
      <c r="H171" s="2"/>
      <c r="I171" s="2"/>
      <c r="J171" s="2"/>
      <c r="K171" s="2"/>
      <c r="L171" s="2"/>
      <c r="M171" s="2"/>
    </row>
    <row r="172" spans="2:13">
      <c r="B172" s="2" t="s">
        <v>3589</v>
      </c>
      <c r="C172" s="2"/>
      <c r="D172" s="2"/>
      <c r="E172" s="2"/>
      <c r="F172" s="2"/>
      <c r="G172" s="2"/>
      <c r="H172" s="2"/>
      <c r="I172" s="2"/>
      <c r="J172" s="2"/>
      <c r="K172" s="2"/>
      <c r="L172" s="2"/>
      <c r="M172" s="2"/>
    </row>
    <row r="173" spans="2:13">
      <c r="B173" s="2" t="s">
        <v>3590</v>
      </c>
      <c r="C173" s="2"/>
      <c r="D173" s="2"/>
      <c r="E173" s="2"/>
      <c r="F173" s="2"/>
      <c r="G173" s="2"/>
      <c r="H173" s="2"/>
      <c r="I173" s="2"/>
      <c r="J173" s="2"/>
      <c r="K173" s="2"/>
      <c r="L173" s="2"/>
      <c r="M173" s="2"/>
    </row>
    <row r="174" spans="2:13">
      <c r="B174" s="2"/>
      <c r="C174" s="2" t="s">
        <v>3591</v>
      </c>
      <c r="D174" s="2"/>
      <c r="E174" s="2"/>
      <c r="F174" s="2"/>
      <c r="G174" s="2"/>
      <c r="H174" s="2"/>
      <c r="I174" s="2"/>
      <c r="J174" s="2"/>
      <c r="K174" s="2"/>
      <c r="L174" s="2"/>
      <c r="M174" s="2"/>
    </row>
    <row r="175" spans="2:13">
      <c r="B175" s="2"/>
      <c r="C175" s="2" t="s">
        <v>3592</v>
      </c>
      <c r="D175" s="2"/>
      <c r="E175" s="2"/>
      <c r="F175" s="2"/>
      <c r="G175" s="2"/>
      <c r="H175" s="2"/>
      <c r="I175" s="2"/>
      <c r="J175" s="2"/>
      <c r="K175" s="2"/>
      <c r="L175" s="2"/>
      <c r="M175" s="2"/>
    </row>
    <row r="176" spans="2:13">
      <c r="B176" s="2"/>
      <c r="C176" s="2" t="s">
        <v>3593</v>
      </c>
      <c r="D176" s="2"/>
      <c r="E176" s="2"/>
      <c r="F176" s="2"/>
      <c r="G176" s="2"/>
      <c r="H176" s="2"/>
      <c r="I176" s="2"/>
      <c r="J176" s="2"/>
      <c r="K176" s="2"/>
      <c r="L176" s="2"/>
      <c r="M176" s="2"/>
    </row>
    <row r="177" spans="2:13">
      <c r="B177" s="2" t="s">
        <v>3594</v>
      </c>
      <c r="C177" s="2"/>
      <c r="D177" s="2"/>
      <c r="E177" s="2"/>
      <c r="F177" s="2"/>
      <c r="G177" s="2"/>
      <c r="H177" s="2"/>
      <c r="I177" s="2"/>
      <c r="J177" s="2"/>
      <c r="K177" s="2"/>
      <c r="L177" s="2"/>
      <c r="M177" s="2"/>
    </row>
    <row r="178" spans="2:13">
      <c r="B178" s="2"/>
      <c r="C178" s="2" t="s">
        <v>3595</v>
      </c>
      <c r="D178" s="2"/>
      <c r="E178" s="2"/>
      <c r="F178" s="2"/>
      <c r="G178" s="2"/>
      <c r="H178" s="2"/>
      <c r="I178" s="2"/>
      <c r="J178" s="2"/>
      <c r="K178" s="2"/>
      <c r="L178" s="2"/>
      <c r="M178" s="2"/>
    </row>
    <row r="179" spans="2:13">
      <c r="B179" s="2"/>
      <c r="C179" s="2" t="s">
        <v>3596</v>
      </c>
      <c r="D179" s="2"/>
      <c r="E179" s="2"/>
      <c r="F179" s="2"/>
      <c r="G179" s="2"/>
      <c r="H179" s="2"/>
      <c r="I179" s="2"/>
      <c r="J179" s="2"/>
      <c r="K179" s="2"/>
      <c r="L179" s="2"/>
      <c r="M179" s="2"/>
    </row>
    <row r="180" spans="2:13">
      <c r="B180" s="2"/>
      <c r="C180" s="2" t="s">
        <v>3597</v>
      </c>
      <c r="D180" s="2"/>
      <c r="E180" s="2"/>
      <c r="F180" s="2"/>
      <c r="G180" s="2"/>
      <c r="H180" s="2"/>
      <c r="I180" s="2"/>
      <c r="J180" s="2"/>
      <c r="K180" s="2"/>
      <c r="L180" s="2"/>
      <c r="M180" s="2"/>
    </row>
    <row r="181" spans="2:13">
      <c r="B181" s="2"/>
      <c r="C181" s="2" t="s">
        <v>3598</v>
      </c>
      <c r="D181" s="2"/>
      <c r="E181" s="2"/>
      <c r="F181" s="2"/>
      <c r="G181" s="2"/>
      <c r="H181" s="2"/>
      <c r="I181" s="2"/>
      <c r="J181" s="2"/>
      <c r="K181" s="2"/>
      <c r="L181" s="2"/>
      <c r="M181" s="2"/>
    </row>
    <row r="182" spans="2:13">
      <c r="B182" s="2" t="s">
        <v>3599</v>
      </c>
      <c r="C182" s="2"/>
      <c r="D182" s="2"/>
      <c r="E182" s="2"/>
      <c r="F182" s="2"/>
      <c r="G182" s="2"/>
      <c r="H182" s="2"/>
      <c r="I182" s="2"/>
      <c r="J182" s="2"/>
      <c r="K182" s="2"/>
      <c r="L182" s="2"/>
      <c r="M182" s="2"/>
    </row>
    <row r="183" spans="2:13">
      <c r="B183" s="2"/>
      <c r="C183" s="2" t="s">
        <v>3600</v>
      </c>
      <c r="D183" s="2"/>
      <c r="E183" s="2"/>
      <c r="F183" s="2"/>
      <c r="G183" s="2"/>
      <c r="H183" s="2"/>
      <c r="I183" s="2"/>
      <c r="J183" s="2"/>
      <c r="K183" s="2"/>
      <c r="L183" s="2"/>
      <c r="M183" s="2"/>
    </row>
    <row r="184" spans="2:13">
      <c r="B184" s="2" t="s">
        <v>3601</v>
      </c>
      <c r="C184" s="2"/>
      <c r="D184" s="2"/>
      <c r="E184" s="2"/>
      <c r="F184" s="2"/>
      <c r="G184" s="2"/>
      <c r="H184" s="2"/>
      <c r="I184" s="2"/>
      <c r="J184" s="2"/>
      <c r="K184" s="2"/>
      <c r="L184" s="2"/>
      <c r="M184" s="2"/>
    </row>
    <row r="185" spans="2:13">
      <c r="B185" s="2"/>
      <c r="C185" s="2" t="s">
        <v>3602</v>
      </c>
      <c r="D185" s="2"/>
      <c r="E185" s="2"/>
      <c r="F185" s="2"/>
      <c r="G185" s="2"/>
      <c r="H185" s="2"/>
      <c r="I185" s="2"/>
      <c r="J185" s="2"/>
      <c r="K185" s="2"/>
      <c r="L185" s="2"/>
      <c r="M185" s="2"/>
    </row>
    <row r="186" spans="2:13">
      <c r="B186" s="2"/>
      <c r="C186" s="2" t="s">
        <v>3603</v>
      </c>
      <c r="D186" s="2"/>
      <c r="E186" s="2"/>
      <c r="F186" s="2"/>
      <c r="G186" s="2"/>
      <c r="H186" s="2"/>
      <c r="I186" s="2"/>
      <c r="J186" s="2"/>
      <c r="K186" s="2"/>
      <c r="L186" s="2"/>
      <c r="M186" s="2"/>
    </row>
    <row r="187" spans="2:13">
      <c r="B187" s="2" t="s">
        <v>3604</v>
      </c>
      <c r="C187" s="2"/>
      <c r="D187" s="2"/>
      <c r="E187" s="2"/>
      <c r="F187" s="2"/>
      <c r="G187" s="2"/>
      <c r="H187" s="2"/>
      <c r="I187" s="2"/>
      <c r="J187" s="2"/>
      <c r="K187" s="2"/>
      <c r="L187" s="2"/>
      <c r="M187" s="2"/>
    </row>
    <row r="188" spans="2:13">
      <c r="B188" s="2" t="s">
        <v>3605</v>
      </c>
      <c r="C188" s="2"/>
      <c r="D188" s="2"/>
      <c r="E188" s="2"/>
      <c r="F188" s="2"/>
      <c r="G188" s="2"/>
      <c r="H188" s="2"/>
      <c r="I188" s="2"/>
      <c r="J188" s="2"/>
      <c r="K188" s="2"/>
      <c r="L188" s="2"/>
      <c r="M188" s="2"/>
    </row>
    <row r="189" spans="2:13">
      <c r="B189" s="2" t="s">
        <v>3606</v>
      </c>
      <c r="C189" s="2"/>
      <c r="D189" s="2"/>
      <c r="E189" s="2"/>
      <c r="F189" s="2"/>
      <c r="G189" s="2"/>
      <c r="H189" s="2"/>
      <c r="I189" s="2"/>
      <c r="J189" s="2"/>
      <c r="K189" s="2"/>
      <c r="L189" s="2"/>
      <c r="M189" s="2"/>
    </row>
    <row r="190" spans="2:13">
      <c r="B190" s="2" t="s">
        <v>3607</v>
      </c>
      <c r="C190" s="2"/>
      <c r="D190" s="2"/>
      <c r="E190" s="2"/>
      <c r="F190" s="2"/>
      <c r="G190" s="2"/>
      <c r="H190" s="2"/>
      <c r="I190" s="2"/>
      <c r="J190" s="2"/>
      <c r="K190" s="2"/>
      <c r="L190" s="2"/>
      <c r="M190" s="2"/>
    </row>
    <row r="191" spans="2:13">
      <c r="B191" s="2" t="s">
        <v>3608</v>
      </c>
      <c r="C191" s="2"/>
      <c r="D191" s="2"/>
      <c r="E191" s="2"/>
      <c r="F191" s="2"/>
      <c r="G191" s="2"/>
      <c r="H191" s="2"/>
      <c r="I191" s="2"/>
      <c r="J191" s="2"/>
      <c r="K191" s="2"/>
      <c r="L191" s="2"/>
      <c r="M191" s="2"/>
    </row>
    <row r="192" spans="2:13">
      <c r="B192" s="2" t="s">
        <v>3609</v>
      </c>
      <c r="C192" s="2"/>
      <c r="D192" s="2"/>
      <c r="E192" s="2"/>
      <c r="F192" s="2"/>
      <c r="G192" s="2"/>
      <c r="H192" s="2"/>
      <c r="I192" s="2"/>
      <c r="J192" s="2"/>
      <c r="K192" s="2"/>
      <c r="L192" s="2"/>
      <c r="M192" s="2"/>
    </row>
    <row r="193" spans="2:13">
      <c r="B193" s="2"/>
      <c r="C193" s="2" t="s">
        <v>3610</v>
      </c>
      <c r="D193" s="2"/>
      <c r="E193" s="2"/>
      <c r="F193" s="2"/>
      <c r="G193" s="2"/>
      <c r="H193" s="2"/>
      <c r="I193" s="2"/>
      <c r="J193" s="2"/>
      <c r="K193" s="2"/>
      <c r="L193" s="2"/>
      <c r="M193" s="2"/>
    </row>
    <row r="194" spans="2:13">
      <c r="B194" s="2"/>
      <c r="C194" s="2"/>
      <c r="D194" s="2" t="s">
        <v>3611</v>
      </c>
      <c r="E194" s="2"/>
      <c r="F194" s="2"/>
      <c r="G194" s="2"/>
      <c r="H194" s="2"/>
      <c r="I194" s="2"/>
      <c r="J194" s="2"/>
      <c r="K194" s="2"/>
      <c r="L194" s="2"/>
      <c r="M194" s="2"/>
    </row>
    <row r="195" spans="2:13">
      <c r="B195" s="2"/>
      <c r="C195" s="2"/>
      <c r="D195" s="2" t="s">
        <v>3612</v>
      </c>
      <c r="E195" s="2"/>
      <c r="F195" s="2"/>
      <c r="G195" s="2"/>
      <c r="H195" s="2"/>
      <c r="I195" s="2"/>
      <c r="J195" s="2"/>
      <c r="K195" s="2"/>
      <c r="L195" s="2"/>
      <c r="M195" s="2"/>
    </row>
    <row r="196" spans="2:13">
      <c r="B196" s="2"/>
      <c r="C196" s="2" t="s">
        <v>3613</v>
      </c>
      <c r="D196" s="2"/>
      <c r="E196" s="2"/>
      <c r="F196" s="2"/>
      <c r="G196" s="2"/>
      <c r="H196" s="2"/>
      <c r="I196" s="2"/>
      <c r="J196" s="2"/>
      <c r="K196" s="2"/>
      <c r="L196" s="2"/>
      <c r="M196" s="2"/>
    </row>
    <row r="197" spans="2:13">
      <c r="B197" s="2"/>
      <c r="C197" s="2" t="s">
        <v>3614</v>
      </c>
      <c r="D197" s="2"/>
      <c r="E197" s="2"/>
      <c r="F197" s="2"/>
      <c r="G197" s="2"/>
      <c r="H197" s="2"/>
      <c r="I197" s="2"/>
      <c r="J197" s="2"/>
      <c r="K197" s="2"/>
      <c r="L197" s="2"/>
      <c r="M197" s="2"/>
    </row>
    <row r="198" spans="2:13">
      <c r="B198" s="2"/>
      <c r="C198" s="2" t="s">
        <v>3615</v>
      </c>
      <c r="D198" s="2"/>
      <c r="E198" s="2"/>
      <c r="F198" s="2"/>
      <c r="G198" s="2"/>
      <c r="H198" s="2"/>
      <c r="I198" s="2"/>
      <c r="J198" s="2"/>
      <c r="K198" s="2"/>
      <c r="L198" s="2"/>
      <c r="M198" s="2"/>
    </row>
    <row r="199" spans="2:13">
      <c r="B199" s="2"/>
      <c r="C199" s="2"/>
      <c r="D199" s="2" t="s">
        <v>3616</v>
      </c>
      <c r="E199" s="2"/>
      <c r="F199" s="2"/>
      <c r="G199" s="2"/>
      <c r="H199" s="2"/>
      <c r="I199" s="2"/>
      <c r="J199" s="2"/>
      <c r="K199" s="2"/>
      <c r="L199" s="2"/>
      <c r="M199" s="2"/>
    </row>
    <row r="200" spans="2:13">
      <c r="B200" s="2"/>
      <c r="C200" s="2"/>
      <c r="D200" s="2" t="s">
        <v>3617</v>
      </c>
      <c r="E200" s="2"/>
      <c r="F200" s="2"/>
      <c r="G200" s="2"/>
      <c r="H200" s="2"/>
      <c r="I200" s="2"/>
      <c r="J200" s="2"/>
      <c r="K200" s="2"/>
      <c r="L200" s="2"/>
      <c r="M200" s="2"/>
    </row>
    <row r="201" spans="2:13">
      <c r="B201" s="2"/>
      <c r="C201" s="2" t="s">
        <v>3618</v>
      </c>
      <c r="D201" s="2"/>
      <c r="E201" s="2"/>
      <c r="F201" s="2"/>
      <c r="G201" s="2"/>
      <c r="H201" s="2"/>
      <c r="I201" s="2"/>
      <c r="J201" s="2"/>
      <c r="K201" s="2"/>
      <c r="L201" s="2"/>
      <c r="M201" s="2"/>
    </row>
    <row r="202" spans="2:13">
      <c r="B202" s="2"/>
      <c r="C202" s="2"/>
      <c r="D202" s="2" t="s">
        <v>3619</v>
      </c>
      <c r="E202" s="2"/>
      <c r="F202" s="2"/>
      <c r="G202" s="2"/>
      <c r="H202" s="2"/>
      <c r="I202" s="2"/>
      <c r="J202" s="2"/>
      <c r="K202" s="2"/>
      <c r="L202" s="2"/>
      <c r="M202" s="2"/>
    </row>
    <row r="203" spans="2:13">
      <c r="B203" s="2"/>
      <c r="C203" s="2"/>
      <c r="D203" s="2" t="s">
        <v>3620</v>
      </c>
      <c r="E203" s="2"/>
      <c r="F203" s="2"/>
      <c r="G203" s="2"/>
      <c r="H203" s="2"/>
      <c r="I203" s="2"/>
      <c r="J203" s="2"/>
      <c r="K203" s="2"/>
      <c r="L203" s="2"/>
      <c r="M203" s="2"/>
    </row>
    <row r="204" spans="2:13">
      <c r="B204" s="2"/>
      <c r="C204" s="2"/>
      <c r="D204" s="2" t="s">
        <v>3621</v>
      </c>
      <c r="E204" s="2"/>
      <c r="F204" s="2"/>
      <c r="G204" s="2"/>
      <c r="H204" s="2"/>
      <c r="I204" s="2"/>
      <c r="J204" s="2"/>
      <c r="K204" s="2"/>
      <c r="L204" s="2"/>
      <c r="M204" s="2"/>
    </row>
    <row r="205" spans="2:13">
      <c r="B205" s="2"/>
      <c r="C205" s="2" t="s">
        <v>3622</v>
      </c>
      <c r="D205" s="2"/>
      <c r="E205" s="2"/>
      <c r="F205" s="2"/>
      <c r="G205" s="2"/>
      <c r="H205" s="2"/>
      <c r="I205" s="2"/>
      <c r="J205" s="2"/>
      <c r="K205" s="2"/>
      <c r="L205" s="2"/>
      <c r="M205" s="2"/>
    </row>
    <row r="206" spans="2:13">
      <c r="B206" s="2" t="s">
        <v>3623</v>
      </c>
      <c r="C206" s="2"/>
      <c r="D206" s="2"/>
      <c r="E206" s="2"/>
      <c r="F206" s="2"/>
      <c r="G206" s="2"/>
      <c r="H206" s="2"/>
      <c r="I206" s="2"/>
      <c r="J206" s="2"/>
      <c r="K206" s="2"/>
      <c r="L206" s="2"/>
      <c r="M206" s="2"/>
    </row>
    <row r="207" spans="2:13">
      <c r="B207" s="2"/>
      <c r="C207" s="2" t="s">
        <v>3624</v>
      </c>
      <c r="D207" s="2"/>
      <c r="E207" s="2"/>
      <c r="F207" s="2"/>
      <c r="G207" s="2"/>
      <c r="H207" s="2"/>
      <c r="I207" s="2"/>
      <c r="J207" s="2"/>
      <c r="K207" s="2"/>
      <c r="L207" s="2"/>
      <c r="M207" s="2"/>
    </row>
    <row r="208" spans="2:13">
      <c r="B208" s="2"/>
      <c r="C208" s="2"/>
      <c r="D208" s="2" t="s">
        <v>3625</v>
      </c>
      <c r="E208" s="2"/>
      <c r="F208" s="2"/>
      <c r="G208" s="2"/>
      <c r="H208" s="2"/>
      <c r="I208" s="2"/>
      <c r="J208" s="2"/>
      <c r="K208" s="2"/>
      <c r="L208" s="2"/>
      <c r="M208" s="2"/>
    </row>
    <row r="209" spans="2:13">
      <c r="B209" s="2"/>
      <c r="C209" s="2"/>
      <c r="D209" s="2" t="s">
        <v>3626</v>
      </c>
      <c r="E209" s="2"/>
      <c r="F209" s="2"/>
      <c r="G209" s="2"/>
      <c r="H209" s="2"/>
      <c r="I209" s="2"/>
      <c r="J209" s="2"/>
      <c r="K209" s="2"/>
      <c r="L209" s="2"/>
      <c r="M209" s="2"/>
    </row>
    <row r="210" spans="2:13">
      <c r="B210" s="2"/>
      <c r="C210" s="2" t="s">
        <v>3627</v>
      </c>
      <c r="D210" s="2"/>
      <c r="E210" s="2"/>
      <c r="F210" s="2"/>
      <c r="G210" s="2"/>
      <c r="H210" s="2"/>
      <c r="I210" s="2"/>
      <c r="J210" s="2"/>
      <c r="K210" s="2"/>
      <c r="L210" s="2"/>
      <c r="M210" s="2"/>
    </row>
    <row r="211" spans="2:13">
      <c r="B211" s="2" t="s">
        <v>3628</v>
      </c>
      <c r="C211" s="2"/>
      <c r="D211" s="2"/>
      <c r="E211" s="2"/>
      <c r="F211" s="2"/>
      <c r="G211" s="2"/>
      <c r="H211" s="2"/>
      <c r="I211" s="2"/>
      <c r="J211" s="2"/>
      <c r="K211" s="2"/>
      <c r="L211" s="2"/>
      <c r="M211" s="2"/>
    </row>
    <row r="212" spans="2:13">
      <c r="B212" s="2" t="s">
        <v>3629</v>
      </c>
      <c r="C212" s="2"/>
      <c r="D212" s="2"/>
      <c r="E212" s="2"/>
      <c r="F212" s="2"/>
      <c r="G212" s="2"/>
      <c r="H212" s="2"/>
      <c r="I212" s="2"/>
      <c r="J212" s="2"/>
      <c r="K212" s="2"/>
      <c r="L212" s="2"/>
      <c r="M212" s="2"/>
    </row>
    <row r="213" spans="2:13">
      <c r="B213" s="2" t="s">
        <v>3630</v>
      </c>
      <c r="C213" s="2"/>
      <c r="D213" s="2"/>
      <c r="E213" s="2"/>
      <c r="F213" s="2"/>
      <c r="G213" s="2"/>
      <c r="H213" s="2"/>
      <c r="I213" s="2"/>
      <c r="J213" s="2"/>
      <c r="K213" s="2"/>
      <c r="L213" s="2"/>
      <c r="M213" s="2"/>
    </row>
    <row r="214" spans="2:13">
      <c r="B214" s="2" t="s">
        <v>3631</v>
      </c>
      <c r="C214" s="2"/>
      <c r="D214" s="2"/>
      <c r="E214" s="2"/>
      <c r="F214" s="2"/>
      <c r="G214" s="2"/>
      <c r="H214" s="2"/>
      <c r="I214" s="2"/>
      <c r="J214" s="2"/>
      <c r="K214" s="2"/>
      <c r="L214" s="2"/>
      <c r="M214" s="2"/>
    </row>
    <row r="215" spans="2:13">
      <c r="B215" s="2" t="s">
        <v>3632</v>
      </c>
      <c r="C215" s="2"/>
      <c r="D215" s="2"/>
      <c r="E215" s="2"/>
      <c r="F215" s="2"/>
      <c r="G215" s="2"/>
      <c r="H215" s="2"/>
      <c r="I215" s="2"/>
      <c r="J215" s="2"/>
      <c r="K215" s="2"/>
      <c r="L215" s="2"/>
      <c r="M215" s="2"/>
    </row>
    <row r="216" spans="2:13">
      <c r="B216" s="2"/>
      <c r="C216" s="2" t="s">
        <v>3633</v>
      </c>
      <c r="D216" s="2"/>
      <c r="E216" s="2"/>
      <c r="F216" s="2"/>
      <c r="G216" s="2"/>
      <c r="H216" s="2"/>
      <c r="I216" s="2"/>
      <c r="J216" s="2"/>
      <c r="K216" s="2"/>
      <c r="L216" s="2"/>
      <c r="M216" s="2"/>
    </row>
    <row r="217" spans="2:13">
      <c r="B217" s="2"/>
      <c r="C217" s="2" t="s">
        <v>3634</v>
      </c>
      <c r="D217" s="2"/>
      <c r="E217" s="2"/>
      <c r="F217" s="2"/>
      <c r="G217" s="2"/>
      <c r="H217" s="2"/>
      <c r="I217" s="2"/>
      <c r="J217" s="2"/>
      <c r="K217" s="2"/>
      <c r="L217" s="2"/>
      <c r="M217" s="2"/>
    </row>
    <row r="218" spans="2:13">
      <c r="B218" s="2" t="s">
        <v>3635</v>
      </c>
      <c r="C218" s="2"/>
      <c r="D218" s="2"/>
      <c r="E218" s="2"/>
      <c r="F218" s="2"/>
      <c r="G218" s="2"/>
      <c r="H218" s="2"/>
      <c r="I218" s="2"/>
      <c r="J218" s="2"/>
      <c r="K218" s="2"/>
      <c r="L218" s="2"/>
      <c r="M218" s="2"/>
    </row>
    <row r="219" spans="2:13">
      <c r="B219" s="2" t="s">
        <v>3636</v>
      </c>
      <c r="C219" s="2"/>
      <c r="D219" s="2"/>
      <c r="E219" s="2"/>
      <c r="F219" s="2"/>
      <c r="G219" s="2"/>
      <c r="H219" s="2"/>
      <c r="I219" s="2"/>
      <c r="J219" s="2"/>
      <c r="K219" s="2"/>
      <c r="L219" s="2"/>
      <c r="M219" s="2"/>
    </row>
    <row r="220" spans="2:13">
      <c r="B220" s="2"/>
      <c r="C220" s="2" t="s">
        <v>3637</v>
      </c>
      <c r="D220" s="2"/>
      <c r="E220" s="2"/>
      <c r="F220" s="2"/>
      <c r="G220" s="2"/>
      <c r="H220" s="2"/>
      <c r="I220" s="2"/>
      <c r="J220" s="2"/>
      <c r="K220" s="2"/>
      <c r="L220" s="2"/>
      <c r="M220" s="2"/>
    </row>
    <row r="221" spans="2:13">
      <c r="B221" s="2"/>
      <c r="C221" s="2" t="s">
        <v>3638</v>
      </c>
      <c r="D221" s="2"/>
      <c r="E221" s="2"/>
      <c r="F221" s="2"/>
      <c r="G221" s="2"/>
      <c r="H221" s="2"/>
      <c r="I221" s="2"/>
      <c r="J221" s="2"/>
      <c r="K221" s="2"/>
      <c r="L221" s="2"/>
      <c r="M221" s="2"/>
    </row>
    <row r="222" spans="2:13">
      <c r="B222" s="2" t="s">
        <v>3639</v>
      </c>
      <c r="C222" s="2"/>
      <c r="D222" s="2"/>
      <c r="E222" s="2"/>
      <c r="F222" s="2"/>
      <c r="G222" s="2"/>
      <c r="H222" s="2"/>
      <c r="I222" s="2"/>
      <c r="J222" s="2"/>
      <c r="K222" s="2"/>
      <c r="L222" s="2"/>
      <c r="M222" s="2"/>
    </row>
    <row r="223" spans="2:13">
      <c r="B223" s="2"/>
      <c r="C223" s="2" t="s">
        <v>3640</v>
      </c>
      <c r="D223" s="2"/>
      <c r="E223" s="2"/>
      <c r="F223" s="2"/>
      <c r="G223" s="2"/>
      <c r="H223" s="2"/>
      <c r="I223" s="2"/>
      <c r="J223" s="2"/>
      <c r="K223" s="2"/>
      <c r="L223" s="2"/>
      <c r="M223" s="2"/>
    </row>
    <row r="224" spans="2:13">
      <c r="B224" s="2" t="s">
        <v>3641</v>
      </c>
      <c r="C224" s="2"/>
      <c r="D224" s="2"/>
      <c r="E224" s="2"/>
      <c r="F224" s="2"/>
      <c r="G224" s="2"/>
      <c r="H224" s="2"/>
      <c r="I224" s="2"/>
      <c r="J224" s="2"/>
      <c r="K224" s="2"/>
      <c r="L224" s="2"/>
      <c r="M224" s="2"/>
    </row>
    <row r="225" spans="2:13">
      <c r="B225" s="2"/>
      <c r="C225" s="2" t="s">
        <v>3642</v>
      </c>
      <c r="D225" s="2"/>
      <c r="E225" s="2"/>
      <c r="F225" s="2"/>
      <c r="G225" s="2"/>
      <c r="H225" s="2"/>
      <c r="I225" s="2"/>
      <c r="J225" s="2"/>
      <c r="K225" s="2"/>
      <c r="L225" s="2"/>
      <c r="M225" s="2"/>
    </row>
    <row r="226" spans="2:13">
      <c r="B226" s="2"/>
      <c r="C226" s="2" t="s">
        <v>3643</v>
      </c>
      <c r="D226" s="2"/>
      <c r="E226" s="2"/>
      <c r="F226" s="2"/>
      <c r="G226" s="2"/>
      <c r="H226" s="2"/>
      <c r="I226" s="2"/>
      <c r="J226" s="2"/>
      <c r="K226" s="2"/>
      <c r="L226" s="2"/>
      <c r="M226" s="2"/>
    </row>
    <row r="227" spans="2:13">
      <c r="B227" s="2" t="s">
        <v>3644</v>
      </c>
      <c r="C227" s="2"/>
      <c r="D227" s="2"/>
      <c r="E227" s="2"/>
      <c r="F227" s="2"/>
      <c r="G227" s="2"/>
      <c r="H227" s="2"/>
      <c r="I227" s="2"/>
      <c r="J227" s="2"/>
      <c r="K227" s="2"/>
      <c r="L227" s="2"/>
      <c r="M227" s="2"/>
    </row>
    <row r="228" spans="2:13">
      <c r="B228" s="2" t="s">
        <v>3645</v>
      </c>
      <c r="C228" s="2"/>
      <c r="D228" s="2"/>
      <c r="E228" s="2"/>
      <c r="F228" s="2"/>
      <c r="G228" s="2"/>
      <c r="H228" s="2"/>
      <c r="I228" s="2"/>
      <c r="J228" s="2"/>
      <c r="K228" s="2"/>
      <c r="L228" s="2"/>
      <c r="M228" s="2"/>
    </row>
    <row r="229" spans="2:13">
      <c r="B229" s="2"/>
      <c r="C229" s="2" t="s">
        <v>3646</v>
      </c>
      <c r="D229" s="2"/>
      <c r="E229" s="2"/>
      <c r="F229" s="2"/>
      <c r="G229" s="2"/>
      <c r="H229" s="2"/>
      <c r="I229" s="2"/>
      <c r="J229" s="2"/>
      <c r="K229" s="2"/>
      <c r="L229" s="2"/>
      <c r="M229" s="2"/>
    </row>
    <row r="230" spans="2:13">
      <c r="B230" s="2"/>
      <c r="C230" s="2" t="s">
        <v>3647</v>
      </c>
      <c r="D230" s="2"/>
      <c r="E230" s="2"/>
      <c r="F230" s="2"/>
      <c r="G230" s="2"/>
      <c r="H230" s="2"/>
      <c r="I230" s="2"/>
      <c r="J230" s="2"/>
      <c r="K230" s="2"/>
      <c r="L230" s="2"/>
      <c r="M230" s="2"/>
    </row>
    <row r="231" spans="2:13">
      <c r="B231" s="2" t="s">
        <v>3648</v>
      </c>
      <c r="C231" s="2"/>
      <c r="D231" s="2"/>
      <c r="E231" s="2"/>
      <c r="F231" s="2"/>
      <c r="G231" s="2"/>
      <c r="H231" s="2"/>
      <c r="I231" s="2"/>
      <c r="J231" s="2"/>
      <c r="K231" s="2"/>
      <c r="L231" s="2"/>
      <c r="M231" s="2"/>
    </row>
    <row r="232" spans="2:13">
      <c r="B232" s="2"/>
      <c r="C232" s="2" t="s">
        <v>3649</v>
      </c>
      <c r="D232" s="2"/>
      <c r="E232" s="2"/>
      <c r="F232" s="2"/>
      <c r="G232" s="2"/>
      <c r="H232" s="2"/>
      <c r="I232" s="2"/>
      <c r="J232" s="2"/>
      <c r="K232" s="2"/>
      <c r="L232" s="2"/>
      <c r="M232" s="2"/>
    </row>
    <row r="233" spans="2:13">
      <c r="B233" s="2"/>
      <c r="C233" s="2" t="s">
        <v>3650</v>
      </c>
      <c r="D233" s="2"/>
      <c r="E233" s="2"/>
      <c r="F233" s="2"/>
      <c r="G233" s="2"/>
      <c r="H233" s="2"/>
      <c r="I233" s="2"/>
      <c r="J233" s="2"/>
      <c r="K233" s="2"/>
      <c r="L233" s="2"/>
      <c r="M233" s="2"/>
    </row>
    <row r="234" spans="2:13">
      <c r="B234" s="2"/>
      <c r="C234" s="2" t="s">
        <v>3651</v>
      </c>
      <c r="D234" s="2"/>
      <c r="E234" s="2"/>
      <c r="F234" s="2"/>
      <c r="G234" s="2"/>
      <c r="H234" s="2"/>
      <c r="I234" s="2"/>
      <c r="J234" s="2"/>
      <c r="K234" s="2"/>
      <c r="L234" s="2"/>
      <c r="M234" s="2"/>
    </row>
    <row r="235" spans="2:13">
      <c r="B235" s="2" t="s">
        <v>3652</v>
      </c>
      <c r="C235" s="2"/>
      <c r="D235" s="2"/>
      <c r="E235" s="2"/>
      <c r="F235" s="2"/>
      <c r="G235" s="2"/>
      <c r="H235" s="2"/>
      <c r="I235" s="2"/>
      <c r="J235" s="2"/>
      <c r="K235" s="2"/>
      <c r="L235" s="2"/>
      <c r="M235" s="2"/>
    </row>
    <row r="236" spans="2:13">
      <c r="B236" s="2" t="s">
        <v>3653</v>
      </c>
      <c r="C236" s="2"/>
      <c r="D236" s="2"/>
      <c r="E236" s="2"/>
      <c r="F236" s="2"/>
      <c r="G236" s="2"/>
      <c r="H236" s="2"/>
      <c r="I236" s="2"/>
      <c r="J236" s="2"/>
      <c r="K236" s="2"/>
      <c r="L236" s="2"/>
      <c r="M236" s="2"/>
    </row>
    <row r="237" spans="2:13">
      <c r="B237" s="2" t="s">
        <v>3654</v>
      </c>
      <c r="C237" s="2"/>
      <c r="D237" s="2"/>
      <c r="E237" s="2"/>
      <c r="F237" s="2"/>
      <c r="G237" s="2"/>
      <c r="H237" s="2"/>
      <c r="I237" s="2"/>
      <c r="J237" s="2"/>
      <c r="K237" s="2"/>
      <c r="L237" s="2"/>
      <c r="M237" s="2"/>
    </row>
    <row r="238" spans="2:13">
      <c r="B238" s="2"/>
      <c r="C238" s="2" t="s">
        <v>3655</v>
      </c>
      <c r="D238" s="2"/>
      <c r="E238" s="2"/>
      <c r="F238" s="2"/>
      <c r="G238" s="2"/>
      <c r="H238" s="2"/>
      <c r="I238" s="2"/>
      <c r="J238" s="2"/>
      <c r="K238" s="2"/>
      <c r="L238" s="2"/>
      <c r="M238" s="2"/>
    </row>
    <row r="239" spans="2:13">
      <c r="B239" s="2"/>
      <c r="C239" s="2" t="s">
        <v>3656</v>
      </c>
      <c r="D239" s="2"/>
      <c r="E239" s="2"/>
      <c r="F239" s="2"/>
      <c r="G239" s="2"/>
      <c r="H239" s="2"/>
      <c r="I239" s="2"/>
      <c r="J239" s="2"/>
      <c r="K239" s="2"/>
      <c r="L239" s="2"/>
      <c r="M239" s="2"/>
    </row>
    <row r="240" spans="2:13">
      <c r="B240" s="2" t="s">
        <v>3657</v>
      </c>
      <c r="C240" s="2"/>
      <c r="D240" s="2"/>
      <c r="E240" s="2"/>
      <c r="F240" s="2"/>
      <c r="G240" s="2"/>
      <c r="H240" s="2"/>
      <c r="I240" s="2"/>
      <c r="J240" s="2"/>
      <c r="K240" s="2"/>
      <c r="L240" s="2"/>
      <c r="M240" s="2"/>
    </row>
    <row r="241" spans="2:13">
      <c r="B241" s="2"/>
      <c r="C241" s="2" t="s">
        <v>3658</v>
      </c>
      <c r="D241" s="2"/>
      <c r="E241" s="2"/>
      <c r="F241" s="2"/>
      <c r="G241" s="2"/>
      <c r="H241" s="2"/>
      <c r="I241" s="2"/>
      <c r="J241" s="2"/>
      <c r="K241" s="2"/>
      <c r="L241" s="2"/>
      <c r="M241" s="2"/>
    </row>
    <row r="242" spans="2:13">
      <c r="B242" s="2" t="s">
        <v>3659</v>
      </c>
      <c r="C242" s="2"/>
      <c r="D242" s="2"/>
      <c r="E242" s="2"/>
      <c r="F242" s="2"/>
      <c r="G242" s="2"/>
      <c r="H242" s="2"/>
      <c r="I242" s="2"/>
      <c r="J242" s="2"/>
      <c r="K242" s="2"/>
      <c r="L242" s="2"/>
      <c r="M242" s="2"/>
    </row>
    <row r="243" spans="2:13">
      <c r="B243" s="2" t="s">
        <v>3660</v>
      </c>
      <c r="C243" s="2"/>
      <c r="D243" s="2"/>
      <c r="E243" s="2"/>
      <c r="F243" s="2"/>
      <c r="G243" s="2"/>
      <c r="H243" s="2"/>
      <c r="I243" s="2"/>
      <c r="J243" s="2"/>
      <c r="K243" s="2"/>
      <c r="L243" s="2"/>
      <c r="M243" s="2"/>
    </row>
    <row r="244" spans="2:13">
      <c r="B244" s="2"/>
      <c r="C244" s="2" t="s">
        <v>3661</v>
      </c>
      <c r="D244" s="2"/>
      <c r="E244" s="2"/>
      <c r="F244" s="2"/>
      <c r="G244" s="2"/>
      <c r="H244" s="2"/>
      <c r="I244" s="2"/>
      <c r="J244" s="2"/>
      <c r="K244" s="2"/>
      <c r="L244" s="2"/>
      <c r="M244" s="2"/>
    </row>
    <row r="245" spans="2:13">
      <c r="B245" s="2"/>
      <c r="C245" s="2" t="s">
        <v>3662</v>
      </c>
      <c r="D245" s="2"/>
      <c r="E245" s="2"/>
      <c r="F245" s="2"/>
      <c r="G245" s="2"/>
      <c r="H245" s="2"/>
      <c r="I245" s="2"/>
      <c r="J245" s="2"/>
      <c r="K245" s="2"/>
      <c r="L245" s="2"/>
      <c r="M245" s="2"/>
    </row>
    <row r="246" spans="2:13">
      <c r="B246" s="2"/>
      <c r="C246" s="2" t="s">
        <v>3663</v>
      </c>
      <c r="D246" s="2"/>
      <c r="E246" s="2"/>
      <c r="F246" s="2"/>
      <c r="G246" s="2"/>
      <c r="H246" s="2"/>
      <c r="I246" s="2"/>
      <c r="J246" s="2"/>
      <c r="K246" s="2"/>
      <c r="L246" s="2"/>
      <c r="M246" s="2"/>
    </row>
    <row r="247" spans="2:13">
      <c r="B247" s="2" t="s">
        <v>3664</v>
      </c>
      <c r="C247" s="2"/>
      <c r="D247" s="2"/>
      <c r="E247" s="2"/>
      <c r="F247" s="2"/>
      <c r="G247" s="2"/>
      <c r="H247" s="2"/>
      <c r="I247" s="2"/>
      <c r="J247" s="2"/>
      <c r="K247" s="2"/>
      <c r="L247" s="2"/>
      <c r="M247" s="2"/>
    </row>
    <row r="248" spans="2:13">
      <c r="B248" s="2"/>
      <c r="C248" s="2" t="s">
        <v>3665</v>
      </c>
      <c r="D248" s="2"/>
      <c r="E248" s="2"/>
      <c r="F248" s="2"/>
      <c r="G248" s="2"/>
      <c r="H248" s="2"/>
      <c r="I248" s="2"/>
      <c r="J248" s="2"/>
      <c r="K248" s="2"/>
      <c r="L248" s="2"/>
      <c r="M248" s="2"/>
    </row>
    <row r="249" spans="2:13">
      <c r="B249" s="2"/>
      <c r="C249" s="2" t="s">
        <v>3666</v>
      </c>
      <c r="D249" s="2"/>
      <c r="E249" s="2"/>
      <c r="F249" s="2"/>
      <c r="G249" s="2"/>
      <c r="H249" s="2"/>
      <c r="I249" s="2"/>
      <c r="J249" s="2"/>
      <c r="K249" s="2"/>
      <c r="L249" s="2"/>
      <c r="M249" s="2"/>
    </row>
    <row r="250" spans="2:13">
      <c r="B250" s="2"/>
      <c r="C250" s="2" t="s">
        <v>3667</v>
      </c>
      <c r="D250" s="2"/>
      <c r="E250" s="2"/>
      <c r="F250" s="2"/>
      <c r="G250" s="2"/>
      <c r="H250" s="2"/>
      <c r="I250" s="2"/>
      <c r="J250" s="2"/>
      <c r="K250" s="2"/>
      <c r="L250" s="2"/>
      <c r="M250" s="2"/>
    </row>
    <row r="251" spans="2:13">
      <c r="B251" s="2" t="s">
        <v>3668</v>
      </c>
      <c r="C251" s="2"/>
      <c r="D251" s="2"/>
      <c r="E251" s="2"/>
      <c r="F251" s="2"/>
      <c r="G251" s="2"/>
      <c r="H251" s="2"/>
      <c r="I251" s="2"/>
      <c r="J251" s="2"/>
      <c r="K251" s="2"/>
      <c r="L251" s="2"/>
      <c r="M251" s="2"/>
    </row>
    <row r="252" spans="2:13">
      <c r="B252" s="2"/>
      <c r="C252" s="2" t="s">
        <v>3669</v>
      </c>
      <c r="D252" s="2"/>
      <c r="E252" s="2"/>
      <c r="F252" s="2"/>
      <c r="G252" s="2"/>
      <c r="H252" s="2"/>
      <c r="I252" s="2"/>
      <c r="J252" s="2"/>
      <c r="K252" s="2"/>
      <c r="L252" s="2"/>
      <c r="M252" s="2"/>
    </row>
    <row r="253" spans="2:13">
      <c r="B253" s="2"/>
      <c r="C253" s="2" t="s">
        <v>3670</v>
      </c>
      <c r="D253" s="2"/>
      <c r="E253" s="2"/>
      <c r="F253" s="2"/>
      <c r="G253" s="2"/>
      <c r="H253" s="2"/>
      <c r="I253" s="2"/>
      <c r="J253" s="2"/>
      <c r="K253" s="2"/>
      <c r="L253" s="2"/>
      <c r="M253" s="2"/>
    </row>
    <row r="254" spans="2:13">
      <c r="B254" s="2"/>
      <c r="C254" s="2" t="s">
        <v>3671</v>
      </c>
      <c r="D254" s="2"/>
      <c r="E254" s="2"/>
      <c r="F254" s="2"/>
      <c r="G254" s="2"/>
      <c r="H254" s="2"/>
      <c r="I254" s="2"/>
      <c r="J254" s="2"/>
      <c r="K254" s="2"/>
      <c r="L254" s="2"/>
      <c r="M254" s="2"/>
    </row>
    <row r="255" spans="2:13">
      <c r="B255" s="2"/>
      <c r="C255" s="2" t="s">
        <v>3672</v>
      </c>
      <c r="D255" s="2"/>
      <c r="E255" s="2"/>
      <c r="F255" s="2"/>
      <c r="G255" s="2"/>
      <c r="H255" s="2"/>
      <c r="I255" s="2"/>
      <c r="J255" s="2"/>
      <c r="K255" s="2"/>
      <c r="L255" s="2"/>
      <c r="M255" s="2"/>
    </row>
    <row r="256" spans="2:13">
      <c r="B256" s="2"/>
      <c r="C256" s="2"/>
      <c r="D256" s="2" t="s">
        <v>3673</v>
      </c>
      <c r="E256" s="2"/>
      <c r="F256" s="2"/>
      <c r="G256" s="2"/>
      <c r="H256" s="2"/>
      <c r="I256" s="2"/>
      <c r="J256" s="2"/>
      <c r="K256" s="2"/>
      <c r="L256" s="2"/>
      <c r="M256" s="2"/>
    </row>
    <row r="257" spans="2:13">
      <c r="B257" s="2"/>
      <c r="C257" s="2"/>
      <c r="D257" s="2" t="s">
        <v>3674</v>
      </c>
      <c r="E257" s="2"/>
      <c r="F257" s="2"/>
      <c r="G257" s="2"/>
      <c r="H257" s="2"/>
      <c r="I257" s="2"/>
      <c r="J257" s="2"/>
      <c r="K257" s="2"/>
      <c r="L257" s="2"/>
      <c r="M257" s="2"/>
    </row>
    <row r="258" spans="2:13">
      <c r="B258" s="2"/>
      <c r="C258" s="2"/>
      <c r="D258" s="2" t="s">
        <v>3675</v>
      </c>
      <c r="E258" s="2"/>
      <c r="F258" s="2"/>
      <c r="G258" s="2"/>
      <c r="H258" s="2"/>
      <c r="I258" s="2"/>
      <c r="J258" s="2"/>
      <c r="K258" s="2"/>
      <c r="L258" s="2"/>
      <c r="M258" s="2"/>
    </row>
    <row r="259" spans="2:13">
      <c r="B259" s="2"/>
      <c r="C259" s="2"/>
      <c r="D259" s="2" t="s">
        <v>3676</v>
      </c>
      <c r="E259" s="2"/>
      <c r="F259" s="2"/>
      <c r="G259" s="2"/>
      <c r="H259" s="2"/>
      <c r="I259" s="2"/>
      <c r="J259" s="2"/>
      <c r="K259" s="2"/>
      <c r="L259" s="2"/>
      <c r="M259" s="2"/>
    </row>
    <row r="260" spans="2:13">
      <c r="B260" s="2" t="s">
        <v>3677</v>
      </c>
      <c r="C260" s="2"/>
      <c r="D260" s="2"/>
      <c r="E260" s="2"/>
      <c r="F260" s="2"/>
      <c r="G260" s="2"/>
      <c r="H260" s="2"/>
      <c r="I260" s="2"/>
      <c r="J260" s="2"/>
      <c r="K260" s="2"/>
      <c r="L260" s="2"/>
      <c r="M260" s="2"/>
    </row>
    <row r="261" spans="2:13">
      <c r="B261" s="2"/>
      <c r="C261" s="2" t="s">
        <v>3678</v>
      </c>
      <c r="D261" s="2"/>
      <c r="E261" s="2"/>
      <c r="F261" s="2"/>
      <c r="G261" s="2"/>
      <c r="H261" s="2"/>
      <c r="I261" s="2"/>
      <c r="J261" s="2"/>
      <c r="K261" s="2"/>
      <c r="L261" s="2"/>
      <c r="M261" s="2"/>
    </row>
    <row r="262" spans="2:13">
      <c r="B262" s="2"/>
      <c r="C262" s="2" t="s">
        <v>3679</v>
      </c>
      <c r="D262" s="2"/>
      <c r="E262" s="2"/>
      <c r="F262" s="2"/>
      <c r="G262" s="2"/>
      <c r="H262" s="2"/>
      <c r="I262" s="2"/>
      <c r="J262" s="2"/>
      <c r="K262" s="2"/>
      <c r="L262" s="2"/>
      <c r="M262" s="2"/>
    </row>
    <row r="263" spans="2:13">
      <c r="B263" s="2"/>
      <c r="C263" s="2" t="s">
        <v>3680</v>
      </c>
      <c r="D263" s="2"/>
      <c r="E263" s="2"/>
      <c r="F263" s="2"/>
      <c r="G263" s="2"/>
      <c r="H263" s="2"/>
      <c r="I263" s="2"/>
      <c r="J263" s="2"/>
      <c r="K263" s="2"/>
      <c r="L263" s="2"/>
      <c r="M263" s="2"/>
    </row>
    <row r="264" spans="2:13">
      <c r="B264" s="2"/>
      <c r="C264" s="2" t="s">
        <v>3681</v>
      </c>
      <c r="D264" s="2"/>
      <c r="E264" s="2"/>
      <c r="F264" s="2"/>
      <c r="G264" s="2"/>
      <c r="H264" s="2"/>
      <c r="I264" s="2"/>
      <c r="J264" s="2"/>
      <c r="K264" s="2"/>
      <c r="L264" s="2"/>
      <c r="M264" s="2"/>
    </row>
    <row r="265" spans="2:13">
      <c r="B265" s="2"/>
      <c r="C265" s="2" t="s">
        <v>3682</v>
      </c>
      <c r="D265" s="2"/>
      <c r="E265" s="2"/>
      <c r="F265" s="2"/>
      <c r="G265" s="2"/>
      <c r="H265" s="2"/>
      <c r="I265" s="2"/>
      <c r="J265" s="2"/>
      <c r="K265" s="2"/>
      <c r="L265" s="2"/>
      <c r="M265" s="2"/>
    </row>
  </sheetData>
  <pageMargins left="0.75" right="0.75" top="1" bottom="1" header="0.5" footer="0.5"/>
  <pageSetup paperSize="9" orientation="portrait"/>
  <headerFooter/>
</worksheet>
</file>

<file path=xl/worksheets/sheet2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L66"/>
  <sheetViews>
    <sheetView topLeftCell="A32" workbookViewId="0">
      <selection activeCell="C33" sqref="C33"/>
    </sheetView>
  </sheetViews>
  <sheetFormatPr defaultColWidth="8.88888888888889" defaultRowHeight="14.4"/>
  <cols>
    <col min="1" max="1" width="9.66666666666667"/>
  </cols>
  <sheetData>
    <row r="1" spans="1:12">
      <c r="A1" s="1">
        <f>SUM(B1:AZ1)</f>
        <v>25.8333333333333</v>
      </c>
      <c r="B1" s="1">
        <f t="shared" ref="B1:H1" si="0">COUNTA(B2:B2124)/COLUMN()</f>
        <v>12.5</v>
      </c>
      <c r="C1" s="1">
        <f t="shared" si="0"/>
        <v>13.3333333333333</v>
      </c>
      <c r="D1" s="1">
        <f t="shared" si="0"/>
        <v>0</v>
      </c>
      <c r="E1" s="1">
        <f t="shared" si="0"/>
        <v>0</v>
      </c>
      <c r="F1" s="1">
        <f t="shared" si="0"/>
        <v>0</v>
      </c>
      <c r="G1" s="1">
        <f t="shared" si="0"/>
        <v>0</v>
      </c>
      <c r="H1" s="1">
        <f t="shared" si="0"/>
        <v>0</v>
      </c>
    </row>
    <row r="2" spans="1:12">
      <c r="A2" t="str" cm="1">
        <f ca="1" t="array" ref="A2">_wpsfn.SHEETSNAME(A1)</f>
        <v>20251121</v>
      </c>
      <c r="B2" s="2" t="s">
        <v>3683</v>
      </c>
      <c r="C2" s="2"/>
      <c r="D2" s="2"/>
      <c r="E2" s="2"/>
      <c r="F2" s="2"/>
      <c r="G2" s="2"/>
      <c r="H2" s="2"/>
      <c r="I2" s="2"/>
      <c r="J2" s="2"/>
      <c r="K2" s="2"/>
      <c r="L2" s="2"/>
    </row>
    <row r="3" spans="1:12">
      <c r="B3" s="2"/>
      <c r="C3" s="2" t="s">
        <v>3684</v>
      </c>
      <c r="D3" s="2"/>
      <c r="E3" s="2"/>
      <c r="F3" s="2"/>
      <c r="G3" s="2"/>
      <c r="H3" s="2"/>
      <c r="I3" s="2"/>
      <c r="J3" s="2"/>
      <c r="K3" s="2"/>
      <c r="L3" s="2"/>
    </row>
    <row r="4" spans="1:12">
      <c r="B4" s="2"/>
      <c r="C4" s="2" t="s">
        <v>3685</v>
      </c>
      <c r="D4" s="2"/>
      <c r="E4" s="2"/>
      <c r="F4" s="2"/>
      <c r="G4" s="2"/>
      <c r="H4" s="2"/>
      <c r="I4" s="2"/>
      <c r="J4" s="2"/>
      <c r="K4" s="2"/>
      <c r="L4" s="2"/>
    </row>
    <row r="5" spans="1:12">
      <c r="B5" s="2"/>
      <c r="C5" s="2" t="s">
        <v>3686</v>
      </c>
      <c r="D5" s="2"/>
      <c r="E5" s="2"/>
      <c r="F5" s="2"/>
      <c r="G5" s="2"/>
      <c r="H5" s="2"/>
      <c r="I5" s="2"/>
      <c r="J5" s="2"/>
      <c r="K5" s="2"/>
      <c r="L5" s="2"/>
    </row>
    <row r="6" spans="1:12">
      <c r="B6" s="2" t="s">
        <v>3687</v>
      </c>
      <c r="C6" s="2"/>
      <c r="D6" s="2"/>
      <c r="E6" s="2"/>
      <c r="F6" s="2"/>
      <c r="G6" s="2"/>
      <c r="H6" s="2"/>
      <c r="I6" s="2"/>
      <c r="J6" s="2"/>
      <c r="K6" s="2"/>
      <c r="L6" s="2"/>
    </row>
    <row r="7" spans="1:12">
      <c r="B7" s="2"/>
      <c r="C7" s="2" t="s">
        <v>3688</v>
      </c>
      <c r="D7" s="2"/>
      <c r="E7" s="2"/>
      <c r="F7" s="2"/>
      <c r="G7" s="2"/>
      <c r="H7" s="2"/>
      <c r="I7" s="2"/>
      <c r="J7" s="2"/>
      <c r="K7" s="2"/>
      <c r="L7" s="2"/>
    </row>
    <row r="8" spans="1:12">
      <c r="B8" s="2" t="s">
        <v>3689</v>
      </c>
      <c r="C8" s="2"/>
      <c r="D8" s="2"/>
      <c r="E8" s="2"/>
      <c r="F8" s="2"/>
      <c r="G8" s="2"/>
      <c r="H8" s="2"/>
      <c r="I8" s="2"/>
      <c r="J8" s="2"/>
      <c r="K8" s="2"/>
      <c r="L8" s="2"/>
    </row>
    <row r="9" spans="1:12">
      <c r="B9" s="2"/>
      <c r="C9" s="2" t="s">
        <v>3690</v>
      </c>
      <c r="D9" s="2"/>
      <c r="E9" s="2"/>
      <c r="F9" s="2"/>
      <c r="G9" s="2"/>
      <c r="H9" s="2"/>
      <c r="I9" s="2"/>
      <c r="J9" s="2"/>
      <c r="K9" s="2"/>
      <c r="L9" s="2"/>
    </row>
    <row r="10" spans="1:12">
      <c r="B10" s="2"/>
      <c r="C10" s="2" t="s">
        <v>3691</v>
      </c>
      <c r="D10" s="2"/>
      <c r="E10" s="2"/>
      <c r="F10" s="2"/>
      <c r="G10" s="2"/>
      <c r="H10" s="2"/>
      <c r="I10" s="2"/>
      <c r="J10" s="2"/>
      <c r="K10" s="2"/>
      <c r="L10" s="2"/>
    </row>
    <row r="11" spans="1:12">
      <c r="B11" s="2"/>
      <c r="C11" s="2" t="s">
        <v>3692</v>
      </c>
      <c r="D11" s="2"/>
      <c r="E11" s="2"/>
      <c r="F11" s="2"/>
      <c r="G11" s="2"/>
      <c r="H11" s="2"/>
      <c r="I11" s="2"/>
      <c r="J11" s="2"/>
      <c r="K11" s="2"/>
      <c r="L11" s="2"/>
    </row>
    <row r="12" spans="1:12">
      <c r="B12" s="2" t="s">
        <v>3693</v>
      </c>
      <c r="C12" s="2"/>
      <c r="D12" s="2"/>
      <c r="E12" s="2"/>
      <c r="F12" s="2"/>
      <c r="G12" s="2"/>
      <c r="H12" s="2"/>
      <c r="I12" s="2"/>
      <c r="J12" s="2"/>
      <c r="K12" s="2"/>
      <c r="L12" s="2"/>
    </row>
    <row r="13" spans="1:12">
      <c r="B13" s="2"/>
      <c r="C13" s="2" t="s">
        <v>3694</v>
      </c>
      <c r="D13" s="2"/>
      <c r="E13" s="2"/>
      <c r="F13" s="2"/>
      <c r="G13" s="2"/>
      <c r="H13" s="2"/>
      <c r="I13" s="2"/>
      <c r="J13" s="2"/>
      <c r="K13" s="2"/>
      <c r="L13" s="2"/>
    </row>
    <row r="14" spans="1:12">
      <c r="B14" s="2"/>
      <c r="C14" s="2" t="s">
        <v>3695</v>
      </c>
      <c r="D14" s="2"/>
      <c r="E14" s="2"/>
      <c r="F14" s="2"/>
      <c r="G14" s="2"/>
      <c r="H14" s="2"/>
      <c r="I14" s="2"/>
      <c r="J14" s="2"/>
      <c r="K14" s="2"/>
      <c r="L14" s="2"/>
    </row>
    <row r="15" spans="1:12">
      <c r="B15" s="2"/>
      <c r="C15" s="2" t="s">
        <v>3696</v>
      </c>
      <c r="D15" s="2"/>
      <c r="E15" s="2"/>
      <c r="F15" s="2"/>
      <c r="G15" s="2"/>
      <c r="H15" s="2"/>
      <c r="I15" s="2"/>
      <c r="J15" s="2"/>
      <c r="K15" s="2"/>
      <c r="L15" s="2"/>
    </row>
    <row r="16" spans="1:12">
      <c r="B16" s="2"/>
      <c r="C16" s="2" t="s">
        <v>3697</v>
      </c>
      <c r="D16" s="2"/>
      <c r="E16" s="2"/>
      <c r="F16" s="2"/>
      <c r="G16" s="2"/>
      <c r="H16" s="2"/>
      <c r="I16" s="2"/>
      <c r="J16" s="2"/>
      <c r="K16" s="2"/>
      <c r="L16" s="2"/>
    </row>
    <row r="17" spans="2:12">
      <c r="B17" s="2" t="s">
        <v>3698</v>
      </c>
      <c r="C17" s="2"/>
      <c r="D17" s="2"/>
      <c r="E17" s="2"/>
      <c r="F17" s="2"/>
      <c r="G17" s="2"/>
      <c r="H17" s="2"/>
      <c r="I17" s="2"/>
      <c r="J17" s="2"/>
      <c r="K17" s="2"/>
      <c r="L17" s="2"/>
    </row>
    <row r="18" spans="2:12">
      <c r="B18" s="2" t="s">
        <v>3699</v>
      </c>
      <c r="C18" s="2"/>
      <c r="D18" s="2"/>
      <c r="E18" s="2"/>
      <c r="F18" s="2"/>
      <c r="G18" s="2"/>
      <c r="H18" s="2"/>
      <c r="I18" s="2"/>
      <c r="J18" s="2"/>
      <c r="K18" s="2"/>
      <c r="L18" s="2"/>
    </row>
    <row r="19" spans="2:12">
      <c r="B19" s="2"/>
      <c r="C19" s="2" t="s">
        <v>3700</v>
      </c>
      <c r="D19" s="2"/>
      <c r="E19" s="2"/>
      <c r="F19" s="2"/>
      <c r="G19" s="2"/>
      <c r="H19" s="2"/>
      <c r="I19" s="2"/>
      <c r="J19" s="2"/>
      <c r="K19" s="2"/>
      <c r="L19" s="2"/>
    </row>
    <row r="20" spans="2:12">
      <c r="B20" s="2"/>
      <c r="C20" s="2" t="s">
        <v>3701</v>
      </c>
      <c r="D20" s="2"/>
      <c r="E20" s="2"/>
      <c r="F20" s="2"/>
      <c r="G20" s="2"/>
      <c r="H20" s="2"/>
      <c r="I20" s="2"/>
      <c r="J20" s="2"/>
      <c r="K20" s="2"/>
      <c r="L20" s="2"/>
    </row>
    <row r="21" spans="2:12">
      <c r="B21" s="2"/>
      <c r="C21" s="2" t="s">
        <v>3702</v>
      </c>
      <c r="D21" s="2"/>
      <c r="E21" s="2"/>
      <c r="F21" s="2"/>
      <c r="G21" s="2"/>
      <c r="H21" s="2"/>
      <c r="I21" s="2"/>
      <c r="J21" s="2"/>
      <c r="K21" s="2"/>
      <c r="L21" s="2"/>
    </row>
    <row r="22" spans="2:12">
      <c r="B22" s="2"/>
      <c r="C22" s="2" t="s">
        <v>3703</v>
      </c>
      <c r="D22" s="2"/>
      <c r="E22" s="2"/>
      <c r="F22" s="2"/>
      <c r="G22" s="2"/>
      <c r="H22" s="2"/>
      <c r="I22" s="2"/>
      <c r="J22" s="2"/>
      <c r="K22" s="2"/>
      <c r="L22" s="2"/>
    </row>
    <row r="23" spans="2:12">
      <c r="B23" s="2" t="s">
        <v>3704</v>
      </c>
      <c r="C23" s="2"/>
      <c r="D23" s="2"/>
      <c r="E23" s="2"/>
      <c r="F23" s="2"/>
      <c r="G23" s="2"/>
      <c r="H23" s="2"/>
      <c r="I23" s="2"/>
      <c r="J23" s="2"/>
      <c r="K23" s="2"/>
      <c r="L23" s="2"/>
    </row>
    <row r="24" spans="2:12">
      <c r="B24" s="2"/>
      <c r="C24" s="2" t="s">
        <v>3705</v>
      </c>
      <c r="D24" s="2"/>
      <c r="E24" s="2"/>
      <c r="F24" s="2"/>
      <c r="G24" s="2"/>
      <c r="H24" s="2"/>
      <c r="I24" s="2"/>
      <c r="J24" s="2"/>
      <c r="K24" s="2"/>
      <c r="L24" s="2"/>
    </row>
    <row r="25" spans="2:12">
      <c r="B25" s="2" t="s">
        <v>3706</v>
      </c>
      <c r="C25" s="2"/>
      <c r="D25" s="2"/>
      <c r="E25" s="2"/>
      <c r="F25" s="2"/>
      <c r="G25" s="2"/>
      <c r="H25" s="2"/>
      <c r="I25" s="2"/>
      <c r="J25" s="2"/>
      <c r="K25" s="2"/>
      <c r="L25" s="2"/>
    </row>
    <row r="26" spans="2:12">
      <c r="B26" s="2" t="s">
        <v>3707</v>
      </c>
      <c r="C26" s="2"/>
      <c r="D26" s="2"/>
      <c r="E26" s="2"/>
      <c r="F26" s="2"/>
      <c r="G26" s="2"/>
      <c r="H26" s="2"/>
      <c r="I26" s="2"/>
      <c r="J26" s="2"/>
      <c r="K26" s="2"/>
      <c r="L26" s="2"/>
    </row>
    <row r="27" spans="2:12">
      <c r="B27" s="2" t="s">
        <v>3708</v>
      </c>
      <c r="C27" s="2"/>
      <c r="D27" s="2"/>
      <c r="E27" s="2"/>
      <c r="F27" s="2"/>
      <c r="G27" s="2"/>
      <c r="H27" s="2"/>
      <c r="I27" s="2"/>
      <c r="J27" s="2"/>
      <c r="K27" s="2"/>
      <c r="L27" s="2"/>
    </row>
    <row r="28" spans="2:12">
      <c r="B28" s="2"/>
      <c r="C28" s="2" t="s">
        <v>3709</v>
      </c>
      <c r="D28" s="2"/>
      <c r="E28" s="2"/>
      <c r="F28" s="2"/>
      <c r="G28" s="2"/>
      <c r="H28" s="2"/>
      <c r="I28" s="2"/>
      <c r="J28" s="2"/>
      <c r="K28" s="2"/>
      <c r="L28" s="2"/>
    </row>
    <row r="29" spans="2:12">
      <c r="B29" s="2"/>
      <c r="C29" s="2" t="s">
        <v>3710</v>
      </c>
      <c r="D29" s="2"/>
      <c r="E29" s="2"/>
      <c r="F29" s="2"/>
      <c r="G29" s="2"/>
      <c r="H29" s="2"/>
      <c r="I29" s="2"/>
      <c r="J29" s="2"/>
      <c r="K29" s="2"/>
      <c r="L29" s="2"/>
    </row>
    <row r="30" spans="2:12">
      <c r="B30" s="2" t="s">
        <v>3711</v>
      </c>
      <c r="C30" s="2"/>
      <c r="D30" s="2"/>
      <c r="E30" s="2"/>
      <c r="F30" s="2"/>
      <c r="G30" s="2"/>
      <c r="H30" s="2"/>
      <c r="I30" s="2"/>
      <c r="J30" s="2"/>
      <c r="K30" s="2"/>
      <c r="L30" s="2"/>
    </row>
    <row r="31" spans="2:12">
      <c r="B31" s="2"/>
      <c r="C31" s="2" t="s">
        <v>3712</v>
      </c>
      <c r="D31" s="2"/>
      <c r="E31" s="2"/>
      <c r="F31" s="2"/>
      <c r="G31" s="2"/>
      <c r="H31" s="2"/>
      <c r="I31" s="2"/>
      <c r="J31" s="2"/>
      <c r="K31" s="2"/>
      <c r="L31" s="2"/>
    </row>
    <row r="32" spans="2:12">
      <c r="B32" s="2" t="s">
        <v>3713</v>
      </c>
      <c r="C32" s="2"/>
      <c r="D32" s="2"/>
      <c r="E32" s="2"/>
      <c r="F32" s="2"/>
      <c r="G32" s="2"/>
      <c r="H32" s="2"/>
      <c r="I32" s="2"/>
      <c r="J32" s="2"/>
      <c r="K32" s="2"/>
      <c r="L32" s="2"/>
    </row>
    <row r="33" spans="2:12">
      <c r="B33" s="2"/>
      <c r="C33" s="2" t="s">
        <v>3714</v>
      </c>
      <c r="D33" s="2"/>
      <c r="E33" s="2"/>
      <c r="F33" s="2"/>
      <c r="G33" s="2"/>
      <c r="H33" s="2"/>
      <c r="I33" s="2"/>
      <c r="J33" s="2"/>
      <c r="K33" s="2"/>
      <c r="L33" s="2"/>
    </row>
    <row r="34" spans="2:12">
      <c r="B34" s="2"/>
      <c r="C34" s="2" t="s">
        <v>3715</v>
      </c>
      <c r="D34" s="2"/>
      <c r="E34" s="2"/>
      <c r="F34" s="2"/>
      <c r="G34" s="2"/>
      <c r="H34" s="2"/>
      <c r="I34" s="2"/>
      <c r="J34" s="2"/>
      <c r="K34" s="2"/>
      <c r="L34" s="2"/>
    </row>
    <row r="35" spans="2:12">
      <c r="B35" s="2"/>
      <c r="C35" s="2" t="s">
        <v>3716</v>
      </c>
      <c r="D35" s="2"/>
      <c r="E35" s="2"/>
      <c r="F35" s="2"/>
      <c r="G35" s="2"/>
      <c r="H35" s="2"/>
      <c r="I35" s="2"/>
      <c r="J35" s="2"/>
      <c r="K35" s="2"/>
      <c r="L35" s="2"/>
    </row>
    <row r="36" spans="2:12">
      <c r="B36" s="2" t="s">
        <v>3717</v>
      </c>
      <c r="C36" s="2"/>
      <c r="D36" s="2"/>
      <c r="E36" s="2"/>
      <c r="F36" s="2"/>
      <c r="G36" s="2"/>
      <c r="H36" s="2"/>
      <c r="I36" s="2"/>
      <c r="J36" s="2"/>
      <c r="K36" s="2"/>
      <c r="L36" s="2"/>
    </row>
    <row r="37" spans="2:12">
      <c r="B37" s="2" t="s">
        <v>3718</v>
      </c>
      <c r="C37" s="2"/>
      <c r="D37" s="2"/>
      <c r="E37" s="2"/>
      <c r="F37" s="2"/>
      <c r="G37" s="2"/>
      <c r="H37" s="2"/>
      <c r="I37" s="2"/>
      <c r="J37" s="2"/>
      <c r="K37" s="2"/>
      <c r="L37" s="2"/>
    </row>
    <row r="38" spans="2:12">
      <c r="B38" s="2" t="s">
        <v>3719</v>
      </c>
      <c r="C38" s="2"/>
      <c r="D38" s="2"/>
      <c r="E38" s="2"/>
      <c r="F38" s="2"/>
      <c r="G38" s="2"/>
      <c r="H38" s="2"/>
      <c r="I38" s="2"/>
      <c r="J38" s="2"/>
      <c r="K38" s="2"/>
      <c r="L38" s="2"/>
    </row>
    <row r="39" spans="2:12">
      <c r="B39" s="2" t="s">
        <v>3720</v>
      </c>
      <c r="C39" s="2"/>
      <c r="D39" s="2"/>
      <c r="E39" s="2"/>
      <c r="F39" s="2"/>
      <c r="G39" s="2"/>
      <c r="H39" s="2"/>
      <c r="I39" s="2"/>
      <c r="J39" s="2"/>
      <c r="K39" s="2"/>
      <c r="L39" s="2"/>
    </row>
    <row r="40" spans="2:12">
      <c r="B40" s="2" t="s">
        <v>3721</v>
      </c>
      <c r="C40" s="2"/>
      <c r="D40" s="2"/>
      <c r="E40" s="2"/>
      <c r="F40" s="2"/>
      <c r="G40" s="2"/>
      <c r="H40" s="2"/>
      <c r="I40" s="2"/>
      <c r="J40" s="2"/>
      <c r="K40" s="2"/>
      <c r="L40" s="2"/>
    </row>
    <row r="41" spans="2:12">
      <c r="B41" s="2" t="s">
        <v>3722</v>
      </c>
      <c r="C41" s="2"/>
      <c r="D41" s="2"/>
      <c r="E41" s="2"/>
      <c r="F41" s="2"/>
      <c r="G41" s="2"/>
      <c r="H41" s="2"/>
      <c r="I41" s="2"/>
      <c r="J41" s="2"/>
      <c r="K41" s="2"/>
      <c r="L41" s="2"/>
    </row>
    <row r="42" spans="2:12">
      <c r="B42" s="2"/>
      <c r="C42" s="2" t="s">
        <v>3723</v>
      </c>
      <c r="D42" s="2"/>
      <c r="E42" s="2"/>
      <c r="F42" s="2"/>
      <c r="G42" s="2"/>
      <c r="H42" s="2"/>
      <c r="I42" s="2"/>
      <c r="J42" s="2"/>
      <c r="K42" s="2"/>
      <c r="L42" s="2"/>
    </row>
    <row r="43" spans="2:12">
      <c r="B43" s="2"/>
      <c r="C43" s="2" t="s">
        <v>3724</v>
      </c>
      <c r="D43" s="2"/>
      <c r="E43" s="2"/>
      <c r="F43" s="2"/>
      <c r="G43" s="2"/>
      <c r="H43" s="2"/>
      <c r="I43" s="2"/>
      <c r="J43" s="2"/>
      <c r="K43" s="2"/>
      <c r="L43" s="2"/>
    </row>
    <row r="44" spans="2:12">
      <c r="B44" s="2" t="s">
        <v>3725</v>
      </c>
      <c r="C44" s="2"/>
      <c r="D44" s="2"/>
      <c r="E44" s="2"/>
      <c r="F44" s="2"/>
      <c r="G44" s="2"/>
      <c r="H44" s="2"/>
      <c r="I44" s="2"/>
      <c r="J44" s="2"/>
      <c r="K44" s="2"/>
      <c r="L44" s="2"/>
    </row>
    <row r="45" spans="2:12">
      <c r="B45" s="2"/>
      <c r="C45" s="2" t="s">
        <v>3726</v>
      </c>
      <c r="D45" s="2"/>
      <c r="E45" s="2"/>
      <c r="F45" s="2"/>
      <c r="G45" s="2"/>
      <c r="H45" s="2"/>
      <c r="I45" s="2"/>
      <c r="J45" s="2"/>
      <c r="K45" s="2"/>
      <c r="L45" s="2"/>
    </row>
    <row r="46" spans="2:12">
      <c r="B46" s="2"/>
      <c r="C46" s="2" t="s">
        <v>3727</v>
      </c>
      <c r="D46" s="2"/>
      <c r="E46" s="2"/>
      <c r="F46" s="2"/>
      <c r="G46" s="2"/>
      <c r="H46" s="2"/>
      <c r="I46" s="2"/>
      <c r="J46" s="2"/>
      <c r="K46" s="2"/>
      <c r="L46" s="2"/>
    </row>
    <row r="47" spans="2:12">
      <c r="B47" s="2" t="s">
        <v>3728</v>
      </c>
      <c r="C47" s="2"/>
      <c r="D47" s="2"/>
      <c r="E47" s="2"/>
      <c r="F47" s="2"/>
      <c r="G47" s="2"/>
      <c r="H47" s="2"/>
      <c r="I47" s="2"/>
      <c r="J47" s="2"/>
      <c r="K47" s="2"/>
      <c r="L47" s="2"/>
    </row>
    <row r="48" spans="2:12">
      <c r="B48" s="2"/>
      <c r="C48" s="2" t="s">
        <v>3729</v>
      </c>
      <c r="D48" s="2"/>
      <c r="E48" s="2"/>
      <c r="F48" s="2"/>
      <c r="G48" s="2"/>
      <c r="H48" s="2"/>
      <c r="I48" s="2"/>
      <c r="J48" s="2"/>
      <c r="K48" s="2"/>
      <c r="L48" s="2"/>
    </row>
    <row r="49" spans="2:12">
      <c r="B49" s="2"/>
      <c r="C49" s="2" t="s">
        <v>3730</v>
      </c>
      <c r="D49" s="2"/>
      <c r="E49" s="2"/>
      <c r="F49" s="2"/>
      <c r="G49" s="2"/>
      <c r="H49" s="2"/>
      <c r="I49" s="2"/>
      <c r="J49" s="2"/>
      <c r="K49" s="2"/>
      <c r="L49" s="2"/>
    </row>
    <row r="50" spans="2:12">
      <c r="B50" s="2"/>
      <c r="C50" s="2" t="s">
        <v>3731</v>
      </c>
      <c r="D50" s="2"/>
      <c r="E50" s="2"/>
      <c r="F50" s="2"/>
      <c r="G50" s="2"/>
      <c r="H50" s="2"/>
      <c r="I50" s="2"/>
      <c r="J50" s="2"/>
      <c r="K50" s="2"/>
      <c r="L50" s="2"/>
    </row>
    <row r="51" spans="2:12">
      <c r="B51" s="2" t="s">
        <v>3732</v>
      </c>
      <c r="C51" s="2"/>
      <c r="D51" s="2"/>
      <c r="E51" s="2"/>
      <c r="F51" s="2"/>
      <c r="G51" s="2"/>
      <c r="H51" s="2"/>
      <c r="I51" s="2"/>
      <c r="J51" s="2"/>
      <c r="K51" s="2"/>
      <c r="L51" s="2"/>
    </row>
    <row r="52" spans="2:12">
      <c r="B52" s="2"/>
      <c r="C52" s="2" t="s">
        <v>3733</v>
      </c>
      <c r="D52" s="2"/>
      <c r="E52" s="2"/>
      <c r="F52" s="2"/>
      <c r="G52" s="2"/>
      <c r="H52" s="2"/>
      <c r="I52" s="2"/>
      <c r="J52" s="2"/>
      <c r="K52" s="2"/>
      <c r="L52" s="2"/>
    </row>
    <row r="53" spans="2:12">
      <c r="B53" s="2"/>
      <c r="C53" s="2" t="s">
        <v>3734</v>
      </c>
      <c r="D53" s="2"/>
      <c r="E53" s="2"/>
      <c r="F53" s="2"/>
      <c r="G53" s="2"/>
      <c r="H53" s="2"/>
      <c r="I53" s="2"/>
      <c r="J53" s="2"/>
      <c r="K53" s="2"/>
      <c r="L53" s="2"/>
    </row>
    <row r="54" spans="2:12">
      <c r="B54" s="2"/>
      <c r="C54" s="2" t="s">
        <v>3735</v>
      </c>
      <c r="D54" s="2"/>
      <c r="E54" s="2"/>
      <c r="F54" s="2"/>
      <c r="G54" s="2"/>
      <c r="H54" s="2"/>
      <c r="I54" s="2"/>
      <c r="J54" s="2"/>
      <c r="K54" s="2"/>
      <c r="L54" s="2"/>
    </row>
    <row r="55" spans="2:12">
      <c r="B55" s="2" t="s">
        <v>3736</v>
      </c>
      <c r="C55" s="2"/>
      <c r="D55" s="2"/>
      <c r="E55" s="2"/>
      <c r="F55" s="2"/>
      <c r="G55" s="2"/>
      <c r="H55" s="2"/>
      <c r="I55" s="2"/>
      <c r="J55" s="2"/>
      <c r="K55" s="2"/>
      <c r="L55" s="2"/>
    </row>
    <row r="56" spans="2:12">
      <c r="B56" s="2"/>
      <c r="C56" s="2" t="s">
        <v>3737</v>
      </c>
      <c r="D56" s="2"/>
      <c r="E56" s="2"/>
      <c r="F56" s="2"/>
      <c r="G56" s="2"/>
      <c r="H56" s="2"/>
      <c r="I56" s="2"/>
      <c r="J56" s="2"/>
      <c r="K56" s="2"/>
      <c r="L56" s="2"/>
    </row>
    <row r="57" spans="2:12">
      <c r="B57" s="2"/>
      <c r="C57" s="2" t="s">
        <v>3738</v>
      </c>
      <c r="D57" s="2"/>
      <c r="E57" s="2"/>
      <c r="F57" s="2"/>
      <c r="G57" s="2"/>
      <c r="H57" s="2"/>
      <c r="I57" s="2"/>
      <c r="J57" s="2"/>
      <c r="K57" s="2"/>
      <c r="L57" s="2"/>
    </row>
    <row r="58" spans="2:12">
      <c r="B58" s="2" t="s">
        <v>3739</v>
      </c>
      <c r="C58" s="2"/>
      <c r="D58" s="2"/>
      <c r="E58" s="2"/>
      <c r="F58" s="2"/>
      <c r="G58" s="2"/>
      <c r="H58" s="2"/>
      <c r="I58" s="2"/>
      <c r="J58" s="2"/>
      <c r="K58" s="2"/>
      <c r="L58" s="2"/>
    </row>
    <row r="59" spans="2:12">
      <c r="B59" s="2"/>
      <c r="C59" s="2" t="s">
        <v>3740</v>
      </c>
      <c r="D59" s="2"/>
      <c r="E59" s="2"/>
      <c r="F59" s="2"/>
      <c r="G59" s="2"/>
      <c r="H59" s="2"/>
      <c r="I59" s="2"/>
      <c r="J59" s="2"/>
      <c r="K59" s="2"/>
      <c r="L59" s="2"/>
    </row>
    <row r="60" spans="2:12">
      <c r="B60" s="2" t="s">
        <v>3741</v>
      </c>
      <c r="C60" s="2"/>
      <c r="D60" s="2"/>
      <c r="E60" s="2"/>
      <c r="F60" s="2"/>
      <c r="G60" s="2"/>
      <c r="H60" s="2"/>
      <c r="I60" s="2"/>
      <c r="J60" s="2"/>
      <c r="K60" s="2"/>
      <c r="L60" s="2"/>
    </row>
    <row r="61" spans="2:12">
      <c r="B61" s="2"/>
      <c r="C61" s="2" t="s">
        <v>3742</v>
      </c>
      <c r="D61" s="2"/>
      <c r="E61" s="2"/>
      <c r="F61" s="2"/>
      <c r="G61" s="2"/>
      <c r="H61" s="2"/>
      <c r="I61" s="2"/>
      <c r="J61" s="2"/>
      <c r="K61" s="2"/>
      <c r="L61" s="2"/>
    </row>
    <row r="62" spans="2:12">
      <c r="B62" s="2" t="s">
        <v>3743</v>
      </c>
      <c r="C62" s="2"/>
      <c r="D62" s="2"/>
      <c r="E62" s="2"/>
      <c r="F62" s="2"/>
      <c r="G62" s="2"/>
      <c r="H62" s="2"/>
      <c r="I62" s="2"/>
      <c r="J62" s="2"/>
      <c r="K62" s="2"/>
      <c r="L62" s="2"/>
    </row>
    <row r="63" spans="2:12">
      <c r="B63" s="2"/>
      <c r="C63" s="2" t="s">
        <v>3744</v>
      </c>
      <c r="D63" s="2"/>
      <c r="E63" s="2"/>
      <c r="F63" s="2"/>
      <c r="G63" s="2"/>
      <c r="H63" s="2"/>
      <c r="I63" s="2"/>
      <c r="J63" s="2"/>
      <c r="K63" s="2"/>
      <c r="L63" s="2"/>
    </row>
    <row r="64" spans="2:12">
      <c r="B64" s="2"/>
      <c r="C64" s="2" t="s">
        <v>3745</v>
      </c>
      <c r="D64" s="2"/>
      <c r="E64" s="2"/>
      <c r="F64" s="2"/>
      <c r="G64" s="2"/>
      <c r="H64" s="2"/>
      <c r="I64" s="2"/>
      <c r="J64" s="2"/>
      <c r="K64" s="2"/>
      <c r="L64" s="2"/>
    </row>
    <row r="65" spans="2:12">
      <c r="B65" s="2"/>
      <c r="C65" s="2" t="s">
        <v>3746</v>
      </c>
      <c r="D65" s="2"/>
      <c r="E65" s="2"/>
      <c r="F65" s="2"/>
      <c r="G65" s="2"/>
      <c r="H65" s="2"/>
      <c r="I65" s="2"/>
      <c r="J65" s="2"/>
      <c r="K65" s="2"/>
      <c r="L65" s="2"/>
    </row>
    <row r="66" spans="2:12">
      <c r="B66" s="2"/>
      <c r="C66" s="2" t="s">
        <v>3747</v>
      </c>
      <c r="D66" s="2"/>
      <c r="E66" s="2"/>
      <c r="F66" s="2"/>
      <c r="G66" s="2"/>
      <c r="H66" s="2"/>
      <c r="I66" s="2"/>
      <c r="J66" s="2"/>
      <c r="K66" s="2"/>
      <c r="L66" s="2"/>
    </row>
  </sheetData>
  <pageMargins left="0.75" right="0.75" top="1" bottom="1" header="0.5" footer="0.5"/>
  <pageSetup paperSize="9" orientation="portrait"/>
  <headerFooter/>
</worksheet>
</file>

<file path=xl/worksheets/sheet2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O92"/>
  <sheetViews>
    <sheetView topLeftCell="A55" workbookViewId="0">
      <selection activeCell="C83" sqref="C83"/>
    </sheetView>
  </sheetViews>
  <sheetFormatPr defaultColWidth="8.88888888888889" defaultRowHeight="14.4"/>
  <cols>
    <col min="1" max="1" width="9.66666666666667"/>
  </cols>
  <sheetData>
    <row r="1" spans="1:15">
      <c r="A1" s="1">
        <f>SUM(B1:AZ1)</f>
        <v>34.5</v>
      </c>
      <c r="B1" s="1">
        <f t="shared" ref="B1:H1" si="0">COUNTA(B2:B2128)/COLUMN()</f>
        <v>15</v>
      </c>
      <c r="C1" s="1">
        <f t="shared" si="0"/>
        <v>17</v>
      </c>
      <c r="D1" s="1">
        <f t="shared" si="0"/>
        <v>2.5</v>
      </c>
      <c r="E1" s="1">
        <f t="shared" si="0"/>
        <v>0</v>
      </c>
      <c r="F1" s="1">
        <f t="shared" si="0"/>
        <v>0</v>
      </c>
      <c r="G1" s="1">
        <f t="shared" si="0"/>
        <v>0</v>
      </c>
      <c r="H1" s="1">
        <f t="shared" si="0"/>
        <v>0</v>
      </c>
    </row>
    <row r="2" spans="1:15">
      <c r="A2" t="str" cm="1">
        <f ca="1" t="array" ref="A2">_wpsfn.SHEETSNAME(A1)</f>
        <v>20251122</v>
      </c>
      <c r="B2" s="2" t="s">
        <v>3748</v>
      </c>
      <c r="C2" s="2"/>
      <c r="D2" s="2"/>
      <c r="E2" s="2"/>
      <c r="F2" s="2"/>
      <c r="G2" s="2"/>
      <c r="H2" s="2"/>
      <c r="I2" s="2"/>
      <c r="J2" s="2"/>
      <c r="K2" s="2"/>
      <c r="L2" s="2"/>
      <c r="M2" s="2"/>
      <c r="N2" s="2"/>
      <c r="O2" s="2"/>
    </row>
    <row r="3" spans="1:15">
      <c r="B3" s="2"/>
      <c r="C3" s="2" t="s">
        <v>3749</v>
      </c>
      <c r="D3" s="2"/>
      <c r="E3" s="2"/>
      <c r="F3" s="2"/>
      <c r="G3" s="2"/>
      <c r="H3" s="2"/>
      <c r="I3" s="2"/>
      <c r="J3" s="2"/>
      <c r="K3" s="2"/>
      <c r="L3" s="2"/>
      <c r="M3" s="2"/>
      <c r="N3" s="2"/>
      <c r="O3" s="2"/>
    </row>
    <row r="4" spans="1:15">
      <c r="B4" s="2"/>
      <c r="C4" s="2" t="s">
        <v>3750</v>
      </c>
      <c r="D4" s="2"/>
      <c r="E4" s="2"/>
      <c r="F4" s="2"/>
      <c r="G4" s="2"/>
      <c r="H4" s="2"/>
      <c r="I4" s="2"/>
      <c r="J4" s="2"/>
      <c r="K4" s="2"/>
      <c r="L4" s="2"/>
      <c r="M4" s="2"/>
      <c r="N4" s="2"/>
      <c r="O4" s="2"/>
    </row>
    <row r="5" spans="1:15">
      <c r="B5" s="2"/>
      <c r="C5" s="2" t="s">
        <v>3751</v>
      </c>
      <c r="D5" s="2"/>
      <c r="E5" s="2"/>
      <c r="F5" s="2"/>
      <c r="G5" s="2"/>
      <c r="H5" s="2"/>
      <c r="I5" s="2"/>
      <c r="J5" s="2"/>
      <c r="K5" s="2"/>
      <c r="L5" s="2"/>
      <c r="M5" s="2"/>
      <c r="N5" s="2"/>
      <c r="O5" s="2"/>
    </row>
    <row r="6" spans="1:15">
      <c r="B6" s="2" t="s">
        <v>3752</v>
      </c>
      <c r="C6" s="2"/>
      <c r="D6" s="2"/>
      <c r="E6" s="2"/>
      <c r="F6" s="2"/>
      <c r="G6" s="2"/>
      <c r="H6" s="2"/>
      <c r="I6" s="2"/>
      <c r="J6" s="2"/>
      <c r="K6" s="2"/>
      <c r="L6" s="2"/>
      <c r="M6" s="2"/>
      <c r="N6" s="2"/>
      <c r="O6" s="2"/>
    </row>
    <row r="7" spans="1:15">
      <c r="B7" s="2" t="s">
        <v>3753</v>
      </c>
      <c r="C7" s="2"/>
      <c r="D7" s="2"/>
      <c r="E7" s="2"/>
      <c r="F7" s="2"/>
      <c r="G7" s="2"/>
      <c r="H7" s="2"/>
      <c r="I7" s="2"/>
      <c r="J7" s="2"/>
      <c r="K7" s="2"/>
      <c r="L7" s="2"/>
      <c r="M7" s="2"/>
      <c r="N7" s="2"/>
      <c r="O7" s="2"/>
    </row>
    <row r="8" spans="1:15">
      <c r="B8" s="2"/>
      <c r="C8" s="2" t="s">
        <v>3754</v>
      </c>
      <c r="D8" s="2"/>
      <c r="E8" s="2"/>
      <c r="F8" s="2"/>
      <c r="G8" s="2"/>
      <c r="H8" s="2"/>
      <c r="I8" s="2"/>
      <c r="J8" s="2"/>
      <c r="K8" s="2"/>
      <c r="L8" s="2"/>
      <c r="M8" s="2"/>
      <c r="N8" s="2"/>
      <c r="O8" s="2"/>
    </row>
    <row r="9" spans="1:15">
      <c r="B9" s="2"/>
      <c r="C9" s="2" t="s">
        <v>3755</v>
      </c>
      <c r="D9" s="2"/>
      <c r="E9" s="2"/>
      <c r="F9" s="2"/>
      <c r="G9" s="2"/>
      <c r="H9" s="2"/>
      <c r="I9" s="2"/>
      <c r="J9" s="2"/>
      <c r="K9" s="2"/>
      <c r="L9" s="2"/>
      <c r="M9" s="2"/>
      <c r="N9" s="2"/>
      <c r="O9" s="2"/>
    </row>
    <row r="10" spans="1:15">
      <c r="B10" s="2" t="s">
        <v>3756</v>
      </c>
      <c r="C10" s="2"/>
      <c r="D10" s="2"/>
      <c r="E10" s="2"/>
      <c r="F10" s="2"/>
      <c r="G10" s="2"/>
      <c r="H10" s="2"/>
      <c r="I10" s="2"/>
      <c r="J10" s="2"/>
      <c r="K10" s="2"/>
      <c r="L10" s="2"/>
      <c r="M10" s="2"/>
      <c r="N10" s="2"/>
      <c r="O10" s="2"/>
    </row>
    <row r="11" spans="1:15">
      <c r="B11" s="2" t="s">
        <v>3757</v>
      </c>
      <c r="C11" s="2"/>
      <c r="D11" s="2"/>
      <c r="E11" s="2"/>
      <c r="F11" s="2"/>
      <c r="G11" s="2"/>
      <c r="H11" s="2"/>
      <c r="I11" s="2"/>
      <c r="J11" s="2"/>
      <c r="K11" s="2"/>
      <c r="L11" s="2"/>
      <c r="M11" s="2"/>
      <c r="N11" s="2"/>
      <c r="O11" s="2"/>
    </row>
    <row r="12" spans="1:15">
      <c r="B12" s="2"/>
      <c r="C12" s="2" t="s">
        <v>3758</v>
      </c>
      <c r="D12" s="2"/>
      <c r="E12" s="2"/>
      <c r="F12" s="2"/>
      <c r="G12" s="2"/>
      <c r="H12" s="2"/>
      <c r="I12" s="2"/>
      <c r="J12" s="2"/>
      <c r="K12" s="2"/>
      <c r="L12" s="2"/>
      <c r="M12" s="2"/>
      <c r="N12" s="2"/>
      <c r="O12" s="2"/>
    </row>
    <row r="13" spans="1:15">
      <c r="B13" s="2"/>
      <c r="C13" s="2"/>
      <c r="D13" s="2" t="s">
        <v>3759</v>
      </c>
      <c r="E13" s="2"/>
      <c r="F13" s="2"/>
      <c r="G13" s="2"/>
      <c r="H13" s="2"/>
      <c r="I13" s="2"/>
      <c r="J13" s="2"/>
      <c r="K13" s="2"/>
      <c r="L13" s="2"/>
      <c r="M13" s="2"/>
      <c r="N13" s="2"/>
      <c r="O13" s="2"/>
    </row>
    <row r="14" spans="1:15">
      <c r="B14" s="2"/>
      <c r="C14" s="2"/>
      <c r="D14" s="2" t="s">
        <v>3760</v>
      </c>
      <c r="E14" s="2"/>
      <c r="F14" s="2"/>
      <c r="G14" s="2"/>
      <c r="H14" s="2"/>
      <c r="I14" s="2"/>
      <c r="J14" s="2"/>
      <c r="K14" s="2"/>
      <c r="L14" s="2"/>
      <c r="M14" s="2"/>
      <c r="N14" s="2"/>
      <c r="O14" s="2"/>
    </row>
    <row r="15" spans="1:15">
      <c r="B15" s="2" t="s">
        <v>3761</v>
      </c>
      <c r="C15" s="2"/>
      <c r="D15" s="2"/>
      <c r="E15" s="2"/>
      <c r="F15" s="2"/>
      <c r="G15" s="2"/>
      <c r="H15" s="2"/>
      <c r="I15" s="2"/>
      <c r="J15" s="2"/>
      <c r="K15" s="2"/>
      <c r="L15" s="2"/>
      <c r="M15" s="2"/>
      <c r="N15" s="2"/>
      <c r="O15" s="2"/>
    </row>
    <row r="16" spans="1:15">
      <c r="B16" s="2"/>
      <c r="C16" s="2" t="s">
        <v>3762</v>
      </c>
      <c r="D16" s="2"/>
      <c r="E16" s="2"/>
      <c r="F16" s="2"/>
      <c r="G16" s="2"/>
      <c r="H16" s="2"/>
      <c r="I16" s="2"/>
      <c r="J16" s="2"/>
      <c r="K16" s="2"/>
      <c r="L16" s="2"/>
      <c r="M16" s="2"/>
      <c r="N16" s="2"/>
      <c r="O16" s="2"/>
    </row>
    <row r="17" spans="2:15">
      <c r="B17" s="2"/>
      <c r="C17" s="2" t="s">
        <v>3763</v>
      </c>
      <c r="D17" s="2"/>
      <c r="E17" s="2"/>
      <c r="F17" s="2"/>
      <c r="G17" s="2"/>
      <c r="H17" s="2"/>
      <c r="I17" s="2"/>
      <c r="J17" s="2"/>
      <c r="K17" s="2"/>
      <c r="L17" s="2"/>
      <c r="M17" s="2"/>
      <c r="N17" s="2"/>
      <c r="O17" s="2"/>
    </row>
    <row r="18" spans="2:15">
      <c r="B18" s="2" t="s">
        <v>3764</v>
      </c>
      <c r="C18" s="2"/>
      <c r="D18" s="2"/>
      <c r="E18" s="2"/>
      <c r="F18" s="2"/>
      <c r="G18" s="2"/>
      <c r="H18" s="2"/>
      <c r="I18" s="2"/>
      <c r="J18" s="2"/>
      <c r="K18" s="2"/>
      <c r="L18" s="2"/>
      <c r="M18" s="2"/>
      <c r="N18" s="2"/>
      <c r="O18" s="2"/>
    </row>
    <row r="19" spans="2:15">
      <c r="B19" s="2" t="s">
        <v>3765</v>
      </c>
      <c r="C19" s="2"/>
      <c r="D19" s="2"/>
      <c r="E19" s="2"/>
      <c r="F19" s="2"/>
      <c r="G19" s="2"/>
      <c r="H19" s="2"/>
      <c r="I19" s="2"/>
      <c r="J19" s="2"/>
      <c r="K19" s="2"/>
      <c r="L19" s="2"/>
      <c r="M19" s="2"/>
      <c r="N19" s="2"/>
      <c r="O19" s="2"/>
    </row>
    <row r="20" spans="2:15">
      <c r="B20" s="2" t="s">
        <v>3766</v>
      </c>
      <c r="C20" s="2"/>
      <c r="D20" s="2"/>
      <c r="E20" s="2"/>
      <c r="F20" s="2"/>
      <c r="G20" s="2"/>
      <c r="H20" s="2"/>
      <c r="I20" s="2"/>
      <c r="J20" s="2"/>
      <c r="K20" s="2"/>
      <c r="L20" s="2"/>
      <c r="M20" s="2"/>
      <c r="N20" s="2"/>
      <c r="O20" s="2"/>
    </row>
    <row r="21" spans="2:15">
      <c r="B21" s="2"/>
      <c r="C21" s="2" t="s">
        <v>3767</v>
      </c>
      <c r="D21" s="2"/>
      <c r="E21" s="2"/>
      <c r="F21" s="2"/>
      <c r="G21" s="2"/>
      <c r="H21" s="2"/>
      <c r="I21" s="2"/>
      <c r="J21" s="2"/>
      <c r="K21" s="2"/>
      <c r="L21" s="2"/>
      <c r="M21" s="2"/>
      <c r="N21" s="2"/>
      <c r="O21" s="2"/>
    </row>
    <row r="22" spans="2:15">
      <c r="B22" s="2"/>
      <c r="C22" s="2" t="s">
        <v>3768</v>
      </c>
      <c r="D22" s="2"/>
      <c r="E22" s="2"/>
      <c r="F22" s="2"/>
      <c r="G22" s="2"/>
      <c r="H22" s="2"/>
      <c r="I22" s="2"/>
      <c r="J22" s="2"/>
      <c r="K22" s="2"/>
      <c r="L22" s="2"/>
      <c r="M22" s="2"/>
      <c r="N22" s="2"/>
      <c r="O22" s="2"/>
    </row>
    <row r="23" spans="2:15">
      <c r="B23" s="2"/>
      <c r="C23" s="2"/>
      <c r="D23" s="2" t="s">
        <v>3769</v>
      </c>
      <c r="E23" s="2"/>
      <c r="F23" s="2"/>
      <c r="G23" s="2"/>
      <c r="H23" s="2"/>
      <c r="I23" s="2"/>
      <c r="J23" s="2"/>
      <c r="K23" s="2"/>
      <c r="L23" s="2"/>
      <c r="M23" s="2"/>
      <c r="N23" s="2"/>
      <c r="O23" s="2"/>
    </row>
    <row r="24" spans="2:15">
      <c r="B24" s="2"/>
      <c r="C24" s="2"/>
      <c r="D24" s="2" t="s">
        <v>3770</v>
      </c>
      <c r="E24" s="2"/>
      <c r="F24" s="2"/>
      <c r="G24" s="2"/>
      <c r="H24" s="2"/>
      <c r="I24" s="2"/>
      <c r="J24" s="2"/>
      <c r="K24" s="2"/>
      <c r="L24" s="2"/>
      <c r="M24" s="2"/>
      <c r="N24" s="2"/>
      <c r="O24" s="2"/>
    </row>
    <row r="25" spans="2:15">
      <c r="B25" s="2"/>
      <c r="C25" s="2"/>
      <c r="D25" s="2" t="s">
        <v>3771</v>
      </c>
      <c r="E25" s="2"/>
      <c r="F25" s="2"/>
      <c r="G25" s="2"/>
      <c r="H25" s="2"/>
      <c r="I25" s="2"/>
      <c r="J25" s="2"/>
      <c r="K25" s="2"/>
      <c r="L25" s="2"/>
      <c r="M25" s="2"/>
      <c r="N25" s="2"/>
      <c r="O25" s="2"/>
    </row>
    <row r="26" spans="2:15">
      <c r="B26" s="2"/>
      <c r="C26" s="2" t="s">
        <v>3772</v>
      </c>
      <c r="D26" s="2"/>
      <c r="E26" s="2"/>
      <c r="F26" s="2"/>
      <c r="G26" s="2"/>
      <c r="H26" s="2"/>
      <c r="I26" s="2"/>
      <c r="J26" s="2"/>
      <c r="K26" s="2"/>
      <c r="L26" s="2"/>
      <c r="M26" s="2"/>
      <c r="N26" s="2"/>
      <c r="O26" s="2"/>
    </row>
    <row r="27" spans="2:15">
      <c r="B27" s="2"/>
      <c r="C27" s="2"/>
      <c r="D27" s="2" t="s">
        <v>3773</v>
      </c>
      <c r="E27" s="2"/>
      <c r="F27" s="2"/>
      <c r="G27" s="2"/>
      <c r="H27" s="2"/>
      <c r="I27" s="2"/>
      <c r="J27" s="2"/>
      <c r="K27" s="2"/>
      <c r="L27" s="2"/>
      <c r="M27" s="2"/>
      <c r="N27" s="2"/>
      <c r="O27" s="2"/>
    </row>
    <row r="28" spans="2:15">
      <c r="B28" s="2"/>
      <c r="C28" s="2"/>
      <c r="D28" s="2" t="s">
        <v>3774</v>
      </c>
      <c r="E28" s="2"/>
      <c r="F28" s="2"/>
      <c r="G28" s="2"/>
      <c r="H28" s="2"/>
      <c r="I28" s="2"/>
      <c r="J28" s="2"/>
      <c r="K28" s="2"/>
      <c r="L28" s="2"/>
      <c r="M28" s="2"/>
      <c r="N28" s="2"/>
      <c r="O28" s="2"/>
    </row>
    <row r="29" spans="2:15">
      <c r="B29" s="2"/>
      <c r="C29" s="2"/>
      <c r="D29" s="2" t="s">
        <v>3775</v>
      </c>
      <c r="E29" s="2"/>
      <c r="F29" s="2"/>
      <c r="G29" s="2"/>
      <c r="H29" s="2"/>
      <c r="I29" s="2"/>
      <c r="J29" s="2"/>
      <c r="K29" s="2"/>
      <c r="L29" s="2"/>
      <c r="M29" s="2"/>
      <c r="N29" s="2"/>
      <c r="O29" s="2"/>
    </row>
    <row r="30" spans="2:15">
      <c r="B30" s="2" t="s">
        <v>3776</v>
      </c>
      <c r="C30" s="2"/>
      <c r="D30" s="2"/>
      <c r="E30" s="2"/>
      <c r="F30" s="2"/>
      <c r="G30" s="2"/>
      <c r="H30" s="2"/>
      <c r="I30" s="2"/>
      <c r="J30" s="2"/>
      <c r="K30" s="2"/>
      <c r="L30" s="2"/>
      <c r="M30" s="2"/>
      <c r="N30" s="2"/>
      <c r="O30" s="2"/>
    </row>
    <row r="31" spans="2:15">
      <c r="B31" s="2"/>
      <c r="C31" s="2" t="s">
        <v>3777</v>
      </c>
      <c r="D31" s="2"/>
      <c r="E31" s="2"/>
      <c r="F31" s="2"/>
      <c r="G31" s="2"/>
      <c r="H31" s="2"/>
      <c r="I31" s="2"/>
      <c r="J31" s="2"/>
      <c r="K31" s="2"/>
      <c r="L31" s="2"/>
      <c r="M31" s="2"/>
      <c r="N31" s="2"/>
      <c r="O31" s="2"/>
    </row>
    <row r="32" spans="2:15">
      <c r="B32" s="2"/>
      <c r="C32" s="2" t="s">
        <v>3778</v>
      </c>
      <c r="D32" s="2"/>
      <c r="E32" s="2"/>
      <c r="F32" s="2"/>
      <c r="G32" s="2"/>
      <c r="H32" s="2"/>
      <c r="I32" s="2"/>
      <c r="J32" s="2"/>
      <c r="K32" s="2"/>
      <c r="L32" s="2"/>
      <c r="M32" s="2"/>
      <c r="N32" s="2"/>
      <c r="O32" s="2"/>
    </row>
    <row r="33" spans="2:15">
      <c r="B33" s="2"/>
      <c r="C33" s="2" t="s">
        <v>3779</v>
      </c>
      <c r="D33" s="2"/>
      <c r="E33" s="2"/>
      <c r="F33" s="2"/>
      <c r="G33" s="2"/>
      <c r="H33" s="2"/>
      <c r="I33" s="2"/>
      <c r="J33" s="2"/>
      <c r="K33" s="2"/>
      <c r="L33" s="2"/>
      <c r="M33" s="2"/>
      <c r="N33" s="2"/>
      <c r="O33" s="2"/>
    </row>
    <row r="34" spans="2:15">
      <c r="B34" s="2" t="s">
        <v>3780</v>
      </c>
      <c r="C34" s="2"/>
      <c r="D34" s="2"/>
      <c r="E34" s="2"/>
      <c r="F34" s="2"/>
      <c r="G34" s="2"/>
      <c r="H34" s="2"/>
      <c r="I34" s="2"/>
      <c r="J34" s="2"/>
      <c r="K34" s="2"/>
      <c r="L34" s="2"/>
      <c r="M34" s="2"/>
      <c r="N34" s="2"/>
      <c r="O34" s="2"/>
    </row>
    <row r="35" spans="2:15">
      <c r="B35" s="2"/>
      <c r="C35" s="2" t="s">
        <v>3781</v>
      </c>
      <c r="D35" s="2"/>
      <c r="E35" s="2"/>
      <c r="F35" s="2"/>
      <c r="G35" s="2"/>
      <c r="H35" s="2"/>
      <c r="I35" s="2"/>
      <c r="J35" s="2"/>
      <c r="K35" s="2"/>
      <c r="L35" s="2"/>
      <c r="M35" s="2"/>
      <c r="N35" s="2"/>
      <c r="O35" s="2"/>
    </row>
    <row r="36" spans="2:15">
      <c r="B36" s="2" t="s">
        <v>3782</v>
      </c>
      <c r="C36" s="2"/>
      <c r="D36" s="2"/>
      <c r="E36" s="2"/>
      <c r="F36" s="2"/>
      <c r="G36" s="2"/>
      <c r="H36" s="2"/>
      <c r="I36" s="2"/>
      <c r="J36" s="2"/>
      <c r="K36" s="2"/>
      <c r="L36" s="2"/>
      <c r="M36" s="2"/>
      <c r="N36" s="2"/>
      <c r="O36" s="2"/>
    </row>
    <row r="37" spans="2:15">
      <c r="B37" s="2"/>
      <c r="C37" s="2" t="s">
        <v>3783</v>
      </c>
      <c r="D37" s="2"/>
      <c r="E37" s="2"/>
      <c r="F37" s="2"/>
      <c r="G37" s="2"/>
      <c r="H37" s="2"/>
      <c r="I37" s="2"/>
      <c r="J37" s="2"/>
      <c r="K37" s="2"/>
      <c r="L37" s="2"/>
      <c r="M37" s="2"/>
      <c r="N37" s="2"/>
      <c r="O37" s="2"/>
    </row>
    <row r="38" spans="2:15">
      <c r="B38" s="2" t="s">
        <v>3784</v>
      </c>
      <c r="C38" s="2"/>
      <c r="D38" s="2"/>
      <c r="E38" s="2"/>
      <c r="F38" s="2"/>
      <c r="G38" s="2"/>
      <c r="H38" s="2"/>
      <c r="I38" s="2"/>
      <c r="J38" s="2"/>
      <c r="K38" s="2"/>
      <c r="L38" s="2"/>
      <c r="M38" s="2"/>
      <c r="N38" s="2"/>
      <c r="O38" s="2"/>
    </row>
    <row r="39" spans="2:15">
      <c r="B39" s="2"/>
      <c r="C39" s="2" t="s">
        <v>3785</v>
      </c>
      <c r="D39" s="2"/>
      <c r="E39" s="2"/>
      <c r="F39" s="2"/>
      <c r="G39" s="2"/>
      <c r="H39" s="2"/>
      <c r="I39" s="2"/>
      <c r="J39" s="2"/>
      <c r="K39" s="2"/>
      <c r="L39" s="2"/>
      <c r="M39" s="2"/>
      <c r="N39" s="2"/>
      <c r="O39" s="2"/>
    </row>
    <row r="40" spans="2:15">
      <c r="B40" s="2"/>
      <c r="C40" s="2" t="s">
        <v>3786</v>
      </c>
      <c r="D40" s="2"/>
      <c r="E40" s="2"/>
      <c r="F40" s="2"/>
      <c r="G40" s="2"/>
      <c r="H40" s="2"/>
      <c r="I40" s="2"/>
      <c r="J40" s="2"/>
      <c r="K40" s="2"/>
      <c r="L40" s="2"/>
      <c r="M40" s="2"/>
      <c r="N40" s="2"/>
      <c r="O40" s="2"/>
    </row>
    <row r="41" spans="2:15">
      <c r="B41" s="2" t="s">
        <v>3787</v>
      </c>
      <c r="C41" s="2"/>
      <c r="D41" s="2"/>
      <c r="E41" s="2"/>
      <c r="F41" s="2"/>
      <c r="G41" s="2"/>
      <c r="H41" s="2"/>
      <c r="I41" s="2"/>
      <c r="J41" s="2"/>
      <c r="K41" s="2"/>
      <c r="L41" s="2"/>
      <c r="M41" s="2"/>
      <c r="N41" s="2"/>
      <c r="O41" s="2"/>
    </row>
    <row r="42" spans="2:15">
      <c r="B42" s="2" t="s">
        <v>3788</v>
      </c>
      <c r="C42" s="2"/>
      <c r="D42" s="2"/>
      <c r="E42" s="2"/>
      <c r="F42" s="2"/>
      <c r="G42" s="2"/>
      <c r="H42" s="2"/>
      <c r="I42" s="2"/>
      <c r="J42" s="2"/>
      <c r="K42" s="2"/>
      <c r="L42" s="2"/>
      <c r="M42" s="2"/>
      <c r="N42" s="2"/>
      <c r="O42" s="2"/>
    </row>
    <row r="43" spans="2:15">
      <c r="B43" s="2"/>
      <c r="C43" s="2" t="s">
        <v>3789</v>
      </c>
      <c r="D43" s="2"/>
      <c r="E43" s="2"/>
      <c r="F43" s="2"/>
      <c r="G43" s="2"/>
      <c r="H43" s="2"/>
      <c r="I43" s="2"/>
      <c r="J43" s="2"/>
      <c r="K43" s="2"/>
      <c r="L43" s="2"/>
      <c r="M43" s="2"/>
      <c r="N43" s="2"/>
      <c r="O43" s="2"/>
    </row>
    <row r="44" spans="2:15">
      <c r="B44" s="2"/>
      <c r="C44" s="2" t="s">
        <v>3790</v>
      </c>
      <c r="D44" s="2"/>
      <c r="E44" s="2"/>
      <c r="F44" s="2"/>
      <c r="G44" s="2"/>
      <c r="H44" s="2"/>
      <c r="I44" s="2"/>
      <c r="J44" s="2"/>
      <c r="K44" s="2"/>
      <c r="L44" s="2"/>
      <c r="M44" s="2"/>
      <c r="N44" s="2"/>
      <c r="O44" s="2"/>
    </row>
    <row r="45" spans="2:15">
      <c r="B45" s="2" t="s">
        <v>3791</v>
      </c>
      <c r="C45" s="2"/>
      <c r="D45" s="2"/>
      <c r="E45" s="2"/>
      <c r="F45" s="2"/>
      <c r="G45" s="2"/>
      <c r="H45" s="2"/>
      <c r="I45" s="2"/>
      <c r="J45" s="2"/>
      <c r="K45" s="2"/>
      <c r="L45" s="2"/>
      <c r="M45" s="2"/>
      <c r="N45" s="2"/>
      <c r="O45" s="2"/>
    </row>
    <row r="46" spans="2:15">
      <c r="B46" s="2" t="s">
        <v>3792</v>
      </c>
      <c r="C46" s="2"/>
      <c r="D46" s="2"/>
      <c r="E46" s="2"/>
      <c r="F46" s="2"/>
      <c r="G46" s="2"/>
      <c r="H46" s="2"/>
      <c r="I46" s="2"/>
      <c r="J46" s="2"/>
      <c r="K46" s="2"/>
      <c r="L46" s="2"/>
      <c r="M46" s="2"/>
      <c r="N46" s="2"/>
      <c r="O46" s="2"/>
    </row>
    <row r="47" spans="2:15">
      <c r="B47" s="2"/>
      <c r="C47" s="2" t="s">
        <v>3793</v>
      </c>
      <c r="D47" s="2"/>
      <c r="E47" s="2"/>
      <c r="F47" s="2"/>
      <c r="G47" s="2"/>
      <c r="H47" s="2"/>
      <c r="I47" s="2"/>
      <c r="J47" s="2"/>
      <c r="K47" s="2"/>
      <c r="L47" s="2"/>
      <c r="M47" s="2"/>
      <c r="N47" s="2"/>
      <c r="O47" s="2"/>
    </row>
    <row r="48" spans="2:15">
      <c r="B48" s="2" t="s">
        <v>3794</v>
      </c>
      <c r="C48" s="2"/>
      <c r="D48" s="2"/>
      <c r="E48" s="2"/>
      <c r="F48" s="2"/>
      <c r="G48" s="2"/>
      <c r="H48" s="2"/>
      <c r="I48" s="2"/>
      <c r="J48" s="2"/>
      <c r="K48" s="2"/>
      <c r="L48" s="2"/>
      <c r="M48" s="2"/>
      <c r="N48" s="2"/>
      <c r="O48" s="2"/>
    </row>
    <row r="49" spans="2:15">
      <c r="B49" s="2"/>
      <c r="C49" s="2" t="s">
        <v>3795</v>
      </c>
      <c r="D49" s="2"/>
      <c r="E49" s="2"/>
      <c r="F49" s="2"/>
      <c r="G49" s="2"/>
      <c r="H49" s="2"/>
      <c r="I49" s="2"/>
      <c r="J49" s="2"/>
      <c r="K49" s="2"/>
      <c r="L49" s="2"/>
      <c r="M49" s="2"/>
      <c r="N49" s="2"/>
      <c r="O49" s="2"/>
    </row>
    <row r="50" spans="2:15">
      <c r="B50" s="2"/>
      <c r="C50" s="2" t="s">
        <v>3796</v>
      </c>
      <c r="D50" s="2"/>
      <c r="E50" s="2"/>
      <c r="F50" s="2"/>
      <c r="G50" s="2"/>
      <c r="H50" s="2"/>
      <c r="I50" s="2"/>
      <c r="J50" s="2"/>
      <c r="K50" s="2"/>
      <c r="L50" s="2"/>
      <c r="M50" s="2"/>
      <c r="N50" s="2"/>
      <c r="O50" s="2"/>
    </row>
    <row r="51" spans="2:15">
      <c r="B51" s="2"/>
      <c r="C51" s="2" t="s">
        <v>3797</v>
      </c>
      <c r="D51" s="2"/>
      <c r="E51" s="2"/>
      <c r="F51" s="2"/>
      <c r="G51" s="2"/>
      <c r="H51" s="2"/>
      <c r="I51" s="2"/>
      <c r="J51" s="2"/>
      <c r="K51" s="2"/>
      <c r="L51" s="2"/>
      <c r="M51" s="2"/>
      <c r="N51" s="2"/>
      <c r="O51" s="2"/>
    </row>
    <row r="52" spans="2:15">
      <c r="B52" s="2"/>
      <c r="C52" s="2" t="s">
        <v>3798</v>
      </c>
      <c r="D52" s="2"/>
      <c r="E52" s="2"/>
      <c r="F52" s="2"/>
      <c r="G52" s="2"/>
      <c r="H52" s="2"/>
      <c r="I52" s="2"/>
      <c r="J52" s="2"/>
      <c r="K52" s="2"/>
      <c r="L52" s="2"/>
      <c r="M52" s="2"/>
      <c r="N52" s="2"/>
      <c r="O52" s="2"/>
    </row>
    <row r="53" spans="2:15">
      <c r="B53" s="2"/>
      <c r="C53" s="2"/>
      <c r="D53" s="2" t="s">
        <v>3799</v>
      </c>
      <c r="E53" s="2"/>
      <c r="F53" s="2"/>
      <c r="G53" s="2"/>
      <c r="H53" s="2"/>
      <c r="I53" s="2"/>
      <c r="J53" s="2"/>
      <c r="K53" s="2"/>
      <c r="L53" s="2"/>
      <c r="M53" s="2"/>
      <c r="N53" s="2"/>
      <c r="O53" s="2"/>
    </row>
    <row r="54" spans="2:15">
      <c r="B54" s="2"/>
      <c r="C54" s="2" t="s">
        <v>3800</v>
      </c>
      <c r="D54" s="2"/>
      <c r="E54" s="2"/>
      <c r="F54" s="2"/>
      <c r="G54" s="2"/>
      <c r="H54" s="2"/>
      <c r="I54" s="2"/>
      <c r="J54" s="2"/>
      <c r="K54" s="2"/>
      <c r="L54" s="2"/>
      <c r="M54" s="2"/>
      <c r="N54" s="2"/>
      <c r="O54" s="2"/>
    </row>
    <row r="55" spans="2:15">
      <c r="B55" s="2"/>
      <c r="C55" s="2"/>
      <c r="D55" s="2" t="s">
        <v>3801</v>
      </c>
      <c r="E55" s="2"/>
      <c r="F55" s="2"/>
      <c r="G55" s="2"/>
      <c r="H55" s="2"/>
      <c r="I55" s="2"/>
      <c r="J55" s="2"/>
      <c r="K55" s="2"/>
      <c r="L55" s="2"/>
      <c r="M55" s="2"/>
      <c r="N55" s="2"/>
      <c r="O55" s="2"/>
    </row>
    <row r="56" spans="2:15">
      <c r="B56" s="2"/>
      <c r="C56" s="2" t="s">
        <v>3802</v>
      </c>
      <c r="D56" s="2"/>
      <c r="E56" s="2"/>
      <c r="F56" s="2"/>
      <c r="G56" s="2"/>
      <c r="H56" s="2"/>
      <c r="I56" s="2"/>
      <c r="J56" s="2"/>
      <c r="K56" s="2"/>
      <c r="L56" s="2"/>
      <c r="M56" s="2"/>
      <c r="N56" s="2"/>
      <c r="O56" s="2"/>
    </row>
    <row r="57" spans="2:15">
      <c r="B57" s="2"/>
      <c r="C57" s="2" t="s">
        <v>3803</v>
      </c>
      <c r="D57" s="2"/>
      <c r="E57" s="2"/>
      <c r="F57" s="2"/>
      <c r="G57" s="2"/>
      <c r="H57" s="2"/>
      <c r="I57" s="2"/>
      <c r="J57" s="2"/>
      <c r="K57" s="2"/>
      <c r="L57" s="2"/>
      <c r="M57" s="2"/>
      <c r="N57" s="2"/>
      <c r="O57" s="2"/>
    </row>
    <row r="58" spans="2:15">
      <c r="B58" s="2"/>
      <c r="C58" s="2" t="s">
        <v>3804</v>
      </c>
      <c r="D58" s="2"/>
      <c r="E58" s="2"/>
      <c r="F58" s="2"/>
      <c r="G58" s="2"/>
      <c r="H58" s="2"/>
      <c r="I58" s="2"/>
      <c r="J58" s="2"/>
      <c r="K58" s="2"/>
      <c r="L58" s="2"/>
      <c r="M58" s="2"/>
      <c r="N58" s="2"/>
      <c r="O58" s="2"/>
    </row>
    <row r="59" spans="2:15">
      <c r="B59" s="2" t="s">
        <v>3805</v>
      </c>
      <c r="C59" s="2"/>
      <c r="D59" s="2"/>
      <c r="E59" s="2"/>
      <c r="F59" s="2"/>
      <c r="G59" s="2"/>
      <c r="H59" s="2"/>
      <c r="I59" s="2"/>
      <c r="J59" s="2"/>
      <c r="K59" s="2"/>
      <c r="L59" s="2"/>
      <c r="M59" s="2"/>
      <c r="N59" s="2"/>
      <c r="O59" s="2"/>
    </row>
    <row r="60" spans="2:15">
      <c r="B60" s="2" t="s">
        <v>3806</v>
      </c>
      <c r="C60" s="2"/>
      <c r="D60" s="2"/>
      <c r="E60" s="2"/>
      <c r="F60" s="2"/>
      <c r="G60" s="2"/>
      <c r="H60" s="2"/>
      <c r="I60" s="2"/>
      <c r="J60" s="2"/>
      <c r="K60" s="2"/>
      <c r="L60" s="2"/>
      <c r="M60" s="2"/>
      <c r="N60" s="2"/>
      <c r="O60" s="2"/>
    </row>
    <row r="61" spans="2:15">
      <c r="B61" s="2"/>
      <c r="C61" s="2" t="s">
        <v>3807</v>
      </c>
      <c r="D61" s="2"/>
      <c r="E61" s="2"/>
      <c r="F61" s="2"/>
      <c r="G61" s="2"/>
      <c r="H61" s="2"/>
      <c r="I61" s="2"/>
      <c r="J61" s="2"/>
      <c r="K61" s="2"/>
      <c r="L61" s="2"/>
      <c r="M61" s="2"/>
      <c r="N61" s="2"/>
      <c r="O61" s="2"/>
    </row>
    <row r="62" spans="2:15">
      <c r="B62" s="2"/>
      <c r="C62" s="2" t="s">
        <v>3808</v>
      </c>
      <c r="D62" s="2"/>
      <c r="E62" s="2"/>
      <c r="F62" s="2"/>
      <c r="G62" s="2"/>
      <c r="H62" s="2"/>
      <c r="I62" s="2"/>
      <c r="J62" s="2"/>
      <c r="K62" s="2"/>
      <c r="L62" s="2"/>
      <c r="M62" s="2"/>
      <c r="N62" s="2"/>
      <c r="O62" s="2"/>
    </row>
    <row r="63" spans="2:15">
      <c r="B63" s="2"/>
      <c r="C63" s="2" t="s">
        <v>3809</v>
      </c>
      <c r="D63" s="2"/>
      <c r="E63" s="2"/>
      <c r="F63" s="2"/>
      <c r="G63" s="2"/>
      <c r="H63" s="2"/>
      <c r="I63" s="2"/>
      <c r="J63" s="2"/>
      <c r="K63" s="2"/>
      <c r="L63" s="2"/>
      <c r="M63" s="2"/>
      <c r="N63" s="2"/>
      <c r="O63" s="2"/>
    </row>
    <row r="64" spans="2:15">
      <c r="B64" s="2"/>
      <c r="C64" s="2" t="s">
        <v>3810</v>
      </c>
      <c r="D64" s="2"/>
      <c r="E64" s="2"/>
      <c r="F64" s="2"/>
      <c r="G64" s="2"/>
      <c r="H64" s="2"/>
      <c r="I64" s="2"/>
      <c r="J64" s="2"/>
      <c r="K64" s="2"/>
      <c r="L64" s="2"/>
      <c r="M64" s="2"/>
      <c r="N64" s="2"/>
      <c r="O64" s="2"/>
    </row>
    <row r="65" spans="2:15">
      <c r="B65" s="2"/>
      <c r="C65" s="2" t="s">
        <v>3811</v>
      </c>
      <c r="D65" s="2"/>
      <c r="E65" s="2"/>
      <c r="F65" s="2"/>
      <c r="G65" s="2"/>
      <c r="H65" s="2"/>
      <c r="I65" s="2"/>
      <c r="J65" s="2"/>
      <c r="K65" s="2"/>
      <c r="L65" s="2"/>
      <c r="M65" s="2"/>
      <c r="N65" s="2"/>
      <c r="O65" s="2"/>
    </row>
    <row r="66" spans="2:15">
      <c r="B66" s="2" t="s">
        <v>3812</v>
      </c>
      <c r="C66" s="2"/>
      <c r="D66" s="2"/>
      <c r="E66" s="2"/>
      <c r="F66" s="2"/>
      <c r="G66" s="2"/>
      <c r="H66" s="2"/>
      <c r="I66" s="2"/>
      <c r="J66" s="2"/>
      <c r="K66" s="2"/>
      <c r="L66" s="2"/>
      <c r="M66" s="2"/>
      <c r="N66" s="2"/>
      <c r="O66" s="2"/>
    </row>
    <row r="67" spans="2:15">
      <c r="B67" s="2"/>
      <c r="C67" s="2" t="s">
        <v>3813</v>
      </c>
      <c r="D67" s="2"/>
      <c r="E67" s="2"/>
      <c r="F67" s="2"/>
      <c r="G67" s="2"/>
      <c r="H67" s="2"/>
      <c r="I67" s="2"/>
      <c r="J67" s="2"/>
      <c r="K67" s="2"/>
      <c r="L67" s="2"/>
      <c r="M67" s="2"/>
      <c r="N67" s="2"/>
      <c r="O67" s="2"/>
    </row>
    <row r="68" spans="2:15">
      <c r="B68" s="2" t="s">
        <v>3814</v>
      </c>
      <c r="C68" s="2"/>
      <c r="D68" s="2"/>
      <c r="E68" s="2"/>
      <c r="F68" s="2"/>
      <c r="G68" s="2"/>
      <c r="H68" s="2"/>
      <c r="I68" s="2"/>
      <c r="J68" s="2"/>
      <c r="K68" s="2"/>
      <c r="L68" s="2"/>
      <c r="M68" s="2"/>
      <c r="N68" s="2"/>
      <c r="O68" s="2"/>
    </row>
    <row r="69" spans="2:15">
      <c r="B69" s="2"/>
      <c r="C69" s="2" t="s">
        <v>3815</v>
      </c>
      <c r="D69" s="2"/>
      <c r="E69" s="2"/>
      <c r="F69" s="2"/>
      <c r="G69" s="2"/>
      <c r="H69" s="2"/>
      <c r="I69" s="2"/>
      <c r="J69" s="2"/>
      <c r="K69" s="2"/>
      <c r="L69" s="2"/>
      <c r="M69" s="2"/>
      <c r="N69" s="2"/>
      <c r="O69" s="2"/>
    </row>
    <row r="70" spans="2:15">
      <c r="B70" s="2"/>
      <c r="C70" s="2" t="s">
        <v>3816</v>
      </c>
      <c r="D70" s="2"/>
      <c r="E70" s="2"/>
      <c r="F70" s="2"/>
      <c r="G70" s="2"/>
      <c r="H70" s="2"/>
      <c r="I70" s="2"/>
      <c r="J70" s="2"/>
      <c r="K70" s="2"/>
      <c r="L70" s="2"/>
      <c r="M70" s="2"/>
      <c r="N70" s="2"/>
      <c r="O70" s="2"/>
    </row>
    <row r="71" spans="2:15">
      <c r="B71" s="2"/>
      <c r="C71" s="2" t="s">
        <v>3817</v>
      </c>
      <c r="D71" s="2"/>
      <c r="E71" s="2"/>
      <c r="F71" s="2"/>
      <c r="G71" s="2"/>
      <c r="H71" s="2"/>
      <c r="I71" s="2"/>
      <c r="J71" s="2"/>
      <c r="K71" s="2"/>
      <c r="L71" s="2"/>
      <c r="M71" s="2"/>
      <c r="N71" s="2"/>
      <c r="O71" s="2"/>
    </row>
    <row r="72" spans="2:15">
      <c r="B72" s="2"/>
      <c r="C72" s="2" t="s">
        <v>3818</v>
      </c>
      <c r="D72" s="2"/>
      <c r="E72" s="2"/>
      <c r="F72" s="2"/>
      <c r="G72" s="2"/>
      <c r="H72" s="2"/>
      <c r="I72" s="2"/>
      <c r="J72" s="2"/>
      <c r="K72" s="2"/>
      <c r="L72" s="2"/>
      <c r="M72" s="2"/>
      <c r="N72" s="2"/>
      <c r="O72" s="2"/>
    </row>
    <row r="73" spans="2:15">
      <c r="B73" s="2" t="s">
        <v>3819</v>
      </c>
      <c r="C73" s="2"/>
      <c r="D73" s="2"/>
      <c r="E73" s="2"/>
      <c r="F73" s="2"/>
      <c r="G73" s="2"/>
      <c r="H73" s="2"/>
      <c r="I73" s="2"/>
      <c r="J73" s="2"/>
      <c r="K73" s="2"/>
      <c r="L73" s="2"/>
      <c r="M73" s="2"/>
      <c r="N73" s="2"/>
      <c r="O73" s="2"/>
    </row>
    <row r="74" spans="2:15">
      <c r="B74" s="2"/>
      <c r="C74" s="2" t="s">
        <v>3820</v>
      </c>
      <c r="D74" s="2"/>
      <c r="E74" s="2"/>
      <c r="F74" s="2"/>
      <c r="G74" s="2"/>
      <c r="H74" s="2"/>
      <c r="I74" s="2"/>
      <c r="J74" s="2"/>
      <c r="K74" s="2"/>
      <c r="L74" s="2"/>
      <c r="M74" s="2"/>
      <c r="N74" s="2"/>
      <c r="O74" s="2"/>
    </row>
    <row r="75" spans="2:15">
      <c r="B75" s="2"/>
      <c r="C75" s="2" t="s">
        <v>3821</v>
      </c>
      <c r="D75" s="2"/>
      <c r="E75" s="2"/>
      <c r="F75" s="2"/>
      <c r="G75" s="2"/>
      <c r="H75" s="2"/>
      <c r="I75" s="2"/>
      <c r="J75" s="2"/>
      <c r="K75" s="2"/>
      <c r="L75" s="2"/>
      <c r="M75" s="2"/>
      <c r="N75" s="2"/>
      <c r="O75" s="2"/>
    </row>
    <row r="76" spans="2:15">
      <c r="B76" s="2"/>
      <c r="C76" s="2" t="s">
        <v>3822</v>
      </c>
      <c r="D76" s="2"/>
      <c r="E76" s="2"/>
      <c r="F76" s="2"/>
      <c r="G76" s="2"/>
      <c r="H76" s="2"/>
      <c r="I76" s="2"/>
      <c r="J76" s="2"/>
      <c r="K76" s="2"/>
      <c r="L76" s="2"/>
      <c r="M76" s="2"/>
      <c r="N76" s="2"/>
      <c r="O76" s="2"/>
    </row>
    <row r="77" spans="2:15">
      <c r="B77" s="2"/>
      <c r="C77" s="2" t="s">
        <v>3823</v>
      </c>
      <c r="D77" s="2"/>
      <c r="E77" s="2"/>
      <c r="F77" s="2"/>
      <c r="G77" s="2"/>
      <c r="H77" s="2"/>
      <c r="I77" s="2"/>
      <c r="J77" s="2"/>
      <c r="K77" s="2"/>
      <c r="L77" s="2"/>
      <c r="M77" s="2"/>
      <c r="N77" s="2"/>
      <c r="O77" s="2"/>
    </row>
    <row r="78" spans="2:15">
      <c r="B78" s="2" t="s">
        <v>3824</v>
      </c>
      <c r="C78" s="2"/>
      <c r="D78" s="2"/>
      <c r="E78" s="2"/>
      <c r="F78" s="2"/>
      <c r="G78" s="2"/>
      <c r="H78" s="2"/>
      <c r="I78" s="2"/>
      <c r="J78" s="2"/>
      <c r="K78" s="2"/>
      <c r="L78" s="2"/>
      <c r="M78" s="2"/>
      <c r="N78" s="2"/>
      <c r="O78" s="2"/>
    </row>
    <row r="79" spans="2:15">
      <c r="B79" s="2"/>
      <c r="C79" s="2" t="s">
        <v>3825</v>
      </c>
      <c r="D79" s="2"/>
      <c r="E79" s="2"/>
      <c r="F79" s="2"/>
      <c r="G79" s="2"/>
      <c r="H79" s="2"/>
      <c r="I79" s="2"/>
      <c r="J79" s="2"/>
      <c r="K79" s="2"/>
      <c r="L79" s="2"/>
      <c r="M79" s="2"/>
      <c r="N79" s="2"/>
      <c r="O79" s="2"/>
    </row>
    <row r="80" spans="2:15">
      <c r="B80" s="2"/>
      <c r="C80" s="2" t="s">
        <v>3826</v>
      </c>
      <c r="D80" s="2"/>
      <c r="E80" s="2"/>
      <c r="F80" s="2"/>
      <c r="G80" s="2"/>
      <c r="H80" s="2"/>
      <c r="I80" s="2"/>
      <c r="J80" s="2"/>
      <c r="K80" s="2"/>
      <c r="L80" s="2"/>
      <c r="M80" s="2"/>
      <c r="N80" s="2"/>
      <c r="O80" s="2"/>
    </row>
    <row r="81" spans="2:15">
      <c r="B81" s="2" t="s">
        <v>3827</v>
      </c>
      <c r="C81" s="2"/>
      <c r="D81" s="2"/>
      <c r="E81" s="2"/>
      <c r="F81" s="2"/>
      <c r="G81" s="2"/>
      <c r="H81" s="2"/>
      <c r="I81" s="2"/>
      <c r="J81" s="2"/>
      <c r="K81" s="2"/>
      <c r="L81" s="2"/>
      <c r="M81" s="2"/>
      <c r="N81" s="2"/>
      <c r="O81" s="2"/>
    </row>
    <row r="82" spans="2:15">
      <c r="B82" s="2" t="s">
        <v>3828</v>
      </c>
      <c r="C82" s="2"/>
      <c r="D82" s="2"/>
      <c r="E82" s="2"/>
      <c r="F82" s="2"/>
      <c r="G82" s="2"/>
      <c r="H82" s="2"/>
      <c r="I82" s="2"/>
      <c r="J82" s="2"/>
      <c r="K82" s="2"/>
      <c r="L82" s="2"/>
      <c r="M82" s="2"/>
      <c r="N82" s="2"/>
      <c r="O82" s="2"/>
    </row>
    <row r="83" spans="2:15">
      <c r="B83" s="2"/>
      <c r="C83" s="2" t="s">
        <v>3829</v>
      </c>
      <c r="D83" s="2"/>
      <c r="E83" s="2"/>
      <c r="F83" s="2"/>
      <c r="G83" s="2"/>
      <c r="H83" s="2"/>
      <c r="I83" s="2"/>
      <c r="J83" s="2"/>
      <c r="K83" s="2"/>
      <c r="L83" s="2"/>
      <c r="M83" s="2"/>
      <c r="N83" s="2"/>
      <c r="O83" s="2"/>
    </row>
    <row r="84" spans="2:15">
      <c r="B84" s="2" t="s">
        <v>3830</v>
      </c>
      <c r="C84" s="2"/>
      <c r="D84" s="2"/>
      <c r="E84" s="2"/>
      <c r="F84" s="2"/>
      <c r="G84" s="2"/>
      <c r="H84" s="2"/>
      <c r="I84" s="2"/>
      <c r="J84" s="2"/>
      <c r="K84" s="2"/>
      <c r="L84" s="2"/>
      <c r="M84" s="2"/>
      <c r="N84" s="2"/>
      <c r="O84" s="2"/>
    </row>
    <row r="85" spans="2:15">
      <c r="B85" s="2" t="s">
        <v>3831</v>
      </c>
      <c r="C85" s="2"/>
      <c r="D85" s="2"/>
      <c r="E85" s="2"/>
      <c r="F85" s="2"/>
      <c r="G85" s="2"/>
      <c r="H85" s="2"/>
      <c r="I85" s="2"/>
      <c r="J85" s="2"/>
      <c r="K85" s="2"/>
      <c r="L85" s="2"/>
      <c r="M85" s="2"/>
      <c r="N85" s="2"/>
      <c r="O85" s="2"/>
    </row>
    <row r="86" spans="2:15">
      <c r="B86" s="2"/>
      <c r="C86" s="2" t="s">
        <v>3832</v>
      </c>
      <c r="D86" s="2"/>
      <c r="E86" s="2"/>
      <c r="F86" s="2"/>
      <c r="G86" s="2"/>
      <c r="H86" s="2"/>
      <c r="I86" s="2"/>
      <c r="J86" s="2"/>
      <c r="K86" s="2"/>
      <c r="L86" s="2"/>
      <c r="M86" s="2"/>
      <c r="N86" s="2"/>
      <c r="O86" s="2"/>
    </row>
    <row r="87" spans="2:15">
      <c r="B87" s="2"/>
      <c r="C87" s="2" t="s">
        <v>3833</v>
      </c>
      <c r="D87" s="2"/>
      <c r="E87" s="2"/>
      <c r="F87" s="2"/>
      <c r="G87" s="2"/>
      <c r="H87" s="2"/>
      <c r="I87" s="2"/>
      <c r="J87" s="2"/>
      <c r="K87" s="2"/>
      <c r="L87" s="2"/>
      <c r="M87" s="2"/>
      <c r="N87" s="2"/>
      <c r="O87" s="2"/>
    </row>
    <row r="88" spans="2:15">
      <c r="B88" s="2" t="s">
        <v>3834</v>
      </c>
      <c r="C88" s="2"/>
      <c r="D88" s="2"/>
      <c r="E88" s="2"/>
      <c r="F88" s="2"/>
      <c r="G88" s="2"/>
      <c r="H88" s="2"/>
      <c r="I88" s="2"/>
      <c r="J88" s="2"/>
      <c r="K88" s="2"/>
      <c r="L88" s="2"/>
      <c r="M88" s="2"/>
      <c r="N88" s="2"/>
      <c r="O88" s="2"/>
    </row>
    <row r="89" spans="2:15">
      <c r="B89" s="2" t="s">
        <v>3835</v>
      </c>
      <c r="C89" s="2"/>
      <c r="D89" s="2"/>
      <c r="E89" s="2"/>
      <c r="F89" s="2"/>
      <c r="G89" s="2"/>
      <c r="H89" s="2"/>
      <c r="I89" s="2"/>
      <c r="J89" s="2"/>
      <c r="K89" s="2"/>
      <c r="L89" s="2"/>
      <c r="M89" s="2"/>
      <c r="N89" s="2"/>
      <c r="O89" s="2"/>
    </row>
    <row r="90" spans="2:15">
      <c r="B90" s="2"/>
      <c r="C90" s="2" t="s">
        <v>3836</v>
      </c>
      <c r="D90" s="2"/>
      <c r="E90" s="2"/>
      <c r="F90" s="2"/>
      <c r="G90" s="2"/>
      <c r="H90" s="2"/>
      <c r="I90" s="2"/>
      <c r="J90" s="2"/>
      <c r="K90" s="2"/>
      <c r="L90" s="2"/>
      <c r="M90" s="2"/>
      <c r="N90" s="2"/>
      <c r="O90" s="2"/>
    </row>
    <row r="91" spans="2:15">
      <c r="B91" s="2"/>
      <c r="C91" s="2" t="s">
        <v>3837</v>
      </c>
      <c r="D91" s="2"/>
      <c r="E91" s="2"/>
      <c r="F91" s="2"/>
      <c r="G91" s="2"/>
      <c r="H91" s="2"/>
      <c r="I91" s="2"/>
      <c r="J91" s="2"/>
      <c r="K91" s="2"/>
      <c r="L91" s="2"/>
      <c r="M91" s="2"/>
      <c r="N91" s="2"/>
      <c r="O91" s="2"/>
    </row>
    <row r="92" spans="2:15">
      <c r="B92" s="2"/>
      <c r="C92" s="2" t="s">
        <v>3838</v>
      </c>
      <c r="D92" s="2"/>
      <c r="E92" s="2"/>
      <c r="F92" s="2"/>
      <c r="G92" s="2"/>
      <c r="H92" s="2"/>
      <c r="I92" s="2"/>
      <c r="J92" s="2"/>
      <c r="K92" s="2"/>
      <c r="L92" s="2"/>
      <c r="M92" s="2"/>
      <c r="N92" s="2"/>
      <c r="O92" s="2"/>
    </row>
  </sheetData>
  <pageMargins left="0.75" right="0.75" top="1" bottom="1" header="0.5" footer="0.5"/>
  <pageSetup paperSize="9" orientation="portrait"/>
  <headerFooter/>
</worksheet>
</file>

<file path=xl/worksheets/sheet2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O113"/>
  <sheetViews>
    <sheetView zoomScale="115" zoomScaleNormal="115" topLeftCell="A38" workbookViewId="0">
      <selection activeCell="C52" sqref="C52"/>
    </sheetView>
  </sheetViews>
  <sheetFormatPr defaultColWidth="8.88888888888889" defaultRowHeight="14.4"/>
  <cols>
    <col min="1" max="1" width="9.66666666666667"/>
  </cols>
  <sheetData>
    <row r="1" spans="1:15">
      <c r="A1" s="1">
        <f>SUM(B1:AZ1)</f>
        <v>35.6095238095238</v>
      </c>
      <c r="B1" s="1">
        <f t="shared" ref="B1:H1" si="0">COUNTA(B2:B2189)/COLUMN()</f>
        <v>12</v>
      </c>
      <c r="C1" s="1">
        <f t="shared" si="0"/>
        <v>13.3333333333333</v>
      </c>
      <c r="D1" s="1">
        <f t="shared" si="0"/>
        <v>6.5</v>
      </c>
      <c r="E1" s="1">
        <f t="shared" si="0"/>
        <v>0.8</v>
      </c>
      <c r="F1" s="1">
        <f t="shared" si="0"/>
        <v>2.83333333333333</v>
      </c>
      <c r="G1" s="1">
        <f t="shared" si="0"/>
        <v>0.142857142857143</v>
      </c>
      <c r="H1" s="1">
        <f t="shared" si="0"/>
        <v>0</v>
      </c>
    </row>
    <row r="2" spans="1:15">
      <c r="A2" t="str" cm="1">
        <f ca="1" t="array" ref="A2">_wpsfn.SHEETSNAME(A1)</f>
        <v>20251123</v>
      </c>
      <c r="B2" s="2" t="s">
        <v>3839</v>
      </c>
      <c r="C2" s="2"/>
      <c r="D2" s="2"/>
      <c r="E2" s="2"/>
      <c r="F2" s="2"/>
      <c r="G2" s="2"/>
      <c r="H2" s="2"/>
      <c r="I2" s="2"/>
      <c r="J2" s="2"/>
      <c r="K2" s="2"/>
      <c r="L2" s="2"/>
      <c r="M2" s="2"/>
      <c r="N2" s="2"/>
      <c r="O2" s="2"/>
    </row>
    <row r="3" spans="1:15">
      <c r="B3" s="2"/>
      <c r="C3" s="2" t="s">
        <v>3840</v>
      </c>
      <c r="D3" s="2"/>
      <c r="E3" s="2"/>
      <c r="F3" s="2"/>
      <c r="G3" s="2"/>
      <c r="H3" s="2"/>
      <c r="I3" s="2"/>
      <c r="J3" s="2"/>
      <c r="K3" s="2"/>
      <c r="L3" s="2"/>
      <c r="M3" s="2"/>
      <c r="N3" s="2"/>
      <c r="O3" s="2"/>
    </row>
    <row r="4" spans="1:15">
      <c r="B4" s="2"/>
      <c r="C4" s="2"/>
      <c r="D4" s="2" t="s">
        <v>3841</v>
      </c>
      <c r="E4" s="2"/>
      <c r="F4" s="2"/>
      <c r="G4" s="2"/>
      <c r="H4" s="2"/>
      <c r="I4" s="2"/>
      <c r="J4" s="2"/>
      <c r="K4" s="2"/>
      <c r="L4" s="2"/>
      <c r="M4" s="2"/>
      <c r="N4" s="2"/>
      <c r="O4" s="2"/>
    </row>
    <row r="5" spans="1:15">
      <c r="B5" s="2"/>
      <c r="C5" s="2"/>
      <c r="D5" s="2"/>
      <c r="E5" s="2" t="s">
        <v>3842</v>
      </c>
      <c r="F5" s="2"/>
      <c r="G5" s="2"/>
      <c r="H5" s="2"/>
      <c r="I5" s="2"/>
      <c r="J5" s="2"/>
      <c r="K5" s="2"/>
      <c r="L5" s="2"/>
      <c r="M5" s="2"/>
      <c r="N5" s="2"/>
      <c r="O5" s="2"/>
    </row>
    <row r="6" spans="1:15">
      <c r="B6" s="2"/>
      <c r="C6" s="2"/>
      <c r="D6" s="2"/>
      <c r="E6" s="2" t="s">
        <v>3843</v>
      </c>
      <c r="F6" s="2"/>
      <c r="G6" s="2"/>
      <c r="H6" s="2"/>
      <c r="I6" s="2"/>
      <c r="J6" s="2"/>
      <c r="K6" s="2"/>
      <c r="L6" s="2"/>
      <c r="M6" s="2"/>
      <c r="N6" s="2"/>
      <c r="O6" s="2"/>
    </row>
    <row r="7" spans="1:15">
      <c r="B7" s="2"/>
      <c r="C7" s="2"/>
      <c r="D7" s="2"/>
      <c r="E7" s="2"/>
      <c r="F7" s="2" t="s">
        <v>3844</v>
      </c>
      <c r="G7" s="2"/>
      <c r="H7" s="2"/>
      <c r="I7" s="2"/>
      <c r="J7" s="2"/>
      <c r="K7" s="2"/>
      <c r="L7" s="2"/>
      <c r="M7" s="2"/>
      <c r="N7" s="2"/>
      <c r="O7" s="2"/>
    </row>
    <row r="8" spans="1:15">
      <c r="B8" s="2"/>
      <c r="C8" s="2"/>
      <c r="D8" s="2"/>
      <c r="E8" s="2"/>
      <c r="F8" s="2" t="s">
        <v>3845</v>
      </c>
      <c r="G8" s="2"/>
      <c r="H8" s="2"/>
      <c r="I8" s="2"/>
      <c r="J8" s="2"/>
      <c r="K8" s="2"/>
      <c r="L8" s="2"/>
      <c r="M8" s="2"/>
      <c r="N8" s="2"/>
      <c r="O8" s="2"/>
    </row>
    <row r="9" spans="1:15">
      <c r="B9" s="2"/>
      <c r="C9" s="2"/>
      <c r="D9" s="2"/>
      <c r="E9" s="2"/>
      <c r="F9" s="2" t="s">
        <v>3846</v>
      </c>
      <c r="G9" s="2"/>
      <c r="H9" s="2"/>
      <c r="I9" s="2"/>
      <c r="J9" s="2"/>
      <c r="K9" s="2"/>
      <c r="L9" s="2"/>
      <c r="M9" s="2"/>
      <c r="N9" s="2"/>
      <c r="O9" s="2"/>
    </row>
    <row r="10" spans="1:15">
      <c r="B10" s="2"/>
      <c r="C10" s="2"/>
      <c r="D10" s="2"/>
      <c r="E10" s="2"/>
      <c r="F10" s="2" t="s">
        <v>3847</v>
      </c>
      <c r="G10" s="2"/>
      <c r="H10" s="2"/>
      <c r="I10" s="2"/>
      <c r="J10" s="2"/>
      <c r="K10" s="2"/>
      <c r="L10" s="2"/>
      <c r="M10" s="2"/>
      <c r="N10" s="2"/>
      <c r="O10" s="2"/>
    </row>
    <row r="11" spans="1:15">
      <c r="B11" s="2"/>
      <c r="C11" s="2"/>
      <c r="D11" s="2"/>
      <c r="E11" s="2"/>
      <c r="F11" s="2" t="s">
        <v>3848</v>
      </c>
      <c r="G11" s="2"/>
      <c r="H11" s="2"/>
      <c r="I11" s="2"/>
      <c r="J11" s="2"/>
      <c r="K11" s="2"/>
      <c r="L11" s="2"/>
      <c r="M11" s="2"/>
      <c r="N11" s="2"/>
      <c r="O11" s="2"/>
    </row>
    <row r="12" spans="1:15">
      <c r="B12" s="2"/>
      <c r="C12" s="2"/>
      <c r="D12" s="2"/>
      <c r="E12" s="2" t="s">
        <v>3849</v>
      </c>
      <c r="F12" s="2"/>
      <c r="G12" s="2"/>
      <c r="H12" s="2"/>
      <c r="I12" s="2"/>
      <c r="J12" s="2"/>
      <c r="K12" s="2"/>
      <c r="L12" s="2"/>
      <c r="M12" s="2"/>
      <c r="N12" s="2"/>
      <c r="O12" s="2"/>
    </row>
    <row r="13" spans="1:15">
      <c r="B13" s="2"/>
      <c r="C13" s="2"/>
      <c r="D13" s="2"/>
      <c r="E13" s="2"/>
      <c r="F13" s="2" t="s">
        <v>3850</v>
      </c>
      <c r="G13" s="2"/>
      <c r="H13" s="2"/>
      <c r="I13" s="2"/>
      <c r="J13" s="2"/>
      <c r="K13" s="2"/>
      <c r="L13" s="2"/>
      <c r="M13" s="2"/>
      <c r="N13" s="2"/>
      <c r="O13" s="2"/>
    </row>
    <row r="14" spans="1:15">
      <c r="B14" s="2"/>
      <c r="C14" s="2"/>
      <c r="D14" s="2"/>
      <c r="E14" s="2"/>
      <c r="F14" s="2"/>
      <c r="G14" s="2" t="s">
        <v>3851</v>
      </c>
      <c r="H14" s="2"/>
      <c r="I14" s="2"/>
      <c r="J14" s="2"/>
      <c r="K14" s="2"/>
      <c r="L14" s="2"/>
      <c r="M14" s="2"/>
      <c r="N14" s="2"/>
      <c r="O14" s="2"/>
    </row>
    <row r="15" spans="1:15">
      <c r="B15" s="2"/>
      <c r="C15" s="2"/>
      <c r="D15" s="2"/>
      <c r="E15" s="2"/>
      <c r="F15" s="2" t="s">
        <v>3852</v>
      </c>
      <c r="G15" s="2"/>
      <c r="H15" s="2"/>
      <c r="I15" s="2"/>
      <c r="J15" s="2"/>
      <c r="K15" s="2"/>
      <c r="L15" s="2"/>
      <c r="M15" s="2"/>
      <c r="N15" s="2"/>
      <c r="O15" s="2"/>
    </row>
    <row r="16" spans="1:15">
      <c r="B16" s="2"/>
      <c r="C16" s="2"/>
      <c r="D16" s="2"/>
      <c r="E16" s="2"/>
      <c r="F16" s="2" t="s">
        <v>3853</v>
      </c>
      <c r="G16" s="2"/>
      <c r="H16" s="2"/>
      <c r="I16" s="2"/>
      <c r="J16" s="2"/>
      <c r="K16" s="2"/>
      <c r="L16" s="2"/>
      <c r="M16" s="2"/>
      <c r="N16" s="2"/>
      <c r="O16" s="2"/>
    </row>
    <row r="17" spans="2:15">
      <c r="B17" s="2"/>
      <c r="C17" s="2"/>
      <c r="D17" s="2"/>
      <c r="E17" s="2"/>
      <c r="F17" s="2" t="s">
        <v>3854</v>
      </c>
      <c r="G17" s="2"/>
      <c r="H17" s="2"/>
      <c r="I17" s="2"/>
      <c r="J17" s="2"/>
      <c r="K17" s="2"/>
      <c r="L17" s="2"/>
      <c r="M17" s="2"/>
      <c r="N17" s="2"/>
      <c r="O17" s="2"/>
    </row>
    <row r="18" spans="2:15">
      <c r="B18" s="2"/>
      <c r="C18" s="2"/>
      <c r="D18" s="2"/>
      <c r="E18" s="2"/>
      <c r="F18" s="2" t="s">
        <v>3855</v>
      </c>
      <c r="G18" s="2"/>
      <c r="H18" s="2"/>
      <c r="I18" s="2"/>
      <c r="J18" s="2"/>
      <c r="K18" s="2"/>
      <c r="L18" s="2"/>
      <c r="M18" s="2"/>
      <c r="N18" s="2"/>
      <c r="O18" s="2"/>
    </row>
    <row r="19" spans="2:15">
      <c r="B19" s="2"/>
      <c r="C19" s="2"/>
      <c r="D19" s="2"/>
      <c r="E19" s="2"/>
      <c r="F19" s="2" t="s">
        <v>3856</v>
      </c>
      <c r="G19" s="2"/>
      <c r="H19" s="2"/>
      <c r="I19" s="2"/>
      <c r="J19" s="2"/>
      <c r="K19" s="2"/>
      <c r="L19" s="2"/>
      <c r="M19" s="2"/>
      <c r="N19" s="2"/>
      <c r="O19" s="2"/>
    </row>
    <row r="20" spans="2:15">
      <c r="B20" s="2"/>
      <c r="C20" s="2"/>
      <c r="D20" s="2"/>
      <c r="E20" s="2"/>
      <c r="F20" s="2" t="s">
        <v>3857</v>
      </c>
      <c r="G20" s="2"/>
      <c r="H20" s="2"/>
      <c r="I20" s="2"/>
      <c r="J20" s="2"/>
      <c r="K20" s="2"/>
      <c r="L20" s="2"/>
      <c r="M20" s="2"/>
      <c r="N20" s="2"/>
      <c r="O20" s="2"/>
    </row>
    <row r="21" spans="2:15">
      <c r="B21" s="2"/>
      <c r="C21" s="2"/>
      <c r="D21" s="2"/>
      <c r="E21" s="2"/>
      <c r="F21" s="2" t="s">
        <v>3858</v>
      </c>
      <c r="G21" s="2"/>
      <c r="H21" s="2"/>
      <c r="I21" s="2"/>
      <c r="J21" s="2"/>
      <c r="K21" s="2"/>
      <c r="L21" s="2"/>
      <c r="M21" s="2"/>
      <c r="N21" s="2"/>
      <c r="O21" s="2"/>
    </row>
    <row r="22" spans="2:15">
      <c r="B22" s="2"/>
      <c r="C22" s="2"/>
      <c r="D22" s="2"/>
      <c r="E22" s="2"/>
      <c r="F22" s="2" t="s">
        <v>3859</v>
      </c>
      <c r="G22" s="2"/>
      <c r="H22" s="2"/>
      <c r="I22" s="2"/>
      <c r="J22" s="2"/>
      <c r="K22" s="2"/>
      <c r="L22" s="2"/>
      <c r="M22" s="2"/>
      <c r="N22" s="2"/>
      <c r="O22" s="2"/>
    </row>
    <row r="23" spans="2:15">
      <c r="B23" s="2"/>
      <c r="C23" s="2"/>
      <c r="D23" s="2"/>
      <c r="E23" s="2"/>
      <c r="F23" s="2" t="s">
        <v>3860</v>
      </c>
      <c r="G23" s="2"/>
      <c r="H23" s="2"/>
      <c r="I23" s="2"/>
      <c r="J23" s="2"/>
      <c r="K23" s="2"/>
      <c r="L23" s="2"/>
      <c r="M23" s="2"/>
      <c r="N23" s="2"/>
      <c r="O23" s="2"/>
    </row>
    <row r="24" spans="2:15">
      <c r="B24" s="2"/>
      <c r="C24" s="2"/>
      <c r="D24" s="2"/>
      <c r="E24" s="2"/>
      <c r="F24" s="2" t="s">
        <v>3553</v>
      </c>
      <c r="G24" s="2"/>
      <c r="H24" s="2"/>
      <c r="I24" s="2"/>
      <c r="J24" s="2"/>
      <c r="K24" s="2"/>
      <c r="L24" s="2"/>
      <c r="M24" s="2"/>
      <c r="N24" s="2"/>
      <c r="O24" s="2"/>
    </row>
    <row r="25" spans="2:15">
      <c r="B25" s="2"/>
      <c r="C25" s="2"/>
      <c r="D25" s="2"/>
      <c r="E25" s="2"/>
      <c r="F25" s="2" t="s">
        <v>3861</v>
      </c>
      <c r="G25" s="2"/>
      <c r="H25" s="2"/>
      <c r="I25" s="2"/>
      <c r="J25" s="2"/>
      <c r="K25" s="2"/>
      <c r="L25" s="2"/>
      <c r="M25" s="2"/>
      <c r="N25" s="2"/>
      <c r="O25" s="2"/>
    </row>
    <row r="26" spans="2:15">
      <c r="B26" s="2" t="s">
        <v>3862</v>
      </c>
      <c r="C26" s="2"/>
      <c r="D26" s="2"/>
      <c r="E26" s="2"/>
      <c r="F26" s="2"/>
      <c r="G26" s="2"/>
      <c r="H26" s="2"/>
      <c r="I26" s="2"/>
      <c r="J26" s="2"/>
      <c r="K26" s="2"/>
      <c r="L26" s="2"/>
      <c r="M26" s="2"/>
      <c r="N26" s="2"/>
      <c r="O26" s="2"/>
    </row>
    <row r="27" spans="2:15">
      <c r="B27" s="2"/>
      <c r="C27" s="2" t="s">
        <v>3863</v>
      </c>
      <c r="D27" s="2"/>
      <c r="E27" s="2"/>
      <c r="F27" s="2"/>
      <c r="G27" s="2"/>
      <c r="H27" s="2"/>
      <c r="I27" s="2"/>
      <c r="J27" s="2"/>
      <c r="K27" s="2"/>
      <c r="L27" s="2"/>
      <c r="M27" s="2"/>
      <c r="N27" s="2"/>
      <c r="O27" s="2"/>
    </row>
    <row r="28" spans="2:15">
      <c r="B28" s="2"/>
      <c r="C28" s="2"/>
      <c r="D28" s="2" t="s">
        <v>3864</v>
      </c>
      <c r="E28" s="2"/>
      <c r="F28" s="2"/>
      <c r="G28" s="2"/>
      <c r="H28" s="2"/>
      <c r="I28" s="2"/>
      <c r="J28" s="2"/>
      <c r="K28" s="2"/>
      <c r="L28" s="2"/>
      <c r="M28" s="2"/>
      <c r="N28" s="2"/>
      <c r="O28" s="2"/>
    </row>
    <row r="29" spans="2:15">
      <c r="B29" s="2"/>
      <c r="C29" s="2"/>
      <c r="D29" s="2" t="s">
        <v>3865</v>
      </c>
      <c r="E29" s="2"/>
      <c r="F29" s="2"/>
      <c r="G29" s="2"/>
      <c r="H29" s="2"/>
      <c r="I29" s="2"/>
      <c r="J29" s="2"/>
      <c r="K29" s="2"/>
      <c r="L29" s="2"/>
      <c r="M29" s="2"/>
      <c r="N29" s="2"/>
      <c r="O29" s="2"/>
    </row>
    <row r="30" spans="2:15">
      <c r="B30" s="2"/>
      <c r="C30" s="2"/>
      <c r="D30" s="2" t="s">
        <v>3866</v>
      </c>
      <c r="E30" s="2"/>
      <c r="F30" s="2"/>
      <c r="G30" s="2"/>
      <c r="H30" s="2"/>
      <c r="I30" s="2"/>
      <c r="J30" s="2"/>
      <c r="K30" s="2"/>
      <c r="L30" s="2"/>
      <c r="M30" s="2"/>
      <c r="N30" s="2"/>
      <c r="O30" s="2"/>
    </row>
    <row r="31" spans="2:15">
      <c r="B31" s="2"/>
      <c r="C31" s="2"/>
      <c r="D31" s="2" t="s">
        <v>3867</v>
      </c>
      <c r="E31" s="2"/>
      <c r="F31" s="2"/>
      <c r="G31" s="2"/>
      <c r="H31" s="2"/>
      <c r="I31" s="2"/>
      <c r="J31" s="2"/>
      <c r="K31" s="2"/>
      <c r="L31" s="2"/>
      <c r="M31" s="2"/>
      <c r="N31" s="2"/>
      <c r="O31" s="2"/>
    </row>
    <row r="32" spans="2:15">
      <c r="B32" s="2"/>
      <c r="C32" s="2"/>
      <c r="D32" s="2" t="s">
        <v>3868</v>
      </c>
      <c r="E32" s="2"/>
      <c r="F32" s="2"/>
      <c r="G32" s="2"/>
      <c r="H32" s="2"/>
      <c r="I32" s="2"/>
      <c r="J32" s="2"/>
      <c r="K32" s="2"/>
      <c r="L32" s="2"/>
      <c r="M32" s="2"/>
      <c r="N32" s="2"/>
      <c r="O32" s="2"/>
    </row>
    <row r="33" spans="2:15">
      <c r="B33" s="2"/>
      <c r="C33" s="2" t="s">
        <v>3869</v>
      </c>
      <c r="D33" s="2"/>
      <c r="E33" s="2"/>
      <c r="F33" s="2"/>
      <c r="G33" s="2"/>
      <c r="H33" s="2"/>
      <c r="I33" s="2"/>
      <c r="J33" s="2"/>
      <c r="K33" s="2"/>
      <c r="L33" s="2"/>
      <c r="M33" s="2"/>
      <c r="N33" s="2"/>
      <c r="O33" s="2"/>
    </row>
    <row r="34" spans="2:15">
      <c r="B34" s="2" t="s">
        <v>3870</v>
      </c>
      <c r="C34" s="2"/>
      <c r="D34" s="2"/>
      <c r="E34" s="2"/>
      <c r="F34" s="2"/>
      <c r="G34" s="2"/>
      <c r="H34" s="2"/>
      <c r="I34" s="2"/>
      <c r="J34" s="2"/>
      <c r="K34" s="2"/>
      <c r="L34" s="2"/>
      <c r="M34" s="2"/>
      <c r="N34" s="2"/>
      <c r="O34" s="2"/>
    </row>
    <row r="35" spans="2:15">
      <c r="B35" s="2"/>
      <c r="C35" s="2" t="s">
        <v>3871</v>
      </c>
      <c r="D35" s="2"/>
      <c r="E35" s="2"/>
      <c r="F35" s="2"/>
      <c r="G35" s="2"/>
      <c r="H35" s="2"/>
      <c r="I35" s="2"/>
      <c r="J35" s="2"/>
      <c r="K35" s="2"/>
      <c r="L35" s="2"/>
      <c r="M35" s="2"/>
      <c r="N35" s="2"/>
      <c r="O35" s="2"/>
    </row>
    <row r="36" spans="2:15">
      <c r="B36" s="2"/>
      <c r="C36" s="2"/>
      <c r="D36" s="2" t="s">
        <v>3872</v>
      </c>
      <c r="E36" s="2"/>
      <c r="F36" s="2"/>
      <c r="G36" s="2"/>
      <c r="H36" s="2"/>
      <c r="I36" s="2"/>
      <c r="J36" s="2"/>
      <c r="K36" s="2"/>
      <c r="L36" s="2"/>
      <c r="M36" s="2"/>
      <c r="N36" s="2"/>
      <c r="O36" s="2"/>
    </row>
    <row r="37" spans="2:15">
      <c r="B37" s="2"/>
      <c r="C37" s="2"/>
      <c r="D37" s="2" t="s">
        <v>3873</v>
      </c>
      <c r="E37" s="2"/>
      <c r="F37" s="2"/>
      <c r="G37" s="2"/>
      <c r="H37" s="2"/>
      <c r="I37" s="2"/>
      <c r="J37" s="2"/>
      <c r="K37" s="2"/>
      <c r="L37" s="2"/>
      <c r="M37" s="2"/>
      <c r="N37" s="2"/>
      <c r="O37" s="2"/>
    </row>
    <row r="38" spans="2:15">
      <c r="B38" s="2"/>
      <c r="C38" s="2"/>
      <c r="D38" s="2"/>
      <c r="E38" s="2" t="s">
        <v>3874</v>
      </c>
      <c r="F38" s="2"/>
      <c r="G38" s="2"/>
      <c r="H38" s="2"/>
      <c r="I38" s="2"/>
      <c r="J38" s="2"/>
      <c r="K38" s="2"/>
      <c r="L38" s="2"/>
      <c r="M38" s="2"/>
      <c r="N38" s="2"/>
      <c r="O38" s="2"/>
    </row>
    <row r="39" spans="2:15">
      <c r="B39" s="2"/>
      <c r="C39" s="2"/>
      <c r="D39" s="2" t="s">
        <v>3875</v>
      </c>
      <c r="E39" s="2"/>
      <c r="F39" s="2"/>
      <c r="G39" s="2"/>
      <c r="H39" s="2"/>
      <c r="I39" s="2"/>
      <c r="J39" s="2"/>
      <c r="K39" s="2"/>
      <c r="L39" s="2"/>
      <c r="M39" s="2"/>
      <c r="N39" s="2"/>
      <c r="O39" s="2"/>
    </row>
    <row r="40" spans="2:15">
      <c r="B40" s="2"/>
      <c r="C40" s="2"/>
      <c r="D40" s="2" t="s">
        <v>3876</v>
      </c>
      <c r="E40" s="2"/>
      <c r="F40" s="2"/>
      <c r="G40" s="2"/>
      <c r="H40" s="2"/>
      <c r="I40" s="2"/>
      <c r="J40" s="2"/>
      <c r="K40" s="2"/>
      <c r="L40" s="2"/>
      <c r="M40" s="2"/>
      <c r="N40" s="2"/>
      <c r="O40" s="2"/>
    </row>
    <row r="41" spans="2:15">
      <c r="B41" s="2"/>
      <c r="C41" s="2"/>
      <c r="D41" s="2" t="s">
        <v>3877</v>
      </c>
      <c r="E41" s="2"/>
      <c r="F41" s="2"/>
      <c r="G41" s="2"/>
      <c r="H41" s="2"/>
      <c r="I41" s="2"/>
      <c r="J41" s="2"/>
      <c r="K41" s="2"/>
      <c r="L41" s="2"/>
      <c r="M41" s="2"/>
      <c r="N41" s="2"/>
      <c r="O41" s="2"/>
    </row>
    <row r="42" spans="2:15">
      <c r="B42" s="2"/>
      <c r="C42" s="2" t="s">
        <v>3878</v>
      </c>
      <c r="D42" s="2"/>
      <c r="E42" s="2"/>
      <c r="F42" s="2"/>
      <c r="G42" s="2"/>
      <c r="H42" s="2"/>
      <c r="I42" s="2"/>
      <c r="J42" s="2"/>
      <c r="K42" s="2"/>
      <c r="L42" s="2"/>
      <c r="M42" s="2"/>
      <c r="N42" s="2"/>
      <c r="O42" s="2"/>
    </row>
    <row r="43" spans="2:15">
      <c r="B43" s="2"/>
      <c r="C43" s="2"/>
      <c r="D43" s="2" t="s">
        <v>3879</v>
      </c>
      <c r="E43" s="2"/>
      <c r="F43" s="2"/>
      <c r="G43" s="2"/>
      <c r="H43" s="2"/>
      <c r="I43" s="2"/>
      <c r="J43" s="2"/>
      <c r="K43" s="2"/>
      <c r="L43" s="2"/>
      <c r="M43" s="2"/>
      <c r="N43" s="2"/>
      <c r="O43" s="2"/>
    </row>
    <row r="44" spans="2:15">
      <c r="B44" s="2"/>
      <c r="C44" s="2"/>
      <c r="D44" s="2" t="s">
        <v>3880</v>
      </c>
      <c r="E44" s="2"/>
      <c r="F44" s="2"/>
      <c r="G44" s="2"/>
      <c r="H44" s="2"/>
      <c r="I44" s="2"/>
      <c r="J44" s="2"/>
      <c r="K44" s="2"/>
      <c r="L44" s="2"/>
      <c r="M44" s="2"/>
      <c r="N44" s="2"/>
      <c r="O44" s="2"/>
    </row>
    <row r="45" spans="2:15">
      <c r="B45" s="2"/>
      <c r="C45" s="2"/>
      <c r="D45" s="2" t="s">
        <v>3881</v>
      </c>
      <c r="E45" s="2"/>
      <c r="F45" s="2"/>
      <c r="G45" s="2"/>
      <c r="H45" s="2"/>
      <c r="I45" s="2"/>
      <c r="J45" s="2"/>
      <c r="K45" s="2"/>
      <c r="L45" s="2"/>
      <c r="M45" s="2"/>
      <c r="N45" s="2"/>
      <c r="O45" s="2"/>
    </row>
    <row r="46" spans="2:15">
      <c r="B46" s="2"/>
      <c r="C46" s="2"/>
      <c r="D46" s="2" t="s">
        <v>3882</v>
      </c>
      <c r="E46" s="2"/>
      <c r="F46" s="2"/>
      <c r="G46" s="2"/>
      <c r="H46" s="2"/>
      <c r="I46" s="2"/>
      <c r="J46" s="2"/>
      <c r="K46" s="2"/>
      <c r="L46" s="2"/>
      <c r="M46" s="2"/>
      <c r="N46" s="2"/>
      <c r="O46" s="2"/>
    </row>
    <row r="47" spans="2:15">
      <c r="B47" s="2"/>
      <c r="C47" s="2"/>
      <c r="D47" s="2" t="s">
        <v>3883</v>
      </c>
      <c r="E47" s="2"/>
      <c r="F47" s="2"/>
      <c r="G47" s="2"/>
      <c r="H47" s="2"/>
      <c r="I47" s="2"/>
      <c r="J47" s="2"/>
      <c r="K47" s="2"/>
      <c r="L47" s="2"/>
      <c r="M47" s="2"/>
      <c r="N47" s="2"/>
      <c r="O47" s="2"/>
    </row>
    <row r="48" spans="2:15">
      <c r="B48" s="2"/>
      <c r="C48" s="2"/>
      <c r="D48" s="2" t="s">
        <v>3884</v>
      </c>
      <c r="E48" s="2"/>
      <c r="F48" s="2"/>
      <c r="G48" s="2"/>
      <c r="H48" s="2"/>
      <c r="I48" s="2"/>
      <c r="J48" s="2"/>
      <c r="K48" s="2"/>
      <c r="L48" s="2"/>
      <c r="M48" s="2"/>
      <c r="N48" s="2"/>
      <c r="O48" s="2"/>
    </row>
    <row r="49" spans="2:15">
      <c r="B49" s="2"/>
      <c r="C49" s="2"/>
      <c r="D49" s="2" t="s">
        <v>3885</v>
      </c>
      <c r="E49" s="2"/>
      <c r="F49" s="2"/>
      <c r="G49" s="2"/>
      <c r="H49" s="2"/>
      <c r="I49" s="2"/>
      <c r="J49" s="2"/>
      <c r="K49" s="2"/>
      <c r="L49" s="2"/>
      <c r="M49" s="2"/>
      <c r="N49" s="2"/>
      <c r="O49" s="2"/>
    </row>
    <row r="50" spans="2:15">
      <c r="B50" s="2" t="s">
        <v>3886</v>
      </c>
      <c r="C50" s="2"/>
      <c r="D50" s="2"/>
      <c r="E50" s="2"/>
      <c r="F50" s="2"/>
      <c r="G50" s="2"/>
      <c r="H50" s="2"/>
      <c r="I50" s="2"/>
      <c r="J50" s="2"/>
      <c r="K50" s="2"/>
      <c r="L50" s="2"/>
      <c r="M50" s="2"/>
      <c r="N50" s="2"/>
      <c r="O50" s="2"/>
    </row>
    <row r="51" spans="2:15">
      <c r="B51" s="2"/>
      <c r="C51" s="2" t="s">
        <v>3887</v>
      </c>
      <c r="D51" s="2"/>
      <c r="E51" s="2"/>
      <c r="F51" s="2"/>
      <c r="G51" s="2"/>
      <c r="H51" s="2"/>
      <c r="I51" s="2"/>
      <c r="J51" s="2"/>
      <c r="K51" s="2"/>
      <c r="L51" s="2"/>
      <c r="M51" s="2"/>
      <c r="N51" s="2"/>
      <c r="O51" s="2"/>
    </row>
    <row r="52" spans="2:15">
      <c r="B52" s="2"/>
      <c r="C52" s="2" t="s">
        <v>3888</v>
      </c>
      <c r="D52" s="2"/>
      <c r="E52" s="2"/>
      <c r="F52" s="2"/>
      <c r="G52" s="2"/>
      <c r="H52" s="2"/>
      <c r="I52" s="2"/>
      <c r="J52" s="2"/>
      <c r="K52" s="2"/>
      <c r="L52" s="2"/>
      <c r="M52" s="2"/>
      <c r="N52" s="2"/>
      <c r="O52" s="2"/>
    </row>
    <row r="53" spans="2:15">
      <c r="B53" s="2"/>
      <c r="C53" s="2" t="s">
        <v>3889</v>
      </c>
      <c r="D53" s="2"/>
      <c r="E53" s="2"/>
      <c r="F53" s="2"/>
      <c r="G53" s="2"/>
      <c r="H53" s="2"/>
      <c r="I53" s="2"/>
      <c r="J53" s="2"/>
      <c r="K53" s="2"/>
      <c r="L53" s="2"/>
      <c r="M53" s="2"/>
      <c r="N53" s="2"/>
      <c r="O53" s="2"/>
    </row>
    <row r="54" spans="2:15">
      <c r="B54" s="2"/>
      <c r="C54" s="2" t="s">
        <v>3890</v>
      </c>
      <c r="D54" s="2"/>
      <c r="E54" s="2"/>
      <c r="F54" s="2"/>
      <c r="G54" s="2"/>
      <c r="H54" s="2"/>
      <c r="I54" s="2"/>
      <c r="J54" s="2"/>
      <c r="K54" s="2"/>
      <c r="L54" s="2"/>
      <c r="M54" s="2"/>
      <c r="N54" s="2"/>
      <c r="O54" s="2"/>
    </row>
    <row r="55" spans="2:15">
      <c r="B55" s="2"/>
      <c r="C55" s="2" t="s">
        <v>3891</v>
      </c>
      <c r="D55" s="2"/>
      <c r="E55" s="2"/>
      <c r="F55" s="2"/>
      <c r="G55" s="2"/>
      <c r="H55" s="2"/>
      <c r="I55" s="2"/>
      <c r="J55" s="2"/>
      <c r="K55" s="2"/>
      <c r="L55" s="2"/>
      <c r="M55" s="2"/>
      <c r="N55" s="2"/>
      <c r="O55" s="2"/>
    </row>
    <row r="56" spans="2:15">
      <c r="B56" s="2"/>
      <c r="C56" s="2" t="s">
        <v>3892</v>
      </c>
      <c r="D56" s="2"/>
      <c r="E56" s="2"/>
      <c r="F56" s="2"/>
      <c r="G56" s="2"/>
      <c r="H56" s="2"/>
      <c r="I56" s="2"/>
      <c r="J56" s="2"/>
      <c r="K56" s="2"/>
      <c r="L56" s="2"/>
      <c r="M56" s="2"/>
      <c r="N56" s="2"/>
      <c r="O56" s="2"/>
    </row>
    <row r="57" spans="2:15">
      <c r="B57" s="2"/>
      <c r="C57" s="2" t="s">
        <v>3893</v>
      </c>
      <c r="D57" s="2"/>
      <c r="E57" s="2"/>
      <c r="F57" s="2"/>
      <c r="G57" s="2"/>
      <c r="H57" s="2"/>
      <c r="I57" s="2"/>
      <c r="J57" s="2"/>
      <c r="K57" s="2"/>
      <c r="L57" s="2"/>
      <c r="M57" s="2"/>
      <c r="N57" s="2"/>
      <c r="O57" s="2"/>
    </row>
    <row r="58" spans="2:15">
      <c r="B58" s="2"/>
      <c r="C58" s="2" t="s">
        <v>3894</v>
      </c>
      <c r="D58" s="2"/>
      <c r="E58" s="2"/>
      <c r="F58" s="2"/>
      <c r="G58" s="2"/>
      <c r="H58" s="2"/>
      <c r="I58" s="2"/>
      <c r="J58" s="2"/>
      <c r="K58" s="2"/>
      <c r="L58" s="2"/>
      <c r="M58" s="2"/>
      <c r="N58" s="2"/>
      <c r="O58" s="2"/>
    </row>
    <row r="59" spans="2:15">
      <c r="B59" s="2"/>
      <c r="C59" s="2" t="s">
        <v>3895</v>
      </c>
      <c r="D59" s="2"/>
      <c r="E59" s="2"/>
      <c r="F59" s="2"/>
      <c r="G59" s="2"/>
      <c r="H59" s="2"/>
      <c r="I59" s="2"/>
      <c r="J59" s="2"/>
      <c r="K59" s="2"/>
      <c r="L59" s="2"/>
      <c r="M59" s="2"/>
      <c r="N59" s="2"/>
      <c r="O59" s="2"/>
    </row>
    <row r="60" spans="2:15">
      <c r="B60" s="2" t="s">
        <v>3896</v>
      </c>
      <c r="C60" s="2"/>
      <c r="D60" s="2"/>
      <c r="E60" s="2"/>
      <c r="F60" s="2"/>
      <c r="G60" s="2"/>
      <c r="H60" s="2"/>
      <c r="I60" s="2"/>
      <c r="J60" s="2"/>
      <c r="K60" s="2"/>
      <c r="L60" s="2"/>
      <c r="M60" s="2"/>
      <c r="N60" s="2"/>
      <c r="O60" s="2"/>
    </row>
    <row r="61" spans="2:15">
      <c r="B61" s="2"/>
      <c r="C61" s="2" t="s">
        <v>3897</v>
      </c>
      <c r="D61" s="2"/>
      <c r="E61" s="2"/>
      <c r="F61" s="2"/>
      <c r="G61" s="2"/>
      <c r="H61" s="2"/>
      <c r="I61" s="2"/>
      <c r="J61" s="2"/>
      <c r="K61" s="2"/>
      <c r="L61" s="2"/>
      <c r="M61" s="2"/>
      <c r="N61" s="2"/>
      <c r="O61" s="2"/>
    </row>
    <row r="62" spans="2:15">
      <c r="B62" s="2"/>
      <c r="C62" s="2"/>
      <c r="D62" s="2" t="s">
        <v>3898</v>
      </c>
      <c r="E62" s="2"/>
      <c r="F62" s="2"/>
      <c r="G62" s="2"/>
      <c r="H62" s="2"/>
      <c r="I62" s="2"/>
      <c r="J62" s="2"/>
      <c r="K62" s="2"/>
      <c r="L62" s="2"/>
      <c r="M62" s="2"/>
      <c r="N62" s="2"/>
      <c r="O62" s="2"/>
    </row>
    <row r="63" spans="2:15">
      <c r="B63" s="2"/>
      <c r="C63" s="2"/>
      <c r="D63" s="2" t="s">
        <v>3899</v>
      </c>
      <c r="E63" s="2"/>
      <c r="F63" s="2"/>
      <c r="G63" s="2"/>
      <c r="H63" s="2"/>
      <c r="I63" s="2"/>
      <c r="J63" s="2"/>
      <c r="K63" s="2"/>
      <c r="L63" s="2"/>
      <c r="M63" s="2"/>
      <c r="N63" s="2"/>
      <c r="O63" s="2"/>
    </row>
    <row r="64" spans="2:15">
      <c r="B64" s="2"/>
      <c r="C64" s="2"/>
      <c r="D64" s="2" t="s">
        <v>3900</v>
      </c>
      <c r="E64" s="2"/>
      <c r="F64" s="2"/>
      <c r="G64" s="2"/>
      <c r="H64" s="2"/>
      <c r="I64" s="2"/>
      <c r="J64" s="2"/>
      <c r="K64" s="2"/>
      <c r="L64" s="2"/>
      <c r="M64" s="2"/>
      <c r="N64" s="2"/>
      <c r="O64" s="2"/>
    </row>
    <row r="65" spans="2:15">
      <c r="B65" s="2"/>
      <c r="C65" s="2"/>
      <c r="D65" s="2" t="s">
        <v>3901</v>
      </c>
      <c r="E65" s="2"/>
      <c r="F65" s="2"/>
      <c r="G65" s="2"/>
      <c r="H65" s="2"/>
      <c r="I65" s="2"/>
      <c r="J65" s="2"/>
      <c r="K65" s="2"/>
      <c r="L65" s="2"/>
      <c r="M65" s="2"/>
      <c r="N65" s="2"/>
      <c r="O65" s="2"/>
    </row>
    <row r="66" spans="2:15">
      <c r="B66" s="2"/>
      <c r="C66" s="2"/>
      <c r="D66" s="2" t="s">
        <v>3902</v>
      </c>
      <c r="E66" s="2"/>
      <c r="F66" s="2"/>
      <c r="G66" s="2"/>
      <c r="H66" s="2"/>
      <c r="I66" s="2"/>
      <c r="J66" s="2"/>
      <c r="K66" s="2"/>
      <c r="L66" s="2"/>
      <c r="M66" s="2"/>
      <c r="N66" s="2"/>
      <c r="O66" s="2"/>
    </row>
    <row r="67" spans="2:15">
      <c r="B67" s="2" t="s">
        <v>3903</v>
      </c>
      <c r="C67" s="2"/>
      <c r="D67" s="2"/>
      <c r="E67" s="2"/>
      <c r="F67" s="2"/>
      <c r="G67" s="2"/>
      <c r="H67" s="2"/>
      <c r="I67" s="2"/>
      <c r="J67" s="2"/>
      <c r="K67" s="2"/>
      <c r="L67" s="2"/>
      <c r="M67" s="2"/>
      <c r="N67" s="2"/>
      <c r="O67" s="2"/>
    </row>
    <row r="68" spans="2:15">
      <c r="B68" s="2"/>
      <c r="C68" s="2" t="s">
        <v>3904</v>
      </c>
      <c r="D68" s="2"/>
      <c r="E68" s="2"/>
      <c r="F68" s="2"/>
      <c r="G68" s="2"/>
      <c r="H68" s="2"/>
      <c r="I68" s="2"/>
      <c r="J68" s="2"/>
      <c r="K68" s="2"/>
      <c r="L68" s="2"/>
      <c r="M68" s="2"/>
      <c r="N68" s="2"/>
      <c r="O68" s="2"/>
    </row>
    <row r="69" spans="2:15">
      <c r="B69" s="2"/>
      <c r="C69" s="2" t="s">
        <v>3905</v>
      </c>
      <c r="D69" s="2"/>
      <c r="E69" s="2"/>
      <c r="F69" s="2"/>
      <c r="G69" s="2"/>
      <c r="H69" s="2"/>
      <c r="I69" s="2"/>
      <c r="J69" s="2"/>
      <c r="K69" s="2"/>
      <c r="L69" s="2"/>
      <c r="M69" s="2"/>
      <c r="N69" s="2"/>
      <c r="O69" s="2"/>
    </row>
    <row r="70" spans="2:15">
      <c r="B70" s="2" t="s">
        <v>3906</v>
      </c>
      <c r="C70" s="2"/>
      <c r="D70" s="2"/>
      <c r="E70" s="2"/>
      <c r="F70" s="2"/>
      <c r="G70" s="2"/>
      <c r="H70" s="2"/>
      <c r="I70" s="2"/>
      <c r="J70" s="2"/>
      <c r="K70" s="2"/>
      <c r="L70" s="2"/>
      <c r="M70" s="2"/>
      <c r="N70" s="2"/>
      <c r="O70" s="2"/>
    </row>
    <row r="71" spans="2:15">
      <c r="B71" s="2"/>
      <c r="C71" s="2" t="s">
        <v>3907</v>
      </c>
      <c r="D71" s="2"/>
      <c r="E71" s="2"/>
      <c r="F71" s="2"/>
      <c r="G71" s="2"/>
      <c r="H71" s="2"/>
      <c r="I71" s="2"/>
      <c r="J71" s="2"/>
      <c r="K71" s="2"/>
      <c r="L71" s="2"/>
      <c r="M71" s="2"/>
      <c r="N71" s="2"/>
      <c r="O71" s="2"/>
    </row>
    <row r="72" spans="2:15">
      <c r="B72" s="2" t="s">
        <v>3908</v>
      </c>
      <c r="C72" s="2"/>
      <c r="D72" s="2"/>
      <c r="E72" s="2"/>
      <c r="F72" s="2"/>
      <c r="G72" s="2"/>
      <c r="H72" s="2"/>
      <c r="I72" s="2"/>
      <c r="J72" s="2"/>
      <c r="K72" s="2"/>
      <c r="L72" s="2"/>
      <c r="M72" s="2"/>
      <c r="N72" s="2"/>
      <c r="O72" s="2"/>
    </row>
    <row r="73" spans="2:15">
      <c r="B73" s="2" t="s">
        <v>3909</v>
      </c>
      <c r="C73" s="2"/>
      <c r="D73" s="2"/>
      <c r="E73" s="2"/>
      <c r="F73" s="2"/>
      <c r="G73" s="2"/>
      <c r="H73" s="2"/>
      <c r="I73" s="2"/>
      <c r="J73" s="2"/>
      <c r="K73" s="2"/>
      <c r="L73" s="2"/>
      <c r="M73" s="2"/>
      <c r="N73" s="2"/>
      <c r="O73" s="2"/>
    </row>
    <row r="74" spans="2:15">
      <c r="B74" s="2" t="s">
        <v>3910</v>
      </c>
      <c r="C74" s="2"/>
      <c r="D74" s="2"/>
      <c r="E74" s="2"/>
      <c r="F74" s="2"/>
      <c r="G74" s="2"/>
      <c r="H74" s="2"/>
      <c r="I74" s="2"/>
      <c r="J74" s="2"/>
      <c r="K74" s="2"/>
      <c r="L74" s="2"/>
      <c r="M74" s="2"/>
      <c r="N74" s="2"/>
      <c r="O74" s="2"/>
    </row>
    <row r="75" spans="2:15">
      <c r="B75" s="2" t="s">
        <v>3911</v>
      </c>
      <c r="C75" s="2"/>
      <c r="D75" s="2"/>
      <c r="E75" s="2"/>
      <c r="F75" s="2"/>
      <c r="G75" s="2"/>
      <c r="H75" s="2"/>
      <c r="I75" s="2"/>
      <c r="J75" s="2"/>
      <c r="K75" s="2"/>
      <c r="L75" s="2"/>
      <c r="M75" s="2"/>
      <c r="N75" s="2"/>
      <c r="O75" s="2"/>
    </row>
    <row r="76" spans="2:15">
      <c r="B76" s="2" t="s">
        <v>3912</v>
      </c>
      <c r="C76" s="2"/>
      <c r="D76" s="2"/>
      <c r="E76" s="2"/>
      <c r="F76" s="2"/>
      <c r="G76" s="2"/>
      <c r="H76" s="2"/>
      <c r="I76" s="2"/>
      <c r="J76" s="2"/>
      <c r="K76" s="2"/>
      <c r="L76" s="2"/>
      <c r="M76" s="2"/>
      <c r="N76" s="2"/>
      <c r="O76" s="2"/>
    </row>
    <row r="77" spans="2:15">
      <c r="B77" s="2"/>
      <c r="C77" s="2" t="s">
        <v>3913</v>
      </c>
      <c r="D77" s="2"/>
      <c r="E77" s="2"/>
      <c r="F77" s="2"/>
      <c r="G77" s="2"/>
      <c r="H77" s="2"/>
      <c r="I77" s="2"/>
      <c r="J77" s="2"/>
      <c r="K77" s="2"/>
      <c r="L77" s="2"/>
      <c r="M77" s="2"/>
      <c r="N77" s="2"/>
      <c r="O77" s="2"/>
    </row>
    <row r="78" spans="2:15">
      <c r="B78" s="2" t="s">
        <v>3914</v>
      </c>
      <c r="C78" s="2"/>
      <c r="D78" s="2"/>
      <c r="E78" s="2"/>
      <c r="F78" s="2"/>
      <c r="G78" s="2"/>
      <c r="H78" s="2"/>
      <c r="I78" s="2"/>
      <c r="J78" s="2"/>
      <c r="K78" s="2"/>
      <c r="L78" s="2"/>
      <c r="M78" s="2"/>
      <c r="N78" s="2"/>
      <c r="O78" s="2"/>
    </row>
    <row r="79" spans="2:15">
      <c r="B79" s="2"/>
      <c r="C79" s="2" t="s">
        <v>3915</v>
      </c>
      <c r="D79" s="2"/>
      <c r="E79" s="2"/>
      <c r="F79" s="2"/>
      <c r="G79" s="2"/>
      <c r="H79" s="2"/>
      <c r="I79" s="2"/>
      <c r="J79" s="2"/>
      <c r="K79" s="2"/>
      <c r="L79" s="2"/>
      <c r="M79" s="2"/>
      <c r="N79" s="2"/>
      <c r="O79" s="2"/>
    </row>
    <row r="80" spans="2:15">
      <c r="B80" s="2"/>
      <c r="C80" s="2"/>
      <c r="D80" s="2" t="s">
        <v>3916</v>
      </c>
      <c r="E80" s="2"/>
      <c r="F80" s="2"/>
      <c r="G80" s="2"/>
      <c r="H80" s="2"/>
      <c r="I80" s="2"/>
      <c r="J80" s="2"/>
      <c r="K80" s="2"/>
      <c r="L80" s="2"/>
      <c r="M80" s="2"/>
      <c r="N80" s="2"/>
      <c r="O80" s="2"/>
    </row>
    <row r="81" spans="2:15">
      <c r="B81" s="2"/>
      <c r="C81" s="2"/>
      <c r="D81" s="2" t="s">
        <v>3917</v>
      </c>
      <c r="E81" s="2"/>
      <c r="F81" s="2"/>
      <c r="G81" s="2"/>
      <c r="H81" s="2"/>
      <c r="I81" s="2"/>
      <c r="J81" s="2"/>
      <c r="K81" s="2"/>
      <c r="L81" s="2"/>
      <c r="M81" s="2"/>
      <c r="N81" s="2"/>
      <c r="O81" s="2"/>
    </row>
    <row r="82" spans="2:15">
      <c r="B82" s="2" t="s">
        <v>3918</v>
      </c>
      <c r="C82" s="2"/>
      <c r="D82" s="2"/>
      <c r="E82" s="2"/>
      <c r="F82" s="2"/>
      <c r="G82" s="2"/>
      <c r="H82" s="2"/>
      <c r="I82" s="2"/>
      <c r="J82" s="2"/>
      <c r="K82" s="2"/>
      <c r="L82" s="2"/>
      <c r="M82" s="2"/>
      <c r="N82" s="2"/>
      <c r="O82" s="2"/>
    </row>
    <row r="83" spans="2:15">
      <c r="B83" s="2" t="s">
        <v>3919</v>
      </c>
      <c r="C83" s="2"/>
      <c r="D83" s="2"/>
      <c r="E83" s="2"/>
      <c r="F83" s="2"/>
      <c r="G83" s="2"/>
      <c r="H83" s="2"/>
      <c r="I83" s="2"/>
      <c r="J83" s="2"/>
      <c r="K83" s="2"/>
      <c r="L83" s="2"/>
      <c r="M83" s="2"/>
      <c r="N83" s="2"/>
      <c r="O83" s="2"/>
    </row>
    <row r="84" spans="2:15">
      <c r="B84" s="2"/>
      <c r="C84" s="2" t="s">
        <v>3920</v>
      </c>
      <c r="D84" s="2"/>
      <c r="E84" s="2"/>
      <c r="F84" s="2"/>
      <c r="G84" s="2"/>
      <c r="H84" s="2"/>
      <c r="I84" s="2"/>
      <c r="J84" s="2"/>
      <c r="K84" s="2"/>
      <c r="L84" s="2"/>
      <c r="M84" s="2"/>
      <c r="N84" s="2"/>
      <c r="O84" s="2"/>
    </row>
    <row r="85" spans="2:15">
      <c r="B85" s="2" t="s">
        <v>3921</v>
      </c>
      <c r="C85" s="2"/>
      <c r="D85" s="2"/>
      <c r="E85" s="2"/>
      <c r="F85" s="2"/>
      <c r="G85" s="2"/>
      <c r="H85" s="2"/>
      <c r="I85" s="2"/>
      <c r="J85" s="2"/>
      <c r="K85" s="2"/>
      <c r="L85" s="2"/>
      <c r="M85" s="2"/>
      <c r="N85" s="2"/>
      <c r="O85" s="2"/>
    </row>
    <row r="86" spans="2:15">
      <c r="B86" s="2"/>
      <c r="C86" s="2" t="s">
        <v>3922</v>
      </c>
      <c r="D86" s="2"/>
      <c r="E86" s="2"/>
      <c r="F86" s="2"/>
      <c r="G86" s="2"/>
      <c r="H86" s="2"/>
      <c r="I86" s="2"/>
      <c r="J86" s="2"/>
      <c r="K86" s="2"/>
      <c r="L86" s="2"/>
      <c r="M86" s="2"/>
      <c r="N86" s="2"/>
      <c r="O86" s="2"/>
    </row>
    <row r="87" spans="2:15">
      <c r="B87" s="2"/>
      <c r="C87" s="2" t="s">
        <v>3923</v>
      </c>
      <c r="D87" s="2"/>
      <c r="E87" s="2"/>
      <c r="F87" s="2"/>
      <c r="G87" s="2"/>
      <c r="H87" s="2"/>
      <c r="I87" s="2"/>
      <c r="J87" s="2"/>
      <c r="K87" s="2"/>
      <c r="L87" s="2"/>
      <c r="M87" s="2"/>
      <c r="N87" s="2"/>
      <c r="O87" s="2"/>
    </row>
    <row r="88" spans="2:15">
      <c r="B88" s="2" t="s">
        <v>3924</v>
      </c>
      <c r="C88" s="2"/>
      <c r="D88" s="2"/>
      <c r="E88" s="2"/>
      <c r="F88" s="2"/>
      <c r="G88" s="2"/>
      <c r="H88" s="2"/>
      <c r="I88" s="2"/>
      <c r="J88" s="2"/>
      <c r="K88" s="2"/>
      <c r="L88" s="2"/>
      <c r="M88" s="2"/>
      <c r="N88" s="2"/>
      <c r="O88" s="2"/>
    </row>
    <row r="89" spans="2:15">
      <c r="B89" s="2" t="s">
        <v>3925</v>
      </c>
      <c r="C89" s="2"/>
      <c r="D89" s="2"/>
      <c r="E89" s="2"/>
      <c r="F89" s="2"/>
      <c r="G89" s="2"/>
      <c r="H89" s="2"/>
      <c r="I89" s="2"/>
      <c r="J89" s="2"/>
      <c r="K89" s="2"/>
      <c r="L89" s="2"/>
      <c r="M89" s="2"/>
      <c r="N89" s="2"/>
      <c r="O89" s="2"/>
    </row>
    <row r="90" spans="2:15">
      <c r="B90" s="2" t="s">
        <v>3926</v>
      </c>
      <c r="C90" s="2"/>
      <c r="D90" s="2"/>
      <c r="E90" s="2"/>
      <c r="F90" s="2"/>
      <c r="G90" s="2"/>
      <c r="H90" s="2"/>
      <c r="I90" s="2"/>
      <c r="J90" s="2"/>
      <c r="K90" s="2"/>
      <c r="L90" s="2"/>
      <c r="M90" s="2"/>
      <c r="N90" s="2"/>
      <c r="O90" s="2"/>
    </row>
    <row r="91" spans="2:15">
      <c r="B91" s="2" t="s">
        <v>3927</v>
      </c>
      <c r="C91" s="2"/>
      <c r="D91" s="2"/>
      <c r="E91" s="2"/>
      <c r="F91" s="2"/>
      <c r="G91" s="2"/>
      <c r="H91" s="2"/>
      <c r="I91" s="2"/>
      <c r="J91" s="2"/>
      <c r="K91" s="2"/>
      <c r="L91" s="2"/>
      <c r="M91" s="2"/>
      <c r="N91" s="2"/>
      <c r="O91" s="2"/>
    </row>
    <row r="92" spans="2:15">
      <c r="B92" s="2"/>
      <c r="C92" s="2" t="s">
        <v>3928</v>
      </c>
      <c r="D92" s="2"/>
      <c r="E92" s="2"/>
      <c r="F92" s="2"/>
      <c r="G92" s="2"/>
      <c r="H92" s="2"/>
      <c r="I92" s="2"/>
      <c r="J92" s="2"/>
      <c r="K92" s="2"/>
      <c r="L92" s="2"/>
      <c r="M92" s="2"/>
      <c r="N92" s="2"/>
      <c r="O92" s="2"/>
    </row>
    <row r="93" spans="2:15">
      <c r="B93" s="2"/>
      <c r="C93" s="2" t="s">
        <v>3929</v>
      </c>
      <c r="D93" s="2"/>
      <c r="E93" s="2"/>
      <c r="F93" s="2"/>
      <c r="G93" s="2"/>
      <c r="H93" s="2"/>
      <c r="I93" s="2"/>
      <c r="J93" s="2"/>
      <c r="K93" s="2"/>
      <c r="L93" s="2"/>
      <c r="M93" s="2"/>
      <c r="N93" s="2"/>
      <c r="O93" s="2"/>
    </row>
    <row r="94" spans="2:15">
      <c r="B94" s="2"/>
      <c r="C94" s="2" t="s">
        <v>3930</v>
      </c>
      <c r="D94" s="2"/>
      <c r="E94" s="2"/>
      <c r="F94" s="2"/>
      <c r="G94" s="2"/>
      <c r="H94" s="2"/>
      <c r="I94" s="2"/>
      <c r="J94" s="2"/>
      <c r="K94" s="2"/>
      <c r="L94" s="2"/>
      <c r="M94" s="2"/>
      <c r="N94" s="2"/>
      <c r="O94" s="2"/>
    </row>
    <row r="95" spans="2:15">
      <c r="B95" s="2"/>
      <c r="C95" s="2" t="s">
        <v>3931</v>
      </c>
      <c r="D95" s="2"/>
      <c r="E95" s="2"/>
      <c r="F95" s="2"/>
      <c r="G95" s="2"/>
      <c r="H95" s="2"/>
      <c r="I95" s="2"/>
      <c r="J95" s="2"/>
      <c r="K95" s="2"/>
      <c r="L95" s="2"/>
      <c r="M95" s="2"/>
      <c r="N95" s="2"/>
      <c r="O95" s="2"/>
    </row>
    <row r="96" spans="2:15">
      <c r="B96" s="2"/>
      <c r="C96" s="2"/>
      <c r="D96" s="2" t="s">
        <v>3932</v>
      </c>
      <c r="E96" s="2"/>
      <c r="F96" s="2"/>
      <c r="G96" s="2"/>
      <c r="H96" s="2"/>
      <c r="I96" s="2"/>
      <c r="J96" s="2"/>
      <c r="K96" s="2"/>
      <c r="L96" s="2"/>
      <c r="M96" s="2"/>
      <c r="N96" s="2"/>
      <c r="O96" s="2"/>
    </row>
    <row r="97" spans="2:15">
      <c r="B97" s="2"/>
      <c r="C97" s="2" t="s">
        <v>3933</v>
      </c>
      <c r="D97" s="2"/>
      <c r="E97" s="2"/>
      <c r="F97" s="2"/>
      <c r="G97" s="2"/>
      <c r="H97" s="2"/>
      <c r="I97" s="2"/>
      <c r="J97" s="2"/>
      <c r="K97" s="2"/>
      <c r="L97" s="2"/>
      <c r="M97" s="2"/>
      <c r="N97" s="2"/>
      <c r="O97" s="2"/>
    </row>
    <row r="98" spans="2:15">
      <c r="B98" s="2"/>
      <c r="C98" s="2" t="s">
        <v>3934</v>
      </c>
      <c r="D98" s="2"/>
      <c r="E98" s="2"/>
      <c r="F98" s="2"/>
      <c r="G98" s="2"/>
      <c r="H98" s="2"/>
      <c r="I98" s="2"/>
      <c r="J98" s="2"/>
      <c r="K98" s="2"/>
      <c r="L98" s="2"/>
      <c r="M98" s="2"/>
      <c r="N98" s="2"/>
      <c r="O98" s="2"/>
    </row>
    <row r="99" spans="2:15">
      <c r="B99" s="2"/>
      <c r="C99" s="2" t="s">
        <v>3935</v>
      </c>
      <c r="D99" s="2"/>
      <c r="E99" s="2"/>
      <c r="F99" s="2"/>
      <c r="G99" s="2"/>
      <c r="H99" s="2"/>
      <c r="I99" s="2"/>
      <c r="J99" s="2"/>
      <c r="K99" s="2"/>
      <c r="L99" s="2"/>
      <c r="M99" s="2"/>
      <c r="N99" s="2"/>
      <c r="O99" s="2"/>
    </row>
    <row r="100" spans="2:15">
      <c r="B100" s="2"/>
      <c r="C100" s="2" t="s">
        <v>3936</v>
      </c>
      <c r="D100" s="2"/>
      <c r="E100" s="2"/>
      <c r="F100" s="2"/>
      <c r="G100" s="2"/>
      <c r="H100" s="2"/>
      <c r="I100" s="2"/>
      <c r="J100" s="2"/>
      <c r="K100" s="2"/>
      <c r="L100" s="2"/>
      <c r="M100" s="2"/>
      <c r="N100" s="2"/>
      <c r="O100" s="2"/>
    </row>
    <row r="101" spans="2:15">
      <c r="B101" s="2" t="s">
        <v>3937</v>
      </c>
      <c r="C101" s="2"/>
      <c r="D101" s="2"/>
      <c r="E101" s="2"/>
      <c r="F101" s="2"/>
      <c r="G101" s="2"/>
      <c r="H101" s="2"/>
      <c r="I101" s="2"/>
      <c r="J101" s="2"/>
      <c r="K101" s="2"/>
      <c r="L101" s="2"/>
      <c r="M101" s="2"/>
      <c r="N101" s="2"/>
      <c r="O101" s="2"/>
    </row>
    <row r="102" spans="2:15">
      <c r="B102" s="2"/>
      <c r="C102" s="2" t="s">
        <v>3938</v>
      </c>
      <c r="D102" s="2"/>
      <c r="E102" s="2"/>
      <c r="F102" s="2"/>
      <c r="G102" s="2"/>
      <c r="H102" s="2"/>
      <c r="I102" s="2"/>
      <c r="J102" s="2"/>
      <c r="K102" s="2"/>
      <c r="L102" s="2"/>
      <c r="M102" s="2"/>
      <c r="N102" s="2"/>
      <c r="O102" s="2"/>
    </row>
    <row r="103" spans="2:15">
      <c r="B103" s="2"/>
      <c r="C103" s="2" t="s">
        <v>3939</v>
      </c>
      <c r="D103" s="2"/>
      <c r="E103" s="2"/>
      <c r="F103" s="2"/>
      <c r="G103" s="2"/>
      <c r="H103" s="2"/>
      <c r="I103" s="2"/>
      <c r="J103" s="2"/>
      <c r="K103" s="2"/>
      <c r="L103" s="2"/>
      <c r="M103" s="2"/>
      <c r="N103" s="2"/>
      <c r="O103" s="2"/>
    </row>
    <row r="104" spans="2:15">
      <c r="B104" s="2"/>
      <c r="C104" s="2" t="s">
        <v>3940</v>
      </c>
      <c r="D104" s="2"/>
      <c r="E104" s="2"/>
      <c r="F104" s="2"/>
      <c r="G104" s="2"/>
      <c r="H104" s="2"/>
      <c r="I104" s="2"/>
      <c r="J104" s="2"/>
      <c r="K104" s="2"/>
      <c r="L104" s="2"/>
      <c r="M104" s="2"/>
      <c r="N104" s="2"/>
      <c r="O104" s="2"/>
    </row>
    <row r="105" spans="2:15">
      <c r="B105" s="2"/>
      <c r="C105" s="2" t="s">
        <v>3941</v>
      </c>
      <c r="D105" s="2"/>
      <c r="E105" s="2"/>
      <c r="F105" s="2"/>
      <c r="G105" s="2"/>
      <c r="H105" s="2"/>
      <c r="I105" s="2"/>
      <c r="J105" s="2"/>
      <c r="K105" s="2"/>
      <c r="L105" s="2"/>
      <c r="M105" s="2"/>
      <c r="N105" s="2"/>
      <c r="O105" s="2"/>
    </row>
    <row r="106" spans="2:15">
      <c r="B106" s="2"/>
      <c r="C106" s="2" t="s">
        <v>3942</v>
      </c>
      <c r="D106" s="2"/>
      <c r="E106" s="2"/>
      <c r="F106" s="2"/>
      <c r="G106" s="2"/>
      <c r="H106" s="2"/>
      <c r="I106" s="2"/>
      <c r="J106" s="2"/>
      <c r="K106" s="2"/>
      <c r="L106" s="2"/>
      <c r="M106" s="2"/>
      <c r="N106" s="2"/>
      <c r="O106" s="2"/>
    </row>
    <row r="107" spans="2:15">
      <c r="B107" s="2" t="s">
        <v>3943</v>
      </c>
      <c r="C107" s="2"/>
      <c r="D107" s="2"/>
      <c r="E107" s="2"/>
      <c r="F107" s="2"/>
      <c r="G107" s="2"/>
      <c r="H107" s="2"/>
      <c r="I107" s="2"/>
      <c r="J107" s="2"/>
      <c r="K107" s="2"/>
      <c r="L107" s="2"/>
      <c r="M107" s="2"/>
      <c r="N107" s="2"/>
      <c r="O107" s="2"/>
    </row>
    <row r="108" spans="2:15">
      <c r="B108" s="2"/>
      <c r="C108" s="2" t="s">
        <v>3944</v>
      </c>
      <c r="D108" s="2"/>
      <c r="E108" s="2"/>
      <c r="F108" s="2"/>
      <c r="G108" s="2"/>
      <c r="H108" s="2"/>
      <c r="I108" s="2"/>
      <c r="J108" s="2"/>
      <c r="K108" s="2"/>
      <c r="L108" s="2"/>
      <c r="M108" s="2"/>
      <c r="N108" s="2"/>
      <c r="O108" s="2"/>
    </row>
    <row r="109" spans="2:15">
      <c r="B109" s="2"/>
      <c r="C109" s="2" t="s">
        <v>3945</v>
      </c>
      <c r="D109" s="2"/>
      <c r="E109" s="2"/>
      <c r="F109" s="2"/>
      <c r="G109" s="2"/>
      <c r="H109" s="2"/>
      <c r="I109" s="2"/>
      <c r="J109" s="2"/>
      <c r="K109" s="2"/>
      <c r="L109" s="2"/>
      <c r="M109" s="2"/>
      <c r="N109" s="2"/>
      <c r="O109" s="2"/>
    </row>
    <row r="110" spans="2:15">
      <c r="B110" s="2"/>
      <c r="C110" s="2" t="s">
        <v>3946</v>
      </c>
      <c r="D110" s="2"/>
      <c r="E110" s="2"/>
      <c r="F110" s="2"/>
      <c r="G110" s="2"/>
      <c r="H110" s="2"/>
      <c r="I110" s="2"/>
      <c r="J110" s="2"/>
      <c r="K110" s="2"/>
      <c r="L110" s="2"/>
      <c r="M110" s="2"/>
      <c r="N110" s="2"/>
      <c r="O110" s="2"/>
    </row>
    <row r="111" spans="2:15">
      <c r="B111" s="2"/>
      <c r="C111" s="2" t="s">
        <v>3947</v>
      </c>
      <c r="D111" s="2"/>
      <c r="E111" s="2"/>
      <c r="F111" s="2"/>
      <c r="G111" s="2"/>
      <c r="H111" s="2"/>
      <c r="I111" s="2"/>
      <c r="J111" s="2"/>
      <c r="K111" s="2"/>
      <c r="L111" s="2"/>
      <c r="M111" s="2"/>
      <c r="N111" s="2"/>
      <c r="O111" s="2"/>
    </row>
    <row r="112" spans="2:15">
      <c r="B112" s="2" t="s">
        <v>3948</v>
      </c>
      <c r="C112" s="2"/>
      <c r="D112" s="2"/>
      <c r="E112" s="2"/>
      <c r="F112" s="2"/>
      <c r="G112" s="2"/>
      <c r="H112" s="2"/>
      <c r="I112" s="2"/>
      <c r="J112" s="2"/>
      <c r="K112" s="2"/>
      <c r="L112" s="2"/>
      <c r="M112" s="2"/>
      <c r="N112" s="2"/>
      <c r="O112" s="2"/>
    </row>
    <row r="113" spans="2:15">
      <c r="B113" s="2" t="s">
        <v>3949</v>
      </c>
      <c r="C113" s="2"/>
      <c r="D113" s="2"/>
      <c r="E113" s="2"/>
      <c r="F113" s="2"/>
      <c r="G113" s="2"/>
      <c r="H113" s="2"/>
      <c r="I113" s="2"/>
      <c r="J113" s="2"/>
      <c r="K113" s="2"/>
      <c r="L113" s="2"/>
      <c r="M113" s="2"/>
      <c r="N113" s="2"/>
      <c r="O113" s="2"/>
    </row>
  </sheetData>
  <pageMargins left="0.75" right="0.75" top="1" bottom="1" header="0.5" footer="0.5"/>
  <pageSetup paperSize="9" orientation="portrait"/>
  <headerFooter/>
</worksheet>
</file>

<file path=xl/worksheets/sheet2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M65"/>
  <sheetViews>
    <sheetView topLeftCell="A22" workbookViewId="0">
      <selection activeCell="B50" sqref="B50"/>
    </sheetView>
  </sheetViews>
  <sheetFormatPr defaultColWidth="8.88888888888889" defaultRowHeight="14.4"/>
  <cols>
    <col min="1" max="1" width="9.66666666666667"/>
  </cols>
  <sheetData>
    <row r="1" spans="1:13">
      <c r="A1" s="1">
        <f>SUM(B1:AZ1)</f>
        <v>23.9166666666667</v>
      </c>
      <c r="B1" s="1">
        <f t="shared" ref="B1:H1" si="0">COUNTA(B2:B2189)/COLUMN()</f>
        <v>9</v>
      </c>
      <c r="C1" s="1">
        <f t="shared" si="0"/>
        <v>13.6666666666667</v>
      </c>
      <c r="D1" s="1">
        <f t="shared" si="0"/>
        <v>1.25</v>
      </c>
      <c r="E1" s="1">
        <f t="shared" si="0"/>
        <v>0</v>
      </c>
      <c r="F1" s="1">
        <f t="shared" si="0"/>
        <v>0</v>
      </c>
      <c r="G1" s="1">
        <f t="shared" si="0"/>
        <v>0</v>
      </c>
      <c r="H1" s="1">
        <f t="shared" si="0"/>
        <v>0</v>
      </c>
    </row>
    <row r="2" spans="1:13">
      <c r="A2" t="str" cm="1">
        <f ca="1" t="array" ref="A2">_wpsfn.SHEETSNAME(A1)</f>
        <v>20251124</v>
      </c>
      <c r="B2" s="2" t="s">
        <v>3950</v>
      </c>
      <c r="C2" s="2"/>
      <c r="D2" s="2"/>
      <c r="E2" s="2"/>
      <c r="F2" s="2"/>
      <c r="G2" s="2"/>
      <c r="H2" s="2"/>
      <c r="I2" s="2"/>
      <c r="J2" s="2"/>
      <c r="K2" s="2"/>
      <c r="L2" s="2"/>
      <c r="M2" s="2"/>
    </row>
    <row r="3" spans="1:13">
      <c r="B3" s="2"/>
      <c r="C3" s="2" t="s">
        <v>3951</v>
      </c>
      <c r="D3" s="2"/>
      <c r="E3" s="2"/>
      <c r="F3" s="2"/>
      <c r="G3" s="2"/>
      <c r="H3" s="2"/>
      <c r="I3" s="2"/>
      <c r="J3" s="2"/>
      <c r="K3" s="2"/>
      <c r="L3" s="2"/>
      <c r="M3" s="2"/>
    </row>
    <row r="4" spans="1:13">
      <c r="B4" s="2"/>
      <c r="C4" s="2" t="s">
        <v>3952</v>
      </c>
      <c r="D4" s="2"/>
      <c r="E4" s="2"/>
      <c r="F4" s="2"/>
      <c r="G4" s="2"/>
      <c r="H4" s="2"/>
      <c r="I4" s="2"/>
      <c r="J4" s="2"/>
      <c r="K4" s="2"/>
      <c r="L4" s="2"/>
      <c r="M4" s="2"/>
    </row>
    <row r="5" spans="1:13">
      <c r="B5" s="2" t="s">
        <v>3953</v>
      </c>
      <c r="C5" s="2"/>
      <c r="D5" s="2"/>
      <c r="E5" s="2"/>
      <c r="F5" s="2"/>
      <c r="G5" s="2"/>
      <c r="H5" s="2"/>
      <c r="I5" s="2"/>
      <c r="J5" s="2"/>
      <c r="K5" s="2"/>
      <c r="L5" s="2"/>
      <c r="M5" s="2"/>
    </row>
    <row r="6" spans="1:13">
      <c r="B6" s="2"/>
      <c r="C6" s="2" t="s">
        <v>3954</v>
      </c>
      <c r="D6" s="2"/>
      <c r="E6" s="2"/>
      <c r="F6" s="2"/>
      <c r="G6" s="2"/>
      <c r="H6" s="2"/>
      <c r="I6" s="2"/>
      <c r="J6" s="2"/>
      <c r="K6" s="2"/>
      <c r="L6" s="2"/>
      <c r="M6" s="2"/>
    </row>
    <row r="7" spans="1:13">
      <c r="B7" s="2"/>
      <c r="C7" s="2" t="s">
        <v>3955</v>
      </c>
      <c r="D7" s="2"/>
      <c r="E7" s="2"/>
      <c r="F7" s="2"/>
      <c r="G7" s="2"/>
      <c r="H7" s="2"/>
      <c r="I7" s="2"/>
      <c r="J7" s="2"/>
      <c r="K7" s="2"/>
      <c r="L7" s="2"/>
      <c r="M7" s="2"/>
    </row>
    <row r="8" spans="1:13">
      <c r="B8" s="2"/>
      <c r="C8" s="2" t="s">
        <v>3956</v>
      </c>
      <c r="D8" s="2"/>
      <c r="E8" s="2"/>
      <c r="F8" s="2"/>
      <c r="G8" s="2"/>
      <c r="H8" s="2"/>
      <c r="I8" s="2"/>
      <c r="J8" s="2"/>
      <c r="K8" s="2"/>
      <c r="L8" s="2"/>
      <c r="M8" s="2"/>
    </row>
    <row r="9" spans="1:13">
      <c r="B9" s="2"/>
      <c r="C9" s="2"/>
      <c r="D9" s="2" t="s">
        <v>3957</v>
      </c>
      <c r="E9" s="2"/>
      <c r="F9" s="2"/>
      <c r="G9" s="2"/>
      <c r="H9" s="2"/>
      <c r="I9" s="2"/>
      <c r="J9" s="2"/>
      <c r="K9" s="2"/>
      <c r="L9" s="2"/>
      <c r="M9" s="2"/>
    </row>
    <row r="10" spans="1:13">
      <c r="B10" s="2"/>
      <c r="C10" s="2"/>
      <c r="D10" s="2" t="s">
        <v>3958</v>
      </c>
      <c r="E10" s="2"/>
      <c r="F10" s="2"/>
      <c r="G10" s="2"/>
      <c r="H10" s="2"/>
      <c r="I10" s="2"/>
      <c r="J10" s="2"/>
      <c r="K10" s="2"/>
      <c r="L10" s="2"/>
      <c r="M10" s="2"/>
    </row>
    <row r="11" spans="1:13">
      <c r="B11" s="2"/>
      <c r="C11" s="2"/>
      <c r="D11" s="2" t="s">
        <v>3959</v>
      </c>
      <c r="E11" s="2"/>
      <c r="F11" s="2"/>
      <c r="G11" s="2"/>
      <c r="H11" s="2"/>
      <c r="I11" s="2"/>
      <c r="J11" s="2"/>
      <c r="K11" s="2"/>
      <c r="L11" s="2"/>
      <c r="M11" s="2"/>
    </row>
    <row r="12" spans="1:13">
      <c r="B12" s="2" t="s">
        <v>3960</v>
      </c>
      <c r="C12" s="2"/>
      <c r="D12" s="2"/>
      <c r="E12" s="2"/>
      <c r="F12" s="2"/>
      <c r="G12" s="2"/>
      <c r="H12" s="2"/>
      <c r="I12" s="2"/>
      <c r="J12" s="2"/>
      <c r="K12" s="2"/>
      <c r="L12" s="2"/>
      <c r="M12" s="2"/>
    </row>
    <row r="13" spans="1:13">
      <c r="B13" s="2" t="s">
        <v>3961</v>
      </c>
      <c r="C13" s="2"/>
      <c r="D13" s="2"/>
      <c r="E13" s="2"/>
      <c r="F13" s="2"/>
      <c r="G13" s="2"/>
      <c r="H13" s="2"/>
      <c r="I13" s="2"/>
      <c r="J13" s="2"/>
      <c r="K13" s="2"/>
      <c r="L13" s="2"/>
      <c r="M13" s="2"/>
    </row>
    <row r="14" spans="1:13">
      <c r="B14" s="2"/>
      <c r="C14" s="2" t="s">
        <v>3962</v>
      </c>
      <c r="D14" s="2"/>
      <c r="E14" s="2"/>
      <c r="F14" s="2"/>
      <c r="G14" s="2"/>
      <c r="H14" s="2"/>
      <c r="I14" s="2"/>
      <c r="J14" s="2"/>
      <c r="K14" s="2"/>
      <c r="L14" s="2"/>
      <c r="M14" s="2"/>
    </row>
    <row r="15" spans="1:13">
      <c r="B15" s="2"/>
      <c r="C15" s="2" t="s">
        <v>3963</v>
      </c>
      <c r="D15" s="2"/>
      <c r="E15" s="2"/>
      <c r="F15" s="2"/>
      <c r="G15" s="2"/>
      <c r="H15" s="2"/>
      <c r="I15" s="2"/>
      <c r="J15" s="2"/>
      <c r="K15" s="2"/>
      <c r="L15" s="2"/>
      <c r="M15" s="2"/>
    </row>
    <row r="16" spans="1:13">
      <c r="B16" s="2"/>
      <c r="C16" s="2" t="s">
        <v>3964</v>
      </c>
      <c r="D16" s="2"/>
      <c r="E16" s="2"/>
      <c r="F16" s="2"/>
      <c r="G16" s="2"/>
      <c r="H16" s="2"/>
      <c r="I16" s="2"/>
      <c r="J16" s="2"/>
      <c r="K16" s="2"/>
      <c r="L16" s="2"/>
      <c r="M16" s="2"/>
    </row>
    <row r="17" spans="2:13">
      <c r="B17" s="2" t="s">
        <v>3965</v>
      </c>
      <c r="C17" s="2"/>
      <c r="D17" s="2"/>
      <c r="E17" s="2"/>
      <c r="F17" s="2"/>
      <c r="G17" s="2"/>
      <c r="H17" s="2"/>
      <c r="I17" s="2"/>
      <c r="J17" s="2"/>
      <c r="K17" s="2"/>
      <c r="L17" s="2"/>
      <c r="M17" s="2"/>
    </row>
    <row r="18" spans="2:13">
      <c r="B18" s="2"/>
      <c r="C18" s="2" t="s">
        <v>3966</v>
      </c>
      <c r="D18" s="2"/>
      <c r="E18" s="2"/>
      <c r="F18" s="2"/>
      <c r="G18" s="2"/>
      <c r="H18" s="2"/>
      <c r="I18" s="2"/>
      <c r="J18" s="2"/>
      <c r="K18" s="2"/>
      <c r="L18" s="2"/>
      <c r="M18" s="2"/>
    </row>
    <row r="19" spans="2:13">
      <c r="B19" s="2"/>
      <c r="C19" s="2" t="s">
        <v>3967</v>
      </c>
      <c r="D19" s="2"/>
      <c r="E19" s="2"/>
      <c r="F19" s="2"/>
      <c r="G19" s="2"/>
      <c r="H19" s="2"/>
      <c r="I19" s="2"/>
      <c r="J19" s="2"/>
      <c r="K19" s="2"/>
      <c r="L19" s="2"/>
      <c r="M19" s="2"/>
    </row>
    <row r="20" spans="2:13">
      <c r="B20" s="2"/>
      <c r="C20" s="2" t="s">
        <v>3968</v>
      </c>
      <c r="D20" s="2"/>
      <c r="E20" s="2"/>
      <c r="F20" s="2"/>
      <c r="G20" s="2"/>
      <c r="H20" s="2"/>
      <c r="I20" s="2"/>
      <c r="J20" s="2"/>
      <c r="K20" s="2"/>
      <c r="L20" s="2"/>
      <c r="M20" s="2"/>
    </row>
    <row r="21" spans="2:13">
      <c r="B21" s="2"/>
      <c r="C21" s="2"/>
      <c r="D21" s="2" t="s">
        <v>3969</v>
      </c>
      <c r="E21" s="2"/>
      <c r="F21" s="2"/>
      <c r="G21" s="2"/>
      <c r="H21" s="2"/>
      <c r="I21" s="2"/>
      <c r="J21" s="2"/>
      <c r="K21" s="2"/>
      <c r="L21" s="2"/>
      <c r="M21" s="2"/>
    </row>
    <row r="22" spans="2:13">
      <c r="B22" s="2"/>
      <c r="C22" s="2"/>
      <c r="D22" s="2" t="s">
        <v>3970</v>
      </c>
      <c r="E22" s="2"/>
      <c r="F22" s="2"/>
      <c r="G22" s="2"/>
      <c r="H22" s="2"/>
      <c r="I22" s="2"/>
      <c r="J22" s="2"/>
      <c r="K22" s="2"/>
      <c r="L22" s="2"/>
      <c r="M22" s="2"/>
    </row>
    <row r="23" spans="2:13">
      <c r="B23" s="2" t="s">
        <v>3971</v>
      </c>
      <c r="C23" s="2"/>
      <c r="D23" s="2"/>
      <c r="E23" s="2"/>
      <c r="F23" s="2"/>
      <c r="G23" s="2"/>
      <c r="H23" s="2"/>
      <c r="I23" s="2"/>
      <c r="J23" s="2"/>
      <c r="K23" s="2"/>
      <c r="L23" s="2"/>
      <c r="M23" s="2"/>
    </row>
    <row r="24" spans="2:13">
      <c r="B24" s="2" t="s">
        <v>3972</v>
      </c>
      <c r="C24" s="2"/>
      <c r="D24" s="2"/>
      <c r="E24" s="2"/>
      <c r="F24" s="2"/>
      <c r="G24" s="2"/>
      <c r="H24" s="2"/>
      <c r="I24" s="2"/>
      <c r="J24" s="2"/>
      <c r="K24" s="2"/>
      <c r="L24" s="2"/>
      <c r="M24" s="2"/>
    </row>
    <row r="25" spans="2:13">
      <c r="B25" s="2" t="s">
        <v>3973</v>
      </c>
      <c r="C25" s="2"/>
      <c r="D25" s="2"/>
      <c r="E25" s="2"/>
      <c r="F25" s="2"/>
      <c r="G25" s="2"/>
      <c r="H25" s="2"/>
      <c r="I25" s="2"/>
      <c r="J25" s="2"/>
      <c r="K25" s="2"/>
      <c r="L25" s="2"/>
      <c r="M25" s="2"/>
    </row>
    <row r="26" spans="2:13">
      <c r="B26" s="2"/>
      <c r="C26" s="2" t="s">
        <v>3974</v>
      </c>
      <c r="D26" s="2"/>
      <c r="E26" s="2"/>
      <c r="F26" s="2"/>
      <c r="G26" s="2"/>
      <c r="H26" s="2"/>
      <c r="I26" s="2"/>
      <c r="J26" s="2"/>
      <c r="K26" s="2"/>
      <c r="L26" s="2"/>
      <c r="M26" s="2"/>
    </row>
    <row r="27" spans="2:13">
      <c r="B27" s="2"/>
      <c r="C27" s="2" t="s">
        <v>3975</v>
      </c>
      <c r="D27" s="2"/>
      <c r="E27" s="2"/>
      <c r="F27" s="2"/>
      <c r="G27" s="2"/>
      <c r="H27" s="2"/>
      <c r="I27" s="2"/>
      <c r="J27" s="2"/>
      <c r="K27" s="2"/>
      <c r="L27" s="2"/>
      <c r="M27" s="2"/>
    </row>
    <row r="28" spans="2:13">
      <c r="B28" s="2" t="s">
        <v>3976</v>
      </c>
      <c r="C28" s="2"/>
      <c r="D28" s="2"/>
      <c r="E28" s="2"/>
      <c r="F28" s="2"/>
      <c r="G28" s="2"/>
      <c r="H28" s="2"/>
      <c r="I28" s="2"/>
      <c r="J28" s="2"/>
      <c r="K28" s="2"/>
      <c r="L28" s="2"/>
      <c r="M28" s="2"/>
    </row>
    <row r="29" spans="2:13">
      <c r="B29" s="2"/>
      <c r="C29" s="2" t="s">
        <v>3977</v>
      </c>
      <c r="D29" s="2"/>
      <c r="E29" s="2"/>
      <c r="F29" s="2"/>
      <c r="G29" s="2"/>
      <c r="H29" s="2"/>
      <c r="I29" s="2"/>
      <c r="J29" s="2"/>
      <c r="K29" s="2"/>
      <c r="L29" s="2"/>
      <c r="M29" s="2"/>
    </row>
    <row r="30" spans="2:13">
      <c r="B30" s="2"/>
      <c r="C30" s="2" t="s">
        <v>3978</v>
      </c>
      <c r="D30" s="2"/>
      <c r="E30" s="2"/>
      <c r="F30" s="2"/>
      <c r="G30" s="2"/>
      <c r="H30" s="2"/>
      <c r="I30" s="2"/>
      <c r="J30" s="2"/>
      <c r="K30" s="2"/>
      <c r="L30" s="2"/>
      <c r="M30" s="2"/>
    </row>
    <row r="31" spans="2:13">
      <c r="B31" s="2"/>
      <c r="C31" s="2" t="s">
        <v>3979</v>
      </c>
      <c r="D31" s="2"/>
      <c r="E31" s="2"/>
      <c r="F31" s="2"/>
      <c r="G31" s="2"/>
      <c r="H31" s="2"/>
      <c r="I31" s="2"/>
      <c r="J31" s="2"/>
      <c r="K31" s="2"/>
      <c r="L31" s="2"/>
      <c r="M31" s="2"/>
    </row>
    <row r="32" spans="2:13">
      <c r="B32" s="2"/>
      <c r="C32" s="2" t="s">
        <v>3980</v>
      </c>
      <c r="D32" s="2"/>
      <c r="E32" s="2"/>
      <c r="F32" s="2"/>
      <c r="G32" s="2"/>
      <c r="H32" s="2"/>
      <c r="I32" s="2"/>
      <c r="J32" s="2"/>
      <c r="K32" s="2"/>
      <c r="L32" s="2"/>
      <c r="M32" s="2"/>
    </row>
    <row r="33" spans="2:13">
      <c r="B33" s="2"/>
      <c r="C33" s="2" t="s">
        <v>3981</v>
      </c>
      <c r="D33" s="2"/>
      <c r="E33" s="2"/>
      <c r="F33" s="2"/>
      <c r="G33" s="2"/>
      <c r="H33" s="2"/>
      <c r="I33" s="2"/>
      <c r="J33" s="2"/>
      <c r="K33" s="2"/>
      <c r="L33" s="2"/>
      <c r="M33" s="2"/>
    </row>
    <row r="34" spans="2:13">
      <c r="B34" s="2" t="s">
        <v>3982</v>
      </c>
      <c r="C34" s="2"/>
      <c r="D34" s="2"/>
      <c r="E34" s="2"/>
      <c r="F34" s="2"/>
      <c r="G34" s="2"/>
      <c r="H34" s="2"/>
      <c r="I34" s="2"/>
      <c r="J34" s="2"/>
      <c r="K34" s="2"/>
      <c r="L34" s="2"/>
      <c r="M34" s="2"/>
    </row>
    <row r="35" spans="2:13">
      <c r="B35" s="2"/>
      <c r="C35" s="2" t="s">
        <v>3983</v>
      </c>
      <c r="D35" s="2"/>
      <c r="E35" s="2"/>
      <c r="F35" s="2"/>
      <c r="G35" s="2"/>
      <c r="H35" s="2"/>
      <c r="I35" s="2"/>
      <c r="J35" s="2"/>
      <c r="K35" s="2"/>
      <c r="L35" s="2"/>
      <c r="M35" s="2"/>
    </row>
    <row r="36" spans="2:13">
      <c r="B36" s="2"/>
      <c r="C36" s="2" t="s">
        <v>3984</v>
      </c>
      <c r="D36" s="2"/>
      <c r="E36" s="2"/>
      <c r="F36" s="2"/>
      <c r="G36" s="2"/>
      <c r="H36" s="2"/>
      <c r="I36" s="2"/>
      <c r="J36" s="2"/>
      <c r="K36" s="2"/>
      <c r="L36" s="2"/>
      <c r="M36" s="2"/>
    </row>
    <row r="37" spans="2:13">
      <c r="B37" s="2"/>
      <c r="C37" s="2" t="s">
        <v>3985</v>
      </c>
      <c r="D37" s="2"/>
      <c r="E37" s="2"/>
      <c r="F37" s="2"/>
      <c r="G37" s="2"/>
      <c r="H37" s="2"/>
      <c r="I37" s="2"/>
      <c r="J37" s="2"/>
      <c r="K37" s="2"/>
      <c r="L37" s="2"/>
      <c r="M37" s="2"/>
    </row>
    <row r="38" spans="2:13">
      <c r="B38" s="2" t="s">
        <v>3986</v>
      </c>
      <c r="C38" s="2"/>
      <c r="D38" s="2"/>
      <c r="E38" s="2"/>
      <c r="F38" s="2"/>
      <c r="G38" s="2"/>
      <c r="H38" s="2"/>
      <c r="I38" s="2"/>
      <c r="J38" s="2"/>
      <c r="K38" s="2"/>
      <c r="L38" s="2"/>
      <c r="M38" s="2"/>
    </row>
    <row r="39" spans="2:13">
      <c r="B39" s="2"/>
      <c r="C39" s="2" t="s">
        <v>3987</v>
      </c>
      <c r="D39" s="2"/>
      <c r="E39" s="2"/>
      <c r="F39" s="2"/>
      <c r="G39" s="2"/>
      <c r="H39" s="2"/>
      <c r="I39" s="2"/>
      <c r="J39" s="2"/>
      <c r="K39" s="2"/>
      <c r="L39" s="2"/>
      <c r="M39" s="2"/>
    </row>
    <row r="40" spans="2:13">
      <c r="B40" s="2"/>
      <c r="C40" s="2" t="s">
        <v>3988</v>
      </c>
      <c r="D40" s="2"/>
      <c r="E40" s="2"/>
      <c r="F40" s="2"/>
      <c r="G40" s="2"/>
      <c r="H40" s="2"/>
      <c r="I40" s="2"/>
      <c r="J40" s="2"/>
      <c r="K40" s="2"/>
      <c r="L40" s="2"/>
      <c r="M40" s="2"/>
    </row>
    <row r="41" spans="2:13">
      <c r="B41" s="2"/>
      <c r="C41" s="2" t="s">
        <v>3989</v>
      </c>
      <c r="D41" s="2"/>
      <c r="E41" s="2"/>
      <c r="F41" s="2"/>
      <c r="G41" s="2"/>
      <c r="H41" s="2"/>
      <c r="I41" s="2"/>
      <c r="J41" s="2"/>
      <c r="K41" s="2"/>
      <c r="L41" s="2"/>
      <c r="M41" s="2"/>
    </row>
    <row r="42" spans="2:13">
      <c r="B42" s="2" t="s">
        <v>3990</v>
      </c>
      <c r="C42" s="2"/>
      <c r="D42" s="2"/>
      <c r="E42" s="2"/>
      <c r="F42" s="2"/>
      <c r="G42" s="2"/>
      <c r="H42" s="2"/>
      <c r="I42" s="2"/>
      <c r="J42" s="2"/>
      <c r="K42" s="2"/>
      <c r="L42" s="2"/>
      <c r="M42" s="2"/>
    </row>
    <row r="43" spans="2:13">
      <c r="B43" s="2"/>
      <c r="C43" s="2" t="s">
        <v>3991</v>
      </c>
      <c r="D43" s="2"/>
      <c r="E43" s="2"/>
      <c r="F43" s="2"/>
      <c r="G43" s="2"/>
      <c r="H43" s="2"/>
      <c r="I43" s="2"/>
      <c r="J43" s="2"/>
      <c r="K43" s="2"/>
      <c r="L43" s="2"/>
      <c r="M43" s="2"/>
    </row>
    <row r="44" spans="2:13">
      <c r="B44" s="2"/>
      <c r="C44" s="2" t="s">
        <v>3992</v>
      </c>
      <c r="D44" s="2"/>
      <c r="E44" s="2"/>
      <c r="F44" s="2"/>
      <c r="G44" s="2"/>
      <c r="H44" s="2"/>
      <c r="I44" s="2"/>
      <c r="J44" s="2"/>
      <c r="K44" s="2"/>
      <c r="L44" s="2"/>
      <c r="M44" s="2"/>
    </row>
    <row r="45" spans="2:13">
      <c r="B45" s="2"/>
      <c r="C45" s="2" t="s">
        <v>3993</v>
      </c>
      <c r="D45" s="2"/>
      <c r="E45" s="2"/>
      <c r="F45" s="2"/>
      <c r="G45" s="2"/>
      <c r="H45" s="2"/>
      <c r="I45" s="2"/>
      <c r="J45" s="2"/>
      <c r="K45" s="2"/>
      <c r="L45" s="2"/>
      <c r="M45" s="2"/>
    </row>
    <row r="46" spans="2:13">
      <c r="B46" s="2" t="s">
        <v>3994</v>
      </c>
      <c r="C46" s="2"/>
      <c r="D46" s="2"/>
      <c r="E46" s="2"/>
      <c r="F46" s="2"/>
      <c r="G46" s="2"/>
      <c r="H46" s="2"/>
      <c r="I46" s="2"/>
      <c r="J46" s="2"/>
      <c r="K46" s="2"/>
      <c r="L46" s="2"/>
      <c r="M46" s="2"/>
    </row>
    <row r="47" spans="2:13">
      <c r="B47" s="2"/>
      <c r="C47" s="2" t="s">
        <v>3995</v>
      </c>
      <c r="D47" s="2"/>
      <c r="E47" s="2"/>
      <c r="F47" s="2"/>
      <c r="G47" s="2"/>
      <c r="H47" s="2"/>
      <c r="I47" s="2"/>
      <c r="J47" s="2"/>
      <c r="K47" s="2"/>
      <c r="L47" s="2"/>
      <c r="M47" s="2"/>
    </row>
    <row r="48" spans="2:13">
      <c r="B48" s="2"/>
      <c r="C48" s="2" t="s">
        <v>3996</v>
      </c>
      <c r="D48" s="2"/>
      <c r="E48" s="2"/>
      <c r="F48" s="2"/>
      <c r="G48" s="2"/>
      <c r="H48" s="2"/>
      <c r="I48" s="2"/>
      <c r="J48" s="2"/>
      <c r="K48" s="2"/>
      <c r="L48" s="2"/>
      <c r="M48" s="2"/>
    </row>
    <row r="49" spans="2:13">
      <c r="B49" s="2"/>
      <c r="C49" s="2" t="s">
        <v>3997</v>
      </c>
      <c r="D49" s="2"/>
      <c r="E49" s="2"/>
      <c r="F49" s="2"/>
      <c r="G49" s="2"/>
      <c r="H49" s="2"/>
      <c r="I49" s="2"/>
      <c r="J49" s="2"/>
      <c r="K49" s="2"/>
      <c r="L49" s="2"/>
      <c r="M49" s="2"/>
    </row>
    <row r="50" spans="2:13">
      <c r="B50" s="2" t="s">
        <v>3998</v>
      </c>
      <c r="C50" s="2"/>
      <c r="D50" s="2"/>
      <c r="E50" s="2"/>
      <c r="F50" s="2"/>
      <c r="G50" s="2"/>
      <c r="H50" s="2"/>
      <c r="I50" s="2"/>
      <c r="J50" s="2"/>
      <c r="K50" s="2"/>
      <c r="L50" s="2"/>
      <c r="M50" s="2"/>
    </row>
    <row r="51" spans="2:13">
      <c r="B51" s="2"/>
      <c r="C51" s="2" t="s">
        <v>3999</v>
      </c>
      <c r="D51" s="2"/>
      <c r="E51" s="2"/>
      <c r="F51" s="2"/>
      <c r="G51" s="2"/>
      <c r="H51" s="2"/>
      <c r="I51" s="2"/>
      <c r="J51" s="2"/>
      <c r="K51" s="2"/>
      <c r="L51" s="2"/>
      <c r="M51" s="2"/>
    </row>
    <row r="52" spans="2:13">
      <c r="B52" s="2"/>
      <c r="C52" s="2" t="s">
        <v>4000</v>
      </c>
      <c r="D52" s="2"/>
      <c r="E52" s="2"/>
      <c r="F52" s="2"/>
      <c r="G52" s="2"/>
      <c r="H52" s="2"/>
      <c r="I52" s="2"/>
      <c r="J52" s="2"/>
      <c r="K52" s="2"/>
      <c r="L52" s="2"/>
      <c r="M52" s="2"/>
    </row>
    <row r="53" spans="2:13">
      <c r="B53" s="2"/>
      <c r="C53" s="2" t="s">
        <v>4001</v>
      </c>
      <c r="D53" s="2"/>
      <c r="E53" s="2"/>
      <c r="F53" s="2"/>
      <c r="G53" s="2"/>
      <c r="H53" s="2"/>
      <c r="I53" s="2"/>
      <c r="J53" s="2"/>
      <c r="K53" s="2"/>
      <c r="L53" s="2"/>
      <c r="M53" s="2"/>
    </row>
    <row r="54" spans="2:13">
      <c r="B54" s="2"/>
      <c r="C54" s="2" t="s">
        <v>4002</v>
      </c>
      <c r="D54" s="2"/>
      <c r="E54" s="2"/>
      <c r="F54" s="2"/>
      <c r="G54" s="2"/>
      <c r="H54" s="2"/>
      <c r="I54" s="2"/>
      <c r="J54" s="2"/>
      <c r="K54" s="2"/>
      <c r="L54" s="2"/>
      <c r="M54" s="2"/>
    </row>
    <row r="55" spans="2:13">
      <c r="B55" s="2" t="s">
        <v>4003</v>
      </c>
      <c r="C55" s="2"/>
      <c r="D55" s="2"/>
      <c r="E55" s="2"/>
      <c r="F55" s="2"/>
      <c r="G55" s="2"/>
      <c r="H55" s="2"/>
      <c r="I55" s="2"/>
      <c r="J55" s="2"/>
      <c r="K55" s="2"/>
      <c r="L55" s="2"/>
      <c r="M55" s="2"/>
    </row>
    <row r="56" spans="2:13">
      <c r="B56" s="2"/>
      <c r="C56" s="2" t="s">
        <v>4004</v>
      </c>
      <c r="D56" s="2"/>
      <c r="E56" s="2"/>
      <c r="F56" s="2"/>
      <c r="G56" s="2"/>
      <c r="H56" s="2"/>
      <c r="I56" s="2"/>
      <c r="J56" s="2"/>
      <c r="K56" s="2"/>
      <c r="L56" s="2"/>
      <c r="M56" s="2"/>
    </row>
    <row r="57" spans="2:13">
      <c r="B57" s="2"/>
      <c r="C57" s="2" t="s">
        <v>4005</v>
      </c>
      <c r="D57" s="2"/>
      <c r="E57" s="2"/>
      <c r="F57" s="2"/>
      <c r="G57" s="2"/>
      <c r="H57" s="2"/>
      <c r="I57" s="2"/>
      <c r="J57" s="2"/>
      <c r="K57" s="2"/>
      <c r="L57" s="2"/>
      <c r="M57" s="2"/>
    </row>
    <row r="58" spans="2:13">
      <c r="B58" s="2"/>
      <c r="C58" s="2" t="s">
        <v>4006</v>
      </c>
      <c r="D58" s="2"/>
      <c r="E58" s="2"/>
      <c r="F58" s="2"/>
      <c r="G58" s="2"/>
      <c r="H58" s="2"/>
      <c r="I58" s="2"/>
      <c r="J58" s="2"/>
      <c r="K58" s="2"/>
      <c r="L58" s="2"/>
      <c r="M58" s="2"/>
    </row>
    <row r="59" spans="2:13">
      <c r="B59" s="2" t="s">
        <v>4007</v>
      </c>
      <c r="C59" s="2"/>
      <c r="D59" s="2"/>
      <c r="E59" s="2"/>
      <c r="F59" s="2"/>
      <c r="G59" s="2"/>
      <c r="H59" s="2"/>
      <c r="I59" s="2"/>
      <c r="J59" s="2"/>
      <c r="K59" s="2"/>
      <c r="L59" s="2"/>
      <c r="M59" s="2"/>
    </row>
    <row r="60" spans="2:13">
      <c r="B60" s="2"/>
      <c r="C60" s="2" t="s">
        <v>4008</v>
      </c>
      <c r="D60" s="2"/>
      <c r="E60" s="2"/>
      <c r="F60" s="2"/>
      <c r="G60" s="2"/>
      <c r="H60" s="2"/>
      <c r="I60" s="2"/>
      <c r="J60" s="2"/>
      <c r="K60" s="2"/>
      <c r="L60" s="2"/>
      <c r="M60" s="2"/>
    </row>
    <row r="61" spans="2:13">
      <c r="B61" s="2"/>
      <c r="C61" s="2" t="s">
        <v>4009</v>
      </c>
      <c r="D61" s="2"/>
      <c r="E61" s="2"/>
      <c r="F61" s="2"/>
      <c r="G61" s="2"/>
      <c r="H61" s="2"/>
      <c r="I61" s="2"/>
      <c r="J61" s="2"/>
      <c r="K61" s="2"/>
      <c r="L61" s="2"/>
      <c r="M61" s="2"/>
    </row>
    <row r="62" spans="2:13">
      <c r="B62" s="2"/>
      <c r="C62" s="2" t="s">
        <v>4010</v>
      </c>
      <c r="D62" s="2"/>
      <c r="E62" s="2"/>
      <c r="F62" s="2"/>
      <c r="G62" s="2"/>
      <c r="H62" s="2"/>
      <c r="I62" s="2"/>
      <c r="J62" s="2"/>
      <c r="K62" s="2"/>
      <c r="L62" s="2"/>
      <c r="M62" s="2"/>
    </row>
    <row r="63" spans="2:13">
      <c r="B63" s="2" t="s">
        <v>4011</v>
      </c>
      <c r="C63" s="2"/>
      <c r="D63" s="2"/>
      <c r="E63" s="2"/>
      <c r="F63" s="2"/>
      <c r="G63" s="2"/>
      <c r="H63" s="2"/>
      <c r="I63" s="2"/>
      <c r="J63" s="2"/>
      <c r="K63" s="2"/>
      <c r="L63" s="2"/>
      <c r="M63" s="2"/>
    </row>
    <row r="64" spans="2:13">
      <c r="B64" s="2" t="s">
        <v>4012</v>
      </c>
      <c r="C64" s="2"/>
      <c r="D64" s="2"/>
      <c r="E64" s="2"/>
      <c r="F64" s="2"/>
      <c r="G64" s="2"/>
      <c r="H64" s="2"/>
      <c r="I64" s="2"/>
      <c r="J64" s="2"/>
      <c r="K64" s="2"/>
      <c r="L64" s="2"/>
      <c r="M64" s="2"/>
    </row>
    <row r="65" spans="2:13">
      <c r="B65" s="2"/>
      <c r="C65" s="2" t="s">
        <v>4013</v>
      </c>
      <c r="D65" s="2"/>
      <c r="E65" s="2"/>
      <c r="F65" s="2"/>
      <c r="G65" s="2"/>
      <c r="H65" s="2"/>
      <c r="I65" s="2"/>
      <c r="J65" s="2"/>
      <c r="K65" s="2"/>
      <c r="L65" s="2"/>
      <c r="M65" s="2"/>
    </row>
  </sheetData>
  <pageMargins left="0.75" right="0.75" top="1" bottom="1" header="0.5" footer="0.5"/>
  <pageSetup paperSize="9" orientation="portrait"/>
  <headerFooter/>
</worksheet>
</file>

<file path=xl/worksheets/sheet2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L25"/>
  <sheetViews>
    <sheetView workbookViewId="0">
      <selection activeCell="C22" sqref="C22"/>
    </sheetView>
  </sheetViews>
  <sheetFormatPr defaultColWidth="8.88888888888889" defaultRowHeight="14.4"/>
  <cols>
    <col min="1" max="1" width="9.66666666666667"/>
  </cols>
  <sheetData>
    <row r="1" spans="1:12">
      <c r="A1" s="1">
        <f>SUM(B1:AZ1)</f>
        <v>8.66666666666667</v>
      </c>
      <c r="B1" s="1">
        <f t="shared" ref="B1:H1" si="0">COUNTA(B2:B2189)/COLUMN()</f>
        <v>3</v>
      </c>
      <c r="C1" s="1">
        <f t="shared" si="0"/>
        <v>4.66666666666667</v>
      </c>
      <c r="D1" s="1">
        <f t="shared" si="0"/>
        <v>1</v>
      </c>
      <c r="E1" s="1">
        <f t="shared" si="0"/>
        <v>0</v>
      </c>
      <c r="F1" s="1">
        <f t="shared" si="0"/>
        <v>0</v>
      </c>
      <c r="G1" s="1">
        <f t="shared" si="0"/>
        <v>0</v>
      </c>
      <c r="H1" s="1">
        <f t="shared" si="0"/>
        <v>0</v>
      </c>
    </row>
    <row r="2" spans="1:12">
      <c r="A2" t="str" cm="1">
        <f ca="1" t="array" ref="A2">_wpsfn.SHEETSNAME(A1)</f>
        <v>20251125</v>
      </c>
      <c r="B2" s="2" t="s">
        <v>4014</v>
      </c>
      <c r="C2" s="2"/>
      <c r="D2" s="2"/>
      <c r="E2" s="2"/>
      <c r="F2" s="2"/>
      <c r="G2" s="2"/>
      <c r="H2" s="2"/>
      <c r="I2" s="2"/>
      <c r="J2" s="2"/>
      <c r="K2" s="2"/>
      <c r="L2" s="2"/>
    </row>
    <row r="3" spans="1:12">
      <c r="B3" s="2" t="s">
        <v>4015</v>
      </c>
      <c r="C3" s="2"/>
      <c r="D3" s="2"/>
      <c r="E3" s="2"/>
      <c r="F3" s="2"/>
      <c r="G3" s="2"/>
      <c r="H3" s="2"/>
      <c r="I3" s="2"/>
      <c r="J3" s="2"/>
      <c r="K3" s="2"/>
      <c r="L3" s="2"/>
    </row>
    <row r="4" spans="1:12">
      <c r="B4" s="2" t="s">
        <v>4016</v>
      </c>
      <c r="C4" s="2"/>
      <c r="D4" s="2"/>
      <c r="E4" s="2"/>
      <c r="F4" s="2"/>
      <c r="G4" s="2"/>
      <c r="H4" s="2"/>
      <c r="I4" s="2"/>
      <c r="J4" s="2"/>
      <c r="K4" s="2"/>
      <c r="L4" s="2"/>
    </row>
    <row r="5" spans="1:12">
      <c r="B5" s="2"/>
      <c r="C5" s="2" t="s">
        <v>4017</v>
      </c>
      <c r="D5" s="2"/>
      <c r="E5" s="2"/>
      <c r="F5" s="2"/>
      <c r="G5" s="2"/>
      <c r="H5" s="2"/>
      <c r="I5" s="2"/>
      <c r="J5" s="2"/>
      <c r="K5" s="2"/>
      <c r="L5" s="2"/>
    </row>
    <row r="6" spans="1:12">
      <c r="B6" s="2"/>
      <c r="C6" s="2" t="s">
        <v>4018</v>
      </c>
      <c r="D6" s="2"/>
      <c r="E6" s="2"/>
      <c r="F6" s="2"/>
      <c r="G6" s="2"/>
      <c r="H6" s="2"/>
      <c r="I6" s="2"/>
      <c r="J6" s="2"/>
      <c r="K6" s="2"/>
      <c r="L6" s="2"/>
    </row>
    <row r="7" spans="1:12">
      <c r="B7" s="2"/>
      <c r="C7" s="2"/>
      <c r="D7" s="2" t="s">
        <v>4019</v>
      </c>
      <c r="E7" s="2"/>
      <c r="F7" s="2"/>
      <c r="G7" s="2"/>
      <c r="H7" s="2"/>
      <c r="I7" s="2"/>
      <c r="J7" s="2"/>
      <c r="K7" s="2"/>
      <c r="L7" s="2"/>
    </row>
    <row r="8" spans="1:12">
      <c r="B8" s="2" t="s">
        <v>4020</v>
      </c>
      <c r="C8" s="2"/>
      <c r="D8" s="2"/>
      <c r="E8" s="2"/>
      <c r="F8" s="2"/>
      <c r="G8" s="2"/>
      <c r="H8" s="2"/>
      <c r="I8" s="2"/>
      <c r="J8" s="2"/>
      <c r="K8" s="2"/>
      <c r="L8" s="2"/>
    </row>
    <row r="9" spans="1:12">
      <c r="B9" s="2"/>
      <c r="C9" s="2" t="s">
        <v>4021</v>
      </c>
      <c r="D9" s="2"/>
      <c r="E9" s="2"/>
      <c r="F9" s="2"/>
      <c r="G9" s="2"/>
      <c r="H9" s="2"/>
      <c r="I9" s="2"/>
      <c r="J9" s="2"/>
      <c r="K9" s="2"/>
      <c r="L9" s="2"/>
    </row>
    <row r="10" spans="1:12">
      <c r="B10" s="2"/>
      <c r="C10" s="2"/>
      <c r="D10" s="2" t="s">
        <v>4022</v>
      </c>
      <c r="E10" s="2"/>
      <c r="F10" s="2"/>
      <c r="G10" s="2"/>
      <c r="H10" s="2"/>
      <c r="I10" s="2"/>
      <c r="J10" s="2"/>
      <c r="K10" s="2"/>
      <c r="L10" s="2"/>
    </row>
    <row r="11" spans="1:12">
      <c r="B11" s="2"/>
      <c r="C11" s="2"/>
      <c r="D11" s="2" t="s">
        <v>4023</v>
      </c>
      <c r="E11" s="2"/>
      <c r="F11" s="2"/>
      <c r="G11" s="2"/>
      <c r="H11" s="2"/>
      <c r="I11" s="2"/>
      <c r="J11" s="2"/>
      <c r="K11" s="2"/>
      <c r="L11" s="2"/>
    </row>
    <row r="12" spans="1:12">
      <c r="B12" s="2"/>
      <c r="C12" s="2"/>
      <c r="D12" s="2" t="s">
        <v>4024</v>
      </c>
      <c r="E12" s="2"/>
      <c r="F12" s="2"/>
      <c r="G12" s="2"/>
      <c r="H12" s="2"/>
      <c r="I12" s="2"/>
      <c r="J12" s="2"/>
      <c r="K12" s="2"/>
      <c r="L12" s="2"/>
    </row>
    <row r="13" spans="1:12">
      <c r="B13" s="2"/>
      <c r="C13" s="2" t="s">
        <v>4025</v>
      </c>
      <c r="D13" s="2"/>
      <c r="E13" s="2"/>
      <c r="F13" s="2"/>
      <c r="G13" s="2"/>
      <c r="H13" s="2"/>
      <c r="I13" s="2"/>
      <c r="J13" s="2"/>
      <c r="K13" s="2"/>
      <c r="L13" s="2"/>
    </row>
    <row r="14" spans="1:12">
      <c r="B14" s="2"/>
      <c r="C14" s="2" t="s">
        <v>4026</v>
      </c>
      <c r="D14" s="2"/>
      <c r="E14" s="2"/>
      <c r="F14" s="2"/>
      <c r="G14" s="2"/>
      <c r="H14" s="2"/>
      <c r="I14" s="2"/>
      <c r="J14" s="2"/>
      <c r="K14" s="2"/>
      <c r="L14" s="2"/>
    </row>
    <row r="15" spans="1:12">
      <c r="B15" s="2" t="s">
        <v>4027</v>
      </c>
      <c r="C15" s="2"/>
      <c r="D15" s="2"/>
      <c r="E15" s="2"/>
      <c r="F15" s="2"/>
      <c r="G15" s="2"/>
      <c r="H15" s="2"/>
      <c r="I15" s="2"/>
      <c r="J15" s="2"/>
      <c r="K15" s="2"/>
      <c r="L15" s="2"/>
    </row>
    <row r="16" spans="1:12">
      <c r="B16" s="2"/>
      <c r="C16" s="2" t="s">
        <v>4028</v>
      </c>
      <c r="D16" s="2"/>
      <c r="E16" s="2"/>
      <c r="F16" s="2"/>
      <c r="G16" s="2"/>
      <c r="H16" s="2"/>
      <c r="I16" s="2"/>
      <c r="J16" s="2"/>
      <c r="K16" s="2"/>
      <c r="L16" s="2"/>
    </row>
    <row r="17" spans="2:12">
      <c r="B17" s="2"/>
      <c r="C17" s="2" t="s">
        <v>4029</v>
      </c>
      <c r="D17" s="2"/>
      <c r="E17" s="2"/>
      <c r="F17" s="2"/>
      <c r="G17" s="2"/>
      <c r="H17" s="2"/>
      <c r="I17" s="2"/>
      <c r="J17" s="2"/>
      <c r="K17" s="2"/>
      <c r="L17" s="2"/>
    </row>
    <row r="18" spans="2:12">
      <c r="B18" s="2"/>
      <c r="C18" s="2" t="s">
        <v>4030</v>
      </c>
      <c r="D18" s="2"/>
      <c r="E18" s="2"/>
      <c r="F18" s="2"/>
      <c r="G18" s="2"/>
      <c r="H18" s="2"/>
      <c r="I18" s="2"/>
      <c r="J18" s="2"/>
      <c r="K18" s="2"/>
      <c r="L18" s="2"/>
    </row>
    <row r="19" spans="2:12">
      <c r="B19" s="2"/>
      <c r="C19" s="2" t="s">
        <v>4031</v>
      </c>
      <c r="D19" s="2"/>
      <c r="E19" s="2"/>
      <c r="F19" s="2"/>
      <c r="G19" s="2"/>
      <c r="H19" s="2"/>
      <c r="I19" s="2"/>
      <c r="J19" s="2"/>
      <c r="K19" s="2"/>
      <c r="L19" s="2"/>
    </row>
    <row r="20" spans="2:12">
      <c r="B20" s="2" t="s">
        <v>4032</v>
      </c>
      <c r="C20" s="2"/>
      <c r="D20" s="2"/>
      <c r="E20" s="2"/>
      <c r="F20" s="2"/>
      <c r="G20" s="2"/>
      <c r="H20" s="2"/>
      <c r="I20" s="2"/>
      <c r="J20" s="2"/>
      <c r="K20" s="2"/>
      <c r="L20" s="2"/>
    </row>
    <row r="21" spans="2:12">
      <c r="B21" s="2"/>
      <c r="C21" s="2" t="s">
        <v>4033</v>
      </c>
      <c r="D21" s="2"/>
      <c r="E21" s="2"/>
      <c r="F21" s="2"/>
      <c r="G21" s="2"/>
      <c r="H21" s="2"/>
      <c r="I21" s="2"/>
      <c r="J21" s="2"/>
      <c r="K21" s="2"/>
      <c r="L21" s="2"/>
    </row>
    <row r="22" spans="2:12">
      <c r="B22" s="2"/>
      <c r="C22" s="2" t="s">
        <v>4034</v>
      </c>
      <c r="D22" s="2"/>
      <c r="E22" s="2"/>
      <c r="F22" s="2"/>
      <c r="G22" s="2"/>
      <c r="H22" s="2"/>
      <c r="I22" s="2"/>
      <c r="J22" s="2"/>
      <c r="K22" s="2"/>
      <c r="L22" s="2"/>
    </row>
    <row r="23" spans="2:12">
      <c r="B23" s="2"/>
      <c r="C23" s="2" t="s">
        <v>4035</v>
      </c>
      <c r="D23" s="2"/>
      <c r="E23" s="2"/>
      <c r="F23" s="2"/>
      <c r="G23" s="2"/>
      <c r="H23" s="2"/>
      <c r="I23" s="2"/>
      <c r="J23" s="2"/>
      <c r="K23" s="2"/>
      <c r="L23" s="2"/>
    </row>
    <row r="24" spans="2:12">
      <c r="B24" s="2"/>
      <c r="C24" s="2" t="s">
        <v>4036</v>
      </c>
      <c r="D24" s="2"/>
      <c r="E24" s="2"/>
      <c r="F24" s="2"/>
      <c r="G24" s="2"/>
      <c r="H24" s="2"/>
      <c r="I24" s="2"/>
      <c r="J24" s="2"/>
      <c r="K24" s="2"/>
      <c r="L24" s="2"/>
    </row>
    <row r="25" spans="2:12">
      <c r="B25" s="2"/>
      <c r="C25" s="2" t="s">
        <v>4037</v>
      </c>
      <c r="D25" s="2"/>
      <c r="E25" s="2"/>
      <c r="F25" s="2"/>
      <c r="G25" s="2"/>
      <c r="H25" s="2"/>
      <c r="I25" s="2"/>
      <c r="J25" s="2"/>
      <c r="K25" s="2"/>
      <c r="L25" s="2"/>
    </row>
  </sheetData>
  <pageMargins left="0.75" right="0.75" top="1" bottom="1" header="0.5" footer="0.5"/>
  <pageSetup paperSize="9" orientation="portrait"/>
  <headerFooter/>
</worksheet>
</file>

<file path=xl/worksheets/sheet2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N63"/>
  <sheetViews>
    <sheetView topLeftCell="A34" workbookViewId="0">
      <selection activeCell="C34" sqref="C34"/>
    </sheetView>
  </sheetViews>
  <sheetFormatPr defaultColWidth="8.88888888888889" defaultRowHeight="14.4"/>
  <cols>
    <col min="1" max="1" width="9.66666666666667"/>
  </cols>
  <sheetData>
    <row r="1" spans="1:14">
      <c r="A1" s="1">
        <f>SUM(B1:AZ1)</f>
        <v>22.4333333333333</v>
      </c>
      <c r="B1" s="1">
        <f t="shared" ref="B1:H1" si="0">COUNTA(B2:B2192)/COLUMN()</f>
        <v>9</v>
      </c>
      <c r="C1" s="1">
        <f t="shared" si="0"/>
        <v>11</v>
      </c>
      <c r="D1" s="1">
        <f t="shared" si="0"/>
        <v>1.5</v>
      </c>
      <c r="E1" s="1">
        <f t="shared" si="0"/>
        <v>0.6</v>
      </c>
      <c r="F1" s="1">
        <f t="shared" si="0"/>
        <v>0.333333333333333</v>
      </c>
      <c r="G1" s="1">
        <f t="shared" si="0"/>
        <v>0</v>
      </c>
      <c r="H1" s="1">
        <f t="shared" si="0"/>
        <v>0</v>
      </c>
    </row>
    <row r="2" spans="1:14">
      <c r="A2" t="str" cm="1">
        <f ca="1" t="array" ref="A2">_wpsfn.SHEETSNAME(A1)</f>
        <v>20251126</v>
      </c>
      <c r="B2" s="2" t="s">
        <v>4038</v>
      </c>
      <c r="C2" s="2"/>
      <c r="D2" s="2"/>
      <c r="E2" s="2"/>
      <c r="F2" s="2"/>
      <c r="G2" s="2"/>
      <c r="H2" s="2"/>
      <c r="I2" s="2"/>
      <c r="J2" s="2"/>
      <c r="K2" s="2"/>
      <c r="L2" s="2"/>
      <c r="M2" s="2"/>
      <c r="N2" s="2"/>
    </row>
    <row r="3" spans="1:14">
      <c r="B3" s="2" t="s">
        <v>4039</v>
      </c>
      <c r="C3" s="2"/>
      <c r="D3" s="2"/>
      <c r="E3" s="2"/>
      <c r="F3" s="2"/>
      <c r="G3" s="2"/>
      <c r="H3" s="2"/>
      <c r="I3" s="2"/>
      <c r="J3" s="2"/>
      <c r="K3" s="2"/>
      <c r="L3" s="2"/>
      <c r="M3" s="2"/>
      <c r="N3" s="2"/>
    </row>
    <row r="4" spans="1:14">
      <c r="B4" s="2" t="s">
        <v>4040</v>
      </c>
      <c r="C4" s="2"/>
      <c r="D4" s="2"/>
      <c r="E4" s="2"/>
      <c r="F4" s="2"/>
      <c r="G4" s="2"/>
      <c r="H4" s="2"/>
      <c r="I4" s="2"/>
      <c r="J4" s="2"/>
      <c r="K4" s="2"/>
      <c r="L4" s="2"/>
      <c r="M4" s="2"/>
      <c r="N4" s="2"/>
    </row>
    <row r="5" spans="1:14">
      <c r="B5" s="2"/>
      <c r="C5" s="2" t="s">
        <v>4041</v>
      </c>
      <c r="D5" s="2"/>
      <c r="E5" s="2"/>
      <c r="F5" s="2"/>
      <c r="G5" s="2"/>
      <c r="H5" s="2"/>
      <c r="I5" s="2"/>
      <c r="J5" s="2"/>
      <c r="K5" s="2"/>
      <c r="L5" s="2"/>
      <c r="M5" s="2"/>
      <c r="N5" s="2"/>
    </row>
    <row r="6" spans="1:14">
      <c r="B6" s="2"/>
      <c r="C6" s="2" t="s">
        <v>4042</v>
      </c>
      <c r="D6" s="2"/>
      <c r="E6" s="2"/>
      <c r="F6" s="2"/>
      <c r="G6" s="2"/>
      <c r="H6" s="2"/>
      <c r="I6" s="2"/>
      <c r="J6" s="2"/>
      <c r="K6" s="2"/>
      <c r="L6" s="2"/>
      <c r="M6" s="2"/>
      <c r="N6" s="2"/>
    </row>
    <row r="7" spans="1:14">
      <c r="B7" s="2" t="s">
        <v>4043</v>
      </c>
      <c r="C7" s="2"/>
      <c r="D7" s="2"/>
      <c r="E7" s="2"/>
      <c r="F7" s="2"/>
      <c r="G7" s="2"/>
      <c r="H7" s="2"/>
      <c r="I7" s="2"/>
      <c r="J7" s="2"/>
      <c r="K7" s="2"/>
      <c r="L7" s="2"/>
      <c r="M7" s="2"/>
      <c r="N7" s="2"/>
    </row>
    <row r="8" spans="1:14">
      <c r="B8" s="2"/>
      <c r="C8" s="2" t="s">
        <v>4044</v>
      </c>
      <c r="D8" s="2"/>
      <c r="E8" s="2"/>
      <c r="F8" s="2"/>
      <c r="G8" s="2"/>
      <c r="H8" s="2"/>
      <c r="I8" s="2"/>
      <c r="J8" s="2"/>
      <c r="K8" s="2"/>
      <c r="L8" s="2"/>
      <c r="M8" s="2"/>
      <c r="N8" s="2"/>
    </row>
    <row r="9" spans="1:14">
      <c r="B9" s="2"/>
      <c r="C9" s="2" t="s">
        <v>4045</v>
      </c>
      <c r="D9" s="2"/>
      <c r="E9" s="2"/>
      <c r="F9" s="2"/>
      <c r="G9" s="2"/>
      <c r="H9" s="2"/>
      <c r="I9" s="2"/>
      <c r="J9" s="2"/>
      <c r="K9" s="2"/>
      <c r="L9" s="2"/>
      <c r="M9" s="2"/>
      <c r="N9" s="2"/>
    </row>
    <row r="10" spans="1:14">
      <c r="B10" s="2"/>
      <c r="C10" s="2" t="s">
        <v>4046</v>
      </c>
      <c r="D10" s="2"/>
      <c r="E10" s="2"/>
      <c r="F10" s="2"/>
      <c r="G10" s="2"/>
      <c r="H10" s="2"/>
      <c r="I10" s="2"/>
      <c r="J10" s="2"/>
      <c r="K10" s="2"/>
      <c r="L10" s="2"/>
      <c r="M10" s="2"/>
      <c r="N10" s="2"/>
    </row>
    <row r="11" spans="1:14">
      <c r="B11" s="2"/>
      <c r="C11" s="2" t="s">
        <v>4047</v>
      </c>
      <c r="D11" s="2"/>
      <c r="E11" s="2"/>
      <c r="F11" s="2"/>
      <c r="G11" s="2"/>
      <c r="H11" s="2"/>
      <c r="I11" s="2"/>
      <c r="J11" s="2"/>
      <c r="K11" s="2"/>
      <c r="L11" s="2"/>
      <c r="M11" s="2"/>
      <c r="N11" s="2"/>
    </row>
    <row r="12" spans="1:14">
      <c r="B12" s="2" t="s">
        <v>4048</v>
      </c>
      <c r="C12" s="2"/>
      <c r="D12" s="2"/>
      <c r="E12" s="2"/>
      <c r="F12" s="2"/>
      <c r="G12" s="2"/>
      <c r="H12" s="2"/>
      <c r="I12" s="2"/>
      <c r="J12" s="2"/>
      <c r="K12" s="2"/>
      <c r="L12" s="2"/>
      <c r="M12" s="2"/>
      <c r="N12" s="2"/>
    </row>
    <row r="13" spans="1:14">
      <c r="B13" s="2"/>
      <c r="C13" s="2" t="s">
        <v>4049</v>
      </c>
      <c r="D13" s="2"/>
      <c r="E13" s="2"/>
      <c r="F13" s="2"/>
      <c r="G13" s="2"/>
      <c r="H13" s="2"/>
      <c r="I13" s="2"/>
      <c r="J13" s="2"/>
      <c r="K13" s="2"/>
      <c r="L13" s="2"/>
      <c r="M13" s="2"/>
      <c r="N13" s="2"/>
    </row>
    <row r="14" spans="1:14">
      <c r="B14" s="2"/>
      <c r="C14" s="2" t="s">
        <v>4050</v>
      </c>
      <c r="D14" s="2"/>
      <c r="E14" s="2"/>
      <c r="F14" s="2"/>
      <c r="G14" s="2"/>
      <c r="H14" s="2"/>
      <c r="I14" s="2"/>
      <c r="J14" s="2"/>
      <c r="K14" s="2"/>
      <c r="L14" s="2"/>
      <c r="M14" s="2"/>
      <c r="N14" s="2"/>
    </row>
    <row r="15" spans="1:14">
      <c r="B15" s="2"/>
      <c r="C15" s="2"/>
      <c r="D15" s="2" t="s">
        <v>4051</v>
      </c>
      <c r="E15" s="2"/>
      <c r="F15" s="2"/>
      <c r="G15" s="2"/>
      <c r="H15" s="2"/>
      <c r="I15" s="2"/>
      <c r="J15" s="2"/>
      <c r="K15" s="2"/>
      <c r="L15" s="2"/>
      <c r="M15" s="2"/>
      <c r="N15" s="2"/>
    </row>
    <row r="16" spans="1:14">
      <c r="B16" s="2"/>
      <c r="C16" s="2"/>
      <c r="D16" s="2"/>
      <c r="E16" s="2" t="s">
        <v>4052</v>
      </c>
      <c r="F16" s="2"/>
      <c r="G16" s="2"/>
      <c r="H16" s="2"/>
      <c r="I16" s="2"/>
      <c r="J16" s="2"/>
      <c r="K16" s="2"/>
      <c r="L16" s="2"/>
      <c r="M16" s="2"/>
      <c r="N16" s="2"/>
    </row>
    <row r="17" spans="2:14">
      <c r="B17" s="2"/>
      <c r="C17" s="2"/>
      <c r="D17" s="2"/>
      <c r="E17" s="2"/>
      <c r="F17" s="2" t="s">
        <v>4053</v>
      </c>
      <c r="G17" s="2"/>
      <c r="H17" s="2"/>
      <c r="I17" s="2"/>
      <c r="J17" s="2"/>
      <c r="K17" s="2"/>
      <c r="L17" s="2"/>
      <c r="M17" s="2"/>
      <c r="N17" s="2"/>
    </row>
    <row r="18" spans="2:14">
      <c r="B18" s="2"/>
      <c r="C18" s="2"/>
      <c r="D18" s="2"/>
      <c r="E18" s="2"/>
      <c r="F18" s="2" t="s">
        <v>4054</v>
      </c>
      <c r="G18" s="2"/>
      <c r="H18" s="2"/>
      <c r="I18" s="2"/>
      <c r="J18" s="2"/>
      <c r="K18" s="2"/>
      <c r="L18" s="2"/>
      <c r="M18" s="2"/>
      <c r="N18" s="2"/>
    </row>
    <row r="19" spans="2:14">
      <c r="B19" s="2"/>
      <c r="C19" s="2"/>
      <c r="D19" s="2" t="s">
        <v>4055</v>
      </c>
      <c r="E19" s="2"/>
      <c r="F19" s="2"/>
      <c r="G19" s="2"/>
      <c r="H19" s="2"/>
      <c r="I19" s="2"/>
      <c r="J19" s="2"/>
      <c r="K19" s="2"/>
      <c r="L19" s="2"/>
      <c r="M19" s="2"/>
      <c r="N19" s="2"/>
    </row>
    <row r="20" spans="2:14">
      <c r="B20" s="2"/>
      <c r="C20" s="2"/>
      <c r="D20" s="2"/>
      <c r="E20" s="2" t="s">
        <v>4056</v>
      </c>
      <c r="F20" s="2"/>
      <c r="G20" s="2"/>
      <c r="H20" s="2"/>
      <c r="I20" s="2"/>
      <c r="J20" s="2"/>
      <c r="K20" s="2"/>
      <c r="L20" s="2"/>
      <c r="M20" s="2"/>
      <c r="N20" s="2"/>
    </row>
    <row r="21" spans="2:14">
      <c r="B21" s="2"/>
      <c r="C21" s="2"/>
      <c r="D21" s="2" t="s">
        <v>4057</v>
      </c>
      <c r="E21" s="2"/>
      <c r="F21" s="2"/>
      <c r="G21" s="2"/>
      <c r="H21" s="2"/>
      <c r="I21" s="2"/>
      <c r="J21" s="2"/>
      <c r="K21" s="2"/>
      <c r="L21" s="2"/>
      <c r="M21" s="2"/>
      <c r="N21" s="2"/>
    </row>
    <row r="22" spans="2:14">
      <c r="B22" s="2" t="s">
        <v>4058</v>
      </c>
      <c r="C22" s="2"/>
      <c r="D22" s="2"/>
      <c r="E22" s="2"/>
      <c r="F22" s="2"/>
      <c r="G22" s="2"/>
      <c r="H22" s="2"/>
      <c r="I22" s="2"/>
      <c r="J22" s="2"/>
      <c r="K22" s="2"/>
      <c r="L22" s="2"/>
      <c r="M22" s="2"/>
      <c r="N22" s="2"/>
    </row>
    <row r="23" spans="2:14">
      <c r="B23" s="2"/>
      <c r="C23" s="2" t="s">
        <v>4059</v>
      </c>
      <c r="D23" s="2"/>
      <c r="E23" s="2"/>
      <c r="F23" s="2"/>
      <c r="G23" s="2"/>
      <c r="H23" s="2"/>
      <c r="I23" s="2"/>
      <c r="J23" s="2"/>
      <c r="K23" s="2"/>
      <c r="L23" s="2"/>
      <c r="M23" s="2"/>
      <c r="N23" s="2"/>
    </row>
    <row r="24" spans="2:14">
      <c r="B24" s="2"/>
      <c r="C24" s="2" t="s">
        <v>4060</v>
      </c>
      <c r="D24" s="2"/>
      <c r="E24" s="2"/>
      <c r="F24" s="2"/>
      <c r="G24" s="2"/>
      <c r="H24" s="2"/>
      <c r="I24" s="2"/>
      <c r="J24" s="2"/>
      <c r="K24" s="2"/>
      <c r="L24" s="2"/>
      <c r="M24" s="2"/>
      <c r="N24" s="2"/>
    </row>
    <row r="25" spans="2:14">
      <c r="B25" s="2" t="s">
        <v>4061</v>
      </c>
      <c r="C25" s="2"/>
      <c r="D25" s="2"/>
      <c r="E25" s="2"/>
      <c r="F25" s="2"/>
      <c r="G25" s="2"/>
      <c r="H25" s="2"/>
      <c r="I25" s="2"/>
      <c r="J25" s="2"/>
      <c r="K25" s="2"/>
      <c r="L25" s="2"/>
      <c r="M25" s="2"/>
      <c r="N25" s="2"/>
    </row>
    <row r="26" spans="2:14">
      <c r="B26" s="2"/>
      <c r="C26" s="2" t="s">
        <v>4062</v>
      </c>
      <c r="D26" s="2"/>
      <c r="E26" s="2"/>
      <c r="F26" s="2"/>
      <c r="G26" s="2"/>
      <c r="H26" s="2"/>
      <c r="I26" s="2"/>
      <c r="J26" s="2"/>
      <c r="K26" s="2"/>
      <c r="L26" s="2"/>
      <c r="M26" s="2"/>
      <c r="N26" s="2"/>
    </row>
    <row r="27" spans="2:14">
      <c r="B27" s="2" t="s">
        <v>4063</v>
      </c>
      <c r="C27" s="2"/>
      <c r="D27" s="2"/>
      <c r="E27" s="2"/>
      <c r="F27" s="2"/>
      <c r="G27" s="2"/>
      <c r="H27" s="2"/>
      <c r="I27" s="2"/>
      <c r="J27" s="2"/>
      <c r="K27" s="2"/>
      <c r="L27" s="2"/>
      <c r="M27" s="2"/>
      <c r="N27" s="2"/>
    </row>
    <row r="28" spans="2:14">
      <c r="B28" s="2"/>
      <c r="C28" s="2" t="s">
        <v>4064</v>
      </c>
      <c r="D28" s="2"/>
      <c r="E28" s="2"/>
      <c r="F28" s="2"/>
      <c r="G28" s="2"/>
      <c r="H28" s="2"/>
      <c r="I28" s="2"/>
      <c r="J28" s="2"/>
      <c r="K28" s="2"/>
      <c r="L28" s="2"/>
      <c r="M28" s="2"/>
      <c r="N28" s="2"/>
    </row>
    <row r="29" spans="2:14">
      <c r="B29" s="2"/>
      <c r="C29" s="2" t="s">
        <v>4065</v>
      </c>
      <c r="D29" s="2"/>
      <c r="E29" s="2"/>
      <c r="F29" s="2"/>
      <c r="G29" s="2"/>
      <c r="H29" s="2"/>
      <c r="I29" s="2"/>
      <c r="J29" s="2"/>
      <c r="K29" s="2"/>
      <c r="L29" s="2"/>
      <c r="M29" s="2"/>
      <c r="N29" s="2"/>
    </row>
    <row r="30" spans="2:14">
      <c r="B30" s="2"/>
      <c r="C30" s="2" t="s">
        <v>4066</v>
      </c>
      <c r="D30" s="2"/>
      <c r="E30" s="2"/>
      <c r="F30" s="2"/>
      <c r="G30" s="2"/>
      <c r="H30" s="2"/>
      <c r="I30" s="2"/>
      <c r="J30" s="2"/>
      <c r="K30" s="2"/>
      <c r="L30" s="2"/>
      <c r="M30" s="2"/>
      <c r="N30" s="2"/>
    </row>
    <row r="31" spans="2:14">
      <c r="B31" s="2" t="s">
        <v>4067</v>
      </c>
      <c r="C31" s="2"/>
      <c r="D31" s="2"/>
      <c r="E31" s="2"/>
      <c r="F31" s="2"/>
      <c r="G31" s="2"/>
      <c r="H31" s="2"/>
      <c r="I31" s="2"/>
      <c r="J31" s="2"/>
      <c r="K31" s="2"/>
      <c r="L31" s="2"/>
      <c r="M31" s="2"/>
      <c r="N31" s="2"/>
    </row>
    <row r="32" spans="2:14">
      <c r="B32" s="2" t="s">
        <v>4068</v>
      </c>
      <c r="C32" s="2"/>
      <c r="D32" s="2"/>
      <c r="E32" s="2"/>
      <c r="F32" s="2"/>
      <c r="G32" s="2"/>
      <c r="H32" s="2"/>
      <c r="I32" s="2"/>
      <c r="J32" s="2"/>
      <c r="K32" s="2"/>
      <c r="L32" s="2"/>
      <c r="M32" s="2"/>
      <c r="N32" s="2"/>
    </row>
    <row r="33" spans="2:14">
      <c r="B33" s="2"/>
      <c r="C33" s="2" t="s">
        <v>4069</v>
      </c>
      <c r="D33" s="2"/>
      <c r="E33" s="2"/>
      <c r="F33" s="2"/>
      <c r="G33" s="2"/>
      <c r="H33" s="2"/>
      <c r="I33" s="2"/>
      <c r="J33" s="2"/>
      <c r="K33" s="2"/>
      <c r="L33" s="2"/>
      <c r="M33" s="2"/>
      <c r="N33" s="2"/>
    </row>
    <row r="34" spans="2:14">
      <c r="B34" s="2"/>
      <c r="C34" s="2" t="s">
        <v>4070</v>
      </c>
      <c r="D34" s="2"/>
      <c r="E34" s="2"/>
      <c r="F34" s="2"/>
      <c r="G34" s="2"/>
      <c r="H34" s="2"/>
      <c r="I34" s="2"/>
      <c r="J34" s="2"/>
      <c r="K34" s="2"/>
      <c r="L34" s="2"/>
      <c r="M34" s="2"/>
      <c r="N34" s="2"/>
    </row>
    <row r="35" spans="2:14">
      <c r="B35" s="2" t="s">
        <v>4071</v>
      </c>
      <c r="C35" s="2"/>
      <c r="D35" s="2"/>
      <c r="E35" s="2"/>
      <c r="F35" s="2"/>
      <c r="G35" s="2"/>
      <c r="H35" s="2"/>
      <c r="I35" s="2"/>
      <c r="J35" s="2"/>
      <c r="K35" s="2"/>
      <c r="L35" s="2"/>
      <c r="M35" s="2"/>
      <c r="N35" s="2"/>
    </row>
    <row r="36" spans="2:14">
      <c r="B36" s="2"/>
      <c r="C36" s="2" t="s">
        <v>4072</v>
      </c>
      <c r="D36" s="2"/>
      <c r="E36" s="2"/>
      <c r="F36" s="2"/>
      <c r="G36" s="2"/>
      <c r="H36" s="2"/>
      <c r="I36" s="2"/>
      <c r="J36" s="2"/>
      <c r="K36" s="2"/>
      <c r="L36" s="2"/>
      <c r="M36" s="2"/>
      <c r="N36" s="2"/>
    </row>
    <row r="37" spans="2:14">
      <c r="B37" s="2"/>
      <c r="C37" s="2" t="s">
        <v>4073</v>
      </c>
      <c r="D37" s="2"/>
      <c r="E37" s="2"/>
      <c r="F37" s="2"/>
      <c r="G37" s="2"/>
      <c r="H37" s="2"/>
      <c r="I37" s="2"/>
      <c r="J37" s="2"/>
      <c r="K37" s="2"/>
      <c r="L37" s="2"/>
      <c r="M37" s="2"/>
      <c r="N37" s="2"/>
    </row>
    <row r="38" spans="2:14">
      <c r="B38" s="2"/>
      <c r="C38" s="2" t="s">
        <v>4074</v>
      </c>
      <c r="D38" s="2"/>
      <c r="E38" s="2"/>
      <c r="F38" s="2"/>
      <c r="G38" s="2"/>
      <c r="H38" s="2"/>
      <c r="I38" s="2"/>
      <c r="J38" s="2"/>
      <c r="K38" s="2"/>
      <c r="L38" s="2"/>
      <c r="M38" s="2"/>
      <c r="N38" s="2"/>
    </row>
    <row r="39" spans="2:14">
      <c r="B39" s="2"/>
      <c r="C39" s="2" t="s">
        <v>4075</v>
      </c>
      <c r="D39" s="2"/>
      <c r="E39" s="2"/>
      <c r="F39" s="2"/>
      <c r="G39" s="2"/>
      <c r="H39" s="2"/>
      <c r="I39" s="2"/>
      <c r="J39" s="2"/>
      <c r="K39" s="2"/>
      <c r="L39" s="2"/>
      <c r="M39" s="2"/>
      <c r="N39" s="2"/>
    </row>
    <row r="40" spans="2:14">
      <c r="B40" s="2" t="s">
        <v>4076</v>
      </c>
      <c r="C40" s="2"/>
      <c r="D40" s="2"/>
      <c r="E40" s="2"/>
      <c r="F40" s="2"/>
      <c r="G40" s="2"/>
      <c r="H40" s="2"/>
      <c r="I40" s="2"/>
      <c r="J40" s="2"/>
      <c r="K40" s="2"/>
      <c r="L40" s="2"/>
      <c r="M40" s="2"/>
      <c r="N40" s="2"/>
    </row>
    <row r="41" spans="2:14">
      <c r="B41" s="2" t="s">
        <v>4077</v>
      </c>
      <c r="C41" s="2"/>
      <c r="D41" s="2"/>
      <c r="E41" s="2"/>
      <c r="F41" s="2"/>
      <c r="G41" s="2"/>
      <c r="H41" s="2"/>
      <c r="I41" s="2"/>
      <c r="J41" s="2"/>
      <c r="K41" s="2"/>
      <c r="L41" s="2"/>
      <c r="M41" s="2"/>
      <c r="N41" s="2"/>
    </row>
    <row r="42" spans="2:14">
      <c r="B42" s="2"/>
      <c r="C42" s="2" t="s">
        <v>4078</v>
      </c>
      <c r="D42" s="2"/>
      <c r="E42" s="2"/>
      <c r="F42" s="2"/>
      <c r="G42" s="2"/>
      <c r="H42" s="2"/>
      <c r="I42" s="2"/>
      <c r="J42" s="2"/>
      <c r="K42" s="2"/>
      <c r="L42" s="2"/>
      <c r="M42" s="2"/>
      <c r="N42" s="2"/>
    </row>
    <row r="43" spans="2:14">
      <c r="B43" s="2"/>
      <c r="C43" s="2" t="s">
        <v>4079</v>
      </c>
      <c r="D43" s="2"/>
      <c r="E43" s="2"/>
      <c r="F43" s="2"/>
      <c r="G43" s="2"/>
      <c r="H43" s="2"/>
      <c r="I43" s="2"/>
      <c r="J43" s="2"/>
      <c r="K43" s="2"/>
      <c r="L43" s="2"/>
      <c r="M43" s="2"/>
      <c r="N43" s="2"/>
    </row>
    <row r="44" spans="2:14">
      <c r="B44" s="2" t="s">
        <v>4080</v>
      </c>
      <c r="C44" s="2"/>
      <c r="D44" s="2"/>
      <c r="E44" s="2"/>
      <c r="F44" s="2"/>
      <c r="G44" s="2"/>
      <c r="H44" s="2"/>
      <c r="I44" s="2"/>
      <c r="J44" s="2"/>
      <c r="K44" s="2"/>
      <c r="L44" s="2"/>
      <c r="M44" s="2"/>
      <c r="N44" s="2"/>
    </row>
    <row r="45" spans="2:14">
      <c r="B45" s="2"/>
      <c r="C45" s="2" t="s">
        <v>4081</v>
      </c>
      <c r="D45" s="2"/>
      <c r="E45" s="2"/>
      <c r="F45" s="2"/>
      <c r="G45" s="2"/>
      <c r="H45" s="2"/>
      <c r="I45" s="2"/>
      <c r="J45" s="2"/>
      <c r="K45" s="2"/>
      <c r="L45" s="2"/>
      <c r="M45" s="2"/>
      <c r="N45" s="2"/>
    </row>
    <row r="46" spans="2:14">
      <c r="B46" s="2"/>
      <c r="C46" s="2" t="s">
        <v>4082</v>
      </c>
      <c r="D46" s="2"/>
      <c r="E46" s="2"/>
      <c r="F46" s="2"/>
      <c r="G46" s="2"/>
      <c r="H46" s="2"/>
      <c r="I46" s="2"/>
      <c r="J46" s="2"/>
      <c r="K46" s="2"/>
      <c r="L46" s="2"/>
      <c r="M46" s="2"/>
      <c r="N46" s="2"/>
    </row>
    <row r="47" spans="2:14">
      <c r="B47" s="2"/>
      <c r="C47" s="2" t="s">
        <v>4083</v>
      </c>
      <c r="D47" s="2"/>
      <c r="E47" s="2"/>
      <c r="F47" s="2"/>
      <c r="G47" s="2"/>
      <c r="H47" s="2"/>
      <c r="I47" s="2"/>
      <c r="J47" s="2"/>
      <c r="K47" s="2"/>
      <c r="L47" s="2"/>
      <c r="M47" s="2"/>
      <c r="N47" s="2"/>
    </row>
    <row r="48" spans="2:14">
      <c r="B48" s="2"/>
      <c r="C48" s="2" t="s">
        <v>4084</v>
      </c>
      <c r="D48" s="2"/>
      <c r="E48" s="2"/>
      <c r="F48" s="2"/>
      <c r="G48" s="2"/>
      <c r="H48" s="2"/>
      <c r="I48" s="2"/>
      <c r="J48" s="2"/>
      <c r="K48" s="2"/>
      <c r="L48" s="2"/>
      <c r="M48" s="2"/>
      <c r="N48" s="2"/>
    </row>
    <row r="49" spans="2:14">
      <c r="B49" s="2" t="s">
        <v>4085</v>
      </c>
      <c r="C49" s="2"/>
      <c r="D49" s="2"/>
      <c r="E49" s="2"/>
      <c r="F49" s="2"/>
      <c r="G49" s="2"/>
      <c r="H49" s="2"/>
      <c r="I49" s="2"/>
      <c r="J49" s="2"/>
      <c r="K49" s="2"/>
      <c r="L49" s="2"/>
      <c r="M49" s="2"/>
      <c r="N49" s="2"/>
    </row>
    <row r="50" spans="2:14">
      <c r="B50" s="2" t="s">
        <v>4086</v>
      </c>
      <c r="C50" s="2"/>
      <c r="D50" s="2"/>
      <c r="E50" s="2"/>
      <c r="F50" s="2"/>
      <c r="G50" s="2"/>
      <c r="H50" s="2"/>
      <c r="I50" s="2"/>
      <c r="J50" s="2"/>
      <c r="K50" s="2"/>
      <c r="L50" s="2"/>
      <c r="M50" s="2"/>
      <c r="N50" s="2"/>
    </row>
    <row r="51" spans="2:14">
      <c r="B51" s="2"/>
      <c r="C51" s="2" t="s">
        <v>4087</v>
      </c>
      <c r="D51" s="2"/>
      <c r="E51" s="2"/>
      <c r="F51" s="2"/>
      <c r="G51" s="2"/>
      <c r="H51" s="2"/>
      <c r="I51" s="2"/>
      <c r="J51" s="2"/>
      <c r="K51" s="2"/>
      <c r="L51" s="2"/>
      <c r="M51" s="2"/>
      <c r="N51" s="2"/>
    </row>
    <row r="52" spans="2:14">
      <c r="B52" s="2"/>
      <c r="C52" s="2" t="s">
        <v>4088</v>
      </c>
      <c r="D52" s="2"/>
      <c r="E52" s="2"/>
      <c r="F52" s="2"/>
      <c r="G52" s="2"/>
      <c r="H52" s="2"/>
      <c r="I52" s="2"/>
      <c r="J52" s="2"/>
      <c r="K52" s="2"/>
      <c r="L52" s="2"/>
      <c r="M52" s="2"/>
      <c r="N52" s="2"/>
    </row>
    <row r="53" spans="2:14">
      <c r="B53" s="2"/>
      <c r="C53" s="2" t="s">
        <v>4089</v>
      </c>
      <c r="D53" s="2"/>
      <c r="E53" s="2"/>
      <c r="F53" s="2"/>
      <c r="G53" s="2"/>
      <c r="H53" s="2"/>
      <c r="I53" s="2"/>
      <c r="J53" s="2"/>
      <c r="K53" s="2"/>
      <c r="L53" s="2"/>
      <c r="M53" s="2"/>
      <c r="N53" s="2"/>
    </row>
    <row r="54" spans="2:14">
      <c r="B54" s="2"/>
      <c r="C54" s="2" t="s">
        <v>4090</v>
      </c>
      <c r="D54" s="2"/>
      <c r="E54" s="2"/>
      <c r="F54" s="2"/>
      <c r="G54" s="2"/>
      <c r="H54" s="2"/>
      <c r="I54" s="2"/>
      <c r="J54" s="2"/>
      <c r="K54" s="2"/>
      <c r="L54" s="2"/>
      <c r="M54" s="2"/>
      <c r="N54" s="2"/>
    </row>
    <row r="55" spans="2:14">
      <c r="B55" s="2" t="s">
        <v>4091</v>
      </c>
      <c r="C55" s="2"/>
      <c r="D55" s="2"/>
      <c r="E55" s="2"/>
      <c r="F55" s="2"/>
      <c r="G55" s="2"/>
      <c r="H55" s="2"/>
      <c r="I55" s="2"/>
      <c r="J55" s="2"/>
      <c r="K55" s="2"/>
      <c r="L55" s="2"/>
      <c r="M55" s="2"/>
      <c r="N55" s="2"/>
    </row>
    <row r="56" spans="2:14">
      <c r="B56" s="2" t="s">
        <v>4092</v>
      </c>
      <c r="C56" s="2"/>
      <c r="D56" s="2"/>
      <c r="E56" s="2"/>
      <c r="F56" s="2"/>
      <c r="G56" s="2"/>
      <c r="H56" s="2"/>
      <c r="I56" s="2"/>
      <c r="J56" s="2"/>
      <c r="K56" s="2"/>
      <c r="L56" s="2"/>
      <c r="M56" s="2"/>
      <c r="N56" s="2"/>
    </row>
    <row r="57" spans="2:14">
      <c r="B57" s="2"/>
      <c r="C57" s="2" t="s">
        <v>4093</v>
      </c>
      <c r="D57" s="2"/>
      <c r="E57" s="2"/>
      <c r="F57" s="2"/>
      <c r="G57" s="2"/>
      <c r="H57" s="2"/>
      <c r="I57" s="2"/>
      <c r="J57" s="2"/>
      <c r="K57" s="2"/>
      <c r="L57" s="2"/>
      <c r="M57" s="2"/>
      <c r="N57" s="2"/>
    </row>
    <row r="58" spans="2:14">
      <c r="B58" s="2"/>
      <c r="C58" s="2" t="s">
        <v>4094</v>
      </c>
      <c r="D58" s="2"/>
      <c r="E58" s="2"/>
      <c r="F58" s="2"/>
      <c r="G58" s="2"/>
      <c r="H58" s="2"/>
      <c r="I58" s="2"/>
      <c r="J58" s="2"/>
      <c r="K58" s="2"/>
      <c r="L58" s="2"/>
      <c r="M58" s="2"/>
      <c r="N58" s="2"/>
    </row>
    <row r="59" spans="2:14">
      <c r="B59" s="2"/>
      <c r="C59" s="2" t="s">
        <v>4095</v>
      </c>
      <c r="D59" s="2"/>
      <c r="E59" s="2"/>
      <c r="F59" s="2"/>
      <c r="G59" s="2"/>
      <c r="H59" s="2"/>
      <c r="I59" s="2"/>
      <c r="J59" s="2"/>
      <c r="K59" s="2"/>
      <c r="L59" s="2"/>
      <c r="M59" s="2"/>
      <c r="N59" s="2"/>
    </row>
    <row r="60" spans="2:14">
      <c r="B60" s="2"/>
      <c r="C60" s="2"/>
      <c r="D60" s="2" t="s">
        <v>4096</v>
      </c>
      <c r="E60" s="2"/>
      <c r="F60" s="2"/>
      <c r="G60" s="2"/>
      <c r="H60" s="2"/>
      <c r="I60" s="2"/>
      <c r="J60" s="2"/>
      <c r="K60" s="2"/>
      <c r="L60" s="2"/>
      <c r="M60" s="2"/>
      <c r="N60" s="2"/>
    </row>
    <row r="61" spans="2:14">
      <c r="B61" s="2"/>
      <c r="C61" s="2"/>
      <c r="D61" s="2" t="s">
        <v>4097</v>
      </c>
      <c r="E61" s="2"/>
      <c r="F61" s="2"/>
      <c r="G61" s="2"/>
      <c r="H61" s="2"/>
      <c r="I61" s="2"/>
      <c r="J61" s="2"/>
      <c r="K61" s="2"/>
      <c r="L61" s="2"/>
      <c r="M61" s="2"/>
      <c r="N61" s="2"/>
    </row>
    <row r="62" spans="2:14">
      <c r="B62" s="2"/>
      <c r="C62" s="2"/>
      <c r="D62" s="2"/>
      <c r="E62" s="2" t="s">
        <v>4098</v>
      </c>
      <c r="F62" s="2"/>
      <c r="G62" s="2"/>
      <c r="H62" s="2"/>
      <c r="I62" s="2"/>
      <c r="J62" s="2"/>
      <c r="K62" s="2"/>
      <c r="L62" s="2"/>
      <c r="M62" s="2"/>
      <c r="N62" s="2"/>
    </row>
    <row r="63" spans="2:14">
      <c r="B63" s="2"/>
      <c r="C63" s="2"/>
      <c r="D63" s="2" t="s">
        <v>4099</v>
      </c>
      <c r="E63" s="2"/>
      <c r="F63" s="2"/>
      <c r="G63" s="2"/>
      <c r="H63" s="2"/>
      <c r="I63" s="2"/>
      <c r="J63" s="2"/>
      <c r="K63" s="2"/>
      <c r="L63" s="2"/>
      <c r="M63" s="2"/>
      <c r="N63" s="2"/>
    </row>
  </sheetData>
  <pageMargins left="0.75" right="0.75" top="1" bottom="1" header="0.5" footer="0.5"/>
  <pageSetup paperSize="9" orientation="portrait"/>
  <headerFooter/>
</worksheet>
</file>

<file path=xl/worksheets/sheet2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76"/>
  <sheetViews>
    <sheetView topLeftCell="A35" workbookViewId="0">
      <selection activeCell="B57" sqref="B57"/>
    </sheetView>
  </sheetViews>
  <sheetFormatPr defaultColWidth="8.88888888888889" defaultRowHeight="14.4" outlineLevelCol="7"/>
  <cols>
    <col min="1" max="1" width="9.66666666666667"/>
  </cols>
  <sheetData>
    <row r="1" spans="1:8">
      <c r="A1" s="1">
        <f>SUM(B1:AZ1)</f>
        <v>26.1761904761905</v>
      </c>
      <c r="B1" s="1">
        <f t="shared" ref="B1:H1" si="0">COUNTA(B2:B2193)/COLUMN()</f>
        <v>9.5</v>
      </c>
      <c r="C1" s="1">
        <f t="shared" si="0"/>
        <v>12</v>
      </c>
      <c r="D1" s="1">
        <f t="shared" si="0"/>
        <v>4</v>
      </c>
      <c r="E1" s="1">
        <f t="shared" si="0"/>
        <v>0.2</v>
      </c>
      <c r="F1" s="1">
        <f t="shared" si="0"/>
        <v>0.333333333333333</v>
      </c>
      <c r="G1" s="1">
        <f t="shared" si="0"/>
        <v>0.142857142857143</v>
      </c>
      <c r="H1" s="1">
        <f t="shared" si="0"/>
        <v>0</v>
      </c>
    </row>
    <row r="2" spans="1:8">
      <c r="A2" t="str" cm="1">
        <f ca="1" t="array" ref="A2">_wpsfn.SHEETSNAME(A1)</f>
        <v>20251127</v>
      </c>
      <c r="B2" t="s">
        <v>4100</v>
      </c>
    </row>
    <row r="3" spans="1:8">
      <c r="C3" t="s">
        <v>4101</v>
      </c>
    </row>
    <row r="4" spans="1:8">
      <c r="C4" t="s">
        <v>4102</v>
      </c>
    </row>
    <row r="5" spans="1:8">
      <c r="C5" t="s">
        <v>4103</v>
      </c>
    </row>
    <row r="6" spans="1:8">
      <c r="D6" t="s">
        <v>4104</v>
      </c>
    </row>
    <row r="7" spans="1:8">
      <c r="D7" t="s">
        <v>4105</v>
      </c>
    </row>
    <row r="8" spans="1:8">
      <c r="E8" t="s">
        <v>4106</v>
      </c>
    </row>
    <row r="9" spans="1:8">
      <c r="F9" t="s">
        <v>4107</v>
      </c>
    </row>
    <row r="10" spans="1:8">
      <c r="F10" t="s">
        <v>4108</v>
      </c>
    </row>
    <row r="11" spans="1:8">
      <c r="G11" t="s">
        <v>4109</v>
      </c>
    </row>
    <row r="12" spans="1:8">
      <c r="B12" t="s">
        <v>4110</v>
      </c>
    </row>
    <row r="13" spans="1:8">
      <c r="B13" t="s">
        <v>4111</v>
      </c>
    </row>
    <row r="14" spans="1:8">
      <c r="C14" t="s">
        <v>4112</v>
      </c>
    </row>
    <row r="15" spans="1:8">
      <c r="C15" t="s">
        <v>4113</v>
      </c>
    </row>
    <row r="16" spans="1:8">
      <c r="C16" t="s">
        <v>4114</v>
      </c>
    </row>
    <row r="17" spans="2:4">
      <c r="B17" t="s">
        <v>4115</v>
      </c>
    </row>
    <row r="18" spans="2:4">
      <c r="C18" t="s">
        <v>4116</v>
      </c>
    </row>
    <row r="19" spans="2:4">
      <c r="D19" t="s">
        <v>4117</v>
      </c>
    </row>
    <row r="20" spans="2:4">
      <c r="D20" t="s">
        <v>4118</v>
      </c>
    </row>
    <row r="21" spans="2:4">
      <c r="D21" t="s">
        <v>4119</v>
      </c>
    </row>
    <row r="22" spans="2:4">
      <c r="C22" t="s">
        <v>4120</v>
      </c>
    </row>
    <row r="23" spans="2:4">
      <c r="D23" t="s">
        <v>4121</v>
      </c>
    </row>
    <row r="24" spans="2:4">
      <c r="D24" t="s">
        <v>4122</v>
      </c>
    </row>
    <row r="25" spans="2:4">
      <c r="D25" t="s">
        <v>4123</v>
      </c>
    </row>
    <row r="26" spans="2:4">
      <c r="B26" t="s">
        <v>4124</v>
      </c>
    </row>
    <row r="27" spans="2:4">
      <c r="C27" t="s">
        <v>4125</v>
      </c>
    </row>
    <row r="28" spans="2:4">
      <c r="C28" t="s">
        <v>4126</v>
      </c>
    </row>
    <row r="29" spans="2:4">
      <c r="C29" t="s">
        <v>4127</v>
      </c>
    </row>
    <row r="30" spans="2:4">
      <c r="B30" t="s">
        <v>4128</v>
      </c>
    </row>
    <row r="31" spans="2:4">
      <c r="C31" t="s">
        <v>4129</v>
      </c>
    </row>
    <row r="32" spans="2:4">
      <c r="C32" t="s">
        <v>4130</v>
      </c>
    </row>
    <row r="33" spans="2:4">
      <c r="C33" t="s">
        <v>4131</v>
      </c>
    </row>
    <row r="34" spans="2:4">
      <c r="C34" t="s">
        <v>4132</v>
      </c>
    </row>
    <row r="35" spans="2:4">
      <c r="D35" t="s">
        <v>4133</v>
      </c>
    </row>
    <row r="36" spans="2:4">
      <c r="D36" t="s">
        <v>4134</v>
      </c>
    </row>
    <row r="37" spans="2:4">
      <c r="D37" t="s">
        <v>4135</v>
      </c>
    </row>
    <row r="38" spans="2:4">
      <c r="D38" t="s">
        <v>4136</v>
      </c>
    </row>
    <row r="39" spans="2:4">
      <c r="C39" t="s">
        <v>4137</v>
      </c>
    </row>
    <row r="40" spans="2:4">
      <c r="B40" t="s">
        <v>4138</v>
      </c>
    </row>
    <row r="41" spans="2:4">
      <c r="B41" t="s">
        <v>4139</v>
      </c>
    </row>
    <row r="42" spans="2:4">
      <c r="B42" t="s">
        <v>4140</v>
      </c>
    </row>
    <row r="43" spans="2:4">
      <c r="C43" t="s">
        <v>4141</v>
      </c>
    </row>
    <row r="44" spans="2:4">
      <c r="C44" t="s">
        <v>4142</v>
      </c>
    </row>
    <row r="45" spans="2:4">
      <c r="C45" t="s">
        <v>4143</v>
      </c>
    </row>
    <row r="46" spans="2:4">
      <c r="B46" t="s">
        <v>4144</v>
      </c>
    </row>
    <row r="47" spans="2:4">
      <c r="C47" t="s">
        <v>4145</v>
      </c>
    </row>
    <row r="48" spans="2:4">
      <c r="C48" t="s">
        <v>4146</v>
      </c>
    </row>
    <row r="49" spans="2:3">
      <c r="B49" t="s">
        <v>4147</v>
      </c>
    </row>
    <row r="50" spans="2:3">
      <c r="C50" t="s">
        <v>4148</v>
      </c>
    </row>
    <row r="51" spans="2:3">
      <c r="C51" t="s">
        <v>4149</v>
      </c>
    </row>
    <row r="52" spans="2:3">
      <c r="B52" t="s">
        <v>4150</v>
      </c>
    </row>
    <row r="53" spans="2:3">
      <c r="C53" t="s">
        <v>4151</v>
      </c>
    </row>
    <row r="54" spans="2:3">
      <c r="C54" t="s">
        <v>4152</v>
      </c>
    </row>
    <row r="55" spans="2:3">
      <c r="C55" t="s">
        <v>4153</v>
      </c>
    </row>
    <row r="56" spans="2:3">
      <c r="B56" t="s">
        <v>4154</v>
      </c>
    </row>
    <row r="57" spans="2:3">
      <c r="B57" t="s">
        <v>4155</v>
      </c>
    </row>
    <row r="58" spans="2:3">
      <c r="B58" t="s">
        <v>4156</v>
      </c>
    </row>
    <row r="59" spans="2:3">
      <c r="C59" t="s">
        <v>4157</v>
      </c>
    </row>
    <row r="60" spans="2:3">
      <c r="C60" t="s">
        <v>4158</v>
      </c>
    </row>
    <row r="61" spans="2:3">
      <c r="C61" t="s">
        <v>4159</v>
      </c>
    </row>
    <row r="62" spans="2:3">
      <c r="B62" t="s">
        <v>4160</v>
      </c>
    </row>
    <row r="63" spans="2:3">
      <c r="B63" t="s">
        <v>4161</v>
      </c>
    </row>
    <row r="64" spans="2:3">
      <c r="B64" t="s">
        <v>4162</v>
      </c>
    </row>
    <row r="65" spans="2:4">
      <c r="C65" t="s">
        <v>4163</v>
      </c>
    </row>
    <row r="66" spans="2:4">
      <c r="C66" t="s">
        <v>4164</v>
      </c>
    </row>
    <row r="67" spans="2:4">
      <c r="C67" t="s">
        <v>4165</v>
      </c>
    </row>
    <row r="68" spans="2:4">
      <c r="C68" t="s">
        <v>4166</v>
      </c>
    </row>
    <row r="69" spans="2:4">
      <c r="C69" t="s">
        <v>4167</v>
      </c>
    </row>
    <row r="70" spans="2:4">
      <c r="B70" t="s">
        <v>4168</v>
      </c>
    </row>
    <row r="71" spans="2:4">
      <c r="C71" t="s">
        <v>4169</v>
      </c>
    </row>
    <row r="72" spans="2:4">
      <c r="C72" t="s">
        <v>4170</v>
      </c>
    </row>
    <row r="73" spans="2:4">
      <c r="D73" t="s">
        <v>4171</v>
      </c>
    </row>
    <row r="74" spans="2:4">
      <c r="D74" t="s">
        <v>4172</v>
      </c>
    </row>
    <row r="75" spans="2:4">
      <c r="D75" t="s">
        <v>4173</v>
      </c>
    </row>
    <row r="76" spans="2:4">
      <c r="D76" t="s">
        <v>4174</v>
      </c>
    </row>
  </sheetData>
  <pageMargins left="0.75" right="0.75" top="1" bottom="1" header="0.5" footer="0.5"/>
  <pageSetup paperSize="9" orientation="portrait"/>
  <headerFooter/>
</worksheet>
</file>

<file path=xl/worksheets/sheet2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Q138"/>
  <sheetViews>
    <sheetView topLeftCell="A95" workbookViewId="0">
      <selection activeCell="C123" sqref="C123"/>
    </sheetView>
  </sheetViews>
  <sheetFormatPr defaultColWidth="8.88888888888889" defaultRowHeight="14.4"/>
  <cols>
    <col min="1" max="1" width="9.66666666666667"/>
  </cols>
  <sheetData>
    <row r="1" spans="1:17">
      <c r="A1" s="1">
        <f>SUM(B1:AZ1)</f>
        <v>48.95</v>
      </c>
      <c r="B1" s="1">
        <f t="shared" ref="B1:H1" si="0">COUNTA(B2:B2197)/COLUMN()</f>
        <v>20</v>
      </c>
      <c r="C1" s="1">
        <f t="shared" si="0"/>
        <v>21</v>
      </c>
      <c r="D1" s="1">
        <f t="shared" si="0"/>
        <v>5.75</v>
      </c>
      <c r="E1" s="1">
        <f t="shared" si="0"/>
        <v>2.2</v>
      </c>
      <c r="F1" s="1">
        <f t="shared" si="0"/>
        <v>0</v>
      </c>
      <c r="G1" s="1">
        <f t="shared" si="0"/>
        <v>0</v>
      </c>
      <c r="H1" s="1">
        <f t="shared" si="0"/>
        <v>0</v>
      </c>
    </row>
    <row r="2" spans="1:17">
      <c r="A2" t="str" cm="1">
        <f ca="1" t="array" ref="A2">_wpsfn.SHEETSNAME(A1)</f>
        <v>20251128</v>
      </c>
      <c r="B2" s="2" t="s">
        <v>4175</v>
      </c>
      <c r="C2" s="2"/>
      <c r="D2" s="2"/>
      <c r="E2" s="2"/>
      <c r="F2" s="2"/>
      <c r="G2" s="2"/>
      <c r="H2" s="2"/>
      <c r="I2" s="2"/>
      <c r="J2" s="2"/>
      <c r="K2" s="2"/>
      <c r="L2" s="2"/>
      <c r="M2" s="2"/>
      <c r="N2" s="2"/>
      <c r="O2" s="2"/>
      <c r="P2" s="2"/>
      <c r="Q2" s="2"/>
    </row>
    <row r="3" spans="1:17">
      <c r="B3" s="2"/>
      <c r="C3" s="2" t="s">
        <v>4176</v>
      </c>
      <c r="D3" s="2"/>
      <c r="E3" s="2"/>
      <c r="F3" s="2"/>
      <c r="G3" s="2"/>
      <c r="H3" s="2"/>
      <c r="I3" s="2"/>
      <c r="J3" s="2"/>
      <c r="K3" s="2"/>
      <c r="L3" s="2"/>
      <c r="M3" s="2"/>
      <c r="N3" s="2"/>
      <c r="O3" s="2"/>
      <c r="P3" s="2"/>
      <c r="Q3" s="2"/>
    </row>
    <row r="4" spans="1:17">
      <c r="B4" s="2"/>
      <c r="C4" s="2"/>
      <c r="D4" s="2" t="s">
        <v>4177</v>
      </c>
      <c r="E4" s="2"/>
      <c r="F4" s="2"/>
      <c r="G4" s="2"/>
      <c r="H4" s="2"/>
      <c r="I4" s="2"/>
      <c r="J4" s="2"/>
      <c r="K4" s="2"/>
      <c r="L4" s="2"/>
      <c r="M4" s="2"/>
      <c r="N4" s="2"/>
      <c r="O4" s="2"/>
      <c r="P4" s="2"/>
      <c r="Q4" s="2"/>
    </row>
    <row r="5" spans="1:17">
      <c r="B5" s="2"/>
      <c r="C5" s="2"/>
      <c r="D5" s="2" t="s">
        <v>4178</v>
      </c>
      <c r="E5" s="2"/>
      <c r="F5" s="2"/>
      <c r="G5" s="2"/>
      <c r="H5" s="2"/>
      <c r="I5" s="2"/>
      <c r="J5" s="2"/>
      <c r="K5" s="2"/>
      <c r="L5" s="2"/>
      <c r="M5" s="2"/>
      <c r="N5" s="2"/>
      <c r="O5" s="2"/>
      <c r="P5" s="2"/>
      <c r="Q5" s="2"/>
    </row>
    <row r="6" spans="1:17">
      <c r="B6" s="2"/>
      <c r="C6" s="2"/>
      <c r="D6" s="2" t="s">
        <v>4179</v>
      </c>
      <c r="E6" s="2"/>
      <c r="F6" s="2"/>
      <c r="G6" s="2"/>
      <c r="H6" s="2"/>
      <c r="I6" s="2"/>
      <c r="J6" s="2"/>
      <c r="K6" s="2"/>
      <c r="L6" s="2"/>
      <c r="M6" s="2"/>
      <c r="N6" s="2"/>
      <c r="O6" s="2"/>
      <c r="P6" s="2"/>
      <c r="Q6" s="2"/>
    </row>
    <row r="7" spans="1:17">
      <c r="B7" s="2"/>
      <c r="C7" s="2" t="s">
        <v>4180</v>
      </c>
      <c r="D7" s="2"/>
      <c r="E7" s="2"/>
      <c r="F7" s="2"/>
      <c r="G7" s="2"/>
      <c r="H7" s="2"/>
      <c r="I7" s="2"/>
      <c r="J7" s="2"/>
      <c r="K7" s="2"/>
      <c r="L7" s="2"/>
      <c r="M7" s="2"/>
      <c r="N7" s="2"/>
      <c r="O7" s="2"/>
      <c r="P7" s="2"/>
      <c r="Q7" s="2"/>
    </row>
    <row r="8" spans="1:17">
      <c r="B8" s="2"/>
      <c r="C8" s="2" t="s">
        <v>4181</v>
      </c>
      <c r="D8" s="2"/>
      <c r="E8" s="2"/>
      <c r="F8" s="2"/>
      <c r="G8" s="2"/>
      <c r="H8" s="2"/>
      <c r="I8" s="2"/>
      <c r="J8" s="2"/>
      <c r="K8" s="2"/>
      <c r="L8" s="2"/>
      <c r="M8" s="2"/>
      <c r="N8" s="2"/>
      <c r="O8" s="2"/>
      <c r="P8" s="2"/>
      <c r="Q8" s="2"/>
    </row>
    <row r="9" spans="1:17">
      <c r="B9" s="2"/>
      <c r="C9" s="2" t="s">
        <v>4182</v>
      </c>
      <c r="D9" s="2"/>
      <c r="E9" s="2"/>
      <c r="F9" s="2"/>
      <c r="G9" s="2"/>
      <c r="H9" s="2"/>
      <c r="I9" s="2"/>
      <c r="J9" s="2"/>
      <c r="K9" s="2"/>
      <c r="L9" s="2"/>
      <c r="M9" s="2"/>
      <c r="N9" s="2"/>
      <c r="O9" s="2"/>
      <c r="P9" s="2"/>
      <c r="Q9" s="2"/>
    </row>
    <row r="10" spans="1:17">
      <c r="B10" s="2"/>
      <c r="C10" s="2"/>
      <c r="D10" s="2" t="s">
        <v>4183</v>
      </c>
      <c r="E10" s="2"/>
      <c r="F10" s="2"/>
      <c r="G10" s="2"/>
      <c r="H10" s="2"/>
      <c r="I10" s="2"/>
      <c r="J10" s="2"/>
      <c r="K10" s="2"/>
      <c r="L10" s="2"/>
      <c r="M10" s="2"/>
      <c r="N10" s="2"/>
      <c r="O10" s="2"/>
      <c r="P10" s="2"/>
      <c r="Q10" s="2"/>
    </row>
    <row r="11" spans="1:17">
      <c r="B11" s="2"/>
      <c r="C11" s="2"/>
      <c r="D11" s="2" t="s">
        <v>4184</v>
      </c>
      <c r="E11" s="2"/>
      <c r="F11" s="2"/>
      <c r="G11" s="2"/>
      <c r="H11" s="2"/>
      <c r="I11" s="2"/>
      <c r="J11" s="2"/>
      <c r="K11" s="2"/>
      <c r="L11" s="2"/>
      <c r="M11" s="2"/>
      <c r="N11" s="2"/>
      <c r="O11" s="2"/>
      <c r="P11" s="2"/>
      <c r="Q11" s="2"/>
    </row>
    <row r="12" spans="1:17">
      <c r="B12" s="2"/>
      <c r="C12" s="2"/>
      <c r="D12" s="2"/>
      <c r="E12" s="2" t="s">
        <v>4185</v>
      </c>
      <c r="F12" s="2"/>
      <c r="G12" s="2"/>
      <c r="H12" s="2"/>
      <c r="I12" s="2"/>
      <c r="J12" s="2"/>
      <c r="K12" s="2"/>
      <c r="L12" s="2"/>
      <c r="M12" s="2"/>
      <c r="N12" s="2"/>
      <c r="O12" s="2"/>
      <c r="P12" s="2"/>
      <c r="Q12" s="2"/>
    </row>
    <row r="13" spans="1:17">
      <c r="B13" s="2"/>
      <c r="C13" s="2"/>
      <c r="D13" s="2"/>
      <c r="E13" s="2" t="s">
        <v>4186</v>
      </c>
      <c r="F13" s="2"/>
      <c r="G13" s="2"/>
      <c r="H13" s="2"/>
      <c r="I13" s="2"/>
      <c r="J13" s="2"/>
      <c r="K13" s="2"/>
      <c r="L13" s="2"/>
      <c r="M13" s="2"/>
      <c r="N13" s="2"/>
      <c r="O13" s="2"/>
      <c r="P13" s="2"/>
      <c r="Q13" s="2"/>
    </row>
    <row r="14" spans="1:17">
      <c r="B14" s="2"/>
      <c r="C14" s="2"/>
      <c r="D14" s="2" t="s">
        <v>4187</v>
      </c>
      <c r="E14" s="2"/>
      <c r="F14" s="2"/>
      <c r="G14" s="2"/>
      <c r="H14" s="2"/>
      <c r="I14" s="2"/>
      <c r="J14" s="2"/>
      <c r="K14" s="2"/>
      <c r="L14" s="2"/>
      <c r="M14" s="2"/>
      <c r="N14" s="2"/>
      <c r="O14" s="2"/>
      <c r="P14" s="2"/>
      <c r="Q14" s="2"/>
    </row>
    <row r="15" spans="1:17">
      <c r="B15" s="2"/>
      <c r="C15" s="2"/>
      <c r="D15" s="2"/>
      <c r="E15" s="2" t="s">
        <v>4188</v>
      </c>
      <c r="F15" s="2"/>
      <c r="G15" s="2"/>
      <c r="H15" s="2"/>
      <c r="I15" s="2"/>
      <c r="J15" s="2"/>
      <c r="K15" s="2"/>
      <c r="L15" s="2"/>
      <c r="M15" s="2"/>
      <c r="N15" s="2"/>
      <c r="O15" s="2"/>
      <c r="P15" s="2"/>
      <c r="Q15" s="2"/>
    </row>
    <row r="16" spans="1:17">
      <c r="B16" s="2"/>
      <c r="C16" s="2" t="s">
        <v>4189</v>
      </c>
      <c r="D16" s="2"/>
      <c r="E16" s="2"/>
      <c r="F16" s="2"/>
      <c r="G16" s="2"/>
      <c r="H16" s="2"/>
      <c r="I16" s="2"/>
      <c r="J16" s="2"/>
      <c r="K16" s="2"/>
      <c r="L16" s="2"/>
      <c r="M16" s="2"/>
      <c r="N16" s="2"/>
      <c r="O16" s="2"/>
      <c r="P16" s="2"/>
      <c r="Q16" s="2"/>
    </row>
    <row r="17" spans="2:17">
      <c r="B17" s="2"/>
      <c r="C17" s="2" t="s">
        <v>4190</v>
      </c>
      <c r="D17" s="2"/>
      <c r="E17" s="2"/>
      <c r="F17" s="2"/>
      <c r="G17" s="2"/>
      <c r="H17" s="2"/>
      <c r="I17" s="2"/>
      <c r="J17" s="2"/>
      <c r="K17" s="2"/>
      <c r="L17" s="2"/>
      <c r="M17" s="2"/>
      <c r="N17" s="2"/>
      <c r="O17" s="2"/>
      <c r="P17" s="2"/>
      <c r="Q17" s="2"/>
    </row>
    <row r="18" spans="2:17">
      <c r="B18" s="2" t="s">
        <v>4191</v>
      </c>
      <c r="C18" s="2"/>
      <c r="D18" s="2"/>
      <c r="E18" s="2"/>
      <c r="F18" s="2"/>
      <c r="G18" s="2"/>
      <c r="H18" s="2"/>
      <c r="I18" s="2"/>
      <c r="J18" s="2"/>
      <c r="K18" s="2"/>
      <c r="L18" s="2"/>
      <c r="M18" s="2"/>
      <c r="N18" s="2"/>
      <c r="O18" s="2"/>
      <c r="P18" s="2"/>
      <c r="Q18" s="2"/>
    </row>
    <row r="19" spans="2:17">
      <c r="B19" s="2"/>
      <c r="C19" s="2" t="s">
        <v>4192</v>
      </c>
      <c r="D19" s="2"/>
      <c r="E19" s="2"/>
      <c r="F19" s="2"/>
      <c r="G19" s="2"/>
      <c r="H19" s="2"/>
      <c r="I19" s="2"/>
      <c r="J19" s="2"/>
      <c r="K19" s="2"/>
      <c r="L19" s="2"/>
      <c r="M19" s="2"/>
      <c r="N19" s="2"/>
      <c r="O19" s="2"/>
      <c r="P19" s="2"/>
      <c r="Q19" s="2"/>
    </row>
    <row r="20" spans="2:17">
      <c r="B20" s="2"/>
      <c r="C20" s="2" t="s">
        <v>4193</v>
      </c>
      <c r="D20" s="2"/>
      <c r="E20" s="2"/>
      <c r="F20" s="2"/>
      <c r="G20" s="2"/>
      <c r="H20" s="2"/>
      <c r="I20" s="2"/>
      <c r="J20" s="2"/>
      <c r="K20" s="2"/>
      <c r="L20" s="2"/>
      <c r="M20" s="2"/>
      <c r="N20" s="2"/>
      <c r="O20" s="2"/>
      <c r="P20" s="2"/>
      <c r="Q20" s="2"/>
    </row>
    <row r="21" spans="2:17">
      <c r="B21" s="2"/>
      <c r="C21" s="2" t="s">
        <v>4194</v>
      </c>
      <c r="D21" s="2"/>
      <c r="E21" s="2"/>
      <c r="F21" s="2"/>
      <c r="G21" s="2"/>
      <c r="H21" s="2"/>
      <c r="I21" s="2"/>
      <c r="J21" s="2"/>
      <c r="K21" s="2"/>
      <c r="L21" s="2"/>
      <c r="M21" s="2"/>
      <c r="N21" s="2"/>
      <c r="O21" s="2"/>
      <c r="P21" s="2"/>
      <c r="Q21" s="2"/>
    </row>
    <row r="22" spans="2:17">
      <c r="B22" s="2"/>
      <c r="C22" s="2"/>
      <c r="D22" s="2" t="s">
        <v>4195</v>
      </c>
      <c r="E22" s="2"/>
      <c r="F22" s="2"/>
      <c r="G22" s="2"/>
      <c r="H22" s="2"/>
      <c r="I22" s="2"/>
      <c r="J22" s="2"/>
      <c r="K22" s="2"/>
      <c r="L22" s="2"/>
      <c r="M22" s="2"/>
      <c r="N22" s="2"/>
      <c r="O22" s="2"/>
      <c r="P22" s="2"/>
      <c r="Q22" s="2"/>
    </row>
    <row r="23" spans="2:17">
      <c r="B23" s="2"/>
      <c r="C23" s="2"/>
      <c r="D23" s="2" t="s">
        <v>4196</v>
      </c>
      <c r="E23" s="2"/>
      <c r="F23" s="2"/>
      <c r="G23" s="2"/>
      <c r="H23" s="2"/>
      <c r="I23" s="2"/>
      <c r="J23" s="2"/>
      <c r="K23" s="2"/>
      <c r="L23" s="2"/>
      <c r="M23" s="2"/>
      <c r="N23" s="2"/>
      <c r="O23" s="2"/>
      <c r="P23" s="2"/>
      <c r="Q23" s="2"/>
    </row>
    <row r="24" spans="2:17">
      <c r="B24" s="2"/>
      <c r="C24" s="2"/>
      <c r="D24" s="2"/>
      <c r="E24" s="2" t="s">
        <v>4197</v>
      </c>
      <c r="F24" s="2"/>
      <c r="G24" s="2"/>
      <c r="H24" s="2"/>
      <c r="I24" s="2"/>
      <c r="J24" s="2"/>
      <c r="K24" s="2"/>
      <c r="L24" s="2"/>
      <c r="M24" s="2"/>
      <c r="N24" s="2"/>
      <c r="O24" s="2"/>
      <c r="P24" s="2"/>
      <c r="Q24" s="2"/>
    </row>
    <row r="25" spans="2:17">
      <c r="B25" s="2" t="s">
        <v>4198</v>
      </c>
      <c r="C25" s="2"/>
      <c r="D25" s="2"/>
      <c r="E25" s="2"/>
      <c r="F25" s="2"/>
      <c r="G25" s="2"/>
      <c r="H25" s="2"/>
      <c r="I25" s="2"/>
      <c r="J25" s="2"/>
      <c r="K25" s="2"/>
      <c r="L25" s="2"/>
      <c r="M25" s="2"/>
      <c r="N25" s="2"/>
      <c r="O25" s="2"/>
      <c r="P25" s="2"/>
      <c r="Q25" s="2"/>
    </row>
    <row r="26" spans="2:17">
      <c r="B26" s="2"/>
      <c r="C26" s="2" t="s">
        <v>4199</v>
      </c>
      <c r="D26" s="2"/>
      <c r="E26" s="2"/>
      <c r="F26" s="2"/>
      <c r="G26" s="2"/>
      <c r="H26" s="2"/>
      <c r="I26" s="2"/>
      <c r="J26" s="2"/>
      <c r="K26" s="2"/>
      <c r="L26" s="2"/>
      <c r="M26" s="2"/>
      <c r="N26" s="2"/>
      <c r="O26" s="2"/>
      <c r="P26" s="2"/>
      <c r="Q26" s="2"/>
    </row>
    <row r="27" spans="2:17">
      <c r="B27" s="2"/>
      <c r="C27" s="2"/>
      <c r="D27" s="2" t="s">
        <v>4200</v>
      </c>
      <c r="E27" s="2"/>
      <c r="F27" s="2"/>
      <c r="G27" s="2"/>
      <c r="H27" s="2"/>
      <c r="I27" s="2"/>
      <c r="J27" s="2"/>
      <c r="K27" s="2"/>
      <c r="L27" s="2"/>
      <c r="M27" s="2"/>
      <c r="N27" s="2"/>
      <c r="O27" s="2"/>
      <c r="P27" s="2"/>
      <c r="Q27" s="2"/>
    </row>
    <row r="28" spans="2:17">
      <c r="B28" s="2"/>
      <c r="C28" s="2"/>
      <c r="D28" s="2" t="s">
        <v>4201</v>
      </c>
      <c r="E28" s="2"/>
      <c r="F28" s="2"/>
      <c r="G28" s="2"/>
      <c r="H28" s="2"/>
      <c r="I28" s="2"/>
      <c r="J28" s="2"/>
      <c r="K28" s="2"/>
      <c r="L28" s="2"/>
      <c r="M28" s="2"/>
      <c r="N28" s="2"/>
      <c r="O28" s="2"/>
      <c r="P28" s="2"/>
      <c r="Q28" s="2"/>
    </row>
    <row r="29" spans="2:17">
      <c r="B29" s="2"/>
      <c r="C29" s="2" t="s">
        <v>4202</v>
      </c>
      <c r="D29" s="2"/>
      <c r="E29" s="2"/>
      <c r="F29" s="2"/>
      <c r="G29" s="2"/>
      <c r="H29" s="2"/>
      <c r="I29" s="2"/>
      <c r="J29" s="2"/>
      <c r="K29" s="2"/>
      <c r="L29" s="2"/>
      <c r="M29" s="2"/>
      <c r="N29" s="2"/>
      <c r="O29" s="2"/>
      <c r="P29" s="2"/>
      <c r="Q29" s="2"/>
    </row>
    <row r="30" spans="2:17">
      <c r="B30" s="2"/>
      <c r="C30" s="2"/>
      <c r="D30" s="2" t="s">
        <v>4203</v>
      </c>
      <c r="E30" s="2"/>
      <c r="F30" s="2"/>
      <c r="G30" s="2"/>
      <c r="H30" s="2"/>
      <c r="I30" s="2"/>
      <c r="J30" s="2"/>
      <c r="K30" s="2"/>
      <c r="L30" s="2"/>
      <c r="M30" s="2"/>
      <c r="N30" s="2"/>
      <c r="O30" s="2"/>
      <c r="P30" s="2"/>
      <c r="Q30" s="2"/>
    </row>
    <row r="31" spans="2:17">
      <c r="B31" s="2"/>
      <c r="C31" s="2"/>
      <c r="D31" s="2"/>
      <c r="E31" s="2" t="s">
        <v>4204</v>
      </c>
      <c r="F31" s="2"/>
      <c r="G31" s="2"/>
      <c r="H31" s="2"/>
      <c r="I31" s="2"/>
      <c r="J31" s="2"/>
      <c r="K31" s="2"/>
      <c r="L31" s="2"/>
      <c r="M31" s="2"/>
      <c r="N31" s="2"/>
      <c r="O31" s="2"/>
      <c r="P31" s="2"/>
      <c r="Q31" s="2"/>
    </row>
    <row r="32" spans="2:17">
      <c r="B32" s="2"/>
      <c r="C32" s="2"/>
      <c r="D32" s="2" t="s">
        <v>4205</v>
      </c>
      <c r="E32" s="2"/>
      <c r="F32" s="2"/>
      <c r="G32" s="2"/>
      <c r="H32" s="2"/>
      <c r="I32" s="2"/>
      <c r="J32" s="2"/>
      <c r="K32" s="2"/>
      <c r="L32" s="2"/>
      <c r="M32" s="2"/>
      <c r="N32" s="2"/>
      <c r="O32" s="2"/>
      <c r="P32" s="2"/>
      <c r="Q32" s="2"/>
    </row>
    <row r="33" spans="2:17">
      <c r="B33" s="2"/>
      <c r="C33" s="2"/>
      <c r="D33" s="2"/>
      <c r="E33" s="2" t="s">
        <v>4206</v>
      </c>
      <c r="F33" s="2"/>
      <c r="G33" s="2"/>
      <c r="H33" s="2"/>
      <c r="I33" s="2"/>
      <c r="J33" s="2"/>
      <c r="K33" s="2"/>
      <c r="L33" s="2"/>
      <c r="M33" s="2"/>
      <c r="N33" s="2"/>
      <c r="O33" s="2"/>
      <c r="P33" s="2"/>
      <c r="Q33" s="2"/>
    </row>
    <row r="34" spans="2:17">
      <c r="B34" s="2"/>
      <c r="C34" s="2"/>
      <c r="D34" s="2"/>
      <c r="E34" s="2" t="s">
        <v>4207</v>
      </c>
      <c r="F34" s="2"/>
      <c r="G34" s="2"/>
      <c r="H34" s="2"/>
      <c r="I34" s="2"/>
      <c r="J34" s="2"/>
      <c r="K34" s="2"/>
      <c r="L34" s="2"/>
      <c r="M34" s="2"/>
      <c r="N34" s="2"/>
      <c r="O34" s="2"/>
      <c r="P34" s="2"/>
      <c r="Q34" s="2"/>
    </row>
    <row r="35" spans="2:17">
      <c r="B35" s="2" t="s">
        <v>4208</v>
      </c>
      <c r="C35" s="2"/>
      <c r="D35" s="2"/>
      <c r="E35" s="2"/>
      <c r="F35" s="2"/>
      <c r="G35" s="2"/>
      <c r="H35" s="2"/>
      <c r="I35" s="2"/>
      <c r="J35" s="2"/>
      <c r="K35" s="2"/>
      <c r="L35" s="2"/>
      <c r="M35" s="2"/>
      <c r="N35" s="2"/>
      <c r="O35" s="2"/>
      <c r="P35" s="2"/>
      <c r="Q35" s="2"/>
    </row>
    <row r="36" spans="2:17">
      <c r="B36" s="2"/>
      <c r="C36" s="2" t="s">
        <v>4209</v>
      </c>
      <c r="D36" s="2"/>
      <c r="E36" s="2"/>
      <c r="F36" s="2"/>
      <c r="G36" s="2"/>
      <c r="H36" s="2"/>
      <c r="I36" s="2"/>
      <c r="J36" s="2"/>
      <c r="K36" s="2"/>
      <c r="L36" s="2"/>
      <c r="M36" s="2"/>
      <c r="N36" s="2"/>
      <c r="O36" s="2"/>
      <c r="P36" s="2"/>
      <c r="Q36" s="2"/>
    </row>
    <row r="37" spans="2:17">
      <c r="B37" s="2" t="s">
        <v>4210</v>
      </c>
      <c r="C37" s="2"/>
      <c r="D37" s="2"/>
      <c r="E37" s="2"/>
      <c r="F37" s="2"/>
      <c r="G37" s="2"/>
      <c r="H37" s="2"/>
      <c r="I37" s="2"/>
      <c r="J37" s="2"/>
      <c r="K37" s="2"/>
      <c r="L37" s="2"/>
      <c r="M37" s="2"/>
      <c r="N37" s="2"/>
      <c r="O37" s="2"/>
      <c r="P37" s="2"/>
      <c r="Q37" s="2"/>
    </row>
    <row r="38" spans="2:17">
      <c r="B38" s="2"/>
      <c r="C38" s="2" t="s">
        <v>4211</v>
      </c>
      <c r="D38" s="2"/>
      <c r="E38" s="2"/>
      <c r="F38" s="2"/>
      <c r="G38" s="2"/>
      <c r="H38" s="2"/>
      <c r="I38" s="2"/>
      <c r="J38" s="2"/>
      <c r="K38" s="2"/>
      <c r="L38" s="2"/>
      <c r="M38" s="2"/>
      <c r="N38" s="2"/>
      <c r="O38" s="2"/>
      <c r="P38" s="2"/>
      <c r="Q38" s="2"/>
    </row>
    <row r="39" spans="2:17">
      <c r="B39" s="2"/>
      <c r="C39" s="2" t="s">
        <v>4212</v>
      </c>
      <c r="D39" s="2"/>
      <c r="E39" s="2"/>
      <c r="F39" s="2"/>
      <c r="G39" s="2"/>
      <c r="H39" s="2"/>
      <c r="I39" s="2"/>
      <c r="J39" s="2"/>
      <c r="K39" s="2"/>
      <c r="L39" s="2"/>
      <c r="M39" s="2"/>
      <c r="N39" s="2"/>
      <c r="O39" s="2"/>
      <c r="P39" s="2"/>
      <c r="Q39" s="2"/>
    </row>
    <row r="40" spans="2:17">
      <c r="B40" s="2"/>
      <c r="C40" s="2"/>
      <c r="D40" s="2" t="s">
        <v>4213</v>
      </c>
      <c r="E40" s="2"/>
      <c r="F40" s="2"/>
      <c r="G40" s="2"/>
      <c r="H40" s="2"/>
      <c r="I40" s="2"/>
      <c r="J40" s="2"/>
      <c r="K40" s="2"/>
      <c r="L40" s="2"/>
      <c r="M40" s="2"/>
      <c r="N40" s="2"/>
      <c r="O40" s="2"/>
      <c r="P40" s="2"/>
      <c r="Q40" s="2"/>
    </row>
    <row r="41" spans="2:17">
      <c r="B41" s="2"/>
      <c r="C41" s="2"/>
      <c r="D41" s="2"/>
      <c r="E41" s="2" t="s">
        <v>4214</v>
      </c>
      <c r="F41" s="2"/>
      <c r="G41" s="2"/>
      <c r="H41" s="2"/>
      <c r="I41" s="2"/>
      <c r="J41" s="2"/>
      <c r="K41" s="2"/>
      <c r="L41" s="2"/>
      <c r="M41" s="2"/>
      <c r="N41" s="2"/>
      <c r="O41" s="2"/>
      <c r="P41" s="2"/>
      <c r="Q41" s="2"/>
    </row>
    <row r="42" spans="2:17">
      <c r="B42" s="2"/>
      <c r="C42" s="2"/>
      <c r="D42" s="2"/>
      <c r="E42" s="2" t="s">
        <v>4215</v>
      </c>
      <c r="F42" s="2"/>
      <c r="G42" s="2"/>
      <c r="H42" s="2"/>
      <c r="I42" s="2"/>
      <c r="J42" s="2"/>
      <c r="K42" s="2"/>
      <c r="L42" s="2"/>
      <c r="M42" s="2"/>
      <c r="N42" s="2"/>
      <c r="O42" s="2"/>
      <c r="P42" s="2"/>
      <c r="Q42" s="2"/>
    </row>
    <row r="43" spans="2:17">
      <c r="B43" s="2"/>
      <c r="C43" s="2" t="s">
        <v>4216</v>
      </c>
      <c r="D43" s="2"/>
      <c r="E43" s="2"/>
      <c r="F43" s="2"/>
      <c r="G43" s="2"/>
      <c r="H43" s="2"/>
      <c r="I43" s="2"/>
      <c r="J43" s="2"/>
      <c r="K43" s="2"/>
      <c r="L43" s="2"/>
      <c r="M43" s="2"/>
      <c r="N43" s="2"/>
      <c r="O43" s="2"/>
      <c r="P43" s="2"/>
      <c r="Q43" s="2"/>
    </row>
    <row r="44" spans="2:17">
      <c r="B44" s="2"/>
      <c r="C44" s="2"/>
      <c r="D44" s="2" t="s">
        <v>4217</v>
      </c>
      <c r="E44" s="2"/>
      <c r="F44" s="2"/>
      <c r="G44" s="2"/>
      <c r="H44" s="2"/>
      <c r="I44" s="2"/>
      <c r="J44" s="2"/>
      <c r="K44" s="2"/>
      <c r="L44" s="2"/>
      <c r="M44" s="2"/>
      <c r="N44" s="2"/>
      <c r="O44" s="2"/>
      <c r="P44" s="2"/>
      <c r="Q44" s="2"/>
    </row>
    <row r="45" spans="2:17">
      <c r="B45" s="2"/>
      <c r="C45" s="2"/>
      <c r="D45" s="2" t="s">
        <v>4218</v>
      </c>
      <c r="E45" s="2"/>
      <c r="F45" s="2"/>
      <c r="G45" s="2"/>
      <c r="H45" s="2"/>
      <c r="I45" s="2"/>
      <c r="J45" s="2"/>
      <c r="K45" s="2"/>
      <c r="L45" s="2"/>
      <c r="M45" s="2"/>
      <c r="N45" s="2"/>
      <c r="O45" s="2"/>
      <c r="P45" s="2"/>
      <c r="Q45" s="2"/>
    </row>
    <row r="46" spans="2:17">
      <c r="B46" s="2"/>
      <c r="C46" s="2"/>
      <c r="D46" s="2" t="s">
        <v>4219</v>
      </c>
      <c r="E46" s="2"/>
      <c r="F46" s="2"/>
      <c r="G46" s="2"/>
      <c r="H46" s="2"/>
      <c r="I46" s="2"/>
      <c r="J46" s="2"/>
      <c r="K46" s="2"/>
      <c r="L46" s="2"/>
      <c r="M46" s="2"/>
      <c r="N46" s="2"/>
      <c r="O46" s="2"/>
      <c r="P46" s="2"/>
      <c r="Q46" s="2"/>
    </row>
    <row r="47" spans="2:17">
      <c r="B47" s="2" t="s">
        <v>4220</v>
      </c>
      <c r="C47" s="2"/>
      <c r="D47" s="2"/>
      <c r="E47" s="2"/>
      <c r="F47" s="2"/>
      <c r="G47" s="2"/>
      <c r="H47" s="2"/>
      <c r="I47" s="2"/>
      <c r="J47" s="2"/>
      <c r="K47" s="2"/>
      <c r="L47" s="2"/>
      <c r="M47" s="2"/>
      <c r="N47" s="2"/>
      <c r="O47" s="2"/>
      <c r="P47" s="2"/>
      <c r="Q47" s="2"/>
    </row>
    <row r="48" spans="2:17">
      <c r="B48" s="2"/>
      <c r="C48" s="2" t="s">
        <v>4221</v>
      </c>
      <c r="D48" s="2"/>
      <c r="E48" s="2"/>
      <c r="F48" s="2"/>
      <c r="G48" s="2"/>
      <c r="H48" s="2"/>
      <c r="I48" s="2"/>
      <c r="J48" s="2"/>
      <c r="K48" s="2"/>
      <c r="L48" s="2"/>
      <c r="M48" s="2"/>
      <c r="N48" s="2"/>
      <c r="O48" s="2"/>
      <c r="P48" s="2"/>
      <c r="Q48" s="2"/>
    </row>
    <row r="49" spans="2:17">
      <c r="B49" s="2"/>
      <c r="C49" s="2"/>
      <c r="D49" s="2" t="s">
        <v>4222</v>
      </c>
      <c r="E49" s="2"/>
      <c r="F49" s="2"/>
      <c r="G49" s="2"/>
      <c r="H49" s="2"/>
      <c r="I49" s="2"/>
      <c r="J49" s="2"/>
      <c r="K49" s="2"/>
      <c r="L49" s="2"/>
      <c r="M49" s="2"/>
      <c r="N49" s="2"/>
      <c r="O49" s="2"/>
      <c r="P49" s="2"/>
      <c r="Q49" s="2"/>
    </row>
    <row r="50" spans="2:17">
      <c r="B50" s="2"/>
      <c r="C50" s="2"/>
      <c r="D50" s="2" t="s">
        <v>4223</v>
      </c>
      <c r="E50" s="2"/>
      <c r="F50" s="2"/>
      <c r="G50" s="2"/>
      <c r="H50" s="2"/>
      <c r="I50" s="2"/>
      <c r="J50" s="2"/>
      <c r="K50" s="2"/>
      <c r="L50" s="2"/>
      <c r="M50" s="2"/>
      <c r="N50" s="2"/>
      <c r="O50" s="2"/>
      <c r="P50" s="2"/>
      <c r="Q50" s="2"/>
    </row>
    <row r="51" spans="2:17">
      <c r="B51" s="2"/>
      <c r="C51" s="2"/>
      <c r="D51" s="2" t="s">
        <v>4224</v>
      </c>
      <c r="E51" s="2"/>
      <c r="F51" s="2"/>
      <c r="G51" s="2"/>
      <c r="H51" s="2"/>
      <c r="I51" s="2"/>
      <c r="J51" s="2"/>
      <c r="K51" s="2"/>
      <c r="L51" s="2"/>
      <c r="M51" s="2"/>
      <c r="N51" s="2"/>
      <c r="O51" s="2"/>
      <c r="P51" s="2"/>
      <c r="Q51" s="2"/>
    </row>
    <row r="52" spans="2:17">
      <c r="B52" s="2"/>
      <c r="C52" s="2"/>
      <c r="D52" s="2" t="s">
        <v>4225</v>
      </c>
      <c r="E52" s="2"/>
      <c r="F52" s="2"/>
      <c r="G52" s="2"/>
      <c r="H52" s="2"/>
      <c r="I52" s="2"/>
      <c r="J52" s="2"/>
      <c r="K52" s="2"/>
      <c r="L52" s="2"/>
      <c r="M52" s="2"/>
      <c r="N52" s="2"/>
      <c r="O52" s="2"/>
      <c r="P52" s="2"/>
      <c r="Q52" s="2"/>
    </row>
    <row r="53" spans="2:17">
      <c r="B53" s="2"/>
      <c r="C53" s="2"/>
      <c r="D53" s="2" t="s">
        <v>4226</v>
      </c>
      <c r="E53" s="2"/>
      <c r="F53" s="2"/>
      <c r="G53" s="2"/>
      <c r="H53" s="2"/>
      <c r="I53" s="2"/>
      <c r="J53" s="2"/>
      <c r="K53" s="2"/>
      <c r="L53" s="2"/>
      <c r="M53" s="2"/>
      <c r="N53" s="2"/>
      <c r="O53" s="2"/>
      <c r="P53" s="2"/>
      <c r="Q53" s="2"/>
    </row>
    <row r="54" spans="2:17">
      <c r="B54" s="2"/>
      <c r="C54" s="2" t="s">
        <v>4227</v>
      </c>
      <c r="D54" s="2"/>
      <c r="E54" s="2"/>
      <c r="F54" s="2"/>
      <c r="G54" s="2"/>
      <c r="H54" s="2"/>
      <c r="I54" s="2"/>
      <c r="J54" s="2"/>
      <c r="K54" s="2"/>
      <c r="L54" s="2"/>
      <c r="M54" s="2"/>
      <c r="N54" s="2"/>
      <c r="O54" s="2"/>
      <c r="P54" s="2"/>
      <c r="Q54" s="2"/>
    </row>
    <row r="55" spans="2:17">
      <c r="B55" s="2"/>
      <c r="C55" s="2"/>
      <c r="D55" s="2" t="s">
        <v>4228</v>
      </c>
      <c r="E55" s="2"/>
      <c r="F55" s="2"/>
      <c r="G55" s="2"/>
      <c r="H55" s="2"/>
      <c r="I55" s="2"/>
      <c r="J55" s="2"/>
      <c r="K55" s="2"/>
      <c r="L55" s="2"/>
      <c r="M55" s="2"/>
      <c r="N55" s="2"/>
      <c r="O55" s="2"/>
      <c r="P55" s="2"/>
      <c r="Q55" s="2"/>
    </row>
    <row r="56" spans="2:17">
      <c r="B56" s="2"/>
      <c r="C56" s="2"/>
      <c r="D56" s="2"/>
      <c r="E56" s="2" t="s">
        <v>4229</v>
      </c>
      <c r="F56" s="2"/>
      <c r="G56" s="2"/>
      <c r="H56" s="2"/>
      <c r="I56" s="2"/>
      <c r="J56" s="2"/>
      <c r="K56" s="2"/>
      <c r="L56" s="2"/>
      <c r="M56" s="2"/>
      <c r="N56" s="2"/>
      <c r="O56" s="2"/>
      <c r="P56" s="2"/>
      <c r="Q56" s="2"/>
    </row>
    <row r="57" spans="2:17">
      <c r="B57" s="2"/>
      <c r="C57" s="2"/>
      <c r="D57" s="2"/>
      <c r="E57" s="2" t="s">
        <v>4230</v>
      </c>
      <c r="F57" s="2"/>
      <c r="G57" s="2"/>
      <c r="H57" s="2"/>
      <c r="I57" s="2"/>
      <c r="J57" s="2"/>
      <c r="K57" s="2"/>
      <c r="L57" s="2"/>
      <c r="M57" s="2"/>
      <c r="N57" s="2"/>
      <c r="O57" s="2"/>
      <c r="P57" s="2"/>
      <c r="Q57" s="2"/>
    </row>
    <row r="58" spans="2:17">
      <c r="B58" t="s">
        <v>4231</v>
      </c>
    </row>
    <row r="59" spans="2:17">
      <c r="C59" t="s">
        <v>4232</v>
      </c>
    </row>
    <row r="60" spans="2:17">
      <c r="C60" t="s">
        <v>4233</v>
      </c>
    </row>
    <row r="61" spans="2:17">
      <c r="C61" t="s">
        <v>4234</v>
      </c>
    </row>
    <row r="62" spans="2:17">
      <c r="B62" t="s">
        <v>4235</v>
      </c>
    </row>
    <row r="63" spans="2:17">
      <c r="C63" t="s">
        <v>4236</v>
      </c>
    </row>
    <row r="64" spans="2:17">
      <c r="C64" t="s">
        <v>4237</v>
      </c>
    </row>
    <row r="65" spans="2:3">
      <c r="C65" t="s">
        <v>4238</v>
      </c>
    </row>
    <row r="66" spans="2:3">
      <c r="B66" t="s">
        <v>4239</v>
      </c>
    </row>
    <row r="67" spans="2:3">
      <c r="C67" t="s">
        <v>4240</v>
      </c>
    </row>
    <row r="68" spans="2:3">
      <c r="C68" t="s">
        <v>4241</v>
      </c>
    </row>
    <row r="69" spans="2:3">
      <c r="C69" t="s">
        <v>4242</v>
      </c>
    </row>
    <row r="70" spans="2:3">
      <c r="B70" t="s">
        <v>4243</v>
      </c>
    </row>
    <row r="71" spans="2:3">
      <c r="C71" t="s">
        <v>4244</v>
      </c>
    </row>
    <row r="72" spans="2:3">
      <c r="C72" t="s">
        <v>4245</v>
      </c>
    </row>
    <row r="73" spans="2:3">
      <c r="B73" t="s">
        <v>4246</v>
      </c>
    </row>
    <row r="74" spans="2:3">
      <c r="C74" t="s">
        <v>4247</v>
      </c>
    </row>
    <row r="75" spans="2:3">
      <c r="C75" t="s">
        <v>4248</v>
      </c>
    </row>
    <row r="76" spans="2:3">
      <c r="C76" t="s">
        <v>4249</v>
      </c>
    </row>
    <row r="77" spans="2:3">
      <c r="B77" t="s">
        <v>4250</v>
      </c>
    </row>
    <row r="78" spans="2:3">
      <c r="C78" t="s">
        <v>4251</v>
      </c>
    </row>
    <row r="79" spans="2:3">
      <c r="C79" t="s">
        <v>4252</v>
      </c>
    </row>
    <row r="80" spans="2:3">
      <c r="C80" t="s">
        <v>4253</v>
      </c>
    </row>
    <row r="81" spans="2:3">
      <c r="C81" t="s">
        <v>4254</v>
      </c>
    </row>
    <row r="82" spans="2:3">
      <c r="B82" t="s">
        <v>4255</v>
      </c>
    </row>
    <row r="83" spans="2:3">
      <c r="B83" t="s">
        <v>4256</v>
      </c>
    </row>
    <row r="84" spans="2:3">
      <c r="C84" t="s">
        <v>4257</v>
      </c>
    </row>
    <row r="85" spans="2:3">
      <c r="B85" t="s">
        <v>4258</v>
      </c>
    </row>
    <row r="86" spans="2:3">
      <c r="C86" t="s">
        <v>4247</v>
      </c>
    </row>
    <row r="87" spans="2:3">
      <c r="C87" t="s">
        <v>4259</v>
      </c>
    </row>
    <row r="88" spans="2:3">
      <c r="C88" t="s">
        <v>4260</v>
      </c>
    </row>
    <row r="89" spans="2:3">
      <c r="C89" t="s">
        <v>4261</v>
      </c>
    </row>
    <row r="90" spans="2:3">
      <c r="B90" t="s">
        <v>4262</v>
      </c>
    </row>
    <row r="91" spans="2:3">
      <c r="B91" t="s">
        <v>4263</v>
      </c>
    </row>
    <row r="92" spans="2:3">
      <c r="C92" t="s">
        <v>4264</v>
      </c>
    </row>
    <row r="93" spans="2:3">
      <c r="C93" t="s">
        <v>4265</v>
      </c>
    </row>
    <row r="94" spans="2:3">
      <c r="C94" t="s">
        <v>4266</v>
      </c>
    </row>
    <row r="95" spans="2:3">
      <c r="C95" t="s">
        <v>4267</v>
      </c>
    </row>
    <row r="96" spans="2:3">
      <c r="B96" t="s">
        <v>4268</v>
      </c>
    </row>
    <row r="97" spans="2:3">
      <c r="B97" t="s">
        <v>4269</v>
      </c>
    </row>
    <row r="98" spans="2:3">
      <c r="B98" t="s">
        <v>4270</v>
      </c>
    </row>
    <row r="99" spans="2:3">
      <c r="C99" t="s">
        <v>4271</v>
      </c>
    </row>
    <row r="100" spans="2:3">
      <c r="B100" t="s">
        <v>4272</v>
      </c>
    </row>
    <row r="101" spans="2:3">
      <c r="C101" t="s">
        <v>4273</v>
      </c>
    </row>
    <row r="102" spans="2:3">
      <c r="B102" t="s">
        <v>4274</v>
      </c>
    </row>
    <row r="103" spans="2:3">
      <c r="C103" t="s">
        <v>4275</v>
      </c>
    </row>
    <row r="104" spans="2:3">
      <c r="B104" t="s">
        <v>4276</v>
      </c>
    </row>
    <row r="105" spans="2:3">
      <c r="B105" t="s">
        <v>4277</v>
      </c>
    </row>
    <row r="106" spans="2:3">
      <c r="B106" t="s">
        <v>4278</v>
      </c>
    </row>
    <row r="107" spans="2:3">
      <c r="B107" t="s">
        <v>4279</v>
      </c>
    </row>
    <row r="108" spans="2:3">
      <c r="C108" t="s">
        <v>4280</v>
      </c>
    </row>
    <row r="109" spans="2:3">
      <c r="C109" t="s">
        <v>4281</v>
      </c>
    </row>
    <row r="110" spans="2:3">
      <c r="B110" t="s">
        <v>4282</v>
      </c>
    </row>
    <row r="111" spans="2:3">
      <c r="B111" t="s">
        <v>4283</v>
      </c>
    </row>
    <row r="112" spans="2:3">
      <c r="B112" t="s">
        <v>4284</v>
      </c>
    </row>
    <row r="113" spans="2:3">
      <c r="B113" t="s">
        <v>4285</v>
      </c>
    </row>
    <row r="114" spans="2:3">
      <c r="B114" t="s">
        <v>4286</v>
      </c>
    </row>
    <row r="115" spans="2:3">
      <c r="C115" t="s">
        <v>4287</v>
      </c>
    </row>
    <row r="116" spans="2:3">
      <c r="C116" t="s">
        <v>4288</v>
      </c>
    </row>
    <row r="117" spans="2:3">
      <c r="C117" t="s">
        <v>4289</v>
      </c>
    </row>
    <row r="118" spans="2:3">
      <c r="C118" t="s">
        <v>4290</v>
      </c>
    </row>
    <row r="119" spans="2:3">
      <c r="B119" t="s">
        <v>4291</v>
      </c>
    </row>
    <row r="120" spans="2:3">
      <c r="B120" t="s">
        <v>4292</v>
      </c>
    </row>
    <row r="121" spans="2:3">
      <c r="C121" t="s">
        <v>4293</v>
      </c>
    </row>
    <row r="122" spans="2:3">
      <c r="C122" t="s">
        <v>4294</v>
      </c>
    </row>
    <row r="123" spans="2:3">
      <c r="C123" t="s">
        <v>4295</v>
      </c>
    </row>
    <row r="124" spans="2:3">
      <c r="C124" t="s">
        <v>4296</v>
      </c>
    </row>
    <row r="125" spans="2:3">
      <c r="C125" t="s">
        <v>4297</v>
      </c>
    </row>
    <row r="126" spans="2:3">
      <c r="C126" t="s">
        <v>4298</v>
      </c>
    </row>
    <row r="127" spans="2:3">
      <c r="B127" t="s">
        <v>4299</v>
      </c>
    </row>
    <row r="128" spans="2:3">
      <c r="B128" t="s">
        <v>4300</v>
      </c>
    </row>
    <row r="129" spans="2:4">
      <c r="B129" t="s">
        <v>4301</v>
      </c>
    </row>
    <row r="130" spans="2:4">
      <c r="C130" t="s">
        <v>4302</v>
      </c>
    </row>
    <row r="131" spans="2:4">
      <c r="C131" t="s">
        <v>4303</v>
      </c>
    </row>
    <row r="132" spans="2:4">
      <c r="C132" t="s">
        <v>4304</v>
      </c>
    </row>
    <row r="133" spans="2:4">
      <c r="D133" t="s">
        <v>4305</v>
      </c>
    </row>
    <row r="134" spans="2:4">
      <c r="B134" t="s">
        <v>4306</v>
      </c>
    </row>
    <row r="135" spans="2:4">
      <c r="B135" t="s">
        <v>4307</v>
      </c>
    </row>
    <row r="136" spans="2:4">
      <c r="C136" t="s">
        <v>4308</v>
      </c>
    </row>
    <row r="137" spans="2:4">
      <c r="B137" t="s">
        <v>4309</v>
      </c>
    </row>
    <row r="138" spans="2:4">
      <c r="B138" t="s">
        <v>4310</v>
      </c>
    </row>
  </sheetData>
  <pageMargins left="0.75" right="0.75" top="1" bottom="1" header="0.5" footer="0.5"/>
  <pageSetup paperSize="9" orientation="portrait"/>
  <headerFooter/>
</worksheet>
</file>

<file path=xl/worksheets/sheet2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61"/>
  <sheetViews>
    <sheetView topLeftCell="A31" workbookViewId="0">
      <selection activeCell="B59" sqref="B59"/>
    </sheetView>
  </sheetViews>
  <sheetFormatPr defaultColWidth="8.88888888888889" defaultRowHeight="14.4" outlineLevelCol="7"/>
  <cols>
    <col min="1" max="1" width="9.66666666666667"/>
  </cols>
  <sheetData>
    <row r="1" spans="1:8">
      <c r="A1" s="1">
        <f>SUM(B1:AZ1)</f>
        <v>22.9833333333333</v>
      </c>
      <c r="B1" s="1">
        <f t="shared" ref="B1:H1" si="0">COUNTA(B2:B2199)/COLUMN()</f>
        <v>13</v>
      </c>
      <c r="C1" s="1">
        <f t="shared" si="0"/>
        <v>6.33333333333333</v>
      </c>
      <c r="D1" s="1">
        <f t="shared" si="0"/>
        <v>3.25</v>
      </c>
      <c r="E1" s="1">
        <f t="shared" si="0"/>
        <v>0.4</v>
      </c>
      <c r="F1" s="1">
        <f t="shared" si="0"/>
        <v>0</v>
      </c>
      <c r="G1" s="1">
        <f t="shared" si="0"/>
        <v>0</v>
      </c>
      <c r="H1" s="1">
        <f t="shared" si="0"/>
        <v>0</v>
      </c>
    </row>
    <row r="2" spans="1:8">
      <c r="A2" t="str" cm="1">
        <f ca="1" t="array" ref="A2">_wpsfn.SHEETSNAME(A1)</f>
        <v>20251129</v>
      </c>
      <c r="B2" t="s">
        <v>4311</v>
      </c>
    </row>
    <row r="3" spans="1:8">
      <c r="B3" t="s">
        <v>4312</v>
      </c>
    </row>
    <row r="4" spans="1:8">
      <c r="C4" t="s">
        <v>4313</v>
      </c>
    </row>
    <row r="5" spans="1:8">
      <c r="C5" t="s">
        <v>4314</v>
      </c>
    </row>
    <row r="6" spans="1:8">
      <c r="C6" t="s">
        <v>4315</v>
      </c>
    </row>
    <row r="7" spans="1:8">
      <c r="B7" t="s">
        <v>4316</v>
      </c>
    </row>
    <row r="8" spans="1:8">
      <c r="C8" t="s">
        <v>4317</v>
      </c>
    </row>
    <row r="9" spans="1:8">
      <c r="C9" t="s">
        <v>4318</v>
      </c>
    </row>
    <row r="10" spans="1:8">
      <c r="B10" t="s">
        <v>4319</v>
      </c>
    </row>
    <row r="11" spans="1:8">
      <c r="B11" t="s">
        <v>4320</v>
      </c>
    </row>
    <row r="12" spans="1:8">
      <c r="C12" t="s">
        <v>4321</v>
      </c>
    </row>
    <row r="13" spans="1:8">
      <c r="B13" t="s">
        <v>4322</v>
      </c>
    </row>
    <row r="14" spans="1:8">
      <c r="B14" t="s">
        <v>4323</v>
      </c>
    </row>
    <row r="15" spans="1:8">
      <c r="B15" t="s">
        <v>4324</v>
      </c>
    </row>
    <row r="16" spans="1:8">
      <c r="C16" t="s">
        <v>4325</v>
      </c>
    </row>
    <row r="17" spans="2:3">
      <c r="C17" t="s">
        <v>4326</v>
      </c>
    </row>
    <row r="18" spans="2:3">
      <c r="B18" t="s">
        <v>4327</v>
      </c>
    </row>
    <row r="19" spans="2:3">
      <c r="B19" t="s">
        <v>4328</v>
      </c>
    </row>
    <row r="20" spans="2:3">
      <c r="B20" t="s">
        <v>4329</v>
      </c>
    </row>
    <row r="21" spans="2:3">
      <c r="B21" t="s">
        <v>4330</v>
      </c>
    </row>
    <row r="22" spans="2:3">
      <c r="B22" t="s">
        <v>4331</v>
      </c>
    </row>
    <row r="23" spans="2:3">
      <c r="B23" t="s">
        <v>4332</v>
      </c>
    </row>
    <row r="24" spans="2:3">
      <c r="B24" t="s">
        <v>4333</v>
      </c>
    </row>
    <row r="25" spans="2:3">
      <c r="C25" t="s">
        <v>4334</v>
      </c>
    </row>
    <row r="26" spans="2:3">
      <c r="C26" t="s">
        <v>4335</v>
      </c>
    </row>
    <row r="27" spans="2:3">
      <c r="B27" t="s">
        <v>4336</v>
      </c>
    </row>
    <row r="28" spans="2:3">
      <c r="B28" t="s">
        <v>4337</v>
      </c>
    </row>
    <row r="29" spans="2:3">
      <c r="B29" t="s">
        <v>4338</v>
      </c>
    </row>
    <row r="30" spans="2:3">
      <c r="B30" t="s">
        <v>4339</v>
      </c>
    </row>
    <row r="31" spans="2:3">
      <c r="B31" t="s">
        <v>4340</v>
      </c>
    </row>
    <row r="32" spans="2:3">
      <c r="C32" t="s">
        <v>4341</v>
      </c>
    </row>
    <row r="33" spans="3:5">
      <c r="D33" t="s">
        <v>4342</v>
      </c>
    </row>
    <row r="34" spans="3:5">
      <c r="D34" t="s">
        <v>4343</v>
      </c>
    </row>
    <row r="35" spans="3:5">
      <c r="E35" t="s">
        <v>4344</v>
      </c>
    </row>
    <row r="36" spans="3:5">
      <c r="D36" t="s">
        <v>4345</v>
      </c>
    </row>
    <row r="37" spans="3:5">
      <c r="D37" t="s">
        <v>4346</v>
      </c>
    </row>
    <row r="38" spans="3:5">
      <c r="E38" t="s">
        <v>4347</v>
      </c>
    </row>
    <row r="39" spans="3:5">
      <c r="C39" t="s">
        <v>4348</v>
      </c>
    </row>
    <row r="40" spans="3:5">
      <c r="D40" t="s">
        <v>4349</v>
      </c>
    </row>
    <row r="41" spans="3:5">
      <c r="D41" t="s">
        <v>4350</v>
      </c>
    </row>
    <row r="42" spans="3:5">
      <c r="D42" t="s">
        <v>4351</v>
      </c>
    </row>
    <row r="43" spans="3:5">
      <c r="C43" t="s">
        <v>4352</v>
      </c>
    </row>
    <row r="44" spans="3:5">
      <c r="D44" t="s">
        <v>4353</v>
      </c>
    </row>
    <row r="45" spans="3:5">
      <c r="D45" t="s">
        <v>4354</v>
      </c>
    </row>
    <row r="46" spans="3:5">
      <c r="D46" t="s">
        <v>4355</v>
      </c>
    </row>
    <row r="47" spans="3:5">
      <c r="C47" t="s">
        <v>4356</v>
      </c>
    </row>
    <row r="48" spans="3:5">
      <c r="D48" t="s">
        <v>4357</v>
      </c>
    </row>
    <row r="49" spans="2:4">
      <c r="D49" t="s">
        <v>4358</v>
      </c>
    </row>
    <row r="50" spans="2:4">
      <c r="D50" t="s">
        <v>4359</v>
      </c>
    </row>
    <row r="51" spans="2:4">
      <c r="B51" t="s">
        <v>4360</v>
      </c>
    </row>
    <row r="52" spans="2:4">
      <c r="C52" t="s">
        <v>4361</v>
      </c>
    </row>
    <row r="53" spans="2:4">
      <c r="C53" t="s">
        <v>4362</v>
      </c>
    </row>
    <row r="54" spans="2:4">
      <c r="C54" t="s">
        <v>4363</v>
      </c>
    </row>
    <row r="55" spans="2:4">
      <c r="B55" t="s">
        <v>4364</v>
      </c>
    </row>
    <row r="56" spans="2:4">
      <c r="B56" t="s">
        <v>4365</v>
      </c>
    </row>
    <row r="57" spans="2:4">
      <c r="C57" t="s">
        <v>4366</v>
      </c>
    </row>
    <row r="58" spans="2:4">
      <c r="B58" t="s">
        <v>4367</v>
      </c>
    </row>
    <row r="59" spans="2:4">
      <c r="B59" t="s">
        <v>4368</v>
      </c>
    </row>
    <row r="60" spans="2:4">
      <c r="B60" t="s">
        <v>4369</v>
      </c>
    </row>
    <row r="61" spans="2:4">
      <c r="C61" t="s">
        <v>4370</v>
      </c>
    </row>
  </sheetData>
  <pageMargins left="0.75" right="0.75" top="1" bottom="1" header="0.5" footer="0.5"/>
  <pageSetup paperSize="9" orientation="portrait"/>
  <headerFooter/>
</worksheet>
</file>

<file path=xl/worksheets/sheet2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12"/>
  <sheetViews>
    <sheetView workbookViewId="0">
      <selection activeCell="I7" sqref="I7"/>
    </sheetView>
  </sheetViews>
  <sheetFormatPr defaultColWidth="8.88888888888889" defaultRowHeight="14.4" outlineLevelCol="7"/>
  <cols>
    <col min="1" max="1" width="9.66666666666667"/>
  </cols>
  <sheetData>
    <row r="1" spans="1:8">
      <c r="A1" s="1">
        <f>SUM(B1:AZ1)</f>
        <v>4.16666666666667</v>
      </c>
      <c r="B1" s="1">
        <f t="shared" ref="B1:H1" si="0">COUNTA(B2:B2196)/COLUMN()</f>
        <v>2</v>
      </c>
      <c r="C1" s="1">
        <f t="shared" si="0"/>
        <v>1.66666666666667</v>
      </c>
      <c r="D1" s="1">
        <f t="shared" si="0"/>
        <v>0.5</v>
      </c>
      <c r="E1" s="1">
        <f t="shared" si="0"/>
        <v>0</v>
      </c>
      <c r="F1" s="1">
        <f t="shared" si="0"/>
        <v>0</v>
      </c>
      <c r="G1" s="1">
        <f t="shared" si="0"/>
        <v>0</v>
      </c>
      <c r="H1" s="1">
        <f t="shared" si="0"/>
        <v>0</v>
      </c>
    </row>
    <row r="2" spans="1:8">
      <c r="A2" t="str" cm="1">
        <f ca="1" t="array" ref="A2">_wpsfn.SHEETSNAME(A1)</f>
        <v>20251130</v>
      </c>
      <c r="B2" t="s">
        <v>4371</v>
      </c>
    </row>
    <row r="3" spans="1:8">
      <c r="C3" t="s">
        <v>4372</v>
      </c>
    </row>
    <row r="4" spans="1:8">
      <c r="D4" t="s">
        <v>4373</v>
      </c>
    </row>
    <row r="5" spans="1:8">
      <c r="C5" t="s">
        <v>4374</v>
      </c>
    </row>
    <row r="6" spans="1:8">
      <c r="D6" t="s">
        <v>4375</v>
      </c>
    </row>
    <row r="7" spans="1:8">
      <c r="B7" t="s">
        <v>4376</v>
      </c>
    </row>
    <row r="8" spans="1:8">
      <c r="B8" t="s">
        <v>4377</v>
      </c>
    </row>
    <row r="9" spans="1:8">
      <c r="C9" t="s">
        <v>4378</v>
      </c>
    </row>
    <row r="10" spans="1:8">
      <c r="C10" t="s">
        <v>4379</v>
      </c>
    </row>
    <row r="11" spans="1:8">
      <c r="B11" t="s">
        <v>4380</v>
      </c>
    </row>
    <row r="12" spans="1:8">
      <c r="C12" t="s">
        <v>4381</v>
      </c>
    </row>
  </sheetData>
  <pageMargins left="0.75" right="0.75" top="1" bottom="1" header="0.5" footer="0.5"/>
  <pageSetup paperSize="9" orientation="portrait"/>
  <headerFooter/>
</worksheet>
</file>

<file path=xl/worksheets/sheet2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N87"/>
  <sheetViews>
    <sheetView topLeftCell="A67" workbookViewId="0">
      <selection activeCell="D86" sqref="D86"/>
    </sheetView>
  </sheetViews>
  <sheetFormatPr defaultColWidth="8.88888888888889" defaultRowHeight="14.4"/>
  <cols>
    <col min="1" max="1" width="9.66666666666667"/>
  </cols>
  <sheetData>
    <row r="1" spans="1:8">
      <c r="A1" s="1">
        <f>SUM(B1:AZ1)</f>
        <v>18.9</v>
      </c>
      <c r="B1" s="1">
        <f t="shared" ref="B1:H1" si="0">COUNTA(B2:B2202)/COLUMN()</f>
        <v>1.5</v>
      </c>
      <c r="C1" s="1">
        <f t="shared" si="0"/>
        <v>2.33333333333333</v>
      </c>
      <c r="D1" s="1">
        <f t="shared" si="0"/>
        <v>4</v>
      </c>
      <c r="E1" s="1">
        <f t="shared" si="0"/>
        <v>6.4</v>
      </c>
      <c r="F1" s="1">
        <f t="shared" si="0"/>
        <v>4.66666666666667</v>
      </c>
      <c r="G1" s="1">
        <f t="shared" si="0"/>
        <v>0</v>
      </c>
      <c r="H1" s="1">
        <f t="shared" si="0"/>
        <v>0</v>
      </c>
    </row>
    <row r="2" spans="1:8">
      <c r="A2" t="str" cm="1">
        <f ca="1" t="array" ref="A2">_wpsfn.SHEETSNAME(A1)</f>
        <v>20251201</v>
      </c>
      <c r="B2" t="s">
        <v>4382</v>
      </c>
    </row>
    <row r="3" spans="1:8">
      <c r="C3" t="s">
        <v>4383</v>
      </c>
    </row>
    <row r="4" spans="1:8">
      <c r="D4" t="s">
        <v>4384</v>
      </c>
    </row>
    <row r="5" spans="1:8">
      <c r="E5" t="s">
        <v>4385</v>
      </c>
    </row>
    <row r="6" spans="1:8">
      <c r="F6" t="s">
        <v>4386</v>
      </c>
    </row>
    <row r="7" spans="1:8">
      <c r="F7" t="s">
        <v>4387</v>
      </c>
    </row>
    <row r="8" spans="1:8">
      <c r="D8" t="s">
        <v>4388</v>
      </c>
    </row>
    <row r="9" spans="1:8">
      <c r="E9" t="s">
        <v>4389</v>
      </c>
    </row>
    <row r="10" spans="1:8">
      <c r="C10" t="s">
        <v>4390</v>
      </c>
    </row>
    <row r="11" spans="1:8">
      <c r="D11" t="s">
        <v>4391</v>
      </c>
    </row>
    <row r="12" spans="1:8">
      <c r="E12" t="s">
        <v>4392</v>
      </c>
    </row>
    <row r="13" spans="1:8">
      <c r="E13" t="s">
        <v>4393</v>
      </c>
    </row>
    <row r="14" spans="1:8">
      <c r="D14" t="s">
        <v>4394</v>
      </c>
    </row>
    <row r="15" spans="1:8">
      <c r="E15" t="s">
        <v>4395</v>
      </c>
    </row>
    <row r="16" spans="1:8">
      <c r="E16" t="s">
        <v>4396</v>
      </c>
    </row>
    <row r="17" spans="3:6">
      <c r="C17" t="s">
        <v>4397</v>
      </c>
    </row>
    <row r="18" spans="3:6">
      <c r="D18" t="s">
        <v>4398</v>
      </c>
    </row>
    <row r="19" spans="3:6">
      <c r="E19" t="s">
        <v>4399</v>
      </c>
    </row>
    <row r="20" spans="3:6">
      <c r="E20" t="s">
        <v>4400</v>
      </c>
    </row>
    <row r="21" spans="3:6">
      <c r="F21" t="s">
        <v>4401</v>
      </c>
    </row>
    <row r="22" spans="3:6">
      <c r="F22" t="s">
        <v>4402</v>
      </c>
    </row>
    <row r="23" spans="3:6">
      <c r="F23" t="s">
        <v>4403</v>
      </c>
    </row>
    <row r="24" spans="3:6">
      <c r="E24" t="s">
        <v>4404</v>
      </c>
    </row>
    <row r="25" spans="3:6">
      <c r="F25" t="s">
        <v>4405</v>
      </c>
    </row>
    <row r="26" spans="3:6">
      <c r="F26" t="s">
        <v>4406</v>
      </c>
    </row>
    <row r="27" spans="3:6">
      <c r="D27" t="s">
        <v>4407</v>
      </c>
    </row>
    <row r="28" spans="3:6">
      <c r="E28" t="s">
        <v>4408</v>
      </c>
    </row>
    <row r="29" spans="3:6">
      <c r="F29" t="s">
        <v>4409</v>
      </c>
    </row>
    <row r="30" spans="3:6">
      <c r="F30" t="s">
        <v>4410</v>
      </c>
    </row>
    <row r="31" spans="3:6">
      <c r="E31" t="s">
        <v>4411</v>
      </c>
    </row>
    <row r="32" spans="3:6">
      <c r="F32" t="s">
        <v>4412</v>
      </c>
    </row>
    <row r="33" spans="3:6">
      <c r="F33" t="s">
        <v>4413</v>
      </c>
    </row>
    <row r="34" spans="3:6">
      <c r="F34" t="s">
        <v>4414</v>
      </c>
    </row>
    <row r="35" spans="3:6">
      <c r="E35" t="s">
        <v>4415</v>
      </c>
    </row>
    <row r="36" spans="3:6">
      <c r="F36" t="s">
        <v>4416</v>
      </c>
    </row>
    <row r="37" spans="3:6">
      <c r="F37" t="s">
        <v>4417</v>
      </c>
    </row>
    <row r="38" spans="3:6">
      <c r="E38" t="s">
        <v>4418</v>
      </c>
    </row>
    <row r="39" spans="3:6">
      <c r="F39" t="s">
        <v>4419</v>
      </c>
    </row>
    <row r="40" spans="3:6">
      <c r="F40" t="s">
        <v>4420</v>
      </c>
    </row>
    <row r="41" spans="3:6">
      <c r="F41" t="s">
        <v>4421</v>
      </c>
    </row>
    <row r="42" spans="3:6">
      <c r="F42" t="s">
        <v>4422</v>
      </c>
    </row>
    <row r="43" spans="3:6">
      <c r="C43" t="s">
        <v>4423</v>
      </c>
    </row>
    <row r="44" spans="3:6">
      <c r="D44" t="s">
        <v>4424</v>
      </c>
    </row>
    <row r="45" spans="3:6">
      <c r="D45" t="s">
        <v>4425</v>
      </c>
    </row>
    <row r="46" spans="3:6">
      <c r="C46" t="s">
        <v>4426</v>
      </c>
    </row>
    <row r="47" spans="3:6">
      <c r="D47" t="s">
        <v>4427</v>
      </c>
    </row>
    <row r="48" spans="3:6">
      <c r="E48" t="s">
        <v>4428</v>
      </c>
    </row>
    <row r="49" spans="4:6">
      <c r="E49" t="s">
        <v>4429</v>
      </c>
    </row>
    <row r="50" spans="4:6">
      <c r="E50" t="s">
        <v>4430</v>
      </c>
    </row>
    <row r="51" spans="4:6">
      <c r="D51" t="s">
        <v>4431</v>
      </c>
    </row>
    <row r="52" spans="4:6">
      <c r="E52" t="s">
        <v>4432</v>
      </c>
    </row>
    <row r="53" spans="4:6">
      <c r="E53" t="s">
        <v>4433</v>
      </c>
    </row>
    <row r="54" spans="4:6">
      <c r="F54" t="s">
        <v>4434</v>
      </c>
    </row>
    <row r="55" spans="4:6">
      <c r="F55" t="s">
        <v>4435</v>
      </c>
    </row>
    <row r="56" spans="4:6">
      <c r="F56" t="s">
        <v>4436</v>
      </c>
    </row>
    <row r="57" spans="4:6">
      <c r="F57" t="s">
        <v>4437</v>
      </c>
    </row>
    <row r="58" spans="4:6">
      <c r="E58" t="s">
        <v>4438</v>
      </c>
    </row>
    <row r="59" spans="4:6">
      <c r="F59" t="s">
        <v>4439</v>
      </c>
    </row>
    <row r="60" spans="4:6">
      <c r="D60" t="s">
        <v>4440</v>
      </c>
    </row>
    <row r="61" spans="4:6">
      <c r="E61" t="s">
        <v>4441</v>
      </c>
    </row>
    <row r="62" spans="4:6">
      <c r="E62" t="s">
        <v>4442</v>
      </c>
    </row>
    <row r="63" spans="4:6">
      <c r="E63" t="s">
        <v>4443</v>
      </c>
    </row>
    <row r="64" spans="4:6">
      <c r="F64" t="s">
        <v>4444</v>
      </c>
    </row>
    <row r="65" spans="2:14">
      <c r="E65" t="s">
        <v>4445</v>
      </c>
    </row>
    <row r="66" spans="2:14">
      <c r="F66" t="s">
        <v>4446</v>
      </c>
    </row>
    <row r="67" spans="2:14">
      <c r="D67" t="s">
        <v>4447</v>
      </c>
    </row>
    <row r="68" spans="2:14">
      <c r="E68" t="s">
        <v>4448</v>
      </c>
    </row>
    <row r="69" spans="2:14">
      <c r="F69" t="s">
        <v>4449</v>
      </c>
    </row>
    <row r="70" spans="2:14">
      <c r="F70" t="s">
        <v>4450</v>
      </c>
    </row>
    <row r="71" spans="2:14">
      <c r="F71" t="s">
        <v>4451</v>
      </c>
    </row>
    <row r="72" spans="2:14">
      <c r="E72" t="s">
        <v>4452</v>
      </c>
    </row>
    <row r="73" spans="2:14">
      <c r="E73" t="s">
        <v>4453</v>
      </c>
    </row>
    <row r="74" spans="2:14">
      <c r="D74" t="s">
        <v>4454</v>
      </c>
    </row>
    <row r="75" spans="2:14">
      <c r="E75" t="s">
        <v>4455</v>
      </c>
    </row>
    <row r="76" spans="2:14">
      <c r="E76" t="s">
        <v>4456</v>
      </c>
    </row>
    <row r="77" spans="2:14">
      <c r="B77" s="2" t="s">
        <v>4457</v>
      </c>
      <c r="C77" s="2"/>
      <c r="D77" s="2"/>
      <c r="E77" s="2"/>
      <c r="F77" s="2"/>
      <c r="G77" s="2"/>
      <c r="H77" s="2"/>
      <c r="I77" s="2"/>
      <c r="J77" s="2"/>
      <c r="K77" s="2"/>
      <c r="L77" s="2"/>
      <c r="M77" s="2"/>
      <c r="N77" s="2"/>
    </row>
    <row r="78" spans="2:14">
      <c r="B78" s="2"/>
      <c r="C78" s="2" t="s">
        <v>4458</v>
      </c>
      <c r="D78" s="2"/>
      <c r="E78" s="2"/>
      <c r="F78" s="2"/>
      <c r="G78" s="2"/>
      <c r="H78" s="2"/>
      <c r="I78" s="2"/>
      <c r="J78" s="2"/>
      <c r="K78" s="2"/>
      <c r="L78" s="2"/>
      <c r="M78" s="2"/>
      <c r="N78" s="2"/>
    </row>
    <row r="79" spans="2:14">
      <c r="B79" s="2"/>
      <c r="C79" s="2" t="s">
        <v>4459</v>
      </c>
      <c r="D79" s="2"/>
      <c r="E79" s="2"/>
      <c r="F79" s="2"/>
      <c r="G79" s="2"/>
      <c r="H79" s="2"/>
      <c r="I79" s="2"/>
      <c r="J79" s="2"/>
      <c r="K79" s="2"/>
      <c r="L79" s="2"/>
      <c r="M79" s="2"/>
      <c r="N79" s="2"/>
    </row>
    <row r="80" spans="2:14">
      <c r="B80" s="2"/>
      <c r="C80" s="2"/>
      <c r="D80" s="2" t="s">
        <v>4460</v>
      </c>
      <c r="E80" s="2"/>
      <c r="F80" s="2"/>
      <c r="G80" s="2"/>
      <c r="H80" s="2"/>
      <c r="I80" s="2"/>
      <c r="J80" s="2"/>
      <c r="K80" s="2"/>
      <c r="L80" s="2"/>
      <c r="M80" s="2"/>
      <c r="N80" s="2"/>
    </row>
    <row r="81" spans="2:14">
      <c r="B81" s="2"/>
      <c r="C81" s="2"/>
      <c r="D81" s="2"/>
      <c r="E81" s="2" t="s">
        <v>4461</v>
      </c>
      <c r="F81" s="2"/>
      <c r="G81" s="2"/>
      <c r="H81" s="2"/>
      <c r="I81" s="2"/>
      <c r="J81" s="2"/>
      <c r="K81" s="2"/>
      <c r="L81" s="2"/>
      <c r="M81" s="2"/>
      <c r="N81" s="2"/>
    </row>
    <row r="82" spans="2:14">
      <c r="B82" s="2"/>
      <c r="C82" s="2"/>
      <c r="D82" s="2"/>
      <c r="E82" s="2" t="s">
        <v>4462</v>
      </c>
      <c r="F82" s="2"/>
      <c r="G82" s="2"/>
      <c r="H82" s="2"/>
      <c r="I82" s="2"/>
      <c r="J82" s="2"/>
      <c r="K82" s="2"/>
      <c r="L82" s="2"/>
      <c r="M82" s="2"/>
      <c r="N82" s="2"/>
    </row>
    <row r="83" spans="2:14">
      <c r="B83" s="2"/>
      <c r="C83" s="2"/>
      <c r="D83" s="2" t="s">
        <v>4463</v>
      </c>
      <c r="E83" s="2"/>
      <c r="F83" s="2"/>
      <c r="G83" s="2"/>
      <c r="H83" s="2"/>
      <c r="I83" s="2"/>
      <c r="J83" s="2"/>
      <c r="K83" s="2"/>
      <c r="L83" s="2"/>
      <c r="M83" s="2"/>
      <c r="N83" s="2"/>
    </row>
    <row r="84" spans="2:14">
      <c r="B84" s="2"/>
      <c r="C84" s="2"/>
      <c r="D84" s="2"/>
      <c r="E84" s="2" t="s">
        <v>4464</v>
      </c>
      <c r="F84" s="2"/>
      <c r="G84" s="2"/>
      <c r="H84" s="2"/>
      <c r="I84" s="2"/>
      <c r="J84" s="2"/>
      <c r="K84" s="2"/>
      <c r="L84" s="2"/>
      <c r="M84" s="2"/>
      <c r="N84" s="2"/>
    </row>
    <row r="85" spans="2:14">
      <c r="B85" s="2"/>
      <c r="C85" s="2"/>
      <c r="D85" s="2"/>
      <c r="E85" s="2" t="s">
        <v>4465</v>
      </c>
      <c r="F85" s="2"/>
      <c r="G85" s="2"/>
      <c r="H85" s="2"/>
      <c r="I85" s="2"/>
      <c r="J85" s="2"/>
      <c r="K85" s="2"/>
      <c r="L85" s="2"/>
      <c r="M85" s="2"/>
      <c r="N85" s="2"/>
    </row>
    <row r="86" spans="2:14">
      <c r="B86" s="2"/>
      <c r="C86" s="2"/>
      <c r="D86" s="2" t="s">
        <v>4466</v>
      </c>
      <c r="E86" s="2"/>
      <c r="F86" s="2"/>
      <c r="G86" s="2"/>
      <c r="H86" s="2"/>
      <c r="I86" s="2"/>
      <c r="J86" s="2"/>
      <c r="K86" s="2"/>
      <c r="L86" s="2"/>
      <c r="M86" s="2"/>
      <c r="N86" s="2"/>
    </row>
    <row r="87" spans="2:14">
      <c r="B87" t="s">
        <v>4467</v>
      </c>
      <c r="M87" t="s">
        <v>4468</v>
      </c>
    </row>
  </sheetData>
  <pageMargins left="0.75" right="0.75" top="1" bottom="1" header="0.5" footer="0.5"/>
  <pageSetup paperSize="9" orientation="portrait"/>
  <headerFooter/>
</worksheet>
</file>

<file path=xl/worksheets/sheet2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T442"/>
  <sheetViews>
    <sheetView zoomScale="115" zoomScaleNormal="115" topLeftCell="A285" workbookViewId="0">
      <selection activeCell="C309" sqref="C309"/>
    </sheetView>
  </sheetViews>
  <sheetFormatPr defaultColWidth="8.88888888888889" defaultRowHeight="14.4"/>
  <cols>
    <col min="1" max="1" width="9.66666666666667"/>
  </cols>
  <sheetData>
    <row r="1" spans="1:8">
      <c r="A1" s="1">
        <f>SUM(B1:AZ1)</f>
        <v>126.883333333333</v>
      </c>
      <c r="B1" s="1">
        <f t="shared" ref="B1:H1" si="0">COUNTA(B2:B2220)/COLUMN()</f>
        <v>19</v>
      </c>
      <c r="C1" s="1">
        <f t="shared" si="0"/>
        <v>42</v>
      </c>
      <c r="D1" s="1">
        <f t="shared" si="0"/>
        <v>53.25</v>
      </c>
      <c r="E1" s="1">
        <f t="shared" si="0"/>
        <v>11.8</v>
      </c>
      <c r="F1" s="1">
        <f t="shared" si="0"/>
        <v>0.833333333333333</v>
      </c>
      <c r="G1" s="1">
        <f t="shared" si="0"/>
        <v>0</v>
      </c>
      <c r="H1" s="1">
        <f t="shared" si="0"/>
        <v>0</v>
      </c>
    </row>
    <row r="2" spans="1:8">
      <c r="A2" t="str" cm="1">
        <f ca="1" t="array" ref="A2">_wpsfn.SHEETSNAME(A1)</f>
        <v>20251202</v>
      </c>
      <c r="B2" s="2" t="s">
        <v>4469</v>
      </c>
      <c r="C2" s="2"/>
      <c r="D2" s="2"/>
      <c r="E2" s="2"/>
    </row>
    <row r="3" spans="1:8">
      <c r="B3" s="2"/>
      <c r="C3" s="2" t="s">
        <v>4470</v>
      </c>
      <c r="D3" s="2"/>
      <c r="E3" s="2"/>
    </row>
    <row r="4" spans="1:8">
      <c r="B4" s="2"/>
      <c r="C4" s="2"/>
      <c r="D4" s="2" t="s">
        <v>4471</v>
      </c>
      <c r="E4" s="2"/>
    </row>
    <row r="5" spans="1:8">
      <c r="B5" s="2" t="s">
        <v>4472</v>
      </c>
      <c r="C5" s="2"/>
      <c r="D5" s="2"/>
      <c r="E5" s="2"/>
    </row>
    <row r="6" spans="1:8">
      <c r="B6" s="2"/>
      <c r="C6" s="2" t="s">
        <v>4473</v>
      </c>
      <c r="D6" s="2"/>
      <c r="E6" s="2"/>
    </row>
    <row r="7" spans="1:8">
      <c r="B7" s="2"/>
      <c r="C7" s="2" t="s">
        <v>4474</v>
      </c>
      <c r="D7" s="2"/>
      <c r="E7" s="2"/>
    </row>
    <row r="8" spans="1:8">
      <c r="B8" s="2" t="s">
        <v>4475</v>
      </c>
      <c r="C8" s="2"/>
      <c r="D8" s="2"/>
      <c r="E8" s="2"/>
    </row>
    <row r="9" spans="1:8">
      <c r="B9" s="2"/>
      <c r="C9" s="2" t="s">
        <v>4476</v>
      </c>
      <c r="D9" s="2"/>
      <c r="E9" s="2"/>
    </row>
    <row r="10" spans="1:8">
      <c r="B10" s="2"/>
      <c r="C10" s="2" t="s">
        <v>4477</v>
      </c>
      <c r="D10" s="2"/>
      <c r="E10" s="2"/>
    </row>
    <row r="11" spans="1:8">
      <c r="B11" s="2" t="s">
        <v>4478</v>
      </c>
      <c r="C11" s="2"/>
      <c r="D11" s="2"/>
      <c r="E11" s="2"/>
    </row>
    <row r="12" spans="1:8">
      <c r="B12" s="2"/>
      <c r="C12" s="2" t="s">
        <v>4479</v>
      </c>
      <c r="D12" s="2"/>
      <c r="E12" s="2"/>
    </row>
    <row r="13" spans="1:8">
      <c r="B13" s="2"/>
      <c r="C13" s="2" t="s">
        <v>4480</v>
      </c>
      <c r="D13" s="2"/>
      <c r="E13" s="2"/>
    </row>
    <row r="14" spans="1:8">
      <c r="B14" s="2"/>
      <c r="C14" s="2" t="s">
        <v>4481</v>
      </c>
      <c r="D14" s="2"/>
      <c r="E14" s="2"/>
    </row>
    <row r="15" spans="1:8">
      <c r="B15" s="2"/>
      <c r="C15" s="2" t="s">
        <v>4482</v>
      </c>
      <c r="D15" s="2"/>
      <c r="E15" s="2"/>
    </row>
    <row r="16" spans="1:8">
      <c r="B16" s="2" t="s">
        <v>4483</v>
      </c>
      <c r="C16" s="2"/>
      <c r="D16" s="2"/>
      <c r="E16" s="2"/>
    </row>
    <row r="17" spans="2:20">
      <c r="B17" s="2"/>
      <c r="C17" s="2" t="s">
        <v>4484</v>
      </c>
      <c r="D17" s="2"/>
      <c r="E17" s="2"/>
    </row>
    <row r="18" spans="2:20">
      <c r="B18" s="2"/>
      <c r="C18" s="2" t="s">
        <v>4485</v>
      </c>
      <c r="D18" s="2"/>
      <c r="E18" s="2"/>
    </row>
    <row r="19" spans="2:20">
      <c r="B19" s="2"/>
      <c r="C19" s="2" t="s">
        <v>4486</v>
      </c>
      <c r="D19" s="2"/>
      <c r="E19" s="2"/>
    </row>
    <row r="20" spans="2:20">
      <c r="B20" s="2"/>
      <c r="C20" s="2" t="s">
        <v>4487</v>
      </c>
      <c r="D20" s="2"/>
      <c r="E20" s="2"/>
    </row>
    <row r="21" spans="2:20">
      <c r="B21" s="2"/>
      <c r="C21" s="2"/>
      <c r="D21" s="2" t="s">
        <v>4488</v>
      </c>
      <c r="E21" s="2"/>
    </row>
    <row r="22" spans="2:20">
      <c r="B22" s="2"/>
      <c r="C22" s="2"/>
      <c r="D22" s="2" t="s">
        <v>4489</v>
      </c>
      <c r="E22" s="2"/>
    </row>
    <row r="23" spans="2:20">
      <c r="B23" s="2"/>
      <c r="C23" s="2" t="s">
        <v>4490</v>
      </c>
      <c r="D23" s="2"/>
      <c r="E23" s="2"/>
    </row>
    <row r="24" spans="2:20">
      <c r="B24" s="2"/>
      <c r="C24" s="2"/>
      <c r="D24" s="2" t="s">
        <v>4491</v>
      </c>
      <c r="E24" s="2"/>
    </row>
    <row r="25" spans="2:20">
      <c r="B25" s="2"/>
      <c r="C25" s="2"/>
      <c r="D25" s="2" t="s">
        <v>4492</v>
      </c>
      <c r="E25" s="2"/>
    </row>
    <row r="26" spans="2:20">
      <c r="B26" s="2"/>
      <c r="C26" s="2"/>
      <c r="D26" s="2" t="s">
        <v>4493</v>
      </c>
      <c r="E26" s="2"/>
    </row>
    <row r="27" spans="2:20">
      <c r="B27" s="2"/>
      <c r="C27" s="2"/>
      <c r="D27" s="2" t="s">
        <v>4494</v>
      </c>
      <c r="E27" s="2"/>
    </row>
    <row r="28" spans="2:20">
      <c r="B28" s="2" t="s">
        <v>4495</v>
      </c>
      <c r="C28" s="2"/>
      <c r="D28" s="2"/>
      <c r="E28" s="2"/>
      <c r="F28" s="2"/>
      <c r="G28" s="2"/>
      <c r="H28" s="2"/>
      <c r="I28" s="2"/>
      <c r="J28" s="2"/>
      <c r="K28" s="2"/>
      <c r="L28" s="2"/>
      <c r="M28" s="2"/>
      <c r="N28" s="2"/>
      <c r="O28" s="2"/>
      <c r="P28" s="2"/>
      <c r="Q28" s="2"/>
      <c r="R28" s="2"/>
      <c r="S28" s="2"/>
      <c r="T28" s="2"/>
    </row>
    <row r="29" spans="2:20">
      <c r="B29" s="2"/>
      <c r="C29" s="2" t="s">
        <v>4496</v>
      </c>
      <c r="D29" s="2"/>
      <c r="E29" s="2"/>
      <c r="F29" s="2"/>
      <c r="G29" s="2"/>
      <c r="H29" s="2"/>
      <c r="I29" s="2"/>
      <c r="J29" s="2"/>
      <c r="K29" s="2"/>
      <c r="L29" s="2"/>
      <c r="M29" s="2"/>
      <c r="N29" s="2"/>
      <c r="O29" s="2"/>
      <c r="P29" s="2"/>
      <c r="Q29" s="2"/>
      <c r="R29" s="2"/>
      <c r="S29" s="2"/>
      <c r="T29" s="2"/>
    </row>
    <row r="30" spans="2:20">
      <c r="B30" s="2"/>
      <c r="C30" s="2" t="s">
        <v>4497</v>
      </c>
      <c r="D30" s="2"/>
      <c r="E30" s="2"/>
      <c r="F30" s="2"/>
      <c r="G30" s="2"/>
      <c r="H30" s="2"/>
      <c r="I30" s="2"/>
      <c r="J30" s="2"/>
      <c r="K30" s="2"/>
      <c r="L30" s="2"/>
      <c r="M30" s="2"/>
      <c r="N30" s="2"/>
      <c r="O30" s="2"/>
      <c r="P30" s="2"/>
      <c r="Q30" s="2"/>
      <c r="R30" s="2"/>
      <c r="S30" s="2"/>
      <c r="T30" s="2"/>
    </row>
    <row r="31" spans="2:20">
      <c r="B31" s="2"/>
      <c r="C31" s="2" t="s">
        <v>4498</v>
      </c>
      <c r="D31" s="2"/>
      <c r="E31" s="2"/>
      <c r="F31" s="2"/>
      <c r="G31" s="2"/>
      <c r="H31" s="2"/>
      <c r="I31" s="2"/>
      <c r="J31" s="2"/>
      <c r="K31" s="2"/>
      <c r="L31" s="2"/>
      <c r="M31" s="2"/>
      <c r="N31" s="2"/>
      <c r="O31" s="2"/>
      <c r="P31" s="2"/>
      <c r="Q31" s="2"/>
      <c r="R31" s="2"/>
      <c r="S31" s="2"/>
      <c r="T31" s="2"/>
    </row>
    <row r="32" spans="2:20">
      <c r="B32" s="2"/>
      <c r="C32" s="2"/>
      <c r="D32" s="2" t="s">
        <v>4499</v>
      </c>
      <c r="E32" s="2"/>
      <c r="F32" s="2"/>
      <c r="G32" s="2"/>
      <c r="H32" s="2"/>
      <c r="I32" s="2"/>
      <c r="J32" s="2"/>
      <c r="K32" s="2"/>
      <c r="L32" s="2"/>
      <c r="M32" s="2"/>
      <c r="N32" s="2"/>
      <c r="O32" s="2"/>
      <c r="P32" s="2"/>
      <c r="Q32" s="2"/>
      <c r="R32" s="2"/>
      <c r="S32" s="2"/>
      <c r="T32" s="2"/>
    </row>
    <row r="33" spans="2:20">
      <c r="B33" s="2"/>
      <c r="C33" s="2"/>
      <c r="D33" s="2" t="s">
        <v>4500</v>
      </c>
      <c r="E33" s="2"/>
      <c r="F33" s="2"/>
      <c r="G33" s="2"/>
      <c r="H33" s="2"/>
      <c r="I33" s="2"/>
      <c r="J33" s="2"/>
      <c r="K33" s="2"/>
      <c r="L33" s="2"/>
      <c r="M33" s="2"/>
      <c r="N33" s="2"/>
      <c r="O33" s="2"/>
      <c r="P33" s="2"/>
      <c r="Q33" s="2"/>
      <c r="R33" s="2"/>
      <c r="S33" s="2"/>
      <c r="T33" s="2"/>
    </row>
    <row r="34" spans="2:20">
      <c r="B34" s="2"/>
      <c r="C34" s="2" t="s">
        <v>4501</v>
      </c>
      <c r="D34" s="2"/>
      <c r="E34" s="2"/>
      <c r="F34" s="2"/>
      <c r="G34" s="2"/>
      <c r="H34" s="2"/>
      <c r="I34" s="2"/>
      <c r="J34" s="2"/>
      <c r="K34" s="2"/>
      <c r="L34" s="2"/>
      <c r="M34" s="2"/>
      <c r="N34" s="2"/>
      <c r="O34" s="2"/>
      <c r="P34" s="2"/>
      <c r="Q34" s="2"/>
      <c r="R34" s="2"/>
      <c r="S34" s="2"/>
      <c r="T34" s="2"/>
    </row>
    <row r="35" spans="2:20">
      <c r="B35" s="2" t="s">
        <v>4502</v>
      </c>
      <c r="C35" s="2"/>
      <c r="D35" s="2"/>
      <c r="E35" s="2"/>
      <c r="F35" s="2"/>
      <c r="G35" s="2"/>
      <c r="H35" s="2"/>
      <c r="I35" s="2"/>
      <c r="J35" s="2"/>
      <c r="K35" s="2"/>
      <c r="L35" s="2"/>
      <c r="M35" s="2"/>
      <c r="N35" s="2"/>
      <c r="O35" s="2"/>
      <c r="P35" s="2"/>
      <c r="Q35" s="2"/>
      <c r="R35" s="2"/>
      <c r="S35" s="2"/>
      <c r="T35" s="2"/>
    </row>
    <row r="36" spans="2:20">
      <c r="B36" s="2"/>
      <c r="C36" s="2" t="s">
        <v>4503</v>
      </c>
      <c r="D36" s="2"/>
      <c r="E36" s="2"/>
      <c r="F36" s="2"/>
      <c r="G36" s="2"/>
      <c r="H36" s="2"/>
      <c r="I36" s="2"/>
      <c r="J36" s="2"/>
      <c r="K36" s="2"/>
      <c r="L36" s="2"/>
      <c r="M36" s="2"/>
      <c r="N36" s="2"/>
      <c r="O36" s="2"/>
      <c r="P36" s="2"/>
      <c r="Q36" s="2"/>
      <c r="R36" s="2"/>
      <c r="S36" s="2"/>
      <c r="T36" s="2"/>
    </row>
    <row r="37" spans="2:20">
      <c r="B37" s="2"/>
      <c r="C37" s="2" t="s">
        <v>4504</v>
      </c>
      <c r="D37" s="2"/>
      <c r="E37" s="2"/>
      <c r="F37" s="2"/>
      <c r="G37" s="2"/>
      <c r="H37" s="2"/>
      <c r="I37" s="2"/>
      <c r="J37" s="2"/>
      <c r="K37" s="2"/>
      <c r="L37" s="2"/>
      <c r="M37" s="2"/>
      <c r="N37" s="2"/>
      <c r="O37" s="2"/>
      <c r="P37" s="2"/>
      <c r="Q37" s="2"/>
      <c r="R37" s="2"/>
      <c r="S37" s="2"/>
      <c r="T37" s="2"/>
    </row>
    <row r="38" spans="2:20">
      <c r="B38" s="2"/>
      <c r="C38" s="2"/>
      <c r="D38" s="2" t="s">
        <v>4505</v>
      </c>
      <c r="E38" s="2"/>
      <c r="F38" s="2"/>
      <c r="G38" s="2"/>
      <c r="H38" s="2"/>
      <c r="I38" s="2"/>
      <c r="J38" s="2"/>
      <c r="K38" s="2"/>
      <c r="L38" s="2"/>
      <c r="M38" s="2"/>
      <c r="N38" s="2"/>
      <c r="O38" s="2"/>
      <c r="P38" s="2"/>
      <c r="Q38" s="2"/>
      <c r="R38" s="2"/>
      <c r="S38" s="2"/>
      <c r="T38" s="2"/>
    </row>
    <row r="39" spans="2:20">
      <c r="B39" s="2"/>
      <c r="C39" s="2" t="s">
        <v>4506</v>
      </c>
      <c r="D39" s="2"/>
      <c r="E39" s="2"/>
      <c r="F39" s="2"/>
      <c r="G39" s="2"/>
      <c r="H39" s="2"/>
      <c r="I39" s="2"/>
      <c r="J39" s="2"/>
      <c r="K39" s="2"/>
      <c r="L39" s="2"/>
      <c r="M39" s="2"/>
      <c r="N39" s="2"/>
      <c r="O39" s="2"/>
      <c r="P39" s="2"/>
      <c r="Q39" s="2"/>
      <c r="R39" s="2"/>
      <c r="S39" s="2"/>
      <c r="T39" s="2"/>
    </row>
    <row r="40" spans="2:20">
      <c r="B40" s="2"/>
      <c r="C40" s="2"/>
      <c r="D40" s="2" t="s">
        <v>4507</v>
      </c>
      <c r="E40" s="2"/>
      <c r="F40" s="2"/>
      <c r="G40" s="2"/>
      <c r="H40" s="2"/>
      <c r="I40" s="2"/>
      <c r="J40" s="2"/>
      <c r="K40" s="2"/>
      <c r="L40" s="2"/>
      <c r="M40" s="2"/>
      <c r="N40" s="2"/>
      <c r="O40" s="2"/>
      <c r="P40" s="2"/>
      <c r="Q40" s="2"/>
      <c r="R40" s="2"/>
      <c r="S40" s="2"/>
      <c r="T40" s="2"/>
    </row>
    <row r="41" spans="2:20">
      <c r="B41" s="2"/>
      <c r="C41" s="2"/>
      <c r="D41" s="2" t="s">
        <v>4508</v>
      </c>
      <c r="E41" s="2"/>
      <c r="F41" s="2"/>
      <c r="G41" s="2"/>
      <c r="H41" s="2"/>
      <c r="I41" s="2"/>
      <c r="J41" s="2"/>
      <c r="K41" s="2"/>
      <c r="L41" s="2"/>
      <c r="M41" s="2"/>
      <c r="N41" s="2"/>
      <c r="O41" s="2"/>
      <c r="P41" s="2"/>
      <c r="Q41" s="2"/>
      <c r="R41" s="2"/>
      <c r="S41" s="2"/>
      <c r="T41" s="2"/>
    </row>
    <row r="42" spans="2:20">
      <c r="B42" s="2"/>
      <c r="C42" s="2"/>
      <c r="D42" s="2" t="s">
        <v>4509</v>
      </c>
      <c r="E42" s="2"/>
      <c r="F42" s="2"/>
      <c r="G42" s="2"/>
      <c r="H42" s="2"/>
      <c r="I42" s="2"/>
      <c r="J42" s="2"/>
      <c r="K42" s="2"/>
      <c r="L42" s="2"/>
      <c r="M42" s="2"/>
      <c r="N42" s="2"/>
      <c r="O42" s="2"/>
      <c r="P42" s="2"/>
      <c r="Q42" s="2"/>
      <c r="R42" s="2"/>
      <c r="S42" s="2"/>
      <c r="T42" s="2"/>
    </row>
    <row r="43" spans="2:20">
      <c r="B43" s="2"/>
      <c r="C43" s="2"/>
      <c r="D43" s="2" t="s">
        <v>4510</v>
      </c>
      <c r="E43" s="2"/>
      <c r="F43" s="2"/>
      <c r="G43" s="2"/>
      <c r="H43" s="2"/>
      <c r="I43" s="2"/>
      <c r="J43" s="2"/>
      <c r="K43" s="2"/>
      <c r="L43" s="2"/>
      <c r="M43" s="2"/>
      <c r="N43" s="2"/>
      <c r="O43" s="2"/>
      <c r="P43" s="2"/>
      <c r="Q43" s="2"/>
      <c r="R43" s="2"/>
      <c r="S43" s="2"/>
      <c r="T43" s="2"/>
    </row>
    <row r="44" spans="2:20">
      <c r="B44" s="2" t="s">
        <v>4511</v>
      </c>
      <c r="C44" s="2"/>
      <c r="D44" s="2"/>
      <c r="E44" s="2"/>
      <c r="F44" s="2"/>
      <c r="G44" s="2"/>
      <c r="H44" s="2"/>
      <c r="I44" s="2"/>
      <c r="J44" s="2"/>
      <c r="K44" s="2"/>
      <c r="L44" s="2"/>
      <c r="M44" s="2"/>
      <c r="N44" s="2"/>
      <c r="O44" s="2"/>
      <c r="P44" s="2"/>
      <c r="Q44" s="2"/>
      <c r="R44" s="2"/>
      <c r="S44" s="2"/>
      <c r="T44" s="2"/>
    </row>
    <row r="45" spans="2:20">
      <c r="B45" s="2"/>
      <c r="C45" s="2" t="s">
        <v>4411</v>
      </c>
      <c r="D45" s="2"/>
      <c r="E45" s="2"/>
      <c r="F45" s="2"/>
      <c r="G45" s="2"/>
      <c r="H45" s="2"/>
      <c r="I45" s="2"/>
      <c r="J45" s="2"/>
      <c r="K45" s="2"/>
      <c r="L45" s="2"/>
      <c r="M45" s="2"/>
      <c r="N45" s="2"/>
      <c r="O45" s="2"/>
      <c r="P45" s="2"/>
      <c r="Q45" s="2"/>
      <c r="R45" s="2"/>
      <c r="S45" s="2"/>
      <c r="T45" s="2"/>
    </row>
    <row r="46" spans="2:20">
      <c r="B46" s="2"/>
      <c r="C46" s="2"/>
      <c r="D46" s="2" t="s">
        <v>4512</v>
      </c>
      <c r="E46" s="2"/>
      <c r="F46" s="2"/>
      <c r="G46" s="2"/>
      <c r="H46" s="2"/>
      <c r="I46" s="2"/>
      <c r="J46" s="2"/>
      <c r="K46" s="2"/>
      <c r="L46" s="2"/>
      <c r="M46" s="2"/>
      <c r="N46" s="2"/>
      <c r="O46" s="2"/>
      <c r="P46" s="2"/>
      <c r="Q46" s="2"/>
      <c r="R46" s="2"/>
      <c r="S46" s="2"/>
      <c r="T46" s="2"/>
    </row>
    <row r="47" spans="2:20">
      <c r="B47" s="2"/>
      <c r="C47" s="2"/>
      <c r="D47" s="2"/>
      <c r="E47" s="2" t="s">
        <v>4513</v>
      </c>
      <c r="F47" s="2"/>
      <c r="G47" s="2"/>
      <c r="H47" s="2"/>
      <c r="I47" s="2"/>
      <c r="J47" s="2"/>
      <c r="K47" s="2"/>
      <c r="L47" s="2"/>
      <c r="M47" s="2"/>
      <c r="N47" s="2"/>
      <c r="O47" s="2"/>
      <c r="P47" s="2"/>
      <c r="Q47" s="2"/>
      <c r="R47" s="2"/>
      <c r="S47" s="2"/>
      <c r="T47" s="2"/>
    </row>
    <row r="48" spans="2:20">
      <c r="B48" s="2"/>
      <c r="C48" s="2"/>
      <c r="D48" s="2"/>
      <c r="E48" s="2" t="s">
        <v>4514</v>
      </c>
      <c r="F48" s="2"/>
      <c r="G48" s="2"/>
      <c r="H48" s="2"/>
      <c r="I48" s="2"/>
      <c r="J48" s="2"/>
      <c r="K48" s="2"/>
      <c r="L48" s="2"/>
      <c r="M48" s="2"/>
      <c r="N48" s="2"/>
      <c r="O48" s="2"/>
      <c r="P48" s="2"/>
      <c r="Q48" s="2"/>
      <c r="R48" s="2"/>
      <c r="S48" s="2"/>
      <c r="T48" s="2"/>
    </row>
    <row r="49" spans="2:20">
      <c r="B49" s="2"/>
      <c r="C49" s="2"/>
      <c r="D49" s="2"/>
      <c r="E49" s="2" t="s">
        <v>4515</v>
      </c>
      <c r="F49" s="2"/>
      <c r="G49" s="2"/>
      <c r="H49" s="2"/>
      <c r="I49" s="2"/>
      <c r="J49" s="2"/>
      <c r="K49" s="2"/>
      <c r="L49" s="2"/>
      <c r="M49" s="2"/>
      <c r="N49" s="2"/>
      <c r="O49" s="2"/>
      <c r="P49" s="2"/>
      <c r="Q49" s="2"/>
      <c r="R49" s="2"/>
      <c r="S49" s="2"/>
      <c r="T49" s="2"/>
    </row>
    <row r="50" spans="2:20">
      <c r="B50" s="2"/>
      <c r="C50" s="2"/>
      <c r="D50" s="2"/>
      <c r="E50" s="2" t="s">
        <v>4516</v>
      </c>
      <c r="F50" s="2"/>
      <c r="G50" s="2"/>
      <c r="H50" s="2"/>
      <c r="I50" s="2"/>
      <c r="J50" s="2"/>
      <c r="K50" s="2"/>
      <c r="L50" s="2"/>
      <c r="M50" s="2"/>
      <c r="N50" s="2"/>
      <c r="O50" s="2"/>
      <c r="P50" s="2"/>
      <c r="Q50" s="2"/>
      <c r="R50" s="2"/>
      <c r="S50" s="2"/>
      <c r="T50" s="2"/>
    </row>
    <row r="51" spans="2:20">
      <c r="B51" s="2"/>
      <c r="C51" s="2"/>
      <c r="D51" s="2"/>
      <c r="E51" s="2" t="s">
        <v>4517</v>
      </c>
      <c r="F51" s="2"/>
      <c r="G51" s="2"/>
      <c r="H51" s="2"/>
      <c r="I51" s="2"/>
      <c r="J51" s="2"/>
      <c r="K51" s="2"/>
      <c r="L51" s="2"/>
      <c r="M51" s="2"/>
      <c r="N51" s="2"/>
      <c r="O51" s="2"/>
      <c r="P51" s="2"/>
      <c r="Q51" s="2"/>
      <c r="R51" s="2"/>
      <c r="S51" s="2"/>
      <c r="T51" s="2"/>
    </row>
    <row r="52" spans="2:20">
      <c r="B52" s="2"/>
      <c r="C52" s="2"/>
      <c r="D52" s="2" t="s">
        <v>4518</v>
      </c>
      <c r="E52" s="2"/>
      <c r="F52" s="2"/>
      <c r="G52" s="2"/>
      <c r="H52" s="2"/>
      <c r="I52" s="2"/>
      <c r="J52" s="2"/>
      <c r="K52" s="2"/>
      <c r="L52" s="2"/>
      <c r="M52" s="2"/>
      <c r="N52" s="2"/>
      <c r="O52" s="2"/>
      <c r="P52" s="2"/>
      <c r="Q52" s="2"/>
      <c r="R52" s="2"/>
      <c r="S52" s="2"/>
      <c r="T52" s="2"/>
    </row>
    <row r="53" spans="2:20">
      <c r="B53" s="2"/>
      <c r="C53" s="2"/>
      <c r="D53" s="2"/>
      <c r="E53" s="2" t="s">
        <v>4519</v>
      </c>
      <c r="F53" s="2"/>
      <c r="G53" s="2"/>
      <c r="H53" s="2"/>
      <c r="I53" s="2"/>
      <c r="J53" s="2"/>
      <c r="K53" s="2"/>
      <c r="L53" s="2"/>
      <c r="M53" s="2"/>
      <c r="N53" s="2"/>
      <c r="O53" s="2"/>
      <c r="P53" s="2"/>
      <c r="Q53" s="2"/>
      <c r="R53" s="2"/>
      <c r="S53" s="2"/>
      <c r="T53" s="2"/>
    </row>
    <row r="54" spans="2:20">
      <c r="B54" s="2"/>
      <c r="C54" s="2"/>
      <c r="D54" s="2"/>
      <c r="E54" s="2" t="s">
        <v>4520</v>
      </c>
      <c r="F54" s="2"/>
      <c r="G54" s="2"/>
      <c r="H54" s="2"/>
      <c r="I54" s="2"/>
      <c r="J54" s="2"/>
      <c r="K54" s="2"/>
      <c r="L54" s="2"/>
      <c r="M54" s="2"/>
      <c r="N54" s="2"/>
      <c r="O54" s="2"/>
      <c r="P54" s="2"/>
      <c r="Q54" s="2"/>
      <c r="R54" s="2"/>
      <c r="S54" s="2"/>
      <c r="T54" s="2"/>
    </row>
    <row r="55" spans="2:20">
      <c r="B55" s="2"/>
      <c r="C55" s="2"/>
      <c r="D55" s="2"/>
      <c r="E55" s="2" t="s">
        <v>4521</v>
      </c>
      <c r="F55" s="2"/>
      <c r="G55" s="2"/>
      <c r="H55" s="2"/>
      <c r="I55" s="2"/>
      <c r="J55" s="2"/>
      <c r="K55" s="2"/>
      <c r="L55" s="2"/>
      <c r="M55" s="2"/>
      <c r="N55" s="2"/>
      <c r="O55" s="2"/>
      <c r="P55" s="2"/>
      <c r="Q55" s="2"/>
      <c r="R55" s="2"/>
      <c r="S55" s="2"/>
      <c r="T55" s="2"/>
    </row>
    <row r="56" spans="2:20">
      <c r="B56" s="2"/>
      <c r="C56" s="2"/>
      <c r="D56" s="2"/>
      <c r="E56" s="2" t="s">
        <v>4522</v>
      </c>
      <c r="F56" s="2"/>
      <c r="G56" s="2"/>
      <c r="H56" s="2"/>
      <c r="I56" s="2"/>
      <c r="J56" s="2"/>
      <c r="K56" s="2"/>
      <c r="L56" s="2"/>
      <c r="M56" s="2"/>
      <c r="N56" s="2"/>
      <c r="O56" s="2"/>
      <c r="P56" s="2"/>
      <c r="Q56" s="2"/>
      <c r="R56" s="2"/>
      <c r="S56" s="2"/>
      <c r="T56" s="2"/>
    </row>
    <row r="57" spans="2:20">
      <c r="B57" s="2"/>
      <c r="C57" s="2" t="s">
        <v>4415</v>
      </c>
      <c r="D57" s="2"/>
      <c r="E57" s="2"/>
      <c r="F57" s="2"/>
      <c r="G57" s="2"/>
      <c r="H57" s="2"/>
      <c r="I57" s="2"/>
      <c r="J57" s="2"/>
      <c r="K57" s="2"/>
      <c r="L57" s="2"/>
      <c r="M57" s="2"/>
      <c r="N57" s="2"/>
      <c r="O57" s="2"/>
      <c r="P57" s="2"/>
      <c r="Q57" s="2"/>
      <c r="R57" s="2"/>
      <c r="S57" s="2"/>
      <c r="T57" s="2"/>
    </row>
    <row r="58" spans="2:20">
      <c r="B58" s="2"/>
      <c r="C58" s="2"/>
      <c r="D58" s="2" t="s">
        <v>4523</v>
      </c>
      <c r="E58" s="2"/>
      <c r="F58" s="2"/>
      <c r="G58" s="2"/>
      <c r="H58" s="2"/>
      <c r="I58" s="2"/>
      <c r="J58" s="2"/>
      <c r="K58" s="2"/>
      <c r="L58" s="2"/>
      <c r="M58" s="2"/>
      <c r="N58" s="2"/>
      <c r="O58" s="2"/>
      <c r="P58" s="2"/>
      <c r="Q58" s="2"/>
      <c r="R58" s="2"/>
      <c r="S58" s="2"/>
      <c r="T58" s="2"/>
    </row>
    <row r="59" spans="2:20">
      <c r="B59" s="2"/>
      <c r="C59" s="2"/>
      <c r="D59" s="2" t="s">
        <v>4524</v>
      </c>
      <c r="E59" s="2"/>
      <c r="F59" s="2"/>
      <c r="G59" s="2"/>
      <c r="H59" s="2"/>
      <c r="I59" s="2"/>
      <c r="J59" s="2"/>
      <c r="K59" s="2"/>
      <c r="L59" s="2"/>
      <c r="M59" s="2"/>
      <c r="N59" s="2"/>
      <c r="O59" s="2"/>
      <c r="P59" s="2"/>
      <c r="Q59" s="2"/>
      <c r="R59" s="2"/>
      <c r="S59" s="2"/>
      <c r="T59" s="2"/>
    </row>
    <row r="60" spans="2:20">
      <c r="B60" s="2"/>
      <c r="C60" s="2"/>
      <c r="D60" s="2" t="s">
        <v>4525</v>
      </c>
      <c r="E60" s="2"/>
      <c r="F60" s="2"/>
      <c r="G60" s="2"/>
      <c r="H60" s="2"/>
      <c r="I60" s="2"/>
      <c r="J60" s="2"/>
      <c r="K60" s="2"/>
      <c r="L60" s="2"/>
      <c r="M60" s="2"/>
      <c r="N60" s="2"/>
      <c r="O60" s="2"/>
      <c r="P60" s="2"/>
      <c r="Q60" s="2"/>
      <c r="R60" s="2"/>
      <c r="S60" s="2"/>
      <c r="T60" s="2"/>
    </row>
    <row r="61" spans="2:20">
      <c r="B61" s="2"/>
      <c r="C61" s="2"/>
      <c r="D61" s="2" t="s">
        <v>4526</v>
      </c>
      <c r="E61" s="2"/>
      <c r="F61" s="2"/>
      <c r="G61" s="2"/>
      <c r="H61" s="2"/>
      <c r="I61" s="2"/>
      <c r="J61" s="2"/>
      <c r="K61" s="2"/>
      <c r="L61" s="2"/>
      <c r="M61" s="2"/>
      <c r="N61" s="2"/>
      <c r="O61" s="2"/>
      <c r="P61" s="2"/>
      <c r="Q61" s="2"/>
      <c r="R61" s="2"/>
      <c r="S61" s="2"/>
      <c r="T61" s="2"/>
    </row>
    <row r="62" spans="2:20">
      <c r="B62" s="2" t="s">
        <v>4527</v>
      </c>
      <c r="C62" s="2"/>
      <c r="D62" s="2"/>
      <c r="E62" s="2"/>
      <c r="F62" s="2"/>
      <c r="G62" s="2"/>
      <c r="H62" s="2"/>
      <c r="I62" s="2"/>
      <c r="J62" s="2"/>
      <c r="K62" s="2"/>
      <c r="L62" s="2"/>
      <c r="M62" s="2"/>
      <c r="N62" s="2"/>
      <c r="O62" s="2"/>
      <c r="P62" s="2"/>
      <c r="Q62" s="2"/>
      <c r="R62" s="2"/>
      <c r="S62" s="2"/>
      <c r="T62" s="2"/>
    </row>
    <row r="63" spans="2:20">
      <c r="B63" s="2"/>
      <c r="C63" s="2" t="s">
        <v>4528</v>
      </c>
      <c r="D63" s="2"/>
      <c r="E63" s="2"/>
      <c r="F63" s="2"/>
      <c r="G63" s="2"/>
      <c r="H63" s="2"/>
      <c r="I63" s="2"/>
      <c r="J63" s="2"/>
      <c r="K63" s="2"/>
      <c r="L63" s="2"/>
      <c r="M63" s="2"/>
      <c r="N63" s="2"/>
      <c r="O63" s="2"/>
      <c r="P63" s="2"/>
      <c r="Q63" s="2"/>
      <c r="R63" s="2"/>
      <c r="S63" s="2"/>
      <c r="T63" s="2"/>
    </row>
    <row r="64" spans="2:20">
      <c r="B64" s="2"/>
      <c r="C64" s="2"/>
      <c r="D64" s="2" t="s">
        <v>4529</v>
      </c>
      <c r="E64" s="2"/>
      <c r="F64" s="2"/>
      <c r="G64" s="2"/>
      <c r="H64" s="2"/>
      <c r="I64" s="2"/>
      <c r="J64" s="2"/>
      <c r="K64" s="2"/>
      <c r="L64" s="2"/>
      <c r="M64" s="2"/>
      <c r="N64" s="2"/>
      <c r="O64" s="2"/>
      <c r="P64" s="2"/>
      <c r="Q64" s="2"/>
      <c r="R64" s="2"/>
      <c r="S64" s="2"/>
      <c r="T64" s="2"/>
    </row>
    <row r="65" spans="2:20">
      <c r="B65" s="2"/>
      <c r="C65" s="2"/>
      <c r="D65" s="2" t="s">
        <v>4530</v>
      </c>
      <c r="E65" s="2"/>
      <c r="F65" s="2"/>
      <c r="G65" s="2"/>
      <c r="H65" s="2"/>
      <c r="I65" s="2"/>
      <c r="J65" s="2"/>
      <c r="K65" s="2"/>
      <c r="L65" s="2"/>
      <c r="M65" s="2"/>
      <c r="N65" s="2"/>
      <c r="O65" s="2"/>
      <c r="P65" s="2"/>
      <c r="Q65" s="2"/>
      <c r="R65" s="2"/>
      <c r="S65" s="2"/>
      <c r="T65" s="2"/>
    </row>
    <row r="66" spans="2:20">
      <c r="B66" s="2"/>
      <c r="C66" s="2" t="s">
        <v>4531</v>
      </c>
      <c r="D66" s="2"/>
      <c r="E66" s="2"/>
      <c r="F66" s="2"/>
      <c r="G66" s="2"/>
      <c r="H66" s="2"/>
      <c r="I66" s="2"/>
      <c r="J66" s="2"/>
      <c r="K66" s="2"/>
      <c r="L66" s="2"/>
      <c r="M66" s="2"/>
      <c r="N66" s="2"/>
      <c r="O66" s="2"/>
      <c r="P66" s="2"/>
      <c r="Q66" s="2"/>
      <c r="R66" s="2"/>
      <c r="S66" s="2"/>
      <c r="T66" s="2"/>
    </row>
    <row r="67" spans="2:20">
      <c r="B67" s="2"/>
      <c r="C67" s="2"/>
      <c r="D67" s="2" t="s">
        <v>4532</v>
      </c>
      <c r="E67" s="2"/>
      <c r="F67" s="2"/>
      <c r="G67" s="2"/>
      <c r="H67" s="2"/>
      <c r="I67" s="2"/>
      <c r="J67" s="2"/>
      <c r="K67" s="2"/>
      <c r="L67" s="2"/>
      <c r="M67" s="2"/>
      <c r="N67" s="2"/>
      <c r="O67" s="2"/>
      <c r="P67" s="2"/>
      <c r="Q67" s="2"/>
      <c r="R67" s="2"/>
      <c r="S67" s="2"/>
      <c r="T67" s="2"/>
    </row>
    <row r="68" spans="2:20">
      <c r="B68" s="2"/>
      <c r="C68" s="2"/>
      <c r="D68" s="2" t="s">
        <v>4533</v>
      </c>
      <c r="E68" s="2"/>
      <c r="F68" s="2"/>
      <c r="G68" s="2"/>
      <c r="H68" s="2"/>
      <c r="I68" s="2"/>
      <c r="J68" s="2"/>
      <c r="K68" s="2"/>
      <c r="L68" s="2"/>
      <c r="M68" s="2"/>
      <c r="N68" s="2"/>
      <c r="O68" s="2"/>
      <c r="P68" s="2"/>
      <c r="Q68" s="2"/>
      <c r="R68" s="2"/>
      <c r="S68" s="2"/>
      <c r="T68" s="2"/>
    </row>
    <row r="69" spans="2:20">
      <c r="B69" s="2"/>
      <c r="C69" s="2"/>
      <c r="D69" s="2"/>
      <c r="E69" s="2" t="s">
        <v>4534</v>
      </c>
      <c r="F69" s="2"/>
      <c r="G69" s="2"/>
      <c r="H69" s="2"/>
      <c r="I69" s="2"/>
      <c r="J69" s="2"/>
      <c r="K69" s="2"/>
      <c r="L69" s="2"/>
      <c r="M69" s="2"/>
      <c r="N69" s="2"/>
      <c r="O69" s="2"/>
      <c r="P69" s="2"/>
      <c r="Q69" s="2"/>
      <c r="R69" s="2"/>
      <c r="S69" s="2"/>
      <c r="T69" s="2"/>
    </row>
    <row r="70" spans="2:20">
      <c r="B70" s="2" t="s">
        <v>4535</v>
      </c>
      <c r="C70" s="2"/>
      <c r="D70" s="2"/>
      <c r="E70" s="2"/>
      <c r="F70" s="2"/>
      <c r="G70" s="2"/>
      <c r="H70" s="2"/>
      <c r="I70" s="2"/>
      <c r="J70" s="2"/>
      <c r="K70" s="2"/>
      <c r="L70" s="2"/>
      <c r="M70" s="2"/>
      <c r="N70" s="2"/>
      <c r="O70" s="2"/>
      <c r="P70" s="2"/>
      <c r="Q70" s="2"/>
      <c r="R70" s="2"/>
      <c r="S70" s="2"/>
      <c r="T70" s="2"/>
    </row>
    <row r="71" spans="2:20">
      <c r="B71" s="2"/>
      <c r="C71" s="2" t="s">
        <v>4536</v>
      </c>
      <c r="D71" s="2"/>
      <c r="E71" s="2"/>
      <c r="F71" s="2"/>
      <c r="G71" s="2"/>
      <c r="H71" s="2"/>
      <c r="I71" s="2"/>
      <c r="J71" s="2"/>
      <c r="K71" s="2"/>
      <c r="L71" s="2"/>
      <c r="M71" s="2"/>
      <c r="N71" s="2"/>
      <c r="O71" s="2"/>
      <c r="P71" s="2"/>
      <c r="Q71" s="2"/>
      <c r="R71" s="2"/>
      <c r="S71" s="2"/>
      <c r="T71" s="2"/>
    </row>
    <row r="72" spans="2:20">
      <c r="B72" s="2"/>
      <c r="C72" s="2"/>
      <c r="D72" s="2" t="s">
        <v>4537</v>
      </c>
      <c r="E72" s="2"/>
      <c r="F72" s="2"/>
      <c r="G72" s="2"/>
      <c r="H72" s="2"/>
      <c r="I72" s="2"/>
      <c r="J72" s="2"/>
      <c r="K72" s="2"/>
      <c r="L72" s="2"/>
      <c r="M72" s="2"/>
      <c r="N72" s="2"/>
      <c r="O72" s="2"/>
      <c r="P72" s="2"/>
      <c r="Q72" s="2"/>
      <c r="R72" s="2"/>
      <c r="S72" s="2"/>
      <c r="T72" s="2"/>
    </row>
    <row r="73" spans="2:20">
      <c r="B73" s="2"/>
      <c r="C73" s="2"/>
      <c r="D73" s="2" t="s">
        <v>4538</v>
      </c>
      <c r="E73" s="2"/>
      <c r="F73" s="2"/>
      <c r="G73" s="2"/>
      <c r="H73" s="2"/>
      <c r="I73" s="2"/>
      <c r="J73" s="2"/>
      <c r="K73" s="2"/>
      <c r="L73" s="2"/>
      <c r="M73" s="2"/>
      <c r="N73" s="2"/>
      <c r="O73" s="2"/>
      <c r="P73" s="2"/>
      <c r="Q73" s="2"/>
      <c r="R73" s="2"/>
      <c r="S73" s="2"/>
      <c r="T73" s="2"/>
    </row>
    <row r="74" spans="2:20">
      <c r="B74" s="2"/>
      <c r="C74" s="2"/>
      <c r="D74" s="2" t="s">
        <v>4539</v>
      </c>
      <c r="E74" s="2"/>
      <c r="F74" s="2"/>
      <c r="G74" s="2"/>
      <c r="H74" s="2"/>
      <c r="I74" s="2"/>
      <c r="J74" s="2"/>
      <c r="K74" s="2"/>
      <c r="L74" s="2"/>
      <c r="M74" s="2"/>
      <c r="N74" s="2"/>
      <c r="O74" s="2"/>
      <c r="P74" s="2"/>
      <c r="Q74" s="2"/>
      <c r="R74" s="2"/>
      <c r="S74" s="2"/>
      <c r="T74" s="2"/>
    </row>
    <row r="75" spans="2:20">
      <c r="B75" s="2"/>
      <c r="C75" s="2" t="s">
        <v>4540</v>
      </c>
      <c r="D75" s="2"/>
      <c r="E75" s="2"/>
      <c r="F75" s="2"/>
      <c r="G75" s="2"/>
      <c r="H75" s="2"/>
      <c r="I75" s="2"/>
      <c r="J75" s="2"/>
      <c r="K75" s="2"/>
      <c r="L75" s="2"/>
      <c r="M75" s="2"/>
      <c r="N75" s="2"/>
      <c r="O75" s="2"/>
      <c r="P75" s="2"/>
      <c r="Q75" s="2"/>
      <c r="R75" s="2"/>
      <c r="S75" s="2"/>
      <c r="T75" s="2"/>
    </row>
    <row r="76" spans="2:20">
      <c r="B76" s="2"/>
      <c r="C76" s="2"/>
      <c r="D76" s="2" t="s">
        <v>4541</v>
      </c>
      <c r="E76" s="2"/>
      <c r="F76" s="2"/>
      <c r="G76" s="2"/>
      <c r="H76" s="2"/>
      <c r="I76" s="2"/>
      <c r="J76" s="2"/>
      <c r="K76" s="2"/>
      <c r="L76" s="2"/>
      <c r="M76" s="2"/>
      <c r="N76" s="2"/>
      <c r="O76" s="2"/>
      <c r="P76" s="2"/>
      <c r="Q76" s="2"/>
      <c r="R76" s="2"/>
      <c r="S76" s="2"/>
      <c r="T76" s="2"/>
    </row>
    <row r="77" spans="2:20">
      <c r="B77" s="2"/>
      <c r="C77" s="2"/>
      <c r="D77" s="2" t="s">
        <v>4542</v>
      </c>
      <c r="E77" s="2"/>
      <c r="F77" s="2"/>
      <c r="G77" s="2"/>
      <c r="H77" s="2"/>
      <c r="I77" s="2"/>
      <c r="J77" s="2"/>
      <c r="K77" s="2"/>
      <c r="L77" s="2"/>
      <c r="M77" s="2"/>
      <c r="N77" s="2"/>
      <c r="O77" s="2"/>
      <c r="P77" s="2"/>
      <c r="Q77" s="2"/>
      <c r="R77" s="2"/>
      <c r="S77" s="2"/>
      <c r="T77" s="2"/>
    </row>
    <row r="78" spans="2:20">
      <c r="B78" s="2"/>
      <c r="C78" s="2"/>
      <c r="D78" s="2" t="s">
        <v>4543</v>
      </c>
      <c r="E78" s="2"/>
      <c r="F78" s="2"/>
      <c r="G78" s="2"/>
      <c r="H78" s="2"/>
      <c r="I78" s="2"/>
      <c r="J78" s="2"/>
      <c r="K78" s="2"/>
      <c r="L78" s="2"/>
      <c r="M78" s="2"/>
      <c r="N78" s="2"/>
      <c r="O78" s="2"/>
      <c r="P78" s="2"/>
      <c r="Q78" s="2"/>
      <c r="R78" s="2"/>
      <c r="S78" s="2"/>
      <c r="T78" s="2"/>
    </row>
    <row r="79" spans="2:20">
      <c r="B79" s="2" t="s">
        <v>4544</v>
      </c>
      <c r="C79" s="2"/>
      <c r="D79" s="2"/>
      <c r="E79" s="2"/>
      <c r="F79" s="2"/>
      <c r="G79" s="2"/>
      <c r="H79" s="2"/>
      <c r="I79" s="2"/>
      <c r="J79" s="2"/>
      <c r="K79" s="2"/>
      <c r="L79" s="2"/>
      <c r="M79" s="2"/>
      <c r="N79" s="2"/>
      <c r="O79" s="2"/>
      <c r="P79" s="2"/>
      <c r="Q79" s="2"/>
      <c r="R79" s="2"/>
      <c r="S79" s="2"/>
      <c r="T79" s="2"/>
    </row>
    <row r="80" spans="2:20">
      <c r="B80" s="2"/>
      <c r="C80" s="2" t="s">
        <v>4545</v>
      </c>
      <c r="D80" s="2"/>
      <c r="E80" s="2"/>
      <c r="F80" s="2"/>
      <c r="G80" s="2"/>
      <c r="H80" s="2"/>
      <c r="I80" s="2"/>
      <c r="J80" s="2"/>
      <c r="K80" s="2"/>
      <c r="L80" s="2"/>
      <c r="M80" s="2"/>
      <c r="N80" s="2"/>
      <c r="O80" s="2"/>
      <c r="P80" s="2"/>
      <c r="Q80" s="2"/>
      <c r="R80" s="2"/>
      <c r="S80" s="2"/>
      <c r="T80" s="2"/>
    </row>
    <row r="81" spans="2:20">
      <c r="B81" s="2"/>
      <c r="C81" s="2" t="s">
        <v>4546</v>
      </c>
      <c r="D81" s="2"/>
      <c r="E81" s="2"/>
      <c r="F81" s="2"/>
      <c r="G81" s="2"/>
      <c r="H81" s="2"/>
      <c r="I81" s="2"/>
      <c r="J81" s="2"/>
      <c r="K81" s="2"/>
      <c r="L81" s="2"/>
      <c r="M81" s="2"/>
      <c r="N81" s="2"/>
      <c r="O81" s="2"/>
      <c r="P81" s="2"/>
      <c r="Q81" s="2"/>
      <c r="R81" s="2"/>
      <c r="S81" s="2"/>
      <c r="T81" s="2"/>
    </row>
    <row r="82" spans="2:20">
      <c r="B82" s="2"/>
      <c r="C82" s="2"/>
      <c r="D82" s="2" t="s">
        <v>4547</v>
      </c>
      <c r="E82" s="2"/>
      <c r="F82" s="2"/>
      <c r="G82" s="2"/>
      <c r="H82" s="2"/>
      <c r="I82" s="2"/>
      <c r="J82" s="2"/>
      <c r="K82" s="2"/>
      <c r="L82" s="2"/>
      <c r="M82" s="2"/>
      <c r="N82" s="2"/>
      <c r="O82" s="2"/>
      <c r="P82" s="2"/>
      <c r="Q82" s="2"/>
      <c r="R82" s="2"/>
      <c r="S82" s="2"/>
      <c r="T82" s="2"/>
    </row>
    <row r="83" spans="2:20">
      <c r="B83" s="2"/>
      <c r="C83" s="2"/>
      <c r="D83" s="2" t="s">
        <v>4548</v>
      </c>
      <c r="E83" s="2"/>
      <c r="F83" s="2"/>
      <c r="G83" s="2"/>
      <c r="H83" s="2"/>
      <c r="I83" s="2"/>
      <c r="J83" s="2"/>
      <c r="K83" s="2"/>
      <c r="L83" s="2"/>
      <c r="M83" s="2"/>
      <c r="N83" s="2"/>
      <c r="O83" s="2"/>
      <c r="P83" s="2"/>
      <c r="Q83" s="2"/>
      <c r="R83" s="2"/>
      <c r="S83" s="2"/>
      <c r="T83" s="2"/>
    </row>
    <row r="84" spans="2:20">
      <c r="B84" s="2"/>
      <c r="C84" s="2" t="s">
        <v>4549</v>
      </c>
      <c r="D84" s="2"/>
      <c r="E84" s="2"/>
      <c r="F84" s="2"/>
      <c r="G84" s="2"/>
      <c r="H84" s="2"/>
      <c r="I84" s="2"/>
      <c r="J84" s="2"/>
      <c r="K84" s="2"/>
      <c r="L84" s="2"/>
      <c r="M84" s="2"/>
      <c r="N84" s="2"/>
      <c r="O84" s="2"/>
      <c r="P84" s="2"/>
      <c r="Q84" s="2"/>
      <c r="R84" s="2"/>
      <c r="S84" s="2"/>
      <c r="T84" s="2"/>
    </row>
    <row r="85" spans="2:20">
      <c r="B85" s="2"/>
      <c r="C85" s="2"/>
      <c r="D85" s="2" t="s">
        <v>4550</v>
      </c>
      <c r="E85" s="2"/>
      <c r="F85" s="2"/>
      <c r="G85" s="2"/>
      <c r="H85" s="2"/>
      <c r="I85" s="2"/>
      <c r="J85" s="2"/>
      <c r="K85" s="2"/>
      <c r="L85" s="2"/>
      <c r="M85" s="2"/>
      <c r="N85" s="2"/>
      <c r="O85" s="2"/>
      <c r="P85" s="2"/>
      <c r="Q85" s="2"/>
      <c r="R85" s="2"/>
      <c r="S85" s="2"/>
      <c r="T85" s="2"/>
    </row>
    <row r="86" spans="2:20">
      <c r="B86" s="2"/>
      <c r="C86" s="2"/>
      <c r="D86" s="2" t="s">
        <v>4551</v>
      </c>
      <c r="E86" s="2"/>
      <c r="F86" s="2"/>
      <c r="G86" s="2"/>
      <c r="H86" s="2"/>
      <c r="I86" s="2"/>
      <c r="J86" s="2"/>
      <c r="K86" s="2"/>
      <c r="L86" s="2"/>
      <c r="M86" s="2"/>
      <c r="N86" s="2"/>
      <c r="O86" s="2"/>
      <c r="P86" s="2"/>
      <c r="Q86" s="2"/>
      <c r="R86" s="2"/>
      <c r="S86" s="2"/>
      <c r="T86" s="2"/>
    </row>
    <row r="87" spans="2:20">
      <c r="B87" s="2"/>
      <c r="C87" s="2"/>
      <c r="D87" s="2" t="s">
        <v>4552</v>
      </c>
      <c r="E87" s="2"/>
      <c r="F87" s="2"/>
      <c r="G87" s="2"/>
      <c r="H87" s="2"/>
      <c r="I87" s="2"/>
      <c r="J87" s="2"/>
      <c r="K87" s="2"/>
      <c r="L87" s="2"/>
      <c r="M87" s="2"/>
      <c r="N87" s="2"/>
      <c r="O87" s="2"/>
      <c r="P87" s="2"/>
      <c r="Q87" s="2"/>
      <c r="R87" s="2"/>
      <c r="S87" s="2"/>
      <c r="T87" s="2"/>
    </row>
    <row r="88" spans="2:20">
      <c r="B88" s="2" t="s">
        <v>4553</v>
      </c>
      <c r="C88" s="2"/>
      <c r="D88" s="2"/>
      <c r="E88" s="2"/>
      <c r="F88" s="2"/>
      <c r="G88" s="2"/>
      <c r="H88" s="2"/>
      <c r="I88" s="2"/>
      <c r="J88" s="2"/>
      <c r="K88" s="2"/>
      <c r="L88" s="2"/>
    </row>
    <row r="89" spans="2:20">
      <c r="B89" s="2"/>
      <c r="C89" s="2" t="s">
        <v>4554</v>
      </c>
      <c r="D89" s="2"/>
      <c r="E89" s="2"/>
      <c r="F89" s="2"/>
      <c r="G89" s="2"/>
      <c r="H89" s="2"/>
      <c r="I89" s="2"/>
      <c r="J89" s="2"/>
      <c r="K89" s="2"/>
      <c r="L89" s="2"/>
    </row>
    <row r="90" spans="2:20">
      <c r="B90" s="2"/>
      <c r="C90" s="2"/>
      <c r="D90" s="2" t="s">
        <v>4555</v>
      </c>
      <c r="E90" s="2"/>
      <c r="F90" s="2"/>
      <c r="G90" s="2"/>
      <c r="H90" s="2"/>
      <c r="I90" s="2"/>
      <c r="J90" s="2"/>
      <c r="K90" s="2"/>
      <c r="L90" s="2"/>
    </row>
    <row r="91" spans="2:20">
      <c r="B91" s="2"/>
      <c r="C91" s="2"/>
      <c r="D91" s="2" t="s">
        <v>4556</v>
      </c>
      <c r="E91" s="2"/>
      <c r="F91" s="2"/>
      <c r="G91" s="2"/>
      <c r="H91" s="2"/>
      <c r="I91" s="2"/>
      <c r="J91" s="2"/>
      <c r="K91" s="2"/>
      <c r="L91" s="2"/>
    </row>
    <row r="92" spans="2:20">
      <c r="B92" s="2"/>
      <c r="C92" s="2" t="s">
        <v>4557</v>
      </c>
      <c r="D92" s="2"/>
      <c r="E92" s="2"/>
      <c r="F92" s="2"/>
      <c r="G92" s="2"/>
      <c r="H92" s="2"/>
      <c r="I92" s="2"/>
      <c r="J92" s="2"/>
      <c r="K92" s="2"/>
      <c r="L92" s="2"/>
    </row>
    <row r="93" spans="2:20">
      <c r="B93" s="2"/>
      <c r="C93" s="2"/>
      <c r="D93" s="2" t="s">
        <v>4558</v>
      </c>
      <c r="E93" s="2"/>
      <c r="F93" s="2"/>
      <c r="G93" s="2"/>
      <c r="H93" s="2"/>
      <c r="I93" s="2"/>
      <c r="J93" s="2"/>
      <c r="K93" s="2"/>
      <c r="L93" s="2"/>
    </row>
    <row r="94" spans="2:20">
      <c r="B94" s="2"/>
      <c r="C94" s="2" t="s">
        <v>4559</v>
      </c>
      <c r="D94" s="2"/>
      <c r="E94" s="2"/>
      <c r="F94" s="2"/>
      <c r="G94" s="2"/>
      <c r="H94" s="2"/>
      <c r="I94" s="2"/>
      <c r="J94" s="2"/>
      <c r="K94" s="2"/>
      <c r="L94" s="2"/>
    </row>
    <row r="95" spans="2:20">
      <c r="B95" s="2"/>
      <c r="C95" s="2"/>
      <c r="D95" s="2" t="s">
        <v>4560</v>
      </c>
      <c r="E95" s="2"/>
      <c r="F95" s="2"/>
      <c r="G95" s="2"/>
      <c r="H95" s="2"/>
      <c r="I95" s="2"/>
      <c r="J95" s="2"/>
      <c r="K95" s="2"/>
      <c r="L95" s="2"/>
    </row>
    <row r="96" spans="2:20">
      <c r="B96" s="2"/>
      <c r="C96" s="2"/>
      <c r="D96" s="2" t="s">
        <v>4561</v>
      </c>
      <c r="E96" s="2"/>
      <c r="F96" s="2"/>
      <c r="G96" s="2"/>
      <c r="H96" s="2"/>
      <c r="I96" s="2"/>
      <c r="J96" s="2"/>
      <c r="K96" s="2"/>
      <c r="L96" s="2"/>
    </row>
    <row r="97" spans="2:12">
      <c r="B97" s="2" t="s">
        <v>4562</v>
      </c>
      <c r="C97" s="2"/>
      <c r="D97" s="2"/>
      <c r="E97" s="2"/>
      <c r="F97" s="2"/>
      <c r="G97" s="2"/>
      <c r="H97" s="2"/>
      <c r="I97" s="2"/>
      <c r="J97" s="2"/>
      <c r="K97" s="2"/>
      <c r="L97" s="2"/>
    </row>
    <row r="98" spans="2:12">
      <c r="B98" s="2"/>
      <c r="C98" s="2"/>
      <c r="D98" s="2" t="s">
        <v>4563</v>
      </c>
      <c r="E98" s="2"/>
      <c r="F98" s="2"/>
      <c r="G98" s="2"/>
      <c r="H98" s="2"/>
      <c r="I98" s="2"/>
      <c r="J98" s="2"/>
      <c r="K98" s="2"/>
      <c r="L98" s="2"/>
    </row>
    <row r="99" spans="2:12">
      <c r="B99" s="2"/>
      <c r="C99" s="2"/>
      <c r="D99" s="2"/>
      <c r="E99" s="2" t="s">
        <v>4564</v>
      </c>
      <c r="F99" s="2"/>
      <c r="G99" s="2"/>
      <c r="H99" s="2"/>
      <c r="I99" s="2"/>
      <c r="J99" s="2"/>
      <c r="K99" s="2"/>
      <c r="L99" s="2"/>
    </row>
    <row r="100" spans="2:12">
      <c r="B100" s="2"/>
      <c r="C100" s="2"/>
      <c r="D100" s="2"/>
      <c r="E100" s="2" t="s">
        <v>4565</v>
      </c>
      <c r="F100" s="2"/>
      <c r="G100" s="2"/>
      <c r="H100" s="2"/>
      <c r="I100" s="2"/>
      <c r="J100" s="2"/>
      <c r="K100" s="2"/>
      <c r="L100" s="2"/>
    </row>
    <row r="101" spans="2:12">
      <c r="B101" s="2"/>
      <c r="C101" s="2"/>
      <c r="D101" s="2"/>
      <c r="E101" s="2" t="s">
        <v>4566</v>
      </c>
      <c r="F101" s="2"/>
      <c r="G101" s="2"/>
      <c r="H101" s="2"/>
      <c r="I101" s="2"/>
      <c r="J101" s="2"/>
      <c r="K101" s="2"/>
      <c r="L101" s="2"/>
    </row>
    <row r="102" spans="2:12">
      <c r="B102" s="2"/>
      <c r="C102" s="2"/>
      <c r="D102" s="2"/>
      <c r="E102" s="2" t="s">
        <v>4567</v>
      </c>
      <c r="F102" s="2"/>
      <c r="G102" s="2"/>
      <c r="H102" s="2"/>
      <c r="I102" s="2"/>
      <c r="J102" s="2"/>
      <c r="K102" s="2"/>
      <c r="L102" s="2"/>
    </row>
    <row r="103" spans="2:12">
      <c r="B103" s="2"/>
      <c r="C103" s="2"/>
      <c r="D103" s="2" t="s">
        <v>4568</v>
      </c>
      <c r="E103" s="2"/>
      <c r="F103" s="2"/>
      <c r="G103" s="2"/>
      <c r="H103" s="2"/>
      <c r="I103" s="2"/>
      <c r="J103" s="2"/>
      <c r="K103" s="2"/>
      <c r="L103" s="2"/>
    </row>
    <row r="104" spans="2:12">
      <c r="B104" s="2"/>
      <c r="C104" s="2"/>
      <c r="D104" s="2"/>
      <c r="E104" s="2" t="s">
        <v>4569</v>
      </c>
      <c r="F104" s="2"/>
      <c r="G104" s="2"/>
      <c r="H104" s="2"/>
      <c r="I104" s="2"/>
      <c r="J104" s="2"/>
      <c r="K104" s="2"/>
      <c r="L104" s="2"/>
    </row>
    <row r="105" spans="2:12">
      <c r="B105" s="2"/>
      <c r="C105" s="2"/>
      <c r="D105" s="2"/>
      <c r="E105" s="2" t="s">
        <v>4570</v>
      </c>
      <c r="F105" s="2"/>
      <c r="G105" s="2"/>
      <c r="H105" s="2"/>
      <c r="I105" s="2"/>
      <c r="J105" s="2"/>
      <c r="K105" s="2"/>
      <c r="L105" s="2"/>
    </row>
    <row r="106" spans="2:12">
      <c r="B106" s="2"/>
      <c r="C106" s="2"/>
      <c r="D106" s="2"/>
      <c r="E106" s="2" t="s">
        <v>4571</v>
      </c>
      <c r="F106" s="2"/>
      <c r="G106" s="2"/>
      <c r="H106" s="2"/>
      <c r="I106" s="2"/>
      <c r="J106" s="2"/>
      <c r="K106" s="2"/>
      <c r="L106" s="2"/>
    </row>
    <row r="107" spans="2:12">
      <c r="B107" s="2"/>
      <c r="C107" s="2"/>
      <c r="D107" s="2"/>
      <c r="E107" s="2" t="s">
        <v>4572</v>
      </c>
      <c r="F107" s="2"/>
      <c r="G107" s="2"/>
      <c r="H107" s="2"/>
      <c r="I107" s="2"/>
      <c r="J107" s="2"/>
      <c r="K107" s="2"/>
      <c r="L107" s="2"/>
    </row>
    <row r="108" spans="2:12">
      <c r="B108" s="2"/>
      <c r="C108" s="2"/>
      <c r="D108" s="2"/>
      <c r="E108" s="2" t="s">
        <v>4573</v>
      </c>
      <c r="F108" s="2"/>
      <c r="G108" s="2"/>
      <c r="H108" s="2"/>
      <c r="I108" s="2"/>
      <c r="J108" s="2"/>
      <c r="K108" s="2"/>
      <c r="L108" s="2"/>
    </row>
    <row r="109" spans="2:12">
      <c r="B109" s="2"/>
      <c r="C109" s="2"/>
      <c r="D109" s="2" t="s">
        <v>4574</v>
      </c>
      <c r="E109" s="2"/>
      <c r="F109" s="2"/>
      <c r="G109" s="2"/>
      <c r="H109" s="2"/>
      <c r="I109" s="2"/>
      <c r="J109" s="2"/>
      <c r="K109" s="2"/>
      <c r="L109" s="2"/>
    </row>
    <row r="110" spans="2:12">
      <c r="B110" s="2" t="s">
        <v>4575</v>
      </c>
      <c r="C110" s="2"/>
      <c r="D110" s="2"/>
      <c r="E110" s="2"/>
      <c r="F110" s="2"/>
      <c r="G110" s="2"/>
      <c r="H110" s="2"/>
      <c r="I110" s="2"/>
      <c r="J110" s="2"/>
      <c r="K110" s="2"/>
      <c r="L110" s="2"/>
    </row>
    <row r="111" spans="2:12">
      <c r="B111" s="2"/>
      <c r="C111" s="2" t="s">
        <v>4576</v>
      </c>
      <c r="D111" s="2"/>
      <c r="E111" s="2"/>
      <c r="F111" s="2"/>
      <c r="G111" s="2"/>
      <c r="H111" s="2"/>
      <c r="I111" s="2"/>
      <c r="J111" s="2"/>
      <c r="K111" s="2"/>
      <c r="L111" s="2"/>
    </row>
    <row r="112" spans="2:12">
      <c r="B112" s="2"/>
      <c r="C112" s="2"/>
      <c r="D112" s="2" t="s">
        <v>4577</v>
      </c>
      <c r="E112" s="2"/>
      <c r="F112" s="2"/>
      <c r="G112" s="2"/>
      <c r="H112" s="2"/>
      <c r="I112" s="2"/>
      <c r="J112" s="2"/>
      <c r="K112" s="2"/>
      <c r="L112" s="2"/>
    </row>
    <row r="113" spans="2:12">
      <c r="B113" s="2"/>
      <c r="C113" s="2"/>
      <c r="D113" s="2" t="s">
        <v>4578</v>
      </c>
      <c r="E113" s="2"/>
      <c r="F113" s="2"/>
      <c r="G113" s="2"/>
      <c r="H113" s="2"/>
      <c r="I113" s="2"/>
      <c r="J113" s="2"/>
      <c r="K113" s="2"/>
      <c r="L113" s="2"/>
    </row>
    <row r="114" spans="2:12">
      <c r="B114" s="2"/>
      <c r="C114" s="2"/>
      <c r="D114" s="2" t="s">
        <v>4579</v>
      </c>
      <c r="E114" s="2"/>
      <c r="F114" s="2"/>
      <c r="G114" s="2"/>
      <c r="H114" s="2"/>
      <c r="I114" s="2"/>
      <c r="J114" s="2"/>
      <c r="K114" s="2"/>
      <c r="L114" s="2"/>
    </row>
    <row r="115" spans="2:12">
      <c r="B115" s="2"/>
      <c r="C115" s="2" t="s">
        <v>4580</v>
      </c>
      <c r="D115" s="2"/>
      <c r="E115" s="2"/>
      <c r="F115" s="2"/>
      <c r="G115" s="2"/>
      <c r="H115" s="2"/>
      <c r="I115" s="2"/>
      <c r="J115" s="2"/>
      <c r="K115" s="2"/>
      <c r="L115" s="2"/>
    </row>
    <row r="116" spans="2:12">
      <c r="B116" s="2"/>
      <c r="C116" s="2"/>
      <c r="D116" s="2" t="s">
        <v>4581</v>
      </c>
      <c r="E116" s="2"/>
      <c r="F116" s="2"/>
      <c r="G116" s="2"/>
      <c r="H116" s="2"/>
      <c r="I116" s="2"/>
      <c r="J116" s="2"/>
      <c r="K116" s="2"/>
      <c r="L116" s="2"/>
    </row>
    <row r="117" spans="2:12">
      <c r="B117" s="2"/>
      <c r="C117" s="2"/>
      <c r="D117" s="2" t="s">
        <v>4582</v>
      </c>
      <c r="E117" s="2"/>
      <c r="F117" s="2"/>
      <c r="G117" s="2"/>
      <c r="H117" s="2"/>
      <c r="I117" s="2"/>
      <c r="J117" s="2"/>
      <c r="K117" s="2"/>
      <c r="L117" s="2"/>
    </row>
    <row r="118" spans="2:12">
      <c r="B118" s="2"/>
      <c r="C118" s="2"/>
      <c r="D118" s="2" t="s">
        <v>4583</v>
      </c>
      <c r="E118" s="2"/>
      <c r="F118" s="2"/>
      <c r="G118" s="2"/>
      <c r="H118" s="2"/>
      <c r="I118" s="2"/>
      <c r="J118" s="2"/>
      <c r="K118" s="2"/>
      <c r="L118" s="2"/>
    </row>
    <row r="119" spans="2:12">
      <c r="B119" s="2" t="s">
        <v>4584</v>
      </c>
      <c r="C119" s="2"/>
      <c r="D119" s="2"/>
      <c r="E119" s="2"/>
      <c r="F119" s="2"/>
      <c r="G119" s="2"/>
      <c r="H119" s="2"/>
      <c r="I119" s="2"/>
      <c r="J119" s="2"/>
      <c r="K119" s="2"/>
      <c r="L119" s="2"/>
    </row>
    <row r="120" spans="2:12">
      <c r="B120" s="2"/>
      <c r="C120" s="2" t="s">
        <v>4585</v>
      </c>
      <c r="D120" s="2"/>
      <c r="E120" s="2"/>
      <c r="F120" s="2"/>
      <c r="G120" s="2"/>
      <c r="H120" s="2"/>
      <c r="I120" s="2"/>
      <c r="J120" s="2"/>
      <c r="K120" s="2"/>
      <c r="L120" s="2"/>
    </row>
    <row r="121" spans="2:12">
      <c r="B121" s="2"/>
      <c r="C121" s="2"/>
      <c r="D121" s="2" t="s">
        <v>4586</v>
      </c>
      <c r="E121" s="2"/>
      <c r="F121" s="2"/>
      <c r="G121" s="2"/>
      <c r="H121" s="2"/>
      <c r="I121" s="2"/>
      <c r="J121" s="2"/>
      <c r="K121" s="2"/>
      <c r="L121" s="2"/>
    </row>
    <row r="122" spans="2:12">
      <c r="B122" s="2"/>
      <c r="C122" s="2"/>
      <c r="D122" s="2" t="s">
        <v>4587</v>
      </c>
      <c r="E122" s="2"/>
      <c r="F122" s="2"/>
      <c r="G122" s="2"/>
      <c r="H122" s="2"/>
      <c r="I122" s="2"/>
      <c r="J122" s="2"/>
      <c r="K122" s="2"/>
      <c r="L122" s="2"/>
    </row>
    <row r="123" spans="2:12">
      <c r="B123" s="2"/>
      <c r="C123" s="2"/>
      <c r="D123" s="2" t="s">
        <v>4588</v>
      </c>
      <c r="E123" s="2"/>
      <c r="F123" s="2"/>
      <c r="G123" s="2"/>
      <c r="H123" s="2"/>
      <c r="I123" s="2"/>
      <c r="J123" s="2"/>
      <c r="K123" s="2"/>
      <c r="L123" s="2"/>
    </row>
    <row r="124" spans="2:12">
      <c r="B124" s="2"/>
      <c r="C124" s="2"/>
      <c r="D124" s="2" t="s">
        <v>4589</v>
      </c>
      <c r="E124" s="2"/>
      <c r="F124" s="2"/>
      <c r="G124" s="2"/>
      <c r="H124" s="2"/>
      <c r="I124" s="2"/>
      <c r="J124" s="2"/>
      <c r="K124" s="2"/>
      <c r="L124" s="2"/>
    </row>
    <row r="125" spans="2:12">
      <c r="B125" s="2"/>
      <c r="C125" s="2" t="s">
        <v>4590</v>
      </c>
      <c r="D125" s="2"/>
      <c r="E125" s="2"/>
      <c r="F125" s="2"/>
      <c r="G125" s="2"/>
      <c r="H125" s="2"/>
      <c r="I125" s="2"/>
      <c r="J125" s="2"/>
      <c r="K125" s="2"/>
      <c r="L125" s="2"/>
    </row>
    <row r="126" spans="2:12">
      <c r="B126" s="2"/>
      <c r="C126" s="2"/>
      <c r="D126" s="2" t="s">
        <v>4591</v>
      </c>
      <c r="E126" s="2"/>
      <c r="F126" s="2"/>
      <c r="G126" s="2"/>
      <c r="H126" s="2"/>
      <c r="I126" s="2"/>
      <c r="J126" s="2"/>
      <c r="K126" s="2"/>
      <c r="L126" s="2"/>
    </row>
    <row r="127" spans="2:12">
      <c r="B127" s="2"/>
      <c r="C127" s="2"/>
      <c r="D127" s="2" t="s">
        <v>4592</v>
      </c>
      <c r="E127" s="2"/>
      <c r="F127" s="2"/>
      <c r="G127" s="2"/>
      <c r="H127" s="2"/>
      <c r="I127" s="2"/>
      <c r="J127" s="2"/>
      <c r="K127" s="2"/>
      <c r="L127" s="2"/>
    </row>
    <row r="128" spans="2:12">
      <c r="B128" s="2"/>
      <c r="C128" s="2" t="s">
        <v>4593</v>
      </c>
      <c r="D128" s="2"/>
      <c r="E128" s="2"/>
      <c r="F128" s="2"/>
      <c r="G128" s="2"/>
      <c r="H128" s="2"/>
      <c r="I128" s="2"/>
      <c r="J128" s="2"/>
      <c r="K128" s="2"/>
      <c r="L128" s="2"/>
    </row>
    <row r="129" spans="2:12">
      <c r="B129" s="2"/>
      <c r="C129" s="2"/>
      <c r="D129" s="2" t="s">
        <v>4594</v>
      </c>
      <c r="E129" s="2"/>
      <c r="F129" s="2"/>
      <c r="G129" s="2"/>
      <c r="H129" s="2"/>
      <c r="I129" s="2"/>
      <c r="J129" s="2"/>
      <c r="K129" s="2"/>
      <c r="L129" s="2"/>
    </row>
    <row r="130" spans="2:12">
      <c r="B130" s="2"/>
      <c r="C130" s="2"/>
      <c r="D130" s="2" t="s">
        <v>4595</v>
      </c>
      <c r="E130" s="2"/>
      <c r="F130" s="2"/>
      <c r="G130" s="2"/>
      <c r="H130" s="2"/>
      <c r="I130" s="2"/>
      <c r="J130" s="2"/>
      <c r="K130" s="2"/>
      <c r="L130" s="2"/>
    </row>
    <row r="131" spans="2:12">
      <c r="B131" s="2"/>
      <c r="C131" s="2"/>
      <c r="D131" s="2" t="s">
        <v>4596</v>
      </c>
      <c r="E131" s="2"/>
      <c r="F131" s="2"/>
      <c r="G131" s="2"/>
      <c r="H131" s="2"/>
      <c r="I131" s="2"/>
      <c r="J131" s="2"/>
      <c r="K131" s="2"/>
      <c r="L131" s="2"/>
    </row>
    <row r="132" spans="2:12">
      <c r="B132" s="2"/>
      <c r="C132" s="2" t="s">
        <v>4597</v>
      </c>
      <c r="D132" s="2"/>
      <c r="E132" s="2"/>
      <c r="F132" s="2"/>
      <c r="G132" s="2"/>
      <c r="H132" s="2"/>
      <c r="I132" s="2"/>
      <c r="J132" s="2"/>
      <c r="K132" s="2"/>
      <c r="L132" s="2"/>
    </row>
    <row r="133" spans="2:12">
      <c r="B133" s="2"/>
      <c r="C133" s="2"/>
      <c r="D133" s="2" t="s">
        <v>4598</v>
      </c>
      <c r="E133" s="2"/>
      <c r="F133" s="2"/>
      <c r="G133" s="2"/>
      <c r="H133" s="2"/>
      <c r="I133" s="2"/>
      <c r="J133" s="2"/>
      <c r="K133" s="2"/>
      <c r="L133" s="2"/>
    </row>
    <row r="134" spans="2:12">
      <c r="B134" s="2"/>
      <c r="C134" s="2"/>
      <c r="D134" s="2" t="s">
        <v>4599</v>
      </c>
      <c r="E134" s="2"/>
      <c r="F134" s="2"/>
      <c r="G134" s="2"/>
      <c r="H134" s="2"/>
      <c r="I134" s="2"/>
      <c r="J134" s="2"/>
      <c r="K134" s="2"/>
      <c r="L134" s="2"/>
    </row>
    <row r="135" spans="2:12">
      <c r="B135" s="2"/>
      <c r="C135" s="2"/>
      <c r="D135" s="2" t="s">
        <v>4600</v>
      </c>
      <c r="E135" s="2"/>
      <c r="F135" s="2"/>
      <c r="G135" s="2"/>
      <c r="H135" s="2"/>
      <c r="I135" s="2"/>
      <c r="J135" s="2"/>
      <c r="K135" s="2"/>
      <c r="L135" s="2"/>
    </row>
    <row r="136" spans="2:12">
      <c r="B136" s="2" t="s">
        <v>4601</v>
      </c>
      <c r="C136" s="2"/>
      <c r="D136" s="2"/>
      <c r="E136" s="2"/>
      <c r="F136" s="2"/>
      <c r="G136" s="2"/>
      <c r="H136" s="2"/>
      <c r="I136" s="2"/>
      <c r="J136" s="2"/>
      <c r="K136" s="2"/>
      <c r="L136" s="2"/>
    </row>
    <row r="137" spans="2:12">
      <c r="B137" s="2"/>
      <c r="C137" s="2" t="s">
        <v>4602</v>
      </c>
      <c r="D137" s="2"/>
      <c r="E137" s="2"/>
      <c r="F137" s="2"/>
      <c r="G137" s="2"/>
      <c r="H137" s="2"/>
      <c r="I137" s="2"/>
      <c r="J137" s="2"/>
      <c r="K137" s="2"/>
      <c r="L137" s="2"/>
    </row>
    <row r="138" spans="2:12">
      <c r="B138" s="2"/>
      <c r="C138" s="2"/>
      <c r="D138" s="2" t="s">
        <v>4603</v>
      </c>
      <c r="E138" s="2"/>
      <c r="F138" s="2"/>
      <c r="G138" s="2"/>
      <c r="H138" s="2"/>
      <c r="I138" s="2"/>
      <c r="J138" s="2"/>
      <c r="K138" s="2"/>
      <c r="L138" s="2"/>
    </row>
    <row r="139" spans="2:12">
      <c r="B139" s="2"/>
      <c r="C139" s="2"/>
      <c r="D139" s="2" t="s">
        <v>4604</v>
      </c>
      <c r="E139" s="2"/>
      <c r="F139" s="2"/>
      <c r="G139" s="2"/>
      <c r="H139" s="2"/>
      <c r="I139" s="2"/>
      <c r="J139" s="2"/>
      <c r="K139" s="2"/>
      <c r="L139" s="2"/>
    </row>
    <row r="140" spans="2:12">
      <c r="B140" s="2"/>
      <c r="C140" s="2"/>
      <c r="D140" s="2" t="s">
        <v>4605</v>
      </c>
      <c r="E140" s="2"/>
      <c r="F140" s="2"/>
      <c r="G140" s="2"/>
      <c r="H140" s="2"/>
      <c r="I140" s="2"/>
      <c r="J140" s="2"/>
      <c r="K140" s="2"/>
      <c r="L140" s="2"/>
    </row>
    <row r="141" spans="2:12">
      <c r="B141" s="2"/>
      <c r="C141" s="2" t="s">
        <v>4602</v>
      </c>
      <c r="D141" s="2"/>
      <c r="E141" s="2"/>
      <c r="F141" s="2"/>
      <c r="G141" s="2"/>
      <c r="H141" s="2"/>
      <c r="I141" s="2"/>
      <c r="J141" s="2"/>
      <c r="K141" s="2"/>
      <c r="L141" s="2"/>
    </row>
    <row r="142" spans="2:12">
      <c r="B142" s="2"/>
      <c r="C142" s="2"/>
      <c r="D142" s="2" t="s">
        <v>4606</v>
      </c>
      <c r="E142" s="2"/>
      <c r="F142" s="2"/>
      <c r="G142" s="2"/>
      <c r="H142" s="2"/>
      <c r="I142" s="2"/>
      <c r="J142" s="2"/>
      <c r="K142" s="2"/>
      <c r="L142" s="2"/>
    </row>
    <row r="143" spans="2:12">
      <c r="B143" s="2"/>
      <c r="C143" s="2"/>
      <c r="D143" s="2" t="s">
        <v>4607</v>
      </c>
      <c r="E143" s="2"/>
      <c r="F143" s="2"/>
      <c r="G143" s="2"/>
      <c r="H143" s="2"/>
      <c r="I143" s="2"/>
      <c r="J143" s="2"/>
      <c r="K143" s="2"/>
      <c r="L143" s="2"/>
    </row>
    <row r="144" spans="2:12">
      <c r="B144" s="2"/>
      <c r="C144" s="2"/>
      <c r="D144" s="2" t="s">
        <v>4608</v>
      </c>
      <c r="E144" s="2"/>
      <c r="F144" s="2"/>
      <c r="G144" s="2"/>
      <c r="H144" s="2"/>
      <c r="I144" s="2"/>
      <c r="J144" s="2"/>
      <c r="K144" s="2"/>
      <c r="L144" s="2"/>
    </row>
    <row r="145" spans="2:12">
      <c r="B145" s="2"/>
      <c r="C145" s="2"/>
      <c r="D145" s="2" t="s">
        <v>4609</v>
      </c>
      <c r="E145" s="2"/>
      <c r="F145" s="2"/>
      <c r="G145" s="2"/>
      <c r="H145" s="2"/>
      <c r="I145" s="2"/>
      <c r="J145" s="2"/>
      <c r="K145" s="2"/>
      <c r="L145" s="2"/>
    </row>
    <row r="146" spans="2:12">
      <c r="B146" s="2"/>
      <c r="C146" s="2" t="s">
        <v>4610</v>
      </c>
      <c r="D146" s="2"/>
      <c r="E146" s="2"/>
      <c r="F146" s="2"/>
      <c r="G146" s="2"/>
      <c r="H146" s="2"/>
      <c r="I146" s="2"/>
      <c r="J146" s="2"/>
      <c r="K146" s="2"/>
      <c r="L146" s="2"/>
    </row>
    <row r="147" spans="2:12">
      <c r="B147" s="2"/>
      <c r="C147" s="2" t="s">
        <v>4611</v>
      </c>
      <c r="D147" s="2"/>
      <c r="E147" s="2"/>
      <c r="F147" s="2"/>
      <c r="G147" s="2"/>
      <c r="H147" s="2"/>
      <c r="I147" s="2"/>
      <c r="J147" s="2"/>
      <c r="K147" s="2"/>
      <c r="L147" s="2"/>
    </row>
    <row r="148" spans="2:12">
      <c r="B148" s="2"/>
      <c r="C148" s="2" t="s">
        <v>4612</v>
      </c>
      <c r="D148" s="2"/>
      <c r="E148" s="2"/>
      <c r="F148" s="2"/>
      <c r="G148" s="2"/>
      <c r="H148" s="2"/>
      <c r="I148" s="2"/>
      <c r="J148" s="2"/>
      <c r="K148" s="2"/>
      <c r="L148" s="2"/>
    </row>
    <row r="149" spans="2:12">
      <c r="B149" s="2"/>
      <c r="C149" s="2" t="s">
        <v>4613</v>
      </c>
      <c r="D149" s="2"/>
      <c r="E149" s="2"/>
      <c r="F149" s="2"/>
      <c r="G149" s="2"/>
      <c r="H149" s="2"/>
      <c r="I149" s="2"/>
      <c r="J149" s="2"/>
      <c r="K149" s="2"/>
      <c r="L149" s="2"/>
    </row>
    <row r="150" spans="2:12">
      <c r="B150" s="2" t="s">
        <v>4614</v>
      </c>
      <c r="C150" s="2"/>
      <c r="D150" s="2"/>
      <c r="E150" s="2"/>
      <c r="F150" s="2"/>
      <c r="G150" s="2"/>
      <c r="H150" s="2"/>
      <c r="I150" s="2"/>
      <c r="J150" s="2"/>
      <c r="K150" s="2"/>
      <c r="L150" s="2"/>
    </row>
    <row r="151" spans="2:12">
      <c r="B151" s="2"/>
      <c r="C151" s="2" t="s">
        <v>4615</v>
      </c>
      <c r="D151" s="2"/>
      <c r="E151" s="2"/>
      <c r="F151" s="2"/>
      <c r="G151" s="2"/>
      <c r="H151" s="2"/>
      <c r="I151" s="2"/>
      <c r="J151" s="2"/>
      <c r="K151" s="2"/>
      <c r="L151" s="2"/>
    </row>
    <row r="152" spans="2:12">
      <c r="B152" s="2"/>
      <c r="C152" s="2" t="s">
        <v>4616</v>
      </c>
      <c r="D152" s="2"/>
      <c r="E152" s="2"/>
      <c r="F152" s="2"/>
      <c r="G152" s="2"/>
      <c r="H152" s="2"/>
      <c r="I152" s="2"/>
      <c r="J152" s="2"/>
      <c r="K152" s="2"/>
      <c r="L152" s="2"/>
    </row>
    <row r="153" spans="2:12">
      <c r="B153" s="2"/>
      <c r="C153" s="2" t="s">
        <v>4617</v>
      </c>
      <c r="D153" s="2"/>
      <c r="E153" s="2"/>
      <c r="F153" s="2"/>
      <c r="G153" s="2"/>
      <c r="H153" s="2"/>
      <c r="I153" s="2"/>
      <c r="J153" s="2"/>
      <c r="K153" s="2"/>
      <c r="L153" s="2"/>
    </row>
    <row r="154" spans="2:12">
      <c r="B154" s="2"/>
      <c r="C154" s="2"/>
      <c r="D154" s="2" t="s">
        <v>4618</v>
      </c>
      <c r="E154" s="2"/>
      <c r="F154" s="2"/>
      <c r="G154" s="2"/>
      <c r="H154" s="2"/>
      <c r="I154" s="2"/>
      <c r="J154" s="2"/>
      <c r="K154" s="2"/>
      <c r="L154" s="2"/>
    </row>
    <row r="155" spans="2:12">
      <c r="B155" s="2"/>
      <c r="C155" s="2"/>
      <c r="D155" s="2" t="s">
        <v>4619</v>
      </c>
      <c r="E155" s="2"/>
      <c r="F155" s="2"/>
      <c r="G155" s="2"/>
      <c r="H155" s="2"/>
      <c r="I155" s="2"/>
      <c r="J155" s="2"/>
      <c r="K155" s="2"/>
      <c r="L155" s="2"/>
    </row>
    <row r="156" spans="2:12">
      <c r="B156" s="2"/>
      <c r="C156" s="2"/>
      <c r="D156" s="2" t="s">
        <v>4620</v>
      </c>
      <c r="E156" s="2"/>
      <c r="F156" s="2"/>
      <c r="G156" s="2"/>
      <c r="H156" s="2"/>
      <c r="I156" s="2"/>
      <c r="J156" s="2"/>
      <c r="K156" s="2"/>
      <c r="L156" s="2"/>
    </row>
    <row r="157" spans="2:12">
      <c r="B157" s="2"/>
      <c r="C157" s="2"/>
      <c r="D157" s="2" t="s">
        <v>4621</v>
      </c>
      <c r="E157" s="2"/>
      <c r="F157" s="2"/>
      <c r="G157" s="2"/>
      <c r="H157" s="2"/>
      <c r="I157" s="2"/>
      <c r="J157" s="2"/>
      <c r="K157" s="2"/>
      <c r="L157" s="2"/>
    </row>
    <row r="158" spans="2:12">
      <c r="B158" s="2"/>
      <c r="C158" s="2" t="s">
        <v>4622</v>
      </c>
      <c r="D158" s="2"/>
      <c r="E158" s="2"/>
      <c r="F158" s="2"/>
      <c r="G158" s="2"/>
      <c r="H158" s="2"/>
      <c r="I158" s="2"/>
      <c r="J158" s="2"/>
      <c r="K158" s="2"/>
      <c r="L158" s="2"/>
    </row>
    <row r="159" spans="2:12">
      <c r="B159" s="2"/>
      <c r="C159" s="2"/>
      <c r="D159" s="2" t="s">
        <v>4623</v>
      </c>
      <c r="E159" s="2"/>
      <c r="F159" s="2"/>
      <c r="G159" s="2"/>
      <c r="H159" s="2"/>
      <c r="I159" s="2"/>
      <c r="J159" s="2"/>
      <c r="K159" s="2"/>
      <c r="L159" s="2"/>
    </row>
    <row r="160" spans="2:12">
      <c r="B160" s="2"/>
      <c r="C160" s="2"/>
      <c r="D160" s="2" t="s">
        <v>4624</v>
      </c>
      <c r="E160" s="2"/>
      <c r="F160" s="2"/>
      <c r="G160" s="2"/>
      <c r="H160" s="2"/>
      <c r="I160" s="2"/>
      <c r="J160" s="2"/>
      <c r="K160" s="2"/>
      <c r="L160" s="2"/>
    </row>
    <row r="161" spans="2:12">
      <c r="B161" s="2"/>
      <c r="C161" s="2"/>
      <c r="D161" s="2"/>
      <c r="E161" s="2" t="s">
        <v>4625</v>
      </c>
      <c r="F161" s="2"/>
      <c r="G161" s="2"/>
      <c r="H161" s="2"/>
      <c r="I161" s="2"/>
      <c r="J161" s="2"/>
      <c r="K161" s="2"/>
      <c r="L161" s="2"/>
    </row>
    <row r="162" spans="2:12">
      <c r="B162" s="2"/>
      <c r="C162" s="2"/>
      <c r="D162" s="2"/>
      <c r="E162" s="2" t="s">
        <v>4626</v>
      </c>
      <c r="F162" s="2"/>
      <c r="G162" s="2"/>
      <c r="H162" s="2"/>
      <c r="I162" s="2"/>
      <c r="J162" s="2"/>
      <c r="K162" s="2"/>
      <c r="L162" s="2"/>
    </row>
    <row r="163" spans="2:12">
      <c r="B163" s="2"/>
      <c r="C163" s="2"/>
      <c r="D163" s="2"/>
      <c r="E163" s="2" t="s">
        <v>4627</v>
      </c>
      <c r="F163" s="2"/>
      <c r="G163" s="2"/>
      <c r="H163" s="2"/>
      <c r="I163" s="2"/>
      <c r="J163" s="2"/>
      <c r="K163" s="2"/>
      <c r="L163" s="2"/>
    </row>
    <row r="164" spans="2:12">
      <c r="B164" s="2"/>
      <c r="C164" s="2"/>
      <c r="D164" s="2" t="s">
        <v>4628</v>
      </c>
      <c r="E164" s="2"/>
      <c r="F164" s="2"/>
      <c r="G164" s="2"/>
      <c r="H164" s="2"/>
      <c r="I164" s="2"/>
      <c r="J164" s="2"/>
      <c r="K164" s="2"/>
      <c r="L164" s="2"/>
    </row>
    <row r="165" spans="2:12">
      <c r="B165" s="2"/>
      <c r="C165" s="2"/>
      <c r="D165" s="2" t="s">
        <v>4629</v>
      </c>
      <c r="E165" s="2"/>
      <c r="F165" s="2"/>
      <c r="G165" s="2"/>
      <c r="H165" s="2"/>
      <c r="I165" s="2"/>
      <c r="J165" s="2"/>
      <c r="K165" s="2"/>
      <c r="L165" s="2"/>
    </row>
    <row r="166" spans="2:12">
      <c r="B166" s="2" t="s">
        <v>4630</v>
      </c>
      <c r="C166" s="2"/>
      <c r="D166" s="2"/>
      <c r="E166" s="2"/>
      <c r="F166" s="2"/>
      <c r="G166" s="2"/>
      <c r="H166" s="2"/>
      <c r="I166" s="2"/>
      <c r="J166" s="2"/>
      <c r="K166" s="2"/>
      <c r="L166" s="2"/>
    </row>
    <row r="167" spans="2:12">
      <c r="B167" s="2"/>
      <c r="C167" s="2" t="s">
        <v>4631</v>
      </c>
      <c r="D167" s="2"/>
      <c r="E167" s="2"/>
      <c r="F167" s="2"/>
      <c r="G167" s="2"/>
      <c r="H167" s="2"/>
      <c r="I167" s="2"/>
      <c r="J167" s="2"/>
      <c r="K167" s="2"/>
      <c r="L167" s="2"/>
    </row>
    <row r="168" spans="2:12">
      <c r="B168" s="2"/>
      <c r="C168" s="2" t="s">
        <v>4632</v>
      </c>
      <c r="D168" s="2"/>
      <c r="E168" s="2"/>
      <c r="F168" s="2"/>
      <c r="G168" s="2"/>
      <c r="H168" s="2"/>
      <c r="I168" s="2"/>
      <c r="J168" s="2"/>
      <c r="K168" s="2"/>
      <c r="L168" s="2"/>
    </row>
    <row r="169" spans="2:12">
      <c r="B169" s="2"/>
      <c r="C169" s="2" t="s">
        <v>4633</v>
      </c>
      <c r="D169" s="2"/>
      <c r="E169" s="2"/>
      <c r="F169" s="2"/>
      <c r="G169" s="2"/>
      <c r="H169" s="2"/>
      <c r="I169" s="2"/>
      <c r="J169" s="2"/>
      <c r="K169" s="2"/>
      <c r="L169" s="2"/>
    </row>
    <row r="170" spans="2:12">
      <c r="B170" s="2"/>
      <c r="C170" s="2" t="s">
        <v>4634</v>
      </c>
      <c r="D170" s="2"/>
      <c r="E170" s="2"/>
      <c r="F170" s="2"/>
      <c r="G170" s="2"/>
      <c r="H170" s="2"/>
      <c r="I170" s="2"/>
      <c r="J170" s="2"/>
      <c r="K170" s="2"/>
      <c r="L170" s="2"/>
    </row>
    <row r="171" spans="2:12">
      <c r="B171" s="2"/>
      <c r="C171" s="2"/>
      <c r="D171" s="2" t="s">
        <v>4635</v>
      </c>
      <c r="E171" s="2"/>
      <c r="F171" s="2"/>
      <c r="G171" s="2"/>
      <c r="H171" s="2"/>
      <c r="I171" s="2"/>
      <c r="J171" s="2"/>
      <c r="K171" s="2"/>
      <c r="L171" s="2"/>
    </row>
    <row r="172" spans="2:12">
      <c r="B172" s="2"/>
      <c r="C172" s="2"/>
      <c r="D172" s="2"/>
      <c r="E172" s="2" t="s">
        <v>4636</v>
      </c>
      <c r="F172" s="2"/>
      <c r="G172" s="2"/>
      <c r="H172" s="2"/>
      <c r="I172" s="2"/>
      <c r="J172" s="2"/>
      <c r="K172" s="2"/>
      <c r="L172" s="2"/>
    </row>
    <row r="173" spans="2:12">
      <c r="B173" s="2"/>
      <c r="C173" s="2"/>
      <c r="D173" s="2"/>
      <c r="E173" s="2" t="s">
        <v>4637</v>
      </c>
      <c r="F173" s="2"/>
      <c r="G173" s="2"/>
      <c r="H173" s="2"/>
      <c r="I173" s="2"/>
      <c r="J173" s="2"/>
      <c r="K173" s="2"/>
      <c r="L173" s="2"/>
    </row>
    <row r="174" spans="2:12">
      <c r="B174" s="2"/>
      <c r="C174" s="2"/>
      <c r="D174" s="2" t="s">
        <v>4638</v>
      </c>
      <c r="E174" s="2"/>
      <c r="F174" s="2"/>
      <c r="G174" s="2"/>
      <c r="H174" s="2"/>
      <c r="I174" s="2"/>
      <c r="J174" s="2"/>
      <c r="K174" s="2"/>
      <c r="L174" s="2"/>
    </row>
    <row r="175" spans="2:12">
      <c r="B175" s="2"/>
      <c r="C175" s="2"/>
      <c r="D175" s="2"/>
      <c r="E175" s="2" t="s">
        <v>4639</v>
      </c>
      <c r="F175" s="2"/>
      <c r="G175" s="2"/>
      <c r="H175" s="2"/>
      <c r="I175" s="2"/>
      <c r="J175" s="2"/>
      <c r="K175" s="2"/>
      <c r="L175" s="2"/>
    </row>
    <row r="176" spans="2:12">
      <c r="B176" s="2"/>
      <c r="C176" s="2"/>
      <c r="D176" s="2"/>
      <c r="E176" s="2" t="s">
        <v>4640</v>
      </c>
      <c r="F176" s="2"/>
      <c r="G176" s="2"/>
      <c r="H176" s="2"/>
      <c r="I176" s="2"/>
      <c r="J176" s="2"/>
      <c r="K176" s="2"/>
      <c r="L176" s="2"/>
    </row>
    <row r="177" spans="2:12">
      <c r="B177" s="2"/>
      <c r="C177" s="2"/>
      <c r="D177" s="2"/>
      <c r="E177" s="2" t="s">
        <v>4641</v>
      </c>
      <c r="F177" s="2"/>
      <c r="G177" s="2"/>
      <c r="H177" s="2"/>
      <c r="I177" s="2"/>
      <c r="J177" s="2"/>
      <c r="K177" s="2"/>
      <c r="L177" s="2"/>
    </row>
    <row r="178" spans="2:12">
      <c r="B178" s="2"/>
      <c r="C178" s="2"/>
      <c r="D178" s="2"/>
      <c r="E178" s="2"/>
      <c r="F178" s="2" t="s">
        <v>4642</v>
      </c>
      <c r="G178" s="2"/>
      <c r="H178" s="2"/>
      <c r="I178" s="2"/>
      <c r="J178" s="2"/>
      <c r="K178" s="2"/>
      <c r="L178" s="2"/>
    </row>
    <row r="179" spans="2:12">
      <c r="B179" s="2"/>
      <c r="C179" s="2"/>
      <c r="D179" s="2"/>
      <c r="E179" s="2"/>
      <c r="F179" s="2" t="s">
        <v>4643</v>
      </c>
      <c r="G179" s="2"/>
      <c r="H179" s="2"/>
      <c r="I179" s="2"/>
      <c r="J179" s="2"/>
      <c r="K179" s="2"/>
      <c r="L179" s="2"/>
    </row>
    <row r="180" spans="2:12">
      <c r="B180" s="2"/>
      <c r="C180" s="2"/>
      <c r="D180" s="2" t="s">
        <v>4644</v>
      </c>
      <c r="E180" s="2"/>
      <c r="F180" s="2"/>
      <c r="G180" s="2"/>
      <c r="H180" s="2"/>
      <c r="I180" s="2"/>
      <c r="J180" s="2"/>
      <c r="K180" s="2"/>
      <c r="L180" s="2"/>
    </row>
    <row r="181" spans="2:12">
      <c r="B181" s="2"/>
      <c r="C181" s="2"/>
      <c r="D181" s="2"/>
      <c r="E181" s="2" t="s">
        <v>4645</v>
      </c>
      <c r="F181" s="2"/>
      <c r="G181" s="2"/>
      <c r="H181" s="2"/>
      <c r="I181" s="2"/>
      <c r="J181" s="2"/>
      <c r="K181" s="2"/>
      <c r="L181" s="2"/>
    </row>
    <row r="182" spans="2:12">
      <c r="B182" s="2"/>
      <c r="C182" s="2"/>
      <c r="D182" s="2"/>
      <c r="E182" s="2" t="s">
        <v>4646</v>
      </c>
      <c r="F182" s="2"/>
      <c r="G182" s="2"/>
      <c r="H182" s="2"/>
      <c r="I182" s="2"/>
      <c r="J182" s="2"/>
      <c r="K182" s="2"/>
      <c r="L182" s="2"/>
    </row>
    <row r="183" spans="2:12">
      <c r="B183" s="2"/>
      <c r="C183" s="2"/>
      <c r="D183" s="2"/>
      <c r="E183" s="2" t="s">
        <v>4647</v>
      </c>
      <c r="F183" s="2"/>
      <c r="G183" s="2"/>
      <c r="H183" s="2"/>
      <c r="I183" s="2"/>
      <c r="J183" s="2"/>
      <c r="K183" s="2"/>
      <c r="L183" s="2"/>
    </row>
    <row r="184" spans="2:12">
      <c r="B184" s="2"/>
      <c r="C184" s="2" t="s">
        <v>4648</v>
      </c>
      <c r="D184" s="2"/>
      <c r="E184" s="2"/>
      <c r="F184" s="2"/>
      <c r="G184" s="2"/>
      <c r="H184" s="2"/>
      <c r="I184" s="2"/>
      <c r="J184" s="2"/>
      <c r="K184" s="2"/>
      <c r="L184" s="2"/>
    </row>
    <row r="185" spans="2:12">
      <c r="B185" s="2"/>
      <c r="C185" s="2" t="s">
        <v>4649</v>
      </c>
      <c r="D185" s="2"/>
      <c r="E185" s="2"/>
      <c r="F185" s="2"/>
      <c r="G185" s="2"/>
      <c r="H185" s="2"/>
      <c r="I185" s="2"/>
      <c r="J185" s="2"/>
      <c r="K185" s="2"/>
      <c r="L185" s="2"/>
    </row>
    <row r="186" spans="2:12">
      <c r="B186" s="2"/>
      <c r="C186" s="2"/>
      <c r="D186" s="2" t="s">
        <v>4650</v>
      </c>
      <c r="E186" s="2"/>
      <c r="F186" s="2"/>
      <c r="G186" s="2"/>
      <c r="H186" s="2"/>
      <c r="I186" s="2"/>
      <c r="J186" s="2"/>
      <c r="K186" s="2"/>
      <c r="L186" s="2"/>
    </row>
    <row r="187" spans="2:12">
      <c r="B187" s="2"/>
      <c r="C187" s="2"/>
      <c r="D187" s="2" t="s">
        <v>4651</v>
      </c>
      <c r="E187" s="2"/>
      <c r="F187" s="2"/>
      <c r="G187" s="2"/>
      <c r="H187" s="2"/>
      <c r="I187" s="2"/>
      <c r="J187" s="2"/>
      <c r="K187" s="2"/>
      <c r="L187" s="2"/>
    </row>
    <row r="188" spans="2:12">
      <c r="B188" s="2" t="s">
        <v>4652</v>
      </c>
      <c r="C188" s="2"/>
      <c r="D188" s="2"/>
      <c r="E188" s="2"/>
      <c r="F188" s="2"/>
      <c r="G188" s="2"/>
      <c r="H188" s="2"/>
      <c r="I188" s="2"/>
      <c r="J188" s="2"/>
      <c r="K188" s="2"/>
      <c r="L188" s="2"/>
    </row>
    <row r="189" spans="2:12">
      <c r="B189" s="2"/>
      <c r="C189" s="2" t="s">
        <v>4653</v>
      </c>
      <c r="D189" s="2"/>
      <c r="E189" s="2"/>
      <c r="F189" s="2"/>
      <c r="G189" s="2"/>
      <c r="H189" s="2"/>
      <c r="I189" s="2"/>
      <c r="J189" s="2"/>
      <c r="K189" s="2"/>
      <c r="L189" s="2"/>
    </row>
    <row r="190" spans="2:12">
      <c r="B190" s="2"/>
      <c r="C190" s="2"/>
      <c r="D190" s="2" t="s">
        <v>4654</v>
      </c>
      <c r="E190" s="2"/>
      <c r="F190" s="2"/>
      <c r="G190" s="2"/>
      <c r="H190" s="2"/>
      <c r="I190" s="2"/>
      <c r="J190" s="2"/>
      <c r="K190" s="2"/>
      <c r="L190" s="2"/>
    </row>
    <row r="191" spans="2:12">
      <c r="B191" s="2"/>
      <c r="C191" s="2"/>
      <c r="D191" s="2" t="s">
        <v>4655</v>
      </c>
      <c r="E191" s="2"/>
      <c r="F191" s="2"/>
      <c r="G191" s="2"/>
      <c r="H191" s="2"/>
      <c r="I191" s="2"/>
      <c r="J191" s="2"/>
      <c r="K191" s="2"/>
      <c r="L191" s="2"/>
    </row>
    <row r="192" spans="2:12">
      <c r="B192" s="2"/>
      <c r="C192" s="2" t="s">
        <v>4656</v>
      </c>
      <c r="D192" s="2"/>
      <c r="E192" s="2"/>
      <c r="F192" s="2"/>
      <c r="G192" s="2"/>
      <c r="H192" s="2"/>
      <c r="I192" s="2"/>
      <c r="J192" s="2"/>
      <c r="K192" s="2"/>
      <c r="L192" s="2"/>
    </row>
    <row r="193" spans="2:12">
      <c r="B193" s="2"/>
      <c r="C193" s="2"/>
      <c r="D193" s="2" t="s">
        <v>4657</v>
      </c>
      <c r="E193" s="2"/>
      <c r="F193" s="2"/>
      <c r="G193" s="2"/>
      <c r="H193" s="2"/>
      <c r="I193" s="2"/>
      <c r="J193" s="2"/>
      <c r="K193" s="2"/>
      <c r="L193" s="2"/>
    </row>
    <row r="194" spans="2:12">
      <c r="B194" s="2"/>
      <c r="C194" s="2"/>
      <c r="D194" s="2" t="s">
        <v>4658</v>
      </c>
      <c r="E194" s="2"/>
      <c r="F194" s="2"/>
      <c r="G194" s="2"/>
      <c r="H194" s="2"/>
      <c r="I194" s="2"/>
      <c r="J194" s="2"/>
      <c r="K194" s="2"/>
      <c r="L194" s="2"/>
    </row>
    <row r="195" spans="2:12">
      <c r="B195" s="2"/>
      <c r="C195" s="2" t="s">
        <v>4659</v>
      </c>
      <c r="D195" s="2"/>
      <c r="E195" s="2"/>
      <c r="F195" s="2"/>
      <c r="G195" s="2"/>
      <c r="H195" s="2"/>
      <c r="I195" s="2"/>
      <c r="J195" s="2"/>
      <c r="K195" s="2"/>
      <c r="L195" s="2"/>
    </row>
    <row r="196" spans="2:12">
      <c r="B196" s="2"/>
      <c r="C196" s="2"/>
      <c r="D196" s="2" t="s">
        <v>4660</v>
      </c>
      <c r="E196" s="2"/>
      <c r="F196" s="2"/>
      <c r="G196" s="2"/>
      <c r="H196" s="2"/>
      <c r="I196" s="2"/>
      <c r="J196" s="2"/>
      <c r="K196" s="2"/>
      <c r="L196" s="2"/>
    </row>
    <row r="197" spans="2:12">
      <c r="B197" s="2"/>
      <c r="C197" s="2"/>
      <c r="D197" s="2" t="s">
        <v>4661</v>
      </c>
      <c r="E197" s="2"/>
      <c r="F197" s="2"/>
      <c r="G197" s="2"/>
      <c r="H197" s="2"/>
      <c r="I197" s="2"/>
      <c r="J197" s="2"/>
      <c r="K197" s="2"/>
      <c r="L197" s="2"/>
    </row>
    <row r="198" spans="2:12">
      <c r="B198" s="2" t="s">
        <v>4662</v>
      </c>
      <c r="C198" s="2"/>
      <c r="D198" s="2"/>
      <c r="E198" s="2"/>
      <c r="F198" s="2"/>
      <c r="G198" s="2"/>
      <c r="H198" s="2"/>
      <c r="I198" s="2"/>
      <c r="J198" s="2"/>
      <c r="K198" s="2"/>
      <c r="L198" s="2"/>
    </row>
    <row r="199" spans="2:12">
      <c r="B199" s="2"/>
      <c r="C199" s="2" t="s">
        <v>4663</v>
      </c>
      <c r="D199" s="2"/>
      <c r="E199" s="2"/>
      <c r="F199" s="2"/>
      <c r="G199" s="2"/>
      <c r="H199" s="2"/>
      <c r="I199" s="2"/>
      <c r="J199" s="2"/>
      <c r="K199" s="2"/>
      <c r="L199" s="2"/>
    </row>
    <row r="200" spans="2:12">
      <c r="B200" s="2"/>
      <c r="C200" s="2" t="s">
        <v>4664</v>
      </c>
      <c r="D200" s="2"/>
      <c r="E200" s="2"/>
      <c r="F200" s="2"/>
      <c r="G200" s="2"/>
      <c r="H200" s="2"/>
      <c r="I200" s="2"/>
      <c r="J200" s="2"/>
      <c r="K200" s="2"/>
      <c r="L200" s="2"/>
    </row>
    <row r="201" spans="2:12">
      <c r="B201" s="2"/>
      <c r="C201" s="2"/>
      <c r="D201" s="2" t="s">
        <v>4665</v>
      </c>
      <c r="E201" s="2"/>
      <c r="F201" s="2"/>
      <c r="G201" s="2"/>
      <c r="H201" s="2"/>
      <c r="I201" s="2"/>
      <c r="J201" s="2"/>
      <c r="K201" s="2"/>
      <c r="L201" s="2"/>
    </row>
    <row r="202" spans="2:12">
      <c r="B202" s="2"/>
      <c r="C202" s="2"/>
      <c r="D202" s="2" t="s">
        <v>4666</v>
      </c>
      <c r="E202" s="2"/>
      <c r="F202" s="2"/>
      <c r="G202" s="2"/>
      <c r="H202" s="2"/>
      <c r="I202" s="2"/>
      <c r="J202" s="2"/>
      <c r="K202" s="2"/>
      <c r="L202" s="2"/>
    </row>
    <row r="203" spans="2:12">
      <c r="B203" s="2"/>
      <c r="C203" s="2" t="s">
        <v>4667</v>
      </c>
      <c r="D203" s="2"/>
      <c r="E203" s="2"/>
      <c r="F203" s="2"/>
      <c r="G203" s="2"/>
      <c r="H203" s="2"/>
      <c r="I203" s="2"/>
      <c r="J203" s="2"/>
      <c r="K203" s="2"/>
      <c r="L203" s="2"/>
    </row>
    <row r="204" spans="2:12">
      <c r="B204" s="2" t="s">
        <v>4668</v>
      </c>
      <c r="C204" s="2"/>
      <c r="D204" s="2"/>
      <c r="E204" s="2"/>
      <c r="F204" s="2"/>
      <c r="G204" s="2"/>
      <c r="H204" s="2"/>
      <c r="I204" s="2"/>
      <c r="J204" s="2"/>
      <c r="K204" s="2"/>
      <c r="L204" s="2"/>
    </row>
    <row r="205" spans="2:12">
      <c r="B205" s="2"/>
      <c r="C205" s="2" t="s">
        <v>4669</v>
      </c>
      <c r="D205" s="2"/>
      <c r="E205" s="2"/>
      <c r="F205" s="2"/>
      <c r="G205" s="2"/>
      <c r="H205" s="2"/>
      <c r="I205" s="2"/>
      <c r="J205" s="2"/>
      <c r="K205" s="2"/>
      <c r="L205" s="2"/>
    </row>
    <row r="206" spans="2:12">
      <c r="B206" s="2"/>
      <c r="C206" s="2" t="s">
        <v>4670</v>
      </c>
      <c r="D206" s="2"/>
      <c r="E206" s="2"/>
      <c r="F206" s="2"/>
      <c r="G206" s="2"/>
      <c r="H206" s="2"/>
      <c r="I206" s="2"/>
      <c r="J206" s="2"/>
      <c r="K206" s="2"/>
      <c r="L206" s="2"/>
    </row>
    <row r="207" spans="2:12">
      <c r="B207" s="2"/>
      <c r="C207" s="2" t="s">
        <v>4671</v>
      </c>
      <c r="D207" s="2"/>
      <c r="E207" s="2"/>
      <c r="F207" s="2"/>
      <c r="G207" s="2"/>
      <c r="H207" s="2"/>
      <c r="I207" s="2"/>
      <c r="J207" s="2"/>
      <c r="K207" s="2"/>
      <c r="L207" s="2"/>
    </row>
    <row r="208" spans="2:12">
      <c r="B208" s="2"/>
      <c r="C208" s="2" t="s">
        <v>4672</v>
      </c>
      <c r="D208" s="2"/>
      <c r="E208" s="2"/>
      <c r="F208" s="2"/>
      <c r="G208" s="2"/>
      <c r="H208" s="2"/>
      <c r="I208" s="2"/>
      <c r="J208" s="2"/>
      <c r="K208" s="2"/>
      <c r="L208" s="2"/>
    </row>
    <row r="209" spans="2:12">
      <c r="B209" s="2"/>
      <c r="C209" s="2" t="s">
        <v>4673</v>
      </c>
      <c r="D209" s="2"/>
      <c r="E209" s="2"/>
      <c r="F209" s="2"/>
      <c r="G209" s="2"/>
      <c r="H209" s="2"/>
      <c r="I209" s="2"/>
      <c r="J209" s="2"/>
      <c r="K209" s="2"/>
      <c r="L209" s="2"/>
    </row>
    <row r="210" spans="2:12">
      <c r="B210" s="2"/>
      <c r="C210" s="2"/>
      <c r="D210" s="2" t="s">
        <v>4674</v>
      </c>
      <c r="E210" s="2"/>
      <c r="F210" s="2"/>
      <c r="G210" s="2"/>
      <c r="H210" s="2"/>
      <c r="I210" s="2"/>
      <c r="J210" s="2"/>
      <c r="K210" s="2"/>
      <c r="L210" s="2"/>
    </row>
    <row r="211" spans="2:12">
      <c r="B211" s="2"/>
      <c r="C211" s="2"/>
      <c r="D211" s="2" t="s">
        <v>4675</v>
      </c>
      <c r="E211" s="2"/>
      <c r="F211" s="2"/>
      <c r="G211" s="2"/>
      <c r="H211" s="2"/>
      <c r="I211" s="2"/>
      <c r="J211" s="2"/>
      <c r="K211" s="2"/>
      <c r="L211" s="2"/>
    </row>
    <row r="212" spans="2:12">
      <c r="B212" s="2"/>
      <c r="C212" s="2"/>
      <c r="D212" s="2" t="s">
        <v>4676</v>
      </c>
      <c r="E212" s="2"/>
      <c r="F212" s="2"/>
      <c r="G212" s="2"/>
      <c r="H212" s="2"/>
      <c r="I212" s="2"/>
      <c r="J212" s="2"/>
      <c r="K212" s="2"/>
      <c r="L212" s="2"/>
    </row>
    <row r="213" spans="2:12">
      <c r="B213" s="2" t="s">
        <v>4677</v>
      </c>
      <c r="C213" s="2"/>
      <c r="D213" s="2"/>
      <c r="E213" s="2"/>
      <c r="F213" s="2"/>
      <c r="G213" s="2"/>
      <c r="H213" s="2"/>
      <c r="I213" s="2"/>
      <c r="J213" s="2"/>
      <c r="K213" s="2"/>
      <c r="L213" s="2"/>
    </row>
    <row r="214" spans="2:12">
      <c r="B214" s="2"/>
      <c r="C214" s="2" t="s">
        <v>4678</v>
      </c>
      <c r="D214" s="2"/>
      <c r="E214" s="2"/>
      <c r="F214" s="2"/>
      <c r="G214" s="2"/>
      <c r="H214" s="2"/>
      <c r="I214" s="2"/>
      <c r="J214" s="2"/>
      <c r="K214" s="2"/>
      <c r="L214" s="2"/>
    </row>
    <row r="215" spans="2:12">
      <c r="B215" s="2"/>
      <c r="C215" s="2"/>
      <c r="D215" s="2" t="s">
        <v>4679</v>
      </c>
      <c r="E215" s="2"/>
      <c r="F215" s="2"/>
      <c r="G215" s="2"/>
      <c r="H215" s="2"/>
      <c r="I215" s="2"/>
      <c r="J215" s="2"/>
      <c r="K215" s="2"/>
      <c r="L215" s="2"/>
    </row>
    <row r="216" spans="2:12">
      <c r="B216" s="2"/>
      <c r="C216" s="2"/>
      <c r="D216" s="2" t="s">
        <v>4680</v>
      </c>
      <c r="E216" s="2"/>
      <c r="F216" s="2"/>
      <c r="G216" s="2"/>
      <c r="H216" s="2"/>
      <c r="I216" s="2"/>
      <c r="J216" s="2"/>
      <c r="K216" s="2"/>
      <c r="L216" s="2"/>
    </row>
    <row r="217" spans="2:12">
      <c r="B217" s="2"/>
      <c r="C217" s="2"/>
      <c r="D217" s="2"/>
      <c r="E217" s="2" t="s">
        <v>4681</v>
      </c>
      <c r="F217" s="2"/>
      <c r="G217" s="2"/>
      <c r="H217" s="2"/>
      <c r="I217" s="2"/>
      <c r="J217" s="2"/>
      <c r="K217" s="2"/>
      <c r="L217" s="2"/>
    </row>
    <row r="218" spans="2:12">
      <c r="B218" s="2"/>
      <c r="C218" s="2"/>
      <c r="D218" s="2"/>
      <c r="E218" s="2" t="s">
        <v>4682</v>
      </c>
      <c r="F218" s="2"/>
      <c r="G218" s="2"/>
      <c r="H218" s="2"/>
      <c r="I218" s="2"/>
      <c r="J218" s="2"/>
      <c r="K218" s="2"/>
      <c r="L218" s="2"/>
    </row>
    <row r="219" spans="2:12">
      <c r="B219" s="2"/>
      <c r="C219" s="2"/>
      <c r="D219" s="2"/>
      <c r="E219" s="2"/>
      <c r="F219" s="2" t="s">
        <v>4683</v>
      </c>
      <c r="G219" s="2"/>
      <c r="H219" s="2"/>
      <c r="I219" s="2"/>
      <c r="J219" s="2"/>
      <c r="K219" s="2"/>
      <c r="L219" s="2"/>
    </row>
    <row r="220" spans="2:12">
      <c r="B220" s="2"/>
      <c r="C220" s="2"/>
      <c r="D220" s="2" t="s">
        <v>4684</v>
      </c>
      <c r="E220" s="2"/>
      <c r="F220" s="2"/>
      <c r="G220" s="2"/>
      <c r="H220" s="2"/>
      <c r="I220" s="2"/>
      <c r="J220" s="2"/>
      <c r="K220" s="2"/>
      <c r="L220" s="2"/>
    </row>
    <row r="221" spans="2:12">
      <c r="B221" s="2"/>
      <c r="C221" s="2"/>
      <c r="D221" s="2"/>
      <c r="E221" s="2" t="s">
        <v>4685</v>
      </c>
      <c r="F221" s="2"/>
      <c r="G221" s="2"/>
      <c r="H221" s="2"/>
      <c r="I221" s="2"/>
      <c r="J221" s="2"/>
      <c r="K221" s="2"/>
      <c r="L221" s="2"/>
    </row>
    <row r="222" spans="2:12">
      <c r="B222" s="2"/>
      <c r="C222" s="2"/>
      <c r="D222" s="2"/>
      <c r="E222" s="2" t="s">
        <v>4686</v>
      </c>
      <c r="F222" s="2"/>
      <c r="G222" s="2"/>
      <c r="H222" s="2"/>
      <c r="I222" s="2"/>
      <c r="J222" s="2"/>
      <c r="K222" s="2"/>
      <c r="L222" s="2"/>
    </row>
    <row r="223" spans="2:12">
      <c r="B223" s="2"/>
      <c r="C223" s="2" t="s">
        <v>4687</v>
      </c>
      <c r="D223" s="2"/>
      <c r="E223" s="2"/>
      <c r="F223" s="2"/>
      <c r="G223" s="2"/>
      <c r="H223" s="2"/>
      <c r="I223" s="2"/>
      <c r="J223" s="2"/>
      <c r="K223" s="2"/>
      <c r="L223" s="2"/>
    </row>
    <row r="224" spans="2:12">
      <c r="B224" s="2"/>
      <c r="C224" s="2"/>
      <c r="D224" s="2" t="s">
        <v>4688</v>
      </c>
      <c r="E224" s="2"/>
      <c r="F224" s="2"/>
      <c r="G224" s="2"/>
      <c r="H224" s="2"/>
      <c r="I224" s="2"/>
      <c r="J224" s="2"/>
      <c r="K224" s="2"/>
      <c r="L224" s="2"/>
    </row>
    <row r="225" spans="2:12">
      <c r="B225" s="2"/>
      <c r="C225" s="2"/>
      <c r="D225" s="2" t="s">
        <v>4689</v>
      </c>
      <c r="E225" s="2"/>
      <c r="F225" s="2"/>
      <c r="G225" s="2"/>
      <c r="H225" s="2"/>
      <c r="I225" s="2"/>
      <c r="J225" s="2"/>
      <c r="K225" s="2"/>
      <c r="L225" s="2"/>
    </row>
    <row r="226" spans="2:12">
      <c r="B226" s="2" t="s">
        <v>4690</v>
      </c>
      <c r="C226" s="2"/>
      <c r="D226" s="2"/>
      <c r="E226" s="2"/>
      <c r="F226" s="2"/>
      <c r="G226" s="2"/>
      <c r="H226" s="2"/>
      <c r="I226" s="2"/>
      <c r="J226" s="2"/>
      <c r="K226" s="2"/>
      <c r="L226" s="2"/>
    </row>
    <row r="227" spans="2:12">
      <c r="B227" s="2"/>
      <c r="C227" s="2" t="s">
        <v>4691</v>
      </c>
      <c r="D227" s="2"/>
      <c r="E227" s="2"/>
      <c r="F227" s="2"/>
      <c r="G227" s="2"/>
      <c r="H227" s="2"/>
      <c r="I227" s="2"/>
      <c r="J227" s="2"/>
      <c r="K227" s="2"/>
      <c r="L227" s="2"/>
    </row>
    <row r="228" spans="2:12">
      <c r="B228" s="2"/>
      <c r="C228" s="2" t="s">
        <v>4692</v>
      </c>
      <c r="D228" s="2"/>
      <c r="E228" s="2"/>
      <c r="F228" s="2"/>
      <c r="G228" s="2"/>
      <c r="H228" s="2"/>
      <c r="I228" s="2"/>
      <c r="J228" s="2"/>
      <c r="K228" s="2"/>
      <c r="L228" s="2"/>
    </row>
    <row r="229" spans="2:12">
      <c r="B229" s="2"/>
      <c r="C229" s="2"/>
      <c r="D229" s="2" t="s">
        <v>4693</v>
      </c>
      <c r="E229" s="2"/>
      <c r="F229" s="2"/>
      <c r="G229" s="2"/>
      <c r="H229" s="2"/>
      <c r="I229" s="2"/>
      <c r="J229" s="2"/>
      <c r="K229" s="2"/>
      <c r="L229" s="2"/>
    </row>
    <row r="230" spans="2:12">
      <c r="B230" s="2"/>
      <c r="C230" s="2"/>
      <c r="D230" s="2" t="s">
        <v>4694</v>
      </c>
      <c r="E230" s="2"/>
      <c r="F230" s="2"/>
      <c r="G230" s="2"/>
      <c r="H230" s="2"/>
      <c r="I230" s="2"/>
      <c r="J230" s="2"/>
      <c r="K230" s="2"/>
      <c r="L230" s="2"/>
    </row>
    <row r="231" spans="2:12">
      <c r="B231" s="2"/>
      <c r="C231" s="2" t="s">
        <v>4695</v>
      </c>
      <c r="D231" s="2"/>
      <c r="E231" s="2"/>
      <c r="F231" s="2"/>
      <c r="G231" s="2"/>
      <c r="H231" s="2"/>
      <c r="I231" s="2"/>
      <c r="J231" s="2"/>
      <c r="K231" s="2"/>
      <c r="L231" s="2"/>
    </row>
    <row r="232" spans="2:12">
      <c r="B232" s="2"/>
      <c r="C232" s="2"/>
      <c r="D232" s="2" t="s">
        <v>4696</v>
      </c>
      <c r="E232" s="2"/>
      <c r="F232" s="2"/>
      <c r="G232" s="2"/>
      <c r="H232" s="2"/>
      <c r="I232" s="2"/>
      <c r="J232" s="2"/>
      <c r="K232" s="2"/>
      <c r="L232" s="2"/>
    </row>
    <row r="233" spans="2:12">
      <c r="B233" s="2"/>
      <c r="C233" s="2"/>
      <c r="D233" s="2" t="s">
        <v>4697</v>
      </c>
      <c r="E233" s="2"/>
      <c r="F233" s="2"/>
      <c r="G233" s="2"/>
      <c r="H233" s="2"/>
      <c r="I233" s="2"/>
      <c r="J233" s="2"/>
      <c r="K233" s="2"/>
      <c r="L233" s="2"/>
    </row>
    <row r="234" spans="2:12">
      <c r="B234" s="2"/>
      <c r="C234" s="2"/>
      <c r="D234" s="2"/>
      <c r="E234" s="2" t="s">
        <v>4698</v>
      </c>
      <c r="F234" s="2"/>
      <c r="G234" s="2"/>
      <c r="H234" s="2"/>
      <c r="I234" s="2"/>
      <c r="J234" s="2"/>
      <c r="K234" s="2"/>
      <c r="L234" s="2"/>
    </row>
    <row r="235" spans="2:12">
      <c r="B235" s="2"/>
      <c r="C235" s="2"/>
      <c r="D235" s="2"/>
      <c r="E235" s="2" t="s">
        <v>4699</v>
      </c>
      <c r="F235" s="2"/>
      <c r="G235" s="2"/>
      <c r="H235" s="2"/>
      <c r="I235" s="2"/>
      <c r="J235" s="2"/>
      <c r="K235" s="2"/>
      <c r="L235" s="2"/>
    </row>
    <row r="236" spans="2:12">
      <c r="B236" s="2"/>
      <c r="C236" s="2" t="s">
        <v>4700</v>
      </c>
      <c r="D236" s="2"/>
      <c r="E236" s="2"/>
      <c r="F236" s="2"/>
      <c r="G236" s="2"/>
      <c r="H236" s="2"/>
      <c r="I236" s="2"/>
      <c r="J236" s="2"/>
      <c r="K236" s="2"/>
      <c r="L236" s="2"/>
    </row>
    <row r="237" spans="2:12">
      <c r="B237" s="2"/>
      <c r="C237" s="2"/>
      <c r="D237" s="2" t="s">
        <v>4701</v>
      </c>
      <c r="E237" s="2"/>
      <c r="F237" s="2"/>
      <c r="G237" s="2"/>
      <c r="H237" s="2"/>
      <c r="I237" s="2"/>
      <c r="J237" s="2"/>
      <c r="K237" s="2"/>
      <c r="L237" s="2"/>
    </row>
    <row r="238" spans="2:12">
      <c r="B238" s="2"/>
      <c r="C238" s="2"/>
      <c r="D238" s="2" t="s">
        <v>4702</v>
      </c>
      <c r="E238" s="2"/>
      <c r="F238" s="2"/>
      <c r="G238" s="2"/>
      <c r="H238" s="2"/>
      <c r="I238" s="2"/>
      <c r="J238" s="2"/>
      <c r="K238" s="2"/>
      <c r="L238" s="2"/>
    </row>
    <row r="239" spans="2:12">
      <c r="B239" s="2"/>
      <c r="C239" s="2"/>
      <c r="D239" s="2" t="s">
        <v>4703</v>
      </c>
      <c r="E239" s="2"/>
      <c r="F239" s="2"/>
      <c r="G239" s="2"/>
      <c r="H239" s="2"/>
      <c r="I239" s="2"/>
      <c r="J239" s="2"/>
      <c r="K239" s="2"/>
      <c r="L239" s="2"/>
    </row>
    <row r="240" spans="2:12">
      <c r="B240" s="2" t="s">
        <v>4704</v>
      </c>
      <c r="C240" s="2"/>
      <c r="D240" s="2"/>
      <c r="E240" s="2"/>
      <c r="F240" s="2"/>
      <c r="G240" s="2"/>
      <c r="H240" s="2"/>
      <c r="I240" s="2"/>
      <c r="J240" s="2"/>
      <c r="K240" s="2"/>
      <c r="L240" s="2"/>
    </row>
    <row r="241" spans="2:12">
      <c r="B241" s="2"/>
      <c r="C241" s="2" t="s">
        <v>4705</v>
      </c>
      <c r="D241" s="2"/>
      <c r="E241" s="2"/>
      <c r="F241" s="2"/>
      <c r="G241" s="2"/>
      <c r="H241" s="2"/>
      <c r="I241" s="2"/>
      <c r="J241" s="2"/>
      <c r="K241" s="2"/>
      <c r="L241" s="2"/>
    </row>
    <row r="242" spans="2:12">
      <c r="B242" s="2"/>
      <c r="C242" s="2" t="s">
        <v>4706</v>
      </c>
      <c r="D242" s="2"/>
      <c r="E242" s="2"/>
      <c r="F242" s="2"/>
      <c r="G242" s="2"/>
      <c r="H242" s="2"/>
      <c r="I242" s="2"/>
      <c r="J242" s="2"/>
      <c r="K242" s="2"/>
      <c r="L242" s="2"/>
    </row>
    <row r="243" spans="2:12">
      <c r="B243" s="2"/>
      <c r="C243" s="2"/>
      <c r="D243" s="2" t="s">
        <v>4707</v>
      </c>
      <c r="E243" s="2"/>
      <c r="F243" s="2"/>
      <c r="G243" s="2"/>
      <c r="H243" s="2"/>
      <c r="I243" s="2"/>
      <c r="J243" s="2"/>
      <c r="K243" s="2"/>
      <c r="L243" s="2"/>
    </row>
    <row r="244" spans="2:12">
      <c r="B244" s="2"/>
      <c r="C244" s="2" t="s">
        <v>4708</v>
      </c>
      <c r="D244" s="2"/>
      <c r="E244" s="2"/>
      <c r="F244" s="2"/>
      <c r="G244" s="2"/>
      <c r="H244" s="2"/>
      <c r="I244" s="2"/>
      <c r="J244" s="2"/>
      <c r="K244" s="2"/>
      <c r="L244" s="2"/>
    </row>
    <row r="245" spans="2:12">
      <c r="B245" s="2"/>
      <c r="C245" s="2"/>
      <c r="D245" s="2" t="s">
        <v>4709</v>
      </c>
      <c r="E245" s="2"/>
      <c r="F245" s="2"/>
      <c r="G245" s="2"/>
      <c r="H245" s="2"/>
      <c r="I245" s="2"/>
      <c r="J245" s="2"/>
      <c r="K245" s="2"/>
      <c r="L245" s="2"/>
    </row>
    <row r="246" spans="2:12">
      <c r="B246" s="2"/>
      <c r="C246" s="2" t="s">
        <v>4710</v>
      </c>
      <c r="D246" s="2"/>
      <c r="E246" s="2"/>
      <c r="F246" s="2"/>
      <c r="G246" s="2"/>
      <c r="H246" s="2"/>
      <c r="I246" s="2"/>
      <c r="J246" s="2"/>
      <c r="K246" s="2"/>
      <c r="L246" s="2"/>
    </row>
    <row r="247" spans="2:12">
      <c r="B247" s="2"/>
      <c r="C247" s="2" t="s">
        <v>4711</v>
      </c>
      <c r="D247" s="2"/>
      <c r="E247" s="2"/>
      <c r="F247" s="2"/>
      <c r="G247" s="2"/>
      <c r="H247" s="2"/>
      <c r="I247" s="2"/>
      <c r="J247" s="2"/>
      <c r="K247" s="2"/>
      <c r="L247" s="2"/>
    </row>
    <row r="248" spans="2:12">
      <c r="B248" s="2"/>
      <c r="C248" s="2"/>
      <c r="D248" s="2" t="s">
        <v>4712</v>
      </c>
      <c r="E248" s="2"/>
      <c r="F248" s="2"/>
      <c r="G248" s="2"/>
      <c r="H248" s="2"/>
      <c r="I248" s="2"/>
      <c r="J248" s="2"/>
      <c r="K248" s="2"/>
      <c r="L248" s="2"/>
    </row>
    <row r="249" spans="2:12">
      <c r="B249" s="2" t="s">
        <v>4713</v>
      </c>
      <c r="C249" s="2"/>
      <c r="D249" s="2"/>
      <c r="E249" s="2"/>
      <c r="F249" s="2"/>
      <c r="G249" s="2"/>
      <c r="H249" s="2"/>
      <c r="I249" s="2"/>
      <c r="J249" s="2"/>
      <c r="K249" s="2"/>
      <c r="L249" s="2"/>
    </row>
    <row r="250" spans="2:12">
      <c r="B250" s="2"/>
      <c r="C250" s="2" t="s">
        <v>4714</v>
      </c>
      <c r="D250" s="2"/>
      <c r="E250" s="2"/>
      <c r="F250" s="2"/>
      <c r="G250" s="2"/>
      <c r="H250" s="2"/>
      <c r="I250" s="2"/>
      <c r="J250" s="2"/>
      <c r="K250" s="2"/>
      <c r="L250" s="2"/>
    </row>
    <row r="251" spans="2:12">
      <c r="B251" s="2"/>
      <c r="C251" s="2" t="s">
        <v>4715</v>
      </c>
      <c r="D251" s="2"/>
      <c r="E251" s="2"/>
      <c r="F251" s="2"/>
      <c r="G251" s="2"/>
      <c r="H251" s="2"/>
      <c r="I251" s="2"/>
      <c r="J251" s="2"/>
      <c r="K251" s="2"/>
      <c r="L251" s="2"/>
    </row>
    <row r="252" spans="2:12">
      <c r="B252" s="2"/>
      <c r="C252" s="2" t="s">
        <v>4716</v>
      </c>
      <c r="D252" s="2"/>
      <c r="E252" s="2"/>
      <c r="F252" s="2"/>
      <c r="G252" s="2"/>
      <c r="H252" s="2"/>
      <c r="I252" s="2"/>
      <c r="J252" s="2"/>
      <c r="K252" s="2"/>
      <c r="L252" s="2"/>
    </row>
    <row r="253" spans="2:12">
      <c r="B253" s="2"/>
      <c r="C253" s="2" t="s">
        <v>4717</v>
      </c>
      <c r="D253" s="2"/>
      <c r="E253" s="2"/>
      <c r="F253" s="2"/>
      <c r="G253" s="2"/>
      <c r="H253" s="2"/>
      <c r="I253" s="2"/>
      <c r="J253" s="2"/>
      <c r="K253" s="2"/>
      <c r="L253" s="2"/>
    </row>
    <row r="254" spans="2:12">
      <c r="B254" s="2"/>
      <c r="C254" s="2"/>
      <c r="D254" s="2" t="s">
        <v>4718</v>
      </c>
      <c r="E254" s="2"/>
      <c r="F254" s="2"/>
      <c r="G254" s="2"/>
      <c r="H254" s="2"/>
      <c r="I254" s="2"/>
      <c r="J254" s="2"/>
      <c r="K254" s="2"/>
      <c r="L254" s="2"/>
    </row>
    <row r="255" spans="2:12">
      <c r="B255" s="2"/>
      <c r="C255" s="2"/>
      <c r="D255" s="2" t="s">
        <v>4719</v>
      </c>
      <c r="E255" s="2"/>
      <c r="F255" s="2"/>
      <c r="G255" s="2"/>
      <c r="H255" s="2"/>
      <c r="I255" s="2"/>
      <c r="J255" s="2"/>
      <c r="K255" s="2"/>
      <c r="L255" s="2"/>
    </row>
    <row r="256" spans="2:12">
      <c r="B256" s="2"/>
      <c r="C256" s="2" t="s">
        <v>4720</v>
      </c>
      <c r="D256" s="2"/>
      <c r="E256" s="2"/>
      <c r="F256" s="2"/>
      <c r="G256" s="2"/>
      <c r="H256" s="2"/>
      <c r="I256" s="2"/>
      <c r="J256" s="2"/>
      <c r="K256" s="2"/>
      <c r="L256" s="2"/>
    </row>
    <row r="257" spans="2:12">
      <c r="B257" s="2"/>
      <c r="C257" s="2"/>
      <c r="D257" s="2" t="s">
        <v>4721</v>
      </c>
      <c r="E257" s="2"/>
      <c r="F257" s="2"/>
      <c r="G257" s="2"/>
      <c r="H257" s="2"/>
      <c r="I257" s="2"/>
      <c r="J257" s="2"/>
      <c r="K257" s="2"/>
      <c r="L257" s="2"/>
    </row>
    <row r="258" spans="2:12">
      <c r="B258" s="2"/>
      <c r="C258" s="2"/>
      <c r="D258" s="2" t="s">
        <v>4722</v>
      </c>
      <c r="E258" s="2"/>
      <c r="F258" s="2"/>
      <c r="G258" s="2"/>
      <c r="H258" s="2"/>
      <c r="I258" s="2"/>
      <c r="J258" s="2"/>
      <c r="K258" s="2"/>
      <c r="L258" s="2"/>
    </row>
    <row r="259" spans="2:12">
      <c r="B259" s="2"/>
      <c r="C259" s="2" t="s">
        <v>4723</v>
      </c>
      <c r="D259" s="2"/>
      <c r="E259" s="2"/>
      <c r="F259" s="2"/>
      <c r="G259" s="2"/>
      <c r="H259" s="2"/>
      <c r="I259" s="2"/>
      <c r="J259" s="2"/>
      <c r="K259" s="2"/>
      <c r="L259" s="2"/>
    </row>
    <row r="260" spans="2:12">
      <c r="B260" s="2"/>
      <c r="C260" s="2"/>
      <c r="D260" s="2" t="s">
        <v>4724</v>
      </c>
      <c r="E260" s="2"/>
      <c r="F260" s="2"/>
      <c r="G260" s="2"/>
      <c r="H260" s="2"/>
      <c r="I260" s="2"/>
      <c r="J260" s="2"/>
      <c r="K260" s="2"/>
      <c r="L260" s="2"/>
    </row>
    <row r="261" spans="2:12">
      <c r="B261" s="2"/>
      <c r="C261" s="2"/>
      <c r="D261" s="2" t="s">
        <v>4725</v>
      </c>
      <c r="E261" s="2"/>
      <c r="F261" s="2"/>
      <c r="G261" s="2"/>
      <c r="H261" s="2"/>
      <c r="I261" s="2"/>
      <c r="J261" s="2"/>
      <c r="K261" s="2"/>
      <c r="L261" s="2"/>
    </row>
    <row r="262" spans="2:12">
      <c r="B262" s="2" t="s">
        <v>4726</v>
      </c>
      <c r="C262" s="2"/>
      <c r="D262" s="2"/>
      <c r="E262" s="2"/>
      <c r="F262" s="2"/>
      <c r="G262" s="2"/>
      <c r="H262" s="2"/>
      <c r="I262" s="2"/>
      <c r="J262" s="2"/>
      <c r="K262" s="2"/>
      <c r="L262" s="2"/>
    </row>
    <row r="263" spans="2:12">
      <c r="B263" s="2"/>
      <c r="C263" s="2" t="s">
        <v>4727</v>
      </c>
      <c r="D263" s="2"/>
      <c r="E263" s="2"/>
      <c r="F263" s="2"/>
      <c r="G263" s="2"/>
      <c r="H263" s="2"/>
      <c r="I263" s="2"/>
      <c r="J263" s="2"/>
      <c r="K263" s="2"/>
      <c r="L263" s="2"/>
    </row>
    <row r="264" spans="2:12">
      <c r="B264" s="2"/>
      <c r="C264" s="2"/>
      <c r="D264" s="2" t="s">
        <v>4728</v>
      </c>
      <c r="E264" s="2"/>
      <c r="F264" s="2"/>
      <c r="G264" s="2"/>
      <c r="H264" s="2"/>
      <c r="I264" s="2"/>
      <c r="J264" s="2"/>
      <c r="K264" s="2"/>
      <c r="L264" s="2"/>
    </row>
    <row r="265" spans="2:12">
      <c r="B265" s="2"/>
      <c r="C265" s="2"/>
      <c r="D265" s="2" t="s">
        <v>4729</v>
      </c>
      <c r="E265" s="2"/>
      <c r="F265" s="2"/>
      <c r="G265" s="2"/>
      <c r="H265" s="2"/>
      <c r="I265" s="2"/>
      <c r="J265" s="2"/>
      <c r="K265" s="2"/>
      <c r="L265" s="2"/>
    </row>
    <row r="266" spans="2:12">
      <c r="B266" s="2"/>
      <c r="C266" s="2" t="s">
        <v>4730</v>
      </c>
      <c r="D266" s="2"/>
      <c r="E266" s="2"/>
      <c r="F266" s="2"/>
      <c r="G266" s="2"/>
      <c r="H266" s="2"/>
      <c r="I266" s="2"/>
      <c r="J266" s="2"/>
      <c r="K266" s="2"/>
      <c r="L266" s="2"/>
    </row>
    <row r="267" spans="2:12">
      <c r="B267" s="2"/>
      <c r="C267" s="2"/>
      <c r="D267" s="2" t="s">
        <v>4731</v>
      </c>
      <c r="E267" s="2"/>
      <c r="F267" s="2"/>
      <c r="G267" s="2"/>
      <c r="H267" s="2"/>
      <c r="I267" s="2"/>
      <c r="J267" s="2"/>
      <c r="K267" s="2"/>
      <c r="L267" s="2"/>
    </row>
    <row r="268" spans="2:12">
      <c r="B268" s="2"/>
      <c r="C268" s="2"/>
      <c r="D268" s="2" t="s">
        <v>4732</v>
      </c>
      <c r="E268" s="2"/>
      <c r="F268" s="2"/>
      <c r="G268" s="2"/>
      <c r="H268" s="2"/>
      <c r="I268" s="2"/>
      <c r="J268" s="2"/>
      <c r="K268" s="2"/>
      <c r="L268" s="2"/>
    </row>
    <row r="269" spans="2:12">
      <c r="B269" s="2"/>
      <c r="C269" s="2" t="s">
        <v>4733</v>
      </c>
      <c r="D269" s="2"/>
      <c r="E269" s="2"/>
      <c r="F269" s="2"/>
      <c r="G269" s="2"/>
      <c r="H269" s="2"/>
      <c r="I269" s="2"/>
      <c r="J269" s="2"/>
      <c r="K269" s="2"/>
      <c r="L269" s="2"/>
    </row>
    <row r="270" spans="2:12">
      <c r="B270" s="2"/>
      <c r="C270" s="2"/>
      <c r="D270" s="2" t="s">
        <v>4734</v>
      </c>
      <c r="E270" s="2"/>
      <c r="F270" s="2"/>
      <c r="G270" s="2"/>
      <c r="H270" s="2"/>
      <c r="I270" s="2"/>
      <c r="J270" s="2"/>
      <c r="K270" s="2"/>
      <c r="L270" s="2"/>
    </row>
    <row r="271" spans="2:12">
      <c r="B271" s="2"/>
      <c r="C271" s="2"/>
      <c r="D271" s="2" t="s">
        <v>4735</v>
      </c>
      <c r="E271" s="2"/>
      <c r="F271" s="2"/>
      <c r="G271" s="2"/>
      <c r="H271" s="2"/>
      <c r="I271" s="2"/>
      <c r="J271" s="2"/>
      <c r="K271" s="2"/>
      <c r="L271" s="2"/>
    </row>
    <row r="272" spans="2:12">
      <c r="B272" s="2" t="s">
        <v>4736</v>
      </c>
      <c r="C272" s="2"/>
      <c r="D272" s="2"/>
      <c r="E272" s="2"/>
      <c r="F272" s="2"/>
      <c r="G272" s="2"/>
      <c r="H272" s="2"/>
      <c r="I272" s="2"/>
      <c r="J272" s="2"/>
      <c r="K272" s="2"/>
      <c r="L272" s="2"/>
    </row>
    <row r="273" spans="2:12">
      <c r="B273" s="2"/>
      <c r="C273" s="2" t="s">
        <v>4737</v>
      </c>
      <c r="D273" s="2"/>
      <c r="E273" s="2"/>
      <c r="F273" s="2"/>
      <c r="G273" s="2"/>
      <c r="H273" s="2"/>
      <c r="I273" s="2"/>
      <c r="J273" s="2"/>
      <c r="K273" s="2"/>
      <c r="L273" s="2"/>
    </row>
    <row r="274" spans="2:12">
      <c r="B274" s="2"/>
      <c r="C274" s="2"/>
      <c r="D274" s="2" t="s">
        <v>4738</v>
      </c>
      <c r="E274" s="2"/>
      <c r="F274" s="2"/>
      <c r="G274" s="2"/>
      <c r="H274" s="2"/>
      <c r="I274" s="2"/>
      <c r="J274" s="2"/>
      <c r="K274" s="2"/>
      <c r="L274" s="2"/>
    </row>
    <row r="275" spans="2:12">
      <c r="B275" s="2"/>
      <c r="C275" s="2"/>
      <c r="D275" s="2" t="s">
        <v>4739</v>
      </c>
      <c r="E275" s="2"/>
      <c r="F275" s="2"/>
      <c r="G275" s="2"/>
      <c r="H275" s="2"/>
      <c r="I275" s="2"/>
      <c r="J275" s="2"/>
      <c r="K275" s="2"/>
      <c r="L275" s="2"/>
    </row>
    <row r="276" spans="2:12">
      <c r="B276" s="2"/>
      <c r="C276" s="2" t="s">
        <v>4740</v>
      </c>
      <c r="D276" s="2"/>
      <c r="E276" s="2"/>
      <c r="F276" s="2"/>
      <c r="G276" s="2"/>
      <c r="H276" s="2"/>
      <c r="I276" s="2"/>
      <c r="J276" s="2"/>
      <c r="K276" s="2"/>
      <c r="L276" s="2"/>
    </row>
    <row r="277" spans="2:12">
      <c r="B277" s="2"/>
      <c r="C277" s="2"/>
      <c r="D277" s="2" t="s">
        <v>4741</v>
      </c>
      <c r="E277" s="2"/>
      <c r="F277" s="2"/>
      <c r="G277" s="2"/>
      <c r="H277" s="2"/>
      <c r="I277" s="2"/>
      <c r="J277" s="2"/>
      <c r="K277" s="2"/>
      <c r="L277" s="2"/>
    </row>
    <row r="278" spans="2:12">
      <c r="B278" s="2"/>
      <c r="C278" s="2"/>
      <c r="D278" s="2" t="s">
        <v>4742</v>
      </c>
      <c r="E278" s="2"/>
      <c r="F278" s="2"/>
      <c r="G278" s="2"/>
      <c r="H278" s="2"/>
      <c r="I278" s="2"/>
      <c r="J278" s="2"/>
      <c r="K278" s="2"/>
      <c r="L278" s="2"/>
    </row>
    <row r="279" spans="2:12">
      <c r="B279" s="2"/>
      <c r="C279" s="2"/>
      <c r="D279" s="2" t="s">
        <v>4743</v>
      </c>
      <c r="E279" s="2"/>
      <c r="F279" s="2"/>
      <c r="G279" s="2"/>
      <c r="H279" s="2"/>
      <c r="I279" s="2"/>
      <c r="J279" s="2"/>
      <c r="K279" s="2"/>
      <c r="L279" s="2"/>
    </row>
    <row r="280" spans="2:12">
      <c r="B280" s="2"/>
      <c r="C280" s="2"/>
      <c r="D280" s="2"/>
      <c r="E280" s="2" t="s">
        <v>4744</v>
      </c>
      <c r="F280" s="2"/>
      <c r="G280" s="2"/>
      <c r="H280" s="2"/>
      <c r="I280" s="2"/>
      <c r="J280" s="2"/>
      <c r="K280" s="2"/>
      <c r="L280" s="2"/>
    </row>
    <row r="281" spans="2:12">
      <c r="B281" s="2"/>
      <c r="C281" s="2"/>
      <c r="D281" s="2"/>
      <c r="E281" s="2" t="s">
        <v>4745</v>
      </c>
      <c r="F281" s="2"/>
      <c r="G281" s="2"/>
      <c r="H281" s="2"/>
      <c r="I281" s="2"/>
      <c r="J281" s="2"/>
      <c r="K281" s="2"/>
      <c r="L281" s="2"/>
    </row>
    <row r="282" spans="2:12">
      <c r="B282" s="2"/>
      <c r="C282" s="2" t="s">
        <v>4746</v>
      </c>
      <c r="D282" s="2"/>
      <c r="E282" s="2"/>
      <c r="F282" s="2"/>
      <c r="G282" s="2"/>
      <c r="H282" s="2"/>
      <c r="I282" s="2"/>
      <c r="J282" s="2"/>
      <c r="K282" s="2"/>
      <c r="L282" s="2"/>
    </row>
    <row r="283" spans="2:12">
      <c r="B283" s="2"/>
      <c r="C283" s="2"/>
      <c r="D283" s="2" t="s">
        <v>4747</v>
      </c>
      <c r="E283" s="2"/>
      <c r="F283" s="2"/>
      <c r="G283" s="2"/>
      <c r="H283" s="2"/>
      <c r="I283" s="2"/>
      <c r="J283" s="2"/>
      <c r="K283" s="2"/>
      <c r="L283" s="2"/>
    </row>
    <row r="284" spans="2:12">
      <c r="B284" s="2"/>
      <c r="C284" s="2"/>
      <c r="D284" s="2" t="s">
        <v>4748</v>
      </c>
      <c r="E284" s="2"/>
      <c r="F284" s="2"/>
      <c r="G284" s="2"/>
      <c r="H284" s="2"/>
      <c r="I284" s="2"/>
      <c r="J284" s="2"/>
      <c r="K284" s="2"/>
      <c r="L284" s="2"/>
    </row>
    <row r="285" spans="2:12">
      <c r="B285" s="2" t="s">
        <v>4749</v>
      </c>
      <c r="C285" s="2"/>
      <c r="D285" s="2"/>
      <c r="E285" s="2"/>
      <c r="F285" s="2"/>
      <c r="G285" s="2"/>
      <c r="H285" s="2"/>
      <c r="I285" s="2"/>
      <c r="J285" s="2"/>
      <c r="K285" s="2"/>
      <c r="L285" s="2"/>
    </row>
    <row r="286" spans="2:12">
      <c r="B286" s="2"/>
      <c r="C286" s="2" t="s">
        <v>4750</v>
      </c>
      <c r="D286" s="2"/>
      <c r="E286" s="2"/>
      <c r="F286" s="2"/>
      <c r="G286" s="2"/>
      <c r="H286" s="2"/>
      <c r="I286" s="2"/>
      <c r="J286" s="2"/>
      <c r="K286" s="2"/>
      <c r="L286" s="2"/>
    </row>
    <row r="287" spans="2:12">
      <c r="B287" s="2"/>
      <c r="C287" s="2"/>
      <c r="D287" s="2" t="s">
        <v>4751</v>
      </c>
      <c r="E287" s="2"/>
      <c r="F287" s="2"/>
      <c r="G287" s="2"/>
      <c r="H287" s="2"/>
      <c r="I287" s="2"/>
      <c r="J287" s="2"/>
      <c r="K287" s="2"/>
      <c r="L287" s="2"/>
    </row>
    <row r="288" spans="2:12">
      <c r="B288" s="2"/>
      <c r="C288" s="2"/>
      <c r="D288" s="2" t="s">
        <v>4752</v>
      </c>
      <c r="E288" s="2"/>
      <c r="F288" s="2"/>
      <c r="G288" s="2"/>
      <c r="H288" s="2"/>
      <c r="I288" s="2"/>
      <c r="J288" s="2"/>
      <c r="K288" s="2"/>
      <c r="L288" s="2"/>
    </row>
    <row r="289" spans="2:12">
      <c r="B289" s="2"/>
      <c r="C289" s="2"/>
      <c r="D289" s="2" t="s">
        <v>4753</v>
      </c>
      <c r="E289" s="2"/>
      <c r="F289" s="2"/>
      <c r="G289" s="2"/>
      <c r="H289" s="2"/>
      <c r="I289" s="2"/>
      <c r="J289" s="2"/>
      <c r="K289" s="2"/>
      <c r="L289" s="2"/>
    </row>
    <row r="290" spans="2:12">
      <c r="B290" s="2"/>
      <c r="C290" s="2"/>
      <c r="D290" s="2" t="s">
        <v>4754</v>
      </c>
      <c r="E290" s="2"/>
      <c r="F290" s="2"/>
      <c r="G290" s="2"/>
      <c r="H290" s="2"/>
      <c r="I290" s="2"/>
      <c r="J290" s="2"/>
      <c r="K290" s="2"/>
      <c r="L290" s="2"/>
    </row>
    <row r="291" spans="2:12">
      <c r="B291" s="2"/>
      <c r="C291" s="2" t="s">
        <v>4755</v>
      </c>
      <c r="D291" s="2"/>
      <c r="E291" s="2"/>
      <c r="F291" s="2"/>
      <c r="G291" s="2"/>
      <c r="H291" s="2"/>
      <c r="I291" s="2"/>
      <c r="J291" s="2"/>
      <c r="K291" s="2"/>
      <c r="L291" s="2"/>
    </row>
    <row r="292" spans="2:12">
      <c r="B292" s="2"/>
      <c r="C292" s="2"/>
      <c r="D292" s="2" t="s">
        <v>4756</v>
      </c>
      <c r="E292" s="2"/>
      <c r="F292" s="2"/>
      <c r="G292" s="2"/>
      <c r="H292" s="2"/>
      <c r="I292" s="2"/>
      <c r="J292" s="2"/>
      <c r="K292" s="2"/>
      <c r="L292" s="2"/>
    </row>
    <row r="293" spans="2:12">
      <c r="B293" s="2"/>
      <c r="C293" s="2"/>
      <c r="D293" s="2" t="s">
        <v>4757</v>
      </c>
      <c r="E293" s="2"/>
      <c r="F293" s="2"/>
      <c r="G293" s="2"/>
      <c r="H293" s="2"/>
      <c r="I293" s="2"/>
      <c r="J293" s="2"/>
      <c r="K293" s="2"/>
      <c r="L293" s="2"/>
    </row>
    <row r="294" spans="2:12">
      <c r="B294" s="2"/>
      <c r="C294" s="2" t="s">
        <v>4758</v>
      </c>
      <c r="D294" s="2"/>
      <c r="E294" s="2"/>
      <c r="F294" s="2"/>
      <c r="G294" s="2"/>
      <c r="H294" s="2"/>
      <c r="I294" s="2"/>
      <c r="J294" s="2"/>
      <c r="K294" s="2"/>
      <c r="L294" s="2"/>
    </row>
    <row r="295" spans="2:12">
      <c r="B295" s="2"/>
      <c r="C295" s="2"/>
      <c r="D295" s="2" t="s">
        <v>4759</v>
      </c>
      <c r="E295" s="2"/>
      <c r="F295" s="2"/>
      <c r="G295" s="2"/>
      <c r="H295" s="2"/>
      <c r="I295" s="2"/>
      <c r="J295" s="2"/>
      <c r="K295" s="2"/>
      <c r="L295" s="2"/>
    </row>
    <row r="296" spans="2:12">
      <c r="B296" s="2"/>
      <c r="C296" s="2"/>
      <c r="D296" s="2" t="s">
        <v>4760</v>
      </c>
      <c r="E296" s="2"/>
      <c r="F296" s="2"/>
      <c r="G296" s="2"/>
      <c r="H296" s="2"/>
      <c r="I296" s="2"/>
      <c r="J296" s="2"/>
      <c r="K296" s="2"/>
      <c r="L296" s="2"/>
    </row>
    <row r="297" spans="2:12">
      <c r="B297" s="2"/>
      <c r="C297" s="2"/>
      <c r="D297" s="2" t="s">
        <v>4761</v>
      </c>
      <c r="E297" s="2"/>
      <c r="F297" s="2"/>
      <c r="G297" s="2"/>
      <c r="H297" s="2"/>
      <c r="I297" s="2"/>
      <c r="J297" s="2"/>
      <c r="K297" s="2"/>
      <c r="L297" s="2"/>
    </row>
    <row r="298" spans="2:12">
      <c r="B298" s="2"/>
      <c r="C298" s="2" t="s">
        <v>4762</v>
      </c>
      <c r="D298" s="2"/>
      <c r="E298" s="2"/>
      <c r="F298" s="2"/>
      <c r="G298" s="2"/>
      <c r="H298" s="2"/>
      <c r="I298" s="2"/>
      <c r="J298" s="2"/>
      <c r="K298" s="2"/>
      <c r="L298" s="2"/>
    </row>
    <row r="299" spans="2:12">
      <c r="B299" s="2"/>
      <c r="C299" s="2"/>
      <c r="D299" s="2" t="s">
        <v>4763</v>
      </c>
      <c r="E299" s="2"/>
      <c r="F299" s="2"/>
      <c r="G299" s="2"/>
      <c r="H299" s="2"/>
      <c r="I299" s="2"/>
      <c r="J299" s="2"/>
      <c r="K299" s="2"/>
      <c r="L299" s="2"/>
    </row>
    <row r="300" spans="2:12">
      <c r="B300" s="2"/>
      <c r="C300" s="2"/>
      <c r="D300" s="2" t="s">
        <v>4764</v>
      </c>
      <c r="E300" s="2"/>
      <c r="F300" s="2"/>
      <c r="G300" s="2"/>
      <c r="H300" s="2"/>
      <c r="I300" s="2"/>
      <c r="J300" s="2"/>
      <c r="K300" s="2"/>
      <c r="L300" s="2"/>
    </row>
    <row r="301" spans="2:12">
      <c r="B301" s="2"/>
      <c r="C301" s="2"/>
      <c r="D301" s="2" t="s">
        <v>4765</v>
      </c>
      <c r="E301" s="2"/>
      <c r="F301" s="2"/>
      <c r="G301" s="2"/>
      <c r="H301" s="2"/>
      <c r="I301" s="2"/>
      <c r="J301" s="2"/>
      <c r="K301" s="2"/>
      <c r="L301" s="2"/>
    </row>
    <row r="302" spans="2:12">
      <c r="B302" s="2"/>
      <c r="C302" s="2"/>
      <c r="D302" s="2" t="s">
        <v>4766</v>
      </c>
      <c r="E302" s="2"/>
      <c r="F302" s="2"/>
      <c r="G302" s="2"/>
      <c r="H302" s="2"/>
      <c r="I302" s="2"/>
      <c r="J302" s="2"/>
      <c r="K302" s="2"/>
      <c r="L302" s="2"/>
    </row>
    <row r="303" spans="2:12">
      <c r="B303" s="2"/>
      <c r="C303" s="2"/>
      <c r="D303" s="2" t="s">
        <v>4767</v>
      </c>
      <c r="E303" s="2"/>
      <c r="F303" s="2"/>
      <c r="G303" s="2"/>
      <c r="H303" s="2"/>
      <c r="I303" s="2"/>
      <c r="J303" s="2"/>
      <c r="K303" s="2"/>
      <c r="L303" s="2"/>
    </row>
    <row r="304" spans="2:12">
      <c r="B304" s="2" t="s">
        <v>4768</v>
      </c>
      <c r="C304" s="2"/>
      <c r="D304" s="2"/>
      <c r="E304" s="2"/>
      <c r="F304" s="2"/>
      <c r="G304" s="2"/>
      <c r="H304" s="2"/>
      <c r="I304" s="2"/>
      <c r="J304" s="2"/>
      <c r="K304" s="2"/>
      <c r="L304" s="2"/>
    </row>
    <row r="305" spans="2:12">
      <c r="B305" s="2"/>
      <c r="C305" s="2" t="s">
        <v>4769</v>
      </c>
      <c r="D305" s="2"/>
      <c r="E305" s="2"/>
      <c r="F305" s="2"/>
      <c r="G305" s="2"/>
      <c r="H305" s="2"/>
      <c r="I305" s="2"/>
      <c r="J305" s="2"/>
      <c r="K305" s="2"/>
      <c r="L305" s="2"/>
    </row>
    <row r="306" spans="2:12">
      <c r="B306" s="2"/>
      <c r="C306" s="2"/>
      <c r="D306" s="2" t="s">
        <v>4770</v>
      </c>
      <c r="E306" s="2"/>
      <c r="F306" s="2"/>
      <c r="G306" s="2"/>
      <c r="H306" s="2"/>
      <c r="I306" s="2"/>
      <c r="J306" s="2"/>
      <c r="K306" s="2"/>
      <c r="L306" s="2"/>
    </row>
    <row r="307" spans="2:12">
      <c r="B307" s="2"/>
      <c r="C307" s="2"/>
      <c r="D307" s="2" t="s">
        <v>4771</v>
      </c>
      <c r="E307" s="2"/>
      <c r="F307" s="2"/>
      <c r="G307" s="2"/>
      <c r="H307" s="2"/>
      <c r="I307" s="2"/>
      <c r="J307" s="2"/>
      <c r="K307" s="2"/>
      <c r="L307" s="2"/>
    </row>
    <row r="308" spans="2:12">
      <c r="B308" s="2"/>
      <c r="C308" s="2"/>
      <c r="D308" s="2" t="s">
        <v>4772</v>
      </c>
      <c r="E308" s="2"/>
      <c r="F308" s="2"/>
      <c r="G308" s="2"/>
      <c r="H308" s="2"/>
      <c r="I308" s="2"/>
      <c r="J308" s="2"/>
      <c r="K308" s="2"/>
      <c r="L308" s="2"/>
    </row>
    <row r="309" spans="2:12">
      <c r="B309" s="2"/>
      <c r="C309" s="2" t="s">
        <v>4773</v>
      </c>
      <c r="D309" s="2"/>
      <c r="E309" s="2"/>
      <c r="F309" s="2"/>
      <c r="G309" s="2"/>
      <c r="H309" s="2"/>
      <c r="I309" s="2"/>
      <c r="J309" s="2"/>
      <c r="K309" s="2"/>
      <c r="L309" s="2"/>
    </row>
    <row r="310" spans="2:12">
      <c r="B310" s="2"/>
      <c r="C310" s="2"/>
      <c r="D310" s="2" t="s">
        <v>4774</v>
      </c>
      <c r="E310" s="2"/>
      <c r="F310" s="2"/>
      <c r="G310" s="2"/>
      <c r="H310" s="2"/>
      <c r="I310" s="2"/>
      <c r="J310" s="2"/>
      <c r="K310" s="2"/>
      <c r="L310" s="2"/>
    </row>
    <row r="311" spans="2:12">
      <c r="B311" s="2"/>
      <c r="C311" s="2"/>
      <c r="D311" s="2" t="s">
        <v>4775</v>
      </c>
      <c r="E311" s="2"/>
      <c r="F311" s="2"/>
      <c r="G311" s="2"/>
      <c r="H311" s="2"/>
      <c r="I311" s="2"/>
      <c r="J311" s="2"/>
      <c r="K311" s="2"/>
      <c r="L311" s="2"/>
    </row>
    <row r="312" spans="2:12">
      <c r="B312" s="2" t="s">
        <v>4776</v>
      </c>
      <c r="C312" s="2"/>
      <c r="D312" s="2"/>
      <c r="E312" s="2"/>
      <c r="F312" s="2"/>
      <c r="G312" s="2"/>
      <c r="H312" s="2"/>
      <c r="I312" s="2"/>
      <c r="J312" s="2"/>
      <c r="K312" s="2"/>
      <c r="L312" s="2"/>
    </row>
    <row r="313" spans="2:12">
      <c r="B313" s="2"/>
      <c r="C313" s="2" t="s">
        <v>4777</v>
      </c>
      <c r="D313" s="2"/>
      <c r="E313" s="2"/>
      <c r="F313" s="2"/>
      <c r="G313" s="2"/>
      <c r="H313" s="2"/>
      <c r="I313" s="2"/>
      <c r="J313" s="2"/>
      <c r="K313" s="2"/>
      <c r="L313" s="2"/>
    </row>
    <row r="314" spans="2:12">
      <c r="B314" s="2"/>
      <c r="C314" s="2"/>
      <c r="D314" s="2" t="s">
        <v>4778</v>
      </c>
      <c r="E314" s="2"/>
      <c r="F314" s="2"/>
      <c r="G314" s="2"/>
      <c r="H314" s="2"/>
      <c r="I314" s="2"/>
      <c r="J314" s="2"/>
      <c r="K314" s="2"/>
      <c r="L314" s="2"/>
    </row>
    <row r="315" spans="2:12">
      <c r="B315" s="2"/>
      <c r="C315" s="2"/>
      <c r="D315" s="2" t="s">
        <v>4779</v>
      </c>
      <c r="E315" s="2"/>
      <c r="F315" s="2"/>
      <c r="G315" s="2"/>
      <c r="H315" s="2"/>
      <c r="I315" s="2"/>
      <c r="J315" s="2"/>
      <c r="K315" s="2"/>
      <c r="L315" s="2"/>
    </row>
    <row r="316" spans="2:12">
      <c r="B316" s="2"/>
      <c r="C316" s="2"/>
      <c r="D316" s="2" t="s">
        <v>4780</v>
      </c>
      <c r="E316" s="2"/>
      <c r="F316" s="2"/>
      <c r="G316" s="2"/>
      <c r="H316" s="2"/>
      <c r="I316" s="2"/>
      <c r="J316" s="2"/>
      <c r="K316" s="2"/>
      <c r="L316" s="2"/>
    </row>
    <row r="317" spans="2:12">
      <c r="B317" s="2"/>
      <c r="C317" s="2" t="s">
        <v>4781</v>
      </c>
      <c r="D317" s="2"/>
      <c r="E317" s="2"/>
      <c r="F317" s="2"/>
      <c r="G317" s="2"/>
      <c r="H317" s="2"/>
      <c r="I317" s="2"/>
      <c r="J317" s="2"/>
      <c r="K317" s="2"/>
      <c r="L317" s="2"/>
    </row>
    <row r="318" spans="2:12">
      <c r="B318" s="2"/>
      <c r="C318" s="2"/>
      <c r="D318" s="2" t="s">
        <v>4782</v>
      </c>
      <c r="E318" s="2"/>
      <c r="F318" s="2"/>
      <c r="G318" s="2"/>
      <c r="H318" s="2"/>
      <c r="I318" s="2"/>
      <c r="J318" s="2"/>
      <c r="K318" s="2"/>
      <c r="L318" s="2"/>
    </row>
    <row r="319" spans="2:12">
      <c r="B319" s="2"/>
      <c r="C319" s="2"/>
      <c r="D319" s="2" t="s">
        <v>4783</v>
      </c>
      <c r="E319" s="2"/>
      <c r="F319" s="2"/>
      <c r="G319" s="2"/>
      <c r="H319" s="2"/>
      <c r="I319" s="2"/>
      <c r="J319" s="2"/>
      <c r="K319" s="2"/>
      <c r="L319" s="2"/>
    </row>
    <row r="320" spans="2:12">
      <c r="B320" s="2" t="s">
        <v>4784</v>
      </c>
      <c r="C320" s="2"/>
      <c r="D320" s="2"/>
      <c r="E320" s="2"/>
      <c r="F320" s="2"/>
      <c r="G320" s="2"/>
      <c r="H320" s="2"/>
      <c r="I320" s="2"/>
      <c r="J320" s="2"/>
      <c r="K320" s="2"/>
      <c r="L320" s="2"/>
    </row>
    <row r="321" spans="2:12">
      <c r="B321" s="2"/>
      <c r="C321" s="2" t="s">
        <v>4785</v>
      </c>
      <c r="D321" s="2"/>
      <c r="E321" s="2"/>
      <c r="F321" s="2"/>
      <c r="G321" s="2"/>
      <c r="H321" s="2"/>
      <c r="I321" s="2"/>
      <c r="J321" s="2"/>
      <c r="K321" s="2"/>
      <c r="L321" s="2"/>
    </row>
    <row r="322" spans="2:12">
      <c r="B322" s="2"/>
      <c r="C322" s="2"/>
      <c r="D322" s="2" t="s">
        <v>4786</v>
      </c>
      <c r="E322" s="2"/>
      <c r="F322" s="2"/>
      <c r="G322" s="2"/>
      <c r="H322" s="2"/>
      <c r="I322" s="2"/>
      <c r="J322" s="2"/>
      <c r="K322" s="2"/>
      <c r="L322" s="2"/>
    </row>
    <row r="323" spans="2:12">
      <c r="B323" s="2"/>
      <c r="C323" s="2"/>
      <c r="D323" s="2" t="s">
        <v>4787</v>
      </c>
      <c r="E323" s="2"/>
      <c r="F323" s="2"/>
      <c r="G323" s="2"/>
      <c r="H323" s="2"/>
      <c r="I323" s="2"/>
      <c r="J323" s="2"/>
      <c r="K323" s="2"/>
      <c r="L323" s="2"/>
    </row>
    <row r="324" spans="2:12">
      <c r="B324" s="2"/>
      <c r="C324" s="2"/>
      <c r="D324" s="2" t="s">
        <v>4788</v>
      </c>
      <c r="E324" s="2"/>
      <c r="F324" s="2"/>
      <c r="G324" s="2"/>
      <c r="H324" s="2"/>
      <c r="I324" s="2"/>
      <c r="J324" s="2"/>
      <c r="K324" s="2"/>
      <c r="L324" s="2"/>
    </row>
    <row r="325" spans="2:12">
      <c r="B325" s="2"/>
      <c r="C325" s="2" t="s">
        <v>4789</v>
      </c>
      <c r="D325" s="2"/>
      <c r="E325" s="2"/>
      <c r="F325" s="2"/>
      <c r="G325" s="2"/>
      <c r="H325" s="2"/>
      <c r="I325" s="2"/>
      <c r="J325" s="2"/>
      <c r="K325" s="2"/>
      <c r="L325" s="2"/>
    </row>
    <row r="326" spans="2:12">
      <c r="B326" s="2"/>
      <c r="C326" s="2"/>
      <c r="D326" s="2" t="s">
        <v>4790</v>
      </c>
      <c r="E326" s="2"/>
      <c r="F326" s="2"/>
      <c r="G326" s="2"/>
      <c r="H326" s="2"/>
      <c r="I326" s="2"/>
      <c r="J326" s="2"/>
      <c r="K326" s="2"/>
      <c r="L326" s="2"/>
    </row>
    <row r="327" spans="2:12">
      <c r="B327" s="2"/>
      <c r="C327" s="2"/>
      <c r="D327" s="2" t="s">
        <v>4791</v>
      </c>
      <c r="E327" s="2"/>
      <c r="F327" s="2"/>
      <c r="G327" s="2"/>
      <c r="H327" s="2"/>
      <c r="I327" s="2"/>
      <c r="J327" s="2"/>
      <c r="K327" s="2"/>
      <c r="L327" s="2"/>
    </row>
    <row r="328" spans="2:12">
      <c r="B328" s="2"/>
      <c r="C328" s="2" t="s">
        <v>4792</v>
      </c>
      <c r="D328" s="2"/>
      <c r="E328" s="2"/>
      <c r="F328" s="2"/>
      <c r="G328" s="2"/>
      <c r="H328" s="2"/>
      <c r="I328" s="2"/>
      <c r="J328" s="2"/>
      <c r="K328" s="2"/>
      <c r="L328" s="2"/>
    </row>
    <row r="329" spans="2:12">
      <c r="B329" s="2"/>
      <c r="C329" s="2"/>
      <c r="D329" s="2" t="s">
        <v>4793</v>
      </c>
      <c r="E329" s="2"/>
      <c r="F329" s="2"/>
      <c r="G329" s="2"/>
      <c r="H329" s="2"/>
      <c r="I329" s="2"/>
      <c r="J329" s="2"/>
      <c r="K329" s="2"/>
      <c r="L329" s="2"/>
    </row>
    <row r="330" spans="2:12">
      <c r="B330" s="2"/>
      <c r="C330" s="2"/>
      <c r="D330" s="2" t="s">
        <v>4794</v>
      </c>
      <c r="E330" s="2"/>
      <c r="F330" s="2"/>
      <c r="G330" s="2"/>
      <c r="H330" s="2"/>
      <c r="I330" s="2"/>
      <c r="J330" s="2"/>
      <c r="K330" s="2"/>
      <c r="L330" s="2"/>
    </row>
    <row r="331" spans="2:12">
      <c r="B331" s="2"/>
      <c r="C331" s="2"/>
      <c r="D331" s="2" t="s">
        <v>4795</v>
      </c>
      <c r="E331" s="2"/>
      <c r="F331" s="2"/>
      <c r="G331" s="2"/>
      <c r="H331" s="2"/>
      <c r="I331" s="2"/>
      <c r="J331" s="2"/>
      <c r="K331" s="2"/>
      <c r="L331" s="2"/>
    </row>
    <row r="332" spans="2:12">
      <c r="B332" s="2"/>
      <c r="C332" s="2" t="s">
        <v>4796</v>
      </c>
      <c r="D332" s="2"/>
      <c r="E332" s="2"/>
      <c r="F332" s="2"/>
      <c r="G332" s="2"/>
      <c r="H332" s="2"/>
      <c r="I332" s="2"/>
      <c r="J332" s="2"/>
      <c r="K332" s="2"/>
      <c r="L332" s="2"/>
    </row>
    <row r="333" spans="2:12">
      <c r="B333" s="2"/>
      <c r="C333" s="2"/>
      <c r="D333" s="2" t="s">
        <v>4797</v>
      </c>
      <c r="E333" s="2"/>
      <c r="F333" s="2"/>
      <c r="G333" s="2"/>
      <c r="H333" s="2"/>
      <c r="I333" s="2"/>
      <c r="J333" s="2"/>
      <c r="K333" s="2"/>
      <c r="L333" s="2"/>
    </row>
    <row r="334" spans="2:12">
      <c r="B334" s="2"/>
      <c r="C334" s="2"/>
      <c r="D334" s="2" t="s">
        <v>4798</v>
      </c>
      <c r="E334" s="2"/>
      <c r="F334" s="2"/>
      <c r="G334" s="2"/>
      <c r="H334" s="2"/>
      <c r="I334" s="2"/>
      <c r="J334" s="2"/>
      <c r="K334" s="2"/>
      <c r="L334" s="2"/>
    </row>
    <row r="335" spans="2:12">
      <c r="B335" s="2"/>
      <c r="C335" s="2"/>
      <c r="D335" s="2" t="s">
        <v>4799</v>
      </c>
      <c r="E335" s="2"/>
      <c r="F335" s="2"/>
      <c r="G335" s="2"/>
      <c r="H335" s="2"/>
      <c r="I335" s="2"/>
      <c r="J335" s="2"/>
      <c r="K335" s="2"/>
      <c r="L335" s="2"/>
    </row>
    <row r="336" spans="2:12">
      <c r="B336" s="2" t="s">
        <v>4800</v>
      </c>
      <c r="C336" s="2"/>
      <c r="D336" s="2"/>
      <c r="E336" s="2"/>
      <c r="F336" s="2"/>
      <c r="G336" s="2"/>
      <c r="H336" s="2"/>
      <c r="I336" s="2"/>
      <c r="J336" s="2"/>
      <c r="K336" s="2"/>
      <c r="L336" s="2"/>
    </row>
    <row r="337" spans="2:12">
      <c r="B337" s="2"/>
      <c r="C337" s="2" t="s">
        <v>4801</v>
      </c>
      <c r="D337" s="2"/>
      <c r="E337" s="2"/>
      <c r="F337" s="2"/>
      <c r="G337" s="2"/>
      <c r="H337" s="2"/>
      <c r="I337" s="2"/>
      <c r="J337" s="2"/>
      <c r="K337" s="2"/>
      <c r="L337" s="2"/>
    </row>
    <row r="338" spans="2:12">
      <c r="B338" s="2"/>
      <c r="C338" s="2"/>
      <c r="D338" s="2" t="s">
        <v>4802</v>
      </c>
      <c r="E338" s="2"/>
      <c r="F338" s="2"/>
      <c r="G338" s="2"/>
      <c r="H338" s="2"/>
      <c r="I338" s="2"/>
      <c r="J338" s="2"/>
      <c r="K338" s="2"/>
      <c r="L338" s="2"/>
    </row>
    <row r="339" spans="2:12">
      <c r="B339" s="2"/>
      <c r="C339" s="2"/>
      <c r="D339" s="2" t="s">
        <v>4803</v>
      </c>
      <c r="E339" s="2"/>
      <c r="F339" s="2"/>
      <c r="G339" s="2"/>
      <c r="H339" s="2"/>
      <c r="I339" s="2"/>
      <c r="J339" s="2"/>
      <c r="K339" s="2"/>
      <c r="L339" s="2"/>
    </row>
    <row r="340" spans="2:12">
      <c r="B340" s="2"/>
      <c r="C340" s="2"/>
      <c r="D340" s="2" t="s">
        <v>4804</v>
      </c>
      <c r="E340" s="2"/>
      <c r="F340" s="2"/>
      <c r="G340" s="2"/>
      <c r="H340" s="2"/>
      <c r="I340" s="2"/>
      <c r="J340" s="2"/>
      <c r="K340" s="2"/>
      <c r="L340" s="2"/>
    </row>
    <row r="341" spans="2:12">
      <c r="B341" s="2"/>
      <c r="C341" s="2" t="s">
        <v>4805</v>
      </c>
      <c r="D341" s="2"/>
      <c r="E341" s="2"/>
      <c r="F341" s="2"/>
      <c r="G341" s="2"/>
      <c r="H341" s="2"/>
      <c r="I341" s="2"/>
      <c r="J341" s="2"/>
      <c r="K341" s="2"/>
      <c r="L341" s="2"/>
    </row>
    <row r="342" spans="2:12">
      <c r="B342" s="2"/>
      <c r="C342" s="2"/>
      <c r="D342" s="2" t="s">
        <v>4806</v>
      </c>
      <c r="E342" s="2"/>
      <c r="F342" s="2"/>
      <c r="G342" s="2"/>
      <c r="H342" s="2"/>
      <c r="I342" s="2"/>
      <c r="J342" s="2"/>
      <c r="K342" s="2"/>
      <c r="L342" s="2"/>
    </row>
    <row r="343" spans="2:12">
      <c r="B343" s="2"/>
      <c r="C343" s="2"/>
      <c r="D343" s="2" t="s">
        <v>4807</v>
      </c>
      <c r="E343" s="2"/>
      <c r="F343" s="2"/>
      <c r="G343" s="2"/>
      <c r="H343" s="2"/>
      <c r="I343" s="2"/>
      <c r="J343" s="2"/>
      <c r="K343" s="2"/>
      <c r="L343" s="2"/>
    </row>
    <row r="344" spans="2:12">
      <c r="B344" s="2"/>
      <c r="C344" s="2"/>
      <c r="D344" s="2" t="s">
        <v>4808</v>
      </c>
      <c r="E344" s="2"/>
      <c r="F344" s="2"/>
      <c r="G344" s="2"/>
      <c r="H344" s="2"/>
      <c r="I344" s="2"/>
      <c r="J344" s="2"/>
      <c r="K344" s="2"/>
      <c r="L344" s="2"/>
    </row>
    <row r="345" spans="2:12">
      <c r="B345" s="2"/>
      <c r="C345" s="2" t="s">
        <v>4809</v>
      </c>
      <c r="D345" s="2"/>
      <c r="E345" s="2"/>
      <c r="F345" s="2"/>
      <c r="G345" s="2"/>
      <c r="H345" s="2"/>
      <c r="I345" s="2"/>
      <c r="J345" s="2"/>
      <c r="K345" s="2"/>
      <c r="L345" s="2"/>
    </row>
    <row r="346" spans="2:12">
      <c r="B346" s="2"/>
      <c r="C346" s="2"/>
      <c r="D346" s="2" t="s">
        <v>4810</v>
      </c>
      <c r="E346" s="2"/>
      <c r="F346" s="2"/>
      <c r="G346" s="2"/>
      <c r="H346" s="2"/>
      <c r="I346" s="2"/>
      <c r="J346" s="2"/>
      <c r="K346" s="2"/>
      <c r="L346" s="2"/>
    </row>
    <row r="347" spans="2:12">
      <c r="B347" s="2"/>
      <c r="C347" s="2" t="s">
        <v>4811</v>
      </c>
      <c r="D347" s="2"/>
      <c r="E347" s="2"/>
      <c r="F347" s="2"/>
      <c r="G347" s="2"/>
      <c r="H347" s="2"/>
      <c r="I347" s="2"/>
      <c r="J347" s="2"/>
      <c r="K347" s="2"/>
      <c r="L347" s="2"/>
    </row>
    <row r="348" spans="2:12">
      <c r="B348" s="2"/>
      <c r="C348" s="2"/>
      <c r="D348" s="2" t="s">
        <v>4812</v>
      </c>
      <c r="E348" s="2"/>
      <c r="F348" s="2"/>
      <c r="G348" s="2"/>
      <c r="H348" s="2"/>
      <c r="I348" s="2"/>
      <c r="J348" s="2"/>
      <c r="K348" s="2"/>
      <c r="L348" s="2"/>
    </row>
    <row r="349" spans="2:12">
      <c r="B349" s="2"/>
      <c r="C349" s="2"/>
      <c r="D349" s="2" t="s">
        <v>4813</v>
      </c>
      <c r="E349" s="2"/>
      <c r="F349" s="2"/>
      <c r="G349" s="2"/>
      <c r="H349" s="2"/>
      <c r="I349" s="2"/>
      <c r="J349" s="2"/>
      <c r="K349" s="2"/>
      <c r="L349" s="2"/>
    </row>
    <row r="350" spans="2:12">
      <c r="B350" s="2" t="s">
        <v>4814</v>
      </c>
      <c r="C350" s="2"/>
      <c r="D350" s="2"/>
      <c r="E350" s="2"/>
      <c r="F350" s="2"/>
      <c r="G350" s="2"/>
      <c r="H350" s="2"/>
      <c r="I350" s="2"/>
      <c r="J350" s="2"/>
      <c r="K350" s="2"/>
      <c r="L350" s="2"/>
    </row>
    <row r="351" spans="2:12">
      <c r="B351" s="2"/>
      <c r="C351" s="2" t="s">
        <v>4815</v>
      </c>
      <c r="D351" s="2"/>
      <c r="E351" s="2"/>
      <c r="F351" s="2"/>
      <c r="G351" s="2"/>
      <c r="H351" s="2"/>
      <c r="I351" s="2"/>
      <c r="J351" s="2"/>
      <c r="K351" s="2"/>
      <c r="L351" s="2"/>
    </row>
    <row r="352" spans="2:12">
      <c r="B352" s="2"/>
      <c r="C352" s="2" t="s">
        <v>4816</v>
      </c>
      <c r="D352" s="2"/>
      <c r="E352" s="2"/>
      <c r="F352" s="2"/>
      <c r="G352" s="2"/>
      <c r="H352" s="2"/>
      <c r="I352" s="2"/>
      <c r="J352" s="2"/>
      <c r="K352" s="2"/>
      <c r="L352" s="2"/>
    </row>
    <row r="353" spans="2:12">
      <c r="B353" s="2"/>
      <c r="C353" s="2"/>
      <c r="D353" s="2" t="s">
        <v>4817</v>
      </c>
      <c r="E353" s="2"/>
      <c r="F353" s="2"/>
      <c r="G353" s="2"/>
      <c r="H353" s="2"/>
      <c r="I353" s="2"/>
      <c r="J353" s="2"/>
      <c r="K353" s="2"/>
      <c r="L353" s="2"/>
    </row>
    <row r="354" spans="2:12">
      <c r="B354" s="2"/>
      <c r="C354" s="2"/>
      <c r="D354" s="2" t="s">
        <v>4818</v>
      </c>
      <c r="E354" s="2"/>
      <c r="F354" s="2"/>
      <c r="G354" s="2"/>
      <c r="H354" s="2"/>
      <c r="I354" s="2"/>
      <c r="J354" s="2"/>
      <c r="K354" s="2"/>
      <c r="L354" s="2"/>
    </row>
    <row r="355" spans="2:12">
      <c r="B355" s="2"/>
      <c r="C355" s="2"/>
      <c r="D355" s="2" t="s">
        <v>4819</v>
      </c>
      <c r="E355" s="2"/>
      <c r="F355" s="2"/>
      <c r="G355" s="2"/>
      <c r="H355" s="2"/>
      <c r="I355" s="2"/>
      <c r="J355" s="2"/>
      <c r="K355" s="2"/>
      <c r="L355" s="2"/>
    </row>
    <row r="356" spans="2:12">
      <c r="B356" s="2"/>
      <c r="C356" s="2" t="s">
        <v>4820</v>
      </c>
      <c r="D356" s="2"/>
      <c r="E356" s="2"/>
      <c r="F356" s="2"/>
      <c r="G356" s="2"/>
      <c r="H356" s="2"/>
      <c r="I356" s="2"/>
      <c r="J356" s="2"/>
      <c r="K356" s="2"/>
      <c r="L356" s="2"/>
    </row>
    <row r="357" spans="2:12">
      <c r="B357" s="2"/>
      <c r="C357" s="2"/>
      <c r="D357" s="2" t="s">
        <v>4821</v>
      </c>
      <c r="E357" s="2"/>
      <c r="F357" s="2"/>
      <c r="G357" s="2"/>
      <c r="H357" s="2"/>
      <c r="I357" s="2"/>
      <c r="J357" s="2"/>
      <c r="K357" s="2"/>
      <c r="L357" s="2"/>
    </row>
    <row r="358" spans="2:12">
      <c r="B358" s="2"/>
      <c r="C358" s="2"/>
      <c r="D358" s="2" t="s">
        <v>4822</v>
      </c>
      <c r="E358" s="2"/>
      <c r="F358" s="2"/>
      <c r="G358" s="2"/>
      <c r="H358" s="2"/>
      <c r="I358" s="2"/>
      <c r="J358" s="2"/>
      <c r="K358" s="2"/>
      <c r="L358" s="2"/>
    </row>
    <row r="359" spans="2:12">
      <c r="B359" s="2"/>
      <c r="C359" s="2"/>
      <c r="D359" s="2" t="s">
        <v>4823</v>
      </c>
      <c r="E359" s="2"/>
      <c r="F359" s="2"/>
      <c r="G359" s="2"/>
      <c r="H359" s="2"/>
      <c r="I359" s="2"/>
      <c r="J359" s="2"/>
      <c r="K359" s="2"/>
      <c r="L359" s="2"/>
    </row>
    <row r="360" spans="2:12">
      <c r="B360" s="2"/>
      <c r="C360" s="2" t="s">
        <v>4824</v>
      </c>
      <c r="D360" s="2"/>
      <c r="E360" s="2"/>
      <c r="F360" s="2"/>
      <c r="G360" s="2"/>
      <c r="H360" s="2"/>
      <c r="I360" s="2"/>
      <c r="J360" s="2"/>
      <c r="K360" s="2"/>
      <c r="L360" s="2"/>
    </row>
    <row r="361" spans="2:12">
      <c r="B361" s="2" t="s">
        <v>4825</v>
      </c>
      <c r="C361" s="2"/>
      <c r="D361" s="2"/>
      <c r="E361" s="2"/>
      <c r="F361" s="2"/>
      <c r="G361" s="2"/>
      <c r="H361" s="2"/>
      <c r="I361" s="2"/>
      <c r="J361" s="2"/>
      <c r="K361" s="2"/>
      <c r="L361" s="2"/>
    </row>
    <row r="362" spans="2:12">
      <c r="B362" s="2"/>
      <c r="C362" s="2" t="s">
        <v>4826</v>
      </c>
      <c r="D362" s="2"/>
      <c r="E362" s="2"/>
      <c r="F362" s="2"/>
      <c r="G362" s="2"/>
      <c r="H362" s="2"/>
      <c r="I362" s="2"/>
      <c r="J362" s="2"/>
      <c r="K362" s="2"/>
      <c r="L362" s="2"/>
    </row>
    <row r="363" spans="2:12">
      <c r="B363" s="2"/>
      <c r="C363" s="2"/>
      <c r="D363" s="2" t="s">
        <v>4827</v>
      </c>
      <c r="E363" s="2"/>
      <c r="F363" s="2"/>
      <c r="G363" s="2"/>
      <c r="H363" s="2"/>
      <c r="I363" s="2"/>
      <c r="J363" s="2"/>
      <c r="K363" s="2"/>
      <c r="L363" s="2"/>
    </row>
    <row r="364" spans="2:12">
      <c r="B364" s="2"/>
      <c r="C364" s="2"/>
      <c r="D364" s="2"/>
      <c r="E364" s="2" t="s">
        <v>4828</v>
      </c>
      <c r="F364" s="2"/>
      <c r="G364" s="2"/>
      <c r="H364" s="2"/>
      <c r="I364" s="2"/>
      <c r="J364" s="2"/>
      <c r="K364" s="2"/>
      <c r="L364" s="2"/>
    </row>
    <row r="365" spans="2:12">
      <c r="B365" s="2"/>
      <c r="C365" s="2"/>
      <c r="D365" s="2" t="s">
        <v>4829</v>
      </c>
      <c r="E365" s="2"/>
      <c r="F365" s="2"/>
      <c r="G365" s="2"/>
      <c r="H365" s="2"/>
      <c r="I365" s="2"/>
      <c r="J365" s="2"/>
      <c r="K365" s="2"/>
      <c r="L365" s="2"/>
    </row>
    <row r="366" spans="2:12">
      <c r="B366" s="2"/>
      <c r="C366" s="2"/>
      <c r="D366" s="2"/>
      <c r="E366" s="2" t="s">
        <v>4830</v>
      </c>
      <c r="F366" s="2"/>
      <c r="G366" s="2"/>
      <c r="H366" s="2"/>
      <c r="I366" s="2"/>
      <c r="J366" s="2"/>
      <c r="K366" s="2"/>
      <c r="L366" s="2"/>
    </row>
    <row r="367" spans="2:12">
      <c r="B367" s="2"/>
      <c r="C367" s="2" t="s">
        <v>4831</v>
      </c>
      <c r="D367" s="2"/>
      <c r="E367" s="2"/>
      <c r="F367" s="2"/>
      <c r="G367" s="2"/>
      <c r="H367" s="2"/>
      <c r="I367" s="2"/>
      <c r="J367" s="2"/>
      <c r="K367" s="2"/>
      <c r="L367" s="2"/>
    </row>
    <row r="368" spans="2:12">
      <c r="B368" s="2"/>
      <c r="C368" s="2"/>
      <c r="D368" s="2" t="s">
        <v>4832</v>
      </c>
      <c r="E368" s="2"/>
      <c r="F368" s="2"/>
      <c r="G368" s="2"/>
      <c r="H368" s="2"/>
      <c r="I368" s="2"/>
      <c r="J368" s="2"/>
      <c r="K368" s="2"/>
      <c r="L368" s="2"/>
    </row>
    <row r="369" spans="2:12">
      <c r="B369" s="2"/>
      <c r="C369" s="2"/>
      <c r="D369" s="2"/>
      <c r="E369" s="2" t="s">
        <v>4833</v>
      </c>
      <c r="F369" s="2"/>
      <c r="G369" s="2"/>
      <c r="H369" s="2"/>
      <c r="I369" s="2"/>
      <c r="J369" s="2"/>
      <c r="K369" s="2"/>
      <c r="L369" s="2"/>
    </row>
    <row r="370" spans="2:12">
      <c r="B370" s="2"/>
      <c r="C370" s="2"/>
      <c r="D370" s="2"/>
      <c r="E370" s="2" t="s">
        <v>4834</v>
      </c>
      <c r="F370" s="2"/>
      <c r="G370" s="2"/>
      <c r="H370" s="2"/>
      <c r="I370" s="2"/>
      <c r="J370" s="2"/>
      <c r="K370" s="2"/>
      <c r="L370" s="2"/>
    </row>
    <row r="371" spans="2:12">
      <c r="B371" s="2"/>
      <c r="C371" s="2"/>
      <c r="D371" s="2"/>
      <c r="E371" s="2" t="s">
        <v>4835</v>
      </c>
      <c r="F371" s="2"/>
      <c r="G371" s="2"/>
      <c r="H371" s="2"/>
      <c r="I371" s="2"/>
      <c r="J371" s="2"/>
      <c r="K371" s="2"/>
      <c r="L371" s="2"/>
    </row>
    <row r="372" spans="2:12">
      <c r="B372" s="2"/>
      <c r="C372" s="2"/>
      <c r="D372" s="2" t="s">
        <v>4836</v>
      </c>
      <c r="E372" s="2"/>
      <c r="F372" s="2"/>
      <c r="G372" s="2"/>
      <c r="H372" s="2"/>
      <c r="I372" s="2"/>
      <c r="J372" s="2"/>
      <c r="K372" s="2"/>
      <c r="L372" s="2"/>
    </row>
    <row r="373" spans="2:12">
      <c r="B373" s="2"/>
      <c r="C373" s="2"/>
      <c r="D373" s="2"/>
      <c r="E373" s="2" t="s">
        <v>4837</v>
      </c>
      <c r="F373" s="2"/>
      <c r="G373" s="2"/>
      <c r="H373" s="2"/>
      <c r="I373" s="2"/>
      <c r="J373" s="2"/>
      <c r="K373" s="2"/>
      <c r="L373" s="2"/>
    </row>
    <row r="374" spans="2:12">
      <c r="B374" s="2"/>
      <c r="C374" s="2"/>
      <c r="D374" s="2"/>
      <c r="E374" s="2" t="s">
        <v>4838</v>
      </c>
      <c r="F374" s="2"/>
      <c r="G374" s="2"/>
      <c r="H374" s="2"/>
      <c r="I374" s="2"/>
      <c r="J374" s="2"/>
      <c r="K374" s="2"/>
      <c r="L374" s="2"/>
    </row>
    <row r="375" spans="2:12">
      <c r="B375" s="2"/>
      <c r="C375" s="2"/>
      <c r="D375" s="2"/>
      <c r="E375" s="2" t="s">
        <v>4839</v>
      </c>
      <c r="F375" s="2"/>
      <c r="G375" s="2"/>
      <c r="H375" s="2"/>
      <c r="I375" s="2"/>
      <c r="J375" s="2"/>
      <c r="K375" s="2"/>
      <c r="L375" s="2"/>
    </row>
    <row r="376" spans="2:12">
      <c r="B376" s="2"/>
      <c r="C376" s="2"/>
      <c r="D376" s="2" t="s">
        <v>4840</v>
      </c>
      <c r="E376" s="2"/>
      <c r="F376" s="2"/>
      <c r="G376" s="2"/>
      <c r="H376" s="2"/>
      <c r="I376" s="2"/>
      <c r="J376" s="2"/>
      <c r="K376" s="2"/>
      <c r="L376" s="2"/>
    </row>
    <row r="377" spans="2:12">
      <c r="B377" s="2"/>
      <c r="C377" s="2"/>
      <c r="D377" s="2"/>
      <c r="E377" s="2" t="s">
        <v>4841</v>
      </c>
      <c r="F377" s="2"/>
      <c r="G377" s="2"/>
      <c r="H377" s="2"/>
      <c r="I377" s="2"/>
      <c r="J377" s="2"/>
      <c r="K377" s="2"/>
      <c r="L377" s="2"/>
    </row>
    <row r="378" spans="2:12">
      <c r="B378" s="2"/>
      <c r="C378" s="2" t="s">
        <v>4842</v>
      </c>
      <c r="D378" s="2"/>
      <c r="E378" s="2"/>
      <c r="F378" s="2"/>
      <c r="G378" s="2"/>
      <c r="H378" s="2"/>
      <c r="I378" s="2"/>
      <c r="J378" s="2"/>
      <c r="K378" s="2"/>
      <c r="L378" s="2"/>
    </row>
    <row r="379" spans="2:12">
      <c r="B379" s="2"/>
      <c r="C379" s="2"/>
      <c r="D379" s="2" t="s">
        <v>4843</v>
      </c>
      <c r="E379" s="2"/>
      <c r="F379" s="2"/>
      <c r="G379" s="2"/>
      <c r="H379" s="2"/>
      <c r="I379" s="2"/>
      <c r="J379" s="2"/>
      <c r="K379" s="2"/>
      <c r="L379" s="2"/>
    </row>
    <row r="380" spans="2:12">
      <c r="B380" s="2"/>
      <c r="C380" s="2"/>
      <c r="D380" s="2" t="s">
        <v>4844</v>
      </c>
      <c r="E380" s="2"/>
      <c r="F380" s="2"/>
      <c r="G380" s="2"/>
      <c r="H380" s="2"/>
      <c r="I380" s="2"/>
      <c r="J380" s="2"/>
      <c r="K380" s="2"/>
      <c r="L380" s="2"/>
    </row>
    <row r="381" spans="2:12">
      <c r="B381" s="2" t="s">
        <v>4845</v>
      </c>
      <c r="C381" s="2"/>
      <c r="D381" s="2"/>
      <c r="E381" s="2"/>
      <c r="F381" s="2"/>
      <c r="G381" s="2"/>
      <c r="H381" s="2"/>
      <c r="I381" s="2"/>
      <c r="J381" s="2"/>
      <c r="K381" s="2"/>
      <c r="L381" s="2"/>
    </row>
    <row r="382" spans="2:12">
      <c r="B382" s="2"/>
      <c r="C382" s="2" t="s">
        <v>4846</v>
      </c>
      <c r="D382" s="2"/>
      <c r="E382" s="2"/>
      <c r="F382" s="2"/>
      <c r="G382" s="2"/>
      <c r="H382" s="2"/>
      <c r="I382" s="2"/>
      <c r="J382" s="2"/>
      <c r="K382" s="2"/>
      <c r="L382" s="2"/>
    </row>
    <row r="383" spans="2:12">
      <c r="B383" s="2"/>
      <c r="C383" s="2"/>
      <c r="D383" s="2" t="s">
        <v>4847</v>
      </c>
      <c r="E383" s="2"/>
      <c r="F383" s="2"/>
      <c r="G383" s="2"/>
      <c r="H383" s="2"/>
      <c r="I383" s="2"/>
      <c r="J383" s="2"/>
      <c r="K383" s="2"/>
      <c r="L383" s="2"/>
    </row>
    <row r="384" spans="2:12">
      <c r="B384" s="2"/>
      <c r="C384" s="2"/>
      <c r="D384" s="2" t="s">
        <v>4848</v>
      </c>
      <c r="E384" s="2"/>
      <c r="F384" s="2"/>
      <c r="G384" s="2"/>
      <c r="H384" s="2"/>
      <c r="I384" s="2"/>
      <c r="J384" s="2"/>
      <c r="K384" s="2"/>
      <c r="L384" s="2"/>
    </row>
    <row r="385" spans="2:12">
      <c r="B385" s="2"/>
      <c r="C385" s="2" t="s">
        <v>4849</v>
      </c>
      <c r="D385" s="2"/>
      <c r="E385" s="2"/>
      <c r="F385" s="2"/>
      <c r="G385" s="2"/>
      <c r="H385" s="2"/>
      <c r="I385" s="2"/>
      <c r="J385" s="2"/>
      <c r="K385" s="2"/>
      <c r="L385" s="2"/>
    </row>
    <row r="386" spans="2:12">
      <c r="B386" s="2"/>
      <c r="C386" s="2"/>
      <c r="D386" s="2" t="s">
        <v>4850</v>
      </c>
      <c r="E386" s="2"/>
      <c r="F386" s="2"/>
      <c r="G386" s="2"/>
      <c r="H386" s="2"/>
      <c r="I386" s="2"/>
      <c r="J386" s="2"/>
      <c r="K386" s="2"/>
      <c r="L386" s="2"/>
    </row>
    <row r="387" spans="2:12">
      <c r="B387" s="2"/>
      <c r="C387" s="2"/>
      <c r="D387" s="2" t="s">
        <v>4851</v>
      </c>
      <c r="E387" s="2"/>
      <c r="F387" s="2"/>
      <c r="G387" s="2"/>
      <c r="H387" s="2"/>
      <c r="I387" s="2"/>
      <c r="J387" s="2"/>
      <c r="K387" s="2"/>
      <c r="L387" s="2"/>
    </row>
    <row r="388" spans="2:12">
      <c r="B388" s="2"/>
      <c r="C388" s="2"/>
      <c r="D388" s="2"/>
      <c r="E388" s="2" t="s">
        <v>4852</v>
      </c>
      <c r="F388" s="2"/>
      <c r="G388" s="2"/>
      <c r="H388" s="2"/>
      <c r="I388" s="2"/>
      <c r="J388" s="2"/>
      <c r="K388" s="2"/>
      <c r="L388" s="2"/>
    </row>
    <row r="389" spans="2:12">
      <c r="B389" s="2"/>
      <c r="C389" s="2" t="s">
        <v>4853</v>
      </c>
      <c r="D389" s="2"/>
      <c r="E389" s="2"/>
      <c r="F389" s="2"/>
      <c r="G389" s="2"/>
      <c r="H389" s="2"/>
      <c r="I389" s="2"/>
      <c r="J389" s="2"/>
      <c r="K389" s="2"/>
      <c r="L389" s="2"/>
    </row>
    <row r="390" spans="2:12">
      <c r="B390" s="2"/>
      <c r="C390" s="2"/>
      <c r="D390" s="2" t="s">
        <v>4854</v>
      </c>
      <c r="E390" s="2"/>
      <c r="F390" s="2"/>
      <c r="G390" s="2"/>
      <c r="H390" s="2"/>
      <c r="I390" s="2"/>
      <c r="J390" s="2"/>
      <c r="K390" s="2"/>
      <c r="L390" s="2"/>
    </row>
    <row r="391" spans="2:12">
      <c r="B391" s="2"/>
      <c r="C391" s="2"/>
      <c r="D391" s="2" t="s">
        <v>4855</v>
      </c>
      <c r="E391" s="2"/>
      <c r="F391" s="2"/>
      <c r="G391" s="2"/>
      <c r="H391" s="2"/>
      <c r="I391" s="2"/>
      <c r="J391" s="2"/>
      <c r="K391" s="2"/>
      <c r="L391" s="2"/>
    </row>
    <row r="392" spans="2:12">
      <c r="B392" s="2" t="s">
        <v>4856</v>
      </c>
      <c r="C392" s="2"/>
      <c r="D392" s="2"/>
      <c r="E392" s="2"/>
      <c r="F392" s="2"/>
      <c r="G392" s="2"/>
      <c r="H392" s="2"/>
      <c r="I392" s="2"/>
      <c r="J392" s="2"/>
      <c r="K392" s="2"/>
      <c r="L392" s="2"/>
    </row>
    <row r="393" spans="2:12">
      <c r="B393" s="2"/>
      <c r="C393" s="2" t="s">
        <v>4857</v>
      </c>
      <c r="D393" s="2"/>
      <c r="E393" s="2"/>
      <c r="F393" s="2"/>
      <c r="G393" s="2"/>
      <c r="H393" s="2"/>
      <c r="I393" s="2"/>
      <c r="J393" s="2"/>
      <c r="K393" s="2"/>
      <c r="L393" s="2"/>
    </row>
    <row r="394" spans="2:12">
      <c r="B394" s="2"/>
      <c r="C394" s="2"/>
      <c r="D394" s="2" t="s">
        <v>4858</v>
      </c>
      <c r="E394" s="2"/>
      <c r="F394" s="2"/>
      <c r="G394" s="2"/>
      <c r="H394" s="2"/>
      <c r="I394" s="2"/>
      <c r="J394" s="2"/>
      <c r="K394" s="2"/>
      <c r="L394" s="2"/>
    </row>
    <row r="395" spans="2:12">
      <c r="B395" s="2"/>
      <c r="C395" s="2"/>
      <c r="D395" s="2" t="s">
        <v>4859</v>
      </c>
      <c r="E395" s="2"/>
      <c r="F395" s="2"/>
      <c r="G395" s="2"/>
      <c r="H395" s="2"/>
      <c r="I395" s="2"/>
      <c r="J395" s="2"/>
      <c r="K395" s="2"/>
      <c r="L395" s="2"/>
    </row>
    <row r="396" spans="2:12">
      <c r="B396" s="2"/>
      <c r="C396" s="2"/>
      <c r="D396" s="2"/>
      <c r="E396" s="2" t="s">
        <v>4860</v>
      </c>
      <c r="F396" s="2"/>
      <c r="G396" s="2"/>
      <c r="H396" s="2"/>
      <c r="I396" s="2"/>
      <c r="J396" s="2"/>
      <c r="K396" s="2"/>
      <c r="L396" s="2"/>
    </row>
    <row r="397" spans="2:12">
      <c r="B397" s="2"/>
      <c r="C397" s="2"/>
      <c r="D397" s="2"/>
      <c r="E397" s="2" t="s">
        <v>4861</v>
      </c>
      <c r="F397" s="2"/>
      <c r="G397" s="2"/>
      <c r="H397" s="2"/>
      <c r="I397" s="2"/>
      <c r="J397" s="2"/>
      <c r="K397" s="2"/>
      <c r="L397" s="2"/>
    </row>
    <row r="398" spans="2:12">
      <c r="B398" s="2"/>
      <c r="C398" s="2"/>
      <c r="D398" s="2" t="s">
        <v>4862</v>
      </c>
      <c r="E398" s="2"/>
      <c r="F398" s="2"/>
      <c r="G398" s="2"/>
      <c r="H398" s="2"/>
      <c r="I398" s="2"/>
      <c r="J398" s="2"/>
      <c r="K398" s="2"/>
      <c r="L398" s="2"/>
    </row>
    <row r="399" spans="2:12">
      <c r="B399" s="2"/>
      <c r="C399" s="2"/>
      <c r="D399" s="2" t="s">
        <v>4863</v>
      </c>
      <c r="E399" s="2"/>
      <c r="F399" s="2"/>
      <c r="G399" s="2"/>
      <c r="H399" s="2"/>
      <c r="I399" s="2"/>
      <c r="J399" s="2"/>
      <c r="K399" s="2"/>
      <c r="L399" s="2"/>
    </row>
    <row r="400" spans="2:12">
      <c r="B400" s="2"/>
      <c r="C400" s="2" t="s">
        <v>4864</v>
      </c>
      <c r="D400" s="2"/>
      <c r="E400" s="2"/>
      <c r="F400" s="2"/>
      <c r="G400" s="2"/>
      <c r="H400" s="2"/>
      <c r="I400" s="2"/>
      <c r="J400" s="2"/>
      <c r="K400" s="2"/>
      <c r="L400" s="2"/>
    </row>
    <row r="401" spans="2:12">
      <c r="B401" s="2"/>
      <c r="C401" s="2"/>
      <c r="D401" s="2" t="s">
        <v>4865</v>
      </c>
      <c r="E401" s="2"/>
      <c r="F401" s="2"/>
      <c r="G401" s="2"/>
      <c r="H401" s="2"/>
      <c r="I401" s="2"/>
      <c r="J401" s="2"/>
      <c r="K401" s="2"/>
      <c r="L401" s="2"/>
    </row>
    <row r="402" spans="2:12">
      <c r="B402" s="2"/>
      <c r="C402" s="2"/>
      <c r="D402" s="2"/>
      <c r="E402" s="2" t="s">
        <v>4866</v>
      </c>
      <c r="F402" s="2"/>
      <c r="G402" s="2"/>
      <c r="H402" s="2"/>
      <c r="I402" s="2"/>
      <c r="J402" s="2"/>
      <c r="K402" s="2"/>
      <c r="L402" s="2"/>
    </row>
    <row r="403" spans="2:12">
      <c r="B403" s="2"/>
      <c r="C403" s="2"/>
      <c r="D403" s="2"/>
      <c r="E403" s="2" t="s">
        <v>4867</v>
      </c>
      <c r="F403" s="2"/>
      <c r="G403" s="2"/>
      <c r="H403" s="2"/>
      <c r="I403" s="2"/>
      <c r="J403" s="2"/>
      <c r="K403" s="2"/>
      <c r="L403" s="2"/>
    </row>
    <row r="404" spans="2:12">
      <c r="B404" s="2"/>
      <c r="C404" s="2"/>
      <c r="D404" s="2"/>
      <c r="E404" s="2" t="s">
        <v>4868</v>
      </c>
      <c r="F404" s="2"/>
      <c r="G404" s="2"/>
      <c r="H404" s="2"/>
      <c r="I404" s="2"/>
      <c r="J404" s="2"/>
      <c r="K404" s="2"/>
      <c r="L404" s="2"/>
    </row>
    <row r="405" spans="2:12">
      <c r="B405" s="2"/>
      <c r="C405" s="2"/>
      <c r="D405" s="2" t="s">
        <v>4869</v>
      </c>
      <c r="E405" s="2"/>
      <c r="F405" s="2"/>
      <c r="G405" s="2"/>
      <c r="H405" s="2"/>
      <c r="I405" s="2"/>
      <c r="J405" s="2"/>
      <c r="K405" s="2"/>
      <c r="L405" s="2"/>
    </row>
    <row r="406" spans="2:12">
      <c r="B406" s="2"/>
      <c r="C406" s="2"/>
      <c r="D406" s="2"/>
      <c r="E406" s="2" t="s">
        <v>4870</v>
      </c>
      <c r="F406" s="2"/>
      <c r="G406" s="2"/>
      <c r="H406" s="2"/>
      <c r="I406" s="2"/>
      <c r="J406" s="2"/>
      <c r="K406" s="2"/>
      <c r="L406" s="2"/>
    </row>
    <row r="407" spans="2:12">
      <c r="B407" s="2"/>
      <c r="C407" s="2"/>
      <c r="D407" s="2"/>
      <c r="E407" s="2" t="s">
        <v>4871</v>
      </c>
      <c r="F407" s="2"/>
      <c r="G407" s="2"/>
      <c r="H407" s="2"/>
      <c r="I407" s="2"/>
      <c r="J407" s="2"/>
      <c r="K407" s="2"/>
      <c r="L407" s="2"/>
    </row>
    <row r="408" spans="2:12">
      <c r="B408" s="2"/>
      <c r="C408" s="2"/>
      <c r="D408" s="2"/>
      <c r="E408" s="2" t="s">
        <v>4872</v>
      </c>
      <c r="F408" s="2"/>
      <c r="G408" s="2"/>
      <c r="H408" s="2"/>
      <c r="I408" s="2"/>
      <c r="J408" s="2"/>
      <c r="K408" s="2"/>
      <c r="L408" s="2"/>
    </row>
    <row r="409" spans="2:12">
      <c r="B409" s="2"/>
      <c r="C409" s="2"/>
      <c r="D409" s="2"/>
      <c r="E409" s="2"/>
      <c r="F409" s="2" t="s">
        <v>4873</v>
      </c>
      <c r="G409" s="2"/>
      <c r="H409" s="2"/>
      <c r="I409" s="2"/>
      <c r="J409" s="2"/>
      <c r="K409" s="2"/>
      <c r="L409" s="2"/>
    </row>
    <row r="410" spans="2:12">
      <c r="B410" s="2"/>
      <c r="C410" s="2"/>
      <c r="D410" s="2"/>
      <c r="E410" s="2"/>
      <c r="F410" s="2" t="s">
        <v>4874</v>
      </c>
      <c r="G410" s="2"/>
      <c r="H410" s="2"/>
      <c r="I410" s="2"/>
      <c r="J410" s="2"/>
      <c r="K410" s="2"/>
      <c r="L410" s="2"/>
    </row>
    <row r="411" spans="2:12">
      <c r="B411" s="2"/>
      <c r="C411" s="2"/>
      <c r="D411" s="2" t="s">
        <v>4875</v>
      </c>
      <c r="E411" s="2"/>
      <c r="F411" s="2"/>
      <c r="G411" s="2"/>
      <c r="H411" s="2"/>
      <c r="I411" s="2"/>
      <c r="J411" s="2"/>
      <c r="K411" s="2"/>
      <c r="L411" s="2"/>
    </row>
    <row r="412" spans="2:12">
      <c r="B412" s="2"/>
      <c r="C412" s="2"/>
      <c r="D412" s="2"/>
      <c r="E412" s="2" t="s">
        <v>4876</v>
      </c>
      <c r="F412" s="2"/>
      <c r="G412" s="2"/>
      <c r="H412" s="2"/>
      <c r="I412" s="2"/>
      <c r="J412" s="2"/>
      <c r="K412" s="2"/>
      <c r="L412" s="2"/>
    </row>
    <row r="413" spans="2:12">
      <c r="B413" s="2"/>
      <c r="C413" s="2"/>
      <c r="D413" s="2"/>
      <c r="E413" s="2" t="s">
        <v>4877</v>
      </c>
      <c r="F413" s="2"/>
      <c r="G413" s="2"/>
      <c r="H413" s="2"/>
      <c r="I413" s="2"/>
      <c r="J413" s="2"/>
      <c r="K413" s="2"/>
      <c r="L413" s="2"/>
    </row>
    <row r="414" spans="2:12">
      <c r="B414" s="2"/>
      <c r="C414" s="2"/>
      <c r="D414" s="2"/>
      <c r="E414" s="2" t="s">
        <v>4878</v>
      </c>
      <c r="F414" s="2"/>
      <c r="G414" s="2"/>
      <c r="H414" s="2"/>
      <c r="I414" s="2"/>
      <c r="J414" s="2"/>
      <c r="K414" s="2"/>
      <c r="L414" s="2"/>
    </row>
    <row r="415" spans="2:12">
      <c r="B415" s="2" t="s">
        <v>4879</v>
      </c>
      <c r="C415" s="2"/>
      <c r="D415" s="2"/>
      <c r="E415" s="2"/>
      <c r="F415" s="2"/>
      <c r="G415" s="2"/>
      <c r="H415" s="2"/>
      <c r="I415" s="2"/>
      <c r="J415" s="2"/>
      <c r="K415" s="2"/>
      <c r="L415" s="2"/>
    </row>
    <row r="416" spans="2:12">
      <c r="B416" s="2"/>
      <c r="C416" s="2" t="s">
        <v>4880</v>
      </c>
      <c r="D416" s="2"/>
      <c r="E416" s="2"/>
      <c r="F416" s="2"/>
      <c r="G416" s="2"/>
      <c r="H416" s="2"/>
      <c r="I416" s="2"/>
      <c r="J416" s="2"/>
      <c r="K416" s="2"/>
      <c r="L416" s="2"/>
    </row>
    <row r="417" spans="2:12">
      <c r="B417" s="2"/>
      <c r="C417" s="2" t="s">
        <v>4881</v>
      </c>
      <c r="D417" s="2"/>
      <c r="E417" s="2"/>
      <c r="F417" s="2"/>
      <c r="G417" s="2"/>
      <c r="H417" s="2"/>
      <c r="I417" s="2"/>
      <c r="J417" s="2"/>
      <c r="K417" s="2"/>
      <c r="L417" s="2"/>
    </row>
    <row r="418" spans="2:12">
      <c r="B418" s="2"/>
      <c r="C418" s="2" t="s">
        <v>4882</v>
      </c>
      <c r="D418" s="2"/>
      <c r="E418" s="2"/>
      <c r="F418" s="2"/>
      <c r="G418" s="2"/>
      <c r="H418" s="2"/>
      <c r="I418" s="2"/>
      <c r="J418" s="2"/>
      <c r="K418" s="2"/>
      <c r="L418" s="2"/>
    </row>
    <row r="419" spans="2:12">
      <c r="B419" s="2"/>
      <c r="C419" s="2" t="s">
        <v>4883</v>
      </c>
      <c r="D419" s="2"/>
      <c r="E419" s="2"/>
      <c r="F419" s="2"/>
      <c r="G419" s="2"/>
      <c r="H419" s="2"/>
      <c r="I419" s="2"/>
      <c r="J419" s="2"/>
      <c r="K419" s="2"/>
      <c r="L419" s="2"/>
    </row>
    <row r="420" spans="2:12">
      <c r="B420" s="2"/>
      <c r="C420" s="2"/>
      <c r="D420" s="2" t="s">
        <v>4884</v>
      </c>
      <c r="E420" s="2"/>
      <c r="F420" s="2"/>
      <c r="G420" s="2"/>
      <c r="H420" s="2"/>
      <c r="I420" s="2"/>
      <c r="J420" s="2"/>
      <c r="K420" s="2"/>
      <c r="L420" s="2"/>
    </row>
    <row r="421" spans="2:12">
      <c r="B421" s="2"/>
      <c r="C421" s="2"/>
      <c r="D421" s="2" t="s">
        <v>4885</v>
      </c>
      <c r="E421" s="2"/>
      <c r="F421" s="2"/>
      <c r="G421" s="2"/>
      <c r="H421" s="2"/>
      <c r="I421" s="2"/>
      <c r="J421" s="2"/>
      <c r="K421" s="2"/>
      <c r="L421" s="2"/>
    </row>
    <row r="422" spans="2:12">
      <c r="B422" s="2"/>
      <c r="C422" s="2"/>
      <c r="D422" s="2" t="s">
        <v>4886</v>
      </c>
      <c r="E422" s="2"/>
      <c r="F422" s="2"/>
      <c r="G422" s="2"/>
      <c r="H422" s="2"/>
      <c r="I422" s="2"/>
      <c r="J422" s="2"/>
      <c r="K422" s="2"/>
      <c r="L422" s="2"/>
    </row>
    <row r="423" spans="2:12">
      <c r="B423" s="2"/>
      <c r="C423" s="2"/>
      <c r="D423" s="2" t="s">
        <v>4887</v>
      </c>
      <c r="E423" s="2"/>
      <c r="F423" s="2"/>
      <c r="G423" s="2"/>
      <c r="H423" s="2"/>
      <c r="I423" s="2"/>
      <c r="J423" s="2"/>
      <c r="K423" s="2"/>
      <c r="L423" s="2"/>
    </row>
    <row r="424" spans="2:12">
      <c r="B424" s="2"/>
      <c r="C424" s="2" t="s">
        <v>4888</v>
      </c>
      <c r="D424" s="2"/>
      <c r="E424" s="2"/>
      <c r="F424" s="2"/>
      <c r="G424" s="2"/>
      <c r="H424" s="2"/>
      <c r="I424" s="2"/>
      <c r="J424" s="2"/>
      <c r="K424" s="2"/>
      <c r="L424" s="2"/>
    </row>
    <row r="425" spans="2:12">
      <c r="B425" s="2"/>
      <c r="C425" s="2"/>
      <c r="D425" s="2" t="s">
        <v>4889</v>
      </c>
      <c r="E425" s="2"/>
      <c r="F425" s="2"/>
      <c r="G425" s="2"/>
      <c r="H425" s="2"/>
      <c r="I425" s="2"/>
      <c r="J425" s="2"/>
      <c r="K425" s="2"/>
      <c r="L425" s="2"/>
    </row>
    <row r="426" spans="2:12">
      <c r="B426" s="2"/>
      <c r="C426" s="2"/>
      <c r="D426" s="2" t="s">
        <v>4890</v>
      </c>
      <c r="E426" s="2"/>
      <c r="F426" s="2"/>
      <c r="G426" s="2"/>
      <c r="H426" s="2"/>
      <c r="I426" s="2"/>
      <c r="J426" s="2"/>
      <c r="K426" s="2"/>
      <c r="L426" s="2"/>
    </row>
    <row r="427" spans="2:12">
      <c r="B427" s="2"/>
      <c r="C427" s="2"/>
      <c r="D427" s="2" t="s">
        <v>4891</v>
      </c>
      <c r="E427" s="2"/>
      <c r="F427" s="2"/>
      <c r="G427" s="2"/>
      <c r="H427" s="2"/>
      <c r="I427" s="2"/>
      <c r="J427" s="2"/>
      <c r="K427" s="2"/>
      <c r="L427" s="2"/>
    </row>
    <row r="428" spans="2:12">
      <c r="B428" s="2"/>
      <c r="C428" s="2" t="s">
        <v>4892</v>
      </c>
      <c r="D428" s="2"/>
      <c r="E428" s="2"/>
      <c r="F428" s="2"/>
      <c r="G428" s="2"/>
      <c r="H428" s="2"/>
      <c r="I428" s="2"/>
      <c r="J428" s="2"/>
      <c r="K428" s="2"/>
      <c r="L428" s="2"/>
    </row>
    <row r="429" spans="2:12">
      <c r="B429" s="2"/>
      <c r="C429" s="2"/>
      <c r="D429" s="2" t="s">
        <v>4631</v>
      </c>
      <c r="E429" s="2"/>
      <c r="F429" s="2"/>
      <c r="G429" s="2"/>
      <c r="H429" s="2"/>
      <c r="I429" s="2"/>
      <c r="J429" s="2"/>
      <c r="K429" s="2"/>
      <c r="L429" s="2"/>
    </row>
    <row r="430" spans="2:12">
      <c r="B430" s="2"/>
      <c r="C430" s="2"/>
      <c r="D430" s="2" t="s">
        <v>4893</v>
      </c>
      <c r="E430" s="2"/>
      <c r="F430" s="2"/>
      <c r="G430" s="2"/>
      <c r="H430" s="2"/>
      <c r="I430" s="2"/>
      <c r="J430" s="2"/>
      <c r="K430" s="2"/>
      <c r="L430" s="2"/>
    </row>
    <row r="431" spans="2:12">
      <c r="B431" s="2"/>
      <c r="C431" s="2"/>
      <c r="D431" s="2" t="s">
        <v>4894</v>
      </c>
      <c r="E431" s="2"/>
      <c r="F431" s="2"/>
      <c r="G431" s="2"/>
      <c r="H431" s="2"/>
      <c r="I431" s="2"/>
      <c r="J431" s="2"/>
      <c r="K431" s="2"/>
      <c r="L431" s="2"/>
    </row>
    <row r="432" spans="2:12">
      <c r="B432" s="2"/>
      <c r="C432" s="2"/>
      <c r="D432" s="2" t="s">
        <v>4895</v>
      </c>
      <c r="E432" s="2"/>
      <c r="F432" s="2"/>
      <c r="G432" s="2"/>
      <c r="H432" s="2"/>
      <c r="I432" s="2"/>
      <c r="J432" s="2"/>
      <c r="K432" s="2"/>
      <c r="L432" s="2"/>
    </row>
    <row r="433" spans="2:4">
      <c r="B433" t="s">
        <v>4896</v>
      </c>
    </row>
    <row r="434" spans="2:4">
      <c r="C434" t="s">
        <v>4897</v>
      </c>
    </row>
    <row r="435" spans="2:4">
      <c r="D435" t="s">
        <v>4898</v>
      </c>
    </row>
    <row r="436" spans="2:4">
      <c r="D436" t="s">
        <v>4899</v>
      </c>
    </row>
    <row r="437" spans="2:4">
      <c r="C437" t="s">
        <v>4900</v>
      </c>
    </row>
    <row r="438" spans="2:4">
      <c r="D438" t="s">
        <v>4901</v>
      </c>
    </row>
    <row r="439" spans="2:4">
      <c r="D439" t="s">
        <v>4902</v>
      </c>
    </row>
    <row r="440" spans="2:4">
      <c r="C440" t="s">
        <v>4903</v>
      </c>
    </row>
    <row r="441" spans="2:4">
      <c r="D441" t="s">
        <v>4904</v>
      </c>
    </row>
    <row r="442" spans="2:4">
      <c r="D442" t="s">
        <v>4905</v>
      </c>
    </row>
  </sheetData>
  <pageMargins left="0.75" right="0.75" top="1" bottom="1" header="0.5" footer="0.5"/>
  <pageSetup paperSize="9" orientation="portrait"/>
  <headerFooter/>
</worksheet>
</file>

<file path=xl/worksheets/sheet2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O117"/>
  <sheetViews>
    <sheetView workbookViewId="0">
      <selection activeCell="D16" sqref="D16"/>
    </sheetView>
  </sheetViews>
  <sheetFormatPr defaultColWidth="8.88888888888889" defaultRowHeight="14.4"/>
  <cols>
    <col min="1" max="1" width="9.66666666666667"/>
  </cols>
  <sheetData>
    <row r="1" spans="1:15">
      <c r="A1" s="1">
        <f>SUM(B1:AZ1)</f>
        <v>30.6</v>
      </c>
      <c r="B1" s="1">
        <f t="shared" ref="B1:H1" si="0">COUNTA(B2:B2220)/COLUMN()</f>
        <v>4</v>
      </c>
      <c r="C1" s="1">
        <f t="shared" si="0"/>
        <v>7.33333333333333</v>
      </c>
      <c r="D1" s="1">
        <f t="shared" si="0"/>
        <v>11</v>
      </c>
      <c r="E1" s="1">
        <f t="shared" si="0"/>
        <v>7.6</v>
      </c>
      <c r="F1" s="1">
        <f t="shared" si="0"/>
        <v>0.666666666666667</v>
      </c>
      <c r="G1" s="1">
        <f t="shared" si="0"/>
        <v>0</v>
      </c>
      <c r="H1" s="1">
        <f t="shared" si="0"/>
        <v>0</v>
      </c>
    </row>
    <row r="2" spans="1:15">
      <c r="A2" t="str" cm="1">
        <f ca="1" t="array" ref="A2">_wpsfn.SHEETSNAME(A1)</f>
        <v>20251203</v>
      </c>
      <c r="B2" s="2" t="s">
        <v>4906</v>
      </c>
      <c r="C2" s="2"/>
      <c r="D2" s="2"/>
      <c r="E2" s="2"/>
      <c r="F2" s="2"/>
      <c r="G2" s="2"/>
      <c r="H2" s="2"/>
      <c r="I2" s="2"/>
      <c r="J2" s="2"/>
      <c r="K2" s="2"/>
      <c r="L2" s="2"/>
      <c r="M2" s="2"/>
      <c r="N2" s="2"/>
      <c r="O2" s="2"/>
    </row>
    <row r="3" spans="1:15">
      <c r="B3" s="2" t="s">
        <v>4907</v>
      </c>
      <c r="C3" s="2"/>
      <c r="D3" s="2"/>
      <c r="E3" s="2"/>
      <c r="F3" s="2"/>
      <c r="G3" s="2"/>
      <c r="H3" s="2"/>
      <c r="I3" s="2"/>
      <c r="J3" s="2"/>
      <c r="K3" s="2"/>
      <c r="L3" s="2"/>
      <c r="M3" s="2"/>
      <c r="N3" s="2"/>
      <c r="O3" s="2"/>
    </row>
    <row r="4" spans="1:15">
      <c r="B4" s="2"/>
      <c r="C4" s="2" t="s">
        <v>4908</v>
      </c>
      <c r="D4" s="2"/>
      <c r="E4" s="2"/>
      <c r="F4" s="2"/>
      <c r="G4" s="2"/>
      <c r="H4" s="2"/>
      <c r="I4" s="2"/>
      <c r="J4" s="2"/>
      <c r="K4" s="2"/>
      <c r="L4" s="2"/>
      <c r="M4" s="2"/>
      <c r="N4" s="2"/>
      <c r="O4" s="2"/>
    </row>
    <row r="5" spans="1:15">
      <c r="B5" s="2"/>
      <c r="C5" s="2" t="s">
        <v>4909</v>
      </c>
      <c r="D5" s="2"/>
      <c r="E5" s="2"/>
      <c r="F5" s="2"/>
      <c r="G5" s="2"/>
      <c r="H5" s="2"/>
      <c r="I5" s="2"/>
      <c r="J5" s="2"/>
      <c r="K5" s="2"/>
      <c r="L5" s="2"/>
      <c r="M5" s="2"/>
      <c r="N5" s="2"/>
      <c r="O5" s="2"/>
    </row>
    <row r="6" spans="1:15">
      <c r="B6" s="2" t="s">
        <v>4910</v>
      </c>
      <c r="C6" s="2"/>
      <c r="D6" s="2"/>
      <c r="E6" s="2"/>
      <c r="F6" s="2"/>
      <c r="G6" s="2"/>
      <c r="H6" s="2"/>
      <c r="I6" s="2"/>
      <c r="J6" s="2"/>
      <c r="K6" s="2"/>
      <c r="L6" s="2"/>
      <c r="M6" s="2"/>
      <c r="N6" s="2"/>
      <c r="O6" s="2"/>
    </row>
    <row r="7" spans="1:15">
      <c r="B7" s="2"/>
      <c r="C7" s="2" t="s">
        <v>4911</v>
      </c>
      <c r="D7" s="2"/>
      <c r="E7" s="2"/>
      <c r="F7" s="2"/>
      <c r="G7" s="2"/>
      <c r="H7" s="2"/>
      <c r="I7" s="2"/>
      <c r="J7" s="2"/>
      <c r="K7" s="2"/>
      <c r="L7" s="2"/>
      <c r="M7" s="2"/>
      <c r="N7" s="2"/>
      <c r="O7" s="2"/>
    </row>
    <row r="8" spans="1:15">
      <c r="B8" s="2"/>
      <c r="C8" s="2"/>
      <c r="D8" s="2" t="s">
        <v>4912</v>
      </c>
      <c r="E8" s="2"/>
      <c r="F8" s="2"/>
      <c r="G8" s="2"/>
      <c r="H8" s="2"/>
      <c r="I8" s="2"/>
      <c r="J8" s="2"/>
      <c r="K8" s="2"/>
      <c r="L8" s="2"/>
      <c r="M8" s="2"/>
      <c r="N8" s="2"/>
      <c r="O8" s="2"/>
    </row>
    <row r="9" spans="1:15">
      <c r="B9" s="2"/>
      <c r="C9" s="2"/>
      <c r="D9" s="2" t="s">
        <v>4913</v>
      </c>
      <c r="E9" s="2"/>
      <c r="F9" s="2"/>
      <c r="G9" s="2"/>
      <c r="H9" s="2"/>
      <c r="I9" s="2"/>
      <c r="J9" s="2"/>
      <c r="K9" s="2"/>
      <c r="L9" s="2"/>
      <c r="M9" s="2"/>
      <c r="N9" s="2"/>
      <c r="O9" s="2"/>
    </row>
    <row r="10" spans="1:15">
      <c r="B10" s="2"/>
      <c r="C10" s="2" t="s">
        <v>4914</v>
      </c>
      <c r="D10" s="2"/>
      <c r="E10" s="2"/>
      <c r="F10" s="2"/>
      <c r="G10" s="2"/>
      <c r="H10" s="2"/>
      <c r="I10" s="2"/>
      <c r="J10" s="2"/>
      <c r="K10" s="2"/>
      <c r="L10" s="2"/>
      <c r="M10" s="2"/>
      <c r="N10" s="2"/>
      <c r="O10" s="2"/>
    </row>
    <row r="11" spans="1:15">
      <c r="B11" s="2"/>
      <c r="C11" s="2"/>
      <c r="D11" s="2" t="s">
        <v>4915</v>
      </c>
      <c r="E11" s="2"/>
      <c r="F11" s="2"/>
      <c r="G11" s="2"/>
      <c r="H11" s="2"/>
      <c r="I11" s="2"/>
      <c r="J11" s="2"/>
      <c r="K11" s="2"/>
      <c r="L11" s="2"/>
      <c r="M11" s="2"/>
      <c r="N11" s="2"/>
      <c r="O11" s="2"/>
    </row>
    <row r="12" spans="1:15">
      <c r="B12" s="2"/>
      <c r="C12" s="2"/>
      <c r="D12" s="2" t="s">
        <v>4916</v>
      </c>
      <c r="E12" s="2"/>
      <c r="F12" s="2"/>
      <c r="G12" s="2"/>
      <c r="H12" s="2"/>
      <c r="I12" s="2"/>
      <c r="J12" s="2"/>
      <c r="K12" s="2"/>
      <c r="L12" s="2"/>
      <c r="M12" s="2"/>
      <c r="N12" s="2"/>
      <c r="O12" s="2"/>
    </row>
    <row r="13" spans="1:15">
      <c r="B13" s="2" t="s">
        <v>4917</v>
      </c>
      <c r="C13" s="2"/>
      <c r="D13" s="2"/>
      <c r="E13" s="2"/>
      <c r="F13" s="2"/>
      <c r="G13" s="2"/>
      <c r="H13" s="2"/>
      <c r="I13" s="2"/>
      <c r="J13" s="2"/>
      <c r="K13" s="2"/>
      <c r="L13" s="2"/>
      <c r="M13" s="2"/>
      <c r="N13" s="2"/>
      <c r="O13" s="2"/>
    </row>
    <row r="14" spans="1:15">
      <c r="B14" s="2"/>
      <c r="C14" s="2" t="s">
        <v>4918</v>
      </c>
      <c r="D14" s="2"/>
      <c r="E14" s="2"/>
      <c r="F14" s="2"/>
      <c r="G14" s="2"/>
      <c r="H14" s="2"/>
      <c r="I14" s="2"/>
      <c r="J14" s="2"/>
      <c r="K14" s="2"/>
      <c r="L14" s="2"/>
      <c r="M14" s="2"/>
      <c r="N14" s="2"/>
      <c r="O14" s="2"/>
    </row>
    <row r="15" spans="1:15">
      <c r="B15" s="2"/>
      <c r="C15" s="2"/>
      <c r="D15" s="2" t="s">
        <v>4919</v>
      </c>
      <c r="E15" s="2"/>
      <c r="F15" s="2"/>
      <c r="G15" s="2"/>
      <c r="H15" s="2"/>
      <c r="I15" s="2"/>
      <c r="J15" s="2"/>
      <c r="K15" s="2"/>
      <c r="L15" s="2"/>
      <c r="M15" s="2"/>
      <c r="N15" s="2"/>
      <c r="O15" s="2"/>
    </row>
    <row r="16" spans="1:15">
      <c r="B16" s="2"/>
      <c r="C16" s="2"/>
      <c r="D16" s="2" t="s">
        <v>4920</v>
      </c>
      <c r="E16" s="2"/>
      <c r="F16" s="2"/>
      <c r="G16" s="2"/>
      <c r="H16" s="2"/>
      <c r="I16" s="2"/>
      <c r="J16" s="2"/>
      <c r="K16" s="2"/>
      <c r="L16" s="2"/>
      <c r="M16" s="2"/>
      <c r="N16" s="2"/>
      <c r="O16" s="2"/>
    </row>
    <row r="17" spans="2:15">
      <c r="B17" s="2"/>
      <c r="C17" s="2" t="s">
        <v>4921</v>
      </c>
      <c r="D17" s="2"/>
      <c r="E17" s="2"/>
      <c r="F17" s="2"/>
      <c r="G17" s="2"/>
      <c r="H17" s="2"/>
      <c r="I17" s="2"/>
      <c r="J17" s="2"/>
      <c r="K17" s="2"/>
      <c r="L17" s="2"/>
      <c r="M17" s="2"/>
      <c r="N17" s="2"/>
      <c r="O17" s="2"/>
    </row>
    <row r="18" spans="2:15">
      <c r="B18" s="2"/>
      <c r="C18" s="2"/>
      <c r="D18" s="2" t="s">
        <v>4922</v>
      </c>
      <c r="E18" s="2"/>
      <c r="F18" s="2"/>
      <c r="G18" s="2"/>
      <c r="H18" s="2"/>
      <c r="I18" s="2"/>
      <c r="J18" s="2"/>
      <c r="K18" s="2"/>
      <c r="L18" s="2"/>
      <c r="M18" s="2"/>
      <c r="N18" s="2"/>
      <c r="O18" s="2"/>
    </row>
    <row r="19" spans="2:15">
      <c r="B19" s="2"/>
      <c r="C19" s="2"/>
      <c r="D19" s="2" t="s">
        <v>4923</v>
      </c>
      <c r="E19" s="2"/>
      <c r="F19" s="2"/>
      <c r="G19" s="2"/>
      <c r="H19" s="2"/>
      <c r="I19" s="2"/>
      <c r="J19" s="2"/>
      <c r="K19" s="2"/>
      <c r="L19" s="2"/>
      <c r="M19" s="2"/>
      <c r="N19" s="2"/>
      <c r="O19" s="2"/>
    </row>
    <row r="20" spans="2:15">
      <c r="B20" s="2"/>
      <c r="C20" s="2"/>
      <c r="D20" s="2"/>
      <c r="E20" s="2" t="s">
        <v>4924</v>
      </c>
      <c r="F20" s="2"/>
      <c r="G20" s="2"/>
      <c r="H20" s="2"/>
      <c r="I20" s="2"/>
      <c r="J20" s="2"/>
      <c r="K20" s="2"/>
      <c r="L20" s="2"/>
      <c r="M20" s="2"/>
      <c r="N20" s="2"/>
      <c r="O20" s="2"/>
    </row>
    <row r="21" spans="2:15">
      <c r="B21" s="2"/>
      <c r="C21" s="2"/>
      <c r="D21" s="2"/>
      <c r="E21" s="2"/>
      <c r="F21" s="2" t="s">
        <v>4925</v>
      </c>
      <c r="G21" s="2"/>
      <c r="H21" s="2"/>
      <c r="I21" s="2"/>
      <c r="J21" s="2"/>
      <c r="K21" s="2"/>
      <c r="L21" s="2"/>
      <c r="M21" s="2"/>
      <c r="N21" s="2"/>
      <c r="O21" s="2"/>
    </row>
    <row r="22" spans="2:15">
      <c r="B22" s="2"/>
      <c r="C22" s="2"/>
      <c r="D22" s="2"/>
      <c r="E22" s="2"/>
      <c r="F22" s="2" t="s">
        <v>4926</v>
      </c>
      <c r="G22" s="2"/>
      <c r="H22" s="2"/>
      <c r="I22" s="2"/>
      <c r="J22" s="2"/>
      <c r="K22" s="2"/>
      <c r="L22" s="2"/>
      <c r="M22" s="2"/>
      <c r="N22" s="2"/>
      <c r="O22" s="2"/>
    </row>
    <row r="23" spans="2:15">
      <c r="B23" s="2"/>
      <c r="C23" s="2"/>
      <c r="D23" s="2"/>
      <c r="E23" s="2" t="s">
        <v>4927</v>
      </c>
      <c r="F23" s="2"/>
      <c r="G23" s="2"/>
      <c r="H23" s="2"/>
      <c r="I23" s="2"/>
      <c r="J23" s="2"/>
      <c r="K23" s="2"/>
      <c r="L23" s="2"/>
      <c r="M23" s="2"/>
      <c r="N23" s="2"/>
      <c r="O23" s="2"/>
    </row>
    <row r="24" spans="2:15">
      <c r="B24" s="2"/>
      <c r="C24" s="2"/>
      <c r="D24" s="2"/>
      <c r="E24" s="2"/>
      <c r="F24" s="2" t="s">
        <v>4928</v>
      </c>
      <c r="G24" s="2"/>
      <c r="H24" s="2"/>
      <c r="I24" s="2"/>
      <c r="J24" s="2"/>
      <c r="K24" s="2"/>
      <c r="L24" s="2"/>
      <c r="M24" s="2"/>
      <c r="N24" s="2"/>
      <c r="O24" s="2"/>
    </row>
    <row r="25" spans="2:15">
      <c r="B25" s="2"/>
      <c r="C25" s="2"/>
      <c r="D25" s="2"/>
      <c r="E25" s="2"/>
      <c r="F25" s="2" t="s">
        <v>4929</v>
      </c>
      <c r="G25" s="2"/>
      <c r="H25" s="2"/>
      <c r="I25" s="2"/>
      <c r="J25" s="2"/>
      <c r="K25" s="2"/>
      <c r="L25" s="2"/>
      <c r="M25" s="2"/>
      <c r="N25" s="2"/>
      <c r="O25" s="2"/>
    </row>
    <row r="26" spans="2:15">
      <c r="B26" s="2"/>
      <c r="C26" s="2" t="s">
        <v>4930</v>
      </c>
      <c r="D26" s="2"/>
      <c r="E26" s="2"/>
      <c r="F26" s="2"/>
      <c r="G26" s="2"/>
      <c r="H26" s="2"/>
      <c r="I26" s="2"/>
      <c r="J26" s="2"/>
      <c r="K26" s="2"/>
      <c r="L26" s="2"/>
      <c r="M26" s="2"/>
      <c r="N26" s="2"/>
      <c r="O26" s="2"/>
    </row>
    <row r="27" spans="2:15">
      <c r="B27" s="2"/>
      <c r="C27" s="2"/>
      <c r="D27" s="2" t="s">
        <v>4931</v>
      </c>
      <c r="E27" s="2"/>
      <c r="F27" s="2"/>
      <c r="G27" s="2"/>
      <c r="H27" s="2"/>
      <c r="I27" s="2"/>
      <c r="J27" s="2"/>
      <c r="K27" s="2"/>
      <c r="L27" s="2"/>
      <c r="M27" s="2"/>
      <c r="N27" s="2"/>
      <c r="O27" s="2"/>
    </row>
    <row r="28" spans="2:15">
      <c r="B28" s="2"/>
      <c r="C28" s="2"/>
      <c r="D28" s="2" t="s">
        <v>4932</v>
      </c>
      <c r="E28" s="2"/>
      <c r="F28" s="2"/>
      <c r="G28" s="2"/>
      <c r="H28" s="2"/>
      <c r="I28" s="2"/>
      <c r="J28" s="2"/>
      <c r="K28" s="2"/>
      <c r="L28" s="2"/>
      <c r="M28" s="2"/>
      <c r="N28" s="2"/>
      <c r="O28" s="2"/>
    </row>
    <row r="29" spans="2:15">
      <c r="B29" s="2" t="s">
        <v>4933</v>
      </c>
      <c r="C29" s="2"/>
      <c r="D29" s="2"/>
      <c r="E29" s="2"/>
      <c r="F29" s="2"/>
      <c r="G29" s="2"/>
      <c r="H29" s="2"/>
      <c r="I29" s="2"/>
      <c r="J29" s="2"/>
    </row>
    <row r="30" spans="2:15">
      <c r="B30" s="2"/>
      <c r="C30" s="2" t="s">
        <v>4934</v>
      </c>
      <c r="D30" s="2"/>
      <c r="E30" s="2"/>
      <c r="F30" s="2"/>
      <c r="G30" s="2"/>
      <c r="H30" s="2"/>
      <c r="I30" s="2"/>
      <c r="J30" s="2"/>
    </row>
    <row r="31" spans="2:15">
      <c r="B31" s="2"/>
      <c r="C31" s="2"/>
      <c r="D31" s="2" t="s">
        <v>4935</v>
      </c>
      <c r="E31" s="2"/>
      <c r="F31" s="2"/>
      <c r="G31" s="2"/>
      <c r="H31" s="2"/>
      <c r="I31" s="2"/>
      <c r="J31" s="2"/>
    </row>
    <row r="32" spans="2:15">
      <c r="B32" s="2"/>
      <c r="C32" s="2"/>
      <c r="D32" s="2" t="s">
        <v>4936</v>
      </c>
      <c r="E32" s="2"/>
      <c r="F32" s="2"/>
      <c r="G32" s="2"/>
      <c r="H32" s="2"/>
      <c r="I32" s="2"/>
      <c r="J32" s="2"/>
    </row>
    <row r="33" spans="2:10">
      <c r="B33" s="2"/>
      <c r="C33" s="2" t="s">
        <v>4937</v>
      </c>
      <c r="D33" s="2"/>
      <c r="E33" s="2"/>
      <c r="F33" s="2"/>
      <c r="G33" s="2"/>
      <c r="H33" s="2"/>
      <c r="I33" s="2"/>
      <c r="J33" s="2"/>
    </row>
    <row r="34" spans="2:10">
      <c r="B34" s="2"/>
      <c r="C34" s="2"/>
      <c r="D34" s="2" t="s">
        <v>4938</v>
      </c>
      <c r="E34" s="2"/>
      <c r="F34" s="2"/>
      <c r="G34" s="2"/>
      <c r="H34" s="2"/>
      <c r="I34" s="2"/>
      <c r="J34" s="2"/>
    </row>
    <row r="35" spans="2:10">
      <c r="B35" s="2"/>
      <c r="C35" s="2"/>
      <c r="D35" s="2" t="s">
        <v>4939</v>
      </c>
      <c r="E35" s="2"/>
      <c r="F35" s="2"/>
      <c r="G35" s="2"/>
      <c r="H35" s="2"/>
      <c r="I35" s="2"/>
      <c r="J35" s="2"/>
    </row>
    <row r="36" spans="2:10">
      <c r="B36" s="2"/>
      <c r="C36" s="2" t="s">
        <v>4940</v>
      </c>
      <c r="D36" s="2"/>
      <c r="E36" s="2"/>
      <c r="F36" s="2"/>
      <c r="G36" s="2"/>
      <c r="H36" s="2"/>
      <c r="I36" s="2"/>
      <c r="J36" s="2"/>
    </row>
    <row r="37" spans="2:10">
      <c r="B37" s="2"/>
      <c r="C37" s="2"/>
      <c r="D37" s="2" t="s">
        <v>4941</v>
      </c>
      <c r="E37" s="2"/>
      <c r="F37" s="2"/>
      <c r="G37" s="2"/>
      <c r="H37" s="2"/>
      <c r="I37" s="2"/>
      <c r="J37" s="2"/>
    </row>
    <row r="38" spans="2:10">
      <c r="B38" s="2"/>
      <c r="C38" s="2"/>
      <c r="D38" s="2" t="s">
        <v>4942</v>
      </c>
      <c r="E38" s="2"/>
      <c r="F38" s="2"/>
      <c r="G38" s="2"/>
      <c r="H38" s="2"/>
      <c r="I38" s="2"/>
      <c r="J38" s="2"/>
    </row>
    <row r="39" spans="2:10">
      <c r="B39" s="2" t="s">
        <v>4943</v>
      </c>
      <c r="C39" s="2"/>
      <c r="D39" s="2"/>
      <c r="E39" s="2"/>
      <c r="F39" s="2"/>
      <c r="G39" s="2"/>
      <c r="H39" s="2"/>
      <c r="I39" s="2"/>
      <c r="J39" s="2"/>
    </row>
    <row r="40" spans="2:10">
      <c r="B40" s="2"/>
      <c r="C40" s="2" t="s">
        <v>4944</v>
      </c>
      <c r="D40" s="2"/>
      <c r="E40" s="2"/>
      <c r="F40" s="2"/>
      <c r="G40" s="2"/>
      <c r="H40" s="2"/>
      <c r="I40" s="2"/>
      <c r="J40" s="2"/>
    </row>
    <row r="41" spans="2:10">
      <c r="B41" s="2"/>
      <c r="C41" s="2"/>
      <c r="D41" s="2" t="s">
        <v>4945</v>
      </c>
      <c r="E41" s="2"/>
      <c r="F41" s="2"/>
      <c r="G41" s="2"/>
      <c r="H41" s="2"/>
      <c r="I41" s="2"/>
      <c r="J41" s="2"/>
    </row>
    <row r="42" spans="2:10">
      <c r="B42" s="2"/>
      <c r="C42" s="2"/>
      <c r="D42" s="2" t="s">
        <v>4946</v>
      </c>
      <c r="E42" s="2"/>
      <c r="F42" s="2"/>
      <c r="G42" s="2"/>
      <c r="H42" s="2"/>
      <c r="I42" s="2"/>
      <c r="J42" s="2"/>
    </row>
    <row r="43" spans="2:10">
      <c r="B43" s="2"/>
      <c r="C43" s="2" t="s">
        <v>4947</v>
      </c>
      <c r="D43" s="2"/>
      <c r="E43" s="2"/>
      <c r="F43" s="2"/>
      <c r="G43" s="2"/>
      <c r="H43" s="2"/>
      <c r="I43" s="2"/>
      <c r="J43" s="2"/>
    </row>
    <row r="44" spans="2:10">
      <c r="B44" s="2"/>
      <c r="C44" s="2"/>
      <c r="D44" s="2" t="s">
        <v>4948</v>
      </c>
      <c r="E44" s="2"/>
      <c r="F44" s="2"/>
      <c r="G44" s="2"/>
      <c r="H44" s="2"/>
      <c r="I44" s="2"/>
      <c r="J44" s="2"/>
    </row>
    <row r="45" spans="2:10">
      <c r="B45" s="2"/>
      <c r="C45" s="2"/>
      <c r="D45" s="2" t="s">
        <v>4949</v>
      </c>
      <c r="E45" s="2"/>
      <c r="F45" s="2"/>
      <c r="G45" s="2"/>
      <c r="H45" s="2"/>
      <c r="I45" s="2"/>
      <c r="J45" s="2"/>
    </row>
    <row r="46" spans="2:10">
      <c r="B46" s="2"/>
      <c r="C46" s="2" t="s">
        <v>4950</v>
      </c>
      <c r="D46" s="2"/>
      <c r="E46" s="2"/>
      <c r="F46" s="2"/>
      <c r="G46" s="2"/>
      <c r="H46" s="2"/>
      <c r="I46" s="2"/>
      <c r="J46" s="2"/>
    </row>
    <row r="47" spans="2:10">
      <c r="B47" s="2"/>
      <c r="C47" s="2"/>
      <c r="D47" s="2" t="s">
        <v>4951</v>
      </c>
      <c r="E47" s="2"/>
      <c r="F47" s="2"/>
      <c r="G47" s="2"/>
      <c r="H47" s="2"/>
      <c r="I47" s="2"/>
      <c r="J47" s="2"/>
    </row>
    <row r="48" spans="2:10">
      <c r="B48" s="2"/>
      <c r="C48" s="2"/>
      <c r="D48" s="2" t="s">
        <v>4952</v>
      </c>
      <c r="E48" s="2"/>
      <c r="F48" s="2"/>
      <c r="G48" s="2"/>
      <c r="H48" s="2"/>
      <c r="I48" s="2"/>
      <c r="J48" s="2"/>
    </row>
    <row r="49" spans="2:10">
      <c r="B49" s="2"/>
      <c r="C49" s="2" t="s">
        <v>4953</v>
      </c>
      <c r="D49" s="2"/>
      <c r="E49" s="2"/>
      <c r="F49" s="2"/>
      <c r="G49" s="2"/>
      <c r="H49" s="2"/>
      <c r="I49" s="2"/>
      <c r="J49" s="2"/>
    </row>
    <row r="50" spans="2:10">
      <c r="B50" s="2"/>
      <c r="C50" s="2"/>
      <c r="D50" s="2" t="s">
        <v>4954</v>
      </c>
      <c r="E50" s="2"/>
      <c r="F50" s="2"/>
      <c r="G50" s="2"/>
      <c r="H50" s="2"/>
      <c r="I50" s="2"/>
      <c r="J50" s="2"/>
    </row>
    <row r="51" spans="2:10">
      <c r="B51" s="2"/>
      <c r="C51" s="2"/>
      <c r="D51" s="2" t="s">
        <v>4955</v>
      </c>
      <c r="E51" s="2"/>
      <c r="F51" s="2"/>
      <c r="G51" s="2"/>
      <c r="H51" s="2"/>
      <c r="I51" s="2"/>
      <c r="J51" s="2"/>
    </row>
    <row r="52" spans="2:10">
      <c r="B52" s="2" t="s">
        <v>4956</v>
      </c>
      <c r="C52" s="2"/>
      <c r="D52" s="2"/>
      <c r="E52" s="2"/>
      <c r="F52" s="2"/>
      <c r="G52" s="2"/>
      <c r="H52" s="2"/>
      <c r="I52" s="2"/>
      <c r="J52" s="2"/>
    </row>
    <row r="53" spans="2:10">
      <c r="B53" s="2"/>
      <c r="C53" s="2" t="s">
        <v>4957</v>
      </c>
      <c r="D53" s="2"/>
      <c r="E53" s="2"/>
      <c r="F53" s="2"/>
      <c r="G53" s="2"/>
      <c r="H53" s="2"/>
      <c r="I53" s="2"/>
      <c r="J53" s="2"/>
    </row>
    <row r="54" spans="2:10">
      <c r="B54" s="2"/>
      <c r="C54" s="2"/>
      <c r="D54" s="2" t="s">
        <v>4958</v>
      </c>
      <c r="E54" s="2"/>
      <c r="F54" s="2"/>
      <c r="G54" s="2"/>
      <c r="H54" s="2"/>
      <c r="I54" s="2"/>
      <c r="J54" s="2"/>
    </row>
    <row r="55" spans="2:10">
      <c r="B55" s="2"/>
      <c r="C55" s="2"/>
      <c r="D55" s="2"/>
      <c r="E55" s="2" t="s">
        <v>4959</v>
      </c>
      <c r="F55" s="2"/>
      <c r="G55" s="2"/>
      <c r="H55" s="2"/>
      <c r="I55" s="2"/>
      <c r="J55" s="2"/>
    </row>
    <row r="56" spans="2:10">
      <c r="B56" s="2"/>
      <c r="C56" s="2"/>
      <c r="D56" s="2"/>
      <c r="E56" s="2" t="s">
        <v>4960</v>
      </c>
      <c r="F56" s="2"/>
      <c r="G56" s="2"/>
      <c r="H56" s="2"/>
      <c r="I56" s="2"/>
      <c r="J56" s="2"/>
    </row>
    <row r="57" spans="2:10">
      <c r="B57" s="2"/>
      <c r="C57" s="2"/>
      <c r="D57" s="2" t="s">
        <v>4961</v>
      </c>
      <c r="E57" s="2"/>
      <c r="F57" s="2"/>
      <c r="G57" s="2"/>
      <c r="H57" s="2"/>
      <c r="I57" s="2"/>
      <c r="J57" s="2"/>
    </row>
    <row r="58" spans="2:10">
      <c r="B58" s="2"/>
      <c r="C58" s="2"/>
      <c r="D58" s="2"/>
      <c r="E58" s="2" t="s">
        <v>4962</v>
      </c>
      <c r="F58" s="2"/>
      <c r="G58" s="2"/>
      <c r="H58" s="2"/>
      <c r="I58" s="2"/>
      <c r="J58" s="2"/>
    </row>
    <row r="59" spans="2:10">
      <c r="B59" s="2"/>
      <c r="C59" s="2"/>
      <c r="D59" s="2" t="s">
        <v>4963</v>
      </c>
      <c r="E59" s="2"/>
      <c r="F59" s="2"/>
      <c r="G59" s="2"/>
      <c r="H59" s="2"/>
      <c r="I59" s="2"/>
      <c r="J59" s="2"/>
    </row>
    <row r="60" spans="2:10">
      <c r="B60" s="2"/>
      <c r="C60" s="2"/>
      <c r="D60" s="2"/>
      <c r="E60" s="2" t="s">
        <v>4964</v>
      </c>
      <c r="F60" s="2"/>
      <c r="G60" s="2"/>
      <c r="H60" s="2"/>
      <c r="I60" s="2"/>
      <c r="J60" s="2"/>
    </row>
    <row r="61" spans="2:10">
      <c r="B61" s="2"/>
      <c r="C61" s="2"/>
      <c r="D61" s="2"/>
      <c r="E61" s="2" t="s">
        <v>4965</v>
      </c>
      <c r="F61" s="2"/>
      <c r="G61" s="2"/>
      <c r="H61" s="2"/>
      <c r="I61" s="2"/>
      <c r="J61" s="2"/>
    </row>
    <row r="62" spans="2:10">
      <c r="B62" s="2"/>
      <c r="C62" s="2" t="s">
        <v>4966</v>
      </c>
      <c r="D62" s="2"/>
      <c r="E62" s="2"/>
      <c r="F62" s="2"/>
      <c r="G62" s="2"/>
      <c r="H62" s="2"/>
      <c r="I62" s="2"/>
      <c r="J62" s="2"/>
    </row>
    <row r="63" spans="2:10">
      <c r="B63" s="2"/>
      <c r="C63" s="2"/>
      <c r="D63" s="2" t="s">
        <v>4967</v>
      </c>
      <c r="E63" s="2"/>
      <c r="F63" s="2"/>
      <c r="G63" s="2"/>
      <c r="H63" s="2"/>
      <c r="I63" s="2"/>
      <c r="J63" s="2"/>
    </row>
    <row r="64" spans="2:10">
      <c r="B64" s="2"/>
      <c r="C64" s="2"/>
      <c r="D64" s="2"/>
      <c r="E64" s="2" t="s">
        <v>4968</v>
      </c>
      <c r="F64" s="2"/>
      <c r="G64" s="2"/>
      <c r="H64" s="2"/>
      <c r="I64" s="2"/>
      <c r="J64" s="2"/>
    </row>
    <row r="65" spans="2:10">
      <c r="B65" s="2"/>
      <c r="C65" s="2"/>
      <c r="D65" s="2"/>
      <c r="E65" s="2" t="s">
        <v>4969</v>
      </c>
      <c r="F65" s="2"/>
      <c r="G65" s="2"/>
      <c r="H65" s="2"/>
      <c r="I65" s="2"/>
      <c r="J65" s="2"/>
    </row>
    <row r="66" spans="2:10">
      <c r="B66" s="2"/>
      <c r="C66" s="2"/>
      <c r="D66" s="2"/>
      <c r="E66" s="2" t="s">
        <v>4970</v>
      </c>
      <c r="F66" s="2"/>
      <c r="G66" s="2"/>
      <c r="H66" s="2"/>
      <c r="I66" s="2"/>
      <c r="J66" s="2"/>
    </row>
    <row r="67" spans="2:10">
      <c r="B67" s="2"/>
      <c r="C67" s="2"/>
      <c r="D67" s="2"/>
      <c r="E67" s="2" t="s">
        <v>4971</v>
      </c>
      <c r="F67" s="2"/>
      <c r="G67" s="2"/>
      <c r="H67" s="2"/>
      <c r="I67" s="2"/>
      <c r="J67" s="2"/>
    </row>
    <row r="68" spans="2:10">
      <c r="B68" s="2"/>
      <c r="C68" s="2"/>
      <c r="D68" s="2" t="s">
        <v>4972</v>
      </c>
      <c r="E68" s="2"/>
      <c r="F68" s="2"/>
      <c r="G68" s="2"/>
      <c r="H68" s="2"/>
      <c r="I68" s="2"/>
      <c r="J68" s="2"/>
    </row>
    <row r="69" spans="2:10">
      <c r="B69" s="2"/>
      <c r="C69" s="2"/>
      <c r="D69" s="2"/>
      <c r="E69" s="2" t="s">
        <v>4973</v>
      </c>
      <c r="F69" s="2"/>
      <c r="G69" s="2"/>
      <c r="H69" s="2"/>
      <c r="I69" s="2"/>
      <c r="J69" s="2"/>
    </row>
    <row r="70" spans="2:10">
      <c r="B70" s="2"/>
      <c r="C70" s="2"/>
      <c r="D70" s="2"/>
      <c r="E70" s="2" t="s">
        <v>4974</v>
      </c>
      <c r="F70" s="2"/>
      <c r="G70" s="2"/>
      <c r="H70" s="2"/>
      <c r="I70" s="2"/>
      <c r="J70" s="2"/>
    </row>
    <row r="71" spans="2:10">
      <c r="B71" s="2"/>
      <c r="C71" s="2"/>
      <c r="D71" s="2" t="s">
        <v>4975</v>
      </c>
      <c r="E71" s="2"/>
      <c r="F71" s="2"/>
      <c r="G71" s="2"/>
      <c r="H71" s="2"/>
      <c r="I71" s="2"/>
      <c r="J71" s="2"/>
    </row>
    <row r="72" spans="2:10">
      <c r="B72" s="2"/>
      <c r="C72" s="2"/>
      <c r="D72" s="2"/>
      <c r="E72" s="2" t="s">
        <v>4976</v>
      </c>
      <c r="F72" s="2"/>
      <c r="G72" s="2"/>
      <c r="H72" s="2"/>
      <c r="I72" s="2"/>
      <c r="J72" s="2"/>
    </row>
    <row r="73" spans="2:10">
      <c r="B73" s="2"/>
      <c r="C73" s="2"/>
      <c r="D73" s="2"/>
      <c r="E73" s="2" t="s">
        <v>4977</v>
      </c>
      <c r="F73" s="2"/>
      <c r="G73" s="2"/>
      <c r="H73" s="2"/>
      <c r="I73" s="2"/>
      <c r="J73" s="2"/>
    </row>
    <row r="74" spans="2:10">
      <c r="B74" s="2"/>
      <c r="C74" s="2"/>
      <c r="D74" s="2" t="s">
        <v>4978</v>
      </c>
      <c r="E74" s="2"/>
      <c r="F74" s="2"/>
      <c r="G74" s="2"/>
      <c r="H74" s="2"/>
      <c r="I74" s="2"/>
      <c r="J74" s="2"/>
    </row>
    <row r="75" spans="2:10">
      <c r="B75" s="2"/>
      <c r="C75" s="2"/>
      <c r="D75" s="2"/>
      <c r="E75" s="2" t="s">
        <v>4979</v>
      </c>
      <c r="F75" s="2"/>
      <c r="G75" s="2"/>
      <c r="H75" s="2"/>
      <c r="I75" s="2"/>
      <c r="J75" s="2"/>
    </row>
    <row r="76" spans="2:10">
      <c r="B76" s="2"/>
      <c r="C76" s="2"/>
      <c r="D76" s="2"/>
      <c r="E76" s="2" t="s">
        <v>4980</v>
      </c>
      <c r="F76" s="2"/>
      <c r="G76" s="2"/>
      <c r="H76" s="2"/>
      <c r="I76" s="2"/>
      <c r="J76" s="2"/>
    </row>
    <row r="77" spans="2:10">
      <c r="B77" s="2"/>
      <c r="C77" s="2" t="s">
        <v>4981</v>
      </c>
      <c r="D77" s="2"/>
      <c r="E77" s="2"/>
      <c r="F77" s="2"/>
      <c r="G77" s="2"/>
      <c r="H77" s="2"/>
      <c r="I77" s="2"/>
      <c r="J77" s="2"/>
    </row>
    <row r="78" spans="2:10">
      <c r="B78" s="2"/>
      <c r="C78" s="2"/>
      <c r="D78" s="2" t="s">
        <v>4982</v>
      </c>
      <c r="E78" s="2"/>
      <c r="F78" s="2"/>
      <c r="G78" s="2"/>
      <c r="H78" s="2"/>
      <c r="I78" s="2"/>
      <c r="J78" s="2"/>
    </row>
    <row r="79" spans="2:10">
      <c r="B79" s="2"/>
      <c r="C79" s="2"/>
      <c r="D79" s="2"/>
      <c r="E79" s="2" t="s">
        <v>4983</v>
      </c>
      <c r="F79" s="2"/>
      <c r="G79" s="2"/>
      <c r="H79" s="2"/>
      <c r="I79" s="2"/>
      <c r="J79" s="2"/>
    </row>
    <row r="80" spans="2:10">
      <c r="B80" s="2"/>
      <c r="C80" s="2"/>
      <c r="D80" s="2"/>
      <c r="E80" s="2" t="s">
        <v>4984</v>
      </c>
      <c r="F80" s="2"/>
      <c r="G80" s="2"/>
      <c r="H80" s="2"/>
      <c r="I80" s="2"/>
      <c r="J80" s="2"/>
    </row>
    <row r="81" spans="2:10">
      <c r="B81" s="2"/>
      <c r="C81" s="2"/>
      <c r="D81" s="2"/>
      <c r="E81" s="2" t="s">
        <v>4985</v>
      </c>
      <c r="F81" s="2"/>
      <c r="G81" s="2"/>
      <c r="H81" s="2"/>
      <c r="I81" s="2"/>
      <c r="J81" s="2"/>
    </row>
    <row r="82" spans="2:10">
      <c r="B82" s="2"/>
      <c r="C82" s="2"/>
      <c r="D82" s="2" t="s">
        <v>4986</v>
      </c>
      <c r="E82" s="2"/>
      <c r="F82" s="2"/>
      <c r="G82" s="2"/>
      <c r="H82" s="2"/>
      <c r="I82" s="2"/>
      <c r="J82" s="2"/>
    </row>
    <row r="83" spans="2:10">
      <c r="B83" s="2"/>
      <c r="C83" s="2"/>
      <c r="D83" s="2"/>
      <c r="E83" s="2" t="s">
        <v>4987</v>
      </c>
      <c r="F83" s="2"/>
      <c r="G83" s="2"/>
      <c r="H83" s="2"/>
      <c r="I83" s="2"/>
      <c r="J83" s="2"/>
    </row>
    <row r="84" spans="2:10">
      <c r="B84" s="2"/>
      <c r="C84" s="2"/>
      <c r="D84" s="2" t="s">
        <v>4988</v>
      </c>
      <c r="E84" s="2"/>
      <c r="F84" s="2"/>
      <c r="G84" s="2"/>
      <c r="H84" s="2"/>
      <c r="I84" s="2"/>
      <c r="J84" s="2"/>
    </row>
    <row r="85" spans="2:10">
      <c r="B85" s="2"/>
      <c r="C85" s="2"/>
      <c r="D85" s="2"/>
      <c r="E85" s="2" t="s">
        <v>4989</v>
      </c>
      <c r="F85" s="2"/>
      <c r="G85" s="2"/>
      <c r="H85" s="2"/>
      <c r="I85" s="2"/>
      <c r="J85" s="2"/>
    </row>
    <row r="86" spans="2:10">
      <c r="B86" s="2" t="s">
        <v>4990</v>
      </c>
      <c r="C86" s="2"/>
      <c r="D86" s="2"/>
      <c r="E86" s="2"/>
      <c r="F86" s="2"/>
      <c r="G86" s="2"/>
      <c r="H86" s="2"/>
      <c r="I86" s="2"/>
      <c r="J86" s="2"/>
    </row>
    <row r="87" spans="2:10">
      <c r="B87" s="2"/>
      <c r="C87" s="2" t="s">
        <v>4991</v>
      </c>
      <c r="D87" s="2"/>
      <c r="E87" s="2"/>
      <c r="F87" s="2"/>
      <c r="G87" s="2"/>
      <c r="H87" s="2"/>
      <c r="I87" s="2"/>
      <c r="J87" s="2"/>
    </row>
    <row r="88" spans="2:10">
      <c r="B88" s="2"/>
      <c r="C88" s="2"/>
      <c r="D88" s="2" t="s">
        <v>4992</v>
      </c>
      <c r="E88" s="2"/>
      <c r="F88" s="2"/>
      <c r="G88" s="2"/>
      <c r="H88" s="2"/>
      <c r="I88" s="2"/>
      <c r="J88" s="2"/>
    </row>
    <row r="89" spans="2:10">
      <c r="B89" s="2"/>
      <c r="C89" s="2"/>
      <c r="D89" s="2"/>
      <c r="E89" s="2" t="s">
        <v>4993</v>
      </c>
      <c r="F89" s="2"/>
      <c r="G89" s="2"/>
      <c r="H89" s="2"/>
      <c r="I89" s="2"/>
      <c r="J89" s="2"/>
    </row>
    <row r="90" spans="2:10">
      <c r="B90" s="2"/>
      <c r="C90" s="2"/>
      <c r="D90" s="2"/>
      <c r="E90" s="2" t="s">
        <v>4994</v>
      </c>
      <c r="F90" s="2"/>
      <c r="G90" s="2"/>
      <c r="H90" s="2"/>
      <c r="I90" s="2"/>
      <c r="J90" s="2"/>
    </row>
    <row r="91" spans="2:10">
      <c r="B91" s="2"/>
      <c r="C91" s="2"/>
      <c r="D91" s="2" t="s">
        <v>4995</v>
      </c>
      <c r="E91" s="2"/>
      <c r="F91" s="2"/>
      <c r="G91" s="2"/>
      <c r="H91" s="2"/>
      <c r="I91" s="2"/>
      <c r="J91" s="2"/>
    </row>
    <row r="92" spans="2:10">
      <c r="B92" s="2"/>
      <c r="C92" s="2"/>
      <c r="D92" s="2"/>
      <c r="E92" s="2" t="s">
        <v>4996</v>
      </c>
      <c r="F92" s="2"/>
      <c r="G92" s="2"/>
      <c r="H92" s="2"/>
      <c r="I92" s="2"/>
      <c r="J92" s="2"/>
    </row>
    <row r="93" spans="2:10">
      <c r="B93" s="2"/>
      <c r="C93" s="2"/>
      <c r="D93" s="2"/>
      <c r="E93" s="2" t="s">
        <v>4997</v>
      </c>
      <c r="F93" s="2"/>
      <c r="G93" s="2"/>
      <c r="H93" s="2"/>
      <c r="I93" s="2"/>
      <c r="J93" s="2"/>
    </row>
    <row r="94" spans="2:10">
      <c r="B94" s="2"/>
      <c r="C94" s="2" t="s">
        <v>4998</v>
      </c>
      <c r="D94" s="2"/>
      <c r="E94" s="2"/>
      <c r="F94" s="2"/>
      <c r="G94" s="2"/>
      <c r="H94" s="2"/>
      <c r="I94" s="2"/>
      <c r="J94" s="2"/>
    </row>
    <row r="95" spans="2:10">
      <c r="B95" s="2"/>
      <c r="C95" s="2"/>
      <c r="D95" s="2" t="s">
        <v>4999</v>
      </c>
      <c r="E95" s="2"/>
      <c r="F95" s="2"/>
      <c r="G95" s="2"/>
      <c r="H95" s="2"/>
      <c r="I95" s="2"/>
      <c r="J95" s="2"/>
    </row>
    <row r="96" spans="2:10">
      <c r="B96" s="2"/>
      <c r="C96" s="2"/>
      <c r="D96" s="2"/>
      <c r="E96" s="2" t="s">
        <v>5000</v>
      </c>
      <c r="F96" s="2"/>
      <c r="G96" s="2"/>
      <c r="H96" s="2"/>
      <c r="I96" s="2"/>
      <c r="J96" s="2"/>
    </row>
    <row r="97" spans="2:10">
      <c r="B97" s="2"/>
      <c r="C97" s="2"/>
      <c r="D97" s="2" t="s">
        <v>5001</v>
      </c>
      <c r="E97" s="2"/>
      <c r="F97" s="2"/>
      <c r="G97" s="2"/>
      <c r="H97" s="2"/>
      <c r="I97" s="2"/>
      <c r="J97" s="2"/>
    </row>
    <row r="98" spans="2:10">
      <c r="B98" s="2"/>
      <c r="C98" s="2"/>
      <c r="D98" s="2"/>
      <c r="E98" s="2" t="s">
        <v>5002</v>
      </c>
      <c r="F98" s="2"/>
      <c r="G98" s="2"/>
      <c r="H98" s="2"/>
      <c r="I98" s="2"/>
      <c r="J98" s="2"/>
    </row>
    <row r="99" spans="2:10">
      <c r="B99" s="2"/>
      <c r="C99" s="2"/>
      <c r="D99" s="2"/>
      <c r="E99" s="2" t="s">
        <v>5003</v>
      </c>
      <c r="F99" s="2"/>
      <c r="G99" s="2"/>
      <c r="H99" s="2"/>
      <c r="I99" s="2"/>
      <c r="J99" s="2"/>
    </row>
    <row r="100" spans="2:10">
      <c r="B100" s="2"/>
      <c r="C100" s="2" t="s">
        <v>5004</v>
      </c>
      <c r="D100" s="2"/>
      <c r="E100" s="2"/>
      <c r="F100" s="2"/>
      <c r="G100" s="2"/>
      <c r="H100" s="2"/>
      <c r="I100" s="2"/>
      <c r="J100" s="2"/>
    </row>
    <row r="101" spans="2:10">
      <c r="B101" s="2"/>
      <c r="C101" s="2"/>
      <c r="D101" s="2" t="s">
        <v>5005</v>
      </c>
      <c r="E101" s="2"/>
      <c r="F101" s="2"/>
      <c r="G101" s="2"/>
      <c r="H101" s="2"/>
      <c r="I101" s="2"/>
      <c r="J101" s="2"/>
    </row>
    <row r="102" spans="2:10">
      <c r="B102" s="2"/>
      <c r="C102" s="2"/>
      <c r="D102" s="2"/>
      <c r="E102" s="2" t="s">
        <v>5006</v>
      </c>
      <c r="F102" s="2"/>
      <c r="G102" s="2"/>
      <c r="H102" s="2"/>
      <c r="I102" s="2"/>
      <c r="J102" s="2"/>
    </row>
    <row r="103" spans="2:10">
      <c r="B103" s="2"/>
      <c r="C103" s="2"/>
      <c r="D103" s="2" t="s">
        <v>5007</v>
      </c>
      <c r="E103" s="2"/>
      <c r="F103" s="2"/>
      <c r="G103" s="2"/>
      <c r="H103" s="2"/>
      <c r="I103" s="2"/>
      <c r="J103" s="2"/>
    </row>
    <row r="104" spans="2:10">
      <c r="B104" s="2"/>
      <c r="C104" s="2"/>
      <c r="D104" s="2"/>
      <c r="E104" s="2" t="s">
        <v>5008</v>
      </c>
      <c r="F104" s="2"/>
      <c r="G104" s="2"/>
      <c r="H104" s="2"/>
      <c r="I104" s="2"/>
      <c r="J104" s="2"/>
    </row>
    <row r="105" spans="2:10">
      <c r="B105" s="2"/>
      <c r="C105" s="2"/>
      <c r="D105" s="2"/>
      <c r="E105" s="2" t="s">
        <v>5009</v>
      </c>
      <c r="F105" s="2"/>
      <c r="G105" s="2"/>
      <c r="H105" s="2"/>
      <c r="I105" s="2"/>
      <c r="J105" s="2"/>
    </row>
    <row r="106" spans="2:10">
      <c r="B106" s="2"/>
      <c r="C106" s="2" t="s">
        <v>5010</v>
      </c>
      <c r="D106" s="2"/>
      <c r="E106" s="2"/>
      <c r="F106" s="2"/>
      <c r="G106" s="2"/>
      <c r="H106" s="2"/>
      <c r="I106" s="2"/>
      <c r="J106" s="2"/>
    </row>
    <row r="107" spans="2:10">
      <c r="B107" s="2"/>
      <c r="C107" s="2"/>
      <c r="D107" s="2" t="s">
        <v>5011</v>
      </c>
      <c r="E107" s="2"/>
      <c r="F107" s="2"/>
      <c r="G107" s="2"/>
      <c r="H107" s="2"/>
      <c r="I107" s="2"/>
      <c r="J107" s="2"/>
    </row>
    <row r="108" spans="2:10">
      <c r="B108" s="2"/>
      <c r="C108" s="2"/>
      <c r="D108" s="2"/>
      <c r="E108" s="2" t="s">
        <v>5012</v>
      </c>
      <c r="F108" s="2"/>
      <c r="G108" s="2"/>
      <c r="H108" s="2"/>
      <c r="I108" s="2"/>
      <c r="J108" s="2"/>
    </row>
    <row r="109" spans="2:10">
      <c r="B109" s="2"/>
      <c r="C109" s="2"/>
      <c r="D109" s="2"/>
      <c r="E109" s="2" t="s">
        <v>5013</v>
      </c>
      <c r="F109" s="2"/>
      <c r="G109" s="2"/>
      <c r="H109" s="2"/>
      <c r="I109" s="2"/>
      <c r="J109" s="2"/>
    </row>
    <row r="110" spans="2:10">
      <c r="B110" s="2"/>
      <c r="C110" s="2"/>
      <c r="D110" s="2" t="s">
        <v>5014</v>
      </c>
      <c r="E110" s="2"/>
      <c r="F110" s="2"/>
      <c r="G110" s="2"/>
      <c r="H110" s="2"/>
      <c r="I110" s="2"/>
      <c r="J110" s="2"/>
    </row>
    <row r="111" spans="2:10">
      <c r="B111" s="2"/>
      <c r="C111" s="2"/>
      <c r="D111" s="2"/>
      <c r="E111" s="2" t="s">
        <v>5015</v>
      </c>
      <c r="F111" s="2"/>
      <c r="G111" s="2"/>
      <c r="H111" s="2"/>
      <c r="I111" s="2"/>
      <c r="J111" s="2"/>
    </row>
    <row r="112" spans="2:10">
      <c r="B112" s="2"/>
      <c r="C112" s="2" t="s">
        <v>5016</v>
      </c>
      <c r="D112" s="2"/>
      <c r="E112" s="2"/>
      <c r="F112" s="2"/>
      <c r="G112" s="2"/>
      <c r="H112" s="2"/>
      <c r="I112" s="2"/>
      <c r="J112" s="2"/>
    </row>
    <row r="113" spans="2:10">
      <c r="B113" s="2"/>
      <c r="C113" s="2"/>
      <c r="D113" s="2" t="s">
        <v>5017</v>
      </c>
      <c r="E113" s="2"/>
      <c r="F113" s="2"/>
      <c r="G113" s="2"/>
      <c r="H113" s="2"/>
      <c r="I113" s="2"/>
      <c r="J113" s="2"/>
    </row>
    <row r="114" spans="2:10">
      <c r="B114" s="2"/>
      <c r="C114" s="2"/>
      <c r="D114" s="2"/>
      <c r="E114" s="2" t="s">
        <v>5018</v>
      </c>
      <c r="F114" s="2"/>
      <c r="G114" s="2"/>
      <c r="H114" s="2"/>
      <c r="I114" s="2"/>
      <c r="J114" s="2"/>
    </row>
    <row r="115" spans="2:10">
      <c r="B115" s="2"/>
      <c r="C115" s="2"/>
      <c r="D115" s="2"/>
      <c r="E115" s="2" t="s">
        <v>5019</v>
      </c>
      <c r="F115" s="2"/>
      <c r="G115" s="2"/>
      <c r="H115" s="2"/>
      <c r="I115" s="2"/>
      <c r="J115" s="2"/>
    </row>
    <row r="116" spans="2:10">
      <c r="B116" s="2"/>
      <c r="C116" s="2"/>
      <c r="D116" s="2" t="s">
        <v>5020</v>
      </c>
      <c r="E116" s="2"/>
      <c r="F116" s="2"/>
      <c r="G116" s="2"/>
      <c r="H116" s="2"/>
      <c r="I116" s="2"/>
      <c r="J116" s="2"/>
    </row>
    <row r="117" spans="2:10">
      <c r="B117" s="2"/>
      <c r="C117" s="2"/>
      <c r="D117" s="2"/>
      <c r="E117" s="2" t="s">
        <v>5021</v>
      </c>
      <c r="F117" s="2"/>
      <c r="G117" s="2"/>
      <c r="H117" s="2"/>
      <c r="I117" s="2"/>
      <c r="J117" s="2"/>
    </row>
  </sheetData>
  <pageMargins left="0.75" right="0.75" top="1" bottom="1" header="0.5" footer="0.5"/>
  <pageSetup paperSize="9" orientation="portrait"/>
  <headerFooter/>
</worksheet>
</file>

<file path=xl/worksheets/sheet2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J105"/>
  <sheetViews>
    <sheetView zoomScale="115" zoomScaleNormal="115" workbookViewId="0">
      <selection activeCell="G9" sqref="G9"/>
    </sheetView>
  </sheetViews>
  <sheetFormatPr defaultColWidth="8.88888888888889" defaultRowHeight="14.4"/>
  <cols>
    <col min="1" max="1" width="9.66666666666667"/>
  </cols>
  <sheetData>
    <row r="1" spans="1:10">
      <c r="A1" s="1">
        <f>SUM(B1:AZ1)</f>
        <v>26.1333333333333</v>
      </c>
      <c r="B1" s="1">
        <f t="shared" ref="B1:H1" si="0">COUNTA(B2:B2220)/COLUMN()</f>
        <v>2</v>
      </c>
      <c r="C1" s="1">
        <f t="shared" si="0"/>
        <v>5.66666666666667</v>
      </c>
      <c r="D1" s="1">
        <f t="shared" si="0"/>
        <v>10.5</v>
      </c>
      <c r="E1" s="1">
        <f t="shared" si="0"/>
        <v>6.8</v>
      </c>
      <c r="F1" s="1">
        <f t="shared" si="0"/>
        <v>1.16666666666667</v>
      </c>
      <c r="G1" s="1">
        <f t="shared" si="0"/>
        <v>0</v>
      </c>
      <c r="H1" s="1">
        <f t="shared" si="0"/>
        <v>0</v>
      </c>
    </row>
    <row r="2" spans="1:10">
      <c r="A2" t="str" cm="1">
        <f ca="1" t="array" ref="A2">_wpsfn.SHEETSNAME(A1)</f>
        <v>20251204</v>
      </c>
      <c r="B2" s="2" t="s">
        <v>5022</v>
      </c>
      <c r="C2" s="2"/>
      <c r="D2" s="2"/>
      <c r="E2" s="2"/>
      <c r="F2" s="2"/>
      <c r="G2" s="2"/>
      <c r="H2" s="2"/>
      <c r="I2" s="2"/>
      <c r="J2" s="2"/>
    </row>
    <row r="3" spans="1:10">
      <c r="B3" s="2"/>
      <c r="C3" s="2" t="s">
        <v>5023</v>
      </c>
      <c r="D3" s="2"/>
      <c r="E3" s="2"/>
      <c r="F3" s="2"/>
      <c r="G3" s="2"/>
      <c r="H3" s="2"/>
      <c r="I3" s="2"/>
      <c r="J3" s="2"/>
    </row>
    <row r="4" spans="1:10">
      <c r="B4" s="2"/>
      <c r="C4" s="2"/>
      <c r="D4" s="2" t="s">
        <v>5024</v>
      </c>
      <c r="E4" s="2"/>
      <c r="F4" s="2"/>
      <c r="G4" s="2"/>
      <c r="H4" s="2"/>
      <c r="I4" s="2"/>
      <c r="J4" s="2"/>
    </row>
    <row r="5" spans="1:10">
      <c r="B5" s="2"/>
      <c r="C5" s="2"/>
      <c r="D5" s="2" t="s">
        <v>5025</v>
      </c>
      <c r="E5" s="2"/>
      <c r="F5" s="2"/>
      <c r="G5" s="2"/>
      <c r="H5" s="2"/>
      <c r="I5" s="2"/>
      <c r="J5" s="2"/>
    </row>
    <row r="6" spans="1:10">
      <c r="B6" s="2"/>
      <c r="C6" s="2"/>
      <c r="D6" s="2" t="s">
        <v>5026</v>
      </c>
      <c r="E6" s="2"/>
      <c r="F6" s="2"/>
      <c r="G6" s="2"/>
      <c r="H6" s="2"/>
      <c r="I6" s="2"/>
      <c r="J6" s="2"/>
    </row>
    <row r="7" spans="1:10">
      <c r="B7" s="2"/>
      <c r="C7" s="2" t="s">
        <v>5027</v>
      </c>
      <c r="D7" s="2"/>
      <c r="E7" s="2"/>
      <c r="F7" s="2"/>
      <c r="G7" s="2"/>
      <c r="H7" s="2"/>
      <c r="I7" s="2"/>
      <c r="J7" s="2"/>
    </row>
    <row r="8" spans="1:10">
      <c r="B8" s="2"/>
      <c r="C8" s="2"/>
      <c r="D8" s="2" t="s">
        <v>5028</v>
      </c>
      <c r="E8" s="2"/>
      <c r="F8" s="2"/>
      <c r="G8" s="2"/>
      <c r="H8" s="2"/>
      <c r="I8" s="2"/>
      <c r="J8" s="2"/>
    </row>
    <row r="9" spans="1:10">
      <c r="B9" s="2"/>
      <c r="C9" s="2"/>
      <c r="D9" s="2" t="s">
        <v>5029</v>
      </c>
      <c r="E9" s="2"/>
      <c r="F9" s="2"/>
      <c r="G9" s="2"/>
      <c r="H9" s="2"/>
      <c r="I9" s="2"/>
      <c r="J9" s="2"/>
    </row>
    <row r="10" spans="1:10">
      <c r="B10" s="2"/>
      <c r="C10" s="2"/>
      <c r="D10" s="2"/>
      <c r="E10" s="2" t="s">
        <v>5030</v>
      </c>
      <c r="F10" s="2"/>
      <c r="G10" s="2"/>
      <c r="H10" s="2"/>
      <c r="I10" s="2"/>
      <c r="J10" s="2"/>
    </row>
    <row r="11" spans="1:10">
      <c r="B11" s="2"/>
      <c r="C11" s="2"/>
      <c r="D11" s="2"/>
      <c r="E11" s="2" t="s">
        <v>5031</v>
      </c>
      <c r="F11" s="2"/>
      <c r="G11" s="2"/>
      <c r="H11" s="2"/>
      <c r="I11" s="2"/>
      <c r="J11" s="2"/>
    </row>
    <row r="12" spans="1:10">
      <c r="B12" s="2"/>
      <c r="C12" s="2"/>
      <c r="D12" s="2"/>
      <c r="E12" s="2" t="s">
        <v>5032</v>
      </c>
      <c r="F12" s="2"/>
      <c r="G12" s="2"/>
      <c r="H12" s="2"/>
      <c r="I12" s="2"/>
      <c r="J12" s="2"/>
    </row>
    <row r="13" spans="1:10">
      <c r="B13" s="2"/>
      <c r="C13" s="2" t="s">
        <v>5033</v>
      </c>
      <c r="D13" s="2"/>
      <c r="E13" s="2"/>
      <c r="F13" s="2"/>
      <c r="G13" s="2"/>
      <c r="H13" s="2"/>
      <c r="I13" s="2"/>
      <c r="J13" s="2"/>
    </row>
    <row r="14" spans="1:10">
      <c r="B14" s="2"/>
      <c r="C14" s="2"/>
      <c r="D14" s="2" t="s">
        <v>5034</v>
      </c>
      <c r="E14" s="2"/>
      <c r="F14" s="2"/>
      <c r="G14" s="2"/>
      <c r="H14" s="2"/>
      <c r="I14" s="2"/>
      <c r="J14" s="2"/>
    </row>
    <row r="15" spans="1:10">
      <c r="B15" s="2"/>
      <c r="C15" s="2"/>
      <c r="D15" s="2" t="s">
        <v>5035</v>
      </c>
      <c r="E15" s="2"/>
      <c r="F15" s="2"/>
      <c r="G15" s="2"/>
      <c r="H15" s="2"/>
      <c r="I15" s="2"/>
      <c r="J15" s="2"/>
    </row>
    <row r="16" spans="1:10">
      <c r="B16" s="2"/>
      <c r="C16" s="2"/>
      <c r="D16" s="2" t="s">
        <v>5036</v>
      </c>
      <c r="E16" s="2"/>
      <c r="F16" s="2"/>
      <c r="G16" s="2"/>
      <c r="H16" s="2"/>
      <c r="I16" s="2"/>
      <c r="J16" s="2"/>
    </row>
    <row r="17" spans="2:10">
      <c r="B17" s="2"/>
      <c r="C17" s="2" t="s">
        <v>5037</v>
      </c>
      <c r="D17" s="2"/>
      <c r="E17" s="2"/>
      <c r="F17" s="2"/>
      <c r="G17" s="2"/>
      <c r="H17" s="2"/>
      <c r="I17" s="2"/>
      <c r="J17" s="2"/>
    </row>
    <row r="18" spans="2:10">
      <c r="B18" s="2"/>
      <c r="C18" s="2"/>
      <c r="D18" s="2" t="s">
        <v>5038</v>
      </c>
      <c r="E18" s="2"/>
      <c r="F18" s="2"/>
      <c r="G18" s="2"/>
      <c r="H18" s="2"/>
      <c r="I18" s="2"/>
      <c r="J18" s="2"/>
    </row>
    <row r="19" spans="2:10">
      <c r="B19" s="2" t="s">
        <v>5039</v>
      </c>
      <c r="C19" s="2"/>
      <c r="D19" s="2"/>
      <c r="E19" s="2"/>
      <c r="F19" s="2"/>
      <c r="G19" s="2"/>
      <c r="H19" s="2"/>
      <c r="I19" s="2"/>
      <c r="J19" s="2"/>
    </row>
    <row r="20" spans="2:10">
      <c r="B20" s="2"/>
      <c r="C20" s="2" t="s">
        <v>5040</v>
      </c>
      <c r="D20" s="2"/>
      <c r="E20" s="2"/>
      <c r="F20" s="2"/>
      <c r="G20" s="2"/>
      <c r="H20" s="2"/>
      <c r="I20" s="2"/>
      <c r="J20" s="2"/>
    </row>
    <row r="21" spans="2:10">
      <c r="B21" s="2"/>
      <c r="C21" s="2"/>
      <c r="D21" s="2" t="s">
        <v>5041</v>
      </c>
      <c r="E21" s="2"/>
      <c r="F21" s="2"/>
      <c r="G21" s="2"/>
      <c r="H21" s="2"/>
      <c r="I21" s="2"/>
      <c r="J21" s="2"/>
    </row>
    <row r="22" spans="2:10">
      <c r="B22" s="2"/>
      <c r="C22" s="2"/>
      <c r="D22" s="2" t="s">
        <v>5042</v>
      </c>
      <c r="E22" s="2"/>
      <c r="F22" s="2"/>
      <c r="G22" s="2"/>
      <c r="H22" s="2"/>
      <c r="I22" s="2"/>
      <c r="J22" s="2"/>
    </row>
    <row r="23" spans="2:10">
      <c r="B23" s="2"/>
      <c r="C23" s="2"/>
      <c r="D23" s="2" t="s">
        <v>5043</v>
      </c>
      <c r="E23" s="2"/>
      <c r="F23" s="2"/>
      <c r="G23" s="2"/>
      <c r="H23" s="2"/>
      <c r="I23" s="2"/>
      <c r="J23" s="2"/>
    </row>
    <row r="24" spans="2:10">
      <c r="B24" s="2"/>
      <c r="C24" s="2"/>
      <c r="D24" s="2" t="s">
        <v>5044</v>
      </c>
      <c r="E24" s="2"/>
      <c r="F24" s="2"/>
      <c r="G24" s="2"/>
      <c r="H24" s="2"/>
      <c r="I24" s="2"/>
      <c r="J24" s="2"/>
    </row>
    <row r="25" spans="2:10">
      <c r="B25" s="2"/>
      <c r="C25" s="2" t="s">
        <v>5045</v>
      </c>
      <c r="D25" s="2"/>
      <c r="E25" s="2"/>
      <c r="F25" s="2"/>
      <c r="G25" s="2"/>
      <c r="H25" s="2"/>
      <c r="I25" s="2"/>
      <c r="J25" s="2"/>
    </row>
    <row r="26" spans="2:10">
      <c r="B26" s="2"/>
      <c r="C26" s="2"/>
      <c r="D26" s="2" t="s">
        <v>5046</v>
      </c>
      <c r="E26" s="2"/>
      <c r="F26" s="2"/>
      <c r="G26" s="2"/>
      <c r="H26" s="2"/>
      <c r="I26" s="2"/>
      <c r="J26" s="2"/>
    </row>
    <row r="27" spans="2:10">
      <c r="B27" s="2"/>
      <c r="C27" s="2"/>
      <c r="D27" s="2" t="s">
        <v>5047</v>
      </c>
      <c r="E27" s="2"/>
      <c r="F27" s="2"/>
      <c r="G27" s="2"/>
      <c r="H27" s="2"/>
      <c r="I27" s="2"/>
      <c r="J27" s="2"/>
    </row>
    <row r="28" spans="2:10">
      <c r="B28" s="2"/>
      <c r="C28" s="2"/>
      <c r="D28" s="2"/>
      <c r="E28" s="2" t="s">
        <v>5048</v>
      </c>
      <c r="F28" s="2"/>
      <c r="G28" s="2"/>
      <c r="H28" s="2"/>
      <c r="I28" s="2"/>
      <c r="J28" s="2"/>
    </row>
    <row r="29" spans="2:10">
      <c r="B29" s="2"/>
      <c r="C29" s="2"/>
      <c r="D29" s="2"/>
      <c r="E29" s="2" t="s">
        <v>5049</v>
      </c>
      <c r="F29" s="2"/>
      <c r="G29" s="2"/>
      <c r="H29" s="2"/>
      <c r="I29" s="2"/>
      <c r="J29" s="2"/>
    </row>
    <row r="30" spans="2:10">
      <c r="B30" s="2"/>
      <c r="C30" s="2"/>
      <c r="D30" s="2"/>
      <c r="E30" s="2" t="s">
        <v>5050</v>
      </c>
      <c r="F30" s="2"/>
      <c r="G30" s="2"/>
      <c r="H30" s="2"/>
      <c r="I30" s="2"/>
      <c r="J30" s="2"/>
    </row>
    <row r="31" spans="2:10">
      <c r="B31" s="2"/>
      <c r="C31" s="2" t="s">
        <v>5051</v>
      </c>
      <c r="D31" s="2"/>
      <c r="E31" s="2"/>
      <c r="F31" s="2"/>
      <c r="G31" s="2"/>
      <c r="H31" s="2"/>
      <c r="I31" s="2"/>
      <c r="J31" s="2"/>
    </row>
    <row r="32" spans="2:10">
      <c r="B32" s="2"/>
      <c r="C32" s="2"/>
      <c r="D32" s="2" t="s">
        <v>5052</v>
      </c>
      <c r="E32" s="2"/>
      <c r="F32" s="2"/>
      <c r="G32" s="2"/>
      <c r="H32" s="2"/>
      <c r="I32" s="2"/>
      <c r="J32" s="2"/>
    </row>
    <row r="33" spans="2:10">
      <c r="B33" s="2"/>
      <c r="C33" s="2" t="s">
        <v>5053</v>
      </c>
      <c r="D33" s="2"/>
      <c r="E33" s="2"/>
      <c r="F33" s="2"/>
      <c r="G33" s="2"/>
      <c r="H33" s="2"/>
      <c r="I33" s="2"/>
      <c r="J33" s="2"/>
    </row>
    <row r="34" spans="2:10">
      <c r="B34" s="2"/>
      <c r="C34" s="2"/>
      <c r="D34" s="2" t="s">
        <v>5054</v>
      </c>
      <c r="E34" s="2"/>
      <c r="F34" s="2"/>
      <c r="G34" s="2"/>
      <c r="H34" s="2"/>
      <c r="I34" s="2"/>
      <c r="J34" s="2"/>
    </row>
    <row r="35" spans="2:10">
      <c r="B35" s="2"/>
      <c r="C35" s="2"/>
      <c r="D35" s="2"/>
      <c r="E35" s="2" t="s">
        <v>5055</v>
      </c>
      <c r="F35" s="2"/>
      <c r="G35" s="2"/>
      <c r="H35" s="2"/>
      <c r="I35" s="2"/>
      <c r="J35" s="2"/>
    </row>
    <row r="36" spans="2:10">
      <c r="B36" s="2"/>
      <c r="C36" s="2"/>
      <c r="D36" s="2" t="s">
        <v>5056</v>
      </c>
      <c r="E36" s="2"/>
      <c r="F36" s="2"/>
      <c r="G36" s="2"/>
      <c r="H36" s="2"/>
      <c r="I36" s="2"/>
      <c r="J36" s="2"/>
    </row>
    <row r="37" spans="2:10">
      <c r="B37" s="2"/>
      <c r="C37" s="2"/>
      <c r="D37" s="2"/>
      <c r="E37" s="2" t="s">
        <v>5057</v>
      </c>
      <c r="F37" s="2"/>
      <c r="G37" s="2"/>
      <c r="H37" s="2"/>
      <c r="I37" s="2"/>
      <c r="J37" s="2"/>
    </row>
    <row r="38" spans="2:10">
      <c r="B38" s="2"/>
      <c r="C38" s="2"/>
      <c r="D38" s="2" t="s">
        <v>5058</v>
      </c>
      <c r="E38" s="2"/>
      <c r="F38" s="2"/>
      <c r="G38" s="2"/>
      <c r="H38" s="2"/>
      <c r="I38" s="2"/>
      <c r="J38" s="2"/>
    </row>
    <row r="39" spans="2:10">
      <c r="B39" s="2"/>
      <c r="C39" s="2"/>
      <c r="D39" s="2"/>
      <c r="E39" s="2" t="s">
        <v>5059</v>
      </c>
      <c r="F39" s="2"/>
      <c r="G39" s="2"/>
      <c r="H39" s="2"/>
      <c r="I39" s="2"/>
      <c r="J39" s="2"/>
    </row>
    <row r="40" spans="2:10">
      <c r="B40" s="2"/>
      <c r="C40" s="2"/>
      <c r="D40" s="2" t="s">
        <v>5060</v>
      </c>
      <c r="E40" s="2"/>
      <c r="F40" s="2"/>
      <c r="G40" s="2"/>
      <c r="H40" s="2"/>
      <c r="I40" s="2"/>
      <c r="J40" s="2"/>
    </row>
    <row r="41" spans="2:10">
      <c r="B41" s="2"/>
      <c r="C41" s="2"/>
      <c r="D41" s="2"/>
      <c r="E41" s="2" t="s">
        <v>5061</v>
      </c>
      <c r="F41" s="2"/>
      <c r="G41" s="2"/>
      <c r="H41" s="2"/>
      <c r="I41" s="2"/>
      <c r="J41" s="2"/>
    </row>
    <row r="42" spans="2:10">
      <c r="B42" s="2"/>
      <c r="C42" s="2" t="s">
        <v>5062</v>
      </c>
      <c r="D42" s="2"/>
      <c r="E42" s="2"/>
      <c r="F42" s="2"/>
      <c r="G42" s="2"/>
      <c r="H42" s="2"/>
      <c r="I42" s="2"/>
      <c r="J42" s="2"/>
    </row>
    <row r="43" spans="2:10">
      <c r="B43" s="2"/>
      <c r="C43" s="2"/>
      <c r="D43" s="2" t="s">
        <v>5063</v>
      </c>
      <c r="E43" s="2"/>
      <c r="F43" s="2"/>
      <c r="G43" s="2"/>
      <c r="H43" s="2"/>
      <c r="I43" s="2"/>
      <c r="J43" s="2"/>
    </row>
    <row r="44" spans="2:10">
      <c r="B44" s="2"/>
      <c r="C44" s="2"/>
      <c r="D44" s="2" t="s">
        <v>5064</v>
      </c>
      <c r="E44" s="2"/>
      <c r="F44" s="2"/>
      <c r="G44" s="2"/>
      <c r="H44" s="2"/>
      <c r="I44" s="2"/>
      <c r="J44" s="2"/>
    </row>
    <row r="45" spans="2:10">
      <c r="B45" s="2" t="s">
        <v>5065</v>
      </c>
      <c r="C45" s="2"/>
      <c r="D45" s="2"/>
      <c r="E45" s="2"/>
      <c r="F45" s="2"/>
      <c r="G45" s="2"/>
      <c r="H45" s="2"/>
      <c r="I45" s="2"/>
      <c r="J45" s="2"/>
    </row>
    <row r="46" spans="2:10">
      <c r="B46" s="2"/>
      <c r="C46" s="2" t="s">
        <v>5066</v>
      </c>
      <c r="D46" s="2"/>
      <c r="E46" s="2"/>
      <c r="F46" s="2"/>
      <c r="G46" s="2"/>
      <c r="H46" s="2"/>
      <c r="I46" s="2"/>
      <c r="J46" s="2"/>
    </row>
    <row r="47" spans="2:10">
      <c r="B47" s="2"/>
      <c r="C47" s="2"/>
      <c r="D47" s="2" t="s">
        <v>5067</v>
      </c>
      <c r="E47" s="2"/>
      <c r="F47" s="2"/>
      <c r="G47" s="2"/>
      <c r="H47" s="2"/>
      <c r="I47" s="2"/>
      <c r="J47" s="2"/>
    </row>
    <row r="48" spans="2:10">
      <c r="B48" s="2"/>
      <c r="C48" s="2"/>
      <c r="D48" s="2"/>
      <c r="E48" s="2" t="s">
        <v>5068</v>
      </c>
      <c r="F48" s="2"/>
      <c r="G48" s="2"/>
      <c r="H48" s="2"/>
      <c r="I48" s="2"/>
      <c r="J48" s="2"/>
    </row>
    <row r="49" spans="2:10">
      <c r="B49" s="2"/>
      <c r="C49" s="2"/>
      <c r="D49" s="2" t="s">
        <v>5069</v>
      </c>
      <c r="E49" s="2"/>
      <c r="F49" s="2"/>
      <c r="G49" s="2"/>
      <c r="H49" s="2"/>
      <c r="I49" s="2"/>
      <c r="J49" s="2"/>
    </row>
    <row r="50" spans="2:10">
      <c r="B50" s="2"/>
      <c r="C50" s="2"/>
      <c r="D50" s="2"/>
      <c r="E50" s="2" t="s">
        <v>5070</v>
      </c>
      <c r="F50" s="2"/>
      <c r="G50" s="2"/>
      <c r="H50" s="2"/>
      <c r="I50" s="2"/>
      <c r="J50" s="2"/>
    </row>
    <row r="51" spans="2:10">
      <c r="B51" s="2"/>
      <c r="C51" s="2"/>
      <c r="D51" s="2"/>
      <c r="E51" s="2"/>
      <c r="F51" s="2" t="s">
        <v>5071</v>
      </c>
      <c r="G51" s="2"/>
      <c r="H51" s="2"/>
      <c r="I51" s="2"/>
      <c r="J51" s="2"/>
    </row>
    <row r="52" spans="2:10">
      <c r="B52" s="2"/>
      <c r="C52" s="2"/>
      <c r="D52" s="2"/>
      <c r="E52" s="2"/>
      <c r="F52" s="2" t="s">
        <v>5072</v>
      </c>
      <c r="G52" s="2"/>
      <c r="H52" s="2"/>
      <c r="I52" s="2"/>
      <c r="J52" s="2"/>
    </row>
    <row r="53" spans="2:10">
      <c r="B53" s="2"/>
      <c r="C53" s="2"/>
      <c r="D53" s="2"/>
      <c r="E53" s="2" t="s">
        <v>5073</v>
      </c>
      <c r="F53" s="2"/>
      <c r="G53" s="2"/>
      <c r="H53" s="2"/>
      <c r="I53" s="2"/>
      <c r="J53" s="2"/>
    </row>
    <row r="54" spans="2:10">
      <c r="B54" s="2"/>
      <c r="C54" s="2"/>
      <c r="D54" s="2"/>
      <c r="E54" s="2"/>
      <c r="F54" s="2" t="s">
        <v>5074</v>
      </c>
      <c r="G54" s="2"/>
      <c r="H54" s="2"/>
      <c r="I54" s="2"/>
      <c r="J54" s="2"/>
    </row>
    <row r="55" spans="2:10">
      <c r="B55" s="2"/>
      <c r="C55" s="2"/>
      <c r="D55" s="2"/>
      <c r="E55" s="2"/>
      <c r="F55" s="2" t="s">
        <v>5075</v>
      </c>
      <c r="G55" s="2"/>
      <c r="H55" s="2"/>
      <c r="I55" s="2"/>
      <c r="J55" s="2"/>
    </row>
    <row r="56" spans="2:10">
      <c r="B56" s="2"/>
      <c r="C56" s="2" t="s">
        <v>5076</v>
      </c>
      <c r="D56" s="2"/>
      <c r="E56" s="2"/>
      <c r="F56" s="2"/>
      <c r="G56" s="2"/>
      <c r="H56" s="2"/>
      <c r="I56" s="2"/>
      <c r="J56" s="2"/>
    </row>
    <row r="57" spans="2:10">
      <c r="B57" s="2"/>
      <c r="C57" s="2"/>
      <c r="D57" s="2" t="s">
        <v>5077</v>
      </c>
      <c r="E57" s="2"/>
      <c r="F57" s="2"/>
      <c r="G57" s="2"/>
      <c r="H57" s="2"/>
      <c r="I57" s="2"/>
      <c r="J57" s="2"/>
    </row>
    <row r="58" spans="2:10">
      <c r="B58" s="2"/>
      <c r="C58" s="2"/>
      <c r="D58" s="2" t="s">
        <v>5078</v>
      </c>
      <c r="E58" s="2"/>
      <c r="F58" s="2"/>
      <c r="G58" s="2"/>
      <c r="H58" s="2"/>
      <c r="I58" s="2"/>
      <c r="J58" s="2"/>
    </row>
    <row r="59" spans="2:10">
      <c r="B59" s="2"/>
      <c r="C59" s="2"/>
      <c r="D59" s="2"/>
      <c r="E59" s="2" t="s">
        <v>5079</v>
      </c>
      <c r="F59" s="2"/>
      <c r="G59" s="2"/>
      <c r="H59" s="2"/>
      <c r="I59" s="2"/>
      <c r="J59" s="2"/>
    </row>
    <row r="60" spans="2:10">
      <c r="B60" s="2"/>
      <c r="C60" s="2"/>
      <c r="D60" s="2"/>
      <c r="E60" s="2" t="s">
        <v>5080</v>
      </c>
      <c r="F60" s="2"/>
      <c r="G60" s="2"/>
      <c r="H60" s="2"/>
      <c r="I60" s="2"/>
      <c r="J60" s="2"/>
    </row>
    <row r="61" spans="2:10">
      <c r="B61" s="2"/>
      <c r="C61" s="2" t="s">
        <v>5081</v>
      </c>
      <c r="D61" s="2"/>
      <c r="E61" s="2"/>
      <c r="F61" s="2"/>
      <c r="G61" s="2"/>
      <c r="H61" s="2"/>
      <c r="I61" s="2"/>
      <c r="J61" s="2"/>
    </row>
    <row r="62" spans="2:10">
      <c r="B62" s="2"/>
      <c r="C62" s="2"/>
      <c r="D62" s="2" t="s">
        <v>5082</v>
      </c>
      <c r="E62" s="2"/>
      <c r="F62" s="2"/>
      <c r="G62" s="2"/>
      <c r="H62" s="2"/>
      <c r="I62" s="2"/>
      <c r="J62" s="2"/>
    </row>
    <row r="63" spans="2:10">
      <c r="B63" s="2"/>
      <c r="C63" s="2"/>
      <c r="D63" s="2" t="s">
        <v>5083</v>
      </c>
      <c r="E63" s="2"/>
      <c r="F63" s="2"/>
      <c r="G63" s="2"/>
      <c r="H63" s="2"/>
      <c r="I63" s="2"/>
      <c r="J63" s="2"/>
    </row>
    <row r="64" spans="2:10">
      <c r="B64" s="2"/>
      <c r="C64" s="2"/>
      <c r="D64" s="2" t="s">
        <v>5084</v>
      </c>
      <c r="E64" s="2"/>
      <c r="F64" s="2"/>
      <c r="G64" s="2"/>
      <c r="H64" s="2"/>
      <c r="I64" s="2"/>
      <c r="J64" s="2"/>
    </row>
    <row r="65" spans="2:10">
      <c r="B65" s="2"/>
      <c r="C65" s="2" t="s">
        <v>5085</v>
      </c>
      <c r="D65" s="2"/>
      <c r="E65" s="2"/>
      <c r="F65" s="2"/>
      <c r="G65" s="2"/>
      <c r="H65" s="2"/>
      <c r="I65" s="2"/>
      <c r="J65" s="2"/>
    </row>
    <row r="66" spans="2:10">
      <c r="B66" s="2"/>
      <c r="C66" s="2"/>
      <c r="D66" s="2" t="s">
        <v>5086</v>
      </c>
      <c r="E66" s="2"/>
      <c r="F66" s="2"/>
      <c r="G66" s="2"/>
      <c r="H66" s="2"/>
      <c r="I66" s="2"/>
      <c r="J66" s="2"/>
    </row>
    <row r="67" spans="2:10">
      <c r="B67" s="2"/>
      <c r="C67" s="2"/>
      <c r="D67" s="2"/>
      <c r="E67" s="2" t="s">
        <v>5087</v>
      </c>
      <c r="F67" s="2"/>
      <c r="G67" s="2"/>
      <c r="H67" s="2"/>
      <c r="I67" s="2"/>
      <c r="J67" s="2"/>
    </row>
    <row r="68" spans="2:10">
      <c r="B68" s="2"/>
      <c r="C68" s="2"/>
      <c r="D68" s="2"/>
      <c r="E68" s="2" t="s">
        <v>5088</v>
      </c>
      <c r="F68" s="2"/>
      <c r="G68" s="2"/>
      <c r="H68" s="2"/>
      <c r="I68" s="2"/>
      <c r="J68" s="2"/>
    </row>
    <row r="69" spans="2:10">
      <c r="B69" s="2"/>
      <c r="C69" s="2"/>
      <c r="D69" s="2" t="s">
        <v>5089</v>
      </c>
      <c r="E69" s="2"/>
      <c r="F69" s="2"/>
      <c r="G69" s="2"/>
      <c r="H69" s="2"/>
      <c r="I69" s="2"/>
      <c r="J69" s="2"/>
    </row>
    <row r="70" spans="2:10">
      <c r="B70" s="2"/>
      <c r="C70" s="2"/>
      <c r="D70" s="2" t="s">
        <v>5090</v>
      </c>
      <c r="E70" s="2"/>
      <c r="F70" s="2"/>
      <c r="G70" s="2"/>
      <c r="H70" s="2"/>
      <c r="I70" s="2"/>
      <c r="J70" s="2"/>
    </row>
    <row r="71" spans="2:10">
      <c r="B71" s="2"/>
      <c r="C71" s="2"/>
      <c r="D71" s="2"/>
      <c r="E71" s="2" t="s">
        <v>5091</v>
      </c>
      <c r="F71" s="2"/>
      <c r="G71" s="2"/>
      <c r="H71" s="2"/>
      <c r="I71" s="2"/>
      <c r="J71" s="2"/>
    </row>
    <row r="72" spans="2:10">
      <c r="B72" s="2"/>
      <c r="C72" s="2"/>
      <c r="D72" s="2"/>
      <c r="E72" s="2" t="s">
        <v>5092</v>
      </c>
      <c r="F72" s="2"/>
      <c r="G72" s="2"/>
      <c r="H72" s="2"/>
      <c r="I72" s="2"/>
      <c r="J72" s="2"/>
    </row>
    <row r="73" spans="2:10">
      <c r="B73" s="2" t="s">
        <v>5093</v>
      </c>
      <c r="C73" s="2"/>
      <c r="D73" s="2"/>
      <c r="E73" s="2"/>
      <c r="F73" s="2"/>
      <c r="G73" s="2"/>
      <c r="H73" s="2"/>
      <c r="I73" s="2"/>
      <c r="J73" s="2"/>
    </row>
    <row r="74" spans="2:10">
      <c r="B74" s="2"/>
      <c r="C74" s="2" t="s">
        <v>5094</v>
      </c>
      <c r="D74" s="2"/>
      <c r="E74" s="2"/>
      <c r="F74" s="2"/>
      <c r="G74" s="2"/>
      <c r="H74" s="2"/>
      <c r="I74" s="2"/>
      <c r="J74" s="2"/>
    </row>
    <row r="75" spans="2:10">
      <c r="B75" s="2"/>
      <c r="C75" s="2"/>
      <c r="D75" s="2" t="s">
        <v>5095</v>
      </c>
      <c r="E75" s="2"/>
      <c r="F75" s="2"/>
      <c r="G75" s="2"/>
      <c r="H75" s="2"/>
      <c r="I75" s="2"/>
      <c r="J75" s="2"/>
    </row>
    <row r="76" spans="2:10">
      <c r="B76" s="2"/>
      <c r="C76" s="2"/>
      <c r="D76" s="2" t="s">
        <v>5096</v>
      </c>
      <c r="E76" s="2"/>
      <c r="F76" s="2"/>
      <c r="G76" s="2"/>
      <c r="H76" s="2"/>
      <c r="I76" s="2"/>
      <c r="J76" s="2"/>
    </row>
    <row r="77" spans="2:10">
      <c r="B77" s="2"/>
      <c r="C77" s="2"/>
      <c r="D77" s="2"/>
      <c r="E77" s="2" t="s">
        <v>5097</v>
      </c>
      <c r="F77" s="2"/>
      <c r="G77" s="2"/>
      <c r="H77" s="2"/>
      <c r="I77" s="2"/>
      <c r="J77" s="2"/>
    </row>
    <row r="78" spans="2:10">
      <c r="B78" s="2"/>
      <c r="C78" s="2"/>
      <c r="D78" s="2"/>
      <c r="E78" s="2" t="s">
        <v>5098</v>
      </c>
      <c r="F78" s="2"/>
      <c r="G78" s="2"/>
      <c r="H78" s="2"/>
      <c r="I78" s="2"/>
      <c r="J78" s="2"/>
    </row>
    <row r="79" spans="2:10">
      <c r="B79" s="2"/>
      <c r="C79" s="2" t="s">
        <v>5099</v>
      </c>
      <c r="D79" s="2"/>
      <c r="E79" s="2"/>
      <c r="F79" s="2"/>
      <c r="G79" s="2"/>
      <c r="H79" s="2"/>
      <c r="I79" s="2"/>
      <c r="J79" s="2"/>
    </row>
    <row r="80" spans="2:10">
      <c r="B80" s="2"/>
      <c r="C80" s="2"/>
      <c r="D80" s="2" t="s">
        <v>5100</v>
      </c>
      <c r="E80" s="2"/>
      <c r="F80" s="2"/>
      <c r="G80" s="2"/>
      <c r="H80" s="2"/>
      <c r="I80" s="2"/>
      <c r="J80" s="2"/>
    </row>
    <row r="81" spans="2:10">
      <c r="B81" s="2"/>
      <c r="C81" s="2"/>
      <c r="D81" s="2" t="s">
        <v>5101</v>
      </c>
      <c r="E81" s="2"/>
      <c r="F81" s="2"/>
      <c r="G81" s="2"/>
      <c r="H81" s="2"/>
      <c r="I81" s="2"/>
      <c r="J81" s="2"/>
    </row>
    <row r="82" spans="2:10">
      <c r="B82" s="2"/>
      <c r="C82" s="2"/>
      <c r="D82" s="2"/>
      <c r="E82" s="2" t="s">
        <v>5102</v>
      </c>
      <c r="F82" s="2"/>
      <c r="G82" s="2"/>
      <c r="H82" s="2"/>
      <c r="I82" s="2"/>
      <c r="J82" s="2"/>
    </row>
    <row r="83" spans="2:10">
      <c r="B83" s="2"/>
      <c r="C83" s="2"/>
      <c r="D83" s="2"/>
      <c r="E83" s="2" t="s">
        <v>5103</v>
      </c>
      <c r="F83" s="2"/>
      <c r="G83" s="2"/>
      <c r="H83" s="2"/>
      <c r="I83" s="2"/>
      <c r="J83" s="2"/>
    </row>
    <row r="84" spans="2:10">
      <c r="B84" s="2"/>
      <c r="C84" s="2" t="s">
        <v>5104</v>
      </c>
      <c r="D84" s="2"/>
      <c r="E84" s="2"/>
      <c r="F84" s="2"/>
      <c r="G84" s="2"/>
      <c r="H84" s="2"/>
      <c r="I84" s="2"/>
      <c r="J84" s="2"/>
    </row>
    <row r="85" spans="2:10">
      <c r="B85" s="2"/>
      <c r="C85" s="2"/>
      <c r="D85" s="2" t="s">
        <v>5105</v>
      </c>
      <c r="E85" s="2"/>
      <c r="F85" s="2"/>
      <c r="G85" s="2"/>
      <c r="H85" s="2"/>
      <c r="I85" s="2"/>
      <c r="J85" s="2"/>
    </row>
    <row r="86" spans="2:10">
      <c r="B86" s="2"/>
      <c r="C86" s="2"/>
      <c r="D86" s="2" t="s">
        <v>5106</v>
      </c>
      <c r="E86" s="2"/>
      <c r="F86" s="2"/>
      <c r="G86" s="2"/>
      <c r="H86" s="2"/>
      <c r="I86" s="2"/>
      <c r="J86" s="2"/>
    </row>
    <row r="87" spans="2:10">
      <c r="B87" s="2"/>
      <c r="C87" s="2"/>
      <c r="D87" s="2" t="s">
        <v>5107</v>
      </c>
      <c r="E87" s="2"/>
      <c r="F87" s="2"/>
      <c r="G87" s="2"/>
      <c r="H87" s="2"/>
      <c r="I87" s="2"/>
      <c r="J87" s="2"/>
    </row>
    <row r="88" spans="2:10">
      <c r="B88" s="2"/>
      <c r="C88" s="2"/>
      <c r="D88" s="2"/>
      <c r="E88" s="2" t="s">
        <v>5108</v>
      </c>
      <c r="F88" s="2"/>
      <c r="G88" s="2"/>
      <c r="H88" s="2"/>
      <c r="I88" s="2"/>
      <c r="J88" s="2"/>
    </row>
    <row r="89" spans="2:10">
      <c r="B89" s="2"/>
      <c r="C89" s="2"/>
      <c r="D89" s="2"/>
      <c r="E89" s="2" t="s">
        <v>5109</v>
      </c>
      <c r="F89" s="2"/>
      <c r="G89" s="2"/>
      <c r="H89" s="2"/>
      <c r="I89" s="2"/>
      <c r="J89" s="2"/>
    </row>
    <row r="90" spans="2:10">
      <c r="B90" s="2"/>
      <c r="C90" s="2"/>
      <c r="D90" s="2"/>
      <c r="E90" s="2" t="s">
        <v>5110</v>
      </c>
      <c r="F90" s="2"/>
      <c r="G90" s="2"/>
      <c r="H90" s="2"/>
      <c r="I90" s="2"/>
      <c r="J90" s="2"/>
    </row>
    <row r="91" spans="2:10">
      <c r="B91" s="2"/>
      <c r="C91" s="2"/>
      <c r="D91" s="2"/>
      <c r="E91" s="2" t="s">
        <v>5111</v>
      </c>
      <c r="F91" s="2"/>
      <c r="G91" s="2"/>
      <c r="H91" s="2"/>
      <c r="I91" s="2"/>
      <c r="J91" s="2"/>
    </row>
    <row r="92" spans="2:10">
      <c r="B92" s="2"/>
      <c r="C92" s="2" t="s">
        <v>5112</v>
      </c>
      <c r="D92" s="2"/>
      <c r="E92" s="2"/>
      <c r="F92" s="2"/>
      <c r="G92" s="2"/>
      <c r="H92" s="2"/>
      <c r="I92" s="2"/>
      <c r="J92" s="2"/>
    </row>
    <row r="93" spans="2:10">
      <c r="B93" s="2"/>
      <c r="C93" s="2"/>
      <c r="D93" s="2" t="s">
        <v>5113</v>
      </c>
      <c r="E93" s="2"/>
      <c r="F93" s="2"/>
      <c r="G93" s="2"/>
      <c r="H93" s="2"/>
      <c r="I93" s="2"/>
      <c r="J93" s="2"/>
    </row>
    <row r="94" spans="2:10">
      <c r="B94" s="2"/>
      <c r="C94" s="2"/>
      <c r="D94" s="2"/>
      <c r="E94" s="2" t="s">
        <v>5114</v>
      </c>
      <c r="F94" s="2"/>
      <c r="G94" s="2"/>
      <c r="H94" s="2"/>
      <c r="I94" s="2"/>
      <c r="J94" s="2"/>
    </row>
    <row r="95" spans="2:10">
      <c r="B95" s="2"/>
      <c r="C95" s="2"/>
      <c r="D95" s="2"/>
      <c r="E95" s="2" t="s">
        <v>5115</v>
      </c>
      <c r="F95" s="2"/>
      <c r="G95" s="2"/>
      <c r="H95" s="2"/>
      <c r="I95" s="2"/>
      <c r="J95" s="2"/>
    </row>
    <row r="96" spans="2:10">
      <c r="B96" s="2"/>
      <c r="C96" s="2"/>
      <c r="D96" s="2"/>
      <c r="E96" s="2" t="s">
        <v>5116</v>
      </c>
      <c r="F96" s="2"/>
      <c r="G96" s="2"/>
      <c r="H96" s="2"/>
      <c r="I96" s="2"/>
      <c r="J96" s="2"/>
    </row>
    <row r="97" spans="2:10">
      <c r="B97" s="2"/>
      <c r="C97" s="2"/>
      <c r="D97" s="2" t="s">
        <v>5117</v>
      </c>
      <c r="E97" s="2"/>
      <c r="F97" s="2"/>
      <c r="G97" s="2"/>
      <c r="H97" s="2"/>
      <c r="I97" s="2"/>
      <c r="J97" s="2"/>
    </row>
    <row r="98" spans="2:10">
      <c r="B98" s="2"/>
      <c r="C98" s="2"/>
      <c r="D98" s="2"/>
      <c r="E98" s="2" t="s">
        <v>5118</v>
      </c>
      <c r="F98" s="2"/>
      <c r="G98" s="2"/>
      <c r="H98" s="2"/>
      <c r="I98" s="2"/>
      <c r="J98" s="2"/>
    </row>
    <row r="99" spans="2:10">
      <c r="B99" s="2"/>
      <c r="C99" s="2"/>
      <c r="D99" s="2"/>
      <c r="E99" s="2" t="s">
        <v>5119</v>
      </c>
      <c r="F99" s="2"/>
      <c r="G99" s="2"/>
      <c r="H99" s="2"/>
      <c r="I99" s="2"/>
      <c r="J99" s="2"/>
    </row>
    <row r="100" spans="2:10">
      <c r="B100" s="2"/>
      <c r="C100" s="2"/>
      <c r="D100" s="2"/>
      <c r="E100" s="2"/>
      <c r="F100" s="2" t="s">
        <v>5120</v>
      </c>
      <c r="G100" s="2"/>
      <c r="H100" s="2"/>
      <c r="I100" s="2"/>
      <c r="J100" s="2"/>
    </row>
    <row r="101" spans="2:10">
      <c r="B101" s="2"/>
      <c r="C101" s="2"/>
      <c r="D101" s="2"/>
      <c r="E101" s="2"/>
      <c r="F101" s="2" t="s">
        <v>5121</v>
      </c>
      <c r="G101" s="2"/>
      <c r="H101" s="2"/>
      <c r="I101" s="2"/>
      <c r="J101" s="2"/>
    </row>
    <row r="102" spans="2:10">
      <c r="B102" s="2"/>
      <c r="C102" s="2"/>
      <c r="D102" s="2"/>
      <c r="E102" s="2"/>
      <c r="F102" s="2" t="s">
        <v>5122</v>
      </c>
      <c r="G102" s="2"/>
      <c r="H102" s="2"/>
      <c r="I102" s="2"/>
      <c r="J102" s="2"/>
    </row>
    <row r="103" spans="2:10">
      <c r="B103" s="2"/>
      <c r="C103" s="2"/>
      <c r="D103" s="2" t="s">
        <v>5123</v>
      </c>
      <c r="E103" s="2"/>
      <c r="F103" s="2"/>
      <c r="G103" s="2"/>
      <c r="H103" s="2"/>
      <c r="I103" s="2"/>
      <c r="J103" s="2"/>
    </row>
    <row r="104" spans="2:10">
      <c r="B104" s="2"/>
      <c r="C104" s="2"/>
      <c r="D104" s="2"/>
      <c r="E104" s="2" t="s">
        <v>5124</v>
      </c>
      <c r="F104" s="2"/>
      <c r="G104" s="2"/>
      <c r="H104" s="2"/>
      <c r="I104" s="2"/>
      <c r="J104" s="2"/>
    </row>
    <row r="105" spans="2:10">
      <c r="B105" s="2"/>
      <c r="C105" s="2"/>
      <c r="D105" s="2"/>
      <c r="E105" s="2" t="s">
        <v>5125</v>
      </c>
      <c r="F105" s="2"/>
      <c r="G105" s="2"/>
      <c r="H105" s="2"/>
      <c r="I105" s="2"/>
      <c r="J105" s="2"/>
    </row>
  </sheetData>
  <pageMargins left="0.75" right="0.75" top="1" bottom="1" header="0.5" footer="0.5"/>
  <pageSetup paperSize="9" orientation="portrait"/>
  <headerFooter/>
</worksheet>
</file>

<file path=xl/worksheets/sheet2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J130"/>
  <sheetViews>
    <sheetView zoomScale="115" zoomScaleNormal="115" topLeftCell="A55" workbookViewId="0">
      <selection activeCell="M115" sqref="M115"/>
    </sheetView>
  </sheetViews>
  <sheetFormatPr defaultColWidth="8.88888888888889" defaultRowHeight="14.4"/>
  <cols>
    <col min="1" max="1" width="9.66666666666667"/>
  </cols>
  <sheetData>
    <row r="1" spans="1:10">
      <c r="A1" s="1">
        <f>SUM(B1:AZ1)</f>
        <v>35.0333333333333</v>
      </c>
      <c r="B1" s="1">
        <f t="shared" ref="B1:H1" si="0">COUNTA(B2:B2261)/COLUMN()</f>
        <v>6.5</v>
      </c>
      <c r="C1" s="1">
        <f t="shared" si="0"/>
        <v>10.3333333333333</v>
      </c>
      <c r="D1" s="1">
        <f t="shared" si="0"/>
        <v>8.5</v>
      </c>
      <c r="E1" s="1">
        <f t="shared" si="0"/>
        <v>7.2</v>
      </c>
      <c r="F1" s="1">
        <f t="shared" si="0"/>
        <v>2.5</v>
      </c>
      <c r="G1" s="1">
        <f t="shared" si="0"/>
        <v>0</v>
      </c>
      <c r="H1" s="1">
        <f t="shared" si="0"/>
        <v>0</v>
      </c>
    </row>
    <row r="2" spans="1:10">
      <c r="A2" t="str" cm="1">
        <f ca="1" t="array" ref="A2">_wpsfn.SHEETSNAME(A1)</f>
        <v>20251205</v>
      </c>
      <c r="B2" s="2" t="s">
        <v>5126</v>
      </c>
      <c r="C2" s="2"/>
      <c r="D2" s="2"/>
      <c r="E2" s="2"/>
      <c r="F2" s="2"/>
      <c r="G2" s="2"/>
      <c r="H2" s="2"/>
      <c r="I2" s="2"/>
      <c r="J2" s="2"/>
    </row>
    <row r="3" spans="1:10">
      <c r="B3" s="2"/>
      <c r="C3" s="2" t="s">
        <v>5127</v>
      </c>
      <c r="D3" s="2"/>
      <c r="E3" s="2"/>
      <c r="F3" s="2"/>
      <c r="G3" s="2"/>
      <c r="H3" s="2"/>
      <c r="I3" s="2"/>
      <c r="J3" s="2"/>
    </row>
    <row r="4" spans="1:10">
      <c r="B4" s="2"/>
      <c r="C4" s="2"/>
      <c r="D4" s="2" t="s">
        <v>5128</v>
      </c>
      <c r="E4" s="2"/>
      <c r="F4" s="2"/>
      <c r="G4" s="2"/>
      <c r="H4" s="2"/>
      <c r="I4" s="2"/>
      <c r="J4" s="2"/>
    </row>
    <row r="5" spans="1:10">
      <c r="B5" s="2"/>
      <c r="C5" s="2"/>
      <c r="D5" s="2" t="s">
        <v>5129</v>
      </c>
      <c r="E5" s="2"/>
      <c r="F5" s="2"/>
      <c r="G5" s="2"/>
      <c r="H5" s="2"/>
      <c r="I5" s="2"/>
      <c r="J5" s="2"/>
    </row>
    <row r="6" spans="1:10">
      <c r="B6" s="2"/>
      <c r="C6" s="2"/>
      <c r="D6" s="2" t="s">
        <v>5130</v>
      </c>
      <c r="E6" s="2"/>
      <c r="F6" s="2"/>
      <c r="G6" s="2"/>
      <c r="H6" s="2"/>
      <c r="I6" s="2"/>
      <c r="J6" s="2"/>
    </row>
    <row r="7" spans="1:10">
      <c r="B7" s="2"/>
      <c r="C7" s="2" t="s">
        <v>5131</v>
      </c>
      <c r="D7" s="2"/>
      <c r="E7" s="2"/>
      <c r="F7" s="2"/>
      <c r="G7" s="2"/>
      <c r="H7" s="2"/>
      <c r="I7" s="2"/>
      <c r="J7" s="2"/>
    </row>
    <row r="8" spans="1:10">
      <c r="B8" s="2"/>
      <c r="C8" s="2"/>
      <c r="D8" s="2" t="s">
        <v>5132</v>
      </c>
      <c r="E8" s="2"/>
      <c r="F8" s="2"/>
      <c r="G8" s="2"/>
      <c r="H8" s="2"/>
      <c r="I8" s="2"/>
      <c r="J8" s="2"/>
    </row>
    <row r="9" spans="1:10">
      <c r="B9" s="2"/>
      <c r="C9" s="2"/>
      <c r="D9" s="2"/>
      <c r="E9" s="2" t="s">
        <v>5133</v>
      </c>
      <c r="F9" s="2"/>
      <c r="G9" s="2"/>
      <c r="H9" s="2"/>
      <c r="I9" s="2"/>
      <c r="J9" s="2"/>
    </row>
    <row r="10" spans="1:10">
      <c r="B10" s="2"/>
      <c r="C10" s="2"/>
      <c r="D10" s="2"/>
      <c r="E10" s="2" t="s">
        <v>5134</v>
      </c>
      <c r="F10" s="2"/>
      <c r="G10" s="2"/>
      <c r="H10" s="2"/>
      <c r="I10" s="2"/>
      <c r="J10" s="2"/>
    </row>
    <row r="11" spans="1:10">
      <c r="B11" s="2"/>
      <c r="C11" s="2"/>
      <c r="D11" s="2" t="s">
        <v>5135</v>
      </c>
      <c r="E11" s="2"/>
      <c r="F11" s="2"/>
      <c r="G11" s="2"/>
      <c r="H11" s="2"/>
      <c r="I11" s="2"/>
      <c r="J11" s="2"/>
    </row>
    <row r="12" spans="1:10">
      <c r="B12" s="2"/>
      <c r="C12" s="2"/>
      <c r="D12" s="2"/>
      <c r="E12" s="2" t="s">
        <v>5136</v>
      </c>
      <c r="F12" s="2"/>
      <c r="G12" s="2"/>
      <c r="H12" s="2"/>
      <c r="I12" s="2"/>
      <c r="J12" s="2"/>
    </row>
    <row r="13" spans="1:10">
      <c r="B13" s="2"/>
      <c r="C13" s="2"/>
      <c r="D13" s="2"/>
      <c r="E13" s="2"/>
      <c r="F13" s="2" t="s">
        <v>5137</v>
      </c>
      <c r="G13" s="2"/>
      <c r="H13" s="2"/>
      <c r="I13" s="2"/>
      <c r="J13" s="2"/>
    </row>
    <row r="14" spans="1:10">
      <c r="B14" s="2"/>
      <c r="C14" s="2"/>
      <c r="D14" s="2"/>
      <c r="E14" s="2"/>
      <c r="F14" s="2" t="s">
        <v>5138</v>
      </c>
      <c r="G14" s="2"/>
      <c r="H14" s="2"/>
      <c r="I14" s="2"/>
      <c r="J14" s="2"/>
    </row>
    <row r="15" spans="1:10">
      <c r="B15" s="2"/>
      <c r="C15" s="2"/>
      <c r="D15" s="2"/>
      <c r="E15" s="2"/>
      <c r="F15" s="2" t="s">
        <v>5139</v>
      </c>
      <c r="G15" s="2"/>
      <c r="H15" s="2"/>
      <c r="I15" s="2"/>
      <c r="J15" s="2"/>
    </row>
    <row r="16" spans="1:10">
      <c r="B16" s="2"/>
      <c r="C16" s="2"/>
      <c r="D16" s="2"/>
      <c r="E16" s="2" t="s">
        <v>5140</v>
      </c>
      <c r="F16" s="2"/>
      <c r="G16" s="2"/>
      <c r="H16" s="2"/>
      <c r="I16" s="2"/>
      <c r="J16" s="2"/>
    </row>
    <row r="17" spans="2:10">
      <c r="B17" s="2"/>
      <c r="C17" s="2"/>
      <c r="D17" s="2"/>
      <c r="E17" s="2"/>
      <c r="F17" s="2" t="s">
        <v>5141</v>
      </c>
      <c r="G17" s="2"/>
      <c r="H17" s="2"/>
      <c r="I17" s="2"/>
      <c r="J17" s="2"/>
    </row>
    <row r="18" spans="2:10">
      <c r="B18" s="2"/>
      <c r="C18" s="2"/>
      <c r="D18" s="2"/>
      <c r="E18" s="2"/>
      <c r="F18" s="2" t="s">
        <v>5142</v>
      </c>
      <c r="G18" s="2"/>
      <c r="H18" s="2"/>
      <c r="I18" s="2"/>
      <c r="J18" s="2"/>
    </row>
    <row r="19" spans="2:10">
      <c r="B19" s="2"/>
      <c r="C19" s="2"/>
      <c r="D19" s="2"/>
      <c r="E19" s="2"/>
      <c r="F19" s="2" t="s">
        <v>5143</v>
      </c>
      <c r="G19" s="2"/>
      <c r="H19" s="2"/>
      <c r="I19" s="2"/>
      <c r="J19" s="2"/>
    </row>
    <row r="20" spans="2:10">
      <c r="B20" s="2"/>
      <c r="C20" s="2"/>
      <c r="D20" s="2"/>
      <c r="E20" s="2"/>
      <c r="F20" s="2" t="s">
        <v>5144</v>
      </c>
      <c r="G20" s="2"/>
      <c r="H20" s="2"/>
      <c r="I20" s="2"/>
      <c r="J20" s="2"/>
    </row>
    <row r="21" spans="2:10">
      <c r="B21" s="2"/>
      <c r="C21" s="2" t="s">
        <v>5145</v>
      </c>
      <c r="D21" s="2"/>
      <c r="E21" s="2"/>
      <c r="F21" s="2"/>
      <c r="G21" s="2"/>
      <c r="H21" s="2"/>
      <c r="I21" s="2"/>
      <c r="J21" s="2"/>
    </row>
    <row r="22" spans="2:10">
      <c r="B22" s="2"/>
      <c r="C22" s="2"/>
      <c r="D22" s="2" t="s">
        <v>5146</v>
      </c>
      <c r="E22" s="2"/>
      <c r="F22" s="2"/>
      <c r="G22" s="2"/>
      <c r="H22" s="2"/>
      <c r="I22" s="2"/>
      <c r="J22" s="2"/>
    </row>
    <row r="23" spans="2:10">
      <c r="B23" s="2"/>
      <c r="C23" s="2"/>
      <c r="D23" s="2"/>
      <c r="E23" s="2" t="s">
        <v>5147</v>
      </c>
      <c r="F23" s="2"/>
      <c r="G23" s="2"/>
      <c r="H23" s="2"/>
      <c r="I23" s="2"/>
      <c r="J23" s="2"/>
    </row>
    <row r="24" spans="2:10">
      <c r="B24" s="2"/>
      <c r="C24" s="2"/>
      <c r="D24" s="2"/>
      <c r="E24" s="2" t="s">
        <v>5148</v>
      </c>
      <c r="F24" s="2"/>
      <c r="G24" s="2"/>
      <c r="H24" s="2"/>
      <c r="I24" s="2"/>
      <c r="J24" s="2"/>
    </row>
    <row r="25" spans="2:10">
      <c r="B25" s="2"/>
      <c r="C25" s="2"/>
      <c r="D25" s="2" t="s">
        <v>5149</v>
      </c>
      <c r="E25" s="2"/>
      <c r="F25" s="2"/>
      <c r="G25" s="2"/>
      <c r="H25" s="2"/>
      <c r="I25" s="2"/>
      <c r="J25" s="2"/>
    </row>
    <row r="26" spans="2:10">
      <c r="B26" s="2"/>
      <c r="C26" s="2"/>
      <c r="D26" s="2"/>
      <c r="E26" s="2" t="s">
        <v>5150</v>
      </c>
      <c r="F26" s="2"/>
      <c r="G26" s="2"/>
      <c r="H26" s="2"/>
      <c r="I26" s="2"/>
      <c r="J26" s="2"/>
    </row>
    <row r="27" spans="2:10">
      <c r="B27" s="2"/>
      <c r="C27" s="2"/>
      <c r="D27" s="2"/>
      <c r="E27" s="2"/>
      <c r="F27" s="2" t="s">
        <v>5151</v>
      </c>
      <c r="G27" s="2"/>
      <c r="H27" s="2"/>
      <c r="I27" s="2"/>
      <c r="J27" s="2"/>
    </row>
    <row r="28" spans="2:10">
      <c r="B28" s="2"/>
      <c r="C28" s="2"/>
      <c r="D28" s="2"/>
      <c r="E28" s="2"/>
      <c r="F28" s="2" t="s">
        <v>5152</v>
      </c>
      <c r="G28" s="2"/>
      <c r="H28" s="2"/>
      <c r="I28" s="2"/>
      <c r="J28" s="2"/>
    </row>
    <row r="29" spans="2:10">
      <c r="B29" s="2"/>
      <c r="C29" s="2"/>
      <c r="D29" s="2"/>
      <c r="E29" s="2" t="s">
        <v>5153</v>
      </c>
      <c r="F29" s="2"/>
      <c r="G29" s="2"/>
      <c r="H29" s="2"/>
      <c r="I29" s="2"/>
      <c r="J29" s="2"/>
    </row>
    <row r="30" spans="2:10">
      <c r="B30" s="2"/>
      <c r="C30" s="2"/>
      <c r="D30" s="2"/>
      <c r="E30" s="2"/>
      <c r="F30" s="2" t="s">
        <v>5154</v>
      </c>
      <c r="G30" s="2"/>
      <c r="H30" s="2"/>
      <c r="I30" s="2"/>
      <c r="J30" s="2"/>
    </row>
    <row r="31" spans="2:10">
      <c r="B31" s="2"/>
      <c r="C31" s="2"/>
      <c r="D31" s="2"/>
      <c r="E31" s="2"/>
      <c r="F31" s="2" t="s">
        <v>5155</v>
      </c>
      <c r="G31" s="2"/>
      <c r="H31" s="2"/>
      <c r="I31" s="2"/>
      <c r="J31" s="2"/>
    </row>
    <row r="32" spans="2:10">
      <c r="B32" s="2" t="s">
        <v>5156</v>
      </c>
      <c r="C32" s="2"/>
      <c r="D32" s="2"/>
      <c r="E32" s="2"/>
      <c r="F32" s="2"/>
      <c r="G32" s="2"/>
      <c r="H32" s="2"/>
      <c r="I32" s="2"/>
      <c r="J32" s="2"/>
    </row>
    <row r="33" spans="2:10">
      <c r="B33" s="2"/>
      <c r="C33" s="2" t="s">
        <v>5157</v>
      </c>
      <c r="D33" s="2"/>
      <c r="E33" s="2"/>
      <c r="F33" s="2"/>
      <c r="G33" s="2"/>
      <c r="H33" s="2"/>
      <c r="I33" s="2"/>
      <c r="J33" s="2"/>
    </row>
    <row r="34" spans="2:10">
      <c r="B34" s="2"/>
      <c r="C34" s="2"/>
      <c r="D34" s="2" t="s">
        <v>5158</v>
      </c>
      <c r="E34" s="2"/>
      <c r="F34" s="2"/>
      <c r="G34" s="2"/>
      <c r="H34" s="2"/>
      <c r="I34" s="2"/>
      <c r="J34" s="2"/>
    </row>
    <row r="35" spans="2:10">
      <c r="B35" s="2"/>
      <c r="C35" s="2"/>
      <c r="D35" s="2" t="s">
        <v>5159</v>
      </c>
      <c r="E35" s="2"/>
      <c r="F35" s="2"/>
      <c r="G35" s="2"/>
      <c r="H35" s="2"/>
      <c r="I35" s="2"/>
      <c r="J35" s="2"/>
    </row>
    <row r="36" spans="2:10">
      <c r="B36" s="2"/>
      <c r="C36" s="2"/>
      <c r="D36" s="2"/>
      <c r="E36" s="2" t="s">
        <v>5160</v>
      </c>
      <c r="F36" s="2"/>
      <c r="G36" s="2"/>
      <c r="H36" s="2"/>
      <c r="I36" s="2"/>
      <c r="J36" s="2"/>
    </row>
    <row r="37" spans="2:10">
      <c r="B37" s="2"/>
      <c r="C37" s="2"/>
      <c r="D37" s="2"/>
      <c r="E37" s="2" t="s">
        <v>5161</v>
      </c>
      <c r="F37" s="2"/>
      <c r="G37" s="2"/>
      <c r="H37" s="2"/>
      <c r="I37" s="2"/>
      <c r="J37" s="2"/>
    </row>
    <row r="38" spans="2:10">
      <c r="B38" s="2"/>
      <c r="C38" s="2"/>
      <c r="D38" s="2" t="s">
        <v>5162</v>
      </c>
      <c r="E38" s="2"/>
      <c r="F38" s="2"/>
      <c r="G38" s="2"/>
      <c r="H38" s="2"/>
      <c r="I38" s="2"/>
      <c r="J38" s="2"/>
    </row>
    <row r="39" spans="2:10">
      <c r="B39" s="2"/>
      <c r="C39" s="2"/>
      <c r="D39" s="2"/>
      <c r="E39" s="2" t="s">
        <v>5163</v>
      </c>
      <c r="F39" s="2"/>
      <c r="G39" s="2"/>
      <c r="H39" s="2"/>
      <c r="I39" s="2"/>
      <c r="J39" s="2"/>
    </row>
    <row r="40" spans="2:10">
      <c r="B40" s="2"/>
      <c r="C40" s="2"/>
      <c r="D40" s="2"/>
      <c r="E40" s="2" t="s">
        <v>5164</v>
      </c>
      <c r="F40" s="2"/>
      <c r="G40" s="2"/>
      <c r="H40" s="2"/>
      <c r="I40" s="2"/>
      <c r="J40" s="2"/>
    </row>
    <row r="41" spans="2:10">
      <c r="B41" s="2"/>
      <c r="C41" s="2"/>
      <c r="D41" s="2" t="s">
        <v>5165</v>
      </c>
      <c r="E41" s="2"/>
      <c r="F41" s="2"/>
      <c r="G41" s="2"/>
      <c r="H41" s="2"/>
      <c r="I41" s="2"/>
      <c r="J41" s="2"/>
    </row>
    <row r="42" spans="2:10">
      <c r="B42" s="2"/>
      <c r="C42" s="2" t="s">
        <v>5166</v>
      </c>
      <c r="D42" s="2"/>
      <c r="E42" s="2"/>
      <c r="F42" s="2"/>
      <c r="G42" s="2"/>
      <c r="H42" s="2"/>
      <c r="I42" s="2"/>
      <c r="J42" s="2"/>
    </row>
    <row r="43" spans="2:10">
      <c r="B43" s="2"/>
      <c r="C43" s="2"/>
      <c r="D43" s="2" t="s">
        <v>5167</v>
      </c>
      <c r="E43" s="2"/>
      <c r="F43" s="2"/>
      <c r="G43" s="2"/>
      <c r="H43" s="2"/>
      <c r="I43" s="2"/>
      <c r="J43" s="2"/>
    </row>
    <row r="44" spans="2:10">
      <c r="B44" s="2"/>
      <c r="C44" s="2"/>
      <c r="D44" s="2" t="s">
        <v>5168</v>
      </c>
      <c r="E44" s="2"/>
      <c r="F44" s="2"/>
      <c r="G44" s="2"/>
      <c r="H44" s="2"/>
      <c r="I44" s="2"/>
      <c r="J44" s="2"/>
    </row>
    <row r="45" spans="2:10">
      <c r="B45" s="2"/>
      <c r="C45" s="2" t="s">
        <v>5169</v>
      </c>
      <c r="D45" s="2"/>
      <c r="E45" s="2"/>
      <c r="F45" s="2"/>
      <c r="G45" s="2"/>
      <c r="H45" s="2"/>
      <c r="I45" s="2"/>
      <c r="J45" s="2"/>
    </row>
    <row r="46" spans="2:10">
      <c r="B46" s="2"/>
      <c r="C46" s="2"/>
      <c r="D46" s="2" t="s">
        <v>5170</v>
      </c>
      <c r="E46" s="2"/>
      <c r="F46" s="2"/>
      <c r="G46" s="2"/>
      <c r="H46" s="2"/>
      <c r="I46" s="2"/>
      <c r="J46" s="2"/>
    </row>
    <row r="47" spans="2:10">
      <c r="B47" s="2"/>
      <c r="C47" s="2"/>
      <c r="D47" s="2" t="s">
        <v>5171</v>
      </c>
      <c r="E47" s="2"/>
      <c r="F47" s="2"/>
      <c r="G47" s="2"/>
      <c r="H47" s="2"/>
      <c r="I47" s="2"/>
      <c r="J47" s="2"/>
    </row>
    <row r="48" spans="2:10">
      <c r="B48" s="2"/>
      <c r="C48" s="2"/>
      <c r="D48" s="2"/>
      <c r="E48" s="2" t="s">
        <v>5172</v>
      </c>
      <c r="F48" s="2"/>
      <c r="G48" s="2"/>
      <c r="H48" s="2"/>
      <c r="I48" s="2"/>
      <c r="J48" s="2"/>
    </row>
    <row r="49" spans="2:10">
      <c r="B49" s="2"/>
      <c r="C49" s="2"/>
      <c r="D49" s="2"/>
      <c r="E49" s="2" t="s">
        <v>5173</v>
      </c>
      <c r="F49" s="2"/>
      <c r="G49" s="2"/>
      <c r="H49" s="2"/>
      <c r="I49" s="2"/>
      <c r="J49" s="2"/>
    </row>
    <row r="50" spans="2:10">
      <c r="B50" s="2"/>
      <c r="C50" s="2"/>
      <c r="D50" s="2"/>
      <c r="E50" s="2" t="s">
        <v>5174</v>
      </c>
      <c r="F50" s="2"/>
      <c r="G50" s="2"/>
      <c r="H50" s="2"/>
      <c r="I50" s="2"/>
      <c r="J50" s="2"/>
    </row>
    <row r="51" spans="2:10">
      <c r="B51" s="2"/>
      <c r="C51" s="2"/>
      <c r="D51" s="2"/>
      <c r="E51" s="2" t="s">
        <v>5175</v>
      </c>
      <c r="F51" s="2"/>
      <c r="G51" s="2"/>
      <c r="H51" s="2"/>
      <c r="I51" s="2"/>
      <c r="J51" s="2"/>
    </row>
    <row r="52" spans="2:10">
      <c r="B52" s="2"/>
      <c r="C52" s="2"/>
      <c r="D52" s="2" t="s">
        <v>5176</v>
      </c>
      <c r="E52" s="2"/>
      <c r="F52" s="2"/>
      <c r="G52" s="2"/>
      <c r="H52" s="2"/>
      <c r="I52" s="2"/>
      <c r="J52" s="2"/>
    </row>
    <row r="53" spans="2:10">
      <c r="B53" s="2" t="s">
        <v>5177</v>
      </c>
      <c r="C53" s="2"/>
      <c r="D53" s="2"/>
      <c r="E53" s="2"/>
      <c r="F53" s="2"/>
      <c r="G53" s="2"/>
      <c r="H53" s="2"/>
      <c r="I53" s="2"/>
      <c r="J53" s="2"/>
    </row>
    <row r="54" spans="2:10">
      <c r="B54" s="2"/>
      <c r="C54" s="2" t="s">
        <v>5178</v>
      </c>
      <c r="D54" s="2"/>
      <c r="E54" s="2"/>
      <c r="F54" s="2"/>
      <c r="G54" s="2"/>
      <c r="H54" s="2"/>
      <c r="I54" s="2"/>
      <c r="J54" s="2"/>
    </row>
    <row r="55" spans="2:10">
      <c r="B55" s="2"/>
      <c r="C55" s="2"/>
      <c r="D55" s="2" t="s">
        <v>5179</v>
      </c>
      <c r="E55" s="2"/>
      <c r="F55" s="2"/>
      <c r="G55" s="2"/>
      <c r="H55" s="2"/>
      <c r="I55" s="2"/>
      <c r="J55" s="2"/>
    </row>
    <row r="56" spans="2:10">
      <c r="B56" s="2"/>
      <c r="C56" s="2"/>
      <c r="D56" s="2" t="s">
        <v>5180</v>
      </c>
      <c r="E56" s="2"/>
      <c r="F56" s="2"/>
      <c r="G56" s="2"/>
      <c r="H56" s="2"/>
      <c r="I56" s="2"/>
      <c r="J56" s="2"/>
    </row>
    <row r="57" spans="2:10">
      <c r="B57" s="2"/>
      <c r="C57" s="2"/>
      <c r="D57" s="2"/>
      <c r="E57" s="2" t="s">
        <v>5181</v>
      </c>
      <c r="F57" s="2"/>
      <c r="G57" s="2"/>
      <c r="H57" s="2"/>
      <c r="I57" s="2"/>
      <c r="J57" s="2"/>
    </row>
    <row r="58" spans="2:10">
      <c r="B58" s="2"/>
      <c r="C58" s="2"/>
      <c r="D58" s="2"/>
      <c r="E58" s="2" t="s">
        <v>5182</v>
      </c>
      <c r="F58" s="2"/>
      <c r="G58" s="2"/>
      <c r="H58" s="2"/>
      <c r="I58" s="2"/>
      <c r="J58" s="2"/>
    </row>
    <row r="59" spans="2:10">
      <c r="B59" s="2"/>
      <c r="C59" s="2"/>
      <c r="D59" s="2"/>
      <c r="E59" s="2" t="s">
        <v>5183</v>
      </c>
      <c r="F59" s="2"/>
      <c r="G59" s="2"/>
      <c r="H59" s="2"/>
      <c r="I59" s="2"/>
      <c r="J59" s="2"/>
    </row>
    <row r="60" spans="2:10">
      <c r="B60" s="2"/>
      <c r="C60" s="2"/>
      <c r="D60" s="2" t="s">
        <v>5184</v>
      </c>
      <c r="E60" s="2"/>
      <c r="F60" s="2"/>
      <c r="G60" s="2"/>
      <c r="H60" s="2"/>
      <c r="I60" s="2"/>
      <c r="J60" s="2"/>
    </row>
    <row r="61" spans="2:10">
      <c r="B61" s="2"/>
      <c r="C61" s="2"/>
      <c r="D61" s="2"/>
      <c r="E61" s="2" t="s">
        <v>5185</v>
      </c>
      <c r="F61" s="2"/>
      <c r="G61" s="2"/>
      <c r="H61" s="2"/>
      <c r="I61" s="2"/>
      <c r="J61" s="2"/>
    </row>
    <row r="62" spans="2:10">
      <c r="B62" s="2"/>
      <c r="C62" s="2"/>
      <c r="D62" s="2"/>
      <c r="E62" s="2"/>
      <c r="F62" s="2" t="s">
        <v>5186</v>
      </c>
      <c r="G62" s="2"/>
      <c r="H62" s="2"/>
      <c r="I62" s="2"/>
      <c r="J62" s="2"/>
    </row>
    <row r="63" spans="2:10">
      <c r="B63" s="2"/>
      <c r="C63" s="2"/>
      <c r="D63" s="2"/>
      <c r="E63" s="2"/>
      <c r="F63" s="2" t="s">
        <v>5187</v>
      </c>
      <c r="G63" s="2"/>
      <c r="H63" s="2"/>
      <c r="I63" s="2"/>
      <c r="J63" s="2"/>
    </row>
    <row r="64" spans="2:10">
      <c r="B64" s="2"/>
      <c r="C64" s="2"/>
      <c r="D64" s="2"/>
      <c r="E64" s="2" t="s">
        <v>5188</v>
      </c>
      <c r="F64" s="2"/>
      <c r="G64" s="2"/>
      <c r="H64" s="2"/>
      <c r="I64" s="2"/>
      <c r="J64" s="2"/>
    </row>
    <row r="65" spans="2:10">
      <c r="B65" s="2"/>
      <c r="C65" s="2" t="s">
        <v>5189</v>
      </c>
      <c r="D65" s="2"/>
      <c r="E65" s="2"/>
      <c r="F65" s="2"/>
      <c r="G65" s="2"/>
      <c r="H65" s="2"/>
      <c r="I65" s="2"/>
      <c r="J65" s="2"/>
    </row>
    <row r="66" spans="2:10">
      <c r="B66" s="2"/>
      <c r="C66" s="2"/>
      <c r="D66" s="2" t="s">
        <v>5190</v>
      </c>
      <c r="E66" s="2"/>
      <c r="F66" s="2"/>
      <c r="G66" s="2"/>
      <c r="H66" s="2"/>
      <c r="I66" s="2"/>
      <c r="J66" s="2"/>
    </row>
    <row r="67" spans="2:10">
      <c r="B67" s="2"/>
      <c r="C67" s="2"/>
      <c r="D67" s="2" t="s">
        <v>5191</v>
      </c>
      <c r="E67" s="2"/>
      <c r="F67" s="2"/>
      <c r="G67" s="2"/>
      <c r="H67" s="2"/>
      <c r="I67" s="2"/>
      <c r="J67" s="2"/>
    </row>
    <row r="68" spans="2:10">
      <c r="B68" s="2"/>
      <c r="C68" s="2"/>
      <c r="D68" s="2"/>
      <c r="E68" s="2" t="s">
        <v>5192</v>
      </c>
      <c r="F68" s="2"/>
      <c r="G68" s="2"/>
      <c r="H68" s="2"/>
      <c r="I68" s="2"/>
      <c r="J68" s="2"/>
    </row>
    <row r="69" spans="2:10">
      <c r="B69" s="2"/>
      <c r="C69" s="2"/>
      <c r="D69" s="2"/>
      <c r="E69" s="2" t="s">
        <v>5193</v>
      </c>
      <c r="F69" s="2"/>
      <c r="G69" s="2"/>
      <c r="H69" s="2"/>
      <c r="I69" s="2"/>
      <c r="J69" s="2"/>
    </row>
    <row r="70" spans="2:10">
      <c r="B70" s="2"/>
      <c r="C70" s="2"/>
      <c r="D70" s="2"/>
      <c r="E70" s="2" t="s">
        <v>5194</v>
      </c>
      <c r="F70" s="2"/>
      <c r="G70" s="2"/>
      <c r="H70" s="2"/>
      <c r="I70" s="2"/>
      <c r="J70" s="2"/>
    </row>
    <row r="71" spans="2:10">
      <c r="B71" s="2"/>
      <c r="C71" s="2"/>
      <c r="D71" s="2" t="s">
        <v>5195</v>
      </c>
      <c r="E71" s="2"/>
      <c r="F71" s="2"/>
      <c r="G71" s="2"/>
      <c r="H71" s="2"/>
      <c r="I71" s="2"/>
      <c r="J71" s="2"/>
    </row>
    <row r="72" spans="2:10">
      <c r="B72" s="2"/>
      <c r="C72" s="2"/>
      <c r="D72" s="2"/>
      <c r="E72" s="2" t="s">
        <v>5196</v>
      </c>
      <c r="F72" s="2"/>
      <c r="G72" s="2"/>
      <c r="H72" s="2"/>
      <c r="I72" s="2"/>
      <c r="J72" s="2"/>
    </row>
    <row r="73" spans="2:10">
      <c r="B73" s="2"/>
      <c r="C73" s="2"/>
      <c r="D73" s="2"/>
      <c r="E73" s="2" t="s">
        <v>5197</v>
      </c>
      <c r="F73" s="2"/>
      <c r="G73" s="2"/>
      <c r="H73" s="2"/>
      <c r="I73" s="2"/>
      <c r="J73" s="2"/>
    </row>
    <row r="74" spans="2:10">
      <c r="B74" s="2"/>
      <c r="C74" s="2"/>
      <c r="D74" s="2"/>
      <c r="E74" s="2" t="s">
        <v>5198</v>
      </c>
      <c r="F74" s="2"/>
      <c r="G74" s="2"/>
      <c r="H74" s="2"/>
      <c r="I74" s="2"/>
      <c r="J74" s="2"/>
    </row>
    <row r="75" spans="2:10">
      <c r="B75" s="2"/>
      <c r="C75" s="2"/>
      <c r="D75" s="2"/>
      <c r="E75" s="2"/>
      <c r="F75" s="2" t="s">
        <v>5199</v>
      </c>
      <c r="G75" s="2"/>
      <c r="H75" s="2"/>
      <c r="I75" s="2"/>
      <c r="J75" s="2"/>
    </row>
    <row r="76" spans="2:10">
      <c r="B76" s="2"/>
      <c r="C76" s="2"/>
      <c r="D76" s="2"/>
      <c r="E76" s="2"/>
      <c r="F76" s="2" t="s">
        <v>5200</v>
      </c>
      <c r="G76" s="2"/>
      <c r="H76" s="2"/>
      <c r="I76" s="2"/>
      <c r="J76" s="2"/>
    </row>
    <row r="77" spans="2:10">
      <c r="B77" s="2"/>
      <c r="C77" s="2" t="s">
        <v>5201</v>
      </c>
      <c r="D77" s="2"/>
      <c r="E77" s="2"/>
      <c r="F77" s="2"/>
      <c r="G77" s="2"/>
      <c r="H77" s="2"/>
      <c r="I77" s="2"/>
      <c r="J77" s="2"/>
    </row>
    <row r="78" spans="2:10">
      <c r="B78" s="2"/>
      <c r="C78" s="2"/>
      <c r="D78" s="2" t="s">
        <v>5202</v>
      </c>
      <c r="E78" s="2"/>
      <c r="F78" s="2"/>
      <c r="G78" s="2"/>
      <c r="H78" s="2"/>
      <c r="I78" s="2"/>
      <c r="J78" s="2"/>
    </row>
    <row r="79" spans="2:10">
      <c r="B79" s="2"/>
      <c r="C79" s="2"/>
      <c r="D79" s="2"/>
      <c r="E79" s="2" t="s">
        <v>5203</v>
      </c>
      <c r="F79" s="2"/>
      <c r="G79" s="2"/>
      <c r="H79" s="2"/>
      <c r="I79" s="2"/>
      <c r="J79" s="2"/>
    </row>
    <row r="80" spans="2:10">
      <c r="B80" s="2"/>
      <c r="C80" s="2"/>
      <c r="D80" s="2"/>
      <c r="E80" s="2" t="s">
        <v>5204</v>
      </c>
      <c r="F80" s="2"/>
      <c r="G80" s="2"/>
      <c r="H80" s="2"/>
      <c r="I80" s="2"/>
      <c r="J80" s="2"/>
    </row>
    <row r="81" spans="2:10">
      <c r="B81" s="2"/>
      <c r="C81" s="2"/>
      <c r="D81" s="2"/>
      <c r="E81" s="2" t="s">
        <v>5205</v>
      </c>
      <c r="F81" s="2"/>
      <c r="G81" s="2"/>
      <c r="H81" s="2"/>
      <c r="I81" s="2"/>
      <c r="J81" s="2"/>
    </row>
    <row r="82" spans="2:10">
      <c r="B82" s="2"/>
      <c r="C82" s="2"/>
      <c r="D82" s="2" t="s">
        <v>5206</v>
      </c>
      <c r="E82" s="2"/>
      <c r="F82" s="2"/>
      <c r="G82" s="2"/>
      <c r="H82" s="2"/>
      <c r="I82" s="2"/>
      <c r="J82" s="2"/>
    </row>
    <row r="83" spans="2:10">
      <c r="B83" s="2" t="s">
        <v>5207</v>
      </c>
      <c r="C83" s="2"/>
      <c r="D83" s="2"/>
      <c r="E83" s="2"/>
      <c r="F83" s="2"/>
      <c r="G83" s="2"/>
      <c r="H83" s="2"/>
      <c r="I83" s="2"/>
      <c r="J83" s="2"/>
    </row>
    <row r="84" spans="2:10">
      <c r="B84" s="2"/>
      <c r="C84" s="2" t="s">
        <v>5208</v>
      </c>
      <c r="D84" s="2"/>
      <c r="E84" s="2"/>
      <c r="F84" s="2"/>
      <c r="G84" s="2"/>
      <c r="H84" s="2"/>
      <c r="I84" s="2"/>
      <c r="J84" s="2"/>
    </row>
    <row r="85" spans="2:10">
      <c r="B85" s="2"/>
      <c r="C85" s="2"/>
      <c r="D85" s="2" t="s">
        <v>5209</v>
      </c>
      <c r="E85" s="2"/>
      <c r="F85" s="2"/>
      <c r="G85" s="2"/>
      <c r="H85" s="2"/>
      <c r="I85" s="2"/>
      <c r="J85" s="2"/>
    </row>
    <row r="86" spans="2:10">
      <c r="B86" s="2"/>
      <c r="C86" s="2"/>
      <c r="D86" s="2" t="s">
        <v>5210</v>
      </c>
      <c r="E86" s="2"/>
      <c r="F86" s="2"/>
      <c r="G86" s="2"/>
      <c r="H86" s="2"/>
      <c r="I86" s="2"/>
      <c r="J86" s="2"/>
    </row>
    <row r="87" spans="2:10">
      <c r="B87" s="2"/>
      <c r="C87" s="2" t="s">
        <v>5211</v>
      </c>
      <c r="D87" s="2"/>
      <c r="E87" s="2"/>
      <c r="F87" s="2"/>
      <c r="G87" s="2"/>
      <c r="H87" s="2"/>
      <c r="I87" s="2"/>
      <c r="J87" s="2"/>
    </row>
    <row r="88" spans="2:10">
      <c r="B88" s="2"/>
      <c r="C88" s="2"/>
      <c r="D88" s="2" t="s">
        <v>5212</v>
      </c>
      <c r="E88" s="2"/>
      <c r="F88" s="2"/>
      <c r="G88" s="2"/>
      <c r="H88" s="2"/>
      <c r="I88" s="2"/>
      <c r="J88" s="2"/>
    </row>
    <row r="89" spans="2:10">
      <c r="B89" s="2"/>
      <c r="C89" s="2"/>
      <c r="D89" s="2" t="s">
        <v>5213</v>
      </c>
      <c r="E89" s="2"/>
      <c r="F89" s="2"/>
      <c r="G89" s="2"/>
      <c r="H89" s="2"/>
      <c r="I89" s="2"/>
      <c r="J89" s="2"/>
    </row>
    <row r="90" spans="2:10">
      <c r="B90" s="2"/>
      <c r="C90" s="2"/>
      <c r="D90" s="2"/>
      <c r="E90" s="2" t="s">
        <v>5214</v>
      </c>
      <c r="F90" s="2"/>
      <c r="G90" s="2"/>
      <c r="H90" s="2"/>
      <c r="I90" s="2"/>
      <c r="J90" s="2"/>
    </row>
    <row r="91" spans="2:10">
      <c r="B91" s="2"/>
      <c r="C91" s="2"/>
      <c r="D91" s="2"/>
      <c r="E91" s="2" t="s">
        <v>5215</v>
      </c>
      <c r="F91" s="2"/>
      <c r="G91" s="2"/>
      <c r="H91" s="2"/>
      <c r="I91" s="2"/>
      <c r="J91" s="2"/>
    </row>
    <row r="92" spans="2:10">
      <c r="B92" s="2"/>
      <c r="C92" s="2"/>
      <c r="D92" s="2" t="s">
        <v>5216</v>
      </c>
      <c r="E92" s="2"/>
      <c r="F92" s="2"/>
      <c r="G92" s="2"/>
      <c r="H92" s="2"/>
      <c r="I92" s="2"/>
      <c r="J92" s="2"/>
    </row>
    <row r="93" spans="2:10">
      <c r="B93" s="2"/>
      <c r="C93" s="2"/>
      <c r="D93" s="2"/>
      <c r="E93" s="2" t="s">
        <v>5217</v>
      </c>
      <c r="F93" s="2"/>
      <c r="G93" s="2"/>
      <c r="H93" s="2"/>
      <c r="I93" s="2"/>
      <c r="J93" s="2"/>
    </row>
    <row r="94" spans="2:10">
      <c r="B94" s="2"/>
      <c r="C94" s="2"/>
      <c r="D94" s="2"/>
      <c r="E94" s="2" t="s">
        <v>5218</v>
      </c>
      <c r="F94" s="2"/>
      <c r="G94" s="2"/>
      <c r="H94" s="2"/>
      <c r="I94" s="2"/>
      <c r="J94" s="2"/>
    </row>
    <row r="95" spans="2:10">
      <c r="B95" s="2"/>
      <c r="C95" s="2" t="s">
        <v>5219</v>
      </c>
      <c r="D95" s="2"/>
      <c r="E95" s="2"/>
      <c r="F95" s="2"/>
      <c r="G95" s="2"/>
      <c r="H95" s="2"/>
      <c r="I95" s="2"/>
      <c r="J95" s="2"/>
    </row>
    <row r="96" spans="2:10">
      <c r="B96" s="2"/>
      <c r="C96" s="2"/>
      <c r="D96" s="2" t="s">
        <v>5220</v>
      </c>
      <c r="E96" s="2"/>
      <c r="F96" s="2"/>
      <c r="G96" s="2"/>
      <c r="H96" s="2"/>
      <c r="I96" s="2"/>
      <c r="J96" s="2"/>
    </row>
    <row r="97" spans="2:10">
      <c r="B97" s="2"/>
      <c r="C97" s="2"/>
      <c r="D97" s="2" t="s">
        <v>5221</v>
      </c>
      <c r="E97" s="2"/>
      <c r="F97" s="2"/>
      <c r="G97" s="2"/>
      <c r="H97" s="2"/>
      <c r="I97" s="2"/>
      <c r="J97" s="2"/>
    </row>
    <row r="98" spans="2:10">
      <c r="B98" s="2"/>
      <c r="C98" s="2"/>
      <c r="D98" s="2"/>
      <c r="E98" s="2" t="s">
        <v>5222</v>
      </c>
      <c r="F98" s="2"/>
      <c r="G98" s="2"/>
      <c r="H98" s="2"/>
      <c r="I98" s="2"/>
      <c r="J98" s="2"/>
    </row>
    <row r="99" spans="2:10">
      <c r="B99" s="2"/>
      <c r="C99" s="2"/>
      <c r="D99" s="2"/>
      <c r="E99" s="2" t="s">
        <v>5223</v>
      </c>
      <c r="F99" s="2"/>
      <c r="G99" s="2"/>
      <c r="H99" s="2"/>
      <c r="I99" s="2"/>
      <c r="J99" s="2"/>
    </row>
    <row r="100" spans="2:10">
      <c r="B100" t="s">
        <v>5224</v>
      </c>
    </row>
    <row r="101" spans="2:10">
      <c r="C101" t="s">
        <v>5225</v>
      </c>
    </row>
    <row r="102" spans="2:10">
      <c r="C102" t="s">
        <v>5226</v>
      </c>
    </row>
    <row r="103" spans="2:10">
      <c r="D103" t="s">
        <v>5227</v>
      </c>
    </row>
    <row r="104" spans="2:10">
      <c r="B104" t="s">
        <v>5228</v>
      </c>
    </row>
    <row r="105" spans="2:10">
      <c r="C105" t="s">
        <v>5229</v>
      </c>
    </row>
    <row r="106" spans="2:10">
      <c r="B106" t="s">
        <v>5230</v>
      </c>
    </row>
    <row r="107" spans="2:10">
      <c r="B107" t="s">
        <v>5231</v>
      </c>
    </row>
    <row r="108" spans="2:10">
      <c r="C108" t="s">
        <v>5232</v>
      </c>
    </row>
    <row r="109" spans="2:10">
      <c r="B109" t="s">
        <v>5233</v>
      </c>
    </row>
    <row r="110" spans="2:10">
      <c r="C110" t="s">
        <v>5234</v>
      </c>
    </row>
    <row r="111" spans="2:10">
      <c r="C111" t="s">
        <v>5235</v>
      </c>
    </row>
    <row r="112" spans="2:10">
      <c r="C112" t="s">
        <v>5236</v>
      </c>
    </row>
    <row r="113" spans="2:4">
      <c r="B113" t="s">
        <v>5237</v>
      </c>
    </row>
    <row r="114" spans="2:4">
      <c r="C114" t="s">
        <v>5238</v>
      </c>
    </row>
    <row r="115" spans="2:4">
      <c r="C115" t="s">
        <v>5239</v>
      </c>
    </row>
    <row r="116" spans="2:4">
      <c r="C116" t="s">
        <v>5240</v>
      </c>
    </row>
    <row r="117" spans="2:4">
      <c r="B117" t="s">
        <v>5241</v>
      </c>
    </row>
    <row r="118" spans="2:4">
      <c r="C118" t="s">
        <v>5242</v>
      </c>
    </row>
    <row r="119" spans="2:4">
      <c r="C119" t="s">
        <v>5243</v>
      </c>
    </row>
    <row r="120" spans="2:4">
      <c r="C120" t="s">
        <v>5244</v>
      </c>
    </row>
    <row r="121" spans="2:4">
      <c r="B121" t="s">
        <v>5245</v>
      </c>
    </row>
    <row r="122" spans="2:4">
      <c r="C122" t="s">
        <v>5246</v>
      </c>
    </row>
    <row r="123" spans="2:4">
      <c r="C123" t="s">
        <v>5247</v>
      </c>
    </row>
    <row r="124" spans="2:4">
      <c r="B124" t="s">
        <v>5248</v>
      </c>
    </row>
    <row r="125" spans="2:4">
      <c r="C125" t="s">
        <v>5249</v>
      </c>
    </row>
    <row r="126" spans="2:4">
      <c r="C126" t="s">
        <v>5250</v>
      </c>
    </row>
    <row r="127" spans="2:4">
      <c r="C127" t="s">
        <v>5251</v>
      </c>
    </row>
    <row r="128" spans="2:4">
      <c r="D128" t="s">
        <v>5252</v>
      </c>
    </row>
    <row r="129" spans="3:4">
      <c r="C129" t="s">
        <v>5253</v>
      </c>
    </row>
    <row r="130" spans="3:4">
      <c r="D130" t="s">
        <v>5254</v>
      </c>
    </row>
  </sheetData>
  <pageMargins left="0.75" right="0.75" top="1" bottom="1" header="0.5" footer="0.5"/>
  <pageSetup paperSize="9" orientation="portrait"/>
  <headerFooter/>
</worksheet>
</file>

<file path=xl/worksheets/sheet2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K144"/>
  <sheetViews>
    <sheetView zoomScale="115" zoomScaleNormal="115" topLeftCell="A22" workbookViewId="0">
      <selection activeCell="D46" sqref="D46"/>
    </sheetView>
  </sheetViews>
  <sheetFormatPr defaultColWidth="8.88888888888889" defaultRowHeight="14.4"/>
  <cols>
    <col min="1" max="1" width="9.66666666666667"/>
  </cols>
  <sheetData>
    <row r="1" spans="1:11">
      <c r="A1" s="1">
        <f>SUM(B1:AZ1)</f>
        <v>38.4166666666667</v>
      </c>
      <c r="B1" s="1">
        <f t="shared" ref="B1:H1" si="0">COUNTA(B2:B2220)/COLUMN()</f>
        <v>6.5</v>
      </c>
      <c r="C1" s="1">
        <f t="shared" si="0"/>
        <v>10</v>
      </c>
      <c r="D1" s="1">
        <f t="shared" si="0"/>
        <v>10.75</v>
      </c>
      <c r="E1" s="1">
        <f t="shared" si="0"/>
        <v>10</v>
      </c>
      <c r="F1" s="1">
        <f t="shared" si="0"/>
        <v>1.16666666666667</v>
      </c>
      <c r="G1" s="1">
        <f t="shared" si="0"/>
        <v>0</v>
      </c>
      <c r="H1" s="1">
        <f t="shared" si="0"/>
        <v>0</v>
      </c>
    </row>
    <row r="2" spans="1:11">
      <c r="A2" t="str" cm="1">
        <f ca="1" t="array" ref="A2">_wpsfn.SHEETSNAME(A1)</f>
        <v>20251206</v>
      </c>
      <c r="B2" s="2" t="s">
        <v>5255</v>
      </c>
      <c r="C2" s="2"/>
      <c r="D2" s="2"/>
      <c r="E2" s="2"/>
      <c r="F2" s="2"/>
      <c r="G2" s="2"/>
      <c r="H2" s="2"/>
      <c r="I2" s="2"/>
      <c r="J2" s="2"/>
      <c r="K2" s="2"/>
    </row>
    <row r="3" spans="1:11">
      <c r="B3" s="2"/>
      <c r="C3" s="2" t="s">
        <v>5256</v>
      </c>
      <c r="D3" s="2"/>
      <c r="E3" s="2"/>
      <c r="F3" s="2"/>
      <c r="G3" s="2"/>
      <c r="H3" s="2"/>
      <c r="I3" s="2"/>
      <c r="J3" s="2"/>
      <c r="K3" s="2"/>
    </row>
    <row r="4" spans="1:11">
      <c r="B4" s="2"/>
      <c r="C4" s="2"/>
      <c r="D4" s="2" t="s">
        <v>5257</v>
      </c>
      <c r="E4" s="2"/>
      <c r="F4" s="2"/>
      <c r="G4" s="2"/>
      <c r="H4" s="2"/>
      <c r="I4" s="2"/>
      <c r="J4" s="2"/>
      <c r="K4" s="2"/>
    </row>
    <row r="5" spans="1:11">
      <c r="B5" s="2"/>
      <c r="C5" s="2"/>
      <c r="D5" s="2" t="s">
        <v>5258</v>
      </c>
      <c r="E5" s="2"/>
      <c r="F5" s="2"/>
      <c r="G5" s="2"/>
      <c r="H5" s="2"/>
      <c r="I5" s="2"/>
      <c r="J5" s="2"/>
      <c r="K5" s="2"/>
    </row>
    <row r="6" spans="1:11">
      <c r="B6" s="2"/>
      <c r="C6" s="2"/>
      <c r="D6" s="2"/>
      <c r="E6" s="2" t="s">
        <v>5259</v>
      </c>
      <c r="F6" s="2"/>
      <c r="G6" s="2"/>
      <c r="H6" s="2"/>
      <c r="I6" s="2"/>
      <c r="J6" s="2"/>
      <c r="K6" s="2"/>
    </row>
    <row r="7" spans="1:11">
      <c r="B7" s="2"/>
      <c r="C7" s="2"/>
      <c r="D7" s="2"/>
      <c r="E7" s="2" t="s">
        <v>5260</v>
      </c>
      <c r="F7" s="2"/>
      <c r="G7" s="2"/>
      <c r="H7" s="2"/>
      <c r="I7" s="2"/>
      <c r="J7" s="2"/>
      <c r="K7" s="2"/>
    </row>
    <row r="8" spans="1:11">
      <c r="B8" s="2"/>
      <c r="C8" s="2"/>
      <c r="D8" s="2" t="s">
        <v>5261</v>
      </c>
      <c r="E8" s="2"/>
      <c r="F8" s="2"/>
      <c r="G8" s="2"/>
      <c r="H8" s="2"/>
      <c r="I8" s="2"/>
      <c r="J8" s="2"/>
      <c r="K8" s="2"/>
    </row>
    <row r="9" spans="1:11">
      <c r="B9" s="2"/>
      <c r="C9" s="2"/>
      <c r="D9" s="2" t="s">
        <v>5262</v>
      </c>
      <c r="E9" s="2"/>
      <c r="F9" s="2"/>
      <c r="G9" s="2"/>
      <c r="H9" s="2"/>
      <c r="I9" s="2"/>
      <c r="J9" s="2"/>
      <c r="K9" s="2"/>
    </row>
    <row r="10" spans="1:11">
      <c r="B10" s="2"/>
      <c r="C10" s="2"/>
      <c r="D10" s="2" t="s">
        <v>5263</v>
      </c>
      <c r="E10" s="2"/>
      <c r="F10" s="2"/>
      <c r="G10" s="2"/>
      <c r="H10" s="2"/>
      <c r="I10" s="2"/>
      <c r="J10" s="2"/>
      <c r="K10" s="2"/>
    </row>
    <row r="11" spans="1:11">
      <c r="B11" s="2"/>
      <c r="C11" s="2" t="s">
        <v>5264</v>
      </c>
      <c r="D11" s="2"/>
      <c r="E11" s="2"/>
      <c r="F11" s="2"/>
      <c r="G11" s="2"/>
      <c r="H11" s="2"/>
      <c r="I11" s="2"/>
      <c r="J11" s="2"/>
      <c r="K11" s="2"/>
    </row>
    <row r="12" spans="1:11">
      <c r="B12" s="2"/>
      <c r="C12" s="2"/>
      <c r="D12" s="2" t="s">
        <v>5265</v>
      </c>
      <c r="E12" s="2"/>
      <c r="F12" s="2"/>
      <c r="G12" s="2"/>
      <c r="H12" s="2"/>
      <c r="I12" s="2"/>
      <c r="J12" s="2"/>
      <c r="K12" s="2"/>
    </row>
    <row r="13" spans="1:11">
      <c r="B13" s="2"/>
      <c r="C13" s="2"/>
      <c r="D13" s="2"/>
      <c r="E13" s="2" t="s">
        <v>5266</v>
      </c>
      <c r="F13" s="2"/>
      <c r="G13" s="2"/>
      <c r="H13" s="2"/>
      <c r="I13" s="2"/>
      <c r="J13" s="2"/>
      <c r="K13" s="2"/>
    </row>
    <row r="14" spans="1:11">
      <c r="B14" s="2"/>
      <c r="C14" s="2"/>
      <c r="D14" s="2"/>
      <c r="E14" s="2" t="s">
        <v>5267</v>
      </c>
      <c r="F14" s="2"/>
      <c r="G14" s="2"/>
      <c r="H14" s="2"/>
      <c r="I14" s="2"/>
      <c r="J14" s="2"/>
      <c r="K14" s="2"/>
    </row>
    <row r="15" spans="1:11">
      <c r="B15" s="2"/>
      <c r="C15" s="2"/>
      <c r="D15" s="2"/>
      <c r="E15" s="2" t="s">
        <v>5268</v>
      </c>
      <c r="F15" s="2"/>
      <c r="G15" s="2"/>
      <c r="H15" s="2"/>
      <c r="I15" s="2"/>
      <c r="J15" s="2"/>
      <c r="K15" s="2"/>
    </row>
    <row r="16" spans="1:11">
      <c r="B16" s="2"/>
      <c r="C16" s="2"/>
      <c r="D16" s="2" t="s">
        <v>4999</v>
      </c>
      <c r="E16" s="2"/>
      <c r="F16" s="2"/>
      <c r="G16" s="2"/>
      <c r="H16" s="2"/>
      <c r="I16" s="2"/>
      <c r="J16" s="2"/>
      <c r="K16" s="2"/>
    </row>
    <row r="17" spans="2:11">
      <c r="B17" s="2"/>
      <c r="C17" s="2"/>
      <c r="D17" s="2"/>
      <c r="E17" s="2" t="s">
        <v>5269</v>
      </c>
      <c r="F17" s="2"/>
      <c r="G17" s="2"/>
      <c r="H17" s="2"/>
      <c r="I17" s="2"/>
      <c r="J17" s="2"/>
      <c r="K17" s="2"/>
    </row>
    <row r="18" spans="2:11">
      <c r="B18" s="2"/>
      <c r="C18" s="2"/>
      <c r="D18" s="2"/>
      <c r="E18" s="2" t="s">
        <v>5270</v>
      </c>
      <c r="F18" s="2"/>
      <c r="G18" s="2"/>
      <c r="H18" s="2"/>
      <c r="I18" s="2"/>
      <c r="J18" s="2"/>
      <c r="K18" s="2"/>
    </row>
    <row r="19" spans="2:11">
      <c r="B19" s="2"/>
      <c r="C19" s="2" t="s">
        <v>5271</v>
      </c>
      <c r="D19" s="2"/>
      <c r="E19" s="2"/>
      <c r="F19" s="2"/>
      <c r="G19" s="2"/>
      <c r="H19" s="2"/>
      <c r="I19" s="2"/>
      <c r="J19" s="2"/>
      <c r="K19" s="2"/>
    </row>
    <row r="20" spans="2:11">
      <c r="B20" s="2"/>
      <c r="C20" s="2"/>
      <c r="D20" s="2" t="s">
        <v>5272</v>
      </c>
      <c r="E20" s="2"/>
      <c r="F20" s="2"/>
      <c r="G20" s="2"/>
      <c r="H20" s="2"/>
      <c r="I20" s="2"/>
      <c r="J20" s="2"/>
      <c r="K20" s="2"/>
    </row>
    <row r="21" spans="2:11">
      <c r="B21" s="2"/>
      <c r="C21" s="2"/>
      <c r="D21" s="2" t="s">
        <v>5273</v>
      </c>
      <c r="E21" s="2"/>
      <c r="F21" s="2"/>
      <c r="G21" s="2"/>
      <c r="H21" s="2"/>
      <c r="I21" s="2"/>
      <c r="J21" s="2"/>
      <c r="K21" s="2"/>
    </row>
    <row r="22" spans="2:11">
      <c r="B22" s="2"/>
      <c r="C22" s="2"/>
      <c r="D22" s="2" t="s">
        <v>5274</v>
      </c>
      <c r="E22" s="2"/>
      <c r="F22" s="2"/>
      <c r="G22" s="2"/>
      <c r="H22" s="2"/>
      <c r="I22" s="2"/>
      <c r="J22" s="2"/>
      <c r="K22" s="2"/>
    </row>
    <row r="23" spans="2:11">
      <c r="B23" s="2"/>
      <c r="C23" s="2"/>
      <c r="D23" s="2"/>
      <c r="E23" s="2" t="s">
        <v>5275</v>
      </c>
      <c r="F23" s="2"/>
      <c r="G23" s="2"/>
      <c r="H23" s="2"/>
      <c r="I23" s="2"/>
      <c r="J23" s="2"/>
      <c r="K23" s="2"/>
    </row>
    <row r="24" spans="2:11">
      <c r="B24" s="2"/>
      <c r="C24" s="2"/>
      <c r="D24" s="2"/>
      <c r="E24" s="2" t="s">
        <v>5276</v>
      </c>
      <c r="F24" s="2"/>
      <c r="G24" s="2"/>
      <c r="H24" s="2"/>
      <c r="I24" s="2"/>
      <c r="J24" s="2"/>
      <c r="K24" s="2"/>
    </row>
    <row r="25" spans="2:11">
      <c r="B25" s="2"/>
      <c r="C25" s="2"/>
      <c r="D25" s="2"/>
      <c r="E25" s="2" t="s">
        <v>5277</v>
      </c>
      <c r="F25" s="2"/>
      <c r="G25" s="2"/>
      <c r="H25" s="2"/>
      <c r="I25" s="2"/>
      <c r="J25" s="2"/>
      <c r="K25" s="2"/>
    </row>
    <row r="26" spans="2:11">
      <c r="B26" s="2"/>
      <c r="C26" s="2" t="s">
        <v>5278</v>
      </c>
      <c r="D26" s="2"/>
      <c r="E26" s="2"/>
      <c r="F26" s="2"/>
      <c r="G26" s="2"/>
      <c r="H26" s="2"/>
      <c r="I26" s="2"/>
      <c r="J26" s="2"/>
      <c r="K26" s="2"/>
    </row>
    <row r="27" spans="2:11">
      <c r="B27" s="2"/>
      <c r="C27" s="2"/>
      <c r="D27" s="2" t="s">
        <v>5279</v>
      </c>
      <c r="E27" s="2"/>
      <c r="F27" s="2"/>
      <c r="G27" s="2"/>
      <c r="H27" s="2"/>
      <c r="I27" s="2"/>
      <c r="J27" s="2"/>
      <c r="K27" s="2"/>
    </row>
    <row r="28" spans="2:11">
      <c r="B28" s="2"/>
      <c r="C28" s="2"/>
      <c r="D28" s="2"/>
      <c r="E28" s="2" t="s">
        <v>5280</v>
      </c>
      <c r="F28" s="2"/>
      <c r="G28" s="2"/>
      <c r="H28" s="2"/>
      <c r="I28" s="2"/>
      <c r="J28" s="2"/>
      <c r="K28" s="2"/>
    </row>
    <row r="29" spans="2:11">
      <c r="B29" s="2"/>
      <c r="C29" s="2"/>
      <c r="D29" s="2"/>
      <c r="E29" s="2" t="s">
        <v>5281</v>
      </c>
      <c r="F29" s="2"/>
      <c r="G29" s="2"/>
      <c r="H29" s="2"/>
      <c r="I29" s="2"/>
      <c r="J29" s="2"/>
      <c r="K29" s="2"/>
    </row>
    <row r="30" spans="2:11">
      <c r="B30" s="2"/>
      <c r="C30" s="2"/>
      <c r="D30" s="2" t="s">
        <v>5282</v>
      </c>
      <c r="E30" s="2"/>
      <c r="F30" s="2"/>
      <c r="G30" s="2"/>
      <c r="H30" s="2"/>
      <c r="I30" s="2"/>
      <c r="J30" s="2"/>
      <c r="K30" s="2"/>
    </row>
    <row r="31" spans="2:11">
      <c r="B31" s="2"/>
      <c r="C31" s="2"/>
      <c r="D31" s="2"/>
      <c r="E31" s="2" t="s">
        <v>5283</v>
      </c>
      <c r="F31" s="2"/>
      <c r="G31" s="2"/>
      <c r="H31" s="2"/>
      <c r="I31" s="2"/>
      <c r="J31" s="2"/>
      <c r="K31" s="2"/>
    </row>
    <row r="32" spans="2:11">
      <c r="B32" s="2"/>
      <c r="C32" s="2"/>
      <c r="D32" s="2"/>
      <c r="E32" s="2"/>
      <c r="F32" s="2" t="s">
        <v>5284</v>
      </c>
      <c r="G32" s="2"/>
      <c r="H32" s="2"/>
      <c r="I32" s="2"/>
      <c r="J32" s="2"/>
      <c r="K32" s="2"/>
    </row>
    <row r="33" spans="2:11">
      <c r="B33" s="2"/>
      <c r="C33" s="2"/>
      <c r="D33" s="2"/>
      <c r="E33" s="2"/>
      <c r="F33" s="2" t="s">
        <v>5285</v>
      </c>
      <c r="G33" s="2"/>
      <c r="H33" s="2"/>
      <c r="I33" s="2"/>
      <c r="J33" s="2"/>
      <c r="K33" s="2"/>
    </row>
    <row r="34" spans="2:11">
      <c r="B34" s="2"/>
      <c r="C34" s="2"/>
      <c r="D34" s="2"/>
      <c r="E34" s="2"/>
      <c r="F34" s="2" t="s">
        <v>5286</v>
      </c>
      <c r="G34" s="2"/>
      <c r="H34" s="2"/>
      <c r="I34" s="2"/>
      <c r="J34" s="2"/>
      <c r="K34" s="2"/>
    </row>
    <row r="35" spans="2:11">
      <c r="B35" s="2"/>
      <c r="C35" s="2"/>
      <c r="D35" s="2"/>
      <c r="E35" s="2"/>
      <c r="F35" s="2" t="s">
        <v>5287</v>
      </c>
      <c r="G35" s="2"/>
      <c r="H35" s="2"/>
      <c r="I35" s="2"/>
      <c r="J35" s="2"/>
      <c r="K35" s="2"/>
    </row>
    <row r="36" spans="2:11">
      <c r="B36" s="2"/>
      <c r="C36" s="2"/>
      <c r="D36" s="2"/>
      <c r="E36" s="2"/>
      <c r="F36" s="2" t="s">
        <v>5288</v>
      </c>
      <c r="G36" s="2"/>
      <c r="H36" s="2"/>
      <c r="I36" s="2"/>
      <c r="J36" s="2"/>
      <c r="K36" s="2"/>
    </row>
    <row r="37" spans="2:11">
      <c r="B37" s="2"/>
      <c r="C37" s="2"/>
      <c r="D37" s="2"/>
      <c r="E37" s="2" t="s">
        <v>5289</v>
      </c>
      <c r="F37" s="2"/>
      <c r="G37" s="2"/>
      <c r="H37" s="2"/>
      <c r="I37" s="2"/>
      <c r="J37" s="2"/>
      <c r="K37" s="2"/>
    </row>
    <row r="38" spans="2:11">
      <c r="B38" s="2" t="s">
        <v>5290</v>
      </c>
      <c r="C38" s="2"/>
      <c r="D38" s="2"/>
      <c r="E38" s="2"/>
      <c r="F38" s="2"/>
      <c r="G38" s="2"/>
      <c r="H38" s="2"/>
      <c r="I38" s="2"/>
      <c r="J38" s="2"/>
      <c r="K38" s="2"/>
    </row>
    <row r="39" spans="2:11">
      <c r="B39" s="2"/>
      <c r="C39" s="2" t="s">
        <v>5291</v>
      </c>
      <c r="D39" s="2"/>
      <c r="E39" s="2"/>
      <c r="F39" s="2"/>
      <c r="G39" s="2"/>
      <c r="H39" s="2"/>
      <c r="I39" s="2"/>
      <c r="J39" s="2"/>
      <c r="K39" s="2"/>
    </row>
    <row r="40" spans="2:11">
      <c r="B40" s="2"/>
      <c r="C40" s="2"/>
      <c r="D40" s="2" t="s">
        <v>5292</v>
      </c>
      <c r="E40" s="2"/>
      <c r="F40" s="2"/>
      <c r="G40" s="2"/>
      <c r="H40" s="2"/>
      <c r="I40" s="2"/>
      <c r="J40" s="2"/>
      <c r="K40" s="2"/>
    </row>
    <row r="41" spans="2:11">
      <c r="B41" s="2"/>
      <c r="C41" s="2"/>
      <c r="D41" s="2" t="s">
        <v>5293</v>
      </c>
      <c r="E41" s="2"/>
      <c r="F41" s="2"/>
      <c r="G41" s="2"/>
      <c r="H41" s="2"/>
      <c r="I41" s="2"/>
      <c r="J41" s="2"/>
      <c r="K41" s="2"/>
    </row>
    <row r="42" spans="2:11">
      <c r="B42" s="2"/>
      <c r="C42" s="2"/>
      <c r="D42" s="2"/>
      <c r="E42" s="2" t="s">
        <v>5294</v>
      </c>
      <c r="F42" s="2"/>
      <c r="G42" s="2"/>
      <c r="H42" s="2"/>
      <c r="I42" s="2"/>
      <c r="J42" s="2"/>
      <c r="K42" s="2"/>
    </row>
    <row r="43" spans="2:11">
      <c r="B43" s="2"/>
      <c r="C43" s="2"/>
      <c r="D43" s="2"/>
      <c r="E43" s="2" t="s">
        <v>5295</v>
      </c>
      <c r="F43" s="2"/>
      <c r="G43" s="2"/>
      <c r="H43" s="2"/>
      <c r="I43" s="2"/>
      <c r="J43" s="2"/>
      <c r="K43" s="2"/>
    </row>
    <row r="44" spans="2:11">
      <c r="B44" s="2"/>
      <c r="C44" s="2" t="s">
        <v>5296</v>
      </c>
      <c r="D44" s="2"/>
      <c r="E44" s="2"/>
      <c r="F44" s="2"/>
      <c r="G44" s="2"/>
      <c r="H44" s="2"/>
      <c r="I44" s="2"/>
      <c r="J44" s="2"/>
      <c r="K44" s="2"/>
    </row>
    <row r="45" spans="2:11">
      <c r="B45" s="2"/>
      <c r="C45" s="2"/>
      <c r="D45" s="2" t="s">
        <v>5297</v>
      </c>
      <c r="E45" s="2"/>
      <c r="F45" s="2"/>
      <c r="G45" s="2"/>
      <c r="H45" s="2"/>
      <c r="I45" s="2"/>
      <c r="J45" s="2"/>
      <c r="K45" s="2"/>
    </row>
    <row r="46" spans="2:11">
      <c r="B46" s="2"/>
      <c r="C46" s="2"/>
      <c r="D46" s="2" t="s">
        <v>5298</v>
      </c>
      <c r="E46" s="2"/>
      <c r="F46" s="2"/>
      <c r="G46" s="2"/>
      <c r="H46" s="2"/>
      <c r="I46" s="2"/>
      <c r="J46" s="2"/>
      <c r="K46" s="2"/>
    </row>
    <row r="47" spans="2:11">
      <c r="B47" s="2"/>
      <c r="C47" s="2"/>
      <c r="D47" s="2"/>
      <c r="E47" s="2" t="s">
        <v>5299</v>
      </c>
      <c r="F47" s="2"/>
      <c r="G47" s="2"/>
      <c r="H47" s="2"/>
      <c r="I47" s="2"/>
      <c r="J47" s="2"/>
      <c r="K47" s="2"/>
    </row>
    <row r="48" spans="2:11">
      <c r="B48" s="2"/>
      <c r="C48" s="2"/>
      <c r="D48" s="2" t="s">
        <v>5300</v>
      </c>
      <c r="E48" s="2"/>
      <c r="F48" s="2"/>
      <c r="G48" s="2"/>
      <c r="H48" s="2"/>
      <c r="I48" s="2"/>
      <c r="J48" s="2"/>
      <c r="K48" s="2"/>
    </row>
    <row r="49" spans="2:11">
      <c r="B49" s="2"/>
      <c r="C49" s="2"/>
      <c r="D49" s="2"/>
      <c r="E49" s="2" t="s">
        <v>5301</v>
      </c>
      <c r="F49" s="2"/>
      <c r="G49" s="2"/>
      <c r="H49" s="2"/>
      <c r="I49" s="2"/>
      <c r="J49" s="2"/>
      <c r="K49" s="2"/>
    </row>
    <row r="50" spans="2:11">
      <c r="B50" s="2"/>
      <c r="C50" s="2"/>
      <c r="D50" s="2"/>
      <c r="E50" s="2" t="s">
        <v>5302</v>
      </c>
      <c r="F50" s="2"/>
      <c r="G50" s="2"/>
      <c r="H50" s="2"/>
      <c r="I50" s="2"/>
      <c r="J50" s="2"/>
      <c r="K50" s="2"/>
    </row>
    <row r="51" spans="2:11">
      <c r="B51" s="2"/>
      <c r="C51" s="2" t="s">
        <v>5303</v>
      </c>
      <c r="D51" s="2"/>
      <c r="E51" s="2"/>
      <c r="F51" s="2"/>
      <c r="G51" s="2"/>
      <c r="H51" s="2"/>
      <c r="I51" s="2"/>
      <c r="J51" s="2"/>
      <c r="K51" s="2"/>
    </row>
    <row r="52" spans="2:11">
      <c r="B52" s="2"/>
      <c r="C52" s="2"/>
      <c r="D52" s="2" t="s">
        <v>5304</v>
      </c>
      <c r="E52" s="2"/>
      <c r="F52" s="2"/>
      <c r="G52" s="2"/>
      <c r="H52" s="2"/>
      <c r="I52" s="2"/>
      <c r="J52" s="2"/>
      <c r="K52" s="2"/>
    </row>
    <row r="53" spans="2:11">
      <c r="B53" s="2"/>
      <c r="C53" s="2"/>
      <c r="D53" s="2"/>
      <c r="E53" s="2" t="s">
        <v>5305</v>
      </c>
      <c r="F53" s="2"/>
      <c r="G53" s="2"/>
      <c r="H53" s="2"/>
      <c r="I53" s="2"/>
      <c r="J53" s="2"/>
      <c r="K53" s="2"/>
    </row>
    <row r="54" spans="2:11">
      <c r="B54" s="2"/>
      <c r="C54" s="2"/>
      <c r="D54" s="2"/>
      <c r="E54" s="2" t="s">
        <v>5306</v>
      </c>
      <c r="F54" s="2"/>
      <c r="G54" s="2"/>
      <c r="H54" s="2"/>
      <c r="I54" s="2"/>
      <c r="J54" s="2"/>
      <c r="K54" s="2"/>
    </row>
    <row r="55" spans="2:11">
      <c r="B55" s="2"/>
      <c r="C55" s="2"/>
      <c r="D55" s="2" t="s">
        <v>5307</v>
      </c>
      <c r="E55" s="2"/>
      <c r="F55" s="2"/>
      <c r="G55" s="2"/>
      <c r="H55" s="2"/>
      <c r="I55" s="2"/>
      <c r="J55" s="2"/>
      <c r="K55" s="2"/>
    </row>
    <row r="56" spans="2:11">
      <c r="B56" s="2"/>
      <c r="C56" s="2"/>
      <c r="D56" s="2"/>
      <c r="E56" s="2" t="s">
        <v>5308</v>
      </c>
      <c r="F56" s="2"/>
      <c r="G56" s="2"/>
      <c r="H56" s="2"/>
      <c r="I56" s="2"/>
      <c r="J56" s="2"/>
      <c r="K56" s="2"/>
    </row>
    <row r="57" spans="2:11">
      <c r="B57" s="2"/>
      <c r="C57" s="2"/>
      <c r="D57" s="2"/>
      <c r="E57" s="2" t="s">
        <v>5309</v>
      </c>
      <c r="F57" s="2"/>
      <c r="G57" s="2"/>
      <c r="H57" s="2"/>
      <c r="I57" s="2"/>
      <c r="J57" s="2"/>
      <c r="K57" s="2"/>
    </row>
    <row r="58" spans="2:11">
      <c r="B58" s="2"/>
      <c r="C58" s="2"/>
      <c r="D58" s="2" t="s">
        <v>5310</v>
      </c>
      <c r="E58" s="2"/>
      <c r="F58" s="2"/>
      <c r="G58" s="2"/>
      <c r="H58" s="2"/>
      <c r="I58" s="2"/>
      <c r="J58" s="2"/>
      <c r="K58" s="2"/>
    </row>
    <row r="59" spans="2:11">
      <c r="B59" s="2"/>
      <c r="C59" s="2"/>
      <c r="D59" s="2"/>
      <c r="E59" s="2" t="s">
        <v>5311</v>
      </c>
      <c r="F59" s="2"/>
      <c r="G59" s="2"/>
      <c r="H59" s="2"/>
      <c r="I59" s="2"/>
      <c r="J59" s="2"/>
      <c r="K59" s="2"/>
    </row>
    <row r="60" spans="2:11">
      <c r="B60" s="2"/>
      <c r="C60" s="2"/>
      <c r="D60" s="2"/>
      <c r="E60" s="2" t="s">
        <v>5312</v>
      </c>
      <c r="F60" s="2"/>
      <c r="G60" s="2"/>
      <c r="H60" s="2"/>
      <c r="I60" s="2"/>
      <c r="J60" s="2"/>
      <c r="K60" s="2"/>
    </row>
    <row r="61" spans="2:11">
      <c r="B61" s="2"/>
      <c r="C61" s="2"/>
      <c r="D61" s="2"/>
      <c r="E61" s="2" t="s">
        <v>5313</v>
      </c>
      <c r="F61" s="2"/>
      <c r="G61" s="2"/>
      <c r="H61" s="2"/>
      <c r="I61" s="2"/>
      <c r="J61" s="2"/>
      <c r="K61" s="2"/>
    </row>
    <row r="62" spans="2:11">
      <c r="B62" s="2" t="s">
        <v>5314</v>
      </c>
      <c r="C62" s="2"/>
      <c r="D62" s="2"/>
      <c r="E62" s="2"/>
      <c r="F62" s="2"/>
      <c r="G62" s="2"/>
      <c r="H62" s="2"/>
      <c r="I62" s="2"/>
      <c r="J62" s="2"/>
      <c r="K62" s="2"/>
    </row>
    <row r="63" spans="2:11">
      <c r="B63" s="2"/>
      <c r="C63" s="2" t="s">
        <v>5315</v>
      </c>
      <c r="D63" s="2"/>
      <c r="E63" s="2"/>
      <c r="F63" s="2"/>
      <c r="G63" s="2"/>
      <c r="H63" s="2"/>
      <c r="I63" s="2"/>
      <c r="J63" s="2"/>
      <c r="K63" s="2"/>
    </row>
    <row r="64" spans="2:11">
      <c r="B64" s="2"/>
      <c r="C64" s="2"/>
      <c r="D64" s="2" t="s">
        <v>5316</v>
      </c>
      <c r="E64" s="2"/>
      <c r="F64" s="2"/>
      <c r="G64" s="2"/>
      <c r="H64" s="2"/>
      <c r="I64" s="2"/>
      <c r="J64" s="2"/>
      <c r="K64" s="2"/>
    </row>
    <row r="65" spans="2:11">
      <c r="B65" s="2"/>
      <c r="C65" s="2"/>
      <c r="D65" s="2"/>
      <c r="E65" s="2" t="s">
        <v>5317</v>
      </c>
      <c r="F65" s="2"/>
      <c r="G65" s="2"/>
      <c r="H65" s="2"/>
      <c r="I65" s="2"/>
      <c r="J65" s="2"/>
      <c r="K65" s="2"/>
    </row>
    <row r="66" spans="2:11">
      <c r="B66" s="2"/>
      <c r="C66" s="2"/>
      <c r="D66" s="2"/>
      <c r="E66" s="2" t="s">
        <v>5318</v>
      </c>
      <c r="F66" s="2"/>
      <c r="G66" s="2"/>
      <c r="H66" s="2"/>
      <c r="I66" s="2"/>
      <c r="J66" s="2"/>
      <c r="K66" s="2"/>
    </row>
    <row r="67" spans="2:11">
      <c r="B67" s="2"/>
      <c r="C67" s="2"/>
      <c r="D67" s="2" t="s">
        <v>5319</v>
      </c>
      <c r="E67" s="2"/>
      <c r="F67" s="2"/>
      <c r="G67" s="2"/>
      <c r="H67" s="2"/>
      <c r="I67" s="2"/>
      <c r="J67" s="2"/>
      <c r="K67" s="2"/>
    </row>
    <row r="68" spans="2:11">
      <c r="B68" s="2"/>
      <c r="C68" s="2"/>
      <c r="D68" s="2"/>
      <c r="E68" s="2" t="s">
        <v>5320</v>
      </c>
      <c r="F68" s="2"/>
      <c r="G68" s="2"/>
      <c r="H68" s="2"/>
      <c r="I68" s="2"/>
      <c r="J68" s="2"/>
      <c r="K68" s="2"/>
    </row>
    <row r="69" spans="2:11">
      <c r="B69" s="2"/>
      <c r="C69" s="2"/>
      <c r="D69" s="2"/>
      <c r="E69" s="2" t="s">
        <v>5321</v>
      </c>
      <c r="F69" s="2"/>
      <c r="G69" s="2"/>
      <c r="H69" s="2"/>
      <c r="I69" s="2"/>
      <c r="J69" s="2"/>
      <c r="K69" s="2"/>
    </row>
    <row r="70" spans="2:11">
      <c r="B70" s="2"/>
      <c r="C70" s="2"/>
      <c r="D70" s="2" t="s">
        <v>5322</v>
      </c>
      <c r="E70" s="2"/>
      <c r="F70" s="2"/>
      <c r="G70" s="2"/>
      <c r="H70" s="2"/>
      <c r="I70" s="2"/>
      <c r="J70" s="2"/>
      <c r="K70" s="2"/>
    </row>
    <row r="71" spans="2:11">
      <c r="B71" s="2"/>
      <c r="C71" s="2"/>
      <c r="D71" s="2"/>
      <c r="E71" s="2" t="s">
        <v>5323</v>
      </c>
      <c r="F71" s="2"/>
      <c r="G71" s="2"/>
      <c r="H71" s="2"/>
      <c r="I71" s="2"/>
      <c r="J71" s="2"/>
      <c r="K71" s="2"/>
    </row>
    <row r="72" spans="2:11">
      <c r="B72" s="2"/>
      <c r="C72" s="2" t="s">
        <v>5324</v>
      </c>
      <c r="D72" s="2"/>
      <c r="E72" s="2"/>
      <c r="F72" s="2"/>
      <c r="G72" s="2"/>
      <c r="H72" s="2"/>
      <c r="I72" s="2"/>
      <c r="J72" s="2"/>
      <c r="K72" s="2"/>
    </row>
    <row r="73" spans="2:11">
      <c r="B73" s="2"/>
      <c r="C73" s="2"/>
      <c r="D73" s="2" t="s">
        <v>5325</v>
      </c>
      <c r="E73" s="2"/>
      <c r="F73" s="2"/>
      <c r="G73" s="2"/>
      <c r="H73" s="2"/>
      <c r="I73" s="2"/>
      <c r="J73" s="2"/>
      <c r="K73" s="2"/>
    </row>
    <row r="74" spans="2:11">
      <c r="B74" s="2"/>
      <c r="C74" s="2"/>
      <c r="D74" s="2"/>
      <c r="E74" s="2" t="s">
        <v>5326</v>
      </c>
      <c r="F74" s="2"/>
      <c r="G74" s="2"/>
      <c r="H74" s="2"/>
      <c r="I74" s="2"/>
      <c r="J74" s="2"/>
      <c r="K74" s="2"/>
    </row>
    <row r="75" spans="2:11">
      <c r="B75" s="2"/>
      <c r="C75" s="2"/>
      <c r="D75" s="2"/>
      <c r="E75" s="2" t="s">
        <v>5327</v>
      </c>
      <c r="F75" s="2"/>
      <c r="G75" s="2"/>
      <c r="H75" s="2"/>
      <c r="I75" s="2"/>
      <c r="J75" s="2"/>
      <c r="K75" s="2"/>
    </row>
    <row r="76" spans="2:11">
      <c r="B76" s="2"/>
      <c r="C76" s="2"/>
      <c r="D76" s="2" t="s">
        <v>5328</v>
      </c>
      <c r="E76" s="2"/>
      <c r="F76" s="2"/>
      <c r="G76" s="2"/>
      <c r="H76" s="2"/>
      <c r="I76" s="2"/>
      <c r="J76" s="2"/>
      <c r="K76" s="2"/>
    </row>
    <row r="77" spans="2:11">
      <c r="B77" s="2"/>
      <c r="C77" s="2"/>
      <c r="D77" s="2"/>
      <c r="E77" s="2" t="s">
        <v>5329</v>
      </c>
      <c r="F77" s="2"/>
      <c r="G77" s="2"/>
      <c r="H77" s="2"/>
      <c r="I77" s="2"/>
      <c r="J77" s="2"/>
      <c r="K77" s="2"/>
    </row>
    <row r="78" spans="2:11">
      <c r="B78" s="2"/>
      <c r="C78" s="2"/>
      <c r="D78" s="2"/>
      <c r="E78" s="2" t="s">
        <v>5330</v>
      </c>
      <c r="F78" s="2"/>
      <c r="G78" s="2"/>
      <c r="H78" s="2"/>
      <c r="I78" s="2"/>
      <c r="J78" s="2"/>
      <c r="K78" s="2"/>
    </row>
    <row r="79" spans="2:11">
      <c r="B79" s="2"/>
      <c r="C79" s="2"/>
      <c r="D79" s="2" t="s">
        <v>5331</v>
      </c>
      <c r="E79" s="2"/>
      <c r="F79" s="2"/>
      <c r="G79" s="2"/>
      <c r="H79" s="2"/>
      <c r="I79" s="2"/>
      <c r="J79" s="2"/>
      <c r="K79" s="2"/>
    </row>
    <row r="80" spans="2:11">
      <c r="B80" s="2"/>
      <c r="C80" s="2"/>
      <c r="D80" s="2"/>
      <c r="E80" s="2" t="s">
        <v>5332</v>
      </c>
      <c r="F80" s="2"/>
      <c r="G80" s="2"/>
      <c r="H80" s="2"/>
      <c r="I80" s="2"/>
      <c r="J80" s="2"/>
      <c r="K80" s="2"/>
    </row>
    <row r="81" spans="2:11">
      <c r="B81" s="2"/>
      <c r="C81" s="2"/>
      <c r="D81" s="2"/>
      <c r="E81" s="2" t="s">
        <v>5333</v>
      </c>
      <c r="F81" s="2"/>
      <c r="G81" s="2"/>
      <c r="H81" s="2"/>
      <c r="I81" s="2"/>
      <c r="J81" s="2"/>
      <c r="K81" s="2"/>
    </row>
    <row r="82" spans="2:11">
      <c r="B82" s="2" t="s">
        <v>5334</v>
      </c>
      <c r="C82" s="2"/>
      <c r="D82" s="2"/>
      <c r="E82" s="2"/>
      <c r="F82" s="2"/>
      <c r="G82" s="2"/>
      <c r="H82" s="2"/>
      <c r="I82" s="2"/>
      <c r="J82" s="2"/>
      <c r="K82" s="2"/>
    </row>
    <row r="83" spans="2:11">
      <c r="B83" s="2"/>
      <c r="C83" s="2" t="s">
        <v>5335</v>
      </c>
      <c r="D83" s="2"/>
      <c r="E83" s="2"/>
      <c r="F83" s="2"/>
      <c r="G83" s="2"/>
      <c r="H83" s="2"/>
      <c r="I83" s="2"/>
      <c r="J83" s="2"/>
      <c r="K83" s="2"/>
    </row>
    <row r="84" spans="2:11">
      <c r="B84" s="2"/>
      <c r="C84" s="2"/>
      <c r="D84" s="2" t="s">
        <v>5336</v>
      </c>
      <c r="E84" s="2"/>
      <c r="F84" s="2"/>
      <c r="G84" s="2"/>
      <c r="H84" s="2"/>
      <c r="I84" s="2"/>
      <c r="J84" s="2"/>
      <c r="K84" s="2"/>
    </row>
    <row r="85" spans="2:11">
      <c r="B85" s="2"/>
      <c r="C85" s="2"/>
      <c r="D85" s="2" t="s">
        <v>5337</v>
      </c>
      <c r="E85" s="2"/>
      <c r="F85" s="2"/>
      <c r="G85" s="2"/>
      <c r="H85" s="2"/>
      <c r="I85" s="2"/>
      <c r="J85" s="2"/>
      <c r="K85" s="2"/>
    </row>
    <row r="86" spans="2:11">
      <c r="B86" s="2"/>
      <c r="C86" s="2" t="s">
        <v>5338</v>
      </c>
      <c r="D86" s="2"/>
      <c r="E86" s="2"/>
      <c r="F86" s="2"/>
      <c r="G86" s="2"/>
      <c r="H86" s="2"/>
      <c r="I86" s="2"/>
      <c r="J86" s="2"/>
      <c r="K86" s="2"/>
    </row>
    <row r="87" spans="2:11">
      <c r="B87" s="2"/>
      <c r="C87" s="2"/>
      <c r="D87" s="2" t="s">
        <v>5339</v>
      </c>
      <c r="E87" s="2"/>
      <c r="F87" s="2"/>
      <c r="G87" s="2"/>
      <c r="H87" s="2"/>
      <c r="I87" s="2"/>
      <c r="J87" s="2"/>
      <c r="K87" s="2"/>
    </row>
    <row r="88" spans="2:11">
      <c r="B88" s="2"/>
      <c r="C88" s="2"/>
      <c r="D88" s="2" t="s">
        <v>5340</v>
      </c>
      <c r="E88" s="2"/>
      <c r="F88" s="2"/>
      <c r="G88" s="2"/>
      <c r="H88" s="2"/>
      <c r="I88" s="2"/>
      <c r="J88" s="2"/>
      <c r="K88" s="2"/>
    </row>
    <row r="89" spans="2:11">
      <c r="B89" s="2"/>
      <c r="C89" s="2"/>
      <c r="D89" s="2"/>
      <c r="E89" s="2" t="s">
        <v>5341</v>
      </c>
      <c r="F89" s="2"/>
      <c r="G89" s="2"/>
      <c r="H89" s="2"/>
      <c r="I89" s="2"/>
      <c r="J89" s="2"/>
      <c r="K89" s="2"/>
    </row>
    <row r="90" spans="2:11">
      <c r="B90" s="2"/>
      <c r="C90" s="2"/>
      <c r="D90" s="2"/>
      <c r="E90" s="2" t="s">
        <v>5342</v>
      </c>
      <c r="F90" s="2"/>
      <c r="G90" s="2"/>
      <c r="H90" s="2"/>
      <c r="I90" s="2"/>
      <c r="J90" s="2"/>
      <c r="K90" s="2"/>
    </row>
    <row r="91" spans="2:11">
      <c r="B91" s="2"/>
      <c r="C91" s="2"/>
      <c r="D91" s="2"/>
      <c r="E91" s="2"/>
      <c r="F91" s="2" t="s">
        <v>5343</v>
      </c>
      <c r="G91" s="2"/>
      <c r="H91" s="2"/>
      <c r="I91" s="2"/>
      <c r="J91" s="2"/>
      <c r="K91" s="2"/>
    </row>
    <row r="92" spans="2:11">
      <c r="B92" s="2"/>
      <c r="C92" s="2"/>
      <c r="D92" s="2"/>
      <c r="E92" s="2"/>
      <c r="F92" s="2" t="s">
        <v>5344</v>
      </c>
      <c r="G92" s="2"/>
      <c r="H92" s="2"/>
      <c r="I92" s="2"/>
      <c r="J92" s="2"/>
      <c r="K92" s="2"/>
    </row>
    <row r="93" spans="2:11">
      <c r="B93" s="2"/>
      <c r="C93" s="2"/>
      <c r="D93" s="2" t="s">
        <v>5345</v>
      </c>
      <c r="E93" s="2"/>
      <c r="F93" s="2"/>
      <c r="G93" s="2"/>
      <c r="H93" s="2"/>
      <c r="I93" s="2"/>
      <c r="J93" s="2"/>
      <c r="K93" s="2"/>
    </row>
    <row r="94" spans="2:11">
      <c r="B94" s="2"/>
      <c r="C94" s="2"/>
      <c r="D94" s="2"/>
      <c r="E94" s="2" t="s">
        <v>5346</v>
      </c>
      <c r="F94" s="2"/>
      <c r="G94" s="2"/>
      <c r="H94" s="2"/>
      <c r="I94" s="2"/>
      <c r="J94" s="2"/>
      <c r="K94" s="2"/>
    </row>
    <row r="95" spans="2:11">
      <c r="B95" s="2"/>
      <c r="C95" s="2"/>
      <c r="D95" s="2"/>
      <c r="E95" s="2" t="s">
        <v>5347</v>
      </c>
      <c r="F95" s="2"/>
      <c r="G95" s="2"/>
      <c r="H95" s="2"/>
      <c r="I95" s="2"/>
      <c r="J95" s="2"/>
      <c r="K95" s="2"/>
    </row>
    <row r="96" spans="2:11">
      <c r="B96" s="2"/>
      <c r="C96" s="2"/>
      <c r="D96" s="2"/>
      <c r="E96" s="2" t="s">
        <v>5348</v>
      </c>
      <c r="F96" s="2"/>
      <c r="G96" s="2"/>
      <c r="H96" s="2"/>
      <c r="I96" s="2"/>
      <c r="J96" s="2"/>
      <c r="K96" s="2"/>
    </row>
    <row r="97" spans="2:11">
      <c r="B97" s="2"/>
      <c r="C97" s="2" t="s">
        <v>5349</v>
      </c>
      <c r="D97" s="2"/>
      <c r="E97" s="2"/>
      <c r="F97" s="2"/>
      <c r="G97" s="2"/>
      <c r="H97" s="2"/>
      <c r="I97" s="2"/>
      <c r="J97" s="2"/>
      <c r="K97" s="2"/>
    </row>
    <row r="98" spans="2:11">
      <c r="B98" s="2"/>
      <c r="C98" s="2"/>
      <c r="D98" s="2" t="s">
        <v>5350</v>
      </c>
      <c r="E98" s="2"/>
      <c r="F98" s="2"/>
      <c r="G98" s="2"/>
      <c r="H98" s="2"/>
      <c r="I98" s="2"/>
      <c r="J98" s="2"/>
      <c r="K98" s="2"/>
    </row>
    <row r="99" spans="2:11">
      <c r="B99" s="2"/>
      <c r="C99" s="2"/>
      <c r="D99" s="2"/>
      <c r="E99" s="2" t="s">
        <v>5351</v>
      </c>
      <c r="F99" s="2"/>
      <c r="G99" s="2"/>
      <c r="H99" s="2"/>
      <c r="I99" s="2"/>
      <c r="J99" s="2"/>
      <c r="K99" s="2"/>
    </row>
    <row r="100" spans="2:11">
      <c r="B100" s="2"/>
      <c r="C100" s="2"/>
      <c r="D100" s="2"/>
      <c r="E100" s="2" t="s">
        <v>5352</v>
      </c>
      <c r="F100" s="2"/>
      <c r="G100" s="2"/>
      <c r="H100" s="2"/>
      <c r="I100" s="2"/>
      <c r="J100" s="2"/>
      <c r="K100" s="2"/>
    </row>
    <row r="101" spans="2:11">
      <c r="B101" s="2"/>
      <c r="C101" s="2"/>
      <c r="D101" s="2" t="s">
        <v>5353</v>
      </c>
      <c r="E101" s="2"/>
      <c r="F101" s="2"/>
      <c r="G101" s="2"/>
      <c r="H101" s="2"/>
      <c r="I101" s="2"/>
      <c r="J101" s="2"/>
      <c r="K101" s="2"/>
    </row>
    <row r="102" spans="2:11">
      <c r="B102" s="2"/>
      <c r="C102" s="2"/>
      <c r="D102" s="2"/>
      <c r="E102" s="2" t="s">
        <v>5354</v>
      </c>
      <c r="F102" s="2"/>
      <c r="G102" s="2"/>
      <c r="H102" s="2"/>
      <c r="I102" s="2"/>
      <c r="J102" s="2"/>
      <c r="K102" s="2"/>
    </row>
    <row r="103" spans="2:11">
      <c r="B103" s="2"/>
      <c r="C103" s="2"/>
      <c r="D103" s="2"/>
      <c r="E103" s="2" t="s">
        <v>5355</v>
      </c>
      <c r="F103" s="2"/>
      <c r="G103" s="2"/>
      <c r="H103" s="2"/>
      <c r="I103" s="2"/>
      <c r="J103" s="2"/>
      <c r="K103" s="2"/>
    </row>
    <row r="104" spans="2:11">
      <c r="B104" s="2"/>
      <c r="C104" s="2" t="s">
        <v>5356</v>
      </c>
      <c r="D104" s="2"/>
      <c r="E104" s="2"/>
      <c r="F104" s="2"/>
      <c r="G104" s="2"/>
      <c r="H104" s="2"/>
      <c r="I104" s="2"/>
      <c r="J104" s="2"/>
      <c r="K104" s="2"/>
    </row>
    <row r="105" spans="2:11">
      <c r="B105" s="2"/>
      <c r="C105" s="2"/>
      <c r="D105" s="2" t="s">
        <v>5357</v>
      </c>
      <c r="E105" s="2"/>
      <c r="F105" s="2"/>
      <c r="G105" s="2"/>
      <c r="H105" s="2"/>
      <c r="I105" s="2"/>
      <c r="J105" s="2"/>
      <c r="K105" s="2"/>
    </row>
    <row r="106" spans="2:11">
      <c r="B106" s="2"/>
      <c r="C106" s="2" t="s">
        <v>5358</v>
      </c>
      <c r="D106" s="2"/>
      <c r="E106" s="2"/>
      <c r="F106" s="2"/>
      <c r="G106" s="2"/>
      <c r="H106" s="2"/>
      <c r="I106" s="2"/>
      <c r="J106" s="2"/>
      <c r="K106" s="2"/>
    </row>
    <row r="107" spans="2:11">
      <c r="B107" s="2"/>
      <c r="C107" s="2"/>
      <c r="D107" s="2" t="s">
        <v>5359</v>
      </c>
      <c r="E107" s="2"/>
      <c r="F107" s="2"/>
      <c r="G107" s="2"/>
      <c r="H107" s="2"/>
      <c r="I107" s="2"/>
      <c r="J107" s="2"/>
      <c r="K107" s="2"/>
    </row>
    <row r="108" spans="2:11">
      <c r="B108" s="2"/>
      <c r="C108" s="2"/>
      <c r="D108" s="2" t="s">
        <v>5360</v>
      </c>
      <c r="E108" s="2"/>
      <c r="F108" s="2"/>
      <c r="G108" s="2"/>
      <c r="H108" s="2"/>
      <c r="I108" s="2"/>
      <c r="J108" s="2"/>
      <c r="K108" s="2"/>
    </row>
    <row r="109" spans="2:11">
      <c r="B109" s="2"/>
      <c r="C109" s="2"/>
      <c r="D109" s="2"/>
      <c r="E109" s="2" t="s">
        <v>5361</v>
      </c>
      <c r="F109" s="2"/>
      <c r="G109" s="2"/>
      <c r="H109" s="2"/>
      <c r="I109" s="2"/>
      <c r="J109" s="2"/>
      <c r="K109" s="2"/>
    </row>
    <row r="110" spans="2:11">
      <c r="B110" s="2"/>
      <c r="C110" s="2"/>
      <c r="D110" s="2"/>
      <c r="E110" s="2" t="s">
        <v>5362</v>
      </c>
      <c r="F110" s="2"/>
      <c r="G110" s="2"/>
      <c r="H110" s="2"/>
      <c r="I110" s="2"/>
      <c r="J110" s="2"/>
      <c r="K110" s="2"/>
    </row>
    <row r="111" spans="2:11">
      <c r="B111" s="2"/>
      <c r="C111" s="2"/>
      <c r="D111" s="2" t="s">
        <v>5363</v>
      </c>
      <c r="E111" s="2"/>
      <c r="F111" s="2"/>
      <c r="G111" s="2"/>
      <c r="H111" s="2"/>
      <c r="I111" s="2"/>
      <c r="J111" s="2"/>
      <c r="K111" s="2"/>
    </row>
    <row r="112" spans="2:11">
      <c r="B112" t="s">
        <v>5364</v>
      </c>
    </row>
    <row r="113" spans="2:5">
      <c r="C113" t="s">
        <v>5365</v>
      </c>
    </row>
    <row r="114" spans="2:5">
      <c r="C114" t="s">
        <v>5366</v>
      </c>
    </row>
    <row r="115" spans="2:5">
      <c r="C115" t="s">
        <v>5367</v>
      </c>
    </row>
    <row r="116" spans="2:5">
      <c r="C116" t="s">
        <v>5368</v>
      </c>
    </row>
    <row r="117" spans="2:5">
      <c r="B117" t="s">
        <v>5369</v>
      </c>
    </row>
    <row r="118" spans="2:5">
      <c r="B118" t="s">
        <v>5370</v>
      </c>
    </row>
    <row r="119" spans="2:5">
      <c r="C119" t="s">
        <v>5371</v>
      </c>
    </row>
    <row r="120" spans="2:5">
      <c r="D120" t="s">
        <v>5372</v>
      </c>
    </row>
    <row r="121" spans="2:5">
      <c r="D121" t="s">
        <v>5373</v>
      </c>
    </row>
    <row r="122" spans="2:5">
      <c r="D122" t="s">
        <v>5374</v>
      </c>
    </row>
    <row r="123" spans="2:5">
      <c r="C123" t="s">
        <v>5375</v>
      </c>
    </row>
    <row r="124" spans="2:5">
      <c r="D124" t="s">
        <v>5376</v>
      </c>
    </row>
    <row r="125" spans="2:5">
      <c r="C125" t="s">
        <v>5377</v>
      </c>
    </row>
    <row r="126" spans="2:5">
      <c r="D126" t="s">
        <v>5378</v>
      </c>
    </row>
    <row r="127" spans="2:5">
      <c r="E127" t="s">
        <v>5379</v>
      </c>
    </row>
    <row r="128" spans="2:5">
      <c r="E128" t="s">
        <v>5380</v>
      </c>
    </row>
    <row r="129" spans="2:4">
      <c r="D129" t="s">
        <v>5381</v>
      </c>
    </row>
    <row r="130" spans="2:4">
      <c r="B130" t="s">
        <v>5382</v>
      </c>
    </row>
    <row r="131" spans="2:4">
      <c r="C131" t="s">
        <v>5383</v>
      </c>
    </row>
    <row r="132" spans="2:4">
      <c r="C132" t="s">
        <v>5384</v>
      </c>
    </row>
    <row r="133" spans="2:4">
      <c r="C133" t="s">
        <v>5385</v>
      </c>
    </row>
    <row r="134" spans="2:4">
      <c r="B134" t="s">
        <v>5386</v>
      </c>
    </row>
    <row r="135" spans="2:4">
      <c r="B135" t="s">
        <v>5387</v>
      </c>
    </row>
    <row r="136" spans="2:4">
      <c r="B136" t="s">
        <v>5388</v>
      </c>
    </row>
    <row r="137" spans="2:4">
      <c r="C137" t="s">
        <v>5389</v>
      </c>
    </row>
    <row r="138" spans="2:4">
      <c r="C138" t="s">
        <v>5390</v>
      </c>
    </row>
    <row r="139" spans="2:4">
      <c r="C139" t="s">
        <v>5391</v>
      </c>
    </row>
    <row r="140" spans="2:4">
      <c r="B140" t="s">
        <v>5392</v>
      </c>
    </row>
    <row r="141" spans="2:4">
      <c r="C141" t="s">
        <v>5393</v>
      </c>
    </row>
    <row r="142" spans="2:4">
      <c r="C142" t="s">
        <v>5394</v>
      </c>
    </row>
    <row r="143" spans="2:4">
      <c r="B143" t="s">
        <v>5395</v>
      </c>
    </row>
    <row r="144" spans="2:4">
      <c r="C144" t="s">
        <v>5396</v>
      </c>
    </row>
  </sheetData>
  <pageMargins left="0.75" right="0.75" top="1" bottom="1" header="0.5" footer="0.5"/>
  <pageSetup paperSize="9" orientation="portrait"/>
  <headerFooter/>
</worksheet>
</file>

<file path=xl/worksheets/sheet2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K136"/>
  <sheetViews>
    <sheetView zoomScale="115" zoomScaleNormal="115" workbookViewId="0">
      <selection activeCell="F131" sqref="F131"/>
    </sheetView>
  </sheetViews>
  <sheetFormatPr defaultColWidth="8.88888888888889" defaultRowHeight="14.4"/>
  <cols>
    <col min="1" max="1" width="9.66666666666667"/>
  </cols>
  <sheetData>
    <row r="1" spans="1:11">
      <c r="A1" s="1">
        <f>SUM(B1:AZ1)</f>
        <v>36.1333333333333</v>
      </c>
      <c r="B1" s="1">
        <f t="shared" ref="B1:H1" si="0">COUNTA(B2:B2274)/COLUMN()</f>
        <v>4.5</v>
      </c>
      <c r="C1" s="1">
        <f t="shared" si="0"/>
        <v>9.66666666666667</v>
      </c>
      <c r="D1" s="1">
        <f t="shared" si="0"/>
        <v>13.5</v>
      </c>
      <c r="E1" s="1">
        <f t="shared" si="0"/>
        <v>7.8</v>
      </c>
      <c r="F1" s="1">
        <f t="shared" si="0"/>
        <v>0.666666666666667</v>
      </c>
      <c r="G1" s="1">
        <f t="shared" si="0"/>
        <v>0</v>
      </c>
      <c r="H1" s="1">
        <f t="shared" si="0"/>
        <v>0</v>
      </c>
    </row>
    <row r="2" spans="1:11">
      <c r="A2" t="str" cm="1">
        <f ca="1" t="array" ref="A2">_wpsfn.SHEETSNAME(A1)</f>
        <v>20251207</v>
      </c>
      <c r="B2" s="2" t="s">
        <v>5397</v>
      </c>
      <c r="C2" s="2"/>
      <c r="D2" s="2"/>
      <c r="E2" s="2"/>
      <c r="F2" s="2"/>
      <c r="G2" s="2"/>
      <c r="H2" s="2"/>
      <c r="I2" s="2"/>
      <c r="J2" s="2"/>
      <c r="K2" s="2"/>
    </row>
    <row r="3" spans="1:11">
      <c r="B3" s="2"/>
      <c r="C3" s="2" t="s">
        <v>5398</v>
      </c>
      <c r="D3" s="2"/>
      <c r="E3" s="2"/>
      <c r="F3" s="2"/>
      <c r="G3" s="2"/>
      <c r="H3" s="2"/>
      <c r="I3" s="2"/>
      <c r="J3" s="2"/>
      <c r="K3" s="2"/>
    </row>
    <row r="4" spans="1:11">
      <c r="B4" s="2"/>
      <c r="C4" s="2"/>
      <c r="D4" s="2" t="s">
        <v>5399</v>
      </c>
      <c r="E4" s="2"/>
      <c r="F4" s="2"/>
      <c r="G4" s="2"/>
      <c r="H4" s="2"/>
      <c r="I4" s="2"/>
      <c r="J4" s="2"/>
      <c r="K4" s="2"/>
    </row>
    <row r="5" spans="1:11">
      <c r="B5" s="2"/>
      <c r="C5" s="2"/>
      <c r="D5" s="2" t="s">
        <v>5400</v>
      </c>
      <c r="E5" s="2"/>
      <c r="F5" s="2"/>
      <c r="G5" s="2"/>
      <c r="H5" s="2"/>
      <c r="I5" s="2"/>
      <c r="J5" s="2"/>
      <c r="K5" s="2"/>
    </row>
    <row r="6" spans="1:11">
      <c r="B6" s="2"/>
      <c r="C6" s="2"/>
      <c r="D6" s="2"/>
      <c r="E6" s="2" t="s">
        <v>5401</v>
      </c>
      <c r="F6" s="2"/>
      <c r="G6" s="2"/>
      <c r="H6" s="2"/>
      <c r="I6" s="2"/>
      <c r="J6" s="2"/>
      <c r="K6" s="2"/>
    </row>
    <row r="7" spans="1:11">
      <c r="B7" s="2"/>
      <c r="C7" s="2"/>
      <c r="D7" s="2"/>
      <c r="E7" s="2" t="s">
        <v>5402</v>
      </c>
      <c r="F7" s="2"/>
      <c r="G7" s="2"/>
      <c r="H7" s="2"/>
      <c r="I7" s="2"/>
      <c r="J7" s="2"/>
      <c r="K7" s="2"/>
    </row>
    <row r="8" spans="1:11">
      <c r="B8" s="2"/>
      <c r="C8" s="2"/>
      <c r="D8" s="2"/>
      <c r="E8" s="2" t="s">
        <v>5403</v>
      </c>
      <c r="F8" s="2"/>
      <c r="G8" s="2"/>
      <c r="H8" s="2"/>
      <c r="I8" s="2"/>
      <c r="J8" s="2"/>
      <c r="K8" s="2"/>
    </row>
    <row r="9" spans="1:11">
      <c r="B9" s="2"/>
      <c r="C9" s="2"/>
      <c r="D9" s="2"/>
      <c r="E9" s="2" t="s">
        <v>5404</v>
      </c>
      <c r="F9" s="2"/>
      <c r="G9" s="2"/>
      <c r="H9" s="2"/>
      <c r="I9" s="2"/>
      <c r="J9" s="2"/>
      <c r="K9" s="2"/>
    </row>
    <row r="10" spans="1:11">
      <c r="B10" s="2"/>
      <c r="C10" s="2"/>
      <c r="D10" s="2" t="s">
        <v>5405</v>
      </c>
      <c r="E10" s="2"/>
      <c r="F10" s="2"/>
      <c r="G10" s="2"/>
      <c r="H10" s="2"/>
      <c r="I10" s="2"/>
      <c r="J10" s="2"/>
      <c r="K10" s="2"/>
    </row>
    <row r="11" spans="1:11">
      <c r="B11" s="2"/>
      <c r="C11" s="2"/>
      <c r="D11" s="2"/>
      <c r="E11" s="2" t="s">
        <v>5406</v>
      </c>
      <c r="F11" s="2"/>
      <c r="G11" s="2"/>
      <c r="H11" s="2"/>
      <c r="I11" s="2"/>
      <c r="J11" s="2"/>
      <c r="K11" s="2"/>
    </row>
    <row r="12" spans="1:11">
      <c r="B12" s="2"/>
      <c r="C12" s="2"/>
      <c r="D12" s="2"/>
      <c r="E12" s="2" t="s">
        <v>5407</v>
      </c>
      <c r="F12" s="2"/>
      <c r="G12" s="2"/>
      <c r="H12" s="2"/>
      <c r="I12" s="2"/>
      <c r="J12" s="2"/>
      <c r="K12" s="2"/>
    </row>
    <row r="13" spans="1:11">
      <c r="B13" s="2"/>
      <c r="C13" s="2"/>
      <c r="D13" s="2"/>
      <c r="E13" s="2"/>
      <c r="F13" s="2" t="s">
        <v>5408</v>
      </c>
      <c r="G13" s="2"/>
      <c r="H13" s="2"/>
      <c r="I13" s="2"/>
      <c r="J13" s="2"/>
      <c r="K13" s="2"/>
    </row>
    <row r="14" spans="1:11">
      <c r="B14" s="2"/>
      <c r="C14" s="2"/>
      <c r="D14" s="2"/>
      <c r="E14" s="2"/>
      <c r="F14" s="2" t="s">
        <v>5409</v>
      </c>
      <c r="G14" s="2"/>
      <c r="H14" s="2"/>
      <c r="I14" s="2"/>
      <c r="J14" s="2"/>
      <c r="K14" s="2"/>
    </row>
    <row r="15" spans="1:11">
      <c r="B15" s="2"/>
      <c r="C15" s="2" t="s">
        <v>5410</v>
      </c>
      <c r="D15" s="2"/>
      <c r="E15" s="2"/>
      <c r="F15" s="2"/>
      <c r="G15" s="2"/>
      <c r="H15" s="2"/>
      <c r="I15" s="2"/>
      <c r="J15" s="2"/>
      <c r="K15" s="2"/>
    </row>
    <row r="16" spans="1:11">
      <c r="B16" s="2"/>
      <c r="C16" s="2"/>
      <c r="D16" s="2" t="s">
        <v>5411</v>
      </c>
      <c r="E16" s="2"/>
      <c r="F16" s="2"/>
      <c r="G16" s="2"/>
      <c r="H16" s="2"/>
      <c r="I16" s="2"/>
      <c r="J16" s="2"/>
      <c r="K16" s="2"/>
    </row>
    <row r="17" spans="2:11">
      <c r="B17" s="2"/>
      <c r="C17" s="2"/>
      <c r="D17" s="2" t="s">
        <v>5412</v>
      </c>
      <c r="E17" s="2"/>
      <c r="F17" s="2"/>
      <c r="G17" s="2"/>
      <c r="H17" s="2"/>
      <c r="I17" s="2"/>
      <c r="J17" s="2"/>
      <c r="K17" s="2"/>
    </row>
    <row r="18" spans="2:11">
      <c r="B18" s="2"/>
      <c r="C18" s="2"/>
      <c r="D18" s="2" t="s">
        <v>5413</v>
      </c>
      <c r="E18" s="2"/>
      <c r="F18" s="2"/>
      <c r="G18" s="2"/>
      <c r="H18" s="2"/>
      <c r="I18" s="2"/>
      <c r="J18" s="2"/>
      <c r="K18" s="2"/>
    </row>
    <row r="19" spans="2:11">
      <c r="B19" s="2"/>
      <c r="C19" s="2"/>
      <c r="D19" s="2"/>
      <c r="E19" s="2" t="s">
        <v>5414</v>
      </c>
      <c r="F19" s="2"/>
      <c r="G19" s="2"/>
      <c r="H19" s="2"/>
      <c r="I19" s="2"/>
      <c r="J19" s="2"/>
      <c r="K19" s="2"/>
    </row>
    <row r="20" spans="2:11">
      <c r="B20" s="2"/>
      <c r="C20" s="2"/>
      <c r="D20" s="2"/>
      <c r="E20" s="2" t="s">
        <v>5415</v>
      </c>
      <c r="F20" s="2"/>
      <c r="G20" s="2"/>
      <c r="H20" s="2"/>
      <c r="I20" s="2"/>
      <c r="J20" s="2"/>
      <c r="K20" s="2"/>
    </row>
    <row r="21" spans="2:11">
      <c r="B21" s="2"/>
      <c r="C21" s="2"/>
      <c r="D21" s="2"/>
      <c r="E21" s="2" t="s">
        <v>5416</v>
      </c>
      <c r="F21" s="2"/>
      <c r="G21" s="2"/>
      <c r="H21" s="2"/>
      <c r="I21" s="2"/>
      <c r="J21" s="2"/>
      <c r="K21" s="2"/>
    </row>
    <row r="22" spans="2:11">
      <c r="B22" s="2"/>
      <c r="C22" s="2"/>
      <c r="D22" s="2"/>
      <c r="E22" s="2" t="s">
        <v>5417</v>
      </c>
      <c r="F22" s="2"/>
      <c r="G22" s="2"/>
      <c r="H22" s="2"/>
      <c r="I22" s="2"/>
      <c r="J22" s="2"/>
      <c r="K22" s="2"/>
    </row>
    <row r="23" spans="2:11">
      <c r="B23" s="2"/>
      <c r="C23" s="2" t="s">
        <v>5418</v>
      </c>
      <c r="D23" s="2"/>
      <c r="E23" s="2"/>
      <c r="F23" s="2"/>
      <c r="G23" s="2"/>
      <c r="H23" s="2"/>
      <c r="I23" s="2"/>
      <c r="J23" s="2"/>
      <c r="K23" s="2"/>
    </row>
    <row r="24" spans="2:11">
      <c r="B24" s="2"/>
      <c r="C24" s="2"/>
      <c r="D24" s="2" t="s">
        <v>5419</v>
      </c>
      <c r="E24" s="2"/>
      <c r="F24" s="2"/>
      <c r="G24" s="2"/>
      <c r="H24" s="2"/>
      <c r="I24" s="2"/>
      <c r="J24" s="2"/>
      <c r="K24" s="2"/>
    </row>
    <row r="25" spans="2:11">
      <c r="B25" s="2"/>
      <c r="C25" s="2"/>
      <c r="D25" s="2" t="s">
        <v>5420</v>
      </c>
      <c r="E25" s="2"/>
      <c r="F25" s="2"/>
      <c r="G25" s="2"/>
      <c r="H25" s="2"/>
      <c r="I25" s="2"/>
      <c r="J25" s="2"/>
      <c r="K25" s="2"/>
    </row>
    <row r="26" spans="2:11">
      <c r="B26" s="2"/>
      <c r="C26" s="2"/>
      <c r="D26" s="2" t="s">
        <v>5421</v>
      </c>
      <c r="E26" s="2"/>
      <c r="F26" s="2"/>
      <c r="G26" s="2"/>
      <c r="H26" s="2"/>
      <c r="I26" s="2"/>
      <c r="J26" s="2"/>
      <c r="K26" s="2"/>
    </row>
    <row r="27" spans="2:11">
      <c r="B27" s="2"/>
      <c r="C27" s="2" t="s">
        <v>5422</v>
      </c>
      <c r="D27" s="2"/>
      <c r="E27" s="2"/>
      <c r="F27" s="2"/>
      <c r="G27" s="2"/>
      <c r="H27" s="2"/>
      <c r="I27" s="2"/>
      <c r="J27" s="2"/>
      <c r="K27" s="2"/>
    </row>
    <row r="28" spans="2:11">
      <c r="B28" s="2"/>
      <c r="C28" s="2"/>
      <c r="D28" s="2" t="s">
        <v>5423</v>
      </c>
      <c r="E28" s="2"/>
      <c r="F28" s="2"/>
      <c r="G28" s="2"/>
      <c r="H28" s="2"/>
      <c r="I28" s="2"/>
      <c r="J28" s="2"/>
      <c r="K28" s="2"/>
    </row>
    <row r="29" spans="2:11">
      <c r="B29" s="2"/>
      <c r="C29" s="2"/>
      <c r="D29" s="2" t="s">
        <v>5424</v>
      </c>
      <c r="E29" s="2"/>
      <c r="F29" s="2"/>
      <c r="G29" s="2"/>
      <c r="H29" s="2"/>
      <c r="I29" s="2"/>
      <c r="J29" s="2"/>
      <c r="K29" s="2"/>
    </row>
    <row r="30" spans="2:11">
      <c r="B30" s="2"/>
      <c r="C30" s="2"/>
      <c r="D30" s="2"/>
      <c r="E30" s="2" t="s">
        <v>5425</v>
      </c>
      <c r="F30" s="2"/>
      <c r="G30" s="2"/>
      <c r="H30" s="2"/>
      <c r="I30" s="2"/>
      <c r="J30" s="2"/>
      <c r="K30" s="2"/>
    </row>
    <row r="31" spans="2:11">
      <c r="B31" s="2"/>
      <c r="C31" s="2"/>
      <c r="D31" s="2"/>
      <c r="E31" s="2" t="s">
        <v>5426</v>
      </c>
      <c r="F31" s="2"/>
      <c r="G31" s="2"/>
      <c r="H31" s="2"/>
      <c r="I31" s="2"/>
      <c r="J31" s="2"/>
      <c r="K31" s="2"/>
    </row>
    <row r="32" spans="2:11">
      <c r="B32" s="2"/>
      <c r="C32" s="2"/>
      <c r="D32" s="2"/>
      <c r="E32" s="2" t="s">
        <v>5427</v>
      </c>
      <c r="F32" s="2"/>
      <c r="G32" s="2"/>
      <c r="H32" s="2"/>
      <c r="I32" s="2"/>
      <c r="J32" s="2"/>
      <c r="K32" s="2"/>
    </row>
    <row r="33" spans="2:11">
      <c r="B33" s="2"/>
      <c r="C33" s="2"/>
      <c r="D33" s="2" t="s">
        <v>5428</v>
      </c>
      <c r="E33" s="2"/>
      <c r="F33" s="2"/>
      <c r="G33" s="2"/>
      <c r="H33" s="2"/>
      <c r="I33" s="2"/>
      <c r="J33" s="2"/>
      <c r="K33" s="2"/>
    </row>
    <row r="34" spans="2:11">
      <c r="B34" s="2"/>
      <c r="C34" s="2"/>
      <c r="D34" s="2"/>
      <c r="E34" s="2" t="s">
        <v>5429</v>
      </c>
      <c r="F34" s="2"/>
      <c r="G34" s="2"/>
      <c r="H34" s="2"/>
      <c r="I34" s="2"/>
      <c r="J34" s="2"/>
      <c r="K34" s="2"/>
    </row>
    <row r="35" spans="2:11">
      <c r="B35" s="2"/>
      <c r="C35" s="2"/>
      <c r="D35" s="2"/>
      <c r="E35" s="2" t="s">
        <v>5430</v>
      </c>
      <c r="F35" s="2"/>
      <c r="G35" s="2"/>
      <c r="H35" s="2"/>
      <c r="I35" s="2"/>
      <c r="J35" s="2"/>
      <c r="K35" s="2"/>
    </row>
    <row r="36" spans="2:11">
      <c r="B36" s="2"/>
      <c r="C36" s="2"/>
      <c r="D36" s="2"/>
      <c r="E36" s="2"/>
      <c r="F36" s="2" t="s">
        <v>5431</v>
      </c>
      <c r="G36" s="2"/>
      <c r="H36" s="2"/>
      <c r="I36" s="2"/>
      <c r="J36" s="2"/>
      <c r="K36" s="2"/>
    </row>
    <row r="37" spans="2:11">
      <c r="B37" s="2"/>
      <c r="C37" s="2"/>
      <c r="D37" s="2"/>
      <c r="E37" s="2"/>
      <c r="F37" s="2" t="s">
        <v>5432</v>
      </c>
      <c r="G37" s="2"/>
      <c r="H37" s="2"/>
      <c r="I37" s="2"/>
      <c r="J37" s="2"/>
      <c r="K37" s="2"/>
    </row>
    <row r="38" spans="2:11">
      <c r="B38" s="2"/>
      <c r="C38" s="2"/>
      <c r="D38" s="2"/>
      <c r="E38" s="2" t="s">
        <v>5433</v>
      </c>
      <c r="F38" s="2"/>
      <c r="G38" s="2"/>
      <c r="H38" s="2"/>
      <c r="I38" s="2"/>
      <c r="J38" s="2"/>
      <c r="K38" s="2"/>
    </row>
    <row r="39" spans="2:11">
      <c r="B39" s="2" t="s">
        <v>5434</v>
      </c>
      <c r="C39" s="2"/>
      <c r="D39" s="2"/>
      <c r="E39" s="2"/>
      <c r="F39" s="2"/>
      <c r="G39" s="2"/>
      <c r="H39" s="2"/>
      <c r="I39" s="2"/>
      <c r="J39" s="2"/>
      <c r="K39" s="2"/>
    </row>
    <row r="40" spans="2:11">
      <c r="B40" s="2"/>
      <c r="C40" s="2" t="s">
        <v>5435</v>
      </c>
      <c r="D40" s="2"/>
      <c r="E40" s="2"/>
      <c r="F40" s="2"/>
      <c r="G40" s="2"/>
      <c r="H40" s="2"/>
      <c r="I40" s="2"/>
      <c r="J40" s="2"/>
      <c r="K40" s="2"/>
    </row>
    <row r="41" spans="2:11">
      <c r="B41" s="2"/>
      <c r="C41" s="2"/>
      <c r="D41" s="2" t="s">
        <v>5436</v>
      </c>
      <c r="E41" s="2"/>
      <c r="F41" s="2"/>
      <c r="G41" s="2"/>
      <c r="H41" s="2"/>
      <c r="I41" s="2"/>
      <c r="J41" s="2"/>
      <c r="K41" s="2"/>
    </row>
    <row r="42" spans="2:11">
      <c r="B42" s="2"/>
      <c r="C42" s="2"/>
      <c r="D42" s="2" t="s">
        <v>5437</v>
      </c>
      <c r="E42" s="2"/>
      <c r="F42" s="2"/>
      <c r="G42" s="2"/>
      <c r="H42" s="2"/>
      <c r="I42" s="2"/>
      <c r="J42" s="2"/>
      <c r="K42" s="2"/>
    </row>
    <row r="43" spans="2:11">
      <c r="B43" s="2"/>
      <c r="C43" s="2" t="s">
        <v>5438</v>
      </c>
      <c r="D43" s="2"/>
      <c r="E43" s="2"/>
      <c r="F43" s="2"/>
      <c r="G43" s="2"/>
      <c r="H43" s="2"/>
      <c r="I43" s="2"/>
      <c r="J43" s="2"/>
      <c r="K43" s="2"/>
    </row>
    <row r="44" spans="2:11">
      <c r="B44" s="2"/>
      <c r="C44" s="2"/>
      <c r="D44" s="2" t="s">
        <v>5439</v>
      </c>
      <c r="E44" s="2"/>
      <c r="F44" s="2"/>
      <c r="G44" s="2"/>
      <c r="H44" s="2"/>
      <c r="I44" s="2"/>
      <c r="J44" s="2"/>
      <c r="K44" s="2"/>
    </row>
    <row r="45" spans="2:11">
      <c r="B45" s="2"/>
      <c r="C45" s="2"/>
      <c r="D45" s="2" t="s">
        <v>5440</v>
      </c>
      <c r="E45" s="2"/>
      <c r="F45" s="2"/>
      <c r="G45" s="2"/>
      <c r="H45" s="2"/>
      <c r="I45" s="2"/>
      <c r="J45" s="2"/>
      <c r="K45" s="2"/>
    </row>
    <row r="46" spans="2:11">
      <c r="B46" s="2"/>
      <c r="C46" s="2"/>
      <c r="D46" s="2"/>
      <c r="E46" s="2" t="s">
        <v>5441</v>
      </c>
      <c r="F46" s="2"/>
      <c r="G46" s="2"/>
      <c r="H46" s="2"/>
      <c r="I46" s="2"/>
      <c r="J46" s="2"/>
      <c r="K46" s="2"/>
    </row>
    <row r="47" spans="2:11">
      <c r="B47" s="2"/>
      <c r="C47" s="2"/>
      <c r="D47" s="2"/>
      <c r="E47" s="2" t="s">
        <v>5442</v>
      </c>
      <c r="F47" s="2"/>
      <c r="G47" s="2"/>
      <c r="H47" s="2"/>
      <c r="I47" s="2"/>
      <c r="J47" s="2"/>
      <c r="K47" s="2"/>
    </row>
    <row r="48" spans="2:11">
      <c r="B48" s="2"/>
      <c r="C48" s="2" t="s">
        <v>5443</v>
      </c>
      <c r="D48" s="2"/>
      <c r="E48" s="2"/>
      <c r="F48" s="2"/>
      <c r="G48" s="2"/>
      <c r="H48" s="2"/>
      <c r="I48" s="2"/>
      <c r="J48" s="2"/>
      <c r="K48" s="2"/>
    </row>
    <row r="49" spans="2:11">
      <c r="B49" s="2"/>
      <c r="C49" s="2"/>
      <c r="D49" s="2" t="s">
        <v>5444</v>
      </c>
      <c r="E49" s="2"/>
      <c r="F49" s="2"/>
      <c r="G49" s="2"/>
      <c r="H49" s="2"/>
      <c r="I49" s="2"/>
      <c r="J49" s="2"/>
      <c r="K49" s="2"/>
    </row>
    <row r="50" spans="2:11">
      <c r="B50" s="2"/>
      <c r="C50" s="2"/>
      <c r="D50" s="2"/>
      <c r="E50" s="2" t="s">
        <v>5445</v>
      </c>
      <c r="F50" s="2"/>
      <c r="G50" s="2"/>
      <c r="H50" s="2"/>
      <c r="I50" s="2"/>
      <c r="J50" s="2"/>
      <c r="K50" s="2"/>
    </row>
    <row r="51" spans="2:11">
      <c r="B51" s="2"/>
      <c r="C51" s="2"/>
      <c r="D51" s="2"/>
      <c r="E51" s="2" t="s">
        <v>5446</v>
      </c>
      <c r="F51" s="2"/>
      <c r="G51" s="2"/>
      <c r="H51" s="2"/>
      <c r="I51" s="2"/>
      <c r="J51" s="2"/>
      <c r="K51" s="2"/>
    </row>
    <row r="52" spans="2:11">
      <c r="B52" s="2"/>
      <c r="C52" s="2"/>
      <c r="D52" s="2" t="s">
        <v>5447</v>
      </c>
      <c r="E52" s="2"/>
      <c r="F52" s="2"/>
      <c r="G52" s="2"/>
      <c r="H52" s="2"/>
      <c r="I52" s="2"/>
      <c r="J52" s="2"/>
      <c r="K52" s="2"/>
    </row>
    <row r="53" spans="2:11">
      <c r="B53" s="2"/>
      <c r="C53" s="2" t="s">
        <v>5448</v>
      </c>
      <c r="D53" s="2"/>
      <c r="E53" s="2"/>
      <c r="F53" s="2"/>
      <c r="G53" s="2"/>
      <c r="H53" s="2"/>
      <c r="I53" s="2"/>
      <c r="J53" s="2"/>
      <c r="K53" s="2"/>
    </row>
    <row r="54" spans="2:11">
      <c r="B54" s="2"/>
      <c r="C54" s="2"/>
      <c r="D54" s="2" t="s">
        <v>5449</v>
      </c>
      <c r="E54" s="2"/>
      <c r="F54" s="2"/>
      <c r="G54" s="2"/>
      <c r="H54" s="2"/>
      <c r="I54" s="2"/>
      <c r="J54" s="2"/>
      <c r="K54" s="2"/>
    </row>
    <row r="55" spans="2:11">
      <c r="B55" s="2"/>
      <c r="C55" s="2"/>
      <c r="D55" s="2" t="s">
        <v>5450</v>
      </c>
      <c r="E55" s="2"/>
      <c r="F55" s="2"/>
      <c r="G55" s="2"/>
      <c r="H55" s="2"/>
      <c r="I55" s="2"/>
      <c r="J55" s="2"/>
      <c r="K55" s="2"/>
    </row>
    <row r="56" spans="2:11">
      <c r="B56" s="2"/>
      <c r="C56" s="2"/>
      <c r="D56" s="2" t="s">
        <v>5451</v>
      </c>
      <c r="E56" s="2"/>
      <c r="F56" s="2"/>
      <c r="G56" s="2"/>
      <c r="H56" s="2"/>
      <c r="I56" s="2"/>
      <c r="J56" s="2"/>
      <c r="K56" s="2"/>
    </row>
    <row r="57" spans="2:11">
      <c r="B57" s="2" t="s">
        <v>5452</v>
      </c>
      <c r="C57" s="2"/>
      <c r="D57" s="2"/>
      <c r="E57" s="2"/>
      <c r="F57" s="2"/>
      <c r="G57" s="2"/>
      <c r="H57" s="2"/>
      <c r="I57" s="2"/>
      <c r="J57" s="2"/>
      <c r="K57" s="2"/>
    </row>
    <row r="58" spans="2:11">
      <c r="B58" s="2"/>
      <c r="C58" s="2" t="s">
        <v>5453</v>
      </c>
      <c r="D58" s="2"/>
      <c r="E58" s="2"/>
      <c r="F58" s="2"/>
      <c r="G58" s="2"/>
      <c r="H58" s="2"/>
      <c r="I58" s="2"/>
      <c r="J58" s="2"/>
      <c r="K58" s="2"/>
    </row>
    <row r="59" spans="2:11">
      <c r="B59" s="2"/>
      <c r="C59" s="2"/>
      <c r="D59" s="2" t="s">
        <v>5454</v>
      </c>
      <c r="E59" s="2"/>
      <c r="F59" s="2"/>
      <c r="G59" s="2"/>
      <c r="H59" s="2"/>
      <c r="I59" s="2"/>
      <c r="J59" s="2"/>
      <c r="K59" s="2"/>
    </row>
    <row r="60" spans="2:11">
      <c r="B60" s="2"/>
      <c r="C60" s="2"/>
      <c r="D60" s="2"/>
      <c r="E60" s="2" t="s">
        <v>5455</v>
      </c>
      <c r="F60" s="2"/>
      <c r="G60" s="2"/>
      <c r="H60" s="2"/>
      <c r="I60" s="2"/>
      <c r="J60" s="2"/>
      <c r="K60" s="2"/>
    </row>
    <row r="61" spans="2:11">
      <c r="B61" s="2"/>
      <c r="C61" s="2"/>
      <c r="D61" s="2"/>
      <c r="E61" s="2" t="s">
        <v>5456</v>
      </c>
      <c r="F61" s="2"/>
      <c r="G61" s="2"/>
      <c r="H61" s="2"/>
      <c r="I61" s="2"/>
      <c r="J61" s="2"/>
      <c r="K61" s="2"/>
    </row>
    <row r="62" spans="2:11">
      <c r="B62" s="2"/>
      <c r="C62" s="2"/>
      <c r="D62" s="2" t="s">
        <v>5457</v>
      </c>
      <c r="E62" s="2"/>
      <c r="F62" s="2"/>
      <c r="G62" s="2"/>
      <c r="H62" s="2"/>
      <c r="I62" s="2"/>
      <c r="J62" s="2"/>
      <c r="K62" s="2"/>
    </row>
    <row r="63" spans="2:11">
      <c r="B63" s="2"/>
      <c r="C63" s="2"/>
      <c r="D63" s="2"/>
      <c r="E63" s="2" t="s">
        <v>5458</v>
      </c>
      <c r="F63" s="2"/>
      <c r="G63" s="2"/>
      <c r="H63" s="2"/>
      <c r="I63" s="2"/>
      <c r="J63" s="2"/>
      <c r="K63" s="2"/>
    </row>
    <row r="64" spans="2:11">
      <c r="B64" s="2"/>
      <c r="C64" s="2"/>
      <c r="D64" s="2"/>
      <c r="E64" s="2" t="s">
        <v>5459</v>
      </c>
      <c r="F64" s="2"/>
      <c r="G64" s="2"/>
      <c r="H64" s="2"/>
      <c r="I64" s="2"/>
      <c r="J64" s="2"/>
      <c r="K64" s="2"/>
    </row>
    <row r="65" spans="2:11">
      <c r="B65" s="2"/>
      <c r="C65" s="2"/>
      <c r="D65" s="2"/>
      <c r="E65" s="2" t="s">
        <v>5460</v>
      </c>
      <c r="F65" s="2"/>
      <c r="G65" s="2"/>
      <c r="H65" s="2"/>
      <c r="I65" s="2"/>
      <c r="J65" s="2"/>
      <c r="K65" s="2"/>
    </row>
    <row r="66" spans="2:11">
      <c r="B66" s="2"/>
      <c r="C66" s="2"/>
      <c r="D66" s="2"/>
      <c r="E66" s="2" t="s">
        <v>5461</v>
      </c>
      <c r="F66" s="2"/>
      <c r="G66" s="2"/>
      <c r="H66" s="2"/>
      <c r="I66" s="2"/>
      <c r="J66" s="2"/>
      <c r="K66" s="2"/>
    </row>
    <row r="67" spans="2:11">
      <c r="B67" s="2"/>
      <c r="C67" s="2" t="s">
        <v>5462</v>
      </c>
      <c r="D67" s="2"/>
      <c r="E67" s="2"/>
      <c r="F67" s="2"/>
      <c r="G67" s="2"/>
      <c r="H67" s="2"/>
      <c r="I67" s="2"/>
      <c r="J67" s="2"/>
      <c r="K67" s="2"/>
    </row>
    <row r="68" spans="2:11">
      <c r="B68" s="2"/>
      <c r="C68" s="2"/>
      <c r="D68" s="2" t="s">
        <v>5463</v>
      </c>
      <c r="E68" s="2"/>
      <c r="F68" s="2"/>
      <c r="G68" s="2"/>
      <c r="H68" s="2"/>
      <c r="I68" s="2"/>
      <c r="J68" s="2"/>
      <c r="K68" s="2"/>
    </row>
    <row r="69" spans="2:11">
      <c r="B69" s="2"/>
      <c r="C69" s="2"/>
      <c r="D69" s="2"/>
      <c r="E69" s="2" t="s">
        <v>5464</v>
      </c>
      <c r="F69" s="2"/>
      <c r="G69" s="2"/>
      <c r="H69" s="2"/>
      <c r="I69" s="2"/>
      <c r="J69" s="2"/>
      <c r="K69" s="2"/>
    </row>
    <row r="70" spans="2:11">
      <c r="B70" s="2"/>
      <c r="C70" s="2"/>
      <c r="D70" s="2"/>
      <c r="E70" s="2" t="s">
        <v>5465</v>
      </c>
      <c r="F70" s="2"/>
      <c r="G70" s="2"/>
      <c r="H70" s="2"/>
      <c r="I70" s="2"/>
      <c r="J70" s="2"/>
      <c r="K70" s="2"/>
    </row>
    <row r="71" spans="2:11">
      <c r="B71" s="2"/>
      <c r="C71" s="2"/>
      <c r="D71" s="2" t="s">
        <v>5466</v>
      </c>
      <c r="E71" s="2"/>
      <c r="F71" s="2"/>
      <c r="G71" s="2"/>
      <c r="H71" s="2"/>
      <c r="I71" s="2"/>
      <c r="J71" s="2"/>
      <c r="K71" s="2"/>
    </row>
    <row r="72" spans="2:11">
      <c r="B72" s="2"/>
      <c r="C72" s="2" t="s">
        <v>5467</v>
      </c>
      <c r="D72" s="2"/>
      <c r="E72" s="2"/>
      <c r="F72" s="2"/>
      <c r="G72" s="2"/>
      <c r="H72" s="2"/>
      <c r="I72" s="2"/>
      <c r="J72" s="2"/>
      <c r="K72" s="2"/>
    </row>
    <row r="73" spans="2:11">
      <c r="B73" s="2"/>
      <c r="C73" s="2"/>
      <c r="D73" s="2" t="s">
        <v>5468</v>
      </c>
      <c r="E73" s="2"/>
      <c r="F73" s="2"/>
      <c r="G73" s="2"/>
      <c r="H73" s="2"/>
      <c r="I73" s="2"/>
      <c r="J73" s="2"/>
      <c r="K73" s="2"/>
    </row>
    <row r="74" spans="2:11">
      <c r="B74" s="2"/>
      <c r="C74" s="2"/>
      <c r="D74" s="2" t="s">
        <v>5469</v>
      </c>
      <c r="E74" s="2"/>
      <c r="F74" s="2"/>
      <c r="G74" s="2"/>
      <c r="H74" s="2"/>
      <c r="I74" s="2"/>
      <c r="J74" s="2"/>
      <c r="K74" s="2"/>
    </row>
    <row r="75" spans="2:11">
      <c r="B75" s="2"/>
      <c r="C75" s="2" t="s">
        <v>5470</v>
      </c>
      <c r="D75" s="2"/>
      <c r="E75" s="2"/>
      <c r="F75" s="2"/>
      <c r="G75" s="2"/>
      <c r="H75" s="2"/>
      <c r="I75" s="2"/>
      <c r="J75" s="2"/>
      <c r="K75" s="2"/>
    </row>
    <row r="76" spans="2:11">
      <c r="B76" s="2"/>
      <c r="C76" s="2"/>
      <c r="D76" s="2" t="s">
        <v>5471</v>
      </c>
      <c r="E76" s="2"/>
      <c r="F76" s="2"/>
      <c r="G76" s="2"/>
      <c r="H76" s="2"/>
      <c r="I76" s="2"/>
      <c r="J76" s="2"/>
      <c r="K76" s="2"/>
    </row>
    <row r="77" spans="2:11">
      <c r="B77" s="2"/>
      <c r="C77" s="2"/>
      <c r="D77" s="2" t="s">
        <v>5472</v>
      </c>
      <c r="E77" s="2"/>
      <c r="F77" s="2"/>
      <c r="G77" s="2"/>
      <c r="H77" s="2"/>
      <c r="I77" s="2"/>
      <c r="J77" s="2"/>
      <c r="K77" s="2"/>
    </row>
    <row r="78" spans="2:11">
      <c r="B78" s="2"/>
      <c r="C78" s="2"/>
      <c r="D78" s="2" t="s">
        <v>5473</v>
      </c>
      <c r="E78" s="2"/>
      <c r="F78" s="2"/>
      <c r="G78" s="2"/>
      <c r="H78" s="2"/>
      <c r="I78" s="2"/>
      <c r="J78" s="2"/>
      <c r="K78" s="2"/>
    </row>
    <row r="79" spans="2:11">
      <c r="B79" s="2"/>
      <c r="C79" s="2" t="s">
        <v>5474</v>
      </c>
      <c r="D79" s="2"/>
      <c r="E79" s="2"/>
      <c r="F79" s="2"/>
      <c r="G79" s="2"/>
      <c r="H79" s="2"/>
      <c r="I79" s="2"/>
      <c r="J79" s="2"/>
      <c r="K79" s="2"/>
    </row>
    <row r="80" spans="2:11">
      <c r="B80" s="2"/>
      <c r="C80" s="2"/>
      <c r="D80" s="2" t="s">
        <v>5475</v>
      </c>
      <c r="E80" s="2"/>
      <c r="F80" s="2"/>
      <c r="G80" s="2"/>
      <c r="H80" s="2"/>
      <c r="I80" s="2"/>
      <c r="J80" s="2"/>
      <c r="K80" s="2"/>
    </row>
    <row r="81" spans="2:11">
      <c r="B81" s="2"/>
      <c r="C81" s="2"/>
      <c r="D81" s="2" t="s">
        <v>5476</v>
      </c>
      <c r="E81" s="2"/>
      <c r="F81" s="2"/>
      <c r="G81" s="2"/>
      <c r="H81" s="2"/>
      <c r="I81" s="2"/>
      <c r="J81" s="2"/>
      <c r="K81" s="2"/>
    </row>
    <row r="82" spans="2:11">
      <c r="B82" s="2"/>
      <c r="C82" s="2" t="s">
        <v>5477</v>
      </c>
      <c r="D82" s="2"/>
      <c r="E82" s="2"/>
      <c r="F82" s="2"/>
      <c r="G82" s="2"/>
      <c r="H82" s="2"/>
      <c r="I82" s="2"/>
      <c r="J82" s="2"/>
      <c r="K82" s="2"/>
    </row>
    <row r="83" spans="2:11">
      <c r="B83" s="2"/>
      <c r="C83" s="2"/>
      <c r="D83" s="2" t="s">
        <v>5478</v>
      </c>
      <c r="E83" s="2"/>
      <c r="F83" s="2"/>
      <c r="G83" s="2"/>
      <c r="H83" s="2"/>
      <c r="I83" s="2"/>
      <c r="J83" s="2"/>
      <c r="K83" s="2"/>
    </row>
    <row r="84" spans="2:11">
      <c r="B84" s="2"/>
      <c r="C84" s="2"/>
      <c r="D84" s="2" t="s">
        <v>5479</v>
      </c>
      <c r="E84" s="2"/>
      <c r="F84" s="2"/>
      <c r="G84" s="2"/>
      <c r="H84" s="2"/>
      <c r="I84" s="2"/>
      <c r="J84" s="2"/>
      <c r="K84" s="2"/>
    </row>
    <row r="85" spans="2:11">
      <c r="B85" s="2"/>
      <c r="C85" s="2"/>
      <c r="D85" s="2"/>
      <c r="E85" s="2" t="s">
        <v>5480</v>
      </c>
      <c r="F85" s="2"/>
      <c r="G85" s="2"/>
      <c r="H85" s="2"/>
      <c r="I85" s="2"/>
      <c r="J85" s="2"/>
      <c r="K85" s="2"/>
    </row>
    <row r="86" spans="2:11">
      <c r="B86" s="2"/>
      <c r="C86" s="2"/>
      <c r="D86" s="2"/>
      <c r="E86" s="2" t="s">
        <v>5481</v>
      </c>
      <c r="F86" s="2"/>
      <c r="G86" s="2"/>
      <c r="H86" s="2"/>
      <c r="I86" s="2"/>
      <c r="J86" s="2"/>
      <c r="K86" s="2"/>
    </row>
    <row r="87" spans="2:11">
      <c r="B87" s="2"/>
      <c r="C87" s="2"/>
      <c r="D87" s="2" t="s">
        <v>5482</v>
      </c>
      <c r="E87" s="2"/>
      <c r="F87" s="2"/>
      <c r="G87" s="2"/>
      <c r="H87" s="2"/>
      <c r="I87" s="2"/>
      <c r="J87" s="2"/>
      <c r="K87" s="2"/>
    </row>
    <row r="88" spans="2:11">
      <c r="B88" s="2" t="s">
        <v>5483</v>
      </c>
      <c r="C88" s="2"/>
      <c r="D88" s="2"/>
      <c r="E88" s="2"/>
      <c r="F88" s="2"/>
      <c r="G88" s="2"/>
      <c r="H88" s="2"/>
      <c r="I88" s="2"/>
      <c r="J88" s="2"/>
      <c r="K88" s="2"/>
    </row>
    <row r="89" spans="2:11">
      <c r="B89" s="2"/>
      <c r="C89" s="2" t="s">
        <v>5484</v>
      </c>
      <c r="D89" s="2"/>
      <c r="E89" s="2"/>
      <c r="F89" s="2"/>
      <c r="G89" s="2"/>
      <c r="H89" s="2"/>
      <c r="I89" s="2"/>
      <c r="J89" s="2"/>
      <c r="K89" s="2"/>
    </row>
    <row r="90" spans="2:11">
      <c r="B90" s="2"/>
      <c r="C90" s="2"/>
      <c r="D90" s="2" t="s">
        <v>5485</v>
      </c>
      <c r="E90" s="2"/>
      <c r="F90" s="2"/>
      <c r="G90" s="2"/>
      <c r="H90" s="2"/>
      <c r="I90" s="2"/>
      <c r="J90" s="2"/>
      <c r="K90" s="2"/>
    </row>
    <row r="91" spans="2:11">
      <c r="B91" s="2"/>
      <c r="C91" s="2"/>
      <c r="D91" s="2" t="s">
        <v>5486</v>
      </c>
      <c r="E91" s="2"/>
      <c r="F91" s="2"/>
      <c r="G91" s="2"/>
      <c r="H91" s="2"/>
      <c r="I91" s="2"/>
      <c r="J91" s="2"/>
      <c r="K91" s="2"/>
    </row>
    <row r="92" spans="2:11">
      <c r="B92" s="2"/>
      <c r="C92" s="2"/>
      <c r="D92" s="2"/>
      <c r="E92" s="2" t="s">
        <v>5487</v>
      </c>
      <c r="F92" s="2"/>
      <c r="G92" s="2"/>
      <c r="H92" s="2"/>
      <c r="I92" s="2"/>
      <c r="J92" s="2"/>
      <c r="K92" s="2"/>
    </row>
    <row r="93" spans="2:11">
      <c r="B93" s="2"/>
      <c r="C93" s="2"/>
      <c r="D93" s="2"/>
      <c r="E93" s="2" t="s">
        <v>5488</v>
      </c>
      <c r="F93" s="2"/>
      <c r="G93" s="2"/>
      <c r="H93" s="2"/>
      <c r="I93" s="2"/>
      <c r="J93" s="2"/>
      <c r="K93" s="2"/>
    </row>
    <row r="94" spans="2:11">
      <c r="B94" s="2"/>
      <c r="C94" s="2"/>
      <c r="D94" s="2"/>
      <c r="E94" s="2" t="s">
        <v>5489</v>
      </c>
      <c r="F94" s="2"/>
      <c r="G94" s="2"/>
      <c r="H94" s="2"/>
      <c r="I94" s="2"/>
      <c r="J94" s="2"/>
      <c r="K94" s="2"/>
    </row>
    <row r="95" spans="2:11">
      <c r="B95" s="2"/>
      <c r="C95" s="2" t="s">
        <v>5490</v>
      </c>
      <c r="D95" s="2"/>
      <c r="E95" s="2"/>
      <c r="F95" s="2"/>
      <c r="G95" s="2"/>
      <c r="H95" s="2"/>
      <c r="I95" s="2"/>
      <c r="J95" s="2"/>
      <c r="K95" s="2"/>
    </row>
    <row r="96" spans="2:11">
      <c r="B96" s="2"/>
      <c r="C96" s="2"/>
      <c r="D96" s="2" t="s">
        <v>5491</v>
      </c>
      <c r="E96" s="2"/>
      <c r="F96" s="2"/>
      <c r="G96" s="2"/>
      <c r="H96" s="2"/>
      <c r="I96" s="2"/>
      <c r="J96" s="2"/>
      <c r="K96" s="2"/>
    </row>
    <row r="97" spans="2:11">
      <c r="B97" s="2"/>
      <c r="C97" s="2"/>
      <c r="D97" s="2" t="s">
        <v>5492</v>
      </c>
      <c r="E97" s="2"/>
      <c r="F97" s="2"/>
      <c r="G97" s="2"/>
      <c r="H97" s="2"/>
      <c r="I97" s="2"/>
      <c r="J97" s="2"/>
      <c r="K97" s="2"/>
    </row>
    <row r="98" spans="2:11">
      <c r="B98" s="2"/>
      <c r="C98" s="2" t="s">
        <v>5493</v>
      </c>
      <c r="D98" s="2"/>
      <c r="E98" s="2"/>
      <c r="F98" s="2"/>
      <c r="G98" s="2"/>
      <c r="H98" s="2"/>
      <c r="I98" s="2"/>
      <c r="J98" s="2"/>
      <c r="K98" s="2"/>
    </row>
    <row r="99" spans="2:11">
      <c r="B99" s="2"/>
      <c r="C99" s="2"/>
      <c r="D99" s="2" t="s">
        <v>5494</v>
      </c>
      <c r="E99" s="2"/>
      <c r="F99" s="2"/>
      <c r="G99" s="2"/>
      <c r="H99" s="2"/>
      <c r="I99" s="2"/>
      <c r="J99" s="2"/>
      <c r="K99" s="2"/>
    </row>
    <row r="100" spans="2:11">
      <c r="B100" s="2"/>
      <c r="C100" s="2"/>
      <c r="D100" s="2"/>
      <c r="E100" s="2" t="s">
        <v>5495</v>
      </c>
      <c r="F100" s="2"/>
      <c r="G100" s="2"/>
      <c r="H100" s="2"/>
      <c r="I100" s="2"/>
      <c r="J100" s="2"/>
      <c r="K100" s="2"/>
    </row>
    <row r="101" spans="2:11">
      <c r="B101" s="2"/>
      <c r="C101" s="2"/>
      <c r="D101" s="2"/>
      <c r="E101" s="2" t="s">
        <v>5496</v>
      </c>
      <c r="F101" s="2"/>
      <c r="G101" s="2"/>
      <c r="H101" s="2"/>
      <c r="I101" s="2"/>
      <c r="J101" s="2"/>
      <c r="K101" s="2"/>
    </row>
    <row r="102" spans="2:11">
      <c r="B102" s="2"/>
      <c r="C102" s="2" t="s">
        <v>5497</v>
      </c>
      <c r="D102" s="2"/>
      <c r="E102" s="2"/>
      <c r="F102" s="2"/>
      <c r="G102" s="2"/>
      <c r="H102" s="2"/>
      <c r="I102" s="2"/>
      <c r="J102" s="2"/>
      <c r="K102" s="2"/>
    </row>
    <row r="103" spans="2:11">
      <c r="B103" s="2"/>
      <c r="C103" s="2"/>
      <c r="D103" s="2" t="s">
        <v>5498</v>
      </c>
      <c r="E103" s="2"/>
      <c r="F103" s="2"/>
      <c r="G103" s="2"/>
      <c r="H103" s="2"/>
      <c r="I103" s="2"/>
      <c r="J103" s="2"/>
      <c r="K103" s="2"/>
    </row>
    <row r="104" spans="2:11">
      <c r="B104" s="2"/>
      <c r="C104" s="2"/>
      <c r="D104" s="2" t="s">
        <v>5499</v>
      </c>
      <c r="E104" s="2"/>
      <c r="F104" s="2"/>
      <c r="G104" s="2"/>
      <c r="H104" s="2"/>
      <c r="I104" s="2"/>
      <c r="J104" s="2"/>
      <c r="K104" s="2"/>
    </row>
    <row r="105" spans="2:11">
      <c r="B105" s="2"/>
      <c r="C105" s="2"/>
      <c r="D105" s="2" t="s">
        <v>5500</v>
      </c>
      <c r="E105" s="2"/>
      <c r="F105" s="2"/>
      <c r="G105" s="2"/>
      <c r="H105" s="2"/>
      <c r="I105" s="2"/>
      <c r="J105" s="2"/>
      <c r="K105" s="2"/>
    </row>
    <row r="106" spans="2:11">
      <c r="B106" s="2"/>
      <c r="C106" s="2" t="s">
        <v>5501</v>
      </c>
      <c r="D106" s="2"/>
      <c r="E106" s="2"/>
      <c r="F106" s="2"/>
      <c r="G106" s="2"/>
      <c r="H106" s="2"/>
      <c r="I106" s="2"/>
      <c r="J106" s="2"/>
      <c r="K106" s="2"/>
    </row>
    <row r="107" spans="2:11">
      <c r="B107" s="2"/>
      <c r="C107" s="2"/>
      <c r="D107" s="2" t="s">
        <v>5502</v>
      </c>
      <c r="E107" s="2"/>
      <c r="F107" s="2"/>
      <c r="G107" s="2"/>
      <c r="H107" s="2"/>
      <c r="I107" s="2"/>
      <c r="J107" s="2"/>
      <c r="K107" s="2"/>
    </row>
    <row r="108" spans="2:11">
      <c r="B108" s="2"/>
      <c r="C108" s="2"/>
      <c r="D108" s="2" t="s">
        <v>5503</v>
      </c>
      <c r="E108" s="2"/>
      <c r="F108" s="2"/>
      <c r="G108" s="2"/>
      <c r="H108" s="2"/>
      <c r="I108" s="2"/>
      <c r="J108" s="2"/>
      <c r="K108" s="2"/>
    </row>
    <row r="109" spans="2:11">
      <c r="B109" s="2"/>
      <c r="C109" s="2"/>
      <c r="D109" s="2" t="s">
        <v>5504</v>
      </c>
      <c r="E109" s="2"/>
      <c r="F109" s="2"/>
      <c r="G109" s="2"/>
      <c r="H109" s="2"/>
      <c r="I109" s="2"/>
      <c r="J109" s="2"/>
      <c r="K109" s="2"/>
    </row>
    <row r="110" spans="2:11">
      <c r="B110" s="2"/>
      <c r="C110" s="2" t="s">
        <v>5505</v>
      </c>
      <c r="D110" s="2"/>
      <c r="E110" s="2"/>
      <c r="F110" s="2"/>
      <c r="G110" s="2"/>
      <c r="H110" s="2"/>
      <c r="I110" s="2"/>
      <c r="J110" s="2"/>
      <c r="K110" s="2"/>
    </row>
    <row r="111" spans="2:11">
      <c r="B111" s="2"/>
      <c r="C111" s="2"/>
      <c r="D111" s="2" t="s">
        <v>5506</v>
      </c>
      <c r="E111" s="2"/>
      <c r="F111" s="2"/>
      <c r="G111" s="2"/>
      <c r="H111" s="2"/>
      <c r="I111" s="2"/>
      <c r="J111" s="2"/>
      <c r="K111" s="2"/>
    </row>
    <row r="112" spans="2:11">
      <c r="B112" s="2"/>
      <c r="C112" s="2"/>
      <c r="D112" s="2"/>
      <c r="E112" s="2" t="s">
        <v>5507</v>
      </c>
      <c r="F112" s="2"/>
      <c r="G112" s="2"/>
      <c r="H112" s="2"/>
      <c r="I112" s="2"/>
      <c r="J112" s="2"/>
      <c r="K112" s="2"/>
    </row>
    <row r="113" spans="2:11">
      <c r="B113" s="2"/>
      <c r="C113" s="2"/>
      <c r="D113" s="2"/>
      <c r="E113" s="2" t="s">
        <v>5508</v>
      </c>
      <c r="F113" s="2"/>
      <c r="G113" s="2"/>
      <c r="H113" s="2"/>
      <c r="I113" s="2"/>
      <c r="J113" s="2"/>
      <c r="K113" s="2"/>
    </row>
    <row r="114" spans="2:11">
      <c r="B114" s="2"/>
      <c r="C114" s="2"/>
      <c r="D114" s="2" t="s">
        <v>5509</v>
      </c>
      <c r="E114" s="2"/>
      <c r="F114" s="2"/>
      <c r="G114" s="2"/>
      <c r="H114" s="2"/>
      <c r="I114" s="2"/>
      <c r="J114" s="2"/>
      <c r="K114" s="2"/>
    </row>
    <row r="115" spans="2:11">
      <c r="B115" s="2"/>
      <c r="C115" s="2"/>
      <c r="D115" s="2"/>
      <c r="E115" s="2" t="s">
        <v>5510</v>
      </c>
      <c r="F115" s="2"/>
      <c r="G115" s="2"/>
      <c r="H115" s="2"/>
      <c r="I115" s="2"/>
      <c r="J115" s="2"/>
      <c r="K115" s="2"/>
    </row>
    <row r="116" spans="2:11">
      <c r="B116" s="2"/>
      <c r="C116" s="2"/>
      <c r="D116" s="2"/>
      <c r="E116" s="2" t="s">
        <v>5511</v>
      </c>
      <c r="F116" s="2"/>
      <c r="G116" s="2"/>
      <c r="H116" s="2"/>
      <c r="I116" s="2"/>
      <c r="J116" s="2"/>
      <c r="K116" s="2"/>
    </row>
    <row r="117" spans="2:11">
      <c r="B117" t="s">
        <v>5512</v>
      </c>
    </row>
    <row r="118" spans="2:11">
      <c r="B118" t="s">
        <v>5513</v>
      </c>
    </row>
    <row r="119" spans="2:11">
      <c r="C119" t="s">
        <v>5514</v>
      </c>
    </row>
    <row r="120" spans="2:11">
      <c r="B120" t="s">
        <v>5515</v>
      </c>
    </row>
    <row r="121" spans="2:11">
      <c r="C121" t="s">
        <v>5516</v>
      </c>
    </row>
    <row r="122" spans="2:11">
      <c r="D122" t="s">
        <v>5517</v>
      </c>
    </row>
    <row r="123" spans="2:11">
      <c r="C123" t="s">
        <v>5518</v>
      </c>
    </row>
    <row r="124" spans="2:11">
      <c r="C124" t="s">
        <v>5519</v>
      </c>
    </row>
    <row r="125" spans="2:11">
      <c r="D125" t="s">
        <v>5520</v>
      </c>
    </row>
    <row r="126" spans="2:11">
      <c r="D126" t="s">
        <v>5521</v>
      </c>
    </row>
    <row r="127" spans="2:11">
      <c r="C127" t="s">
        <v>5522</v>
      </c>
    </row>
    <row r="128" spans="2:11">
      <c r="C128" t="s">
        <v>5523</v>
      </c>
    </row>
    <row r="129" spans="2:4">
      <c r="C129" t="s">
        <v>5524</v>
      </c>
    </row>
    <row r="130" spans="2:4">
      <c r="D130" t="s">
        <v>5525</v>
      </c>
    </row>
    <row r="131" spans="2:4">
      <c r="D131" t="s">
        <v>5526</v>
      </c>
    </row>
    <row r="132" spans="2:4">
      <c r="C132" t="s">
        <v>5527</v>
      </c>
    </row>
    <row r="133" spans="2:4">
      <c r="D133" t="s">
        <v>5528</v>
      </c>
    </row>
    <row r="134" spans="2:4">
      <c r="B134" t="s">
        <v>5529</v>
      </c>
    </row>
    <row r="135" spans="2:4">
      <c r="B135" t="s">
        <v>5530</v>
      </c>
    </row>
    <row r="136" spans="2:4">
      <c r="C136" t="s">
        <v>5531</v>
      </c>
    </row>
  </sheetData>
  <pageMargins left="0.75" right="0.75" top="1" bottom="1" header="0.5" footer="0.5"/>
  <pageSetup paperSize="9" orientation="portrait"/>
  <headerFooter/>
</worksheet>
</file>

<file path=xl/worksheets/sheet2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K117"/>
  <sheetViews>
    <sheetView topLeftCell="A3" workbookViewId="0">
      <selection activeCell="K15" sqref="$A1:$XFD1048576"/>
    </sheetView>
  </sheetViews>
  <sheetFormatPr defaultColWidth="8.88888888888889" defaultRowHeight="14.4"/>
  <cols>
    <col min="1" max="1" width="9.66666666666667"/>
  </cols>
  <sheetData>
    <row r="1" spans="1:11">
      <c r="A1" s="1">
        <f>SUM(B1:AZ1)</f>
        <v>31.9666666666667</v>
      </c>
      <c r="B1" s="1">
        <f t="shared" ref="B1:H1" si="0">COUNTA(B2:B2221)/COLUMN()</f>
        <v>4.5</v>
      </c>
      <c r="C1" s="1">
        <f t="shared" si="0"/>
        <v>10.6666666666667</v>
      </c>
      <c r="D1" s="1">
        <f t="shared" si="0"/>
        <v>9</v>
      </c>
      <c r="E1" s="1">
        <f t="shared" si="0"/>
        <v>7.8</v>
      </c>
      <c r="F1" s="1">
        <f t="shared" si="0"/>
        <v>0</v>
      </c>
      <c r="G1" s="1">
        <f t="shared" si="0"/>
        <v>0</v>
      </c>
      <c r="H1" s="1">
        <f t="shared" si="0"/>
        <v>0</v>
      </c>
    </row>
    <row r="2" spans="1:11">
      <c r="A2" t="str" cm="1">
        <f ca="1" t="array" ref="A2">_wpsfn.SHEETSNAME(A1)</f>
        <v>20251208</v>
      </c>
      <c r="B2" s="2" t="s">
        <v>5532</v>
      </c>
      <c r="C2" s="2"/>
      <c r="D2" s="2"/>
      <c r="E2" s="2"/>
      <c r="F2" s="2"/>
      <c r="G2" s="2"/>
      <c r="H2" s="2"/>
      <c r="I2" s="2"/>
      <c r="J2" s="2"/>
      <c r="K2" s="2"/>
    </row>
    <row r="3" spans="1:11">
      <c r="B3" s="2"/>
      <c r="C3" s="2" t="s">
        <v>5533</v>
      </c>
      <c r="D3" s="2"/>
      <c r="E3" s="2"/>
      <c r="F3" s="2"/>
      <c r="G3" s="2"/>
      <c r="H3" s="2"/>
      <c r="I3" s="2"/>
      <c r="J3" s="2"/>
      <c r="K3" s="2"/>
    </row>
    <row r="4" spans="1:11">
      <c r="B4" s="2"/>
      <c r="C4" s="2"/>
      <c r="D4" s="2" t="s">
        <v>5534</v>
      </c>
      <c r="E4" s="2"/>
      <c r="F4" s="2"/>
      <c r="G4" s="2"/>
      <c r="H4" s="2"/>
      <c r="I4" s="2"/>
      <c r="J4" s="2"/>
      <c r="K4" s="2"/>
    </row>
    <row r="5" spans="1:11">
      <c r="B5" s="2"/>
      <c r="C5" s="2"/>
      <c r="D5" s="2" t="s">
        <v>5535</v>
      </c>
      <c r="E5" s="2"/>
      <c r="F5" s="2"/>
      <c r="G5" s="2"/>
      <c r="H5" s="2"/>
      <c r="I5" s="2"/>
      <c r="J5" s="2"/>
      <c r="K5" s="2"/>
    </row>
    <row r="6" spans="1:11">
      <c r="B6" s="2"/>
      <c r="C6" s="2"/>
      <c r="D6" s="2"/>
      <c r="E6" s="2" t="s">
        <v>5536</v>
      </c>
      <c r="F6" s="2"/>
      <c r="G6" s="2"/>
      <c r="H6" s="2"/>
      <c r="I6" s="2"/>
      <c r="J6" s="2"/>
      <c r="K6" s="2"/>
    </row>
    <row r="7" spans="1:11">
      <c r="B7" s="2"/>
      <c r="C7" s="2"/>
      <c r="D7" s="2"/>
      <c r="E7" s="2" t="s">
        <v>5537</v>
      </c>
      <c r="F7" s="2"/>
      <c r="G7" s="2"/>
      <c r="H7" s="2"/>
      <c r="I7" s="2"/>
      <c r="J7" s="2"/>
      <c r="K7" s="2"/>
    </row>
    <row r="8" spans="1:11">
      <c r="B8" s="2"/>
      <c r="C8" s="2" t="s">
        <v>5538</v>
      </c>
      <c r="D8" s="2"/>
      <c r="E8" s="2"/>
      <c r="F8" s="2"/>
      <c r="G8" s="2"/>
      <c r="H8" s="2"/>
      <c r="I8" s="2"/>
      <c r="J8" s="2"/>
      <c r="K8" s="2"/>
    </row>
    <row r="9" spans="1:11">
      <c r="B9" s="2"/>
      <c r="C9" s="2"/>
      <c r="D9" s="2" t="s">
        <v>5539</v>
      </c>
      <c r="E9" s="2"/>
      <c r="F9" s="2"/>
      <c r="G9" s="2"/>
      <c r="H9" s="2"/>
      <c r="I9" s="2"/>
      <c r="J9" s="2"/>
      <c r="K9" s="2"/>
    </row>
    <row r="10" spans="1:11">
      <c r="B10" s="2"/>
      <c r="C10" s="2"/>
      <c r="D10" s="2"/>
      <c r="E10" s="2" t="s">
        <v>5540</v>
      </c>
      <c r="F10" s="2"/>
      <c r="G10" s="2"/>
      <c r="H10" s="2"/>
      <c r="I10" s="2"/>
      <c r="J10" s="2"/>
      <c r="K10" s="2"/>
    </row>
    <row r="11" spans="1:11">
      <c r="B11" s="2"/>
      <c r="C11" s="2"/>
      <c r="D11" s="2"/>
      <c r="E11" s="2" t="s">
        <v>5541</v>
      </c>
      <c r="F11" s="2"/>
      <c r="G11" s="2"/>
      <c r="H11" s="2"/>
      <c r="I11" s="2"/>
      <c r="J11" s="2"/>
      <c r="K11" s="2"/>
    </row>
    <row r="12" spans="1:11">
      <c r="B12" s="2"/>
      <c r="C12" s="2"/>
      <c r="D12" s="2"/>
      <c r="E12" s="2" t="s">
        <v>5542</v>
      </c>
      <c r="F12" s="2"/>
      <c r="G12" s="2"/>
      <c r="H12" s="2"/>
      <c r="I12" s="2"/>
      <c r="J12" s="2"/>
      <c r="K12" s="2"/>
    </row>
    <row r="13" spans="1:11">
      <c r="B13" s="2"/>
      <c r="C13" s="2"/>
      <c r="D13" s="2" t="s">
        <v>5543</v>
      </c>
      <c r="E13" s="2"/>
      <c r="F13" s="2"/>
      <c r="G13" s="2"/>
      <c r="H13" s="2"/>
      <c r="I13" s="2"/>
      <c r="J13" s="2"/>
      <c r="K13" s="2"/>
    </row>
    <row r="14" spans="1:11">
      <c r="B14" s="2"/>
      <c r="C14" s="2"/>
      <c r="D14" s="2" t="s">
        <v>5544</v>
      </c>
      <c r="E14" s="2"/>
      <c r="F14" s="2"/>
      <c r="G14" s="2"/>
      <c r="H14" s="2"/>
      <c r="I14" s="2"/>
      <c r="J14" s="2"/>
      <c r="K14" s="2"/>
    </row>
    <row r="15" spans="1:11">
      <c r="B15" s="2"/>
      <c r="C15" s="2"/>
      <c r="D15" s="2"/>
      <c r="E15" s="2" t="s">
        <v>5545</v>
      </c>
      <c r="F15" s="2"/>
      <c r="G15" s="2"/>
      <c r="H15" s="2"/>
      <c r="I15" s="2"/>
      <c r="J15" s="2"/>
      <c r="K15" s="2"/>
    </row>
    <row r="16" spans="1:11">
      <c r="B16" s="2"/>
      <c r="C16" s="2"/>
      <c r="D16" s="2"/>
      <c r="E16" s="2" t="s">
        <v>5546</v>
      </c>
      <c r="F16" s="2"/>
      <c r="G16" s="2"/>
      <c r="H16" s="2"/>
      <c r="I16" s="2"/>
      <c r="J16" s="2"/>
      <c r="K16" s="2"/>
    </row>
    <row r="17" spans="2:11">
      <c r="B17" s="2"/>
      <c r="C17" s="2"/>
      <c r="D17" s="2"/>
      <c r="E17" s="2" t="s">
        <v>5547</v>
      </c>
      <c r="F17" s="2"/>
      <c r="G17" s="2"/>
      <c r="H17" s="2"/>
      <c r="I17" s="2"/>
      <c r="J17" s="2"/>
      <c r="K17" s="2"/>
    </row>
    <row r="18" spans="2:11">
      <c r="B18" s="2"/>
      <c r="C18" s="2" t="s">
        <v>5548</v>
      </c>
      <c r="D18" s="2"/>
      <c r="E18" s="2"/>
      <c r="F18" s="2"/>
      <c r="G18" s="2"/>
      <c r="H18" s="2"/>
      <c r="I18" s="2"/>
      <c r="J18" s="2"/>
      <c r="K18" s="2"/>
    </row>
    <row r="19" spans="2:11">
      <c r="B19" s="2"/>
      <c r="C19" s="2"/>
      <c r="D19" s="2" t="s">
        <v>5549</v>
      </c>
      <c r="E19" s="2"/>
      <c r="F19" s="2"/>
      <c r="G19" s="2"/>
      <c r="H19" s="2"/>
      <c r="I19" s="2"/>
      <c r="J19" s="2"/>
      <c r="K19" s="2"/>
    </row>
    <row r="20" spans="2:11">
      <c r="B20" s="2"/>
      <c r="C20" s="2"/>
      <c r="D20" s="2" t="s">
        <v>5550</v>
      </c>
      <c r="E20" s="2"/>
      <c r="F20" s="2"/>
      <c r="G20" s="2"/>
      <c r="H20" s="2"/>
      <c r="I20" s="2"/>
      <c r="J20" s="2"/>
      <c r="K20" s="2"/>
    </row>
    <row r="21" spans="2:11">
      <c r="B21" s="2"/>
      <c r="C21" s="2" t="s">
        <v>5551</v>
      </c>
      <c r="D21" s="2"/>
      <c r="E21" s="2"/>
      <c r="F21" s="2"/>
      <c r="G21" s="2"/>
      <c r="H21" s="2"/>
      <c r="I21" s="2"/>
      <c r="J21" s="2"/>
      <c r="K21" s="2"/>
    </row>
    <row r="22" spans="2:11">
      <c r="B22" s="2"/>
      <c r="C22" s="2"/>
      <c r="D22" s="2" t="s">
        <v>5552</v>
      </c>
      <c r="E22" s="2"/>
      <c r="F22" s="2"/>
      <c r="G22" s="2"/>
      <c r="H22" s="2"/>
      <c r="I22" s="2"/>
      <c r="J22" s="2"/>
      <c r="K22" s="2"/>
    </row>
    <row r="23" spans="2:11">
      <c r="B23" s="2"/>
      <c r="C23" s="2"/>
      <c r="D23" s="2"/>
      <c r="E23" s="2" t="s">
        <v>5553</v>
      </c>
      <c r="F23" s="2"/>
      <c r="G23" s="2"/>
      <c r="H23" s="2"/>
      <c r="I23" s="2"/>
      <c r="J23" s="2"/>
      <c r="K23" s="2"/>
    </row>
    <row r="24" spans="2:11">
      <c r="B24" s="2"/>
      <c r="C24" s="2"/>
      <c r="D24" s="2"/>
      <c r="E24" s="2" t="s">
        <v>5554</v>
      </c>
      <c r="F24" s="2"/>
      <c r="G24" s="2"/>
      <c r="H24" s="2"/>
      <c r="I24" s="2"/>
      <c r="J24" s="2"/>
      <c r="K24" s="2"/>
    </row>
    <row r="25" spans="2:11">
      <c r="B25" s="2"/>
      <c r="C25" s="2"/>
      <c r="D25" s="2" t="s">
        <v>5555</v>
      </c>
      <c r="E25" s="2"/>
      <c r="F25" s="2"/>
      <c r="G25" s="2"/>
      <c r="H25" s="2"/>
      <c r="I25" s="2"/>
      <c r="J25" s="2"/>
      <c r="K25" s="2"/>
    </row>
    <row r="26" spans="2:11">
      <c r="B26" s="2"/>
      <c r="C26" s="2"/>
      <c r="D26" s="2"/>
      <c r="E26" s="2" t="s">
        <v>5556</v>
      </c>
      <c r="F26" s="2"/>
      <c r="G26" s="2"/>
      <c r="H26" s="2"/>
      <c r="I26" s="2"/>
      <c r="J26" s="2"/>
      <c r="K26" s="2"/>
    </row>
    <row r="27" spans="2:11">
      <c r="B27" s="2"/>
      <c r="C27" s="2"/>
      <c r="D27" s="2"/>
      <c r="E27" s="2" t="s">
        <v>5557</v>
      </c>
      <c r="F27" s="2"/>
      <c r="G27" s="2"/>
      <c r="H27" s="2"/>
      <c r="I27" s="2"/>
      <c r="J27" s="2"/>
      <c r="K27" s="2"/>
    </row>
    <row r="28" spans="2:11">
      <c r="B28" s="2" t="s">
        <v>5558</v>
      </c>
      <c r="C28" s="2"/>
      <c r="D28" s="2"/>
      <c r="E28" s="2"/>
      <c r="F28" s="2"/>
      <c r="G28" s="2"/>
      <c r="H28" s="2"/>
      <c r="I28" s="2"/>
      <c r="J28" s="2"/>
      <c r="K28" s="2"/>
    </row>
    <row r="29" spans="2:11">
      <c r="B29" s="2"/>
      <c r="C29" s="2" t="s">
        <v>5559</v>
      </c>
      <c r="D29" s="2"/>
      <c r="E29" s="2"/>
      <c r="F29" s="2"/>
      <c r="G29" s="2"/>
      <c r="H29" s="2"/>
      <c r="I29" s="2"/>
      <c r="J29" s="2"/>
      <c r="K29" s="2"/>
    </row>
    <row r="30" spans="2:11">
      <c r="B30" s="2"/>
      <c r="C30" s="2"/>
      <c r="D30" s="2" t="s">
        <v>5560</v>
      </c>
      <c r="E30" s="2"/>
      <c r="F30" s="2"/>
      <c r="G30" s="2"/>
      <c r="H30" s="2"/>
      <c r="I30" s="2"/>
      <c r="J30" s="2"/>
      <c r="K30" s="2"/>
    </row>
    <row r="31" spans="2:11">
      <c r="B31" s="2"/>
      <c r="C31" s="2"/>
      <c r="D31" s="2" t="s">
        <v>5561</v>
      </c>
      <c r="E31" s="2"/>
      <c r="F31" s="2"/>
      <c r="G31" s="2"/>
      <c r="H31" s="2"/>
      <c r="I31" s="2"/>
      <c r="J31" s="2"/>
      <c r="K31" s="2"/>
    </row>
    <row r="32" spans="2:11">
      <c r="B32" s="2"/>
      <c r="C32" s="2" t="s">
        <v>5562</v>
      </c>
      <c r="D32" s="2"/>
      <c r="E32" s="2"/>
      <c r="F32" s="2"/>
      <c r="G32" s="2"/>
      <c r="H32" s="2"/>
      <c r="I32" s="2"/>
      <c r="J32" s="2"/>
      <c r="K32" s="2"/>
    </row>
    <row r="33" spans="2:11">
      <c r="B33" s="2"/>
      <c r="C33" s="2"/>
      <c r="D33" s="2" t="s">
        <v>5563</v>
      </c>
      <c r="E33" s="2"/>
      <c r="F33" s="2"/>
      <c r="G33" s="2"/>
      <c r="H33" s="2"/>
      <c r="I33" s="2"/>
      <c r="J33" s="2"/>
      <c r="K33" s="2"/>
    </row>
    <row r="34" spans="2:11">
      <c r="B34" s="2"/>
      <c r="C34" s="2"/>
      <c r="D34" s="2" t="s">
        <v>5564</v>
      </c>
      <c r="E34" s="2"/>
      <c r="F34" s="2"/>
      <c r="G34" s="2"/>
      <c r="H34" s="2"/>
      <c r="I34" s="2"/>
      <c r="J34" s="2"/>
      <c r="K34" s="2"/>
    </row>
    <row r="35" spans="2:11">
      <c r="B35" s="2"/>
      <c r="C35" s="2" t="s">
        <v>5565</v>
      </c>
      <c r="D35" s="2"/>
      <c r="E35" s="2"/>
      <c r="F35" s="2"/>
      <c r="G35" s="2"/>
      <c r="H35" s="2"/>
      <c r="I35" s="2"/>
      <c r="J35" s="2"/>
      <c r="K35" s="2"/>
    </row>
    <row r="36" spans="2:11">
      <c r="B36" s="2"/>
      <c r="C36" s="2"/>
      <c r="D36" s="2" t="s">
        <v>5566</v>
      </c>
      <c r="E36" s="2"/>
      <c r="F36" s="2"/>
      <c r="G36" s="2"/>
      <c r="H36" s="2"/>
      <c r="I36" s="2"/>
      <c r="J36" s="2"/>
      <c r="K36" s="2"/>
    </row>
    <row r="37" spans="2:11">
      <c r="B37" s="2"/>
      <c r="C37" s="2"/>
      <c r="D37" s="2" t="s">
        <v>5567</v>
      </c>
      <c r="E37" s="2"/>
      <c r="F37" s="2"/>
      <c r="G37" s="2"/>
      <c r="H37" s="2"/>
      <c r="I37" s="2"/>
      <c r="J37" s="2"/>
      <c r="K37" s="2"/>
    </row>
    <row r="38" spans="2:11">
      <c r="B38" s="2"/>
      <c r="C38" s="2"/>
      <c r="D38" s="2" t="s">
        <v>5568</v>
      </c>
      <c r="E38" s="2"/>
      <c r="F38" s="2"/>
      <c r="G38" s="2"/>
      <c r="H38" s="2"/>
      <c r="I38" s="2"/>
      <c r="J38" s="2"/>
      <c r="K38" s="2"/>
    </row>
    <row r="39" spans="2:11">
      <c r="B39" s="2"/>
      <c r="C39" s="2"/>
      <c r="D39" s="2"/>
      <c r="E39" s="2" t="s">
        <v>5569</v>
      </c>
      <c r="F39" s="2"/>
      <c r="G39" s="2"/>
      <c r="H39" s="2"/>
      <c r="I39" s="2"/>
      <c r="J39" s="2"/>
      <c r="K39" s="2"/>
    </row>
    <row r="40" spans="2:11">
      <c r="B40" s="2"/>
      <c r="C40" s="2"/>
      <c r="D40" s="2"/>
      <c r="E40" s="2" t="s">
        <v>5570</v>
      </c>
      <c r="F40" s="2"/>
      <c r="G40" s="2"/>
      <c r="H40" s="2"/>
      <c r="I40" s="2"/>
      <c r="J40" s="2"/>
      <c r="K40" s="2"/>
    </row>
    <row r="41" spans="2:11">
      <c r="B41" s="2"/>
      <c r="C41" s="2"/>
      <c r="D41" s="2"/>
      <c r="E41" s="2" t="s">
        <v>5571</v>
      </c>
      <c r="F41" s="2"/>
      <c r="G41" s="2"/>
      <c r="H41" s="2"/>
      <c r="I41" s="2"/>
      <c r="J41" s="2"/>
      <c r="K41" s="2"/>
    </row>
    <row r="42" spans="2:11">
      <c r="B42" s="2"/>
      <c r="C42" s="2" t="s">
        <v>5572</v>
      </c>
      <c r="D42" s="2"/>
      <c r="E42" s="2"/>
      <c r="F42" s="2"/>
      <c r="G42" s="2"/>
      <c r="H42" s="2"/>
      <c r="I42" s="2"/>
      <c r="J42" s="2"/>
      <c r="K42" s="2"/>
    </row>
    <row r="43" spans="2:11">
      <c r="B43" s="2"/>
      <c r="C43" s="2"/>
      <c r="D43" s="2" t="s">
        <v>5573</v>
      </c>
      <c r="E43" s="2"/>
      <c r="F43" s="2"/>
      <c r="G43" s="2"/>
      <c r="H43" s="2"/>
      <c r="I43" s="2"/>
      <c r="J43" s="2"/>
      <c r="K43" s="2"/>
    </row>
    <row r="44" spans="2:11">
      <c r="B44" s="2"/>
      <c r="C44" s="2"/>
      <c r="D44" s="2" t="s">
        <v>5574</v>
      </c>
      <c r="E44" s="2"/>
      <c r="F44" s="2"/>
      <c r="G44" s="2"/>
      <c r="H44" s="2"/>
      <c r="I44" s="2"/>
      <c r="J44" s="2"/>
      <c r="K44" s="2"/>
    </row>
    <row r="45" spans="2:11">
      <c r="B45" s="2"/>
      <c r="C45" s="2"/>
      <c r="D45" s="2"/>
      <c r="E45" s="2" t="s">
        <v>5575</v>
      </c>
      <c r="F45" s="2"/>
      <c r="G45" s="2"/>
      <c r="H45" s="2"/>
      <c r="I45" s="2"/>
      <c r="J45" s="2"/>
      <c r="K45" s="2"/>
    </row>
    <row r="46" spans="2:11">
      <c r="B46" s="2"/>
      <c r="C46" s="2"/>
      <c r="D46" s="2"/>
      <c r="E46" s="2" t="s">
        <v>5576</v>
      </c>
      <c r="F46" s="2"/>
      <c r="G46" s="2"/>
      <c r="H46" s="2"/>
      <c r="I46" s="2"/>
      <c r="J46" s="2"/>
      <c r="K46" s="2"/>
    </row>
    <row r="47" spans="2:11">
      <c r="B47" s="2"/>
      <c r="C47" s="2" t="s">
        <v>5577</v>
      </c>
      <c r="D47" s="2"/>
      <c r="E47" s="2"/>
      <c r="F47" s="2"/>
      <c r="G47" s="2"/>
      <c r="H47" s="2"/>
      <c r="I47" s="2"/>
      <c r="J47" s="2"/>
      <c r="K47" s="2"/>
    </row>
    <row r="48" spans="2:11">
      <c r="B48" s="2"/>
      <c r="C48" s="2"/>
      <c r="D48" s="2" t="s">
        <v>5578</v>
      </c>
      <c r="E48" s="2"/>
      <c r="F48" s="2"/>
      <c r="G48" s="2"/>
      <c r="H48" s="2"/>
      <c r="I48" s="2"/>
      <c r="J48" s="2"/>
      <c r="K48" s="2"/>
    </row>
    <row r="49" spans="2:11">
      <c r="B49" s="2"/>
      <c r="C49" s="2"/>
      <c r="D49" s="2"/>
      <c r="E49" s="2" t="s">
        <v>5579</v>
      </c>
      <c r="F49" s="2"/>
      <c r="G49" s="2"/>
      <c r="H49" s="2"/>
      <c r="I49" s="2"/>
      <c r="J49" s="2"/>
      <c r="K49" s="2"/>
    </row>
    <row r="50" spans="2:11">
      <c r="B50" s="2"/>
      <c r="C50" s="2"/>
      <c r="D50" s="2"/>
      <c r="E50" s="2" t="s">
        <v>5580</v>
      </c>
      <c r="F50" s="2"/>
      <c r="G50" s="2"/>
      <c r="H50" s="2"/>
      <c r="I50" s="2"/>
      <c r="J50" s="2"/>
      <c r="K50" s="2"/>
    </row>
    <row r="51" spans="2:11">
      <c r="B51" s="2"/>
      <c r="C51" s="2"/>
      <c r="D51" s="2" t="s">
        <v>5581</v>
      </c>
      <c r="E51" s="2"/>
      <c r="F51" s="2"/>
      <c r="G51" s="2"/>
      <c r="H51" s="2"/>
      <c r="I51" s="2"/>
      <c r="J51" s="2"/>
      <c r="K51" s="2"/>
    </row>
    <row r="52" spans="2:11">
      <c r="B52" s="2"/>
      <c r="C52" s="2"/>
      <c r="D52" s="2"/>
      <c r="E52" s="2" t="s">
        <v>5582</v>
      </c>
      <c r="F52" s="2"/>
      <c r="G52" s="2"/>
      <c r="H52" s="2"/>
      <c r="I52" s="2"/>
      <c r="J52" s="2"/>
      <c r="K52" s="2"/>
    </row>
    <row r="53" spans="2:11">
      <c r="B53" s="2"/>
      <c r="C53" s="2"/>
      <c r="D53" s="2"/>
      <c r="E53" s="2" t="s">
        <v>5583</v>
      </c>
      <c r="F53" s="2"/>
      <c r="G53" s="2"/>
      <c r="H53" s="2"/>
      <c r="I53" s="2"/>
      <c r="J53" s="2"/>
      <c r="K53" s="2"/>
    </row>
    <row r="54" spans="2:11">
      <c r="B54" s="2" t="s">
        <v>5584</v>
      </c>
      <c r="C54" s="2"/>
      <c r="D54" s="2"/>
      <c r="E54" s="2"/>
      <c r="F54" s="2"/>
      <c r="G54" s="2"/>
      <c r="H54" s="2"/>
      <c r="I54" s="2"/>
      <c r="J54" s="2"/>
      <c r="K54" s="2"/>
    </row>
    <row r="55" spans="2:11">
      <c r="B55" s="2"/>
      <c r="C55" s="2" t="s">
        <v>5585</v>
      </c>
      <c r="D55" s="2"/>
      <c r="E55" s="2"/>
      <c r="F55" s="2"/>
      <c r="G55" s="2"/>
      <c r="H55" s="2"/>
      <c r="I55" s="2"/>
      <c r="J55" s="2"/>
      <c r="K55" s="2"/>
    </row>
    <row r="56" spans="2:11">
      <c r="B56" s="2"/>
      <c r="C56" s="2"/>
      <c r="D56" s="2" t="s">
        <v>5586</v>
      </c>
      <c r="E56" s="2"/>
      <c r="F56" s="2"/>
      <c r="G56" s="2"/>
      <c r="H56" s="2"/>
      <c r="I56" s="2"/>
      <c r="J56" s="2"/>
      <c r="K56" s="2"/>
    </row>
    <row r="57" spans="2:11">
      <c r="B57" s="2"/>
      <c r="C57" s="2"/>
      <c r="D57" s="2" t="s">
        <v>5587</v>
      </c>
      <c r="E57" s="2"/>
      <c r="F57" s="2"/>
      <c r="G57" s="2"/>
      <c r="H57" s="2"/>
      <c r="I57" s="2"/>
      <c r="J57" s="2"/>
      <c r="K57" s="2"/>
    </row>
    <row r="58" spans="2:11">
      <c r="B58" s="2"/>
      <c r="C58" s="2" t="s">
        <v>5588</v>
      </c>
      <c r="D58" s="2"/>
      <c r="E58" s="2"/>
      <c r="F58" s="2"/>
      <c r="G58" s="2"/>
      <c r="H58" s="2"/>
      <c r="I58" s="2"/>
      <c r="J58" s="2"/>
      <c r="K58" s="2"/>
    </row>
    <row r="59" spans="2:11">
      <c r="B59" s="2"/>
      <c r="C59" s="2"/>
      <c r="D59" s="2" t="s">
        <v>5589</v>
      </c>
      <c r="E59" s="2"/>
      <c r="F59" s="2"/>
      <c r="G59" s="2"/>
      <c r="H59" s="2"/>
      <c r="I59" s="2"/>
      <c r="J59" s="2"/>
      <c r="K59" s="2"/>
    </row>
    <row r="60" spans="2:11">
      <c r="B60" s="2"/>
      <c r="C60" s="2"/>
      <c r="D60" s="2"/>
      <c r="E60" s="2" t="s">
        <v>5590</v>
      </c>
      <c r="F60" s="2"/>
      <c r="G60" s="2"/>
      <c r="H60" s="2"/>
      <c r="I60" s="2"/>
      <c r="J60" s="2"/>
      <c r="K60" s="2"/>
    </row>
    <row r="61" spans="2:11">
      <c r="B61" s="2"/>
      <c r="C61" s="2"/>
      <c r="D61" s="2"/>
      <c r="E61" s="2" t="s">
        <v>5591</v>
      </c>
      <c r="F61" s="2"/>
      <c r="G61" s="2"/>
      <c r="H61" s="2"/>
      <c r="I61" s="2"/>
      <c r="J61" s="2"/>
      <c r="K61" s="2"/>
    </row>
    <row r="62" spans="2:11">
      <c r="B62" s="2"/>
      <c r="C62" s="2"/>
      <c r="D62" s="2" t="s">
        <v>5592</v>
      </c>
      <c r="E62" s="2"/>
      <c r="F62" s="2"/>
      <c r="G62" s="2"/>
      <c r="H62" s="2"/>
      <c r="I62" s="2"/>
      <c r="J62" s="2"/>
      <c r="K62" s="2"/>
    </row>
    <row r="63" spans="2:11">
      <c r="B63" s="2"/>
      <c r="C63" s="2"/>
      <c r="D63" s="2"/>
      <c r="E63" s="2" t="s">
        <v>5593</v>
      </c>
      <c r="F63" s="2"/>
      <c r="G63" s="2"/>
      <c r="H63" s="2"/>
      <c r="I63" s="2"/>
      <c r="J63" s="2"/>
      <c r="K63" s="2"/>
    </row>
    <row r="64" spans="2:11">
      <c r="B64" s="2"/>
      <c r="C64" s="2"/>
      <c r="D64" s="2"/>
      <c r="E64" s="2" t="s">
        <v>5594</v>
      </c>
      <c r="F64" s="2"/>
      <c r="G64" s="2"/>
      <c r="H64" s="2"/>
      <c r="I64" s="2"/>
      <c r="J64" s="2"/>
      <c r="K64" s="2"/>
    </row>
    <row r="65" spans="2:11">
      <c r="B65" s="2"/>
      <c r="C65" s="2"/>
      <c r="D65" s="2" t="s">
        <v>5595</v>
      </c>
      <c r="E65" s="2"/>
      <c r="F65" s="2"/>
      <c r="G65" s="2"/>
      <c r="H65" s="2"/>
      <c r="I65" s="2"/>
      <c r="J65" s="2"/>
      <c r="K65" s="2"/>
    </row>
    <row r="66" spans="2:11">
      <c r="B66" s="2"/>
      <c r="C66" s="2"/>
      <c r="D66" s="2"/>
      <c r="E66" s="2" t="s">
        <v>5596</v>
      </c>
      <c r="F66" s="2"/>
      <c r="G66" s="2"/>
      <c r="H66" s="2"/>
      <c r="I66" s="2"/>
      <c r="J66" s="2"/>
      <c r="K66" s="2"/>
    </row>
    <row r="67" spans="2:11">
      <c r="B67" s="2"/>
      <c r="C67" s="2"/>
      <c r="D67" s="2"/>
      <c r="E67" s="2" t="s">
        <v>5597</v>
      </c>
      <c r="F67" s="2"/>
      <c r="G67" s="2"/>
      <c r="H67" s="2"/>
      <c r="I67" s="2"/>
      <c r="J67" s="2"/>
      <c r="K67" s="2"/>
    </row>
    <row r="68" spans="2:11">
      <c r="B68" s="2" t="s">
        <v>5598</v>
      </c>
      <c r="C68" s="2"/>
      <c r="D68" s="2"/>
      <c r="E68" s="2"/>
      <c r="F68" s="2"/>
      <c r="G68" s="2"/>
      <c r="H68" s="2"/>
      <c r="I68" s="2"/>
      <c r="J68" s="2"/>
      <c r="K68" s="2"/>
    </row>
    <row r="69" spans="2:11">
      <c r="B69" s="2"/>
      <c r="C69" s="2" t="s">
        <v>5599</v>
      </c>
      <c r="D69" s="2"/>
      <c r="E69" s="2"/>
      <c r="F69" s="2"/>
      <c r="G69" s="2"/>
      <c r="H69" s="2"/>
      <c r="I69" s="2"/>
      <c r="J69" s="2"/>
      <c r="K69" s="2"/>
    </row>
    <row r="70" spans="2:11">
      <c r="B70" s="2"/>
      <c r="C70" s="2"/>
      <c r="D70" s="2" t="s">
        <v>5600</v>
      </c>
      <c r="E70" s="2"/>
      <c r="F70" s="2"/>
      <c r="G70" s="2"/>
      <c r="H70" s="2"/>
      <c r="I70" s="2"/>
      <c r="J70" s="2"/>
      <c r="K70" s="2"/>
    </row>
    <row r="71" spans="2:11">
      <c r="B71" s="2"/>
      <c r="C71" s="2"/>
      <c r="D71" s="2" t="s">
        <v>5601</v>
      </c>
      <c r="E71" s="2"/>
      <c r="F71" s="2"/>
      <c r="G71" s="2"/>
      <c r="H71" s="2"/>
      <c r="I71" s="2"/>
      <c r="J71" s="2"/>
      <c r="K71" s="2"/>
    </row>
    <row r="72" spans="2:11">
      <c r="B72" s="2"/>
      <c r="C72" s="2" t="s">
        <v>5602</v>
      </c>
      <c r="D72" s="2"/>
      <c r="E72" s="2"/>
      <c r="F72" s="2"/>
      <c r="G72" s="2"/>
      <c r="H72" s="2"/>
      <c r="I72" s="2"/>
      <c r="J72" s="2"/>
      <c r="K72" s="2"/>
    </row>
    <row r="73" spans="2:11">
      <c r="B73" s="2"/>
      <c r="C73" s="2"/>
      <c r="D73" s="2" t="s">
        <v>5603</v>
      </c>
      <c r="E73" s="2"/>
      <c r="F73" s="2"/>
      <c r="G73" s="2"/>
      <c r="H73" s="2"/>
      <c r="I73" s="2"/>
      <c r="J73" s="2"/>
      <c r="K73" s="2"/>
    </row>
    <row r="74" spans="2:11">
      <c r="B74" s="2"/>
      <c r="C74" s="2"/>
      <c r="D74" s="2" t="s">
        <v>5604</v>
      </c>
      <c r="E74" s="2"/>
      <c r="F74" s="2"/>
      <c r="G74" s="2"/>
      <c r="H74" s="2"/>
      <c r="I74" s="2"/>
      <c r="J74" s="2"/>
      <c r="K74" s="2"/>
    </row>
    <row r="75" spans="2:11">
      <c r="B75" s="2"/>
      <c r="C75" s="2" t="s">
        <v>5605</v>
      </c>
      <c r="D75" s="2"/>
      <c r="E75" s="2"/>
      <c r="F75" s="2"/>
      <c r="G75" s="2"/>
      <c r="H75" s="2"/>
      <c r="I75" s="2"/>
      <c r="J75" s="2"/>
      <c r="K75" s="2"/>
    </row>
    <row r="76" spans="2:11">
      <c r="B76" s="2"/>
      <c r="C76" s="2"/>
      <c r="D76" s="2" t="s">
        <v>5606</v>
      </c>
      <c r="E76" s="2"/>
      <c r="F76" s="2"/>
      <c r="G76" s="2"/>
      <c r="H76" s="2"/>
      <c r="I76" s="2"/>
      <c r="J76" s="2"/>
      <c r="K76" s="2"/>
    </row>
    <row r="77" spans="2:11">
      <c r="B77" s="2"/>
      <c r="C77" s="2"/>
      <c r="D77" s="2"/>
      <c r="E77" s="2" t="s">
        <v>5607</v>
      </c>
      <c r="F77" s="2"/>
      <c r="G77" s="2"/>
      <c r="H77" s="2"/>
      <c r="I77" s="2"/>
      <c r="J77" s="2"/>
      <c r="K77" s="2"/>
    </row>
    <row r="78" spans="2:11">
      <c r="B78" s="2"/>
      <c r="C78" s="2"/>
      <c r="D78" s="2"/>
      <c r="E78" s="2" t="s">
        <v>5608</v>
      </c>
      <c r="F78" s="2"/>
      <c r="G78" s="2"/>
      <c r="H78" s="2"/>
      <c r="I78" s="2"/>
      <c r="J78" s="2"/>
      <c r="K78" s="2"/>
    </row>
    <row r="79" spans="2:11">
      <c r="B79" s="2"/>
      <c r="C79" s="2"/>
      <c r="D79" s="2" t="s">
        <v>5609</v>
      </c>
      <c r="E79" s="2"/>
      <c r="F79" s="2"/>
      <c r="G79" s="2"/>
      <c r="H79" s="2"/>
      <c r="I79" s="2"/>
      <c r="J79" s="2"/>
      <c r="K79" s="2"/>
    </row>
    <row r="80" spans="2:11">
      <c r="B80" s="2"/>
      <c r="C80" s="2"/>
      <c r="D80" s="2"/>
      <c r="E80" s="2" t="s">
        <v>5610</v>
      </c>
      <c r="F80" s="2"/>
      <c r="G80" s="2"/>
      <c r="H80" s="2"/>
      <c r="I80" s="2"/>
      <c r="J80" s="2"/>
      <c r="K80" s="2"/>
    </row>
    <row r="81" spans="2:11">
      <c r="B81" s="2"/>
      <c r="C81" s="2"/>
      <c r="D81" s="2"/>
      <c r="E81" s="2" t="s">
        <v>5611</v>
      </c>
      <c r="F81" s="2"/>
      <c r="G81" s="2"/>
      <c r="H81" s="2"/>
      <c r="I81" s="2"/>
      <c r="J81" s="2"/>
      <c r="K81" s="2"/>
    </row>
    <row r="82" spans="2:11">
      <c r="B82" s="2"/>
      <c r="C82" s="2"/>
      <c r="D82" s="2"/>
      <c r="E82" s="2" t="s">
        <v>5612</v>
      </c>
      <c r="F82" s="2"/>
      <c r="G82" s="2"/>
      <c r="H82" s="2"/>
      <c r="I82" s="2"/>
      <c r="J82" s="2"/>
      <c r="K82" s="2"/>
    </row>
    <row r="83" spans="2:11">
      <c r="B83" s="2"/>
      <c r="C83" s="2" t="s">
        <v>5613</v>
      </c>
      <c r="D83" s="2"/>
      <c r="E83" s="2"/>
      <c r="F83" s="2"/>
      <c r="G83" s="2"/>
      <c r="H83" s="2"/>
      <c r="I83" s="2"/>
      <c r="J83" s="2"/>
      <c r="K83" s="2"/>
    </row>
    <row r="84" spans="2:11">
      <c r="B84" s="2"/>
      <c r="C84" s="2"/>
      <c r="D84" s="2" t="s">
        <v>5614</v>
      </c>
      <c r="E84" s="2"/>
      <c r="F84" s="2"/>
      <c r="G84" s="2"/>
      <c r="H84" s="2"/>
      <c r="I84" s="2"/>
      <c r="J84" s="2"/>
      <c r="K84" s="2"/>
    </row>
    <row r="85" spans="2:11">
      <c r="B85" s="2"/>
      <c r="C85" s="2"/>
      <c r="D85" s="2" t="s">
        <v>5615</v>
      </c>
      <c r="E85" s="2"/>
      <c r="F85" s="2"/>
      <c r="G85" s="2"/>
      <c r="H85" s="2"/>
      <c r="I85" s="2"/>
      <c r="J85" s="2"/>
      <c r="K85" s="2"/>
    </row>
    <row r="86" spans="2:11">
      <c r="B86" s="2"/>
      <c r="C86" s="2"/>
      <c r="D86" s="2"/>
      <c r="E86" s="2" t="s">
        <v>5616</v>
      </c>
      <c r="F86" s="2"/>
      <c r="G86" s="2"/>
      <c r="H86" s="2"/>
      <c r="I86" s="2"/>
      <c r="J86" s="2"/>
      <c r="K86" s="2"/>
    </row>
    <row r="87" spans="2:11">
      <c r="B87" s="2"/>
      <c r="C87" s="2"/>
      <c r="D87" s="2"/>
      <c r="E87" s="2" t="s">
        <v>5617</v>
      </c>
      <c r="F87" s="2"/>
      <c r="G87" s="2"/>
      <c r="H87" s="2"/>
      <c r="I87" s="2"/>
      <c r="J87" s="2"/>
      <c r="K87" s="2"/>
    </row>
    <row r="88" spans="2:11">
      <c r="B88" s="2"/>
      <c r="C88" s="2"/>
      <c r="D88" s="2"/>
      <c r="E88" s="2" t="s">
        <v>5618</v>
      </c>
      <c r="F88" s="2"/>
      <c r="G88" s="2"/>
      <c r="H88" s="2"/>
      <c r="I88" s="2"/>
      <c r="J88" s="2"/>
      <c r="K88" s="2"/>
    </row>
    <row r="89" spans="2:11">
      <c r="B89" s="2"/>
      <c r="C89" s="2"/>
      <c r="D89" s="2" t="s">
        <v>5619</v>
      </c>
      <c r="E89" s="2"/>
      <c r="F89" s="2"/>
      <c r="G89" s="2"/>
      <c r="H89" s="2"/>
      <c r="I89" s="2"/>
      <c r="J89" s="2"/>
      <c r="K89" s="2"/>
    </row>
    <row r="90" spans="2:11">
      <c r="B90" s="2"/>
      <c r="C90" s="2"/>
      <c r="D90" s="2"/>
      <c r="E90" s="2" t="s">
        <v>5620</v>
      </c>
      <c r="F90" s="2"/>
      <c r="G90" s="2"/>
      <c r="H90" s="2"/>
      <c r="I90" s="2"/>
      <c r="J90" s="2"/>
      <c r="K90" s="2"/>
    </row>
    <row r="91" spans="2:11">
      <c r="B91" s="2"/>
      <c r="C91" s="2"/>
      <c r="D91" s="2"/>
      <c r="E91" s="2" t="s">
        <v>5621</v>
      </c>
      <c r="F91" s="2"/>
      <c r="G91" s="2"/>
      <c r="H91" s="2"/>
      <c r="I91" s="2"/>
      <c r="J91" s="2"/>
      <c r="K91" s="2"/>
    </row>
    <row r="92" spans="2:11">
      <c r="B92" s="2"/>
      <c r="C92" s="2"/>
      <c r="D92" s="2"/>
      <c r="E92" s="2" t="s">
        <v>5622</v>
      </c>
      <c r="F92" s="2"/>
      <c r="G92" s="2"/>
      <c r="H92" s="2"/>
      <c r="I92" s="2"/>
      <c r="J92" s="2"/>
      <c r="K92" s="2"/>
    </row>
    <row r="93" spans="2:11">
      <c r="B93" s="2"/>
      <c r="C93" s="2"/>
      <c r="D93" s="2"/>
      <c r="E93" s="2" t="s">
        <v>5623</v>
      </c>
      <c r="F93" s="2"/>
      <c r="G93" s="2"/>
      <c r="H93" s="2"/>
      <c r="I93" s="2"/>
      <c r="J93" s="2"/>
      <c r="K93" s="2"/>
    </row>
    <row r="94" spans="2:11">
      <c r="B94" t="s">
        <v>5624</v>
      </c>
    </row>
    <row r="95" spans="2:11">
      <c r="B95" t="s">
        <v>5625</v>
      </c>
    </row>
    <row r="96" spans="2:11">
      <c r="C96" t="s">
        <v>5626</v>
      </c>
    </row>
    <row r="97" spans="2:4">
      <c r="C97" s="10" t="s">
        <v>5627</v>
      </c>
    </row>
    <row r="98" spans="2:4">
      <c r="B98" t="s">
        <v>5628</v>
      </c>
    </row>
    <row r="99" spans="2:4">
      <c r="C99" t="s">
        <v>5629</v>
      </c>
    </row>
    <row r="100" spans="2:4">
      <c r="C100" t="s">
        <v>5630</v>
      </c>
    </row>
    <row r="101" spans="2:4">
      <c r="D101" t="s">
        <v>5631</v>
      </c>
    </row>
    <row r="102" spans="2:4">
      <c r="B102" t="s">
        <v>5632</v>
      </c>
    </row>
    <row r="103" spans="2:4">
      <c r="C103" t="s">
        <v>5633</v>
      </c>
    </row>
    <row r="104" spans="2:4">
      <c r="C104" t="s">
        <v>5634</v>
      </c>
    </row>
    <row r="105" spans="2:4">
      <c r="C105" t="s">
        <v>5635</v>
      </c>
    </row>
    <row r="106" spans="2:4">
      <c r="C106" t="s">
        <v>5636</v>
      </c>
    </row>
    <row r="107" spans="2:4">
      <c r="C107" t="s">
        <v>5637</v>
      </c>
    </row>
    <row r="108" spans="2:4">
      <c r="C108" t="s">
        <v>5638</v>
      </c>
    </row>
    <row r="109" spans="2:4">
      <c r="C109" t="s">
        <v>5639</v>
      </c>
    </row>
    <row r="110" spans="2:4">
      <c r="C110" t="s">
        <v>5640</v>
      </c>
    </row>
    <row r="111" spans="2:4">
      <c r="C111" t="s">
        <v>5641</v>
      </c>
    </row>
    <row r="112" spans="2:4">
      <c r="B112" t="s">
        <v>5642</v>
      </c>
    </row>
    <row r="113" spans="3:4">
      <c r="C113" t="s">
        <v>5643</v>
      </c>
    </row>
    <row r="114" spans="3:4">
      <c r="C114" t="s">
        <v>5644</v>
      </c>
    </row>
    <row r="115" spans="3:4">
      <c r="C115" t="s">
        <v>5645</v>
      </c>
    </row>
    <row r="116" spans="3:4">
      <c r="C116" t="s">
        <v>5646</v>
      </c>
    </row>
    <row r="117" spans="3:4">
      <c r="D117" t="s">
        <v>5647</v>
      </c>
    </row>
  </sheetData>
  <pageMargins left="0.75" right="0.75" top="1" bottom="1" header="0.5" footer="0.5"/>
  <pageSetup paperSize="9" orientation="portrait"/>
  <headerFooter/>
</worksheet>
</file>

<file path=xl/worksheets/sheet2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N121"/>
  <sheetViews>
    <sheetView zoomScale="115" zoomScaleNormal="115" topLeftCell="A19" workbookViewId="0">
      <selection activeCell="B98" sqref="B98:L103"/>
    </sheetView>
  </sheetViews>
  <sheetFormatPr defaultColWidth="8.88888888888889" defaultRowHeight="14.4"/>
  <cols>
    <col min="1" max="1" width="9.66666666666667" customWidth="1"/>
  </cols>
  <sheetData>
    <row r="1" spans="1:14">
      <c r="A1" s="1">
        <f>SUM(B1:AZ1)</f>
        <v>35.3190476190476</v>
      </c>
      <c r="B1" s="1">
        <f t="shared" ref="B1:H1" si="0">COUNTA(B2:B2220)/COLUMN()</f>
        <v>10</v>
      </c>
      <c r="C1" s="1">
        <f t="shared" si="0"/>
        <v>9.66666666666667</v>
      </c>
      <c r="D1" s="1">
        <f t="shared" si="0"/>
        <v>9</v>
      </c>
      <c r="E1" s="1">
        <f t="shared" si="0"/>
        <v>5.2</v>
      </c>
      <c r="F1" s="1">
        <f t="shared" si="0"/>
        <v>1.16666666666667</v>
      </c>
      <c r="G1" s="1">
        <f t="shared" si="0"/>
        <v>0.285714285714286</v>
      </c>
      <c r="H1" s="1">
        <f t="shared" si="0"/>
        <v>0</v>
      </c>
      <c r="N1" s="1"/>
    </row>
    <row r="2" spans="1:14">
      <c r="A2" t="str" cm="1">
        <f ca="1" t="array" ref="A2">_wpsfn.SHEETSNAME(A1)</f>
        <v>20251209</v>
      </c>
      <c r="B2" s="2" t="s">
        <v>5648</v>
      </c>
      <c r="C2" s="2"/>
      <c r="D2" s="2"/>
      <c r="E2" s="2"/>
      <c r="F2" s="2"/>
      <c r="G2" s="2"/>
      <c r="H2" s="2"/>
      <c r="I2" s="2"/>
      <c r="J2" s="2"/>
      <c r="K2" s="2"/>
    </row>
    <row r="3" spans="1:14">
      <c r="B3" s="2"/>
      <c r="C3" s="2" t="s">
        <v>5649</v>
      </c>
      <c r="D3" s="2"/>
      <c r="E3" s="2"/>
      <c r="F3" s="2"/>
      <c r="G3" s="2"/>
      <c r="H3" s="2"/>
      <c r="I3" s="2"/>
      <c r="J3" s="2"/>
      <c r="K3" s="2"/>
    </row>
    <row r="4" spans="1:14">
      <c r="B4" s="2"/>
      <c r="C4" s="2"/>
      <c r="D4" s="2" t="s">
        <v>5650</v>
      </c>
      <c r="E4" s="2"/>
      <c r="F4" s="2"/>
      <c r="G4" s="2"/>
      <c r="H4" s="2"/>
      <c r="I4" s="2"/>
      <c r="J4" s="2"/>
      <c r="K4" s="2"/>
    </row>
    <row r="5" spans="1:14">
      <c r="B5" s="2"/>
      <c r="C5" s="2" t="s">
        <v>5651</v>
      </c>
      <c r="D5" s="2"/>
      <c r="E5" s="2"/>
      <c r="F5" s="2"/>
      <c r="G5" s="2"/>
      <c r="H5" s="2"/>
      <c r="I5" s="2"/>
      <c r="J5" s="2"/>
      <c r="K5" s="2"/>
    </row>
    <row r="6" spans="1:14">
      <c r="B6" s="2"/>
      <c r="C6" s="2"/>
      <c r="D6" s="2" t="s">
        <v>5652</v>
      </c>
      <c r="E6" s="2"/>
      <c r="F6" s="2"/>
      <c r="G6" s="2"/>
      <c r="H6" s="2"/>
      <c r="I6" s="2"/>
      <c r="J6" s="2"/>
      <c r="K6" s="2"/>
    </row>
    <row r="7" spans="1:14">
      <c r="B7" s="2"/>
      <c r="C7" s="2"/>
      <c r="D7" s="2" t="s">
        <v>5653</v>
      </c>
      <c r="E7" s="2"/>
      <c r="F7" s="2"/>
      <c r="G7" s="2"/>
      <c r="H7" s="2"/>
      <c r="I7" s="2"/>
      <c r="J7" s="2"/>
      <c r="K7" s="2"/>
    </row>
    <row r="8" spans="1:14">
      <c r="B8" s="2"/>
      <c r="C8" s="2"/>
      <c r="D8" s="2"/>
      <c r="E8" s="2" t="s">
        <v>5654</v>
      </c>
      <c r="F8" s="2"/>
      <c r="G8" s="2"/>
      <c r="H8" s="2"/>
      <c r="I8" s="2"/>
      <c r="J8" s="2"/>
      <c r="K8" s="2"/>
    </row>
    <row r="9" spans="1:14">
      <c r="B9" s="2"/>
      <c r="C9" s="2"/>
      <c r="D9" s="2"/>
      <c r="E9" s="2" t="s">
        <v>5655</v>
      </c>
      <c r="F9" s="2"/>
      <c r="G9" s="2"/>
      <c r="H9" s="2"/>
      <c r="I9" s="2"/>
      <c r="J9" s="2"/>
      <c r="K9" s="2"/>
    </row>
    <row r="10" spans="1:14">
      <c r="B10" s="2"/>
      <c r="C10" s="2" t="s">
        <v>5656</v>
      </c>
      <c r="D10" s="2"/>
      <c r="E10" s="2"/>
      <c r="F10" s="2"/>
      <c r="G10" s="2"/>
      <c r="H10" s="2"/>
      <c r="I10" s="2"/>
      <c r="J10" s="2"/>
      <c r="K10" s="2"/>
    </row>
    <row r="11" spans="1:14">
      <c r="B11" s="2"/>
      <c r="C11" s="2"/>
      <c r="D11" s="2" t="s">
        <v>5657</v>
      </c>
      <c r="E11" s="2"/>
      <c r="F11" s="2"/>
      <c r="G11" s="2"/>
      <c r="H11" s="2"/>
      <c r="I11" s="2"/>
      <c r="J11" s="2"/>
      <c r="K11" s="2"/>
    </row>
    <row r="12" spans="1:14">
      <c r="B12" s="2"/>
      <c r="C12" s="2" t="s">
        <v>5658</v>
      </c>
      <c r="D12" s="2"/>
      <c r="E12" s="2"/>
      <c r="F12" s="2"/>
      <c r="G12" s="2"/>
      <c r="H12" s="2"/>
      <c r="I12" s="2"/>
      <c r="J12" s="2"/>
      <c r="K12" s="2"/>
    </row>
    <row r="13" spans="1:14">
      <c r="B13" s="2"/>
      <c r="C13" s="2"/>
      <c r="D13" s="2" t="s">
        <v>5659</v>
      </c>
      <c r="E13" s="2"/>
      <c r="F13" s="2"/>
      <c r="G13" s="2"/>
      <c r="H13" s="2"/>
      <c r="I13" s="2"/>
      <c r="J13" s="2"/>
      <c r="K13" s="2"/>
    </row>
    <row r="14" spans="1:14">
      <c r="B14" s="2"/>
      <c r="C14" s="2" t="s">
        <v>5660</v>
      </c>
      <c r="D14" s="2"/>
      <c r="E14" s="2"/>
      <c r="F14" s="2"/>
      <c r="G14" s="2"/>
      <c r="H14" s="2"/>
      <c r="I14" s="2"/>
      <c r="J14" s="2"/>
      <c r="K14" s="2"/>
    </row>
    <row r="15" spans="1:14">
      <c r="B15" s="2"/>
      <c r="C15" s="2"/>
      <c r="D15" s="2" t="s">
        <v>5661</v>
      </c>
      <c r="E15" s="2"/>
      <c r="F15" s="2"/>
      <c r="G15" s="2"/>
      <c r="H15" s="2"/>
      <c r="I15" s="2"/>
      <c r="J15" s="2"/>
      <c r="K15" s="2"/>
    </row>
    <row r="16" spans="1:14">
      <c r="B16" s="2"/>
      <c r="C16" s="2"/>
      <c r="D16" s="2"/>
      <c r="E16" s="2" t="s">
        <v>5662</v>
      </c>
      <c r="F16" s="2"/>
      <c r="G16" s="2"/>
      <c r="H16" s="2"/>
      <c r="I16" s="2"/>
      <c r="J16" s="2"/>
      <c r="K16" s="2"/>
    </row>
    <row r="17" spans="2:11">
      <c r="B17" s="2"/>
      <c r="C17" s="2"/>
      <c r="D17" s="2"/>
      <c r="E17" s="2" t="s">
        <v>5663</v>
      </c>
      <c r="F17" s="2"/>
      <c r="G17" s="2"/>
      <c r="H17" s="2"/>
      <c r="I17" s="2"/>
      <c r="J17" s="2"/>
      <c r="K17" s="2"/>
    </row>
    <row r="18" spans="2:11">
      <c r="B18" s="2"/>
      <c r="C18" s="2"/>
      <c r="D18" s="2" t="s">
        <v>5664</v>
      </c>
      <c r="E18" s="2"/>
      <c r="F18" s="2"/>
      <c r="G18" s="2"/>
      <c r="H18" s="2"/>
      <c r="I18" s="2"/>
      <c r="J18" s="2"/>
      <c r="K18" s="2"/>
    </row>
    <row r="19" spans="2:11">
      <c r="B19" s="2" t="s">
        <v>5665</v>
      </c>
      <c r="C19" s="2"/>
      <c r="D19" s="2"/>
      <c r="E19" s="2"/>
      <c r="F19" s="2"/>
      <c r="G19" s="2"/>
      <c r="H19" s="2"/>
      <c r="I19" s="2"/>
      <c r="J19" s="2"/>
      <c r="K19" s="2"/>
    </row>
    <row r="20" spans="2:11">
      <c r="B20" s="2"/>
      <c r="C20" s="2" t="s">
        <v>5666</v>
      </c>
      <c r="D20" s="2"/>
      <c r="E20" s="2"/>
      <c r="F20" s="2"/>
      <c r="G20" s="2"/>
      <c r="H20" s="2"/>
      <c r="I20" s="2"/>
      <c r="J20" s="2"/>
      <c r="K20" s="2"/>
    </row>
    <row r="21" spans="2:11">
      <c r="B21" s="2"/>
      <c r="C21" s="2"/>
      <c r="D21" s="2" t="s">
        <v>5667</v>
      </c>
      <c r="E21" s="2"/>
      <c r="F21" s="2"/>
      <c r="G21" s="2"/>
      <c r="H21" s="2"/>
      <c r="I21" s="2"/>
      <c r="J21" s="2"/>
      <c r="K21" s="2"/>
    </row>
    <row r="22" spans="2:11">
      <c r="B22" s="2"/>
      <c r="C22" s="2"/>
      <c r="D22" s="2" t="s">
        <v>5668</v>
      </c>
      <c r="E22" s="2"/>
      <c r="F22" s="2"/>
      <c r="G22" s="2"/>
      <c r="H22" s="2"/>
      <c r="I22" s="2"/>
      <c r="J22" s="2"/>
      <c r="K22" s="2"/>
    </row>
    <row r="23" spans="2:11">
      <c r="B23" s="2"/>
      <c r="C23" s="2"/>
      <c r="D23" s="2"/>
      <c r="E23" s="2" t="s">
        <v>5669</v>
      </c>
      <c r="F23" s="2"/>
      <c r="G23" s="2"/>
      <c r="H23" s="2"/>
      <c r="I23" s="2"/>
      <c r="J23" s="2"/>
      <c r="K23" s="2"/>
    </row>
    <row r="24" spans="2:11">
      <c r="B24" s="2"/>
      <c r="C24" s="2"/>
      <c r="D24" s="2"/>
      <c r="E24" s="2" t="s">
        <v>5670</v>
      </c>
      <c r="F24" s="2"/>
      <c r="G24" s="2"/>
      <c r="H24" s="2"/>
      <c r="I24" s="2"/>
      <c r="J24" s="2"/>
      <c r="K24" s="2"/>
    </row>
    <row r="25" spans="2:11">
      <c r="B25" s="2"/>
      <c r="C25" s="2"/>
      <c r="D25" s="2"/>
      <c r="E25" s="2" t="s">
        <v>5671</v>
      </c>
      <c r="F25" s="2"/>
      <c r="G25" s="2"/>
      <c r="H25" s="2"/>
      <c r="I25" s="2"/>
      <c r="J25" s="2"/>
      <c r="K25" s="2"/>
    </row>
    <row r="26" spans="2:11">
      <c r="B26" s="2"/>
      <c r="C26" s="2"/>
      <c r="D26" s="2" t="s">
        <v>5672</v>
      </c>
      <c r="E26" s="2"/>
      <c r="F26" s="2"/>
      <c r="G26" s="2"/>
      <c r="H26" s="2"/>
      <c r="I26" s="2"/>
      <c r="J26" s="2"/>
      <c r="K26" s="2"/>
    </row>
    <row r="27" spans="2:11">
      <c r="B27" s="2"/>
      <c r="C27" s="2"/>
      <c r="D27" s="2"/>
      <c r="E27" s="2" t="s">
        <v>5673</v>
      </c>
      <c r="F27" s="2"/>
      <c r="G27" s="2"/>
      <c r="H27" s="2"/>
      <c r="I27" s="2"/>
      <c r="J27" s="2"/>
      <c r="K27" s="2"/>
    </row>
    <row r="28" spans="2:11">
      <c r="B28" s="2"/>
      <c r="C28" s="2"/>
      <c r="D28" s="2"/>
      <c r="E28" s="2" t="s">
        <v>5674</v>
      </c>
      <c r="F28" s="2"/>
      <c r="G28" s="2"/>
      <c r="H28" s="2"/>
      <c r="I28" s="2"/>
      <c r="J28" s="2"/>
      <c r="K28" s="2"/>
    </row>
    <row r="29" spans="2:11">
      <c r="B29" s="2"/>
      <c r="C29" s="2"/>
      <c r="D29" s="2"/>
      <c r="E29" s="2" t="s">
        <v>5675</v>
      </c>
      <c r="F29" s="2"/>
      <c r="G29" s="2"/>
      <c r="H29" s="2"/>
      <c r="I29" s="2"/>
      <c r="J29" s="2"/>
      <c r="K29" s="2"/>
    </row>
    <row r="30" spans="2:11">
      <c r="B30" s="2"/>
      <c r="C30" s="2"/>
      <c r="D30" s="2"/>
      <c r="E30" s="2"/>
      <c r="F30" s="2" t="s">
        <v>5676</v>
      </c>
      <c r="G30" s="2"/>
      <c r="H30" s="2"/>
      <c r="I30" s="2"/>
      <c r="J30" s="2"/>
      <c r="K30" s="2"/>
    </row>
    <row r="31" spans="2:11">
      <c r="B31" s="2"/>
      <c r="C31" s="2"/>
      <c r="D31" s="2"/>
      <c r="E31" s="2"/>
      <c r="F31" s="2" t="s">
        <v>5677</v>
      </c>
      <c r="G31" s="2"/>
      <c r="H31" s="2"/>
      <c r="I31" s="2"/>
      <c r="J31" s="2"/>
      <c r="K31" s="2"/>
    </row>
    <row r="32" spans="2:11">
      <c r="B32" s="2"/>
      <c r="C32" s="2" t="s">
        <v>5678</v>
      </c>
      <c r="D32" s="2"/>
      <c r="E32" s="2"/>
      <c r="F32" s="2"/>
      <c r="G32" s="2"/>
      <c r="H32" s="2"/>
      <c r="I32" s="2"/>
      <c r="J32" s="2"/>
      <c r="K32" s="2"/>
    </row>
    <row r="33" spans="2:11">
      <c r="B33" s="2"/>
      <c r="C33" s="2"/>
      <c r="D33" s="2" t="s">
        <v>5679</v>
      </c>
      <c r="E33" s="2"/>
      <c r="F33" s="2"/>
      <c r="G33" s="2"/>
      <c r="H33" s="2"/>
      <c r="I33" s="2"/>
      <c r="J33" s="2"/>
      <c r="K33" s="2"/>
    </row>
    <row r="34" spans="2:11">
      <c r="B34" s="2"/>
      <c r="C34" s="2"/>
      <c r="D34" s="2" t="s">
        <v>5680</v>
      </c>
      <c r="E34" s="2"/>
      <c r="F34" s="2"/>
      <c r="G34" s="2"/>
      <c r="H34" s="2"/>
      <c r="I34" s="2"/>
      <c r="J34" s="2"/>
      <c r="K34" s="2"/>
    </row>
    <row r="35" spans="2:11">
      <c r="B35" s="2"/>
      <c r="C35" s="2"/>
      <c r="D35" s="2"/>
      <c r="E35" s="2" t="s">
        <v>5681</v>
      </c>
      <c r="F35" s="2"/>
      <c r="G35" s="2"/>
      <c r="H35" s="2"/>
      <c r="I35" s="2"/>
      <c r="J35" s="2"/>
      <c r="K35" s="2"/>
    </row>
    <row r="36" spans="2:11">
      <c r="B36" s="2"/>
      <c r="C36" s="2"/>
      <c r="D36" s="2"/>
      <c r="E36" s="2" t="s">
        <v>5682</v>
      </c>
      <c r="F36" s="2"/>
      <c r="G36" s="2"/>
      <c r="H36" s="2"/>
      <c r="I36" s="2"/>
      <c r="J36" s="2"/>
      <c r="K36" s="2"/>
    </row>
    <row r="37" spans="2:11">
      <c r="B37" s="2"/>
      <c r="C37" s="2"/>
      <c r="D37" s="2" t="s">
        <v>5683</v>
      </c>
      <c r="E37" s="2"/>
      <c r="F37" s="2"/>
      <c r="G37" s="2"/>
      <c r="H37" s="2"/>
      <c r="I37" s="2"/>
      <c r="J37" s="2"/>
      <c r="K37" s="2"/>
    </row>
    <row r="38" spans="2:11">
      <c r="B38" s="2"/>
      <c r="C38" s="2"/>
      <c r="D38" s="2" t="s">
        <v>5684</v>
      </c>
      <c r="E38" s="2"/>
      <c r="F38" s="2"/>
      <c r="G38" s="2"/>
      <c r="H38" s="2"/>
      <c r="I38" s="2"/>
      <c r="J38" s="2"/>
      <c r="K38" s="2"/>
    </row>
    <row r="39" spans="2:11">
      <c r="B39" s="2" t="s">
        <v>5685</v>
      </c>
      <c r="C39" s="2"/>
      <c r="D39" s="2"/>
      <c r="E39" s="2"/>
      <c r="F39" s="2"/>
      <c r="G39" s="2"/>
      <c r="H39" s="2"/>
      <c r="I39" s="2"/>
      <c r="J39" s="2"/>
      <c r="K39" s="2"/>
    </row>
    <row r="40" spans="2:11">
      <c r="B40" s="2"/>
      <c r="C40" s="2" t="s">
        <v>5686</v>
      </c>
      <c r="D40" s="2"/>
      <c r="E40" s="2"/>
      <c r="F40" s="2"/>
      <c r="G40" s="2"/>
      <c r="H40" s="2"/>
      <c r="I40" s="2"/>
      <c r="J40" s="2"/>
      <c r="K40" s="2"/>
    </row>
    <row r="41" spans="2:11">
      <c r="B41" s="2"/>
      <c r="C41" s="2"/>
      <c r="D41" s="2" t="s">
        <v>5687</v>
      </c>
      <c r="E41" s="2"/>
      <c r="F41" s="2"/>
      <c r="G41" s="2"/>
      <c r="H41" s="2"/>
      <c r="I41" s="2"/>
      <c r="J41" s="2"/>
      <c r="K41" s="2"/>
    </row>
    <row r="42" spans="2:11">
      <c r="B42" s="2"/>
      <c r="C42" s="2"/>
      <c r="D42" s="2" t="s">
        <v>5688</v>
      </c>
      <c r="E42" s="2"/>
      <c r="F42" s="2"/>
      <c r="G42" s="2"/>
      <c r="H42" s="2"/>
      <c r="I42" s="2"/>
      <c r="J42" s="2"/>
      <c r="K42" s="2"/>
    </row>
    <row r="43" spans="2:11">
      <c r="B43" s="2"/>
      <c r="C43" s="2" t="s">
        <v>5689</v>
      </c>
      <c r="D43" s="2"/>
      <c r="E43" s="2"/>
      <c r="F43" s="2"/>
      <c r="G43" s="2"/>
      <c r="H43" s="2"/>
      <c r="I43" s="2"/>
      <c r="J43" s="2"/>
      <c r="K43" s="2"/>
    </row>
    <row r="44" spans="2:11">
      <c r="B44" s="2"/>
      <c r="C44" s="2"/>
      <c r="D44" s="2" t="s">
        <v>5690</v>
      </c>
      <c r="E44" s="2"/>
      <c r="F44" s="2"/>
      <c r="G44" s="2"/>
      <c r="H44" s="2"/>
      <c r="I44" s="2"/>
      <c r="J44" s="2"/>
      <c r="K44" s="2"/>
    </row>
    <row r="45" spans="2:11">
      <c r="B45" s="2"/>
      <c r="C45" s="2" t="s">
        <v>5691</v>
      </c>
      <c r="D45" s="2"/>
      <c r="E45" s="2"/>
      <c r="F45" s="2"/>
      <c r="G45" s="2"/>
      <c r="H45" s="2"/>
      <c r="I45" s="2"/>
      <c r="J45" s="2"/>
      <c r="K45" s="2"/>
    </row>
    <row r="46" spans="2:11">
      <c r="B46" s="2"/>
      <c r="C46" s="2"/>
      <c r="D46" s="2" t="s">
        <v>5692</v>
      </c>
      <c r="E46" s="2"/>
      <c r="F46" s="2"/>
      <c r="G46" s="2"/>
      <c r="H46" s="2"/>
      <c r="I46" s="2"/>
      <c r="J46" s="2"/>
      <c r="K46" s="2"/>
    </row>
    <row r="47" spans="2:11">
      <c r="B47" s="2"/>
      <c r="C47" s="2"/>
      <c r="D47" s="2" t="s">
        <v>5693</v>
      </c>
      <c r="E47" s="2"/>
      <c r="F47" s="2"/>
      <c r="G47" s="2"/>
      <c r="H47" s="2"/>
      <c r="I47" s="2"/>
      <c r="J47" s="2"/>
      <c r="K47" s="2"/>
    </row>
    <row r="48" spans="2:11">
      <c r="B48" s="2"/>
      <c r="C48" s="2" t="s">
        <v>5694</v>
      </c>
      <c r="D48" s="2"/>
      <c r="E48" s="2"/>
      <c r="F48" s="2"/>
      <c r="G48" s="2"/>
      <c r="H48" s="2"/>
      <c r="I48" s="2"/>
      <c r="J48" s="2"/>
      <c r="K48" s="2"/>
    </row>
    <row r="49" spans="2:11">
      <c r="B49" s="2"/>
      <c r="C49" s="2"/>
      <c r="D49" s="2" t="s">
        <v>5695</v>
      </c>
      <c r="E49" s="2"/>
      <c r="F49" s="2"/>
      <c r="G49" s="2"/>
      <c r="H49" s="2"/>
      <c r="I49" s="2"/>
      <c r="J49" s="2"/>
      <c r="K49" s="2"/>
    </row>
    <row r="50" spans="2:11">
      <c r="B50" s="2"/>
      <c r="C50" s="2"/>
      <c r="D50" s="2" t="s">
        <v>5696</v>
      </c>
      <c r="E50" s="2"/>
      <c r="F50" s="2"/>
      <c r="G50" s="2"/>
      <c r="H50" s="2"/>
      <c r="I50" s="2"/>
      <c r="J50" s="2"/>
      <c r="K50" s="2"/>
    </row>
    <row r="51" spans="2:11">
      <c r="B51" s="2"/>
      <c r="C51" s="2"/>
      <c r="D51" s="2" t="s">
        <v>5697</v>
      </c>
      <c r="E51" s="2"/>
      <c r="F51" s="2"/>
      <c r="G51" s="2"/>
      <c r="H51" s="2"/>
      <c r="I51" s="2"/>
      <c r="J51" s="2"/>
      <c r="K51" s="2"/>
    </row>
    <row r="52" spans="2:11">
      <c r="B52" s="2"/>
      <c r="C52" s="2" t="s">
        <v>5698</v>
      </c>
      <c r="D52" s="2"/>
      <c r="E52" s="2"/>
      <c r="F52" s="2"/>
      <c r="G52" s="2"/>
      <c r="H52" s="2"/>
      <c r="I52" s="2"/>
      <c r="J52" s="2"/>
      <c r="K52" s="2"/>
    </row>
    <row r="53" spans="2:11">
      <c r="B53" s="2"/>
      <c r="C53" s="2"/>
      <c r="D53" s="2" t="s">
        <v>5699</v>
      </c>
      <c r="E53" s="2"/>
      <c r="F53" s="2"/>
      <c r="G53" s="2"/>
      <c r="H53" s="2"/>
      <c r="I53" s="2"/>
      <c r="J53" s="2"/>
      <c r="K53" s="2"/>
    </row>
    <row r="54" spans="2:11">
      <c r="B54" s="2"/>
      <c r="C54" s="2"/>
      <c r="D54" s="2" t="s">
        <v>5700</v>
      </c>
      <c r="E54" s="2"/>
      <c r="F54" s="2"/>
      <c r="G54" s="2"/>
      <c r="H54" s="2"/>
      <c r="I54" s="2"/>
      <c r="J54" s="2"/>
      <c r="K54" s="2"/>
    </row>
    <row r="55" spans="2:11">
      <c r="B55" s="2"/>
      <c r="C55" s="2" t="s">
        <v>5701</v>
      </c>
      <c r="D55" s="2"/>
      <c r="E55" s="2"/>
      <c r="F55" s="2"/>
      <c r="G55" s="2"/>
      <c r="H55" s="2"/>
      <c r="I55" s="2"/>
      <c r="J55" s="2"/>
      <c r="K55" s="2"/>
    </row>
    <row r="56" spans="2:11">
      <c r="B56" s="2"/>
      <c r="C56" s="2"/>
      <c r="D56" s="2" t="s">
        <v>5702</v>
      </c>
      <c r="E56" s="2"/>
      <c r="F56" s="2"/>
      <c r="G56" s="2"/>
      <c r="H56" s="2"/>
      <c r="I56" s="2"/>
      <c r="J56" s="2"/>
      <c r="K56" s="2"/>
    </row>
    <row r="57" spans="2:11">
      <c r="B57" s="2"/>
      <c r="C57" s="2"/>
      <c r="D57" s="2" t="s">
        <v>5703</v>
      </c>
      <c r="E57" s="2"/>
      <c r="F57" s="2"/>
      <c r="G57" s="2"/>
      <c r="H57" s="2"/>
      <c r="I57" s="2"/>
      <c r="J57" s="2"/>
      <c r="K57" s="2"/>
    </row>
    <row r="58" spans="2:11">
      <c r="B58" s="2"/>
      <c r="C58" s="2"/>
      <c r="D58" s="2"/>
      <c r="E58" s="2" t="s">
        <v>5704</v>
      </c>
      <c r="F58" s="2"/>
      <c r="G58" s="2"/>
      <c r="H58" s="2"/>
      <c r="I58" s="2"/>
      <c r="J58" s="2"/>
      <c r="K58" s="2"/>
    </row>
    <row r="59" spans="2:11">
      <c r="B59" s="2"/>
      <c r="C59" s="2"/>
      <c r="D59" s="2"/>
      <c r="E59" s="2" t="s">
        <v>5705</v>
      </c>
      <c r="F59" s="2"/>
      <c r="G59" s="2"/>
      <c r="H59" s="2"/>
      <c r="I59" s="2"/>
      <c r="J59" s="2"/>
      <c r="K59" s="2"/>
    </row>
    <row r="60" spans="2:11">
      <c r="B60" s="2" t="s">
        <v>5706</v>
      </c>
      <c r="C60" s="2"/>
      <c r="D60" s="2"/>
      <c r="E60" s="2"/>
      <c r="F60" s="2"/>
      <c r="G60" s="2"/>
      <c r="H60" s="2"/>
      <c r="I60" s="2"/>
      <c r="J60" s="2"/>
      <c r="K60" s="2"/>
    </row>
    <row r="61" spans="2:11">
      <c r="B61" s="2"/>
      <c r="C61" s="2" t="s">
        <v>5707</v>
      </c>
      <c r="D61" s="2"/>
      <c r="E61" s="2"/>
      <c r="F61" s="2"/>
      <c r="G61" s="2"/>
      <c r="H61" s="2"/>
      <c r="I61" s="2"/>
      <c r="J61" s="2"/>
      <c r="K61" s="2"/>
    </row>
    <row r="62" spans="2:11">
      <c r="B62" s="2"/>
      <c r="C62" s="2"/>
      <c r="D62" s="2" t="s">
        <v>5708</v>
      </c>
      <c r="E62" s="2"/>
      <c r="F62" s="2"/>
      <c r="G62" s="2"/>
      <c r="H62" s="2"/>
      <c r="I62" s="2"/>
      <c r="J62" s="2"/>
      <c r="K62" s="2"/>
    </row>
    <row r="63" spans="2:11">
      <c r="B63" s="2"/>
      <c r="C63" s="2"/>
      <c r="D63" s="2"/>
      <c r="E63" s="2" t="s">
        <v>5709</v>
      </c>
      <c r="F63" s="2"/>
      <c r="G63" s="2"/>
      <c r="H63" s="2"/>
      <c r="I63" s="2"/>
      <c r="J63" s="2"/>
      <c r="K63" s="2"/>
    </row>
    <row r="64" spans="2:11">
      <c r="B64" s="2"/>
      <c r="C64" s="2"/>
      <c r="D64" s="2"/>
      <c r="E64" s="2" t="s">
        <v>5710</v>
      </c>
      <c r="F64" s="2"/>
      <c r="G64" s="2"/>
      <c r="H64" s="2"/>
      <c r="I64" s="2"/>
      <c r="J64" s="2"/>
      <c r="K64" s="2"/>
    </row>
    <row r="65" spans="2:11">
      <c r="B65" s="2"/>
      <c r="C65" s="2" t="s">
        <v>5711</v>
      </c>
      <c r="D65" s="2"/>
      <c r="E65" s="2"/>
      <c r="F65" s="2"/>
      <c r="G65" s="2"/>
      <c r="H65" s="2"/>
      <c r="I65" s="2"/>
      <c r="J65" s="2"/>
      <c r="K65" s="2"/>
    </row>
    <row r="66" spans="2:11">
      <c r="B66" s="2"/>
      <c r="C66" s="2"/>
      <c r="D66" s="2" t="s">
        <v>5712</v>
      </c>
      <c r="E66" s="2"/>
      <c r="F66" s="2"/>
      <c r="G66" s="2"/>
      <c r="H66" s="2"/>
      <c r="I66" s="2"/>
      <c r="J66" s="2"/>
      <c r="K66" s="2"/>
    </row>
    <row r="67" spans="2:11">
      <c r="B67" s="2"/>
      <c r="C67" s="2"/>
      <c r="D67" s="2" t="s">
        <v>5713</v>
      </c>
      <c r="E67" s="2"/>
      <c r="F67" s="2"/>
      <c r="G67" s="2"/>
      <c r="H67" s="2"/>
      <c r="I67" s="2"/>
      <c r="J67" s="2"/>
      <c r="K67" s="2"/>
    </row>
    <row r="68" spans="2:11">
      <c r="B68" s="2"/>
      <c r="C68" s="2"/>
      <c r="D68" s="2"/>
      <c r="E68" s="2" t="s">
        <v>5714</v>
      </c>
      <c r="F68" s="2"/>
      <c r="G68" s="2"/>
      <c r="H68" s="2"/>
      <c r="I68" s="2"/>
      <c r="J68" s="2"/>
      <c r="K68" s="2"/>
    </row>
    <row r="69" spans="2:11">
      <c r="B69" s="2"/>
      <c r="C69" s="2"/>
      <c r="D69" s="2"/>
      <c r="E69" s="2" t="s">
        <v>5715</v>
      </c>
      <c r="F69" s="2"/>
      <c r="G69" s="2"/>
      <c r="H69" s="2"/>
      <c r="I69" s="2"/>
      <c r="J69" s="2"/>
      <c r="K69" s="2"/>
    </row>
    <row r="70" spans="2:11">
      <c r="B70" s="2"/>
      <c r="C70" s="2"/>
      <c r="D70" s="2" t="s">
        <v>5716</v>
      </c>
      <c r="E70" s="2"/>
      <c r="F70" s="2"/>
      <c r="G70" s="2"/>
      <c r="H70" s="2"/>
      <c r="I70" s="2"/>
      <c r="J70" s="2"/>
      <c r="K70" s="2"/>
    </row>
    <row r="71" spans="2:11">
      <c r="B71" s="2"/>
      <c r="C71" s="2"/>
      <c r="D71" s="2"/>
      <c r="E71" s="2" t="s">
        <v>5717</v>
      </c>
      <c r="F71" s="2"/>
      <c r="G71" s="2"/>
      <c r="H71" s="2"/>
      <c r="I71" s="2"/>
      <c r="J71" s="2"/>
      <c r="K71" s="2"/>
    </row>
    <row r="72" spans="2:11">
      <c r="B72" s="2"/>
      <c r="C72" s="2"/>
      <c r="D72" s="2"/>
      <c r="E72" s="2" t="s">
        <v>5718</v>
      </c>
      <c r="F72" s="2"/>
      <c r="G72" s="2"/>
      <c r="H72" s="2"/>
      <c r="I72" s="2"/>
      <c r="J72" s="2"/>
      <c r="K72" s="2"/>
    </row>
    <row r="73" spans="2:11">
      <c r="B73" s="2"/>
      <c r="C73" s="2" t="s">
        <v>5719</v>
      </c>
      <c r="D73" s="2"/>
      <c r="E73" s="2"/>
      <c r="F73" s="2"/>
      <c r="G73" s="2"/>
      <c r="H73" s="2"/>
      <c r="I73" s="2"/>
      <c r="J73" s="2"/>
      <c r="K73" s="2"/>
    </row>
    <row r="74" spans="2:11">
      <c r="B74" s="2"/>
      <c r="C74" s="2"/>
      <c r="D74" s="2" t="s">
        <v>5720</v>
      </c>
      <c r="E74" s="2"/>
      <c r="F74" s="2"/>
      <c r="G74" s="2"/>
      <c r="H74" s="2"/>
      <c r="I74" s="2"/>
      <c r="J74" s="2"/>
      <c r="K74" s="2"/>
    </row>
    <row r="75" spans="2:11">
      <c r="B75" s="2"/>
      <c r="C75" s="2"/>
      <c r="D75" s="2"/>
      <c r="E75" s="2" t="s">
        <v>5721</v>
      </c>
      <c r="F75" s="2"/>
      <c r="G75" s="2"/>
      <c r="H75" s="2"/>
      <c r="I75" s="2"/>
      <c r="J75" s="2"/>
      <c r="K75" s="2"/>
    </row>
    <row r="76" spans="2:11">
      <c r="B76" s="2"/>
      <c r="C76" s="2"/>
      <c r="D76" s="2"/>
      <c r="E76" s="2" t="s">
        <v>5722</v>
      </c>
      <c r="F76" s="2"/>
      <c r="G76" s="2"/>
      <c r="H76" s="2"/>
      <c r="I76" s="2"/>
      <c r="J76" s="2"/>
      <c r="K76" s="2"/>
    </row>
    <row r="77" spans="2:11">
      <c r="B77" s="2"/>
      <c r="C77" s="2"/>
      <c r="D77" s="2"/>
      <c r="E77" s="2" t="s">
        <v>5723</v>
      </c>
      <c r="F77" s="2"/>
      <c r="G77" s="2"/>
      <c r="H77" s="2"/>
      <c r="I77" s="2"/>
      <c r="J77" s="2"/>
      <c r="K77" s="2"/>
    </row>
    <row r="78" spans="2:11">
      <c r="B78" s="2"/>
      <c r="C78" s="2" t="s">
        <v>5724</v>
      </c>
      <c r="D78" s="2"/>
      <c r="E78" s="2"/>
      <c r="F78" s="2"/>
      <c r="G78" s="2"/>
      <c r="H78" s="2"/>
      <c r="I78" s="2"/>
      <c r="J78" s="2"/>
      <c r="K78" s="2"/>
    </row>
    <row r="79" spans="2:11">
      <c r="B79" s="2"/>
      <c r="C79" s="2"/>
      <c r="D79" s="2" t="s">
        <v>5725</v>
      </c>
      <c r="E79" s="2"/>
      <c r="F79" s="2"/>
      <c r="G79" s="2"/>
      <c r="H79" s="2"/>
      <c r="I79" s="2"/>
      <c r="J79" s="2"/>
      <c r="K79" s="2"/>
    </row>
    <row r="80" spans="2:11">
      <c r="B80" s="2"/>
      <c r="C80" s="2"/>
      <c r="D80" s="2"/>
      <c r="E80" s="2" t="s">
        <v>5726</v>
      </c>
      <c r="F80" s="2"/>
      <c r="G80" s="2"/>
      <c r="H80" s="2"/>
      <c r="I80" s="2"/>
      <c r="J80" s="2"/>
      <c r="K80" s="2"/>
    </row>
    <row r="81" spans="2:11">
      <c r="B81" s="2"/>
      <c r="C81" s="2"/>
      <c r="D81" s="2"/>
      <c r="E81" s="2"/>
      <c r="F81" s="2" t="s">
        <v>5727</v>
      </c>
      <c r="G81" s="2"/>
      <c r="H81" s="2"/>
      <c r="I81" s="2"/>
      <c r="J81" s="2"/>
      <c r="K81" s="2"/>
    </row>
    <row r="82" spans="2:11">
      <c r="B82" s="2"/>
      <c r="C82" s="2"/>
      <c r="D82" s="2"/>
      <c r="E82" s="2"/>
      <c r="F82" s="2" t="s">
        <v>5728</v>
      </c>
      <c r="G82" s="2"/>
      <c r="H82" s="2"/>
      <c r="I82" s="2"/>
      <c r="J82" s="2"/>
      <c r="K82" s="2"/>
    </row>
    <row r="83" spans="2:11">
      <c r="B83" s="2"/>
      <c r="C83" s="2"/>
      <c r="D83" s="2"/>
      <c r="E83" s="2"/>
      <c r="F83" s="2"/>
      <c r="G83" s="2" t="s">
        <v>5729</v>
      </c>
      <c r="H83" s="2"/>
      <c r="I83" s="2"/>
      <c r="J83" s="2"/>
      <c r="K83" s="2"/>
    </row>
    <row r="84" spans="2:11">
      <c r="B84" s="2"/>
      <c r="C84" s="2"/>
      <c r="D84" s="2"/>
      <c r="E84" s="2"/>
      <c r="F84" s="2"/>
      <c r="G84" s="2" t="s">
        <v>5730</v>
      </c>
      <c r="H84" s="2"/>
      <c r="I84" s="2"/>
      <c r="J84" s="2"/>
      <c r="K84" s="2"/>
    </row>
    <row r="85" spans="2:11">
      <c r="B85" s="2"/>
      <c r="C85" s="2"/>
      <c r="D85" s="2"/>
      <c r="E85" s="2" t="s">
        <v>5731</v>
      </c>
      <c r="F85" s="2"/>
      <c r="G85" s="2"/>
      <c r="H85" s="2"/>
      <c r="I85" s="2"/>
      <c r="J85" s="2"/>
      <c r="K85" s="2"/>
    </row>
    <row r="86" spans="2:11">
      <c r="B86" s="2"/>
      <c r="C86" s="2"/>
      <c r="D86" s="2"/>
      <c r="E86" s="2"/>
      <c r="F86" s="2" t="s">
        <v>5732</v>
      </c>
      <c r="G86" s="2"/>
      <c r="H86" s="2"/>
      <c r="I86" s="2"/>
      <c r="J86" s="2"/>
      <c r="K86" s="2"/>
    </row>
    <row r="87" spans="2:11">
      <c r="B87" s="2"/>
      <c r="C87" s="2"/>
      <c r="D87" s="2"/>
      <c r="E87" s="2"/>
      <c r="F87" s="2" t="s">
        <v>5733</v>
      </c>
      <c r="G87" s="2"/>
      <c r="H87" s="2"/>
      <c r="I87" s="2"/>
      <c r="J87" s="2"/>
      <c r="K87" s="2"/>
    </row>
    <row r="88" spans="2:11">
      <c r="B88" s="2"/>
      <c r="C88" s="2"/>
      <c r="D88" s="2"/>
      <c r="E88" s="2"/>
      <c r="F88" s="2" t="s">
        <v>5734</v>
      </c>
      <c r="G88" s="2"/>
      <c r="H88" s="2"/>
      <c r="I88" s="2"/>
      <c r="J88" s="2"/>
      <c r="K88" s="2"/>
    </row>
    <row r="89" spans="2:11">
      <c r="B89" s="2"/>
      <c r="C89" s="2" t="s">
        <v>5735</v>
      </c>
      <c r="D89" s="2"/>
      <c r="E89" s="2"/>
      <c r="F89" s="2"/>
      <c r="G89" s="2"/>
      <c r="H89" s="2"/>
      <c r="I89" s="2"/>
      <c r="J89" s="2"/>
      <c r="K89" s="2"/>
    </row>
    <row r="90" spans="2:11">
      <c r="B90" s="2"/>
      <c r="C90" s="2"/>
      <c r="D90" s="2" t="s">
        <v>5736</v>
      </c>
      <c r="E90" s="2"/>
      <c r="F90" s="2"/>
      <c r="G90" s="2"/>
      <c r="H90" s="2"/>
      <c r="I90" s="2"/>
      <c r="J90" s="2"/>
      <c r="K90" s="2"/>
    </row>
    <row r="91" spans="2:11">
      <c r="B91" s="2"/>
      <c r="C91" s="2"/>
      <c r="D91" s="2" t="s">
        <v>5737</v>
      </c>
      <c r="E91" s="2"/>
      <c r="F91" s="2"/>
      <c r="G91" s="2"/>
      <c r="H91" s="2"/>
      <c r="I91" s="2"/>
      <c r="J91" s="2"/>
      <c r="K91" s="2"/>
    </row>
    <row r="92" spans="2:11">
      <c r="B92" t="s">
        <v>5738</v>
      </c>
    </row>
    <row r="93" spans="2:11">
      <c r="C93" t="s">
        <v>5739</v>
      </c>
    </row>
    <row r="94" spans="2:11">
      <c r="B94" t="s">
        <v>5740</v>
      </c>
    </row>
    <row r="95" spans="2:11">
      <c r="C95" t="s">
        <v>5741</v>
      </c>
    </row>
    <row r="96" spans="2:11">
      <c r="C96" t="s">
        <v>5742</v>
      </c>
    </row>
    <row r="97" spans="2:5">
      <c r="C97" t="s">
        <v>5743</v>
      </c>
    </row>
    <row r="98" spans="2:5">
      <c r="B98" t="s">
        <v>5744</v>
      </c>
    </row>
    <row r="99" spans="2:5">
      <c r="C99" t="s">
        <v>5745</v>
      </c>
    </row>
    <row r="100" spans="2:5">
      <c r="C100" t="s">
        <v>5746</v>
      </c>
    </row>
    <row r="101" spans="2:5">
      <c r="D101" t="s">
        <v>5747</v>
      </c>
    </row>
    <row r="102" spans="2:5">
      <c r="D102" t="s">
        <v>5748</v>
      </c>
    </row>
    <row r="103" spans="2:5">
      <c r="E103" t="s">
        <v>5749</v>
      </c>
    </row>
    <row r="104" spans="2:5">
      <c r="B104" t="s">
        <v>5750</v>
      </c>
    </row>
    <row r="105" spans="2:5">
      <c r="B105" t="s">
        <v>5751</v>
      </c>
    </row>
    <row r="106" spans="2:5">
      <c r="B106" t="s">
        <v>5752</v>
      </c>
    </row>
    <row r="107" spans="2:5">
      <c r="B107" t="s">
        <v>5753</v>
      </c>
    </row>
    <row r="108" spans="2:5">
      <c r="B108" t="s">
        <v>5754</v>
      </c>
    </row>
    <row r="109" spans="2:5">
      <c r="B109" t="s">
        <v>5755</v>
      </c>
    </row>
    <row r="110" spans="2:5">
      <c r="B110" t="s">
        <v>5756</v>
      </c>
    </row>
    <row r="111" spans="2:5">
      <c r="C111" t="s">
        <v>5757</v>
      </c>
    </row>
    <row r="112" spans="2:5">
      <c r="C112" t="s">
        <v>5758</v>
      </c>
    </row>
    <row r="113" spans="2:3">
      <c r="B113" t="s">
        <v>5759</v>
      </c>
    </row>
    <row r="114" spans="2:3">
      <c r="B114" t="s">
        <v>5760</v>
      </c>
    </row>
    <row r="115" spans="2:3">
      <c r="B115" t="s">
        <v>5761</v>
      </c>
    </row>
    <row r="116" spans="2:3">
      <c r="B116" t="s">
        <v>5762</v>
      </c>
    </row>
    <row r="117" spans="2:3">
      <c r="B117" t="s">
        <v>5763</v>
      </c>
    </row>
    <row r="118" spans="2:3">
      <c r="C118" t="s">
        <v>5764</v>
      </c>
    </row>
    <row r="119" spans="2:3">
      <c r="C119" t="s">
        <v>5765</v>
      </c>
    </row>
    <row r="120" spans="2:3">
      <c r="C120" t="s">
        <v>5766</v>
      </c>
    </row>
    <row r="121" spans="2:3">
      <c r="B121" t="s">
        <v>5767</v>
      </c>
    </row>
  </sheetData>
  <pageMargins left="0.75" right="0.75" top="1" bottom="1" header="0.5" footer="0.5"/>
  <pageSetup paperSize="9" orientation="portrait"/>
  <headerFooter/>
</worksheet>
</file>

<file path=xl/worksheets/sheet2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N191"/>
  <sheetViews>
    <sheetView zoomScale="130" zoomScaleNormal="130" topLeftCell="A93" workbookViewId="0">
      <selection activeCell="E190" sqref="E190"/>
    </sheetView>
  </sheetViews>
  <sheetFormatPr defaultColWidth="9.66666666666667" defaultRowHeight="14.4"/>
  <cols>
    <col min="1" max="16384" width="9.66666666666667" style="2" customWidth="1"/>
  </cols>
  <sheetData>
    <row r="1" spans="1:10">
      <c r="A1" s="1">
        <f>SUM(B1:AZ1)</f>
        <v>59.1166666666667</v>
      </c>
      <c r="B1" s="1">
        <f>COUNTA(B2:B2220)/COLUMN()</f>
        <v>18.5</v>
      </c>
      <c r="C1" s="1">
        <f>COUNTA(C2:C2220)/COLUMN()</f>
        <v>18.6666666666667</v>
      </c>
      <c r="D1" s="1">
        <f>COUNTA(D2:D2220)/COLUMN()</f>
        <v>13.75</v>
      </c>
      <c r="E1" s="1">
        <f>COUNTA(E2:E2220)/COLUMN()</f>
        <v>7.2</v>
      </c>
      <c r="F1" s="1">
        <f>COUNTA(F2:F2220)/COLUMN()</f>
        <v>1</v>
      </c>
      <c r="G1" s="1">
        <f>COUNTA(G2:G2220)/COLUMN()</f>
        <v>0</v>
      </c>
      <c r="H1" s="1">
        <f>COUNTA(H2:H2220)/COLUMN()</f>
        <v>0</v>
      </c>
      <c r="I1"/>
      <c r="J1"/>
    </row>
    <row r="2" spans="1:10">
      <c r="A2" t="str" cm="1">
        <f ca="1" t="array" ref="A2">_wpsfn.SHEETSNAME(A1)</f>
        <v>20251210</v>
      </c>
      <c r="B2" s="2" t="s">
        <v>5768</v>
      </c>
    </row>
    <row r="3" spans="1:10">
      <c r="A3"/>
      <c r="C3" s="2" t="s">
        <v>5769</v>
      </c>
    </row>
    <row r="4" spans="1:10">
      <c r="A4"/>
      <c r="D4" s="2" t="s">
        <v>5770</v>
      </c>
    </row>
    <row r="5" spans="1:10">
      <c r="A5"/>
      <c r="E5" s="2" t="s">
        <v>5771</v>
      </c>
    </row>
    <row r="6" spans="1:10">
      <c r="A6"/>
      <c r="E6" s="2" t="s">
        <v>5772</v>
      </c>
    </row>
    <row r="7" spans="1:10">
      <c r="A7"/>
      <c r="C7" s="2" t="s">
        <v>5773</v>
      </c>
    </row>
    <row r="8" spans="1:10">
      <c r="A8"/>
      <c r="D8" s="2" t="s">
        <v>5774</v>
      </c>
    </row>
    <row r="9" spans="1:10">
      <c r="A9"/>
      <c r="D9" s="2" t="s">
        <v>5775</v>
      </c>
    </row>
    <row r="10" spans="1:10">
      <c r="A10"/>
      <c r="E10" s="2" t="s">
        <v>5776</v>
      </c>
    </row>
    <row r="11" spans="1:10">
      <c r="A11"/>
      <c r="E11" s="2" t="s">
        <v>5777</v>
      </c>
    </row>
    <row r="12" spans="1:10">
      <c r="A12"/>
      <c r="E12" s="2" t="s">
        <v>5778</v>
      </c>
    </row>
    <row r="13" spans="1:10">
      <c r="A13"/>
      <c r="E13" s="2" t="s">
        <v>5779</v>
      </c>
    </row>
    <row r="14" spans="1:10">
      <c r="A14"/>
      <c r="C14" s="2" t="s">
        <v>5780</v>
      </c>
    </row>
    <row r="15" spans="1:10">
      <c r="A15"/>
      <c r="D15" s="2" t="s">
        <v>5781</v>
      </c>
    </row>
    <row r="16" spans="1:10">
      <c r="A16"/>
      <c r="D16" s="2" t="s">
        <v>5782</v>
      </c>
    </row>
    <row r="17" spans="1:6">
      <c r="A17"/>
      <c r="E17" s="2" t="s">
        <v>5783</v>
      </c>
    </row>
    <row r="18" spans="1:6">
      <c r="E18" s="2" t="s">
        <v>5784</v>
      </c>
    </row>
    <row r="19" spans="1:6">
      <c r="E19" s="2" t="s">
        <v>5785</v>
      </c>
    </row>
    <row r="20" spans="1:6">
      <c r="D20" s="2" t="s">
        <v>5786</v>
      </c>
    </row>
    <row r="21" spans="1:6">
      <c r="D21" s="2" t="s">
        <v>5787</v>
      </c>
    </row>
    <row r="22" spans="1:6">
      <c r="E22" s="2" t="s">
        <v>5788</v>
      </c>
    </row>
    <row r="23" spans="1:6">
      <c r="E23" s="2" t="s">
        <v>5789</v>
      </c>
    </row>
    <row r="24" spans="1:6">
      <c r="F24" s="2" t="s">
        <v>5790</v>
      </c>
    </row>
    <row r="25" spans="1:6">
      <c r="F25" s="2" t="s">
        <v>5791</v>
      </c>
    </row>
    <row r="26" spans="1:6">
      <c r="C26" s="2" t="s">
        <v>5792</v>
      </c>
    </row>
    <row r="27" spans="1:6">
      <c r="D27" s="2" t="s">
        <v>5793</v>
      </c>
    </row>
    <row r="28" spans="1:6">
      <c r="D28" s="2" t="s">
        <v>5794</v>
      </c>
    </row>
    <row r="29" spans="1:6">
      <c r="D29" s="2" t="s">
        <v>5795</v>
      </c>
    </row>
    <row r="30" spans="1:6">
      <c r="D30" s="2" t="s">
        <v>5796</v>
      </c>
    </row>
    <row r="31" spans="1:6">
      <c r="E31" s="2" t="s">
        <v>5797</v>
      </c>
    </row>
    <row r="32" spans="1:6">
      <c r="E32" s="2" t="s">
        <v>5798</v>
      </c>
    </row>
    <row r="33" spans="2:5">
      <c r="B33" s="2" t="s">
        <v>5799</v>
      </c>
    </row>
    <row r="34" spans="2:5">
      <c r="C34" s="2" t="s">
        <v>5800</v>
      </c>
    </row>
    <row r="35" spans="2:5">
      <c r="D35" s="2" t="s">
        <v>5801</v>
      </c>
    </row>
    <row r="36" spans="2:5">
      <c r="D36" s="2" t="s">
        <v>5802</v>
      </c>
    </row>
    <row r="37" spans="2:5">
      <c r="E37" s="2" t="s">
        <v>5803</v>
      </c>
    </row>
    <row r="38" spans="2:5">
      <c r="E38" s="2" t="s">
        <v>5804</v>
      </c>
    </row>
    <row r="39" spans="2:5">
      <c r="D39" s="2" t="s">
        <v>5805</v>
      </c>
    </row>
    <row r="40" spans="2:5">
      <c r="D40" s="2" t="s">
        <v>5806</v>
      </c>
    </row>
    <row r="41" spans="2:5">
      <c r="C41" s="2" t="s">
        <v>5807</v>
      </c>
    </row>
    <row r="42" spans="2:5">
      <c r="D42" s="2" t="s">
        <v>5808</v>
      </c>
    </row>
    <row r="43" spans="2:5">
      <c r="D43" s="2" t="s">
        <v>5809</v>
      </c>
    </row>
    <row r="44" spans="2:5">
      <c r="E44" s="2" t="s">
        <v>5810</v>
      </c>
    </row>
    <row r="45" spans="2:5">
      <c r="E45" s="2" t="s">
        <v>5811</v>
      </c>
    </row>
    <row r="46" spans="2:5">
      <c r="D46" s="2" t="s">
        <v>5812</v>
      </c>
    </row>
    <row r="47" spans="2:5">
      <c r="E47" s="2" t="s">
        <v>5813</v>
      </c>
    </row>
    <row r="48" spans="2:5">
      <c r="E48" s="2" t="s">
        <v>5814</v>
      </c>
    </row>
    <row r="49" spans="2:14">
      <c r="C49" s="2" t="s">
        <v>5815</v>
      </c>
    </row>
    <row r="50" spans="2:14">
      <c r="D50" s="2" t="s">
        <v>5816</v>
      </c>
    </row>
    <row r="51" spans="2:14">
      <c r="D51" s="2" t="s">
        <v>5817</v>
      </c>
    </row>
    <row r="52" spans="2:14">
      <c r="D52" s="2" t="s">
        <v>5818</v>
      </c>
    </row>
    <row r="53" spans="2:14">
      <c r="E53" s="2" t="s">
        <v>5819</v>
      </c>
    </row>
    <row r="54" spans="2:14">
      <c r="E54" s="2" t="s">
        <v>5820</v>
      </c>
    </row>
    <row r="55" spans="2:14">
      <c r="E55" s="2" t="s">
        <v>5821</v>
      </c>
    </row>
    <row r="56" spans="2:14">
      <c r="C56" s="2" t="s">
        <v>5822</v>
      </c>
    </row>
    <row r="57" spans="2:14">
      <c r="B57" s="2" t="s">
        <v>5823</v>
      </c>
      <c r="M57" s="3"/>
      <c r="N57" s="3"/>
    </row>
    <row r="58" spans="2:14">
      <c r="C58" s="2" t="s">
        <v>5824</v>
      </c>
      <c r="M58" s="3"/>
      <c r="N58" s="3"/>
    </row>
    <row r="59" spans="2:14">
      <c r="D59" s="2" t="s">
        <v>5825</v>
      </c>
      <c r="M59" s="3"/>
      <c r="N59" s="3"/>
    </row>
    <row r="60" spans="2:14">
      <c r="D60" s="2" t="s">
        <v>5826</v>
      </c>
      <c r="M60" s="3"/>
      <c r="N60" s="3"/>
    </row>
    <row r="61" spans="2:14">
      <c r="C61" s="2" t="s">
        <v>5827</v>
      </c>
      <c r="M61" s="3"/>
      <c r="N61" s="3"/>
    </row>
    <row r="62" spans="2:14">
      <c r="D62" s="2" t="s">
        <v>5828</v>
      </c>
      <c r="M62" s="3"/>
      <c r="N62" s="3"/>
    </row>
    <row r="63" spans="2:14">
      <c r="D63" s="2" t="s">
        <v>5829</v>
      </c>
      <c r="M63" s="3"/>
      <c r="N63" s="3"/>
    </row>
    <row r="64" spans="2:14">
      <c r="D64" s="2" t="s">
        <v>5830</v>
      </c>
      <c r="M64" s="3"/>
      <c r="N64" s="3"/>
    </row>
    <row r="65" spans="3:14">
      <c r="E65" s="2" t="s">
        <v>5831</v>
      </c>
      <c r="M65" s="3"/>
      <c r="N65" s="3"/>
    </row>
    <row r="66" spans="3:14">
      <c r="E66" s="2" t="s">
        <v>5832</v>
      </c>
      <c r="M66" s="3"/>
      <c r="N66" s="3"/>
    </row>
    <row r="67" spans="3:14">
      <c r="C67" s="2" t="s">
        <v>5833</v>
      </c>
      <c r="M67" s="3"/>
      <c r="N67" s="3"/>
    </row>
    <row r="68" spans="3:14">
      <c r="D68" s="2" t="s">
        <v>5834</v>
      </c>
      <c r="M68" s="3"/>
      <c r="N68" s="3"/>
    </row>
    <row r="69" spans="3:14">
      <c r="D69" s="2" t="s">
        <v>5835</v>
      </c>
      <c r="M69" s="3"/>
      <c r="N69" s="3"/>
    </row>
    <row r="70" spans="3:14">
      <c r="E70" s="2" t="s">
        <v>5836</v>
      </c>
      <c r="M70" s="3"/>
      <c r="N70" s="3"/>
    </row>
    <row r="71" spans="3:14">
      <c r="E71" s="2" t="s">
        <v>5837</v>
      </c>
      <c r="M71" s="3"/>
      <c r="N71" s="3"/>
    </row>
    <row r="72" spans="3:14">
      <c r="F72" s="2" t="s">
        <v>5838</v>
      </c>
      <c r="M72" s="3"/>
      <c r="N72" s="3"/>
    </row>
    <row r="73" spans="3:14">
      <c r="F73" s="2" t="s">
        <v>5839</v>
      </c>
      <c r="M73" s="3"/>
      <c r="N73" s="3"/>
    </row>
    <row r="74" spans="3:14">
      <c r="C74" s="2" t="s">
        <v>5840</v>
      </c>
      <c r="M74" s="3"/>
      <c r="N74" s="3"/>
    </row>
    <row r="75" spans="3:14">
      <c r="D75" s="2" t="s">
        <v>5841</v>
      </c>
      <c r="M75" s="3"/>
      <c r="N75" s="3"/>
    </row>
    <row r="76" spans="3:14">
      <c r="E76" s="2" t="s">
        <v>5842</v>
      </c>
      <c r="M76" s="3"/>
      <c r="N76" s="3"/>
    </row>
    <row r="77" spans="3:14">
      <c r="E77" s="2" t="s">
        <v>5843</v>
      </c>
      <c r="M77" s="3"/>
      <c r="N77" s="3"/>
    </row>
    <row r="78" spans="3:14">
      <c r="D78" s="2" t="s">
        <v>5844</v>
      </c>
      <c r="M78" s="3"/>
      <c r="N78" s="3"/>
    </row>
    <row r="79" spans="3:14">
      <c r="E79" s="2" t="s">
        <v>5845</v>
      </c>
      <c r="M79" s="3"/>
      <c r="N79" s="3"/>
    </row>
    <row r="80" spans="3:14">
      <c r="E80" s="2" t="s">
        <v>5846</v>
      </c>
      <c r="M80" s="3"/>
      <c r="N80" s="3"/>
    </row>
    <row r="81" spans="2:14">
      <c r="F81" s="2" t="s">
        <v>5847</v>
      </c>
      <c r="M81" s="3"/>
      <c r="N81" s="3"/>
    </row>
    <row r="82" spans="2:14">
      <c r="F82" s="2" t="s">
        <v>5848</v>
      </c>
      <c r="M82" s="3"/>
      <c r="N82" s="3"/>
    </row>
    <row r="83" spans="2:14">
      <c r="B83" s="2" t="s">
        <v>5849</v>
      </c>
      <c r="N83" s="3"/>
    </row>
    <row r="84" spans="2:14">
      <c r="C84" s="2" t="s">
        <v>5850</v>
      </c>
      <c r="N84" s="3"/>
    </row>
    <row r="85" spans="2:14">
      <c r="D85" s="2" t="s">
        <v>5851</v>
      </c>
      <c r="N85" s="3"/>
    </row>
    <row r="86" spans="2:14">
      <c r="D86" s="2" t="s">
        <v>5852</v>
      </c>
      <c r="N86" s="3"/>
    </row>
    <row r="87" spans="2:14">
      <c r="C87" s="2" t="s">
        <v>5853</v>
      </c>
      <c r="N87" s="3"/>
    </row>
    <row r="88" spans="2:14">
      <c r="D88" s="2" t="s">
        <v>5854</v>
      </c>
      <c r="N88" s="3"/>
    </row>
    <row r="89" spans="2:14">
      <c r="D89" s="2" t="s">
        <v>5855</v>
      </c>
      <c r="N89" s="3"/>
    </row>
    <row r="90" spans="2:14">
      <c r="C90" s="2" t="s">
        <v>5856</v>
      </c>
      <c r="N90" s="3"/>
    </row>
    <row r="91" spans="2:14">
      <c r="D91" s="2" t="s">
        <v>5857</v>
      </c>
      <c r="N91" s="3"/>
    </row>
    <row r="92" spans="2:14">
      <c r="E92" s="2" t="s">
        <v>5858</v>
      </c>
      <c r="N92" s="3"/>
    </row>
    <row r="93" spans="2:14">
      <c r="E93" s="2" t="s">
        <v>5859</v>
      </c>
      <c r="N93" s="3"/>
    </row>
    <row r="94" spans="2:14">
      <c r="D94" s="2" t="s">
        <v>5860</v>
      </c>
      <c r="N94" s="3"/>
    </row>
    <row r="95" spans="2:14">
      <c r="C95" s="2" t="s">
        <v>5861</v>
      </c>
      <c r="N95" s="3"/>
    </row>
    <row r="96" spans="2:14">
      <c r="D96" s="2" t="s">
        <v>5862</v>
      </c>
      <c r="N96" s="3"/>
    </row>
    <row r="97" spans="2:14">
      <c r="E97" s="2" t="s">
        <v>5863</v>
      </c>
      <c r="N97" s="3"/>
    </row>
    <row r="98" spans="2:14">
      <c r="E98" s="2" t="s">
        <v>5864</v>
      </c>
      <c r="N98" s="3"/>
    </row>
    <row r="99" spans="2:14">
      <c r="D99" s="2" t="s">
        <v>5865</v>
      </c>
      <c r="N99" s="3"/>
    </row>
    <row r="100" spans="2:14">
      <c r="E100" s="2" t="s">
        <v>5866</v>
      </c>
      <c r="N100" s="3"/>
    </row>
    <row r="101" spans="2:14">
      <c r="B101" s="2" t="s">
        <v>5867</v>
      </c>
    </row>
    <row r="102" spans="2:14">
      <c r="C102" s="2" t="s">
        <v>5868</v>
      </c>
    </row>
    <row r="103" spans="2:14">
      <c r="C103" s="2" t="s">
        <v>5869</v>
      </c>
    </row>
    <row r="104" spans="2:14">
      <c r="B104" s="2" t="s">
        <v>5870</v>
      </c>
    </row>
    <row r="105" spans="2:14">
      <c r="C105" s="2" t="s">
        <v>5871</v>
      </c>
    </row>
    <row r="106" spans="2:14">
      <c r="C106" s="2" t="s">
        <v>5872</v>
      </c>
    </row>
    <row r="107" spans="2:14">
      <c r="D107" s="2" t="s">
        <v>5873</v>
      </c>
    </row>
    <row r="108" spans="2:14">
      <c r="B108" s="2" t="s">
        <v>5874</v>
      </c>
    </row>
    <row r="109" spans="2:14">
      <c r="C109" s="2" t="s">
        <v>5875</v>
      </c>
    </row>
    <row r="110" spans="2:14">
      <c r="C110" s="2" t="s">
        <v>5876</v>
      </c>
    </row>
    <row r="111" spans="2:14">
      <c r="D111" s="2" t="s">
        <v>5877</v>
      </c>
    </row>
    <row r="112" spans="2:14">
      <c r="D112" s="2" t="s">
        <v>5878</v>
      </c>
    </row>
    <row r="113" spans="2:4">
      <c r="D113" s="2" t="s">
        <v>5879</v>
      </c>
    </row>
    <row r="114" spans="2:4">
      <c r="C114" s="2" t="s">
        <v>5880</v>
      </c>
    </row>
    <row r="115" spans="2:4">
      <c r="D115" s="2" t="s">
        <v>5881</v>
      </c>
    </row>
    <row r="116" spans="2:4">
      <c r="D116" s="2" t="s">
        <v>5882</v>
      </c>
    </row>
    <row r="117" spans="2:4">
      <c r="C117" s="2" t="s">
        <v>5883</v>
      </c>
    </row>
    <row r="118" spans="2:4">
      <c r="D118" s="2" t="s">
        <v>5884</v>
      </c>
    </row>
    <row r="119" spans="2:4">
      <c r="D119" s="2" t="s">
        <v>5885</v>
      </c>
    </row>
    <row r="120" spans="2:4">
      <c r="B120" s="2" t="s">
        <v>5886</v>
      </c>
    </row>
    <row r="121" spans="2:4">
      <c r="C121" s="2" t="s">
        <v>5887</v>
      </c>
    </row>
    <row r="122" spans="2:4">
      <c r="C122" s="2" t="s">
        <v>5888</v>
      </c>
    </row>
    <row r="123" spans="2:4">
      <c r="C123" s="2" t="s">
        <v>5889</v>
      </c>
    </row>
    <row r="124" spans="2:4">
      <c r="C124" s="2" t="s">
        <v>5890</v>
      </c>
    </row>
    <row r="125" spans="2:4">
      <c r="B125" s="2" t="s">
        <v>5891</v>
      </c>
    </row>
    <row r="126" spans="2:4">
      <c r="C126" s="2" t="s">
        <v>5892</v>
      </c>
    </row>
    <row r="127" spans="2:4">
      <c r="B127" s="2" t="s">
        <v>5893</v>
      </c>
    </row>
    <row r="128" spans="2:4">
      <c r="C128" s="2" t="s">
        <v>5894</v>
      </c>
    </row>
    <row r="129" spans="2:4">
      <c r="B129" s="2" t="s">
        <v>5895</v>
      </c>
    </row>
    <row r="130" spans="2:4">
      <c r="B130" s="2" t="s">
        <v>5896</v>
      </c>
    </row>
    <row r="131" spans="2:4">
      <c r="C131" s="2" t="s">
        <v>5897</v>
      </c>
    </row>
    <row r="132" spans="2:4">
      <c r="C132" s="2" t="s">
        <v>5898</v>
      </c>
    </row>
    <row r="133" spans="2:4">
      <c r="C133" s="2" t="s">
        <v>5899</v>
      </c>
    </row>
    <row r="134" spans="2:4">
      <c r="D134" s="2" t="s">
        <v>5900</v>
      </c>
    </row>
    <row r="135" spans="2:4">
      <c r="D135" s="2" t="s">
        <v>5901</v>
      </c>
    </row>
    <row r="136" spans="2:4">
      <c r="D136" s="2" t="s">
        <v>5902</v>
      </c>
    </row>
    <row r="137" spans="2:4">
      <c r="C137" s="2" t="s">
        <v>5903</v>
      </c>
    </row>
    <row r="138" spans="2:4">
      <c r="C138" s="2" t="s">
        <v>5904</v>
      </c>
    </row>
    <row r="139" spans="2:4">
      <c r="B139" s="2" t="s">
        <v>5905</v>
      </c>
    </row>
    <row r="140" spans="2:4">
      <c r="C140" s="2" t="s">
        <v>5906</v>
      </c>
    </row>
    <row r="141" spans="2:4">
      <c r="C141" s="2" t="s">
        <v>5907</v>
      </c>
    </row>
    <row r="142" spans="2:4">
      <c r="C142" s="2" t="s">
        <v>5908</v>
      </c>
    </row>
    <row r="143" spans="2:4">
      <c r="B143" s="2" t="s">
        <v>5909</v>
      </c>
    </row>
    <row r="144" spans="2:4">
      <c r="C144" s="2" t="s">
        <v>5910</v>
      </c>
    </row>
    <row r="145" spans="2:4">
      <c r="B145" s="2" t="s">
        <v>5911</v>
      </c>
    </row>
    <row r="146" spans="2:4">
      <c r="C146" s="2" t="s">
        <v>5912</v>
      </c>
    </row>
    <row r="147" spans="2:4">
      <c r="C147" s="2" t="s">
        <v>5913</v>
      </c>
    </row>
    <row r="148" spans="2:4">
      <c r="C148" s="2" t="s">
        <v>5914</v>
      </c>
    </row>
    <row r="149" spans="2:4">
      <c r="B149" s="2" t="s">
        <v>5915</v>
      </c>
    </row>
    <row r="150" spans="2:4">
      <c r="C150" s="2" t="s">
        <v>5916</v>
      </c>
    </row>
    <row r="151" spans="2:4">
      <c r="B151" s="2" t="s">
        <v>5917</v>
      </c>
    </row>
    <row r="152" spans="2:4">
      <c r="B152" s="2" t="s">
        <v>5918</v>
      </c>
    </row>
    <row r="153" spans="2:4">
      <c r="C153" s="2" t="s">
        <v>5919</v>
      </c>
    </row>
    <row r="154" spans="2:4">
      <c r="D154" s="2" t="s">
        <v>5920</v>
      </c>
    </row>
    <row r="155" spans="2:4">
      <c r="D155" s="2" t="s">
        <v>5921</v>
      </c>
    </row>
    <row r="156" spans="2:4">
      <c r="D156" s="2" t="s">
        <v>5922</v>
      </c>
    </row>
    <row r="157" spans="2:4">
      <c r="D157" s="2" t="s">
        <v>5923</v>
      </c>
    </row>
    <row r="158" spans="2:4">
      <c r="B158" s="2" t="s">
        <v>5924</v>
      </c>
    </row>
    <row r="159" spans="2:4">
      <c r="B159" s="2" t="s">
        <v>5925</v>
      </c>
    </row>
    <row r="160" spans="2:4">
      <c r="B160" s="2" t="s">
        <v>5926</v>
      </c>
    </row>
    <row r="161" spans="2:5">
      <c r="B161" s="2" t="s">
        <v>5927</v>
      </c>
    </row>
    <row r="162" spans="2:5">
      <c r="B162" s="2" t="s">
        <v>5928</v>
      </c>
    </row>
    <row r="163" spans="2:5">
      <c r="C163" s="2" t="s">
        <v>5929</v>
      </c>
    </row>
    <row r="164" spans="2:5">
      <c r="C164" s="2" t="s">
        <v>5930</v>
      </c>
    </row>
    <row r="165" spans="2:5">
      <c r="B165" s="2" t="s">
        <v>5931</v>
      </c>
    </row>
    <row r="166" spans="2:5">
      <c r="B166" s="2" t="s">
        <v>5932</v>
      </c>
    </row>
    <row r="167" spans="2:5">
      <c r="C167" s="2" t="s">
        <v>5933</v>
      </c>
    </row>
    <row r="168" spans="2:5">
      <c r="C168" s="2" t="s">
        <v>5934</v>
      </c>
    </row>
    <row r="169" spans="2:5">
      <c r="D169" s="2" t="s">
        <v>5935</v>
      </c>
    </row>
    <row r="170" spans="2:5">
      <c r="C170" s="2" t="s">
        <v>5936</v>
      </c>
    </row>
    <row r="171" spans="2:5">
      <c r="D171" s="2" t="s">
        <v>5937</v>
      </c>
    </row>
    <row r="172" spans="2:5">
      <c r="E172" s="2" t="s">
        <v>5938</v>
      </c>
    </row>
    <row r="173" spans="2:5">
      <c r="B173" s="2" t="s">
        <v>5939</v>
      </c>
    </row>
    <row r="174" spans="2:5">
      <c r="B174" s="2" t="s">
        <v>5940</v>
      </c>
    </row>
    <row r="175" spans="2:5">
      <c r="B175" s="2" t="s">
        <v>5941</v>
      </c>
    </row>
    <row r="176" spans="2:5">
      <c r="B176" s="2" t="s">
        <v>5942</v>
      </c>
    </row>
    <row r="177" spans="2:3">
      <c r="C177" s="2" t="s">
        <v>5943</v>
      </c>
    </row>
    <row r="178" spans="2:3">
      <c r="C178" s="2" t="s">
        <v>5944</v>
      </c>
    </row>
    <row r="179" spans="2:3">
      <c r="B179" t="s">
        <v>5945</v>
      </c>
    </row>
    <row r="180" spans="2:3">
      <c r="B180" s="2" t="s">
        <v>5946</v>
      </c>
    </row>
    <row r="181" spans="2:3">
      <c r="B181" s="2" t="s">
        <v>5947</v>
      </c>
    </row>
    <row r="182" spans="2:3">
      <c r="B182" s="2" t="s">
        <v>5948</v>
      </c>
    </row>
    <row r="183" spans="2:3">
      <c r="B183" s="2" t="s">
        <v>5949</v>
      </c>
    </row>
    <row r="184" spans="2:3">
      <c r="B184" s="2" t="s">
        <v>5950</v>
      </c>
    </row>
    <row r="185" spans="2:3">
      <c r="C185" s="2" t="s">
        <v>5951</v>
      </c>
    </row>
    <row r="186" spans="2:3">
      <c r="C186" s="2" t="s">
        <v>5952</v>
      </c>
    </row>
    <row r="187" spans="2:3">
      <c r="B187" s="2" t="s">
        <v>5953</v>
      </c>
    </row>
    <row r="188" spans="2:3">
      <c r="B188" s="2" t="s">
        <v>5954</v>
      </c>
    </row>
    <row r="189" spans="2:3">
      <c r="C189" s="2" t="s">
        <v>5955</v>
      </c>
    </row>
    <row r="190" spans="2:3">
      <c r="C190" s="2" t="s">
        <v>5956</v>
      </c>
    </row>
    <row r="191" spans="2:3">
      <c r="C191" s="2" t="s">
        <v>5957</v>
      </c>
    </row>
  </sheetData>
  <pageMargins left="1.73333333333333" right="0.75" top="1" bottom="1" header="0.5" footer="0.5"/>
  <pageSetup paperSize="9" orientation="portrait"/>
  <headerFooter/>
</worksheet>
</file>

<file path=xl/worksheets/sheet2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Q125"/>
  <sheetViews>
    <sheetView zoomScale="115" zoomScaleNormal="115" topLeftCell="A113" workbookViewId="0">
      <selection activeCell="I117" sqref="I117"/>
    </sheetView>
  </sheetViews>
  <sheetFormatPr defaultColWidth="8.88888888888889" defaultRowHeight="14.4"/>
  <cols>
    <col min="1" max="1" width="9.66666666666667"/>
  </cols>
  <sheetData>
    <row r="1" spans="1:17">
      <c r="A1" s="1">
        <f>SUM(B1:AZ1)</f>
        <v>34.8</v>
      </c>
      <c r="B1" s="1">
        <f>COUNTA(B2:B2221)/COLUMN()</f>
        <v>7.5</v>
      </c>
      <c r="C1" s="1">
        <f>COUNTA(C2:C2221)/COLUMN()</f>
        <v>9.66666666666667</v>
      </c>
      <c r="D1" s="1">
        <f>COUNTA(D2:D2221)/COLUMN()</f>
        <v>9</v>
      </c>
      <c r="E1" s="1">
        <f>COUNTA(E2:E2221)/COLUMN()</f>
        <v>7.8</v>
      </c>
      <c r="F1" s="1">
        <f>COUNTA(F2:F2221)/COLUMN()</f>
        <v>0.833333333333333</v>
      </c>
      <c r="G1" s="1">
        <f>COUNTA(G2:G2221)/COLUMN()</f>
        <v>0</v>
      </c>
      <c r="H1" s="1">
        <f>COUNTA(H2:H2221)/COLUMN()</f>
        <v>0</v>
      </c>
    </row>
    <row r="2" spans="1:17">
      <c r="A2" t="str" cm="1">
        <f ca="1" t="array" ref="A2">_wpsfn.SHEETSNAME(A1)</f>
        <v>20251211</v>
      </c>
      <c r="B2" s="2" t="s">
        <v>5958</v>
      </c>
      <c r="C2" s="2"/>
      <c r="D2" s="2"/>
      <c r="E2" s="2"/>
      <c r="F2" s="2"/>
      <c r="G2" s="2"/>
      <c r="H2" s="2"/>
      <c r="I2" s="2"/>
      <c r="J2" s="2"/>
      <c r="K2" s="2"/>
      <c r="L2" s="2"/>
      <c r="M2" s="2"/>
      <c r="N2" s="2"/>
      <c r="O2" s="2"/>
      <c r="P2" s="2"/>
      <c r="Q2" s="2"/>
    </row>
    <row r="3" spans="1:17">
      <c r="B3" s="2"/>
      <c r="C3" s="2" t="s">
        <v>5959</v>
      </c>
      <c r="D3" s="2"/>
      <c r="E3" s="2"/>
      <c r="F3" s="2"/>
      <c r="G3" s="2"/>
      <c r="H3" s="2"/>
      <c r="I3" s="2"/>
      <c r="J3" s="2"/>
      <c r="K3" s="2"/>
      <c r="L3" s="2"/>
      <c r="M3" s="2"/>
      <c r="N3" s="2"/>
      <c r="O3" s="2"/>
      <c r="P3" s="2"/>
      <c r="Q3" s="2"/>
    </row>
    <row r="4" spans="1:17">
      <c r="B4" s="2"/>
      <c r="C4" s="2"/>
      <c r="D4" s="2" t="s">
        <v>5960</v>
      </c>
      <c r="E4" s="2"/>
      <c r="F4" s="2"/>
      <c r="G4" s="2"/>
      <c r="H4" s="2"/>
      <c r="I4" s="2"/>
      <c r="J4" s="2"/>
      <c r="K4" s="2"/>
      <c r="L4" s="2"/>
      <c r="M4" s="2"/>
      <c r="N4" s="2"/>
      <c r="O4" s="2"/>
      <c r="P4" s="2"/>
      <c r="Q4" s="2"/>
    </row>
    <row r="5" spans="1:17">
      <c r="B5" s="2"/>
      <c r="C5" s="2"/>
      <c r="D5" s="2" t="s">
        <v>5961</v>
      </c>
      <c r="E5" s="2"/>
      <c r="F5" s="2"/>
      <c r="G5" s="2"/>
      <c r="H5" s="2"/>
      <c r="I5" s="2"/>
      <c r="J5" s="2"/>
      <c r="K5" s="2"/>
      <c r="L5" s="2"/>
      <c r="M5" s="2"/>
      <c r="N5" s="2"/>
      <c r="O5" s="2"/>
      <c r="P5" s="2"/>
      <c r="Q5" s="2"/>
    </row>
    <row r="6" spans="1:17">
      <c r="B6" s="2"/>
      <c r="C6" s="2" t="s">
        <v>5962</v>
      </c>
      <c r="D6" s="2"/>
      <c r="E6" s="2"/>
      <c r="F6" s="2"/>
      <c r="G6" s="2"/>
      <c r="H6" s="2"/>
      <c r="I6" s="2"/>
      <c r="J6" s="2"/>
      <c r="K6" s="2"/>
      <c r="L6" s="2"/>
      <c r="M6" s="2"/>
      <c r="N6" s="2"/>
      <c r="O6" s="2"/>
      <c r="P6" s="2"/>
      <c r="Q6" s="2"/>
    </row>
    <row r="7" spans="1:17">
      <c r="B7" s="2"/>
      <c r="C7" s="2"/>
      <c r="D7" s="2" t="s">
        <v>5963</v>
      </c>
      <c r="E7" s="2"/>
      <c r="F7" s="2"/>
      <c r="G7" s="2"/>
      <c r="H7" s="2"/>
      <c r="I7" s="2"/>
      <c r="J7" s="2"/>
      <c r="K7" s="2"/>
      <c r="L7" s="2"/>
      <c r="M7" s="2"/>
      <c r="N7" s="2"/>
      <c r="O7" s="2"/>
      <c r="P7" s="2"/>
      <c r="Q7" s="2"/>
    </row>
    <row r="8" spans="1:17">
      <c r="B8" s="2"/>
      <c r="C8" s="2"/>
      <c r="D8" s="2" t="s">
        <v>5964</v>
      </c>
      <c r="E8" s="2"/>
      <c r="F8" s="2"/>
      <c r="G8" s="2"/>
      <c r="H8" s="2"/>
      <c r="I8" s="2"/>
      <c r="J8" s="2"/>
      <c r="K8" s="2"/>
      <c r="L8" s="2"/>
      <c r="M8" s="2"/>
      <c r="N8" s="2"/>
      <c r="O8" s="2"/>
      <c r="P8" s="2"/>
      <c r="Q8" s="2"/>
    </row>
    <row r="9" spans="1:17">
      <c r="B9" s="2"/>
      <c r="C9" s="2" t="s">
        <v>5965</v>
      </c>
      <c r="D9" s="2"/>
      <c r="E9" s="2"/>
      <c r="F9" s="2"/>
      <c r="G9" s="2"/>
      <c r="H9" s="2"/>
      <c r="I9" s="2"/>
      <c r="J9" s="2"/>
      <c r="K9" s="2"/>
      <c r="L9" s="2"/>
      <c r="M9" s="2"/>
      <c r="N9" s="2"/>
      <c r="O9" s="2"/>
      <c r="P9" s="2"/>
      <c r="Q9" s="2"/>
    </row>
    <row r="10" spans="1:17">
      <c r="B10" s="2"/>
      <c r="C10" s="2"/>
      <c r="D10" s="2" t="s">
        <v>5966</v>
      </c>
      <c r="E10" s="2"/>
      <c r="F10" s="2"/>
      <c r="G10" s="2"/>
      <c r="H10" s="2"/>
      <c r="I10" s="2"/>
      <c r="J10" s="2"/>
      <c r="K10" s="2"/>
      <c r="L10" s="2"/>
      <c r="M10" s="2"/>
      <c r="N10" s="2"/>
      <c r="O10" s="2"/>
      <c r="P10" s="2"/>
      <c r="Q10" s="2"/>
    </row>
    <row r="11" spans="1:17">
      <c r="B11" s="2"/>
      <c r="C11" s="2"/>
      <c r="D11" s="2" t="s">
        <v>5967</v>
      </c>
      <c r="E11" s="2"/>
      <c r="F11" s="2"/>
      <c r="G11" s="2"/>
      <c r="H11" s="2"/>
      <c r="I11" s="2"/>
      <c r="J11" s="2"/>
      <c r="K11" s="2"/>
      <c r="L11" s="2"/>
      <c r="M11" s="2"/>
      <c r="N11" s="2"/>
      <c r="O11" s="2"/>
      <c r="P11" s="2"/>
      <c r="Q11" s="2"/>
    </row>
    <row r="12" spans="1:17">
      <c r="B12" s="2"/>
      <c r="C12" s="2" t="s">
        <v>5968</v>
      </c>
      <c r="D12" s="2"/>
      <c r="E12" s="2"/>
      <c r="F12" s="2"/>
      <c r="G12" s="2"/>
      <c r="H12" s="2"/>
      <c r="I12" s="2"/>
      <c r="J12" s="2"/>
      <c r="K12" s="2"/>
      <c r="L12" s="2"/>
      <c r="M12" s="2"/>
      <c r="N12" s="2"/>
      <c r="O12" s="2"/>
      <c r="P12" s="2"/>
      <c r="Q12" s="2"/>
    </row>
    <row r="13" spans="1:17">
      <c r="B13" s="2"/>
      <c r="C13" s="2"/>
      <c r="D13" s="2" t="s">
        <v>5969</v>
      </c>
      <c r="E13" s="2"/>
      <c r="F13" s="2"/>
      <c r="G13" s="2"/>
      <c r="H13" s="2"/>
      <c r="I13" s="2"/>
      <c r="J13" s="2"/>
      <c r="K13" s="2"/>
      <c r="L13" s="2"/>
      <c r="M13" s="2"/>
      <c r="N13" s="2"/>
      <c r="O13" s="2"/>
      <c r="P13" s="2"/>
      <c r="Q13" s="2"/>
    </row>
    <row r="14" spans="1:17">
      <c r="B14" s="2"/>
      <c r="C14" s="2"/>
      <c r="D14" s="2"/>
      <c r="E14" s="2" t="s">
        <v>5970</v>
      </c>
      <c r="F14" s="2"/>
      <c r="G14" s="2"/>
      <c r="H14" s="2"/>
      <c r="I14" s="2"/>
      <c r="J14" s="2"/>
      <c r="K14" s="2"/>
      <c r="L14" s="2"/>
      <c r="M14" s="2"/>
      <c r="N14" s="2"/>
      <c r="O14" s="2"/>
      <c r="P14" s="2"/>
      <c r="Q14" s="2"/>
    </row>
    <row r="15" spans="1:17">
      <c r="B15" s="2"/>
      <c r="C15" s="2"/>
      <c r="D15" s="2"/>
      <c r="E15" s="2" t="s">
        <v>5971</v>
      </c>
      <c r="F15" s="2"/>
      <c r="G15" s="2"/>
      <c r="H15" s="2"/>
      <c r="I15" s="2"/>
      <c r="J15" s="2"/>
      <c r="K15" s="2"/>
      <c r="L15" s="2"/>
      <c r="M15" s="2"/>
      <c r="N15" s="2"/>
      <c r="O15" s="2"/>
      <c r="P15" s="2"/>
      <c r="Q15" s="2"/>
    </row>
    <row r="16" spans="1:17">
      <c r="B16" s="2"/>
      <c r="C16" s="2"/>
      <c r="D16" s="2" t="s">
        <v>5972</v>
      </c>
      <c r="E16" s="2"/>
      <c r="F16" s="2"/>
      <c r="G16" s="2"/>
      <c r="H16" s="2"/>
      <c r="I16" s="2"/>
      <c r="J16" s="2"/>
      <c r="K16" s="2"/>
      <c r="L16" s="2"/>
      <c r="M16" s="2"/>
      <c r="N16" s="2"/>
      <c r="O16" s="2"/>
      <c r="P16" s="2"/>
      <c r="Q16" s="2"/>
    </row>
    <row r="17" spans="2:17">
      <c r="B17" s="2"/>
      <c r="C17" s="2"/>
      <c r="D17" s="2"/>
      <c r="E17" s="2" t="s">
        <v>5973</v>
      </c>
      <c r="F17" s="2"/>
      <c r="G17" s="2"/>
      <c r="H17" s="2"/>
      <c r="I17" s="2"/>
      <c r="J17" s="2"/>
      <c r="K17" s="2"/>
      <c r="L17" s="2"/>
      <c r="M17" s="2"/>
      <c r="N17" s="2"/>
      <c r="O17" s="2"/>
      <c r="P17" s="2"/>
      <c r="Q17" s="2"/>
    </row>
    <row r="18" spans="2:17">
      <c r="B18" s="2"/>
      <c r="C18" s="2"/>
      <c r="D18" s="2"/>
      <c r="E18" s="2" t="s">
        <v>5974</v>
      </c>
      <c r="F18" s="2"/>
      <c r="G18" s="2"/>
      <c r="H18" s="2"/>
      <c r="I18" s="2"/>
      <c r="J18" s="2"/>
      <c r="K18" s="2"/>
      <c r="L18" s="2"/>
      <c r="M18" s="2"/>
      <c r="N18" s="2"/>
      <c r="O18" s="2"/>
      <c r="P18" s="2"/>
      <c r="Q18" s="2"/>
    </row>
    <row r="19" spans="2:17">
      <c r="B19" s="2"/>
      <c r="C19" s="2"/>
      <c r="D19" s="2" t="s">
        <v>5975</v>
      </c>
      <c r="E19" s="2"/>
      <c r="F19" s="2"/>
      <c r="G19" s="2"/>
      <c r="H19" s="2"/>
      <c r="I19" s="2"/>
      <c r="J19" s="2"/>
      <c r="K19" s="2"/>
      <c r="L19" s="2"/>
      <c r="M19" s="2"/>
      <c r="N19" s="2"/>
      <c r="O19" s="2"/>
      <c r="P19" s="2"/>
      <c r="Q19" s="2"/>
    </row>
    <row r="20" spans="2:17">
      <c r="B20" s="2"/>
      <c r="C20" s="2"/>
      <c r="D20" s="2"/>
      <c r="E20" s="2" t="s">
        <v>5976</v>
      </c>
      <c r="F20" s="2"/>
      <c r="G20" s="2"/>
      <c r="H20" s="2"/>
      <c r="I20" s="2"/>
      <c r="J20" s="2"/>
      <c r="K20" s="2"/>
      <c r="L20" s="2"/>
      <c r="M20" s="2"/>
      <c r="N20" s="2"/>
      <c r="O20" s="2"/>
      <c r="P20" s="2"/>
      <c r="Q20" s="2"/>
    </row>
    <row r="21" spans="2:17">
      <c r="B21" s="2"/>
      <c r="C21" s="2"/>
      <c r="D21" s="2"/>
      <c r="E21" s="2" t="s">
        <v>5977</v>
      </c>
      <c r="F21" s="2"/>
      <c r="G21" s="2"/>
      <c r="H21" s="2"/>
      <c r="I21" s="2"/>
      <c r="J21" s="2"/>
      <c r="K21" s="2"/>
      <c r="L21" s="2"/>
      <c r="M21" s="2"/>
      <c r="N21" s="2"/>
      <c r="O21" s="2"/>
      <c r="P21" s="2"/>
      <c r="Q21" s="2"/>
    </row>
    <row r="22" spans="2:17">
      <c r="B22" s="2" t="s">
        <v>5978</v>
      </c>
      <c r="C22" s="2"/>
      <c r="D22" s="2"/>
      <c r="E22" s="2"/>
      <c r="F22" s="2"/>
      <c r="G22" s="2"/>
      <c r="H22" s="2"/>
      <c r="I22" s="2"/>
      <c r="J22" s="2"/>
      <c r="K22" s="2"/>
      <c r="L22" s="2"/>
      <c r="M22" s="2"/>
      <c r="N22" s="2"/>
      <c r="O22" s="2"/>
      <c r="P22" s="2"/>
      <c r="Q22" s="2"/>
    </row>
    <row r="23" spans="2:17">
      <c r="B23" s="2"/>
      <c r="C23" s="2" t="s">
        <v>5979</v>
      </c>
      <c r="D23" s="2"/>
      <c r="E23" s="2"/>
      <c r="F23" s="2"/>
      <c r="G23" s="2"/>
      <c r="H23" s="2"/>
      <c r="I23" s="2"/>
      <c r="J23" s="2"/>
      <c r="K23" s="2"/>
      <c r="L23" s="2"/>
      <c r="M23" s="2"/>
      <c r="N23" s="2"/>
      <c r="O23" s="2"/>
      <c r="P23" s="2"/>
      <c r="Q23" s="2"/>
    </row>
    <row r="24" spans="2:17">
      <c r="B24" s="2"/>
      <c r="C24" s="2"/>
      <c r="D24" s="2" t="s">
        <v>5980</v>
      </c>
      <c r="E24" s="2"/>
      <c r="F24" s="2"/>
      <c r="G24" s="2"/>
      <c r="H24" s="2"/>
      <c r="I24" s="2"/>
      <c r="J24" s="2"/>
      <c r="K24" s="2"/>
      <c r="L24" s="2"/>
      <c r="M24" s="2"/>
      <c r="N24" s="2"/>
      <c r="O24" s="2"/>
      <c r="P24" s="2"/>
      <c r="Q24" s="2"/>
    </row>
    <row r="25" spans="2:17">
      <c r="B25" s="2"/>
      <c r="C25" s="2"/>
      <c r="D25" s="2" t="s">
        <v>5981</v>
      </c>
      <c r="E25" s="2"/>
      <c r="F25" s="2"/>
      <c r="G25" s="2"/>
      <c r="H25" s="2"/>
      <c r="I25" s="2"/>
      <c r="J25" s="2"/>
      <c r="K25" s="2"/>
      <c r="L25" s="2"/>
      <c r="M25" s="2"/>
      <c r="N25" s="2"/>
      <c r="O25" s="2"/>
      <c r="P25" s="2"/>
      <c r="Q25" s="2"/>
    </row>
    <row r="26" spans="2:17">
      <c r="B26" s="2"/>
      <c r="C26" s="2"/>
      <c r="D26" s="2"/>
      <c r="E26" s="2" t="s">
        <v>5982</v>
      </c>
      <c r="F26" s="2"/>
      <c r="G26" s="2"/>
      <c r="H26" s="2"/>
      <c r="I26" s="2"/>
      <c r="J26" s="2"/>
      <c r="K26" s="2"/>
      <c r="L26" s="2"/>
      <c r="M26" s="2"/>
      <c r="N26" s="2"/>
      <c r="O26" s="2"/>
      <c r="P26" s="2"/>
      <c r="Q26" s="2"/>
    </row>
    <row r="27" spans="2:17">
      <c r="B27" s="2"/>
      <c r="C27" s="2"/>
      <c r="D27" s="2"/>
      <c r="E27" s="2" t="s">
        <v>5983</v>
      </c>
      <c r="F27" s="2"/>
      <c r="G27" s="2"/>
      <c r="H27" s="2"/>
      <c r="I27" s="2"/>
      <c r="J27" s="2"/>
      <c r="K27" s="2"/>
      <c r="L27" s="2"/>
      <c r="M27" s="2"/>
      <c r="N27" s="2"/>
      <c r="O27" s="2"/>
      <c r="P27" s="2"/>
      <c r="Q27" s="2"/>
    </row>
    <row r="28" spans="2:17">
      <c r="B28" s="2"/>
      <c r="C28" s="2" t="s">
        <v>5984</v>
      </c>
      <c r="D28" s="2"/>
      <c r="E28" s="2"/>
      <c r="F28" s="2"/>
      <c r="G28" s="2"/>
      <c r="H28" s="2"/>
      <c r="I28" s="2"/>
      <c r="J28" s="2"/>
      <c r="K28" s="2"/>
      <c r="L28" s="2"/>
      <c r="M28" s="2"/>
      <c r="N28" s="2"/>
      <c r="O28" s="2"/>
      <c r="P28" s="2"/>
      <c r="Q28" s="2"/>
    </row>
    <row r="29" spans="2:17">
      <c r="B29" s="2"/>
      <c r="C29" s="2"/>
      <c r="D29" s="2" t="s">
        <v>5985</v>
      </c>
      <c r="E29" s="2"/>
      <c r="F29" s="2"/>
      <c r="G29" s="2"/>
      <c r="H29" s="2"/>
      <c r="I29" s="2"/>
      <c r="J29" s="2"/>
      <c r="K29" s="2"/>
      <c r="L29" s="2"/>
      <c r="M29" s="2"/>
      <c r="N29" s="2"/>
      <c r="O29" s="2"/>
      <c r="P29" s="2"/>
      <c r="Q29" s="2"/>
    </row>
    <row r="30" spans="2:17">
      <c r="B30" s="2"/>
      <c r="C30" s="2"/>
      <c r="D30" s="2" t="s">
        <v>5986</v>
      </c>
      <c r="E30" s="2"/>
      <c r="F30" s="2"/>
      <c r="G30" s="2"/>
      <c r="H30" s="2"/>
      <c r="I30" s="2"/>
      <c r="J30" s="2"/>
      <c r="K30" s="2"/>
      <c r="L30" s="2"/>
      <c r="M30" s="2"/>
      <c r="N30" s="2"/>
      <c r="O30" s="2"/>
      <c r="P30" s="2"/>
      <c r="Q30" s="2"/>
    </row>
    <row r="31" spans="2:17">
      <c r="B31" s="2"/>
      <c r="C31" s="2"/>
      <c r="D31" s="2"/>
      <c r="E31" s="2" t="s">
        <v>5987</v>
      </c>
      <c r="F31" s="2"/>
      <c r="G31" s="2"/>
      <c r="H31" s="2"/>
      <c r="I31" s="2"/>
      <c r="J31" s="2"/>
      <c r="K31" s="2"/>
      <c r="L31" s="2"/>
      <c r="M31" s="2"/>
      <c r="N31" s="2"/>
      <c r="O31" s="2"/>
      <c r="P31" s="2"/>
      <c r="Q31" s="2"/>
    </row>
    <row r="32" spans="2:17">
      <c r="B32" s="2"/>
      <c r="C32" s="2"/>
      <c r="D32" s="2"/>
      <c r="E32" s="2" t="s">
        <v>5988</v>
      </c>
      <c r="F32" s="2"/>
      <c r="G32" s="2"/>
      <c r="H32" s="2"/>
      <c r="I32" s="2"/>
      <c r="J32" s="2"/>
      <c r="K32" s="2"/>
      <c r="L32" s="2"/>
      <c r="M32" s="2"/>
      <c r="N32" s="2"/>
      <c r="O32" s="2"/>
      <c r="P32" s="2"/>
      <c r="Q32" s="2"/>
    </row>
    <row r="33" spans="2:17">
      <c r="B33" s="2"/>
      <c r="C33" s="2"/>
      <c r="D33" s="2" t="s">
        <v>5989</v>
      </c>
      <c r="E33" s="2"/>
      <c r="F33" s="2"/>
      <c r="G33" s="2"/>
      <c r="H33" s="2"/>
      <c r="I33" s="2"/>
      <c r="J33" s="2"/>
      <c r="K33" s="2"/>
      <c r="L33" s="2"/>
      <c r="M33" s="2"/>
      <c r="N33" s="2"/>
      <c r="O33" s="2"/>
      <c r="P33" s="2"/>
      <c r="Q33" s="2"/>
    </row>
    <row r="34" spans="2:17">
      <c r="B34" s="2"/>
      <c r="C34" s="2"/>
      <c r="D34" s="2"/>
      <c r="E34" s="2" t="s">
        <v>5990</v>
      </c>
      <c r="F34" s="2"/>
      <c r="G34" s="2"/>
      <c r="H34" s="2"/>
      <c r="I34" s="2"/>
      <c r="J34" s="2"/>
      <c r="K34" s="2"/>
      <c r="L34" s="2"/>
      <c r="M34" s="2"/>
      <c r="N34" s="2"/>
      <c r="O34" s="2"/>
      <c r="P34" s="2"/>
      <c r="Q34" s="2"/>
    </row>
    <row r="35" spans="2:17">
      <c r="B35" s="2"/>
      <c r="C35" s="2"/>
      <c r="D35" s="2"/>
      <c r="E35" s="2" t="s">
        <v>5991</v>
      </c>
      <c r="F35" s="2"/>
      <c r="G35" s="2"/>
      <c r="H35" s="2"/>
      <c r="I35" s="2"/>
      <c r="J35" s="2"/>
      <c r="K35" s="2"/>
      <c r="L35" s="2"/>
      <c r="M35" s="2"/>
      <c r="N35" s="2"/>
      <c r="O35" s="2"/>
      <c r="P35" s="2"/>
      <c r="Q35" s="2"/>
    </row>
    <row r="36" spans="2:17">
      <c r="B36" s="2"/>
      <c r="C36" s="2"/>
      <c r="D36" s="2"/>
      <c r="E36" s="2" t="s">
        <v>5992</v>
      </c>
      <c r="F36" s="2"/>
      <c r="G36" s="2"/>
      <c r="H36" s="2"/>
      <c r="I36" s="2"/>
      <c r="J36" s="2"/>
      <c r="K36" s="2"/>
      <c r="L36" s="2"/>
      <c r="M36" s="2"/>
      <c r="N36" s="2"/>
      <c r="O36" s="2"/>
      <c r="P36" s="2"/>
      <c r="Q36" s="2"/>
    </row>
    <row r="37" spans="2:17">
      <c r="B37" s="2"/>
      <c r="C37" s="2"/>
      <c r="D37" s="2"/>
      <c r="E37" s="2" t="s">
        <v>5993</v>
      </c>
      <c r="F37" s="2"/>
      <c r="G37" s="2"/>
      <c r="H37" s="2"/>
      <c r="I37" s="2"/>
      <c r="J37" s="2"/>
      <c r="K37" s="2"/>
      <c r="L37" s="2"/>
      <c r="M37" s="2"/>
      <c r="N37" s="2"/>
      <c r="O37" s="2"/>
      <c r="P37" s="2"/>
      <c r="Q37" s="2"/>
    </row>
    <row r="38" spans="2:17">
      <c r="B38" s="2"/>
      <c r="C38" s="2"/>
      <c r="D38" s="2"/>
      <c r="E38" s="2" t="s">
        <v>5994</v>
      </c>
      <c r="F38" s="2"/>
      <c r="G38" s="2"/>
      <c r="H38" s="2"/>
      <c r="I38" s="2"/>
      <c r="J38" s="2"/>
      <c r="K38" s="2"/>
      <c r="L38" s="2"/>
      <c r="M38" s="2"/>
      <c r="N38" s="2"/>
      <c r="O38" s="2"/>
      <c r="P38" s="2"/>
      <c r="Q38" s="2"/>
    </row>
    <row r="39" spans="2:17">
      <c r="B39" s="2"/>
      <c r="C39" s="2" t="s">
        <v>5995</v>
      </c>
      <c r="D39" s="2"/>
      <c r="E39" s="2"/>
      <c r="F39" s="2"/>
      <c r="G39" s="2"/>
      <c r="H39" s="2"/>
      <c r="I39" s="2"/>
      <c r="J39" s="2"/>
      <c r="K39" s="2"/>
      <c r="L39" s="2"/>
      <c r="M39" s="2"/>
      <c r="N39" s="2"/>
      <c r="O39" s="2"/>
      <c r="P39" s="2"/>
      <c r="Q39" s="2"/>
    </row>
    <row r="40" spans="2:17">
      <c r="B40" s="2"/>
      <c r="C40" s="2"/>
      <c r="D40" s="2" t="s">
        <v>5996</v>
      </c>
      <c r="E40" s="2"/>
      <c r="F40" s="2"/>
      <c r="G40" s="2"/>
      <c r="H40" s="2"/>
      <c r="I40" s="2"/>
      <c r="J40" s="2"/>
      <c r="K40" s="2"/>
      <c r="L40" s="2"/>
      <c r="M40" s="2"/>
      <c r="N40" s="2"/>
      <c r="O40" s="2"/>
      <c r="P40" s="2"/>
      <c r="Q40" s="2"/>
    </row>
    <row r="41" spans="2:17">
      <c r="B41" s="2"/>
      <c r="C41" s="2"/>
      <c r="D41" s="2" t="s">
        <v>5997</v>
      </c>
      <c r="E41" s="2"/>
      <c r="F41" s="2"/>
      <c r="G41" s="2"/>
      <c r="H41" s="2"/>
      <c r="I41" s="2"/>
      <c r="J41" s="2"/>
      <c r="K41" s="2"/>
      <c r="L41" s="2"/>
      <c r="M41" s="2"/>
      <c r="N41" s="2"/>
      <c r="O41" s="2"/>
      <c r="P41" s="2"/>
      <c r="Q41" s="2"/>
    </row>
    <row r="42" spans="2:17">
      <c r="B42" s="2" t="s">
        <v>5998</v>
      </c>
      <c r="C42" s="2"/>
      <c r="D42" s="2"/>
      <c r="E42" s="2"/>
      <c r="F42" s="2"/>
      <c r="G42" s="2"/>
      <c r="H42" s="2"/>
      <c r="I42" s="2"/>
      <c r="J42" s="2"/>
      <c r="K42" s="2"/>
      <c r="L42" s="2"/>
      <c r="M42" s="2"/>
      <c r="N42" s="2"/>
      <c r="O42" s="2"/>
      <c r="P42" s="2"/>
      <c r="Q42" s="2"/>
    </row>
    <row r="43" spans="2:17">
      <c r="B43" s="2"/>
      <c r="C43" s="2" t="s">
        <v>5999</v>
      </c>
      <c r="D43" s="2"/>
      <c r="E43" s="2"/>
      <c r="F43" s="2"/>
      <c r="G43" s="2"/>
      <c r="H43" s="2"/>
      <c r="I43" s="2"/>
      <c r="J43" s="2"/>
      <c r="K43" s="2"/>
      <c r="L43" s="2"/>
      <c r="M43" s="2"/>
      <c r="N43" s="2"/>
      <c r="O43" s="2"/>
      <c r="P43" s="2"/>
      <c r="Q43" s="2"/>
    </row>
    <row r="44" spans="2:17">
      <c r="B44" s="2"/>
      <c r="C44" s="2"/>
      <c r="D44" s="2" t="s">
        <v>6000</v>
      </c>
      <c r="E44" s="2"/>
      <c r="F44" s="2"/>
      <c r="G44" s="2"/>
      <c r="H44" s="2"/>
      <c r="I44" s="2"/>
      <c r="J44" s="2"/>
      <c r="K44" s="2"/>
      <c r="L44" s="2"/>
      <c r="M44" s="2"/>
      <c r="N44" s="2"/>
      <c r="O44" s="2"/>
      <c r="P44" s="2"/>
      <c r="Q44" s="2"/>
    </row>
    <row r="45" spans="2:17">
      <c r="B45" s="2"/>
      <c r="C45" s="2"/>
      <c r="D45" s="2"/>
      <c r="E45" s="2" t="s">
        <v>6001</v>
      </c>
      <c r="F45" s="2"/>
      <c r="G45" s="2"/>
      <c r="H45" s="2"/>
      <c r="I45" s="2"/>
      <c r="J45" s="2"/>
      <c r="K45" s="2"/>
      <c r="L45" s="2"/>
      <c r="M45" s="2"/>
      <c r="N45" s="2"/>
      <c r="O45" s="2"/>
      <c r="P45" s="2"/>
      <c r="Q45" s="2"/>
    </row>
    <row r="46" spans="2:17">
      <c r="B46" s="2"/>
      <c r="C46" s="2"/>
      <c r="D46" s="2"/>
      <c r="E46" s="2" t="s">
        <v>6002</v>
      </c>
      <c r="F46" s="2"/>
      <c r="G46" s="2"/>
      <c r="H46" s="2"/>
      <c r="I46" s="2"/>
      <c r="J46" s="2"/>
      <c r="K46" s="2"/>
      <c r="L46" s="2"/>
      <c r="M46" s="2"/>
      <c r="N46" s="2"/>
      <c r="O46" s="2"/>
      <c r="P46" s="2"/>
      <c r="Q46" s="2"/>
    </row>
    <row r="47" spans="2:17">
      <c r="B47" s="2"/>
      <c r="C47" s="2"/>
      <c r="D47" s="2" t="s">
        <v>6003</v>
      </c>
      <c r="E47" s="2"/>
      <c r="F47" s="2"/>
      <c r="G47" s="2"/>
      <c r="H47" s="2"/>
      <c r="I47" s="2"/>
      <c r="J47" s="2"/>
      <c r="K47" s="2"/>
      <c r="L47" s="2"/>
      <c r="M47" s="2"/>
      <c r="N47" s="2"/>
      <c r="O47" s="2"/>
      <c r="P47" s="2"/>
      <c r="Q47" s="2"/>
    </row>
    <row r="48" spans="2:17">
      <c r="B48" s="2"/>
      <c r="C48" s="2"/>
      <c r="D48" s="2"/>
      <c r="E48" s="2" t="s">
        <v>6004</v>
      </c>
      <c r="F48" s="2"/>
      <c r="G48" s="2"/>
      <c r="H48" s="2"/>
      <c r="I48" s="2"/>
      <c r="J48" s="2"/>
      <c r="K48" s="2"/>
      <c r="L48" s="2"/>
      <c r="M48" s="2"/>
      <c r="N48" s="2"/>
      <c r="O48" s="2"/>
      <c r="P48" s="2"/>
      <c r="Q48" s="2"/>
    </row>
    <row r="49" spans="2:17">
      <c r="B49" s="2"/>
      <c r="C49" s="2"/>
      <c r="D49" s="2"/>
      <c r="E49" s="2" t="s">
        <v>6005</v>
      </c>
      <c r="F49" s="2"/>
      <c r="G49" s="2"/>
      <c r="H49" s="2"/>
      <c r="I49" s="2"/>
      <c r="J49" s="2"/>
      <c r="K49" s="2"/>
      <c r="L49" s="2"/>
      <c r="M49" s="2"/>
      <c r="N49" s="2"/>
      <c r="O49" s="2"/>
      <c r="P49" s="2"/>
      <c r="Q49" s="2"/>
    </row>
    <row r="50" spans="2:17">
      <c r="B50" s="2"/>
      <c r="C50" s="2" t="s">
        <v>6006</v>
      </c>
      <c r="D50" s="2"/>
      <c r="E50" s="2"/>
      <c r="F50" s="2"/>
      <c r="G50" s="2"/>
      <c r="H50" s="2"/>
      <c r="I50" s="2"/>
      <c r="J50" s="2"/>
      <c r="K50" s="2"/>
      <c r="L50" s="2"/>
      <c r="M50" s="2"/>
      <c r="N50" s="2"/>
      <c r="O50" s="2"/>
      <c r="P50" s="2"/>
      <c r="Q50" s="2"/>
    </row>
    <row r="51" spans="2:17">
      <c r="B51" s="2"/>
      <c r="C51" s="2"/>
      <c r="D51" s="2" t="s">
        <v>6007</v>
      </c>
      <c r="E51" s="2"/>
      <c r="F51" s="2"/>
      <c r="G51" s="2"/>
      <c r="H51" s="2"/>
      <c r="I51" s="2"/>
      <c r="J51" s="2"/>
      <c r="K51" s="2"/>
      <c r="L51" s="2"/>
      <c r="M51" s="2"/>
      <c r="N51" s="2"/>
      <c r="O51" s="2"/>
      <c r="P51" s="2"/>
      <c r="Q51" s="2"/>
    </row>
    <row r="52" spans="2:17">
      <c r="B52" s="2"/>
      <c r="C52" s="2"/>
      <c r="D52" s="2" t="s">
        <v>6008</v>
      </c>
      <c r="E52" s="2"/>
      <c r="F52" s="2"/>
      <c r="G52" s="2"/>
      <c r="H52" s="2"/>
      <c r="I52" s="2"/>
      <c r="J52" s="2"/>
      <c r="K52" s="2"/>
      <c r="L52" s="2"/>
      <c r="M52" s="2"/>
      <c r="N52" s="2"/>
      <c r="O52" s="2"/>
      <c r="P52" s="2"/>
      <c r="Q52" s="2"/>
    </row>
    <row r="53" spans="2:17">
      <c r="B53" s="2"/>
      <c r="C53" s="2"/>
      <c r="D53" s="2"/>
      <c r="E53" s="2" t="s">
        <v>6009</v>
      </c>
      <c r="F53" s="2"/>
      <c r="G53" s="2"/>
      <c r="H53" s="2"/>
      <c r="I53" s="2"/>
      <c r="J53" s="2"/>
      <c r="K53" s="2"/>
      <c r="L53" s="2"/>
      <c r="M53" s="2"/>
      <c r="N53" s="2"/>
      <c r="O53" s="2"/>
      <c r="P53" s="2"/>
      <c r="Q53" s="2"/>
    </row>
    <row r="54" spans="2:17">
      <c r="B54" s="2"/>
      <c r="C54" s="2"/>
      <c r="D54" s="2"/>
      <c r="E54" s="2" t="s">
        <v>6010</v>
      </c>
      <c r="F54" s="2"/>
      <c r="G54" s="2"/>
      <c r="H54" s="2"/>
      <c r="I54" s="2"/>
      <c r="J54" s="2"/>
      <c r="K54" s="2"/>
      <c r="L54" s="2"/>
      <c r="M54" s="2"/>
      <c r="N54" s="2"/>
      <c r="O54" s="2"/>
      <c r="P54" s="2"/>
      <c r="Q54" s="2"/>
    </row>
    <row r="55" spans="2:17">
      <c r="B55" s="2"/>
      <c r="C55" s="2" t="s">
        <v>6011</v>
      </c>
      <c r="D55" s="2"/>
      <c r="E55" s="2"/>
      <c r="F55" s="2"/>
      <c r="G55" s="2"/>
      <c r="H55" s="2"/>
      <c r="I55" s="2"/>
      <c r="J55" s="2"/>
      <c r="K55" s="2"/>
      <c r="L55" s="2"/>
      <c r="M55" s="2"/>
      <c r="N55" s="2"/>
      <c r="O55" s="2"/>
      <c r="P55" s="2"/>
      <c r="Q55" s="2"/>
    </row>
    <row r="56" spans="2:17">
      <c r="B56" s="2"/>
      <c r="C56" s="2"/>
      <c r="D56" s="2" t="s">
        <v>6012</v>
      </c>
      <c r="E56" s="2"/>
      <c r="F56" s="2"/>
      <c r="G56" s="2"/>
      <c r="H56" s="2"/>
      <c r="I56" s="2"/>
      <c r="J56" s="2"/>
      <c r="K56" s="2"/>
      <c r="L56" s="2"/>
      <c r="M56" s="2"/>
      <c r="N56" s="2"/>
      <c r="O56" s="2"/>
      <c r="P56" s="2"/>
      <c r="Q56" s="2"/>
    </row>
    <row r="57" spans="2:17">
      <c r="B57" s="2"/>
      <c r="C57" s="2"/>
      <c r="D57" s="2"/>
      <c r="E57" s="2" t="s">
        <v>6013</v>
      </c>
      <c r="F57" s="2"/>
      <c r="G57" s="2"/>
      <c r="H57" s="2"/>
      <c r="I57" s="2"/>
      <c r="J57" s="2"/>
      <c r="K57" s="2"/>
      <c r="L57" s="2"/>
      <c r="M57" s="2"/>
      <c r="N57" s="2"/>
      <c r="O57" s="2"/>
      <c r="P57" s="2"/>
      <c r="Q57" s="2"/>
    </row>
    <row r="58" spans="2:17">
      <c r="B58" s="2"/>
      <c r="C58" s="2"/>
      <c r="D58" s="2"/>
      <c r="E58" s="2" t="s">
        <v>6014</v>
      </c>
      <c r="F58" s="2"/>
      <c r="G58" s="2"/>
      <c r="H58" s="2"/>
      <c r="I58" s="2"/>
      <c r="J58" s="2"/>
      <c r="K58" s="2"/>
      <c r="L58" s="2"/>
      <c r="M58" s="2"/>
      <c r="N58" s="2"/>
      <c r="O58" s="2"/>
      <c r="P58" s="2"/>
      <c r="Q58" s="2"/>
    </row>
    <row r="59" spans="2:17">
      <c r="B59" s="2"/>
      <c r="C59" s="2"/>
      <c r="D59" s="2" t="s">
        <v>6015</v>
      </c>
      <c r="E59" s="2"/>
      <c r="F59" s="2"/>
      <c r="G59" s="2"/>
      <c r="H59" s="2"/>
      <c r="I59" s="2"/>
      <c r="J59" s="2"/>
      <c r="K59" s="2"/>
      <c r="L59" s="2"/>
      <c r="M59" s="2"/>
      <c r="N59" s="2"/>
      <c r="O59" s="2"/>
      <c r="P59" s="2"/>
      <c r="Q59" s="2"/>
    </row>
    <row r="60" spans="2:17">
      <c r="B60" s="2"/>
      <c r="C60" s="2"/>
      <c r="D60" s="2"/>
      <c r="E60" s="2" t="s">
        <v>6016</v>
      </c>
      <c r="F60" s="2"/>
      <c r="G60" s="2"/>
      <c r="H60" s="2"/>
      <c r="I60" s="2"/>
      <c r="J60" s="2"/>
      <c r="K60" s="2"/>
      <c r="L60" s="2"/>
      <c r="M60" s="2"/>
      <c r="N60" s="2"/>
      <c r="O60" s="2"/>
      <c r="P60" s="2"/>
      <c r="Q60" s="2"/>
    </row>
    <row r="61" spans="2:17">
      <c r="B61" s="2"/>
      <c r="C61" s="2"/>
      <c r="D61" s="2"/>
      <c r="E61" s="2" t="s">
        <v>6017</v>
      </c>
      <c r="F61" s="2"/>
      <c r="G61" s="2"/>
      <c r="H61" s="2"/>
      <c r="I61" s="2"/>
      <c r="J61" s="2"/>
      <c r="K61" s="2"/>
      <c r="L61" s="2"/>
      <c r="M61" s="2"/>
      <c r="N61" s="2"/>
      <c r="O61" s="2"/>
      <c r="P61" s="2"/>
      <c r="Q61" s="2"/>
    </row>
    <row r="62" spans="2:17">
      <c r="B62" s="2"/>
      <c r="C62" s="2"/>
      <c r="D62" s="2" t="s">
        <v>6018</v>
      </c>
      <c r="E62" s="2"/>
      <c r="F62" s="2"/>
      <c r="G62" s="2"/>
      <c r="H62" s="2"/>
      <c r="I62" s="2"/>
      <c r="J62" s="2"/>
      <c r="K62" s="2"/>
      <c r="L62" s="2"/>
      <c r="M62" s="2"/>
      <c r="N62" s="2"/>
      <c r="O62" s="2"/>
      <c r="P62" s="2"/>
      <c r="Q62" s="2"/>
    </row>
    <row r="63" spans="2:17">
      <c r="B63" s="2"/>
      <c r="C63" s="2"/>
      <c r="D63" s="2"/>
      <c r="E63" s="2" t="s">
        <v>6019</v>
      </c>
      <c r="F63" s="2"/>
      <c r="G63" s="2"/>
      <c r="H63" s="2"/>
      <c r="I63" s="2"/>
      <c r="J63" s="2"/>
      <c r="K63" s="2"/>
      <c r="L63" s="2"/>
      <c r="M63" s="2"/>
      <c r="N63" s="2"/>
      <c r="O63" s="2"/>
      <c r="P63" s="2"/>
      <c r="Q63" s="2"/>
    </row>
    <row r="64" spans="2:17">
      <c r="B64" s="2"/>
      <c r="C64" s="2"/>
      <c r="D64" s="2"/>
      <c r="E64" s="2" t="s">
        <v>6020</v>
      </c>
      <c r="F64" s="2"/>
      <c r="G64" s="2"/>
      <c r="H64" s="2"/>
      <c r="I64" s="2"/>
      <c r="J64" s="2"/>
      <c r="K64" s="2"/>
      <c r="L64" s="2"/>
      <c r="M64" s="2"/>
      <c r="N64" s="2"/>
      <c r="O64" s="2"/>
      <c r="P64" s="2"/>
      <c r="Q64" s="2"/>
    </row>
    <row r="65" spans="2:17">
      <c r="B65" s="2"/>
      <c r="C65" s="2" t="s">
        <v>6021</v>
      </c>
      <c r="D65" s="2"/>
      <c r="E65" s="2"/>
      <c r="F65" s="2"/>
      <c r="G65" s="2"/>
      <c r="H65" s="2"/>
      <c r="I65" s="2"/>
      <c r="J65" s="2"/>
      <c r="K65" s="2"/>
      <c r="L65" s="2"/>
      <c r="M65" s="2"/>
      <c r="N65" s="2"/>
      <c r="O65" s="2"/>
      <c r="P65" s="2"/>
      <c r="Q65" s="2"/>
    </row>
    <row r="66" spans="2:17">
      <c r="B66" s="2"/>
      <c r="C66" s="2"/>
      <c r="D66" s="2" t="s">
        <v>6022</v>
      </c>
      <c r="E66" s="2"/>
      <c r="F66" s="2"/>
      <c r="G66" s="2"/>
      <c r="H66" s="2"/>
      <c r="I66" s="2"/>
      <c r="J66" s="2"/>
      <c r="K66" s="2"/>
      <c r="L66" s="2"/>
      <c r="M66" s="2"/>
      <c r="N66" s="2"/>
      <c r="O66" s="2"/>
      <c r="P66" s="2"/>
      <c r="Q66" s="2"/>
    </row>
    <row r="67" spans="2:17">
      <c r="B67" s="2"/>
      <c r="C67" s="2"/>
      <c r="D67" s="2"/>
      <c r="E67" s="2" t="s">
        <v>6023</v>
      </c>
      <c r="F67" s="2"/>
      <c r="G67" s="2"/>
      <c r="H67" s="2"/>
      <c r="I67" s="2"/>
      <c r="J67" s="2"/>
      <c r="K67" s="2"/>
      <c r="L67" s="2"/>
      <c r="M67" s="2"/>
      <c r="N67" s="2"/>
      <c r="O67" s="2"/>
      <c r="P67" s="2"/>
      <c r="Q67" s="2"/>
    </row>
    <row r="68" spans="2:17">
      <c r="B68" s="2"/>
      <c r="C68" s="2"/>
      <c r="D68" s="2"/>
      <c r="E68" s="2" t="s">
        <v>6024</v>
      </c>
      <c r="F68" s="2"/>
      <c r="G68" s="2"/>
      <c r="H68" s="2"/>
      <c r="I68" s="2"/>
      <c r="J68" s="2"/>
      <c r="K68" s="2"/>
      <c r="L68" s="2"/>
      <c r="M68" s="2"/>
      <c r="N68" s="2"/>
      <c r="O68" s="2"/>
      <c r="P68" s="2"/>
      <c r="Q68" s="2"/>
    </row>
    <row r="69" spans="2:17">
      <c r="B69" s="2"/>
      <c r="C69" s="2"/>
      <c r="D69" s="2" t="s">
        <v>6025</v>
      </c>
      <c r="E69" s="2"/>
      <c r="F69" s="2"/>
      <c r="G69" s="2"/>
      <c r="H69" s="2"/>
      <c r="I69" s="2"/>
      <c r="J69" s="2"/>
      <c r="K69" s="2"/>
      <c r="L69" s="2"/>
      <c r="M69" s="2"/>
      <c r="N69" s="2"/>
      <c r="O69" s="2"/>
      <c r="P69" s="2"/>
      <c r="Q69" s="2"/>
    </row>
    <row r="70" spans="2:17">
      <c r="B70" s="2"/>
      <c r="C70" s="2"/>
      <c r="D70" s="2"/>
      <c r="E70" s="2" t="s">
        <v>6026</v>
      </c>
      <c r="F70" s="2"/>
      <c r="G70" s="2"/>
      <c r="H70" s="2"/>
      <c r="I70" s="2"/>
      <c r="J70" s="2"/>
      <c r="K70" s="2"/>
      <c r="L70" s="2"/>
      <c r="M70" s="2"/>
      <c r="N70" s="2"/>
      <c r="O70" s="2"/>
      <c r="P70" s="2"/>
      <c r="Q70" s="2"/>
    </row>
    <row r="71" spans="2:17">
      <c r="B71" s="2"/>
      <c r="C71" s="2"/>
      <c r="D71" s="2"/>
      <c r="E71" s="2" t="s">
        <v>6027</v>
      </c>
      <c r="F71" s="2"/>
      <c r="G71" s="2"/>
      <c r="H71" s="2"/>
      <c r="I71" s="2"/>
      <c r="J71" s="2"/>
      <c r="K71" s="2"/>
      <c r="L71" s="2"/>
      <c r="M71" s="2"/>
      <c r="N71" s="2"/>
      <c r="O71" s="2"/>
      <c r="P71" s="2"/>
      <c r="Q71" s="2"/>
    </row>
    <row r="72" spans="2:17">
      <c r="B72" s="2" t="s">
        <v>6028</v>
      </c>
      <c r="C72" s="2"/>
      <c r="D72" s="2"/>
      <c r="E72" s="2"/>
      <c r="F72" s="2"/>
      <c r="G72" s="2"/>
      <c r="H72" s="2"/>
      <c r="I72" s="2"/>
      <c r="J72" s="2"/>
      <c r="K72" s="2"/>
      <c r="L72" s="2"/>
      <c r="M72" s="2"/>
      <c r="N72" s="2"/>
      <c r="O72" s="2"/>
      <c r="P72" s="2"/>
      <c r="Q72" s="2"/>
    </row>
    <row r="73" spans="2:17">
      <c r="B73" s="2"/>
      <c r="C73" s="2" t="s">
        <v>6029</v>
      </c>
      <c r="D73" s="2"/>
      <c r="E73" s="2"/>
      <c r="F73" s="2"/>
      <c r="G73" s="2"/>
      <c r="H73" s="2"/>
      <c r="I73" s="2"/>
      <c r="J73" s="2"/>
      <c r="K73" s="2"/>
      <c r="L73" s="2"/>
      <c r="M73" s="2"/>
      <c r="N73" s="2"/>
      <c r="O73" s="2"/>
      <c r="P73" s="2"/>
      <c r="Q73" s="2"/>
    </row>
    <row r="74" spans="2:17">
      <c r="B74" s="2"/>
      <c r="C74" s="2"/>
      <c r="D74" s="2" t="s">
        <v>6030</v>
      </c>
      <c r="E74" s="2"/>
      <c r="F74" s="2"/>
      <c r="G74" s="2"/>
      <c r="H74" s="2"/>
      <c r="I74" s="2"/>
      <c r="J74" s="2"/>
      <c r="K74" s="2"/>
      <c r="L74" s="2"/>
      <c r="M74" s="2"/>
      <c r="N74" s="2"/>
      <c r="O74" s="2"/>
      <c r="P74" s="2"/>
      <c r="Q74" s="2"/>
    </row>
    <row r="75" spans="2:17">
      <c r="B75" s="2"/>
      <c r="C75" s="2"/>
      <c r="D75" s="2" t="s">
        <v>6031</v>
      </c>
      <c r="E75" s="2"/>
      <c r="F75" s="2"/>
      <c r="G75" s="2"/>
      <c r="H75" s="2"/>
      <c r="I75" s="2"/>
      <c r="J75" s="2"/>
      <c r="K75" s="2"/>
      <c r="L75" s="2"/>
      <c r="M75" s="2"/>
      <c r="N75" s="2"/>
      <c r="O75" s="2"/>
      <c r="P75" s="2"/>
      <c r="Q75" s="2"/>
    </row>
    <row r="76" spans="2:17">
      <c r="B76" s="2"/>
      <c r="C76" s="2"/>
      <c r="D76" s="2"/>
      <c r="E76" s="2" t="s">
        <v>6032</v>
      </c>
      <c r="F76" s="2"/>
      <c r="G76" s="2"/>
      <c r="H76" s="2"/>
      <c r="I76" s="2"/>
      <c r="J76" s="2"/>
      <c r="K76" s="2"/>
      <c r="L76" s="2"/>
      <c r="M76" s="2"/>
      <c r="N76" s="2"/>
      <c r="O76" s="2"/>
      <c r="P76" s="2"/>
      <c r="Q76" s="2"/>
    </row>
    <row r="77" spans="2:17">
      <c r="B77" s="2"/>
      <c r="C77" s="2"/>
      <c r="D77" s="2"/>
      <c r="E77" s="2"/>
      <c r="F77" s="2" t="s">
        <v>6033</v>
      </c>
      <c r="G77" s="2"/>
      <c r="H77" s="2"/>
      <c r="I77" s="2"/>
      <c r="J77" s="2"/>
      <c r="K77" s="2"/>
      <c r="L77" s="2"/>
      <c r="M77" s="2"/>
      <c r="N77" s="2"/>
      <c r="O77" s="2"/>
      <c r="P77" s="2"/>
      <c r="Q77" s="2"/>
    </row>
    <row r="78" spans="2:17">
      <c r="B78" s="2"/>
      <c r="C78" s="2"/>
      <c r="D78" s="2"/>
      <c r="E78" s="2"/>
      <c r="F78" s="2" t="s">
        <v>6034</v>
      </c>
      <c r="G78" s="2"/>
      <c r="H78" s="2"/>
      <c r="I78" s="2"/>
      <c r="J78" s="2"/>
      <c r="K78" s="2"/>
      <c r="L78" s="2"/>
      <c r="M78" s="2"/>
      <c r="N78" s="2"/>
      <c r="O78" s="2"/>
      <c r="P78" s="2"/>
      <c r="Q78" s="2"/>
    </row>
    <row r="79" spans="2:17">
      <c r="B79" s="2"/>
      <c r="C79" s="2"/>
      <c r="D79" s="2"/>
      <c r="E79" s="2" t="s">
        <v>6035</v>
      </c>
      <c r="F79" s="2"/>
      <c r="G79" s="2"/>
      <c r="H79" s="2"/>
      <c r="I79" s="2"/>
      <c r="J79" s="2"/>
      <c r="K79" s="2"/>
      <c r="L79" s="2"/>
      <c r="M79" s="2"/>
      <c r="N79" s="2"/>
      <c r="O79" s="2"/>
      <c r="P79" s="2"/>
      <c r="Q79" s="2"/>
    </row>
    <row r="80" spans="2:17">
      <c r="B80" s="2"/>
      <c r="C80" s="2"/>
      <c r="D80" s="2"/>
      <c r="E80" s="2"/>
      <c r="F80" s="2" t="s">
        <v>6036</v>
      </c>
      <c r="G80" s="2"/>
      <c r="H80" s="2"/>
      <c r="I80" s="2"/>
      <c r="J80" s="2"/>
      <c r="K80" s="2"/>
      <c r="L80" s="2"/>
      <c r="M80" s="2"/>
      <c r="N80" s="2"/>
      <c r="O80" s="2"/>
      <c r="P80" s="2"/>
      <c r="Q80" s="2"/>
    </row>
    <row r="81" spans="2:17">
      <c r="B81" s="2"/>
      <c r="C81" s="2"/>
      <c r="D81" s="2"/>
      <c r="E81" s="2"/>
      <c r="F81" s="2" t="s">
        <v>6037</v>
      </c>
      <c r="G81" s="2"/>
      <c r="H81" s="2"/>
      <c r="I81" s="2"/>
      <c r="J81" s="2"/>
      <c r="K81" s="2"/>
      <c r="L81" s="2"/>
      <c r="M81" s="2"/>
      <c r="N81" s="2"/>
      <c r="O81" s="2"/>
      <c r="P81" s="2"/>
      <c r="Q81" s="2"/>
    </row>
    <row r="82" spans="2:17">
      <c r="B82" s="2"/>
      <c r="C82" s="2"/>
      <c r="D82" s="2"/>
      <c r="E82" s="2"/>
      <c r="F82" s="2" t="s">
        <v>6038</v>
      </c>
      <c r="G82" s="2"/>
      <c r="H82" s="2"/>
      <c r="I82" s="2"/>
      <c r="J82" s="2"/>
      <c r="K82" s="2"/>
      <c r="L82" s="2"/>
      <c r="M82" s="2"/>
      <c r="N82" s="2"/>
      <c r="O82" s="2"/>
      <c r="P82" s="2"/>
      <c r="Q82" s="2"/>
    </row>
    <row r="83" spans="2:17">
      <c r="B83" s="2"/>
      <c r="C83" s="2"/>
      <c r="D83" s="2" t="s">
        <v>6039</v>
      </c>
      <c r="E83" s="2"/>
      <c r="F83" s="2"/>
      <c r="G83" s="2"/>
      <c r="H83" s="2"/>
      <c r="I83" s="2"/>
      <c r="J83" s="2"/>
      <c r="K83" s="2"/>
      <c r="L83" s="2"/>
      <c r="M83" s="2"/>
      <c r="N83" s="2"/>
      <c r="O83" s="2"/>
      <c r="P83" s="2"/>
      <c r="Q83" s="2"/>
    </row>
    <row r="84" spans="2:17">
      <c r="B84" s="2"/>
      <c r="C84" s="2"/>
      <c r="D84" s="2"/>
      <c r="E84" s="2" t="s">
        <v>6040</v>
      </c>
      <c r="F84" s="2"/>
      <c r="G84" s="2"/>
      <c r="H84" s="2"/>
      <c r="I84" s="2"/>
      <c r="J84" s="2"/>
      <c r="K84" s="2"/>
      <c r="L84" s="2"/>
      <c r="M84" s="2"/>
      <c r="N84" s="2"/>
      <c r="O84" s="2"/>
      <c r="P84" s="2"/>
      <c r="Q84" s="2"/>
    </row>
    <row r="85" spans="2:17">
      <c r="B85" s="2"/>
      <c r="C85" s="2"/>
      <c r="D85" s="2"/>
      <c r="E85" s="2" t="s">
        <v>6041</v>
      </c>
      <c r="F85" s="2"/>
      <c r="G85" s="2"/>
      <c r="H85" s="2"/>
      <c r="I85" s="2"/>
      <c r="J85" s="2"/>
      <c r="K85" s="2"/>
      <c r="L85" s="2"/>
      <c r="M85" s="2"/>
      <c r="N85" s="2"/>
      <c r="O85" s="2"/>
      <c r="P85" s="2"/>
      <c r="Q85" s="2"/>
    </row>
    <row r="86" spans="2:17">
      <c r="B86" s="2"/>
      <c r="C86" s="2" t="s">
        <v>6042</v>
      </c>
      <c r="D86" s="2"/>
      <c r="E86" s="2"/>
      <c r="F86" s="2"/>
      <c r="G86" s="2"/>
      <c r="H86" s="2"/>
      <c r="I86" s="2"/>
      <c r="J86" s="2"/>
      <c r="K86" s="2"/>
      <c r="L86" s="2"/>
      <c r="M86" s="2"/>
      <c r="N86" s="2"/>
      <c r="O86" s="2"/>
      <c r="P86" s="2"/>
      <c r="Q86" s="2"/>
    </row>
    <row r="87" spans="2:17">
      <c r="B87" s="2"/>
      <c r="C87" s="2"/>
      <c r="D87" s="2" t="s">
        <v>6043</v>
      </c>
      <c r="E87" s="2"/>
      <c r="F87" s="2"/>
      <c r="G87" s="2"/>
      <c r="H87" s="2"/>
      <c r="I87" s="2"/>
      <c r="J87" s="2"/>
      <c r="K87" s="2"/>
      <c r="L87" s="2"/>
      <c r="M87" s="2"/>
      <c r="N87" s="2"/>
      <c r="O87" s="2"/>
      <c r="P87" s="2"/>
      <c r="Q87" s="2"/>
    </row>
    <row r="88" spans="2:17">
      <c r="B88" s="2"/>
      <c r="C88" s="2"/>
      <c r="D88" s="2" t="s">
        <v>6044</v>
      </c>
      <c r="E88" s="2"/>
      <c r="F88" s="2"/>
      <c r="G88" s="2"/>
      <c r="H88" s="2"/>
      <c r="I88" s="2"/>
      <c r="J88" s="2"/>
      <c r="K88" s="2"/>
      <c r="L88" s="2"/>
      <c r="M88" s="2"/>
      <c r="N88" s="2"/>
      <c r="O88" s="2"/>
      <c r="P88" s="2"/>
      <c r="Q88" s="2"/>
    </row>
    <row r="89" spans="2:17">
      <c r="B89" s="2"/>
      <c r="C89" s="2"/>
      <c r="D89" s="2"/>
      <c r="E89" s="2" t="s">
        <v>6045</v>
      </c>
      <c r="F89" s="2"/>
      <c r="G89" s="2"/>
      <c r="H89" s="2"/>
      <c r="I89" s="2"/>
      <c r="J89" s="2"/>
      <c r="K89" s="2"/>
      <c r="L89" s="2"/>
      <c r="M89" s="2"/>
      <c r="N89" s="2"/>
      <c r="O89" s="2"/>
      <c r="P89" s="2"/>
      <c r="Q89" s="2"/>
    </row>
    <row r="90" spans="2:17">
      <c r="B90" s="2"/>
      <c r="C90" s="2"/>
      <c r="D90" s="2"/>
      <c r="E90" s="2" t="s">
        <v>6046</v>
      </c>
      <c r="F90" s="2"/>
      <c r="G90" s="2"/>
      <c r="H90" s="2"/>
      <c r="I90" s="2"/>
      <c r="J90" s="2"/>
      <c r="K90" s="2"/>
      <c r="L90" s="2"/>
      <c r="M90" s="2"/>
      <c r="N90" s="2"/>
      <c r="O90" s="2"/>
      <c r="P90" s="2"/>
      <c r="Q90" s="2"/>
    </row>
    <row r="91" spans="2:17">
      <c r="B91" s="2"/>
      <c r="C91" s="2"/>
      <c r="D91" s="2" t="s">
        <v>6047</v>
      </c>
      <c r="E91" s="2"/>
      <c r="F91" s="2"/>
      <c r="G91" s="2"/>
      <c r="H91" s="2"/>
      <c r="I91" s="2"/>
      <c r="J91" s="2"/>
      <c r="K91" s="2"/>
      <c r="L91" s="2"/>
      <c r="M91" s="2"/>
      <c r="N91" s="2"/>
      <c r="O91" s="2"/>
      <c r="P91" s="2"/>
      <c r="Q91" s="2"/>
    </row>
    <row r="92" spans="2:17">
      <c r="B92" s="2"/>
      <c r="C92" s="2"/>
      <c r="D92" s="2" t="s">
        <v>6048</v>
      </c>
      <c r="E92" s="2"/>
      <c r="F92" s="2"/>
      <c r="G92" s="2"/>
      <c r="H92" s="2"/>
      <c r="I92" s="2"/>
      <c r="J92" s="2"/>
      <c r="K92" s="2"/>
      <c r="L92" s="2"/>
      <c r="M92" s="2"/>
      <c r="N92" s="2"/>
      <c r="O92" s="2"/>
      <c r="P92" s="2"/>
      <c r="Q92" s="2"/>
    </row>
    <row r="93" spans="2:17">
      <c r="B93" s="2"/>
      <c r="C93" s="2"/>
      <c r="D93" s="2"/>
      <c r="E93" s="2" t="s">
        <v>6049</v>
      </c>
      <c r="F93" s="2"/>
      <c r="G93" s="2"/>
      <c r="H93" s="2"/>
      <c r="I93" s="2"/>
      <c r="J93" s="2"/>
      <c r="K93" s="2"/>
      <c r="L93" s="2"/>
      <c r="M93" s="2"/>
      <c r="N93" s="2"/>
      <c r="O93" s="2"/>
      <c r="P93" s="2"/>
      <c r="Q93" s="2"/>
    </row>
    <row r="94" spans="2:17">
      <c r="B94" s="2"/>
      <c r="C94" s="2"/>
      <c r="D94" s="2"/>
      <c r="E94" s="2" t="s">
        <v>6050</v>
      </c>
      <c r="F94" s="2"/>
      <c r="G94" s="2"/>
      <c r="H94" s="2"/>
      <c r="I94" s="2"/>
      <c r="J94" s="2"/>
      <c r="K94" s="2"/>
      <c r="L94" s="2"/>
      <c r="M94" s="2"/>
      <c r="N94" s="2"/>
      <c r="O94" s="2"/>
      <c r="P94" s="2"/>
      <c r="Q94" s="2"/>
    </row>
    <row r="95" spans="2:17">
      <c r="B95" t="s">
        <v>6051</v>
      </c>
    </row>
    <row r="96" spans="2:17">
      <c r="B96" t="s">
        <v>6052</v>
      </c>
    </row>
    <row r="97" spans="2:4">
      <c r="C97" t="s">
        <v>6053</v>
      </c>
    </row>
    <row r="98" spans="2:4">
      <c r="C98" t="s">
        <v>6054</v>
      </c>
    </row>
    <row r="99" spans="2:4">
      <c r="B99" t="s">
        <v>6055</v>
      </c>
    </row>
    <row r="100" spans="2:4">
      <c r="C100" t="s">
        <v>6056</v>
      </c>
    </row>
    <row r="101" spans="2:4">
      <c r="C101" t="s">
        <v>6057</v>
      </c>
    </row>
    <row r="102" spans="2:4">
      <c r="D102" t="s">
        <v>6058</v>
      </c>
    </row>
    <row r="103" spans="2:4">
      <c r="C103" t="s">
        <v>6059</v>
      </c>
    </row>
    <row r="104" spans="2:4">
      <c r="D104" t="s">
        <v>6060</v>
      </c>
    </row>
    <row r="105" spans="2:4">
      <c r="B105" t="s">
        <v>6061</v>
      </c>
    </row>
    <row r="106" spans="2:4">
      <c r="B106" t="s">
        <v>6062</v>
      </c>
    </row>
    <row r="107" spans="2:4">
      <c r="B107" t="s">
        <v>6063</v>
      </c>
    </row>
    <row r="108" spans="2:4">
      <c r="B108" t="s">
        <v>6064</v>
      </c>
    </row>
    <row r="109" spans="2:4">
      <c r="C109" t="s">
        <v>6065</v>
      </c>
    </row>
    <row r="110" spans="2:4">
      <c r="B110" t="s">
        <v>6066</v>
      </c>
    </row>
    <row r="111" spans="2:4">
      <c r="C111" t="s">
        <v>6067</v>
      </c>
    </row>
    <row r="112" spans="2:4">
      <c r="B112" t="s">
        <v>6068</v>
      </c>
    </row>
    <row r="113" spans="2:4">
      <c r="C113" t="s">
        <v>6069</v>
      </c>
    </row>
    <row r="114" spans="2:4">
      <c r="C114" t="s">
        <v>6070</v>
      </c>
    </row>
    <row r="115" spans="2:4">
      <c r="B115" s="2" t="s">
        <v>6071</v>
      </c>
      <c r="C115" s="2"/>
      <c r="D115" s="2"/>
    </row>
    <row r="116" spans="2:4">
      <c r="B116" s="2"/>
      <c r="C116" s="2" t="s">
        <v>6072</v>
      </c>
      <c r="D116" s="2"/>
    </row>
    <row r="117" spans="2:4">
      <c r="B117" s="2"/>
      <c r="C117" s="2" t="s">
        <v>6073</v>
      </c>
      <c r="D117" s="2"/>
    </row>
    <row r="118" spans="2:4">
      <c r="B118" s="2"/>
      <c r="C118" s="2"/>
      <c r="D118" s="2" t="s">
        <v>6074</v>
      </c>
    </row>
    <row r="119" spans="2:4">
      <c r="B119" s="2"/>
      <c r="C119" s="2" t="s">
        <v>6075</v>
      </c>
      <c r="D119" s="2"/>
    </row>
    <row r="120" spans="2:4">
      <c r="B120" s="2" t="s">
        <v>6076</v>
      </c>
      <c r="C120" s="2"/>
      <c r="D120" s="2"/>
    </row>
    <row r="121" spans="2:4">
      <c r="B121" s="2"/>
      <c r="C121" s="2" t="s">
        <v>6077</v>
      </c>
      <c r="D121" s="2"/>
    </row>
    <row r="122" spans="2:4">
      <c r="B122" s="2"/>
      <c r="C122" s="2" t="s">
        <v>6078</v>
      </c>
      <c r="D122" s="2"/>
    </row>
    <row r="123" spans="2:4">
      <c r="B123" s="2"/>
      <c r="C123" s="2" t="s">
        <v>6079</v>
      </c>
      <c r="D123" s="2"/>
    </row>
    <row r="124" spans="2:4">
      <c r="B124" s="2"/>
      <c r="C124" s="2" t="s">
        <v>6080</v>
      </c>
      <c r="D124" s="2"/>
    </row>
    <row r="125" spans="2:4">
      <c r="B125" s="2"/>
      <c r="C125" s="2"/>
      <c r="D125" s="2" t="s">
        <v>6081</v>
      </c>
    </row>
  </sheetData>
  <pageMargins left="0.75" right="0.75" top="1" bottom="1" header="0.5" footer="0.5"/>
  <pageSetup paperSize="9" orientation="portrait"/>
  <headerFooter/>
</worksheet>
</file>

<file path=xl/worksheets/sheet2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O116"/>
  <sheetViews>
    <sheetView zoomScale="115" zoomScaleNormal="115" topLeftCell="A82" workbookViewId="0">
      <selection activeCell="I92" sqref="I92"/>
    </sheetView>
  </sheetViews>
  <sheetFormatPr defaultColWidth="8.88888888888889" defaultRowHeight="14.4"/>
  <cols>
    <col min="1" max="1" width="9.66666666666667"/>
  </cols>
  <sheetData>
    <row r="1" spans="1:15">
      <c r="A1" s="1">
        <f>SUM(B1:AZ1)</f>
        <v>27.7166666666667</v>
      </c>
      <c r="B1" s="1">
        <f>COUNTA(B2:B2220)/COLUMN()</f>
        <v>2.5</v>
      </c>
      <c r="C1" s="1">
        <f>COUNTA(C2:C2220)/COLUMN()</f>
        <v>5</v>
      </c>
      <c r="D1" s="1">
        <f>COUNTA(D2:D2220)/COLUMN()</f>
        <v>8.75</v>
      </c>
      <c r="E1" s="1">
        <f>COUNTA(E2:E2220)/COLUMN()</f>
        <v>8.8</v>
      </c>
      <c r="F1" s="1">
        <f>COUNTA(F2:F2220)/COLUMN()</f>
        <v>2.66666666666667</v>
      </c>
      <c r="G1" s="1">
        <f>COUNTA(G2:G2220)/COLUMN()</f>
        <v>0</v>
      </c>
      <c r="H1" s="1">
        <f>COUNTA(H2:H2220)/COLUMN()</f>
        <v>0</v>
      </c>
    </row>
    <row r="2" spans="1:15">
      <c r="A2" t="str" cm="1">
        <f ca="1" t="array" ref="A2">_wpsfn.SHEETSNAME(A1)</f>
        <v>20251212</v>
      </c>
      <c r="B2" s="2" t="s">
        <v>6082</v>
      </c>
      <c r="C2" s="2"/>
      <c r="D2" s="2"/>
      <c r="E2" s="2"/>
      <c r="F2" s="2"/>
      <c r="G2" s="2"/>
      <c r="H2" s="2"/>
      <c r="I2" s="2"/>
      <c r="J2" s="2"/>
      <c r="K2" s="2"/>
      <c r="L2" s="2"/>
      <c r="M2" s="2"/>
      <c r="N2" s="2"/>
      <c r="O2" s="2"/>
    </row>
    <row r="3" spans="1:15">
      <c r="B3" s="2"/>
      <c r="C3" s="2" t="s">
        <v>6083</v>
      </c>
      <c r="D3" s="2"/>
      <c r="E3" s="2"/>
      <c r="F3" s="2"/>
      <c r="G3" s="2"/>
      <c r="H3" s="2"/>
      <c r="I3" s="2"/>
      <c r="J3" s="2"/>
      <c r="K3" s="2"/>
      <c r="L3" s="2"/>
      <c r="M3" s="2"/>
      <c r="N3" s="2"/>
      <c r="O3" s="2"/>
    </row>
    <row r="4" spans="1:15">
      <c r="B4" s="2"/>
      <c r="C4" s="2"/>
      <c r="D4" s="2" t="s">
        <v>6084</v>
      </c>
      <c r="E4" s="2"/>
      <c r="F4" s="2"/>
      <c r="G4" s="2"/>
      <c r="H4" s="2"/>
      <c r="I4" s="2"/>
      <c r="J4" s="2"/>
      <c r="K4" s="2"/>
      <c r="L4" s="2"/>
      <c r="M4" s="2"/>
      <c r="N4" s="2"/>
      <c r="O4" s="2"/>
    </row>
    <row r="5" spans="1:15">
      <c r="B5" s="2"/>
      <c r="C5" s="2"/>
      <c r="D5" s="2" t="s">
        <v>6085</v>
      </c>
      <c r="E5" s="2"/>
      <c r="F5" s="2"/>
      <c r="G5" s="2"/>
      <c r="H5" s="2"/>
      <c r="I5" s="2"/>
      <c r="J5" s="2"/>
      <c r="K5" s="2"/>
      <c r="L5" s="2"/>
      <c r="M5" s="2"/>
      <c r="N5" s="2"/>
      <c r="O5" s="2"/>
    </row>
    <row r="6" spans="1:15">
      <c r="B6" s="2"/>
      <c r="C6" s="2" t="s">
        <v>6086</v>
      </c>
      <c r="D6" s="2"/>
      <c r="E6" s="2"/>
      <c r="F6" s="2"/>
      <c r="G6" s="2"/>
      <c r="H6" s="2"/>
      <c r="I6" s="2"/>
      <c r="J6" s="2"/>
      <c r="K6" s="2"/>
      <c r="L6" s="2"/>
      <c r="M6" s="2"/>
      <c r="N6" s="2"/>
      <c r="O6" s="2"/>
    </row>
    <row r="7" spans="1:15">
      <c r="B7" s="2"/>
      <c r="C7" s="2"/>
      <c r="D7" s="2" t="s">
        <v>6087</v>
      </c>
      <c r="E7" s="2"/>
      <c r="F7" s="2"/>
      <c r="G7" s="2"/>
      <c r="H7" s="2"/>
      <c r="I7" s="2"/>
      <c r="J7" s="2"/>
      <c r="K7" s="2"/>
      <c r="L7" s="2"/>
      <c r="M7" s="2"/>
      <c r="N7" s="2"/>
      <c r="O7" s="2"/>
    </row>
    <row r="8" spans="1:15">
      <c r="B8" s="2"/>
      <c r="C8" s="2"/>
      <c r="D8" s="2" t="s">
        <v>6088</v>
      </c>
      <c r="E8" s="2"/>
      <c r="F8" s="2"/>
      <c r="G8" s="2"/>
      <c r="H8" s="2"/>
      <c r="I8" s="2"/>
      <c r="J8" s="2"/>
      <c r="K8" s="2"/>
      <c r="L8" s="2"/>
      <c r="M8" s="2"/>
      <c r="N8" s="2"/>
      <c r="O8" s="2"/>
    </row>
    <row r="9" spans="1:15">
      <c r="B9" s="2"/>
      <c r="C9" s="2" t="s">
        <v>6089</v>
      </c>
      <c r="D9" s="2"/>
      <c r="E9" s="2"/>
      <c r="F9" s="2"/>
      <c r="G9" s="2"/>
      <c r="H9" s="2"/>
      <c r="I9" s="2"/>
      <c r="J9" s="2"/>
      <c r="K9" s="2"/>
      <c r="L9" s="2"/>
      <c r="M9" s="2"/>
      <c r="N9" s="2"/>
      <c r="O9" s="2"/>
    </row>
    <row r="10" spans="1:15">
      <c r="B10" s="2"/>
      <c r="C10" s="2"/>
      <c r="D10" s="2" t="s">
        <v>6090</v>
      </c>
      <c r="E10" s="2"/>
      <c r="F10" s="2"/>
      <c r="G10" s="2"/>
      <c r="H10" s="2"/>
      <c r="I10" s="2"/>
      <c r="J10" s="2"/>
      <c r="K10" s="2"/>
      <c r="L10" s="2"/>
      <c r="M10" s="2"/>
      <c r="N10" s="2"/>
      <c r="O10" s="2"/>
    </row>
    <row r="11" spans="1:15">
      <c r="B11" s="2"/>
      <c r="C11" s="2"/>
      <c r="D11" s="2"/>
      <c r="E11" s="2" t="s">
        <v>6091</v>
      </c>
      <c r="F11" s="2"/>
      <c r="G11" s="2"/>
      <c r="H11" s="2"/>
      <c r="I11" s="2"/>
      <c r="J11" s="2"/>
      <c r="K11" s="2"/>
      <c r="L11" s="2"/>
      <c r="M11" s="2"/>
      <c r="N11" s="2"/>
      <c r="O11" s="2"/>
    </row>
    <row r="12" spans="1:15">
      <c r="B12" s="2"/>
      <c r="C12" s="2"/>
      <c r="D12" s="2"/>
      <c r="E12" s="2" t="s">
        <v>6092</v>
      </c>
      <c r="F12" s="2"/>
      <c r="G12" s="2"/>
      <c r="H12" s="2"/>
      <c r="I12" s="2"/>
      <c r="J12" s="2"/>
      <c r="K12" s="2"/>
      <c r="L12" s="2"/>
      <c r="M12" s="2"/>
      <c r="N12" s="2"/>
      <c r="O12" s="2"/>
    </row>
    <row r="13" spans="1:15">
      <c r="B13" s="2"/>
      <c r="C13" s="2"/>
      <c r="D13" s="2" t="s">
        <v>6093</v>
      </c>
      <c r="E13" s="2"/>
      <c r="F13" s="2"/>
      <c r="G13" s="2"/>
      <c r="H13" s="2"/>
      <c r="I13" s="2"/>
      <c r="J13" s="2"/>
      <c r="K13" s="2"/>
      <c r="L13" s="2"/>
      <c r="M13" s="2"/>
      <c r="N13" s="2"/>
      <c r="O13" s="2"/>
    </row>
    <row r="14" spans="1:15">
      <c r="B14" s="2"/>
      <c r="C14" s="2"/>
      <c r="D14" s="2"/>
      <c r="E14" s="2" t="s">
        <v>6094</v>
      </c>
      <c r="F14" s="2"/>
      <c r="G14" s="2"/>
      <c r="H14" s="2"/>
      <c r="I14" s="2"/>
      <c r="J14" s="2"/>
      <c r="K14" s="2"/>
      <c r="L14" s="2"/>
      <c r="M14" s="2"/>
      <c r="N14" s="2"/>
      <c r="O14" s="2"/>
    </row>
    <row r="15" spans="1:15">
      <c r="B15" s="2"/>
      <c r="C15" s="2"/>
      <c r="D15" s="2"/>
      <c r="E15" s="2" t="s">
        <v>6095</v>
      </c>
      <c r="F15" s="2"/>
      <c r="G15" s="2"/>
      <c r="H15" s="2"/>
      <c r="I15" s="2"/>
      <c r="J15" s="2"/>
      <c r="K15" s="2"/>
      <c r="L15" s="2"/>
      <c r="M15" s="2"/>
      <c r="N15" s="2"/>
      <c r="O15" s="2"/>
    </row>
    <row r="16" spans="1:15">
      <c r="B16" s="2"/>
      <c r="C16" s="2"/>
      <c r="D16" s="2"/>
      <c r="E16" s="2" t="s">
        <v>6096</v>
      </c>
      <c r="F16" s="2"/>
      <c r="G16" s="2"/>
      <c r="H16" s="2"/>
      <c r="I16" s="2"/>
      <c r="J16" s="2"/>
      <c r="K16" s="2"/>
      <c r="L16" s="2"/>
      <c r="M16" s="2"/>
      <c r="N16" s="2"/>
      <c r="O16" s="2"/>
    </row>
    <row r="17" spans="2:15">
      <c r="B17" s="2" t="s">
        <v>6097</v>
      </c>
      <c r="C17" s="2"/>
      <c r="D17" s="2"/>
      <c r="E17" s="2"/>
      <c r="F17" s="2"/>
      <c r="G17" s="2"/>
      <c r="H17" s="2"/>
      <c r="I17" s="2"/>
      <c r="J17" s="2"/>
      <c r="K17" s="2"/>
      <c r="L17" s="2"/>
      <c r="M17" s="2"/>
      <c r="N17" s="2"/>
      <c r="O17" s="2"/>
    </row>
    <row r="18" spans="2:15">
      <c r="B18" s="2"/>
      <c r="C18" s="2" t="s">
        <v>6098</v>
      </c>
      <c r="D18" s="2"/>
      <c r="E18" s="2"/>
      <c r="F18" s="2"/>
      <c r="G18" s="2"/>
      <c r="H18" s="2"/>
      <c r="I18" s="2"/>
      <c r="J18" s="2"/>
      <c r="K18" s="2"/>
      <c r="L18" s="2"/>
      <c r="M18" s="2"/>
      <c r="N18" s="2"/>
      <c r="O18" s="2"/>
    </row>
    <row r="19" spans="2:15">
      <c r="B19" s="2"/>
      <c r="C19" s="2"/>
      <c r="D19" s="2" t="s">
        <v>6099</v>
      </c>
      <c r="E19" s="2"/>
      <c r="F19" s="2"/>
      <c r="G19" s="2"/>
      <c r="H19" s="2"/>
      <c r="I19" s="2"/>
      <c r="J19" s="2"/>
      <c r="K19" s="2"/>
      <c r="L19" s="2"/>
      <c r="M19" s="2"/>
      <c r="N19" s="2"/>
      <c r="O19" s="2"/>
    </row>
    <row r="20" spans="2:15">
      <c r="B20" s="2"/>
      <c r="C20" s="2"/>
      <c r="D20" s="2" t="s">
        <v>6100</v>
      </c>
      <c r="E20" s="2"/>
      <c r="F20" s="2"/>
      <c r="G20" s="2"/>
      <c r="H20" s="2"/>
      <c r="I20" s="2"/>
      <c r="J20" s="2"/>
      <c r="K20" s="2"/>
      <c r="L20" s="2"/>
      <c r="M20" s="2"/>
      <c r="N20" s="2"/>
      <c r="O20" s="2"/>
    </row>
    <row r="21" spans="2:15">
      <c r="B21" s="2"/>
      <c r="C21" s="2" t="s">
        <v>6101</v>
      </c>
      <c r="D21" s="2"/>
      <c r="E21" s="2"/>
      <c r="F21" s="2"/>
      <c r="G21" s="2"/>
      <c r="H21" s="2"/>
      <c r="I21" s="2"/>
      <c r="J21" s="2"/>
      <c r="K21" s="2"/>
      <c r="L21" s="2"/>
      <c r="M21" s="2"/>
      <c r="N21" s="2"/>
      <c r="O21" s="2"/>
    </row>
    <row r="22" spans="2:15">
      <c r="B22" s="2"/>
      <c r="C22" s="2"/>
      <c r="D22" s="2" t="s">
        <v>6102</v>
      </c>
      <c r="E22" s="2"/>
      <c r="F22" s="2"/>
      <c r="G22" s="2"/>
      <c r="H22" s="2"/>
      <c r="I22" s="2"/>
      <c r="J22" s="2"/>
      <c r="K22" s="2"/>
      <c r="L22" s="2"/>
      <c r="M22" s="2"/>
      <c r="N22" s="2"/>
      <c r="O22" s="2"/>
    </row>
    <row r="23" spans="2:15">
      <c r="B23" s="2"/>
      <c r="C23" s="2"/>
      <c r="D23" s="2"/>
      <c r="E23" s="2" t="s">
        <v>6103</v>
      </c>
      <c r="F23" s="2"/>
      <c r="G23" s="2"/>
      <c r="H23" s="2"/>
      <c r="I23" s="2"/>
      <c r="J23" s="2"/>
      <c r="K23" s="2"/>
      <c r="L23" s="2"/>
      <c r="M23" s="2"/>
      <c r="N23" s="2"/>
      <c r="O23" s="2"/>
    </row>
    <row r="24" spans="2:15">
      <c r="B24" s="2"/>
      <c r="C24" s="2"/>
      <c r="D24" s="2"/>
      <c r="E24" s="2" t="s">
        <v>6104</v>
      </c>
      <c r="F24" s="2"/>
      <c r="G24" s="2"/>
      <c r="H24" s="2"/>
      <c r="I24" s="2"/>
      <c r="J24" s="2"/>
      <c r="K24" s="2"/>
      <c r="L24" s="2"/>
      <c r="M24" s="2"/>
      <c r="N24" s="2"/>
      <c r="O24" s="2"/>
    </row>
    <row r="25" spans="2:15">
      <c r="B25" s="2"/>
      <c r="C25" s="2"/>
      <c r="D25" s="2"/>
      <c r="E25" s="2" t="s">
        <v>6105</v>
      </c>
      <c r="F25" s="2"/>
      <c r="G25" s="2"/>
      <c r="H25" s="2"/>
      <c r="I25" s="2"/>
      <c r="J25" s="2"/>
      <c r="K25" s="2"/>
      <c r="L25" s="2"/>
      <c r="M25" s="2"/>
      <c r="N25" s="2"/>
      <c r="O25" s="2"/>
    </row>
    <row r="26" spans="2:15">
      <c r="B26" s="2"/>
      <c r="C26" s="2"/>
      <c r="D26" s="2" t="s">
        <v>6106</v>
      </c>
      <c r="E26" s="2"/>
      <c r="F26" s="2"/>
      <c r="G26" s="2"/>
      <c r="H26" s="2"/>
      <c r="I26" s="2"/>
      <c r="J26" s="2"/>
      <c r="K26" s="2"/>
      <c r="L26" s="2"/>
      <c r="M26" s="2"/>
      <c r="N26" s="2"/>
      <c r="O26" s="2"/>
    </row>
    <row r="27" spans="2:15">
      <c r="B27" s="2"/>
      <c r="C27" s="2"/>
      <c r="D27" s="2"/>
      <c r="E27" s="2" t="s">
        <v>6107</v>
      </c>
      <c r="F27" s="2"/>
      <c r="G27" s="2"/>
      <c r="H27" s="2"/>
      <c r="I27" s="2"/>
      <c r="J27" s="2"/>
      <c r="K27" s="2"/>
      <c r="L27" s="2"/>
      <c r="M27" s="2"/>
      <c r="N27" s="2"/>
      <c r="O27" s="2"/>
    </row>
    <row r="28" spans="2:15">
      <c r="B28" s="2"/>
      <c r="C28" s="2"/>
      <c r="D28" s="2"/>
      <c r="E28" s="2" t="s">
        <v>6108</v>
      </c>
      <c r="F28" s="2"/>
      <c r="G28" s="2"/>
      <c r="H28" s="2"/>
      <c r="I28" s="2"/>
      <c r="J28" s="2"/>
      <c r="K28" s="2"/>
      <c r="L28" s="2"/>
      <c r="M28" s="2"/>
      <c r="N28" s="2"/>
      <c r="O28" s="2"/>
    </row>
    <row r="29" spans="2:15">
      <c r="B29" s="2"/>
      <c r="C29" s="2"/>
      <c r="D29" s="2"/>
      <c r="E29" s="2"/>
      <c r="F29" s="2" t="s">
        <v>6109</v>
      </c>
      <c r="G29" s="2"/>
      <c r="H29" s="2"/>
      <c r="I29" s="2"/>
      <c r="J29" s="2"/>
      <c r="K29" s="2"/>
      <c r="L29" s="2"/>
      <c r="M29" s="2"/>
      <c r="N29" s="2"/>
      <c r="O29" s="2"/>
    </row>
    <row r="30" spans="2:15">
      <c r="B30" s="2"/>
      <c r="C30" s="2"/>
      <c r="D30" s="2"/>
      <c r="E30" s="2"/>
      <c r="F30" s="2" t="s">
        <v>6110</v>
      </c>
      <c r="G30" s="2"/>
      <c r="H30" s="2"/>
      <c r="I30" s="2"/>
      <c r="J30" s="2"/>
      <c r="K30" s="2"/>
      <c r="L30" s="2"/>
      <c r="M30" s="2"/>
      <c r="N30" s="2"/>
      <c r="O30" s="2"/>
    </row>
    <row r="31" spans="2:15">
      <c r="B31" s="2"/>
      <c r="C31" s="2" t="s">
        <v>6111</v>
      </c>
      <c r="D31" s="2"/>
      <c r="E31" s="2"/>
      <c r="F31" s="2"/>
      <c r="G31" s="2"/>
      <c r="H31" s="2"/>
      <c r="I31" s="2"/>
      <c r="J31" s="2"/>
      <c r="K31" s="2"/>
      <c r="L31" s="2"/>
      <c r="M31" s="2"/>
      <c r="N31" s="2"/>
      <c r="O31" s="2"/>
    </row>
    <row r="32" spans="2:15">
      <c r="B32" s="2"/>
      <c r="C32" s="2"/>
      <c r="D32" s="2" t="s">
        <v>6112</v>
      </c>
      <c r="E32" s="2"/>
      <c r="F32" s="2"/>
      <c r="G32" s="2"/>
      <c r="H32" s="2"/>
      <c r="I32" s="2"/>
      <c r="J32" s="2"/>
      <c r="K32" s="2"/>
      <c r="L32" s="2"/>
      <c r="M32" s="2"/>
      <c r="N32" s="2"/>
      <c r="O32" s="2"/>
    </row>
    <row r="33" spans="2:15">
      <c r="B33" s="2"/>
      <c r="C33" s="2"/>
      <c r="D33" s="2"/>
      <c r="E33" s="2" t="s">
        <v>6113</v>
      </c>
      <c r="F33" s="2"/>
      <c r="G33" s="2"/>
      <c r="H33" s="2"/>
      <c r="I33" s="2"/>
      <c r="J33" s="2"/>
      <c r="K33" s="2"/>
      <c r="L33" s="2"/>
      <c r="M33" s="2"/>
      <c r="N33" s="2"/>
      <c r="O33" s="2"/>
    </row>
    <row r="34" spans="2:15">
      <c r="B34" s="2"/>
      <c r="C34" s="2"/>
      <c r="D34" s="2"/>
      <c r="E34" s="2" t="s">
        <v>6114</v>
      </c>
      <c r="F34" s="2"/>
      <c r="G34" s="2"/>
      <c r="H34" s="2"/>
      <c r="I34" s="2"/>
      <c r="J34" s="2"/>
      <c r="K34" s="2"/>
      <c r="L34" s="2"/>
      <c r="M34" s="2"/>
      <c r="N34" s="2"/>
      <c r="O34" s="2"/>
    </row>
    <row r="35" spans="2:15">
      <c r="B35" s="2"/>
      <c r="C35" s="2"/>
      <c r="D35" s="2" t="s">
        <v>6115</v>
      </c>
      <c r="E35" s="2"/>
      <c r="F35" s="2"/>
      <c r="G35" s="2"/>
      <c r="H35" s="2"/>
      <c r="I35" s="2"/>
      <c r="J35" s="2"/>
      <c r="K35" s="2"/>
      <c r="L35" s="2"/>
      <c r="M35" s="2"/>
      <c r="N35" s="2"/>
      <c r="O35" s="2"/>
    </row>
    <row r="36" spans="2:15">
      <c r="B36" s="2"/>
      <c r="C36" s="2"/>
      <c r="D36" s="2" t="s">
        <v>6116</v>
      </c>
      <c r="E36" s="2"/>
      <c r="F36" s="2"/>
      <c r="G36" s="2"/>
      <c r="H36" s="2"/>
      <c r="I36" s="2"/>
      <c r="J36" s="2"/>
      <c r="K36" s="2"/>
      <c r="L36" s="2"/>
      <c r="M36" s="2"/>
      <c r="N36" s="2"/>
      <c r="O36" s="2"/>
    </row>
    <row r="37" spans="2:15">
      <c r="B37" s="2"/>
      <c r="C37" s="2"/>
      <c r="D37" s="2"/>
      <c r="E37" s="2" t="s">
        <v>6117</v>
      </c>
      <c r="F37" s="2"/>
      <c r="G37" s="2"/>
      <c r="H37" s="2"/>
      <c r="I37" s="2"/>
      <c r="J37" s="2"/>
      <c r="K37" s="2"/>
      <c r="L37" s="2"/>
      <c r="M37" s="2"/>
      <c r="N37" s="2"/>
      <c r="O37" s="2"/>
    </row>
    <row r="38" spans="2:15">
      <c r="B38" s="2"/>
      <c r="C38" s="2"/>
      <c r="D38" s="2"/>
      <c r="E38" s="2" t="s">
        <v>6118</v>
      </c>
      <c r="F38" s="2"/>
      <c r="G38" s="2"/>
      <c r="H38" s="2"/>
      <c r="I38" s="2"/>
      <c r="J38" s="2"/>
      <c r="K38" s="2"/>
      <c r="L38" s="2"/>
      <c r="M38" s="2"/>
      <c r="N38" s="2"/>
      <c r="O38" s="2"/>
    </row>
    <row r="39" spans="2:15">
      <c r="B39" s="2"/>
      <c r="C39" s="2"/>
      <c r="D39" s="2"/>
      <c r="E39" s="2" t="s">
        <v>6119</v>
      </c>
      <c r="F39" s="2"/>
      <c r="G39" s="2"/>
      <c r="H39" s="2"/>
      <c r="I39" s="2"/>
      <c r="J39" s="2"/>
      <c r="K39" s="2"/>
      <c r="L39" s="2"/>
      <c r="M39" s="2"/>
      <c r="N39" s="2"/>
      <c r="O39" s="2"/>
    </row>
    <row r="40" spans="2:15">
      <c r="B40" s="2" t="s">
        <v>6120</v>
      </c>
      <c r="C40" s="2"/>
      <c r="D40" s="2"/>
      <c r="E40" s="2"/>
      <c r="F40" s="2"/>
      <c r="G40" s="2"/>
      <c r="H40" s="2"/>
      <c r="I40" s="2"/>
      <c r="J40" s="2"/>
      <c r="K40" s="2"/>
      <c r="L40" s="2"/>
      <c r="M40" s="2"/>
      <c r="N40" s="2"/>
      <c r="O40" s="2"/>
    </row>
    <row r="41" spans="2:15">
      <c r="B41" s="2"/>
      <c r="C41" s="2" t="s">
        <v>6121</v>
      </c>
      <c r="D41" s="2"/>
      <c r="E41" s="2"/>
      <c r="F41" s="2"/>
      <c r="G41" s="2"/>
      <c r="H41" s="2"/>
      <c r="I41" s="2"/>
      <c r="J41" s="2"/>
      <c r="K41" s="2"/>
      <c r="L41" s="2"/>
      <c r="M41" s="2"/>
      <c r="N41" s="2"/>
      <c r="O41" s="2"/>
    </row>
    <row r="42" spans="2:15">
      <c r="B42" s="2"/>
      <c r="C42" s="2"/>
      <c r="D42" s="2" t="s">
        <v>6122</v>
      </c>
      <c r="E42" s="2"/>
      <c r="F42" s="2"/>
      <c r="G42" s="2"/>
      <c r="H42" s="2"/>
      <c r="I42" s="2"/>
      <c r="J42" s="2"/>
      <c r="K42" s="2"/>
      <c r="L42" s="2"/>
      <c r="M42" s="2"/>
      <c r="N42" s="2"/>
      <c r="O42" s="2"/>
    </row>
    <row r="43" spans="2:15">
      <c r="B43" s="2"/>
      <c r="C43" s="2"/>
      <c r="D43" s="2" t="s">
        <v>6123</v>
      </c>
      <c r="E43" s="2"/>
      <c r="F43" s="2"/>
      <c r="G43" s="2"/>
      <c r="H43" s="2"/>
      <c r="I43" s="2"/>
      <c r="J43" s="2"/>
      <c r="K43" s="2"/>
      <c r="L43" s="2"/>
      <c r="M43" s="2"/>
      <c r="N43" s="2"/>
      <c r="O43" s="2"/>
    </row>
    <row r="44" spans="2:15">
      <c r="B44" s="2"/>
      <c r="C44" s="2" t="s">
        <v>6124</v>
      </c>
      <c r="D44" s="2"/>
      <c r="E44" s="2"/>
      <c r="F44" s="2"/>
      <c r="G44" s="2"/>
      <c r="H44" s="2"/>
      <c r="I44" s="2"/>
      <c r="J44" s="2"/>
      <c r="K44" s="2"/>
      <c r="L44" s="2"/>
      <c r="M44" s="2"/>
      <c r="N44" s="2"/>
      <c r="O44" s="2"/>
    </row>
    <row r="45" spans="2:15">
      <c r="B45" s="2"/>
      <c r="C45" s="2"/>
      <c r="D45" s="2" t="s">
        <v>6125</v>
      </c>
      <c r="E45" s="2"/>
      <c r="F45" s="2"/>
      <c r="G45" s="2"/>
      <c r="H45" s="2"/>
      <c r="I45" s="2"/>
      <c r="J45" s="2"/>
      <c r="K45" s="2"/>
      <c r="L45" s="2"/>
      <c r="M45" s="2"/>
      <c r="N45" s="2"/>
      <c r="O45" s="2"/>
    </row>
    <row r="46" spans="2:15">
      <c r="B46" s="2"/>
      <c r="C46" s="2"/>
      <c r="D46" s="2" t="s">
        <v>6126</v>
      </c>
      <c r="E46" s="2"/>
      <c r="F46" s="2"/>
      <c r="G46" s="2"/>
      <c r="H46" s="2"/>
      <c r="I46" s="2"/>
      <c r="J46" s="2"/>
      <c r="K46" s="2"/>
      <c r="L46" s="2"/>
      <c r="M46" s="2"/>
      <c r="N46" s="2"/>
      <c r="O46" s="2"/>
    </row>
    <row r="47" spans="2:15">
      <c r="B47" s="2"/>
      <c r="C47" s="2"/>
      <c r="D47" s="2"/>
      <c r="E47" s="2" t="s">
        <v>6127</v>
      </c>
      <c r="F47" s="2"/>
      <c r="G47" s="2"/>
      <c r="H47" s="2"/>
      <c r="I47" s="2"/>
      <c r="J47" s="2"/>
      <c r="K47" s="2"/>
      <c r="L47" s="2"/>
      <c r="M47" s="2"/>
      <c r="N47" s="2"/>
      <c r="O47" s="2"/>
    </row>
    <row r="48" spans="2:15">
      <c r="B48" s="2"/>
      <c r="C48" s="2"/>
      <c r="D48" s="2"/>
      <c r="E48" s="2" t="s">
        <v>6128</v>
      </c>
      <c r="F48" s="2"/>
      <c r="G48" s="2"/>
      <c r="H48" s="2"/>
      <c r="I48" s="2"/>
      <c r="J48" s="2"/>
      <c r="K48" s="2"/>
      <c r="L48" s="2"/>
      <c r="M48" s="2"/>
      <c r="N48" s="2"/>
      <c r="O48" s="2"/>
    </row>
    <row r="49" spans="2:15">
      <c r="B49" s="2"/>
      <c r="C49" s="2"/>
      <c r="D49" s="2"/>
      <c r="E49" s="2" t="s">
        <v>6129</v>
      </c>
      <c r="F49" s="2"/>
      <c r="G49" s="2"/>
      <c r="H49" s="2"/>
      <c r="I49" s="2"/>
      <c r="J49" s="2"/>
      <c r="K49" s="2"/>
      <c r="L49" s="2"/>
      <c r="M49" s="2"/>
      <c r="N49" s="2"/>
      <c r="O49" s="2"/>
    </row>
    <row r="50" spans="2:15">
      <c r="B50" s="2"/>
      <c r="C50" s="2" t="s">
        <v>6130</v>
      </c>
      <c r="D50" s="2"/>
      <c r="E50" s="2"/>
      <c r="F50" s="2"/>
      <c r="G50" s="2"/>
      <c r="H50" s="2"/>
      <c r="I50" s="2"/>
      <c r="J50" s="2"/>
      <c r="K50" s="2"/>
      <c r="L50" s="2"/>
      <c r="M50" s="2"/>
      <c r="N50" s="2"/>
      <c r="O50" s="2"/>
    </row>
    <row r="51" spans="2:15">
      <c r="B51" s="2"/>
      <c r="C51" s="2"/>
      <c r="D51" s="2" t="s">
        <v>6131</v>
      </c>
      <c r="E51" s="2"/>
      <c r="F51" s="2"/>
      <c r="G51" s="2"/>
      <c r="H51" s="2"/>
      <c r="I51" s="2"/>
      <c r="J51" s="2"/>
      <c r="K51" s="2"/>
      <c r="L51" s="2"/>
      <c r="M51" s="2"/>
      <c r="N51" s="2"/>
      <c r="O51" s="2"/>
    </row>
    <row r="52" spans="2:15">
      <c r="B52" s="2"/>
      <c r="C52" s="2"/>
      <c r="D52" s="2"/>
      <c r="E52" s="2" t="s">
        <v>6132</v>
      </c>
      <c r="F52" s="2"/>
      <c r="G52" s="2"/>
      <c r="H52" s="2"/>
      <c r="I52" s="2"/>
      <c r="J52" s="2"/>
      <c r="K52" s="2"/>
      <c r="L52" s="2"/>
      <c r="M52" s="2"/>
      <c r="N52" s="2"/>
      <c r="O52" s="2"/>
    </row>
    <row r="53" spans="2:15">
      <c r="B53" s="2"/>
      <c r="C53" s="2"/>
      <c r="D53" s="2"/>
      <c r="E53" s="2" t="s">
        <v>6133</v>
      </c>
      <c r="F53" s="2"/>
      <c r="G53" s="2"/>
      <c r="H53" s="2"/>
      <c r="I53" s="2"/>
      <c r="J53" s="2"/>
      <c r="K53" s="2"/>
      <c r="L53" s="2"/>
      <c r="M53" s="2"/>
      <c r="N53" s="2"/>
      <c r="O53" s="2"/>
    </row>
    <row r="54" spans="2:15">
      <c r="B54" s="2"/>
      <c r="C54" s="2"/>
      <c r="D54" s="2"/>
      <c r="E54" s="2" t="s">
        <v>6134</v>
      </c>
      <c r="F54" s="2"/>
      <c r="G54" s="2"/>
      <c r="H54" s="2"/>
      <c r="I54" s="2"/>
      <c r="J54" s="2"/>
      <c r="K54" s="2"/>
      <c r="L54" s="2"/>
      <c r="M54" s="2"/>
      <c r="N54" s="2"/>
      <c r="O54" s="2"/>
    </row>
    <row r="55" spans="2:15">
      <c r="B55" s="2"/>
      <c r="C55" s="2"/>
      <c r="D55" s="2" t="s">
        <v>6135</v>
      </c>
      <c r="E55" s="2"/>
      <c r="F55" s="2"/>
      <c r="G55" s="2"/>
      <c r="H55" s="2"/>
      <c r="I55" s="2"/>
      <c r="J55" s="2"/>
      <c r="K55" s="2"/>
      <c r="L55" s="2"/>
      <c r="M55" s="2"/>
      <c r="N55" s="2"/>
      <c r="O55" s="2"/>
    </row>
    <row r="56" spans="2:15">
      <c r="B56" s="2"/>
      <c r="C56" s="2"/>
      <c r="D56" s="2"/>
      <c r="E56" s="2" t="s">
        <v>6136</v>
      </c>
      <c r="F56" s="2"/>
      <c r="G56" s="2"/>
      <c r="H56" s="2"/>
      <c r="I56" s="2"/>
      <c r="J56" s="2"/>
      <c r="K56" s="2"/>
      <c r="L56" s="2"/>
      <c r="M56" s="2"/>
      <c r="N56" s="2"/>
      <c r="O56" s="2"/>
    </row>
    <row r="57" spans="2:15">
      <c r="B57" s="2"/>
      <c r="C57" s="2"/>
      <c r="D57" s="2"/>
      <c r="E57" s="2" t="s">
        <v>6137</v>
      </c>
      <c r="F57" s="2"/>
      <c r="G57" s="2"/>
      <c r="H57" s="2"/>
      <c r="I57" s="2"/>
      <c r="J57" s="2"/>
      <c r="K57" s="2"/>
      <c r="L57" s="2"/>
      <c r="M57" s="2"/>
      <c r="N57" s="2"/>
      <c r="O57" s="2"/>
    </row>
    <row r="58" spans="2:15">
      <c r="B58" s="2"/>
      <c r="C58" s="2"/>
      <c r="D58" s="2"/>
      <c r="E58" s="2"/>
      <c r="F58" s="2" t="s">
        <v>6138</v>
      </c>
      <c r="G58" s="2"/>
      <c r="H58" s="2"/>
      <c r="I58" s="2"/>
      <c r="J58" s="2"/>
      <c r="K58" s="2"/>
      <c r="L58" s="2"/>
      <c r="M58" s="2"/>
      <c r="N58" s="2"/>
      <c r="O58" s="2"/>
    </row>
    <row r="59" spans="2:15">
      <c r="B59" s="2"/>
      <c r="C59" s="2"/>
      <c r="D59" s="2"/>
      <c r="E59" s="2"/>
      <c r="F59" s="2" t="s">
        <v>6139</v>
      </c>
      <c r="G59" s="2"/>
      <c r="H59" s="2"/>
      <c r="I59" s="2"/>
      <c r="J59" s="2"/>
      <c r="K59" s="2"/>
      <c r="L59" s="2"/>
      <c r="M59" s="2"/>
      <c r="N59" s="2"/>
      <c r="O59" s="2"/>
    </row>
    <row r="60" spans="2:15">
      <c r="B60" s="2"/>
      <c r="C60" s="2"/>
      <c r="D60" s="2"/>
      <c r="E60" s="2"/>
      <c r="F60" s="2" t="s">
        <v>6140</v>
      </c>
      <c r="G60" s="2"/>
      <c r="H60" s="2"/>
      <c r="I60" s="2"/>
      <c r="J60" s="2"/>
      <c r="K60" s="2"/>
      <c r="L60" s="2"/>
      <c r="M60" s="2"/>
      <c r="N60" s="2"/>
      <c r="O60" s="2"/>
    </row>
    <row r="61" spans="2:15">
      <c r="B61" s="2"/>
      <c r="C61" s="2" t="s">
        <v>6141</v>
      </c>
      <c r="D61" s="2"/>
      <c r="E61" s="2"/>
      <c r="F61" s="2"/>
      <c r="G61" s="2"/>
      <c r="H61" s="2"/>
      <c r="I61" s="2"/>
      <c r="J61" s="2"/>
      <c r="K61" s="2"/>
      <c r="L61" s="2"/>
      <c r="M61" s="2"/>
      <c r="N61" s="2"/>
      <c r="O61" s="2"/>
    </row>
    <row r="62" spans="2:15">
      <c r="B62" s="2"/>
      <c r="C62" s="2"/>
      <c r="D62" s="2" t="s">
        <v>6142</v>
      </c>
      <c r="E62" s="2"/>
      <c r="F62" s="2"/>
      <c r="G62" s="2"/>
      <c r="H62" s="2"/>
      <c r="I62" s="2"/>
      <c r="J62" s="2"/>
      <c r="K62" s="2"/>
      <c r="L62" s="2"/>
      <c r="M62" s="2"/>
      <c r="N62" s="2"/>
      <c r="O62" s="2"/>
    </row>
    <row r="63" spans="2:15">
      <c r="B63" s="2"/>
      <c r="C63" s="2"/>
      <c r="D63" s="2" t="s">
        <v>6143</v>
      </c>
      <c r="E63" s="2"/>
      <c r="F63" s="2"/>
      <c r="G63" s="2"/>
      <c r="H63" s="2"/>
      <c r="I63" s="2"/>
      <c r="J63" s="2"/>
      <c r="K63" s="2"/>
      <c r="L63" s="2"/>
      <c r="M63" s="2"/>
      <c r="N63" s="2"/>
      <c r="O63" s="2"/>
    </row>
    <row r="64" spans="2:15">
      <c r="B64" s="2"/>
      <c r="C64" s="2"/>
      <c r="D64" s="2" t="s">
        <v>6144</v>
      </c>
      <c r="E64" s="2"/>
      <c r="F64" s="2"/>
      <c r="G64" s="2"/>
      <c r="H64" s="2"/>
      <c r="I64" s="2"/>
      <c r="J64" s="2"/>
      <c r="K64" s="2"/>
      <c r="L64" s="2"/>
      <c r="M64" s="2"/>
      <c r="N64" s="2"/>
      <c r="O64" s="2"/>
    </row>
    <row r="65" spans="2:15">
      <c r="B65" s="2"/>
      <c r="C65" s="2"/>
      <c r="D65" s="2"/>
      <c r="E65" s="2" t="s">
        <v>6145</v>
      </c>
      <c r="F65" s="2"/>
      <c r="G65" s="2"/>
      <c r="H65" s="2"/>
      <c r="I65" s="2"/>
      <c r="J65" s="2"/>
      <c r="K65" s="2"/>
      <c r="L65" s="2"/>
      <c r="M65" s="2"/>
      <c r="N65" s="2"/>
      <c r="O65" s="2"/>
    </row>
    <row r="66" spans="2:15">
      <c r="B66" s="2"/>
      <c r="C66" s="2"/>
      <c r="D66" s="2"/>
      <c r="E66" s="2" t="s">
        <v>6146</v>
      </c>
      <c r="F66" s="2"/>
      <c r="G66" s="2"/>
      <c r="H66" s="2"/>
      <c r="I66" s="2"/>
      <c r="J66" s="2"/>
      <c r="K66" s="2"/>
      <c r="L66" s="2"/>
      <c r="M66" s="2"/>
      <c r="N66" s="2"/>
      <c r="O66" s="2"/>
    </row>
    <row r="67" spans="2:15">
      <c r="B67" s="2" t="s">
        <v>6147</v>
      </c>
      <c r="C67" s="2"/>
      <c r="D67" s="2"/>
      <c r="E67" s="2"/>
      <c r="F67" s="2"/>
      <c r="G67" s="2"/>
      <c r="H67" s="2"/>
      <c r="I67" s="2"/>
      <c r="J67" s="2"/>
      <c r="K67" s="2"/>
      <c r="L67" s="2"/>
      <c r="M67" s="2"/>
      <c r="N67" s="2"/>
      <c r="O67" s="2"/>
    </row>
    <row r="68" spans="2:15">
      <c r="B68" s="2"/>
      <c r="C68" s="2" t="s">
        <v>6148</v>
      </c>
      <c r="D68" s="2"/>
      <c r="E68" s="2"/>
      <c r="F68" s="2"/>
      <c r="G68" s="2"/>
      <c r="H68" s="2"/>
      <c r="I68" s="2"/>
      <c r="J68" s="2"/>
      <c r="K68" s="2"/>
      <c r="L68" s="2"/>
      <c r="M68" s="2"/>
      <c r="N68" s="2"/>
      <c r="O68" s="2"/>
    </row>
    <row r="69" spans="2:15">
      <c r="B69" s="2"/>
      <c r="C69" s="2"/>
      <c r="D69" s="2" t="s">
        <v>6149</v>
      </c>
      <c r="E69" s="2"/>
      <c r="F69" s="2"/>
      <c r="G69" s="2"/>
      <c r="H69" s="2"/>
      <c r="I69" s="2"/>
      <c r="J69" s="2"/>
      <c r="K69" s="2"/>
      <c r="L69" s="2"/>
      <c r="M69" s="2"/>
      <c r="N69" s="2"/>
      <c r="O69" s="2"/>
    </row>
    <row r="70" spans="2:15">
      <c r="B70" s="2"/>
      <c r="C70" s="2"/>
      <c r="D70" s="2" t="s">
        <v>6150</v>
      </c>
      <c r="E70" s="2"/>
      <c r="F70" s="2"/>
      <c r="G70" s="2"/>
      <c r="H70" s="2"/>
      <c r="I70" s="2"/>
      <c r="J70" s="2"/>
      <c r="K70" s="2"/>
      <c r="L70" s="2"/>
      <c r="M70" s="2"/>
      <c r="N70" s="2"/>
      <c r="O70" s="2"/>
    </row>
    <row r="71" spans="2:15">
      <c r="B71" s="2"/>
      <c r="C71" s="2"/>
      <c r="D71" s="2" t="s">
        <v>6151</v>
      </c>
      <c r="E71" s="2"/>
      <c r="F71" s="2"/>
      <c r="G71" s="2"/>
      <c r="H71" s="2"/>
      <c r="I71" s="2"/>
      <c r="J71" s="2"/>
      <c r="K71" s="2"/>
      <c r="L71" s="2"/>
      <c r="M71" s="2"/>
      <c r="N71" s="2"/>
      <c r="O71" s="2"/>
    </row>
    <row r="72" spans="2:15">
      <c r="B72" s="2"/>
      <c r="C72" s="2" t="s">
        <v>6152</v>
      </c>
      <c r="D72" s="2"/>
      <c r="E72" s="2"/>
      <c r="F72" s="2"/>
      <c r="G72" s="2"/>
      <c r="H72" s="2"/>
      <c r="I72" s="2"/>
      <c r="J72" s="2"/>
      <c r="K72" s="2"/>
      <c r="L72" s="2"/>
      <c r="M72" s="2"/>
      <c r="N72" s="2"/>
      <c r="O72" s="2"/>
    </row>
    <row r="73" spans="2:15">
      <c r="B73" s="2"/>
      <c r="C73" s="2"/>
      <c r="D73" s="2" t="s">
        <v>6153</v>
      </c>
      <c r="E73" s="2"/>
      <c r="F73" s="2"/>
      <c r="G73" s="2"/>
      <c r="H73" s="2"/>
      <c r="I73" s="2"/>
      <c r="J73" s="2"/>
      <c r="K73" s="2"/>
      <c r="L73" s="2"/>
      <c r="M73" s="2"/>
      <c r="N73" s="2"/>
      <c r="O73" s="2"/>
    </row>
    <row r="74" spans="2:15">
      <c r="B74" s="2"/>
      <c r="C74" s="2"/>
      <c r="D74" s="2"/>
      <c r="E74" s="2" t="s">
        <v>6154</v>
      </c>
      <c r="F74" s="2"/>
      <c r="G74" s="2"/>
      <c r="H74" s="2"/>
      <c r="I74" s="2"/>
      <c r="J74" s="2"/>
      <c r="K74" s="2"/>
      <c r="L74" s="2"/>
      <c r="M74" s="2"/>
      <c r="N74" s="2"/>
      <c r="O74" s="2"/>
    </row>
    <row r="75" spans="2:15">
      <c r="B75" s="2"/>
      <c r="C75" s="2"/>
      <c r="D75" s="2"/>
      <c r="E75" s="2" t="s">
        <v>6155</v>
      </c>
      <c r="F75" s="2"/>
      <c r="G75" s="2"/>
      <c r="H75" s="2"/>
      <c r="I75" s="2"/>
      <c r="J75" s="2"/>
      <c r="K75" s="2"/>
      <c r="L75" s="2"/>
      <c r="M75" s="2"/>
      <c r="N75" s="2"/>
      <c r="O75" s="2"/>
    </row>
    <row r="76" spans="2:15">
      <c r="B76" s="2"/>
      <c r="C76" s="2"/>
      <c r="D76" s="2"/>
      <c r="E76" s="2" t="s">
        <v>6156</v>
      </c>
      <c r="F76" s="2"/>
      <c r="G76" s="2"/>
      <c r="H76" s="2"/>
      <c r="I76" s="2"/>
      <c r="J76" s="2"/>
      <c r="K76" s="2"/>
      <c r="L76" s="2"/>
      <c r="M76" s="2"/>
      <c r="N76" s="2"/>
      <c r="O76" s="2"/>
    </row>
    <row r="77" spans="2:15">
      <c r="B77" s="2"/>
      <c r="C77" s="2"/>
      <c r="D77" s="2" t="s">
        <v>6157</v>
      </c>
      <c r="E77" s="2"/>
      <c r="F77" s="2"/>
      <c r="G77" s="2"/>
      <c r="H77" s="2"/>
      <c r="I77" s="2"/>
      <c r="J77" s="2"/>
      <c r="K77" s="2"/>
      <c r="L77" s="2"/>
      <c r="M77" s="2"/>
      <c r="N77" s="2"/>
      <c r="O77" s="2"/>
    </row>
    <row r="78" spans="2:15">
      <c r="B78" s="2"/>
      <c r="C78" s="2"/>
      <c r="D78" s="2"/>
      <c r="E78" s="2" t="s">
        <v>6158</v>
      </c>
      <c r="F78" s="2"/>
      <c r="G78" s="2"/>
      <c r="H78" s="2"/>
      <c r="I78" s="2"/>
      <c r="J78" s="2"/>
      <c r="K78" s="2"/>
      <c r="L78" s="2"/>
      <c r="M78" s="2"/>
      <c r="N78" s="2"/>
      <c r="O78" s="2"/>
    </row>
    <row r="79" spans="2:15">
      <c r="B79" s="2"/>
      <c r="C79" s="2"/>
      <c r="D79" s="2"/>
      <c r="E79" s="2" t="s">
        <v>6159</v>
      </c>
      <c r="F79" s="2"/>
      <c r="G79" s="2"/>
      <c r="H79" s="2"/>
      <c r="I79" s="2"/>
      <c r="J79" s="2"/>
      <c r="K79" s="2"/>
      <c r="L79" s="2"/>
      <c r="M79" s="2"/>
      <c r="N79" s="2"/>
      <c r="O79" s="2"/>
    </row>
    <row r="80" spans="2:15">
      <c r="B80" s="2"/>
      <c r="C80" s="2"/>
      <c r="D80" s="2"/>
      <c r="E80" s="2" t="s">
        <v>6160</v>
      </c>
      <c r="F80" s="2"/>
      <c r="G80" s="2"/>
      <c r="H80" s="2"/>
      <c r="I80" s="2"/>
      <c r="J80" s="2"/>
      <c r="K80" s="2"/>
      <c r="L80" s="2"/>
      <c r="M80" s="2"/>
      <c r="N80" s="2"/>
      <c r="O80" s="2"/>
    </row>
    <row r="81" spans="2:15">
      <c r="B81" s="2"/>
      <c r="C81" s="2"/>
      <c r="D81" s="2" t="s">
        <v>6161</v>
      </c>
      <c r="E81" s="2"/>
      <c r="F81" s="2"/>
      <c r="G81" s="2"/>
      <c r="H81" s="2"/>
      <c r="I81" s="2"/>
      <c r="J81" s="2"/>
      <c r="K81" s="2"/>
      <c r="L81" s="2"/>
      <c r="M81" s="2"/>
      <c r="N81" s="2"/>
      <c r="O81" s="2"/>
    </row>
    <row r="82" spans="2:15">
      <c r="B82" s="2"/>
      <c r="C82" s="2" t="s">
        <v>6162</v>
      </c>
      <c r="D82" s="2"/>
      <c r="E82" s="2"/>
      <c r="F82" s="2"/>
      <c r="G82" s="2"/>
      <c r="H82" s="2"/>
      <c r="I82" s="2"/>
      <c r="J82" s="2"/>
      <c r="K82" s="2"/>
      <c r="L82" s="2"/>
      <c r="M82" s="2"/>
      <c r="N82" s="2"/>
      <c r="O82" s="2"/>
    </row>
    <row r="83" spans="2:15">
      <c r="B83" s="2"/>
      <c r="C83" s="2"/>
      <c r="D83" s="2" t="s">
        <v>6163</v>
      </c>
      <c r="E83" s="2"/>
      <c r="F83" s="2"/>
      <c r="G83" s="2"/>
      <c r="H83" s="2"/>
      <c r="I83" s="2"/>
      <c r="J83" s="2"/>
      <c r="K83" s="2"/>
      <c r="L83" s="2"/>
      <c r="M83" s="2"/>
      <c r="N83" s="2"/>
      <c r="O83" s="2"/>
    </row>
    <row r="84" spans="2:15">
      <c r="B84" s="2"/>
      <c r="C84" s="2"/>
      <c r="D84" s="2" t="s">
        <v>6164</v>
      </c>
      <c r="E84" s="2"/>
      <c r="F84" s="2"/>
      <c r="G84" s="2"/>
      <c r="H84" s="2"/>
      <c r="I84" s="2"/>
      <c r="J84" s="2"/>
      <c r="K84" s="2"/>
      <c r="L84" s="2"/>
      <c r="M84" s="2"/>
      <c r="N84" s="2"/>
      <c r="O84" s="2"/>
    </row>
    <row r="85" spans="2:15">
      <c r="B85" s="2"/>
      <c r="C85" s="2"/>
      <c r="D85" s="2"/>
      <c r="E85" s="2" t="s">
        <v>6165</v>
      </c>
      <c r="F85" s="2"/>
      <c r="G85" s="2"/>
      <c r="H85" s="2"/>
      <c r="I85" s="2"/>
      <c r="J85" s="2"/>
      <c r="K85" s="2"/>
      <c r="L85" s="2"/>
      <c r="M85" s="2"/>
      <c r="N85" s="2"/>
      <c r="O85" s="2"/>
    </row>
    <row r="86" spans="2:15">
      <c r="B86" s="2"/>
      <c r="C86" s="2"/>
      <c r="D86" s="2"/>
      <c r="E86" s="2" t="s">
        <v>6166</v>
      </c>
      <c r="F86" s="2"/>
      <c r="G86" s="2"/>
      <c r="H86" s="2"/>
      <c r="I86" s="2"/>
      <c r="J86" s="2"/>
      <c r="K86" s="2"/>
      <c r="L86" s="2"/>
      <c r="M86" s="2"/>
      <c r="N86" s="2"/>
      <c r="O86" s="2"/>
    </row>
    <row r="87" spans="2:15">
      <c r="B87" t="s">
        <v>6167</v>
      </c>
      <c r="E87" s="2"/>
      <c r="F87" s="2"/>
      <c r="G87" s="2"/>
      <c r="H87" s="2"/>
      <c r="I87" s="2"/>
      <c r="J87" s="2"/>
      <c r="K87" s="2"/>
      <c r="L87" s="2"/>
      <c r="M87" s="2"/>
    </row>
    <row r="88" spans="2:15">
      <c r="C88" t="s">
        <v>6168</v>
      </c>
      <c r="E88" s="2"/>
      <c r="F88" s="2"/>
      <c r="G88" s="2"/>
      <c r="H88" s="2"/>
      <c r="I88" s="2"/>
      <c r="J88" s="2"/>
      <c r="K88" s="2"/>
      <c r="L88" s="2"/>
    </row>
    <row r="89" spans="2:15">
      <c r="D89" t="s">
        <v>6169</v>
      </c>
      <c r="E89" s="2"/>
      <c r="F89" s="2"/>
      <c r="G89" s="2"/>
      <c r="H89" s="2"/>
      <c r="I89" s="2"/>
      <c r="J89" s="2"/>
      <c r="K89" s="2"/>
      <c r="L89" s="2"/>
    </row>
    <row r="90" spans="2:15">
      <c r="E90" t="s">
        <v>6170</v>
      </c>
      <c r="F90" s="2"/>
      <c r="G90" s="2"/>
      <c r="H90" s="2"/>
      <c r="I90" s="2"/>
      <c r="J90" s="2"/>
      <c r="K90" s="2"/>
      <c r="L90" s="2"/>
    </row>
    <row r="91" spans="2:15">
      <c r="F91" t="s">
        <v>6171</v>
      </c>
      <c r="G91" s="2"/>
      <c r="H91" s="2"/>
      <c r="I91" s="2"/>
      <c r="J91" s="2"/>
      <c r="K91" s="2"/>
      <c r="L91" s="2"/>
    </row>
    <row r="92" spans="2:15">
      <c r="E92" t="s">
        <v>6172</v>
      </c>
      <c r="F92" s="2"/>
      <c r="G92" s="2"/>
      <c r="H92" s="2"/>
      <c r="I92" s="2"/>
      <c r="J92" s="2"/>
      <c r="K92" s="2"/>
      <c r="L92" s="2"/>
    </row>
    <row r="93" spans="2:15">
      <c r="F93" t="s">
        <v>6173</v>
      </c>
      <c r="G93" s="2"/>
      <c r="H93" s="2"/>
      <c r="I93" s="2"/>
      <c r="J93" s="2"/>
      <c r="K93" s="2"/>
      <c r="L93" s="2"/>
    </row>
    <row r="94" spans="2:15">
      <c r="D94" t="s">
        <v>6174</v>
      </c>
      <c r="E94" s="2"/>
      <c r="F94" s="2"/>
      <c r="G94" s="2"/>
      <c r="H94" s="2"/>
      <c r="I94" s="2"/>
      <c r="J94" s="2"/>
      <c r="K94" s="2"/>
      <c r="L94" s="2"/>
    </row>
    <row r="95" spans="2:15">
      <c r="E95" t="s">
        <v>6175</v>
      </c>
      <c r="F95" s="2"/>
      <c r="G95" s="2"/>
      <c r="H95" s="2"/>
      <c r="I95" s="2"/>
      <c r="J95" s="2"/>
      <c r="K95" s="2"/>
      <c r="L95" s="2"/>
    </row>
    <row r="96" spans="2:15">
      <c r="F96" t="s">
        <v>6176</v>
      </c>
      <c r="G96" s="2"/>
      <c r="H96" s="2"/>
      <c r="I96" s="2"/>
      <c r="J96" s="2"/>
      <c r="K96" s="2"/>
      <c r="L96" s="2"/>
    </row>
    <row r="97" spans="3:12">
      <c r="E97" t="s">
        <v>6177</v>
      </c>
      <c r="F97" s="2"/>
      <c r="G97" s="2"/>
      <c r="H97" s="2"/>
      <c r="I97" s="2"/>
      <c r="J97" s="2"/>
      <c r="K97" s="2"/>
      <c r="L97" s="2"/>
    </row>
    <row r="98" spans="3:12">
      <c r="F98" t="s">
        <v>6178</v>
      </c>
    </row>
    <row r="99" spans="3:12">
      <c r="C99" t="s">
        <v>6179</v>
      </c>
    </row>
    <row r="100" spans="3:12">
      <c r="D100" t="s">
        <v>6180</v>
      </c>
    </row>
    <row r="101" spans="3:12">
      <c r="E101" t="s">
        <v>6181</v>
      </c>
    </row>
    <row r="102" spans="3:12">
      <c r="F102" t="s">
        <v>6182</v>
      </c>
    </row>
    <row r="103" spans="3:12">
      <c r="E103" t="s">
        <v>6183</v>
      </c>
    </row>
    <row r="104" spans="3:12">
      <c r="F104" t="s">
        <v>6184</v>
      </c>
    </row>
    <row r="105" spans="3:12">
      <c r="E105" t="s">
        <v>6185</v>
      </c>
    </row>
    <row r="106" spans="3:12">
      <c r="F106" t="s">
        <v>6186</v>
      </c>
    </row>
    <row r="107" spans="3:12">
      <c r="D107" t="s">
        <v>6187</v>
      </c>
    </row>
    <row r="108" spans="3:12">
      <c r="E108" t="s">
        <v>6188</v>
      </c>
    </row>
    <row r="109" spans="3:12">
      <c r="F109" t="s">
        <v>6189</v>
      </c>
    </row>
    <row r="110" spans="3:12">
      <c r="E110" t="s">
        <v>6190</v>
      </c>
    </row>
    <row r="111" spans="3:12">
      <c r="F111" t="s">
        <v>6191</v>
      </c>
    </row>
    <row r="112" spans="3:12">
      <c r="D112" t="s">
        <v>6192</v>
      </c>
    </row>
    <row r="113" spans="5:6">
      <c r="E113" t="s">
        <v>6193</v>
      </c>
    </row>
    <row r="114" spans="5:6">
      <c r="F114" t="s">
        <v>6194</v>
      </c>
    </row>
    <row r="115" spans="5:6">
      <c r="E115" t="s">
        <v>6195</v>
      </c>
    </row>
    <row r="116" spans="5:6">
      <c r="F116" t="s">
        <v>6196</v>
      </c>
    </row>
  </sheetData>
  <pageMargins left="0.75" right="0.75" top="1" bottom="1" header="0.5" footer="0.5"/>
  <pageSetup paperSize="9" orientation="portrait"/>
  <headerFooter/>
</worksheet>
</file>

<file path=xl/worksheets/sheet2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192"/>
  <sheetViews>
    <sheetView zoomScale="115" zoomScaleNormal="115" topLeftCell="A179" workbookViewId="0">
      <selection activeCell="F166" sqref="F166"/>
    </sheetView>
  </sheetViews>
  <sheetFormatPr defaultColWidth="8.88888888888889" defaultRowHeight="14.4" outlineLevelCol="7"/>
  <cols>
    <col min="1" max="1" width="9.66666666666667"/>
  </cols>
  <sheetData>
    <row r="1" spans="1:8">
      <c r="A1" s="1">
        <f>SUM(B1:AZ1)</f>
        <v>42.7166666666667</v>
      </c>
      <c r="B1" s="1">
        <f>COUNTA(B2:B2320)/COLUMN()</f>
        <v>2.5</v>
      </c>
      <c r="C1" s="1">
        <f>COUNTA(C2:C2320)/COLUMN()</f>
        <v>6</v>
      </c>
      <c r="D1" s="1">
        <f>COUNTA(D2:D2320)/COLUMN()</f>
        <v>11.75</v>
      </c>
      <c r="E1" s="1">
        <f>COUNTA(E2:E2320)/COLUMN()</f>
        <v>13.8</v>
      </c>
      <c r="F1" s="1">
        <f>COUNTA(F2:F2320)/COLUMN()</f>
        <v>8.66666666666667</v>
      </c>
      <c r="G1" s="1">
        <f>COUNTA(G2:G2320)/COLUMN()</f>
        <v>0</v>
      </c>
      <c r="H1" s="1">
        <f>COUNTA(H2:H2320)/COLUMN()</f>
        <v>0</v>
      </c>
    </row>
    <row r="2" spans="1:8">
      <c r="A2" t="str" cm="1">
        <f ca="1" t="array" ref="A2">_wpsfn.SHEETSNAME(A1)</f>
        <v>20251213</v>
      </c>
      <c r="B2" t="s">
        <v>6197</v>
      </c>
    </row>
    <row r="3" spans="1:8">
      <c r="C3" t="s">
        <v>6198</v>
      </c>
    </row>
    <row r="4" spans="1:8">
      <c r="D4" t="s">
        <v>6199</v>
      </c>
    </row>
    <row r="5" spans="1:8">
      <c r="D5" t="s">
        <v>6200</v>
      </c>
    </row>
    <row r="6" spans="1:8">
      <c r="E6" t="s">
        <v>6201</v>
      </c>
    </row>
    <row r="7" spans="1:8">
      <c r="E7" t="s">
        <v>6202</v>
      </c>
    </row>
    <row r="8" spans="1:8">
      <c r="C8" t="s">
        <v>6203</v>
      </c>
    </row>
    <row r="9" spans="1:8">
      <c r="D9" t="s">
        <v>6204</v>
      </c>
    </row>
    <row r="10" spans="1:8">
      <c r="D10" t="s">
        <v>6205</v>
      </c>
    </row>
    <row r="11" spans="1:8">
      <c r="C11" t="s">
        <v>6206</v>
      </c>
    </row>
    <row r="12" spans="1:8">
      <c r="D12" t="s">
        <v>6207</v>
      </c>
    </row>
    <row r="13" spans="1:8">
      <c r="E13" t="s">
        <v>6208</v>
      </c>
    </row>
    <row r="14" spans="1:8">
      <c r="E14" t="s">
        <v>6209</v>
      </c>
    </row>
    <row r="15" spans="1:8">
      <c r="D15" t="s">
        <v>6210</v>
      </c>
    </row>
    <row r="16" spans="1:8">
      <c r="C16" t="s">
        <v>6211</v>
      </c>
    </row>
    <row r="17" spans="2:6">
      <c r="D17" t="s">
        <v>6212</v>
      </c>
    </row>
    <row r="18" spans="2:6">
      <c r="D18" t="s">
        <v>6213</v>
      </c>
    </row>
    <row r="19" spans="2:6">
      <c r="D19" t="s">
        <v>6214</v>
      </c>
    </row>
    <row r="20" spans="2:6">
      <c r="C20" t="s">
        <v>6215</v>
      </c>
    </row>
    <row r="21" spans="2:6">
      <c r="D21" t="s">
        <v>6216</v>
      </c>
    </row>
    <row r="22" spans="2:6">
      <c r="D22" t="s">
        <v>6217</v>
      </c>
    </row>
    <row r="23" spans="2:6">
      <c r="E23" t="s">
        <v>6218</v>
      </c>
    </row>
    <row r="24" spans="2:6">
      <c r="E24" t="s">
        <v>6219</v>
      </c>
    </row>
    <row r="25" spans="2:6">
      <c r="D25" t="s">
        <v>6220</v>
      </c>
    </row>
    <row r="26" spans="2:6">
      <c r="E26" t="s">
        <v>6221</v>
      </c>
    </row>
    <row r="27" spans="2:6">
      <c r="E27" t="s">
        <v>6222</v>
      </c>
    </row>
    <row r="28" spans="2:6">
      <c r="F28" t="s">
        <v>6223</v>
      </c>
    </row>
    <row r="29" spans="2:6">
      <c r="F29" t="s">
        <v>6224</v>
      </c>
    </row>
    <row r="30" spans="2:6">
      <c r="B30" t="s">
        <v>6225</v>
      </c>
    </row>
    <row r="31" spans="2:6">
      <c r="C31" t="s">
        <v>6226</v>
      </c>
    </row>
    <row r="32" spans="2:6">
      <c r="D32" t="s">
        <v>6227</v>
      </c>
    </row>
    <row r="33" spans="4:6">
      <c r="E33" t="s">
        <v>6228</v>
      </c>
    </row>
    <row r="34" spans="4:6">
      <c r="F34" t="s">
        <v>6229</v>
      </c>
    </row>
    <row r="35" spans="4:6">
      <c r="D35" t="s">
        <v>6230</v>
      </c>
    </row>
    <row r="36" spans="4:6">
      <c r="E36" t="s">
        <v>6231</v>
      </c>
    </row>
    <row r="37" spans="4:6">
      <c r="F37" t="s">
        <v>6232</v>
      </c>
    </row>
    <row r="38" spans="4:6">
      <c r="E38" t="s">
        <v>6233</v>
      </c>
    </row>
    <row r="39" spans="4:6">
      <c r="F39" t="s">
        <v>6234</v>
      </c>
    </row>
    <row r="40" spans="4:6">
      <c r="E40" t="s">
        <v>6235</v>
      </c>
    </row>
    <row r="41" spans="4:6">
      <c r="F41" t="s">
        <v>6236</v>
      </c>
    </row>
    <row r="42" spans="4:6">
      <c r="D42" t="s">
        <v>6237</v>
      </c>
    </row>
    <row r="43" spans="4:6">
      <c r="E43" t="s">
        <v>6238</v>
      </c>
    </row>
    <row r="44" spans="4:6">
      <c r="F44" t="s">
        <v>6239</v>
      </c>
    </row>
    <row r="45" spans="4:6">
      <c r="E45" t="s">
        <v>6240</v>
      </c>
    </row>
    <row r="46" spans="4:6">
      <c r="F46" t="s">
        <v>6241</v>
      </c>
    </row>
    <row r="47" spans="4:6">
      <c r="E47" t="s">
        <v>6242</v>
      </c>
    </row>
    <row r="48" spans="4:6">
      <c r="F48" t="s">
        <v>6243</v>
      </c>
    </row>
    <row r="49" spans="3:6">
      <c r="E49" t="s">
        <v>6244</v>
      </c>
    </row>
    <row r="50" spans="3:6">
      <c r="F50" t="s">
        <v>6245</v>
      </c>
    </row>
    <row r="51" spans="3:6">
      <c r="D51" t="s">
        <v>6246</v>
      </c>
    </row>
    <row r="52" spans="3:6">
      <c r="E52" t="s">
        <v>6247</v>
      </c>
    </row>
    <row r="53" spans="3:6">
      <c r="F53" t="s">
        <v>6248</v>
      </c>
    </row>
    <row r="54" spans="3:6">
      <c r="C54" t="s">
        <v>6249</v>
      </c>
    </row>
    <row r="55" spans="3:6">
      <c r="D55" t="s">
        <v>6250</v>
      </c>
    </row>
    <row r="56" spans="3:6">
      <c r="E56" t="s">
        <v>6251</v>
      </c>
    </row>
    <row r="57" spans="3:6">
      <c r="F57" t="s">
        <v>6252</v>
      </c>
    </row>
    <row r="58" spans="3:6">
      <c r="D58" t="s">
        <v>6253</v>
      </c>
    </row>
    <row r="59" spans="3:6">
      <c r="E59" t="s">
        <v>6254</v>
      </c>
    </row>
    <row r="60" spans="3:6">
      <c r="F60" t="s">
        <v>6255</v>
      </c>
    </row>
    <row r="61" spans="3:6">
      <c r="E61" t="s">
        <v>6256</v>
      </c>
    </row>
    <row r="62" spans="3:6">
      <c r="F62" t="s">
        <v>6257</v>
      </c>
    </row>
    <row r="63" spans="3:6">
      <c r="D63" t="s">
        <v>6258</v>
      </c>
    </row>
    <row r="64" spans="3:6">
      <c r="E64" t="s">
        <v>6259</v>
      </c>
    </row>
    <row r="65" spans="2:6">
      <c r="F65" t="s">
        <v>6260</v>
      </c>
    </row>
    <row r="66" spans="2:6">
      <c r="E66" t="s">
        <v>6261</v>
      </c>
    </row>
    <row r="67" spans="2:6">
      <c r="F67" t="s">
        <v>6262</v>
      </c>
    </row>
    <row r="68" spans="2:6">
      <c r="E68" t="s">
        <v>6263</v>
      </c>
    </row>
    <row r="69" spans="2:6">
      <c r="F69" t="s">
        <v>6264</v>
      </c>
    </row>
    <row r="70" spans="2:6">
      <c r="B70" t="s">
        <v>6265</v>
      </c>
    </row>
    <row r="71" spans="2:6">
      <c r="C71" t="s">
        <v>6266</v>
      </c>
    </row>
    <row r="72" spans="2:6">
      <c r="D72" t="s">
        <v>6267</v>
      </c>
    </row>
    <row r="73" spans="2:6">
      <c r="E73" t="s">
        <v>6268</v>
      </c>
    </row>
    <row r="74" spans="2:6">
      <c r="D74" t="s">
        <v>6269</v>
      </c>
    </row>
    <row r="75" spans="2:6">
      <c r="E75" t="s">
        <v>6270</v>
      </c>
    </row>
    <row r="76" spans="2:6">
      <c r="D76" t="s">
        <v>6271</v>
      </c>
    </row>
    <row r="77" spans="2:6">
      <c r="E77" t="s">
        <v>6272</v>
      </c>
    </row>
    <row r="78" spans="2:6">
      <c r="C78" t="s">
        <v>6273</v>
      </c>
    </row>
    <row r="79" spans="2:6">
      <c r="D79" t="s">
        <v>6274</v>
      </c>
    </row>
    <row r="80" spans="2:6">
      <c r="E80" t="s">
        <v>6275</v>
      </c>
    </row>
    <row r="81" spans="3:6">
      <c r="D81" t="s">
        <v>6276</v>
      </c>
    </row>
    <row r="82" spans="3:6">
      <c r="E82" t="s">
        <v>6277</v>
      </c>
    </row>
    <row r="83" spans="3:6">
      <c r="D83" t="s">
        <v>6278</v>
      </c>
    </row>
    <row r="84" spans="3:6">
      <c r="E84" t="s">
        <v>6279</v>
      </c>
    </row>
    <row r="85" spans="3:6">
      <c r="C85" t="s">
        <v>6280</v>
      </c>
    </row>
    <row r="86" spans="3:6">
      <c r="D86" t="s">
        <v>6281</v>
      </c>
    </row>
    <row r="87" spans="3:6">
      <c r="E87" t="s">
        <v>6282</v>
      </c>
    </row>
    <row r="88" spans="3:6">
      <c r="D88" t="s">
        <v>6283</v>
      </c>
    </row>
    <row r="89" spans="3:6">
      <c r="E89" t="s">
        <v>6284</v>
      </c>
    </row>
    <row r="90" spans="3:6">
      <c r="E90" t="s">
        <v>6285</v>
      </c>
    </row>
    <row r="91" spans="3:6">
      <c r="E91" t="s">
        <v>6286</v>
      </c>
    </row>
    <row r="92" spans="3:6">
      <c r="D92" t="s">
        <v>6287</v>
      </c>
    </row>
    <row r="93" spans="3:6">
      <c r="D93" t="s">
        <v>6288</v>
      </c>
    </row>
    <row r="94" spans="3:6">
      <c r="E94" t="s">
        <v>6289</v>
      </c>
    </row>
    <row r="95" spans="3:6">
      <c r="F95" t="s">
        <v>6290</v>
      </c>
    </row>
    <row r="96" spans="3:6">
      <c r="E96" t="s">
        <v>6291</v>
      </c>
    </row>
    <row r="97" spans="2:6">
      <c r="F97" t="s">
        <v>6292</v>
      </c>
    </row>
    <row r="98" spans="2:6">
      <c r="F98" t="s">
        <v>6293</v>
      </c>
    </row>
    <row r="99" spans="2:6">
      <c r="D99" t="s">
        <v>6294</v>
      </c>
    </row>
    <row r="100" spans="2:6">
      <c r="E100" t="s">
        <v>6295</v>
      </c>
    </row>
    <row r="101" spans="2:6">
      <c r="F101" t="s">
        <v>6296</v>
      </c>
    </row>
    <row r="102" spans="2:6">
      <c r="E102" t="s">
        <v>6297</v>
      </c>
    </row>
    <row r="103" spans="2:6">
      <c r="F103" t="s">
        <v>6298</v>
      </c>
    </row>
    <row r="104" spans="2:6">
      <c r="F104" t="s">
        <v>6299</v>
      </c>
    </row>
    <row r="105" spans="2:6">
      <c r="D105" t="s">
        <v>6300</v>
      </c>
    </row>
    <row r="106" spans="2:6">
      <c r="E106" t="s">
        <v>6301</v>
      </c>
    </row>
    <row r="107" spans="2:6">
      <c r="B107" t="s">
        <v>6302</v>
      </c>
    </row>
    <row r="108" spans="2:6">
      <c r="C108" t="s">
        <v>6303</v>
      </c>
    </row>
    <row r="109" spans="2:6">
      <c r="D109" t="s">
        <v>6304</v>
      </c>
    </row>
    <row r="110" spans="2:6">
      <c r="E110" t="s">
        <v>6305</v>
      </c>
    </row>
    <row r="111" spans="2:6">
      <c r="F111" t="s">
        <v>6306</v>
      </c>
    </row>
    <row r="112" spans="2:6">
      <c r="E112" t="s">
        <v>6307</v>
      </c>
    </row>
    <row r="113" spans="3:6">
      <c r="F113" t="s">
        <v>6308</v>
      </c>
    </row>
    <row r="114" spans="3:6">
      <c r="D114" t="s">
        <v>6309</v>
      </c>
    </row>
    <row r="115" spans="3:6">
      <c r="E115" t="s">
        <v>6310</v>
      </c>
    </row>
    <row r="116" spans="3:6">
      <c r="F116" t="s">
        <v>6311</v>
      </c>
    </row>
    <row r="117" spans="3:6">
      <c r="E117" t="s">
        <v>6312</v>
      </c>
    </row>
    <row r="118" spans="3:6">
      <c r="F118" t="s">
        <v>6313</v>
      </c>
    </row>
    <row r="119" spans="3:6">
      <c r="C119" t="s">
        <v>6314</v>
      </c>
    </row>
    <row r="120" spans="3:6">
      <c r="D120" t="s">
        <v>6315</v>
      </c>
    </row>
    <row r="121" spans="3:6">
      <c r="E121" t="s">
        <v>6316</v>
      </c>
    </row>
    <row r="122" spans="3:6">
      <c r="F122" t="s">
        <v>6317</v>
      </c>
    </row>
    <row r="123" spans="3:6">
      <c r="E123" t="s">
        <v>6318</v>
      </c>
    </row>
    <row r="124" spans="3:6">
      <c r="F124" t="s">
        <v>6319</v>
      </c>
    </row>
    <row r="125" spans="3:6">
      <c r="D125" t="s">
        <v>6320</v>
      </c>
    </row>
    <row r="126" spans="3:6">
      <c r="E126" t="s">
        <v>6321</v>
      </c>
    </row>
    <row r="127" spans="3:6">
      <c r="F127" t="s">
        <v>6322</v>
      </c>
    </row>
    <row r="128" spans="3:6">
      <c r="E128" t="s">
        <v>6323</v>
      </c>
    </row>
    <row r="129" spans="3:6">
      <c r="F129" t="s">
        <v>6324</v>
      </c>
    </row>
    <row r="130" spans="3:6">
      <c r="C130" t="s">
        <v>6325</v>
      </c>
    </row>
    <row r="131" spans="3:6">
      <c r="D131" t="s">
        <v>6326</v>
      </c>
    </row>
    <row r="132" spans="3:6">
      <c r="E132" t="s">
        <v>6327</v>
      </c>
    </row>
    <row r="133" spans="3:6">
      <c r="F133" t="s">
        <v>6328</v>
      </c>
    </row>
    <row r="134" spans="3:6">
      <c r="E134" t="s">
        <v>6329</v>
      </c>
    </row>
    <row r="135" spans="3:6">
      <c r="F135" t="s">
        <v>6330</v>
      </c>
    </row>
    <row r="136" spans="3:6">
      <c r="D136" t="s">
        <v>6331</v>
      </c>
    </row>
    <row r="137" spans="3:6">
      <c r="E137" t="s">
        <v>6332</v>
      </c>
    </row>
    <row r="138" spans="3:6">
      <c r="F138" t="s">
        <v>6333</v>
      </c>
    </row>
    <row r="139" spans="3:6">
      <c r="E139" t="s">
        <v>6334</v>
      </c>
    </row>
    <row r="140" spans="3:6">
      <c r="F140" t="s">
        <v>6335</v>
      </c>
    </row>
    <row r="141" spans="3:6">
      <c r="C141" t="s">
        <v>6336</v>
      </c>
    </row>
    <row r="142" spans="3:6">
      <c r="D142" t="s">
        <v>6337</v>
      </c>
    </row>
    <row r="143" spans="3:6">
      <c r="E143" t="s">
        <v>6338</v>
      </c>
    </row>
    <row r="144" spans="3:6">
      <c r="F144" t="s">
        <v>6339</v>
      </c>
    </row>
    <row r="145" spans="2:6">
      <c r="E145" t="s">
        <v>6340</v>
      </c>
    </row>
    <row r="146" spans="2:6">
      <c r="F146" t="s">
        <v>6341</v>
      </c>
    </row>
    <row r="147" spans="2:6">
      <c r="D147" t="s">
        <v>6342</v>
      </c>
    </row>
    <row r="148" spans="2:6">
      <c r="E148" t="s">
        <v>6343</v>
      </c>
    </row>
    <row r="149" spans="2:6">
      <c r="F149" t="s">
        <v>6344</v>
      </c>
    </row>
    <row r="150" spans="2:6">
      <c r="E150" t="s">
        <v>6345</v>
      </c>
    </row>
    <row r="151" spans="2:6">
      <c r="F151" t="s">
        <v>6346</v>
      </c>
    </row>
    <row r="152" spans="2:6">
      <c r="B152" t="s">
        <v>6347</v>
      </c>
    </row>
    <row r="153" spans="2:6">
      <c r="C153" t="s">
        <v>6348</v>
      </c>
    </row>
    <row r="154" spans="2:6">
      <c r="D154" t="s">
        <v>6349</v>
      </c>
    </row>
    <row r="155" spans="2:6">
      <c r="E155" t="s">
        <v>6350</v>
      </c>
    </row>
    <row r="156" spans="2:6">
      <c r="D156" t="s">
        <v>6351</v>
      </c>
    </row>
    <row r="157" spans="2:6">
      <c r="E157" t="s">
        <v>6352</v>
      </c>
    </row>
    <row r="158" spans="2:6">
      <c r="F158" t="s">
        <v>6353</v>
      </c>
    </row>
    <row r="159" spans="2:6">
      <c r="E159" t="s">
        <v>6354</v>
      </c>
    </row>
    <row r="160" spans="2:6">
      <c r="F160" t="s">
        <v>6355</v>
      </c>
    </row>
    <row r="161" spans="3:6">
      <c r="E161" t="s">
        <v>6356</v>
      </c>
    </row>
    <row r="162" spans="3:6">
      <c r="F162" t="s">
        <v>6357</v>
      </c>
    </row>
    <row r="163" spans="3:6">
      <c r="E163" t="s">
        <v>6358</v>
      </c>
    </row>
    <row r="164" spans="3:6">
      <c r="F164" t="s">
        <v>6359</v>
      </c>
    </row>
    <row r="165" spans="3:6">
      <c r="E165" t="s">
        <v>6360</v>
      </c>
    </row>
    <row r="166" spans="3:6">
      <c r="F166" t="s">
        <v>6361</v>
      </c>
    </row>
    <row r="167" spans="3:6">
      <c r="C167" t="s">
        <v>6362</v>
      </c>
    </row>
    <row r="168" spans="3:6">
      <c r="D168" t="s">
        <v>6363</v>
      </c>
    </row>
    <row r="169" spans="3:6">
      <c r="E169" t="s">
        <v>6364</v>
      </c>
    </row>
    <row r="170" spans="3:6">
      <c r="D170" t="s">
        <v>6365</v>
      </c>
    </row>
    <row r="171" spans="3:6">
      <c r="E171" t="s">
        <v>6366</v>
      </c>
    </row>
    <row r="172" spans="3:6">
      <c r="F172" t="s">
        <v>6367</v>
      </c>
    </row>
    <row r="173" spans="3:6">
      <c r="E173" t="s">
        <v>6368</v>
      </c>
    </row>
    <row r="174" spans="3:6">
      <c r="F174" t="s">
        <v>6369</v>
      </c>
    </row>
    <row r="175" spans="3:6">
      <c r="C175" t="s">
        <v>6370</v>
      </c>
    </row>
    <row r="176" spans="3:6">
      <c r="D176" t="s">
        <v>6371</v>
      </c>
    </row>
    <row r="177" spans="3:6">
      <c r="E177" t="s">
        <v>6372</v>
      </c>
    </row>
    <row r="178" spans="3:6">
      <c r="F178" t="s">
        <v>6373</v>
      </c>
    </row>
    <row r="179" spans="3:6">
      <c r="E179" t="s">
        <v>6374</v>
      </c>
    </row>
    <row r="180" spans="3:6">
      <c r="F180" t="s">
        <v>6375</v>
      </c>
    </row>
    <row r="181" spans="3:6">
      <c r="F181" t="s">
        <v>6376</v>
      </c>
    </row>
    <row r="182" spans="3:6">
      <c r="F182" t="s">
        <v>6377</v>
      </c>
    </row>
    <row r="183" spans="3:6">
      <c r="D183" t="s">
        <v>6378</v>
      </c>
    </row>
    <row r="184" spans="3:6">
      <c r="E184" t="s">
        <v>6379</v>
      </c>
    </row>
    <row r="185" spans="3:6">
      <c r="C185" t="s">
        <v>6380</v>
      </c>
    </row>
    <row r="186" spans="3:6">
      <c r="D186" t="s">
        <v>6381</v>
      </c>
    </row>
    <row r="187" spans="3:6">
      <c r="E187" t="s">
        <v>6382</v>
      </c>
    </row>
    <row r="188" spans="3:6">
      <c r="D188" t="s">
        <v>6383</v>
      </c>
    </row>
    <row r="189" spans="3:6">
      <c r="E189" t="s">
        <v>6384</v>
      </c>
    </row>
    <row r="190" spans="3:6">
      <c r="F190" t="s">
        <v>6385</v>
      </c>
    </row>
    <row r="191" spans="3:6">
      <c r="E191" t="s">
        <v>6386</v>
      </c>
    </row>
    <row r="192" spans="3:6">
      <c r="F192" t="s">
        <v>6387</v>
      </c>
    </row>
  </sheetData>
  <pageMargins left="0.75" right="0.75" top="1" bottom="1" header="0.5" footer="0.5"/>
  <pageSetup paperSize="9" orientation="portrait"/>
  <headerFooter/>
</worksheet>
</file>

<file path=xl/worksheets/sheet2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156"/>
  <sheetViews>
    <sheetView tabSelected="1" zoomScale="115" zoomScaleNormal="115" topLeftCell="A138" workbookViewId="0">
      <selection activeCell="C147" sqref="C147"/>
    </sheetView>
  </sheetViews>
  <sheetFormatPr defaultColWidth="8.88888888888889" defaultRowHeight="14.4" outlineLevelCol="7"/>
  <cols>
    <col min="1" max="1" width="9.66666666666667"/>
  </cols>
  <sheetData>
    <row r="1" spans="1:8">
      <c r="A1" s="1">
        <f>SUM(B1:AZ1)</f>
        <v>30.1</v>
      </c>
      <c r="B1" s="1">
        <f>COUNTA(B138:B2318)/COLUMN()</f>
        <v>0.5</v>
      </c>
      <c r="C1" s="1">
        <f>COUNTA(C2:C2318)/COLUMN()</f>
        <v>4.66666666666667</v>
      </c>
      <c r="D1" s="1">
        <f>COUNTA(D2:D2318)/COLUMN()</f>
        <v>7.5</v>
      </c>
      <c r="E1" s="1">
        <f>COUNTA(E2:E2318)/COLUMN()</f>
        <v>9.6</v>
      </c>
      <c r="F1" s="1">
        <f>COUNTA(F2:F2318)/COLUMN()</f>
        <v>7.83333333333333</v>
      </c>
      <c r="G1" s="1">
        <f>COUNTA(G2:G2318)/COLUMN()</f>
        <v>0</v>
      </c>
      <c r="H1" s="1">
        <f>COUNTA(H2:H2318)/COLUMN()</f>
        <v>0</v>
      </c>
    </row>
    <row r="2" spans="1:8">
      <c r="A2" t="str" cm="1">
        <f ca="1" t="array" ref="A2">_wpsfn.SHEETSNAME(A1)</f>
        <v>20251214</v>
      </c>
      <c r="B2" t="s">
        <v>6388</v>
      </c>
    </row>
    <row r="3" spans="1:8">
      <c r="C3" t="s">
        <v>6389</v>
      </c>
    </row>
    <row r="4" spans="1:8">
      <c r="D4" t="s">
        <v>6390</v>
      </c>
    </row>
    <row r="5" spans="1:8">
      <c r="E5" t="s">
        <v>6391</v>
      </c>
    </row>
    <row r="6" spans="1:8">
      <c r="F6" t="s">
        <v>6392</v>
      </c>
    </row>
    <row r="7" spans="1:8">
      <c r="E7" t="s">
        <v>6393</v>
      </c>
    </row>
    <row r="8" spans="1:8">
      <c r="F8" t="s">
        <v>6394</v>
      </c>
    </row>
    <row r="9" spans="1:8">
      <c r="D9" t="s">
        <v>6395</v>
      </c>
    </row>
    <row r="10" spans="1:8">
      <c r="E10" t="s">
        <v>6396</v>
      </c>
    </row>
    <row r="11" spans="1:8">
      <c r="F11" t="s">
        <v>6397</v>
      </c>
    </row>
    <row r="12" spans="1:8">
      <c r="E12" t="s">
        <v>6398</v>
      </c>
    </row>
    <row r="13" spans="1:8">
      <c r="F13" t="s">
        <v>6399</v>
      </c>
    </row>
    <row r="14" spans="1:8">
      <c r="E14" t="s">
        <v>6400</v>
      </c>
    </row>
    <row r="15" spans="1:8">
      <c r="F15" t="s">
        <v>6401</v>
      </c>
    </row>
    <row r="16" spans="1:8">
      <c r="D16" t="s">
        <v>6402</v>
      </c>
    </row>
    <row r="17" spans="3:6">
      <c r="E17" t="s">
        <v>6403</v>
      </c>
    </row>
    <row r="18" spans="3:6">
      <c r="F18" t="s">
        <v>6404</v>
      </c>
    </row>
    <row r="19" spans="3:6">
      <c r="E19" t="s">
        <v>6405</v>
      </c>
    </row>
    <row r="20" spans="3:6">
      <c r="F20" t="s">
        <v>6406</v>
      </c>
    </row>
    <row r="21" spans="3:6">
      <c r="E21" t="s">
        <v>6407</v>
      </c>
    </row>
    <row r="22" spans="3:6">
      <c r="F22" t="s">
        <v>6408</v>
      </c>
    </row>
    <row r="23" spans="3:6">
      <c r="C23" t="s">
        <v>6409</v>
      </c>
    </row>
    <row r="24" spans="3:6">
      <c r="D24" t="s">
        <v>6410</v>
      </c>
    </row>
    <row r="25" spans="3:6">
      <c r="E25" t="s">
        <v>4999</v>
      </c>
    </row>
    <row r="26" spans="3:6">
      <c r="F26" t="s">
        <v>6411</v>
      </c>
    </row>
    <row r="27" spans="3:6">
      <c r="D27" t="s">
        <v>6412</v>
      </c>
    </row>
    <row r="28" spans="3:6">
      <c r="E28" t="s">
        <v>4999</v>
      </c>
    </row>
    <row r="29" spans="3:6">
      <c r="F29" t="s">
        <v>6413</v>
      </c>
    </row>
    <row r="30" spans="3:6">
      <c r="D30" t="s">
        <v>6414</v>
      </c>
    </row>
    <row r="31" spans="3:6">
      <c r="E31" t="s">
        <v>4999</v>
      </c>
    </row>
    <row r="32" spans="3:6">
      <c r="F32" t="s">
        <v>6415</v>
      </c>
    </row>
    <row r="33" spans="2:6">
      <c r="D33" t="s">
        <v>6416</v>
      </c>
    </row>
    <row r="34" spans="2:6">
      <c r="E34" t="s">
        <v>4999</v>
      </c>
    </row>
    <row r="35" spans="2:6">
      <c r="F35" t="s">
        <v>6417</v>
      </c>
    </row>
    <row r="36" spans="2:6">
      <c r="D36" t="s">
        <v>6418</v>
      </c>
    </row>
    <row r="37" spans="2:6">
      <c r="E37" t="s">
        <v>4999</v>
      </c>
    </row>
    <row r="38" spans="2:6">
      <c r="F38" t="s">
        <v>6419</v>
      </c>
    </row>
    <row r="39" spans="2:6">
      <c r="B39" t="s">
        <v>6420</v>
      </c>
    </row>
    <row r="40" spans="2:6">
      <c r="C40" t="s">
        <v>6421</v>
      </c>
    </row>
    <row r="41" spans="2:6">
      <c r="D41" t="s">
        <v>6422</v>
      </c>
    </row>
    <row r="42" spans="2:6">
      <c r="E42" t="s">
        <v>6423</v>
      </c>
    </row>
    <row r="43" spans="2:6">
      <c r="F43" t="s">
        <v>6424</v>
      </c>
    </row>
    <row r="44" spans="2:6">
      <c r="D44" t="s">
        <v>6425</v>
      </c>
    </row>
    <row r="45" spans="2:6">
      <c r="E45" t="s">
        <v>6426</v>
      </c>
    </row>
    <row r="46" spans="2:6">
      <c r="F46" t="s">
        <v>6427</v>
      </c>
    </row>
    <row r="47" spans="2:6">
      <c r="C47" t="s">
        <v>6428</v>
      </c>
    </row>
    <row r="48" spans="2:6">
      <c r="D48" t="s">
        <v>6429</v>
      </c>
    </row>
    <row r="49" spans="3:6">
      <c r="E49" t="s">
        <v>6430</v>
      </c>
    </row>
    <row r="50" spans="3:6">
      <c r="F50" t="s">
        <v>6431</v>
      </c>
    </row>
    <row r="51" spans="3:6">
      <c r="D51" t="s">
        <v>6432</v>
      </c>
    </row>
    <row r="52" spans="3:6">
      <c r="E52" t="s">
        <v>6433</v>
      </c>
    </row>
    <row r="53" spans="3:6">
      <c r="F53" t="s">
        <v>6434</v>
      </c>
    </row>
    <row r="54" spans="3:6">
      <c r="E54" t="s">
        <v>6435</v>
      </c>
    </row>
    <row r="55" spans="3:6">
      <c r="F55" t="s">
        <v>6436</v>
      </c>
    </row>
    <row r="56" spans="3:6">
      <c r="C56" t="s">
        <v>6437</v>
      </c>
    </row>
    <row r="57" spans="3:6">
      <c r="D57" t="s">
        <v>6438</v>
      </c>
    </row>
    <row r="58" spans="3:6">
      <c r="E58" t="s">
        <v>6439</v>
      </c>
    </row>
    <row r="59" spans="3:6">
      <c r="F59" t="s">
        <v>6440</v>
      </c>
    </row>
    <row r="60" spans="3:6">
      <c r="E60" t="s">
        <v>6441</v>
      </c>
    </row>
    <row r="61" spans="3:6">
      <c r="F61" t="s">
        <v>6442</v>
      </c>
    </row>
    <row r="62" spans="3:6">
      <c r="D62" t="s">
        <v>6443</v>
      </c>
    </row>
    <row r="63" spans="3:6">
      <c r="E63" t="s">
        <v>6444</v>
      </c>
    </row>
    <row r="64" spans="3:6">
      <c r="F64" t="s">
        <v>6445</v>
      </c>
    </row>
    <row r="65" spans="2:6">
      <c r="C65" t="s">
        <v>6446</v>
      </c>
    </row>
    <row r="66" spans="2:6">
      <c r="D66" t="s">
        <v>6447</v>
      </c>
    </row>
    <row r="67" spans="2:6">
      <c r="E67" t="s">
        <v>6448</v>
      </c>
    </row>
    <row r="68" spans="2:6">
      <c r="F68" t="s">
        <v>6449</v>
      </c>
    </row>
    <row r="69" spans="2:6">
      <c r="D69" t="s">
        <v>6450</v>
      </c>
    </row>
    <row r="70" spans="2:6">
      <c r="E70" t="s">
        <v>6451</v>
      </c>
    </row>
    <row r="71" spans="2:6">
      <c r="F71" t="s">
        <v>6452</v>
      </c>
    </row>
    <row r="72" spans="2:6">
      <c r="B72" t="s">
        <v>6453</v>
      </c>
    </row>
    <row r="73" spans="2:6">
      <c r="C73" t="s">
        <v>6454</v>
      </c>
    </row>
    <row r="74" spans="2:6">
      <c r="D74" t="s">
        <v>6455</v>
      </c>
    </row>
    <row r="75" spans="2:6">
      <c r="E75" t="s">
        <v>6456</v>
      </c>
    </row>
    <row r="76" spans="2:6">
      <c r="F76" t="s">
        <v>6457</v>
      </c>
    </row>
    <row r="77" spans="2:6">
      <c r="E77" t="s">
        <v>6458</v>
      </c>
    </row>
    <row r="78" spans="2:6">
      <c r="F78" t="s">
        <v>6459</v>
      </c>
    </row>
    <row r="79" spans="2:6">
      <c r="E79" t="s">
        <v>6460</v>
      </c>
    </row>
    <row r="80" spans="2:6">
      <c r="F80" t="s">
        <v>6461</v>
      </c>
    </row>
    <row r="81" spans="2:6">
      <c r="D81" t="s">
        <v>6462</v>
      </c>
    </row>
    <row r="82" spans="2:6">
      <c r="E82" t="s">
        <v>6463</v>
      </c>
    </row>
    <row r="83" spans="2:6">
      <c r="C83" t="s">
        <v>6464</v>
      </c>
    </row>
    <row r="84" spans="2:6">
      <c r="D84" t="s">
        <v>6465</v>
      </c>
    </row>
    <row r="85" spans="2:6">
      <c r="E85" t="s">
        <v>6466</v>
      </c>
    </row>
    <row r="86" spans="2:6">
      <c r="D86" t="s">
        <v>6467</v>
      </c>
    </row>
    <row r="87" spans="2:6">
      <c r="E87" t="s">
        <v>6468</v>
      </c>
    </row>
    <row r="88" spans="2:6">
      <c r="B88" t="s">
        <v>6469</v>
      </c>
    </row>
    <row r="89" spans="2:6">
      <c r="C89" t="s">
        <v>6470</v>
      </c>
    </row>
    <row r="90" spans="2:6">
      <c r="D90" t="s">
        <v>6471</v>
      </c>
    </row>
    <row r="91" spans="2:6">
      <c r="E91" t="s">
        <v>6472</v>
      </c>
    </row>
    <row r="92" spans="2:6">
      <c r="F92" t="s">
        <v>6473</v>
      </c>
    </row>
    <row r="93" spans="2:6">
      <c r="E93" t="s">
        <v>6474</v>
      </c>
    </row>
    <row r="94" spans="2:6">
      <c r="F94" t="s">
        <v>6475</v>
      </c>
    </row>
    <row r="95" spans="2:6">
      <c r="E95" t="s">
        <v>6476</v>
      </c>
    </row>
    <row r="96" spans="2:6">
      <c r="F96" t="s">
        <v>6477</v>
      </c>
    </row>
    <row r="97" spans="2:6">
      <c r="C97" t="s">
        <v>6478</v>
      </c>
    </row>
    <row r="98" spans="2:6">
      <c r="D98" t="s">
        <v>6479</v>
      </c>
    </row>
    <row r="99" spans="2:6">
      <c r="E99" t="s">
        <v>6480</v>
      </c>
    </row>
    <row r="100" spans="2:6">
      <c r="F100" t="s">
        <v>6481</v>
      </c>
    </row>
    <row r="101" spans="2:6">
      <c r="E101" t="s">
        <v>6482</v>
      </c>
    </row>
    <row r="102" spans="2:6">
      <c r="F102" t="s">
        <v>6483</v>
      </c>
    </row>
    <row r="103" spans="2:6">
      <c r="D103" t="s">
        <v>6484</v>
      </c>
    </row>
    <row r="104" spans="2:6">
      <c r="E104" t="s">
        <v>6485</v>
      </c>
    </row>
    <row r="105" spans="2:6">
      <c r="F105" t="s">
        <v>6486</v>
      </c>
    </row>
    <row r="106" spans="2:6">
      <c r="E106" t="s">
        <v>6487</v>
      </c>
    </row>
    <row r="107" spans="2:6">
      <c r="F107" t="s">
        <v>6488</v>
      </c>
    </row>
    <row r="108" spans="2:6">
      <c r="C108" t="s">
        <v>6489</v>
      </c>
    </row>
    <row r="109" spans="2:6">
      <c r="D109" t="s">
        <v>6490</v>
      </c>
    </row>
    <row r="110" spans="2:6">
      <c r="E110" t="s">
        <v>6491</v>
      </c>
    </row>
    <row r="111" spans="2:6">
      <c r="B111" t="s">
        <v>6492</v>
      </c>
    </row>
    <row r="112" spans="2:6">
      <c r="C112" t="s">
        <v>6493</v>
      </c>
    </row>
    <row r="113" spans="3:6">
      <c r="D113" t="s">
        <v>6494</v>
      </c>
    </row>
    <row r="114" spans="3:6">
      <c r="E114" t="s">
        <v>6495</v>
      </c>
    </row>
    <row r="115" spans="3:6">
      <c r="F115" t="s">
        <v>6496</v>
      </c>
    </row>
    <row r="116" spans="3:6">
      <c r="E116" t="s">
        <v>6497</v>
      </c>
    </row>
    <row r="117" spans="3:6">
      <c r="F117" t="s">
        <v>6498</v>
      </c>
    </row>
    <row r="118" spans="3:6">
      <c r="D118" t="s">
        <v>6499</v>
      </c>
    </row>
    <row r="119" spans="3:6">
      <c r="E119" t="s">
        <v>6500</v>
      </c>
    </row>
    <row r="120" spans="3:6">
      <c r="F120" t="s">
        <v>6501</v>
      </c>
    </row>
    <row r="121" spans="3:6">
      <c r="E121" t="s">
        <v>6502</v>
      </c>
    </row>
    <row r="122" spans="3:6">
      <c r="F122" t="s">
        <v>6503</v>
      </c>
    </row>
    <row r="123" spans="3:6">
      <c r="C123" t="s">
        <v>6504</v>
      </c>
    </row>
    <row r="124" spans="3:6">
      <c r="D124" t="s">
        <v>6505</v>
      </c>
    </row>
    <row r="125" spans="3:6">
      <c r="E125" t="s">
        <v>6506</v>
      </c>
    </row>
    <row r="126" spans="3:6">
      <c r="F126" t="s">
        <v>6507</v>
      </c>
    </row>
    <row r="127" spans="3:6">
      <c r="E127" t="s">
        <v>6508</v>
      </c>
    </row>
    <row r="128" spans="3:6">
      <c r="F128" t="s">
        <v>6509</v>
      </c>
    </row>
    <row r="129" spans="3:6">
      <c r="D129" t="s">
        <v>6510</v>
      </c>
    </row>
    <row r="130" spans="3:6">
      <c r="E130" t="s">
        <v>6511</v>
      </c>
    </row>
    <row r="131" spans="3:6">
      <c r="F131" t="s">
        <v>6512</v>
      </c>
    </row>
    <row r="132" spans="3:6">
      <c r="F132" t="s">
        <v>6513</v>
      </c>
    </row>
    <row r="133" spans="3:6">
      <c r="E133" t="s">
        <v>6514</v>
      </c>
    </row>
    <row r="134" spans="3:6">
      <c r="F134" t="s">
        <v>6515</v>
      </c>
    </row>
    <row r="135" spans="3:6">
      <c r="F135" t="s">
        <v>6516</v>
      </c>
    </row>
    <row r="136" spans="3:6">
      <c r="C136" t="s">
        <v>6517</v>
      </c>
    </row>
    <row r="137" spans="3:6">
      <c r="D137" t="s">
        <v>6518</v>
      </c>
    </row>
    <row r="138" spans="3:6">
      <c r="E138" t="s">
        <v>6519</v>
      </c>
    </row>
    <row r="139" spans="3:6">
      <c r="D139" t="s">
        <v>6520</v>
      </c>
    </row>
    <row r="140" spans="3:6">
      <c r="E140" t="s">
        <v>6521</v>
      </c>
    </row>
    <row r="141" spans="3:6">
      <c r="F141" t="s">
        <v>6522</v>
      </c>
    </row>
    <row r="142" spans="3:6">
      <c r="F142" t="s">
        <v>6523</v>
      </c>
    </row>
    <row r="143" spans="3:6">
      <c r="E143" t="s">
        <v>6524</v>
      </c>
    </row>
    <row r="144" spans="3:6">
      <c r="F144" t="s">
        <v>6525</v>
      </c>
    </row>
    <row r="145" spans="2:6">
      <c r="F145" t="s">
        <v>6526</v>
      </c>
    </row>
    <row r="146" spans="2:6">
      <c r="B146" t="s">
        <v>6527</v>
      </c>
    </row>
    <row r="156" spans="2:6">
      <c r="D156" s="2"/>
    </row>
  </sheetData>
  <pageMargins left="0.75" right="0.75" top="1" bottom="1" header="0.5" footer="0.5"/>
  <pageSetup paperSize="9" orientation="portrait"/>
  <headerFooter/>
</worksheet>
</file>

<file path=xl/worksheets/sheet2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178"/>
  <sheetViews>
    <sheetView zoomScale="115" zoomScaleNormal="115" topLeftCell="A149" workbookViewId="0">
      <selection activeCell="B159" sqref="B159"/>
    </sheetView>
  </sheetViews>
  <sheetFormatPr defaultColWidth="8.88888888888889" defaultRowHeight="14.4" outlineLevelCol="7"/>
  <cols>
    <col min="1" max="1" width="9.66666666666667"/>
  </cols>
  <sheetData>
    <row r="1" spans="1:8">
      <c r="A1" s="1">
        <f>SUM(B1:AZ1)</f>
        <v>34.5333333333333</v>
      </c>
      <c r="B1" s="1">
        <f>COUNTA(B2:B2340)/COLUMN()</f>
        <v>3</v>
      </c>
      <c r="C1" s="1">
        <f>COUNTA(C2:C2340)/COLUMN()</f>
        <v>4</v>
      </c>
      <c r="D1" s="1">
        <f>COUNTA(D2:D2340)/COLUMN()</f>
        <v>7</v>
      </c>
      <c r="E1" s="1">
        <f>COUNTA(E2:E2340)/COLUMN()</f>
        <v>11.2</v>
      </c>
      <c r="F1" s="1">
        <f>COUNTA(F2:F2340)/COLUMN()</f>
        <v>9.33333333333333</v>
      </c>
      <c r="G1" s="1">
        <f>COUNTA(G2:G2340)/COLUMN()</f>
        <v>0</v>
      </c>
      <c r="H1" s="1">
        <f>COUNTA(H2:H2340)/COLUMN()</f>
        <v>0</v>
      </c>
    </row>
    <row r="2" spans="1:8">
      <c r="A2" t="str" cm="1">
        <f ca="1" t="array" ref="A2">_wpsfn.SHEETSNAME(A1)</f>
        <v>20251215</v>
      </c>
      <c r="B2" t="s">
        <v>6528</v>
      </c>
    </row>
    <row r="3" spans="1:8">
      <c r="C3" t="s">
        <v>6529</v>
      </c>
    </row>
    <row r="4" spans="1:8">
      <c r="D4" t="s">
        <v>6530</v>
      </c>
    </row>
    <row r="5" spans="1:8">
      <c r="E5" t="s">
        <v>6531</v>
      </c>
    </row>
    <row r="6" spans="1:8">
      <c r="F6" t="s">
        <v>6532</v>
      </c>
    </row>
    <row r="7" spans="1:8">
      <c r="E7" t="s">
        <v>6533</v>
      </c>
    </row>
    <row r="8" spans="1:8">
      <c r="F8" t="s">
        <v>6534</v>
      </c>
    </row>
    <row r="9" spans="1:8">
      <c r="D9" t="s">
        <v>6535</v>
      </c>
    </row>
    <row r="10" spans="1:8">
      <c r="E10" t="s">
        <v>6536</v>
      </c>
    </row>
    <row r="11" spans="1:8">
      <c r="F11" t="s">
        <v>6537</v>
      </c>
    </row>
    <row r="12" spans="1:8">
      <c r="E12" t="s">
        <v>6538</v>
      </c>
    </row>
    <row r="13" spans="1:8">
      <c r="F13" t="s">
        <v>6539</v>
      </c>
    </row>
    <row r="14" spans="1:8">
      <c r="D14" t="s">
        <v>6540</v>
      </c>
    </row>
    <row r="15" spans="1:8">
      <c r="E15" t="s">
        <v>6541</v>
      </c>
    </row>
    <row r="16" spans="1:8">
      <c r="F16" t="s">
        <v>6542</v>
      </c>
    </row>
    <row r="17" spans="3:6">
      <c r="E17" t="s">
        <v>6543</v>
      </c>
    </row>
    <row r="18" spans="3:6">
      <c r="F18" t="s">
        <v>6544</v>
      </c>
    </row>
    <row r="19" spans="3:6">
      <c r="C19" t="s">
        <v>6545</v>
      </c>
    </row>
    <row r="20" spans="3:6">
      <c r="D20" t="s">
        <v>6546</v>
      </c>
    </row>
    <row r="21" spans="3:6">
      <c r="E21" t="s">
        <v>6547</v>
      </c>
    </row>
    <row r="22" spans="3:6">
      <c r="F22" t="s">
        <v>6548</v>
      </c>
    </row>
    <row r="23" spans="3:6">
      <c r="E23" t="s">
        <v>6549</v>
      </c>
    </row>
    <row r="24" spans="3:6">
      <c r="F24" t="s">
        <v>6550</v>
      </c>
    </row>
    <row r="25" spans="3:6">
      <c r="D25" t="s">
        <v>6551</v>
      </c>
    </row>
    <row r="26" spans="3:6">
      <c r="E26" t="s">
        <v>6552</v>
      </c>
    </row>
    <row r="27" spans="3:6">
      <c r="F27" t="s">
        <v>6553</v>
      </c>
    </row>
    <row r="28" spans="3:6">
      <c r="E28" t="s">
        <v>6554</v>
      </c>
    </row>
    <row r="29" spans="3:6">
      <c r="F29" t="s">
        <v>6555</v>
      </c>
    </row>
    <row r="30" spans="3:6">
      <c r="C30" t="s">
        <v>6556</v>
      </c>
    </row>
    <row r="31" spans="3:6">
      <c r="D31" t="s">
        <v>6557</v>
      </c>
    </row>
    <row r="32" spans="3:6">
      <c r="E32" t="s">
        <v>6558</v>
      </c>
    </row>
    <row r="33" spans="2:6">
      <c r="F33" t="s">
        <v>6559</v>
      </c>
    </row>
    <row r="34" spans="2:6">
      <c r="E34" t="s">
        <v>6560</v>
      </c>
    </row>
    <row r="35" spans="2:6">
      <c r="F35" t="s">
        <v>6561</v>
      </c>
    </row>
    <row r="36" spans="2:6">
      <c r="D36" t="s">
        <v>6562</v>
      </c>
    </row>
    <row r="37" spans="2:6">
      <c r="E37" t="s">
        <v>6563</v>
      </c>
    </row>
    <row r="38" spans="2:6">
      <c r="F38" t="s">
        <v>6564</v>
      </c>
    </row>
    <row r="39" spans="2:6">
      <c r="E39" t="s">
        <v>6565</v>
      </c>
    </row>
    <row r="40" spans="2:6">
      <c r="F40" t="s">
        <v>6566</v>
      </c>
    </row>
    <row r="41" spans="2:6">
      <c r="B41" t="s">
        <v>6567</v>
      </c>
    </row>
    <row r="42" spans="2:6">
      <c r="C42" t="s">
        <v>6568</v>
      </c>
    </row>
    <row r="43" spans="2:6">
      <c r="D43" t="s">
        <v>6569</v>
      </c>
    </row>
    <row r="44" spans="2:6">
      <c r="E44" t="s">
        <v>6570</v>
      </c>
    </row>
    <row r="45" spans="2:6">
      <c r="F45" t="s">
        <v>6571</v>
      </c>
    </row>
    <row r="46" spans="2:6">
      <c r="E46" t="s">
        <v>6572</v>
      </c>
    </row>
    <row r="47" spans="2:6">
      <c r="F47" t="s">
        <v>6573</v>
      </c>
    </row>
    <row r="48" spans="2:6">
      <c r="D48" t="s">
        <v>6574</v>
      </c>
    </row>
    <row r="49" spans="3:6">
      <c r="E49" t="s">
        <v>6575</v>
      </c>
    </row>
    <row r="50" spans="3:6">
      <c r="F50" t="s">
        <v>6576</v>
      </c>
    </row>
    <row r="51" spans="3:6">
      <c r="E51" t="s">
        <v>6577</v>
      </c>
    </row>
    <row r="52" spans="3:6">
      <c r="F52" t="s">
        <v>6578</v>
      </c>
    </row>
    <row r="53" spans="3:6">
      <c r="C53" t="s">
        <v>6579</v>
      </c>
    </row>
    <row r="54" spans="3:6">
      <c r="D54" t="s">
        <v>6580</v>
      </c>
    </row>
    <row r="55" spans="3:6">
      <c r="E55" t="s">
        <v>6581</v>
      </c>
    </row>
    <row r="56" spans="3:6">
      <c r="F56" t="s">
        <v>6582</v>
      </c>
    </row>
    <row r="57" spans="3:6">
      <c r="E57" t="s">
        <v>6583</v>
      </c>
    </row>
    <row r="58" spans="3:6">
      <c r="F58" t="s">
        <v>6584</v>
      </c>
    </row>
    <row r="59" spans="3:6">
      <c r="D59" t="s">
        <v>6585</v>
      </c>
    </row>
    <row r="60" spans="3:6">
      <c r="E60" t="s">
        <v>6586</v>
      </c>
    </row>
    <row r="61" spans="3:6">
      <c r="F61" t="s">
        <v>6587</v>
      </c>
    </row>
    <row r="62" spans="3:6">
      <c r="E62" t="s">
        <v>6588</v>
      </c>
    </row>
    <row r="63" spans="3:6">
      <c r="F63" t="s">
        <v>6589</v>
      </c>
    </row>
    <row r="64" spans="3:6">
      <c r="C64" t="s">
        <v>6590</v>
      </c>
    </row>
    <row r="65" spans="3:6">
      <c r="D65" t="s">
        <v>6591</v>
      </c>
    </row>
    <row r="66" spans="3:6">
      <c r="E66" t="s">
        <v>6592</v>
      </c>
    </row>
    <row r="67" spans="3:6">
      <c r="F67" t="s">
        <v>6593</v>
      </c>
    </row>
    <row r="68" spans="3:6">
      <c r="E68" t="s">
        <v>6594</v>
      </c>
    </row>
    <row r="69" spans="3:6">
      <c r="F69" t="s">
        <v>6595</v>
      </c>
    </row>
    <row r="70" spans="3:6">
      <c r="D70" t="s">
        <v>6596</v>
      </c>
    </row>
    <row r="71" spans="3:6">
      <c r="E71" t="s">
        <v>6597</v>
      </c>
    </row>
    <row r="72" spans="3:6">
      <c r="F72" t="s">
        <v>6598</v>
      </c>
    </row>
    <row r="73" spans="3:6">
      <c r="E73" t="s">
        <v>6599</v>
      </c>
    </row>
    <row r="74" spans="3:6">
      <c r="F74" t="s">
        <v>6600</v>
      </c>
    </row>
    <row r="75" spans="3:6">
      <c r="C75" t="s">
        <v>6601</v>
      </c>
    </row>
    <row r="76" spans="3:6">
      <c r="D76" t="s">
        <v>6602</v>
      </c>
    </row>
    <row r="77" spans="3:6">
      <c r="E77" t="s">
        <v>6603</v>
      </c>
    </row>
    <row r="78" spans="3:6">
      <c r="F78" t="s">
        <v>6604</v>
      </c>
    </row>
    <row r="79" spans="3:6">
      <c r="D79" t="s">
        <v>6605</v>
      </c>
    </row>
    <row r="80" spans="3:6">
      <c r="E80" t="s">
        <v>6606</v>
      </c>
    </row>
    <row r="81" spans="2:6">
      <c r="F81" t="s">
        <v>6607</v>
      </c>
    </row>
    <row r="82" spans="2:6">
      <c r="E82" t="s">
        <v>6608</v>
      </c>
    </row>
    <row r="83" spans="2:6">
      <c r="F83" t="s">
        <v>6609</v>
      </c>
    </row>
    <row r="84" spans="2:6">
      <c r="E84" t="s">
        <v>6610</v>
      </c>
    </row>
    <row r="85" spans="2:6">
      <c r="F85" t="s">
        <v>6611</v>
      </c>
    </row>
    <row r="86" spans="2:6">
      <c r="B86" t="s">
        <v>6612</v>
      </c>
    </row>
    <row r="87" spans="2:6">
      <c r="C87" t="s">
        <v>6613</v>
      </c>
    </row>
    <row r="88" spans="2:6">
      <c r="D88" t="s">
        <v>6614</v>
      </c>
    </row>
    <row r="89" spans="2:6">
      <c r="E89" t="s">
        <v>6615</v>
      </c>
    </row>
    <row r="90" spans="2:6">
      <c r="F90" t="s">
        <v>6616</v>
      </c>
    </row>
    <row r="91" spans="2:6">
      <c r="E91" t="s">
        <v>6617</v>
      </c>
    </row>
    <row r="92" spans="2:6">
      <c r="F92" t="s">
        <v>6618</v>
      </c>
    </row>
    <row r="93" spans="2:6">
      <c r="D93" t="s">
        <v>6619</v>
      </c>
    </row>
    <row r="94" spans="2:6">
      <c r="E94" t="s">
        <v>6620</v>
      </c>
    </row>
    <row r="95" spans="2:6">
      <c r="F95" t="s">
        <v>6621</v>
      </c>
    </row>
    <row r="96" spans="2:6">
      <c r="E96" t="s">
        <v>6622</v>
      </c>
    </row>
    <row r="97" spans="3:6">
      <c r="F97" t="s">
        <v>6623</v>
      </c>
    </row>
    <row r="98" spans="3:6">
      <c r="C98" t="s">
        <v>6624</v>
      </c>
    </row>
    <row r="99" spans="3:6">
      <c r="D99" t="s">
        <v>6625</v>
      </c>
    </row>
    <row r="100" spans="3:6">
      <c r="E100" t="s">
        <v>6626</v>
      </c>
    </row>
    <row r="101" spans="3:6">
      <c r="F101" t="s">
        <v>6627</v>
      </c>
    </row>
    <row r="102" spans="3:6">
      <c r="E102" t="s">
        <v>6628</v>
      </c>
    </row>
    <row r="103" spans="3:6">
      <c r="F103" t="s">
        <v>6629</v>
      </c>
    </row>
    <row r="104" spans="3:6">
      <c r="E104" t="s">
        <v>6630</v>
      </c>
    </row>
    <row r="105" spans="3:6">
      <c r="F105" t="s">
        <v>6631</v>
      </c>
    </row>
    <row r="106" spans="3:6">
      <c r="E106" t="s">
        <v>6632</v>
      </c>
    </row>
    <row r="107" spans="3:6">
      <c r="F107" t="s">
        <v>6633</v>
      </c>
    </row>
    <row r="108" spans="3:6">
      <c r="D108" t="s">
        <v>6634</v>
      </c>
    </row>
    <row r="109" spans="3:6">
      <c r="E109" t="s">
        <v>6635</v>
      </c>
    </row>
    <row r="110" spans="3:6">
      <c r="F110" t="s">
        <v>6636</v>
      </c>
    </row>
    <row r="111" spans="3:6">
      <c r="E111" t="s">
        <v>6637</v>
      </c>
    </row>
    <row r="112" spans="3:6">
      <c r="F112" t="s">
        <v>6638</v>
      </c>
    </row>
    <row r="113" spans="2:6">
      <c r="C113" t="s">
        <v>6639</v>
      </c>
    </row>
    <row r="114" spans="2:6">
      <c r="D114" t="s">
        <v>6640</v>
      </c>
    </row>
    <row r="115" spans="2:6">
      <c r="E115" t="s">
        <v>6641</v>
      </c>
    </row>
    <row r="116" spans="2:6">
      <c r="F116" t="s">
        <v>6642</v>
      </c>
    </row>
    <row r="117" spans="2:6">
      <c r="E117" t="s">
        <v>6643</v>
      </c>
    </row>
    <row r="118" spans="2:6">
      <c r="F118" t="s">
        <v>6644</v>
      </c>
    </row>
    <row r="119" spans="2:6">
      <c r="D119" t="s">
        <v>6645</v>
      </c>
    </row>
    <row r="120" spans="2:6">
      <c r="E120" t="s">
        <v>6646</v>
      </c>
    </row>
    <row r="121" spans="2:6">
      <c r="F121" t="s">
        <v>6647</v>
      </c>
    </row>
    <row r="122" spans="2:6">
      <c r="E122" t="s">
        <v>6648</v>
      </c>
    </row>
    <row r="123" spans="2:6">
      <c r="F123" t="s">
        <v>6649</v>
      </c>
    </row>
    <row r="124" spans="2:6">
      <c r="B124" t="s">
        <v>6650</v>
      </c>
    </row>
    <row r="125" spans="2:6">
      <c r="C125" t="s">
        <v>6651</v>
      </c>
    </row>
    <row r="126" spans="2:6">
      <c r="D126" t="s">
        <v>6652</v>
      </c>
    </row>
    <row r="127" spans="2:6">
      <c r="E127" t="s">
        <v>6653</v>
      </c>
    </row>
    <row r="128" spans="2:6">
      <c r="F128" t="s">
        <v>6654</v>
      </c>
    </row>
    <row r="129" spans="3:6">
      <c r="D129" t="s">
        <v>6655</v>
      </c>
    </row>
    <row r="130" spans="3:6">
      <c r="E130" t="s">
        <v>6656</v>
      </c>
    </row>
    <row r="131" spans="3:6">
      <c r="F131" t="s">
        <v>6657</v>
      </c>
    </row>
    <row r="132" spans="3:6">
      <c r="D132" t="s">
        <v>6658</v>
      </c>
    </row>
    <row r="133" spans="3:6">
      <c r="E133" t="s">
        <v>6659</v>
      </c>
    </row>
    <row r="134" spans="3:6">
      <c r="F134" t="s">
        <v>6660</v>
      </c>
    </row>
    <row r="135" spans="3:6">
      <c r="E135" t="s">
        <v>6661</v>
      </c>
    </row>
    <row r="136" spans="3:6">
      <c r="F136" t="s">
        <v>6662</v>
      </c>
    </row>
    <row r="137" spans="3:6">
      <c r="D137" t="s">
        <v>6663</v>
      </c>
    </row>
    <row r="138" spans="3:6">
      <c r="E138" t="s">
        <v>6664</v>
      </c>
    </row>
    <row r="139" spans="3:6">
      <c r="F139" t="s">
        <v>6665</v>
      </c>
    </row>
    <row r="140" spans="3:6">
      <c r="C140" t="s">
        <v>6666</v>
      </c>
    </row>
    <row r="141" spans="3:6">
      <c r="D141" t="s">
        <v>6667</v>
      </c>
    </row>
    <row r="142" spans="3:6">
      <c r="E142" t="s">
        <v>6668</v>
      </c>
    </row>
    <row r="143" spans="3:6">
      <c r="F143" t="s">
        <v>6669</v>
      </c>
    </row>
    <row r="144" spans="3:6">
      <c r="D144" t="s">
        <v>6670</v>
      </c>
    </row>
    <row r="145" spans="2:6">
      <c r="E145" t="s">
        <v>6671</v>
      </c>
    </row>
    <row r="146" spans="2:6">
      <c r="F146" t="s">
        <v>6672</v>
      </c>
    </row>
    <row r="147" spans="2:6">
      <c r="E147" t="s">
        <v>6673</v>
      </c>
    </row>
    <row r="148" spans="2:6">
      <c r="F148" t="s">
        <v>6674</v>
      </c>
    </row>
    <row r="149" spans="2:6">
      <c r="E149" t="s">
        <v>6675</v>
      </c>
    </row>
    <row r="150" spans="2:6">
      <c r="F150" t="s">
        <v>6676</v>
      </c>
    </row>
    <row r="151" spans="2:6">
      <c r="D151" t="s">
        <v>6677</v>
      </c>
    </row>
    <row r="152" spans="2:6">
      <c r="E152" t="s">
        <v>6678</v>
      </c>
    </row>
    <row r="153" spans="2:6">
      <c r="F153" t="s">
        <v>6679</v>
      </c>
    </row>
    <row r="154" spans="2:6">
      <c r="E154" t="s">
        <v>6680</v>
      </c>
    </row>
    <row r="155" spans="2:6">
      <c r="F155" t="s">
        <v>6681</v>
      </c>
    </row>
    <row r="156" spans="2:6">
      <c r="E156" t="s">
        <v>6682</v>
      </c>
    </row>
    <row r="157" spans="2:6">
      <c r="F157" t="s">
        <v>6683</v>
      </c>
    </row>
    <row r="158" spans="2:6">
      <c r="B158" t="s">
        <v>6684</v>
      </c>
    </row>
    <row r="159" spans="2:6">
      <c r="B159" t="s">
        <v>6685</v>
      </c>
    </row>
    <row r="178" spans="4:4">
      <c r="D178" s="2"/>
    </row>
  </sheetData>
  <pageMargins left="0.75" right="0.75" top="1" bottom="1" header="0.5" footer="0.5"/>
  <pageSetup paperSize="9" orientation="portrait"/>
  <headerFooter/>
</worksheet>
</file>

<file path=xl/worksheets/sheet2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141"/>
  <sheetViews>
    <sheetView zoomScale="115" zoomScaleNormal="115" topLeftCell="A131" workbookViewId="0">
      <selection activeCell="B142" sqref="B142"/>
    </sheetView>
  </sheetViews>
  <sheetFormatPr defaultColWidth="8.88888888888889" defaultRowHeight="14.4" outlineLevelCol="7"/>
  <cols>
    <col min="1" max="1" width="9.66666666666667"/>
  </cols>
  <sheetData>
    <row r="1" spans="1:8">
      <c r="A1" s="1">
        <f>SUM(B1:AZ1)</f>
        <v>31.1833333333333</v>
      </c>
      <c r="B1" s="1">
        <f>COUNTA(B2:B2270)/COLUMN()</f>
        <v>3</v>
      </c>
      <c r="C1" s="1">
        <f>COUNTA(C2:C2270)/COLUMN()</f>
        <v>4.33333333333333</v>
      </c>
      <c r="D1" s="1">
        <f>COUNTA(D2:D2270)/COLUMN()</f>
        <v>6.25</v>
      </c>
      <c r="E1" s="1">
        <f>COUNTA(E2:E2270)/COLUMN()</f>
        <v>9.6</v>
      </c>
      <c r="F1" s="1">
        <f>COUNTA(F2:F2270)/COLUMN()</f>
        <v>8</v>
      </c>
      <c r="G1" s="1">
        <f>COUNTA(G2:G2270)/COLUMN()</f>
        <v>0</v>
      </c>
      <c r="H1" s="1">
        <f>COUNTA(H2:H2270)/COLUMN()</f>
        <v>0</v>
      </c>
    </row>
    <row r="2" spans="1:8">
      <c r="A2" t="str" cm="1">
        <f ca="1" t="array" ref="A2">_wpsfn.SHEETSNAME(A1)</f>
        <v>20251216</v>
      </c>
      <c r="B2" t="s">
        <v>6686</v>
      </c>
    </row>
    <row r="3" spans="1:8">
      <c r="C3" t="s">
        <v>6687</v>
      </c>
    </row>
    <row r="4" spans="1:8">
      <c r="D4" t="s">
        <v>6688</v>
      </c>
    </row>
    <row r="5" spans="1:8">
      <c r="E5" t="s">
        <v>6689</v>
      </c>
    </row>
    <row r="6" spans="1:8">
      <c r="F6" t="s">
        <v>6690</v>
      </c>
    </row>
    <row r="7" spans="1:8">
      <c r="E7" t="s">
        <v>6691</v>
      </c>
    </row>
    <row r="8" spans="1:8">
      <c r="F8" t="s">
        <v>6692</v>
      </c>
    </row>
    <row r="9" spans="1:8">
      <c r="D9" t="s">
        <v>6693</v>
      </c>
    </row>
    <row r="10" spans="1:8">
      <c r="E10" t="s">
        <v>6694</v>
      </c>
    </row>
    <row r="11" spans="1:8">
      <c r="F11" t="s">
        <v>6695</v>
      </c>
    </row>
    <row r="12" spans="1:8">
      <c r="E12" t="s">
        <v>6696</v>
      </c>
    </row>
    <row r="13" spans="1:8">
      <c r="F13" t="s">
        <v>6697</v>
      </c>
    </row>
    <row r="14" spans="1:8">
      <c r="E14" t="s">
        <v>6698</v>
      </c>
    </row>
    <row r="15" spans="1:8">
      <c r="F15" t="s">
        <v>6699</v>
      </c>
    </row>
    <row r="16" spans="1:8">
      <c r="C16" t="s">
        <v>6700</v>
      </c>
    </row>
    <row r="17" spans="2:6">
      <c r="D17" t="s">
        <v>6701</v>
      </c>
    </row>
    <row r="18" spans="2:6">
      <c r="E18" t="s">
        <v>6702</v>
      </c>
    </row>
    <row r="19" spans="2:6">
      <c r="F19" t="s">
        <v>6703</v>
      </c>
    </row>
    <row r="20" spans="2:6">
      <c r="E20" t="s">
        <v>6704</v>
      </c>
    </row>
    <row r="21" spans="2:6">
      <c r="F21" t="s">
        <v>6705</v>
      </c>
    </row>
    <row r="22" spans="2:6">
      <c r="C22" t="s">
        <v>6706</v>
      </c>
    </row>
    <row r="23" spans="2:6">
      <c r="D23" t="s">
        <v>6707</v>
      </c>
    </row>
    <row r="24" spans="2:6">
      <c r="E24" t="s">
        <v>6708</v>
      </c>
    </row>
    <row r="25" spans="2:6">
      <c r="F25" t="s">
        <v>6709</v>
      </c>
    </row>
    <row r="26" spans="2:6">
      <c r="D26" t="s">
        <v>6710</v>
      </c>
    </row>
    <row r="27" spans="2:6">
      <c r="E27" t="s">
        <v>6711</v>
      </c>
    </row>
    <row r="28" spans="2:6">
      <c r="F28" t="s">
        <v>6712</v>
      </c>
    </row>
    <row r="29" spans="2:6">
      <c r="E29" t="s">
        <v>6713</v>
      </c>
    </row>
    <row r="30" spans="2:6">
      <c r="F30" t="s">
        <v>6714</v>
      </c>
    </row>
    <row r="31" spans="2:6">
      <c r="B31" t="s">
        <v>6715</v>
      </c>
    </row>
    <row r="32" spans="2:6">
      <c r="C32" t="s">
        <v>6716</v>
      </c>
    </row>
    <row r="33" spans="3:6">
      <c r="D33" t="s">
        <v>6717</v>
      </c>
    </row>
    <row r="34" spans="3:6">
      <c r="E34" t="s">
        <v>6718</v>
      </c>
    </row>
    <row r="35" spans="3:6">
      <c r="F35" t="s">
        <v>6719</v>
      </c>
    </row>
    <row r="36" spans="3:6">
      <c r="E36" t="s">
        <v>6720</v>
      </c>
    </row>
    <row r="37" spans="3:6">
      <c r="F37" t="s">
        <v>6721</v>
      </c>
    </row>
    <row r="38" spans="3:6">
      <c r="D38" t="s">
        <v>6722</v>
      </c>
    </row>
    <row r="39" spans="3:6">
      <c r="E39" t="s">
        <v>6723</v>
      </c>
    </row>
    <row r="40" spans="3:6">
      <c r="F40" t="s">
        <v>6724</v>
      </c>
    </row>
    <row r="41" spans="3:6">
      <c r="C41" t="s">
        <v>6725</v>
      </c>
    </row>
    <row r="42" spans="3:6">
      <c r="D42" t="s">
        <v>6726</v>
      </c>
    </row>
    <row r="43" spans="3:6">
      <c r="E43" t="s">
        <v>6727</v>
      </c>
    </row>
    <row r="44" spans="3:6">
      <c r="F44" t="s">
        <v>6728</v>
      </c>
    </row>
    <row r="45" spans="3:6">
      <c r="E45" t="s">
        <v>6729</v>
      </c>
    </row>
    <row r="46" spans="3:6">
      <c r="F46" t="s">
        <v>6730</v>
      </c>
    </row>
    <row r="47" spans="3:6">
      <c r="D47" t="s">
        <v>6731</v>
      </c>
    </row>
    <row r="48" spans="3:6">
      <c r="E48" t="s">
        <v>6732</v>
      </c>
    </row>
    <row r="49" spans="3:6">
      <c r="F49" t="s">
        <v>6733</v>
      </c>
    </row>
    <row r="50" spans="3:6">
      <c r="E50" t="s">
        <v>6734</v>
      </c>
    </row>
    <row r="51" spans="3:6">
      <c r="F51" t="s">
        <v>6735</v>
      </c>
    </row>
    <row r="52" spans="3:6">
      <c r="C52" t="s">
        <v>6736</v>
      </c>
    </row>
    <row r="53" spans="3:6">
      <c r="D53" t="s">
        <v>6737</v>
      </c>
    </row>
    <row r="54" spans="3:6">
      <c r="E54" t="s">
        <v>6738</v>
      </c>
    </row>
    <row r="55" spans="3:6">
      <c r="F55" t="s">
        <v>6739</v>
      </c>
    </row>
    <row r="56" spans="3:6">
      <c r="D56" t="s">
        <v>6740</v>
      </c>
    </row>
    <row r="57" spans="3:6">
      <c r="E57" t="s">
        <v>6741</v>
      </c>
    </row>
    <row r="58" spans="3:6">
      <c r="F58" t="s">
        <v>6742</v>
      </c>
    </row>
    <row r="59" spans="3:6">
      <c r="E59" t="s">
        <v>6743</v>
      </c>
    </row>
    <row r="60" spans="3:6">
      <c r="F60" t="s">
        <v>6744</v>
      </c>
    </row>
    <row r="61" spans="3:6">
      <c r="C61" t="s">
        <v>6745</v>
      </c>
    </row>
    <row r="62" spans="3:6">
      <c r="D62" t="s">
        <v>6746</v>
      </c>
    </row>
    <row r="63" spans="3:6">
      <c r="E63" t="s">
        <v>6747</v>
      </c>
    </row>
    <row r="64" spans="3:6">
      <c r="F64" t="s">
        <v>6748</v>
      </c>
    </row>
    <row r="65" spans="2:6">
      <c r="E65" t="s">
        <v>6749</v>
      </c>
    </row>
    <row r="66" spans="2:6">
      <c r="F66" t="s">
        <v>6750</v>
      </c>
    </row>
    <row r="67" spans="2:6">
      <c r="D67" t="s">
        <v>6751</v>
      </c>
    </row>
    <row r="68" spans="2:6">
      <c r="E68" t="s">
        <v>6752</v>
      </c>
    </row>
    <row r="69" spans="2:6">
      <c r="F69" t="s">
        <v>6753</v>
      </c>
    </row>
    <row r="70" spans="2:6">
      <c r="E70" t="s">
        <v>6754</v>
      </c>
    </row>
    <row r="71" spans="2:6">
      <c r="F71" t="s">
        <v>6755</v>
      </c>
    </row>
    <row r="72" spans="2:6">
      <c r="B72" t="s">
        <v>6756</v>
      </c>
    </row>
    <row r="73" spans="2:6">
      <c r="C73" t="s">
        <v>6757</v>
      </c>
    </row>
    <row r="74" spans="2:6">
      <c r="D74" t="s">
        <v>6758</v>
      </c>
    </row>
    <row r="75" spans="2:6">
      <c r="E75" t="s">
        <v>6759</v>
      </c>
    </row>
    <row r="76" spans="2:6">
      <c r="F76" t="s">
        <v>6760</v>
      </c>
    </row>
    <row r="77" spans="2:6">
      <c r="E77" t="s">
        <v>6761</v>
      </c>
    </row>
    <row r="78" spans="2:6">
      <c r="F78" t="s">
        <v>6762</v>
      </c>
    </row>
    <row r="79" spans="2:6">
      <c r="D79" t="s">
        <v>6763</v>
      </c>
    </row>
    <row r="80" spans="2:6">
      <c r="E80" t="s">
        <v>6764</v>
      </c>
    </row>
    <row r="81" spans="3:6">
      <c r="F81" t="s">
        <v>6765</v>
      </c>
    </row>
    <row r="82" spans="3:6">
      <c r="E82" t="s">
        <v>6766</v>
      </c>
    </row>
    <row r="83" spans="3:6">
      <c r="F83" t="s">
        <v>6767</v>
      </c>
    </row>
    <row r="84" spans="3:6">
      <c r="C84" t="s">
        <v>6768</v>
      </c>
    </row>
    <row r="85" spans="3:6">
      <c r="D85" t="s">
        <v>6769</v>
      </c>
    </row>
    <row r="86" spans="3:6">
      <c r="E86" t="s">
        <v>6770</v>
      </c>
    </row>
    <row r="87" spans="3:6">
      <c r="F87" t="s">
        <v>6771</v>
      </c>
    </row>
    <row r="88" spans="3:6">
      <c r="E88" t="s">
        <v>6772</v>
      </c>
    </row>
    <row r="89" spans="3:6">
      <c r="F89" t="s">
        <v>6773</v>
      </c>
    </row>
    <row r="90" spans="3:6">
      <c r="D90" t="s">
        <v>6774</v>
      </c>
    </row>
    <row r="91" spans="3:6">
      <c r="E91" t="s">
        <v>6775</v>
      </c>
    </row>
    <row r="92" spans="3:6">
      <c r="F92" t="s">
        <v>6776</v>
      </c>
    </row>
    <row r="93" spans="3:6">
      <c r="E93" t="s">
        <v>6777</v>
      </c>
    </row>
    <row r="94" spans="3:6">
      <c r="F94" t="s">
        <v>6778</v>
      </c>
    </row>
    <row r="95" spans="3:6">
      <c r="C95" t="s">
        <v>6779</v>
      </c>
    </row>
    <row r="96" spans="3:6">
      <c r="D96" t="s">
        <v>6780</v>
      </c>
    </row>
    <row r="97" spans="2:6">
      <c r="E97" t="s">
        <v>6781</v>
      </c>
    </row>
    <row r="98" spans="2:6">
      <c r="F98" t="s">
        <v>6782</v>
      </c>
    </row>
    <row r="99" spans="2:6">
      <c r="E99" t="s">
        <v>6783</v>
      </c>
    </row>
    <row r="100" spans="2:6">
      <c r="F100" t="s">
        <v>6784</v>
      </c>
    </row>
    <row r="101" spans="2:6">
      <c r="D101" t="s">
        <v>6785</v>
      </c>
    </row>
    <row r="102" spans="2:6">
      <c r="E102" t="s">
        <v>6786</v>
      </c>
    </row>
    <row r="103" spans="2:6">
      <c r="F103" t="s">
        <v>6787</v>
      </c>
    </row>
    <row r="104" spans="2:6">
      <c r="E104" t="s">
        <v>6788</v>
      </c>
    </row>
    <row r="105" spans="2:6">
      <c r="F105" t="s">
        <v>6789</v>
      </c>
    </row>
    <row r="106" spans="2:6">
      <c r="B106" t="s">
        <v>6790</v>
      </c>
    </row>
    <row r="107" spans="2:6">
      <c r="C107" t="s">
        <v>6791</v>
      </c>
    </row>
    <row r="108" spans="2:6">
      <c r="D108" t="s">
        <v>6792</v>
      </c>
    </row>
    <row r="109" spans="2:6">
      <c r="E109" t="s">
        <v>6793</v>
      </c>
    </row>
    <row r="110" spans="2:6">
      <c r="F110" t="s">
        <v>6794</v>
      </c>
    </row>
    <row r="111" spans="2:6">
      <c r="E111" t="s">
        <v>6795</v>
      </c>
    </row>
    <row r="112" spans="2:6">
      <c r="F112" t="s">
        <v>6796</v>
      </c>
    </row>
    <row r="113" spans="3:6">
      <c r="D113" t="s">
        <v>6797</v>
      </c>
    </row>
    <row r="114" spans="3:6">
      <c r="E114" t="s">
        <v>6798</v>
      </c>
    </row>
    <row r="115" spans="3:6">
      <c r="F115" t="s">
        <v>6799</v>
      </c>
    </row>
    <row r="116" spans="3:6">
      <c r="E116" t="s">
        <v>6800</v>
      </c>
    </row>
    <row r="117" spans="3:6">
      <c r="F117" t="s">
        <v>6801</v>
      </c>
    </row>
    <row r="118" spans="3:6">
      <c r="C118" t="s">
        <v>6802</v>
      </c>
    </row>
    <row r="119" spans="3:6">
      <c r="D119" t="s">
        <v>6803</v>
      </c>
    </row>
    <row r="120" spans="3:6">
      <c r="E120" t="s">
        <v>6804</v>
      </c>
    </row>
    <row r="121" spans="3:6">
      <c r="F121" t="s">
        <v>6805</v>
      </c>
    </row>
    <row r="122" spans="3:6">
      <c r="E122" t="s">
        <v>6806</v>
      </c>
    </row>
    <row r="123" spans="3:6">
      <c r="F123" t="s">
        <v>6807</v>
      </c>
    </row>
    <row r="124" spans="3:6">
      <c r="D124" t="s">
        <v>6808</v>
      </c>
    </row>
    <row r="125" spans="3:6">
      <c r="E125" t="s">
        <v>6809</v>
      </c>
    </row>
    <row r="126" spans="3:6">
      <c r="F126" t="s">
        <v>6810</v>
      </c>
    </row>
    <row r="127" spans="3:6">
      <c r="E127" t="s">
        <v>6811</v>
      </c>
    </row>
    <row r="128" spans="3:6">
      <c r="F128" t="s">
        <v>6812</v>
      </c>
    </row>
    <row r="129" spans="2:6">
      <c r="C129" t="s">
        <v>6813</v>
      </c>
    </row>
    <row r="130" spans="2:6">
      <c r="D130" t="s">
        <v>6814</v>
      </c>
    </row>
    <row r="131" spans="2:6">
      <c r="E131" t="s">
        <v>6815</v>
      </c>
    </row>
    <row r="132" spans="2:6">
      <c r="F132" t="s">
        <v>6816</v>
      </c>
    </row>
    <row r="133" spans="2:6">
      <c r="E133" t="s">
        <v>6817</v>
      </c>
    </row>
    <row r="134" spans="2:6">
      <c r="F134" t="s">
        <v>6818</v>
      </c>
    </row>
    <row r="135" spans="2:6">
      <c r="D135" t="s">
        <v>6819</v>
      </c>
    </row>
    <row r="136" spans="2:6">
      <c r="E136" t="s">
        <v>6820</v>
      </c>
    </row>
    <row r="137" spans="2:6">
      <c r="F137" t="s">
        <v>6821</v>
      </c>
    </row>
    <row r="138" spans="2:6">
      <c r="E138" t="s">
        <v>6822</v>
      </c>
    </row>
    <row r="139" spans="2:6">
      <c r="F139" t="s">
        <v>6823</v>
      </c>
    </row>
    <row r="140" spans="2:6">
      <c r="B140" t="s">
        <v>6824</v>
      </c>
    </row>
    <row r="141" spans="2:6">
      <c r="B141" t="s">
        <v>6825</v>
      </c>
    </row>
  </sheetData>
  <pageMargins left="0.75" right="0.75" top="1" bottom="1" header="0.5" footer="0.5"/>
  <pageSetup paperSize="9" orientation="portrait"/>
  <headerFooter/>
</worksheet>
</file>

<file path=xl/worksheets/sheet2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126"/>
  <sheetViews>
    <sheetView zoomScale="115" zoomScaleNormal="115" topLeftCell="A114" workbookViewId="0">
      <selection activeCell="B127" sqref="B127:B128"/>
    </sheetView>
  </sheetViews>
  <sheetFormatPr defaultColWidth="8.88888888888889" defaultRowHeight="14.4" outlineLevelCol="7"/>
  <cols>
    <col min="1" max="1" width="9.66666666666667"/>
  </cols>
  <sheetData>
    <row r="1" spans="1:8">
      <c r="A1" s="1">
        <f>SUM(B1:AZ1)</f>
        <v>27.55</v>
      </c>
      <c r="B1" s="1">
        <f>COUNTA(B2:B2220)/COLUMN()</f>
        <v>2.5</v>
      </c>
      <c r="C1" s="1">
        <f>COUNTA(C2:C2220)/COLUMN()</f>
        <v>3.66666666666667</v>
      </c>
      <c r="D1" s="1">
        <f>COUNTA(D2:D2220)/COLUMN()</f>
        <v>5.25</v>
      </c>
      <c r="E1" s="1">
        <f>COUNTA(E2:E2220)/COLUMN()</f>
        <v>8.8</v>
      </c>
      <c r="F1" s="1">
        <f>COUNTA(F2:F2220)/COLUMN()</f>
        <v>7.33333333333333</v>
      </c>
      <c r="G1" s="1">
        <f>COUNTA(G2:G2220)/COLUMN()</f>
        <v>0</v>
      </c>
      <c r="H1" s="1">
        <f>COUNTA(H2:H2220)/COLUMN()</f>
        <v>0</v>
      </c>
    </row>
    <row r="2" spans="1:8">
      <c r="A2" t="str" cm="1">
        <f ca="1" t="array" ref="A2">_wpsfn.SHEETSNAME(A1)</f>
        <v>20251217</v>
      </c>
      <c r="B2" t="s">
        <v>6826</v>
      </c>
    </row>
    <row r="3" spans="1:8">
      <c r="C3" t="s">
        <v>6827</v>
      </c>
    </row>
    <row r="4" spans="1:8">
      <c r="D4" t="s">
        <v>6828</v>
      </c>
    </row>
    <row r="5" spans="1:8">
      <c r="E5" t="s">
        <v>6829</v>
      </c>
    </row>
    <row r="6" spans="1:8">
      <c r="F6" t="s">
        <v>6830</v>
      </c>
    </row>
    <row r="7" spans="1:8">
      <c r="E7" t="s">
        <v>6831</v>
      </c>
    </row>
    <row r="8" spans="1:8">
      <c r="F8" t="s">
        <v>6832</v>
      </c>
    </row>
    <row r="9" spans="1:8">
      <c r="D9" t="s">
        <v>6833</v>
      </c>
    </row>
    <row r="10" spans="1:8">
      <c r="E10" t="s">
        <v>6834</v>
      </c>
    </row>
    <row r="11" spans="1:8">
      <c r="F11" t="s">
        <v>6835</v>
      </c>
    </row>
    <row r="12" spans="1:8">
      <c r="E12" t="s">
        <v>6836</v>
      </c>
    </row>
    <row r="13" spans="1:8">
      <c r="F13" t="s">
        <v>6837</v>
      </c>
    </row>
    <row r="14" spans="1:8">
      <c r="C14" t="s">
        <v>6838</v>
      </c>
    </row>
    <row r="15" spans="1:8">
      <c r="D15" t="s">
        <v>6839</v>
      </c>
    </row>
    <row r="16" spans="1:8">
      <c r="E16" t="s">
        <v>6840</v>
      </c>
    </row>
    <row r="17" spans="3:6">
      <c r="F17" t="s">
        <v>6841</v>
      </c>
    </row>
    <row r="18" spans="3:6">
      <c r="E18" t="s">
        <v>6842</v>
      </c>
    </row>
    <row r="19" spans="3:6">
      <c r="F19" t="s">
        <v>6843</v>
      </c>
    </row>
    <row r="20" spans="3:6">
      <c r="D20" t="s">
        <v>6844</v>
      </c>
    </row>
    <row r="21" spans="3:6">
      <c r="E21" t="s">
        <v>6845</v>
      </c>
    </row>
    <row r="22" spans="3:6">
      <c r="F22" t="s">
        <v>6846</v>
      </c>
    </row>
    <row r="23" spans="3:6">
      <c r="E23" t="s">
        <v>6847</v>
      </c>
    </row>
    <row r="24" spans="3:6">
      <c r="F24" t="s">
        <v>6848</v>
      </c>
    </row>
    <row r="25" spans="3:6">
      <c r="C25" t="s">
        <v>6849</v>
      </c>
    </row>
    <row r="26" spans="3:6">
      <c r="D26" t="s">
        <v>6850</v>
      </c>
    </row>
    <row r="27" spans="3:6">
      <c r="E27" t="s">
        <v>6851</v>
      </c>
    </row>
    <row r="28" spans="3:6">
      <c r="F28" t="s">
        <v>6852</v>
      </c>
    </row>
    <row r="29" spans="3:6">
      <c r="E29" t="s">
        <v>6853</v>
      </c>
    </row>
    <row r="30" spans="3:6">
      <c r="F30" t="s">
        <v>6854</v>
      </c>
    </row>
    <row r="31" spans="3:6">
      <c r="D31" t="s">
        <v>6855</v>
      </c>
    </row>
    <row r="32" spans="3:6">
      <c r="E32" t="s">
        <v>6856</v>
      </c>
    </row>
    <row r="33" spans="3:6">
      <c r="F33" t="s">
        <v>6857</v>
      </c>
    </row>
    <row r="34" spans="3:6">
      <c r="E34" t="s">
        <v>6858</v>
      </c>
    </row>
    <row r="35" spans="3:6">
      <c r="F35" t="s">
        <v>6859</v>
      </c>
    </row>
    <row r="36" spans="3:6">
      <c r="E36" t="s">
        <v>6860</v>
      </c>
    </row>
    <row r="37" spans="3:6">
      <c r="F37" t="s">
        <v>6861</v>
      </c>
    </row>
    <row r="38" spans="3:6">
      <c r="C38" t="s">
        <v>6862</v>
      </c>
    </row>
    <row r="39" spans="3:6">
      <c r="D39" t="s">
        <v>6863</v>
      </c>
    </row>
    <row r="40" spans="3:6">
      <c r="E40" t="s">
        <v>6864</v>
      </c>
    </row>
    <row r="41" spans="3:6">
      <c r="F41" t="s">
        <v>6865</v>
      </c>
    </row>
    <row r="42" spans="3:6">
      <c r="E42" t="s">
        <v>6866</v>
      </c>
    </row>
    <row r="43" spans="3:6">
      <c r="F43" t="s">
        <v>6867</v>
      </c>
    </row>
    <row r="44" spans="3:6">
      <c r="D44" t="s">
        <v>6868</v>
      </c>
    </row>
    <row r="45" spans="3:6">
      <c r="E45" t="s">
        <v>6869</v>
      </c>
    </row>
    <row r="46" spans="3:6">
      <c r="F46" t="s">
        <v>6870</v>
      </c>
    </row>
    <row r="47" spans="3:6">
      <c r="E47" t="s">
        <v>6871</v>
      </c>
    </row>
    <row r="48" spans="3:6">
      <c r="F48" t="s">
        <v>6872</v>
      </c>
    </row>
    <row r="49" spans="2:6">
      <c r="B49" t="s">
        <v>6873</v>
      </c>
    </row>
    <row r="50" spans="2:6">
      <c r="C50" t="s">
        <v>6874</v>
      </c>
    </row>
    <row r="51" spans="2:6">
      <c r="D51" t="s">
        <v>6875</v>
      </c>
    </row>
    <row r="52" spans="2:6">
      <c r="E52" t="s">
        <v>6876</v>
      </c>
    </row>
    <row r="53" spans="2:6">
      <c r="F53" t="s">
        <v>6877</v>
      </c>
    </row>
    <row r="54" spans="2:6">
      <c r="E54" t="s">
        <v>6878</v>
      </c>
    </row>
    <row r="55" spans="2:6">
      <c r="F55" t="s">
        <v>6879</v>
      </c>
    </row>
    <row r="56" spans="2:6">
      <c r="C56" t="s">
        <v>6880</v>
      </c>
    </row>
    <row r="57" spans="2:6">
      <c r="D57" t="s">
        <v>6881</v>
      </c>
    </row>
    <row r="58" spans="2:6">
      <c r="E58" t="s">
        <v>6882</v>
      </c>
    </row>
    <row r="59" spans="2:6">
      <c r="F59" t="s">
        <v>6883</v>
      </c>
    </row>
    <row r="60" spans="2:6">
      <c r="E60" t="s">
        <v>6884</v>
      </c>
    </row>
    <row r="61" spans="2:6">
      <c r="F61" t="s">
        <v>6885</v>
      </c>
    </row>
    <row r="62" spans="2:6">
      <c r="D62" t="s">
        <v>6886</v>
      </c>
    </row>
    <row r="63" spans="2:6">
      <c r="E63" t="s">
        <v>6887</v>
      </c>
    </row>
    <row r="64" spans="2:6">
      <c r="F64" t="s">
        <v>6888</v>
      </c>
    </row>
    <row r="65" spans="3:6">
      <c r="E65" t="s">
        <v>6889</v>
      </c>
    </row>
    <row r="66" spans="3:6">
      <c r="F66" t="s">
        <v>6890</v>
      </c>
    </row>
    <row r="67" spans="3:6">
      <c r="C67" t="s">
        <v>6891</v>
      </c>
    </row>
    <row r="68" spans="3:6">
      <c r="D68" t="s">
        <v>6892</v>
      </c>
    </row>
    <row r="69" spans="3:6">
      <c r="E69" t="s">
        <v>6893</v>
      </c>
    </row>
    <row r="70" spans="3:6">
      <c r="F70" t="s">
        <v>6894</v>
      </c>
    </row>
    <row r="71" spans="3:6">
      <c r="E71" t="s">
        <v>6895</v>
      </c>
    </row>
    <row r="72" spans="3:6">
      <c r="F72" t="s">
        <v>6896</v>
      </c>
    </row>
    <row r="73" spans="3:6">
      <c r="D73" t="s">
        <v>6897</v>
      </c>
    </row>
    <row r="74" spans="3:6">
      <c r="E74" t="s">
        <v>6898</v>
      </c>
    </row>
    <row r="75" spans="3:6">
      <c r="F75" t="s">
        <v>6899</v>
      </c>
    </row>
    <row r="76" spans="3:6">
      <c r="E76" t="s">
        <v>6900</v>
      </c>
    </row>
    <row r="77" spans="3:6">
      <c r="F77" t="s">
        <v>6901</v>
      </c>
    </row>
    <row r="78" spans="3:6">
      <c r="C78" t="s">
        <v>6902</v>
      </c>
    </row>
    <row r="79" spans="3:6">
      <c r="D79" t="s">
        <v>6903</v>
      </c>
    </row>
    <row r="80" spans="3:6">
      <c r="E80" t="s">
        <v>6904</v>
      </c>
    </row>
    <row r="81" spans="2:6">
      <c r="F81" t="s">
        <v>6905</v>
      </c>
    </row>
    <row r="82" spans="2:6">
      <c r="E82" t="s">
        <v>6906</v>
      </c>
    </row>
    <row r="83" spans="2:6">
      <c r="F83" t="s">
        <v>6907</v>
      </c>
    </row>
    <row r="84" spans="2:6">
      <c r="E84" t="s">
        <v>6908</v>
      </c>
    </row>
    <row r="85" spans="2:6">
      <c r="F85" t="s">
        <v>6909</v>
      </c>
    </row>
    <row r="86" spans="2:6">
      <c r="D86" t="s">
        <v>6910</v>
      </c>
    </row>
    <row r="87" spans="2:6">
      <c r="E87" t="s">
        <v>6911</v>
      </c>
    </row>
    <row r="88" spans="2:6">
      <c r="F88" t="s">
        <v>6912</v>
      </c>
    </row>
    <row r="89" spans="2:6">
      <c r="E89" t="s">
        <v>6913</v>
      </c>
    </row>
    <row r="90" spans="2:6">
      <c r="F90" t="s">
        <v>6914</v>
      </c>
    </row>
    <row r="91" spans="2:6">
      <c r="B91" t="s">
        <v>6915</v>
      </c>
    </row>
    <row r="92" spans="2:6">
      <c r="C92" t="s">
        <v>6916</v>
      </c>
    </row>
    <row r="93" spans="2:6">
      <c r="D93" t="s">
        <v>6917</v>
      </c>
    </row>
    <row r="94" spans="2:6">
      <c r="E94" t="s">
        <v>6918</v>
      </c>
    </row>
    <row r="95" spans="2:6">
      <c r="F95" t="s">
        <v>6919</v>
      </c>
    </row>
    <row r="96" spans="2:6">
      <c r="E96" t="s">
        <v>6920</v>
      </c>
    </row>
    <row r="97" spans="3:6">
      <c r="F97" t="s">
        <v>6921</v>
      </c>
    </row>
    <row r="98" spans="3:6">
      <c r="D98" t="s">
        <v>6922</v>
      </c>
    </row>
    <row r="99" spans="3:6">
      <c r="E99" t="s">
        <v>6923</v>
      </c>
    </row>
    <row r="100" spans="3:6">
      <c r="F100" t="s">
        <v>6924</v>
      </c>
    </row>
    <row r="101" spans="3:6">
      <c r="E101" t="s">
        <v>6925</v>
      </c>
    </row>
    <row r="102" spans="3:6">
      <c r="F102" t="s">
        <v>6926</v>
      </c>
    </row>
    <row r="103" spans="3:6">
      <c r="C103" t="s">
        <v>6927</v>
      </c>
    </row>
    <row r="104" spans="3:6">
      <c r="D104" t="s">
        <v>6928</v>
      </c>
    </row>
    <row r="105" spans="3:6">
      <c r="E105" t="s">
        <v>6929</v>
      </c>
    </row>
    <row r="106" spans="3:6">
      <c r="F106" t="s">
        <v>6930</v>
      </c>
    </row>
    <row r="107" spans="3:6">
      <c r="E107" t="s">
        <v>6931</v>
      </c>
    </row>
    <row r="108" spans="3:6">
      <c r="F108" t="s">
        <v>6932</v>
      </c>
    </row>
    <row r="109" spans="3:6">
      <c r="D109" t="s">
        <v>6933</v>
      </c>
    </row>
    <row r="110" spans="3:6">
      <c r="E110" t="s">
        <v>6934</v>
      </c>
    </row>
    <row r="111" spans="3:6">
      <c r="F111" t="s">
        <v>6935</v>
      </c>
    </row>
    <row r="112" spans="3:6">
      <c r="E112" t="s">
        <v>6936</v>
      </c>
    </row>
    <row r="113" spans="2:6">
      <c r="F113" t="s">
        <v>6937</v>
      </c>
    </row>
    <row r="114" spans="2:6">
      <c r="C114" t="s">
        <v>6938</v>
      </c>
    </row>
    <row r="115" spans="2:6">
      <c r="D115" t="s">
        <v>6939</v>
      </c>
    </row>
    <row r="116" spans="2:6">
      <c r="E116" t="s">
        <v>6940</v>
      </c>
    </row>
    <row r="117" spans="2:6">
      <c r="F117" t="s">
        <v>6941</v>
      </c>
    </row>
    <row r="118" spans="2:6">
      <c r="E118" t="s">
        <v>6942</v>
      </c>
    </row>
    <row r="119" spans="2:6">
      <c r="F119" t="s">
        <v>6943</v>
      </c>
    </row>
    <row r="120" spans="2:6">
      <c r="D120" t="s">
        <v>6944</v>
      </c>
    </row>
    <row r="121" spans="2:6">
      <c r="E121" t="s">
        <v>6945</v>
      </c>
    </row>
    <row r="122" spans="2:6">
      <c r="F122" t="s">
        <v>6946</v>
      </c>
    </row>
    <row r="123" spans="2:6">
      <c r="E123" t="s">
        <v>6947</v>
      </c>
    </row>
    <row r="124" spans="2:6">
      <c r="F124" t="s">
        <v>6948</v>
      </c>
    </row>
    <row r="125" spans="2:6">
      <c r="B125" t="s">
        <v>6949</v>
      </c>
    </row>
    <row r="126" spans="2:6">
      <c r="B126" t="s">
        <v>6950</v>
      </c>
    </row>
  </sheetData>
  <pageMargins left="0.75" right="0.75" top="1" bottom="1" header="0.5" footer="0.5"/>
  <pageSetup paperSize="9" orientation="portrait"/>
  <headerFooter/>
</worksheet>
</file>

<file path=xl/worksheets/sheet2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130"/>
  <sheetViews>
    <sheetView zoomScale="115" zoomScaleNormal="115" topLeftCell="A122" workbookViewId="0">
      <selection activeCell="B131" sqref="B131:B133"/>
    </sheetView>
  </sheetViews>
  <sheetFormatPr defaultColWidth="8.88888888888889" defaultRowHeight="14.4" outlineLevelCol="7"/>
  <cols>
    <col min="1" max="1" width="9.66666666666667"/>
  </cols>
  <sheetData>
    <row r="1" spans="1:8">
      <c r="A1" s="1">
        <f>SUM(B1:AZ1)</f>
        <v>28.6</v>
      </c>
      <c r="B1" s="1">
        <f>COUNTA(B2:B2220)/COLUMN()</f>
        <v>3</v>
      </c>
      <c r="C1" s="1">
        <f>COUNTA(C2:C2220)/COLUMN()</f>
        <v>3.66666666666667</v>
      </c>
      <c r="D1" s="1">
        <f>COUNTA(D2:D2220)/COLUMN()</f>
        <v>5.5</v>
      </c>
      <c r="E1" s="1">
        <f>COUNTA(E2:E2220)/COLUMN()</f>
        <v>8.6</v>
      </c>
      <c r="F1" s="1">
        <f>COUNTA(F2:F2220)/COLUMN()</f>
        <v>7.83333333333333</v>
      </c>
      <c r="G1" s="1">
        <f>COUNTA(G2:G2220)/COLUMN()</f>
        <v>0</v>
      </c>
      <c r="H1" s="1">
        <f>COUNTA(H2:H2220)/COLUMN()</f>
        <v>0</v>
      </c>
    </row>
    <row r="2" spans="1:8">
      <c r="A2" t="str" cm="1">
        <f ca="1" t="array" ref="A2">_wpsfn.SHEETSNAME(A1)</f>
        <v>20251218</v>
      </c>
      <c r="B2" t="s">
        <v>6951</v>
      </c>
    </row>
    <row r="3" spans="1:8">
      <c r="C3" t="s">
        <v>6952</v>
      </c>
    </row>
    <row r="4" spans="1:8">
      <c r="D4" t="s">
        <v>6953</v>
      </c>
    </row>
    <row r="5" spans="1:8">
      <c r="E5" t="s">
        <v>6954</v>
      </c>
    </row>
    <row r="6" spans="1:8">
      <c r="F6" t="s">
        <v>6955</v>
      </c>
    </row>
    <row r="7" spans="1:8">
      <c r="E7" t="s">
        <v>6956</v>
      </c>
    </row>
    <row r="8" spans="1:8">
      <c r="F8" t="s">
        <v>6957</v>
      </c>
    </row>
    <row r="9" spans="1:8">
      <c r="D9" t="s">
        <v>6958</v>
      </c>
    </row>
    <row r="10" spans="1:8">
      <c r="E10" t="s">
        <v>6959</v>
      </c>
    </row>
    <row r="11" spans="1:8">
      <c r="F11" t="s">
        <v>6960</v>
      </c>
    </row>
    <row r="12" spans="1:8">
      <c r="E12" t="s">
        <v>6961</v>
      </c>
    </row>
    <row r="13" spans="1:8">
      <c r="F13" t="s">
        <v>6962</v>
      </c>
    </row>
    <row r="14" spans="1:8">
      <c r="C14" t="s">
        <v>6963</v>
      </c>
    </row>
    <row r="15" spans="1:8">
      <c r="D15" t="s">
        <v>6964</v>
      </c>
    </row>
    <row r="16" spans="1:8">
      <c r="E16" t="s">
        <v>6965</v>
      </c>
    </row>
    <row r="17" spans="2:6">
      <c r="F17" t="s">
        <v>6966</v>
      </c>
    </row>
    <row r="18" spans="2:6">
      <c r="D18" t="s">
        <v>6967</v>
      </c>
    </row>
    <row r="19" spans="2:6">
      <c r="E19" t="s">
        <v>6968</v>
      </c>
    </row>
    <row r="20" spans="2:6">
      <c r="F20" t="s">
        <v>6969</v>
      </c>
    </row>
    <row r="21" spans="2:6">
      <c r="E21" t="s">
        <v>6970</v>
      </c>
    </row>
    <row r="22" spans="2:6">
      <c r="F22" t="s">
        <v>6971</v>
      </c>
    </row>
    <row r="23" spans="2:6">
      <c r="E23" t="s">
        <v>6972</v>
      </c>
    </row>
    <row r="24" spans="2:6">
      <c r="F24" t="s">
        <v>6973</v>
      </c>
    </row>
    <row r="25" spans="2:6">
      <c r="E25" t="s">
        <v>6974</v>
      </c>
    </row>
    <row r="26" spans="2:6">
      <c r="F26" t="s">
        <v>6975</v>
      </c>
    </row>
    <row r="27" spans="2:6">
      <c r="B27" t="s">
        <v>6976</v>
      </c>
    </row>
    <row r="28" spans="2:6">
      <c r="C28" t="s">
        <v>6977</v>
      </c>
    </row>
    <row r="29" spans="2:6">
      <c r="D29" t="s">
        <v>6978</v>
      </c>
    </row>
    <row r="30" spans="2:6">
      <c r="E30" t="s">
        <v>6979</v>
      </c>
    </row>
    <row r="31" spans="2:6">
      <c r="F31" t="s">
        <v>6980</v>
      </c>
    </row>
    <row r="32" spans="2:6">
      <c r="E32" t="s">
        <v>6981</v>
      </c>
    </row>
    <row r="33" spans="3:6">
      <c r="F33" t="s">
        <v>6982</v>
      </c>
    </row>
    <row r="34" spans="3:6">
      <c r="D34" t="s">
        <v>6983</v>
      </c>
    </row>
    <row r="35" spans="3:6">
      <c r="E35" t="s">
        <v>6984</v>
      </c>
    </row>
    <row r="36" spans="3:6">
      <c r="F36" t="s">
        <v>6985</v>
      </c>
    </row>
    <row r="37" spans="3:6">
      <c r="E37" t="s">
        <v>6986</v>
      </c>
    </row>
    <row r="38" spans="3:6">
      <c r="F38" t="s">
        <v>6987</v>
      </c>
    </row>
    <row r="39" spans="3:6">
      <c r="C39" t="s">
        <v>6988</v>
      </c>
    </row>
    <row r="40" spans="3:6">
      <c r="D40" t="s">
        <v>6989</v>
      </c>
    </row>
    <row r="41" spans="3:6">
      <c r="E41" t="s">
        <v>6990</v>
      </c>
    </row>
    <row r="42" spans="3:6">
      <c r="F42" t="s">
        <v>6991</v>
      </c>
    </row>
    <row r="43" spans="3:6">
      <c r="E43" t="s">
        <v>6992</v>
      </c>
    </row>
    <row r="44" spans="3:6">
      <c r="F44" t="s">
        <v>6993</v>
      </c>
    </row>
    <row r="45" spans="3:6">
      <c r="D45" t="s">
        <v>6994</v>
      </c>
    </row>
    <row r="46" spans="3:6">
      <c r="E46" t="s">
        <v>6995</v>
      </c>
    </row>
    <row r="47" spans="3:6">
      <c r="F47" t="s">
        <v>6996</v>
      </c>
    </row>
    <row r="48" spans="3:6">
      <c r="E48" t="s">
        <v>6997</v>
      </c>
    </row>
    <row r="49" spans="3:6">
      <c r="F49" t="s">
        <v>6998</v>
      </c>
    </row>
    <row r="50" spans="3:6">
      <c r="C50" t="s">
        <v>6999</v>
      </c>
    </row>
    <row r="51" spans="3:6">
      <c r="D51" t="s">
        <v>7000</v>
      </c>
    </row>
    <row r="52" spans="3:6">
      <c r="E52" t="s">
        <v>7001</v>
      </c>
    </row>
    <row r="53" spans="3:6">
      <c r="F53" t="s">
        <v>7002</v>
      </c>
    </row>
    <row r="54" spans="3:6">
      <c r="E54" t="s">
        <v>7003</v>
      </c>
    </row>
    <row r="55" spans="3:6">
      <c r="F55" t="s">
        <v>7004</v>
      </c>
    </row>
    <row r="56" spans="3:6">
      <c r="D56" t="s">
        <v>7005</v>
      </c>
    </row>
    <row r="57" spans="3:6">
      <c r="E57" t="s">
        <v>7006</v>
      </c>
    </row>
    <row r="58" spans="3:6">
      <c r="F58" t="s">
        <v>7007</v>
      </c>
    </row>
    <row r="59" spans="3:6">
      <c r="E59" t="s">
        <v>7008</v>
      </c>
    </row>
    <row r="60" spans="3:6">
      <c r="F60" t="s">
        <v>7009</v>
      </c>
    </row>
    <row r="61" spans="3:6">
      <c r="C61" t="s">
        <v>7010</v>
      </c>
    </row>
    <row r="62" spans="3:6">
      <c r="D62" t="s">
        <v>7011</v>
      </c>
    </row>
    <row r="63" spans="3:6">
      <c r="E63" t="s">
        <v>7012</v>
      </c>
    </row>
    <row r="64" spans="3:6">
      <c r="E64" t="s">
        <v>7013</v>
      </c>
    </row>
    <row r="65" spans="2:6">
      <c r="D65" t="s">
        <v>7014</v>
      </c>
    </row>
    <row r="66" spans="2:6">
      <c r="E66" t="s">
        <v>7015</v>
      </c>
    </row>
    <row r="67" spans="2:6">
      <c r="F67" t="s">
        <v>7016</v>
      </c>
    </row>
    <row r="68" spans="2:6">
      <c r="D68" t="s">
        <v>7017</v>
      </c>
    </row>
    <row r="69" spans="2:6">
      <c r="E69" t="s">
        <v>7018</v>
      </c>
    </row>
    <row r="70" spans="2:6">
      <c r="F70" t="s">
        <v>7019</v>
      </c>
    </row>
    <row r="71" spans="2:6">
      <c r="B71" t="s">
        <v>7020</v>
      </c>
    </row>
    <row r="72" spans="2:6">
      <c r="C72" t="s">
        <v>7021</v>
      </c>
    </row>
    <row r="73" spans="2:6">
      <c r="D73" t="s">
        <v>7022</v>
      </c>
    </row>
    <row r="74" spans="2:6">
      <c r="E74" t="s">
        <v>7023</v>
      </c>
    </row>
    <row r="75" spans="2:6">
      <c r="F75" t="s">
        <v>7024</v>
      </c>
    </row>
    <row r="76" spans="2:6">
      <c r="E76" t="s">
        <v>7025</v>
      </c>
    </row>
    <row r="77" spans="2:6">
      <c r="F77" t="s">
        <v>7026</v>
      </c>
    </row>
    <row r="78" spans="2:6">
      <c r="C78" t="s">
        <v>7027</v>
      </c>
    </row>
    <row r="79" spans="2:6">
      <c r="D79" t="s">
        <v>7028</v>
      </c>
    </row>
    <row r="80" spans="2:6">
      <c r="E80" t="s">
        <v>7029</v>
      </c>
    </row>
    <row r="81" spans="2:6">
      <c r="F81" t="s">
        <v>7030</v>
      </c>
    </row>
    <row r="82" spans="2:6">
      <c r="E82" t="s">
        <v>7031</v>
      </c>
    </row>
    <row r="83" spans="2:6">
      <c r="F83" t="s">
        <v>7032</v>
      </c>
    </row>
    <row r="84" spans="2:6">
      <c r="C84" t="s">
        <v>7033</v>
      </c>
    </row>
    <row r="85" spans="2:6">
      <c r="D85" t="s">
        <v>7034</v>
      </c>
    </row>
    <row r="86" spans="2:6">
      <c r="E86" t="s">
        <v>7035</v>
      </c>
    </row>
    <row r="87" spans="2:6">
      <c r="F87" t="s">
        <v>7036</v>
      </c>
    </row>
    <row r="88" spans="2:6">
      <c r="D88" t="s">
        <v>7037</v>
      </c>
    </row>
    <row r="89" spans="2:6">
      <c r="E89" t="s">
        <v>7038</v>
      </c>
    </row>
    <row r="90" spans="2:6">
      <c r="F90" t="s">
        <v>7039</v>
      </c>
    </row>
    <row r="91" spans="2:6">
      <c r="E91" t="s">
        <v>7040</v>
      </c>
    </row>
    <row r="92" spans="2:6">
      <c r="F92" t="s">
        <v>7041</v>
      </c>
    </row>
    <row r="93" spans="2:6">
      <c r="E93" t="s">
        <v>7042</v>
      </c>
    </row>
    <row r="94" spans="2:6">
      <c r="F94" t="s">
        <v>7043</v>
      </c>
    </row>
    <row r="95" spans="2:6">
      <c r="B95" t="s">
        <v>7044</v>
      </c>
    </row>
    <row r="96" spans="2:6">
      <c r="C96" t="s">
        <v>7045</v>
      </c>
    </row>
    <row r="97" spans="3:6">
      <c r="D97" t="s">
        <v>7046</v>
      </c>
    </row>
    <row r="98" spans="3:6">
      <c r="E98" t="s">
        <v>7047</v>
      </c>
    </row>
    <row r="99" spans="3:6">
      <c r="F99" t="s">
        <v>7048</v>
      </c>
    </row>
    <row r="100" spans="3:6">
      <c r="E100" t="s">
        <v>7049</v>
      </c>
    </row>
    <row r="101" spans="3:6">
      <c r="F101" t="s">
        <v>7050</v>
      </c>
    </row>
    <row r="102" spans="3:6">
      <c r="D102" t="s">
        <v>7051</v>
      </c>
    </row>
    <row r="103" spans="3:6">
      <c r="E103" t="s">
        <v>7052</v>
      </c>
    </row>
    <row r="104" spans="3:6">
      <c r="F104" t="s">
        <v>7053</v>
      </c>
    </row>
    <row r="105" spans="3:6">
      <c r="F105" t="s">
        <v>7054</v>
      </c>
    </row>
    <row r="106" spans="3:6">
      <c r="E106" t="s">
        <v>7055</v>
      </c>
    </row>
    <row r="107" spans="3:6">
      <c r="F107" t="s">
        <v>7056</v>
      </c>
    </row>
    <row r="108" spans="3:6">
      <c r="F108" t="s">
        <v>7057</v>
      </c>
    </row>
    <row r="109" spans="3:6">
      <c r="F109" t="s">
        <v>7058</v>
      </c>
    </row>
    <row r="110" spans="3:6">
      <c r="C110" t="s">
        <v>7059</v>
      </c>
    </row>
    <row r="111" spans="3:6">
      <c r="D111" t="s">
        <v>7060</v>
      </c>
    </row>
    <row r="112" spans="3:6">
      <c r="E112" t="s">
        <v>7061</v>
      </c>
    </row>
    <row r="113" spans="4:6">
      <c r="F113" t="s">
        <v>7062</v>
      </c>
    </row>
    <row r="114" spans="4:6">
      <c r="E114" t="s">
        <v>7063</v>
      </c>
    </row>
    <row r="115" spans="4:6">
      <c r="F115" t="s">
        <v>7064</v>
      </c>
    </row>
    <row r="116" spans="4:6">
      <c r="D116" t="s">
        <v>7065</v>
      </c>
    </row>
    <row r="117" spans="4:6">
      <c r="E117" t="s">
        <v>7066</v>
      </c>
    </row>
    <row r="118" spans="4:6">
      <c r="F118" t="s">
        <v>7067</v>
      </c>
    </row>
    <row r="119" spans="4:6">
      <c r="F119" t="s">
        <v>7068</v>
      </c>
    </row>
    <row r="120" spans="4:6">
      <c r="E120" t="s">
        <v>7069</v>
      </c>
    </row>
    <row r="121" spans="4:6">
      <c r="F121" t="s">
        <v>7070</v>
      </c>
    </row>
    <row r="122" spans="4:6">
      <c r="F122" t="s">
        <v>7071</v>
      </c>
    </row>
    <row r="123" spans="4:6">
      <c r="F123" t="s">
        <v>7072</v>
      </c>
    </row>
    <row r="124" spans="4:6">
      <c r="D124" t="s">
        <v>7073</v>
      </c>
    </row>
    <row r="125" spans="4:6">
      <c r="E125" t="s">
        <v>7074</v>
      </c>
    </row>
    <row r="126" spans="4:6">
      <c r="F126" t="s">
        <v>7075</v>
      </c>
    </row>
    <row r="127" spans="4:6">
      <c r="E127" t="s">
        <v>7076</v>
      </c>
    </row>
    <row r="128" spans="4:6">
      <c r="F128" t="s">
        <v>7077</v>
      </c>
    </row>
    <row r="129" spans="2:2">
      <c r="B129" t="s">
        <v>7078</v>
      </c>
    </row>
    <row r="130" spans="2:2">
      <c r="B130" t="s">
        <v>7079</v>
      </c>
    </row>
  </sheetData>
  <pageMargins left="0.75" right="0.75" top="1" bottom="1" header="0.5" footer="0.5"/>
  <pageSetup paperSize="9" orientation="portrait"/>
  <headerFooter/>
</worksheet>
</file>

<file path=xl/worksheets/sheet2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119"/>
  <sheetViews>
    <sheetView zoomScale="130" zoomScaleNormal="130" topLeftCell="A110" workbookViewId="0">
      <selection activeCell="B120" sqref="B120:B123"/>
    </sheetView>
  </sheetViews>
  <sheetFormatPr defaultColWidth="8.88888888888889" defaultRowHeight="14.4" outlineLevelCol="7"/>
  <cols>
    <col min="1" max="1" width="9.66666666666667"/>
  </cols>
  <sheetData>
    <row r="1" spans="1:8">
      <c r="A1" s="1">
        <f>SUM(B1:AZ1)</f>
        <v>27.15</v>
      </c>
      <c r="B1" s="1">
        <f>COUNTA(B2:B2220)/COLUMN()</f>
        <v>3</v>
      </c>
      <c r="C1" s="1">
        <f>COUNTA(C2:C2220)/COLUMN()</f>
        <v>4.33333333333333</v>
      </c>
      <c r="D1" s="1">
        <f>COUNTA(D2:D2220)/COLUMN()</f>
        <v>6.25</v>
      </c>
      <c r="E1" s="1">
        <f>COUNTA(E2:E2220)/COLUMN()</f>
        <v>7.4</v>
      </c>
      <c r="F1" s="1">
        <f>COUNTA(F2:F2220)/COLUMN()</f>
        <v>6.16666666666667</v>
      </c>
      <c r="G1" s="1">
        <f>COUNTA(G2:G2220)/COLUMN()</f>
        <v>0</v>
      </c>
      <c r="H1" s="1">
        <f>COUNTA(H2:H2220)/COLUMN()</f>
        <v>0</v>
      </c>
    </row>
    <row r="2" spans="1:8">
      <c r="A2" t="str" cm="1">
        <f ca="1" t="array" ref="A2">_wpsfn.SHEETSNAME(A1)</f>
        <v>20251219</v>
      </c>
      <c r="B2" t="s">
        <v>7080</v>
      </c>
    </row>
    <row r="3" spans="1:8">
      <c r="C3" t="s">
        <v>7081</v>
      </c>
    </row>
    <row r="4" spans="1:8">
      <c r="D4" t="s">
        <v>7082</v>
      </c>
    </row>
    <row r="5" spans="1:8">
      <c r="E5" t="s">
        <v>7083</v>
      </c>
    </row>
    <row r="6" spans="1:8">
      <c r="F6" t="s">
        <v>7084</v>
      </c>
    </row>
    <row r="7" spans="1:8">
      <c r="E7" t="s">
        <v>7085</v>
      </c>
    </row>
    <row r="8" spans="1:8">
      <c r="F8" t="s">
        <v>7086</v>
      </c>
    </row>
    <row r="9" spans="1:8">
      <c r="D9" t="s">
        <v>7087</v>
      </c>
    </row>
    <row r="10" spans="1:8">
      <c r="E10" t="s">
        <v>7088</v>
      </c>
    </row>
    <row r="11" spans="1:8">
      <c r="F11" t="s">
        <v>7089</v>
      </c>
    </row>
    <row r="12" spans="1:8">
      <c r="C12" t="s">
        <v>7090</v>
      </c>
    </row>
    <row r="13" spans="1:8">
      <c r="D13" t="s">
        <v>7091</v>
      </c>
    </row>
    <row r="14" spans="1:8">
      <c r="E14" t="s">
        <v>7092</v>
      </c>
    </row>
    <row r="15" spans="1:8">
      <c r="F15" t="s">
        <v>7093</v>
      </c>
    </row>
    <row r="16" spans="1:8">
      <c r="D16" t="s">
        <v>7094</v>
      </c>
    </row>
    <row r="17" spans="3:6">
      <c r="E17" t="s">
        <v>7095</v>
      </c>
    </row>
    <row r="18" spans="3:6">
      <c r="F18" t="s">
        <v>7096</v>
      </c>
    </row>
    <row r="19" spans="3:6">
      <c r="C19" t="s">
        <v>7097</v>
      </c>
    </row>
    <row r="20" spans="3:6">
      <c r="D20" t="s">
        <v>7098</v>
      </c>
    </row>
    <row r="21" spans="3:6">
      <c r="E21" t="s">
        <v>7099</v>
      </c>
    </row>
    <row r="22" spans="3:6">
      <c r="F22" t="s">
        <v>7100</v>
      </c>
    </row>
    <row r="23" spans="3:6">
      <c r="D23" t="s">
        <v>7101</v>
      </c>
    </row>
    <row r="24" spans="3:6">
      <c r="E24" t="s">
        <v>7102</v>
      </c>
    </row>
    <row r="25" spans="3:6">
      <c r="F25" t="s">
        <v>7103</v>
      </c>
    </row>
    <row r="26" spans="3:6">
      <c r="C26" t="s">
        <v>7104</v>
      </c>
    </row>
    <row r="27" spans="3:6">
      <c r="D27" t="s">
        <v>7105</v>
      </c>
    </row>
    <row r="28" spans="3:6">
      <c r="E28" t="s">
        <v>7106</v>
      </c>
    </row>
    <row r="29" spans="3:6">
      <c r="F29" t="s">
        <v>7107</v>
      </c>
    </row>
    <row r="30" spans="3:6">
      <c r="D30" t="s">
        <v>7108</v>
      </c>
    </row>
    <row r="31" spans="3:6">
      <c r="E31" t="s">
        <v>7109</v>
      </c>
    </row>
    <row r="32" spans="3:6">
      <c r="F32" t="s">
        <v>7110</v>
      </c>
    </row>
    <row r="33" spans="2:6">
      <c r="B33" t="s">
        <v>7111</v>
      </c>
    </row>
    <row r="34" spans="2:6">
      <c r="C34" t="s">
        <v>7112</v>
      </c>
    </row>
    <row r="35" spans="2:6">
      <c r="D35" t="s">
        <v>7113</v>
      </c>
    </row>
    <row r="36" spans="2:6">
      <c r="E36" t="s">
        <v>7114</v>
      </c>
    </row>
    <row r="37" spans="2:6">
      <c r="F37" t="s">
        <v>7115</v>
      </c>
    </row>
    <row r="38" spans="2:6">
      <c r="D38" t="s">
        <v>7116</v>
      </c>
    </row>
    <row r="39" spans="2:6">
      <c r="E39" t="s">
        <v>7117</v>
      </c>
    </row>
    <row r="40" spans="2:6">
      <c r="F40" t="s">
        <v>7118</v>
      </c>
    </row>
    <row r="41" spans="2:6">
      <c r="C41" t="s">
        <v>7119</v>
      </c>
    </row>
    <row r="42" spans="2:6">
      <c r="D42" t="s">
        <v>7120</v>
      </c>
    </row>
    <row r="43" spans="2:6">
      <c r="E43" t="s">
        <v>7121</v>
      </c>
    </row>
    <row r="44" spans="2:6">
      <c r="F44" t="s">
        <v>7122</v>
      </c>
    </row>
    <row r="45" spans="2:6">
      <c r="E45" t="s">
        <v>7123</v>
      </c>
    </row>
    <row r="46" spans="2:6">
      <c r="F46" t="s">
        <v>7124</v>
      </c>
    </row>
    <row r="47" spans="2:6">
      <c r="D47" t="s">
        <v>7125</v>
      </c>
    </row>
    <row r="48" spans="2:6">
      <c r="E48" t="s">
        <v>7126</v>
      </c>
    </row>
    <row r="49" spans="2:6">
      <c r="F49" t="s">
        <v>7127</v>
      </c>
    </row>
    <row r="50" spans="2:6">
      <c r="E50" t="s">
        <v>7128</v>
      </c>
    </row>
    <row r="51" spans="2:6">
      <c r="F51" t="s">
        <v>7129</v>
      </c>
    </row>
    <row r="52" spans="2:6">
      <c r="D52" t="s">
        <v>7130</v>
      </c>
    </row>
    <row r="53" spans="2:6">
      <c r="E53" t="s">
        <v>7131</v>
      </c>
    </row>
    <row r="54" spans="2:6">
      <c r="F54" t="s">
        <v>7132</v>
      </c>
    </row>
    <row r="55" spans="2:6">
      <c r="E55" t="s">
        <v>7133</v>
      </c>
    </row>
    <row r="56" spans="2:6">
      <c r="F56" t="s">
        <v>7134</v>
      </c>
    </row>
    <row r="57" spans="2:6">
      <c r="D57" t="s">
        <v>7135</v>
      </c>
    </row>
    <row r="58" spans="2:6">
      <c r="E58" t="s">
        <v>7136</v>
      </c>
    </row>
    <row r="59" spans="2:6">
      <c r="F59" t="s">
        <v>7137</v>
      </c>
    </row>
    <row r="60" spans="2:6">
      <c r="E60" t="s">
        <v>7138</v>
      </c>
    </row>
    <row r="61" spans="2:6">
      <c r="F61" t="s">
        <v>7139</v>
      </c>
    </row>
    <row r="62" spans="2:6">
      <c r="B62" t="s">
        <v>7140</v>
      </c>
    </row>
    <row r="63" spans="2:6">
      <c r="C63" t="s">
        <v>7141</v>
      </c>
    </row>
    <row r="64" spans="2:6">
      <c r="D64" t="s">
        <v>7142</v>
      </c>
    </row>
    <row r="65" spans="3:6">
      <c r="E65" t="s">
        <v>7143</v>
      </c>
    </row>
    <row r="66" spans="3:6">
      <c r="F66" t="s">
        <v>7144</v>
      </c>
    </row>
    <row r="67" spans="3:6">
      <c r="D67" t="s">
        <v>7145</v>
      </c>
    </row>
    <row r="68" spans="3:6">
      <c r="E68" t="s">
        <v>7146</v>
      </c>
    </row>
    <row r="69" spans="3:6">
      <c r="F69" t="s">
        <v>7147</v>
      </c>
    </row>
    <row r="70" spans="3:6">
      <c r="C70" t="s">
        <v>7148</v>
      </c>
    </row>
    <row r="71" spans="3:6">
      <c r="D71" t="s">
        <v>7149</v>
      </c>
    </row>
    <row r="72" spans="3:6">
      <c r="E72" t="s">
        <v>7150</v>
      </c>
    </row>
    <row r="73" spans="3:6">
      <c r="F73" t="s">
        <v>7151</v>
      </c>
    </row>
    <row r="74" spans="3:6">
      <c r="E74" t="s">
        <v>7152</v>
      </c>
    </row>
    <row r="75" spans="3:6">
      <c r="F75" t="s">
        <v>7153</v>
      </c>
    </row>
    <row r="76" spans="3:6">
      <c r="C76" t="s">
        <v>7154</v>
      </c>
    </row>
    <row r="77" spans="3:6">
      <c r="D77" t="s">
        <v>7155</v>
      </c>
    </row>
    <row r="78" spans="3:6">
      <c r="E78" t="s">
        <v>7156</v>
      </c>
    </row>
    <row r="79" spans="3:6">
      <c r="F79" t="s">
        <v>7157</v>
      </c>
    </row>
    <row r="80" spans="3:6">
      <c r="E80" t="s">
        <v>7158</v>
      </c>
    </row>
    <row r="81" spans="2:6">
      <c r="F81" t="s">
        <v>7159</v>
      </c>
    </row>
    <row r="82" spans="2:6">
      <c r="B82" t="s">
        <v>7160</v>
      </c>
    </row>
    <row r="83" spans="2:6">
      <c r="C83" t="s">
        <v>7161</v>
      </c>
    </row>
    <row r="84" spans="2:6">
      <c r="D84" t="s">
        <v>7162</v>
      </c>
    </row>
    <row r="85" spans="2:6">
      <c r="E85" t="s">
        <v>7163</v>
      </c>
    </row>
    <row r="86" spans="2:6">
      <c r="F86" t="s">
        <v>7164</v>
      </c>
    </row>
    <row r="87" spans="2:6">
      <c r="E87" t="s">
        <v>7165</v>
      </c>
    </row>
    <row r="88" spans="2:6">
      <c r="F88" t="s">
        <v>7166</v>
      </c>
    </row>
    <row r="89" spans="2:6">
      <c r="C89" t="s">
        <v>7167</v>
      </c>
    </row>
    <row r="90" spans="2:6">
      <c r="D90" t="s">
        <v>7168</v>
      </c>
    </row>
    <row r="91" spans="2:6">
      <c r="E91" t="s">
        <v>7169</v>
      </c>
    </row>
    <row r="92" spans="2:6">
      <c r="F92" t="s">
        <v>7170</v>
      </c>
    </row>
    <row r="93" spans="2:6">
      <c r="E93" t="s">
        <v>7171</v>
      </c>
    </row>
    <row r="94" spans="2:6">
      <c r="F94" t="s">
        <v>7172</v>
      </c>
    </row>
    <row r="95" spans="2:6">
      <c r="D95" t="s">
        <v>7173</v>
      </c>
    </row>
    <row r="96" spans="2:6">
      <c r="E96" t="s">
        <v>7174</v>
      </c>
    </row>
    <row r="97" spans="2:6">
      <c r="F97" t="s">
        <v>7175</v>
      </c>
    </row>
    <row r="98" spans="2:6">
      <c r="E98" t="s">
        <v>7176</v>
      </c>
    </row>
    <row r="99" spans="2:6">
      <c r="F99" t="s">
        <v>7177</v>
      </c>
    </row>
    <row r="100" spans="2:6">
      <c r="B100" t="s">
        <v>7178</v>
      </c>
    </row>
    <row r="101" spans="2:6">
      <c r="C101" t="s">
        <v>7179</v>
      </c>
    </row>
    <row r="102" spans="2:6">
      <c r="D102" t="s">
        <v>7180</v>
      </c>
    </row>
    <row r="103" spans="2:6">
      <c r="E103" t="s">
        <v>7181</v>
      </c>
    </row>
    <row r="104" spans="2:6">
      <c r="F104" t="s">
        <v>7182</v>
      </c>
    </row>
    <row r="105" spans="2:6">
      <c r="D105" t="s">
        <v>7183</v>
      </c>
    </row>
    <row r="106" spans="2:6">
      <c r="E106" t="s">
        <v>7184</v>
      </c>
    </row>
    <row r="107" spans="2:6">
      <c r="F107" t="s">
        <v>7185</v>
      </c>
    </row>
    <row r="108" spans="2:6">
      <c r="E108" t="s">
        <v>7186</v>
      </c>
    </row>
    <row r="109" spans="2:6">
      <c r="F109" t="s">
        <v>7187</v>
      </c>
    </row>
    <row r="110" spans="2:6">
      <c r="C110" t="s">
        <v>7188</v>
      </c>
    </row>
    <row r="111" spans="2:6">
      <c r="D111" t="s">
        <v>7189</v>
      </c>
    </row>
    <row r="112" spans="2:6">
      <c r="E112" t="s">
        <v>7190</v>
      </c>
    </row>
    <row r="113" spans="2:6">
      <c r="F113" t="s">
        <v>7191</v>
      </c>
    </row>
    <row r="114" spans="2:6">
      <c r="D114" t="s">
        <v>7192</v>
      </c>
    </row>
    <row r="115" spans="2:6">
      <c r="E115" t="s">
        <v>7193</v>
      </c>
    </row>
    <row r="116" spans="2:6">
      <c r="F116" t="s">
        <v>7194</v>
      </c>
    </row>
    <row r="117" spans="2:6">
      <c r="E117" t="s">
        <v>7195</v>
      </c>
    </row>
    <row r="118" spans="2:6">
      <c r="F118" t="s">
        <v>7196</v>
      </c>
    </row>
    <row r="119" spans="2:6">
      <c r="B119" t="s">
        <v>7197</v>
      </c>
    </row>
  </sheetData>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233</vt:i4>
      </vt:variant>
    </vt:vector>
  </HeadingPairs>
  <TitlesOfParts>
    <vt:vector size="233" baseType="lpstr">
      <vt:lpstr>20240225</vt:lpstr>
      <vt:lpstr>20240229</vt:lpstr>
      <vt:lpstr>20240302</vt:lpstr>
      <vt:lpstr>20240303</vt:lpstr>
      <vt:lpstr>20240304</vt:lpstr>
      <vt:lpstr>20240306</vt:lpstr>
      <vt:lpstr>20240307</vt:lpstr>
      <vt:lpstr>20240308</vt:lpstr>
      <vt:lpstr>20240309</vt:lpstr>
      <vt:lpstr>20240310</vt:lpstr>
      <vt:lpstr>20240311</vt:lpstr>
      <vt:lpstr>20240316</vt:lpstr>
      <vt:lpstr>20240317</vt:lpstr>
      <vt:lpstr>20240320</vt:lpstr>
      <vt:lpstr>20240322</vt:lpstr>
      <vt:lpstr>20240323</vt:lpstr>
      <vt:lpstr>20240326</vt:lpstr>
      <vt:lpstr>20240328</vt:lpstr>
      <vt:lpstr>20240401</vt:lpstr>
      <vt:lpstr>20240402</vt:lpstr>
      <vt:lpstr>20240405</vt:lpstr>
      <vt:lpstr>20240406</vt:lpstr>
      <vt:lpstr>20240408</vt:lpstr>
      <vt:lpstr>20240409</vt:lpstr>
      <vt:lpstr>20240410</vt:lpstr>
      <vt:lpstr>20240411</vt:lpstr>
      <vt:lpstr>20240412</vt:lpstr>
      <vt:lpstr>20240413</vt:lpstr>
      <vt:lpstr>20240414</vt:lpstr>
      <vt:lpstr>20240415</vt:lpstr>
      <vt:lpstr>20240416</vt:lpstr>
      <vt:lpstr>20240417</vt:lpstr>
      <vt:lpstr>20240418</vt:lpstr>
      <vt:lpstr>20240420</vt:lpstr>
      <vt:lpstr>20240421</vt:lpstr>
      <vt:lpstr>20240422</vt:lpstr>
      <vt:lpstr>20240423</vt:lpstr>
      <vt:lpstr>20240424</vt:lpstr>
      <vt:lpstr>20240425</vt:lpstr>
      <vt:lpstr>20240426</vt:lpstr>
      <vt:lpstr>20240427</vt:lpstr>
      <vt:lpstr>20240501</vt:lpstr>
      <vt:lpstr>20240503</vt:lpstr>
      <vt:lpstr>20240504</vt:lpstr>
      <vt:lpstr>20240507</vt:lpstr>
      <vt:lpstr>20240511</vt:lpstr>
      <vt:lpstr>20240512</vt:lpstr>
      <vt:lpstr>20240513</vt:lpstr>
      <vt:lpstr>20240515</vt:lpstr>
      <vt:lpstr>20240519</vt:lpstr>
      <vt:lpstr>20240523</vt:lpstr>
      <vt:lpstr>20240525</vt:lpstr>
      <vt:lpstr>20240526</vt:lpstr>
      <vt:lpstr>20240527</vt:lpstr>
      <vt:lpstr>20240529</vt:lpstr>
      <vt:lpstr>20240530</vt:lpstr>
      <vt:lpstr>20240531</vt:lpstr>
      <vt:lpstr>20240601</vt:lpstr>
      <vt:lpstr>20240602</vt:lpstr>
      <vt:lpstr>20240603</vt:lpstr>
      <vt:lpstr>20240720</vt:lpstr>
      <vt:lpstr>20240721</vt:lpstr>
      <vt:lpstr>20240727</vt:lpstr>
      <vt:lpstr>20240804</vt:lpstr>
      <vt:lpstr>20240810</vt:lpstr>
      <vt:lpstr>20240811</vt:lpstr>
      <vt:lpstr>20240831</vt:lpstr>
      <vt:lpstr>20240901</vt:lpstr>
      <vt:lpstr>20240907</vt:lpstr>
      <vt:lpstr>20240908</vt:lpstr>
      <vt:lpstr>20240916</vt:lpstr>
      <vt:lpstr>20240922</vt:lpstr>
      <vt:lpstr>20241001</vt:lpstr>
      <vt:lpstr>20241006</vt:lpstr>
      <vt:lpstr>20241019</vt:lpstr>
      <vt:lpstr>20250202</vt:lpstr>
      <vt:lpstr>20250205</vt:lpstr>
      <vt:lpstr>20250211</vt:lpstr>
      <vt:lpstr>20250214</vt:lpstr>
      <vt:lpstr>20250217</vt:lpstr>
      <vt:lpstr>20250324</vt:lpstr>
      <vt:lpstr>20250325</vt:lpstr>
      <vt:lpstr>20250327</vt:lpstr>
      <vt:lpstr>20250329</vt:lpstr>
      <vt:lpstr>20250330</vt:lpstr>
      <vt:lpstr>20250331</vt:lpstr>
      <vt:lpstr>20250405</vt:lpstr>
      <vt:lpstr>20250408</vt:lpstr>
      <vt:lpstr>20250411</vt:lpstr>
      <vt:lpstr>20250412</vt:lpstr>
      <vt:lpstr>20250416</vt:lpstr>
      <vt:lpstr>20250420</vt:lpstr>
      <vt:lpstr>20250427</vt:lpstr>
      <vt:lpstr>20250502</vt:lpstr>
      <vt:lpstr>20250506</vt:lpstr>
      <vt:lpstr>20250514</vt:lpstr>
      <vt:lpstr>20250517</vt:lpstr>
      <vt:lpstr>20250518</vt:lpstr>
      <vt:lpstr>20250519</vt:lpstr>
      <vt:lpstr>20250520</vt:lpstr>
      <vt:lpstr>20250521</vt:lpstr>
      <vt:lpstr>20250522</vt:lpstr>
      <vt:lpstr>20250523</vt:lpstr>
      <vt:lpstr>20250524</vt:lpstr>
      <vt:lpstr>20250525</vt:lpstr>
      <vt:lpstr>20250526</vt:lpstr>
      <vt:lpstr>20250527</vt:lpstr>
      <vt:lpstr>20250528</vt:lpstr>
      <vt:lpstr>20250529</vt:lpstr>
      <vt:lpstr>20250530</vt:lpstr>
      <vt:lpstr>20250531</vt:lpstr>
      <vt:lpstr>20250601</vt:lpstr>
      <vt:lpstr>20250602</vt:lpstr>
      <vt:lpstr>20250603</vt:lpstr>
      <vt:lpstr>20250604</vt:lpstr>
      <vt:lpstr>20250605</vt:lpstr>
      <vt:lpstr>20250607</vt:lpstr>
      <vt:lpstr>20250608</vt:lpstr>
      <vt:lpstr>20250609</vt:lpstr>
      <vt:lpstr>20250610</vt:lpstr>
      <vt:lpstr>20250611</vt:lpstr>
      <vt:lpstr>20250612</vt:lpstr>
      <vt:lpstr>20250613</vt:lpstr>
      <vt:lpstr>20250614</vt:lpstr>
      <vt:lpstr>20250615</vt:lpstr>
      <vt:lpstr>20250616</vt:lpstr>
      <vt:lpstr>20250617</vt:lpstr>
      <vt:lpstr>20250618</vt:lpstr>
      <vt:lpstr>20250619</vt:lpstr>
      <vt:lpstr>20250620</vt:lpstr>
      <vt:lpstr>20250621</vt:lpstr>
      <vt:lpstr>20250622</vt:lpstr>
      <vt:lpstr>20250623</vt:lpstr>
      <vt:lpstr>20250624</vt:lpstr>
      <vt:lpstr>20250625</vt:lpstr>
      <vt:lpstr>20250626</vt:lpstr>
      <vt:lpstr>20250627</vt:lpstr>
      <vt:lpstr>20250629</vt:lpstr>
      <vt:lpstr>20250630</vt:lpstr>
      <vt:lpstr>20250701</vt:lpstr>
      <vt:lpstr>20250702</vt:lpstr>
      <vt:lpstr>20250703</vt:lpstr>
      <vt:lpstr>20250708</vt:lpstr>
      <vt:lpstr>20250709</vt:lpstr>
      <vt:lpstr>20250710</vt:lpstr>
      <vt:lpstr>20250711</vt:lpstr>
      <vt:lpstr>20250712</vt:lpstr>
      <vt:lpstr>20250713</vt:lpstr>
      <vt:lpstr>20250714</vt:lpstr>
      <vt:lpstr>20250724</vt:lpstr>
      <vt:lpstr>20250725</vt:lpstr>
      <vt:lpstr>20250731</vt:lpstr>
      <vt:lpstr>20250811</vt:lpstr>
      <vt:lpstr>20250813</vt:lpstr>
      <vt:lpstr>20250814</vt:lpstr>
      <vt:lpstr>20250820</vt:lpstr>
      <vt:lpstr>20250821</vt:lpstr>
      <vt:lpstr>20250822</vt:lpstr>
      <vt:lpstr>20250823</vt:lpstr>
      <vt:lpstr>20250824</vt:lpstr>
      <vt:lpstr>20250825</vt:lpstr>
      <vt:lpstr>20250903</vt:lpstr>
      <vt:lpstr>20250904</vt:lpstr>
      <vt:lpstr>20250905</vt:lpstr>
      <vt:lpstr>20250907</vt:lpstr>
      <vt:lpstr>20250908</vt:lpstr>
      <vt:lpstr>20250909</vt:lpstr>
      <vt:lpstr>20250910</vt:lpstr>
      <vt:lpstr>20250911</vt:lpstr>
      <vt:lpstr>20250913</vt:lpstr>
      <vt:lpstr>20250914</vt:lpstr>
      <vt:lpstr>20250916</vt:lpstr>
      <vt:lpstr>20250917</vt:lpstr>
      <vt:lpstr>20250918</vt:lpstr>
      <vt:lpstr>20250919</vt:lpstr>
      <vt:lpstr>20250920</vt:lpstr>
      <vt:lpstr>20250921</vt:lpstr>
      <vt:lpstr>20250922</vt:lpstr>
      <vt:lpstr>20250927</vt:lpstr>
      <vt:lpstr>20251012</vt:lpstr>
      <vt:lpstr>20251021</vt:lpstr>
      <vt:lpstr>20251022</vt:lpstr>
      <vt:lpstr>20251023</vt:lpstr>
      <vt:lpstr>20251027</vt:lpstr>
      <vt:lpstr>20251031</vt:lpstr>
      <vt:lpstr>20251102</vt:lpstr>
      <vt:lpstr>20251103</vt:lpstr>
      <vt:lpstr>20251104</vt:lpstr>
      <vt:lpstr>20251105</vt:lpstr>
      <vt:lpstr>20251106</vt:lpstr>
      <vt:lpstr>20251107</vt:lpstr>
      <vt:lpstr>20251108</vt:lpstr>
      <vt:lpstr>20251109</vt:lpstr>
      <vt:lpstr>20251110</vt:lpstr>
      <vt:lpstr>20251111</vt:lpstr>
      <vt:lpstr>20251112</vt:lpstr>
      <vt:lpstr>20251113</vt:lpstr>
      <vt:lpstr>20251114</vt:lpstr>
      <vt:lpstr>20251115</vt:lpstr>
      <vt:lpstr>20251116</vt:lpstr>
      <vt:lpstr>20251117</vt:lpstr>
      <vt:lpstr>20251118</vt:lpstr>
      <vt:lpstr>20251119</vt:lpstr>
      <vt:lpstr>20251120</vt:lpstr>
      <vt:lpstr>20251121</vt:lpstr>
      <vt:lpstr>20251122</vt:lpstr>
      <vt:lpstr>20251123</vt:lpstr>
      <vt:lpstr>20251124</vt:lpstr>
      <vt:lpstr>20251125</vt:lpstr>
      <vt:lpstr>20251126</vt:lpstr>
      <vt:lpstr>20251127</vt:lpstr>
      <vt:lpstr>20251128</vt:lpstr>
      <vt:lpstr>20251129</vt:lpstr>
      <vt:lpstr>20251130</vt:lpstr>
      <vt:lpstr>20251201</vt:lpstr>
      <vt:lpstr>20251202</vt:lpstr>
      <vt:lpstr>20251203</vt:lpstr>
      <vt:lpstr>20251204</vt:lpstr>
      <vt:lpstr>20251205</vt:lpstr>
      <vt:lpstr>20251206</vt:lpstr>
      <vt:lpstr>20251207</vt:lpstr>
      <vt:lpstr>20251208</vt:lpstr>
      <vt:lpstr>20251209</vt:lpstr>
      <vt:lpstr>20251210</vt:lpstr>
      <vt:lpstr>20251211</vt:lpstr>
      <vt:lpstr>20251212</vt:lpstr>
      <vt:lpstr>20251213</vt:lpstr>
      <vt:lpstr>20251214</vt:lpstr>
      <vt:lpstr>20251215</vt:lpstr>
      <vt:lpstr>20251216</vt:lpstr>
      <vt:lpstr>20251217</vt:lpstr>
      <vt:lpstr>20251218</vt:lpstr>
      <vt:lpstr>20251219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Scrooge</cp:lastModifiedBy>
  <dcterms:created xsi:type="dcterms:W3CDTF">2023-05-12T11:15:00Z</dcterms:created>
  <dcterms:modified xsi:type="dcterms:W3CDTF">2025-12-11T15:35:38Z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82987000EA42413E8193202D95BFB17B_12</vt:lpwstr>
  </property>
  <property fmtid="{D5CDD505-2E9C-101B-9397-08002B2CF9AE}" pid="4" name="CalculationRule">
    <vt:i4>0</vt:i4>
  </property>
</Properties>
</file>